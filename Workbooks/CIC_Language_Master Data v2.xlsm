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15" yWindow="405" windowWidth="10260" windowHeight="7830" tabRatio="656"/>
  </bookViews>
  <sheets>
    <sheet name="Main" sheetId="2" r:id="rId1"/>
    <sheet name="Master Data" sheetId="1" r:id="rId2"/>
    <sheet name="Daily Status" sheetId="3" r:id="rId3"/>
    <sheet name="Criteria" sheetId="4" r:id="rId4"/>
  </sheets>
  <definedNames>
    <definedName name="_xlnm._FilterDatabase" localSheetId="2" hidden="1">'Daily Status'!$A$1:$Q$1</definedName>
    <definedName name="_xlnm._FilterDatabase" localSheetId="1" hidden="1">'Master Data'!$A$19:$AB$20</definedName>
  </definedNames>
  <calcPr calcId="144525"/>
</workbook>
</file>

<file path=xl/calcChain.xml><?xml version="1.0" encoding="utf-8"?>
<calcChain xmlns="http://schemas.openxmlformats.org/spreadsheetml/2006/main">
  <c r="S7" i="1" l="1"/>
  <c r="S6" i="1"/>
  <c r="S2" i="1"/>
  <c r="S8" i="1"/>
  <c r="S5" i="1"/>
  <c r="S4" i="1"/>
  <c r="S3" i="1"/>
  <c r="Z7" i="1"/>
  <c r="Z5" i="1" l="1"/>
  <c r="Z3" i="1"/>
  <c r="Z4" i="1"/>
  <c r="Z6" i="1"/>
</calcChain>
</file>

<file path=xl/sharedStrings.xml><?xml version="1.0" encoding="utf-8"?>
<sst xmlns="http://schemas.openxmlformats.org/spreadsheetml/2006/main" count="141" uniqueCount="88">
  <si>
    <t>ProjectID</t>
  </si>
  <si>
    <t>Country</t>
  </si>
  <si>
    <t>Allocated To</t>
  </si>
  <si>
    <t>Priority</t>
  </si>
  <si>
    <t>Status</t>
  </si>
  <si>
    <t>Updated Date</t>
  </si>
  <si>
    <t>Update Type</t>
  </si>
  <si>
    <t>No. of Contact Added</t>
  </si>
  <si>
    <t>No. of Unique Contacts</t>
  </si>
  <si>
    <t>Comments</t>
  </si>
  <si>
    <t>Execution</t>
  </si>
  <si>
    <t>On Hold</t>
  </si>
  <si>
    <t>Pre-Tender</t>
  </si>
  <si>
    <t>Design</t>
  </si>
  <si>
    <t>Planning</t>
  </si>
  <si>
    <t>EPC Award</t>
  </si>
  <si>
    <t>Study</t>
  </si>
  <si>
    <t>Tender</t>
  </si>
  <si>
    <t>Pre-Design</t>
  </si>
  <si>
    <t>Announced</t>
  </si>
  <si>
    <t>Stage</t>
  </si>
  <si>
    <t>Medium</t>
  </si>
  <si>
    <t>High</t>
  </si>
  <si>
    <t>Low</t>
  </si>
  <si>
    <t>IN ORDER TO RUN THIS FILE 
You must enable macros in Excel from the Message Bar</t>
  </si>
  <si>
    <r>
      <t>If you open an Excel document that contains macros, you'll see the yellow </t>
    </r>
    <r>
      <rPr>
        <i/>
        <sz val="15.4"/>
        <color rgb="FF000000"/>
        <rFont val="Arial"/>
        <family val="2"/>
      </rPr>
      <t>Message Bar</t>
    </r>
    <r>
      <rPr>
        <sz val="15.4"/>
        <color rgb="FF000000"/>
        <rFont val="Arial"/>
        <family val="2"/>
      </rPr>
      <t> with a shield icon and the </t>
    </r>
    <r>
      <rPr>
        <i/>
        <sz val="15.4"/>
        <color rgb="FF000000"/>
        <rFont val="Arial"/>
        <family val="2"/>
      </rPr>
      <t>Enable Content</t>
    </r>
    <r>
      <rPr>
        <sz val="15.4"/>
        <color rgb="FF000000"/>
        <rFont val="Arial"/>
        <family val="2"/>
      </rPr>
      <t> button.</t>
    </r>
  </si>
  <si>
    <r>
      <t>If you are sure, the macros are from a trustworthy source, just press the </t>
    </r>
    <r>
      <rPr>
        <i/>
        <sz val="15.4"/>
        <color rgb="FF000000"/>
        <rFont val="Arial"/>
        <family val="2"/>
      </rPr>
      <t>Enable Content</t>
    </r>
    <r>
      <rPr>
        <sz val="15.4"/>
        <color rgb="FF000000"/>
        <rFont val="Arial"/>
        <family val="2"/>
      </rPr>
      <t> button on the bar.</t>
    </r>
  </si>
  <si>
    <t>The file will be opened as a trusted document and the security warning will disappear.</t>
  </si>
  <si>
    <t>Emp ID</t>
  </si>
  <si>
    <t>Emp Name</t>
  </si>
  <si>
    <t>Project Name</t>
  </si>
  <si>
    <t>Profile Type</t>
  </si>
  <si>
    <t>Project Value</t>
  </si>
  <si>
    <t>Value Range</t>
  </si>
  <si>
    <t>Project Status</t>
  </si>
  <si>
    <t>End Year</t>
  </si>
  <si>
    <t>Const. Start Date</t>
  </si>
  <si>
    <t>Const. Quarter</t>
  </si>
  <si>
    <t>Published Date</t>
  </si>
  <si>
    <t>Age in days</t>
  </si>
  <si>
    <t>Age in Months</t>
  </si>
  <si>
    <t>Planned Update Type</t>
  </si>
  <si>
    <t>No. of Contacts Validated</t>
  </si>
  <si>
    <t>&gt;US$1000 million</t>
  </si>
  <si>
    <t>Quick Update</t>
  </si>
  <si>
    <t>US$500-1000 million</t>
  </si>
  <si>
    <t>Q1 2018</t>
  </si>
  <si>
    <t>Critical</t>
  </si>
  <si>
    <t>Q4 2018</t>
  </si>
  <si>
    <t>Q2 2018</t>
  </si>
  <si>
    <t>Q3 2018</t>
  </si>
  <si>
    <t>QUARTERS</t>
  </si>
  <si>
    <t>Total</t>
  </si>
  <si>
    <t>New Projects</t>
  </si>
  <si>
    <t>Unique Key Contact added</t>
  </si>
  <si>
    <t>Unique Key Contact Validated</t>
  </si>
  <si>
    <t>CIC/Demo search (Min.)</t>
  </si>
  <si>
    <t>CIC/Demo Custom works  (Min.)</t>
  </si>
  <si>
    <t>Primary Support for Others  (Min.)</t>
  </si>
  <si>
    <t>Team Meetings  (Min.)</t>
  </si>
  <si>
    <t>Others  (Min.)</t>
  </si>
  <si>
    <t>Ultimate Parent</t>
  </si>
  <si>
    <t>&lt;US$500 Million</t>
  </si>
  <si>
    <t>Contact Opp.</t>
  </si>
  <si>
    <t>Total Projects</t>
  </si>
  <si>
    <t>ProjectStatus</t>
  </si>
  <si>
    <t>Values</t>
  </si>
  <si>
    <t>Red</t>
  </si>
  <si>
    <t>Verge Red</t>
  </si>
  <si>
    <t>Delay</t>
  </si>
  <si>
    <t>Reasonable delay</t>
  </si>
  <si>
    <t>Target</t>
  </si>
  <si>
    <t>Date</t>
  </si>
  <si>
    <t xml:space="preserve"> =IF($D20="Parent",IF(COUNTIF($B:$B,$B20)&gt;1,COUNTIF($B:$B,$B20)-1,""),"")</t>
  </si>
  <si>
    <t xml:space="preserve"> =TODAY()-M20</t>
  </si>
  <si>
    <t xml:space="preserve"> =ROUNDUP(N20/30,0)</t>
  </si>
  <si>
    <t>No. of Sub Projects</t>
  </si>
  <si>
    <t>NFU</t>
  </si>
  <si>
    <t>Formulas</t>
  </si>
  <si>
    <t>CIC Updates</t>
  </si>
  <si>
    <t>Demo Updates</t>
  </si>
  <si>
    <t>Others Activities</t>
  </si>
  <si>
    <t>Comp. update</t>
  </si>
  <si>
    <t>Comprehensive</t>
  </si>
  <si>
    <t>Quick</t>
  </si>
  <si>
    <t>CIC</t>
  </si>
  <si>
    <t>Demo</t>
  </si>
  <si>
    <t xml:space="preserve"> =IF($E20&gt;1000,"&gt;US$1000 million",IF($E20&lt;500,"&lt;US$500 million","US$500-1000 million"))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</si>
</sst>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9.7"/>
      <color rgb="FF000000"/>
      <name val="Arial"/>
      <family val="2"/>
    </font>
    <font>
      <sz val="15.4"/>
      <color rgb="FF000000"/>
      <name val="Arial"/>
      <family val="2"/>
    </font>
    <font>
      <i/>
      <sz val="15.4"/>
      <color rgb="FF000000"/>
      <name val="Arial"/>
      <family val="2"/>
    </font>
    <font>
      <b/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3" fillId="0" borderId="0" xfId="0" applyFont="1" applyAlignment="1">
      <alignment vertical="center"/>
    </xf>
    <xf numFmtId="0" fontId="1" fillId="2" borderId="0" xfId="0" applyFont="1" applyFill="1"/>
    <xf numFmtId="14" fontId="5" fillId="2" borderId="1" xfId="0" applyNumberFormat="1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0" borderId="0" xfId="0" applyAlignment="1">
      <alignment horizontal="center"/>
    </xf>
    <xf numFmtId="14" fontId="0" fillId="0" borderId="0" xfId="0" applyNumberFormat="1"/>
    <xf numFmtId="0" fontId="0" fillId="0" borderId="0" xfId="0" applyFill="1"/>
    <xf numFmtId="0" fontId="0" fillId="0" borderId="0" xfId="0" applyAlignment="1">
      <alignment horizontal="center" vertical="center"/>
    </xf>
    <xf numFmtId="0" fontId="0" fillId="3" borderId="3" xfId="0" applyFill="1" applyBorder="1"/>
    <xf numFmtId="0" fontId="1" fillId="2" borderId="3" xfId="0" applyFont="1" applyFill="1" applyBorder="1"/>
    <xf numFmtId="0" fontId="0" fillId="3" borderId="3" xfId="0" applyFill="1" applyBorder="1" applyAlignment="1">
      <alignment horizontal="fill"/>
    </xf>
    <xf numFmtId="0" fontId="0" fillId="0" borderId="0" xfId="0" applyAlignment="1">
      <alignment horizontal="right"/>
    </xf>
    <xf numFmtId="14" fontId="5" fillId="2" borderId="1" xfId="0" applyNumberFormat="1" applyFont="1" applyFill="1" applyBorder="1" applyAlignment="1">
      <alignment horizontal="right" vertical="center"/>
    </xf>
    <xf numFmtId="0" fontId="0" fillId="4" borderId="1" xfId="0" applyFill="1" applyBorder="1" applyAlignment="1">
      <alignment horizontal="right" vertical="center"/>
    </xf>
    <xf numFmtId="0" fontId="0" fillId="5" borderId="1" xfId="0" applyFill="1" applyBorder="1" applyAlignment="1">
      <alignment horizontal="right" vertical="center"/>
    </xf>
    <xf numFmtId="0" fontId="0" fillId="6" borderId="1" xfId="0" applyFill="1" applyBorder="1" applyAlignment="1">
      <alignment horizontal="right" vertical="center"/>
    </xf>
    <xf numFmtId="0" fontId="0" fillId="7" borderId="1" xfId="0" applyFill="1" applyBorder="1" applyAlignment="1">
      <alignment horizontal="right" vertical="center"/>
    </xf>
    <xf numFmtId="14" fontId="5" fillId="2" borderId="2" xfId="0" applyNumberFormat="1" applyFont="1" applyFill="1" applyBorder="1" applyAlignment="1">
      <alignment horizontal="right" vertical="center"/>
    </xf>
    <xf numFmtId="0" fontId="8" fillId="2" borderId="3" xfId="0" applyFont="1" applyFill="1" applyBorder="1" applyAlignment="1">
      <alignment horizontal="center" wrapText="1"/>
    </xf>
    <xf numFmtId="0" fontId="8" fillId="2" borderId="3" xfId="0" applyFont="1" applyFill="1" applyBorder="1" applyAlignment="1">
      <alignment horizontal="center" vertical="center" wrapText="1"/>
    </xf>
    <xf numFmtId="14" fontId="8" fillId="2" borderId="3" xfId="0" applyNumberFormat="1" applyFont="1" applyFill="1" applyBorder="1" applyAlignment="1">
      <alignment horizontal="center" vertical="center" wrapText="1"/>
    </xf>
    <xf numFmtId="0" fontId="6" fillId="2" borderId="0" xfId="0" applyFont="1" applyFill="1" applyAlignment="1">
      <alignment vertical="center" wrapText="1"/>
    </xf>
    <xf numFmtId="0" fontId="7" fillId="2" borderId="0" xfId="0" applyFont="1" applyFill="1" applyAlignment="1">
      <alignment vertical="center" wrapText="1"/>
    </xf>
    <xf numFmtId="0" fontId="0" fillId="0" borderId="3" xfId="0" applyFill="1" applyBorder="1" applyAlignment="1" applyProtection="1">
      <alignment horizontal="center" vertical="center"/>
      <protection locked="0"/>
    </xf>
    <xf numFmtId="14" fontId="0" fillId="0" borderId="3" xfId="0" applyNumberFormat="1" applyFill="1" applyBorder="1" applyAlignment="1" applyProtection="1">
      <alignment horizontal="center" vertical="center"/>
      <protection locked="0"/>
    </xf>
    <xf numFmtId="0" fontId="0" fillId="3" borderId="3" xfId="0" applyFill="1" applyBorder="1" applyAlignment="1" applyProtection="1">
      <alignment horizontal="center" vertical="center"/>
      <protection locked="0"/>
    </xf>
    <xf numFmtId="14" fontId="0" fillId="3" borderId="3" xfId="0" applyNumberFormat="1" applyFill="1" applyBorder="1" applyAlignment="1" applyProtection="1">
      <alignment horizontal="center" vertical="center"/>
      <protection locked="0"/>
    </xf>
    <xf numFmtId="0" fontId="9" fillId="12" borderId="3" xfId="0" applyFont="1" applyFill="1" applyBorder="1" applyAlignment="1">
      <alignment horizontal="left" vertical="center"/>
    </xf>
    <xf numFmtId="14" fontId="9" fillId="12" borderId="3" xfId="0" applyNumberFormat="1" applyFont="1" applyFill="1" applyBorder="1" applyAlignment="1" applyProtection="1">
      <alignment horizontal="center"/>
      <protection locked="0"/>
    </xf>
    <xf numFmtId="0" fontId="10" fillId="14" borderId="3" xfId="0" applyFont="1" applyFill="1" applyBorder="1" applyAlignment="1">
      <alignment horizontal="left" vertical="center"/>
    </xf>
    <xf numFmtId="0" fontId="10" fillId="14" borderId="3" xfId="0" applyFont="1" applyFill="1" applyBorder="1" applyAlignment="1">
      <alignment horizontal="center" vertical="center"/>
    </xf>
    <xf numFmtId="0" fontId="10" fillId="3" borderId="3" xfId="0" applyFont="1" applyFill="1" applyBorder="1" applyAlignment="1">
      <alignment horizontal="left" vertical="center"/>
    </xf>
    <xf numFmtId="0" fontId="10" fillId="3" borderId="3" xfId="0" applyFont="1" applyFill="1" applyBorder="1" applyAlignment="1">
      <alignment horizontal="center" vertical="center"/>
    </xf>
    <xf numFmtId="0" fontId="10" fillId="15" borderId="3" xfId="0" applyFont="1" applyFill="1" applyBorder="1" applyAlignment="1">
      <alignment horizontal="left" vertical="center"/>
    </xf>
    <xf numFmtId="0" fontId="10" fillId="15" borderId="3" xfId="0" applyFont="1" applyFill="1" applyBorder="1" applyAlignment="1">
      <alignment horizontal="center" vertical="center"/>
    </xf>
    <xf numFmtId="0" fontId="10" fillId="16" borderId="3" xfId="0" applyFont="1" applyFill="1" applyBorder="1" applyAlignment="1">
      <alignment horizontal="left" vertical="center"/>
    </xf>
    <xf numFmtId="0" fontId="10" fillId="16" borderId="3" xfId="0" applyFont="1" applyFill="1" applyBorder="1" applyAlignment="1">
      <alignment horizontal="center" vertical="center"/>
    </xf>
    <xf numFmtId="0" fontId="10" fillId="17" borderId="3" xfId="0" applyFont="1" applyFill="1" applyBorder="1" applyAlignment="1">
      <alignment horizontal="left" vertical="center"/>
    </xf>
    <xf numFmtId="0" fontId="10" fillId="17" borderId="3" xfId="0" applyFont="1" applyFill="1" applyBorder="1" applyAlignment="1">
      <alignment horizontal="center" vertical="center"/>
    </xf>
    <xf numFmtId="0" fontId="10" fillId="18" borderId="3" xfId="0" applyFont="1" applyFill="1" applyBorder="1" applyAlignment="1">
      <alignment horizontal="left" vertical="center"/>
    </xf>
    <xf numFmtId="0" fontId="10" fillId="18" borderId="3" xfId="0" applyFont="1" applyFill="1" applyBorder="1" applyAlignment="1">
      <alignment horizontal="center" vertical="center"/>
    </xf>
    <xf numFmtId="0" fontId="10" fillId="19" borderId="3" xfId="0" applyFont="1" applyFill="1" applyBorder="1" applyAlignment="1">
      <alignment horizontal="left" vertical="center"/>
    </xf>
    <xf numFmtId="0" fontId="10" fillId="19" borderId="3" xfId="0" applyFont="1" applyFill="1" applyBorder="1" applyAlignment="1">
      <alignment horizontal="center" vertical="center"/>
    </xf>
    <xf numFmtId="0" fontId="0" fillId="20" borderId="4" xfId="0" applyFill="1" applyBorder="1"/>
    <xf numFmtId="0" fontId="0" fillId="21" borderId="5" xfId="0" applyFill="1" applyBorder="1"/>
    <xf numFmtId="0" fontId="0" fillId="22" borderId="5" xfId="0" applyFill="1" applyBorder="1"/>
    <xf numFmtId="0" fontId="2" fillId="0" borderId="0" xfId="0" applyFont="1" applyAlignment="1">
      <alignment vertical="center" wrapText="1"/>
    </xf>
    <xf numFmtId="0" fontId="5" fillId="1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'Master Data'!$Z$2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dPt>
          <c:dPt>
            <c:idx val="1"/>
            <c:invertIfNegative val="0"/>
            <c:bubble3D val="0"/>
            <c:spPr>
              <a:solidFill>
                <a:srgbClr val="FF6666"/>
              </a:solidFill>
              <a:ln>
                <a:solidFill>
                  <a:schemeClr val="tx1"/>
                </a:solidFill>
              </a:ln>
            </c:spPr>
          </c:dPt>
          <c:dPt>
            <c:idx val="2"/>
            <c:invertIfNegative val="0"/>
            <c:bubble3D val="0"/>
            <c:spPr>
              <a:solidFill>
                <a:srgbClr val="FF6600"/>
              </a:solidFill>
              <a:ln>
                <a:solidFill>
                  <a:schemeClr val="tx1"/>
                </a:solidFill>
              </a:ln>
            </c:spPr>
          </c:dPt>
          <c:dPt>
            <c:idx val="3"/>
            <c:invertIfNegative val="0"/>
            <c:bubble3D val="0"/>
            <c:spPr>
              <a:solidFill>
                <a:srgbClr val="99CCFF"/>
              </a:solidFill>
              <a:ln>
                <a:solidFill>
                  <a:schemeClr val="tx1"/>
                </a:solidFill>
              </a:ln>
            </c:spPr>
          </c:dPt>
          <c:dPt>
            <c:idx val="4"/>
            <c:invertIfNegative val="0"/>
            <c:bubble3D val="0"/>
            <c:spPr>
              <a:solidFill>
                <a:schemeClr val="bg1">
                  <a:lumMod val="95000"/>
                </a:schemeClr>
              </a:solidFill>
              <a:ln>
                <a:solidFill>
                  <a:schemeClr val="tx1"/>
                </a:solidFill>
              </a:ln>
            </c:spPr>
          </c:dPt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'Master Data'!$Y$3:$Y$7</c:f>
              <c:strCache>
                <c:ptCount val="5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  <c:pt idx="4">
                  <c:v>Total Projects</c:v>
                </c:pt>
              </c:strCache>
            </c:strRef>
          </c:cat>
          <c:val>
            <c:numRef>
              <c:f>'Master Data'!$Z$3:$Z$7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670016"/>
        <c:axId val="80290176"/>
      </c:barChart>
      <c:catAx>
        <c:axId val="67670016"/>
        <c:scaling>
          <c:orientation val="minMax"/>
        </c:scaling>
        <c:delete val="0"/>
        <c:axPos val="b"/>
        <c:majorTickMark val="out"/>
        <c:minorTickMark val="none"/>
        <c:tickLblPos val="nextTo"/>
        <c:crossAx val="80290176"/>
        <c:crosses val="autoZero"/>
        <c:auto val="1"/>
        <c:lblAlgn val="ctr"/>
        <c:lblOffset val="100"/>
        <c:noMultiLvlLbl val="0"/>
      </c:catAx>
      <c:valAx>
        <c:axId val="8029017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676700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644" l="0.70000000000000062" r="0.70000000000000062" t="0.750000000000006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jpeg"/><Relationship Id="rId1" Type="http://schemas.openxmlformats.org/officeDocument/2006/relationships/chart" Target="../charts/chart1.xml"/><Relationship Id="rId4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180975</xdr:colOff>
      <xdr:row>19</xdr:row>
      <xdr:rowOff>85725</xdr:rowOff>
    </xdr:from>
    <xdr:to>
      <xdr:col>14</xdr:col>
      <xdr:colOff>257175</xdr:colOff>
      <xdr:row>26</xdr:row>
      <xdr:rowOff>190500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3228975" y="3895725"/>
          <a:ext cx="5562600" cy="1905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85725</xdr:colOff>
      <xdr:row>27</xdr:row>
      <xdr:rowOff>180975</xdr:rowOff>
    </xdr:from>
    <xdr:to>
      <xdr:col>13</xdr:col>
      <xdr:colOff>390525</xdr:colOff>
      <xdr:row>49</xdr:row>
      <xdr:rowOff>38100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3743325" y="6048375"/>
          <a:ext cx="4572000" cy="41148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495300</xdr:colOff>
      <xdr:row>0</xdr:row>
      <xdr:rowOff>76200</xdr:rowOff>
    </xdr:from>
    <xdr:to>
      <xdr:col>19</xdr:col>
      <xdr:colOff>85726</xdr:colOff>
      <xdr:row>14</xdr:row>
      <xdr:rowOff>76200</xdr:rowOff>
    </xdr:to>
    <xdr:grpSp>
      <xdr:nvGrpSpPr>
        <xdr:cNvPr id="12" name="Group 11"/>
        <xdr:cNvGrpSpPr/>
      </xdr:nvGrpSpPr>
      <xdr:grpSpPr>
        <a:xfrm>
          <a:off x="1104900" y="76200"/>
          <a:ext cx="10563226" cy="2667000"/>
          <a:chOff x="1933574" y="57150"/>
          <a:chExt cx="10563226" cy="2667000"/>
        </a:xfrm>
      </xdr:grpSpPr>
      <xdr:pic>
        <xdr:nvPicPr>
          <xdr:cNvPr id="13" name="Picture 12" descr="main(32).jpg"/>
          <xdr:cNvPicPr>
            <a:picLocks noChangeAspect="1"/>
          </xdr:cNvPicPr>
        </xdr:nvPicPr>
        <xdr:blipFill>
          <a:blip xmlns:r="http://schemas.openxmlformats.org/officeDocument/2006/relationships" r:embed="rId3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>
            <a:fillRect/>
          </a:stretch>
        </xdr:blipFill>
        <xdr:spPr>
          <a:xfrm>
            <a:off x="1933574" y="57150"/>
            <a:ext cx="10563226" cy="2667000"/>
          </a:xfrm>
          <a:prstGeom prst="rect">
            <a:avLst/>
          </a:prstGeom>
        </xdr:spPr>
      </xdr:pic>
      <xdr:grpSp>
        <xdr:nvGrpSpPr>
          <xdr:cNvPr id="14" name="Group 8"/>
          <xdr:cNvGrpSpPr/>
        </xdr:nvGrpSpPr>
        <xdr:grpSpPr>
          <a:xfrm>
            <a:off x="6819899" y="171450"/>
            <a:ext cx="5581650" cy="819150"/>
            <a:chOff x="6819899" y="171450"/>
            <a:chExt cx="5581650" cy="819150"/>
          </a:xfrm>
        </xdr:grpSpPr>
        <xdr:sp macro="" textlink="">
          <xdr:nvSpPr>
            <xdr:cNvPr id="15" name="Rectangle 3"/>
            <xdr:cNvSpPr/>
          </xdr:nvSpPr>
          <xdr:spPr>
            <a:xfrm>
              <a:off x="6819899" y="171450"/>
              <a:ext cx="5581650" cy="819150"/>
            </a:xfrm>
            <a:prstGeom prst="rect">
              <a:avLst/>
            </a:prstGeom>
            <a:solidFill>
              <a:schemeClr val="bg1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1100"/>
            </a:p>
          </xdr:txBody>
        </xdr:sp>
        <xdr:pic>
          <xdr:nvPicPr>
            <xdr:cNvPr id="16" name="Picture 15" descr="Construction_IC_Logo_800.png"/>
            <xdr:cNvPicPr>
              <a:picLocks noChangeAspect="1"/>
            </xdr:cNvPicPr>
          </xdr:nvPicPr>
          <xdr:blipFill>
            <a:blip xmlns:r="http://schemas.openxmlformats.org/officeDocument/2006/relationships" r:embed="rId4" cstate="email">
              <a:extLst>
                <a:ext uri="{28A0092B-C50C-407E-A947-70E740481C1C}">
                  <a14:useLocalDpi xmlns:a14="http://schemas.microsoft.com/office/drawing/2010/main"/>
                </a:ext>
              </a:extLst>
            </a:blip>
            <a:stretch>
              <a:fillRect/>
            </a:stretch>
          </xdr:blipFill>
          <xdr:spPr>
            <a:xfrm>
              <a:off x="6838949" y="200026"/>
              <a:ext cx="3552825" cy="768298"/>
            </a:xfrm>
            <a:prstGeom prst="rect">
              <a:avLst/>
            </a:prstGeom>
          </xdr:spPr>
        </xdr:pic>
        <xdr:pic>
          <xdr:nvPicPr>
            <xdr:cNvPr id="17" name="Picture 16" descr="timetric_logo_footer.png"/>
            <xdr:cNvPicPr>
              <a:picLocks noChangeAspect="1"/>
            </xdr:cNvPicPr>
          </xdr:nvPicPr>
          <xdr:blipFill>
            <a:blip xmlns:r="http://schemas.openxmlformats.org/officeDocument/2006/relationships" r:embed="rId5" cstate="email">
              <a:extLst>
                <a:ext uri="{28A0092B-C50C-407E-A947-70E740481C1C}">
                  <a14:useLocalDpi xmlns:a14="http://schemas.microsoft.com/office/drawing/2010/main"/>
                </a:ext>
              </a:extLst>
            </a:blip>
            <a:stretch>
              <a:fillRect/>
            </a:stretch>
          </xdr:blipFill>
          <xdr:spPr>
            <a:xfrm>
              <a:off x="10925174" y="600075"/>
              <a:ext cx="1174990" cy="254817"/>
            </a:xfrm>
            <a:prstGeom prst="rect">
              <a:avLst/>
            </a:prstGeom>
          </xdr:spPr>
        </xdr:pic>
        <xdr:sp macro="" textlink="">
          <xdr:nvSpPr>
            <xdr:cNvPr id="18" name="TextBox 17"/>
            <xdr:cNvSpPr txBox="1"/>
          </xdr:nvSpPr>
          <xdr:spPr>
            <a:xfrm>
              <a:off x="11077574" y="285750"/>
              <a:ext cx="895349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wrap="square" rtlCol="0" anchor="t">
              <a:noAutofit/>
            </a:bodyPr>
            <a:lstStyle/>
            <a:p>
              <a:r>
                <a:rPr lang="en-US" sz="1100" b="1"/>
                <a:t>Powered</a:t>
              </a:r>
              <a:r>
                <a:rPr lang="en-US" sz="1100" b="1" baseline="0"/>
                <a:t> By</a:t>
              </a:r>
              <a:endParaRPr lang="en-US" sz="1100" b="1"/>
            </a:p>
          </xdr:txBody>
        </xdr:sp>
        <xdr:cxnSp macro="">
          <xdr:nvCxnSpPr>
            <xdr:cNvPr id="19" name="Straight Connector 18"/>
            <xdr:cNvCxnSpPr/>
          </xdr:nvCxnSpPr>
          <xdr:spPr>
            <a:xfrm>
              <a:off x="10639424" y="295275"/>
              <a:ext cx="0" cy="590550"/>
            </a:xfrm>
            <a:prstGeom prst="line">
              <a:avLst/>
            </a:prstGeom>
            <a:ln w="38100">
              <a:solidFill>
                <a:schemeClr val="tx2">
                  <a:lumMod val="75000"/>
                </a:schemeClr>
              </a:solidFill>
              <a:prstDash val="soli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361950</xdr:colOff>
      <xdr:row>0</xdr:row>
      <xdr:rowOff>38100</xdr:rowOff>
    </xdr:from>
    <xdr:to>
      <xdr:col>26</xdr:col>
      <xdr:colOff>333375</xdr:colOff>
      <xdr:row>7</xdr:row>
      <xdr:rowOff>161925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19050</xdr:colOff>
      <xdr:row>0</xdr:row>
      <xdr:rowOff>19050</xdr:rowOff>
    </xdr:from>
    <xdr:to>
      <xdr:col>16</xdr:col>
      <xdr:colOff>781051</xdr:colOff>
      <xdr:row>7</xdr:row>
      <xdr:rowOff>190499</xdr:rowOff>
    </xdr:to>
    <xdr:grpSp>
      <xdr:nvGrpSpPr>
        <xdr:cNvPr id="19" name="Group 18"/>
        <xdr:cNvGrpSpPr/>
      </xdr:nvGrpSpPr>
      <xdr:grpSpPr>
        <a:xfrm>
          <a:off x="1238250" y="19050"/>
          <a:ext cx="9258301" cy="1504949"/>
          <a:chOff x="1857370" y="19050"/>
          <a:chExt cx="9486904" cy="1504949"/>
        </a:xfrm>
      </xdr:grpSpPr>
      <xdr:pic>
        <xdr:nvPicPr>
          <xdr:cNvPr id="20" name="Picture 19" descr="main(32).jpg"/>
          <xdr:cNvPicPr>
            <a:picLocks noChangeAspect="1"/>
          </xdr:cNvPicPr>
        </xdr:nvPicPr>
        <xdr:blipFill>
          <a:blip xmlns:r="http://schemas.openxmlformats.org/officeDocument/2006/relationships" r:embed="rId2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>
            <a:fillRect/>
          </a:stretch>
        </xdr:blipFill>
        <xdr:spPr>
          <a:xfrm flipH="1">
            <a:off x="1857370" y="19050"/>
            <a:ext cx="9486904" cy="1504949"/>
          </a:xfrm>
          <a:prstGeom prst="rect">
            <a:avLst/>
          </a:prstGeom>
          <a:ln>
            <a:noFill/>
          </a:ln>
        </xdr:spPr>
      </xdr:pic>
      <xdr:sp macro="" textlink="">
        <xdr:nvSpPr>
          <xdr:cNvPr id="22" name="stxtEname"/>
          <xdr:cNvSpPr txBox="1"/>
        </xdr:nvSpPr>
        <xdr:spPr>
          <a:xfrm>
            <a:off x="2575170" y="1117369"/>
            <a:ext cx="1234883" cy="344633"/>
          </a:xfrm>
          <a:prstGeom prst="round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vert="horz" wrap="none" rtlCol="0" anchor="t" anchorCtr="0">
            <a:spAutoFit/>
          </a:bodyPr>
          <a:lstStyle/>
          <a:p>
            <a:pPr marL="0" indent="0" algn="l"/>
            <a:r>
              <a:rPr lang="en-US" sz="1400" b="0" i="0" u="none" strike="noStrike">
                <a:solidFill>
                  <a:sysClr val="windowText" lastClr="000000"/>
                </a:solidFill>
                <a:latin typeface="Calibri"/>
                <a:ea typeface="+mn-ea"/>
                <a:cs typeface="+mn-cs"/>
              </a:rPr>
              <a:t> Master Data</a:t>
            </a:r>
          </a:p>
        </xdr:txBody>
      </xdr:sp>
    </xdr:grpSp>
    <xdr:clientData/>
  </xdr:twoCellAnchor>
  <xdr:twoCellAnchor editAs="absolute">
    <xdr:from>
      <xdr:col>0</xdr:col>
      <xdr:colOff>38100</xdr:colOff>
      <xdr:row>2</xdr:row>
      <xdr:rowOff>26998</xdr:rowOff>
    </xdr:from>
    <xdr:to>
      <xdr:col>0</xdr:col>
      <xdr:colOff>552451</xdr:colOff>
      <xdr:row>5</xdr:row>
      <xdr:rowOff>123501</xdr:rowOff>
    </xdr:to>
    <xdr:grpSp>
      <xdr:nvGrpSpPr>
        <xdr:cNvPr id="24" name="Group 23"/>
        <xdr:cNvGrpSpPr/>
      </xdr:nvGrpSpPr>
      <xdr:grpSpPr>
        <a:xfrm>
          <a:off x="38100" y="407998"/>
          <a:ext cx="514351" cy="668003"/>
          <a:chOff x="14049374" y="436897"/>
          <a:chExt cx="514351" cy="668003"/>
        </a:xfrm>
      </xdr:grpSpPr>
      <xdr:pic macro="[0]!cmbUpdateFromDailyExport">
        <xdr:nvPicPr>
          <xdr:cNvPr id="25" name="Picture 24" descr="C:\Documents and Settings\gsantosh\My Documents\Downloads\Icons\update_file-512.png"/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/>
          <a:srcRect/>
          <a:stretch>
            <a:fillRect/>
          </a:stretch>
        </xdr:blipFill>
        <xdr:spPr bwMode="auto">
          <a:xfrm>
            <a:off x="14114795" y="436897"/>
            <a:ext cx="439403" cy="439403"/>
          </a:xfrm>
          <a:prstGeom prst="rect">
            <a:avLst/>
          </a:prstGeom>
          <a:noFill/>
        </xdr:spPr>
      </xdr:pic>
      <xdr:sp macro="[0]!cmbUpdateFromDailyExport" textlink="">
        <xdr:nvSpPr>
          <xdr:cNvPr id="26" name="TextBox 7"/>
          <xdr:cNvSpPr txBox="1"/>
        </xdr:nvSpPr>
        <xdr:spPr>
          <a:xfrm>
            <a:off x="14049374" y="876300"/>
            <a:ext cx="514351" cy="228600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800" b="1"/>
              <a:t>Update</a:t>
            </a:r>
          </a:p>
        </xdr:txBody>
      </xdr:sp>
    </xdr:grpSp>
    <xdr:clientData/>
  </xdr:twoCellAnchor>
  <xdr:twoCellAnchor editAs="absolute">
    <xdr:from>
      <xdr:col>1</xdr:col>
      <xdr:colOff>57151</xdr:colOff>
      <xdr:row>1</xdr:row>
      <xdr:rowOff>180975</xdr:rowOff>
    </xdr:from>
    <xdr:to>
      <xdr:col>1</xdr:col>
      <xdr:colOff>584860</xdr:colOff>
      <xdr:row>5</xdr:row>
      <xdr:rowOff>110345</xdr:rowOff>
    </xdr:to>
    <xdr:grpSp>
      <xdr:nvGrpSpPr>
        <xdr:cNvPr id="27" name="Group 26"/>
        <xdr:cNvGrpSpPr/>
      </xdr:nvGrpSpPr>
      <xdr:grpSpPr>
        <a:xfrm>
          <a:off x="666751" y="371475"/>
          <a:ext cx="527709" cy="691370"/>
          <a:chOff x="14506575" y="400374"/>
          <a:chExt cx="527709" cy="691370"/>
        </a:xfrm>
      </xdr:grpSpPr>
      <xdr:pic macro="[0]!cmdRefreshConditionalFormats">
        <xdr:nvPicPr>
          <xdr:cNvPr id="28" name="Picture 27" descr="C:\Documents and Settings\gsantosh\My Documents\Downloads\Icons\paint.png"/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/>
          <a:srcRect/>
          <a:stretch>
            <a:fillRect/>
          </a:stretch>
        </xdr:blipFill>
        <xdr:spPr bwMode="auto">
          <a:xfrm>
            <a:off x="14516423" y="400374"/>
            <a:ext cx="475926" cy="475926"/>
          </a:xfrm>
          <a:prstGeom prst="rect">
            <a:avLst/>
          </a:prstGeom>
          <a:noFill/>
        </xdr:spPr>
      </xdr:pic>
      <xdr:sp macro="[0]!cmdRefreshConditionalFormats" textlink="">
        <xdr:nvSpPr>
          <xdr:cNvPr id="29" name="TextBox 9"/>
          <xdr:cNvSpPr txBox="1"/>
        </xdr:nvSpPr>
        <xdr:spPr>
          <a:xfrm>
            <a:off x="14506575" y="876300"/>
            <a:ext cx="527709" cy="21544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800" b="1"/>
              <a:t>Refresh 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5:A52"/>
  <sheetViews>
    <sheetView showGridLines="0" tabSelected="1" workbookViewId="0">
      <selection activeCell="A15" sqref="A15:XFD16"/>
    </sheetView>
  </sheetViews>
  <sheetFormatPr defaultRowHeight="15" x14ac:dyDescent="0.25"/>
  <cols>
    <col min="4" max="8" width="9.140625" customWidth="1"/>
  </cols>
  <sheetData>
    <row r="15" spans="1:1" s="53" customFormat="1" ht="47.25" customHeight="1" x14ac:dyDescent="0.25">
      <c r="A15" s="53" t="s">
        <v>24</v>
      </c>
    </row>
    <row r="16" spans="1:1" s="53" customFormat="1" ht="47.25" customHeight="1" x14ac:dyDescent="0.25"/>
    <row r="17" spans="1:1" ht="20.25" x14ac:dyDescent="0.25">
      <c r="A17" s="1" t="s">
        <v>25</v>
      </c>
    </row>
    <row r="19" spans="1:1" ht="20.25" x14ac:dyDescent="0.25">
      <c r="A19" s="1" t="s">
        <v>26</v>
      </c>
    </row>
    <row r="20" spans="1:1" ht="20.25" x14ac:dyDescent="0.25">
      <c r="A20" s="1"/>
    </row>
    <row r="21" spans="1:1" ht="20.25" x14ac:dyDescent="0.25">
      <c r="A21" s="1"/>
    </row>
    <row r="22" spans="1:1" ht="20.25" x14ac:dyDescent="0.25">
      <c r="A22" s="1"/>
    </row>
    <row r="23" spans="1:1" ht="20.25" x14ac:dyDescent="0.25">
      <c r="A23" s="1"/>
    </row>
    <row r="24" spans="1:1" ht="20.25" x14ac:dyDescent="0.25">
      <c r="A24" s="1"/>
    </row>
    <row r="25" spans="1:1" ht="20.25" x14ac:dyDescent="0.25">
      <c r="A25" s="1"/>
    </row>
    <row r="26" spans="1:1" ht="20.25" x14ac:dyDescent="0.25">
      <c r="A26" s="1"/>
    </row>
    <row r="27" spans="1:1" ht="20.25" x14ac:dyDescent="0.25">
      <c r="A27" s="1"/>
    </row>
    <row r="29" spans="1:1" ht="20.25" x14ac:dyDescent="0.25">
      <c r="A29" s="1"/>
    </row>
    <row r="52" spans="1:1" ht="20.25" x14ac:dyDescent="0.25">
      <c r="A52" s="1" t="s">
        <v>27</v>
      </c>
    </row>
  </sheetData>
  <mergeCells count="1">
    <mergeCell ref="A15:XFD16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20"/>
  <sheetViews>
    <sheetView showGridLines="0" zoomScaleNormal="100" workbookViewId="0">
      <pane xSplit="3" ySplit="19" topLeftCell="D20" activePane="bottomRight" state="frozen"/>
      <selection pane="topRight" activeCell="D1" sqref="D1"/>
      <selection pane="bottomLeft" activeCell="A20" sqref="A20"/>
      <selection pane="bottomRight" activeCell="D19" sqref="D19"/>
    </sheetView>
  </sheetViews>
  <sheetFormatPr defaultRowHeight="15" x14ac:dyDescent="0.25"/>
  <cols>
    <col min="3" max="3" width="9.5703125" customWidth="1"/>
    <col min="4" max="4" width="8.5703125" customWidth="1"/>
    <col min="5" max="5" width="6.7109375" customWidth="1"/>
    <col min="6" max="6" width="9.140625" customWidth="1"/>
    <col min="7" max="7" width="14.140625" customWidth="1"/>
    <col min="8" max="8" width="5.28515625" customWidth="1"/>
    <col min="9" max="9" width="8.42578125" customWidth="1"/>
    <col min="10" max="10" width="10.7109375" style="12" customWidth="1"/>
    <col min="11" max="11" width="8.42578125" customWidth="1"/>
    <col min="12" max="12" width="14.28515625" customWidth="1"/>
    <col min="13" max="13" width="10.7109375" style="12" customWidth="1"/>
    <col min="14" max="15" width="7.140625" customWidth="1"/>
    <col min="16" max="16" width="7.140625" style="14" customWidth="1"/>
    <col min="17" max="17" width="14.7109375" customWidth="1"/>
    <col min="18" max="18" width="32.85546875" bestFit="1" customWidth="1"/>
    <col min="19" max="19" width="11.28515625" bestFit="1" customWidth="1"/>
    <col min="20" max="20" width="6.7109375" style="11" customWidth="1"/>
    <col min="21" max="21" width="9.85546875" style="18" customWidth="1"/>
    <col min="22" max="22" width="13.140625" bestFit="1" customWidth="1"/>
    <col min="23" max="23" width="10.85546875" style="12" customWidth="1"/>
    <col min="24" max="24" width="16.7109375" customWidth="1"/>
    <col min="25" max="25" width="11.5703125" customWidth="1"/>
    <col min="26" max="26" width="10.5703125" customWidth="1"/>
    <col min="27" max="27" width="9.140625" customWidth="1"/>
    <col min="28" max="28" width="23.85546875" bestFit="1" customWidth="1"/>
  </cols>
  <sheetData>
    <row r="1" spans="1:28" x14ac:dyDescent="0.25">
      <c r="A1" s="50"/>
      <c r="B1" s="51"/>
      <c r="C1" s="52"/>
      <c r="R1" s="34" t="s">
        <v>72</v>
      </c>
      <c r="S1" s="35">
        <v>43144</v>
      </c>
    </row>
    <row r="2" spans="1:28" x14ac:dyDescent="0.25">
      <c r="A2" s="50"/>
      <c r="B2" s="51"/>
      <c r="C2" s="52"/>
      <c r="R2" s="36" t="s">
        <v>84</v>
      </c>
      <c r="S2" s="37">
        <f>COUNTIFS($V:$V,"Done",$W:$W,$S$1,$X:$X,$R2)</f>
        <v>0</v>
      </c>
      <c r="Y2" s="19" t="s">
        <v>3</v>
      </c>
      <c r="Z2" s="3" t="s">
        <v>52</v>
      </c>
      <c r="AB2" s="16" t="s">
        <v>78</v>
      </c>
    </row>
    <row r="3" spans="1:28" x14ac:dyDescent="0.25">
      <c r="A3" s="50"/>
      <c r="B3" s="51"/>
      <c r="C3" s="52"/>
      <c r="R3" s="38" t="s">
        <v>83</v>
      </c>
      <c r="S3" s="39">
        <f>COUNTIFS($V:$V,"Done",$W:$W,$S$1,$X:$X,$R3)</f>
        <v>0</v>
      </c>
      <c r="U3" s="54" t="s">
        <v>51</v>
      </c>
      <c r="V3" s="54"/>
      <c r="Y3" s="20" t="s">
        <v>47</v>
      </c>
      <c r="Z3" s="4">
        <f>COUNTIF($S:$S,$Y3)</f>
        <v>0</v>
      </c>
      <c r="AB3" s="17" t="s">
        <v>87</v>
      </c>
    </row>
    <row r="4" spans="1:28" x14ac:dyDescent="0.25">
      <c r="A4" s="50"/>
      <c r="B4" s="51"/>
      <c r="C4" s="52"/>
      <c r="P4"/>
      <c r="R4" s="40" t="s">
        <v>85</v>
      </c>
      <c r="S4" s="41">
        <f>COUNTIFS($V:$V,"Done",$W:$W,$S$1,$X:$X,$R4)</f>
        <v>0</v>
      </c>
      <c r="U4" s="30" t="s">
        <v>46</v>
      </c>
      <c r="V4" s="31">
        <v>43160</v>
      </c>
      <c r="Y4" s="21" t="s">
        <v>22</v>
      </c>
      <c r="Z4" s="4">
        <f>COUNTIF($S:$S,$Y4)</f>
        <v>0</v>
      </c>
      <c r="AB4" s="15" t="s">
        <v>74</v>
      </c>
    </row>
    <row r="5" spans="1:28" x14ac:dyDescent="0.25">
      <c r="A5" s="50"/>
      <c r="B5" s="51"/>
      <c r="C5" s="52"/>
      <c r="P5"/>
      <c r="R5" s="42" t="s">
        <v>86</v>
      </c>
      <c r="S5" s="43">
        <f>COUNTIFS($V:$V,"Done",$W:$W,$S$1,$X:$X,$R5)</f>
        <v>0</v>
      </c>
      <c r="U5" s="32" t="s">
        <v>49</v>
      </c>
      <c r="V5" s="33">
        <v>43252</v>
      </c>
      <c r="Y5" s="22" t="s">
        <v>21</v>
      </c>
      <c r="Z5" s="4">
        <f>COUNTIF($S:$S,$Y5)</f>
        <v>0</v>
      </c>
      <c r="AB5" s="15" t="s">
        <v>75</v>
      </c>
    </row>
    <row r="6" spans="1:28" x14ac:dyDescent="0.25">
      <c r="A6" s="50"/>
      <c r="B6" s="51"/>
      <c r="C6" s="52"/>
      <c r="P6"/>
      <c r="R6" s="44" t="s">
        <v>7</v>
      </c>
      <c r="S6" s="45">
        <f>SUMIFS($Y:$Y,$W:$W,$S$1)</f>
        <v>0</v>
      </c>
      <c r="U6" s="30" t="s">
        <v>50</v>
      </c>
      <c r="V6" s="31">
        <v>43344</v>
      </c>
      <c r="Y6" s="23" t="s">
        <v>23</v>
      </c>
      <c r="Z6" s="4">
        <f>COUNTIF($S:$S,$Y6)</f>
        <v>0</v>
      </c>
      <c r="AB6" s="17" t="s">
        <v>73</v>
      </c>
    </row>
    <row r="7" spans="1:28" x14ac:dyDescent="0.25">
      <c r="A7" s="50"/>
      <c r="B7" s="51"/>
      <c r="C7" s="52"/>
      <c r="P7"/>
      <c r="R7" s="46" t="s">
        <v>8</v>
      </c>
      <c r="S7" s="47">
        <f>SUMIFS($Z:$Z,$W:$W,$S$1)</f>
        <v>0</v>
      </c>
      <c r="U7" s="32" t="s">
        <v>48</v>
      </c>
      <c r="V7" s="33">
        <v>43435</v>
      </c>
      <c r="Y7" s="24" t="s">
        <v>64</v>
      </c>
      <c r="Z7" s="5">
        <f>COUNT(A:A)</f>
        <v>0</v>
      </c>
    </row>
    <row r="8" spans="1:28" x14ac:dyDescent="0.25">
      <c r="A8" s="50"/>
      <c r="B8" s="51"/>
      <c r="C8" s="52"/>
      <c r="P8"/>
      <c r="R8" s="48" t="s">
        <v>42</v>
      </c>
      <c r="S8" s="49">
        <f>SUMIFS($AA:$AA,$W:$W,$S$1)</f>
        <v>0</v>
      </c>
      <c r="U8"/>
    </row>
    <row r="9" spans="1:28" hidden="1" x14ac:dyDescent="0.25"/>
    <row r="10" spans="1:28" hidden="1" x14ac:dyDescent="0.25"/>
    <row r="11" spans="1:28" hidden="1" x14ac:dyDescent="0.25"/>
    <row r="12" spans="1:28" hidden="1" x14ac:dyDescent="0.25"/>
    <row r="13" spans="1:28" hidden="1" x14ac:dyDescent="0.25"/>
    <row r="14" spans="1:28" hidden="1" x14ac:dyDescent="0.25"/>
    <row r="15" spans="1:28" hidden="1" x14ac:dyDescent="0.25"/>
    <row r="16" spans="1:28" hidden="1" x14ac:dyDescent="0.25"/>
    <row r="17" spans="1:28" hidden="1" x14ac:dyDescent="0.25"/>
    <row r="18" spans="1:28" hidden="1" x14ac:dyDescent="0.25"/>
    <row r="19" spans="1:28" ht="29.25" customHeight="1" x14ac:dyDescent="0.25">
      <c r="A19" s="26" t="s">
        <v>0</v>
      </c>
      <c r="B19" s="26" t="s">
        <v>61</v>
      </c>
      <c r="C19" s="26" t="s">
        <v>30</v>
      </c>
      <c r="D19" s="26" t="s">
        <v>31</v>
      </c>
      <c r="E19" s="26" t="s">
        <v>32</v>
      </c>
      <c r="F19" s="26" t="s">
        <v>33</v>
      </c>
      <c r="G19" s="26" t="s">
        <v>34</v>
      </c>
      <c r="H19" s="26" t="s">
        <v>20</v>
      </c>
      <c r="I19" s="26" t="s">
        <v>35</v>
      </c>
      <c r="J19" s="27" t="s">
        <v>36</v>
      </c>
      <c r="K19" s="26" t="s">
        <v>37</v>
      </c>
      <c r="L19" s="26" t="s">
        <v>1</v>
      </c>
      <c r="M19" s="27" t="s">
        <v>38</v>
      </c>
      <c r="N19" s="27" t="s">
        <v>39</v>
      </c>
      <c r="O19" s="27" t="s">
        <v>40</v>
      </c>
      <c r="P19" s="27" t="s">
        <v>77</v>
      </c>
      <c r="Q19" s="27" t="s">
        <v>41</v>
      </c>
      <c r="R19" s="27" t="s">
        <v>2</v>
      </c>
      <c r="S19" s="27" t="s">
        <v>3</v>
      </c>
      <c r="T19" s="27" t="s">
        <v>63</v>
      </c>
      <c r="U19" s="27" t="s">
        <v>76</v>
      </c>
      <c r="V19" s="26" t="s">
        <v>4</v>
      </c>
      <c r="W19" s="27" t="s">
        <v>5</v>
      </c>
      <c r="X19" s="26" t="s">
        <v>6</v>
      </c>
      <c r="Y19" s="25" t="s">
        <v>7</v>
      </c>
      <c r="Z19" s="25" t="s">
        <v>8</v>
      </c>
      <c r="AA19" s="25" t="s">
        <v>42</v>
      </c>
      <c r="AB19" s="26" t="s">
        <v>9</v>
      </c>
    </row>
    <row r="20" spans="1:28" x14ac:dyDescent="0.25">
      <c r="Y20">
        <v>1</v>
      </c>
    </row>
  </sheetData>
  <sheetProtection autoFilter="0"/>
  <sortState ref="A20:AB18217">
    <sortCondition ref="B19"/>
  </sortState>
  <mergeCells count="1">
    <mergeCell ref="U3:V3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6"/>
  <sheetViews>
    <sheetView workbookViewId="0"/>
  </sheetViews>
  <sheetFormatPr defaultRowHeight="15" x14ac:dyDescent="0.25"/>
  <cols>
    <col min="1" max="1" width="11.42578125" customWidth="1"/>
    <col min="2" max="2" width="8.5703125" customWidth="1"/>
    <col min="3" max="3" width="35.7109375" customWidth="1"/>
    <col min="4" max="17" width="9.140625" customWidth="1"/>
  </cols>
  <sheetData>
    <row r="1" spans="1:17" ht="54" customHeight="1" x14ac:dyDescent="0.25">
      <c r="A1" s="28" t="s">
        <v>72</v>
      </c>
      <c r="B1" s="28" t="s">
        <v>28</v>
      </c>
      <c r="C1" s="28" t="s">
        <v>29</v>
      </c>
      <c r="D1" s="28" t="s">
        <v>53</v>
      </c>
      <c r="E1" s="28" t="s">
        <v>44</v>
      </c>
      <c r="F1" s="28" t="s">
        <v>82</v>
      </c>
      <c r="G1" s="28" t="s">
        <v>79</v>
      </c>
      <c r="H1" s="28" t="s">
        <v>80</v>
      </c>
      <c r="I1" s="29" t="s">
        <v>54</v>
      </c>
      <c r="J1" s="29" t="s">
        <v>55</v>
      </c>
      <c r="K1" s="28" t="s">
        <v>81</v>
      </c>
      <c r="L1" s="28" t="s">
        <v>56</v>
      </c>
      <c r="M1" s="29" t="s">
        <v>57</v>
      </c>
      <c r="N1" s="29" t="s">
        <v>58</v>
      </c>
      <c r="O1" s="28" t="s">
        <v>59</v>
      </c>
      <c r="P1" s="28" t="s">
        <v>60</v>
      </c>
      <c r="Q1" s="28" t="s">
        <v>9</v>
      </c>
    </row>
    <row r="2" spans="1:17" x14ac:dyDescent="0.25">
      <c r="B2" s="13"/>
      <c r="C2" s="13"/>
      <c r="D2" s="13"/>
      <c r="E2" s="13"/>
      <c r="F2" s="13"/>
      <c r="G2" s="13"/>
      <c r="O2" s="12"/>
    </row>
    <row r="3" spans="1:17" x14ac:dyDescent="0.25">
      <c r="B3" s="13"/>
      <c r="C3" s="13"/>
      <c r="D3" s="13"/>
      <c r="E3" s="13"/>
      <c r="F3" s="13"/>
      <c r="G3" s="13"/>
      <c r="O3" s="12"/>
    </row>
    <row r="4" spans="1:17" x14ac:dyDescent="0.25">
      <c r="B4" s="13"/>
      <c r="C4" s="13"/>
      <c r="D4" s="13"/>
      <c r="E4" s="13"/>
      <c r="F4" s="13"/>
      <c r="G4" s="13"/>
      <c r="O4" s="12"/>
    </row>
    <row r="6" spans="1:17" x14ac:dyDescent="0.25">
      <c r="O6" s="1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31"/>
  <sheetViews>
    <sheetView workbookViewId="0">
      <selection activeCell="L26" sqref="L26"/>
    </sheetView>
  </sheetViews>
  <sheetFormatPr defaultRowHeight="15" x14ac:dyDescent="0.25"/>
  <cols>
    <col min="1" max="1" width="12.7109375" bestFit="1" customWidth="1"/>
    <col min="2" max="2" width="19" bestFit="1" customWidth="1"/>
  </cols>
  <sheetData>
    <row r="1" spans="1:7" x14ac:dyDescent="0.25">
      <c r="A1" s="2" t="s">
        <v>65</v>
      </c>
      <c r="B1" s="2" t="s">
        <v>66</v>
      </c>
      <c r="C1" s="6" t="s">
        <v>67</v>
      </c>
      <c r="D1" s="7" t="s">
        <v>68</v>
      </c>
      <c r="E1" s="8" t="s">
        <v>69</v>
      </c>
      <c r="F1" s="9" t="s">
        <v>70</v>
      </c>
      <c r="G1" s="10" t="s">
        <v>71</v>
      </c>
    </row>
    <row r="2" spans="1:7" x14ac:dyDescent="0.25">
      <c r="A2" t="s">
        <v>19</v>
      </c>
      <c r="B2" t="s">
        <v>62</v>
      </c>
      <c r="C2" s="11">
        <v>12</v>
      </c>
      <c r="D2" s="11">
        <v>9</v>
      </c>
      <c r="E2" s="11">
        <v>7</v>
      </c>
      <c r="F2" s="11">
        <v>4</v>
      </c>
      <c r="G2" s="11"/>
    </row>
    <row r="3" spans="1:7" x14ac:dyDescent="0.25">
      <c r="A3" t="s">
        <v>19</v>
      </c>
      <c r="B3" t="s">
        <v>45</v>
      </c>
      <c r="C3" s="11">
        <v>11</v>
      </c>
      <c r="D3" s="11">
        <v>8</v>
      </c>
      <c r="E3" s="11">
        <v>6</v>
      </c>
      <c r="F3" s="11">
        <v>4</v>
      </c>
      <c r="G3" s="11"/>
    </row>
    <row r="4" spans="1:7" x14ac:dyDescent="0.25">
      <c r="A4" t="s">
        <v>19</v>
      </c>
      <c r="B4" t="s">
        <v>43</v>
      </c>
      <c r="C4" s="11">
        <v>11</v>
      </c>
      <c r="D4" s="11">
        <v>8</v>
      </c>
      <c r="E4" s="11">
        <v>6</v>
      </c>
      <c r="F4" s="11">
        <v>4</v>
      </c>
      <c r="G4" s="11"/>
    </row>
    <row r="5" spans="1:7" x14ac:dyDescent="0.25">
      <c r="A5" t="s">
        <v>16</v>
      </c>
      <c r="B5" t="s">
        <v>62</v>
      </c>
      <c r="C5" s="11">
        <v>12</v>
      </c>
      <c r="D5" s="11">
        <v>9</v>
      </c>
      <c r="E5" s="11">
        <v>7</v>
      </c>
      <c r="F5" s="11">
        <v>4</v>
      </c>
      <c r="G5" s="11"/>
    </row>
    <row r="6" spans="1:7" x14ac:dyDescent="0.25">
      <c r="A6" t="s">
        <v>16</v>
      </c>
      <c r="B6" t="s">
        <v>45</v>
      </c>
      <c r="C6" s="11">
        <v>11</v>
      </c>
      <c r="D6" s="11">
        <v>8</v>
      </c>
      <c r="E6" s="11">
        <v>6</v>
      </c>
      <c r="F6" s="11">
        <v>4</v>
      </c>
      <c r="G6" s="11"/>
    </row>
    <row r="7" spans="1:7" x14ac:dyDescent="0.25">
      <c r="A7" t="s">
        <v>16</v>
      </c>
      <c r="B7" t="s">
        <v>43</v>
      </c>
      <c r="C7" s="11">
        <v>11</v>
      </c>
      <c r="D7" s="11">
        <v>8</v>
      </c>
      <c r="E7" s="11">
        <v>6</v>
      </c>
      <c r="F7" s="11">
        <v>4</v>
      </c>
      <c r="G7" s="11"/>
    </row>
    <row r="8" spans="1:7" x14ac:dyDescent="0.25">
      <c r="A8" t="s">
        <v>14</v>
      </c>
      <c r="B8" t="s">
        <v>62</v>
      </c>
      <c r="C8" s="11">
        <v>12</v>
      </c>
      <c r="D8" s="11">
        <v>9</v>
      </c>
      <c r="E8" s="11">
        <v>7</v>
      </c>
      <c r="F8" s="11">
        <v>4</v>
      </c>
      <c r="G8" s="11"/>
    </row>
    <row r="9" spans="1:7" x14ac:dyDescent="0.25">
      <c r="A9" t="s">
        <v>14</v>
      </c>
      <c r="B9" t="s">
        <v>45</v>
      </c>
      <c r="C9" s="11">
        <v>11</v>
      </c>
      <c r="D9" s="11">
        <v>8</v>
      </c>
      <c r="E9" s="11">
        <v>6</v>
      </c>
      <c r="F9" s="11">
        <v>4</v>
      </c>
      <c r="G9" s="11"/>
    </row>
    <row r="10" spans="1:7" x14ac:dyDescent="0.25">
      <c r="A10" t="s">
        <v>14</v>
      </c>
      <c r="B10" t="s">
        <v>43</v>
      </c>
      <c r="C10" s="11">
        <v>11</v>
      </c>
      <c r="D10" s="11">
        <v>8</v>
      </c>
      <c r="E10" s="11">
        <v>6</v>
      </c>
      <c r="F10" s="11">
        <v>4</v>
      </c>
      <c r="G10" s="11"/>
    </row>
    <row r="11" spans="1:7" x14ac:dyDescent="0.25">
      <c r="A11" t="s">
        <v>18</v>
      </c>
      <c r="B11" t="s">
        <v>62</v>
      </c>
      <c r="C11" s="11">
        <v>9</v>
      </c>
      <c r="D11" s="11">
        <v>7</v>
      </c>
      <c r="E11" s="11">
        <v>6</v>
      </c>
      <c r="F11" s="11">
        <v>4</v>
      </c>
    </row>
    <row r="12" spans="1:7" x14ac:dyDescent="0.25">
      <c r="A12" t="s">
        <v>18</v>
      </c>
      <c r="B12" t="s">
        <v>45</v>
      </c>
      <c r="C12" s="11">
        <v>8</v>
      </c>
      <c r="D12" s="11">
        <v>6</v>
      </c>
      <c r="E12" s="11">
        <v>5</v>
      </c>
      <c r="F12" s="11">
        <v>4</v>
      </c>
    </row>
    <row r="13" spans="1:7" x14ac:dyDescent="0.25">
      <c r="A13" t="s">
        <v>18</v>
      </c>
      <c r="B13" t="s">
        <v>43</v>
      </c>
      <c r="C13" s="11">
        <v>8</v>
      </c>
      <c r="D13" s="11">
        <v>6</v>
      </c>
      <c r="E13" s="11">
        <v>5</v>
      </c>
      <c r="F13" s="11">
        <v>4</v>
      </c>
    </row>
    <row r="14" spans="1:7" x14ac:dyDescent="0.25">
      <c r="A14" t="s">
        <v>13</v>
      </c>
      <c r="B14" t="s">
        <v>62</v>
      </c>
      <c r="C14" s="11">
        <v>9</v>
      </c>
      <c r="D14" s="11">
        <v>7</v>
      </c>
      <c r="E14" s="11">
        <v>6</v>
      </c>
      <c r="F14" s="11">
        <v>4</v>
      </c>
    </row>
    <row r="15" spans="1:7" x14ac:dyDescent="0.25">
      <c r="A15" t="s">
        <v>13</v>
      </c>
      <c r="B15" t="s">
        <v>45</v>
      </c>
      <c r="C15" s="11">
        <v>8</v>
      </c>
      <c r="D15" s="11">
        <v>6</v>
      </c>
      <c r="E15" s="11">
        <v>5</v>
      </c>
      <c r="F15" s="11">
        <v>4</v>
      </c>
    </row>
    <row r="16" spans="1:7" x14ac:dyDescent="0.25">
      <c r="A16" t="s">
        <v>13</v>
      </c>
      <c r="B16" t="s">
        <v>43</v>
      </c>
      <c r="C16" s="11">
        <v>8</v>
      </c>
      <c r="D16" s="11">
        <v>6</v>
      </c>
      <c r="E16" s="11">
        <v>5</v>
      </c>
      <c r="F16" s="11">
        <v>4</v>
      </c>
    </row>
    <row r="17" spans="1:6" x14ac:dyDescent="0.25">
      <c r="A17" t="s">
        <v>12</v>
      </c>
      <c r="B17" t="s">
        <v>62</v>
      </c>
      <c r="C17" s="11">
        <v>8</v>
      </c>
      <c r="D17" s="11">
        <v>6</v>
      </c>
      <c r="E17" s="11">
        <v>5</v>
      </c>
      <c r="F17" s="11">
        <v>4</v>
      </c>
    </row>
    <row r="18" spans="1:6" x14ac:dyDescent="0.25">
      <c r="A18" t="s">
        <v>12</v>
      </c>
      <c r="B18" t="s">
        <v>45</v>
      </c>
      <c r="C18" s="11">
        <v>8</v>
      </c>
      <c r="D18" s="11">
        <v>6</v>
      </c>
      <c r="E18" s="11">
        <v>5</v>
      </c>
      <c r="F18" s="11">
        <v>4</v>
      </c>
    </row>
    <row r="19" spans="1:6" x14ac:dyDescent="0.25">
      <c r="A19" t="s">
        <v>12</v>
      </c>
      <c r="B19" t="s">
        <v>43</v>
      </c>
      <c r="C19" s="11">
        <v>7</v>
      </c>
      <c r="D19" s="11">
        <v>5</v>
      </c>
      <c r="E19" s="11">
        <v>4</v>
      </c>
      <c r="F19" s="11"/>
    </row>
    <row r="20" spans="1:6" x14ac:dyDescent="0.25">
      <c r="A20" t="s">
        <v>17</v>
      </c>
      <c r="B20" t="s">
        <v>62</v>
      </c>
      <c r="C20" s="11">
        <v>8</v>
      </c>
      <c r="D20" s="11">
        <v>6</v>
      </c>
      <c r="E20" s="11">
        <v>5</v>
      </c>
      <c r="F20" s="11">
        <v>4</v>
      </c>
    </row>
    <row r="21" spans="1:6" x14ac:dyDescent="0.25">
      <c r="A21" t="s">
        <v>17</v>
      </c>
      <c r="B21" t="s">
        <v>45</v>
      </c>
      <c r="C21" s="11">
        <v>8</v>
      </c>
      <c r="D21" s="11">
        <v>6</v>
      </c>
      <c r="E21" s="11">
        <v>5</v>
      </c>
      <c r="F21" s="11">
        <v>4</v>
      </c>
    </row>
    <row r="22" spans="1:6" x14ac:dyDescent="0.25">
      <c r="A22" t="s">
        <v>17</v>
      </c>
      <c r="B22" t="s">
        <v>43</v>
      </c>
      <c r="C22" s="11">
        <v>7</v>
      </c>
      <c r="D22" s="11">
        <v>5</v>
      </c>
      <c r="E22" s="11">
        <v>4</v>
      </c>
      <c r="F22" s="11"/>
    </row>
    <row r="23" spans="1:6" x14ac:dyDescent="0.25">
      <c r="A23" t="s">
        <v>15</v>
      </c>
      <c r="B23" t="s">
        <v>62</v>
      </c>
      <c r="C23" s="11">
        <v>8</v>
      </c>
      <c r="D23" s="11">
        <v>6</v>
      </c>
      <c r="E23" s="11">
        <v>5</v>
      </c>
      <c r="F23" s="11">
        <v>4</v>
      </c>
    </row>
    <row r="24" spans="1:6" x14ac:dyDescent="0.25">
      <c r="A24" t="s">
        <v>15</v>
      </c>
      <c r="B24" t="s">
        <v>45</v>
      </c>
      <c r="C24" s="11">
        <v>8</v>
      </c>
      <c r="D24" s="11">
        <v>6</v>
      </c>
      <c r="E24" s="11">
        <v>5</v>
      </c>
      <c r="F24" s="11">
        <v>4</v>
      </c>
    </row>
    <row r="25" spans="1:6" x14ac:dyDescent="0.25">
      <c r="A25" t="s">
        <v>15</v>
      </c>
      <c r="B25" t="s">
        <v>43</v>
      </c>
      <c r="C25" s="11">
        <v>8</v>
      </c>
      <c r="D25" s="11">
        <v>5</v>
      </c>
      <c r="E25" s="11"/>
      <c r="F25" s="11">
        <v>4</v>
      </c>
    </row>
    <row r="26" spans="1:6" x14ac:dyDescent="0.25">
      <c r="A26" t="s">
        <v>10</v>
      </c>
      <c r="B26" t="s">
        <v>62</v>
      </c>
      <c r="C26" s="11">
        <v>15</v>
      </c>
      <c r="D26" s="11">
        <v>12</v>
      </c>
      <c r="E26" s="11">
        <v>11</v>
      </c>
      <c r="F26" s="11">
        <v>7</v>
      </c>
    </row>
    <row r="27" spans="1:6" x14ac:dyDescent="0.25">
      <c r="A27" t="s">
        <v>10</v>
      </c>
      <c r="B27" t="s">
        <v>45</v>
      </c>
      <c r="C27" s="11">
        <v>14</v>
      </c>
      <c r="D27" s="11">
        <v>11</v>
      </c>
      <c r="E27" s="11">
        <v>10</v>
      </c>
      <c r="F27" s="11">
        <v>7</v>
      </c>
    </row>
    <row r="28" spans="1:6" x14ac:dyDescent="0.25">
      <c r="A28" t="s">
        <v>10</v>
      </c>
      <c r="B28" t="s">
        <v>43</v>
      </c>
      <c r="C28" s="11">
        <v>13</v>
      </c>
      <c r="D28" s="11">
        <v>10</v>
      </c>
      <c r="E28" s="11">
        <v>9</v>
      </c>
      <c r="F28" s="11">
        <v>7</v>
      </c>
    </row>
    <row r="29" spans="1:6" x14ac:dyDescent="0.25">
      <c r="A29" t="s">
        <v>11</v>
      </c>
      <c r="B29" t="s">
        <v>62</v>
      </c>
      <c r="C29" s="11">
        <v>15</v>
      </c>
      <c r="D29" s="11">
        <v>12</v>
      </c>
      <c r="E29" s="11">
        <v>11</v>
      </c>
      <c r="F29" s="11">
        <v>7</v>
      </c>
    </row>
    <row r="30" spans="1:6" x14ac:dyDescent="0.25">
      <c r="A30" t="s">
        <v>11</v>
      </c>
      <c r="B30" t="s">
        <v>45</v>
      </c>
      <c r="C30" s="11">
        <v>14</v>
      </c>
      <c r="D30" s="11">
        <v>11</v>
      </c>
      <c r="E30" s="11">
        <v>10</v>
      </c>
      <c r="F30" s="11">
        <v>7</v>
      </c>
    </row>
    <row r="31" spans="1:6" x14ac:dyDescent="0.25">
      <c r="A31" t="s">
        <v>11</v>
      </c>
      <c r="B31" t="s">
        <v>43</v>
      </c>
      <c r="C31" s="11">
        <v>13</v>
      </c>
      <c r="D31" s="11">
        <v>10</v>
      </c>
      <c r="E31" s="11">
        <v>9</v>
      </c>
      <c r="F31" s="11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</vt:lpstr>
      <vt:lpstr>Master Data</vt:lpstr>
      <vt:lpstr>Daily Status</vt:lpstr>
      <vt:lpstr>Criteria</vt:lpstr>
    </vt:vector>
  </TitlesOfParts>
  <Company>Brigade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gsantosh</dc:creator>
  <cp:lastModifiedBy>gsantosh</cp:lastModifiedBy>
  <dcterms:created xsi:type="dcterms:W3CDTF">2017-12-29T04:35:21Z</dcterms:created>
  <dcterms:modified xsi:type="dcterms:W3CDTF">2018-11-20T12:09:46Z</dcterms:modified>
</cp:coreProperties>
</file>