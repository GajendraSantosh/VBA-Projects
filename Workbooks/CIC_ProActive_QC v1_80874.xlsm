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300" windowWidth="18780" windowHeight="11640"/>
  </bookViews>
  <sheets>
    <sheet name="Main" sheetId="5" r:id="rId1"/>
    <sheet name="Production" sheetId="1" r:id="rId2"/>
    <sheet name="Ref." sheetId="2" state="veryHidden" r:id="rId3"/>
    <sheet name="Temp1" sheetId="3" r:id="rId4"/>
    <sheet name="Temp2" sheetId="4" r:id="rId5"/>
  </sheets>
  <externalReferences>
    <externalReference r:id="rId6"/>
  </externalReferences>
  <definedNames>
    <definedName name="_xlnm._FilterDatabase" localSheetId="1" hidden="1">Production!#REF!</definedName>
    <definedName name="eType">Ref.!$B$10:$B$11</definedName>
    <definedName name="pActivity">Ref.!$B$4:$B$7</definedName>
    <definedName name="tEfficecny">OFFSET([1]Ref.!$AP$1,1,0,COUNT([1]Ref.!$AP:$AP),1)</definedName>
    <definedName name="UserMail">Ref.!$H$2:$R$26</definedName>
  </definedNames>
  <calcPr calcId="144525"/>
</workbook>
</file>

<file path=xl/calcChain.xml><?xml version="1.0" encoding="utf-8"?>
<calcChain xmlns="http://schemas.openxmlformats.org/spreadsheetml/2006/main">
  <c r="B1" i="1" l="1"/>
  <c r="A2" i="1"/>
  <c r="B2" i="1" s="1"/>
  <c r="M15" i="2"/>
  <c r="Q22" i="2" s="1"/>
  <c r="P15" i="2"/>
  <c r="O15" i="2"/>
  <c r="O22" i="2" l="1"/>
  <c r="P22" i="2"/>
  <c r="M22" i="2"/>
  <c r="N22" i="2"/>
  <c r="AN2" i="2"/>
  <c r="AL2" i="2"/>
  <c r="O16" i="2" s="1"/>
  <c r="AM2" i="2"/>
  <c r="AO2" i="2"/>
  <c r="AP2" i="2"/>
  <c r="P20" i="2" s="1"/>
  <c r="P21" i="2"/>
  <c r="Q21" i="2"/>
  <c r="N21" i="2"/>
  <c r="O21" i="2"/>
  <c r="M21" i="2"/>
  <c r="O18" i="2"/>
  <c r="Q20" i="2"/>
  <c r="O20" i="2"/>
  <c r="N20" i="2"/>
  <c r="P19" i="2"/>
  <c r="Q19" i="2"/>
  <c r="N19" i="2"/>
  <c r="O19" i="2"/>
  <c r="Q18" i="2"/>
  <c r="M19" i="2"/>
  <c r="P18" i="2"/>
  <c r="M18" i="2"/>
  <c r="N18" i="2"/>
  <c r="P17" i="2"/>
  <c r="Q17" i="2"/>
  <c r="N17" i="2"/>
  <c r="O17" i="2"/>
  <c r="M17" i="2"/>
  <c r="P16" i="2"/>
  <c r="Q15" i="2"/>
  <c r="M25" i="2"/>
  <c r="N15" i="2"/>
  <c r="M16" i="2" l="1"/>
  <c r="N16" i="2"/>
  <c r="M20" i="2"/>
  <c r="Q16" i="2"/>
</calcChain>
</file>

<file path=xl/sharedStrings.xml><?xml version="1.0" encoding="utf-8"?>
<sst xmlns="http://schemas.openxmlformats.org/spreadsheetml/2006/main" count="99" uniqueCount="65">
  <si>
    <t>Date</t>
  </si>
  <si>
    <t xml:space="preserve">Project ID </t>
  </si>
  <si>
    <t>Project Name</t>
  </si>
  <si>
    <t>Project Activity</t>
  </si>
  <si>
    <t>Event Type</t>
  </si>
  <si>
    <t>Stage</t>
  </si>
  <si>
    <t>New Company Added</t>
  </si>
  <si>
    <t>Key Person Added</t>
  </si>
  <si>
    <t>Key Person Verified</t>
  </si>
  <si>
    <t>Emp ID</t>
  </si>
  <si>
    <t>Emp name</t>
  </si>
  <si>
    <t>Reason for Comprehensive</t>
  </si>
  <si>
    <t>New Project</t>
  </si>
  <si>
    <t>Normal Update</t>
  </si>
  <si>
    <t>CIC</t>
  </si>
  <si>
    <t>Demo</t>
  </si>
  <si>
    <t>Quick</t>
  </si>
  <si>
    <t>Comprehensive</t>
  </si>
  <si>
    <t>Production</t>
  </si>
  <si>
    <t>Minutes</t>
  </si>
  <si>
    <t>Quick Update</t>
  </si>
  <si>
    <t>Comp Update</t>
  </si>
  <si>
    <t>CIC Update</t>
  </si>
  <si>
    <t>Demo Update</t>
  </si>
  <si>
    <t>Total</t>
  </si>
  <si>
    <t xml:space="preserve">Challa Vamshi Krishna </t>
  </si>
  <si>
    <t xml:space="preserve">Mithun Chakravarthy Royini </t>
  </si>
  <si>
    <t xml:space="preserve">Syeda Sameena Jabeen </t>
  </si>
  <si>
    <t xml:space="preserve">Anjali Vishnoi </t>
  </si>
  <si>
    <t xml:space="preserve">Tulasi Nandini </t>
  </si>
  <si>
    <t>Ravindra Mittal</t>
  </si>
  <si>
    <t xml:space="preserve">Sangannagari Ravi Kiran </t>
  </si>
  <si>
    <t xml:space="preserve">Rathod Aravind </t>
  </si>
  <si>
    <t xml:space="preserve">Peddi Naga Lokesh </t>
  </si>
  <si>
    <t xml:space="preserve">Gosula Venkata Satyanarayana Reddy </t>
  </si>
  <si>
    <t xml:space="preserve">Itishree Sahoo </t>
  </si>
  <si>
    <t>ID</t>
  </si>
  <si>
    <t>NAME</t>
  </si>
  <si>
    <t>Dummy</t>
  </si>
  <si>
    <t>Production Status</t>
  </si>
  <si>
    <t>Today</t>
  </si>
  <si>
    <t>Month</t>
  </si>
  <si>
    <t>Quarter</t>
  </si>
  <si>
    <t>Half Year</t>
  </si>
  <si>
    <t>This Year</t>
  </si>
  <si>
    <t>Timeline</t>
  </si>
  <si>
    <t>New Projects</t>
  </si>
  <si>
    <t>Comprehensive update</t>
  </si>
  <si>
    <t>Regards</t>
  </si>
  <si>
    <t>IN ORDER TO RUN THIS FILE 
You must enable macros in Excel from the Message Bar</t>
  </si>
  <si>
    <r>
      <t>If you open an Excel document that contains macros, you'll see the yellow </t>
    </r>
    <r>
      <rPr>
        <i/>
        <sz val="15.4"/>
        <color rgb="FF000000"/>
        <rFont val="Arial"/>
        <family val="2"/>
      </rPr>
      <t>Message Bar</t>
    </r>
    <r>
      <rPr>
        <sz val="15.4"/>
        <color rgb="FF000000"/>
        <rFont val="Arial"/>
        <family val="2"/>
      </rPr>
      <t> with a shield icon and the </t>
    </r>
    <r>
      <rPr>
        <i/>
        <sz val="15.4"/>
        <color rgb="FF000000"/>
        <rFont val="Arial"/>
        <family val="2"/>
      </rPr>
      <t>Enable Content</t>
    </r>
    <r>
      <rPr>
        <sz val="15.4"/>
        <color rgb="FF000000"/>
        <rFont val="Arial"/>
        <family val="2"/>
      </rPr>
      <t> button.</t>
    </r>
  </si>
  <si>
    <r>
      <t>If you are sure, the macros are from a trustworthy source, just press the </t>
    </r>
    <r>
      <rPr>
        <i/>
        <sz val="15.4"/>
        <color rgb="FF000000"/>
        <rFont val="Arial"/>
        <family val="2"/>
      </rPr>
      <t>Enable Content</t>
    </r>
    <r>
      <rPr>
        <sz val="15.4"/>
        <color rgb="FF000000"/>
        <rFont val="Arial"/>
        <family val="2"/>
      </rPr>
      <t> button on the bar.</t>
    </r>
  </si>
  <si>
    <t>The file will be opened as a trusted document and the security warning will disappear.</t>
  </si>
  <si>
    <t>Team Meeting (Min)</t>
  </si>
  <si>
    <t>Team Meetings  (Min.)</t>
  </si>
  <si>
    <t>Efficency</t>
  </si>
  <si>
    <t>MDate</t>
  </si>
  <si>
    <t>Test</t>
  </si>
  <si>
    <t>Test 2</t>
  </si>
  <si>
    <t>Test 3</t>
  </si>
  <si>
    <t>Stage change</t>
  </si>
  <si>
    <t>Others/Custom works (Min)</t>
  </si>
  <si>
    <t>Other/Custom</t>
  </si>
  <si>
    <t>Others/Custom Works (Min)</t>
  </si>
  <si>
    <t>Hello Hi !_x000D_There?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</si>
</sst>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"/>
    <numFmt numFmtId="165" formatCode="yyyy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29.7"/>
      <color rgb="FF000000"/>
      <name val="Arial"/>
      <family val="2"/>
    </font>
    <font>
      <sz val="15.4"/>
      <color rgb="FF000000"/>
      <name val="Arial"/>
      <family val="2"/>
    </font>
    <font>
      <i/>
      <sz val="15.4"/>
      <color rgb="FF000000"/>
      <name val="Arial"/>
      <family val="2"/>
    </font>
    <font>
      <sz val="11"/>
      <color theme="8" tint="0.7999816888943144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F9C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3" fillId="3" borderId="2" xfId="0" applyFont="1" applyFill="1" applyBorder="1"/>
    <xf numFmtId="0" fontId="0" fillId="0" borderId="2" xfId="0" applyBorder="1"/>
    <xf numFmtId="0" fontId="0" fillId="0" borderId="2" xfId="0" applyFill="1" applyBorder="1"/>
    <xf numFmtId="0" fontId="2" fillId="0" borderId="2" xfId="0" applyFont="1" applyBorder="1" applyAlignment="1">
      <alignment horizontal="center" vertical="center"/>
    </xf>
    <xf numFmtId="0" fontId="1" fillId="2" borderId="2" xfId="0" applyFont="1" applyFill="1" applyBorder="1"/>
    <xf numFmtId="14" fontId="2" fillId="6" borderId="2" xfId="0" applyNumberFormat="1" applyFont="1" applyFill="1" applyBorder="1" applyAlignment="1">
      <alignment horizontal="center"/>
    </xf>
    <xf numFmtId="164" fontId="2" fillId="6" borderId="2" xfId="0" applyNumberFormat="1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165" fontId="2" fillId="6" borderId="2" xfId="0" applyNumberFormat="1" applyFont="1" applyFill="1" applyBorder="1" applyAlignment="1">
      <alignment horizontal="center"/>
    </xf>
    <xf numFmtId="0" fontId="0" fillId="7" borderId="2" xfId="0" applyFill="1" applyBorder="1"/>
    <xf numFmtId="0" fontId="2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6" fillId="5" borderId="6" xfId="0" applyFont="1" applyFill="1" applyBorder="1"/>
    <xf numFmtId="0" fontId="10" fillId="8" borderId="6" xfId="0" applyFont="1" applyFill="1" applyBorder="1" applyAlignment="1">
      <alignment horizontal="fill"/>
    </xf>
    <xf numFmtId="0" fontId="0" fillId="4" borderId="6" xfId="0" applyFill="1" applyBorder="1"/>
    <xf numFmtId="0" fontId="6" fillId="5" borderId="7" xfId="0" applyFont="1" applyFill="1" applyBorder="1" applyAlignment="1">
      <alignment horizontal="fill"/>
    </xf>
    <xf numFmtId="0" fontId="10" fillId="8" borderId="7" xfId="0" applyFont="1" applyFill="1" applyBorder="1" applyAlignment="1">
      <alignment horizontal="fill"/>
    </xf>
    <xf numFmtId="0" fontId="0" fillId="4" borderId="7" xfId="0" applyFill="1" applyBorder="1"/>
    <xf numFmtId="0" fontId="0" fillId="5" borderId="7" xfId="0" applyFill="1" applyBorder="1"/>
    <xf numFmtId="0" fontId="0" fillId="8" borderId="7" xfId="0" applyFill="1" applyBorder="1"/>
    <xf numFmtId="0" fontId="0" fillId="5" borderId="8" xfId="0" applyFill="1" applyBorder="1"/>
    <xf numFmtId="0" fontId="0" fillId="8" borderId="8" xfId="0" applyFill="1" applyBorder="1"/>
    <xf numFmtId="0" fontId="0" fillId="4" borderId="8" xfId="0" applyFill="1" applyBorder="1"/>
    <xf numFmtId="14" fontId="1" fillId="3" borderId="6" xfId="0" applyNumberFormat="1" applyFont="1" applyFill="1" applyBorder="1"/>
    <xf numFmtId="0" fontId="1" fillId="3" borderId="6" xfId="0" applyFont="1" applyFill="1" applyBorder="1"/>
    <xf numFmtId="0" fontId="1" fillId="9" borderId="6" xfId="0" applyFont="1" applyFill="1" applyBorder="1"/>
    <xf numFmtId="0" fontId="0" fillId="8" borderId="2" xfId="0" applyFill="1" applyBorder="1"/>
    <xf numFmtId="14" fontId="0" fillId="0" borderId="0" xfId="0" applyNumberFormat="1"/>
    <xf numFmtId="14" fontId="0" fillId="0" borderId="6" xfId="0" applyNumberFormat="1" applyBorder="1"/>
    <xf numFmtId="14" fontId="0" fillId="0" borderId="2" xfId="0" applyNumberFormat="1" applyBorder="1"/>
    <xf numFmtId="0" fontId="0" fillId="0" borderId="6" xfId="0" applyBorder="1"/>
    <xf numFmtId="19" fontId="2" fillId="6" borderId="2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14" fontId="6" fillId="5" borderId="7" xfId="0" applyNumberFormat="1" applyFont="1" applyFill="1" applyBorder="1"/>
    <xf numFmtId="0" fontId="7" fillId="0" borderId="0" xfId="0" applyFont="1" applyAlignment="1">
      <alignment vertical="center" wrapText="1"/>
    </xf>
    <xf numFmtId="0" fontId="0" fillId="8" borderId="3" xfId="0" applyFill="1" applyBorder="1" applyAlignment="1">
      <alignment horizontal="left" indent="3"/>
    </xf>
    <xf numFmtId="0" fontId="0" fillId="8" borderId="4" xfId="0" applyFill="1" applyBorder="1" applyAlignment="1">
      <alignment horizontal="left" indent="3"/>
    </xf>
    <xf numFmtId="0" fontId="0" fillId="8" borderId="5" xfId="0" applyFill="1" applyBorder="1" applyAlignment="1">
      <alignment horizontal="left" indent="3"/>
    </xf>
    <xf numFmtId="0" fontId="0" fillId="7" borderId="3" xfId="0" applyFill="1" applyBorder="1" applyAlignment="1"/>
    <xf numFmtId="0" fontId="0" fillId="7" borderId="4" xfId="0" applyFill="1" applyBorder="1" applyAlignment="1"/>
    <xf numFmtId="0" fontId="0" fillId="7" borderId="5" xfId="0" applyFill="1" applyBorder="1" applyAlignment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6" borderId="3" xfId="0" applyFont="1" applyFill="1" applyBorder="1"/>
    <xf numFmtId="0" fontId="2" fillId="6" borderId="4" xfId="0" applyFont="1" applyFill="1" applyBorder="1"/>
    <xf numFmtId="0" fontId="2" fillId="6" borderId="5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3.png"/><Relationship Id="rId1" Type="http://schemas.openxmlformats.org/officeDocument/2006/relationships/image" Target="../media/image1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180975</xdr:colOff>
      <xdr:row>19</xdr:row>
      <xdr:rowOff>85725</xdr:rowOff>
    </xdr:from>
    <xdr:to>
      <xdr:col>14</xdr:col>
      <xdr:colOff>257175</xdr:colOff>
      <xdr:row>26</xdr:row>
      <xdr:rowOff>190500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r="57247" b="73958"/>
        <a:stretch>
          <a:fillRect/>
        </a:stretch>
      </xdr:blipFill>
      <xdr:spPr bwMode="auto">
        <a:xfrm>
          <a:off x="3228975" y="4657725"/>
          <a:ext cx="5562600" cy="1905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85725</xdr:colOff>
      <xdr:row>27</xdr:row>
      <xdr:rowOff>180975</xdr:rowOff>
    </xdr:from>
    <xdr:to>
      <xdr:col>13</xdr:col>
      <xdr:colOff>390525</xdr:colOff>
      <xdr:row>49</xdr:row>
      <xdr:rowOff>38100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32430" t="19792" r="32431" b="23958"/>
        <a:stretch>
          <a:fillRect/>
        </a:stretch>
      </xdr:blipFill>
      <xdr:spPr bwMode="auto">
        <a:xfrm>
          <a:off x="3743325" y="6810375"/>
          <a:ext cx="4572000" cy="411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495300</xdr:colOff>
      <xdr:row>0</xdr:row>
      <xdr:rowOff>76200</xdr:rowOff>
    </xdr:from>
    <xdr:to>
      <xdr:col>19</xdr:col>
      <xdr:colOff>85726</xdr:colOff>
      <xdr:row>14</xdr:row>
      <xdr:rowOff>76200</xdr:rowOff>
    </xdr:to>
    <xdr:grpSp>
      <xdr:nvGrpSpPr>
        <xdr:cNvPr id="4" name="Group 3"/>
        <xdr:cNvGrpSpPr/>
      </xdr:nvGrpSpPr>
      <xdr:grpSpPr>
        <a:xfrm>
          <a:off x="1104900" y="76200"/>
          <a:ext cx="10563226" cy="2667000"/>
          <a:chOff x="1933574" y="57150"/>
          <a:chExt cx="10563226" cy="2667000"/>
        </a:xfrm>
      </xdr:grpSpPr>
      <xdr:pic>
        <xdr:nvPicPr>
          <xdr:cNvPr id="5" name="Picture 4" descr="main(32).jpg"/>
          <xdr:cNvPicPr>
            <a:picLocks noChangeAspect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t="29332" b="22696"/>
          <a:stretch>
            <a:fillRect/>
          </a:stretch>
        </xdr:blipFill>
        <xdr:spPr>
          <a:xfrm>
            <a:off x="1933574" y="57150"/>
            <a:ext cx="10563226" cy="2667000"/>
          </a:xfrm>
          <a:prstGeom prst="rect">
            <a:avLst/>
          </a:prstGeom>
        </xdr:spPr>
      </xdr:pic>
      <xdr:grpSp>
        <xdr:nvGrpSpPr>
          <xdr:cNvPr id="6" name="Group 8"/>
          <xdr:cNvGrpSpPr/>
        </xdr:nvGrpSpPr>
        <xdr:grpSpPr>
          <a:xfrm>
            <a:off x="6819899" y="171450"/>
            <a:ext cx="5581650" cy="819150"/>
            <a:chOff x="6819899" y="171450"/>
            <a:chExt cx="5581650" cy="819150"/>
          </a:xfrm>
        </xdr:grpSpPr>
        <xdr:sp macro="" textlink="">
          <xdr:nvSpPr>
            <xdr:cNvPr id="7" name="Rectangle 3"/>
            <xdr:cNvSpPr/>
          </xdr:nvSpPr>
          <xdr:spPr>
            <a:xfrm>
              <a:off x="6819899" y="171450"/>
              <a:ext cx="5581650" cy="81915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pic>
          <xdr:nvPicPr>
            <xdr:cNvPr id="8" name="Picture 7" descr="Construction_IC_Logo_800.png"/>
            <xdr:cNvPicPr>
              <a:picLocks noChangeAspect="1"/>
            </xdr:cNvPicPr>
          </xdr:nvPicPr>
          <xdr:blipFill>
            <a:blip xmlns:r="http://schemas.openxmlformats.org/officeDocument/2006/relationships" r:embed="rId4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6838949" y="200026"/>
              <a:ext cx="3552825" cy="768298"/>
            </a:xfrm>
            <a:prstGeom prst="rect">
              <a:avLst/>
            </a:prstGeom>
          </xdr:spPr>
        </xdr:pic>
        <xdr:pic>
          <xdr:nvPicPr>
            <xdr:cNvPr id="9" name="Picture 8" descr="timetric_logo_footer.png"/>
            <xdr:cNvPicPr>
              <a:picLocks noChangeAspect="1"/>
            </xdr:cNvPicPr>
          </xdr:nvPicPr>
          <xdr:blipFill>
            <a:blip xmlns:r="http://schemas.openxmlformats.org/officeDocument/2006/relationships" r:embed="rId5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0925174" y="600075"/>
              <a:ext cx="1174990" cy="254817"/>
            </a:xfrm>
            <a:prstGeom prst="rect">
              <a:avLst/>
            </a:prstGeom>
          </xdr:spPr>
        </xdr:pic>
        <xdr:sp macro="" textlink="">
          <xdr:nvSpPr>
            <xdr:cNvPr id="10" name="TextBox 9"/>
            <xdr:cNvSpPr txBox="1"/>
          </xdr:nvSpPr>
          <xdr:spPr>
            <a:xfrm>
              <a:off x="11077574" y="285750"/>
              <a:ext cx="895349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square" rtlCol="0" anchor="t">
              <a:noAutofit/>
            </a:bodyPr>
            <a:lstStyle/>
            <a:p>
              <a:r>
                <a:rPr lang="en-US" sz="1100" b="1"/>
                <a:t>Powered</a:t>
              </a:r>
              <a:r>
                <a:rPr lang="en-US" sz="1100" b="1" baseline="0"/>
                <a:t> By</a:t>
              </a:r>
              <a:endParaRPr lang="en-US" sz="1100" b="1"/>
            </a:p>
          </xdr:txBody>
        </xdr:sp>
        <xdr:cxnSp macro="">
          <xdr:nvCxnSpPr>
            <xdr:cNvPr id="11" name="Straight Connector 10"/>
            <xdr:cNvCxnSpPr/>
          </xdr:nvCxnSpPr>
          <xdr:spPr>
            <a:xfrm>
              <a:off x="10639424" y="295275"/>
              <a:ext cx="0" cy="590550"/>
            </a:xfrm>
            <a:prstGeom prst="line">
              <a:avLst/>
            </a:prstGeom>
            <a:ln w="38100">
              <a:solidFill>
                <a:schemeClr val="tx2">
                  <a:lumMod val="75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28574</xdr:colOff>
      <xdr:row>0</xdr:row>
      <xdr:rowOff>28575</xdr:rowOff>
    </xdr:from>
    <xdr:to>
      <xdr:col>13</xdr:col>
      <xdr:colOff>2276474</xdr:colOff>
      <xdr:row>8</xdr:row>
      <xdr:rowOff>0</xdr:rowOff>
    </xdr:to>
    <xdr:grpSp>
      <xdr:nvGrpSpPr>
        <xdr:cNvPr id="2" name="Group 1"/>
        <xdr:cNvGrpSpPr/>
      </xdr:nvGrpSpPr>
      <xdr:grpSpPr>
        <a:xfrm>
          <a:off x="2066924" y="28575"/>
          <a:ext cx="10239375" cy="1495425"/>
          <a:chOff x="1857375" y="28575"/>
          <a:chExt cx="9715500" cy="1495425"/>
        </a:xfrm>
      </xdr:grpSpPr>
      <xdr:grpSp>
        <xdr:nvGrpSpPr>
          <xdr:cNvPr id="3" name="Group 23"/>
          <xdr:cNvGrpSpPr/>
        </xdr:nvGrpSpPr>
        <xdr:grpSpPr>
          <a:xfrm>
            <a:off x="1857375" y="28575"/>
            <a:ext cx="9715500" cy="1495425"/>
            <a:chOff x="1828800" y="0"/>
            <a:chExt cx="9486904" cy="1504949"/>
          </a:xfrm>
        </xdr:grpSpPr>
        <xdr:pic>
          <xdr:nvPicPr>
            <xdr:cNvPr id="7" name="Picture 6" descr="main(32).jpg"/>
            <xdr:cNvPicPr>
              <a:picLocks noChangeAspect="1"/>
            </xdr:cNvPicPr>
          </xdr:nvPicPr>
          <xdr:blipFill>
            <a:blip xmlns:r="http://schemas.openxmlformats.org/officeDocument/2006/relationships" r:embed="rId1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t="29332" b="22696"/>
            <a:stretch>
              <a:fillRect/>
            </a:stretch>
          </xdr:blipFill>
          <xdr:spPr>
            <a:xfrm flipH="1">
              <a:off x="1828800" y="0"/>
              <a:ext cx="9486904" cy="1504949"/>
            </a:xfrm>
            <a:prstGeom prst="rect">
              <a:avLst/>
            </a:prstGeom>
            <a:ln>
              <a:noFill/>
            </a:ln>
          </xdr:spPr>
        </xdr:pic>
        <xdr:grpSp>
          <xdr:nvGrpSpPr>
            <xdr:cNvPr id="8" name="Group 2"/>
            <xdr:cNvGrpSpPr/>
          </xdr:nvGrpSpPr>
          <xdr:grpSpPr>
            <a:xfrm>
              <a:off x="4962528" y="36992"/>
              <a:ext cx="2532085" cy="353533"/>
              <a:chOff x="5400673" y="210854"/>
              <a:chExt cx="4621836" cy="645306"/>
            </a:xfrm>
          </xdr:grpSpPr>
          <xdr:sp macro="" textlink="">
            <xdr:nvSpPr>
              <xdr:cNvPr id="9" name="Rectangle 3"/>
              <xdr:cNvSpPr/>
            </xdr:nvSpPr>
            <xdr:spPr>
              <a:xfrm>
                <a:off x="5400673" y="247650"/>
                <a:ext cx="4621836" cy="608510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1100"/>
              </a:p>
            </xdr:txBody>
          </xdr:sp>
          <xdr:pic>
            <xdr:nvPicPr>
              <xdr:cNvPr id="10" name="Picture 4" descr="Construction_IC_Logo_800.png"/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email"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tretch>
                <a:fillRect/>
              </a:stretch>
            </xdr:blipFill>
            <xdr:spPr>
              <a:xfrm>
                <a:off x="5537146" y="326028"/>
                <a:ext cx="2693037" cy="452915"/>
              </a:xfrm>
              <a:prstGeom prst="rect">
                <a:avLst/>
              </a:prstGeom>
            </xdr:spPr>
          </xdr:pic>
          <xdr:pic>
            <xdr:nvPicPr>
              <xdr:cNvPr id="11" name="Picture 5" descr="timetric_logo_footer.png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email"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tretch>
                <a:fillRect/>
              </a:stretch>
            </xdr:blipFill>
            <xdr:spPr>
              <a:xfrm>
                <a:off x="8694187" y="556532"/>
                <a:ext cx="997171" cy="168183"/>
              </a:xfrm>
              <a:prstGeom prst="rect">
                <a:avLst/>
              </a:prstGeom>
            </xdr:spPr>
          </xdr:pic>
          <xdr:sp macro="" textlink="">
            <xdr:nvSpPr>
              <xdr:cNvPr id="12" name="TextBox 6"/>
              <xdr:cNvSpPr txBox="1"/>
            </xdr:nvSpPr>
            <xdr:spPr>
              <a:xfrm>
                <a:off x="8896962" y="210854"/>
                <a:ext cx="693756" cy="36712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wrap="square" rtlCol="0" anchor="t">
                <a:noAutofit/>
              </a:bodyPr>
              <a:lstStyle/>
              <a:p>
                <a:r>
                  <a:rPr lang="en-US" sz="800" b="1" baseline="0"/>
                  <a:t>By</a:t>
                </a:r>
                <a:endParaRPr lang="en-US" sz="800" b="1"/>
              </a:p>
            </xdr:txBody>
          </xdr:sp>
          <xdr:cxnSp macro="">
            <xdr:nvCxnSpPr>
              <xdr:cNvPr id="13" name="Straight Connector 7"/>
              <xdr:cNvCxnSpPr/>
            </xdr:nvCxnSpPr>
            <xdr:spPr>
              <a:xfrm>
                <a:off x="8486121" y="339633"/>
                <a:ext cx="0" cy="438694"/>
              </a:xfrm>
              <a:prstGeom prst="line">
                <a:avLst/>
              </a:prstGeom>
              <a:ln w="38100">
                <a:solidFill>
                  <a:schemeClr val="tx2">
                    <a:lumMod val="75000"/>
                  </a:schemeClr>
                </a:solidFill>
                <a:prstDash val="soli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4" name="Group 24"/>
          <xdr:cNvGrpSpPr/>
        </xdr:nvGrpSpPr>
        <xdr:grpSpPr>
          <a:xfrm>
            <a:off x="1943100" y="676275"/>
            <a:ext cx="3743459" cy="725633"/>
            <a:chOff x="2331517" y="536344"/>
            <a:chExt cx="3778970" cy="725633"/>
          </a:xfrm>
        </xdr:grpSpPr>
        <xdr:sp macro="" textlink="$B$2">
          <xdr:nvSpPr>
            <xdr:cNvPr id="5" name="stxtEname"/>
            <xdr:cNvSpPr txBox="1"/>
          </xdr:nvSpPr>
          <xdr:spPr>
            <a:xfrm>
              <a:off x="2331518" y="917344"/>
              <a:ext cx="3778969" cy="344633"/>
            </a:xfrm>
            <a:prstGeom prst="round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horz" wrap="none" rtlCol="0" anchor="t" anchorCtr="0">
              <a:spAutoFit/>
            </a:bodyPr>
            <a:lstStyle/>
            <a:p>
              <a:pPr marL="0" indent="0" algn="l"/>
              <a:fld id="{05163D52-E373-4D8D-8EBD-76BFAB42F104}" type="TxLink">
                <a:rPr lang="en-US" sz="1400" b="0" i="0" u="none" strike="noStrike">
                  <a:solidFill>
                    <a:sysClr val="windowText" lastClr="000000"/>
                  </a:solidFill>
                  <a:latin typeface="Calibri"/>
                  <a:ea typeface="+mn-ea"/>
                  <a:cs typeface="+mn-cs"/>
                </a:rPr>
                <a:pPr marL="0" indent="0" algn="l"/>
                <a:t>Emp Name :  Gosula Venkata Satyanarayana Reddy </a:t>
              </a:fld>
              <a:endPara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endParaRPr>
            </a:p>
          </xdr:txBody>
        </xdr:sp>
        <xdr:sp macro="" textlink="$B$1">
          <xdr:nvSpPr>
            <xdr:cNvPr id="6" name="TextBox 5"/>
            <xdr:cNvSpPr txBox="1"/>
          </xdr:nvSpPr>
          <xdr:spPr>
            <a:xfrm>
              <a:off x="2331517" y="536344"/>
              <a:ext cx="1577011" cy="344633"/>
            </a:xfrm>
            <a:prstGeom prst="round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horz" wrap="none" rtlCol="0" anchor="t" anchorCtr="0">
              <a:spAutoFit/>
            </a:bodyPr>
            <a:lstStyle/>
            <a:p>
              <a:pPr marL="0" indent="0" algn="l"/>
              <a:fld id="{3BDFF7B7-08CF-4A89-86A7-6C2E5D57F7C4}" type="TxLink">
                <a:rPr lang="en-US" sz="1400" b="0" i="0" u="none" strike="noStrike">
                  <a:solidFill>
                    <a:sysClr val="windowText" lastClr="000000"/>
                  </a:solidFill>
                  <a:latin typeface="Calibri"/>
                  <a:ea typeface="+mn-ea"/>
                  <a:cs typeface="+mn-cs"/>
                </a:rPr>
                <a:pPr marL="0" indent="0" algn="l"/>
                <a:t>Emp ID        :  80874</a:t>
              </a:fld>
              <a:endPara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0</xdr:col>
      <xdr:colOff>104775</xdr:colOff>
      <xdr:row>1</xdr:row>
      <xdr:rowOff>161925</xdr:rowOff>
    </xdr:from>
    <xdr:to>
      <xdr:col>0</xdr:col>
      <xdr:colOff>628651</xdr:colOff>
      <xdr:row>6</xdr:row>
      <xdr:rowOff>57149</xdr:rowOff>
    </xdr:to>
    <xdr:grpSp>
      <xdr:nvGrpSpPr>
        <xdr:cNvPr id="14" name="Group 13"/>
        <xdr:cNvGrpSpPr/>
      </xdr:nvGrpSpPr>
      <xdr:grpSpPr>
        <a:xfrm>
          <a:off x="104775" y="352425"/>
          <a:ext cx="523876" cy="847724"/>
          <a:chOff x="66674" y="419100"/>
          <a:chExt cx="523876" cy="847724"/>
        </a:xfrm>
      </xdr:grpSpPr>
      <xdr:pic macro="[0]!cmdUserForm">
        <xdr:nvPicPr>
          <xdr:cNvPr id="15" name="Picture 14" descr="fill_form-512.png"/>
          <xdr:cNvPicPr>
            <a:picLocks noChangeAspect="1"/>
          </xdr:cNvPicPr>
        </xdr:nvPicPr>
        <xdr:blipFill>
          <a:blip xmlns:r="http://schemas.openxmlformats.org/officeDocument/2006/relationships" r:embed="rId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76200" y="419100"/>
            <a:ext cx="514350" cy="514350"/>
          </a:xfrm>
          <a:prstGeom prst="rect">
            <a:avLst/>
          </a:prstGeom>
        </xdr:spPr>
      </xdr:pic>
      <xdr:sp macro="[0]!cmdUserForm" textlink="">
        <xdr:nvSpPr>
          <xdr:cNvPr id="16" name="TextBox 14"/>
          <xdr:cNvSpPr txBox="1"/>
        </xdr:nvSpPr>
        <xdr:spPr>
          <a:xfrm>
            <a:off x="66674" y="933449"/>
            <a:ext cx="447676" cy="33337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Daily </a:t>
            </a:r>
          </a:p>
          <a:p>
            <a:pPr algn="ctr"/>
            <a:r>
              <a:rPr lang="en-US" sz="800" b="1"/>
              <a:t>Status</a:t>
            </a:r>
          </a:p>
        </xdr:txBody>
      </xdr:sp>
    </xdr:grpSp>
    <xdr:clientData/>
  </xdr:twoCellAnchor>
  <xdr:twoCellAnchor editAs="absolute">
    <xdr:from>
      <xdr:col>1</xdr:col>
      <xdr:colOff>9525</xdr:colOff>
      <xdr:row>2</xdr:row>
      <xdr:rowOff>0</xdr:rowOff>
    </xdr:from>
    <xdr:to>
      <xdr:col>1</xdr:col>
      <xdr:colOff>590550</xdr:colOff>
      <xdr:row>6</xdr:row>
      <xdr:rowOff>3329</xdr:rowOff>
    </xdr:to>
    <xdr:grpSp>
      <xdr:nvGrpSpPr>
        <xdr:cNvPr id="17" name="Group 16"/>
        <xdr:cNvGrpSpPr/>
      </xdr:nvGrpSpPr>
      <xdr:grpSpPr>
        <a:xfrm>
          <a:off x="723900" y="381000"/>
          <a:ext cx="581025" cy="765329"/>
          <a:chOff x="12963524" y="326415"/>
          <a:chExt cx="581025" cy="765329"/>
        </a:xfrm>
      </xdr:grpSpPr>
      <xdr:pic macro="[0]!cmbUpload">
        <xdr:nvPicPr>
          <xdr:cNvPr id="18" name="Picture 17" descr="C:\Documents and Settings\gsantosh\My Documents\Downloads\Icons\Uploade and Download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r="48000"/>
          <a:stretch>
            <a:fillRect/>
          </a:stretch>
        </xdr:blipFill>
        <xdr:spPr bwMode="auto">
          <a:xfrm>
            <a:off x="12963524" y="326415"/>
            <a:ext cx="581025" cy="558677"/>
          </a:xfrm>
          <a:prstGeom prst="rect">
            <a:avLst/>
          </a:prstGeom>
          <a:noFill/>
        </xdr:spPr>
      </xdr:pic>
      <xdr:sp macro="[0]!cmbUpload" textlink="">
        <xdr:nvSpPr>
          <xdr:cNvPr id="19" name="TextBox 14"/>
          <xdr:cNvSpPr txBox="1"/>
        </xdr:nvSpPr>
        <xdr:spPr>
          <a:xfrm>
            <a:off x="12982575" y="876300"/>
            <a:ext cx="492443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Upload</a:t>
            </a:r>
          </a:p>
        </xdr:txBody>
      </xdr:sp>
    </xdr:grpSp>
    <xdr:clientData/>
  </xdr:twoCellAnchor>
  <xdr:twoCellAnchor editAs="absolute">
    <xdr:from>
      <xdr:col>2</xdr:col>
      <xdr:colOff>114301</xdr:colOff>
      <xdr:row>2</xdr:row>
      <xdr:rowOff>90285</xdr:rowOff>
    </xdr:from>
    <xdr:to>
      <xdr:col>2</xdr:col>
      <xdr:colOff>606744</xdr:colOff>
      <xdr:row>6</xdr:row>
      <xdr:rowOff>12854</xdr:rowOff>
    </xdr:to>
    <xdr:grpSp>
      <xdr:nvGrpSpPr>
        <xdr:cNvPr id="20" name="Group 19"/>
        <xdr:cNvGrpSpPr/>
      </xdr:nvGrpSpPr>
      <xdr:grpSpPr>
        <a:xfrm>
          <a:off x="1438276" y="471285"/>
          <a:ext cx="492443" cy="684569"/>
          <a:chOff x="1276350" y="464325"/>
          <a:chExt cx="492443" cy="684569"/>
        </a:xfrm>
      </xdr:grpSpPr>
      <xdr:sp macro="[0]!cmdSendMail" textlink="">
        <xdr:nvSpPr>
          <xdr:cNvPr id="21" name="TextBox 14"/>
          <xdr:cNvSpPr txBox="1"/>
        </xdr:nvSpPr>
        <xdr:spPr>
          <a:xfrm>
            <a:off x="1276350" y="933450"/>
            <a:ext cx="492443" cy="21544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e-Mail</a:t>
            </a:r>
          </a:p>
        </xdr:txBody>
      </xdr:sp>
      <xdr:pic macro="[0]!cmdSendMail">
        <xdr:nvPicPr>
          <xdr:cNvPr id="22" name="Picture 21" descr="mail.png"/>
          <xdr:cNvPicPr>
            <a:picLocks noChangeAspect="1"/>
          </xdr:cNvPicPr>
        </xdr:nvPicPr>
        <xdr:blipFill>
          <a:blip xmlns:r="http://schemas.openxmlformats.org/officeDocument/2006/relationships" r:embed="rId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283475" y="464325"/>
            <a:ext cx="450075" cy="45007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2</xdr:row>
      <xdr:rowOff>28575</xdr:rowOff>
    </xdr:from>
    <xdr:to>
      <xdr:col>16</xdr:col>
      <xdr:colOff>593464</xdr:colOff>
      <xdr:row>11</xdr:row>
      <xdr:rowOff>171450</xdr:rowOff>
    </xdr:to>
    <xdr:grpSp>
      <xdr:nvGrpSpPr>
        <xdr:cNvPr id="10" name="Group 9"/>
        <xdr:cNvGrpSpPr/>
      </xdr:nvGrpSpPr>
      <xdr:grpSpPr>
        <a:xfrm>
          <a:off x="6629400" y="409575"/>
          <a:ext cx="5555989" cy="1857375"/>
          <a:chOff x="6182285" y="400050"/>
          <a:chExt cx="5555989" cy="1857375"/>
        </a:xfrm>
      </xdr:grpSpPr>
      <xdr:grpSp>
        <xdr:nvGrpSpPr>
          <xdr:cNvPr id="11" name="Group 1"/>
          <xdr:cNvGrpSpPr/>
        </xdr:nvGrpSpPr>
        <xdr:grpSpPr>
          <a:xfrm>
            <a:off x="6182285" y="400050"/>
            <a:ext cx="5555989" cy="1857375"/>
            <a:chOff x="34137600" y="447675"/>
            <a:chExt cx="5488081" cy="1857375"/>
          </a:xfrm>
        </xdr:grpSpPr>
        <xdr:pic>
          <xdr:nvPicPr>
            <xdr:cNvPr id="15" name="Picture 2" descr="main(32).jpg"/>
            <xdr:cNvPicPr>
              <a:picLocks noChangeAspect="1"/>
            </xdr:cNvPicPr>
          </xdr:nvPicPr>
          <xdr:blipFill>
            <a:blip xmlns:r="http://schemas.openxmlformats.org/officeDocument/2006/relationships" r:embed="rId1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l="35005" t="29332" b="22696"/>
            <a:stretch>
              <a:fillRect/>
            </a:stretch>
          </xdr:blipFill>
          <xdr:spPr>
            <a:xfrm flipH="1">
              <a:off x="34137600" y="447675"/>
              <a:ext cx="5488081" cy="1857375"/>
            </a:xfrm>
            <a:prstGeom prst="rect">
              <a:avLst/>
            </a:prstGeom>
            <a:ln>
              <a:noFill/>
            </a:ln>
          </xdr:spPr>
        </xdr:pic>
        <xdr:grpSp>
          <xdr:nvGrpSpPr>
            <xdr:cNvPr id="16" name="Group 28"/>
            <xdr:cNvGrpSpPr/>
          </xdr:nvGrpSpPr>
          <xdr:grpSpPr>
            <a:xfrm>
              <a:off x="35472696" y="517504"/>
              <a:ext cx="2724596" cy="358796"/>
              <a:chOff x="14414094" y="153984"/>
              <a:chExt cx="3788391" cy="505159"/>
            </a:xfrm>
          </xdr:grpSpPr>
          <xdr:sp macro="" textlink="">
            <xdr:nvSpPr>
              <xdr:cNvPr id="17" name="Rectangle 3"/>
              <xdr:cNvSpPr/>
            </xdr:nvSpPr>
            <xdr:spPr>
              <a:xfrm>
                <a:off x="14414094" y="160364"/>
                <a:ext cx="3788391" cy="498779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1100"/>
              </a:p>
            </xdr:txBody>
          </xdr:sp>
          <xdr:pic>
            <xdr:nvPicPr>
              <xdr:cNvPr id="18" name="Picture 17" descr="Construction_IC_Logo_800.png"/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email"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tretch>
                <a:fillRect/>
              </a:stretch>
            </xdr:blipFill>
            <xdr:spPr>
              <a:xfrm>
                <a:off x="14525952" y="224608"/>
                <a:ext cx="2207408" cy="371242"/>
              </a:xfrm>
              <a:prstGeom prst="rect">
                <a:avLst/>
              </a:prstGeom>
            </xdr:spPr>
          </xdr:pic>
          <xdr:pic>
            <xdr:nvPicPr>
              <xdr:cNvPr id="19" name="Picture 18" descr="timetric_logo_footer.png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email"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tretch>
                <a:fillRect/>
              </a:stretch>
            </xdr:blipFill>
            <xdr:spPr>
              <a:xfrm>
                <a:off x="17113691" y="413546"/>
                <a:ext cx="817354" cy="137855"/>
              </a:xfrm>
              <a:prstGeom prst="rect">
                <a:avLst/>
              </a:prstGeom>
            </xdr:spPr>
          </xdr:pic>
          <xdr:sp macro="" textlink="">
            <xdr:nvSpPr>
              <xdr:cNvPr id="20" name="TextBox 7"/>
              <xdr:cNvSpPr txBox="1"/>
            </xdr:nvSpPr>
            <xdr:spPr>
              <a:xfrm>
                <a:off x="17327986" y="153984"/>
                <a:ext cx="701000" cy="31145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wrap="square" rtlCol="0" anchor="t">
                <a:noAutofit/>
              </a:bodyPr>
              <a:lstStyle/>
              <a:p>
                <a:r>
                  <a:rPr lang="en-US" sz="800" b="1" baseline="0"/>
                  <a:t>By</a:t>
                </a:r>
                <a:endParaRPr lang="en-US" sz="800" b="1"/>
              </a:p>
            </xdr:txBody>
          </xdr:sp>
          <xdr:cxnSp macro="">
            <xdr:nvCxnSpPr>
              <xdr:cNvPr id="21" name="Straight Connector 8"/>
              <xdr:cNvCxnSpPr/>
            </xdr:nvCxnSpPr>
            <xdr:spPr>
              <a:xfrm>
                <a:off x="16943145" y="235760"/>
                <a:ext cx="0" cy="359585"/>
              </a:xfrm>
              <a:prstGeom prst="line">
                <a:avLst/>
              </a:prstGeom>
              <a:ln w="38100">
                <a:solidFill>
                  <a:schemeClr val="tx2">
                    <a:lumMod val="75000"/>
                  </a:schemeClr>
                </a:solidFill>
                <a:prstDash val="soli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2" name="Group 9"/>
          <xdr:cNvGrpSpPr/>
        </xdr:nvGrpSpPr>
        <xdr:grpSpPr>
          <a:xfrm>
            <a:off x="6248960" y="1457325"/>
            <a:ext cx="3965706" cy="725633"/>
            <a:chOff x="2331519" y="536344"/>
            <a:chExt cx="4106845" cy="725633"/>
          </a:xfrm>
        </xdr:grpSpPr>
        <xdr:sp macro="" textlink="Production!$B$2">
          <xdr:nvSpPr>
            <xdr:cNvPr id="13" name="stxtEname"/>
            <xdr:cNvSpPr txBox="1"/>
          </xdr:nvSpPr>
          <xdr:spPr>
            <a:xfrm>
              <a:off x="2331519" y="917344"/>
              <a:ext cx="4106845" cy="344633"/>
            </a:xfrm>
            <a:prstGeom prst="round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horz" wrap="none" rtlCol="0" anchor="t" anchorCtr="0">
              <a:spAutoFit/>
            </a:bodyPr>
            <a:lstStyle/>
            <a:p>
              <a:pPr marL="0" indent="0" algn="l"/>
              <a:fld id="{BFE8F451-1E97-482B-8D95-263353F0A74F}" type="TxLink">
                <a:rPr lang="en-US" sz="1400" b="0" i="0" u="none" strike="noStrike">
                  <a:solidFill>
                    <a:sysClr val="windowText" lastClr="000000"/>
                  </a:solidFill>
                  <a:latin typeface="Calibri"/>
                  <a:ea typeface="+mn-ea"/>
                  <a:cs typeface="+mn-cs"/>
                </a:rPr>
                <a:pPr marL="0" indent="0" algn="l"/>
                <a:t>Emp Name :  Gosula Venkata Satyanarayana Reddy </a:t>
              </a:fld>
              <a:endPara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endParaRPr>
            </a:p>
          </xdr:txBody>
        </xdr:sp>
        <xdr:sp macro="" textlink="Production!$B$1">
          <xdr:nvSpPr>
            <xdr:cNvPr id="14" name="TextBox 13"/>
            <xdr:cNvSpPr txBox="1"/>
          </xdr:nvSpPr>
          <xdr:spPr>
            <a:xfrm>
              <a:off x="2331519" y="536344"/>
              <a:ext cx="1705023" cy="344633"/>
            </a:xfrm>
            <a:prstGeom prst="round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horz" wrap="none" rtlCol="0" anchor="t" anchorCtr="0">
              <a:spAutoFit/>
            </a:bodyPr>
            <a:lstStyle/>
            <a:p>
              <a:pPr marL="0" indent="0" algn="l"/>
              <a:fld id="{8B044154-AB46-47E0-BC01-5373D22881F9}" type="TxLink">
                <a:rPr lang="en-US" sz="1400" b="0" i="0" u="none" strike="noStrike">
                  <a:solidFill>
                    <a:sysClr val="windowText" lastClr="000000"/>
                  </a:solidFill>
                  <a:latin typeface="Calibri"/>
                  <a:ea typeface="+mn-ea"/>
                  <a:cs typeface="+mn-cs"/>
                </a:rPr>
                <a:pPr marL="0" indent="0" algn="l"/>
                <a:t>Emp ID        :  80874</a:t>
              </a:fld>
              <a:endPara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%20File%20v4_8134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Production"/>
      <sheetName val="Allocation"/>
      <sheetName val="Ref."/>
      <sheetName val="Temp."/>
      <sheetName val="User File v4_81348"/>
    </sheetNames>
    <sheetDataSet>
      <sheetData sheetId="0" refreshError="1"/>
      <sheetData sheetId="1" refreshError="1"/>
      <sheetData sheetId="2" refreshError="1"/>
      <sheetData sheetId="3">
        <row r="1">
          <cell r="AP1" t="str">
            <v>Efficency</v>
          </cell>
        </row>
        <row r="2">
          <cell r="AP2">
            <v>60.4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5:A52"/>
  <sheetViews>
    <sheetView showGridLines="0" showRowColHeaders="0" tabSelected="1" workbookViewId="0"/>
  </sheetViews>
  <sheetFormatPr defaultRowHeight="15" x14ac:dyDescent="0.25"/>
  <cols>
    <col min="4" max="8" width="9.140625" customWidth="1"/>
  </cols>
  <sheetData>
    <row r="15" spans="1:1" s="38" customFormat="1" ht="47.25" customHeight="1" x14ac:dyDescent="0.25">
      <c r="A15" s="38" t="s">
        <v>49</v>
      </c>
    </row>
    <row r="16" spans="1:1" s="38" customFormat="1" ht="47.25" customHeight="1" x14ac:dyDescent="0.25"/>
    <row r="17" spans="1:1" ht="20.25" x14ac:dyDescent="0.25">
      <c r="A17" s="14" t="s">
        <v>50</v>
      </c>
    </row>
    <row r="19" spans="1:1" ht="20.25" x14ac:dyDescent="0.25">
      <c r="A19" s="14" t="s">
        <v>51</v>
      </c>
    </row>
    <row r="20" spans="1:1" ht="20.25" x14ac:dyDescent="0.25">
      <c r="A20" s="14"/>
    </row>
    <row r="21" spans="1:1" ht="20.25" x14ac:dyDescent="0.25">
      <c r="A21" s="14"/>
    </row>
    <row r="22" spans="1:1" ht="20.25" x14ac:dyDescent="0.25">
      <c r="A22" s="14"/>
    </row>
    <row r="23" spans="1:1" ht="20.25" x14ac:dyDescent="0.25">
      <c r="A23" s="14"/>
    </row>
    <row r="24" spans="1:1" ht="20.25" x14ac:dyDescent="0.25">
      <c r="A24" s="14"/>
    </row>
    <row r="25" spans="1:1" ht="20.25" x14ac:dyDescent="0.25">
      <c r="A25" s="14"/>
    </row>
    <row r="26" spans="1:1" ht="20.25" x14ac:dyDescent="0.25">
      <c r="A26" s="14"/>
    </row>
    <row r="27" spans="1:1" ht="20.25" x14ac:dyDescent="0.25">
      <c r="A27" s="14"/>
    </row>
    <row r="29" spans="1:1" ht="20.25" x14ac:dyDescent="0.25">
      <c r="A29" s="14"/>
    </row>
    <row r="52" spans="1:1" ht="20.25" x14ac:dyDescent="0.25">
      <c r="A52" s="14" t="s">
        <v>52</v>
      </c>
    </row>
  </sheetData>
  <sheetProtection sheet="1" objects="1" scenarios="1"/>
  <mergeCells count="1">
    <mergeCell ref="A15:XFD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3"/>
  <sheetViews>
    <sheetView showGridLines="0" workbookViewId="0">
      <pane xSplit="3" ySplit="19" topLeftCell="D20" activePane="bottomRight" state="frozen"/>
      <selection pane="topRight" activeCell="D1" sqref="D1"/>
      <selection pane="bottomLeft" activeCell="A20" sqref="A20"/>
      <selection pane="bottomRight" activeCell="A19" sqref="A19"/>
    </sheetView>
  </sheetViews>
  <sheetFormatPr defaultRowHeight="15" x14ac:dyDescent="0.25"/>
  <cols>
    <col min="1" max="1" width="10.7109375" bestFit="1" customWidth="1"/>
    <col min="3" max="3" width="10.7109375" customWidth="1"/>
    <col min="4" max="4" width="14.5703125" bestFit="1" customWidth="1"/>
    <col min="5" max="5" width="15.140625" bestFit="1" customWidth="1"/>
    <col min="6" max="6" width="28.5703125" customWidth="1"/>
    <col min="7" max="10" width="8.140625" customWidth="1"/>
    <col min="11" max="11" width="8.85546875" customWidth="1"/>
    <col min="12" max="12" width="11" customWidth="1"/>
    <col min="14" max="14" width="34.42578125" customWidth="1"/>
  </cols>
  <sheetData>
    <row r="1" spans="1:3" x14ac:dyDescent="0.25">
      <c r="A1" s="15">
        <v>80874</v>
      </c>
      <c r="B1" s="16" t="str">
        <f>CONCATENATE("Emp ID        :  ",$A$1)</f>
        <v>Emp ID        :  80874</v>
      </c>
      <c r="C1" s="17"/>
    </row>
    <row r="2" spans="1:3" x14ac:dyDescent="0.25">
      <c r="A2" s="18" t="str">
        <f>IFERROR(VLOOKUP($A$1,Ref.!$D$3:$E$59,2,FALSE),"No Record Found")</f>
        <v xml:space="preserve">Gosula Venkata Satyanarayana Reddy </v>
      </c>
      <c r="B2" s="19" t="str">
        <f>CONCATENATE("Emp Name :  ",$A$2)</f>
        <v xml:space="preserve">Emp Name :  Gosula Venkata Satyanarayana Reddy </v>
      </c>
      <c r="C2" s="20"/>
    </row>
    <row r="3" spans="1:3" x14ac:dyDescent="0.25">
      <c r="A3" s="37">
        <v>43144</v>
      </c>
      <c r="B3" s="22"/>
      <c r="C3" s="20"/>
    </row>
    <row r="4" spans="1:3" x14ac:dyDescent="0.25">
      <c r="A4" s="21"/>
      <c r="B4" s="22"/>
      <c r="C4" s="20"/>
    </row>
    <row r="5" spans="1:3" x14ac:dyDescent="0.25">
      <c r="A5" s="21"/>
      <c r="B5" s="22"/>
      <c r="C5" s="20"/>
    </row>
    <row r="6" spans="1:3" x14ac:dyDescent="0.25">
      <c r="A6" s="21"/>
      <c r="B6" s="22"/>
      <c r="C6" s="20"/>
    </row>
    <row r="7" spans="1:3" x14ac:dyDescent="0.25">
      <c r="A7" s="21"/>
      <c r="B7" s="22"/>
      <c r="C7" s="20"/>
    </row>
    <row r="8" spans="1:3" x14ac:dyDescent="0.25">
      <c r="A8" s="23"/>
      <c r="B8" s="24"/>
      <c r="C8" s="25"/>
    </row>
    <row r="9" spans="1:3" hidden="1" x14ac:dyDescent="0.25"/>
    <row r="10" spans="1:3" hidden="1" x14ac:dyDescent="0.25"/>
    <row r="11" spans="1:3" hidden="1" x14ac:dyDescent="0.25"/>
    <row r="12" spans="1:3" hidden="1" x14ac:dyDescent="0.25"/>
    <row r="13" spans="1:3" hidden="1" x14ac:dyDescent="0.25"/>
    <row r="14" spans="1:3" hidden="1" x14ac:dyDescent="0.25"/>
    <row r="15" spans="1:3" hidden="1" x14ac:dyDescent="0.25"/>
    <row r="16" spans="1:3" hidden="1" x14ac:dyDescent="0.25"/>
    <row r="17" spans="1:14" hidden="1" x14ac:dyDescent="0.25"/>
    <row r="18" spans="1:14" hidden="1" x14ac:dyDescent="0.25"/>
    <row r="19" spans="1:14" ht="37.5" customHeight="1" x14ac:dyDescent="0.25">
      <c r="A19" s="1" t="s">
        <v>0</v>
      </c>
      <c r="B19" s="1" t="s">
        <v>1</v>
      </c>
      <c r="C19" s="1" t="s">
        <v>2</v>
      </c>
      <c r="D19" s="1" t="s">
        <v>3</v>
      </c>
      <c r="E19" s="1" t="s">
        <v>4</v>
      </c>
      <c r="F19" s="1" t="s">
        <v>11</v>
      </c>
      <c r="G19" s="1" t="s">
        <v>5</v>
      </c>
      <c r="H19" s="1" t="s">
        <v>6</v>
      </c>
      <c r="I19" s="1" t="s">
        <v>7</v>
      </c>
      <c r="J19" s="1" t="s">
        <v>8</v>
      </c>
      <c r="K19" s="1" t="s">
        <v>53</v>
      </c>
      <c r="L19" s="35" t="s">
        <v>61</v>
      </c>
      <c r="M19" s="1" t="s">
        <v>9</v>
      </c>
      <c r="N19" s="1" t="s">
        <v>10</v>
      </c>
    </row>
    <row r="20" spans="1:14" x14ac:dyDescent="0.25">
      <c r="A20" s="31">
        <v>43143</v>
      </c>
      <c r="B20" s="33">
        <v>111</v>
      </c>
      <c r="C20" s="33" t="s">
        <v>57</v>
      </c>
      <c r="D20" s="33" t="s">
        <v>13</v>
      </c>
      <c r="E20" s="33" t="s">
        <v>17</v>
      </c>
      <c r="F20" s="33"/>
      <c r="G20" s="33" t="b">
        <v>0</v>
      </c>
      <c r="H20" s="33" t="b">
        <v>0</v>
      </c>
      <c r="I20" s="33" t="b">
        <v>0</v>
      </c>
      <c r="J20" s="33" t="b">
        <v>0</v>
      </c>
      <c r="K20" s="33"/>
      <c r="L20" s="33"/>
      <c r="M20" s="33">
        <v>80874</v>
      </c>
      <c r="N20" s="33" t="s">
        <v>34</v>
      </c>
    </row>
    <row r="21" spans="1:14" x14ac:dyDescent="0.25">
      <c r="A21" s="31">
        <v>43144</v>
      </c>
      <c r="B21" s="33">
        <v>112</v>
      </c>
      <c r="C21" s="33" t="s">
        <v>58</v>
      </c>
      <c r="D21" s="33" t="s">
        <v>13</v>
      </c>
      <c r="E21" s="33" t="s">
        <v>16</v>
      </c>
      <c r="F21" s="33"/>
      <c r="G21" s="33" t="b">
        <v>0</v>
      </c>
      <c r="H21" s="33" t="b">
        <v>0</v>
      </c>
      <c r="I21" s="33" t="b">
        <v>0</v>
      </c>
      <c r="J21" s="33" t="b">
        <v>0</v>
      </c>
      <c r="K21" s="33">
        <v>60</v>
      </c>
      <c r="L21" s="33"/>
      <c r="M21" s="33">
        <v>80874</v>
      </c>
      <c r="N21" s="33" t="s">
        <v>34</v>
      </c>
    </row>
    <row r="22" spans="1:14" x14ac:dyDescent="0.25">
      <c r="A22" s="31">
        <v>43144</v>
      </c>
      <c r="B22" s="33">
        <v>113</v>
      </c>
      <c r="C22" s="33" t="s">
        <v>59</v>
      </c>
      <c r="D22" s="33" t="s">
        <v>13</v>
      </c>
      <c r="E22" s="33" t="s">
        <v>17</v>
      </c>
      <c r="F22" s="33" t="s">
        <v>60</v>
      </c>
      <c r="G22" s="33" t="b">
        <v>0</v>
      </c>
      <c r="H22" s="33" t="b">
        <v>0</v>
      </c>
      <c r="I22" s="33" t="b">
        <v>0</v>
      </c>
      <c r="J22" s="33" t="b">
        <v>0</v>
      </c>
      <c r="K22" s="33"/>
      <c r="L22" s="33"/>
      <c r="M22" s="33">
        <v>80874</v>
      </c>
      <c r="N22" s="3" t="s">
        <v>34</v>
      </c>
    </row>
    <row r="23" spans="1:14" x14ac:dyDescent="0.25">
      <c r="A23" s="32">
        <v>43144</v>
      </c>
      <c r="B23" s="3">
        <v>1</v>
      </c>
      <c r="C23" s="3">
        <v>565</v>
      </c>
      <c r="D23" s="3" t="s">
        <v>12</v>
      </c>
      <c r="E23" s="3" t="s">
        <v>17</v>
      </c>
      <c r="F23" s="36" t="s">
        <v>64</v>
      </c>
      <c r="G23" s="3" t="b">
        <v>1</v>
      </c>
      <c r="H23" s="3" t="b">
        <v>0</v>
      </c>
      <c r="I23" s="3" t="b">
        <v>0</v>
      </c>
      <c r="J23" s="3" t="b">
        <v>1</v>
      </c>
      <c r="K23" s="3">
        <v>11</v>
      </c>
      <c r="L23" s="3">
        <v>13</v>
      </c>
      <c r="M23" s="3">
        <v>80874</v>
      </c>
      <c r="N23" t="s">
        <v>34</v>
      </c>
    </row>
  </sheetData>
  <sheetProtection password="E9FD" sheet="1" objects="1" scenarios="1" autoFilter="0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25"/>
  <sheetViews>
    <sheetView showGridLines="0" zoomScale="85" zoomScaleNormal="85" workbookViewId="0">
      <selection activeCell="O32" sqref="O32"/>
    </sheetView>
  </sheetViews>
  <sheetFormatPr defaultRowHeight="15" x14ac:dyDescent="0.25"/>
  <cols>
    <col min="5" max="5" width="35.140625" bestFit="1" customWidth="1"/>
    <col min="13" max="13" width="10.7109375" bestFit="1" customWidth="1"/>
    <col min="21" max="21" width="9.85546875" bestFit="1" customWidth="1"/>
    <col min="27" max="27" width="10.7109375" customWidth="1"/>
    <col min="28" max="28" width="12.7109375" bestFit="1" customWidth="1"/>
    <col min="29" max="29" width="13.140625" bestFit="1" customWidth="1"/>
  </cols>
  <sheetData>
    <row r="1" spans="1:43" x14ac:dyDescent="0.25">
      <c r="AA1" s="26" t="s">
        <v>0</v>
      </c>
      <c r="AB1" s="27" t="s">
        <v>46</v>
      </c>
      <c r="AC1" s="27" t="s">
        <v>20</v>
      </c>
      <c r="AD1" s="27" t="s">
        <v>47</v>
      </c>
      <c r="AE1" s="27" t="s">
        <v>22</v>
      </c>
      <c r="AF1" s="27" t="s">
        <v>23</v>
      </c>
      <c r="AG1" s="27" t="s">
        <v>54</v>
      </c>
      <c r="AH1" s="27" t="s">
        <v>62</v>
      </c>
      <c r="AI1" s="28" t="s">
        <v>55</v>
      </c>
    </row>
    <row r="2" spans="1:43" x14ac:dyDescent="0.25">
      <c r="AA2" s="30">
        <v>43144</v>
      </c>
      <c r="AB2">
        <v>1</v>
      </c>
      <c r="AC2">
        <v>1</v>
      </c>
      <c r="AD2">
        <v>2</v>
      </c>
      <c r="AE2">
        <v>0</v>
      </c>
      <c r="AF2">
        <v>0</v>
      </c>
      <c r="AG2">
        <v>71</v>
      </c>
      <c r="AH2">
        <v>13</v>
      </c>
      <c r="AK2" s="31">
        <v>43144</v>
      </c>
      <c r="AL2">
        <f>COUNTIFS(Production!$A:$A,Ref.!$AK2,Production!$D:$D,"new Project",Production!D:D,"&lt;&gt;CIC")</f>
        <v>1</v>
      </c>
      <c r="AM2">
        <f>COUNTIFS(Production!$A:$A,Ref.!$AK2,Production!$D:$D,"Normal Update",Production!$E:$E,"Quick")</f>
        <v>1</v>
      </c>
      <c r="AN2">
        <f>COUNTIFS(Production!$A:$A,Ref.!$AK2,Production!$D:$D,"Normal Update",Production!$E:$E,"Comprehensive")</f>
        <v>1</v>
      </c>
      <c r="AO2">
        <f>COUNTIFS(Production!$A:$A,Ref.!$AK2,Production!$D:$D,"CIC")</f>
        <v>0</v>
      </c>
      <c r="AP2">
        <f>COUNTIFS(Production!$A:$A,Ref.!$AK2,Production!$D:$D,"Demo")</f>
        <v>0</v>
      </c>
      <c r="AQ2">
        <v>1156</v>
      </c>
    </row>
    <row r="3" spans="1:43" x14ac:dyDescent="0.25">
      <c r="B3" s="2" t="s">
        <v>3</v>
      </c>
      <c r="D3" s="2" t="s">
        <v>36</v>
      </c>
      <c r="E3" s="2" t="s">
        <v>37</v>
      </c>
      <c r="AA3" s="30"/>
    </row>
    <row r="4" spans="1:43" x14ac:dyDescent="0.25">
      <c r="B4" s="3" t="s">
        <v>12</v>
      </c>
      <c r="D4" s="3">
        <v>80309</v>
      </c>
      <c r="E4" s="3" t="s">
        <v>25</v>
      </c>
    </row>
    <row r="5" spans="1:43" x14ac:dyDescent="0.25">
      <c r="B5" s="3" t="s">
        <v>13</v>
      </c>
      <c r="D5" s="3">
        <v>80312</v>
      </c>
      <c r="E5" s="3" t="s">
        <v>26</v>
      </c>
    </row>
    <row r="6" spans="1:43" x14ac:dyDescent="0.25">
      <c r="B6" s="3" t="s">
        <v>14</v>
      </c>
      <c r="D6" s="3">
        <v>80267</v>
      </c>
      <c r="E6" s="3" t="s">
        <v>27</v>
      </c>
    </row>
    <row r="7" spans="1:43" x14ac:dyDescent="0.25">
      <c r="B7" s="4" t="s">
        <v>15</v>
      </c>
      <c r="D7" s="3">
        <v>80765</v>
      </c>
      <c r="E7" s="3" t="s">
        <v>28</v>
      </c>
    </row>
    <row r="8" spans="1:43" x14ac:dyDescent="0.25">
      <c r="D8" s="3">
        <v>80631</v>
      </c>
      <c r="E8" s="3" t="s">
        <v>29</v>
      </c>
    </row>
    <row r="9" spans="1:43" x14ac:dyDescent="0.25">
      <c r="B9" s="2" t="s">
        <v>4</v>
      </c>
      <c r="D9" s="3">
        <v>80644</v>
      </c>
      <c r="E9" s="3" t="s">
        <v>30</v>
      </c>
    </row>
    <row r="10" spans="1:43" x14ac:dyDescent="0.25">
      <c r="B10" s="3" t="s">
        <v>16</v>
      </c>
      <c r="D10" s="3">
        <v>80282</v>
      </c>
      <c r="E10" s="3" t="s">
        <v>31</v>
      </c>
    </row>
    <row r="11" spans="1:43" x14ac:dyDescent="0.25">
      <c r="B11" s="3" t="s">
        <v>17</v>
      </c>
      <c r="D11" s="3">
        <v>80680</v>
      </c>
      <c r="E11" s="3" t="s">
        <v>32</v>
      </c>
    </row>
    <row r="12" spans="1:43" x14ac:dyDescent="0.25">
      <c r="D12" s="3">
        <v>81223</v>
      </c>
      <c r="E12" s="3" t="s">
        <v>33</v>
      </c>
      <c r="T12" s="6" t="s">
        <v>56</v>
      </c>
      <c r="U12" s="34">
        <v>0</v>
      </c>
    </row>
    <row r="13" spans="1:43" x14ac:dyDescent="0.25">
      <c r="D13" s="3">
        <v>80874</v>
      </c>
      <c r="E13" s="3" t="s">
        <v>34</v>
      </c>
    </row>
    <row r="14" spans="1:43" x14ac:dyDescent="0.25">
      <c r="D14" s="3">
        <v>81143</v>
      </c>
      <c r="E14" s="3" t="s">
        <v>35</v>
      </c>
      <c r="I14" s="45" t="s">
        <v>39</v>
      </c>
      <c r="J14" s="46"/>
      <c r="K14" s="46"/>
      <c r="L14" s="47"/>
      <c r="M14" s="6" t="s">
        <v>40</v>
      </c>
      <c r="N14" s="6" t="s">
        <v>41</v>
      </c>
      <c r="O14" s="6" t="s">
        <v>42</v>
      </c>
      <c r="P14" s="6" t="s">
        <v>43</v>
      </c>
      <c r="Q14" s="6" t="s">
        <v>44</v>
      </c>
    </row>
    <row r="15" spans="1:43" x14ac:dyDescent="0.25">
      <c r="D15" s="3">
        <v>10001</v>
      </c>
      <c r="E15" s="3" t="s">
        <v>38</v>
      </c>
      <c r="I15" s="48" t="s">
        <v>45</v>
      </c>
      <c r="J15" s="49"/>
      <c r="K15" s="49"/>
      <c r="L15" s="50"/>
      <c r="M15" s="7">
        <f ca="1">TODAY()</f>
        <v>43424</v>
      </c>
      <c r="N15" s="8">
        <f ca="1">M15</f>
        <v>43424</v>
      </c>
      <c r="O15" s="9" t="str">
        <f>CONCATENATE("Q",ROUNDUP(MONTH($M$30)/3,0))</f>
        <v>Q1</v>
      </c>
      <c r="P15" s="9" t="str">
        <f>CONCATENATE("H",ROUNDUP(MONTH($M$30)/6,0))</f>
        <v>H1</v>
      </c>
      <c r="Q15" s="10">
        <f ca="1">M15</f>
        <v>43424</v>
      </c>
    </row>
    <row r="16" spans="1:43" x14ac:dyDescent="0.25">
      <c r="A16" s="2" t="s">
        <v>18</v>
      </c>
      <c r="B16" s="2" t="s">
        <v>19</v>
      </c>
      <c r="D16" s="3">
        <v>10002</v>
      </c>
      <c r="E16" s="3" t="s">
        <v>38</v>
      </c>
      <c r="I16" s="42" t="s">
        <v>46</v>
      </c>
      <c r="J16" s="43"/>
      <c r="K16" s="43"/>
      <c r="L16" s="44"/>
      <c r="M16" s="11">
        <f ca="1">IFERROR(VLOOKUP($M$15,$AA$1:$AP$4000,2,FALSE),0)</f>
        <v>0</v>
      </c>
      <c r="N16" s="11">
        <f ca="1">SUMPRODUCT((ROUNDUP(MONTH($AA$2:$AA$4000)/1,0)=ROUNDUP(MONTH($M$15)/1,0))*($AB$2:$AB$4000))</f>
        <v>0</v>
      </c>
      <c r="O16" s="11">
        <f ca="1">SUMPRODUCT((ROUNDUP(MONTH($AA$2:$AA$4000)/3,0)=ROUNDUP(MONTH($M$15)/3,0))*($AB$2:$AB$4000))</f>
        <v>0</v>
      </c>
      <c r="P16" s="11">
        <f ca="1">SUMPRODUCT((ROUNDUP(MONTH($AA$2:$AA$4000)/6,0)=ROUNDUP(MONTH($M$15)/6,0))*($AB$2:$AB$4000))</f>
        <v>0</v>
      </c>
      <c r="Q16" s="11">
        <f ca="1">SUMPRODUCT((ROUNDUP(MONTH($AA$2:$AA$4000)/12,0)=ROUNDUP(MONTH($M$15)/12,0))*($AB$2:$AB$4000))</f>
        <v>1</v>
      </c>
    </row>
    <row r="17" spans="1:17" x14ac:dyDescent="0.25">
      <c r="A17" s="3" t="s">
        <v>12</v>
      </c>
      <c r="B17" s="3">
        <v>80</v>
      </c>
      <c r="D17" s="3">
        <v>10003</v>
      </c>
      <c r="E17" s="3" t="s">
        <v>38</v>
      </c>
      <c r="I17" s="42" t="s">
        <v>20</v>
      </c>
      <c r="J17" s="43"/>
      <c r="K17" s="43"/>
      <c r="L17" s="44"/>
      <c r="M17" s="11">
        <f ca="1">IFERROR(VLOOKUP($M$15,$AA$1:$AP$4000,3,FALSE),0)</f>
        <v>0</v>
      </c>
      <c r="N17" s="11">
        <f ca="1">SUMPRODUCT((ROUNDUP(MONTH($AA$2:$AA$4000)/1,0)=ROUNDUP(MONTH($M$15)/1,0))*($AC$2:$AC$4000))</f>
        <v>0</v>
      </c>
      <c r="O17" s="11">
        <f ca="1">SUMPRODUCT((ROUNDUP(MONTH($AA$2:$AA$4000)/3,0)=ROUNDUP(MONTH($M$15)/3,0))*($AC$2:$AC$4000))</f>
        <v>0</v>
      </c>
      <c r="P17" s="11">
        <f ca="1">SUMPRODUCT((ROUNDUP(MONTH($AA$2:$AA$4000)/6,0)=ROUNDUP(MONTH($M$15)/6,0))*($AC$2:$AC$4000))</f>
        <v>0</v>
      </c>
      <c r="Q17" s="11">
        <f ca="1">SUMPRODUCT((ROUNDUP(MONTH($AA$2:$AA$4000)/12,0)=ROUNDUP(MONTH($M$15)/12,0))*($AC$2:$AC$4000))</f>
        <v>1</v>
      </c>
    </row>
    <row r="18" spans="1:17" x14ac:dyDescent="0.25">
      <c r="A18" s="3" t="s">
        <v>20</v>
      </c>
      <c r="B18" s="3">
        <v>30</v>
      </c>
      <c r="D18" s="3">
        <v>10004</v>
      </c>
      <c r="E18" s="3" t="s">
        <v>38</v>
      </c>
      <c r="I18" s="42" t="s">
        <v>47</v>
      </c>
      <c r="J18" s="43"/>
      <c r="K18" s="43"/>
      <c r="L18" s="44"/>
      <c r="M18" s="11">
        <f ca="1">IFERROR(VLOOKUP($M$15,$AA$1:$AP$4000,4,FALSE),0)</f>
        <v>0</v>
      </c>
      <c r="N18" s="11">
        <f ca="1">SUMPRODUCT((ROUNDUP(MONTH($AA$2:$AA$4000)/1,0)=ROUNDUP(MONTH($M$15)/1,0))*($AD$2:$AD$4000))</f>
        <v>0</v>
      </c>
      <c r="O18" s="11">
        <f ca="1">SUMPRODUCT((ROUNDUP(MONTH($AA$2:$AA$4000)/3,0)=ROUNDUP(MONTH($M$15)/3,0))*($AD$2:$AD$4000))</f>
        <v>0</v>
      </c>
      <c r="P18" s="11">
        <f ca="1">SUMPRODUCT((ROUNDUP(MONTH($AA$2:$AA$4000)/6,0)=ROUNDUP(MONTH($M$15)/6,0))*($AD$2:$AD$4000))</f>
        <v>0</v>
      </c>
      <c r="Q18" s="11">
        <f ca="1">SUMPRODUCT((ROUNDUP(MONTH($AA$2:$AA$4000)/12,0)=ROUNDUP(MONTH($M$15)/12,0))*($AD$2:$AD$4000))</f>
        <v>2</v>
      </c>
    </row>
    <row r="19" spans="1:17" x14ac:dyDescent="0.25">
      <c r="A19" s="3" t="s">
        <v>21</v>
      </c>
      <c r="B19" s="3">
        <v>60</v>
      </c>
      <c r="D19" s="3">
        <v>10005</v>
      </c>
      <c r="E19" s="3" t="s">
        <v>38</v>
      </c>
      <c r="I19" s="42" t="s">
        <v>22</v>
      </c>
      <c r="J19" s="43"/>
      <c r="K19" s="43"/>
      <c r="L19" s="44"/>
      <c r="M19" s="11">
        <f ca="1">IFERROR(VLOOKUP($M$15,$AA$1:$AP$4000,5,FALSE),0)</f>
        <v>0</v>
      </c>
      <c r="N19" s="11">
        <f ca="1">SUMPRODUCT((ROUNDUP(MONTH($AA$2:$AA$4000)/1,0)=ROUNDUP(MONTH($M$15)/1,0))*($AE$2:$AE$4000))</f>
        <v>0</v>
      </c>
      <c r="O19" s="11">
        <f ca="1">SUMPRODUCT((ROUNDUP(MONTH($AA$2:$AA$4000)/3,0)=ROUNDUP(MONTH($M$15)/3,0))*($AE$2:$AE$4000))</f>
        <v>0</v>
      </c>
      <c r="P19" s="11">
        <f ca="1">SUMPRODUCT((ROUNDUP(MONTH($AA$2:$AA$4000)/6,0)=ROUNDUP(MONTH($M$15)/6,0))*($AE$2:$AE$4000))</f>
        <v>0</v>
      </c>
      <c r="Q19" s="11">
        <f ca="1">SUMPRODUCT((ROUNDUP(MONTH($AA$2:$AA$4000)/12,0)=ROUNDUP(MONTH($M$15)/12,0))*($AE$2:$AE$4000))</f>
        <v>0</v>
      </c>
    </row>
    <row r="20" spans="1:17" x14ac:dyDescent="0.25">
      <c r="A20" s="3" t="s">
        <v>22</v>
      </c>
      <c r="B20" s="3">
        <v>90</v>
      </c>
      <c r="D20" s="3">
        <v>10006</v>
      </c>
      <c r="E20" s="3" t="s">
        <v>38</v>
      </c>
      <c r="I20" s="42" t="s">
        <v>23</v>
      </c>
      <c r="J20" s="43"/>
      <c r="K20" s="43"/>
      <c r="L20" s="44"/>
      <c r="M20" s="11">
        <f ca="1">IFERROR(VLOOKUP($M$15,$AA$1:$AP$4000,6,FALSE),0)</f>
        <v>0</v>
      </c>
      <c r="N20" s="11">
        <f ca="1">SUMPRODUCT((ROUNDUP(MONTH($AA$2:$AA$4000)/1,0)=ROUNDUP(MONTH($M$15)/1,0))*($AF$2:$AF$4000))</f>
        <v>0</v>
      </c>
      <c r="O20" s="11">
        <f ca="1">SUMPRODUCT((ROUNDUP(MONTH($AA$2:$AA$4000)/3,0)=ROUNDUP(MONTH($M$15)/3,0))*($AF$2:$AF$4000))</f>
        <v>0</v>
      </c>
      <c r="P20" s="11">
        <f ca="1">SUMPRODUCT((ROUNDUP(MONTH($AA$2:$AA$4000)/6,0)=ROUNDUP(MONTH($M$15)/6,0))*($AF$2:$AF$4000))</f>
        <v>0</v>
      </c>
      <c r="Q20" s="11">
        <f ca="1">SUMPRODUCT((ROUNDUP(MONTH($AA$2:$AA$4000)/12,0)=ROUNDUP(MONTH($M$15)/12,0))*($AF$2:$AF$4000))</f>
        <v>0</v>
      </c>
    </row>
    <row r="21" spans="1:17" x14ac:dyDescent="0.25">
      <c r="A21" s="3" t="s">
        <v>23</v>
      </c>
      <c r="B21" s="3">
        <v>60</v>
      </c>
      <c r="D21" s="3">
        <v>10007</v>
      </c>
      <c r="E21" s="3" t="s">
        <v>38</v>
      </c>
      <c r="I21" s="39" t="s">
        <v>54</v>
      </c>
      <c r="J21" s="40"/>
      <c r="K21" s="40"/>
      <c r="L21" s="41"/>
      <c r="M21" s="29">
        <f ca="1">IFERROR(VLOOKUP($M$15,$AA$1:$AP$4000,7,FALSE),0)</f>
        <v>0</v>
      </c>
      <c r="N21" s="29">
        <f ca="1">SUMPRODUCT((ROUNDUP(MONTH($AA$2:$AA$4000)/1,0)=ROUNDUP(MONTH($M$15)/1,0))*($AG$2:$AG$4000))</f>
        <v>0</v>
      </c>
      <c r="O21" s="29">
        <f ca="1">SUMPRODUCT((ROUNDUP(MONTH($AA$2:$AA$4000)/3,0)=ROUNDUP(MONTH($M$15)/3,0))*($AG$2:$AG$4000))</f>
        <v>0</v>
      </c>
      <c r="P21" s="29">
        <f ca="1">SUMPRODUCT((ROUNDUP(MONTH($AA$2:$AA$4000)/6,0)=ROUNDUP(MONTH($M$15)/6,0))*($AG$2:$AG$4000))</f>
        <v>0</v>
      </c>
      <c r="Q21" s="29">
        <f ca="1">SUMPRODUCT((ROUNDUP(MONTH($AA$2:$AA$4000)/12,0)=ROUNDUP(MONTH($M$15)/12,0))*($AG$2:$AG$4000))</f>
        <v>71</v>
      </c>
    </row>
    <row r="22" spans="1:17" x14ac:dyDescent="0.25">
      <c r="A22" s="5" t="s">
        <v>24</v>
      </c>
      <c r="B22" s="5">
        <v>480</v>
      </c>
      <c r="D22" s="3">
        <v>10008</v>
      </c>
      <c r="E22" s="3" t="s">
        <v>38</v>
      </c>
      <c r="I22" s="39" t="s">
        <v>63</v>
      </c>
      <c r="J22" s="40"/>
      <c r="K22" s="40"/>
      <c r="L22" s="41"/>
      <c r="M22" s="29">
        <f ca="1">IFERROR(VLOOKUP($M$15,$AA$1:$AP$4000,8,FALSE),0)</f>
        <v>0</v>
      </c>
      <c r="N22" s="29">
        <f ca="1">SUMPRODUCT((ROUNDUP(MONTH($AA$2:$AA$4000)/1,0)=ROUNDUP(MONTH($M$15)/1,0))*($AH$2:$AH$4000))</f>
        <v>0</v>
      </c>
      <c r="O22" s="29">
        <f ca="1">SUMPRODUCT((ROUNDUP(MONTH($AA$2:$AA$4000)/3,0)=ROUNDUP(MONTH($M$15)/3,0))*($AH$2:$AH$4000))</f>
        <v>0</v>
      </c>
      <c r="P22" s="29">
        <f ca="1">SUMPRODUCT((ROUNDUP(MONTH($AA$2:$AA$4000)/6,0)=ROUNDUP(MONTH($M$15)/6,0))*($AH$2:$AH$4000))</f>
        <v>0</v>
      </c>
      <c r="Q22" s="29">
        <f ca="1">SUMPRODUCT((ROUNDUP(MONTH($AA$2:$AA$4000)/12,0)=ROUNDUP(MONTH($M$15)/12,0))*($AH$2:$AH$4000))</f>
        <v>13</v>
      </c>
    </row>
    <row r="23" spans="1:17" x14ac:dyDescent="0.25">
      <c r="D23" s="3">
        <v>10009</v>
      </c>
      <c r="E23" s="3" t="s">
        <v>38</v>
      </c>
    </row>
    <row r="24" spans="1:17" x14ac:dyDescent="0.25">
      <c r="D24" s="3">
        <v>10010</v>
      </c>
      <c r="E24" s="3" t="s">
        <v>38</v>
      </c>
      <c r="M24" s="12" t="s">
        <v>48</v>
      </c>
    </row>
    <row r="25" spans="1:17" ht="18.75" x14ac:dyDescent="0.25">
      <c r="M25" s="13" t="str">
        <f>Production!$A$2</f>
        <v xml:space="preserve">Gosula Venkata Satyanarayana Reddy </v>
      </c>
    </row>
  </sheetData>
  <mergeCells count="9">
    <mergeCell ref="I22:L22"/>
    <mergeCell ref="I21:L21"/>
    <mergeCell ref="I20:L20"/>
    <mergeCell ref="I14:L14"/>
    <mergeCell ref="I15:L15"/>
    <mergeCell ref="I16:L16"/>
    <mergeCell ref="I17:L17"/>
    <mergeCell ref="I18:L18"/>
    <mergeCell ref="I19:L19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34" sqref="F3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34" sqref="G3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Main</vt:lpstr>
      <vt:lpstr>Production</vt:lpstr>
      <vt:lpstr>Temp1</vt:lpstr>
      <vt:lpstr>Temp2</vt:lpstr>
      <vt:lpstr>eType</vt:lpstr>
      <vt:lpstr>pActivity</vt:lpstr>
      <vt:lpstr>UserMail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2018-02-12T05:39:31Z</dcterms:created>
  <dcterms:modified xsi:type="dcterms:W3CDTF">2018-11-20T12:28:37Z</dcterms:modified>
</cp:coreProperties>
</file>