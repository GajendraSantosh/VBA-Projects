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10" yWindow="480" windowWidth="18840" windowHeight="11430" activeTab="1"/>
  </bookViews>
  <sheets>
    <sheet name="Client Query Tracker" sheetId="2" r:id="rId1"/>
    <sheet name="Summary" sheetId="3" r:id="rId2"/>
    <sheet name="Sheet1" sheetId="4" r:id="rId3"/>
  </sheets>
  <definedNames>
    <definedName name="_xlnm._FilterDatabase" localSheetId="0" hidden="1">'Client Query Tracker'!#REF!</definedName>
    <definedName name="Client_Comment">OFFSET(Summary!$M$7,0,0,COUNTA(Summary!$M:$M)-2,1)</definedName>
    <definedName name="DateType">Summary!$Q$7:$Q$9</definedName>
    <definedName name="Response_Summary">OFFSET(Summary!$O$7,0,0,COUNTA(Summary!$O:$O)-2,1)</definedName>
  </definedNames>
  <calcPr calcId="144525"/>
  <pivotCaches>
    <pivotCache cacheId="7" r:id="rId4"/>
  </pivotCaches>
</workbook>
</file>

<file path=xl/calcChain.xml><?xml version="1.0" encoding="utf-8"?>
<calcChain xmlns="http://schemas.openxmlformats.org/spreadsheetml/2006/main">
  <c r="F9" i="3" l="1"/>
  <c r="F8" i="3"/>
  <c r="E9" i="3"/>
  <c r="E8" i="3"/>
  <c r="E10" i="3"/>
</calcChain>
</file>

<file path=xl/sharedStrings.xml><?xml version="1.0" encoding="utf-8"?>
<sst xmlns="http://schemas.openxmlformats.org/spreadsheetml/2006/main" count="177" uniqueCount="93">
  <si>
    <t>Filters</t>
  </si>
  <si>
    <t>From Date : 01/01/2018   To Date : 28/09/2018</t>
  </si>
  <si>
    <t>Query Received date</t>
  </si>
  <si>
    <t>Expected Completion Date</t>
  </si>
  <si>
    <t>Completion Date</t>
  </si>
  <si>
    <t>TAT</t>
  </si>
  <si>
    <t>Request Type</t>
  </si>
  <si>
    <t>Bulk/Normal</t>
  </si>
  <si>
    <t>Priority</t>
  </si>
  <si>
    <t>Client Name</t>
  </si>
  <si>
    <t>Client Company</t>
  </si>
  <si>
    <t>Client Type</t>
  </si>
  <si>
    <t>For the Client Company</t>
  </si>
  <si>
    <t>PID</t>
  </si>
  <si>
    <t>Project Title/Kind of Comments</t>
  </si>
  <si>
    <t>Project Country</t>
  </si>
  <si>
    <t>Client Comment</t>
  </si>
  <si>
    <t>Allocated To</t>
  </si>
  <si>
    <t>No of Projects Added</t>
  </si>
  <si>
    <t>No of Projects updated</t>
  </si>
  <si>
    <t>Query Status</t>
  </si>
  <si>
    <t>Success / Unsuccess</t>
  </si>
  <si>
    <t>Account Manager Name</t>
  </si>
  <si>
    <t>Key Client</t>
  </si>
  <si>
    <t>Reason for Unsuccessful</t>
  </si>
  <si>
    <t>Jira Id</t>
  </si>
  <si>
    <t>Response Summary</t>
  </si>
  <si>
    <t>Project Profile Update</t>
  </si>
  <si>
    <t>Standard</t>
  </si>
  <si>
    <t>External</t>
  </si>
  <si>
    <t>Resolved</t>
  </si>
  <si>
    <t>Unsuccessful</t>
  </si>
  <si>
    <t>Dina Salem</t>
  </si>
  <si>
    <t>Request Project Scan</t>
  </si>
  <si>
    <t>Major</t>
  </si>
  <si>
    <t>Yes</t>
  </si>
  <si>
    <t>Specify New Project</t>
  </si>
  <si>
    <t>Data Extraction</t>
  </si>
  <si>
    <t>Search Assistance</t>
  </si>
  <si>
    <t>Create/Update Company Profile</t>
  </si>
  <si>
    <t>Successful</t>
  </si>
  <si>
    <t>Query Methodology</t>
  </si>
  <si>
    <t>Standard -Bulk</t>
  </si>
  <si>
    <t>Query Functionality</t>
  </si>
  <si>
    <t>chideesh.gangadharan</t>
  </si>
  <si>
    <t>CRH Asia Pacific Pte Ltd.</t>
  </si>
  <si>
    <t xml:space="preserve"> June    Ng </t>
  </si>
  <si>
    <t>Some of the companies which I searched for were not available. Is the company display based on the value of company, value of projects they have, or yearly turnover of the company, or?</t>
  </si>
  <si>
    <t>CIA-9741</t>
  </si>
  <si>
    <t>CIA-9740</t>
  </si>
  <si>
    <t>Duplicate of CIA-9741</t>
  </si>
  <si>
    <t>Overall Summary</t>
  </si>
  <si>
    <t>Average number of days to complete AAA requests in Month</t>
  </si>
  <si>
    <t>From</t>
  </si>
  <si>
    <t>To</t>
  </si>
  <si>
    <t>Values</t>
  </si>
  <si>
    <t>Average number of days to complete AAA requests in YTD</t>
  </si>
  <si>
    <t>Requests fulfilled as a share of all 'in-scope' requests</t>
  </si>
  <si>
    <t>Count of missing projects identified by clients</t>
  </si>
  <si>
    <t>Number of errors highlighted via AAA</t>
  </si>
  <si>
    <t>Correct</t>
  </si>
  <si>
    <t>Wrong</t>
  </si>
  <si>
    <t>Review</t>
  </si>
  <si>
    <t>Error</t>
  </si>
  <si>
    <t>Criteria</t>
  </si>
  <si>
    <t>Inconvenience</t>
  </si>
  <si>
    <t>Sorry</t>
  </si>
  <si>
    <t>Apologize</t>
  </si>
  <si>
    <t>Mistake</t>
  </si>
  <si>
    <t>Date Type</t>
  </si>
  <si>
    <t>Note: Column Names</t>
  </si>
  <si>
    <t>Client_Comment</t>
  </si>
  <si>
    <t>Response_Summary</t>
  </si>
  <si>
    <t>Received an email from Dina stating "Done. no further action. Thanks"</t>
  </si>
  <si>
    <t>Column Labels</t>
  </si>
  <si>
    <t>Grand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</si>
  <si>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</si>
  <si>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</si>
  <si>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</si>
  <si>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</si>
  <si>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</si>
  <si>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</si>
  <si>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</si>
  <si>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</si>
  <si>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</si>
  <si>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Count of TAT</t>
  </si>
  <si>
    <t>Normal Client</t>
  </si>
  <si>
    <t>Average of TAT</t>
  </si>
  <si>
    <t>Request Type by Client Type</t>
  </si>
  <si>
    <t>Client Type / Monthly TAT</t>
  </si>
  <si>
    <t>Note: Criteria is not an case sensitive</t>
  </si>
  <si>
    <t>-</t>
  </si>
  <si>
    <t>Duplicate of 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</si>
</sst>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 x14ac:knownFonts="1"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name val="Calibri"/>
      <family val="2"/>
    </font>
    <font>
      <b/>
      <i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1">
    <xf numFmtId="0" fontId="0" fillId="0" borderId="0" applyNumberFormat="0" applyBorder="0" applyAlignment="0"/>
  </cellStyleXfs>
  <cellXfs count="49">
    <xf numFmtId="0" fontId="0" fillId="0" borderId="0" xfId="0" applyFill="1" applyProtection="1"/>
    <xf numFmtId="0" fontId="0" fillId="0" borderId="0" xfId="0" applyFill="1" applyAlignment="1" applyProtection="1"/>
    <xf numFmtId="14" fontId="0" fillId="0" borderId="0" xfId="0" applyNumberFormat="1" applyFill="1" applyAlignment="1" applyProtection="1"/>
    <xf numFmtId="0" fontId="0" fillId="0" borderId="1" xfId="0" applyFill="1" applyBorder="1" applyProtection="1"/>
    <xf numFmtId="2" fontId="2" fillId="0" borderId="1" xfId="0" applyNumberFormat="1" applyFont="1" applyFill="1" applyBorder="1" applyProtection="1"/>
    <xf numFmtId="164" fontId="2" fillId="0" borderId="1" xfId="0" applyNumberFormat="1" applyFont="1" applyFill="1" applyBorder="1" applyProtection="1"/>
    <xf numFmtId="0" fontId="2" fillId="0" borderId="1" xfId="0" applyFont="1" applyFill="1" applyBorder="1" applyProtection="1"/>
    <xf numFmtId="0" fontId="1" fillId="4" borderId="1" xfId="0" applyFont="1" applyFill="1" applyBorder="1" applyAlignment="1" applyProtection="1">
      <alignment horizontal="center" vertical="center"/>
    </xf>
    <xf numFmtId="2" fontId="2" fillId="0" borderId="6" xfId="0" applyNumberFormat="1" applyFont="1" applyFill="1" applyBorder="1" applyProtection="1"/>
    <xf numFmtId="0" fontId="0" fillId="0" borderId="0" xfId="0" pivotButton="1" applyFill="1" applyProtection="1"/>
    <xf numFmtId="0" fontId="0" fillId="0" borderId="0" xfId="0" applyFill="1" applyAlignment="1" applyProtection="1">
      <alignment horizontal="left"/>
    </xf>
    <xf numFmtId="0" fontId="0" fillId="0" borderId="1" xfId="0" applyFill="1" applyBorder="1" applyAlignment="1" applyProtection="1">
      <alignment horizontal="left"/>
    </xf>
    <xf numFmtId="0" fontId="0" fillId="0" borderId="0" xfId="0" applyFill="1" applyAlignment="1" applyProtection="1">
      <alignment horizontal="left" indent="1"/>
    </xf>
    <xf numFmtId="0" fontId="0" fillId="0" borderId="0" xfId="0" applyFill="1" applyBorder="1" applyAlignment="1" applyProtection="1">
      <alignment horizontal="left"/>
    </xf>
    <xf numFmtId="0" fontId="0" fillId="0" borderId="0" xfId="0" applyNumberFormat="1" applyFill="1" applyBorder="1" applyProtection="1"/>
    <xf numFmtId="0" fontId="2" fillId="6" borderId="1" xfId="0" applyFont="1" applyFill="1" applyBorder="1" applyAlignment="1" applyProtection="1">
      <alignment horizontal="center" vertical="center"/>
    </xf>
    <xf numFmtId="2" fontId="0" fillId="0" borderId="0" xfId="0" applyNumberFormat="1" applyFill="1" applyAlignment="1" applyProtection="1">
      <alignment horizontal="center"/>
    </xf>
    <xf numFmtId="2" fontId="0" fillId="0" borderId="1" xfId="0" applyNumberFormat="1" applyFill="1" applyBorder="1" applyAlignment="1" applyProtection="1">
      <alignment horizontal="center"/>
    </xf>
    <xf numFmtId="0" fontId="0" fillId="0" borderId="0" xfId="0" applyNumberFormat="1" applyFill="1" applyAlignment="1" applyProtection="1">
      <alignment horizontal="center"/>
    </xf>
    <xf numFmtId="0" fontId="0" fillId="0" borderId="1" xfId="0" applyNumberFormat="1" applyFill="1" applyBorder="1" applyAlignment="1" applyProtection="1">
      <alignment horizontal="center"/>
    </xf>
    <xf numFmtId="0" fontId="4" fillId="0" borderId="0" xfId="0" applyFont="1" applyFill="1" applyProtection="1"/>
    <xf numFmtId="0" fontId="1" fillId="8" borderId="1" xfId="0" applyFont="1" applyFill="1" applyBorder="1" applyAlignment="1" applyProtection="1">
      <alignment horizontal="center" vertical="center"/>
    </xf>
    <xf numFmtId="0" fontId="1" fillId="5" borderId="1" xfId="0" applyFont="1" applyFill="1" applyBorder="1" applyAlignment="1" applyProtection="1">
      <alignment horizontal="center" vertical="center"/>
    </xf>
    <xf numFmtId="14" fontId="1" fillId="5" borderId="1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1" fillId="5" borderId="1" xfId="0" applyFont="1" applyFill="1" applyBorder="1" applyAlignment="1" applyProtection="1">
      <alignment horizontal="left" vertical="center"/>
    </xf>
    <xf numFmtId="14" fontId="1" fillId="5" borderId="0" xfId="0" applyNumberFormat="1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1" fillId="5" borderId="5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 vertical="center"/>
    </xf>
    <xf numFmtId="0" fontId="1" fillId="9" borderId="14" xfId="0" applyFont="1" applyFill="1" applyBorder="1" applyAlignment="1"/>
    <xf numFmtId="0" fontId="1" fillId="9" borderId="15" xfId="0" applyFont="1" applyFill="1" applyBorder="1" applyAlignment="1"/>
    <xf numFmtId="15" fontId="1" fillId="9" borderId="13" xfId="0" applyNumberFormat="1" applyFont="1" applyFill="1" applyBorder="1" applyAlignment="1"/>
    <xf numFmtId="15" fontId="1" fillId="9" borderId="14" xfId="0" applyNumberFormat="1" applyFont="1" applyFill="1" applyBorder="1" applyAlignment="1"/>
    <xf numFmtId="15" fontId="0" fillId="0" borderId="0" xfId="0" applyNumberFormat="1" applyFill="1" applyProtection="1"/>
    <xf numFmtId="0" fontId="6" fillId="0" borderId="0" xfId="0" applyFont="1" applyFill="1" applyProtection="1"/>
    <xf numFmtId="0" fontId="4" fillId="0" borderId="1" xfId="0" applyFont="1" applyFill="1" applyBorder="1" applyAlignment="1" applyProtection="1">
      <alignment horizontal="center" vertical="center"/>
    </xf>
    <xf numFmtId="0" fontId="0" fillId="0" borderId="7" xfId="0" applyFill="1" applyBorder="1" applyProtection="1"/>
    <xf numFmtId="0" fontId="0" fillId="0" borderId="8" xfId="0" applyFill="1" applyBorder="1" applyProtection="1"/>
    <xf numFmtId="0" fontId="0" fillId="0" borderId="9" xfId="0" applyFill="1" applyBorder="1" applyProtection="1"/>
    <xf numFmtId="0" fontId="2" fillId="2" borderId="1" xfId="0" applyFont="1" applyFill="1" applyBorder="1" applyAlignment="1" applyProtection="1">
      <alignment horizontal="center" vertical="center"/>
    </xf>
    <xf numFmtId="0" fontId="1" fillId="5" borderId="10" xfId="0" applyFont="1" applyFill="1" applyBorder="1" applyProtection="1"/>
    <xf numFmtId="0" fontId="1" fillId="5" borderId="11" xfId="0" applyFont="1" applyFill="1" applyBorder="1" applyProtection="1"/>
    <xf numFmtId="0" fontId="1" fillId="5" borderId="12" xfId="0" applyFont="1" applyFill="1" applyBorder="1" applyProtection="1"/>
    <xf numFmtId="0" fontId="5" fillId="7" borderId="2" xfId="0" applyFont="1" applyFill="1" applyBorder="1" applyAlignment="1" applyProtection="1">
      <alignment horizontal="center" vertical="center"/>
    </xf>
    <xf numFmtId="0" fontId="5" fillId="7" borderId="3" xfId="0" applyFont="1" applyFill="1" applyBorder="1" applyAlignment="1" applyProtection="1">
      <alignment horizontal="center" vertical="center"/>
    </xf>
    <xf numFmtId="0" fontId="5" fillId="7" borderId="4" xfId="0" applyFont="1" applyFill="1" applyBorder="1" applyAlignment="1" applyProtection="1">
      <alignment horizontal="center" vertical="center"/>
    </xf>
    <xf numFmtId="15" fontId="3" fillId="3" borderId="1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01"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left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alignment horizontal="left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vertic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vertic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vertical="center" readingOrder="0"/>
    </dxf>
    <dxf>
      <alignment horizontal="center" readingOrder="0"/>
    </dxf>
    <dxf>
      <alignment vertical="center" readingOrder="0"/>
    </dxf>
    <dxf>
      <alignment horizontal="left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readingOrder="0"/>
    </dxf>
    <dxf>
      <alignment vertical="center" readingOrder="0"/>
    </dxf>
    <dxf>
      <alignment horizont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vertic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vertic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vertical="center" readingOrder="0"/>
    </dxf>
    <dxf>
      <alignment horizontal="left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font>
        <b/>
        <color theme="0"/>
      </font>
      <fill>
        <patternFill patternType="solid">
          <fgColor indexed="64"/>
          <bgColor theme="3" tint="-0.249977111117893"/>
        </patternFill>
      </fill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145676</xdr:colOff>
      <xdr:row>0</xdr:row>
      <xdr:rowOff>123265</xdr:rowOff>
    </xdr:from>
    <xdr:to>
      <xdr:col>9</xdr:col>
      <xdr:colOff>145676</xdr:colOff>
      <xdr:row>2</xdr:row>
      <xdr:rowOff>89647</xdr:rowOff>
    </xdr:to>
    <xdr:sp macro="[0]!cmdRefresh" textlink="">
      <xdr:nvSpPr>
        <xdr:cNvPr id="2" name="Rounded Rectangle 1"/>
        <xdr:cNvSpPr/>
      </xdr:nvSpPr>
      <xdr:spPr>
        <a:xfrm>
          <a:off x="4179794" y="123265"/>
          <a:ext cx="1143000" cy="347382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600" b="1">
              <a:latin typeface="Arial Black" pitchFamily="34" charset="0"/>
            </a:rPr>
            <a:t>Refresh</a:t>
          </a:r>
          <a:endParaRPr lang="en-US" sz="1100" b="1">
            <a:latin typeface="Arial Black" pitchFamily="34" charset="0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gsantosh" refreshedDate="43424.765875462967" createdVersion="3" refreshedVersion="4" minRefreshableVersion="3" recordCount="4857">
  <cacheSource type="worksheet">
    <worksheetSource name="=Table1"/>
  </cacheSource>
  <cacheFields count="25">
    <cacheField name="Query Received date" numFmtId="14">
      <sharedItems containsSemiMixedTypes="0" containsNonDate="0" containsDate="1" containsString="0" minDate="2018-01-01T00:00:00" maxDate="2018-09-29T00:00:00" count="245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8T00:00:00"/>
        <d v="2018-02-19T00:00:00"/>
        <d v="2018-02-20T00:00:00"/>
        <d v="2018-02-21T00:00:00"/>
        <d v="2018-02-22T00:00:00"/>
        <d v="2018-02-23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5T00:00:00"/>
        <d v="2018-04-16T00:00:00"/>
        <d v="2018-04-17T00:00:00"/>
        <d v="2018-04-18T00:00:00"/>
        <d v="2018-04-19T00:00:00"/>
        <d v="2018-04-20T00:00:00"/>
        <d v="2018-04-22T00:00:00"/>
        <d v="2018-04-23T00:00:00"/>
        <d v="2018-04-24T00:00:00"/>
        <d v="2018-04-25T00:00:00"/>
        <d v="2018-04-26T00:00:00"/>
        <d v="2018-04-27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8T00:00:00"/>
        <d v="2018-05-09T00:00:00"/>
        <d v="2018-05-10T00:00:00"/>
        <d v="2018-05-11T00:00:00"/>
        <d v="2018-05-13T00:00:00"/>
        <d v="2018-05-14T00:00:00"/>
        <d v="2018-05-15T00:00:00"/>
        <d v="2018-05-16T00:00:00"/>
        <d v="2018-05-17T00:00:00"/>
        <d v="2018-05-18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6T00:00:00"/>
        <d v="2018-07-17T00:00:00"/>
        <d v="2018-07-18T00:00:00"/>
        <d v="2018-07-19T00:00:00"/>
        <d v="2018-07-20T00:00:00"/>
        <d v="2018-07-23T00:00:00"/>
        <d v="2018-07-24T00:00:00"/>
        <d v="2018-07-25T00:00:00"/>
        <d v="2018-07-26T00:00:00"/>
        <d v="2018-07-27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3T00:00:00"/>
        <d v="2018-09-24T00:00:00"/>
        <d v="2018-09-25T00:00:00"/>
        <d v="2018-09-26T00:00:00"/>
        <d v="2018-09-27T00:00:00"/>
        <d v="2018-09-28T00:00:00"/>
      </sharedItems>
      <fieldGroup base="0">
        <rangePr groupBy="months" startDate="2018-01-01T00:00:00" endDate="2018-09-29T00:00:00"/>
        <groupItems count="14">
          <s v="&lt;1/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29/2018"/>
        </groupItems>
      </fieldGroup>
    </cacheField>
    <cacheField name="Expected Completion Date" numFmtId="14">
      <sharedItems containsSemiMixedTypes="0" containsNonDate="0" containsDate="1" containsString="0" minDate="2018-01-05T00:00:00" maxDate="2018-10-13T00:00:00"/>
    </cacheField>
    <cacheField name="Completion Date" numFmtId="0">
      <sharedItems containsNonDate="0" containsDate="1" containsString="0" containsBlank="1" minDate="2018-01-02T00:00:00" maxDate="2018-09-29T00:00:00"/>
    </cacheField>
    <cacheField name="TAT" numFmtId="0">
      <sharedItems containsSemiMixedTypes="0" containsString="0" containsNumber="1" containsInteger="1" minValue="0" maxValue="93"/>
    </cacheField>
    <cacheField name="Request Type" numFmtId="0">
      <sharedItems count="9">
        <s v="Data Extraction"/>
        <s v="Project Profile Update"/>
        <s v="Specify New Project"/>
        <s v="Create/Update Company Profile"/>
        <s v="Custom Work – Request a Quote"/>
        <s v="Request Project Scan"/>
        <s v="Search Assistance"/>
        <s v="Query Methodology"/>
        <s v="Query Functionality"/>
      </sharedItems>
    </cacheField>
    <cacheField name="Bulk/Normal" numFmtId="0">
      <sharedItems count="2">
        <s v="Standard"/>
        <s v="Standard -Bulk"/>
      </sharedItems>
    </cacheField>
    <cacheField name="Priority" numFmtId="0">
      <sharedItems/>
    </cacheField>
    <cacheField name="Client Name" numFmtId="0">
      <sharedItems/>
    </cacheField>
    <cacheField name="Client Company" numFmtId="0">
      <sharedItems/>
    </cacheField>
    <cacheField name="Client Type" numFmtId="0">
      <sharedItems/>
    </cacheField>
    <cacheField name="For the Client Company" numFmtId="0">
      <sharedItems containsNonDate="0" containsString="0" containsBlank="1"/>
    </cacheField>
    <cacheField name="PID" numFmtId="0">
      <sharedItems containsString="0" containsBlank="1" containsNumber="1" containsInteger="1" minValue="102243" maxValue="269040"/>
    </cacheField>
    <cacheField name="Project Title/Kind of Comments" numFmtId="0">
      <sharedItems containsBlank="1"/>
    </cacheField>
    <cacheField name="Project Country" numFmtId="0">
      <sharedItems containsBlank="1"/>
    </cacheField>
    <cacheField name="Client Comment" numFmtId="0">
      <sharedItems longText="1"/>
    </cacheField>
    <cacheField name="Allocated To" numFmtId="0">
      <sharedItems/>
    </cacheField>
    <cacheField name="No of Projects Added" numFmtId="0">
      <sharedItems containsSemiMixedTypes="0" containsString="0" containsNumber="1" containsInteger="1" minValue="0" maxValue="17"/>
    </cacheField>
    <cacheField name="No of Projects updated" numFmtId="0">
      <sharedItems containsSemiMixedTypes="0" containsString="0" containsNumber="1" containsInteger="1" minValue="0" maxValue="25"/>
    </cacheField>
    <cacheField name="Query Status" numFmtId="0">
      <sharedItems count="2">
        <s v="Resolved"/>
        <s v="Unresolved"/>
      </sharedItems>
    </cacheField>
    <cacheField name="Success / Unsuccess" numFmtId="0">
      <sharedItems/>
    </cacheField>
    <cacheField name="Account Manager Name" numFmtId="0">
      <sharedItems/>
    </cacheField>
    <cacheField name="Key Client" numFmtId="0">
      <sharedItems count="2">
        <s v="Yes"/>
        <s v="No"/>
      </sharedItems>
    </cacheField>
    <cacheField name="Reason for Unsuccessful" numFmtId="0">
      <sharedItems containsBlank="1" longText="1"/>
    </cacheField>
    <cacheField name="Jira Id" numFmtId="0">
      <sharedItems/>
    </cacheField>
    <cacheField name="Response Summary" numFmtId="0">
      <sharedItems containsBlank="1"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4" minRefreshableVersion="3" showCalcMbrs="0" showDrill="0" itemPrintTitles="1" createdVersion="3" indent="0" outline="1" outlineData="1" multipleFieldFilters="0" rowHeaderCaption="Client Type / Monthly TAT">
  <location ref="B45:L53" firstHeaderRow="1" firstDataRow="2" firstDataCol="1" rowPageCount="1" colPageCount="1"/>
  <pivotFields count="25"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dataField="1"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axis="axisRow" showAll="0" sortType="ascending">
      <items count="3">
        <item n="Key Client" x="0"/>
        <item n="Normal Client" x="1"/>
        <item t="default"/>
      </items>
    </pivotField>
    <pivotField showAll="0"/>
    <pivotField showAll="0"/>
    <pivotField showAll="0"/>
  </pivotFields>
  <rowFields count="2">
    <field x="21"/>
    <field x="5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18" item="0" hier="-1"/>
  </pageFields>
  <dataFields count="1">
    <dataField name="Count of TAT" fld="3" subtotal="count" baseField="0" baseItem="0"/>
  </dataFields>
  <formats count="7">
    <format dxfId="45">
      <pivotArea field="21" type="button" dataOnly="0" labelOnly="1" outline="0" axis="axisRow" fieldPosition="0"/>
    </format>
    <format dxfId="44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43">
      <pivotArea dataOnly="0" labelOnly="1" grandCol="1" outline="0" fieldPosition="0"/>
    </format>
    <format dxfId="42">
      <pivotArea outline="0" collapsedLevelsAreSubtotals="1" fieldPosition="0"/>
    </format>
    <format dxfId="41">
      <pivotArea outline="0" collapsedLevelsAreSubtotals="1" fieldPosition="0"/>
    </format>
    <format dxfId="40">
      <pivotArea field="21" type="button" dataOnly="0" labelOnly="1" outline="0" axis="axisRow" fieldPosition="0"/>
    </format>
    <format dxfId="39">
      <pivotArea field="18" dataOnly="0" grandRow="1" axis="axisPage" fieldPosition="0">
        <references count="1">
          <reference field="18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4" minRefreshableVersion="3" showCalcMbrs="0" showDrill="0" itemPrintTitles="1" createdVersion="3" indent="0" outline="1" outlineData="1" multipleFieldFilters="0" rowHeaderCaption="Client Type / Monthly TAT">
  <location ref="B32:L40" firstHeaderRow="1" firstDataRow="2" firstDataCol="1" rowPageCount="1" colPageCount="1"/>
  <pivotFields count="25"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dataField="1"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axis="axisRow" showAll="0" sortType="descending">
      <items count="3">
        <item n="Normal Client" x="1"/>
        <item n="Key Client" x="0"/>
        <item t="default"/>
      </items>
    </pivotField>
    <pivotField showAll="0"/>
    <pivotField showAll="0"/>
    <pivotField showAll="0"/>
  </pivotFields>
  <rowFields count="2">
    <field x="21"/>
    <field x="5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1">
    <pageField fld="18" item="0" hier="-1"/>
  </pageFields>
  <dataFields count="1">
    <dataField name="Average of TAT" fld="3" subtotal="average" baseField="0" baseItem="0" numFmtId="2"/>
  </dataFields>
  <formats count="15">
    <format dxfId="60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9">
      <pivotArea dataOnly="0" labelOnly="1" grandCol="1" outline="0" fieldPosition="0"/>
    </format>
    <format dxfId="58">
      <pivotArea field="21" type="button" dataOnly="0" labelOnly="1" outline="0" axis="axisRow" fieldPosition="0"/>
    </format>
    <format dxfId="57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6">
      <pivotArea dataOnly="0" labelOnly="1" grandCol="1" outline="0" fieldPosition="0"/>
    </format>
    <format dxfId="55">
      <pivotArea field="21" type="button" dataOnly="0" labelOnly="1" outline="0" axis="axisRow" fieldPosition="0"/>
    </format>
    <format dxfId="54">
      <pivotArea field="18" dataOnly="0" grandRow="1" axis="axisPage" fieldPosition="0">
        <references count="1">
          <reference field="18" count="1" selected="0">
            <x v="0"/>
          </reference>
        </references>
      </pivotArea>
    </format>
    <format dxfId="53">
      <pivotArea field="21" type="button" dataOnly="0" labelOnly="1" outline="0" axis="axisRow" fieldPosition="0"/>
    </format>
    <format dxfId="52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1">
      <pivotArea dataOnly="0" labelOnly="1" grandCol="1" outline="0" fieldPosition="0"/>
    </format>
    <format dxfId="50">
      <pivotArea outline="0" collapsedLevelsAreSubtotals="1" fieldPosition="0"/>
    </format>
    <format dxfId="49">
      <pivotArea field="21" type="button" dataOnly="0" labelOnly="1" outline="0" axis="axisRow" fieldPosition="0"/>
    </format>
    <format dxfId="48">
      <pivotArea dataOnly="0" labelOnly="1" fieldPosition="0">
        <references count="1">
          <reference field="0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47">
      <pivotArea dataOnly="0" labelOnly="1" grandCol="1" outline="0" fieldPosition="0"/>
    </format>
    <format dxfId="46">
      <pivotArea field="21" type="button" dataOnly="0" labelOnly="1" outline="0" axis="axisRow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showCalcMbrs="0" itemPrintTitles="1" createdVersion="3" indent="0" outline="1" outlineData="1" multipleFieldFilters="0" rowHeaderCaption="Request Type by Client Type">
  <location ref="B17:E27" firstHeaderRow="1" firstDataRow="2" firstDataCol="1" rowPageCount="1" colPageCount="1"/>
  <pivotFields count="25">
    <pivotField numFmtId="14" showAll="0"/>
    <pivotField numFmtId="14" showAll="0"/>
    <pivotField showAll="0"/>
    <pivotField dataField="1" showAll="0"/>
    <pivotField axis="axisRow" showAll="0">
      <items count="10">
        <item x="3"/>
        <item h="1" x="4"/>
        <item x="0"/>
        <item x="1"/>
        <item x="8"/>
        <item x="7"/>
        <item x="5"/>
        <item x="6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axis="axisCol" showAll="0">
      <items count="3">
        <item n="Normal Client" x="1"/>
        <item n="Key Client" x="0"/>
        <item t="default"/>
      </items>
    </pivotField>
    <pivotField showAll="0"/>
    <pivotField showAll="0"/>
    <pivotField showAll="0"/>
  </pivotFields>
  <rowFields count="1">
    <field x="4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1"/>
  </colFields>
  <colItems count="3">
    <i>
      <x/>
    </i>
    <i>
      <x v="1"/>
    </i>
    <i t="grand">
      <x/>
    </i>
  </colItems>
  <pageFields count="1">
    <pageField fld="18" item="0" hier="-1"/>
  </pageFields>
  <dataFields count="1">
    <dataField name="Count of TAT" fld="3" subtotal="count" baseField="0" baseItem="0"/>
  </dataFields>
  <formats count="13">
    <format dxfId="73">
      <pivotArea field="4" type="button" dataOnly="0" labelOnly="1" outline="0" axis="axisRow" fieldPosition="0"/>
    </format>
    <format dxfId="72">
      <pivotArea dataOnly="0" labelOnly="1" fieldPosition="0">
        <references count="1">
          <reference field="21" count="0"/>
        </references>
      </pivotArea>
    </format>
    <format dxfId="71">
      <pivotArea dataOnly="0" labelOnly="1" grandCol="1" outline="0" fieldPosition="0"/>
    </format>
    <format dxfId="70">
      <pivotArea grandRow="1" outline="0" collapsedLevelsAreSubtotals="1" fieldPosition="0"/>
    </format>
    <format dxfId="69">
      <pivotArea dataOnly="0" labelOnly="1" grandRow="1" outline="0" fieldPosition="0"/>
    </format>
    <format dxfId="68">
      <pivotArea field="4" type="button" dataOnly="0" labelOnly="1" outline="0" axis="axisRow" fieldPosition="0"/>
    </format>
    <format dxfId="67">
      <pivotArea dataOnly="0" labelOnly="1" fieldPosition="0">
        <references count="1">
          <reference field="21" count="0"/>
        </references>
      </pivotArea>
    </format>
    <format dxfId="66">
      <pivotArea dataOnly="0" labelOnly="1" grandCol="1" outline="0" fieldPosition="0"/>
    </format>
    <format dxfId="65">
      <pivotArea outline="0" collapsedLevelsAreSubtotals="1" fieldPosition="0"/>
    </format>
    <format dxfId="64">
      <pivotArea field="4" type="button" dataOnly="0" labelOnly="1" outline="0" axis="axisRow" fieldPosition="0"/>
    </format>
    <format dxfId="63">
      <pivotArea dataOnly="0" labelOnly="1" fieldPosition="0">
        <references count="1">
          <reference field="21" count="0"/>
        </references>
      </pivotArea>
    </format>
    <format dxfId="62">
      <pivotArea dataOnly="0" labelOnly="1" grandCol="1" outline="0" fieldPosition="0"/>
    </format>
    <format dxfId="61">
      <pivotArea field="4" type="button" dataOnly="0" labelOnly="1" outline="0" axis="axisRow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" displayName="Table1" ref="B4:Z5" totalsRowShown="0" headerRowDxfId="100" dataDxfId="99">
  <autoFilter ref="B4:Z5"/>
  <sortState ref="B5:Z4861">
    <sortCondition ref="B4"/>
  </sortState>
  <tableColumns count="25">
    <tableColumn id="1" name="Query Received date" dataDxfId="98"/>
    <tableColumn id="2" name="Expected Completion Date" dataDxfId="97"/>
    <tableColumn id="3" name="Completion Date" dataDxfId="96"/>
    <tableColumn id="4" name="TAT" dataDxfId="95"/>
    <tableColumn id="5" name="Request Type" dataDxfId="94"/>
    <tableColumn id="6" name="Bulk/Normal" dataDxfId="93"/>
    <tableColumn id="7" name="Priority" dataDxfId="92"/>
    <tableColumn id="8" name="Client Name" dataDxfId="91"/>
    <tableColumn id="9" name="Client Company" dataDxfId="90"/>
    <tableColumn id="10" name="Client Type" dataDxfId="89"/>
    <tableColumn id="11" name="For the Client Company" dataDxfId="88"/>
    <tableColumn id="12" name="PID" dataDxfId="87"/>
    <tableColumn id="13" name="Project Title/Kind of Comments" dataDxfId="86"/>
    <tableColumn id="14" name="Project Country" dataDxfId="85"/>
    <tableColumn id="15" name="Client Comment" dataDxfId="84"/>
    <tableColumn id="16" name="Allocated To" dataDxfId="83"/>
    <tableColumn id="17" name="No of Projects Added" dataDxfId="82"/>
    <tableColumn id="18" name="No of Projects updated" dataDxfId="81"/>
    <tableColumn id="19" name="Query Status" dataDxfId="80"/>
    <tableColumn id="20" name="Success / Unsuccess" dataDxfId="79"/>
    <tableColumn id="21" name="Account Manager Name" dataDxfId="78"/>
    <tableColumn id="22" name="Key Client" dataDxfId="77"/>
    <tableColumn id="23" name="Reason for Unsuccessful" dataDxfId="76"/>
    <tableColumn id="24" name="Jira Id" dataDxfId="75"/>
    <tableColumn id="25" name="Response Summary" dataDxfId="7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Z5"/>
  <sheetViews>
    <sheetView showGridLines="0" zoomScale="85" zoomScaleNormal="85" workbookViewId="0">
      <selection activeCell="B5" sqref="B5"/>
    </sheetView>
  </sheetViews>
  <sheetFormatPr defaultRowHeight="15" x14ac:dyDescent="0.25"/>
  <cols>
    <col min="1" max="1" width="9.140625" customWidth="1"/>
    <col min="2" max="26" width="8.5703125" customWidth="1"/>
    <col min="27" max="27" width="21" customWidth="1"/>
  </cols>
  <sheetData>
    <row r="2" spans="2:26" x14ac:dyDescent="0.25">
      <c r="B2" t="s">
        <v>0</v>
      </c>
      <c r="C2" t="s">
        <v>1</v>
      </c>
    </row>
    <row r="4" spans="2:26" x14ac:dyDescent="0.25"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  <c r="J4" s="1" t="s">
        <v>10</v>
      </c>
      <c r="K4" s="1" t="s">
        <v>11</v>
      </c>
      <c r="L4" s="1" t="s">
        <v>12</v>
      </c>
      <c r="M4" s="1" t="s">
        <v>13</v>
      </c>
      <c r="N4" s="1" t="s">
        <v>14</v>
      </c>
      <c r="O4" s="1" t="s">
        <v>15</v>
      </c>
      <c r="P4" s="1" t="s">
        <v>16</v>
      </c>
      <c r="Q4" s="1" t="s">
        <v>17</v>
      </c>
      <c r="R4" s="1" t="s">
        <v>18</v>
      </c>
      <c r="S4" s="1" t="s">
        <v>19</v>
      </c>
      <c r="T4" s="1" t="s">
        <v>20</v>
      </c>
      <c r="U4" s="1" t="s">
        <v>21</v>
      </c>
      <c r="V4" s="1" t="s">
        <v>22</v>
      </c>
      <c r="W4" s="1" t="s">
        <v>23</v>
      </c>
      <c r="X4" s="1" t="s">
        <v>24</v>
      </c>
      <c r="Y4" s="1" t="s">
        <v>25</v>
      </c>
      <c r="Z4" s="1" t="s">
        <v>26</v>
      </c>
    </row>
    <row r="5" spans="2:26" x14ac:dyDescent="0.25">
      <c r="B5" s="2">
        <v>43101</v>
      </c>
      <c r="C5" s="2">
        <v>43108</v>
      </c>
      <c r="D5" s="2">
        <v>43105</v>
      </c>
      <c r="E5" s="1">
        <v>4</v>
      </c>
      <c r="F5" s="1" t="s">
        <v>37</v>
      </c>
      <c r="G5" s="1" t="s">
        <v>28</v>
      </c>
      <c r="H5" s="1" t="s">
        <v>34</v>
      </c>
      <c r="I5" s="1" t="s">
        <v>46</v>
      </c>
      <c r="J5" s="1" t="s">
        <v>45</v>
      </c>
      <c r="K5" s="1" t="s">
        <v>29</v>
      </c>
      <c r="L5" s="1"/>
      <c r="M5" s="1"/>
      <c r="N5" s="1"/>
      <c r="O5" s="1"/>
      <c r="P5" s="1" t="s">
        <v>47</v>
      </c>
      <c r="Q5" s="1" t="s">
        <v>44</v>
      </c>
      <c r="R5" s="1">
        <v>0</v>
      </c>
      <c r="S5" s="1">
        <v>0</v>
      </c>
      <c r="T5" s="1" t="s">
        <v>30</v>
      </c>
      <c r="U5" s="1" t="s">
        <v>40</v>
      </c>
      <c r="V5" s="1" t="s">
        <v>32</v>
      </c>
      <c r="W5" s="1" t="s">
        <v>35</v>
      </c>
      <c r="X5" s="1"/>
      <c r="Y5" s="1" t="s">
        <v>48</v>
      </c>
      <c r="Z5" s="1" t="s">
        <v>73</v>
      </c>
    </row>
  </sheetData>
  <conditionalFormatting sqref="P4">
    <cfRule type="expression" dxfId="3" priority="2">
      <formula>SUMPRODUCT(--ISNUMBER(SEARCH(Client_Comment,P5)))&gt;0</formula>
    </cfRule>
  </conditionalFormatting>
  <conditionalFormatting sqref="Z5">
    <cfRule type="expression" dxfId="2" priority="1">
      <formula>SUMPRODUCT(--ISNUMBER(SEARCH(Response_Summary,Z5)))&gt;0</formula>
    </cfRule>
  </conditionalFormatting>
  <conditionalFormatting sqref="P5">
    <cfRule type="expression" dxfId="1" priority="4">
      <formula>SUMPRODUCT(--ISNUMBER(SEARCH(Client_Comment,#REF!)))&gt;0</formula>
    </cfRule>
  </conditionalFormatting>
  <pageMargins left="0.75" right="0.75" top="0.75" bottom="0.5" header="0.5" footer="0.75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Q53"/>
  <sheetViews>
    <sheetView showGridLines="0" tabSelected="1" zoomScale="85" zoomScaleNormal="85" workbookViewId="0"/>
  </sheetViews>
  <sheetFormatPr defaultRowHeight="15" x14ac:dyDescent="0.25"/>
  <cols>
    <col min="2" max="2" width="30" bestFit="1" customWidth="1"/>
    <col min="3" max="10" width="16.140625" customWidth="1"/>
    <col min="11" max="12" width="11.28515625" customWidth="1"/>
    <col min="13" max="13" width="16.42578125" bestFit="1" customWidth="1"/>
    <col min="14" max="14" width="2.85546875" customWidth="1"/>
    <col min="15" max="15" width="19.5703125" bestFit="1" customWidth="1"/>
    <col min="16" max="16" width="2.85546875" customWidth="1"/>
    <col min="17" max="17" width="25" bestFit="1" customWidth="1"/>
    <col min="18" max="246" width="16.140625" bestFit="1" customWidth="1"/>
    <col min="247" max="247" width="11.28515625" bestFit="1" customWidth="1"/>
  </cols>
  <sheetData>
    <row r="2" spans="2:17" x14ac:dyDescent="0.25">
      <c r="C2" s="41" t="s">
        <v>53</v>
      </c>
      <c r="D2" s="41"/>
      <c r="E2" s="41" t="s">
        <v>54</v>
      </c>
      <c r="F2" s="41"/>
      <c r="N2" s="20" t="s">
        <v>90</v>
      </c>
    </row>
    <row r="3" spans="2:17" ht="15.75" x14ac:dyDescent="0.25">
      <c r="C3" s="48">
        <v>43344</v>
      </c>
      <c r="D3" s="48"/>
      <c r="E3" s="48">
        <v>43371</v>
      </c>
      <c r="F3" s="48"/>
    </row>
    <row r="4" spans="2:17" x14ac:dyDescent="0.25">
      <c r="M4" s="37" t="s">
        <v>71</v>
      </c>
      <c r="O4" s="37" t="s">
        <v>72</v>
      </c>
      <c r="Q4" s="37" t="s">
        <v>70</v>
      </c>
    </row>
    <row r="5" spans="2:17" ht="15.75" x14ac:dyDescent="0.25">
      <c r="C5" s="15" t="s">
        <v>69</v>
      </c>
      <c r="D5" s="45" t="s">
        <v>3</v>
      </c>
      <c r="E5" s="46"/>
      <c r="F5" s="47"/>
      <c r="M5" s="37"/>
      <c r="O5" s="37"/>
      <c r="Q5" s="37"/>
    </row>
    <row r="6" spans="2:17" x14ac:dyDescent="0.25">
      <c r="M6" s="21" t="s">
        <v>64</v>
      </c>
      <c r="O6" s="21" t="s">
        <v>64</v>
      </c>
      <c r="Q6" s="7" t="s">
        <v>69</v>
      </c>
    </row>
    <row r="7" spans="2:17" x14ac:dyDescent="0.25">
      <c r="B7" s="42" t="s">
        <v>51</v>
      </c>
      <c r="C7" s="43"/>
      <c r="D7" s="44"/>
      <c r="E7" s="29" t="s">
        <v>55</v>
      </c>
      <c r="F7" s="29" t="s">
        <v>7</v>
      </c>
      <c r="M7" s="3" t="s">
        <v>60</v>
      </c>
      <c r="O7" s="3" t="s">
        <v>65</v>
      </c>
      <c r="Q7" s="3" t="s">
        <v>2</v>
      </c>
    </row>
    <row r="8" spans="2:17" x14ac:dyDescent="0.25">
      <c r="B8" s="38" t="s">
        <v>52</v>
      </c>
      <c r="C8" s="39"/>
      <c r="D8" s="40"/>
      <c r="E8" s="8" t="e">
        <f ca="1">AVERAGEIFS(Table1[TAT],INDIRECT("Table1["&amp;$D$5&amp;"]"),"&gt;="&amp;$C$3,INDIRECT("Table1["&amp;$D$5&amp;"]"),"&lt;="&amp;$E$3,Table1[Query Status],"Resolved")</f>
        <v>#DIV/0!</v>
      </c>
      <c r="F8" s="8" t="e">
        <f ca="1">AVERAGEIFS(Table1[TAT],INDIRECT("Table1["&amp;$D$5&amp;"]"),"&gt;="&amp;$C$3,INDIRECT("Table1["&amp;$D$5&amp;"]"),"&lt;="&amp;$E$3,Table1[Query Status],"Resolved",Table1[Bulk/Normal],"&lt;&gt;Standard -Bulk")</f>
        <v>#DIV/0!</v>
      </c>
      <c r="M8" s="3" t="s">
        <v>61</v>
      </c>
      <c r="O8" s="3" t="s">
        <v>66</v>
      </c>
      <c r="Q8" s="3" t="s">
        <v>3</v>
      </c>
    </row>
    <row r="9" spans="2:17" x14ac:dyDescent="0.25">
      <c r="B9" s="38" t="s">
        <v>56</v>
      </c>
      <c r="C9" s="39"/>
      <c r="D9" s="40"/>
      <c r="E9" s="4">
        <f ca="1">AVERAGEIFS(Table1[TAT],INDIRECT("Table1["&amp;$D$5&amp;"]"),"&gt;="&amp;DATE(YEAR(E3),MONTH(1),DAY(1)),INDIRECT("Table1["&amp;$D$5&amp;"]"),"&lt;="&amp;$E$3,Table1[Query Status],"Resolved")</f>
        <v>4</v>
      </c>
      <c r="F9" s="4">
        <f ca="1">AVERAGEIFS(Table1[TAT],INDIRECT("Table1["&amp;$D$5&amp;"]"),"&gt;="&amp;DATE(YEAR(E3),MONTH(1),DAY(1)),INDIRECT("Table1["&amp;$D$5&amp;"]"),"&lt;="&amp;$E$3,Table1[Query Status],"Resolved",Table1[Bulk/Normal],"&lt;&gt;Standard -Bulk")</f>
        <v>4</v>
      </c>
      <c r="M9" s="3" t="s">
        <v>62</v>
      </c>
      <c r="O9" s="3" t="s">
        <v>67</v>
      </c>
      <c r="Q9" s="3" t="s">
        <v>4</v>
      </c>
    </row>
    <row r="10" spans="2:17" x14ac:dyDescent="0.25">
      <c r="B10" s="38" t="s">
        <v>57</v>
      </c>
      <c r="C10" s="39"/>
      <c r="D10" s="40"/>
      <c r="E10" s="5" t="e">
        <f ca="1">(COUNTIFS(INDIRECT("Table1["&amp;$D$5&amp;"]"),"&gt;="&amp;$C$3,INDIRECT("Table1["&amp;$D$5&amp;"]"),"&lt;="&amp;$E$3,Table1[Success / Unsuccess],"Successful")+COUNTIFS(INDIRECT("Table1["&amp;$D$5&amp;"]"),"&gt;="&amp;$C$3,INDIRECT("Table1["&amp;$D$5&amp;"]"),"&lt;="&amp;$E$3,Table1[Success / Unsuccess],"Partially successful"))/(COUNTIFS(INDIRECT("Table1["&amp;$D$5&amp;"]"),"&gt;="&amp;$C$3,INDIRECT("Table1["&amp;$D$5&amp;"]"),"&lt;="&amp;$E$3,Table1[Query Status],"Resolved")-SUM(COUNTIFS(INDIRECT("Table1["&amp;$D$5&amp;"]"),"&gt;="&amp;$C$3,INDIRECT("Table1["&amp;$D$5&amp;"]"),"&lt;="&amp;$E$3,Table1[Response Summary],{"duplicate*";"test*"})))</f>
        <v>#DIV/0!</v>
      </c>
      <c r="F10" s="30" t="s">
        <v>91</v>
      </c>
      <c r="M10" s="3" t="s">
        <v>63</v>
      </c>
      <c r="O10" s="3" t="s">
        <v>63</v>
      </c>
    </row>
    <row r="11" spans="2:17" x14ac:dyDescent="0.25">
      <c r="B11" s="38" t="s">
        <v>58</v>
      </c>
      <c r="C11" s="39"/>
      <c r="D11" s="40"/>
      <c r="E11" s="6"/>
      <c r="F11" s="30" t="s">
        <v>91</v>
      </c>
      <c r="M11" s="3" t="s">
        <v>68</v>
      </c>
      <c r="O11" s="3" t="s">
        <v>61</v>
      </c>
    </row>
    <row r="12" spans="2:17" x14ac:dyDescent="0.25">
      <c r="B12" s="38" t="s">
        <v>59</v>
      </c>
      <c r="C12" s="39"/>
      <c r="D12" s="40"/>
      <c r="E12" s="6"/>
      <c r="F12" s="30" t="s">
        <v>91</v>
      </c>
    </row>
    <row r="15" spans="2:17" x14ac:dyDescent="0.25">
      <c r="B15" s="9" t="s">
        <v>20</v>
      </c>
      <c r="C15" t="s">
        <v>30</v>
      </c>
    </row>
    <row r="17" spans="2:5" x14ac:dyDescent="0.25">
      <c r="B17" s="9" t="s">
        <v>85</v>
      </c>
      <c r="C17" s="9" t="s">
        <v>74</v>
      </c>
    </row>
    <row r="18" spans="2:5" x14ac:dyDescent="0.25">
      <c r="B18" s="25" t="s">
        <v>88</v>
      </c>
      <c r="C18" s="22" t="s">
        <v>86</v>
      </c>
      <c r="D18" s="22" t="s">
        <v>23</v>
      </c>
      <c r="E18" s="22" t="s">
        <v>75</v>
      </c>
    </row>
    <row r="19" spans="2:5" x14ac:dyDescent="0.25">
      <c r="B19" s="10" t="s">
        <v>39</v>
      </c>
      <c r="C19" s="18">
        <v>176</v>
      </c>
      <c r="D19" s="18">
        <v>40</v>
      </c>
      <c r="E19" s="18">
        <v>216</v>
      </c>
    </row>
    <row r="20" spans="2:5" x14ac:dyDescent="0.25">
      <c r="B20" s="10" t="s">
        <v>37</v>
      </c>
      <c r="C20" s="18">
        <v>369</v>
      </c>
      <c r="D20" s="18">
        <v>408</v>
      </c>
      <c r="E20" s="18">
        <v>777</v>
      </c>
    </row>
    <row r="21" spans="2:5" x14ac:dyDescent="0.25">
      <c r="B21" s="10" t="s">
        <v>27</v>
      </c>
      <c r="C21" s="18">
        <v>2272</v>
      </c>
      <c r="D21" s="18">
        <v>655</v>
      </c>
      <c r="E21" s="18">
        <v>2927</v>
      </c>
    </row>
    <row r="22" spans="2:5" x14ac:dyDescent="0.25">
      <c r="B22" s="10" t="s">
        <v>43</v>
      </c>
      <c r="C22" s="18">
        <v>5</v>
      </c>
      <c r="D22" s="18">
        <v>1</v>
      </c>
      <c r="E22" s="18">
        <v>6</v>
      </c>
    </row>
    <row r="23" spans="2:5" x14ac:dyDescent="0.25">
      <c r="B23" s="10" t="s">
        <v>41</v>
      </c>
      <c r="C23" s="18">
        <v>10</v>
      </c>
      <c r="D23" s="18">
        <v>3</v>
      </c>
      <c r="E23" s="18">
        <v>13</v>
      </c>
    </row>
    <row r="24" spans="2:5" x14ac:dyDescent="0.25">
      <c r="B24" s="10" t="s">
        <v>33</v>
      </c>
      <c r="C24" s="18">
        <v>209</v>
      </c>
      <c r="D24" s="18">
        <v>40</v>
      </c>
      <c r="E24" s="18">
        <v>249</v>
      </c>
    </row>
    <row r="25" spans="2:5" x14ac:dyDescent="0.25">
      <c r="B25" s="10" t="s">
        <v>38</v>
      </c>
      <c r="C25" s="18">
        <v>44</v>
      </c>
      <c r="D25" s="18">
        <v>30</v>
      </c>
      <c r="E25" s="18">
        <v>74</v>
      </c>
    </row>
    <row r="26" spans="2:5" x14ac:dyDescent="0.25">
      <c r="B26" s="10" t="s">
        <v>36</v>
      </c>
      <c r="C26" s="18">
        <v>335</v>
      </c>
      <c r="D26" s="18">
        <v>117</v>
      </c>
      <c r="E26" s="18">
        <v>452</v>
      </c>
    </row>
    <row r="27" spans="2:5" x14ac:dyDescent="0.25">
      <c r="B27" s="11" t="s">
        <v>75</v>
      </c>
      <c r="C27" s="19">
        <v>3420</v>
      </c>
      <c r="D27" s="19">
        <v>1294</v>
      </c>
      <c r="E27" s="19">
        <v>4714</v>
      </c>
    </row>
    <row r="28" spans="2:5" x14ac:dyDescent="0.25">
      <c r="B28" s="13"/>
      <c r="C28" s="14"/>
      <c r="D28" s="14"/>
      <c r="E28" s="14"/>
    </row>
    <row r="29" spans="2:5" x14ac:dyDescent="0.25">
      <c r="B29" s="13"/>
      <c r="C29" s="14"/>
      <c r="D29" s="14"/>
      <c r="E29" s="14"/>
    </row>
    <row r="30" spans="2:5" x14ac:dyDescent="0.25">
      <c r="B30" s="9" t="s">
        <v>20</v>
      </c>
      <c r="C30" t="s">
        <v>30</v>
      </c>
    </row>
    <row r="32" spans="2:5" x14ac:dyDescent="0.25">
      <c r="B32" s="9" t="s">
        <v>87</v>
      </c>
      <c r="C32" s="9" t="s">
        <v>74</v>
      </c>
    </row>
    <row r="33" spans="2:12" x14ac:dyDescent="0.25">
      <c r="B33" s="25" t="s">
        <v>89</v>
      </c>
      <c r="C33" s="23" t="s">
        <v>76</v>
      </c>
      <c r="D33" s="23" t="s">
        <v>77</v>
      </c>
      <c r="E33" s="23" t="s">
        <v>78</v>
      </c>
      <c r="F33" s="23" t="s">
        <v>79</v>
      </c>
      <c r="G33" s="23" t="s">
        <v>80</v>
      </c>
      <c r="H33" s="23" t="s">
        <v>81</v>
      </c>
      <c r="I33" s="23" t="s">
        <v>82</v>
      </c>
      <c r="J33" s="23" t="s">
        <v>83</v>
      </c>
      <c r="K33" s="23" t="s">
        <v>84</v>
      </c>
      <c r="L33" s="23" t="s">
        <v>75</v>
      </c>
    </row>
    <row r="34" spans="2:12" x14ac:dyDescent="0.25">
      <c r="B34" s="10" t="s">
        <v>86</v>
      </c>
      <c r="C34" s="16">
        <v>13.145496535796767</v>
      </c>
      <c r="D34" s="16">
        <v>4.9140127388535033</v>
      </c>
      <c r="E34" s="16">
        <v>5.2450142450142447</v>
      </c>
      <c r="F34" s="16">
        <v>7.168674698795181</v>
      </c>
      <c r="G34" s="16">
        <v>6.1544502617801049</v>
      </c>
      <c r="H34" s="16">
        <v>13.99054820415879</v>
      </c>
      <c r="I34" s="16">
        <v>5.3423423423423424</v>
      </c>
      <c r="J34" s="16">
        <v>6.2978723404255321</v>
      </c>
      <c r="K34" s="16">
        <v>5.5328719723183388</v>
      </c>
      <c r="L34" s="16">
        <v>8.0505552308591461</v>
      </c>
    </row>
    <row r="35" spans="2:12" x14ac:dyDescent="0.25">
      <c r="B35" s="12" t="s">
        <v>28</v>
      </c>
      <c r="C35" s="16">
        <v>5.6646884272997031</v>
      </c>
      <c r="D35" s="16">
        <v>4.5473684210526315</v>
      </c>
      <c r="E35" s="16">
        <v>5.080597014925373</v>
      </c>
      <c r="F35" s="16">
        <v>5.4373088685015292</v>
      </c>
      <c r="G35" s="16">
        <v>5.2133757961783438</v>
      </c>
      <c r="H35" s="16">
        <v>10.6675</v>
      </c>
      <c r="I35" s="16">
        <v>4.8929765886287626</v>
      </c>
      <c r="J35" s="16">
        <v>5.4371257485029938</v>
      </c>
      <c r="K35" s="16">
        <v>4.4505928853754941</v>
      </c>
      <c r="L35" s="16">
        <v>5.8925104022191404</v>
      </c>
    </row>
    <row r="36" spans="2:12" x14ac:dyDescent="0.25">
      <c r="B36" s="12" t="s">
        <v>42</v>
      </c>
      <c r="C36" s="16">
        <v>39.40625</v>
      </c>
      <c r="D36" s="16">
        <v>8.5172413793103452</v>
      </c>
      <c r="E36" s="16">
        <v>8.6875</v>
      </c>
      <c r="F36" s="16">
        <v>13.602272727272727</v>
      </c>
      <c r="G36" s="16">
        <v>10.5</v>
      </c>
      <c r="H36" s="16">
        <v>24.294573643410853</v>
      </c>
      <c r="I36" s="16">
        <v>9.2941176470588243</v>
      </c>
      <c r="J36" s="16">
        <v>13.142857142857142</v>
      </c>
      <c r="K36" s="16">
        <v>13.138888888888889</v>
      </c>
      <c r="L36" s="16">
        <v>19.618959107806692</v>
      </c>
    </row>
    <row r="37" spans="2:12" x14ac:dyDescent="0.25">
      <c r="B37" s="10" t="s">
        <v>23</v>
      </c>
      <c r="C37" s="16">
        <v>7.1383647798742142</v>
      </c>
      <c r="D37" s="16">
        <v>5.120967741935484</v>
      </c>
      <c r="E37" s="16">
        <v>7.93</v>
      </c>
      <c r="F37" s="16">
        <v>8.2015503875968996</v>
      </c>
      <c r="G37" s="16">
        <v>8.5403225806451619</v>
      </c>
      <c r="H37" s="16">
        <v>5.5395683453237412</v>
      </c>
      <c r="I37" s="16">
        <v>6.4782608695652177</v>
      </c>
      <c r="J37" s="16">
        <v>11.418367346938776</v>
      </c>
      <c r="K37" s="16">
        <v>4.967741935483871</v>
      </c>
      <c r="L37" s="16">
        <v>7.5981452859350851</v>
      </c>
    </row>
    <row r="38" spans="2:12" x14ac:dyDescent="0.25">
      <c r="B38" s="12" t="s">
        <v>28</v>
      </c>
      <c r="C38" s="16">
        <v>6.5608108108108105</v>
      </c>
      <c r="D38" s="16">
        <v>4.7456140350877192</v>
      </c>
      <c r="E38" s="16">
        <v>5.7922077922077921</v>
      </c>
      <c r="F38" s="16">
        <v>5.2336448598130838</v>
      </c>
      <c r="G38" s="16">
        <v>5.416666666666667</v>
      </c>
      <c r="H38" s="16">
        <v>5.0634920634920633</v>
      </c>
      <c r="I38" s="16">
        <v>6.4615384615384617</v>
      </c>
      <c r="J38" s="16">
        <v>5.318965517241379</v>
      </c>
      <c r="K38" s="16">
        <v>4.967741935483871</v>
      </c>
      <c r="L38" s="16">
        <v>5.6138706654170569</v>
      </c>
    </row>
    <row r="39" spans="2:12" x14ac:dyDescent="0.25">
      <c r="B39" s="12" t="s">
        <v>42</v>
      </c>
      <c r="C39" s="16">
        <v>14.909090909090908</v>
      </c>
      <c r="D39" s="16">
        <v>9.4</v>
      </c>
      <c r="E39" s="16">
        <v>15.086956521739131</v>
      </c>
      <c r="F39" s="16">
        <v>22.636363636363637</v>
      </c>
      <c r="G39" s="16">
        <v>15.1</v>
      </c>
      <c r="H39" s="16">
        <v>10.153846153846153</v>
      </c>
      <c r="I39" s="16">
        <v>7</v>
      </c>
      <c r="J39" s="16">
        <v>20.262499999999999</v>
      </c>
      <c r="K39" s="16"/>
      <c r="L39" s="16">
        <v>16.92511013215859</v>
      </c>
    </row>
    <row r="40" spans="2:12" x14ac:dyDescent="0.25">
      <c r="B40" s="11" t="s">
        <v>75</v>
      </c>
      <c r="C40" s="17">
        <v>11.532094594594595</v>
      </c>
      <c r="D40" s="17">
        <v>4.9726027397260273</v>
      </c>
      <c r="E40" s="17">
        <v>6.2196007259528132</v>
      </c>
      <c r="F40" s="17">
        <v>7.413602941176471</v>
      </c>
      <c r="G40" s="17">
        <v>6.7391304347826084</v>
      </c>
      <c r="H40" s="17">
        <v>12.232035928143713</v>
      </c>
      <c r="I40" s="17">
        <v>5.712550607287449</v>
      </c>
      <c r="J40" s="17">
        <v>8.0524475524475516</v>
      </c>
      <c r="K40" s="17">
        <v>5.433048433048433</v>
      </c>
      <c r="L40" s="17">
        <v>7.9264206955046648</v>
      </c>
    </row>
    <row r="43" spans="2:12" x14ac:dyDescent="0.25">
      <c r="B43" s="9" t="s">
        <v>20</v>
      </c>
      <c r="C43" t="s">
        <v>30</v>
      </c>
    </row>
    <row r="45" spans="2:12" x14ac:dyDescent="0.25">
      <c r="B45" s="9" t="s">
        <v>85</v>
      </c>
      <c r="C45" s="9" t="s">
        <v>74</v>
      </c>
    </row>
    <row r="46" spans="2:12" x14ac:dyDescent="0.25">
      <c r="B46" s="27" t="s">
        <v>89</v>
      </c>
      <c r="C46" s="26" t="s">
        <v>76</v>
      </c>
      <c r="D46" s="26" t="s">
        <v>77</v>
      </c>
      <c r="E46" s="26" t="s">
        <v>78</v>
      </c>
      <c r="F46" s="26" t="s">
        <v>79</v>
      </c>
      <c r="G46" s="26" t="s">
        <v>80</v>
      </c>
      <c r="H46" s="26" t="s">
        <v>81</v>
      </c>
      <c r="I46" s="26" t="s">
        <v>82</v>
      </c>
      <c r="J46" s="26" t="s">
        <v>83</v>
      </c>
      <c r="K46" s="26" t="s">
        <v>84</v>
      </c>
      <c r="L46" s="26" t="s">
        <v>75</v>
      </c>
    </row>
    <row r="47" spans="2:12" x14ac:dyDescent="0.25">
      <c r="B47" s="10" t="s">
        <v>23</v>
      </c>
      <c r="C47" s="24">
        <v>159</v>
      </c>
      <c r="D47" s="24">
        <v>124</v>
      </c>
      <c r="E47" s="24">
        <v>200</v>
      </c>
      <c r="F47" s="24">
        <v>129</v>
      </c>
      <c r="G47" s="24">
        <v>124</v>
      </c>
      <c r="H47" s="24">
        <v>139</v>
      </c>
      <c r="I47" s="24">
        <v>161</v>
      </c>
      <c r="J47" s="24">
        <v>196</v>
      </c>
      <c r="K47" s="24">
        <v>62</v>
      </c>
      <c r="L47" s="24">
        <v>1294</v>
      </c>
    </row>
    <row r="48" spans="2:12" x14ac:dyDescent="0.25">
      <c r="B48" s="12" t="s">
        <v>28</v>
      </c>
      <c r="C48" s="24">
        <v>148</v>
      </c>
      <c r="D48" s="24">
        <v>114</v>
      </c>
      <c r="E48" s="24">
        <v>154</v>
      </c>
      <c r="F48" s="24">
        <v>107</v>
      </c>
      <c r="G48" s="24">
        <v>84</v>
      </c>
      <c r="H48" s="24">
        <v>126</v>
      </c>
      <c r="I48" s="24">
        <v>156</v>
      </c>
      <c r="J48" s="24">
        <v>116</v>
      </c>
      <c r="K48" s="24">
        <v>62</v>
      </c>
      <c r="L48" s="24">
        <v>1067</v>
      </c>
    </row>
    <row r="49" spans="2:12" x14ac:dyDescent="0.25">
      <c r="B49" s="12" t="s">
        <v>42</v>
      </c>
      <c r="C49" s="24">
        <v>11</v>
      </c>
      <c r="D49" s="24">
        <v>10</v>
      </c>
      <c r="E49" s="24">
        <v>46</v>
      </c>
      <c r="F49" s="24">
        <v>22</v>
      </c>
      <c r="G49" s="24">
        <v>40</v>
      </c>
      <c r="H49" s="24">
        <v>13</v>
      </c>
      <c r="I49" s="24">
        <v>5</v>
      </c>
      <c r="J49" s="24">
        <v>80</v>
      </c>
      <c r="K49" s="24"/>
      <c r="L49" s="24">
        <v>227</v>
      </c>
    </row>
    <row r="50" spans="2:12" x14ac:dyDescent="0.25">
      <c r="B50" s="10" t="s">
        <v>86</v>
      </c>
      <c r="C50" s="24">
        <v>433</v>
      </c>
      <c r="D50" s="24">
        <v>314</v>
      </c>
      <c r="E50" s="24">
        <v>351</v>
      </c>
      <c r="F50" s="24">
        <v>415</v>
      </c>
      <c r="G50" s="24">
        <v>382</v>
      </c>
      <c r="H50" s="24">
        <v>529</v>
      </c>
      <c r="I50" s="24">
        <v>333</v>
      </c>
      <c r="J50" s="24">
        <v>376</v>
      </c>
      <c r="K50" s="24">
        <v>289</v>
      </c>
      <c r="L50" s="24">
        <v>3422</v>
      </c>
    </row>
    <row r="51" spans="2:12" x14ac:dyDescent="0.25">
      <c r="B51" s="12" t="s">
        <v>28</v>
      </c>
      <c r="C51" s="24">
        <v>337</v>
      </c>
      <c r="D51" s="24">
        <v>285</v>
      </c>
      <c r="E51" s="24">
        <v>335</v>
      </c>
      <c r="F51" s="24">
        <v>327</v>
      </c>
      <c r="G51" s="24">
        <v>314</v>
      </c>
      <c r="H51" s="24">
        <v>400</v>
      </c>
      <c r="I51" s="24">
        <v>299</v>
      </c>
      <c r="J51" s="24">
        <v>334</v>
      </c>
      <c r="K51" s="24">
        <v>253</v>
      </c>
      <c r="L51" s="24">
        <v>2884</v>
      </c>
    </row>
    <row r="52" spans="2:12" x14ac:dyDescent="0.25">
      <c r="B52" s="12" t="s">
        <v>42</v>
      </c>
      <c r="C52" s="24">
        <v>96</v>
      </c>
      <c r="D52" s="24">
        <v>29</v>
      </c>
      <c r="E52" s="24">
        <v>16</v>
      </c>
      <c r="F52" s="24">
        <v>88</v>
      </c>
      <c r="G52" s="24">
        <v>68</v>
      </c>
      <c r="H52" s="24">
        <v>129</v>
      </c>
      <c r="I52" s="24">
        <v>34</v>
      </c>
      <c r="J52" s="24">
        <v>42</v>
      </c>
      <c r="K52" s="24">
        <v>36</v>
      </c>
      <c r="L52" s="24">
        <v>538</v>
      </c>
    </row>
    <row r="53" spans="2:12" x14ac:dyDescent="0.25">
      <c r="B53" s="11" t="s">
        <v>75</v>
      </c>
      <c r="C53" s="28">
        <v>592</v>
      </c>
      <c r="D53" s="28">
        <v>438</v>
      </c>
      <c r="E53" s="28">
        <v>551</v>
      </c>
      <c r="F53" s="28">
        <v>544</v>
      </c>
      <c r="G53" s="28">
        <v>506</v>
      </c>
      <c r="H53" s="28">
        <v>668</v>
      </c>
      <c r="I53" s="28">
        <v>494</v>
      </c>
      <c r="J53" s="28">
        <v>572</v>
      </c>
      <c r="K53" s="28">
        <v>351</v>
      </c>
      <c r="L53" s="28">
        <v>4716</v>
      </c>
    </row>
  </sheetData>
  <mergeCells count="14">
    <mergeCell ref="B11:D11"/>
    <mergeCell ref="B12:D12"/>
    <mergeCell ref="C2:D2"/>
    <mergeCell ref="B7:D7"/>
    <mergeCell ref="D5:F5"/>
    <mergeCell ref="E3:F3"/>
    <mergeCell ref="C3:D3"/>
    <mergeCell ref="B8:D8"/>
    <mergeCell ref="E2:F2"/>
    <mergeCell ref="Q4:Q5"/>
    <mergeCell ref="M4:M5"/>
    <mergeCell ref="O4:O5"/>
    <mergeCell ref="B9:D9"/>
    <mergeCell ref="B10:D10"/>
  </mergeCells>
  <dataValidations count="1">
    <dataValidation type="list" allowBlank="1" showInputMessage="1" showErrorMessage="1" sqref="D5:F5">
      <formula1>DateType</formula1>
    </dataValidation>
  </dataValidation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Z5"/>
  <sheetViews>
    <sheetView showGridLines="0" workbookViewId="0">
      <selection activeCell="B4" sqref="B4"/>
    </sheetView>
  </sheetViews>
  <sheetFormatPr defaultRowHeight="15" x14ac:dyDescent="0.25"/>
  <cols>
    <col min="2" max="4" width="10.140625" bestFit="1" customWidth="1"/>
  </cols>
  <sheetData>
    <row r="2" spans="2:26" ht="18.75" x14ac:dyDescent="0.3">
      <c r="B2" s="36" t="s">
        <v>92</v>
      </c>
    </row>
    <row r="4" spans="2:26" x14ac:dyDescent="0.25">
      <c r="B4" s="33" t="s">
        <v>2</v>
      </c>
      <c r="C4" s="34" t="s">
        <v>3</v>
      </c>
      <c r="D4" s="34" t="s">
        <v>4</v>
      </c>
      <c r="E4" s="31" t="s">
        <v>5</v>
      </c>
      <c r="F4" s="31" t="s">
        <v>6</v>
      </c>
      <c r="G4" s="31" t="s">
        <v>7</v>
      </c>
      <c r="H4" s="31" t="s">
        <v>8</v>
      </c>
      <c r="I4" s="31" t="s">
        <v>9</v>
      </c>
      <c r="J4" s="31" t="s">
        <v>10</v>
      </c>
      <c r="K4" s="31" t="s">
        <v>11</v>
      </c>
      <c r="L4" s="31" t="s">
        <v>12</v>
      </c>
      <c r="M4" s="31" t="s">
        <v>13</v>
      </c>
      <c r="N4" s="31" t="s">
        <v>14</v>
      </c>
      <c r="O4" s="31" t="s">
        <v>15</v>
      </c>
      <c r="P4" s="31" t="s">
        <v>16</v>
      </c>
      <c r="Q4" s="31" t="s">
        <v>17</v>
      </c>
      <c r="R4" s="31" t="s">
        <v>18</v>
      </c>
      <c r="S4" s="31" t="s">
        <v>19</v>
      </c>
      <c r="T4" s="31" t="s">
        <v>20</v>
      </c>
      <c r="U4" s="31" t="s">
        <v>21</v>
      </c>
      <c r="V4" s="31" t="s">
        <v>22</v>
      </c>
      <c r="W4" s="31" t="s">
        <v>23</v>
      </c>
      <c r="X4" s="31" t="s">
        <v>24</v>
      </c>
      <c r="Y4" s="31" t="s">
        <v>25</v>
      </c>
      <c r="Z4" s="32" t="s">
        <v>26</v>
      </c>
    </row>
    <row r="5" spans="2:26" x14ac:dyDescent="0.25">
      <c r="B5" s="35">
        <v>43101</v>
      </c>
      <c r="C5" s="35">
        <v>43108</v>
      </c>
      <c r="D5" s="35">
        <v>43105</v>
      </c>
      <c r="E5">
        <v>4</v>
      </c>
      <c r="F5" t="s">
        <v>37</v>
      </c>
      <c r="G5" t="s">
        <v>28</v>
      </c>
      <c r="H5" t="s">
        <v>34</v>
      </c>
      <c r="I5" t="s">
        <v>46</v>
      </c>
      <c r="J5" t="s">
        <v>45</v>
      </c>
      <c r="K5" t="s">
        <v>29</v>
      </c>
      <c r="P5" t="s">
        <v>47</v>
      </c>
      <c r="Q5" t="s">
        <v>44</v>
      </c>
      <c r="R5">
        <v>0</v>
      </c>
      <c r="S5">
        <v>0</v>
      </c>
      <c r="T5" t="s">
        <v>30</v>
      </c>
      <c r="U5" t="s">
        <v>31</v>
      </c>
      <c r="V5" t="s">
        <v>32</v>
      </c>
      <c r="W5" t="s">
        <v>35</v>
      </c>
      <c r="Y5" t="s">
        <v>49</v>
      </c>
      <c r="Z5" t="s">
        <v>50</v>
      </c>
    </row>
  </sheetData>
  <conditionalFormatting sqref="P4">
    <cfRule type="expression" dxfId="0" priority="1">
      <formula>SUMPRODUCT(--ISNUMBER(SEARCH(Client_Comment,P5)))&gt;0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Client Query Tracker</vt:lpstr>
      <vt:lpstr>Summary</vt:lpstr>
      <vt:lpstr>Sheet1</vt:lpstr>
      <vt:lpstr>DateType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gsantosh</cp:lastModifiedBy>
  <dcterms:created xsi:type="dcterms:W3CDTF">2018-09-28T06:14:11Z</dcterms:created>
  <dcterms:modified xsi:type="dcterms:W3CDTF">2018-11-20T12:53:44Z</dcterms:modified>
</cp:coreProperties>
</file>