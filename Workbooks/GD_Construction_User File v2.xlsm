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585" windowWidth="19020" windowHeight="11220" tabRatio="803"/>
  </bookViews>
  <sheets>
    <sheet name="Summary" sheetId="4" r:id="rId1"/>
    <sheet name="Update Allocation" sheetId="1" r:id="rId2"/>
    <sheet name="Priority Updates" sheetId="7" state="hidden" r:id="rId3"/>
    <sheet name="Client Queries" sheetId="6" state="hidden" r:id="rId4"/>
    <sheet name="New Projects | News Review" sheetId="3" r:id="rId5"/>
    <sheet name="Primary Support | OtherActivity" sheetId="5" r:id="rId6"/>
  </sheets>
  <definedNames>
    <definedName name="_xlnm._FilterDatabase" localSheetId="3" hidden="1">'Client Queries'!$A$19:$L$28</definedName>
    <definedName name="_xlnm._FilterDatabase" localSheetId="4" hidden="1">'New Projects | News Review'!$A$19:$J$29</definedName>
    <definedName name="_xlnm._FilterDatabase" localSheetId="5" hidden="1">'Primary Support | OtherActivity'!$A$19:$L$27</definedName>
    <definedName name="_xlnm._FilterDatabase" localSheetId="2" hidden="1">'Priority Updates'!$A$19:$J$10000</definedName>
    <definedName name="_xlnm._FilterDatabase" localSheetId="1" hidden="1">'Update Allocation'!$A$19:$AE$19</definedName>
    <definedName name="cicActivityType">Summary!$AD$6:$AD$11</definedName>
    <definedName name="News">Summary!$Z$11:$Z$12</definedName>
    <definedName name="OtherActivity">Summary!$AE$6:$AE$7</definedName>
    <definedName name="Parent">Summary!$Z$6:$Z$10</definedName>
    <definedName name="ProfileType">Summary!$AA$6:$AA$9</definedName>
    <definedName name="Program">Summary!$Z$6:$Z$10</definedName>
    <definedName name="Status">Summary!$X$6:$X$7</definedName>
    <definedName name="Sub">Summary!$Z$6:$Z$10</definedName>
    <definedName name="UpdateType">Summary!$Y$6:$Y$7</definedName>
    <definedName name="UserMail">Summary!$B$5:$P$31</definedName>
  </definedNames>
  <calcPr calcId="144525"/>
</workbook>
</file>

<file path=xl/calcChain.xml><?xml version="1.0" encoding="utf-8"?>
<calcChain xmlns="http://schemas.openxmlformats.org/spreadsheetml/2006/main">
  <c r="N16" i="4" l="1"/>
  <c r="N15" i="4"/>
  <c r="AC26" i="4" l="1"/>
  <c r="N23" i="4"/>
  <c r="N19" i="4"/>
  <c r="Y5" i="1" l="1"/>
  <c r="Q6" i="1"/>
  <c r="Q5" i="1"/>
  <c r="Q4" i="1"/>
  <c r="Q3" i="1"/>
  <c r="H16" i="4"/>
  <c r="H15" i="4"/>
  <c r="H14" i="4"/>
  <c r="H13" i="4"/>
  <c r="N21" i="4"/>
  <c r="N20" i="4"/>
  <c r="E7" i="4" l="1"/>
  <c r="N14" i="4"/>
  <c r="N13" i="4"/>
  <c r="AC22" i="4" l="1"/>
  <c r="AC23" i="4"/>
  <c r="AC24" i="4"/>
  <c r="AC25" i="4"/>
  <c r="AC21" i="4"/>
  <c r="AC5" i="4"/>
  <c r="AC13" i="4"/>
  <c r="AC12" i="4"/>
  <c r="AC11" i="4" l="1"/>
  <c r="AC10" i="4"/>
  <c r="AC9" i="4"/>
  <c r="AC8" i="4"/>
  <c r="E8" i="4"/>
  <c r="AC6" i="4"/>
  <c r="E29" i="4" l="1"/>
  <c r="AC7" i="4"/>
  <c r="B2" i="1"/>
  <c r="B1" i="1"/>
  <c r="Q7" i="1"/>
  <c r="H24" i="4" l="1"/>
  <c r="AC19" i="4" s="1"/>
  <c r="H23" i="4"/>
  <c r="AC18" i="4" s="1"/>
  <c r="H25" i="4"/>
  <c r="AC20" i="4" s="1"/>
  <c r="AC16" i="4"/>
  <c r="AC17" i="4"/>
  <c r="H20" i="4"/>
  <c r="AC15" i="4" s="1"/>
  <c r="H19" i="4"/>
  <c r="AC14" i="4" s="1"/>
</calcChain>
</file>

<file path=xl/sharedStrings.xml><?xml version="1.0" encoding="utf-8"?>
<sst xmlns="http://schemas.openxmlformats.org/spreadsheetml/2006/main" count="196" uniqueCount="112">
  <si>
    <t>Project ID</t>
  </si>
  <si>
    <t xml:space="preserve">Parent Project ID </t>
  </si>
  <si>
    <t>Project Name</t>
  </si>
  <si>
    <t>Profile Type</t>
  </si>
  <si>
    <t>Project Value</t>
  </si>
  <si>
    <t>Project Status</t>
  </si>
  <si>
    <t>End Year</t>
  </si>
  <si>
    <t>Region</t>
  </si>
  <si>
    <t>Country</t>
  </si>
  <si>
    <t>Published Date</t>
  </si>
  <si>
    <t>Const. Start Date</t>
  </si>
  <si>
    <t>Const. Quarter</t>
  </si>
  <si>
    <t>Ultimate Parent ID</t>
  </si>
  <si>
    <t>Contact Opp.</t>
  </si>
  <si>
    <t>NFU</t>
  </si>
  <si>
    <t>Value Range</t>
  </si>
  <si>
    <t>Age in days</t>
  </si>
  <si>
    <t>Age in Months</t>
  </si>
  <si>
    <t>No. of Sub Projects</t>
  </si>
  <si>
    <t>Stage</t>
  </si>
  <si>
    <t>Priority</t>
  </si>
  <si>
    <t>Allocated To ID</t>
  </si>
  <si>
    <t>Status</t>
  </si>
  <si>
    <t>Updated Date</t>
  </si>
  <si>
    <t>Update Type</t>
  </si>
  <si>
    <t>No. of Contacts Validated</t>
  </si>
  <si>
    <t>Comments</t>
  </si>
  <si>
    <t>QUARTERS</t>
  </si>
  <si>
    <t>Q1 2018</t>
  </si>
  <si>
    <t>Q2 2018</t>
  </si>
  <si>
    <t>Q3 2018</t>
  </si>
  <si>
    <t>Q4 2018</t>
  </si>
  <si>
    <t>Total</t>
  </si>
  <si>
    <t>Critical</t>
  </si>
  <si>
    <t>High</t>
  </si>
  <si>
    <t>Medium</t>
  </si>
  <si>
    <t>Low</t>
  </si>
  <si>
    <t>Total Projects</t>
  </si>
  <si>
    <t>Columns</t>
  </si>
  <si>
    <t>Formulas</t>
  </si>
  <si>
    <t>Done</t>
  </si>
  <si>
    <t>No. of Contact Tagged</t>
  </si>
  <si>
    <t>No. of Unique Contacts Created</t>
  </si>
  <si>
    <t>Origination</t>
  </si>
  <si>
    <t>Profiling</t>
  </si>
  <si>
    <t>Orig+Profiling</t>
  </si>
  <si>
    <t>Cic</t>
  </si>
  <si>
    <t>Demo</t>
  </si>
  <si>
    <t>Activity</t>
  </si>
  <si>
    <t>News</t>
  </si>
  <si>
    <t>Spider</t>
  </si>
  <si>
    <t>Tender</t>
  </si>
  <si>
    <t xml:space="preserve">Parent </t>
  </si>
  <si>
    <t>Program</t>
  </si>
  <si>
    <t>Sub</t>
  </si>
  <si>
    <t>Date</t>
  </si>
  <si>
    <t>Emp ID</t>
  </si>
  <si>
    <t>Emp Name</t>
  </si>
  <si>
    <t>New Projects</t>
  </si>
  <si>
    <t>Updates</t>
  </si>
  <si>
    <t>Proactive</t>
  </si>
  <si>
    <t>Reactive</t>
  </si>
  <si>
    <t>Client Queries</t>
  </si>
  <si>
    <t>CIC</t>
  </si>
  <si>
    <t>Key Contacts</t>
  </si>
  <si>
    <t>Name</t>
  </si>
  <si>
    <t>News (Spider + Tender)</t>
  </si>
  <si>
    <t>Origination + Profiling</t>
  </si>
  <si>
    <t>WIP</t>
  </si>
  <si>
    <t>Validations</t>
  </si>
  <si>
    <t>Allocated To Name</t>
  </si>
  <si>
    <t>Other Activities</t>
  </si>
  <si>
    <t>CIC/Demo search (Min.)</t>
  </si>
  <si>
    <t>CIC/Demo Custom Works  (Min.)</t>
  </si>
  <si>
    <t>Primary Support for Others  (Min.)</t>
  </si>
  <si>
    <t>Team Meetings  (Min.)</t>
  </si>
  <si>
    <t>Others  (Min.)</t>
  </si>
  <si>
    <t>Regards</t>
  </si>
  <si>
    <t>Summary</t>
  </si>
  <si>
    <t>Query ID</t>
  </si>
  <si>
    <t>Activity Type</t>
  </si>
  <si>
    <t>Contacts Tagged</t>
  </si>
  <si>
    <t>Contacts Created</t>
  </si>
  <si>
    <t>Contacts Verified</t>
  </si>
  <si>
    <t>Comment</t>
  </si>
  <si>
    <t>Primary Support</t>
  </si>
  <si>
    <t>Custom Work</t>
  </si>
  <si>
    <t>Other Activity</t>
  </si>
  <si>
    <t>Assigned by</t>
  </si>
  <si>
    <t>Time Spent in Min</t>
  </si>
  <si>
    <t>Primary Support for Others</t>
  </si>
  <si>
    <t>Custom Activity</t>
  </si>
  <si>
    <t>Project Name / Activity Detail</t>
  </si>
  <si>
    <t>cicActivityType</t>
  </si>
  <si>
    <t>OtherActivity</t>
  </si>
  <si>
    <t>Project Name / News Headline</t>
  </si>
  <si>
    <t>Minutes</t>
  </si>
  <si>
    <t>Next Review Date</t>
  </si>
  <si>
    <r>
      <rPr>
        <b/>
        <i/>
        <sz val="11"/>
        <rFont val="Calibri"/>
        <family val="2"/>
        <scheme val="minor"/>
      </rPr>
      <t>Note</t>
    </r>
    <r>
      <rPr>
        <i/>
        <sz val="11"/>
        <rFont val="Calibri"/>
        <family val="2"/>
        <scheme val="minor"/>
      </rPr>
      <t xml:space="preserve"> : Change Colours according to your request and  then press 
</t>
    </r>
    <r>
      <rPr>
        <b/>
        <i/>
        <sz val="11"/>
        <rFont val="Calibri"/>
        <family val="2"/>
        <scheme val="minor"/>
      </rPr>
      <t>Update Allocation</t>
    </r>
  </si>
  <si>
    <t>Note: Check if the project is 
exists in allocation  or not</t>
  </si>
  <si>
    <t xml:space="preserve"> =IF(VLOOKUP($A20,Summary!$AP$1:$AP$5000,1,TRUE)=$A20,VLOOKUP($A20,Summary!$AP$1:$AW$5000,2,TRUE),"NULL")</t>
  </si>
  <si>
    <t xml:space="preserve"> =IF(VLOOKUP($A20,Summary!$AP$1:$AP$5000,1,TRUE)=$A20,VLOOKUP($A20,Summary!$AP$1:$AW$5000,3,TRUE),"NULL")</t>
  </si>
  <si>
    <t xml:space="preserve"> =IF(VLOOKUP($A20,Summary!$AP$1:$AP$5000,1,TRUE)=$A20,VLOOKUP($A20,Summary!$AP$1:$AW$5000,4,TRUE),"NULL")</t>
  </si>
  <si>
    <t xml:space="preserve"> =IF(VLOOKUP($A20,Summary!$AP$1:$AP$5000,1,TRUE)=$A20,VLOOKUP($A20,Summary!$AP$1:$AW$5000,5,TRUE),"NULL")</t>
  </si>
  <si>
    <t xml:space="preserve"> =IF(VLOOKUP($A20,Summary!$AP$1:$AP$5000,1,TRUE)=$A20,VLOOKUP($A20,Summary!$AP$1:$AW$5000,6,TRUE),"NULL")</t>
  </si>
  <si>
    <t xml:space="preserve"> =IF(VLOOKUP($A20,Summary!$AP$1:$AP$5000,1,TRUE)=$A20,VLOOKUP($A20,Summary!$AP$1:$AW$5000,7,TRUE),"NULL")</t>
  </si>
  <si>
    <t xml:space="preserve"> =IF(VLOOKUP($A20,Summary!$AP$1:$AP$5000,1,TRUE)=$A20,VLOOKUP($A20,Summary!$AP$1:$AW$5000,8,TRUE),"NULL")</t>
  </si>
  <si>
    <t>CIC Project</t>
  </si>
  <si>
    <t>DEMO Project</t>
  </si>
  <si>
    <t>CIC Search</t>
  </si>
  <si>
    <t>DEMO Search</t>
  </si>
  <si>
    <t>Upload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</si>
</sst>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[$-F800]dddd\,\ mmmm\ dd\,\ yyyy"/>
  </numFmts>
  <fonts count="14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7FFFF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1" fillId="3" borderId="2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wrapText="1"/>
    </xf>
    <xf numFmtId="0" fontId="0" fillId="7" borderId="0" xfId="0" applyFill="1"/>
    <xf numFmtId="0" fontId="0" fillId="0" borderId="9" xfId="0" applyFill="1" applyBorder="1" applyAlignment="1" applyProtection="1">
      <alignment horizontal="center" vertical="center"/>
      <protection locked="0"/>
    </xf>
    <xf numFmtId="14" fontId="0" fillId="0" borderId="9" xfId="0" applyNumberFormat="1" applyFill="1" applyBorder="1" applyAlignment="1" applyProtection="1">
      <alignment horizontal="center" vertical="center"/>
      <protection locked="0"/>
    </xf>
    <xf numFmtId="0" fontId="0" fillId="6" borderId="9" xfId="0" applyFill="1" applyBorder="1" applyAlignment="1" applyProtection="1">
      <alignment horizontal="center" vertical="center"/>
      <protection locked="0"/>
    </xf>
    <xf numFmtId="14" fontId="0" fillId="6" borderId="9" xfId="0" applyNumberFormat="1" applyFill="1" applyBorder="1" applyAlignment="1" applyProtection="1">
      <alignment horizontal="center" vertical="center"/>
      <protection locked="0"/>
    </xf>
    <xf numFmtId="14" fontId="2" fillId="9" borderId="9" xfId="0" applyNumberFormat="1" applyFont="1" applyFill="1" applyBorder="1" applyAlignment="1" applyProtection="1">
      <alignment horizontal="center" vertical="center"/>
    </xf>
    <xf numFmtId="14" fontId="0" fillId="7" borderId="0" xfId="0" applyNumberFormat="1" applyFill="1"/>
    <xf numFmtId="0" fontId="4" fillId="10" borderId="9" xfId="0" applyFont="1" applyFill="1" applyBorder="1"/>
    <xf numFmtId="14" fontId="3" fillId="11" borderId="5" xfId="0" applyNumberFormat="1" applyFont="1" applyFill="1" applyBorder="1" applyProtection="1"/>
    <xf numFmtId="0" fontId="0" fillId="0" borderId="9" xfId="0" applyBorder="1" applyAlignment="1">
      <alignment horizontal="fill"/>
    </xf>
    <xf numFmtId="14" fontId="3" fillId="11" borderId="9" xfId="0" applyNumberFormat="1" applyFont="1" applyFill="1" applyBorder="1"/>
    <xf numFmtId="14" fontId="3" fillId="11" borderId="9" xfId="0" applyNumberFormat="1" applyFont="1" applyFill="1" applyBorder="1" applyProtection="1"/>
    <xf numFmtId="0" fontId="1" fillId="2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7" borderId="0" xfId="0" applyFill="1" applyBorder="1"/>
    <xf numFmtId="0" fontId="0" fillId="0" borderId="7" xfId="0" applyBorder="1"/>
    <xf numFmtId="0" fontId="0" fillId="7" borderId="6" xfId="0" applyFill="1" applyBorder="1"/>
    <xf numFmtId="0" fontId="0" fillId="7" borderId="4" xfId="0" applyFill="1" applyBorder="1"/>
    <xf numFmtId="0" fontId="0" fillId="7" borderId="12" xfId="0" applyFill="1" applyBorder="1"/>
    <xf numFmtId="0" fontId="5" fillId="0" borderId="0" xfId="0" applyFont="1" applyBorder="1"/>
    <xf numFmtId="0" fontId="0" fillId="7" borderId="13" xfId="0" applyFill="1" applyBorder="1"/>
    <xf numFmtId="0" fontId="0" fillId="0" borderId="5" xfId="0" applyBorder="1"/>
    <xf numFmtId="0" fontId="0" fillId="0" borderId="5" xfId="0" applyFill="1" applyBorder="1" applyAlignment="1"/>
    <xf numFmtId="164" fontId="1" fillId="4" borderId="1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/>
    <xf numFmtId="0" fontId="0" fillId="7" borderId="6" xfId="0" applyFill="1" applyBorder="1" applyAlignment="1"/>
    <xf numFmtId="0" fontId="0" fillId="7" borderId="10" xfId="0" applyFill="1" applyBorder="1" applyAlignment="1"/>
    <xf numFmtId="0" fontId="0" fillId="7" borderId="12" xfId="0" applyFill="1" applyBorder="1" applyAlignment="1"/>
    <xf numFmtId="0" fontId="0" fillId="7" borderId="8" xfId="0" applyFill="1" applyBorder="1" applyAlignment="1"/>
    <xf numFmtId="0" fontId="0" fillId="0" borderId="9" xfId="0" applyBorder="1"/>
    <xf numFmtId="165" fontId="0" fillId="0" borderId="9" xfId="0" applyNumberFormat="1" applyBorder="1"/>
    <xf numFmtId="0" fontId="8" fillId="14" borderId="9" xfId="0" applyFont="1" applyFill="1" applyBorder="1" applyAlignment="1" applyProtection="1">
      <alignment horizontal="center" vertical="center"/>
      <protection hidden="1"/>
    </xf>
    <xf numFmtId="0" fontId="8" fillId="17" borderId="9" xfId="0" applyFont="1" applyFill="1" applyBorder="1" applyAlignment="1" applyProtection="1">
      <alignment horizontal="center" vertical="center"/>
      <protection hidden="1"/>
    </xf>
    <xf numFmtId="0" fontId="8" fillId="22" borderId="9" xfId="0" applyFont="1" applyFill="1" applyBorder="1" applyAlignment="1" applyProtection="1">
      <alignment horizontal="center" vertical="center"/>
      <protection locked="0"/>
    </xf>
    <xf numFmtId="0" fontId="8" fillId="13" borderId="9" xfId="0" applyFont="1" applyFill="1" applyBorder="1" applyAlignment="1" applyProtection="1">
      <alignment horizontal="center" vertical="center"/>
      <protection hidden="1"/>
    </xf>
    <xf numFmtId="0" fontId="1" fillId="8" borderId="14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1" fillId="8" borderId="15" xfId="0" applyFont="1" applyFill="1" applyBorder="1" applyAlignment="1">
      <alignment vertical="center"/>
    </xf>
    <xf numFmtId="0" fontId="6" fillId="7" borderId="0" xfId="0" applyFont="1" applyFill="1" applyBorder="1" applyAlignment="1">
      <alignment vertical="center"/>
    </xf>
    <xf numFmtId="0" fontId="1" fillId="8" borderId="11" xfId="0" applyFont="1" applyFill="1" applyBorder="1" applyAlignment="1">
      <alignment vertical="center"/>
    </xf>
    <xf numFmtId="0" fontId="5" fillId="24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5" fillId="15" borderId="9" xfId="0" applyFont="1" applyFill="1" applyBorder="1" applyAlignment="1">
      <alignment horizontal="left" vertical="center"/>
    </xf>
    <xf numFmtId="0" fontId="5" fillId="16" borderId="9" xfId="0" applyFont="1" applyFill="1" applyBorder="1" applyAlignment="1">
      <alignment horizontal="left" vertical="center"/>
    </xf>
    <xf numFmtId="0" fontId="5" fillId="25" borderId="9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0" fillId="26" borderId="0" xfId="0" applyFill="1"/>
    <xf numFmtId="0" fontId="1" fillId="26" borderId="16" xfId="0" applyFont="1" applyFill="1" applyBorder="1" applyAlignment="1">
      <alignment horizontal="center" vertical="center"/>
    </xf>
    <xf numFmtId="0" fontId="1" fillId="26" borderId="16" xfId="0" applyFont="1" applyFill="1" applyBorder="1" applyAlignment="1">
      <alignment horizontal="center" vertical="center" wrapText="1"/>
    </xf>
    <xf numFmtId="0" fontId="8" fillId="18" borderId="9" xfId="0" applyFont="1" applyFill="1" applyBorder="1" applyAlignment="1" applyProtection="1">
      <alignment horizontal="center" vertical="center"/>
      <protection hidden="1"/>
    </xf>
    <xf numFmtId="0" fontId="8" fillId="22" borderId="9" xfId="0" applyFont="1" applyFill="1" applyBorder="1" applyAlignment="1" applyProtection="1">
      <alignment horizontal="center" vertical="center"/>
      <protection hidden="1"/>
    </xf>
    <xf numFmtId="0" fontId="1" fillId="26" borderId="17" xfId="0" applyFont="1" applyFill="1" applyBorder="1" applyAlignment="1">
      <alignment horizontal="center" vertical="center" wrapText="1"/>
    </xf>
    <xf numFmtId="14" fontId="1" fillId="26" borderId="17" xfId="0" applyNumberFormat="1" applyFont="1" applyFill="1" applyBorder="1" applyAlignment="1">
      <alignment horizontal="center" vertical="center" wrapText="1"/>
    </xf>
    <xf numFmtId="0" fontId="5" fillId="6" borderId="9" xfId="0" applyFont="1" applyFill="1" applyBorder="1" applyAlignment="1" applyProtection="1">
      <alignment horizontal="center" vertical="center"/>
    </xf>
    <xf numFmtId="0" fontId="6" fillId="6" borderId="9" xfId="0" applyFont="1" applyFill="1" applyBorder="1" applyAlignment="1" applyProtection="1">
      <alignment horizontal="center" vertical="center"/>
    </xf>
    <xf numFmtId="0" fontId="5" fillId="30" borderId="7" xfId="0" applyFont="1" applyFill="1" applyBorder="1" applyAlignment="1" applyProtection="1">
      <alignment horizontal="center" vertical="center"/>
    </xf>
    <xf numFmtId="15" fontId="0" fillId="0" borderId="0" xfId="0" applyNumberFormat="1"/>
    <xf numFmtId="22" fontId="0" fillId="0" borderId="9" xfId="0" applyNumberFormat="1" applyBorder="1"/>
    <xf numFmtId="0" fontId="10" fillId="0" borderId="0" xfId="0" applyFont="1" applyFill="1"/>
    <xf numFmtId="0" fontId="0" fillId="0" borderId="0" xfId="0" applyFill="1"/>
    <xf numFmtId="0" fontId="9" fillId="0" borderId="0" xfId="0" applyFont="1" applyFill="1"/>
    <xf numFmtId="0" fontId="1" fillId="26" borderId="17" xfId="0" applyFont="1" applyFill="1" applyBorder="1" applyAlignment="1" applyProtection="1">
      <alignment horizontal="center" vertical="center"/>
      <protection locked="0"/>
    </xf>
    <xf numFmtId="0" fontId="1" fillId="4" borderId="2" xfId="0" applyFont="1" applyFill="1" applyBorder="1" applyAlignment="1" applyProtection="1">
      <alignment horizontal="center" vertical="center"/>
      <protection locked="0"/>
    </xf>
    <xf numFmtId="164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6" fillId="21" borderId="9" xfId="0" applyFont="1" applyFill="1" applyBorder="1" applyAlignment="1" applyProtection="1">
      <alignment horizontal="center" vertical="center"/>
      <protection hidden="1"/>
    </xf>
    <xf numFmtId="0" fontId="8" fillId="21" borderId="9" xfId="0" applyFont="1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>
      <alignment horizontal="center"/>
    </xf>
    <xf numFmtId="0" fontId="7" fillId="0" borderId="0" xfId="0" applyFont="1" applyAlignment="1" applyProtection="1">
      <alignment horizontal="center"/>
      <protection hidden="1"/>
    </xf>
    <xf numFmtId="0" fontId="6" fillId="22" borderId="9" xfId="0" applyFont="1" applyFill="1" applyBorder="1" applyAlignment="1" applyProtection="1">
      <alignment horizontal="left" vertical="center" indent="1"/>
      <protection hidden="1"/>
    </xf>
    <xf numFmtId="0" fontId="6" fillId="13" borderId="9" xfId="0" applyFont="1" applyFill="1" applyBorder="1" applyAlignment="1">
      <alignment horizontal="left" vertical="center" indent="1"/>
    </xf>
    <xf numFmtId="0" fontId="1" fillId="23" borderId="9" xfId="0" applyFont="1" applyFill="1" applyBorder="1" applyAlignment="1" applyProtection="1">
      <alignment horizontal="left" vertical="center"/>
      <protection hidden="1"/>
    </xf>
    <xf numFmtId="0" fontId="5" fillId="0" borderId="0" xfId="0" applyFont="1" applyAlignment="1">
      <alignment horizontal="center"/>
    </xf>
    <xf numFmtId="0" fontId="8" fillId="20" borderId="11" xfId="0" applyFont="1" applyFill="1" applyBorder="1" applyAlignment="1" applyProtection="1">
      <alignment horizontal="center" vertical="center"/>
      <protection hidden="1"/>
    </xf>
    <xf numFmtId="0" fontId="8" fillId="20" borderId="9" xfId="0" applyFont="1" applyFill="1" applyBorder="1" applyAlignment="1" applyProtection="1">
      <alignment horizontal="center" vertical="center"/>
      <protection hidden="1"/>
    </xf>
    <xf numFmtId="0" fontId="6" fillId="20" borderId="11" xfId="0" applyFont="1" applyFill="1" applyBorder="1" applyAlignment="1" applyProtection="1">
      <alignment horizontal="center" vertical="center"/>
      <protection hidden="1"/>
    </xf>
    <xf numFmtId="0" fontId="6" fillId="20" borderId="9" xfId="0" applyFont="1" applyFill="1" applyBorder="1" applyAlignment="1" applyProtection="1">
      <alignment horizontal="center" vertical="center"/>
      <protection hidden="1"/>
    </xf>
    <xf numFmtId="165" fontId="6" fillId="19" borderId="9" xfId="0" applyNumberFormat="1" applyFont="1" applyFill="1" applyBorder="1" applyAlignment="1" applyProtection="1">
      <alignment horizontal="center" vertical="center"/>
      <protection locked="0"/>
    </xf>
    <xf numFmtId="0" fontId="8" fillId="15" borderId="9" xfId="0" applyFont="1" applyFill="1" applyBorder="1" applyAlignment="1">
      <alignment horizontal="left" vertical="center"/>
    </xf>
    <xf numFmtId="0" fontId="8" fillId="16" borderId="9" xfId="0" applyFont="1" applyFill="1" applyBorder="1" applyAlignment="1">
      <alignment horizontal="left" vertical="center"/>
    </xf>
    <xf numFmtId="0" fontId="6" fillId="14" borderId="9" xfId="0" applyFont="1" applyFill="1" applyBorder="1" applyAlignment="1">
      <alignment horizontal="left" vertical="center" indent="1"/>
    </xf>
    <xf numFmtId="0" fontId="6" fillId="17" borderId="9" xfId="0" applyFont="1" applyFill="1" applyBorder="1" applyAlignment="1">
      <alignment horizontal="left" vertical="center" indent="1"/>
    </xf>
    <xf numFmtId="0" fontId="5" fillId="5" borderId="9" xfId="0" applyFont="1" applyFill="1" applyBorder="1" applyAlignment="1">
      <alignment horizontal="center"/>
    </xf>
    <xf numFmtId="0" fontId="6" fillId="18" borderId="9" xfId="0" applyFont="1" applyFill="1" applyBorder="1" applyAlignment="1">
      <alignment horizontal="left" vertical="center"/>
    </xf>
    <xf numFmtId="0" fontId="0" fillId="7" borderId="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1" fillId="12" borderId="9" xfId="0" applyFont="1" applyFill="1" applyBorder="1" applyAlignment="1">
      <alignment horizontal="left" vertical="center"/>
    </xf>
    <xf numFmtId="0" fontId="8" fillId="18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left" vertical="center"/>
    </xf>
    <xf numFmtId="0" fontId="0" fillId="5" borderId="11" xfId="0" applyNumberFormat="1" applyFill="1" applyBorder="1"/>
    <xf numFmtId="0" fontId="0" fillId="5" borderId="9" xfId="0" applyNumberFormat="1" applyFill="1" applyBorder="1"/>
    <xf numFmtId="14" fontId="2" fillId="9" borderId="11" xfId="0" applyNumberFormat="1" applyFont="1" applyFill="1" applyBorder="1" applyAlignment="1">
      <alignment horizontal="center" vertical="center"/>
    </xf>
    <xf numFmtId="14" fontId="2" fillId="9" borderId="9" xfId="0" applyNumberFormat="1" applyFont="1" applyFill="1" applyBorder="1" applyAlignment="1">
      <alignment horizontal="center" vertical="center"/>
    </xf>
    <xf numFmtId="0" fontId="13" fillId="0" borderId="18" xfId="0" applyFont="1" applyBorder="1" applyAlignment="1">
      <alignment horizontal="center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9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20" xfId="0" applyFont="1" applyBorder="1" applyAlignment="1">
      <alignment horizontal="center" vertical="center" wrapText="1"/>
    </xf>
    <xf numFmtId="0" fontId="0" fillId="0" borderId="22" xfId="0" applyFont="1" applyBorder="1" applyAlignment="1">
      <alignment horizontal="center" vertical="center" wrapText="1"/>
    </xf>
    <xf numFmtId="0" fontId="11" fillId="7" borderId="23" xfId="0" applyFont="1" applyFill="1" applyBorder="1" applyAlignment="1">
      <alignment horizontal="center" vertical="center" wrapText="1"/>
    </xf>
    <xf numFmtId="0" fontId="11" fillId="7" borderId="24" xfId="0" applyFont="1" applyFill="1" applyBorder="1" applyAlignment="1">
      <alignment horizontal="center" vertical="center" wrapText="1"/>
    </xf>
    <xf numFmtId="0" fontId="11" fillId="7" borderId="25" xfId="0" applyFont="1" applyFill="1" applyBorder="1" applyAlignment="1">
      <alignment horizontal="center" vertical="center" wrapText="1"/>
    </xf>
    <xf numFmtId="0" fontId="11" fillId="7" borderId="26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/>
    </xf>
    <xf numFmtId="0" fontId="0" fillId="27" borderId="11" xfId="0" applyNumberFormat="1" applyFill="1" applyBorder="1"/>
    <xf numFmtId="0" fontId="0" fillId="27" borderId="9" xfId="0" applyNumberFormat="1" applyFill="1" applyBorder="1"/>
    <xf numFmtId="0" fontId="0" fillId="28" borderId="11" xfId="0" applyNumberFormat="1" applyFill="1" applyBorder="1"/>
    <xf numFmtId="0" fontId="0" fillId="28" borderId="9" xfId="0" applyNumberFormat="1" applyFill="1" applyBorder="1"/>
    <xf numFmtId="0" fontId="0" fillId="29" borderId="11" xfId="0" applyNumberFormat="1" applyFill="1" applyBorder="1"/>
    <xf numFmtId="0" fontId="0" fillId="29" borderId="9" xfId="0" applyNumberFormat="1" applyFill="1" applyBorder="1"/>
  </cellXfs>
  <cellStyles count="1">
    <cellStyle name="Normal" xfId="0" builtinId="0"/>
  </cellStyles>
  <dxfs count="7">
    <dxf>
      <font>
        <color rgb="FFFF0000"/>
      </font>
      <fill>
        <patternFill patternType="none">
          <bgColor auto="1"/>
        </patternFill>
      </fill>
    </dxf>
    <dxf>
      <font>
        <color theme="7" tint="0.59996337778862885"/>
      </font>
    </dxf>
    <dxf>
      <font>
        <color theme="7" tint="0.79998168889431442"/>
      </font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8" tint="0.79998168889431442"/>
      </font>
      <fill>
        <patternFill>
          <bgColor theme="8" tint="0.79998168889431442"/>
        </patternFill>
      </fill>
    </dxf>
    <dxf>
      <font>
        <color theme="3" tint="0.79998168889431442"/>
      </font>
      <fill>
        <patternFill>
          <bgColor theme="3" tint="0.79998168889431442"/>
        </patternFill>
      </fill>
    </dxf>
    <dxf>
      <font>
        <color theme="6" tint="0.79998168889431442"/>
      </font>
      <fill>
        <patternFill patternType="solid">
          <bgColor theme="6" tint="0.79998168889431442"/>
        </patternFill>
      </fill>
    </dxf>
  </dxfs>
  <tableStyles count="0" defaultTableStyle="TableStyleMedium9" defaultPivotStyle="PivotStyleLight16"/>
  <colors>
    <mruColors>
      <color rgb="FF00DEA5"/>
      <color rgb="FF251F31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5" Type="http://schemas.openxmlformats.org/officeDocument/2006/relationships/image" Target="../media/image12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5" Type="http://schemas.openxmlformats.org/officeDocument/2006/relationships/image" Target="../media/image14.png"/><Relationship Id="rId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19050</xdr:colOff>
      <xdr:row>1</xdr:row>
      <xdr:rowOff>66675</xdr:rowOff>
    </xdr:from>
    <xdr:to>
      <xdr:col>9</xdr:col>
      <xdr:colOff>542925</xdr:colOff>
      <xdr:row>3</xdr:row>
      <xdr:rowOff>123825</xdr:rowOff>
    </xdr:to>
    <xdr:grpSp>
      <xdr:nvGrpSpPr>
        <xdr:cNvPr id="12" name="Group 11"/>
        <xdr:cNvGrpSpPr/>
      </xdr:nvGrpSpPr>
      <xdr:grpSpPr>
        <a:xfrm>
          <a:off x="3448050" y="257175"/>
          <a:ext cx="1323975" cy="438150"/>
          <a:chOff x="2781300" y="161925"/>
          <a:chExt cx="1323975" cy="438150"/>
        </a:xfrm>
      </xdr:grpSpPr>
      <xdr:sp macro="[0]!cmdSendMail" textlink="">
        <xdr:nvSpPr>
          <xdr:cNvPr id="11" name="Rounded Rectangle 10"/>
          <xdr:cNvSpPr/>
        </xdr:nvSpPr>
        <xdr:spPr>
          <a:xfrm>
            <a:off x="2781300" y="171450"/>
            <a:ext cx="1323975" cy="42862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grpSp>
        <xdr:nvGrpSpPr>
          <xdr:cNvPr id="8" name="Group 7"/>
          <xdr:cNvGrpSpPr/>
        </xdr:nvGrpSpPr>
        <xdr:grpSpPr>
          <a:xfrm>
            <a:off x="2971800" y="161925"/>
            <a:ext cx="952500" cy="438150"/>
            <a:chOff x="2876550" y="161925"/>
            <a:chExt cx="952500" cy="438150"/>
          </a:xfrm>
        </xdr:grpSpPr>
        <xdr:pic macro="[0]!cmdSendMail">
          <xdr:nvPicPr>
            <xdr:cNvPr id="6" name="Picture 5" descr="Mail_s.png"/>
            <xdr:cNvPicPr>
              <a:picLocks noChangeAspect="1"/>
            </xdr:cNvPicPr>
          </xdr:nvPicPr>
          <xdr:blipFill>
            <a:blip xmlns:r="http://schemas.openxmlformats.org/officeDocument/2006/relationships" r:embed="rId1" cstate="email"/>
            <a:stretch>
              <a:fillRect/>
            </a:stretch>
          </xdr:blipFill>
          <xdr:spPr>
            <a:xfrm>
              <a:off x="2876550" y="238125"/>
              <a:ext cx="400050" cy="285750"/>
            </a:xfrm>
            <a:prstGeom prst="rect">
              <a:avLst/>
            </a:prstGeom>
          </xdr:spPr>
        </xdr:pic>
        <xdr:sp macro="[0]!cmdSendMail" textlink="">
          <xdr:nvSpPr>
            <xdr:cNvPr id="7" name="TextBox 6"/>
            <xdr:cNvSpPr txBox="1"/>
          </xdr:nvSpPr>
          <xdr:spPr>
            <a:xfrm>
              <a:off x="3209925" y="161925"/>
              <a:ext cx="619125" cy="4381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en-US" sz="1000" b="1"/>
                <a:t>Send</a:t>
              </a:r>
              <a:br>
                <a:rPr lang="en-US" sz="1000" b="1"/>
              </a:br>
              <a:r>
                <a:rPr lang="en-US" sz="1000" b="1"/>
                <a:t>Status</a:t>
              </a:r>
            </a:p>
          </xdr:txBody>
        </xdr:sp>
      </xdr:grpSp>
    </xdr:grpSp>
    <xdr:clientData/>
  </xdr:twoCellAnchor>
  <xdr:twoCellAnchor editAs="absolute">
    <xdr:from>
      <xdr:col>4</xdr:col>
      <xdr:colOff>28575</xdr:colOff>
      <xdr:row>1</xdr:row>
      <xdr:rowOff>66675</xdr:rowOff>
    </xdr:from>
    <xdr:to>
      <xdr:col>6</xdr:col>
      <xdr:colOff>133350</xdr:colOff>
      <xdr:row>3</xdr:row>
      <xdr:rowOff>123825</xdr:rowOff>
    </xdr:to>
    <xdr:grpSp>
      <xdr:nvGrpSpPr>
        <xdr:cNvPr id="13" name="Group 12"/>
        <xdr:cNvGrpSpPr/>
      </xdr:nvGrpSpPr>
      <xdr:grpSpPr>
        <a:xfrm>
          <a:off x="1628775" y="257175"/>
          <a:ext cx="1323975" cy="438150"/>
          <a:chOff x="933450" y="161925"/>
          <a:chExt cx="1323975" cy="438150"/>
        </a:xfrm>
      </xdr:grpSpPr>
      <xdr:sp macro="[0]!cmdChangeEmpID" textlink="">
        <xdr:nvSpPr>
          <xdr:cNvPr id="9" name="Rounded Rectangle 8"/>
          <xdr:cNvSpPr/>
        </xdr:nvSpPr>
        <xdr:spPr>
          <a:xfrm>
            <a:off x="933450" y="161925"/>
            <a:ext cx="1323975" cy="428625"/>
          </a:xfrm>
          <a:prstGeom prst="round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grpSp>
        <xdr:nvGrpSpPr>
          <xdr:cNvPr id="5" name="Group 4"/>
          <xdr:cNvGrpSpPr/>
        </xdr:nvGrpSpPr>
        <xdr:grpSpPr>
          <a:xfrm>
            <a:off x="1171575" y="161925"/>
            <a:ext cx="933449" cy="438150"/>
            <a:chOff x="1123950" y="161925"/>
            <a:chExt cx="933449" cy="438150"/>
          </a:xfrm>
        </xdr:grpSpPr>
        <xdr:pic macro="[0]!cmdChangeEmpID">
          <xdr:nvPicPr>
            <xdr:cNvPr id="3" name="Picture 2" descr="User.png"/>
            <xdr:cNvPicPr>
              <a:picLocks noChangeAspect="1"/>
            </xdr:cNvPicPr>
          </xdr:nvPicPr>
          <xdr:blipFill>
            <a:blip xmlns:r="http://schemas.openxmlformats.org/officeDocument/2006/relationships" r:embed="rId2" cstate="email"/>
            <a:stretch>
              <a:fillRect/>
            </a:stretch>
          </xdr:blipFill>
          <xdr:spPr>
            <a:xfrm>
              <a:off x="1123950" y="209550"/>
              <a:ext cx="333375" cy="333375"/>
            </a:xfrm>
            <a:prstGeom prst="rect">
              <a:avLst/>
            </a:prstGeom>
          </xdr:spPr>
        </xdr:pic>
        <xdr:sp macro="[0]!cmdChangeEmpID" textlink="">
          <xdr:nvSpPr>
            <xdr:cNvPr id="4" name="TextBox 3"/>
            <xdr:cNvSpPr txBox="1"/>
          </xdr:nvSpPr>
          <xdr:spPr>
            <a:xfrm>
              <a:off x="1438274" y="161925"/>
              <a:ext cx="619125" cy="4381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en-US" sz="1000" b="1"/>
                <a:t>Change</a:t>
              </a:r>
              <a:br>
                <a:rPr lang="en-US" sz="1000" b="1"/>
              </a:br>
              <a:r>
                <a:rPr lang="en-US" sz="1000" b="1"/>
                <a:t>Emp</a:t>
              </a:r>
              <a:r>
                <a:rPr lang="en-US" sz="1000" b="1" baseline="0"/>
                <a:t> ID</a:t>
              </a:r>
              <a:endParaRPr lang="en-US" sz="1000" b="1"/>
            </a:p>
          </xdr:txBody>
        </xdr:sp>
      </xdr:grpSp>
    </xdr:grpSp>
    <xdr:clientData/>
  </xdr:twoCellAnchor>
  <xdr:twoCellAnchor editAs="oneCell">
    <xdr:from>
      <xdr:col>9</xdr:col>
      <xdr:colOff>9525</xdr:colOff>
      <xdr:row>6</xdr:row>
      <xdr:rowOff>9525</xdr:rowOff>
    </xdr:from>
    <xdr:to>
      <xdr:col>13</xdr:col>
      <xdr:colOff>605409</xdr:colOff>
      <xdr:row>10</xdr:row>
      <xdr:rowOff>9525</xdr:rowOff>
    </xdr:to>
    <xdr:pic>
      <xdr:nvPicPr>
        <xdr:cNvPr id="21" name="Picture 20" descr="globalData logo.jpg"/>
        <xdr:cNvPicPr>
          <a:picLocks noChangeAspect="1"/>
        </xdr:cNvPicPr>
      </xdr:nvPicPr>
      <xdr:blipFill>
        <a:blip xmlns:r="http://schemas.openxmlformats.org/officeDocument/2006/relationships" r:embed="rId3" cstate="email"/>
        <a:stretch>
          <a:fillRect/>
        </a:stretch>
      </xdr:blipFill>
      <xdr:spPr>
        <a:xfrm>
          <a:off x="4238625" y="1152525"/>
          <a:ext cx="3072384" cy="762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352425</xdr:colOff>
      <xdr:row>1</xdr:row>
      <xdr:rowOff>66675</xdr:rowOff>
    </xdr:from>
    <xdr:to>
      <xdr:col>12</xdr:col>
      <xdr:colOff>495300</xdr:colOff>
      <xdr:row>3</xdr:row>
      <xdr:rowOff>123825</xdr:rowOff>
    </xdr:to>
    <xdr:grpSp>
      <xdr:nvGrpSpPr>
        <xdr:cNvPr id="28" name="Group 27"/>
        <xdr:cNvGrpSpPr/>
      </xdr:nvGrpSpPr>
      <xdr:grpSpPr>
        <a:xfrm>
          <a:off x="5267325" y="257175"/>
          <a:ext cx="1323975" cy="438150"/>
          <a:chOff x="5267325" y="257175"/>
          <a:chExt cx="1323975" cy="438150"/>
        </a:xfrm>
      </xdr:grpSpPr>
      <xdr:grpSp>
        <xdr:nvGrpSpPr>
          <xdr:cNvPr id="19" name="Group 18"/>
          <xdr:cNvGrpSpPr/>
        </xdr:nvGrpSpPr>
        <xdr:grpSpPr>
          <a:xfrm>
            <a:off x="5267325" y="257175"/>
            <a:ext cx="1323975" cy="438150"/>
            <a:chOff x="2781300" y="161925"/>
            <a:chExt cx="1323975" cy="438150"/>
          </a:xfrm>
        </xdr:grpSpPr>
        <xdr:sp macro="[0]!cmdRestore" textlink="">
          <xdr:nvSpPr>
            <xdr:cNvPr id="20" name="Rounded Rectangle 19"/>
            <xdr:cNvSpPr/>
          </xdr:nvSpPr>
          <xdr:spPr>
            <a:xfrm>
              <a:off x="2781300" y="171450"/>
              <a:ext cx="1323975" cy="428625"/>
            </a:xfrm>
            <a:prstGeom prst="roundRect">
              <a:avLst/>
            </a:prstGeom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sp macro="[0]!cmdRestore" textlink="">
          <xdr:nvSpPr>
            <xdr:cNvPr id="24" name="TextBox 23"/>
            <xdr:cNvSpPr txBox="1"/>
          </xdr:nvSpPr>
          <xdr:spPr>
            <a:xfrm>
              <a:off x="3371850" y="161925"/>
              <a:ext cx="619125" cy="4381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en-US" sz="1000" b="1"/>
                <a:t>Restore</a:t>
              </a:r>
            </a:p>
            <a:p>
              <a:pPr algn="ctr"/>
              <a:r>
                <a:rPr lang="en-US" sz="1000" b="1"/>
                <a:t>Backup</a:t>
              </a:r>
            </a:p>
          </xdr:txBody>
        </xdr:sp>
      </xdr:grpSp>
      <xdr:pic macro="[0]!cmdRestore">
        <xdr:nvPicPr>
          <xdr:cNvPr id="27" name="Picture 26" descr="parent-icon-file-archiving-368x327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5448300" y="314325"/>
            <a:ext cx="380748" cy="338328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28576</xdr:colOff>
      <xdr:row>0</xdr:row>
      <xdr:rowOff>9525</xdr:rowOff>
    </xdr:from>
    <xdr:to>
      <xdr:col>10</xdr:col>
      <xdr:colOff>628651</xdr:colOff>
      <xdr:row>8</xdr:row>
      <xdr:rowOff>0</xdr:rowOff>
    </xdr:to>
    <xdr:pic>
      <xdr:nvPicPr>
        <xdr:cNvPr id="36" name="Picture 35" descr="slider1.jpg"/>
        <xdr:cNvPicPr>
          <a:picLocks noChangeAspect="1"/>
        </xdr:cNvPicPr>
      </xdr:nvPicPr>
      <xdr:blipFill>
        <a:blip xmlns:r="http://schemas.openxmlformats.org/officeDocument/2006/relationships" r:embed="rId1" cstate="email"/>
        <a:srcRect/>
        <a:stretch>
          <a:fillRect/>
        </a:stretch>
      </xdr:blipFill>
      <xdr:spPr>
        <a:xfrm>
          <a:off x="28576" y="9525"/>
          <a:ext cx="12573000" cy="1590675"/>
        </a:xfrm>
        <a:prstGeom prst="rect">
          <a:avLst/>
        </a:prstGeom>
      </xdr:spPr>
    </xdr:pic>
    <xdr:clientData/>
  </xdr:twoCellAnchor>
  <xdr:twoCellAnchor editAs="absolute">
    <xdr:from>
      <xdr:col>0</xdr:col>
      <xdr:colOff>95252</xdr:colOff>
      <xdr:row>3</xdr:row>
      <xdr:rowOff>142875</xdr:rowOff>
    </xdr:from>
    <xdr:to>
      <xdr:col>2</xdr:col>
      <xdr:colOff>58749</xdr:colOff>
      <xdr:row>7</xdr:row>
      <xdr:rowOff>77933</xdr:rowOff>
    </xdr:to>
    <xdr:grpSp>
      <xdr:nvGrpSpPr>
        <xdr:cNvPr id="24" name="Group 23"/>
        <xdr:cNvGrpSpPr/>
      </xdr:nvGrpSpPr>
      <xdr:grpSpPr>
        <a:xfrm>
          <a:off x="95252" y="752475"/>
          <a:ext cx="1182697" cy="725633"/>
          <a:chOff x="2331520" y="536344"/>
          <a:chExt cx="1193916" cy="725633"/>
        </a:xfrm>
      </xdr:grpSpPr>
      <xdr:sp macro="" textlink="$B$2">
        <xdr:nvSpPr>
          <xdr:cNvPr id="25" name="stxtEname"/>
          <xdr:cNvSpPr txBox="1"/>
        </xdr:nvSpPr>
        <xdr:spPr>
          <a:xfrm>
            <a:off x="2331520" y="917344"/>
            <a:ext cx="1188570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14D26E3A-9BB6-4859-80DD-82D109354324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$B$1">
        <xdr:nvSpPr>
          <xdr:cNvPr id="26" name="TextBox 25"/>
          <xdr:cNvSpPr txBox="1"/>
        </xdr:nvSpPr>
        <xdr:spPr>
          <a:xfrm>
            <a:off x="2331521" y="536344"/>
            <a:ext cx="1193915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5E0D943F-3FBF-4430-8FDF-A21170B71BA9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4</xdr:col>
      <xdr:colOff>381000</xdr:colOff>
      <xdr:row>0</xdr:row>
      <xdr:rowOff>95250</xdr:rowOff>
    </xdr:from>
    <xdr:to>
      <xdr:col>9</xdr:col>
      <xdr:colOff>523875</xdr:colOff>
      <xdr:row>4</xdr:row>
      <xdr:rowOff>38100</xdr:rowOff>
    </xdr:to>
    <xdr:grpSp>
      <xdr:nvGrpSpPr>
        <xdr:cNvPr id="38" name="Group 37"/>
        <xdr:cNvGrpSpPr/>
      </xdr:nvGrpSpPr>
      <xdr:grpSpPr>
        <a:xfrm>
          <a:off x="8543925" y="95250"/>
          <a:ext cx="3190875" cy="752475"/>
          <a:chOff x="8753475" y="4867275"/>
          <a:chExt cx="3057525" cy="752475"/>
        </a:xfrm>
      </xdr:grpSpPr>
      <xdr:sp macro="" textlink="">
        <xdr:nvSpPr>
          <xdr:cNvPr id="37" name="Rounded Rectangle 36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34" name="Picture 33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421659</xdr:colOff>
      <xdr:row>4</xdr:row>
      <xdr:rowOff>161925</xdr:rowOff>
    </xdr:from>
    <xdr:to>
      <xdr:col>7</xdr:col>
      <xdr:colOff>183534</xdr:colOff>
      <xdr:row>7</xdr:row>
      <xdr:rowOff>0</xdr:rowOff>
    </xdr:to>
    <xdr:grpSp>
      <xdr:nvGrpSpPr>
        <xdr:cNvPr id="100" name="Group 99"/>
        <xdr:cNvGrpSpPr/>
      </xdr:nvGrpSpPr>
      <xdr:grpSpPr>
        <a:xfrm>
          <a:off x="8584584" y="971550"/>
          <a:ext cx="1590675" cy="428625"/>
          <a:chOff x="46653450" y="428625"/>
          <a:chExt cx="1590675" cy="428625"/>
        </a:xfrm>
      </xdr:grpSpPr>
      <xdr:sp macro="[0]!cmdSheetCic" textlink="">
        <xdr:nvSpPr>
          <xdr:cNvPr id="101" name="Rounded Rectangle 100"/>
          <xdr:cNvSpPr/>
        </xdr:nvSpPr>
        <xdr:spPr>
          <a:xfrm>
            <a:off x="46653450" y="428625"/>
            <a:ext cx="1543050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Cic" textlink="">
        <xdr:nvSpPr>
          <xdr:cNvPr id="102" name="TextBox 14"/>
          <xdr:cNvSpPr txBox="1"/>
        </xdr:nvSpPr>
        <xdr:spPr>
          <a:xfrm>
            <a:off x="46958250" y="542925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/>
              <a:t>To</a:t>
            </a:r>
            <a:r>
              <a:rPr lang="en-US" sz="900" b="1" baseline="0"/>
              <a:t>  Client Queries</a:t>
            </a:r>
            <a:endParaRPr lang="en-US" sz="900" b="1"/>
          </a:p>
        </xdr:txBody>
      </xdr:sp>
      <xdr:pic macro="[0]!cmdSheetCic">
        <xdr:nvPicPr>
          <xdr:cNvPr id="103" name="Picture 102" descr="Global_Management-512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46784400" y="483375"/>
            <a:ext cx="316726" cy="316726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190500</xdr:colOff>
      <xdr:row>4</xdr:row>
      <xdr:rowOff>161925</xdr:rowOff>
    </xdr:from>
    <xdr:to>
      <xdr:col>9</xdr:col>
      <xdr:colOff>704850</xdr:colOff>
      <xdr:row>7</xdr:row>
      <xdr:rowOff>0</xdr:rowOff>
    </xdr:to>
    <xdr:grpSp>
      <xdr:nvGrpSpPr>
        <xdr:cNvPr id="109" name="Group 108"/>
        <xdr:cNvGrpSpPr/>
      </xdr:nvGrpSpPr>
      <xdr:grpSpPr>
        <a:xfrm>
          <a:off x="10182225" y="971550"/>
          <a:ext cx="1733550" cy="428625"/>
          <a:chOff x="10877550" y="2238375"/>
          <a:chExt cx="1733550" cy="428625"/>
        </a:xfrm>
      </xdr:grpSpPr>
      <xdr:sp macro="[0]!cmdSheetPriority" textlink="">
        <xdr:nvSpPr>
          <xdr:cNvPr id="105" name="Rounded Rectangle 104"/>
          <xdr:cNvSpPr/>
        </xdr:nvSpPr>
        <xdr:spPr>
          <a:xfrm>
            <a:off x="10877550" y="2238375"/>
            <a:ext cx="1543050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Priority" textlink="">
        <xdr:nvSpPr>
          <xdr:cNvPr id="106" name="TextBox 14"/>
          <xdr:cNvSpPr txBox="1"/>
        </xdr:nvSpPr>
        <xdr:spPr>
          <a:xfrm>
            <a:off x="11325225" y="2343150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900" b="1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To</a:t>
            </a:r>
            <a:r>
              <a:rPr lang="en-US" sz="900" b="1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Priority Updates</a:t>
            </a:r>
            <a:endParaRPr lang="en-US" sz="900" b="1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pic macro="[0]!cmdSheetPriority">
        <xdr:nvPicPr>
          <xdr:cNvPr id="108" name="Picture 107" descr="printer-priority-print-function-512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0953750" y="2266950"/>
            <a:ext cx="361951" cy="36195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95249</xdr:colOff>
      <xdr:row>0</xdr:row>
      <xdr:rowOff>104775</xdr:rowOff>
    </xdr:from>
    <xdr:to>
      <xdr:col>2</xdr:col>
      <xdr:colOff>1476374</xdr:colOff>
      <xdr:row>3</xdr:row>
      <xdr:rowOff>47625</xdr:rowOff>
    </xdr:to>
    <xdr:grpSp>
      <xdr:nvGrpSpPr>
        <xdr:cNvPr id="96" name="Group 95"/>
        <xdr:cNvGrpSpPr/>
      </xdr:nvGrpSpPr>
      <xdr:grpSpPr>
        <a:xfrm>
          <a:off x="95249" y="104775"/>
          <a:ext cx="2600325" cy="552450"/>
          <a:chOff x="4286249" y="219075"/>
          <a:chExt cx="2600325" cy="552450"/>
        </a:xfrm>
      </xdr:grpSpPr>
      <xdr:sp macro="" textlink="">
        <xdr:nvSpPr>
          <xdr:cNvPr id="93" name="Rounded Rectangle 92"/>
          <xdr:cNvSpPr/>
        </xdr:nvSpPr>
        <xdr:spPr>
          <a:xfrm>
            <a:off x="4286249" y="219075"/>
            <a:ext cx="2600325" cy="552450"/>
          </a:xfrm>
          <a:prstGeom prst="roundRect">
            <a:avLst/>
          </a:prstGeom>
          <a:solidFill>
            <a:schemeClr val="bg1">
              <a:alpha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5" name="TextBox 94"/>
          <xdr:cNvSpPr txBox="1"/>
        </xdr:nvSpPr>
        <xdr:spPr>
          <a:xfrm>
            <a:off x="4867275" y="323850"/>
            <a:ext cx="1990725" cy="333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600" b="1" baseline="0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Regular Allocation</a:t>
            </a:r>
            <a:endParaRPr lang="en-US" sz="1600"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83" name="Picture 82" descr="arrows.ditribition.share-512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4362450" y="247650"/>
            <a:ext cx="493776" cy="493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1581150</xdr:colOff>
      <xdr:row>0</xdr:row>
      <xdr:rowOff>114299</xdr:rowOff>
    </xdr:from>
    <xdr:to>
      <xdr:col>2</xdr:col>
      <xdr:colOff>2256789</xdr:colOff>
      <xdr:row>3</xdr:row>
      <xdr:rowOff>72569</xdr:rowOff>
    </xdr:to>
    <xdr:grpSp>
      <xdr:nvGrpSpPr>
        <xdr:cNvPr id="2" name="Group 1"/>
        <xdr:cNvGrpSpPr/>
      </xdr:nvGrpSpPr>
      <xdr:grpSpPr>
        <a:xfrm>
          <a:off x="2800350" y="114299"/>
          <a:ext cx="675639" cy="567870"/>
          <a:chOff x="3086100" y="57149"/>
          <a:chExt cx="675639" cy="567870"/>
        </a:xfrm>
      </xdr:grpSpPr>
      <xdr:sp macro="[0]!cmdGetOrUpdateAllocation" textlink="">
        <xdr:nvSpPr>
          <xdr:cNvPr id="28" name="Rounded Rectangle 27"/>
          <xdr:cNvSpPr/>
        </xdr:nvSpPr>
        <xdr:spPr>
          <a:xfrm>
            <a:off x="3086100" y="57149"/>
            <a:ext cx="675639" cy="548640"/>
          </a:xfrm>
          <a:prstGeom prst="roundRect">
            <a:avLst/>
          </a:prstGeom>
          <a:solidFill>
            <a:schemeClr val="bg1">
              <a:alpha val="81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grpSp>
        <xdr:nvGrpSpPr>
          <xdr:cNvPr id="27" name="Group 26"/>
          <xdr:cNvGrpSpPr/>
        </xdr:nvGrpSpPr>
        <xdr:grpSpPr>
          <a:xfrm>
            <a:off x="3114676" y="104775"/>
            <a:ext cx="620683" cy="520244"/>
            <a:chOff x="13469489" y="571500"/>
            <a:chExt cx="620683" cy="520244"/>
          </a:xfrm>
        </xdr:grpSpPr>
        <xdr:pic macro="[0]!cmdGetOrUpdateAllocation">
          <xdr:nvPicPr>
            <xdr:cNvPr id="29" name="Picture 28" descr="C:\Documents and Settings\gsantosh\My Documents\Downloads\Icons\Uploade and Download.png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6" cstate="print"/>
            <a:srcRect l="48000"/>
            <a:stretch>
              <a:fillRect/>
            </a:stretch>
          </xdr:blipFill>
          <xdr:spPr bwMode="auto">
            <a:xfrm>
              <a:off x="13611225" y="571500"/>
              <a:ext cx="326136" cy="313592"/>
            </a:xfrm>
            <a:prstGeom prst="rect">
              <a:avLst/>
            </a:prstGeom>
            <a:noFill/>
          </xdr:spPr>
        </xdr:pic>
        <xdr:sp macro="[0]!cmdGetOrUpdateAllocation" textlink="">
          <xdr:nvSpPr>
            <xdr:cNvPr id="31" name="TextBox 13"/>
            <xdr:cNvSpPr txBox="1"/>
          </xdr:nvSpPr>
          <xdr:spPr>
            <a:xfrm>
              <a:off x="13469489" y="876300"/>
              <a:ext cx="620683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US" sz="800" b="1"/>
                <a:t>Download</a:t>
              </a:r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9525</xdr:rowOff>
    </xdr:from>
    <xdr:to>
      <xdr:col>9</xdr:col>
      <xdr:colOff>1619250</xdr:colOff>
      <xdr:row>8</xdr:row>
      <xdr:rowOff>0</xdr:rowOff>
    </xdr:to>
    <xdr:pic>
      <xdr:nvPicPr>
        <xdr:cNvPr id="10" name="Picture 9" descr="slider1.jpg"/>
        <xdr:cNvPicPr>
          <a:picLocks noChangeAspect="1"/>
        </xdr:cNvPicPr>
      </xdr:nvPicPr>
      <xdr:blipFill>
        <a:blip xmlns:r="http://schemas.openxmlformats.org/officeDocument/2006/relationships" r:embed="rId1" cstate="email"/>
        <a:srcRect/>
        <a:stretch>
          <a:fillRect/>
        </a:stretch>
      </xdr:blipFill>
      <xdr:spPr>
        <a:xfrm>
          <a:off x="9525" y="9525"/>
          <a:ext cx="11591925" cy="1514475"/>
        </a:xfrm>
        <a:prstGeom prst="rect">
          <a:avLst/>
        </a:prstGeom>
      </xdr:spPr>
    </xdr:pic>
    <xdr:clientData/>
  </xdr:twoCellAnchor>
  <xdr:twoCellAnchor>
    <xdr:from>
      <xdr:col>7</xdr:col>
      <xdr:colOff>152401</xdr:colOff>
      <xdr:row>0</xdr:row>
      <xdr:rowOff>76200</xdr:rowOff>
    </xdr:from>
    <xdr:to>
      <xdr:col>9</xdr:col>
      <xdr:colOff>1207117</xdr:colOff>
      <xdr:row>4</xdr:row>
      <xdr:rowOff>66675</xdr:rowOff>
    </xdr:to>
    <xdr:grpSp>
      <xdr:nvGrpSpPr>
        <xdr:cNvPr id="11" name="Group 10"/>
        <xdr:cNvGrpSpPr/>
      </xdr:nvGrpSpPr>
      <xdr:grpSpPr>
        <a:xfrm>
          <a:off x="7981951" y="76200"/>
          <a:ext cx="3207366" cy="752475"/>
          <a:chOff x="8753475" y="4867275"/>
          <a:chExt cx="3057525" cy="752475"/>
        </a:xfrm>
      </xdr:grpSpPr>
      <xdr:sp macro="" textlink="">
        <xdr:nvSpPr>
          <xdr:cNvPr id="12" name="Rounded Rectangle 11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13" name="Picture 12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95250</xdr:colOff>
      <xdr:row>0</xdr:row>
      <xdr:rowOff>95250</xdr:rowOff>
    </xdr:from>
    <xdr:to>
      <xdr:col>2</xdr:col>
      <xdr:colOff>1066801</xdr:colOff>
      <xdr:row>3</xdr:row>
      <xdr:rowOff>76200</xdr:rowOff>
    </xdr:to>
    <xdr:grpSp>
      <xdr:nvGrpSpPr>
        <xdr:cNvPr id="14" name="Group 13"/>
        <xdr:cNvGrpSpPr/>
      </xdr:nvGrpSpPr>
      <xdr:grpSpPr>
        <a:xfrm>
          <a:off x="95250" y="95250"/>
          <a:ext cx="2571751" cy="552450"/>
          <a:chOff x="48606074" y="57150"/>
          <a:chExt cx="2571751" cy="552450"/>
        </a:xfrm>
      </xdr:grpSpPr>
      <xdr:sp macro="" textlink="">
        <xdr:nvSpPr>
          <xdr:cNvPr id="15" name="Rounded Rectangle 14"/>
          <xdr:cNvSpPr/>
        </xdr:nvSpPr>
        <xdr:spPr>
          <a:xfrm>
            <a:off x="48606074" y="57150"/>
            <a:ext cx="2447925" cy="552450"/>
          </a:xfrm>
          <a:prstGeom prst="roundRect">
            <a:avLst/>
          </a:prstGeom>
          <a:solidFill>
            <a:schemeClr val="bg1">
              <a:alpha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6" name="TextBox 15"/>
          <xdr:cNvSpPr txBox="1"/>
        </xdr:nvSpPr>
        <xdr:spPr>
          <a:xfrm>
            <a:off x="49244209" y="161925"/>
            <a:ext cx="1933616" cy="333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baseline="0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Priority Updates</a:t>
            </a:r>
            <a:endParaRPr lang="en-US" sz="1600" b="1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17" name="Picture 16" descr="printer-priority-print-function-512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48672752" y="66675"/>
            <a:ext cx="533398" cy="53339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95252</xdr:colOff>
      <xdr:row>3</xdr:row>
      <xdr:rowOff>161925</xdr:rowOff>
    </xdr:from>
    <xdr:to>
      <xdr:col>1</xdr:col>
      <xdr:colOff>515949</xdr:colOff>
      <xdr:row>7</xdr:row>
      <xdr:rowOff>125558</xdr:rowOff>
    </xdr:to>
    <xdr:grpSp>
      <xdr:nvGrpSpPr>
        <xdr:cNvPr id="18" name="Group 17"/>
        <xdr:cNvGrpSpPr/>
      </xdr:nvGrpSpPr>
      <xdr:grpSpPr>
        <a:xfrm>
          <a:off x="95252" y="733425"/>
          <a:ext cx="1182697" cy="725633"/>
          <a:chOff x="2331520" y="536344"/>
          <a:chExt cx="1193916" cy="725633"/>
        </a:xfrm>
      </xdr:grpSpPr>
      <xdr:sp macro="" textlink="'Update Allocation'!$B$2">
        <xdr:nvSpPr>
          <xdr:cNvPr id="19" name="stxtEname"/>
          <xdr:cNvSpPr txBox="1"/>
        </xdr:nvSpPr>
        <xdr:spPr>
          <a:xfrm>
            <a:off x="2331520" y="917344"/>
            <a:ext cx="1188570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3DE6B90B-B6F9-4415-A5A6-D61E8931269B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'Update Allocation'!$B$1">
        <xdr:nvSpPr>
          <xdr:cNvPr id="20" name="TextBox 19"/>
          <xdr:cNvSpPr txBox="1"/>
        </xdr:nvSpPr>
        <xdr:spPr>
          <a:xfrm>
            <a:off x="2331521" y="536344"/>
            <a:ext cx="1193915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F8CBE55F-6073-4ED5-807B-F10B816EDC84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8</xdr:col>
      <xdr:colOff>238125</xdr:colOff>
      <xdr:row>4</xdr:row>
      <xdr:rowOff>180975</xdr:rowOff>
    </xdr:from>
    <xdr:to>
      <xdr:col>9</xdr:col>
      <xdr:colOff>1171575</xdr:colOff>
      <xdr:row>7</xdr:row>
      <xdr:rowOff>38100</xdr:rowOff>
    </xdr:to>
    <xdr:grpSp>
      <xdr:nvGrpSpPr>
        <xdr:cNvPr id="2" name="Group 1"/>
        <xdr:cNvGrpSpPr/>
      </xdr:nvGrpSpPr>
      <xdr:grpSpPr>
        <a:xfrm>
          <a:off x="9610725" y="942975"/>
          <a:ext cx="1543050" cy="428625"/>
          <a:chOff x="46653450" y="428625"/>
          <a:chExt cx="1543050" cy="428625"/>
        </a:xfrm>
      </xdr:grpSpPr>
      <xdr:sp macro="[0]!cmdSheetCic" textlink="">
        <xdr:nvSpPr>
          <xdr:cNvPr id="3" name="Rounded Rectangle 2"/>
          <xdr:cNvSpPr/>
        </xdr:nvSpPr>
        <xdr:spPr>
          <a:xfrm>
            <a:off x="46653450" y="428625"/>
            <a:ext cx="1543050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Cic" textlink="">
        <xdr:nvSpPr>
          <xdr:cNvPr id="4" name="TextBox 14"/>
          <xdr:cNvSpPr txBox="1"/>
        </xdr:nvSpPr>
        <xdr:spPr>
          <a:xfrm>
            <a:off x="47005875" y="542925"/>
            <a:ext cx="1085850" cy="19050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en-US" sz="900" b="1"/>
              <a:t>To</a:t>
            </a:r>
            <a:r>
              <a:rPr lang="en-US" sz="900" b="1" baseline="0"/>
              <a:t>  Client Queries</a:t>
            </a:r>
            <a:endParaRPr lang="en-US" sz="900" b="1"/>
          </a:p>
        </xdr:txBody>
      </xdr:sp>
      <xdr:pic macro="[0]!cmdSheetCic">
        <xdr:nvPicPr>
          <xdr:cNvPr id="5" name="Picture 4" descr="Global_Management-512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46708200" y="483375"/>
            <a:ext cx="316726" cy="316726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190500</xdr:colOff>
      <xdr:row>4</xdr:row>
      <xdr:rowOff>180975</xdr:rowOff>
    </xdr:from>
    <xdr:to>
      <xdr:col>8</xdr:col>
      <xdr:colOff>314325</xdr:colOff>
      <xdr:row>7</xdr:row>
      <xdr:rowOff>38100</xdr:rowOff>
    </xdr:to>
    <xdr:grpSp>
      <xdr:nvGrpSpPr>
        <xdr:cNvPr id="6" name="Group 5"/>
        <xdr:cNvGrpSpPr/>
      </xdr:nvGrpSpPr>
      <xdr:grpSpPr>
        <a:xfrm>
          <a:off x="8020050" y="942975"/>
          <a:ext cx="1666875" cy="428625"/>
          <a:chOff x="46967775" y="266700"/>
          <a:chExt cx="1666875" cy="428625"/>
        </a:xfrm>
      </xdr:grpSpPr>
      <xdr:sp macro="[0]!cmdSheetAllocation" textlink="">
        <xdr:nvSpPr>
          <xdr:cNvPr id="7" name="Rounded Rectangle 6"/>
          <xdr:cNvSpPr/>
        </xdr:nvSpPr>
        <xdr:spPr>
          <a:xfrm>
            <a:off x="46967775" y="266700"/>
            <a:ext cx="1543050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Allocation" textlink="">
        <xdr:nvSpPr>
          <xdr:cNvPr id="8" name="TextBox 14"/>
          <xdr:cNvSpPr txBox="1"/>
        </xdr:nvSpPr>
        <xdr:spPr>
          <a:xfrm>
            <a:off x="47348775" y="371475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900" b="1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To Regular Allocation</a:t>
            </a:r>
            <a:endParaRPr lang="en-US" sz="900" b="1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pic macro="[0]!cmdSheetAllocation">
        <xdr:nvPicPr>
          <xdr:cNvPr id="9" name="Picture 8" descr="arrows.ditribition.share-512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47053499" y="323849"/>
            <a:ext cx="320040" cy="32004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1714500</xdr:colOff>
      <xdr:row>1</xdr:row>
      <xdr:rowOff>190499</xdr:rowOff>
    </xdr:from>
    <xdr:to>
      <xdr:col>6</xdr:col>
      <xdr:colOff>219075</xdr:colOff>
      <xdr:row>6</xdr:row>
      <xdr:rowOff>0</xdr:rowOff>
    </xdr:to>
    <xdr:sp macro="" textlink="">
      <xdr:nvSpPr>
        <xdr:cNvPr id="21" name="TextBox 20"/>
        <xdr:cNvSpPr txBox="1"/>
      </xdr:nvSpPr>
      <xdr:spPr>
        <a:xfrm>
          <a:off x="3314700" y="380999"/>
          <a:ext cx="4019550" cy="762001"/>
        </a:xfrm>
        <a:prstGeom prst="rect">
          <a:avLst/>
        </a:prstGeom>
        <a:solidFill>
          <a:schemeClr val="lt1">
            <a:alpha val="9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 u="sng"/>
            <a:t>Note</a:t>
          </a:r>
          <a:r>
            <a:rPr lang="en-US" sz="1400" b="1" i="1"/>
            <a:t>: </a:t>
          </a:r>
          <a:r>
            <a:rPr lang="en-US" sz="1400" b="0" i="1"/>
            <a:t>Please Note that </a:t>
          </a:r>
          <a:r>
            <a:rPr lang="en-US" sz="1400" b="0" i="1" baseline="0"/>
            <a:t>Project ID's highlighted in </a:t>
          </a:r>
        </a:p>
        <a:p>
          <a:r>
            <a:rPr lang="en-US" sz="1400" b="0" i="1" baseline="0">
              <a:solidFill>
                <a:srgbClr val="FF0000"/>
              </a:solidFill>
            </a:rPr>
            <a:t>Red color </a:t>
          </a:r>
          <a:r>
            <a:rPr lang="en-US" sz="1400" b="0" i="1" baseline="0"/>
            <a:t>are already available in your allocation so kindly remove those projects</a:t>
          </a:r>
          <a:endParaRPr lang="en-US" sz="1400" b="0" i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9525</xdr:rowOff>
    </xdr:from>
    <xdr:to>
      <xdr:col>11</xdr:col>
      <xdr:colOff>1609725</xdr:colOff>
      <xdr:row>8</xdr:row>
      <xdr:rowOff>0</xdr:rowOff>
    </xdr:to>
    <xdr:pic>
      <xdr:nvPicPr>
        <xdr:cNvPr id="10" name="Picture 9" descr="slider1.jpg"/>
        <xdr:cNvPicPr>
          <a:picLocks noChangeAspect="1"/>
        </xdr:cNvPicPr>
      </xdr:nvPicPr>
      <xdr:blipFill>
        <a:blip xmlns:r="http://schemas.openxmlformats.org/officeDocument/2006/relationships" r:embed="rId1" cstate="email"/>
        <a:srcRect/>
        <a:stretch>
          <a:fillRect/>
        </a:stretch>
      </xdr:blipFill>
      <xdr:spPr>
        <a:xfrm>
          <a:off x="9525" y="9525"/>
          <a:ext cx="12992100" cy="1514475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0</xdr:row>
      <xdr:rowOff>85725</xdr:rowOff>
    </xdr:from>
    <xdr:to>
      <xdr:col>11</xdr:col>
      <xdr:colOff>625730</xdr:colOff>
      <xdr:row>4</xdr:row>
      <xdr:rowOff>76200</xdr:rowOff>
    </xdr:to>
    <xdr:grpSp>
      <xdr:nvGrpSpPr>
        <xdr:cNvPr id="11" name="Group 10"/>
        <xdr:cNvGrpSpPr/>
      </xdr:nvGrpSpPr>
      <xdr:grpSpPr>
        <a:xfrm>
          <a:off x="8620125" y="85725"/>
          <a:ext cx="3397505" cy="752475"/>
          <a:chOff x="8753475" y="4867275"/>
          <a:chExt cx="3057525" cy="752475"/>
        </a:xfrm>
      </xdr:grpSpPr>
      <xdr:sp macro="" textlink="">
        <xdr:nvSpPr>
          <xdr:cNvPr id="12" name="Rounded Rectangle 11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13" name="Picture 12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104775</xdr:colOff>
      <xdr:row>0</xdr:row>
      <xdr:rowOff>95250</xdr:rowOff>
    </xdr:from>
    <xdr:to>
      <xdr:col>3</xdr:col>
      <xdr:colOff>43386</xdr:colOff>
      <xdr:row>3</xdr:row>
      <xdr:rowOff>76200</xdr:rowOff>
    </xdr:to>
    <xdr:grpSp>
      <xdr:nvGrpSpPr>
        <xdr:cNvPr id="14" name="Group 13"/>
        <xdr:cNvGrpSpPr/>
      </xdr:nvGrpSpPr>
      <xdr:grpSpPr>
        <a:xfrm>
          <a:off x="104775" y="95250"/>
          <a:ext cx="2234136" cy="552450"/>
          <a:chOff x="30870525" y="76200"/>
          <a:chExt cx="2258905" cy="552450"/>
        </a:xfrm>
      </xdr:grpSpPr>
      <xdr:sp macro="" textlink="">
        <xdr:nvSpPr>
          <xdr:cNvPr id="15" name="Rounded Rectangle 14"/>
          <xdr:cNvSpPr/>
        </xdr:nvSpPr>
        <xdr:spPr>
          <a:xfrm>
            <a:off x="30870525" y="76200"/>
            <a:ext cx="2228850" cy="552450"/>
          </a:xfrm>
          <a:prstGeom prst="roundRect">
            <a:avLst/>
          </a:prstGeom>
          <a:solidFill>
            <a:schemeClr val="bg1">
              <a:alpha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16" name="Picture 15" descr="Global_Management-512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30965776" y="104776"/>
            <a:ext cx="495300" cy="495300"/>
          </a:xfrm>
          <a:prstGeom prst="rect">
            <a:avLst/>
          </a:prstGeom>
        </xdr:spPr>
      </xdr:pic>
      <xdr:sp macro="" textlink="">
        <xdr:nvSpPr>
          <xdr:cNvPr id="17" name="TextBox 16"/>
          <xdr:cNvSpPr txBox="1"/>
        </xdr:nvSpPr>
        <xdr:spPr>
          <a:xfrm>
            <a:off x="31451551" y="180975"/>
            <a:ext cx="1677879" cy="333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600" b="1" baseline="0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Client Queries</a:t>
            </a:r>
            <a:endParaRPr lang="en-US" sz="1600"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104777</xdr:colOff>
      <xdr:row>3</xdr:row>
      <xdr:rowOff>152400</xdr:rowOff>
    </xdr:from>
    <xdr:to>
      <xdr:col>1</xdr:col>
      <xdr:colOff>525474</xdr:colOff>
      <xdr:row>7</xdr:row>
      <xdr:rowOff>116033</xdr:rowOff>
    </xdr:to>
    <xdr:grpSp>
      <xdr:nvGrpSpPr>
        <xdr:cNvPr id="18" name="Group 17"/>
        <xdr:cNvGrpSpPr/>
      </xdr:nvGrpSpPr>
      <xdr:grpSpPr>
        <a:xfrm>
          <a:off x="104777" y="723900"/>
          <a:ext cx="1182697" cy="725633"/>
          <a:chOff x="2331520" y="536344"/>
          <a:chExt cx="1193916" cy="725633"/>
        </a:xfrm>
      </xdr:grpSpPr>
      <xdr:sp macro="" textlink="'Update Allocation'!$B$2">
        <xdr:nvSpPr>
          <xdr:cNvPr id="19" name="stxtEname"/>
          <xdr:cNvSpPr txBox="1"/>
        </xdr:nvSpPr>
        <xdr:spPr>
          <a:xfrm>
            <a:off x="2331520" y="917344"/>
            <a:ext cx="1188570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3DE6B90B-B6F9-4415-A5A6-D61E8931269B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'Update Allocation'!$B$1">
        <xdr:nvSpPr>
          <xdr:cNvPr id="20" name="TextBox 19"/>
          <xdr:cNvSpPr txBox="1"/>
        </xdr:nvSpPr>
        <xdr:spPr>
          <a:xfrm>
            <a:off x="2331521" y="536344"/>
            <a:ext cx="1193915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F8CBE55F-6073-4ED5-807B-F10B816EDC84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9</xdr:col>
      <xdr:colOff>1114427</xdr:colOff>
      <xdr:row>4</xdr:row>
      <xdr:rowOff>123825</xdr:rowOff>
    </xdr:from>
    <xdr:to>
      <xdr:col>11</xdr:col>
      <xdr:colOff>666898</xdr:colOff>
      <xdr:row>6</xdr:row>
      <xdr:rowOff>171450</xdr:rowOff>
    </xdr:to>
    <xdr:grpSp>
      <xdr:nvGrpSpPr>
        <xdr:cNvPr id="2" name="Group 1"/>
        <xdr:cNvGrpSpPr/>
      </xdr:nvGrpSpPr>
      <xdr:grpSpPr>
        <a:xfrm>
          <a:off x="10353677" y="885825"/>
          <a:ext cx="1705121" cy="428625"/>
          <a:chOff x="28651200" y="1038225"/>
          <a:chExt cx="1724025" cy="428625"/>
        </a:xfrm>
      </xdr:grpSpPr>
      <xdr:sp macro="[0]!cmdSheetPriority" textlink="">
        <xdr:nvSpPr>
          <xdr:cNvPr id="3" name="Rounded Rectangle 2"/>
          <xdr:cNvSpPr/>
        </xdr:nvSpPr>
        <xdr:spPr>
          <a:xfrm>
            <a:off x="28651200" y="1038225"/>
            <a:ext cx="1694983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Priority" textlink="">
        <xdr:nvSpPr>
          <xdr:cNvPr id="4" name="TextBox 14"/>
          <xdr:cNvSpPr txBox="1"/>
        </xdr:nvSpPr>
        <xdr:spPr>
          <a:xfrm>
            <a:off x="29089350" y="1152525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>
                <a:solidFill>
                  <a:sysClr val="windowText" lastClr="000000"/>
                </a:solidFill>
              </a:rPr>
              <a:t>To</a:t>
            </a:r>
            <a:r>
              <a:rPr lang="en-US" sz="900" b="1" baseline="0">
                <a:solidFill>
                  <a:sysClr val="windowText" lastClr="000000"/>
                </a:solidFill>
              </a:rPr>
              <a:t> Priority Updates</a:t>
            </a:r>
            <a:endParaRPr lang="en-US" sz="900" b="1">
              <a:solidFill>
                <a:sysClr val="windowText" lastClr="000000"/>
              </a:solidFill>
            </a:endParaRPr>
          </a:p>
        </xdr:txBody>
      </xdr:sp>
      <xdr:pic macro="[0]!cmdSheetPriority">
        <xdr:nvPicPr>
          <xdr:cNvPr id="5" name="Picture 4" descr="printer-priority-print-function-512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28736924" y="1076324"/>
            <a:ext cx="361951" cy="36195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104777</xdr:colOff>
      <xdr:row>4</xdr:row>
      <xdr:rowOff>123825</xdr:rowOff>
    </xdr:from>
    <xdr:to>
      <xdr:col>9</xdr:col>
      <xdr:colOff>1095523</xdr:colOff>
      <xdr:row>6</xdr:row>
      <xdr:rowOff>171450</xdr:rowOff>
    </xdr:to>
    <xdr:grpSp>
      <xdr:nvGrpSpPr>
        <xdr:cNvPr id="6" name="Group 5"/>
        <xdr:cNvGrpSpPr/>
      </xdr:nvGrpSpPr>
      <xdr:grpSpPr>
        <a:xfrm>
          <a:off x="8629652" y="885825"/>
          <a:ext cx="1705121" cy="428625"/>
          <a:chOff x="28651200" y="381000"/>
          <a:chExt cx="1724025" cy="428625"/>
        </a:xfrm>
      </xdr:grpSpPr>
      <xdr:sp macro="[0]!cmdSheetAllocation" textlink="">
        <xdr:nvSpPr>
          <xdr:cNvPr id="7" name="Rounded Rectangle 6"/>
          <xdr:cNvSpPr/>
        </xdr:nvSpPr>
        <xdr:spPr>
          <a:xfrm>
            <a:off x="28651200" y="381000"/>
            <a:ext cx="1685353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Allocation" textlink="">
        <xdr:nvSpPr>
          <xdr:cNvPr id="8" name="TextBox 14"/>
          <xdr:cNvSpPr txBox="1"/>
        </xdr:nvSpPr>
        <xdr:spPr>
          <a:xfrm>
            <a:off x="29089350" y="495300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 baseline="0"/>
              <a:t>To Regular Allocation</a:t>
            </a:r>
            <a:endParaRPr lang="en-US" sz="900" b="1"/>
          </a:p>
        </xdr:txBody>
      </xdr:sp>
      <xdr:pic macro="[0]!cmdSheetAllocation">
        <xdr:nvPicPr>
          <xdr:cNvPr id="9" name="Picture 8" descr="arrows.ditribition.share-512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28755974" y="409574"/>
            <a:ext cx="365760" cy="3657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1400175</xdr:colOff>
      <xdr:row>7</xdr:row>
      <xdr:rowOff>180975</xdr:rowOff>
    </xdr:to>
    <xdr:pic>
      <xdr:nvPicPr>
        <xdr:cNvPr id="10" name="Picture 9" descr="slider1.jpg"/>
        <xdr:cNvPicPr>
          <a:picLocks noChangeAspect="1"/>
        </xdr:cNvPicPr>
      </xdr:nvPicPr>
      <xdr:blipFill>
        <a:blip xmlns:r="http://schemas.openxmlformats.org/officeDocument/2006/relationships" r:embed="rId1" cstate="email"/>
        <a:srcRect/>
        <a:stretch>
          <a:fillRect/>
        </a:stretch>
      </xdr:blipFill>
      <xdr:spPr>
        <a:xfrm>
          <a:off x="0" y="0"/>
          <a:ext cx="9439275" cy="1514475"/>
        </a:xfrm>
        <a:prstGeom prst="rect">
          <a:avLst/>
        </a:prstGeom>
      </xdr:spPr>
    </xdr:pic>
    <xdr:clientData/>
  </xdr:twoCellAnchor>
  <xdr:twoCellAnchor editAs="absolute">
    <xdr:from>
      <xdr:col>0</xdr:col>
      <xdr:colOff>142875</xdr:colOff>
      <xdr:row>5</xdr:row>
      <xdr:rowOff>68415</xdr:rowOff>
    </xdr:from>
    <xdr:to>
      <xdr:col>3</xdr:col>
      <xdr:colOff>594364</xdr:colOff>
      <xdr:row>7</xdr:row>
      <xdr:rowOff>66668</xdr:rowOff>
    </xdr:to>
    <xdr:sp macro="" textlink="">
      <xdr:nvSpPr>
        <xdr:cNvPr id="9" name="stxtEname"/>
        <xdr:cNvSpPr txBox="1"/>
      </xdr:nvSpPr>
      <xdr:spPr>
        <a:xfrm>
          <a:off x="142875" y="1020915"/>
          <a:ext cx="3023239" cy="379253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rtlCol="0" anchor="ctr" anchorCtr="0">
          <a:spAutoFit/>
        </a:bodyPr>
        <a:lstStyle/>
        <a:p>
          <a:pPr marL="0" indent="0" algn="ctr"/>
          <a:r>
            <a:rPr lang="en-US" sz="16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t> New</a:t>
          </a:r>
          <a:r>
            <a:rPr lang="en-US" sz="1600" b="1" i="0" u="none" strike="noStrike" baseline="0">
              <a:solidFill>
                <a:srgbClr val="000000"/>
              </a:solidFill>
              <a:latin typeface="Calibri"/>
              <a:ea typeface="+mn-ea"/>
              <a:cs typeface="+mn-cs"/>
            </a:rPr>
            <a:t> Projects  (or)  News Review</a:t>
          </a:r>
          <a:endParaRPr lang="en-US" sz="16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209550</xdr:colOff>
      <xdr:row>1</xdr:row>
      <xdr:rowOff>0</xdr:rowOff>
    </xdr:from>
    <xdr:to>
      <xdr:col>9</xdr:col>
      <xdr:colOff>1152525</xdr:colOff>
      <xdr:row>4</xdr:row>
      <xdr:rowOff>180975</xdr:rowOff>
    </xdr:to>
    <xdr:grpSp>
      <xdr:nvGrpSpPr>
        <xdr:cNvPr id="7" name="Group 6"/>
        <xdr:cNvGrpSpPr/>
      </xdr:nvGrpSpPr>
      <xdr:grpSpPr>
        <a:xfrm>
          <a:off x="6134100" y="190500"/>
          <a:ext cx="3057525" cy="752475"/>
          <a:chOff x="8753475" y="4867275"/>
          <a:chExt cx="3057525" cy="752475"/>
        </a:xfrm>
      </xdr:grpSpPr>
      <xdr:sp macro="" textlink="">
        <xdr:nvSpPr>
          <xdr:cNvPr id="8" name="Rounded Rectangle 7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14" name="Picture 13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16384</xdr:col>
      <xdr:colOff>276224</xdr:colOff>
      <xdr:row>7</xdr:row>
      <xdr:rowOff>180975</xdr:rowOff>
    </xdr:to>
    <xdr:pic>
      <xdr:nvPicPr>
        <xdr:cNvPr id="2" name="Picture 1" descr="slider1.jpg"/>
        <xdr:cNvPicPr>
          <a:picLocks noChangeAspect="1"/>
        </xdr:cNvPicPr>
      </xdr:nvPicPr>
      <xdr:blipFill>
        <a:blip xmlns:r="http://schemas.openxmlformats.org/officeDocument/2006/relationships" r:embed="rId1" cstate="email"/>
        <a:srcRect/>
        <a:stretch>
          <a:fillRect/>
        </a:stretch>
      </xdr:blipFill>
      <xdr:spPr>
        <a:xfrm>
          <a:off x="0" y="0"/>
          <a:ext cx="11706224" cy="1514475"/>
        </a:xfrm>
        <a:prstGeom prst="rect">
          <a:avLst/>
        </a:prstGeom>
      </xdr:spPr>
    </xdr:pic>
    <xdr:clientData/>
  </xdr:twoCellAnchor>
  <xdr:oneCellAnchor>
    <xdr:from>
      <xdr:col>0</xdr:col>
      <xdr:colOff>123825</xdr:colOff>
      <xdr:row>5</xdr:row>
      <xdr:rowOff>95250</xdr:rowOff>
    </xdr:from>
    <xdr:ext cx="3023239" cy="379253"/>
    <xdr:sp macro="" textlink="">
      <xdr:nvSpPr>
        <xdr:cNvPr id="3" name="stxtEname"/>
        <xdr:cNvSpPr txBox="1"/>
      </xdr:nvSpPr>
      <xdr:spPr>
        <a:xfrm>
          <a:off x="123825" y="1047750"/>
          <a:ext cx="3023239" cy="379253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rtlCol="0" anchor="ctr" anchorCtr="0">
          <a:spAutoFit/>
        </a:bodyPr>
        <a:lstStyle/>
        <a:p>
          <a:pPr marL="0" indent="0" algn="ctr"/>
          <a:r>
            <a:rPr lang="en-US" sz="1600" b="1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Primary Support | Other Activity</a:t>
          </a:r>
        </a:p>
      </xdr:txBody>
    </xdr:sp>
    <xdr:clientData/>
  </xdr:oneCellAnchor>
  <xdr:twoCellAnchor>
    <xdr:from>
      <xdr:col>8</xdr:col>
      <xdr:colOff>57150</xdr:colOff>
      <xdr:row>0</xdr:row>
      <xdr:rowOff>85725</xdr:rowOff>
    </xdr:from>
    <xdr:to>
      <xdr:col>11</xdr:col>
      <xdr:colOff>1285875</xdr:colOff>
      <xdr:row>4</xdr:row>
      <xdr:rowOff>76200</xdr:rowOff>
    </xdr:to>
    <xdr:grpSp>
      <xdr:nvGrpSpPr>
        <xdr:cNvPr id="4" name="Group 3"/>
        <xdr:cNvGrpSpPr/>
      </xdr:nvGrpSpPr>
      <xdr:grpSpPr>
        <a:xfrm>
          <a:off x="8220075" y="85725"/>
          <a:ext cx="3057525" cy="752475"/>
          <a:chOff x="8753475" y="4867275"/>
          <a:chExt cx="3057525" cy="752475"/>
        </a:xfrm>
      </xdr:grpSpPr>
      <xdr:sp macro="" textlink="">
        <xdr:nvSpPr>
          <xdr:cNvPr id="5" name="Rounded Rectangle 4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6" name="Picture 5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W36"/>
  <sheetViews>
    <sheetView showGridLines="0" showRowColHeaders="0" tabSelected="1" workbookViewId="0">
      <selection activeCell="E10" sqref="E10:H10"/>
    </sheetView>
  </sheetViews>
  <sheetFormatPr defaultColWidth="0" defaultRowHeight="15" zeroHeight="1" x14ac:dyDescent="0.25"/>
  <cols>
    <col min="1" max="1" width="9.140625" style="22" customWidth="1"/>
    <col min="2" max="3" width="2.85546875" customWidth="1"/>
    <col min="4" max="8" width="9.140625" customWidth="1"/>
    <col min="9" max="9" width="2.85546875" customWidth="1"/>
    <col min="10" max="10" width="10.28515625" customWidth="1"/>
    <col min="11" max="11" width="8.5703125" customWidth="1"/>
    <col min="12" max="14" width="9.140625" customWidth="1"/>
    <col min="15" max="16" width="2.85546875" customWidth="1"/>
    <col min="17" max="17" width="9.140625" style="22" customWidth="1"/>
    <col min="18" max="22" width="9.140625" hidden="1" customWidth="1"/>
    <col min="23" max="23" width="23.140625" hidden="1" customWidth="1"/>
    <col min="24" max="27" width="9.140625" hidden="1" customWidth="1"/>
    <col min="28" max="28" width="31.85546875" hidden="1" customWidth="1"/>
    <col min="29" max="29" width="16.5703125" hidden="1" customWidth="1"/>
    <col min="30" max="41" width="9.140625" hidden="1" customWidth="1"/>
    <col min="42" max="49" width="9.140625" style="76" hidden="1" customWidth="1"/>
    <col min="50" max="16384" width="9.140625" hidden="1"/>
  </cols>
  <sheetData>
    <row r="1" spans="1:49" x14ac:dyDescent="0.25">
      <c r="AP1" s="71" t="s">
        <v>0</v>
      </c>
      <c r="AQ1" s="72" t="s">
        <v>22</v>
      </c>
      <c r="AR1" s="73" t="s">
        <v>23</v>
      </c>
      <c r="AS1" s="74" t="s">
        <v>24</v>
      </c>
      <c r="AT1" s="75" t="s">
        <v>81</v>
      </c>
      <c r="AU1" s="74" t="s">
        <v>82</v>
      </c>
      <c r="AV1" s="75" t="s">
        <v>83</v>
      </c>
      <c r="AW1" s="74" t="s">
        <v>26</v>
      </c>
    </row>
    <row r="2" spans="1:49" x14ac:dyDescent="0.25"/>
    <row r="3" spans="1:49" x14ac:dyDescent="0.25">
      <c r="A3" s="28"/>
      <c r="B3" s="28"/>
      <c r="P3" s="28"/>
      <c r="Q3" s="28"/>
    </row>
    <row r="4" spans="1:49" x14ac:dyDescent="0.25">
      <c r="A4" s="28"/>
      <c r="B4" s="28"/>
      <c r="P4" s="28"/>
      <c r="Q4" s="28"/>
      <c r="V4" s="95" t="s">
        <v>39</v>
      </c>
      <c r="W4" s="95"/>
      <c r="X4" s="95" t="s">
        <v>69</v>
      </c>
      <c r="Y4" s="95"/>
      <c r="Z4" s="95"/>
      <c r="AA4" s="95"/>
      <c r="AB4" s="80" t="s">
        <v>78</v>
      </c>
      <c r="AC4" s="80"/>
    </row>
    <row r="5" spans="1:49" x14ac:dyDescent="0.25">
      <c r="B5" s="23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3"/>
      <c r="V5" s="14" t="s">
        <v>38</v>
      </c>
      <c r="W5" s="14" t="s">
        <v>39</v>
      </c>
      <c r="X5" s="14" t="s">
        <v>22</v>
      </c>
      <c r="Y5" s="14" t="s">
        <v>24</v>
      </c>
      <c r="Z5" s="14" t="s">
        <v>48</v>
      </c>
      <c r="AA5" s="14" t="s">
        <v>3</v>
      </c>
      <c r="AB5" s="49" t="s">
        <v>55</v>
      </c>
      <c r="AC5" s="39">
        <f>$E$10</f>
        <v>43410</v>
      </c>
      <c r="AD5" t="s">
        <v>93</v>
      </c>
      <c r="AE5" t="s">
        <v>94</v>
      </c>
    </row>
    <row r="6" spans="1:49" x14ac:dyDescent="0.25">
      <c r="B6" s="25"/>
      <c r="C6" s="97"/>
      <c r="D6" s="98"/>
      <c r="E6" s="98"/>
      <c r="F6" s="98"/>
      <c r="G6" s="98"/>
      <c r="H6" s="98"/>
      <c r="I6" s="98"/>
      <c r="J6" s="98"/>
      <c r="K6" s="98"/>
      <c r="L6" s="98"/>
      <c r="M6" s="98"/>
      <c r="N6" s="98"/>
      <c r="O6" s="99"/>
      <c r="P6" s="26"/>
      <c r="V6" s="15" t="s">
        <v>22</v>
      </c>
      <c r="W6" s="38" t="s">
        <v>100</v>
      </c>
      <c r="X6" s="31" t="s">
        <v>68</v>
      </c>
      <c r="Y6" s="30" t="s">
        <v>61</v>
      </c>
      <c r="Z6" s="30" t="s">
        <v>43</v>
      </c>
      <c r="AA6" s="30" t="s">
        <v>52</v>
      </c>
      <c r="AB6" s="49" t="s">
        <v>56</v>
      </c>
      <c r="AC6" s="38">
        <f>$E$7</f>
        <v>0</v>
      </c>
      <c r="AD6" t="s">
        <v>107</v>
      </c>
      <c r="AE6" t="s">
        <v>90</v>
      </c>
    </row>
    <row r="7" spans="1:49" x14ac:dyDescent="0.25">
      <c r="B7" s="25"/>
      <c r="C7" s="25"/>
      <c r="D7" s="44" t="s">
        <v>56</v>
      </c>
      <c r="E7" s="88">
        <f>'Update Allocation'!$A$1</f>
        <v>0</v>
      </c>
      <c r="F7" s="89"/>
      <c r="G7" s="89"/>
      <c r="H7" s="89"/>
      <c r="I7" s="45"/>
      <c r="J7" s="45"/>
      <c r="K7" s="45"/>
      <c r="L7" s="45"/>
      <c r="M7" s="45"/>
      <c r="N7" s="45"/>
      <c r="O7" s="23"/>
      <c r="P7" s="26"/>
      <c r="V7" s="17" t="s">
        <v>23</v>
      </c>
      <c r="W7" s="16" t="s">
        <v>101</v>
      </c>
      <c r="X7" s="30" t="s">
        <v>40</v>
      </c>
      <c r="Y7" s="30" t="s">
        <v>60</v>
      </c>
      <c r="Z7" s="30" t="s">
        <v>44</v>
      </c>
      <c r="AA7" s="30" t="s">
        <v>53</v>
      </c>
      <c r="AB7" s="49" t="s">
        <v>65</v>
      </c>
      <c r="AC7" s="38">
        <f>$E$8</f>
        <v>0</v>
      </c>
      <c r="AD7" t="s">
        <v>108</v>
      </c>
      <c r="AE7" t="s">
        <v>91</v>
      </c>
    </row>
    <row r="8" spans="1:49" x14ac:dyDescent="0.25">
      <c r="B8" s="25"/>
      <c r="C8" s="25"/>
      <c r="D8" s="46" t="s">
        <v>65</v>
      </c>
      <c r="E8" s="86">
        <f>'Update Allocation'!$A$2</f>
        <v>0</v>
      </c>
      <c r="F8" s="87"/>
      <c r="G8" s="87"/>
      <c r="H8" s="87"/>
      <c r="I8" s="45"/>
      <c r="J8" s="45"/>
      <c r="K8" s="45"/>
      <c r="L8" s="45"/>
      <c r="M8" s="45"/>
      <c r="N8" s="45"/>
      <c r="O8" s="23"/>
      <c r="P8" s="26"/>
      <c r="V8" s="17" t="s">
        <v>24</v>
      </c>
      <c r="W8" s="16" t="s">
        <v>102</v>
      </c>
      <c r="X8" s="24"/>
      <c r="Y8" s="30"/>
      <c r="Z8" s="30" t="s">
        <v>45</v>
      </c>
      <c r="AA8" s="30" t="s">
        <v>54</v>
      </c>
      <c r="AB8" s="50" t="s">
        <v>43</v>
      </c>
      <c r="AC8" s="38">
        <f>$H13</f>
        <v>0</v>
      </c>
      <c r="AD8" t="s">
        <v>109</v>
      </c>
    </row>
    <row r="9" spans="1:49" x14ac:dyDescent="0.25">
      <c r="B9" s="25"/>
      <c r="C9" s="33"/>
      <c r="D9" s="47"/>
      <c r="E9" s="47"/>
      <c r="F9" s="47"/>
      <c r="G9" s="47"/>
      <c r="H9" s="47"/>
      <c r="I9" s="45"/>
      <c r="J9" s="45"/>
      <c r="K9" s="45"/>
      <c r="L9" s="45"/>
      <c r="M9" s="45"/>
      <c r="N9" s="45"/>
      <c r="O9" s="34"/>
      <c r="P9" s="26"/>
      <c r="V9" s="18" t="s">
        <v>81</v>
      </c>
      <c r="W9" s="16" t="s">
        <v>103</v>
      </c>
      <c r="Y9" s="24"/>
      <c r="Z9" s="30" t="s">
        <v>46</v>
      </c>
      <c r="AA9" s="24" t="s">
        <v>49</v>
      </c>
      <c r="AB9" s="50" t="s">
        <v>44</v>
      </c>
      <c r="AC9" s="38">
        <f>$H14</f>
        <v>0</v>
      </c>
      <c r="AD9" t="s">
        <v>110</v>
      </c>
    </row>
    <row r="10" spans="1:49" x14ac:dyDescent="0.25">
      <c r="B10" s="25"/>
      <c r="C10" s="25"/>
      <c r="D10" s="48" t="s">
        <v>55</v>
      </c>
      <c r="E10" s="90">
        <v>43410</v>
      </c>
      <c r="F10" s="90"/>
      <c r="G10" s="90"/>
      <c r="H10" s="90"/>
      <c r="I10" s="45"/>
      <c r="J10" s="45"/>
      <c r="K10" s="45"/>
      <c r="L10" s="45"/>
      <c r="M10" s="45"/>
      <c r="N10" s="45"/>
      <c r="O10" s="23"/>
      <c r="P10" s="26"/>
      <c r="V10" s="18" t="s">
        <v>82</v>
      </c>
      <c r="W10" s="16" t="s">
        <v>104</v>
      </c>
      <c r="Z10" s="30" t="s">
        <v>47</v>
      </c>
      <c r="AB10" s="50" t="s">
        <v>67</v>
      </c>
      <c r="AC10" s="38">
        <f>$H15</f>
        <v>0</v>
      </c>
      <c r="AD10" t="s">
        <v>85</v>
      </c>
    </row>
    <row r="11" spans="1:49" x14ac:dyDescent="0.25">
      <c r="B11" s="25"/>
      <c r="C11" s="33"/>
      <c r="D11" s="47"/>
      <c r="E11" s="47"/>
      <c r="F11" s="47"/>
      <c r="G11" s="47"/>
      <c r="H11" s="47"/>
      <c r="I11" s="45"/>
      <c r="J11" s="45"/>
      <c r="K11" s="45"/>
      <c r="L11" s="45"/>
      <c r="M11" s="45"/>
      <c r="N11" s="45"/>
      <c r="O11" s="34"/>
      <c r="P11" s="26"/>
      <c r="V11" s="18" t="s">
        <v>83</v>
      </c>
      <c r="W11" s="16" t="s">
        <v>105</v>
      </c>
      <c r="Z11" s="30" t="s">
        <v>50</v>
      </c>
      <c r="AB11" s="50" t="s">
        <v>66</v>
      </c>
      <c r="AC11" s="38">
        <f>$H16</f>
        <v>0</v>
      </c>
      <c r="AD11" t="s">
        <v>86</v>
      </c>
    </row>
    <row r="12" spans="1:49" x14ac:dyDescent="0.25">
      <c r="B12" s="25"/>
      <c r="C12" s="25"/>
      <c r="D12" s="102" t="s">
        <v>58</v>
      </c>
      <c r="E12" s="102"/>
      <c r="F12" s="102"/>
      <c r="G12" s="102"/>
      <c r="H12" s="102"/>
      <c r="I12" s="45"/>
      <c r="J12" s="100" t="s">
        <v>62</v>
      </c>
      <c r="K12" s="100"/>
      <c r="L12" s="100"/>
      <c r="M12" s="100"/>
      <c r="N12" s="100"/>
      <c r="O12" s="23"/>
      <c r="P12" s="26"/>
      <c r="V12" s="18" t="s">
        <v>26</v>
      </c>
      <c r="W12" s="16" t="s">
        <v>106</v>
      </c>
      <c r="Z12" s="24" t="s">
        <v>51</v>
      </c>
      <c r="AB12" s="50" t="s">
        <v>63</v>
      </c>
      <c r="AC12" s="38">
        <f>$N13</f>
        <v>0</v>
      </c>
    </row>
    <row r="13" spans="1:49" x14ac:dyDescent="0.25">
      <c r="B13" s="25"/>
      <c r="C13" s="25"/>
      <c r="D13" s="93" t="s">
        <v>43</v>
      </c>
      <c r="E13" s="93"/>
      <c r="F13" s="93"/>
      <c r="G13" s="93"/>
      <c r="H13" s="40">
        <f>COUNTIFS('New Projects | News Review'!$A:$A,"&lt;="&amp;Summary!$E$10,'New Projects | News Review'!$A:$A,"&gt;="&amp;Summary!$E$10,'New Projects | News Review'!$G:$G,$D13)</f>
        <v>0</v>
      </c>
      <c r="I13" s="45"/>
      <c r="J13" s="101" t="s">
        <v>58</v>
      </c>
      <c r="K13" s="101"/>
      <c r="L13" s="96" t="s">
        <v>63</v>
      </c>
      <c r="M13" s="96"/>
      <c r="N13" s="59">
        <f>COUNTIFS('New Projects | News Review'!$A:$A,"&lt;="&amp;Summary!$E$10,'New Projects | News Review'!$A:$A,"&gt;="&amp;Summary!$E$10,'New Projects | News Review'!$G:$G,$L13)</f>
        <v>0</v>
      </c>
      <c r="O13" s="23"/>
      <c r="P13" s="26"/>
      <c r="AB13" s="50" t="s">
        <v>47</v>
      </c>
      <c r="AC13" s="38">
        <f>$N14</f>
        <v>0</v>
      </c>
    </row>
    <row r="14" spans="1:49" x14ac:dyDescent="0.25">
      <c r="B14" s="25"/>
      <c r="C14" s="25"/>
      <c r="D14" s="93" t="s">
        <v>44</v>
      </c>
      <c r="E14" s="93"/>
      <c r="F14" s="93"/>
      <c r="G14" s="93"/>
      <c r="H14" s="40">
        <f>COUNTIFS('New Projects | News Review'!$A:$A,"&lt;="&amp;Summary!$E$10,'New Projects | News Review'!$A:$A,"&gt;="&amp;Summary!$E$10,'New Projects | News Review'!$G:$G,$D14)</f>
        <v>0</v>
      </c>
      <c r="I14" s="45"/>
      <c r="J14" s="101"/>
      <c r="K14" s="101"/>
      <c r="L14" s="96" t="s">
        <v>47</v>
      </c>
      <c r="M14" s="96"/>
      <c r="N14" s="59">
        <f>COUNTIFS('New Projects | News Review'!$A:$A,"&lt;="&amp;Summary!$E$10,'New Projects | News Review'!$A:$A,"&gt;="&amp;Summary!$E$10,'New Projects | News Review'!$G:$G,$L14)</f>
        <v>0</v>
      </c>
      <c r="O14" s="23"/>
      <c r="P14" s="26"/>
      <c r="AB14" s="51" t="s">
        <v>60</v>
      </c>
      <c r="AC14" s="38">
        <f>$H19</f>
        <v>0</v>
      </c>
    </row>
    <row r="15" spans="1:49" x14ac:dyDescent="0.25">
      <c r="B15" s="25"/>
      <c r="C15" s="25"/>
      <c r="D15" s="93" t="s">
        <v>67</v>
      </c>
      <c r="E15" s="93"/>
      <c r="F15" s="93"/>
      <c r="G15" s="93"/>
      <c r="H15" s="40">
        <f>COUNTIFS('New Projects | News Review'!$A:$A,"&lt;="&amp;Summary!$E$10,'New Projects | News Review'!$A:$A,"&gt;="&amp;Summary!$E$10,'New Projects | News Review'!$G:$G,"Orig+Profiling")</f>
        <v>0</v>
      </c>
      <c r="I15" s="45"/>
      <c r="J15" s="101" t="s">
        <v>59</v>
      </c>
      <c r="K15" s="101"/>
      <c r="L15" s="96" t="s">
        <v>63</v>
      </c>
      <c r="M15" s="96"/>
      <c r="N15" s="59">
        <f>COUNTIFS('Priority Updates'!$A:$A,$E$10,'Priority Updates'!$D:$D,$L15)+COUNTIFS('Client Queries'!$A:$A,$E$10,'Client Queries'!$E:$E,"CIC Project")</f>
        <v>0</v>
      </c>
      <c r="O15" s="23"/>
      <c r="P15" s="26"/>
      <c r="AB15" s="51" t="s">
        <v>61</v>
      </c>
      <c r="AC15" s="38">
        <f>$H20</f>
        <v>0</v>
      </c>
    </row>
    <row r="16" spans="1:49" x14ac:dyDescent="0.25">
      <c r="B16" s="25"/>
      <c r="C16" s="25"/>
      <c r="D16" s="93" t="s">
        <v>66</v>
      </c>
      <c r="E16" s="93"/>
      <c r="F16" s="93"/>
      <c r="G16" s="93"/>
      <c r="H16" s="40">
        <f>COUNTIFS('New Projects | News Review'!$A:$A,"&lt;="&amp;Summary!$E$10,'New Projects | News Review'!$A:$A,"&gt;="&amp;Summary!$E$10,'New Projects | News Review'!$F:$F,"News")</f>
        <v>0</v>
      </c>
      <c r="I16" s="45"/>
      <c r="J16" s="101"/>
      <c r="K16" s="101"/>
      <c r="L16" s="96" t="s">
        <v>47</v>
      </c>
      <c r="M16" s="96"/>
      <c r="N16" s="59">
        <f>COUNTIFS('Priority Updates'!$A:$A,$E$10,'Priority Updates'!$D:$D,$L16)+COUNTIFS('Client Queries'!$A:$A,$E$10,'Client Queries'!$E:$E,"Demo Project")</f>
        <v>0</v>
      </c>
      <c r="O16" s="23"/>
      <c r="P16" s="26"/>
      <c r="AB16" s="51" t="s">
        <v>63</v>
      </c>
      <c r="AC16" s="38">
        <f>$N15</f>
        <v>0</v>
      </c>
    </row>
    <row r="17" spans="2:49" x14ac:dyDescent="0.25">
      <c r="B17" s="25"/>
      <c r="C17" s="33"/>
      <c r="D17" s="47"/>
      <c r="E17" s="47"/>
      <c r="F17" s="47"/>
      <c r="G17" s="47"/>
      <c r="H17" s="47"/>
      <c r="I17" s="45"/>
      <c r="J17" s="45"/>
      <c r="K17" s="45"/>
      <c r="L17" s="45"/>
      <c r="M17" s="45"/>
      <c r="N17" s="45"/>
      <c r="O17" s="34"/>
      <c r="P17" s="26"/>
      <c r="AB17" s="51" t="s">
        <v>47</v>
      </c>
      <c r="AC17" s="38">
        <f>$N16</f>
        <v>0</v>
      </c>
    </row>
    <row r="18" spans="2:49" x14ac:dyDescent="0.25">
      <c r="B18" s="25"/>
      <c r="C18" s="25"/>
      <c r="D18" s="91" t="s">
        <v>59</v>
      </c>
      <c r="E18" s="91"/>
      <c r="F18" s="91"/>
      <c r="G18" s="91"/>
      <c r="H18" s="91"/>
      <c r="I18" s="45"/>
      <c r="J18" s="84" t="s">
        <v>71</v>
      </c>
      <c r="K18" s="84"/>
      <c r="L18" s="84"/>
      <c r="M18" s="84"/>
      <c r="N18" s="84"/>
      <c r="O18" s="23"/>
      <c r="P18" s="26"/>
      <c r="AB18" s="52" t="s">
        <v>41</v>
      </c>
      <c r="AC18" s="38">
        <f ca="1">$H23</f>
        <v>0</v>
      </c>
    </row>
    <row r="19" spans="2:49" x14ac:dyDescent="0.25">
      <c r="B19" s="25"/>
      <c r="C19" s="25"/>
      <c r="D19" s="94" t="s">
        <v>60</v>
      </c>
      <c r="E19" s="94"/>
      <c r="F19" s="94"/>
      <c r="G19" s="94"/>
      <c r="H19" s="41">
        <f>COUNTIFS('Update Allocation'!$Z:$Z,$E$10,'Update Allocation'!$AA:$AA,$D19,'Update Allocation'!$Y:$Y,"Done")+COUNTIFS('Priority Updates'!$A:$A,$E$10,'Priority Updates'!$D:$D,$D19)</f>
        <v>0</v>
      </c>
      <c r="I19" s="45"/>
      <c r="J19" s="82" t="s">
        <v>72</v>
      </c>
      <c r="K19" s="82"/>
      <c r="L19" s="82"/>
      <c r="M19" s="82"/>
      <c r="N19" s="60">
        <f>SUMIFS('Client Queries'!$I:$I,'Client Queries'!$A:$A,$E$10,'Client Queries'!$E:$E,"CIC Search")+SUMIFS('Client Queries'!$I:$I,'Client Queries'!$A:$A,$E$10,'Client Queries'!$E:$E,"DEMO Search")</f>
        <v>0</v>
      </c>
      <c r="O19" s="23"/>
      <c r="P19" s="26"/>
      <c r="AB19" s="52" t="s">
        <v>42</v>
      </c>
      <c r="AC19" s="38">
        <f ca="1">$H24</f>
        <v>0</v>
      </c>
    </row>
    <row r="20" spans="2:49" x14ac:dyDescent="0.25">
      <c r="B20" s="25"/>
      <c r="C20" s="25"/>
      <c r="D20" s="94" t="s">
        <v>61</v>
      </c>
      <c r="E20" s="94"/>
      <c r="F20" s="94"/>
      <c r="G20" s="94"/>
      <c r="H20" s="41">
        <f>COUNTIFS('Update Allocation'!$Z:$Z,$E$10,'Update Allocation'!$AA:$AA,$D20,'Update Allocation'!$Y:$Y,"Done")+COUNTIFS('Priority Updates'!$A:$A,$E$10,'Priority Updates'!$D:$D,$D20)</f>
        <v>0</v>
      </c>
      <c r="I20" s="45"/>
      <c r="J20" s="82" t="s">
        <v>73</v>
      </c>
      <c r="K20" s="82"/>
      <c r="L20" s="82"/>
      <c r="M20" s="82"/>
      <c r="N20" s="60">
        <f>SUMIFS('Client Queries'!$I:$I,'Client Queries'!$A:$A,$E$10,'Client Queries'!$E:$E,"Custom Work")</f>
        <v>0</v>
      </c>
      <c r="O20" s="23"/>
      <c r="P20" s="26"/>
      <c r="AB20" s="52" t="s">
        <v>25</v>
      </c>
      <c r="AC20" s="38">
        <f ca="1">$H25</f>
        <v>0</v>
      </c>
    </row>
    <row r="21" spans="2:49" x14ac:dyDescent="0.25">
      <c r="B21" s="25"/>
      <c r="C21" s="33"/>
      <c r="D21" s="47"/>
      <c r="E21" s="47"/>
      <c r="F21" s="47"/>
      <c r="G21" s="47"/>
      <c r="H21" s="47"/>
      <c r="I21" s="45"/>
      <c r="J21" s="82" t="s">
        <v>74</v>
      </c>
      <c r="K21" s="82"/>
      <c r="L21" s="82"/>
      <c r="M21" s="82"/>
      <c r="N21" s="60">
        <f>SUMIFS('Client Queries'!$I:$I,'Client Queries'!$A:$A,$E$10,'Client Queries'!$E:$E,"Primary Support")+SUMIFS('Primary Support | OtherActivity'!$F:$F,'Primary Support | OtherActivity'!$A:$A,$E$10,'Primary Support | OtherActivity'!$D:$D,"Primary Support for Others")</f>
        <v>0</v>
      </c>
      <c r="O21" s="34"/>
      <c r="P21" s="26"/>
      <c r="AB21" s="53" t="s">
        <v>72</v>
      </c>
      <c r="AC21" s="38">
        <f>$N19</f>
        <v>0</v>
      </c>
    </row>
    <row r="22" spans="2:49" x14ac:dyDescent="0.25">
      <c r="B22" s="25"/>
      <c r="C22" s="25"/>
      <c r="D22" s="92" t="s">
        <v>64</v>
      </c>
      <c r="E22" s="92"/>
      <c r="F22" s="92"/>
      <c r="G22" s="92"/>
      <c r="H22" s="92"/>
      <c r="I22" s="45"/>
      <c r="J22" s="82" t="s">
        <v>75</v>
      </c>
      <c r="K22" s="82"/>
      <c r="L22" s="82"/>
      <c r="M22" s="82"/>
      <c r="N22" s="42"/>
      <c r="O22" s="23"/>
      <c r="P22" s="26"/>
      <c r="AB22" s="53" t="s">
        <v>73</v>
      </c>
      <c r="AC22" s="38">
        <f>$N20</f>
        <v>0</v>
      </c>
    </row>
    <row r="23" spans="2:49" x14ac:dyDescent="0.25">
      <c r="B23" s="25"/>
      <c r="C23" s="25"/>
      <c r="D23" s="83" t="s">
        <v>41</v>
      </c>
      <c r="E23" s="83"/>
      <c r="F23" s="83"/>
      <c r="G23" s="83"/>
      <c r="H23" s="43">
        <f ca="1">SUMIFS('Update Allocation'!$AB:$AB,'Update Allocation'!$Z:$Z,$E$10,'Update Allocation'!$Y:$Y,"Done")+SUMIFS('New Projects | News Review'!$H:$H,'New Projects | News Review'!$A:$A,$E$10)+SUMIFS('Client Queries'!$F:$F,'Client Queries'!$A:$A,$E$10)+SUMIF('Primary Support | OtherActivity'!$I:$I,'Primary Support | OtherActivity'!$A:$A,$E$10)+SUMIFS('Priority Updates'!$E:$E,'Priority Updates'!$A:$A,$E$10)</f>
        <v>0</v>
      </c>
      <c r="I23" s="45"/>
      <c r="J23" s="78" t="s">
        <v>76</v>
      </c>
      <c r="K23" s="78"/>
      <c r="L23" s="78"/>
      <c r="M23" s="78"/>
      <c r="N23" s="79">
        <f>SUMIFS('Primary Support | OtherActivity'!$F:$F,'Primary Support | OtherActivity'!$A:$A,$E$10,'Primary Support | OtherActivity'!$D:$D,"Custom Activity")</f>
        <v>0</v>
      </c>
      <c r="O23" s="23"/>
      <c r="P23" s="26"/>
      <c r="AB23" s="53" t="s">
        <v>74</v>
      </c>
      <c r="AC23" s="38">
        <f>$N21</f>
        <v>0</v>
      </c>
    </row>
    <row r="24" spans="2:49" x14ac:dyDescent="0.25">
      <c r="B24" s="25"/>
      <c r="C24" s="25"/>
      <c r="D24" s="83" t="s">
        <v>42</v>
      </c>
      <c r="E24" s="83"/>
      <c r="F24" s="83"/>
      <c r="G24" s="83"/>
      <c r="H24" s="43">
        <f ca="1">SUMIFS('Update Allocation'!$AC:$AC,'Update Allocation'!$Z:$Z,$E$10,'Update Allocation'!$Y:$Y,"Done")+SUMIFS('New Projects | News Review'!$I:$I,'New Projects | News Review'!$A:$A,$E$10)+SUMIFS('Client Queries'!$G:$G,'Client Queries'!$A:$A,$E$10)+SUMIF('Primary Support | OtherActivity'!$J:$J,'Primary Support | OtherActivity'!$A:$A,$E$10)+SUMIFS('Priority Updates'!$F:$F,'Priority Updates'!$A:$A,$E$10)</f>
        <v>0</v>
      </c>
      <c r="I24" s="45"/>
      <c r="J24" s="78"/>
      <c r="K24" s="78"/>
      <c r="L24" s="78"/>
      <c r="M24" s="78"/>
      <c r="N24" s="79"/>
      <c r="O24" s="23"/>
      <c r="P24" s="26"/>
      <c r="AB24" s="53" t="s">
        <v>75</v>
      </c>
      <c r="AC24" s="38">
        <f>$N22</f>
        <v>0</v>
      </c>
    </row>
    <row r="25" spans="2:49" x14ac:dyDescent="0.25">
      <c r="B25" s="25"/>
      <c r="C25" s="25"/>
      <c r="D25" s="83" t="s">
        <v>25</v>
      </c>
      <c r="E25" s="83"/>
      <c r="F25" s="83"/>
      <c r="G25" s="83"/>
      <c r="H25" s="43">
        <f ca="1">SUMIFS('Update Allocation'!$AD:$AD,'Update Allocation'!$Z:$Z,$E$10,'Update Allocation'!$Y:$Y,"Done")+SUMIFS('Client Queries'!$H:$H,'Client Queries'!$A:$A,$E$10)+SUMIF('Primary Support | OtherActivity'!$K:$K,'Primary Support | OtherActivity'!$A:$A,$E$10)+SUMIFS('Priority Updates'!$G:$G,'Priority Updates'!$A:$A,$E$10)</f>
        <v>0</v>
      </c>
      <c r="I25" s="45"/>
      <c r="J25" s="78"/>
      <c r="K25" s="78"/>
      <c r="L25" s="78"/>
      <c r="M25" s="78"/>
      <c r="N25" s="79"/>
      <c r="O25" s="23"/>
      <c r="P25" s="26"/>
      <c r="AB25" s="53" t="s">
        <v>76</v>
      </c>
      <c r="AC25" s="38">
        <f>$N23</f>
        <v>0</v>
      </c>
    </row>
    <row r="26" spans="2:49" x14ac:dyDescent="0.25">
      <c r="B26" s="25"/>
      <c r="C26" s="23"/>
      <c r="O26" s="23"/>
      <c r="P26" s="26"/>
      <c r="AB26" s="53" t="s">
        <v>111</v>
      </c>
      <c r="AC26" s="67">
        <f ca="1">NOW()</f>
        <v>43424.757067245373</v>
      </c>
    </row>
    <row r="27" spans="2:49" x14ac:dyDescent="0.25">
      <c r="B27" s="25"/>
      <c r="C27" s="23"/>
      <c r="O27" s="23"/>
      <c r="P27" s="26"/>
      <c r="AC27" s="22"/>
    </row>
    <row r="28" spans="2:49" x14ac:dyDescent="0.25">
      <c r="B28" s="25"/>
      <c r="C28" s="23"/>
      <c r="H28" s="85" t="s">
        <v>77</v>
      </c>
      <c r="I28" s="85"/>
      <c r="J28" s="85"/>
      <c r="O28" s="23"/>
      <c r="P28" s="26"/>
    </row>
    <row r="29" spans="2:49" ht="18.75" x14ac:dyDescent="0.3">
      <c r="B29" s="25"/>
      <c r="C29" s="23"/>
      <c r="E29" s="81">
        <f>$E$8</f>
        <v>0</v>
      </c>
      <c r="F29" s="81"/>
      <c r="G29" s="81"/>
      <c r="H29" s="81"/>
      <c r="I29" s="81"/>
      <c r="J29" s="81"/>
      <c r="K29" s="81"/>
      <c r="L29" s="81"/>
      <c r="M29" s="81"/>
      <c r="O29" s="23"/>
      <c r="P29" s="26"/>
    </row>
    <row r="30" spans="2:49" x14ac:dyDescent="0.25">
      <c r="B30" s="25"/>
      <c r="C30" s="35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7"/>
      <c r="P30" s="26"/>
    </row>
    <row r="31" spans="2:49" x14ac:dyDescent="0.25">
      <c r="B31" s="23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3"/>
    </row>
    <row r="32" spans="2:49" s="22" customFormat="1" x14ac:dyDescent="0.25">
      <c r="AP32" s="77"/>
      <c r="AQ32" s="77"/>
      <c r="AR32" s="77"/>
      <c r="AS32" s="77"/>
      <c r="AT32" s="77"/>
      <c r="AU32" s="77"/>
      <c r="AV32" s="77"/>
      <c r="AW32" s="77"/>
    </row>
    <row r="33" x14ac:dyDescent="0.25"/>
    <row r="34" x14ac:dyDescent="0.25"/>
    <row r="35" x14ac:dyDescent="0.25"/>
    <row r="36" x14ac:dyDescent="0.25"/>
  </sheetData>
  <sheetProtection sheet="1" objects="1" scenarios="1"/>
  <mergeCells count="35">
    <mergeCell ref="X4:AA4"/>
    <mergeCell ref="L13:M13"/>
    <mergeCell ref="L14:M14"/>
    <mergeCell ref="L16:M16"/>
    <mergeCell ref="V4:W4"/>
    <mergeCell ref="C6:O6"/>
    <mergeCell ref="L15:M15"/>
    <mergeCell ref="J12:N12"/>
    <mergeCell ref="J13:K14"/>
    <mergeCell ref="J15:K16"/>
    <mergeCell ref="D12:H12"/>
    <mergeCell ref="D18:H18"/>
    <mergeCell ref="D22:H22"/>
    <mergeCell ref="D13:G13"/>
    <mergeCell ref="D14:G14"/>
    <mergeCell ref="D15:G15"/>
    <mergeCell ref="D16:G16"/>
    <mergeCell ref="D19:G19"/>
    <mergeCell ref="D20:G20"/>
    <mergeCell ref="J23:M25"/>
    <mergeCell ref="N23:N25"/>
    <mergeCell ref="AB4:AC4"/>
    <mergeCell ref="E29:M29"/>
    <mergeCell ref="J22:M22"/>
    <mergeCell ref="D24:G24"/>
    <mergeCell ref="D25:G25"/>
    <mergeCell ref="J18:N18"/>
    <mergeCell ref="J19:M19"/>
    <mergeCell ref="J20:M20"/>
    <mergeCell ref="J21:M21"/>
    <mergeCell ref="H28:J28"/>
    <mergeCell ref="E8:H8"/>
    <mergeCell ref="E7:H7"/>
    <mergeCell ref="E10:H10"/>
    <mergeCell ref="D23:G23"/>
  </mergeCells>
  <conditionalFormatting sqref="H13:H16">
    <cfRule type="cellIs" dxfId="6" priority="6" operator="lessThan">
      <formula>1</formula>
    </cfRule>
  </conditionalFormatting>
  <conditionalFormatting sqref="N13:N16">
    <cfRule type="cellIs" dxfId="5" priority="5" operator="lessThan">
      <formula>1</formula>
    </cfRule>
  </conditionalFormatting>
  <conditionalFormatting sqref="H19:H20">
    <cfRule type="cellIs" dxfId="4" priority="4" operator="lessThan">
      <formula>1</formula>
    </cfRule>
  </conditionalFormatting>
  <conditionalFormatting sqref="H23:H25">
    <cfRule type="cellIs" dxfId="3" priority="3" operator="lessThan">
      <formula>1</formula>
    </cfRule>
  </conditionalFormatting>
  <conditionalFormatting sqref="N19:N21">
    <cfRule type="cellIs" dxfId="2" priority="2" operator="lessThan">
      <formula>1</formula>
    </cfRule>
  </conditionalFormatting>
  <conditionalFormatting sqref="N23:N25">
    <cfRule type="cellIs" dxfId="1" priority="1" operator="lessThan">
      <formula>1</formula>
    </cfRule>
  </conditionalFormatting>
  <pageMargins left="0.7" right="0.7" top="0.75" bottom="0.75" header="0.3" footer="0.3"/>
  <pageSetup orientation="portrait" r:id="rId1"/>
  <ignoredErrors>
    <ignoredError sqref="N20:N21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AE25000"/>
  <sheetViews>
    <sheetView zoomScaleNormal="100" workbookViewId="0">
      <pane ySplit="19" topLeftCell="A20" activePane="bottomLeft" state="frozen"/>
      <selection pane="bottomLeft" activeCell="A20" sqref="A20"/>
    </sheetView>
  </sheetViews>
  <sheetFormatPr defaultColWidth="0" defaultRowHeight="15" zeroHeight="1" x14ac:dyDescent="0.25"/>
  <cols>
    <col min="1" max="2" width="9.140625" customWidth="1"/>
    <col min="3" max="3" width="95" bestFit="1" customWidth="1"/>
    <col min="4" max="9" width="9.140625" customWidth="1"/>
    <col min="10" max="12" width="11.42578125" customWidth="1"/>
    <col min="13" max="20" width="9.140625" customWidth="1"/>
    <col min="21" max="21" width="10.5703125" bestFit="1" customWidth="1"/>
    <col min="22" max="22" width="11.42578125" bestFit="1" customWidth="1"/>
    <col min="23" max="23" width="9.140625" customWidth="1"/>
    <col min="24" max="24" width="20.7109375" customWidth="1"/>
    <col min="25" max="25" width="9.140625" customWidth="1"/>
    <col min="26" max="26" width="11.42578125" customWidth="1"/>
    <col min="27" max="30" width="9.140625" customWidth="1"/>
    <col min="31" max="31" width="20.7109375" customWidth="1"/>
    <col min="32" max="16384" width="9.140625" hidden="1"/>
  </cols>
  <sheetData>
    <row r="1" spans="1:31" ht="15.75" thickBot="1" x14ac:dyDescent="0.3">
      <c r="A1" s="68"/>
      <c r="B1" s="68" t="str">
        <f>CONCATENATE("Emp ID        :  ",$A$1)</f>
        <v xml:space="preserve">Emp ID        :  </v>
      </c>
      <c r="C1" s="68"/>
      <c r="D1" s="69"/>
      <c r="E1" s="69"/>
      <c r="F1" s="69"/>
      <c r="G1" s="69"/>
      <c r="H1" s="69"/>
      <c r="I1" s="69"/>
      <c r="J1" s="69"/>
      <c r="K1" s="69"/>
      <c r="L1" s="7"/>
      <c r="M1" s="7"/>
      <c r="N1" s="7"/>
      <c r="O1" s="7"/>
      <c r="P1" s="7"/>
      <c r="Q1" s="7"/>
      <c r="R1" s="7"/>
      <c r="S1" s="13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</row>
    <row r="2" spans="1:31" ht="16.5" thickTop="1" thickBot="1" x14ac:dyDescent="0.3">
      <c r="A2" s="68"/>
      <c r="B2" s="68" t="str">
        <f>CONCATENATE("Emp Name :  ",$A$2)</f>
        <v xml:space="preserve">Emp Name :  </v>
      </c>
      <c r="C2" s="68"/>
      <c r="D2" s="69"/>
      <c r="E2" s="69"/>
      <c r="F2" s="69"/>
      <c r="G2" s="69"/>
      <c r="H2" s="69"/>
      <c r="I2" s="69"/>
      <c r="J2" s="69"/>
      <c r="K2" s="69"/>
      <c r="L2" s="7"/>
      <c r="M2" s="107" t="s">
        <v>98</v>
      </c>
      <c r="N2" s="108"/>
      <c r="O2" s="105" t="s">
        <v>20</v>
      </c>
      <c r="P2" s="106"/>
      <c r="Q2" s="12" t="s">
        <v>32</v>
      </c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</row>
    <row r="3" spans="1:31" ht="15.75" thickTop="1" x14ac:dyDescent="0.25">
      <c r="A3" s="68"/>
      <c r="B3" s="68"/>
      <c r="C3" s="68"/>
      <c r="D3" s="69"/>
      <c r="E3" s="69"/>
      <c r="F3" s="69"/>
      <c r="G3" s="69"/>
      <c r="H3" s="69"/>
      <c r="I3" s="69"/>
      <c r="J3" s="69"/>
      <c r="K3" s="69"/>
      <c r="L3" s="7"/>
      <c r="M3" s="109"/>
      <c r="N3" s="110"/>
      <c r="O3" s="118" t="s">
        <v>33</v>
      </c>
      <c r="P3" s="119"/>
      <c r="Q3" s="64">
        <f>COUNTIF($V:$V,$O3)</f>
        <v>0</v>
      </c>
      <c r="R3" s="7"/>
      <c r="S3" s="7"/>
      <c r="U3" s="117" t="s">
        <v>27</v>
      </c>
      <c r="V3" s="117"/>
      <c r="W3" s="7"/>
      <c r="X3" s="113" t="s">
        <v>99</v>
      </c>
      <c r="Y3" s="114"/>
      <c r="Z3" s="7"/>
      <c r="AA3" s="7"/>
      <c r="AB3" s="7"/>
      <c r="AC3" s="7"/>
      <c r="AD3" s="7"/>
      <c r="AE3" s="7"/>
    </row>
    <row r="4" spans="1:31" ht="15.75" thickBot="1" x14ac:dyDescent="0.3">
      <c r="A4" s="70"/>
      <c r="B4" s="70"/>
      <c r="C4" s="70"/>
      <c r="D4" s="69"/>
      <c r="E4" s="69"/>
      <c r="F4" s="69"/>
      <c r="G4" s="69"/>
      <c r="H4" s="69"/>
      <c r="I4" s="69"/>
      <c r="J4" s="69"/>
      <c r="K4" s="69"/>
      <c r="L4" s="7"/>
      <c r="M4" s="109"/>
      <c r="N4" s="110"/>
      <c r="O4" s="120" t="s">
        <v>34</v>
      </c>
      <c r="P4" s="121"/>
      <c r="Q4" s="64">
        <f>COUNTIF($V:$V,$O4)</f>
        <v>0</v>
      </c>
      <c r="R4" s="7"/>
      <c r="S4" s="7"/>
      <c r="T4" s="7"/>
      <c r="U4" s="8" t="s">
        <v>28</v>
      </c>
      <c r="V4" s="9">
        <v>43160</v>
      </c>
      <c r="W4" s="7"/>
      <c r="X4" s="115"/>
      <c r="Y4" s="116"/>
      <c r="Z4" s="7"/>
      <c r="AA4" s="7"/>
      <c r="AB4" s="7"/>
      <c r="AC4" s="7"/>
      <c r="AD4" s="7"/>
      <c r="AE4" s="7"/>
    </row>
    <row r="5" spans="1:31" ht="15.75" thickTop="1" x14ac:dyDescent="0.25">
      <c r="A5" s="70"/>
      <c r="B5" s="70"/>
      <c r="C5" s="70"/>
      <c r="D5" s="69"/>
      <c r="E5" s="69"/>
      <c r="F5" s="69"/>
      <c r="G5" s="69"/>
      <c r="H5" s="69"/>
      <c r="I5" s="69"/>
      <c r="J5" s="69"/>
      <c r="K5" s="69"/>
      <c r="L5" s="7"/>
      <c r="M5" s="109"/>
      <c r="N5" s="110"/>
      <c r="O5" s="122" t="s">
        <v>35</v>
      </c>
      <c r="P5" s="123"/>
      <c r="Q5" s="64">
        <f>COUNTIF($V:$V,$O5)</f>
        <v>0</v>
      </c>
      <c r="R5" s="7"/>
      <c r="S5" s="7"/>
      <c r="T5" s="7"/>
      <c r="U5" s="10" t="s">
        <v>29</v>
      </c>
      <c r="V5" s="11">
        <v>43252</v>
      </c>
      <c r="W5" s="7"/>
      <c r="X5" s="65">
        <v>104147</v>
      </c>
      <c r="Y5" s="65" t="str">
        <f>IF(COUNTIF($A:$A,$X$5)&gt;0,"Yes","No")</f>
        <v>No</v>
      </c>
      <c r="Z5" s="7"/>
      <c r="AA5" s="7"/>
      <c r="AB5" s="7"/>
      <c r="AC5" s="7"/>
      <c r="AD5" s="7"/>
      <c r="AE5" s="7"/>
    </row>
    <row r="6" spans="1:31" x14ac:dyDescent="0.25">
      <c r="A6" s="70"/>
      <c r="B6" s="70"/>
      <c r="C6" s="70"/>
      <c r="D6" s="69"/>
      <c r="E6" s="69"/>
      <c r="F6" s="69"/>
      <c r="G6" s="69"/>
      <c r="H6" s="69"/>
      <c r="I6" s="69"/>
      <c r="J6" s="69"/>
      <c r="K6" s="69"/>
      <c r="L6" s="7"/>
      <c r="M6" s="109"/>
      <c r="N6" s="110"/>
      <c r="O6" s="103" t="s">
        <v>36</v>
      </c>
      <c r="P6" s="104"/>
      <c r="Q6" s="64">
        <f>COUNTIF($V:$V,$O6)</f>
        <v>0</v>
      </c>
      <c r="R6" s="7"/>
      <c r="S6" s="7"/>
      <c r="T6" s="7"/>
      <c r="U6" s="8" t="s">
        <v>30</v>
      </c>
      <c r="V6" s="9">
        <v>43344</v>
      </c>
      <c r="W6" s="7"/>
      <c r="X6" s="7"/>
      <c r="Y6" s="7"/>
      <c r="Z6" s="7"/>
      <c r="AA6" s="7"/>
      <c r="AB6" s="7"/>
      <c r="AC6" s="7"/>
      <c r="AD6" s="7"/>
      <c r="AE6" s="7"/>
    </row>
    <row r="7" spans="1:31" ht="15.75" thickBot="1" x14ac:dyDescent="0.3">
      <c r="A7" s="70"/>
      <c r="B7" s="70"/>
      <c r="C7" s="70"/>
      <c r="D7" s="69"/>
      <c r="E7" s="69"/>
      <c r="F7" s="69"/>
      <c r="G7" s="69"/>
      <c r="H7" s="69"/>
      <c r="I7" s="69"/>
      <c r="J7" s="69"/>
      <c r="K7" s="69"/>
      <c r="L7" s="7"/>
      <c r="M7" s="111"/>
      <c r="N7" s="112"/>
      <c r="O7" s="105" t="s">
        <v>37</v>
      </c>
      <c r="P7" s="106"/>
      <c r="Q7" s="63">
        <f>COUNT($A:$A)-1</f>
        <v>-1</v>
      </c>
      <c r="R7" s="7"/>
      <c r="S7" s="7"/>
      <c r="T7" s="7"/>
      <c r="U7" s="10" t="s">
        <v>31</v>
      </c>
      <c r="V7" s="11">
        <v>43435</v>
      </c>
      <c r="W7" s="7"/>
      <c r="X7" s="7"/>
      <c r="Y7" s="7"/>
      <c r="Z7" s="7"/>
      <c r="AA7" s="7"/>
      <c r="AB7" s="7"/>
      <c r="AC7" s="7"/>
      <c r="AD7" s="7"/>
      <c r="AE7" s="7"/>
    </row>
    <row r="8" spans="1:31" ht="15.75" thickTop="1" x14ac:dyDescent="0.25">
      <c r="A8" s="70"/>
      <c r="B8" s="70"/>
      <c r="C8" s="70"/>
      <c r="D8" s="69"/>
      <c r="E8" s="69"/>
      <c r="F8" s="69"/>
      <c r="G8" s="69"/>
      <c r="H8" s="69"/>
      <c r="I8" s="69"/>
      <c r="J8" s="69"/>
      <c r="K8" s="69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idden="1" x14ac:dyDescent="0.25"/>
    <row r="10" spans="1:31" hidden="1" x14ac:dyDescent="0.25"/>
    <row r="11" spans="1:31" hidden="1" x14ac:dyDescent="0.25"/>
    <row r="12" spans="1:31" hidden="1" x14ac:dyDescent="0.25"/>
    <row r="13" spans="1:31" hidden="1" x14ac:dyDescent="0.25"/>
    <row r="14" spans="1:31" hidden="1" x14ac:dyDescent="0.25"/>
    <row r="15" spans="1:31" hidden="1" x14ac:dyDescent="0.25"/>
    <row r="16" spans="1:31" hidden="1" x14ac:dyDescent="0.25"/>
    <row r="17" spans="1:31" hidden="1" x14ac:dyDescent="0.25"/>
    <row r="18" spans="1:31" hidden="1" x14ac:dyDescent="0.25"/>
    <row r="19" spans="1:31" ht="26.25" x14ac:dyDescent="0.25">
      <c r="A19" s="61" t="s">
        <v>0</v>
      </c>
      <c r="B19" s="61" t="s">
        <v>1</v>
      </c>
      <c r="C19" s="61" t="s">
        <v>2</v>
      </c>
      <c r="D19" s="61" t="s">
        <v>3</v>
      </c>
      <c r="E19" s="61" t="s">
        <v>4</v>
      </c>
      <c r="F19" s="61" t="s">
        <v>5</v>
      </c>
      <c r="G19" s="61" t="s">
        <v>6</v>
      </c>
      <c r="H19" s="61" t="s">
        <v>7</v>
      </c>
      <c r="I19" s="61" t="s">
        <v>8</v>
      </c>
      <c r="J19" s="61" t="s">
        <v>9</v>
      </c>
      <c r="K19" s="62" t="s">
        <v>97</v>
      </c>
      <c r="L19" s="62" t="s">
        <v>10</v>
      </c>
      <c r="M19" s="61" t="s">
        <v>11</v>
      </c>
      <c r="N19" s="1" t="s">
        <v>12</v>
      </c>
      <c r="O19" s="2" t="s">
        <v>13</v>
      </c>
      <c r="P19" s="2" t="s">
        <v>14</v>
      </c>
      <c r="Q19" s="3" t="s">
        <v>15</v>
      </c>
      <c r="R19" s="2" t="s">
        <v>16</v>
      </c>
      <c r="S19" s="2" t="s">
        <v>17</v>
      </c>
      <c r="T19" s="2" t="s">
        <v>18</v>
      </c>
      <c r="U19" s="2" t="s">
        <v>19</v>
      </c>
      <c r="V19" s="2" t="s">
        <v>20</v>
      </c>
      <c r="W19" s="2" t="s">
        <v>21</v>
      </c>
      <c r="X19" s="2" t="s">
        <v>70</v>
      </c>
      <c r="Y19" s="4" t="s">
        <v>22</v>
      </c>
      <c r="Z19" s="32" t="s">
        <v>23</v>
      </c>
      <c r="AA19" s="5" t="s">
        <v>24</v>
      </c>
      <c r="AB19" s="6" t="s">
        <v>81</v>
      </c>
      <c r="AC19" s="5" t="s">
        <v>82</v>
      </c>
      <c r="AD19" s="6" t="s">
        <v>83</v>
      </c>
      <c r="AE19" s="5" t="s">
        <v>26</v>
      </c>
    </row>
    <row r="20" spans="1:31" x14ac:dyDescent="0.25"/>
    <row r="21" spans="1:31" x14ac:dyDescent="0.25"/>
    <row r="22" spans="1:31" x14ac:dyDescent="0.25"/>
    <row r="23" spans="1:31" x14ac:dyDescent="0.25"/>
    <row r="24" spans="1:31" x14ac:dyDescent="0.25"/>
    <row r="25" spans="1:31" x14ac:dyDescent="0.25"/>
    <row r="26" spans="1:31" x14ac:dyDescent="0.25"/>
    <row r="27" spans="1:31" x14ac:dyDescent="0.25"/>
    <row r="28" spans="1:31" x14ac:dyDescent="0.25"/>
    <row r="29" spans="1:31" x14ac:dyDescent="0.25"/>
    <row r="30" spans="1:31" x14ac:dyDescent="0.25"/>
    <row r="31" spans="1:31" x14ac:dyDescent="0.25"/>
    <row r="32" spans="1:31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  <row r="4998" x14ac:dyDescent="0.25"/>
    <row r="4999" x14ac:dyDescent="0.25"/>
    <row r="5000" x14ac:dyDescent="0.25"/>
    <row r="5001" x14ac:dyDescent="0.25"/>
    <row r="5002" x14ac:dyDescent="0.25"/>
    <row r="5003" x14ac:dyDescent="0.25"/>
    <row r="5004" x14ac:dyDescent="0.25"/>
    <row r="5005" x14ac:dyDescent="0.25"/>
    <row r="5006" x14ac:dyDescent="0.25"/>
    <row r="5007" x14ac:dyDescent="0.25"/>
    <row r="5008" x14ac:dyDescent="0.25"/>
    <row r="5009" x14ac:dyDescent="0.25"/>
    <row r="5010" x14ac:dyDescent="0.25"/>
    <row r="5011" x14ac:dyDescent="0.25"/>
    <row r="5012" x14ac:dyDescent="0.25"/>
    <row r="5013" x14ac:dyDescent="0.25"/>
    <row r="5014" x14ac:dyDescent="0.25"/>
    <row r="5015" x14ac:dyDescent="0.25"/>
    <row r="5016" x14ac:dyDescent="0.25"/>
    <row r="5017" x14ac:dyDescent="0.25"/>
    <row r="5018" x14ac:dyDescent="0.25"/>
    <row r="5019" x14ac:dyDescent="0.25"/>
    <row r="5020" x14ac:dyDescent="0.25"/>
    <row r="5021" x14ac:dyDescent="0.25"/>
    <row r="5022" x14ac:dyDescent="0.25"/>
    <row r="5023" x14ac:dyDescent="0.25"/>
    <row r="5024" x14ac:dyDescent="0.25"/>
    <row r="5025" x14ac:dyDescent="0.25"/>
    <row r="5026" x14ac:dyDescent="0.25"/>
    <row r="5027" x14ac:dyDescent="0.25"/>
    <row r="5028" x14ac:dyDescent="0.25"/>
    <row r="5029" x14ac:dyDescent="0.25"/>
    <row r="5030" x14ac:dyDescent="0.25"/>
    <row r="5031" x14ac:dyDescent="0.25"/>
    <row r="5032" x14ac:dyDescent="0.25"/>
    <row r="5033" x14ac:dyDescent="0.25"/>
    <row r="5034" x14ac:dyDescent="0.25"/>
    <row r="5035" x14ac:dyDescent="0.25"/>
    <row r="5036" x14ac:dyDescent="0.25"/>
    <row r="5037" x14ac:dyDescent="0.25"/>
    <row r="5038" x14ac:dyDescent="0.25"/>
    <row r="5039" x14ac:dyDescent="0.25"/>
    <row r="5040" x14ac:dyDescent="0.25"/>
    <row r="5041" x14ac:dyDescent="0.25"/>
    <row r="5042" x14ac:dyDescent="0.25"/>
    <row r="5043" x14ac:dyDescent="0.25"/>
    <row r="5044" x14ac:dyDescent="0.25"/>
    <row r="5045" x14ac:dyDescent="0.25"/>
    <row r="5046" x14ac:dyDescent="0.25"/>
    <row r="5047" x14ac:dyDescent="0.25"/>
    <row r="5048" x14ac:dyDescent="0.25"/>
    <row r="5049" x14ac:dyDescent="0.25"/>
    <row r="5050" x14ac:dyDescent="0.25"/>
    <row r="5051" x14ac:dyDescent="0.25"/>
    <row r="5052" x14ac:dyDescent="0.25"/>
    <row r="5053" x14ac:dyDescent="0.25"/>
    <row r="5054" x14ac:dyDescent="0.25"/>
    <row r="5055" x14ac:dyDescent="0.25"/>
    <row r="5056" x14ac:dyDescent="0.25"/>
    <row r="5057" x14ac:dyDescent="0.25"/>
    <row r="5058" x14ac:dyDescent="0.25"/>
    <row r="5059" x14ac:dyDescent="0.25"/>
    <row r="5060" x14ac:dyDescent="0.25"/>
    <row r="5061" x14ac:dyDescent="0.25"/>
    <row r="5062" x14ac:dyDescent="0.25"/>
    <row r="5063" x14ac:dyDescent="0.25"/>
    <row r="5064" x14ac:dyDescent="0.25"/>
    <row r="5065" x14ac:dyDescent="0.25"/>
    <row r="5066" x14ac:dyDescent="0.25"/>
    <row r="5067" x14ac:dyDescent="0.25"/>
    <row r="5068" x14ac:dyDescent="0.25"/>
    <row r="5069" x14ac:dyDescent="0.25"/>
    <row r="5070" x14ac:dyDescent="0.25"/>
    <row r="5071" x14ac:dyDescent="0.25"/>
    <row r="5072" x14ac:dyDescent="0.25"/>
    <row r="5073" x14ac:dyDescent="0.25"/>
    <row r="5074" x14ac:dyDescent="0.25"/>
    <row r="5075" x14ac:dyDescent="0.25"/>
    <row r="5076" x14ac:dyDescent="0.25"/>
    <row r="5077" x14ac:dyDescent="0.25"/>
    <row r="5078" x14ac:dyDescent="0.25"/>
    <row r="5079" x14ac:dyDescent="0.25"/>
    <row r="5080" x14ac:dyDescent="0.25"/>
    <row r="5081" x14ac:dyDescent="0.25"/>
    <row r="5082" x14ac:dyDescent="0.25"/>
    <row r="5083" x14ac:dyDescent="0.25"/>
    <row r="5084" x14ac:dyDescent="0.25"/>
    <row r="5085" x14ac:dyDescent="0.25"/>
    <row r="5086" x14ac:dyDescent="0.25"/>
    <row r="5087" x14ac:dyDescent="0.25"/>
    <row r="5088" x14ac:dyDescent="0.25"/>
    <row r="5089" x14ac:dyDescent="0.25"/>
    <row r="5090" x14ac:dyDescent="0.25"/>
    <row r="5091" x14ac:dyDescent="0.25"/>
    <row r="5092" x14ac:dyDescent="0.25"/>
    <row r="5093" x14ac:dyDescent="0.25"/>
    <row r="5094" x14ac:dyDescent="0.25"/>
    <row r="5095" x14ac:dyDescent="0.25"/>
    <row r="5096" x14ac:dyDescent="0.25"/>
    <row r="5097" x14ac:dyDescent="0.25"/>
    <row r="5098" x14ac:dyDescent="0.25"/>
    <row r="5099" x14ac:dyDescent="0.25"/>
    <row r="5100" x14ac:dyDescent="0.25"/>
    <row r="5101" x14ac:dyDescent="0.25"/>
    <row r="5102" x14ac:dyDescent="0.25"/>
    <row r="5103" x14ac:dyDescent="0.25"/>
    <row r="5104" x14ac:dyDescent="0.25"/>
    <row r="5105" x14ac:dyDescent="0.25"/>
    <row r="5106" x14ac:dyDescent="0.25"/>
    <row r="5107" x14ac:dyDescent="0.25"/>
    <row r="5108" x14ac:dyDescent="0.25"/>
    <row r="5109" x14ac:dyDescent="0.25"/>
    <row r="5110" x14ac:dyDescent="0.25"/>
    <row r="5111" x14ac:dyDescent="0.25"/>
    <row r="5112" x14ac:dyDescent="0.25"/>
    <row r="5113" x14ac:dyDescent="0.25"/>
    <row r="5114" x14ac:dyDescent="0.25"/>
    <row r="5115" x14ac:dyDescent="0.25"/>
    <row r="5116" x14ac:dyDescent="0.25"/>
    <row r="5117" x14ac:dyDescent="0.25"/>
    <row r="5118" x14ac:dyDescent="0.25"/>
    <row r="5119" x14ac:dyDescent="0.25"/>
    <row r="5120" x14ac:dyDescent="0.25"/>
    <row r="5121" x14ac:dyDescent="0.25"/>
    <row r="5122" x14ac:dyDescent="0.25"/>
    <row r="5123" x14ac:dyDescent="0.25"/>
    <row r="5124" x14ac:dyDescent="0.25"/>
    <row r="5125" x14ac:dyDescent="0.25"/>
    <row r="5126" x14ac:dyDescent="0.25"/>
    <row r="5127" x14ac:dyDescent="0.25"/>
    <row r="5128" x14ac:dyDescent="0.25"/>
    <row r="5129" x14ac:dyDescent="0.25"/>
    <row r="5130" x14ac:dyDescent="0.25"/>
    <row r="5131" x14ac:dyDescent="0.25"/>
    <row r="5132" x14ac:dyDescent="0.25"/>
    <row r="5133" x14ac:dyDescent="0.25"/>
    <row r="5134" x14ac:dyDescent="0.25"/>
    <row r="5135" x14ac:dyDescent="0.25"/>
    <row r="5136" x14ac:dyDescent="0.25"/>
    <row r="5137" x14ac:dyDescent="0.25"/>
    <row r="5138" x14ac:dyDescent="0.25"/>
    <row r="5139" x14ac:dyDescent="0.25"/>
    <row r="5140" x14ac:dyDescent="0.25"/>
    <row r="5141" x14ac:dyDescent="0.25"/>
    <row r="5142" x14ac:dyDescent="0.25"/>
    <row r="5143" x14ac:dyDescent="0.25"/>
    <row r="5144" x14ac:dyDescent="0.25"/>
    <row r="5145" x14ac:dyDescent="0.25"/>
    <row r="5146" x14ac:dyDescent="0.25"/>
    <row r="5147" x14ac:dyDescent="0.25"/>
    <row r="5148" x14ac:dyDescent="0.25"/>
    <row r="5149" x14ac:dyDescent="0.25"/>
    <row r="5150" x14ac:dyDescent="0.25"/>
    <row r="5151" x14ac:dyDescent="0.25"/>
    <row r="5152" x14ac:dyDescent="0.25"/>
    <row r="5153" x14ac:dyDescent="0.25"/>
    <row r="5154" x14ac:dyDescent="0.25"/>
    <row r="5155" x14ac:dyDescent="0.25"/>
    <row r="5156" x14ac:dyDescent="0.25"/>
    <row r="5157" x14ac:dyDescent="0.25"/>
    <row r="5158" x14ac:dyDescent="0.25"/>
    <row r="5159" x14ac:dyDescent="0.25"/>
    <row r="5160" x14ac:dyDescent="0.25"/>
    <row r="5161" x14ac:dyDescent="0.25"/>
    <row r="5162" x14ac:dyDescent="0.25"/>
    <row r="5163" x14ac:dyDescent="0.25"/>
    <row r="5164" x14ac:dyDescent="0.25"/>
    <row r="5165" x14ac:dyDescent="0.25"/>
    <row r="5166" x14ac:dyDescent="0.25"/>
    <row r="5167" x14ac:dyDescent="0.25"/>
    <row r="5168" x14ac:dyDescent="0.25"/>
    <row r="5169" x14ac:dyDescent="0.25"/>
    <row r="5170" x14ac:dyDescent="0.25"/>
    <row r="5171" x14ac:dyDescent="0.25"/>
    <row r="5172" x14ac:dyDescent="0.25"/>
    <row r="5173" x14ac:dyDescent="0.25"/>
    <row r="5174" x14ac:dyDescent="0.25"/>
    <row r="5175" x14ac:dyDescent="0.25"/>
    <row r="5176" x14ac:dyDescent="0.25"/>
    <row r="5177" x14ac:dyDescent="0.25"/>
    <row r="5178" x14ac:dyDescent="0.25"/>
    <row r="5179" x14ac:dyDescent="0.25"/>
    <row r="5180" x14ac:dyDescent="0.25"/>
    <row r="5181" x14ac:dyDescent="0.25"/>
    <row r="5182" x14ac:dyDescent="0.25"/>
    <row r="5183" x14ac:dyDescent="0.25"/>
    <row r="5184" x14ac:dyDescent="0.25"/>
    <row r="5185" x14ac:dyDescent="0.25"/>
    <row r="5186" x14ac:dyDescent="0.25"/>
    <row r="5187" x14ac:dyDescent="0.25"/>
    <row r="5188" x14ac:dyDescent="0.25"/>
    <row r="5189" x14ac:dyDescent="0.25"/>
    <row r="5190" x14ac:dyDescent="0.25"/>
    <row r="5191" x14ac:dyDescent="0.25"/>
    <row r="5192" x14ac:dyDescent="0.25"/>
    <row r="5193" x14ac:dyDescent="0.25"/>
    <row r="5194" x14ac:dyDescent="0.25"/>
    <row r="5195" x14ac:dyDescent="0.25"/>
    <row r="5196" x14ac:dyDescent="0.25"/>
    <row r="5197" x14ac:dyDescent="0.25"/>
    <row r="5198" x14ac:dyDescent="0.25"/>
    <row r="5199" x14ac:dyDescent="0.25"/>
    <row r="5200" x14ac:dyDescent="0.25"/>
    <row r="5201" x14ac:dyDescent="0.25"/>
    <row r="5202" x14ac:dyDescent="0.25"/>
    <row r="5203" x14ac:dyDescent="0.25"/>
    <row r="5204" x14ac:dyDescent="0.25"/>
    <row r="5205" x14ac:dyDescent="0.25"/>
    <row r="5206" x14ac:dyDescent="0.25"/>
    <row r="5207" x14ac:dyDescent="0.25"/>
    <row r="5208" x14ac:dyDescent="0.25"/>
    <row r="5209" x14ac:dyDescent="0.25"/>
    <row r="5210" x14ac:dyDescent="0.25"/>
    <row r="5211" x14ac:dyDescent="0.25"/>
    <row r="5212" x14ac:dyDescent="0.25"/>
    <row r="5213" x14ac:dyDescent="0.25"/>
    <row r="5214" x14ac:dyDescent="0.25"/>
    <row r="5215" x14ac:dyDescent="0.25"/>
    <row r="5216" x14ac:dyDescent="0.25"/>
    <row r="5217" x14ac:dyDescent="0.25"/>
    <row r="5218" x14ac:dyDescent="0.25"/>
    <row r="5219" x14ac:dyDescent="0.25"/>
    <row r="5220" x14ac:dyDescent="0.25"/>
    <row r="5221" x14ac:dyDescent="0.25"/>
    <row r="5222" x14ac:dyDescent="0.25"/>
    <row r="5223" x14ac:dyDescent="0.25"/>
    <row r="5224" x14ac:dyDescent="0.25"/>
    <row r="5225" x14ac:dyDescent="0.25"/>
    <row r="5226" x14ac:dyDescent="0.25"/>
    <row r="5227" x14ac:dyDescent="0.25"/>
    <row r="5228" x14ac:dyDescent="0.25"/>
    <row r="5229" x14ac:dyDescent="0.25"/>
    <row r="5230" x14ac:dyDescent="0.25"/>
    <row r="5231" x14ac:dyDescent="0.25"/>
    <row r="5232" x14ac:dyDescent="0.25"/>
    <row r="5233" x14ac:dyDescent="0.25"/>
    <row r="5234" x14ac:dyDescent="0.25"/>
    <row r="5235" x14ac:dyDescent="0.25"/>
    <row r="5236" x14ac:dyDescent="0.25"/>
    <row r="5237" x14ac:dyDescent="0.25"/>
    <row r="5238" x14ac:dyDescent="0.25"/>
    <row r="5239" x14ac:dyDescent="0.25"/>
    <row r="5240" x14ac:dyDescent="0.25"/>
    <row r="5241" x14ac:dyDescent="0.25"/>
    <row r="5242" x14ac:dyDescent="0.25"/>
    <row r="5243" x14ac:dyDescent="0.25"/>
    <row r="5244" x14ac:dyDescent="0.25"/>
    <row r="5245" x14ac:dyDescent="0.25"/>
    <row r="5246" x14ac:dyDescent="0.25"/>
    <row r="5247" hidden="1" x14ac:dyDescent="0.25"/>
    <row r="5248" hidden="1" x14ac:dyDescent="0.25"/>
    <row r="5249" hidden="1" x14ac:dyDescent="0.25"/>
    <row r="5250" hidden="1" x14ac:dyDescent="0.25"/>
    <row r="5251" hidden="1" x14ac:dyDescent="0.25"/>
    <row r="5252" hidden="1" x14ac:dyDescent="0.25"/>
    <row r="5253" hidden="1" x14ac:dyDescent="0.25"/>
    <row r="5254" hidden="1" x14ac:dyDescent="0.25"/>
    <row r="5255" hidden="1" x14ac:dyDescent="0.25"/>
    <row r="5256" hidden="1" x14ac:dyDescent="0.25"/>
    <row r="5257" hidden="1" x14ac:dyDescent="0.25"/>
    <row r="5258" hidden="1" x14ac:dyDescent="0.25"/>
    <row r="5259" hidden="1" x14ac:dyDescent="0.25"/>
    <row r="5260" hidden="1" x14ac:dyDescent="0.25"/>
    <row r="5261" hidden="1" x14ac:dyDescent="0.25"/>
    <row r="5262" hidden="1" x14ac:dyDescent="0.25"/>
    <row r="5263" hidden="1" x14ac:dyDescent="0.25"/>
    <row r="5264" hidden="1" x14ac:dyDescent="0.25"/>
    <row r="5265" hidden="1" x14ac:dyDescent="0.25"/>
    <row r="5266" hidden="1" x14ac:dyDescent="0.25"/>
    <row r="5267" hidden="1" x14ac:dyDescent="0.25"/>
    <row r="5268" hidden="1" x14ac:dyDescent="0.25"/>
    <row r="5269" hidden="1" x14ac:dyDescent="0.25"/>
    <row r="5270" hidden="1" x14ac:dyDescent="0.25"/>
    <row r="5271" hidden="1" x14ac:dyDescent="0.25"/>
    <row r="5272" hidden="1" x14ac:dyDescent="0.25"/>
    <row r="5273" hidden="1" x14ac:dyDescent="0.25"/>
    <row r="5274" hidden="1" x14ac:dyDescent="0.25"/>
    <row r="5275" hidden="1" x14ac:dyDescent="0.25"/>
    <row r="5276" hidden="1" x14ac:dyDescent="0.25"/>
    <row r="5277" hidden="1" x14ac:dyDescent="0.25"/>
    <row r="5278" hidden="1" x14ac:dyDescent="0.25"/>
    <row r="5279" hidden="1" x14ac:dyDescent="0.25"/>
    <row r="5280" hidden="1" x14ac:dyDescent="0.25"/>
    <row r="5281" hidden="1" x14ac:dyDescent="0.25"/>
    <row r="5282" hidden="1" x14ac:dyDescent="0.25"/>
    <row r="5283" hidden="1" x14ac:dyDescent="0.25"/>
    <row r="5284" hidden="1" x14ac:dyDescent="0.25"/>
    <row r="5285" hidden="1" x14ac:dyDescent="0.25"/>
    <row r="5286" hidden="1" x14ac:dyDescent="0.25"/>
    <row r="5287" hidden="1" x14ac:dyDescent="0.25"/>
    <row r="5288" hidden="1" x14ac:dyDescent="0.25"/>
    <row r="5289" hidden="1" x14ac:dyDescent="0.25"/>
    <row r="5290" hidden="1" x14ac:dyDescent="0.25"/>
    <row r="5291" hidden="1" x14ac:dyDescent="0.25"/>
    <row r="5292" hidden="1" x14ac:dyDescent="0.25"/>
    <row r="5293" hidden="1" x14ac:dyDescent="0.25"/>
    <row r="5294" hidden="1" x14ac:dyDescent="0.25"/>
    <row r="5295" hidden="1" x14ac:dyDescent="0.25"/>
    <row r="5296" hidden="1" x14ac:dyDescent="0.25"/>
    <row r="5297" hidden="1" x14ac:dyDescent="0.25"/>
    <row r="5298" hidden="1" x14ac:dyDescent="0.25"/>
    <row r="5299" hidden="1" x14ac:dyDescent="0.25"/>
    <row r="5300" hidden="1" x14ac:dyDescent="0.25"/>
    <row r="5301" hidden="1" x14ac:dyDescent="0.25"/>
    <row r="5302" hidden="1" x14ac:dyDescent="0.25"/>
    <row r="5303" hidden="1" x14ac:dyDescent="0.25"/>
    <row r="5304" hidden="1" x14ac:dyDescent="0.25"/>
    <row r="5305" hidden="1" x14ac:dyDescent="0.25"/>
    <row r="5306" hidden="1" x14ac:dyDescent="0.25"/>
    <row r="5307" hidden="1" x14ac:dyDescent="0.25"/>
    <row r="5308" hidden="1" x14ac:dyDescent="0.25"/>
    <row r="5309" hidden="1" x14ac:dyDescent="0.25"/>
    <row r="5310" hidden="1" x14ac:dyDescent="0.25"/>
    <row r="5311" hidden="1" x14ac:dyDescent="0.25"/>
    <row r="5312" hidden="1" x14ac:dyDescent="0.25"/>
    <row r="5313" hidden="1" x14ac:dyDescent="0.25"/>
    <row r="5314" hidden="1" x14ac:dyDescent="0.25"/>
    <row r="5315" hidden="1" x14ac:dyDescent="0.25"/>
    <row r="5316" hidden="1" x14ac:dyDescent="0.25"/>
    <row r="5317" hidden="1" x14ac:dyDescent="0.25"/>
    <row r="5318" hidden="1" x14ac:dyDescent="0.25"/>
    <row r="5319" hidden="1" x14ac:dyDescent="0.25"/>
    <row r="5320" hidden="1" x14ac:dyDescent="0.25"/>
    <row r="5321" hidden="1" x14ac:dyDescent="0.25"/>
    <row r="5322" hidden="1" x14ac:dyDescent="0.25"/>
    <row r="5323" hidden="1" x14ac:dyDescent="0.25"/>
    <row r="5324" hidden="1" x14ac:dyDescent="0.25"/>
    <row r="5325" hidden="1" x14ac:dyDescent="0.25"/>
    <row r="5326" hidden="1" x14ac:dyDescent="0.25"/>
    <row r="5327" hidden="1" x14ac:dyDescent="0.25"/>
    <row r="5328" hidden="1" x14ac:dyDescent="0.25"/>
    <row r="5329" hidden="1" x14ac:dyDescent="0.25"/>
    <row r="5330" hidden="1" x14ac:dyDescent="0.25"/>
    <row r="5331" hidden="1" x14ac:dyDescent="0.25"/>
    <row r="5332" hidden="1" x14ac:dyDescent="0.25"/>
    <row r="5333" hidden="1" x14ac:dyDescent="0.25"/>
    <row r="5334" hidden="1" x14ac:dyDescent="0.25"/>
    <row r="5335" hidden="1" x14ac:dyDescent="0.25"/>
    <row r="5336" hidden="1" x14ac:dyDescent="0.25"/>
    <row r="5337" hidden="1" x14ac:dyDescent="0.25"/>
    <row r="5338" hidden="1" x14ac:dyDescent="0.25"/>
    <row r="5339" hidden="1" x14ac:dyDescent="0.25"/>
    <row r="5340" hidden="1" x14ac:dyDescent="0.25"/>
    <row r="5341" hidden="1" x14ac:dyDescent="0.25"/>
    <row r="5342" hidden="1" x14ac:dyDescent="0.25"/>
    <row r="5343" hidden="1" x14ac:dyDescent="0.25"/>
    <row r="5344" hidden="1" x14ac:dyDescent="0.25"/>
    <row r="5345" hidden="1" x14ac:dyDescent="0.25"/>
    <row r="5346" hidden="1" x14ac:dyDescent="0.25"/>
    <row r="5347" hidden="1" x14ac:dyDescent="0.25"/>
    <row r="5348" hidden="1" x14ac:dyDescent="0.25"/>
    <row r="5349" hidden="1" x14ac:dyDescent="0.25"/>
    <row r="5350" hidden="1" x14ac:dyDescent="0.25"/>
    <row r="5351" hidden="1" x14ac:dyDescent="0.25"/>
    <row r="5352" hidden="1" x14ac:dyDescent="0.25"/>
    <row r="5353" hidden="1" x14ac:dyDescent="0.25"/>
    <row r="5354" hidden="1" x14ac:dyDescent="0.25"/>
    <row r="5355" hidden="1" x14ac:dyDescent="0.25"/>
    <row r="5356" hidden="1" x14ac:dyDescent="0.25"/>
    <row r="5357" hidden="1" x14ac:dyDescent="0.25"/>
    <row r="5358" hidden="1" x14ac:dyDescent="0.25"/>
    <row r="5359" hidden="1" x14ac:dyDescent="0.25"/>
    <row r="5360" hidden="1" x14ac:dyDescent="0.25"/>
    <row r="5361" hidden="1" x14ac:dyDescent="0.25"/>
    <row r="5362" hidden="1" x14ac:dyDescent="0.25"/>
    <row r="5363" hidden="1" x14ac:dyDescent="0.25"/>
    <row r="5364" hidden="1" x14ac:dyDescent="0.25"/>
    <row r="5365" hidden="1" x14ac:dyDescent="0.25"/>
    <row r="5366" hidden="1" x14ac:dyDescent="0.25"/>
    <row r="5367" hidden="1" x14ac:dyDescent="0.25"/>
    <row r="5368" hidden="1" x14ac:dyDescent="0.25"/>
    <row r="5369" hidden="1" x14ac:dyDescent="0.25"/>
    <row r="5370" hidden="1" x14ac:dyDescent="0.25"/>
    <row r="5371" hidden="1" x14ac:dyDescent="0.25"/>
    <row r="5372" hidden="1" x14ac:dyDescent="0.25"/>
    <row r="5373" hidden="1" x14ac:dyDescent="0.25"/>
    <row r="5374" hidden="1" x14ac:dyDescent="0.25"/>
    <row r="5375" hidden="1" x14ac:dyDescent="0.25"/>
    <row r="5376" hidden="1" x14ac:dyDescent="0.25"/>
    <row r="5377" hidden="1" x14ac:dyDescent="0.25"/>
    <row r="5378" hidden="1" x14ac:dyDescent="0.25"/>
    <row r="5379" hidden="1" x14ac:dyDescent="0.25"/>
    <row r="5380" hidden="1" x14ac:dyDescent="0.25"/>
    <row r="5381" hidden="1" x14ac:dyDescent="0.25"/>
    <row r="5382" hidden="1" x14ac:dyDescent="0.25"/>
    <row r="5383" hidden="1" x14ac:dyDescent="0.25"/>
    <row r="5384" hidden="1" x14ac:dyDescent="0.25"/>
    <row r="5385" hidden="1" x14ac:dyDescent="0.25"/>
    <row r="5386" hidden="1" x14ac:dyDescent="0.25"/>
    <row r="5387" hidden="1" x14ac:dyDescent="0.25"/>
    <row r="5388" hidden="1" x14ac:dyDescent="0.25"/>
    <row r="5389" hidden="1" x14ac:dyDescent="0.25"/>
    <row r="5390" hidden="1" x14ac:dyDescent="0.25"/>
    <row r="5391" hidden="1" x14ac:dyDescent="0.25"/>
    <row r="5392" hidden="1" x14ac:dyDescent="0.25"/>
    <row r="5393" hidden="1" x14ac:dyDescent="0.25"/>
    <row r="5394" hidden="1" x14ac:dyDescent="0.25"/>
    <row r="5395" hidden="1" x14ac:dyDescent="0.25"/>
    <row r="5396" hidden="1" x14ac:dyDescent="0.25"/>
    <row r="5397" hidden="1" x14ac:dyDescent="0.25"/>
    <row r="5398" hidden="1" x14ac:dyDescent="0.25"/>
    <row r="5399" hidden="1" x14ac:dyDescent="0.25"/>
    <row r="5400" hidden="1" x14ac:dyDescent="0.25"/>
    <row r="5401" hidden="1" x14ac:dyDescent="0.25"/>
    <row r="5402" hidden="1" x14ac:dyDescent="0.25"/>
    <row r="5403" hidden="1" x14ac:dyDescent="0.25"/>
    <row r="5404" hidden="1" x14ac:dyDescent="0.25"/>
    <row r="5405" hidden="1" x14ac:dyDescent="0.25"/>
    <row r="5406" hidden="1" x14ac:dyDescent="0.25"/>
    <row r="5407" hidden="1" x14ac:dyDescent="0.25"/>
    <row r="5408" hidden="1" x14ac:dyDescent="0.25"/>
    <row r="5409" hidden="1" x14ac:dyDescent="0.25"/>
    <row r="5410" hidden="1" x14ac:dyDescent="0.25"/>
    <row r="5411" hidden="1" x14ac:dyDescent="0.25"/>
    <row r="5412" hidden="1" x14ac:dyDescent="0.25"/>
    <row r="5413" hidden="1" x14ac:dyDescent="0.25"/>
    <row r="5414" hidden="1" x14ac:dyDescent="0.25"/>
    <row r="5415" hidden="1" x14ac:dyDescent="0.25"/>
    <row r="5416" hidden="1" x14ac:dyDescent="0.25"/>
    <row r="5417" hidden="1" x14ac:dyDescent="0.25"/>
    <row r="5418" hidden="1" x14ac:dyDescent="0.25"/>
    <row r="5419" hidden="1" x14ac:dyDescent="0.25"/>
    <row r="5420" hidden="1" x14ac:dyDescent="0.25"/>
    <row r="5421" hidden="1" x14ac:dyDescent="0.25"/>
    <row r="5422" hidden="1" x14ac:dyDescent="0.25"/>
    <row r="5423" hidden="1" x14ac:dyDescent="0.25"/>
    <row r="5424" hidden="1" x14ac:dyDescent="0.25"/>
    <row r="5425" hidden="1" x14ac:dyDescent="0.25"/>
    <row r="5426" hidden="1" x14ac:dyDescent="0.25"/>
    <row r="5427" hidden="1" x14ac:dyDescent="0.25"/>
    <row r="5428" hidden="1" x14ac:dyDescent="0.25"/>
    <row r="5429" hidden="1" x14ac:dyDescent="0.25"/>
    <row r="5430" hidden="1" x14ac:dyDescent="0.25"/>
    <row r="5431" hidden="1" x14ac:dyDescent="0.25"/>
    <row r="5432" hidden="1" x14ac:dyDescent="0.25"/>
    <row r="5433" hidden="1" x14ac:dyDescent="0.25"/>
    <row r="5434" hidden="1" x14ac:dyDescent="0.25"/>
    <row r="5435" hidden="1" x14ac:dyDescent="0.25"/>
    <row r="5436" hidden="1" x14ac:dyDescent="0.25"/>
    <row r="5437" hidden="1" x14ac:dyDescent="0.25"/>
    <row r="5438" hidden="1" x14ac:dyDescent="0.25"/>
    <row r="5439" hidden="1" x14ac:dyDescent="0.25"/>
    <row r="5440" hidden="1" x14ac:dyDescent="0.25"/>
    <row r="5441" hidden="1" x14ac:dyDescent="0.25"/>
    <row r="5442" hidden="1" x14ac:dyDescent="0.25"/>
    <row r="5443" hidden="1" x14ac:dyDescent="0.25"/>
    <row r="5444" hidden="1" x14ac:dyDescent="0.25"/>
    <row r="5445" hidden="1" x14ac:dyDescent="0.25"/>
    <row r="5446" hidden="1" x14ac:dyDescent="0.25"/>
    <row r="5447" hidden="1" x14ac:dyDescent="0.25"/>
    <row r="5448" hidden="1" x14ac:dyDescent="0.25"/>
    <row r="5449" hidden="1" x14ac:dyDescent="0.25"/>
    <row r="5450" hidden="1" x14ac:dyDescent="0.25"/>
    <row r="5451" hidden="1" x14ac:dyDescent="0.25"/>
    <row r="5452" hidden="1" x14ac:dyDescent="0.25"/>
    <row r="5453" hidden="1" x14ac:dyDescent="0.25"/>
    <row r="5454" hidden="1" x14ac:dyDescent="0.25"/>
    <row r="5455" hidden="1" x14ac:dyDescent="0.25"/>
    <row r="5456" hidden="1" x14ac:dyDescent="0.25"/>
    <row r="5457" hidden="1" x14ac:dyDescent="0.25"/>
    <row r="5458" hidden="1" x14ac:dyDescent="0.25"/>
    <row r="5459" hidden="1" x14ac:dyDescent="0.25"/>
    <row r="5460" hidden="1" x14ac:dyDescent="0.25"/>
    <row r="5461" hidden="1" x14ac:dyDescent="0.25"/>
    <row r="5462" hidden="1" x14ac:dyDescent="0.25"/>
    <row r="5463" hidden="1" x14ac:dyDescent="0.25"/>
    <row r="5464" hidden="1" x14ac:dyDescent="0.25"/>
    <row r="5465" hidden="1" x14ac:dyDescent="0.25"/>
    <row r="5466" hidden="1" x14ac:dyDescent="0.25"/>
    <row r="5467" hidden="1" x14ac:dyDescent="0.25"/>
    <row r="5468" hidden="1" x14ac:dyDescent="0.25"/>
    <row r="5469" hidden="1" x14ac:dyDescent="0.25"/>
    <row r="5470" hidden="1" x14ac:dyDescent="0.25"/>
    <row r="5471" hidden="1" x14ac:dyDescent="0.25"/>
    <row r="5472" hidden="1" x14ac:dyDescent="0.25"/>
    <row r="5473" hidden="1" x14ac:dyDescent="0.25"/>
    <row r="5474" hidden="1" x14ac:dyDescent="0.25"/>
    <row r="5475" hidden="1" x14ac:dyDescent="0.25"/>
    <row r="5476" hidden="1" x14ac:dyDescent="0.25"/>
    <row r="5477" hidden="1" x14ac:dyDescent="0.25"/>
    <row r="5478" hidden="1" x14ac:dyDescent="0.25"/>
    <row r="5479" hidden="1" x14ac:dyDescent="0.25"/>
    <row r="5480" hidden="1" x14ac:dyDescent="0.25"/>
    <row r="5481" hidden="1" x14ac:dyDescent="0.25"/>
    <row r="5482" hidden="1" x14ac:dyDescent="0.25"/>
    <row r="5483" hidden="1" x14ac:dyDescent="0.25"/>
    <row r="5484" hidden="1" x14ac:dyDescent="0.25"/>
    <row r="5485" hidden="1" x14ac:dyDescent="0.25"/>
    <row r="5486" hidden="1" x14ac:dyDescent="0.25"/>
    <row r="5487" hidden="1" x14ac:dyDescent="0.25"/>
    <row r="5488" hidden="1" x14ac:dyDescent="0.25"/>
    <row r="5489" hidden="1" x14ac:dyDescent="0.25"/>
    <row r="5490" hidden="1" x14ac:dyDescent="0.25"/>
    <row r="5491" hidden="1" x14ac:dyDescent="0.25"/>
    <row r="5492" hidden="1" x14ac:dyDescent="0.25"/>
    <row r="5493" hidden="1" x14ac:dyDescent="0.25"/>
    <row r="5494" hidden="1" x14ac:dyDescent="0.25"/>
    <row r="5495" hidden="1" x14ac:dyDescent="0.25"/>
    <row r="5496" hidden="1" x14ac:dyDescent="0.25"/>
    <row r="5497" hidden="1" x14ac:dyDescent="0.25"/>
    <row r="5498" hidden="1" x14ac:dyDescent="0.25"/>
    <row r="5499" hidden="1" x14ac:dyDescent="0.25"/>
    <row r="5500" hidden="1" x14ac:dyDescent="0.25"/>
    <row r="5501" hidden="1" x14ac:dyDescent="0.25"/>
    <row r="5502" hidden="1" x14ac:dyDescent="0.25"/>
    <row r="5503" hidden="1" x14ac:dyDescent="0.25"/>
    <row r="5504" hidden="1" x14ac:dyDescent="0.25"/>
    <row r="5505" hidden="1" x14ac:dyDescent="0.25"/>
    <row r="5506" hidden="1" x14ac:dyDescent="0.25"/>
    <row r="5507" hidden="1" x14ac:dyDescent="0.25"/>
    <row r="5508" hidden="1" x14ac:dyDescent="0.25"/>
    <row r="5509" hidden="1" x14ac:dyDescent="0.25"/>
    <row r="5510" hidden="1" x14ac:dyDescent="0.25"/>
    <row r="5511" hidden="1" x14ac:dyDescent="0.25"/>
    <row r="5512" hidden="1" x14ac:dyDescent="0.25"/>
    <row r="5513" hidden="1" x14ac:dyDescent="0.25"/>
    <row r="5514" hidden="1" x14ac:dyDescent="0.25"/>
    <row r="5515" hidden="1" x14ac:dyDescent="0.25"/>
    <row r="5516" hidden="1" x14ac:dyDescent="0.25"/>
    <row r="5517" hidden="1" x14ac:dyDescent="0.25"/>
    <row r="5518" hidden="1" x14ac:dyDescent="0.25"/>
    <row r="5519" hidden="1" x14ac:dyDescent="0.25"/>
    <row r="5520" hidden="1" x14ac:dyDescent="0.25"/>
    <row r="5521" hidden="1" x14ac:dyDescent="0.25"/>
    <row r="5522" hidden="1" x14ac:dyDescent="0.25"/>
    <row r="5523" hidden="1" x14ac:dyDescent="0.25"/>
    <row r="5524" hidden="1" x14ac:dyDescent="0.25"/>
    <row r="5525" hidden="1" x14ac:dyDescent="0.25"/>
    <row r="5526" hidden="1" x14ac:dyDescent="0.25"/>
    <row r="5527" hidden="1" x14ac:dyDescent="0.25"/>
    <row r="5528" hidden="1" x14ac:dyDescent="0.25"/>
    <row r="5529" hidden="1" x14ac:dyDescent="0.25"/>
    <row r="5530" hidden="1" x14ac:dyDescent="0.25"/>
    <row r="5531" hidden="1" x14ac:dyDescent="0.25"/>
    <row r="5532" hidden="1" x14ac:dyDescent="0.25"/>
    <row r="5533" hidden="1" x14ac:dyDescent="0.25"/>
    <row r="5534" hidden="1" x14ac:dyDescent="0.25"/>
    <row r="5535" hidden="1" x14ac:dyDescent="0.25"/>
    <row r="5536" hidden="1" x14ac:dyDescent="0.25"/>
    <row r="5537" hidden="1" x14ac:dyDescent="0.25"/>
    <row r="5538" hidden="1" x14ac:dyDescent="0.25"/>
    <row r="5539" hidden="1" x14ac:dyDescent="0.25"/>
    <row r="5540" hidden="1" x14ac:dyDescent="0.25"/>
    <row r="5541" hidden="1" x14ac:dyDescent="0.25"/>
    <row r="5542" hidden="1" x14ac:dyDescent="0.25"/>
    <row r="5543" hidden="1" x14ac:dyDescent="0.25"/>
    <row r="5544" hidden="1" x14ac:dyDescent="0.25"/>
    <row r="5545" hidden="1" x14ac:dyDescent="0.25"/>
    <row r="5546" hidden="1" x14ac:dyDescent="0.25"/>
    <row r="5547" hidden="1" x14ac:dyDescent="0.25"/>
    <row r="5548" hidden="1" x14ac:dyDescent="0.25"/>
    <row r="5549" hidden="1" x14ac:dyDescent="0.25"/>
    <row r="5550" hidden="1" x14ac:dyDescent="0.25"/>
    <row r="5551" hidden="1" x14ac:dyDescent="0.25"/>
    <row r="5552" hidden="1" x14ac:dyDescent="0.25"/>
    <row r="5553" hidden="1" x14ac:dyDescent="0.25"/>
    <row r="5554" hidden="1" x14ac:dyDescent="0.25"/>
    <row r="5555" hidden="1" x14ac:dyDescent="0.25"/>
    <row r="5556" hidden="1" x14ac:dyDescent="0.25"/>
    <row r="5557" hidden="1" x14ac:dyDescent="0.25"/>
    <row r="5558" hidden="1" x14ac:dyDescent="0.25"/>
    <row r="5559" hidden="1" x14ac:dyDescent="0.25"/>
    <row r="5560" hidden="1" x14ac:dyDescent="0.25"/>
    <row r="5561" hidden="1" x14ac:dyDescent="0.25"/>
    <row r="5562" hidden="1" x14ac:dyDescent="0.25"/>
    <row r="5563" hidden="1" x14ac:dyDescent="0.25"/>
    <row r="5564" hidden="1" x14ac:dyDescent="0.25"/>
    <row r="5565" hidden="1" x14ac:dyDescent="0.25"/>
    <row r="5566" hidden="1" x14ac:dyDescent="0.25"/>
    <row r="5567" hidden="1" x14ac:dyDescent="0.25"/>
    <row r="5568" hidden="1" x14ac:dyDescent="0.25"/>
    <row r="5569" hidden="1" x14ac:dyDescent="0.25"/>
    <row r="5570" hidden="1" x14ac:dyDescent="0.25"/>
    <row r="5571" hidden="1" x14ac:dyDescent="0.25"/>
    <row r="5572" hidden="1" x14ac:dyDescent="0.25"/>
    <row r="5573" hidden="1" x14ac:dyDescent="0.25"/>
    <row r="5574" hidden="1" x14ac:dyDescent="0.25"/>
    <row r="5575" hidden="1" x14ac:dyDescent="0.25"/>
    <row r="5576" hidden="1" x14ac:dyDescent="0.25"/>
    <row r="5577" hidden="1" x14ac:dyDescent="0.25"/>
    <row r="5578" hidden="1" x14ac:dyDescent="0.25"/>
    <row r="5579" hidden="1" x14ac:dyDescent="0.25"/>
    <row r="5580" hidden="1" x14ac:dyDescent="0.25"/>
    <row r="5581" hidden="1" x14ac:dyDescent="0.25"/>
    <row r="5582" hidden="1" x14ac:dyDescent="0.25"/>
    <row r="5583" hidden="1" x14ac:dyDescent="0.25"/>
    <row r="5584" hidden="1" x14ac:dyDescent="0.25"/>
    <row r="5585" hidden="1" x14ac:dyDescent="0.25"/>
    <row r="5586" hidden="1" x14ac:dyDescent="0.25"/>
    <row r="5587" hidden="1" x14ac:dyDescent="0.25"/>
    <row r="5588" hidden="1" x14ac:dyDescent="0.25"/>
    <row r="5589" hidden="1" x14ac:dyDescent="0.25"/>
    <row r="5590" hidden="1" x14ac:dyDescent="0.25"/>
    <row r="5591" hidden="1" x14ac:dyDescent="0.25"/>
    <row r="5592" hidden="1" x14ac:dyDescent="0.25"/>
    <row r="5593" hidden="1" x14ac:dyDescent="0.25"/>
    <row r="5594" hidden="1" x14ac:dyDescent="0.25"/>
    <row r="5595" hidden="1" x14ac:dyDescent="0.25"/>
    <row r="5596" hidden="1" x14ac:dyDescent="0.25"/>
    <row r="5597" hidden="1" x14ac:dyDescent="0.25"/>
    <row r="5598" hidden="1" x14ac:dyDescent="0.25"/>
    <row r="5599" hidden="1" x14ac:dyDescent="0.25"/>
    <row r="5600" hidden="1" x14ac:dyDescent="0.25"/>
    <row r="5601" hidden="1" x14ac:dyDescent="0.25"/>
    <row r="5602" hidden="1" x14ac:dyDescent="0.25"/>
    <row r="5603" hidden="1" x14ac:dyDescent="0.25"/>
    <row r="5604" hidden="1" x14ac:dyDescent="0.25"/>
    <row r="5605" hidden="1" x14ac:dyDescent="0.25"/>
    <row r="5606" hidden="1" x14ac:dyDescent="0.25"/>
    <row r="5607" hidden="1" x14ac:dyDescent="0.25"/>
    <row r="5608" hidden="1" x14ac:dyDescent="0.25"/>
    <row r="5609" hidden="1" x14ac:dyDescent="0.25"/>
    <row r="5610" hidden="1" x14ac:dyDescent="0.25"/>
    <row r="5611" hidden="1" x14ac:dyDescent="0.25"/>
    <row r="5612" hidden="1" x14ac:dyDescent="0.25"/>
    <row r="5613" hidden="1" x14ac:dyDescent="0.25"/>
    <row r="5614" hidden="1" x14ac:dyDescent="0.25"/>
    <row r="5615" hidden="1" x14ac:dyDescent="0.25"/>
    <row r="5616" hidden="1" x14ac:dyDescent="0.25"/>
    <row r="5617" hidden="1" x14ac:dyDescent="0.25"/>
    <row r="5618" hidden="1" x14ac:dyDescent="0.25"/>
    <row r="5619" hidden="1" x14ac:dyDescent="0.25"/>
    <row r="5620" hidden="1" x14ac:dyDescent="0.25"/>
    <row r="5621" hidden="1" x14ac:dyDescent="0.25"/>
    <row r="5622" hidden="1" x14ac:dyDescent="0.25"/>
    <row r="5623" hidden="1" x14ac:dyDescent="0.25"/>
    <row r="5624" hidden="1" x14ac:dyDescent="0.25"/>
    <row r="5625" hidden="1" x14ac:dyDescent="0.25"/>
    <row r="5626" hidden="1" x14ac:dyDescent="0.25"/>
    <row r="5627" hidden="1" x14ac:dyDescent="0.25"/>
    <row r="5628" hidden="1" x14ac:dyDescent="0.25"/>
    <row r="5629" hidden="1" x14ac:dyDescent="0.25"/>
    <row r="5630" hidden="1" x14ac:dyDescent="0.25"/>
    <row r="5631" hidden="1" x14ac:dyDescent="0.25"/>
    <row r="5632" hidden="1" x14ac:dyDescent="0.25"/>
    <row r="5633" hidden="1" x14ac:dyDescent="0.25"/>
    <row r="5634" hidden="1" x14ac:dyDescent="0.25"/>
    <row r="5635" hidden="1" x14ac:dyDescent="0.25"/>
    <row r="5636" hidden="1" x14ac:dyDescent="0.25"/>
    <row r="5637" hidden="1" x14ac:dyDescent="0.25"/>
    <row r="5638" hidden="1" x14ac:dyDescent="0.25"/>
    <row r="5639" hidden="1" x14ac:dyDescent="0.25"/>
    <row r="5640" hidden="1" x14ac:dyDescent="0.25"/>
    <row r="5641" hidden="1" x14ac:dyDescent="0.25"/>
    <row r="5642" hidden="1" x14ac:dyDescent="0.25"/>
    <row r="5643" hidden="1" x14ac:dyDescent="0.25"/>
    <row r="5644" hidden="1" x14ac:dyDescent="0.25"/>
    <row r="5645" hidden="1" x14ac:dyDescent="0.25"/>
    <row r="5646" hidden="1" x14ac:dyDescent="0.25"/>
    <row r="5647" hidden="1" x14ac:dyDescent="0.25"/>
    <row r="5648" hidden="1" x14ac:dyDescent="0.25"/>
    <row r="5649" hidden="1" x14ac:dyDescent="0.25"/>
    <row r="5650" hidden="1" x14ac:dyDescent="0.25"/>
    <row r="5651" hidden="1" x14ac:dyDescent="0.25"/>
    <row r="5652" hidden="1" x14ac:dyDescent="0.25"/>
    <row r="5653" hidden="1" x14ac:dyDescent="0.25"/>
    <row r="5654" hidden="1" x14ac:dyDescent="0.25"/>
    <row r="5655" hidden="1" x14ac:dyDescent="0.25"/>
    <row r="5656" hidden="1" x14ac:dyDescent="0.25"/>
    <row r="5657" hidden="1" x14ac:dyDescent="0.25"/>
    <row r="5658" hidden="1" x14ac:dyDescent="0.25"/>
    <row r="5659" hidden="1" x14ac:dyDescent="0.25"/>
    <row r="5660" hidden="1" x14ac:dyDescent="0.25"/>
    <row r="5661" hidden="1" x14ac:dyDescent="0.25"/>
    <row r="5662" hidden="1" x14ac:dyDescent="0.25"/>
    <row r="5663" hidden="1" x14ac:dyDescent="0.25"/>
    <row r="5664" hidden="1" x14ac:dyDescent="0.25"/>
    <row r="5665" hidden="1" x14ac:dyDescent="0.25"/>
    <row r="5666" hidden="1" x14ac:dyDescent="0.25"/>
    <row r="5667" hidden="1" x14ac:dyDescent="0.25"/>
    <row r="5668" hidden="1" x14ac:dyDescent="0.25"/>
    <row r="5669" hidden="1" x14ac:dyDescent="0.25"/>
    <row r="5670" hidden="1" x14ac:dyDescent="0.25"/>
    <row r="5671" hidden="1" x14ac:dyDescent="0.25"/>
    <row r="5672" hidden="1" x14ac:dyDescent="0.25"/>
    <row r="5673" hidden="1" x14ac:dyDescent="0.25"/>
    <row r="5674" hidden="1" x14ac:dyDescent="0.25"/>
    <row r="5675" hidden="1" x14ac:dyDescent="0.25"/>
    <row r="5676" hidden="1" x14ac:dyDescent="0.25"/>
    <row r="5677" hidden="1" x14ac:dyDescent="0.25"/>
    <row r="5678" hidden="1" x14ac:dyDescent="0.25"/>
    <row r="5679" hidden="1" x14ac:dyDescent="0.25"/>
    <row r="5680" hidden="1" x14ac:dyDescent="0.25"/>
    <row r="5681" hidden="1" x14ac:dyDescent="0.25"/>
    <row r="5682" hidden="1" x14ac:dyDescent="0.25"/>
    <row r="5683" hidden="1" x14ac:dyDescent="0.25"/>
    <row r="5684" hidden="1" x14ac:dyDescent="0.25"/>
    <row r="5685" hidden="1" x14ac:dyDescent="0.25"/>
    <row r="5686" hidden="1" x14ac:dyDescent="0.25"/>
    <row r="5687" hidden="1" x14ac:dyDescent="0.25"/>
    <row r="5688" hidden="1" x14ac:dyDescent="0.25"/>
    <row r="5689" hidden="1" x14ac:dyDescent="0.25"/>
    <row r="5690" hidden="1" x14ac:dyDescent="0.25"/>
    <row r="5691" hidden="1" x14ac:dyDescent="0.25"/>
    <row r="5692" hidden="1" x14ac:dyDescent="0.25"/>
    <row r="5693" hidden="1" x14ac:dyDescent="0.25"/>
    <row r="5694" hidden="1" x14ac:dyDescent="0.25"/>
    <row r="5695" hidden="1" x14ac:dyDescent="0.25"/>
    <row r="5696" hidden="1" x14ac:dyDescent="0.25"/>
    <row r="5697" hidden="1" x14ac:dyDescent="0.25"/>
    <row r="5698" hidden="1" x14ac:dyDescent="0.25"/>
    <row r="5699" hidden="1" x14ac:dyDescent="0.25"/>
    <row r="5700" hidden="1" x14ac:dyDescent="0.25"/>
    <row r="5701" hidden="1" x14ac:dyDescent="0.25"/>
    <row r="5702" hidden="1" x14ac:dyDescent="0.25"/>
    <row r="5703" hidden="1" x14ac:dyDescent="0.25"/>
    <row r="5704" hidden="1" x14ac:dyDescent="0.25"/>
    <row r="5705" hidden="1" x14ac:dyDescent="0.25"/>
    <row r="5706" hidden="1" x14ac:dyDescent="0.25"/>
    <row r="5707" hidden="1" x14ac:dyDescent="0.25"/>
    <row r="5708" hidden="1" x14ac:dyDescent="0.25"/>
    <row r="5709" hidden="1" x14ac:dyDescent="0.25"/>
    <row r="5710" hidden="1" x14ac:dyDescent="0.25"/>
    <row r="5711" hidden="1" x14ac:dyDescent="0.25"/>
    <row r="5712" hidden="1" x14ac:dyDescent="0.25"/>
    <row r="5713" hidden="1" x14ac:dyDescent="0.25"/>
    <row r="5714" hidden="1" x14ac:dyDescent="0.25"/>
    <row r="5715" hidden="1" x14ac:dyDescent="0.25"/>
    <row r="5716" hidden="1" x14ac:dyDescent="0.25"/>
    <row r="5717" hidden="1" x14ac:dyDescent="0.25"/>
    <row r="5718" hidden="1" x14ac:dyDescent="0.25"/>
    <row r="5719" hidden="1" x14ac:dyDescent="0.25"/>
    <row r="5720" hidden="1" x14ac:dyDescent="0.25"/>
    <row r="5721" hidden="1" x14ac:dyDescent="0.25"/>
    <row r="5722" hidden="1" x14ac:dyDescent="0.25"/>
    <row r="5723" hidden="1" x14ac:dyDescent="0.25"/>
    <row r="5724" hidden="1" x14ac:dyDescent="0.25"/>
    <row r="5725" hidden="1" x14ac:dyDescent="0.25"/>
    <row r="5726" hidden="1" x14ac:dyDescent="0.25"/>
    <row r="5727" hidden="1" x14ac:dyDescent="0.25"/>
    <row r="5728" hidden="1" x14ac:dyDescent="0.25"/>
    <row r="5729" hidden="1" x14ac:dyDescent="0.25"/>
    <row r="5730" hidden="1" x14ac:dyDescent="0.25"/>
    <row r="5731" hidden="1" x14ac:dyDescent="0.25"/>
    <row r="5732" hidden="1" x14ac:dyDescent="0.25"/>
    <row r="5733" hidden="1" x14ac:dyDescent="0.25"/>
    <row r="5734" hidden="1" x14ac:dyDescent="0.25"/>
    <row r="5735" hidden="1" x14ac:dyDescent="0.25"/>
    <row r="5736" hidden="1" x14ac:dyDescent="0.25"/>
    <row r="5737" hidden="1" x14ac:dyDescent="0.25"/>
    <row r="5738" hidden="1" x14ac:dyDescent="0.25"/>
    <row r="5739" hidden="1" x14ac:dyDescent="0.25"/>
    <row r="5740" hidden="1" x14ac:dyDescent="0.25"/>
    <row r="5741" hidden="1" x14ac:dyDescent="0.25"/>
    <row r="5742" hidden="1" x14ac:dyDescent="0.25"/>
    <row r="5743" hidden="1" x14ac:dyDescent="0.25"/>
    <row r="5744" hidden="1" x14ac:dyDescent="0.25"/>
    <row r="5745" hidden="1" x14ac:dyDescent="0.25"/>
    <row r="5746" hidden="1" x14ac:dyDescent="0.25"/>
    <row r="5747" hidden="1" x14ac:dyDescent="0.25"/>
    <row r="5748" hidden="1" x14ac:dyDescent="0.25"/>
    <row r="5749" hidden="1" x14ac:dyDescent="0.25"/>
    <row r="5750" hidden="1" x14ac:dyDescent="0.25"/>
    <row r="5751" hidden="1" x14ac:dyDescent="0.25"/>
    <row r="5752" hidden="1" x14ac:dyDescent="0.25"/>
    <row r="5753" hidden="1" x14ac:dyDescent="0.25"/>
    <row r="5754" hidden="1" x14ac:dyDescent="0.25"/>
    <row r="5755" hidden="1" x14ac:dyDescent="0.25"/>
    <row r="5756" hidden="1" x14ac:dyDescent="0.25"/>
    <row r="5757" hidden="1" x14ac:dyDescent="0.25"/>
    <row r="5758" hidden="1" x14ac:dyDescent="0.25"/>
    <row r="5759" hidden="1" x14ac:dyDescent="0.25"/>
    <row r="5760" hidden="1" x14ac:dyDescent="0.25"/>
    <row r="5761" hidden="1" x14ac:dyDescent="0.25"/>
    <row r="5762" hidden="1" x14ac:dyDescent="0.25"/>
    <row r="5763" hidden="1" x14ac:dyDescent="0.25"/>
    <row r="5764" hidden="1" x14ac:dyDescent="0.25"/>
    <row r="5765" hidden="1" x14ac:dyDescent="0.25"/>
    <row r="5766" hidden="1" x14ac:dyDescent="0.25"/>
    <row r="5767" hidden="1" x14ac:dyDescent="0.25"/>
    <row r="5768" hidden="1" x14ac:dyDescent="0.25"/>
    <row r="5769" hidden="1" x14ac:dyDescent="0.25"/>
    <row r="5770" hidden="1" x14ac:dyDescent="0.25"/>
    <row r="5771" hidden="1" x14ac:dyDescent="0.25"/>
    <row r="5772" hidden="1" x14ac:dyDescent="0.25"/>
    <row r="5773" hidden="1" x14ac:dyDescent="0.25"/>
    <row r="5774" hidden="1" x14ac:dyDescent="0.25"/>
    <row r="5775" hidden="1" x14ac:dyDescent="0.25"/>
    <row r="5776" hidden="1" x14ac:dyDescent="0.25"/>
    <row r="5777" hidden="1" x14ac:dyDescent="0.25"/>
    <row r="5778" hidden="1" x14ac:dyDescent="0.25"/>
    <row r="5779" hidden="1" x14ac:dyDescent="0.25"/>
    <row r="5780" hidden="1" x14ac:dyDescent="0.25"/>
    <row r="5781" hidden="1" x14ac:dyDescent="0.25"/>
    <row r="5782" hidden="1" x14ac:dyDescent="0.25"/>
    <row r="5783" hidden="1" x14ac:dyDescent="0.25"/>
    <row r="5784" hidden="1" x14ac:dyDescent="0.25"/>
    <row r="5785" hidden="1" x14ac:dyDescent="0.25"/>
    <row r="5786" hidden="1" x14ac:dyDescent="0.25"/>
    <row r="5787" hidden="1" x14ac:dyDescent="0.25"/>
    <row r="5788" hidden="1" x14ac:dyDescent="0.25"/>
    <row r="5789" hidden="1" x14ac:dyDescent="0.25"/>
    <row r="5790" hidden="1" x14ac:dyDescent="0.25"/>
    <row r="5791" hidden="1" x14ac:dyDescent="0.25"/>
    <row r="5792" hidden="1" x14ac:dyDescent="0.25"/>
    <row r="5793" hidden="1" x14ac:dyDescent="0.25"/>
    <row r="5794" hidden="1" x14ac:dyDescent="0.25"/>
    <row r="5795" hidden="1" x14ac:dyDescent="0.25"/>
    <row r="5796" hidden="1" x14ac:dyDescent="0.25"/>
    <row r="5797" hidden="1" x14ac:dyDescent="0.25"/>
    <row r="5798" hidden="1" x14ac:dyDescent="0.25"/>
    <row r="5799" hidden="1" x14ac:dyDescent="0.25"/>
    <row r="5800" hidden="1" x14ac:dyDescent="0.25"/>
    <row r="5801" hidden="1" x14ac:dyDescent="0.25"/>
    <row r="5802" hidden="1" x14ac:dyDescent="0.25"/>
    <row r="5803" hidden="1" x14ac:dyDescent="0.25"/>
    <row r="5804" hidden="1" x14ac:dyDescent="0.25"/>
    <row r="5805" hidden="1" x14ac:dyDescent="0.25"/>
    <row r="5806" hidden="1" x14ac:dyDescent="0.25"/>
    <row r="5807" hidden="1" x14ac:dyDescent="0.25"/>
    <row r="5808" hidden="1" x14ac:dyDescent="0.25"/>
    <row r="5809" hidden="1" x14ac:dyDescent="0.25"/>
    <row r="5810" hidden="1" x14ac:dyDescent="0.25"/>
    <row r="5811" hidden="1" x14ac:dyDescent="0.25"/>
    <row r="5812" hidden="1" x14ac:dyDescent="0.25"/>
    <row r="5813" hidden="1" x14ac:dyDescent="0.25"/>
    <row r="5814" hidden="1" x14ac:dyDescent="0.25"/>
    <row r="5815" hidden="1" x14ac:dyDescent="0.25"/>
    <row r="5816" hidden="1" x14ac:dyDescent="0.25"/>
    <row r="5817" hidden="1" x14ac:dyDescent="0.25"/>
    <row r="5818" hidden="1" x14ac:dyDescent="0.25"/>
    <row r="5819" hidden="1" x14ac:dyDescent="0.25"/>
    <row r="5820" hidden="1" x14ac:dyDescent="0.25"/>
    <row r="5821" hidden="1" x14ac:dyDescent="0.25"/>
    <row r="5822" hidden="1" x14ac:dyDescent="0.25"/>
    <row r="5823" hidden="1" x14ac:dyDescent="0.25"/>
    <row r="5824" hidden="1" x14ac:dyDescent="0.25"/>
    <row r="5825" hidden="1" x14ac:dyDescent="0.25"/>
    <row r="5826" hidden="1" x14ac:dyDescent="0.25"/>
    <row r="5827" hidden="1" x14ac:dyDescent="0.25"/>
    <row r="5828" hidden="1" x14ac:dyDescent="0.25"/>
    <row r="5829" hidden="1" x14ac:dyDescent="0.25"/>
    <row r="5830" hidden="1" x14ac:dyDescent="0.25"/>
    <row r="5831" hidden="1" x14ac:dyDescent="0.25"/>
    <row r="5832" hidden="1" x14ac:dyDescent="0.25"/>
    <row r="5833" hidden="1" x14ac:dyDescent="0.25"/>
    <row r="5834" hidden="1" x14ac:dyDescent="0.25"/>
    <row r="5835" hidden="1" x14ac:dyDescent="0.25"/>
    <row r="5836" hidden="1" x14ac:dyDescent="0.25"/>
    <row r="5837" hidden="1" x14ac:dyDescent="0.25"/>
    <row r="5838" hidden="1" x14ac:dyDescent="0.25"/>
    <row r="5839" hidden="1" x14ac:dyDescent="0.25"/>
    <row r="5840" hidden="1" x14ac:dyDescent="0.25"/>
    <row r="5841" hidden="1" x14ac:dyDescent="0.25"/>
    <row r="5842" hidden="1" x14ac:dyDescent="0.25"/>
    <row r="5843" hidden="1" x14ac:dyDescent="0.25"/>
    <row r="5844" hidden="1" x14ac:dyDescent="0.25"/>
    <row r="5845" hidden="1" x14ac:dyDescent="0.25"/>
    <row r="5846" hidden="1" x14ac:dyDescent="0.25"/>
    <row r="5847" hidden="1" x14ac:dyDescent="0.25"/>
    <row r="5848" hidden="1" x14ac:dyDescent="0.25"/>
    <row r="5849" hidden="1" x14ac:dyDescent="0.25"/>
    <row r="5850" hidden="1" x14ac:dyDescent="0.25"/>
    <row r="5851" hidden="1" x14ac:dyDescent="0.25"/>
    <row r="5852" hidden="1" x14ac:dyDescent="0.25"/>
    <row r="5853" hidden="1" x14ac:dyDescent="0.25"/>
    <row r="5854" hidden="1" x14ac:dyDescent="0.25"/>
    <row r="5855" hidden="1" x14ac:dyDescent="0.25"/>
    <row r="5856" hidden="1" x14ac:dyDescent="0.25"/>
    <row r="5857" hidden="1" x14ac:dyDescent="0.25"/>
    <row r="5858" hidden="1" x14ac:dyDescent="0.25"/>
    <row r="5859" hidden="1" x14ac:dyDescent="0.25"/>
    <row r="5860" hidden="1" x14ac:dyDescent="0.25"/>
    <row r="5861" hidden="1" x14ac:dyDescent="0.25"/>
    <row r="5862" hidden="1" x14ac:dyDescent="0.25"/>
    <row r="5863" hidden="1" x14ac:dyDescent="0.25"/>
    <row r="5864" hidden="1" x14ac:dyDescent="0.25"/>
    <row r="5865" hidden="1" x14ac:dyDescent="0.25"/>
    <row r="5866" hidden="1" x14ac:dyDescent="0.25"/>
    <row r="5867" hidden="1" x14ac:dyDescent="0.25"/>
    <row r="5868" hidden="1" x14ac:dyDescent="0.25"/>
    <row r="5869" hidden="1" x14ac:dyDescent="0.25"/>
    <row r="5870" hidden="1" x14ac:dyDescent="0.25"/>
    <row r="5871" hidden="1" x14ac:dyDescent="0.25"/>
    <row r="5872" hidden="1" x14ac:dyDescent="0.25"/>
    <row r="5873" hidden="1" x14ac:dyDescent="0.25"/>
    <row r="5874" hidden="1" x14ac:dyDescent="0.25"/>
    <row r="5875" hidden="1" x14ac:dyDescent="0.25"/>
    <row r="5876" hidden="1" x14ac:dyDescent="0.25"/>
    <row r="5877" hidden="1" x14ac:dyDescent="0.25"/>
    <row r="5878" hidden="1" x14ac:dyDescent="0.25"/>
    <row r="5879" hidden="1" x14ac:dyDescent="0.25"/>
    <row r="5880" hidden="1" x14ac:dyDescent="0.25"/>
    <row r="5881" hidden="1" x14ac:dyDescent="0.25"/>
    <row r="5882" hidden="1" x14ac:dyDescent="0.25"/>
    <row r="5883" hidden="1" x14ac:dyDescent="0.25"/>
    <row r="5884" hidden="1" x14ac:dyDescent="0.25"/>
    <row r="5885" hidden="1" x14ac:dyDescent="0.25"/>
    <row r="5886" hidden="1" x14ac:dyDescent="0.25"/>
    <row r="5887" hidden="1" x14ac:dyDescent="0.25"/>
    <row r="5888" hidden="1" x14ac:dyDescent="0.25"/>
    <row r="5889" hidden="1" x14ac:dyDescent="0.25"/>
    <row r="5890" hidden="1" x14ac:dyDescent="0.25"/>
    <row r="5891" hidden="1" x14ac:dyDescent="0.25"/>
    <row r="5892" hidden="1" x14ac:dyDescent="0.25"/>
    <row r="5893" hidden="1" x14ac:dyDescent="0.25"/>
    <row r="5894" hidden="1" x14ac:dyDescent="0.25"/>
    <row r="5895" hidden="1" x14ac:dyDescent="0.25"/>
    <row r="5896" hidden="1" x14ac:dyDescent="0.25"/>
    <row r="5897" hidden="1" x14ac:dyDescent="0.25"/>
    <row r="5898" hidden="1" x14ac:dyDescent="0.25"/>
    <row r="5899" hidden="1" x14ac:dyDescent="0.25"/>
    <row r="5900" hidden="1" x14ac:dyDescent="0.25"/>
    <row r="5901" hidden="1" x14ac:dyDescent="0.25"/>
    <row r="5902" hidden="1" x14ac:dyDescent="0.25"/>
    <row r="5903" hidden="1" x14ac:dyDescent="0.25"/>
    <row r="5904" hidden="1" x14ac:dyDescent="0.25"/>
    <row r="5905" hidden="1" x14ac:dyDescent="0.25"/>
    <row r="5906" hidden="1" x14ac:dyDescent="0.25"/>
    <row r="5907" hidden="1" x14ac:dyDescent="0.25"/>
    <row r="5908" hidden="1" x14ac:dyDescent="0.25"/>
    <row r="5909" hidden="1" x14ac:dyDescent="0.25"/>
    <row r="5910" hidden="1" x14ac:dyDescent="0.25"/>
    <row r="5911" hidden="1" x14ac:dyDescent="0.25"/>
    <row r="5912" hidden="1" x14ac:dyDescent="0.25"/>
    <row r="5913" hidden="1" x14ac:dyDescent="0.25"/>
    <row r="5914" hidden="1" x14ac:dyDescent="0.25"/>
    <row r="5915" hidden="1" x14ac:dyDescent="0.25"/>
    <row r="5916" hidden="1" x14ac:dyDescent="0.25"/>
    <row r="5917" hidden="1" x14ac:dyDescent="0.25"/>
    <row r="5918" hidden="1" x14ac:dyDescent="0.25"/>
    <row r="5919" hidden="1" x14ac:dyDescent="0.25"/>
    <row r="5920" hidden="1" x14ac:dyDescent="0.25"/>
    <row r="5921" hidden="1" x14ac:dyDescent="0.25"/>
    <row r="5922" hidden="1" x14ac:dyDescent="0.25"/>
    <row r="5923" hidden="1" x14ac:dyDescent="0.25"/>
    <row r="5924" hidden="1" x14ac:dyDescent="0.25"/>
    <row r="5925" hidden="1" x14ac:dyDescent="0.25"/>
    <row r="5926" hidden="1" x14ac:dyDescent="0.25"/>
    <row r="5927" hidden="1" x14ac:dyDescent="0.25"/>
    <row r="5928" hidden="1" x14ac:dyDescent="0.25"/>
    <row r="5929" hidden="1" x14ac:dyDescent="0.25"/>
    <row r="5930" hidden="1" x14ac:dyDescent="0.25"/>
    <row r="5931" hidden="1" x14ac:dyDescent="0.25"/>
    <row r="5932" hidden="1" x14ac:dyDescent="0.25"/>
    <row r="5933" hidden="1" x14ac:dyDescent="0.25"/>
    <row r="5934" hidden="1" x14ac:dyDescent="0.25"/>
    <row r="5935" hidden="1" x14ac:dyDescent="0.25"/>
    <row r="5936" hidden="1" x14ac:dyDescent="0.25"/>
    <row r="5937" hidden="1" x14ac:dyDescent="0.25"/>
    <row r="5938" hidden="1" x14ac:dyDescent="0.25"/>
    <row r="5939" hidden="1" x14ac:dyDescent="0.25"/>
    <row r="5940" hidden="1" x14ac:dyDescent="0.25"/>
    <row r="5941" hidden="1" x14ac:dyDescent="0.25"/>
    <row r="5942" hidden="1" x14ac:dyDescent="0.25"/>
    <row r="5943" hidden="1" x14ac:dyDescent="0.25"/>
    <row r="5944" hidden="1" x14ac:dyDescent="0.25"/>
    <row r="5945" hidden="1" x14ac:dyDescent="0.25"/>
    <row r="5946" hidden="1" x14ac:dyDescent="0.25"/>
    <row r="5947" hidden="1" x14ac:dyDescent="0.25"/>
    <row r="5948" hidden="1" x14ac:dyDescent="0.25"/>
    <row r="5949" hidden="1" x14ac:dyDescent="0.25"/>
    <row r="5950" hidden="1" x14ac:dyDescent="0.25"/>
    <row r="5951" hidden="1" x14ac:dyDescent="0.25"/>
    <row r="5952" hidden="1" x14ac:dyDescent="0.25"/>
    <row r="5953" hidden="1" x14ac:dyDescent="0.25"/>
    <row r="5954" hidden="1" x14ac:dyDescent="0.25"/>
    <row r="5955" hidden="1" x14ac:dyDescent="0.25"/>
    <row r="5956" hidden="1" x14ac:dyDescent="0.25"/>
    <row r="5957" hidden="1" x14ac:dyDescent="0.25"/>
    <row r="5958" hidden="1" x14ac:dyDescent="0.25"/>
    <row r="5959" hidden="1" x14ac:dyDescent="0.25"/>
    <row r="5960" hidden="1" x14ac:dyDescent="0.25"/>
    <row r="5961" hidden="1" x14ac:dyDescent="0.25"/>
    <row r="5962" hidden="1" x14ac:dyDescent="0.25"/>
    <row r="5963" hidden="1" x14ac:dyDescent="0.25"/>
    <row r="5964" hidden="1" x14ac:dyDescent="0.25"/>
    <row r="5965" hidden="1" x14ac:dyDescent="0.25"/>
    <row r="5966" hidden="1" x14ac:dyDescent="0.25"/>
    <row r="5967" hidden="1" x14ac:dyDescent="0.25"/>
    <row r="5968" hidden="1" x14ac:dyDescent="0.25"/>
    <row r="5969" hidden="1" x14ac:dyDescent="0.25"/>
    <row r="5970" hidden="1" x14ac:dyDescent="0.25"/>
    <row r="5971" hidden="1" x14ac:dyDescent="0.25"/>
    <row r="5972" hidden="1" x14ac:dyDescent="0.25"/>
    <row r="5973" hidden="1" x14ac:dyDescent="0.25"/>
    <row r="5974" hidden="1" x14ac:dyDescent="0.25"/>
    <row r="5975" hidden="1" x14ac:dyDescent="0.25"/>
    <row r="5976" hidden="1" x14ac:dyDescent="0.25"/>
    <row r="5977" hidden="1" x14ac:dyDescent="0.25"/>
    <row r="5978" hidden="1" x14ac:dyDescent="0.25"/>
    <row r="5979" hidden="1" x14ac:dyDescent="0.25"/>
    <row r="5980" hidden="1" x14ac:dyDescent="0.25"/>
    <row r="5981" hidden="1" x14ac:dyDescent="0.25"/>
    <row r="5982" hidden="1" x14ac:dyDescent="0.25"/>
    <row r="5983" hidden="1" x14ac:dyDescent="0.25"/>
    <row r="5984" hidden="1" x14ac:dyDescent="0.25"/>
    <row r="5985" hidden="1" x14ac:dyDescent="0.25"/>
    <row r="5986" hidden="1" x14ac:dyDescent="0.25"/>
    <row r="5987" hidden="1" x14ac:dyDescent="0.25"/>
    <row r="5988" hidden="1" x14ac:dyDescent="0.25"/>
    <row r="5989" hidden="1" x14ac:dyDescent="0.25"/>
    <row r="5990" hidden="1" x14ac:dyDescent="0.25"/>
    <row r="5991" hidden="1" x14ac:dyDescent="0.25"/>
    <row r="5992" hidden="1" x14ac:dyDescent="0.25"/>
    <row r="5993" hidden="1" x14ac:dyDescent="0.25"/>
    <row r="5994" hidden="1" x14ac:dyDescent="0.25"/>
    <row r="5995" hidden="1" x14ac:dyDescent="0.25"/>
    <row r="5996" hidden="1" x14ac:dyDescent="0.25"/>
    <row r="5997" hidden="1" x14ac:dyDescent="0.25"/>
    <row r="5998" hidden="1" x14ac:dyDescent="0.25"/>
    <row r="5999" hidden="1" x14ac:dyDescent="0.25"/>
    <row r="6000" hidden="1" x14ac:dyDescent="0.25"/>
    <row r="6001" hidden="1" x14ac:dyDescent="0.25"/>
    <row r="6002" hidden="1" x14ac:dyDescent="0.25"/>
    <row r="6003" hidden="1" x14ac:dyDescent="0.25"/>
    <row r="6004" hidden="1" x14ac:dyDescent="0.25"/>
    <row r="6005" hidden="1" x14ac:dyDescent="0.25"/>
    <row r="6006" hidden="1" x14ac:dyDescent="0.25"/>
    <row r="6007" hidden="1" x14ac:dyDescent="0.25"/>
    <row r="6008" hidden="1" x14ac:dyDescent="0.25"/>
    <row r="6009" hidden="1" x14ac:dyDescent="0.25"/>
    <row r="6010" hidden="1" x14ac:dyDescent="0.25"/>
    <row r="6011" hidden="1" x14ac:dyDescent="0.25"/>
    <row r="6012" hidden="1" x14ac:dyDescent="0.25"/>
    <row r="6013" hidden="1" x14ac:dyDescent="0.25"/>
    <row r="6014" hidden="1" x14ac:dyDescent="0.25"/>
    <row r="6015" hidden="1" x14ac:dyDescent="0.25"/>
    <row r="6016" hidden="1" x14ac:dyDescent="0.25"/>
    <row r="6017" hidden="1" x14ac:dyDescent="0.25"/>
    <row r="6018" hidden="1" x14ac:dyDescent="0.25"/>
    <row r="6019" hidden="1" x14ac:dyDescent="0.25"/>
    <row r="6020" hidden="1" x14ac:dyDescent="0.25"/>
    <row r="6021" hidden="1" x14ac:dyDescent="0.25"/>
    <row r="6022" hidden="1" x14ac:dyDescent="0.25"/>
    <row r="6023" hidden="1" x14ac:dyDescent="0.25"/>
    <row r="6024" hidden="1" x14ac:dyDescent="0.25"/>
    <row r="6025" hidden="1" x14ac:dyDescent="0.25"/>
    <row r="6026" hidden="1" x14ac:dyDescent="0.25"/>
    <row r="6027" hidden="1" x14ac:dyDescent="0.25"/>
    <row r="6028" hidden="1" x14ac:dyDescent="0.25"/>
    <row r="6029" hidden="1" x14ac:dyDescent="0.25"/>
    <row r="6030" hidden="1" x14ac:dyDescent="0.25"/>
    <row r="6031" hidden="1" x14ac:dyDescent="0.25"/>
    <row r="6032" hidden="1" x14ac:dyDescent="0.25"/>
    <row r="6033" hidden="1" x14ac:dyDescent="0.25"/>
    <row r="6034" hidden="1" x14ac:dyDescent="0.25"/>
    <row r="6035" hidden="1" x14ac:dyDescent="0.25"/>
    <row r="6036" hidden="1" x14ac:dyDescent="0.25"/>
    <row r="6037" hidden="1" x14ac:dyDescent="0.25"/>
    <row r="6038" hidden="1" x14ac:dyDescent="0.25"/>
    <row r="6039" hidden="1" x14ac:dyDescent="0.25"/>
    <row r="6040" hidden="1" x14ac:dyDescent="0.25"/>
    <row r="6041" hidden="1" x14ac:dyDescent="0.25"/>
    <row r="6042" hidden="1" x14ac:dyDescent="0.25"/>
    <row r="6043" hidden="1" x14ac:dyDescent="0.25"/>
    <row r="6044" hidden="1" x14ac:dyDescent="0.25"/>
    <row r="6045" hidden="1" x14ac:dyDescent="0.25"/>
    <row r="6046" hidden="1" x14ac:dyDescent="0.25"/>
    <row r="6047" hidden="1" x14ac:dyDescent="0.25"/>
    <row r="6048" hidden="1" x14ac:dyDescent="0.25"/>
    <row r="6049" hidden="1" x14ac:dyDescent="0.25"/>
    <row r="6050" hidden="1" x14ac:dyDescent="0.25"/>
    <row r="6051" hidden="1" x14ac:dyDescent="0.25"/>
    <row r="6052" hidden="1" x14ac:dyDescent="0.25"/>
    <row r="6053" hidden="1" x14ac:dyDescent="0.25"/>
    <row r="6054" hidden="1" x14ac:dyDescent="0.25"/>
    <row r="6055" hidden="1" x14ac:dyDescent="0.25"/>
    <row r="6056" hidden="1" x14ac:dyDescent="0.25"/>
    <row r="6057" hidden="1" x14ac:dyDescent="0.25"/>
    <row r="6058" hidden="1" x14ac:dyDescent="0.25"/>
    <row r="6059" hidden="1" x14ac:dyDescent="0.25"/>
    <row r="6060" hidden="1" x14ac:dyDescent="0.25"/>
    <row r="6061" hidden="1" x14ac:dyDescent="0.25"/>
    <row r="6062" hidden="1" x14ac:dyDescent="0.25"/>
    <row r="6063" hidden="1" x14ac:dyDescent="0.25"/>
    <row r="6064" hidden="1" x14ac:dyDescent="0.25"/>
    <row r="6065" hidden="1" x14ac:dyDescent="0.25"/>
    <row r="6066" hidden="1" x14ac:dyDescent="0.25"/>
    <row r="6067" hidden="1" x14ac:dyDescent="0.25"/>
    <row r="6068" hidden="1" x14ac:dyDescent="0.25"/>
    <row r="6069" hidden="1" x14ac:dyDescent="0.25"/>
    <row r="6070" hidden="1" x14ac:dyDescent="0.25"/>
    <row r="6071" hidden="1" x14ac:dyDescent="0.25"/>
    <row r="6072" hidden="1" x14ac:dyDescent="0.25"/>
    <row r="6073" hidden="1" x14ac:dyDescent="0.25"/>
    <row r="6074" hidden="1" x14ac:dyDescent="0.25"/>
    <row r="6075" hidden="1" x14ac:dyDescent="0.25"/>
    <row r="6076" hidden="1" x14ac:dyDescent="0.25"/>
    <row r="6077" hidden="1" x14ac:dyDescent="0.25"/>
    <row r="6078" hidden="1" x14ac:dyDescent="0.25"/>
    <row r="6079" hidden="1" x14ac:dyDescent="0.25"/>
    <row r="6080" hidden="1" x14ac:dyDescent="0.25"/>
    <row r="6081" hidden="1" x14ac:dyDescent="0.25"/>
    <row r="6082" hidden="1" x14ac:dyDescent="0.25"/>
    <row r="6083" hidden="1" x14ac:dyDescent="0.25"/>
    <row r="6084" hidden="1" x14ac:dyDescent="0.25"/>
    <row r="6085" hidden="1" x14ac:dyDescent="0.25"/>
    <row r="6086" hidden="1" x14ac:dyDescent="0.25"/>
    <row r="6087" hidden="1" x14ac:dyDescent="0.25"/>
    <row r="6088" hidden="1" x14ac:dyDescent="0.25"/>
    <row r="6089" hidden="1" x14ac:dyDescent="0.25"/>
    <row r="6090" hidden="1" x14ac:dyDescent="0.25"/>
    <row r="6091" hidden="1" x14ac:dyDescent="0.25"/>
    <row r="6092" hidden="1" x14ac:dyDescent="0.25"/>
    <row r="6093" hidden="1" x14ac:dyDescent="0.25"/>
    <row r="6094" hidden="1" x14ac:dyDescent="0.25"/>
    <row r="6095" hidden="1" x14ac:dyDescent="0.25"/>
    <row r="6096" hidden="1" x14ac:dyDescent="0.25"/>
    <row r="6097" hidden="1" x14ac:dyDescent="0.25"/>
    <row r="6098" hidden="1" x14ac:dyDescent="0.25"/>
    <row r="6099" hidden="1" x14ac:dyDescent="0.25"/>
    <row r="6100" hidden="1" x14ac:dyDescent="0.25"/>
    <row r="6101" hidden="1" x14ac:dyDescent="0.25"/>
    <row r="6102" hidden="1" x14ac:dyDescent="0.25"/>
    <row r="6103" hidden="1" x14ac:dyDescent="0.25"/>
    <row r="6104" hidden="1" x14ac:dyDescent="0.25"/>
    <row r="6105" hidden="1" x14ac:dyDescent="0.25"/>
    <row r="6106" hidden="1" x14ac:dyDescent="0.25"/>
    <row r="6107" hidden="1" x14ac:dyDescent="0.25"/>
    <row r="6108" hidden="1" x14ac:dyDescent="0.25"/>
    <row r="6109" hidden="1" x14ac:dyDescent="0.25"/>
    <row r="6110" hidden="1" x14ac:dyDescent="0.25"/>
    <row r="6111" hidden="1" x14ac:dyDescent="0.25"/>
    <row r="6112" hidden="1" x14ac:dyDescent="0.25"/>
    <row r="6113" hidden="1" x14ac:dyDescent="0.25"/>
    <row r="6114" hidden="1" x14ac:dyDescent="0.25"/>
    <row r="6115" hidden="1" x14ac:dyDescent="0.25"/>
    <row r="6116" hidden="1" x14ac:dyDescent="0.25"/>
    <row r="6117" hidden="1" x14ac:dyDescent="0.25"/>
    <row r="6118" hidden="1" x14ac:dyDescent="0.25"/>
    <row r="6119" hidden="1" x14ac:dyDescent="0.25"/>
    <row r="6120" hidden="1" x14ac:dyDescent="0.25"/>
    <row r="6121" hidden="1" x14ac:dyDescent="0.25"/>
    <row r="6122" hidden="1" x14ac:dyDescent="0.25"/>
    <row r="6123" hidden="1" x14ac:dyDescent="0.25"/>
    <row r="6124" hidden="1" x14ac:dyDescent="0.25"/>
    <row r="6125" hidden="1" x14ac:dyDescent="0.25"/>
    <row r="6126" hidden="1" x14ac:dyDescent="0.25"/>
    <row r="6127" hidden="1" x14ac:dyDescent="0.25"/>
    <row r="6128" hidden="1" x14ac:dyDescent="0.25"/>
    <row r="6129" hidden="1" x14ac:dyDescent="0.25"/>
    <row r="6130" hidden="1" x14ac:dyDescent="0.25"/>
    <row r="6131" hidden="1" x14ac:dyDescent="0.25"/>
    <row r="6132" hidden="1" x14ac:dyDescent="0.25"/>
    <row r="6133" hidden="1" x14ac:dyDescent="0.25"/>
    <row r="6134" hidden="1" x14ac:dyDescent="0.25"/>
    <row r="6135" hidden="1" x14ac:dyDescent="0.25"/>
    <row r="6136" hidden="1" x14ac:dyDescent="0.25"/>
    <row r="6137" hidden="1" x14ac:dyDescent="0.25"/>
    <row r="6138" hidden="1" x14ac:dyDescent="0.25"/>
    <row r="6139" hidden="1" x14ac:dyDescent="0.25"/>
    <row r="6140" hidden="1" x14ac:dyDescent="0.25"/>
    <row r="6141" hidden="1" x14ac:dyDescent="0.25"/>
    <row r="6142" hidden="1" x14ac:dyDescent="0.25"/>
    <row r="6143" hidden="1" x14ac:dyDescent="0.25"/>
    <row r="6144" hidden="1" x14ac:dyDescent="0.25"/>
    <row r="6145" hidden="1" x14ac:dyDescent="0.25"/>
    <row r="6146" hidden="1" x14ac:dyDescent="0.25"/>
    <row r="6147" hidden="1" x14ac:dyDescent="0.25"/>
    <row r="6148" hidden="1" x14ac:dyDescent="0.25"/>
    <row r="6149" hidden="1" x14ac:dyDescent="0.25"/>
    <row r="6150" hidden="1" x14ac:dyDescent="0.25"/>
    <row r="6151" hidden="1" x14ac:dyDescent="0.25"/>
    <row r="6152" hidden="1" x14ac:dyDescent="0.25"/>
    <row r="6153" hidden="1" x14ac:dyDescent="0.25"/>
    <row r="6154" hidden="1" x14ac:dyDescent="0.25"/>
    <row r="6155" hidden="1" x14ac:dyDescent="0.25"/>
    <row r="6156" hidden="1" x14ac:dyDescent="0.25"/>
    <row r="6157" hidden="1" x14ac:dyDescent="0.25"/>
    <row r="6158" hidden="1" x14ac:dyDescent="0.25"/>
    <row r="6159" hidden="1" x14ac:dyDescent="0.25"/>
    <row r="6160" hidden="1" x14ac:dyDescent="0.25"/>
    <row r="6161" hidden="1" x14ac:dyDescent="0.25"/>
    <row r="6162" hidden="1" x14ac:dyDescent="0.25"/>
    <row r="6163" hidden="1" x14ac:dyDescent="0.25"/>
    <row r="6164" hidden="1" x14ac:dyDescent="0.25"/>
    <row r="6165" hidden="1" x14ac:dyDescent="0.25"/>
    <row r="6166" hidden="1" x14ac:dyDescent="0.25"/>
    <row r="6167" hidden="1" x14ac:dyDescent="0.25"/>
    <row r="6168" hidden="1" x14ac:dyDescent="0.25"/>
    <row r="6169" hidden="1" x14ac:dyDescent="0.25"/>
    <row r="6170" hidden="1" x14ac:dyDescent="0.25"/>
    <row r="6171" hidden="1" x14ac:dyDescent="0.25"/>
    <row r="6172" hidden="1" x14ac:dyDescent="0.25"/>
    <row r="6173" hidden="1" x14ac:dyDescent="0.25"/>
    <row r="6174" hidden="1" x14ac:dyDescent="0.25"/>
    <row r="6175" hidden="1" x14ac:dyDescent="0.25"/>
    <row r="6176" hidden="1" x14ac:dyDescent="0.25"/>
    <row r="6177" hidden="1" x14ac:dyDescent="0.25"/>
    <row r="6178" hidden="1" x14ac:dyDescent="0.25"/>
    <row r="6179" hidden="1" x14ac:dyDescent="0.25"/>
    <row r="6180" hidden="1" x14ac:dyDescent="0.25"/>
    <row r="6181" hidden="1" x14ac:dyDescent="0.25"/>
    <row r="6182" hidden="1" x14ac:dyDescent="0.25"/>
    <row r="6183" hidden="1" x14ac:dyDescent="0.25"/>
    <row r="6184" hidden="1" x14ac:dyDescent="0.25"/>
    <row r="6185" hidden="1" x14ac:dyDescent="0.25"/>
    <row r="6186" hidden="1" x14ac:dyDescent="0.25"/>
    <row r="6187" hidden="1" x14ac:dyDescent="0.25"/>
    <row r="6188" hidden="1" x14ac:dyDescent="0.25"/>
    <row r="6189" hidden="1" x14ac:dyDescent="0.25"/>
    <row r="6190" hidden="1" x14ac:dyDescent="0.25"/>
    <row r="6191" hidden="1" x14ac:dyDescent="0.25"/>
    <row r="6192" hidden="1" x14ac:dyDescent="0.25"/>
    <row r="6193" hidden="1" x14ac:dyDescent="0.25"/>
    <row r="6194" hidden="1" x14ac:dyDescent="0.25"/>
    <row r="6195" hidden="1" x14ac:dyDescent="0.25"/>
    <row r="6196" hidden="1" x14ac:dyDescent="0.25"/>
    <row r="6197" hidden="1" x14ac:dyDescent="0.25"/>
    <row r="6198" hidden="1" x14ac:dyDescent="0.25"/>
    <row r="6199" hidden="1" x14ac:dyDescent="0.25"/>
    <row r="6200" hidden="1" x14ac:dyDescent="0.25"/>
    <row r="6201" hidden="1" x14ac:dyDescent="0.25"/>
    <row r="6202" hidden="1" x14ac:dyDescent="0.25"/>
    <row r="6203" hidden="1" x14ac:dyDescent="0.25"/>
    <row r="6204" hidden="1" x14ac:dyDescent="0.25"/>
    <row r="6205" hidden="1" x14ac:dyDescent="0.25"/>
    <row r="6206" hidden="1" x14ac:dyDescent="0.25"/>
    <row r="6207" hidden="1" x14ac:dyDescent="0.25"/>
    <row r="6208" hidden="1" x14ac:dyDescent="0.25"/>
    <row r="6209" hidden="1" x14ac:dyDescent="0.25"/>
    <row r="6210" hidden="1" x14ac:dyDescent="0.25"/>
    <row r="6211" hidden="1" x14ac:dyDescent="0.25"/>
    <row r="6212" hidden="1" x14ac:dyDescent="0.25"/>
    <row r="6213" hidden="1" x14ac:dyDescent="0.25"/>
    <row r="6214" hidden="1" x14ac:dyDescent="0.25"/>
    <row r="6215" hidden="1" x14ac:dyDescent="0.25"/>
    <row r="6216" hidden="1" x14ac:dyDescent="0.25"/>
    <row r="6217" hidden="1" x14ac:dyDescent="0.25"/>
    <row r="6218" hidden="1" x14ac:dyDescent="0.25"/>
    <row r="6219" hidden="1" x14ac:dyDescent="0.25"/>
    <row r="6220" hidden="1" x14ac:dyDescent="0.25"/>
    <row r="6221" hidden="1" x14ac:dyDescent="0.25"/>
    <row r="6222" hidden="1" x14ac:dyDescent="0.25"/>
    <row r="6223" hidden="1" x14ac:dyDescent="0.25"/>
    <row r="6224" hidden="1" x14ac:dyDescent="0.25"/>
    <row r="6225" hidden="1" x14ac:dyDescent="0.25"/>
    <row r="6226" hidden="1" x14ac:dyDescent="0.25"/>
    <row r="6227" hidden="1" x14ac:dyDescent="0.25"/>
    <row r="6228" hidden="1" x14ac:dyDescent="0.25"/>
    <row r="6229" hidden="1" x14ac:dyDescent="0.25"/>
    <row r="6230" hidden="1" x14ac:dyDescent="0.25"/>
    <row r="6231" hidden="1" x14ac:dyDescent="0.25"/>
    <row r="6232" hidden="1" x14ac:dyDescent="0.25"/>
    <row r="6233" hidden="1" x14ac:dyDescent="0.25"/>
    <row r="6234" hidden="1" x14ac:dyDescent="0.25"/>
    <row r="6235" hidden="1" x14ac:dyDescent="0.25"/>
    <row r="6236" hidden="1" x14ac:dyDescent="0.25"/>
    <row r="6237" hidden="1" x14ac:dyDescent="0.25"/>
    <row r="6238" hidden="1" x14ac:dyDescent="0.25"/>
    <row r="6239" hidden="1" x14ac:dyDescent="0.25"/>
    <row r="6240" hidden="1" x14ac:dyDescent="0.25"/>
    <row r="6241" hidden="1" x14ac:dyDescent="0.25"/>
    <row r="6242" hidden="1" x14ac:dyDescent="0.25"/>
    <row r="6243" hidden="1" x14ac:dyDescent="0.25"/>
    <row r="6244" hidden="1" x14ac:dyDescent="0.25"/>
    <row r="6245" hidden="1" x14ac:dyDescent="0.25"/>
    <row r="6246" hidden="1" x14ac:dyDescent="0.25"/>
    <row r="6247" hidden="1" x14ac:dyDescent="0.25"/>
    <row r="6248" hidden="1" x14ac:dyDescent="0.25"/>
    <row r="6249" hidden="1" x14ac:dyDescent="0.25"/>
    <row r="6250" hidden="1" x14ac:dyDescent="0.25"/>
    <row r="6251" hidden="1" x14ac:dyDescent="0.25"/>
    <row r="6252" hidden="1" x14ac:dyDescent="0.25"/>
    <row r="6253" hidden="1" x14ac:dyDescent="0.25"/>
    <row r="6254" hidden="1" x14ac:dyDescent="0.25"/>
    <row r="6255" hidden="1" x14ac:dyDescent="0.25"/>
    <row r="6256" hidden="1" x14ac:dyDescent="0.25"/>
    <row r="6257" hidden="1" x14ac:dyDescent="0.25"/>
    <row r="6258" hidden="1" x14ac:dyDescent="0.25"/>
    <row r="6259" hidden="1" x14ac:dyDescent="0.25"/>
    <row r="6260" hidden="1" x14ac:dyDescent="0.25"/>
    <row r="6261" hidden="1" x14ac:dyDescent="0.25"/>
    <row r="6262" hidden="1" x14ac:dyDescent="0.25"/>
    <row r="6263" hidden="1" x14ac:dyDescent="0.25"/>
    <row r="6264" hidden="1" x14ac:dyDescent="0.25"/>
    <row r="6265" hidden="1" x14ac:dyDescent="0.25"/>
    <row r="6266" hidden="1" x14ac:dyDescent="0.25"/>
    <row r="6267" hidden="1" x14ac:dyDescent="0.25"/>
    <row r="6268" hidden="1" x14ac:dyDescent="0.25"/>
    <row r="6269" hidden="1" x14ac:dyDescent="0.25"/>
    <row r="6270" hidden="1" x14ac:dyDescent="0.25"/>
    <row r="6271" hidden="1" x14ac:dyDescent="0.25"/>
    <row r="6272" hidden="1" x14ac:dyDescent="0.25"/>
    <row r="6273" hidden="1" x14ac:dyDescent="0.25"/>
    <row r="6274" hidden="1" x14ac:dyDescent="0.25"/>
    <row r="6275" hidden="1" x14ac:dyDescent="0.25"/>
    <row r="6276" hidden="1" x14ac:dyDescent="0.25"/>
    <row r="6277" hidden="1" x14ac:dyDescent="0.25"/>
    <row r="6278" hidden="1" x14ac:dyDescent="0.25"/>
    <row r="6279" hidden="1" x14ac:dyDescent="0.25"/>
    <row r="6280" hidden="1" x14ac:dyDescent="0.25"/>
    <row r="6281" hidden="1" x14ac:dyDescent="0.25"/>
    <row r="6282" hidden="1" x14ac:dyDescent="0.25"/>
    <row r="6283" hidden="1" x14ac:dyDescent="0.25"/>
    <row r="6284" hidden="1" x14ac:dyDescent="0.25"/>
    <row r="6285" hidden="1" x14ac:dyDescent="0.25"/>
    <row r="6286" hidden="1" x14ac:dyDescent="0.25"/>
    <row r="6287" hidden="1" x14ac:dyDescent="0.25"/>
    <row r="6288" hidden="1" x14ac:dyDescent="0.25"/>
    <row r="6289" hidden="1" x14ac:dyDescent="0.25"/>
    <row r="6290" hidden="1" x14ac:dyDescent="0.25"/>
    <row r="6291" hidden="1" x14ac:dyDescent="0.25"/>
    <row r="6292" hidden="1" x14ac:dyDescent="0.25"/>
    <row r="6293" hidden="1" x14ac:dyDescent="0.25"/>
    <row r="6294" hidden="1" x14ac:dyDescent="0.25"/>
    <row r="6295" hidden="1" x14ac:dyDescent="0.25"/>
    <row r="6296" hidden="1" x14ac:dyDescent="0.25"/>
    <row r="6297" hidden="1" x14ac:dyDescent="0.25"/>
    <row r="6298" hidden="1" x14ac:dyDescent="0.25"/>
    <row r="6299" hidden="1" x14ac:dyDescent="0.25"/>
    <row r="6300" hidden="1" x14ac:dyDescent="0.25"/>
    <row r="6301" hidden="1" x14ac:dyDescent="0.25"/>
    <row r="6302" hidden="1" x14ac:dyDescent="0.25"/>
    <row r="6303" hidden="1" x14ac:dyDescent="0.25"/>
    <row r="6304" hidden="1" x14ac:dyDescent="0.25"/>
    <row r="6305" hidden="1" x14ac:dyDescent="0.25"/>
    <row r="6306" hidden="1" x14ac:dyDescent="0.25"/>
    <row r="6307" hidden="1" x14ac:dyDescent="0.25"/>
    <row r="6308" hidden="1" x14ac:dyDescent="0.25"/>
    <row r="6309" hidden="1" x14ac:dyDescent="0.25"/>
    <row r="6310" hidden="1" x14ac:dyDescent="0.25"/>
    <row r="6311" hidden="1" x14ac:dyDescent="0.25"/>
    <row r="6312" hidden="1" x14ac:dyDescent="0.25"/>
    <row r="6313" hidden="1" x14ac:dyDescent="0.25"/>
    <row r="6314" hidden="1" x14ac:dyDescent="0.25"/>
    <row r="6315" hidden="1" x14ac:dyDescent="0.25"/>
    <row r="6316" hidden="1" x14ac:dyDescent="0.25"/>
    <row r="6317" hidden="1" x14ac:dyDescent="0.25"/>
    <row r="6318" hidden="1" x14ac:dyDescent="0.25"/>
    <row r="6319" hidden="1" x14ac:dyDescent="0.25"/>
    <row r="6320" hidden="1" x14ac:dyDescent="0.25"/>
    <row r="6321" hidden="1" x14ac:dyDescent="0.25"/>
    <row r="6322" hidden="1" x14ac:dyDescent="0.25"/>
    <row r="6323" hidden="1" x14ac:dyDescent="0.25"/>
    <row r="6324" hidden="1" x14ac:dyDescent="0.25"/>
    <row r="6325" hidden="1" x14ac:dyDescent="0.25"/>
    <row r="6326" hidden="1" x14ac:dyDescent="0.25"/>
    <row r="6327" hidden="1" x14ac:dyDescent="0.25"/>
    <row r="6328" hidden="1" x14ac:dyDescent="0.25"/>
    <row r="6329" hidden="1" x14ac:dyDescent="0.25"/>
    <row r="6330" hidden="1" x14ac:dyDescent="0.25"/>
    <row r="6331" hidden="1" x14ac:dyDescent="0.25"/>
    <row r="6332" hidden="1" x14ac:dyDescent="0.25"/>
    <row r="6333" hidden="1" x14ac:dyDescent="0.25"/>
    <row r="6334" hidden="1" x14ac:dyDescent="0.25"/>
    <row r="6335" hidden="1" x14ac:dyDescent="0.25"/>
    <row r="6336" hidden="1" x14ac:dyDescent="0.25"/>
    <row r="6337" hidden="1" x14ac:dyDescent="0.25"/>
    <row r="6338" hidden="1" x14ac:dyDescent="0.25"/>
    <row r="6339" hidden="1" x14ac:dyDescent="0.25"/>
    <row r="6340" hidden="1" x14ac:dyDescent="0.25"/>
    <row r="6341" hidden="1" x14ac:dyDescent="0.25"/>
    <row r="6342" hidden="1" x14ac:dyDescent="0.25"/>
    <row r="6343" hidden="1" x14ac:dyDescent="0.25"/>
    <row r="6344" hidden="1" x14ac:dyDescent="0.25"/>
    <row r="6345" hidden="1" x14ac:dyDescent="0.25"/>
    <row r="6346" hidden="1" x14ac:dyDescent="0.25"/>
    <row r="6347" hidden="1" x14ac:dyDescent="0.25"/>
    <row r="6348" hidden="1" x14ac:dyDescent="0.25"/>
    <row r="6349" hidden="1" x14ac:dyDescent="0.25"/>
    <row r="6350" hidden="1" x14ac:dyDescent="0.25"/>
    <row r="6351" hidden="1" x14ac:dyDescent="0.25"/>
    <row r="6352" hidden="1" x14ac:dyDescent="0.25"/>
    <row r="6353" hidden="1" x14ac:dyDescent="0.25"/>
    <row r="6354" hidden="1" x14ac:dyDescent="0.25"/>
    <row r="6355" hidden="1" x14ac:dyDescent="0.25"/>
    <row r="6356" hidden="1" x14ac:dyDescent="0.25"/>
    <row r="6357" hidden="1" x14ac:dyDescent="0.25"/>
    <row r="6358" hidden="1" x14ac:dyDescent="0.25"/>
    <row r="6359" hidden="1" x14ac:dyDescent="0.25"/>
    <row r="6360" hidden="1" x14ac:dyDescent="0.25"/>
    <row r="6361" hidden="1" x14ac:dyDescent="0.25"/>
    <row r="6362" hidden="1" x14ac:dyDescent="0.25"/>
    <row r="6363" hidden="1" x14ac:dyDescent="0.25"/>
    <row r="6364" hidden="1" x14ac:dyDescent="0.25"/>
    <row r="6365" hidden="1" x14ac:dyDescent="0.25"/>
    <row r="6366" hidden="1" x14ac:dyDescent="0.25"/>
    <row r="6367" hidden="1" x14ac:dyDescent="0.25"/>
    <row r="6368" hidden="1" x14ac:dyDescent="0.25"/>
    <row r="6369" hidden="1" x14ac:dyDescent="0.25"/>
    <row r="6370" hidden="1" x14ac:dyDescent="0.25"/>
    <row r="6371" hidden="1" x14ac:dyDescent="0.25"/>
    <row r="6372" hidden="1" x14ac:dyDescent="0.25"/>
    <row r="6373" hidden="1" x14ac:dyDescent="0.25"/>
    <row r="6374" hidden="1" x14ac:dyDescent="0.25"/>
    <row r="6375" hidden="1" x14ac:dyDescent="0.25"/>
    <row r="6376" hidden="1" x14ac:dyDescent="0.25"/>
    <row r="6377" hidden="1" x14ac:dyDescent="0.25"/>
    <row r="6378" hidden="1" x14ac:dyDescent="0.25"/>
    <row r="6379" hidden="1" x14ac:dyDescent="0.25"/>
    <row r="6380" hidden="1" x14ac:dyDescent="0.25"/>
    <row r="6381" hidden="1" x14ac:dyDescent="0.25"/>
    <row r="6382" hidden="1" x14ac:dyDescent="0.25"/>
    <row r="6383" hidden="1" x14ac:dyDescent="0.25"/>
    <row r="6384" hidden="1" x14ac:dyDescent="0.25"/>
    <row r="6385" hidden="1" x14ac:dyDescent="0.25"/>
    <row r="6386" hidden="1" x14ac:dyDescent="0.25"/>
    <row r="6387" hidden="1" x14ac:dyDescent="0.25"/>
    <row r="6388" hidden="1" x14ac:dyDescent="0.25"/>
    <row r="6389" hidden="1" x14ac:dyDescent="0.25"/>
    <row r="6390" hidden="1" x14ac:dyDescent="0.25"/>
    <row r="6391" hidden="1" x14ac:dyDescent="0.25"/>
    <row r="6392" hidden="1" x14ac:dyDescent="0.25"/>
    <row r="6393" hidden="1" x14ac:dyDescent="0.25"/>
    <row r="6394" hidden="1" x14ac:dyDescent="0.25"/>
    <row r="6395" hidden="1" x14ac:dyDescent="0.25"/>
    <row r="6396" hidden="1" x14ac:dyDescent="0.25"/>
    <row r="6397" hidden="1" x14ac:dyDescent="0.25"/>
    <row r="6398" hidden="1" x14ac:dyDescent="0.25"/>
    <row r="6399" hidden="1" x14ac:dyDescent="0.25"/>
    <row r="6400" hidden="1" x14ac:dyDescent="0.25"/>
    <row r="6401" hidden="1" x14ac:dyDescent="0.25"/>
    <row r="6402" hidden="1" x14ac:dyDescent="0.25"/>
    <row r="6403" hidden="1" x14ac:dyDescent="0.25"/>
    <row r="6404" hidden="1" x14ac:dyDescent="0.25"/>
    <row r="6405" hidden="1" x14ac:dyDescent="0.25"/>
    <row r="6406" hidden="1" x14ac:dyDescent="0.25"/>
    <row r="6407" hidden="1" x14ac:dyDescent="0.25"/>
    <row r="6408" hidden="1" x14ac:dyDescent="0.25"/>
    <row r="6409" hidden="1" x14ac:dyDescent="0.25"/>
    <row r="6410" hidden="1" x14ac:dyDescent="0.25"/>
    <row r="6411" hidden="1" x14ac:dyDescent="0.25"/>
    <row r="6412" hidden="1" x14ac:dyDescent="0.25"/>
    <row r="6413" hidden="1" x14ac:dyDescent="0.25"/>
    <row r="6414" hidden="1" x14ac:dyDescent="0.25"/>
    <row r="6415" hidden="1" x14ac:dyDescent="0.25"/>
    <row r="6416" hidden="1" x14ac:dyDescent="0.25"/>
    <row r="6417" hidden="1" x14ac:dyDescent="0.25"/>
    <row r="6418" hidden="1" x14ac:dyDescent="0.25"/>
    <row r="6419" hidden="1" x14ac:dyDescent="0.25"/>
    <row r="6420" hidden="1" x14ac:dyDescent="0.25"/>
    <row r="6421" hidden="1" x14ac:dyDescent="0.25"/>
    <row r="6422" hidden="1" x14ac:dyDescent="0.25"/>
    <row r="6423" hidden="1" x14ac:dyDescent="0.25"/>
    <row r="6424" hidden="1" x14ac:dyDescent="0.25"/>
    <row r="6425" hidden="1" x14ac:dyDescent="0.25"/>
    <row r="6426" hidden="1" x14ac:dyDescent="0.25"/>
    <row r="6427" hidden="1" x14ac:dyDescent="0.25"/>
    <row r="6428" hidden="1" x14ac:dyDescent="0.25"/>
    <row r="6429" hidden="1" x14ac:dyDescent="0.25"/>
    <row r="6430" hidden="1" x14ac:dyDescent="0.25"/>
    <row r="6431" hidden="1" x14ac:dyDescent="0.25"/>
    <row r="6432" hidden="1" x14ac:dyDescent="0.25"/>
    <row r="6433" hidden="1" x14ac:dyDescent="0.25"/>
    <row r="6434" hidden="1" x14ac:dyDescent="0.25"/>
    <row r="6435" hidden="1" x14ac:dyDescent="0.25"/>
    <row r="6436" hidden="1" x14ac:dyDescent="0.25"/>
    <row r="6437" hidden="1" x14ac:dyDescent="0.25"/>
    <row r="6438" hidden="1" x14ac:dyDescent="0.25"/>
    <row r="6439" hidden="1" x14ac:dyDescent="0.25"/>
    <row r="6440" hidden="1" x14ac:dyDescent="0.25"/>
    <row r="6441" hidden="1" x14ac:dyDescent="0.25"/>
    <row r="6442" hidden="1" x14ac:dyDescent="0.25"/>
    <row r="6443" hidden="1" x14ac:dyDescent="0.25"/>
    <row r="6444" hidden="1" x14ac:dyDescent="0.25"/>
    <row r="6445" hidden="1" x14ac:dyDescent="0.25"/>
    <row r="6446" hidden="1" x14ac:dyDescent="0.25"/>
    <row r="6447" hidden="1" x14ac:dyDescent="0.25"/>
    <row r="6448" hidden="1" x14ac:dyDescent="0.25"/>
    <row r="6449" hidden="1" x14ac:dyDescent="0.25"/>
    <row r="6450" hidden="1" x14ac:dyDescent="0.25"/>
    <row r="6451" hidden="1" x14ac:dyDescent="0.25"/>
    <row r="6452" hidden="1" x14ac:dyDescent="0.25"/>
    <row r="6453" hidden="1" x14ac:dyDescent="0.25"/>
    <row r="6454" hidden="1" x14ac:dyDescent="0.25"/>
    <row r="6455" hidden="1" x14ac:dyDescent="0.25"/>
    <row r="6456" hidden="1" x14ac:dyDescent="0.25"/>
    <row r="6457" hidden="1" x14ac:dyDescent="0.25"/>
    <row r="6458" hidden="1" x14ac:dyDescent="0.25"/>
    <row r="6459" hidden="1" x14ac:dyDescent="0.25"/>
    <row r="6460" hidden="1" x14ac:dyDescent="0.25"/>
    <row r="6461" hidden="1" x14ac:dyDescent="0.25"/>
    <row r="6462" hidden="1" x14ac:dyDescent="0.25"/>
    <row r="6463" hidden="1" x14ac:dyDescent="0.25"/>
    <row r="6464" hidden="1" x14ac:dyDescent="0.25"/>
    <row r="6465" hidden="1" x14ac:dyDescent="0.25"/>
    <row r="6466" hidden="1" x14ac:dyDescent="0.25"/>
    <row r="6467" hidden="1" x14ac:dyDescent="0.25"/>
    <row r="6468" hidden="1" x14ac:dyDescent="0.25"/>
    <row r="6469" hidden="1" x14ac:dyDescent="0.25"/>
    <row r="6470" hidden="1" x14ac:dyDescent="0.25"/>
    <row r="6471" hidden="1" x14ac:dyDescent="0.25"/>
    <row r="6472" hidden="1" x14ac:dyDescent="0.25"/>
    <row r="6473" hidden="1" x14ac:dyDescent="0.25"/>
    <row r="6474" hidden="1" x14ac:dyDescent="0.25"/>
    <row r="6475" hidden="1" x14ac:dyDescent="0.25"/>
    <row r="6476" hidden="1" x14ac:dyDescent="0.25"/>
    <row r="6477" hidden="1" x14ac:dyDescent="0.25"/>
    <row r="6478" hidden="1" x14ac:dyDescent="0.25"/>
    <row r="6479" hidden="1" x14ac:dyDescent="0.25"/>
    <row r="6480" hidden="1" x14ac:dyDescent="0.25"/>
    <row r="6481" hidden="1" x14ac:dyDescent="0.25"/>
    <row r="6482" hidden="1" x14ac:dyDescent="0.25"/>
    <row r="6483" hidden="1" x14ac:dyDescent="0.25"/>
    <row r="6484" hidden="1" x14ac:dyDescent="0.25"/>
    <row r="6485" hidden="1" x14ac:dyDescent="0.25"/>
    <row r="6486" hidden="1" x14ac:dyDescent="0.25"/>
    <row r="6487" hidden="1" x14ac:dyDescent="0.25"/>
    <row r="6488" hidden="1" x14ac:dyDescent="0.25"/>
    <row r="6489" hidden="1" x14ac:dyDescent="0.25"/>
    <row r="6490" hidden="1" x14ac:dyDescent="0.25"/>
    <row r="6491" hidden="1" x14ac:dyDescent="0.25"/>
    <row r="6492" hidden="1" x14ac:dyDescent="0.25"/>
    <row r="6493" hidden="1" x14ac:dyDescent="0.25"/>
    <row r="6494" hidden="1" x14ac:dyDescent="0.25"/>
    <row r="6495" hidden="1" x14ac:dyDescent="0.25"/>
    <row r="6496" hidden="1" x14ac:dyDescent="0.25"/>
    <row r="6497" hidden="1" x14ac:dyDescent="0.25"/>
    <row r="6498" hidden="1" x14ac:dyDescent="0.25"/>
    <row r="6499" hidden="1" x14ac:dyDescent="0.25"/>
    <row r="6500" hidden="1" x14ac:dyDescent="0.25"/>
    <row r="6501" hidden="1" x14ac:dyDescent="0.25"/>
    <row r="6502" hidden="1" x14ac:dyDescent="0.25"/>
    <row r="6503" hidden="1" x14ac:dyDescent="0.25"/>
    <row r="6504" hidden="1" x14ac:dyDescent="0.25"/>
    <row r="6505" hidden="1" x14ac:dyDescent="0.25"/>
    <row r="6506" hidden="1" x14ac:dyDescent="0.25"/>
    <row r="6507" hidden="1" x14ac:dyDescent="0.25"/>
    <row r="6508" hidden="1" x14ac:dyDescent="0.25"/>
    <row r="6509" hidden="1" x14ac:dyDescent="0.25"/>
    <row r="6510" hidden="1" x14ac:dyDescent="0.25"/>
    <row r="6511" hidden="1" x14ac:dyDescent="0.25"/>
    <row r="6512" hidden="1" x14ac:dyDescent="0.25"/>
    <row r="6513" hidden="1" x14ac:dyDescent="0.25"/>
    <row r="6514" hidden="1" x14ac:dyDescent="0.25"/>
    <row r="6515" hidden="1" x14ac:dyDescent="0.25"/>
    <row r="6516" hidden="1" x14ac:dyDescent="0.25"/>
    <row r="6517" hidden="1" x14ac:dyDescent="0.25"/>
    <row r="6518" hidden="1" x14ac:dyDescent="0.25"/>
    <row r="6519" hidden="1" x14ac:dyDescent="0.25"/>
    <row r="6520" hidden="1" x14ac:dyDescent="0.25"/>
    <row r="6521" hidden="1" x14ac:dyDescent="0.25"/>
    <row r="6522" hidden="1" x14ac:dyDescent="0.25"/>
    <row r="6523" hidden="1" x14ac:dyDescent="0.25"/>
    <row r="6524" hidden="1" x14ac:dyDescent="0.25"/>
    <row r="6525" hidden="1" x14ac:dyDescent="0.25"/>
    <row r="6526" hidden="1" x14ac:dyDescent="0.25"/>
    <row r="6527" hidden="1" x14ac:dyDescent="0.25"/>
    <row r="6528" hidden="1" x14ac:dyDescent="0.25"/>
    <row r="6529" hidden="1" x14ac:dyDescent="0.25"/>
    <row r="6530" hidden="1" x14ac:dyDescent="0.25"/>
    <row r="6531" hidden="1" x14ac:dyDescent="0.25"/>
    <row r="6532" hidden="1" x14ac:dyDescent="0.25"/>
    <row r="6533" hidden="1" x14ac:dyDescent="0.25"/>
    <row r="6534" hidden="1" x14ac:dyDescent="0.25"/>
    <row r="6535" hidden="1" x14ac:dyDescent="0.25"/>
    <row r="6536" hidden="1" x14ac:dyDescent="0.25"/>
    <row r="6537" hidden="1" x14ac:dyDescent="0.25"/>
    <row r="6538" hidden="1" x14ac:dyDescent="0.25"/>
    <row r="6539" hidden="1" x14ac:dyDescent="0.25"/>
    <row r="6540" hidden="1" x14ac:dyDescent="0.25"/>
    <row r="6541" hidden="1" x14ac:dyDescent="0.25"/>
    <row r="6542" hidden="1" x14ac:dyDescent="0.25"/>
    <row r="6543" hidden="1" x14ac:dyDescent="0.25"/>
    <row r="6544" hidden="1" x14ac:dyDescent="0.25"/>
    <row r="6545" hidden="1" x14ac:dyDescent="0.25"/>
    <row r="6546" hidden="1" x14ac:dyDescent="0.25"/>
    <row r="6547" hidden="1" x14ac:dyDescent="0.25"/>
    <row r="6548" hidden="1" x14ac:dyDescent="0.25"/>
    <row r="6549" hidden="1" x14ac:dyDescent="0.25"/>
    <row r="6550" hidden="1" x14ac:dyDescent="0.25"/>
    <row r="6551" hidden="1" x14ac:dyDescent="0.25"/>
    <row r="6552" hidden="1" x14ac:dyDescent="0.25"/>
    <row r="6553" hidden="1" x14ac:dyDescent="0.25"/>
    <row r="6554" hidden="1" x14ac:dyDescent="0.25"/>
    <row r="6555" hidden="1" x14ac:dyDescent="0.25"/>
    <row r="6556" hidden="1" x14ac:dyDescent="0.25"/>
    <row r="6557" hidden="1" x14ac:dyDescent="0.25"/>
    <row r="6558" hidden="1" x14ac:dyDescent="0.25"/>
    <row r="6559" hidden="1" x14ac:dyDescent="0.25"/>
    <row r="6560" hidden="1" x14ac:dyDescent="0.25"/>
    <row r="6561" hidden="1" x14ac:dyDescent="0.25"/>
    <row r="6562" hidden="1" x14ac:dyDescent="0.25"/>
    <row r="6563" hidden="1" x14ac:dyDescent="0.25"/>
    <row r="6564" hidden="1" x14ac:dyDescent="0.25"/>
    <row r="6565" hidden="1" x14ac:dyDescent="0.25"/>
    <row r="6566" hidden="1" x14ac:dyDescent="0.25"/>
    <row r="6567" hidden="1" x14ac:dyDescent="0.25"/>
    <row r="6568" hidden="1" x14ac:dyDescent="0.25"/>
    <row r="6569" hidden="1" x14ac:dyDescent="0.25"/>
    <row r="6570" hidden="1" x14ac:dyDescent="0.25"/>
    <row r="6571" hidden="1" x14ac:dyDescent="0.25"/>
    <row r="6572" hidden="1" x14ac:dyDescent="0.25"/>
    <row r="6573" hidden="1" x14ac:dyDescent="0.25"/>
    <row r="6574" hidden="1" x14ac:dyDescent="0.25"/>
    <row r="6575" hidden="1" x14ac:dyDescent="0.25"/>
    <row r="6576" hidden="1" x14ac:dyDescent="0.25"/>
    <row r="6577" hidden="1" x14ac:dyDescent="0.25"/>
    <row r="6578" hidden="1" x14ac:dyDescent="0.25"/>
    <row r="6579" hidden="1" x14ac:dyDescent="0.25"/>
    <row r="6580" hidden="1" x14ac:dyDescent="0.25"/>
    <row r="6581" hidden="1" x14ac:dyDescent="0.25"/>
    <row r="6582" hidden="1" x14ac:dyDescent="0.25"/>
    <row r="6583" hidden="1" x14ac:dyDescent="0.25"/>
    <row r="6584" hidden="1" x14ac:dyDescent="0.25"/>
    <row r="6585" hidden="1" x14ac:dyDescent="0.25"/>
    <row r="6586" hidden="1" x14ac:dyDescent="0.25"/>
    <row r="6587" hidden="1" x14ac:dyDescent="0.25"/>
    <row r="6588" hidden="1" x14ac:dyDescent="0.25"/>
    <row r="6589" hidden="1" x14ac:dyDescent="0.25"/>
    <row r="6590" hidden="1" x14ac:dyDescent="0.25"/>
    <row r="6591" hidden="1" x14ac:dyDescent="0.25"/>
    <row r="6592" hidden="1" x14ac:dyDescent="0.25"/>
    <row r="6593" hidden="1" x14ac:dyDescent="0.25"/>
    <row r="6594" hidden="1" x14ac:dyDescent="0.25"/>
    <row r="6595" hidden="1" x14ac:dyDescent="0.25"/>
    <row r="6596" hidden="1" x14ac:dyDescent="0.25"/>
    <row r="6597" hidden="1" x14ac:dyDescent="0.25"/>
    <row r="6598" hidden="1" x14ac:dyDescent="0.25"/>
    <row r="6599" hidden="1" x14ac:dyDescent="0.25"/>
    <row r="6600" hidden="1" x14ac:dyDescent="0.25"/>
    <row r="6601" hidden="1" x14ac:dyDescent="0.25"/>
    <row r="6602" hidden="1" x14ac:dyDescent="0.25"/>
    <row r="6603" hidden="1" x14ac:dyDescent="0.25"/>
    <row r="6604" hidden="1" x14ac:dyDescent="0.25"/>
    <row r="6605" hidden="1" x14ac:dyDescent="0.25"/>
    <row r="6606" hidden="1" x14ac:dyDescent="0.25"/>
    <row r="6607" hidden="1" x14ac:dyDescent="0.25"/>
    <row r="6608" hidden="1" x14ac:dyDescent="0.25"/>
    <row r="6609" hidden="1" x14ac:dyDescent="0.25"/>
    <row r="6610" hidden="1" x14ac:dyDescent="0.25"/>
    <row r="6611" hidden="1" x14ac:dyDescent="0.25"/>
    <row r="6612" hidden="1" x14ac:dyDescent="0.25"/>
    <row r="6613" hidden="1" x14ac:dyDescent="0.25"/>
    <row r="6614" hidden="1" x14ac:dyDescent="0.25"/>
    <row r="6615" hidden="1" x14ac:dyDescent="0.25"/>
    <row r="6616" hidden="1" x14ac:dyDescent="0.25"/>
    <row r="6617" hidden="1" x14ac:dyDescent="0.25"/>
    <row r="6618" hidden="1" x14ac:dyDescent="0.25"/>
    <row r="6619" hidden="1" x14ac:dyDescent="0.25"/>
    <row r="6620" hidden="1" x14ac:dyDescent="0.25"/>
    <row r="6621" hidden="1" x14ac:dyDescent="0.25"/>
    <row r="6622" hidden="1" x14ac:dyDescent="0.25"/>
    <row r="6623" hidden="1" x14ac:dyDescent="0.25"/>
    <row r="6624" hidden="1" x14ac:dyDescent="0.25"/>
    <row r="6625" hidden="1" x14ac:dyDescent="0.25"/>
    <row r="6626" hidden="1" x14ac:dyDescent="0.25"/>
    <row r="6627" hidden="1" x14ac:dyDescent="0.25"/>
    <row r="6628" hidden="1" x14ac:dyDescent="0.25"/>
    <row r="6629" hidden="1" x14ac:dyDescent="0.25"/>
    <row r="6630" hidden="1" x14ac:dyDescent="0.25"/>
    <row r="6631" hidden="1" x14ac:dyDescent="0.25"/>
    <row r="6632" hidden="1" x14ac:dyDescent="0.25"/>
    <row r="6633" hidden="1" x14ac:dyDescent="0.25"/>
    <row r="6634" hidden="1" x14ac:dyDescent="0.25"/>
    <row r="6635" hidden="1" x14ac:dyDescent="0.25"/>
    <row r="6636" hidden="1" x14ac:dyDescent="0.25"/>
    <row r="6637" hidden="1" x14ac:dyDescent="0.25"/>
    <row r="6638" hidden="1" x14ac:dyDescent="0.25"/>
    <row r="6639" hidden="1" x14ac:dyDescent="0.25"/>
    <row r="6640" hidden="1" x14ac:dyDescent="0.25"/>
    <row r="6641" hidden="1" x14ac:dyDescent="0.25"/>
    <row r="6642" hidden="1" x14ac:dyDescent="0.25"/>
    <row r="6643" hidden="1" x14ac:dyDescent="0.25"/>
    <row r="6644" hidden="1" x14ac:dyDescent="0.25"/>
    <row r="6645" hidden="1" x14ac:dyDescent="0.25"/>
    <row r="6646" hidden="1" x14ac:dyDescent="0.25"/>
    <row r="6647" hidden="1" x14ac:dyDescent="0.25"/>
    <row r="6648" hidden="1" x14ac:dyDescent="0.25"/>
    <row r="6649" hidden="1" x14ac:dyDescent="0.25"/>
    <row r="6650" hidden="1" x14ac:dyDescent="0.25"/>
    <row r="6651" hidden="1" x14ac:dyDescent="0.25"/>
    <row r="6652" hidden="1" x14ac:dyDescent="0.25"/>
    <row r="6653" hidden="1" x14ac:dyDescent="0.25"/>
    <row r="6654" hidden="1" x14ac:dyDescent="0.25"/>
    <row r="6655" hidden="1" x14ac:dyDescent="0.25"/>
    <row r="6656" hidden="1" x14ac:dyDescent="0.25"/>
    <row r="6657" hidden="1" x14ac:dyDescent="0.25"/>
    <row r="6658" hidden="1" x14ac:dyDescent="0.25"/>
    <row r="6659" hidden="1" x14ac:dyDescent="0.25"/>
    <row r="6660" hidden="1" x14ac:dyDescent="0.25"/>
    <row r="6661" hidden="1" x14ac:dyDescent="0.25"/>
    <row r="6662" hidden="1" x14ac:dyDescent="0.25"/>
    <row r="6663" hidden="1" x14ac:dyDescent="0.25"/>
    <row r="6664" hidden="1" x14ac:dyDescent="0.25"/>
    <row r="6665" hidden="1" x14ac:dyDescent="0.25"/>
    <row r="6666" hidden="1" x14ac:dyDescent="0.25"/>
    <row r="6667" hidden="1" x14ac:dyDescent="0.25"/>
    <row r="6668" hidden="1" x14ac:dyDescent="0.25"/>
    <row r="6669" hidden="1" x14ac:dyDescent="0.25"/>
    <row r="6670" hidden="1" x14ac:dyDescent="0.25"/>
    <row r="6671" hidden="1" x14ac:dyDescent="0.25"/>
    <row r="6672" hidden="1" x14ac:dyDescent="0.25"/>
    <row r="6673" hidden="1" x14ac:dyDescent="0.25"/>
    <row r="6674" hidden="1" x14ac:dyDescent="0.25"/>
    <row r="6675" hidden="1" x14ac:dyDescent="0.25"/>
    <row r="6676" hidden="1" x14ac:dyDescent="0.25"/>
    <row r="6677" hidden="1" x14ac:dyDescent="0.25"/>
    <row r="6678" hidden="1" x14ac:dyDescent="0.25"/>
    <row r="6679" hidden="1" x14ac:dyDescent="0.25"/>
    <row r="6680" hidden="1" x14ac:dyDescent="0.25"/>
    <row r="6681" hidden="1" x14ac:dyDescent="0.25"/>
    <row r="6682" hidden="1" x14ac:dyDescent="0.25"/>
    <row r="6683" hidden="1" x14ac:dyDescent="0.25"/>
    <row r="6684" hidden="1" x14ac:dyDescent="0.25"/>
    <row r="6685" hidden="1" x14ac:dyDescent="0.25"/>
    <row r="6686" hidden="1" x14ac:dyDescent="0.25"/>
    <row r="6687" hidden="1" x14ac:dyDescent="0.25"/>
    <row r="6688" hidden="1" x14ac:dyDescent="0.25"/>
    <row r="6689" hidden="1" x14ac:dyDescent="0.25"/>
    <row r="6690" hidden="1" x14ac:dyDescent="0.25"/>
    <row r="6691" hidden="1" x14ac:dyDescent="0.25"/>
    <row r="6692" hidden="1" x14ac:dyDescent="0.25"/>
    <row r="6693" hidden="1" x14ac:dyDescent="0.25"/>
    <row r="6694" hidden="1" x14ac:dyDescent="0.25"/>
    <row r="6695" hidden="1" x14ac:dyDescent="0.25"/>
    <row r="6696" hidden="1" x14ac:dyDescent="0.25"/>
    <row r="6697" hidden="1" x14ac:dyDescent="0.25"/>
    <row r="6698" hidden="1" x14ac:dyDescent="0.25"/>
    <row r="6699" hidden="1" x14ac:dyDescent="0.25"/>
    <row r="6700" hidden="1" x14ac:dyDescent="0.25"/>
    <row r="6701" hidden="1" x14ac:dyDescent="0.25"/>
    <row r="6702" hidden="1" x14ac:dyDescent="0.25"/>
    <row r="6703" hidden="1" x14ac:dyDescent="0.25"/>
    <row r="6704" hidden="1" x14ac:dyDescent="0.25"/>
    <row r="6705" hidden="1" x14ac:dyDescent="0.25"/>
    <row r="6706" hidden="1" x14ac:dyDescent="0.25"/>
    <row r="6707" hidden="1" x14ac:dyDescent="0.25"/>
    <row r="6708" hidden="1" x14ac:dyDescent="0.25"/>
    <row r="6709" hidden="1" x14ac:dyDescent="0.25"/>
    <row r="6710" hidden="1" x14ac:dyDescent="0.25"/>
    <row r="6711" hidden="1" x14ac:dyDescent="0.25"/>
    <row r="6712" hidden="1" x14ac:dyDescent="0.25"/>
    <row r="6713" hidden="1" x14ac:dyDescent="0.25"/>
    <row r="6714" hidden="1" x14ac:dyDescent="0.25"/>
    <row r="6715" hidden="1" x14ac:dyDescent="0.25"/>
    <row r="6716" hidden="1" x14ac:dyDescent="0.25"/>
    <row r="6717" hidden="1" x14ac:dyDescent="0.25"/>
    <row r="6718" hidden="1" x14ac:dyDescent="0.25"/>
    <row r="6719" hidden="1" x14ac:dyDescent="0.25"/>
    <row r="6720" hidden="1" x14ac:dyDescent="0.25"/>
    <row r="6721" hidden="1" x14ac:dyDescent="0.25"/>
    <row r="6722" hidden="1" x14ac:dyDescent="0.25"/>
    <row r="6723" hidden="1" x14ac:dyDescent="0.25"/>
    <row r="6724" hidden="1" x14ac:dyDescent="0.25"/>
    <row r="6725" hidden="1" x14ac:dyDescent="0.25"/>
    <row r="6726" hidden="1" x14ac:dyDescent="0.25"/>
    <row r="6727" hidden="1" x14ac:dyDescent="0.25"/>
    <row r="6728" hidden="1" x14ac:dyDescent="0.25"/>
    <row r="6729" hidden="1" x14ac:dyDescent="0.25"/>
    <row r="6730" hidden="1" x14ac:dyDescent="0.25"/>
    <row r="6731" hidden="1" x14ac:dyDescent="0.25"/>
    <row r="6732" hidden="1" x14ac:dyDescent="0.25"/>
    <row r="6733" hidden="1" x14ac:dyDescent="0.25"/>
    <row r="6734" hidden="1" x14ac:dyDescent="0.25"/>
    <row r="6735" hidden="1" x14ac:dyDescent="0.25"/>
    <row r="6736" hidden="1" x14ac:dyDescent="0.25"/>
    <row r="6737" hidden="1" x14ac:dyDescent="0.25"/>
    <row r="6738" hidden="1" x14ac:dyDescent="0.25"/>
    <row r="6739" hidden="1" x14ac:dyDescent="0.25"/>
    <row r="6740" hidden="1" x14ac:dyDescent="0.25"/>
    <row r="6741" hidden="1" x14ac:dyDescent="0.25"/>
    <row r="6742" hidden="1" x14ac:dyDescent="0.25"/>
    <row r="6743" hidden="1" x14ac:dyDescent="0.25"/>
    <row r="6744" hidden="1" x14ac:dyDescent="0.25"/>
    <row r="6745" hidden="1" x14ac:dyDescent="0.25"/>
    <row r="6746" hidden="1" x14ac:dyDescent="0.25"/>
    <row r="6747" hidden="1" x14ac:dyDescent="0.25"/>
    <row r="6748" hidden="1" x14ac:dyDescent="0.25"/>
    <row r="6749" hidden="1" x14ac:dyDescent="0.25"/>
    <row r="6750" hidden="1" x14ac:dyDescent="0.25"/>
    <row r="6751" hidden="1" x14ac:dyDescent="0.25"/>
    <row r="6752" hidden="1" x14ac:dyDescent="0.25"/>
    <row r="6753" hidden="1" x14ac:dyDescent="0.25"/>
    <row r="6754" hidden="1" x14ac:dyDescent="0.25"/>
    <row r="6755" hidden="1" x14ac:dyDescent="0.25"/>
    <row r="6756" hidden="1" x14ac:dyDescent="0.25"/>
    <row r="6757" hidden="1" x14ac:dyDescent="0.25"/>
    <row r="6758" hidden="1" x14ac:dyDescent="0.25"/>
    <row r="6759" hidden="1" x14ac:dyDescent="0.25"/>
    <row r="6760" hidden="1" x14ac:dyDescent="0.25"/>
    <row r="6761" hidden="1" x14ac:dyDescent="0.25"/>
    <row r="6762" hidden="1" x14ac:dyDescent="0.25"/>
    <row r="6763" hidden="1" x14ac:dyDescent="0.25"/>
    <row r="6764" hidden="1" x14ac:dyDescent="0.25"/>
    <row r="6765" hidden="1" x14ac:dyDescent="0.25"/>
    <row r="6766" hidden="1" x14ac:dyDescent="0.25"/>
    <row r="6767" hidden="1" x14ac:dyDescent="0.25"/>
    <row r="6768" hidden="1" x14ac:dyDescent="0.25"/>
    <row r="6769" hidden="1" x14ac:dyDescent="0.25"/>
    <row r="6770" hidden="1" x14ac:dyDescent="0.25"/>
    <row r="6771" hidden="1" x14ac:dyDescent="0.25"/>
    <row r="6772" hidden="1" x14ac:dyDescent="0.25"/>
    <row r="6773" hidden="1" x14ac:dyDescent="0.25"/>
    <row r="6774" hidden="1" x14ac:dyDescent="0.25"/>
    <row r="6775" hidden="1" x14ac:dyDescent="0.25"/>
    <row r="6776" hidden="1" x14ac:dyDescent="0.25"/>
    <row r="6777" hidden="1" x14ac:dyDescent="0.25"/>
    <row r="6778" hidden="1" x14ac:dyDescent="0.25"/>
    <row r="6779" hidden="1" x14ac:dyDescent="0.25"/>
    <row r="6780" hidden="1" x14ac:dyDescent="0.25"/>
    <row r="6781" hidden="1" x14ac:dyDescent="0.25"/>
    <row r="6782" hidden="1" x14ac:dyDescent="0.25"/>
    <row r="6783" hidden="1" x14ac:dyDescent="0.25"/>
    <row r="6784" hidden="1" x14ac:dyDescent="0.25"/>
    <row r="6785" hidden="1" x14ac:dyDescent="0.25"/>
    <row r="6786" hidden="1" x14ac:dyDescent="0.25"/>
    <row r="6787" hidden="1" x14ac:dyDescent="0.25"/>
    <row r="6788" hidden="1" x14ac:dyDescent="0.25"/>
    <row r="6789" hidden="1" x14ac:dyDescent="0.25"/>
    <row r="6790" hidden="1" x14ac:dyDescent="0.25"/>
    <row r="6791" hidden="1" x14ac:dyDescent="0.25"/>
    <row r="6792" hidden="1" x14ac:dyDescent="0.25"/>
    <row r="6793" hidden="1" x14ac:dyDescent="0.25"/>
    <row r="6794" hidden="1" x14ac:dyDescent="0.25"/>
    <row r="6795" hidden="1" x14ac:dyDescent="0.25"/>
    <row r="6796" hidden="1" x14ac:dyDescent="0.25"/>
    <row r="6797" hidden="1" x14ac:dyDescent="0.25"/>
    <row r="6798" hidden="1" x14ac:dyDescent="0.25"/>
    <row r="6799" hidden="1" x14ac:dyDescent="0.25"/>
    <row r="6800" hidden="1" x14ac:dyDescent="0.25"/>
    <row r="6801" hidden="1" x14ac:dyDescent="0.25"/>
    <row r="6802" hidden="1" x14ac:dyDescent="0.25"/>
    <row r="6803" hidden="1" x14ac:dyDescent="0.25"/>
    <row r="6804" hidden="1" x14ac:dyDescent="0.25"/>
    <row r="6805" hidden="1" x14ac:dyDescent="0.25"/>
    <row r="6806" hidden="1" x14ac:dyDescent="0.25"/>
    <row r="6807" hidden="1" x14ac:dyDescent="0.25"/>
    <row r="6808" hidden="1" x14ac:dyDescent="0.25"/>
    <row r="6809" hidden="1" x14ac:dyDescent="0.25"/>
    <row r="6810" hidden="1" x14ac:dyDescent="0.25"/>
    <row r="6811" hidden="1" x14ac:dyDescent="0.25"/>
    <row r="6812" hidden="1" x14ac:dyDescent="0.25"/>
    <row r="6813" hidden="1" x14ac:dyDescent="0.25"/>
    <row r="6814" hidden="1" x14ac:dyDescent="0.25"/>
    <row r="6815" hidden="1" x14ac:dyDescent="0.25"/>
    <row r="6816" hidden="1" x14ac:dyDescent="0.25"/>
    <row r="6817" hidden="1" x14ac:dyDescent="0.25"/>
    <row r="6818" hidden="1" x14ac:dyDescent="0.25"/>
    <row r="6819" hidden="1" x14ac:dyDescent="0.25"/>
    <row r="6820" hidden="1" x14ac:dyDescent="0.25"/>
    <row r="6821" hidden="1" x14ac:dyDescent="0.25"/>
    <row r="6822" hidden="1" x14ac:dyDescent="0.25"/>
    <row r="6823" hidden="1" x14ac:dyDescent="0.25"/>
    <row r="6824" hidden="1" x14ac:dyDescent="0.25"/>
    <row r="6825" hidden="1" x14ac:dyDescent="0.25"/>
    <row r="6826" hidden="1" x14ac:dyDescent="0.25"/>
    <row r="6827" hidden="1" x14ac:dyDescent="0.25"/>
    <row r="6828" hidden="1" x14ac:dyDescent="0.25"/>
    <row r="6829" hidden="1" x14ac:dyDescent="0.25"/>
    <row r="6830" hidden="1" x14ac:dyDescent="0.25"/>
    <row r="6831" hidden="1" x14ac:dyDescent="0.25"/>
    <row r="6832" hidden="1" x14ac:dyDescent="0.25"/>
    <row r="6833" hidden="1" x14ac:dyDescent="0.25"/>
    <row r="6834" hidden="1" x14ac:dyDescent="0.25"/>
    <row r="6835" hidden="1" x14ac:dyDescent="0.25"/>
    <row r="6836" hidden="1" x14ac:dyDescent="0.25"/>
    <row r="6837" hidden="1" x14ac:dyDescent="0.25"/>
    <row r="6838" hidden="1" x14ac:dyDescent="0.25"/>
    <row r="6839" hidden="1" x14ac:dyDescent="0.25"/>
    <row r="6840" hidden="1" x14ac:dyDescent="0.25"/>
    <row r="6841" hidden="1" x14ac:dyDescent="0.25"/>
    <row r="6842" hidden="1" x14ac:dyDescent="0.25"/>
    <row r="6843" hidden="1" x14ac:dyDescent="0.25"/>
    <row r="6844" hidden="1" x14ac:dyDescent="0.25"/>
    <row r="6845" hidden="1" x14ac:dyDescent="0.25"/>
    <row r="6846" hidden="1" x14ac:dyDescent="0.25"/>
    <row r="6847" hidden="1" x14ac:dyDescent="0.25"/>
    <row r="6848" hidden="1" x14ac:dyDescent="0.25"/>
    <row r="6849" hidden="1" x14ac:dyDescent="0.25"/>
    <row r="6850" hidden="1" x14ac:dyDescent="0.25"/>
    <row r="6851" hidden="1" x14ac:dyDescent="0.25"/>
    <row r="6852" hidden="1" x14ac:dyDescent="0.25"/>
    <row r="6853" hidden="1" x14ac:dyDescent="0.25"/>
    <row r="6854" hidden="1" x14ac:dyDescent="0.25"/>
    <row r="6855" hidden="1" x14ac:dyDescent="0.25"/>
    <row r="6856" hidden="1" x14ac:dyDescent="0.25"/>
    <row r="6857" hidden="1" x14ac:dyDescent="0.25"/>
    <row r="6858" hidden="1" x14ac:dyDescent="0.25"/>
    <row r="6859" hidden="1" x14ac:dyDescent="0.25"/>
    <row r="6860" hidden="1" x14ac:dyDescent="0.25"/>
    <row r="6861" hidden="1" x14ac:dyDescent="0.25"/>
    <row r="6862" hidden="1" x14ac:dyDescent="0.25"/>
    <row r="6863" hidden="1" x14ac:dyDescent="0.25"/>
    <row r="6864" hidden="1" x14ac:dyDescent="0.25"/>
    <row r="6865" hidden="1" x14ac:dyDescent="0.25"/>
    <row r="6866" hidden="1" x14ac:dyDescent="0.25"/>
    <row r="6867" hidden="1" x14ac:dyDescent="0.25"/>
    <row r="6868" hidden="1" x14ac:dyDescent="0.25"/>
    <row r="6869" hidden="1" x14ac:dyDescent="0.25"/>
    <row r="6870" hidden="1" x14ac:dyDescent="0.25"/>
    <row r="6871" hidden="1" x14ac:dyDescent="0.25"/>
    <row r="6872" hidden="1" x14ac:dyDescent="0.25"/>
    <row r="6873" hidden="1" x14ac:dyDescent="0.25"/>
    <row r="6874" hidden="1" x14ac:dyDescent="0.25"/>
    <row r="6875" hidden="1" x14ac:dyDescent="0.25"/>
    <row r="6876" hidden="1" x14ac:dyDescent="0.25"/>
    <row r="6877" hidden="1" x14ac:dyDescent="0.25"/>
    <row r="6878" hidden="1" x14ac:dyDescent="0.25"/>
    <row r="6879" hidden="1" x14ac:dyDescent="0.25"/>
    <row r="6880" hidden="1" x14ac:dyDescent="0.25"/>
    <row r="6881" hidden="1" x14ac:dyDescent="0.25"/>
    <row r="6882" hidden="1" x14ac:dyDescent="0.25"/>
    <row r="6883" hidden="1" x14ac:dyDescent="0.25"/>
    <row r="6884" hidden="1" x14ac:dyDescent="0.25"/>
    <row r="6885" hidden="1" x14ac:dyDescent="0.25"/>
    <row r="6886" hidden="1" x14ac:dyDescent="0.25"/>
    <row r="6887" hidden="1" x14ac:dyDescent="0.25"/>
    <row r="6888" hidden="1" x14ac:dyDescent="0.25"/>
    <row r="6889" hidden="1" x14ac:dyDescent="0.25"/>
    <row r="6890" hidden="1" x14ac:dyDescent="0.25"/>
    <row r="6891" hidden="1" x14ac:dyDescent="0.25"/>
    <row r="6892" hidden="1" x14ac:dyDescent="0.25"/>
    <row r="6893" hidden="1" x14ac:dyDescent="0.25"/>
    <row r="6894" hidden="1" x14ac:dyDescent="0.25"/>
    <row r="6895" hidden="1" x14ac:dyDescent="0.25"/>
    <row r="6896" hidden="1" x14ac:dyDescent="0.25"/>
    <row r="6897" hidden="1" x14ac:dyDescent="0.25"/>
    <row r="6898" hidden="1" x14ac:dyDescent="0.25"/>
    <row r="6899" hidden="1" x14ac:dyDescent="0.25"/>
    <row r="6900" hidden="1" x14ac:dyDescent="0.25"/>
    <row r="6901" hidden="1" x14ac:dyDescent="0.25"/>
    <row r="6902" hidden="1" x14ac:dyDescent="0.25"/>
    <row r="6903" hidden="1" x14ac:dyDescent="0.25"/>
    <row r="6904" hidden="1" x14ac:dyDescent="0.25"/>
    <row r="6905" hidden="1" x14ac:dyDescent="0.25"/>
    <row r="6906" hidden="1" x14ac:dyDescent="0.25"/>
    <row r="6907" hidden="1" x14ac:dyDescent="0.25"/>
    <row r="6908" hidden="1" x14ac:dyDescent="0.25"/>
    <row r="6909" hidden="1" x14ac:dyDescent="0.25"/>
    <row r="6910" hidden="1" x14ac:dyDescent="0.25"/>
    <row r="6911" hidden="1" x14ac:dyDescent="0.25"/>
    <row r="6912" hidden="1" x14ac:dyDescent="0.25"/>
    <row r="6913" hidden="1" x14ac:dyDescent="0.25"/>
    <row r="6914" hidden="1" x14ac:dyDescent="0.25"/>
    <row r="6915" hidden="1" x14ac:dyDescent="0.25"/>
    <row r="6916" hidden="1" x14ac:dyDescent="0.25"/>
    <row r="6917" hidden="1" x14ac:dyDescent="0.25"/>
    <row r="6918" hidden="1" x14ac:dyDescent="0.25"/>
    <row r="6919" hidden="1" x14ac:dyDescent="0.25"/>
    <row r="6920" hidden="1" x14ac:dyDescent="0.25"/>
    <row r="6921" hidden="1" x14ac:dyDescent="0.25"/>
    <row r="6922" hidden="1" x14ac:dyDescent="0.25"/>
    <row r="6923" hidden="1" x14ac:dyDescent="0.25"/>
    <row r="6924" hidden="1" x14ac:dyDescent="0.25"/>
    <row r="6925" hidden="1" x14ac:dyDescent="0.25"/>
    <row r="6926" hidden="1" x14ac:dyDescent="0.25"/>
    <row r="6927" hidden="1" x14ac:dyDescent="0.25"/>
    <row r="6928" hidden="1" x14ac:dyDescent="0.25"/>
    <row r="6929" hidden="1" x14ac:dyDescent="0.25"/>
    <row r="6930" hidden="1" x14ac:dyDescent="0.25"/>
    <row r="6931" hidden="1" x14ac:dyDescent="0.25"/>
    <row r="6932" hidden="1" x14ac:dyDescent="0.25"/>
    <row r="6933" hidden="1" x14ac:dyDescent="0.25"/>
    <row r="6934" hidden="1" x14ac:dyDescent="0.25"/>
    <row r="6935" hidden="1" x14ac:dyDescent="0.25"/>
    <row r="6936" hidden="1" x14ac:dyDescent="0.25"/>
    <row r="6937" hidden="1" x14ac:dyDescent="0.25"/>
    <row r="6938" hidden="1" x14ac:dyDescent="0.25"/>
    <row r="6939" hidden="1" x14ac:dyDescent="0.25"/>
    <row r="6940" hidden="1" x14ac:dyDescent="0.25"/>
    <row r="6941" hidden="1" x14ac:dyDescent="0.25"/>
    <row r="6942" hidden="1" x14ac:dyDescent="0.25"/>
    <row r="6943" hidden="1" x14ac:dyDescent="0.25"/>
    <row r="6944" hidden="1" x14ac:dyDescent="0.25"/>
    <row r="6945" hidden="1" x14ac:dyDescent="0.25"/>
    <row r="6946" hidden="1" x14ac:dyDescent="0.25"/>
    <row r="6947" hidden="1" x14ac:dyDescent="0.25"/>
    <row r="6948" hidden="1" x14ac:dyDescent="0.25"/>
    <row r="6949" hidden="1" x14ac:dyDescent="0.25"/>
    <row r="6950" hidden="1" x14ac:dyDescent="0.25"/>
    <row r="6951" hidden="1" x14ac:dyDescent="0.25"/>
    <row r="6952" hidden="1" x14ac:dyDescent="0.25"/>
    <row r="6953" hidden="1" x14ac:dyDescent="0.25"/>
    <row r="6954" hidden="1" x14ac:dyDescent="0.25"/>
    <row r="6955" hidden="1" x14ac:dyDescent="0.25"/>
    <row r="6956" hidden="1" x14ac:dyDescent="0.25"/>
    <row r="6957" hidden="1" x14ac:dyDescent="0.25"/>
    <row r="6958" hidden="1" x14ac:dyDescent="0.25"/>
    <row r="6959" hidden="1" x14ac:dyDescent="0.25"/>
    <row r="6960" hidden="1" x14ac:dyDescent="0.25"/>
    <row r="6961" hidden="1" x14ac:dyDescent="0.25"/>
    <row r="6962" hidden="1" x14ac:dyDescent="0.25"/>
    <row r="6963" hidden="1" x14ac:dyDescent="0.25"/>
    <row r="6964" hidden="1" x14ac:dyDescent="0.25"/>
    <row r="6965" hidden="1" x14ac:dyDescent="0.25"/>
    <row r="6966" hidden="1" x14ac:dyDescent="0.25"/>
    <row r="6967" hidden="1" x14ac:dyDescent="0.25"/>
    <row r="6968" hidden="1" x14ac:dyDescent="0.25"/>
    <row r="6969" hidden="1" x14ac:dyDescent="0.25"/>
    <row r="6970" hidden="1" x14ac:dyDescent="0.25"/>
    <row r="6971" hidden="1" x14ac:dyDescent="0.25"/>
    <row r="6972" hidden="1" x14ac:dyDescent="0.25"/>
    <row r="6973" hidden="1" x14ac:dyDescent="0.25"/>
    <row r="6974" hidden="1" x14ac:dyDescent="0.25"/>
    <row r="6975" hidden="1" x14ac:dyDescent="0.25"/>
    <row r="6976" hidden="1" x14ac:dyDescent="0.25"/>
    <row r="6977" hidden="1" x14ac:dyDescent="0.25"/>
    <row r="6978" hidden="1" x14ac:dyDescent="0.25"/>
    <row r="6979" hidden="1" x14ac:dyDescent="0.25"/>
    <row r="6980" hidden="1" x14ac:dyDescent="0.25"/>
    <row r="6981" hidden="1" x14ac:dyDescent="0.25"/>
    <row r="6982" hidden="1" x14ac:dyDescent="0.25"/>
    <row r="6983" hidden="1" x14ac:dyDescent="0.25"/>
    <row r="6984" hidden="1" x14ac:dyDescent="0.25"/>
    <row r="6985" hidden="1" x14ac:dyDescent="0.25"/>
    <row r="6986" hidden="1" x14ac:dyDescent="0.25"/>
    <row r="6987" hidden="1" x14ac:dyDescent="0.25"/>
    <row r="6988" hidden="1" x14ac:dyDescent="0.25"/>
    <row r="6989" hidden="1" x14ac:dyDescent="0.25"/>
    <row r="6990" hidden="1" x14ac:dyDescent="0.25"/>
    <row r="6991" hidden="1" x14ac:dyDescent="0.25"/>
    <row r="6992" hidden="1" x14ac:dyDescent="0.25"/>
    <row r="6993" hidden="1" x14ac:dyDescent="0.25"/>
    <row r="6994" hidden="1" x14ac:dyDescent="0.25"/>
    <row r="6995" hidden="1" x14ac:dyDescent="0.25"/>
    <row r="6996" hidden="1" x14ac:dyDescent="0.25"/>
    <row r="6997" hidden="1" x14ac:dyDescent="0.25"/>
    <row r="6998" hidden="1" x14ac:dyDescent="0.25"/>
    <row r="6999" hidden="1" x14ac:dyDescent="0.25"/>
    <row r="7000" hidden="1" x14ac:dyDescent="0.25"/>
    <row r="7001" hidden="1" x14ac:dyDescent="0.25"/>
    <row r="7002" hidden="1" x14ac:dyDescent="0.25"/>
    <row r="7003" hidden="1" x14ac:dyDescent="0.25"/>
    <row r="7004" hidden="1" x14ac:dyDescent="0.25"/>
    <row r="7005" hidden="1" x14ac:dyDescent="0.25"/>
    <row r="7006" hidden="1" x14ac:dyDescent="0.25"/>
    <row r="7007" hidden="1" x14ac:dyDescent="0.25"/>
    <row r="7008" hidden="1" x14ac:dyDescent="0.25"/>
    <row r="7009" hidden="1" x14ac:dyDescent="0.25"/>
    <row r="7010" hidden="1" x14ac:dyDescent="0.25"/>
    <row r="7011" hidden="1" x14ac:dyDescent="0.25"/>
    <row r="7012" hidden="1" x14ac:dyDescent="0.25"/>
    <row r="7013" hidden="1" x14ac:dyDescent="0.25"/>
    <row r="7014" hidden="1" x14ac:dyDescent="0.25"/>
    <row r="7015" hidden="1" x14ac:dyDescent="0.25"/>
    <row r="7016" hidden="1" x14ac:dyDescent="0.25"/>
    <row r="7017" hidden="1" x14ac:dyDescent="0.25"/>
    <row r="7018" hidden="1" x14ac:dyDescent="0.25"/>
    <row r="7019" hidden="1" x14ac:dyDescent="0.25"/>
    <row r="7020" hidden="1" x14ac:dyDescent="0.25"/>
    <row r="7021" hidden="1" x14ac:dyDescent="0.25"/>
    <row r="7022" hidden="1" x14ac:dyDescent="0.25"/>
    <row r="7023" hidden="1" x14ac:dyDescent="0.25"/>
    <row r="7024" hidden="1" x14ac:dyDescent="0.25"/>
    <row r="7025" hidden="1" x14ac:dyDescent="0.25"/>
    <row r="7026" hidden="1" x14ac:dyDescent="0.25"/>
    <row r="7027" hidden="1" x14ac:dyDescent="0.25"/>
    <row r="7028" hidden="1" x14ac:dyDescent="0.25"/>
    <row r="7029" hidden="1" x14ac:dyDescent="0.25"/>
    <row r="7030" hidden="1" x14ac:dyDescent="0.25"/>
    <row r="7031" hidden="1" x14ac:dyDescent="0.25"/>
    <row r="7032" hidden="1" x14ac:dyDescent="0.25"/>
    <row r="7033" hidden="1" x14ac:dyDescent="0.25"/>
    <row r="7034" hidden="1" x14ac:dyDescent="0.25"/>
    <row r="7035" hidden="1" x14ac:dyDescent="0.25"/>
    <row r="7036" hidden="1" x14ac:dyDescent="0.25"/>
    <row r="7037" hidden="1" x14ac:dyDescent="0.25"/>
    <row r="7038" hidden="1" x14ac:dyDescent="0.25"/>
    <row r="7039" hidden="1" x14ac:dyDescent="0.25"/>
    <row r="7040" hidden="1" x14ac:dyDescent="0.25"/>
    <row r="7041" hidden="1" x14ac:dyDescent="0.25"/>
    <row r="7042" hidden="1" x14ac:dyDescent="0.25"/>
    <row r="7043" hidden="1" x14ac:dyDescent="0.25"/>
    <row r="7044" hidden="1" x14ac:dyDescent="0.25"/>
    <row r="7045" hidden="1" x14ac:dyDescent="0.25"/>
    <row r="7046" hidden="1" x14ac:dyDescent="0.25"/>
    <row r="7047" hidden="1" x14ac:dyDescent="0.25"/>
    <row r="7048" hidden="1" x14ac:dyDescent="0.25"/>
    <row r="7049" hidden="1" x14ac:dyDescent="0.25"/>
    <row r="7050" hidden="1" x14ac:dyDescent="0.25"/>
    <row r="7051" hidden="1" x14ac:dyDescent="0.25"/>
    <row r="7052" hidden="1" x14ac:dyDescent="0.25"/>
    <row r="7053" hidden="1" x14ac:dyDescent="0.25"/>
    <row r="7054" hidden="1" x14ac:dyDescent="0.25"/>
    <row r="7055" hidden="1" x14ac:dyDescent="0.25"/>
    <row r="7056" hidden="1" x14ac:dyDescent="0.25"/>
    <row r="7057" hidden="1" x14ac:dyDescent="0.25"/>
    <row r="7058" hidden="1" x14ac:dyDescent="0.25"/>
    <row r="7059" hidden="1" x14ac:dyDescent="0.25"/>
    <row r="7060" hidden="1" x14ac:dyDescent="0.25"/>
    <row r="7061" hidden="1" x14ac:dyDescent="0.25"/>
    <row r="7062" hidden="1" x14ac:dyDescent="0.25"/>
    <row r="7063" hidden="1" x14ac:dyDescent="0.25"/>
    <row r="7064" hidden="1" x14ac:dyDescent="0.25"/>
    <row r="7065" hidden="1" x14ac:dyDescent="0.25"/>
    <row r="7066" hidden="1" x14ac:dyDescent="0.25"/>
    <row r="7067" hidden="1" x14ac:dyDescent="0.25"/>
    <row r="7068" hidden="1" x14ac:dyDescent="0.25"/>
    <row r="7069" hidden="1" x14ac:dyDescent="0.25"/>
    <row r="7070" hidden="1" x14ac:dyDescent="0.25"/>
    <row r="7071" hidden="1" x14ac:dyDescent="0.25"/>
    <row r="7072" hidden="1" x14ac:dyDescent="0.25"/>
    <row r="7073" hidden="1" x14ac:dyDescent="0.25"/>
    <row r="7074" hidden="1" x14ac:dyDescent="0.25"/>
    <row r="7075" hidden="1" x14ac:dyDescent="0.25"/>
    <row r="7076" hidden="1" x14ac:dyDescent="0.25"/>
    <row r="7077" hidden="1" x14ac:dyDescent="0.25"/>
    <row r="7078" hidden="1" x14ac:dyDescent="0.25"/>
    <row r="7079" hidden="1" x14ac:dyDescent="0.25"/>
    <row r="7080" hidden="1" x14ac:dyDescent="0.25"/>
    <row r="7081" hidden="1" x14ac:dyDescent="0.25"/>
    <row r="7082" hidden="1" x14ac:dyDescent="0.25"/>
    <row r="7083" hidden="1" x14ac:dyDescent="0.25"/>
    <row r="7084" hidden="1" x14ac:dyDescent="0.25"/>
    <row r="7085" hidden="1" x14ac:dyDescent="0.25"/>
    <row r="7086" hidden="1" x14ac:dyDescent="0.25"/>
    <row r="7087" hidden="1" x14ac:dyDescent="0.25"/>
    <row r="7088" hidden="1" x14ac:dyDescent="0.25"/>
    <row r="7089" hidden="1" x14ac:dyDescent="0.25"/>
    <row r="7090" hidden="1" x14ac:dyDescent="0.25"/>
    <row r="7091" hidden="1" x14ac:dyDescent="0.25"/>
    <row r="7092" hidden="1" x14ac:dyDescent="0.25"/>
    <row r="7093" hidden="1" x14ac:dyDescent="0.25"/>
    <row r="7094" hidden="1" x14ac:dyDescent="0.25"/>
    <row r="7095" hidden="1" x14ac:dyDescent="0.25"/>
    <row r="7096" hidden="1" x14ac:dyDescent="0.25"/>
    <row r="7097" hidden="1" x14ac:dyDescent="0.25"/>
    <row r="7098" hidden="1" x14ac:dyDescent="0.25"/>
    <row r="7099" hidden="1" x14ac:dyDescent="0.25"/>
    <row r="7100" hidden="1" x14ac:dyDescent="0.25"/>
    <row r="7101" hidden="1" x14ac:dyDescent="0.25"/>
    <row r="7102" hidden="1" x14ac:dyDescent="0.25"/>
    <row r="7103" hidden="1" x14ac:dyDescent="0.25"/>
    <row r="7104" hidden="1" x14ac:dyDescent="0.25"/>
    <row r="7105" hidden="1" x14ac:dyDescent="0.25"/>
    <row r="7106" hidden="1" x14ac:dyDescent="0.25"/>
    <row r="7107" hidden="1" x14ac:dyDescent="0.25"/>
    <row r="7108" hidden="1" x14ac:dyDescent="0.25"/>
    <row r="7109" hidden="1" x14ac:dyDescent="0.25"/>
    <row r="7110" hidden="1" x14ac:dyDescent="0.25"/>
    <row r="7111" hidden="1" x14ac:dyDescent="0.25"/>
    <row r="7112" hidden="1" x14ac:dyDescent="0.25"/>
    <row r="7113" hidden="1" x14ac:dyDescent="0.25"/>
    <row r="7114" hidden="1" x14ac:dyDescent="0.25"/>
    <row r="7115" hidden="1" x14ac:dyDescent="0.25"/>
    <row r="7116" hidden="1" x14ac:dyDescent="0.25"/>
    <row r="7117" hidden="1" x14ac:dyDescent="0.25"/>
    <row r="7118" hidden="1" x14ac:dyDescent="0.25"/>
    <row r="7119" hidden="1" x14ac:dyDescent="0.25"/>
    <row r="7120" hidden="1" x14ac:dyDescent="0.25"/>
    <row r="7121" hidden="1" x14ac:dyDescent="0.25"/>
    <row r="7122" hidden="1" x14ac:dyDescent="0.25"/>
    <row r="7123" hidden="1" x14ac:dyDescent="0.25"/>
    <row r="7124" hidden="1" x14ac:dyDescent="0.25"/>
    <row r="7125" hidden="1" x14ac:dyDescent="0.25"/>
    <row r="7126" hidden="1" x14ac:dyDescent="0.25"/>
    <row r="7127" hidden="1" x14ac:dyDescent="0.25"/>
    <row r="7128" hidden="1" x14ac:dyDescent="0.25"/>
    <row r="7129" hidden="1" x14ac:dyDescent="0.25"/>
    <row r="7130" hidden="1" x14ac:dyDescent="0.25"/>
    <row r="7131" hidden="1" x14ac:dyDescent="0.25"/>
    <row r="7132" hidden="1" x14ac:dyDescent="0.25"/>
    <row r="7133" hidden="1" x14ac:dyDescent="0.25"/>
    <row r="7134" hidden="1" x14ac:dyDescent="0.25"/>
    <row r="7135" hidden="1" x14ac:dyDescent="0.25"/>
    <row r="7136" hidden="1" x14ac:dyDescent="0.25"/>
    <row r="7137" hidden="1" x14ac:dyDescent="0.25"/>
    <row r="7138" hidden="1" x14ac:dyDescent="0.25"/>
    <row r="7139" hidden="1" x14ac:dyDescent="0.25"/>
    <row r="7140" hidden="1" x14ac:dyDescent="0.25"/>
    <row r="7141" hidden="1" x14ac:dyDescent="0.25"/>
    <row r="7142" hidden="1" x14ac:dyDescent="0.25"/>
    <row r="7143" hidden="1" x14ac:dyDescent="0.25"/>
    <row r="7144" hidden="1" x14ac:dyDescent="0.25"/>
    <row r="7145" hidden="1" x14ac:dyDescent="0.25"/>
    <row r="7146" hidden="1" x14ac:dyDescent="0.25"/>
    <row r="7147" hidden="1" x14ac:dyDescent="0.25"/>
    <row r="7148" hidden="1" x14ac:dyDescent="0.25"/>
    <row r="7149" hidden="1" x14ac:dyDescent="0.25"/>
    <row r="7150" hidden="1" x14ac:dyDescent="0.25"/>
    <row r="7151" hidden="1" x14ac:dyDescent="0.25"/>
    <row r="7152" hidden="1" x14ac:dyDescent="0.25"/>
    <row r="7153" hidden="1" x14ac:dyDescent="0.25"/>
    <row r="7154" hidden="1" x14ac:dyDescent="0.25"/>
    <row r="7155" hidden="1" x14ac:dyDescent="0.25"/>
    <row r="7156" hidden="1" x14ac:dyDescent="0.25"/>
    <row r="7157" hidden="1" x14ac:dyDescent="0.25"/>
    <row r="7158" hidden="1" x14ac:dyDescent="0.25"/>
    <row r="7159" hidden="1" x14ac:dyDescent="0.25"/>
    <row r="7160" hidden="1" x14ac:dyDescent="0.25"/>
    <row r="7161" hidden="1" x14ac:dyDescent="0.25"/>
    <row r="7162" hidden="1" x14ac:dyDescent="0.25"/>
    <row r="7163" hidden="1" x14ac:dyDescent="0.25"/>
    <row r="7164" hidden="1" x14ac:dyDescent="0.25"/>
    <row r="7165" hidden="1" x14ac:dyDescent="0.25"/>
    <row r="7166" hidden="1" x14ac:dyDescent="0.25"/>
    <row r="7167" hidden="1" x14ac:dyDescent="0.25"/>
    <row r="7168" hidden="1" x14ac:dyDescent="0.25"/>
    <row r="7169" hidden="1" x14ac:dyDescent="0.25"/>
    <row r="7170" hidden="1" x14ac:dyDescent="0.25"/>
    <row r="7171" hidden="1" x14ac:dyDescent="0.25"/>
    <row r="7172" hidden="1" x14ac:dyDescent="0.25"/>
    <row r="7173" hidden="1" x14ac:dyDescent="0.25"/>
    <row r="7174" hidden="1" x14ac:dyDescent="0.25"/>
    <row r="7175" hidden="1" x14ac:dyDescent="0.25"/>
    <row r="7176" hidden="1" x14ac:dyDescent="0.25"/>
    <row r="7177" hidden="1" x14ac:dyDescent="0.25"/>
    <row r="7178" hidden="1" x14ac:dyDescent="0.25"/>
    <row r="7179" hidden="1" x14ac:dyDescent="0.25"/>
    <row r="7180" hidden="1" x14ac:dyDescent="0.25"/>
    <row r="7181" hidden="1" x14ac:dyDescent="0.25"/>
    <row r="7182" hidden="1" x14ac:dyDescent="0.25"/>
    <row r="7183" hidden="1" x14ac:dyDescent="0.25"/>
    <row r="7184" hidden="1" x14ac:dyDescent="0.25"/>
    <row r="7185" hidden="1" x14ac:dyDescent="0.25"/>
    <row r="7186" hidden="1" x14ac:dyDescent="0.25"/>
    <row r="7187" hidden="1" x14ac:dyDescent="0.25"/>
    <row r="7188" hidden="1" x14ac:dyDescent="0.25"/>
    <row r="7189" hidden="1" x14ac:dyDescent="0.25"/>
    <row r="7190" hidden="1" x14ac:dyDescent="0.25"/>
    <row r="7191" hidden="1" x14ac:dyDescent="0.25"/>
    <row r="7192" hidden="1" x14ac:dyDescent="0.25"/>
    <row r="7193" hidden="1" x14ac:dyDescent="0.25"/>
    <row r="7194" hidden="1" x14ac:dyDescent="0.25"/>
    <row r="7195" hidden="1" x14ac:dyDescent="0.25"/>
    <row r="7196" hidden="1" x14ac:dyDescent="0.25"/>
    <row r="7197" hidden="1" x14ac:dyDescent="0.25"/>
    <row r="7198" hidden="1" x14ac:dyDescent="0.25"/>
    <row r="7199" hidden="1" x14ac:dyDescent="0.25"/>
    <row r="7200" hidden="1" x14ac:dyDescent="0.25"/>
    <row r="7201" hidden="1" x14ac:dyDescent="0.25"/>
    <row r="7202" hidden="1" x14ac:dyDescent="0.25"/>
    <row r="7203" hidden="1" x14ac:dyDescent="0.25"/>
    <row r="7204" hidden="1" x14ac:dyDescent="0.25"/>
    <row r="7205" hidden="1" x14ac:dyDescent="0.25"/>
    <row r="7206" hidden="1" x14ac:dyDescent="0.25"/>
    <row r="7207" hidden="1" x14ac:dyDescent="0.25"/>
    <row r="7208" hidden="1" x14ac:dyDescent="0.25"/>
    <row r="7209" hidden="1" x14ac:dyDescent="0.25"/>
    <row r="7210" hidden="1" x14ac:dyDescent="0.25"/>
    <row r="7211" hidden="1" x14ac:dyDescent="0.25"/>
    <row r="7212" hidden="1" x14ac:dyDescent="0.25"/>
    <row r="7213" hidden="1" x14ac:dyDescent="0.25"/>
    <row r="7214" hidden="1" x14ac:dyDescent="0.25"/>
    <row r="7215" hidden="1" x14ac:dyDescent="0.25"/>
    <row r="7216" hidden="1" x14ac:dyDescent="0.25"/>
    <row r="7217" hidden="1" x14ac:dyDescent="0.25"/>
    <row r="7218" hidden="1" x14ac:dyDescent="0.25"/>
    <row r="7219" hidden="1" x14ac:dyDescent="0.25"/>
    <row r="7220" hidden="1" x14ac:dyDescent="0.25"/>
    <row r="7221" hidden="1" x14ac:dyDescent="0.25"/>
    <row r="7222" hidden="1" x14ac:dyDescent="0.25"/>
    <row r="7223" hidden="1" x14ac:dyDescent="0.25"/>
    <row r="7224" hidden="1" x14ac:dyDescent="0.25"/>
    <row r="7225" hidden="1" x14ac:dyDescent="0.25"/>
    <row r="7226" hidden="1" x14ac:dyDescent="0.25"/>
    <row r="7227" hidden="1" x14ac:dyDescent="0.25"/>
    <row r="7228" hidden="1" x14ac:dyDescent="0.25"/>
    <row r="7229" hidden="1" x14ac:dyDescent="0.25"/>
    <row r="7230" hidden="1" x14ac:dyDescent="0.25"/>
    <row r="7231" hidden="1" x14ac:dyDescent="0.25"/>
    <row r="7232" hidden="1" x14ac:dyDescent="0.25"/>
    <row r="7233" hidden="1" x14ac:dyDescent="0.25"/>
    <row r="7234" hidden="1" x14ac:dyDescent="0.25"/>
    <row r="7235" hidden="1" x14ac:dyDescent="0.25"/>
    <row r="7236" hidden="1" x14ac:dyDescent="0.25"/>
    <row r="7237" hidden="1" x14ac:dyDescent="0.25"/>
    <row r="7238" hidden="1" x14ac:dyDescent="0.25"/>
    <row r="7239" hidden="1" x14ac:dyDescent="0.25"/>
    <row r="7240" hidden="1" x14ac:dyDescent="0.25"/>
    <row r="7241" hidden="1" x14ac:dyDescent="0.25"/>
    <row r="7242" hidden="1" x14ac:dyDescent="0.25"/>
    <row r="7243" hidden="1" x14ac:dyDescent="0.25"/>
    <row r="7244" hidden="1" x14ac:dyDescent="0.25"/>
    <row r="7245" hidden="1" x14ac:dyDescent="0.25"/>
    <row r="7246" hidden="1" x14ac:dyDescent="0.25"/>
    <row r="7247" hidden="1" x14ac:dyDescent="0.25"/>
    <row r="7248" hidden="1" x14ac:dyDescent="0.25"/>
    <row r="7249" hidden="1" x14ac:dyDescent="0.25"/>
    <row r="7250" hidden="1" x14ac:dyDescent="0.25"/>
    <row r="7251" hidden="1" x14ac:dyDescent="0.25"/>
    <row r="7252" hidden="1" x14ac:dyDescent="0.25"/>
    <row r="7253" hidden="1" x14ac:dyDescent="0.25"/>
    <row r="7254" hidden="1" x14ac:dyDescent="0.25"/>
    <row r="7255" hidden="1" x14ac:dyDescent="0.25"/>
    <row r="7256" hidden="1" x14ac:dyDescent="0.25"/>
    <row r="7257" hidden="1" x14ac:dyDescent="0.25"/>
    <row r="7258" hidden="1" x14ac:dyDescent="0.25"/>
    <row r="7259" hidden="1" x14ac:dyDescent="0.25"/>
    <row r="7260" hidden="1" x14ac:dyDescent="0.25"/>
    <row r="7261" hidden="1" x14ac:dyDescent="0.25"/>
    <row r="7262" hidden="1" x14ac:dyDescent="0.25"/>
    <row r="7263" hidden="1" x14ac:dyDescent="0.25"/>
    <row r="7264" hidden="1" x14ac:dyDescent="0.25"/>
    <row r="7265" hidden="1" x14ac:dyDescent="0.25"/>
    <row r="7266" hidden="1" x14ac:dyDescent="0.25"/>
    <row r="7267" hidden="1" x14ac:dyDescent="0.25"/>
    <row r="7268" hidden="1" x14ac:dyDescent="0.25"/>
    <row r="7269" hidden="1" x14ac:dyDescent="0.25"/>
    <row r="7270" hidden="1" x14ac:dyDescent="0.25"/>
    <row r="7271" hidden="1" x14ac:dyDescent="0.25"/>
    <row r="7272" hidden="1" x14ac:dyDescent="0.25"/>
    <row r="7273" hidden="1" x14ac:dyDescent="0.25"/>
    <row r="7274" hidden="1" x14ac:dyDescent="0.25"/>
    <row r="7275" hidden="1" x14ac:dyDescent="0.25"/>
    <row r="7276" hidden="1" x14ac:dyDescent="0.25"/>
    <row r="7277" hidden="1" x14ac:dyDescent="0.25"/>
    <row r="7278" hidden="1" x14ac:dyDescent="0.25"/>
    <row r="7279" hidden="1" x14ac:dyDescent="0.25"/>
    <row r="7280" hidden="1" x14ac:dyDescent="0.25"/>
    <row r="7281" hidden="1" x14ac:dyDescent="0.25"/>
    <row r="7282" hidden="1" x14ac:dyDescent="0.25"/>
    <row r="7283" hidden="1" x14ac:dyDescent="0.25"/>
    <row r="7284" hidden="1" x14ac:dyDescent="0.25"/>
    <row r="7285" hidden="1" x14ac:dyDescent="0.25"/>
    <row r="7286" hidden="1" x14ac:dyDescent="0.25"/>
    <row r="7287" hidden="1" x14ac:dyDescent="0.25"/>
    <row r="7288" hidden="1" x14ac:dyDescent="0.25"/>
    <row r="7289" hidden="1" x14ac:dyDescent="0.25"/>
    <row r="7290" hidden="1" x14ac:dyDescent="0.25"/>
    <row r="7291" hidden="1" x14ac:dyDescent="0.25"/>
    <row r="7292" hidden="1" x14ac:dyDescent="0.25"/>
    <row r="7293" hidden="1" x14ac:dyDescent="0.25"/>
    <row r="7294" hidden="1" x14ac:dyDescent="0.25"/>
    <row r="7295" hidden="1" x14ac:dyDescent="0.25"/>
    <row r="7296" hidden="1" x14ac:dyDescent="0.25"/>
    <row r="7297" hidden="1" x14ac:dyDescent="0.25"/>
    <row r="7298" hidden="1" x14ac:dyDescent="0.25"/>
    <row r="7299" hidden="1" x14ac:dyDescent="0.25"/>
    <row r="7300" hidden="1" x14ac:dyDescent="0.25"/>
    <row r="7301" hidden="1" x14ac:dyDescent="0.25"/>
    <row r="7302" hidden="1" x14ac:dyDescent="0.25"/>
    <row r="7303" hidden="1" x14ac:dyDescent="0.25"/>
    <row r="7304" hidden="1" x14ac:dyDescent="0.25"/>
    <row r="7305" hidden="1" x14ac:dyDescent="0.25"/>
    <row r="7306" hidden="1" x14ac:dyDescent="0.25"/>
    <row r="7307" hidden="1" x14ac:dyDescent="0.25"/>
    <row r="7308" hidden="1" x14ac:dyDescent="0.25"/>
    <row r="7309" hidden="1" x14ac:dyDescent="0.25"/>
    <row r="7310" hidden="1" x14ac:dyDescent="0.25"/>
    <row r="7311" hidden="1" x14ac:dyDescent="0.25"/>
    <row r="7312" hidden="1" x14ac:dyDescent="0.25"/>
    <row r="7313" hidden="1" x14ac:dyDescent="0.25"/>
    <row r="7314" hidden="1" x14ac:dyDescent="0.25"/>
    <row r="7315" hidden="1" x14ac:dyDescent="0.25"/>
    <row r="7316" hidden="1" x14ac:dyDescent="0.25"/>
    <row r="7317" hidden="1" x14ac:dyDescent="0.25"/>
    <row r="7318" hidden="1" x14ac:dyDescent="0.25"/>
    <row r="7319" hidden="1" x14ac:dyDescent="0.25"/>
    <row r="7320" hidden="1" x14ac:dyDescent="0.25"/>
    <row r="7321" hidden="1" x14ac:dyDescent="0.25"/>
    <row r="7322" hidden="1" x14ac:dyDescent="0.25"/>
    <row r="7323" hidden="1" x14ac:dyDescent="0.25"/>
    <row r="7324" hidden="1" x14ac:dyDescent="0.25"/>
    <row r="7325" hidden="1" x14ac:dyDescent="0.25"/>
    <row r="7326" hidden="1" x14ac:dyDescent="0.25"/>
    <row r="7327" hidden="1" x14ac:dyDescent="0.25"/>
    <row r="7328" hidden="1" x14ac:dyDescent="0.25"/>
    <row r="7329" hidden="1" x14ac:dyDescent="0.25"/>
    <row r="7330" hidden="1" x14ac:dyDescent="0.25"/>
    <row r="7331" hidden="1" x14ac:dyDescent="0.25"/>
    <row r="7332" hidden="1" x14ac:dyDescent="0.25"/>
    <row r="7333" hidden="1" x14ac:dyDescent="0.25"/>
    <row r="7334" hidden="1" x14ac:dyDescent="0.25"/>
    <row r="7335" hidden="1" x14ac:dyDescent="0.25"/>
    <row r="7336" hidden="1" x14ac:dyDescent="0.25"/>
    <row r="7337" hidden="1" x14ac:dyDescent="0.25"/>
    <row r="7338" hidden="1" x14ac:dyDescent="0.25"/>
    <row r="7339" hidden="1" x14ac:dyDescent="0.25"/>
    <row r="7340" hidden="1" x14ac:dyDescent="0.25"/>
    <row r="7341" hidden="1" x14ac:dyDescent="0.25"/>
    <row r="7342" hidden="1" x14ac:dyDescent="0.25"/>
    <row r="7343" hidden="1" x14ac:dyDescent="0.25"/>
    <row r="7344" hidden="1" x14ac:dyDescent="0.25"/>
    <row r="7345" hidden="1" x14ac:dyDescent="0.25"/>
    <row r="7346" hidden="1" x14ac:dyDescent="0.25"/>
    <row r="7347" hidden="1" x14ac:dyDescent="0.25"/>
    <row r="7348" hidden="1" x14ac:dyDescent="0.25"/>
    <row r="7349" hidden="1" x14ac:dyDescent="0.25"/>
    <row r="7350" hidden="1" x14ac:dyDescent="0.25"/>
    <row r="7351" hidden="1" x14ac:dyDescent="0.25"/>
    <row r="7352" hidden="1" x14ac:dyDescent="0.25"/>
    <row r="7353" hidden="1" x14ac:dyDescent="0.25"/>
    <row r="7354" hidden="1" x14ac:dyDescent="0.25"/>
    <row r="7355" hidden="1" x14ac:dyDescent="0.25"/>
    <row r="7356" hidden="1" x14ac:dyDescent="0.25"/>
    <row r="7357" hidden="1" x14ac:dyDescent="0.25"/>
    <row r="7358" hidden="1" x14ac:dyDescent="0.25"/>
    <row r="7359" hidden="1" x14ac:dyDescent="0.25"/>
    <row r="7360" hidden="1" x14ac:dyDescent="0.25"/>
    <row r="7361" hidden="1" x14ac:dyDescent="0.25"/>
    <row r="7362" hidden="1" x14ac:dyDescent="0.25"/>
    <row r="7363" hidden="1" x14ac:dyDescent="0.25"/>
    <row r="7364" hidden="1" x14ac:dyDescent="0.25"/>
    <row r="7365" hidden="1" x14ac:dyDescent="0.25"/>
    <row r="7366" hidden="1" x14ac:dyDescent="0.25"/>
    <row r="7367" hidden="1" x14ac:dyDescent="0.25"/>
    <row r="7368" hidden="1" x14ac:dyDescent="0.25"/>
    <row r="7369" hidden="1" x14ac:dyDescent="0.25"/>
    <row r="7370" hidden="1" x14ac:dyDescent="0.25"/>
    <row r="7371" hidden="1" x14ac:dyDescent="0.25"/>
    <row r="7372" hidden="1" x14ac:dyDescent="0.25"/>
    <row r="7373" hidden="1" x14ac:dyDescent="0.25"/>
    <row r="7374" hidden="1" x14ac:dyDescent="0.25"/>
    <row r="7375" hidden="1" x14ac:dyDescent="0.25"/>
    <row r="7376" hidden="1" x14ac:dyDescent="0.25"/>
    <row r="7377" hidden="1" x14ac:dyDescent="0.25"/>
    <row r="7378" hidden="1" x14ac:dyDescent="0.25"/>
    <row r="7379" hidden="1" x14ac:dyDescent="0.25"/>
    <row r="7380" hidden="1" x14ac:dyDescent="0.25"/>
    <row r="7381" hidden="1" x14ac:dyDescent="0.25"/>
    <row r="7382" hidden="1" x14ac:dyDescent="0.25"/>
    <row r="7383" hidden="1" x14ac:dyDescent="0.25"/>
    <row r="7384" hidden="1" x14ac:dyDescent="0.25"/>
    <row r="7385" hidden="1" x14ac:dyDescent="0.25"/>
    <row r="7386" hidden="1" x14ac:dyDescent="0.25"/>
    <row r="7387" hidden="1" x14ac:dyDescent="0.25"/>
    <row r="7388" hidden="1" x14ac:dyDescent="0.25"/>
    <row r="7389" hidden="1" x14ac:dyDescent="0.25"/>
    <row r="7390" hidden="1" x14ac:dyDescent="0.25"/>
    <row r="7391" hidden="1" x14ac:dyDescent="0.25"/>
    <row r="7392" hidden="1" x14ac:dyDescent="0.25"/>
    <row r="7393" hidden="1" x14ac:dyDescent="0.25"/>
    <row r="7394" hidden="1" x14ac:dyDescent="0.25"/>
    <row r="7395" hidden="1" x14ac:dyDescent="0.25"/>
    <row r="7396" hidden="1" x14ac:dyDescent="0.25"/>
    <row r="7397" hidden="1" x14ac:dyDescent="0.25"/>
    <row r="7398" hidden="1" x14ac:dyDescent="0.25"/>
    <row r="7399" hidden="1" x14ac:dyDescent="0.25"/>
    <row r="7400" hidden="1" x14ac:dyDescent="0.25"/>
    <row r="7401" hidden="1" x14ac:dyDescent="0.25"/>
    <row r="7402" hidden="1" x14ac:dyDescent="0.25"/>
    <row r="7403" hidden="1" x14ac:dyDescent="0.25"/>
    <row r="7404" hidden="1" x14ac:dyDescent="0.25"/>
    <row r="7405" hidden="1" x14ac:dyDescent="0.25"/>
    <row r="7406" hidden="1" x14ac:dyDescent="0.25"/>
    <row r="7407" hidden="1" x14ac:dyDescent="0.25"/>
    <row r="7408" hidden="1" x14ac:dyDescent="0.25"/>
    <row r="7409" hidden="1" x14ac:dyDescent="0.25"/>
    <row r="7410" hidden="1" x14ac:dyDescent="0.25"/>
    <row r="7411" hidden="1" x14ac:dyDescent="0.25"/>
    <row r="7412" hidden="1" x14ac:dyDescent="0.25"/>
    <row r="7413" hidden="1" x14ac:dyDescent="0.25"/>
    <row r="7414" hidden="1" x14ac:dyDescent="0.25"/>
    <row r="7415" hidden="1" x14ac:dyDescent="0.25"/>
    <row r="7416" hidden="1" x14ac:dyDescent="0.25"/>
    <row r="7417" hidden="1" x14ac:dyDescent="0.25"/>
    <row r="7418" hidden="1" x14ac:dyDescent="0.25"/>
    <row r="7419" hidden="1" x14ac:dyDescent="0.25"/>
    <row r="7420" hidden="1" x14ac:dyDescent="0.25"/>
    <row r="7421" hidden="1" x14ac:dyDescent="0.25"/>
    <row r="7422" hidden="1" x14ac:dyDescent="0.25"/>
    <row r="7423" hidden="1" x14ac:dyDescent="0.25"/>
    <row r="7424" hidden="1" x14ac:dyDescent="0.25"/>
    <row r="7425" hidden="1" x14ac:dyDescent="0.25"/>
    <row r="7426" hidden="1" x14ac:dyDescent="0.25"/>
    <row r="7427" hidden="1" x14ac:dyDescent="0.25"/>
    <row r="7428" hidden="1" x14ac:dyDescent="0.25"/>
    <row r="7429" hidden="1" x14ac:dyDescent="0.25"/>
    <row r="7430" hidden="1" x14ac:dyDescent="0.25"/>
    <row r="7431" hidden="1" x14ac:dyDescent="0.25"/>
    <row r="7432" hidden="1" x14ac:dyDescent="0.25"/>
    <row r="7433" hidden="1" x14ac:dyDescent="0.25"/>
    <row r="7434" hidden="1" x14ac:dyDescent="0.25"/>
    <row r="7435" hidden="1" x14ac:dyDescent="0.25"/>
    <row r="7436" hidden="1" x14ac:dyDescent="0.25"/>
    <row r="7437" hidden="1" x14ac:dyDescent="0.25"/>
    <row r="7438" hidden="1" x14ac:dyDescent="0.25"/>
    <row r="7439" hidden="1" x14ac:dyDescent="0.25"/>
    <row r="7440" hidden="1" x14ac:dyDescent="0.25"/>
    <row r="7441" hidden="1" x14ac:dyDescent="0.25"/>
    <row r="7442" hidden="1" x14ac:dyDescent="0.25"/>
    <row r="7443" hidden="1" x14ac:dyDescent="0.25"/>
    <row r="7444" hidden="1" x14ac:dyDescent="0.25"/>
    <row r="7445" hidden="1" x14ac:dyDescent="0.25"/>
    <row r="7446" hidden="1" x14ac:dyDescent="0.25"/>
    <row r="7447" hidden="1" x14ac:dyDescent="0.25"/>
    <row r="7448" hidden="1" x14ac:dyDescent="0.25"/>
    <row r="7449" hidden="1" x14ac:dyDescent="0.25"/>
    <row r="7450" hidden="1" x14ac:dyDescent="0.25"/>
    <row r="7451" hidden="1" x14ac:dyDescent="0.25"/>
    <row r="7452" hidden="1" x14ac:dyDescent="0.25"/>
    <row r="7453" hidden="1" x14ac:dyDescent="0.25"/>
    <row r="7454" hidden="1" x14ac:dyDescent="0.25"/>
    <row r="7455" hidden="1" x14ac:dyDescent="0.25"/>
    <row r="7456" hidden="1" x14ac:dyDescent="0.25"/>
    <row r="7457" hidden="1" x14ac:dyDescent="0.25"/>
    <row r="7458" hidden="1" x14ac:dyDescent="0.25"/>
    <row r="7459" hidden="1" x14ac:dyDescent="0.25"/>
    <row r="7460" hidden="1" x14ac:dyDescent="0.25"/>
    <row r="7461" hidden="1" x14ac:dyDescent="0.25"/>
    <row r="7462" hidden="1" x14ac:dyDescent="0.25"/>
    <row r="7463" hidden="1" x14ac:dyDescent="0.25"/>
    <row r="7464" hidden="1" x14ac:dyDescent="0.25"/>
    <row r="7465" hidden="1" x14ac:dyDescent="0.25"/>
    <row r="7466" hidden="1" x14ac:dyDescent="0.25"/>
    <row r="7467" hidden="1" x14ac:dyDescent="0.25"/>
    <row r="7468" hidden="1" x14ac:dyDescent="0.25"/>
    <row r="7469" hidden="1" x14ac:dyDescent="0.25"/>
    <row r="7470" hidden="1" x14ac:dyDescent="0.25"/>
    <row r="7471" hidden="1" x14ac:dyDescent="0.25"/>
    <row r="7472" hidden="1" x14ac:dyDescent="0.25"/>
    <row r="7473" hidden="1" x14ac:dyDescent="0.25"/>
    <row r="7474" hidden="1" x14ac:dyDescent="0.25"/>
    <row r="7475" hidden="1" x14ac:dyDescent="0.25"/>
    <row r="7476" hidden="1" x14ac:dyDescent="0.25"/>
    <row r="7477" hidden="1" x14ac:dyDescent="0.25"/>
    <row r="7478" hidden="1" x14ac:dyDescent="0.25"/>
    <row r="7479" hidden="1" x14ac:dyDescent="0.25"/>
    <row r="7480" hidden="1" x14ac:dyDescent="0.25"/>
    <row r="7481" hidden="1" x14ac:dyDescent="0.25"/>
    <row r="7482" hidden="1" x14ac:dyDescent="0.25"/>
    <row r="7483" hidden="1" x14ac:dyDescent="0.25"/>
    <row r="7484" hidden="1" x14ac:dyDescent="0.25"/>
    <row r="7485" hidden="1" x14ac:dyDescent="0.25"/>
    <row r="7486" hidden="1" x14ac:dyDescent="0.25"/>
    <row r="7487" hidden="1" x14ac:dyDescent="0.25"/>
    <row r="7488" hidden="1" x14ac:dyDescent="0.25"/>
    <row r="7489" hidden="1" x14ac:dyDescent="0.25"/>
    <row r="7490" hidden="1" x14ac:dyDescent="0.25"/>
    <row r="7491" hidden="1" x14ac:dyDescent="0.25"/>
    <row r="7492" hidden="1" x14ac:dyDescent="0.25"/>
    <row r="7493" hidden="1" x14ac:dyDescent="0.25"/>
    <row r="7494" hidden="1" x14ac:dyDescent="0.25"/>
    <row r="7495" hidden="1" x14ac:dyDescent="0.25"/>
    <row r="7496" hidden="1" x14ac:dyDescent="0.25"/>
    <row r="7497" hidden="1" x14ac:dyDescent="0.25"/>
    <row r="7498" hidden="1" x14ac:dyDescent="0.25"/>
    <row r="7499" hidden="1" x14ac:dyDescent="0.25"/>
    <row r="7500" hidden="1" x14ac:dyDescent="0.25"/>
    <row r="7501" hidden="1" x14ac:dyDescent="0.25"/>
    <row r="7502" hidden="1" x14ac:dyDescent="0.25"/>
    <row r="7503" hidden="1" x14ac:dyDescent="0.25"/>
    <row r="7504" hidden="1" x14ac:dyDescent="0.25"/>
    <row r="7505" hidden="1" x14ac:dyDescent="0.25"/>
    <row r="7506" hidden="1" x14ac:dyDescent="0.25"/>
    <row r="7507" hidden="1" x14ac:dyDescent="0.25"/>
    <row r="7508" hidden="1" x14ac:dyDescent="0.25"/>
    <row r="7509" hidden="1" x14ac:dyDescent="0.25"/>
    <row r="7510" hidden="1" x14ac:dyDescent="0.25"/>
    <row r="7511" hidden="1" x14ac:dyDescent="0.25"/>
    <row r="7512" hidden="1" x14ac:dyDescent="0.25"/>
    <row r="7513" hidden="1" x14ac:dyDescent="0.25"/>
    <row r="7514" hidden="1" x14ac:dyDescent="0.25"/>
    <row r="7515" hidden="1" x14ac:dyDescent="0.25"/>
    <row r="7516" hidden="1" x14ac:dyDescent="0.25"/>
    <row r="7517" hidden="1" x14ac:dyDescent="0.25"/>
    <row r="7518" hidden="1" x14ac:dyDescent="0.25"/>
    <row r="7519" hidden="1" x14ac:dyDescent="0.25"/>
    <row r="7520" hidden="1" x14ac:dyDescent="0.25"/>
    <row r="7521" hidden="1" x14ac:dyDescent="0.25"/>
    <row r="7522" hidden="1" x14ac:dyDescent="0.25"/>
    <row r="7523" hidden="1" x14ac:dyDescent="0.25"/>
    <row r="7524" hidden="1" x14ac:dyDescent="0.25"/>
    <row r="7525" hidden="1" x14ac:dyDescent="0.25"/>
    <row r="7526" hidden="1" x14ac:dyDescent="0.25"/>
    <row r="7527" hidden="1" x14ac:dyDescent="0.25"/>
    <row r="7528" hidden="1" x14ac:dyDescent="0.25"/>
    <row r="7529" hidden="1" x14ac:dyDescent="0.25"/>
    <row r="7530" hidden="1" x14ac:dyDescent="0.25"/>
    <row r="7531" hidden="1" x14ac:dyDescent="0.25"/>
    <row r="7532" hidden="1" x14ac:dyDescent="0.25"/>
    <row r="7533" hidden="1" x14ac:dyDescent="0.25"/>
    <row r="7534" hidden="1" x14ac:dyDescent="0.25"/>
    <row r="7535" hidden="1" x14ac:dyDescent="0.25"/>
    <row r="7536" hidden="1" x14ac:dyDescent="0.25"/>
    <row r="7537" hidden="1" x14ac:dyDescent="0.25"/>
    <row r="7538" hidden="1" x14ac:dyDescent="0.25"/>
    <row r="7539" hidden="1" x14ac:dyDescent="0.25"/>
    <row r="7540" hidden="1" x14ac:dyDescent="0.25"/>
    <row r="7541" hidden="1" x14ac:dyDescent="0.25"/>
    <row r="7542" hidden="1" x14ac:dyDescent="0.25"/>
    <row r="7543" hidden="1" x14ac:dyDescent="0.25"/>
    <row r="7544" hidden="1" x14ac:dyDescent="0.25"/>
    <row r="7545" hidden="1" x14ac:dyDescent="0.25"/>
    <row r="7546" hidden="1" x14ac:dyDescent="0.25"/>
    <row r="7547" hidden="1" x14ac:dyDescent="0.25"/>
    <row r="7548" hidden="1" x14ac:dyDescent="0.25"/>
    <row r="7549" hidden="1" x14ac:dyDescent="0.25"/>
    <row r="7550" hidden="1" x14ac:dyDescent="0.25"/>
    <row r="7551" hidden="1" x14ac:dyDescent="0.25"/>
    <row r="7552" hidden="1" x14ac:dyDescent="0.25"/>
    <row r="7553" hidden="1" x14ac:dyDescent="0.25"/>
    <row r="7554" hidden="1" x14ac:dyDescent="0.25"/>
    <row r="7555" hidden="1" x14ac:dyDescent="0.25"/>
    <row r="7556" hidden="1" x14ac:dyDescent="0.25"/>
    <row r="7557" hidden="1" x14ac:dyDescent="0.25"/>
    <row r="7558" hidden="1" x14ac:dyDescent="0.25"/>
    <row r="7559" hidden="1" x14ac:dyDescent="0.25"/>
    <row r="7560" hidden="1" x14ac:dyDescent="0.25"/>
    <row r="7561" hidden="1" x14ac:dyDescent="0.25"/>
    <row r="7562" hidden="1" x14ac:dyDescent="0.25"/>
    <row r="7563" hidden="1" x14ac:dyDescent="0.25"/>
    <row r="7564" hidden="1" x14ac:dyDescent="0.25"/>
    <row r="7565" hidden="1" x14ac:dyDescent="0.25"/>
    <row r="7566" hidden="1" x14ac:dyDescent="0.25"/>
    <row r="7567" hidden="1" x14ac:dyDescent="0.25"/>
    <row r="7568" hidden="1" x14ac:dyDescent="0.25"/>
    <row r="7569" hidden="1" x14ac:dyDescent="0.25"/>
    <row r="7570" hidden="1" x14ac:dyDescent="0.25"/>
    <row r="7571" hidden="1" x14ac:dyDescent="0.25"/>
    <row r="7572" hidden="1" x14ac:dyDescent="0.25"/>
    <row r="7573" hidden="1" x14ac:dyDescent="0.25"/>
    <row r="7574" hidden="1" x14ac:dyDescent="0.25"/>
    <row r="7575" hidden="1" x14ac:dyDescent="0.25"/>
    <row r="7576" hidden="1" x14ac:dyDescent="0.25"/>
    <row r="7577" hidden="1" x14ac:dyDescent="0.25"/>
    <row r="7578" hidden="1" x14ac:dyDescent="0.25"/>
    <row r="7579" hidden="1" x14ac:dyDescent="0.25"/>
    <row r="7580" hidden="1" x14ac:dyDescent="0.25"/>
    <row r="7581" hidden="1" x14ac:dyDescent="0.25"/>
    <row r="7582" hidden="1" x14ac:dyDescent="0.25"/>
    <row r="7583" hidden="1" x14ac:dyDescent="0.25"/>
    <row r="7584" hidden="1" x14ac:dyDescent="0.25"/>
    <row r="7585" hidden="1" x14ac:dyDescent="0.25"/>
    <row r="7586" hidden="1" x14ac:dyDescent="0.25"/>
    <row r="7587" hidden="1" x14ac:dyDescent="0.25"/>
    <row r="7588" hidden="1" x14ac:dyDescent="0.25"/>
    <row r="7589" hidden="1" x14ac:dyDescent="0.25"/>
    <row r="7590" hidden="1" x14ac:dyDescent="0.25"/>
    <row r="7591" hidden="1" x14ac:dyDescent="0.25"/>
    <row r="7592" hidden="1" x14ac:dyDescent="0.25"/>
    <row r="7593" hidden="1" x14ac:dyDescent="0.25"/>
    <row r="7594" hidden="1" x14ac:dyDescent="0.25"/>
    <row r="7595" hidden="1" x14ac:dyDescent="0.25"/>
    <row r="7596" hidden="1" x14ac:dyDescent="0.25"/>
    <row r="7597" hidden="1" x14ac:dyDescent="0.25"/>
    <row r="7598" hidden="1" x14ac:dyDescent="0.25"/>
    <row r="7599" hidden="1" x14ac:dyDescent="0.25"/>
    <row r="7600" hidden="1" x14ac:dyDescent="0.25"/>
    <row r="7601" hidden="1" x14ac:dyDescent="0.25"/>
    <row r="7602" hidden="1" x14ac:dyDescent="0.25"/>
    <row r="7603" hidden="1" x14ac:dyDescent="0.25"/>
    <row r="7604" hidden="1" x14ac:dyDescent="0.25"/>
    <row r="7605" hidden="1" x14ac:dyDescent="0.25"/>
    <row r="7606" hidden="1" x14ac:dyDescent="0.25"/>
    <row r="7607" hidden="1" x14ac:dyDescent="0.25"/>
    <row r="7608" hidden="1" x14ac:dyDescent="0.25"/>
    <row r="7609" hidden="1" x14ac:dyDescent="0.25"/>
    <row r="7610" hidden="1" x14ac:dyDescent="0.25"/>
    <row r="7611" hidden="1" x14ac:dyDescent="0.25"/>
    <row r="7612" hidden="1" x14ac:dyDescent="0.25"/>
    <row r="7613" hidden="1" x14ac:dyDescent="0.25"/>
    <row r="7614" hidden="1" x14ac:dyDescent="0.25"/>
    <row r="7615" hidden="1" x14ac:dyDescent="0.25"/>
    <row r="7616" hidden="1" x14ac:dyDescent="0.25"/>
    <row r="7617" hidden="1" x14ac:dyDescent="0.25"/>
    <row r="7618" hidden="1" x14ac:dyDescent="0.25"/>
    <row r="7619" hidden="1" x14ac:dyDescent="0.25"/>
    <row r="7620" hidden="1" x14ac:dyDescent="0.25"/>
    <row r="7621" hidden="1" x14ac:dyDescent="0.25"/>
    <row r="7622" hidden="1" x14ac:dyDescent="0.25"/>
    <row r="7623" hidden="1" x14ac:dyDescent="0.25"/>
    <row r="7624" hidden="1" x14ac:dyDescent="0.25"/>
    <row r="7625" hidden="1" x14ac:dyDescent="0.25"/>
    <row r="7626" hidden="1" x14ac:dyDescent="0.25"/>
    <row r="7627" hidden="1" x14ac:dyDescent="0.25"/>
    <row r="7628" hidden="1" x14ac:dyDescent="0.25"/>
    <row r="7629" hidden="1" x14ac:dyDescent="0.25"/>
    <row r="7630" hidden="1" x14ac:dyDescent="0.25"/>
    <row r="7631" hidden="1" x14ac:dyDescent="0.25"/>
    <row r="7632" hidden="1" x14ac:dyDescent="0.25"/>
    <row r="7633" hidden="1" x14ac:dyDescent="0.25"/>
    <row r="7634" hidden="1" x14ac:dyDescent="0.25"/>
    <row r="7635" hidden="1" x14ac:dyDescent="0.25"/>
    <row r="7636" hidden="1" x14ac:dyDescent="0.25"/>
    <row r="7637" hidden="1" x14ac:dyDescent="0.25"/>
    <row r="7638" hidden="1" x14ac:dyDescent="0.25"/>
    <row r="7639" hidden="1" x14ac:dyDescent="0.25"/>
    <row r="7640" hidden="1" x14ac:dyDescent="0.25"/>
    <row r="7641" hidden="1" x14ac:dyDescent="0.25"/>
    <row r="7642" hidden="1" x14ac:dyDescent="0.25"/>
    <row r="7643" hidden="1" x14ac:dyDescent="0.25"/>
    <row r="7644" hidden="1" x14ac:dyDescent="0.25"/>
    <row r="7645" hidden="1" x14ac:dyDescent="0.25"/>
    <row r="7646" hidden="1" x14ac:dyDescent="0.25"/>
    <row r="7647" hidden="1" x14ac:dyDescent="0.25"/>
    <row r="7648" hidden="1" x14ac:dyDescent="0.25"/>
    <row r="7649" hidden="1" x14ac:dyDescent="0.25"/>
    <row r="7650" hidden="1" x14ac:dyDescent="0.25"/>
    <row r="7651" hidden="1" x14ac:dyDescent="0.25"/>
    <row r="7652" hidden="1" x14ac:dyDescent="0.25"/>
    <row r="7653" hidden="1" x14ac:dyDescent="0.25"/>
    <row r="7654" hidden="1" x14ac:dyDescent="0.25"/>
    <row r="7655" hidden="1" x14ac:dyDescent="0.25"/>
    <row r="7656" hidden="1" x14ac:dyDescent="0.25"/>
    <row r="7657" hidden="1" x14ac:dyDescent="0.25"/>
    <row r="7658" hidden="1" x14ac:dyDescent="0.25"/>
    <row r="7659" hidden="1" x14ac:dyDescent="0.25"/>
    <row r="7660" hidden="1" x14ac:dyDescent="0.25"/>
    <row r="7661" hidden="1" x14ac:dyDescent="0.25"/>
    <row r="7662" hidden="1" x14ac:dyDescent="0.25"/>
    <row r="7663" hidden="1" x14ac:dyDescent="0.25"/>
    <row r="7664" hidden="1" x14ac:dyDescent="0.25"/>
    <row r="7665" hidden="1" x14ac:dyDescent="0.25"/>
    <row r="7666" hidden="1" x14ac:dyDescent="0.25"/>
    <row r="7667" hidden="1" x14ac:dyDescent="0.25"/>
    <row r="7668" hidden="1" x14ac:dyDescent="0.25"/>
    <row r="7669" hidden="1" x14ac:dyDescent="0.25"/>
    <row r="7670" hidden="1" x14ac:dyDescent="0.25"/>
    <row r="7671" hidden="1" x14ac:dyDescent="0.25"/>
    <row r="7672" hidden="1" x14ac:dyDescent="0.25"/>
    <row r="7673" hidden="1" x14ac:dyDescent="0.25"/>
    <row r="7674" hidden="1" x14ac:dyDescent="0.25"/>
    <row r="7675" hidden="1" x14ac:dyDescent="0.25"/>
    <row r="7676" hidden="1" x14ac:dyDescent="0.25"/>
    <row r="7677" hidden="1" x14ac:dyDescent="0.25"/>
    <row r="7678" hidden="1" x14ac:dyDescent="0.25"/>
    <row r="7679" hidden="1" x14ac:dyDescent="0.25"/>
    <row r="7680" hidden="1" x14ac:dyDescent="0.25"/>
    <row r="7681" hidden="1" x14ac:dyDescent="0.25"/>
    <row r="7682" hidden="1" x14ac:dyDescent="0.25"/>
    <row r="7683" hidden="1" x14ac:dyDescent="0.25"/>
    <row r="7684" hidden="1" x14ac:dyDescent="0.25"/>
    <row r="7685" hidden="1" x14ac:dyDescent="0.25"/>
    <row r="7686" hidden="1" x14ac:dyDescent="0.25"/>
    <row r="7687" hidden="1" x14ac:dyDescent="0.25"/>
    <row r="7688" hidden="1" x14ac:dyDescent="0.25"/>
    <row r="7689" hidden="1" x14ac:dyDescent="0.25"/>
    <row r="7690" hidden="1" x14ac:dyDescent="0.25"/>
    <row r="7691" hidden="1" x14ac:dyDescent="0.25"/>
    <row r="7692" hidden="1" x14ac:dyDescent="0.25"/>
    <row r="7693" hidden="1" x14ac:dyDescent="0.25"/>
    <row r="7694" hidden="1" x14ac:dyDescent="0.25"/>
    <row r="7695" hidden="1" x14ac:dyDescent="0.25"/>
    <row r="7696" hidden="1" x14ac:dyDescent="0.25"/>
    <row r="7697" hidden="1" x14ac:dyDescent="0.25"/>
    <row r="7698" hidden="1" x14ac:dyDescent="0.25"/>
    <row r="7699" hidden="1" x14ac:dyDescent="0.25"/>
    <row r="7700" hidden="1" x14ac:dyDescent="0.25"/>
    <row r="7701" hidden="1" x14ac:dyDescent="0.25"/>
    <row r="7702" hidden="1" x14ac:dyDescent="0.25"/>
    <row r="7703" hidden="1" x14ac:dyDescent="0.25"/>
    <row r="7704" hidden="1" x14ac:dyDescent="0.25"/>
    <row r="7705" hidden="1" x14ac:dyDescent="0.25"/>
    <row r="7706" hidden="1" x14ac:dyDescent="0.25"/>
    <row r="7707" hidden="1" x14ac:dyDescent="0.25"/>
    <row r="7708" hidden="1" x14ac:dyDescent="0.25"/>
    <row r="7709" hidden="1" x14ac:dyDescent="0.25"/>
    <row r="7710" hidden="1" x14ac:dyDescent="0.25"/>
    <row r="7711" hidden="1" x14ac:dyDescent="0.25"/>
    <row r="7712" hidden="1" x14ac:dyDescent="0.25"/>
    <row r="7713" hidden="1" x14ac:dyDescent="0.25"/>
    <row r="7714" hidden="1" x14ac:dyDescent="0.25"/>
    <row r="7715" hidden="1" x14ac:dyDescent="0.25"/>
    <row r="7716" hidden="1" x14ac:dyDescent="0.25"/>
    <row r="7717" hidden="1" x14ac:dyDescent="0.25"/>
    <row r="7718" hidden="1" x14ac:dyDescent="0.25"/>
    <row r="7719" hidden="1" x14ac:dyDescent="0.25"/>
    <row r="7720" hidden="1" x14ac:dyDescent="0.25"/>
    <row r="7721" hidden="1" x14ac:dyDescent="0.25"/>
    <row r="7722" hidden="1" x14ac:dyDescent="0.25"/>
    <row r="7723" hidden="1" x14ac:dyDescent="0.25"/>
    <row r="7724" hidden="1" x14ac:dyDescent="0.25"/>
    <row r="7725" hidden="1" x14ac:dyDescent="0.25"/>
    <row r="7726" hidden="1" x14ac:dyDescent="0.25"/>
    <row r="7727" hidden="1" x14ac:dyDescent="0.25"/>
    <row r="7728" hidden="1" x14ac:dyDescent="0.25"/>
    <row r="7729" hidden="1" x14ac:dyDescent="0.25"/>
    <row r="7730" hidden="1" x14ac:dyDescent="0.25"/>
    <row r="7731" hidden="1" x14ac:dyDescent="0.25"/>
    <row r="7732" hidden="1" x14ac:dyDescent="0.25"/>
    <row r="7733" hidden="1" x14ac:dyDescent="0.25"/>
    <row r="7734" hidden="1" x14ac:dyDescent="0.25"/>
    <row r="7735" hidden="1" x14ac:dyDescent="0.25"/>
    <row r="7736" hidden="1" x14ac:dyDescent="0.25"/>
    <row r="7737" hidden="1" x14ac:dyDescent="0.25"/>
    <row r="7738" hidden="1" x14ac:dyDescent="0.25"/>
    <row r="7739" hidden="1" x14ac:dyDescent="0.25"/>
    <row r="7740" hidden="1" x14ac:dyDescent="0.25"/>
    <row r="7741" hidden="1" x14ac:dyDescent="0.25"/>
    <row r="7742" hidden="1" x14ac:dyDescent="0.25"/>
    <row r="7743" hidden="1" x14ac:dyDescent="0.25"/>
    <row r="7744" hidden="1" x14ac:dyDescent="0.25"/>
    <row r="7745" hidden="1" x14ac:dyDescent="0.25"/>
    <row r="7746" hidden="1" x14ac:dyDescent="0.25"/>
    <row r="7747" hidden="1" x14ac:dyDescent="0.25"/>
    <row r="7748" hidden="1" x14ac:dyDescent="0.25"/>
    <row r="7749" hidden="1" x14ac:dyDescent="0.25"/>
    <row r="7750" hidden="1" x14ac:dyDescent="0.25"/>
    <row r="7751" hidden="1" x14ac:dyDescent="0.25"/>
    <row r="7752" hidden="1" x14ac:dyDescent="0.25"/>
    <row r="7753" hidden="1" x14ac:dyDescent="0.25"/>
    <row r="7754" hidden="1" x14ac:dyDescent="0.25"/>
    <row r="7755" hidden="1" x14ac:dyDescent="0.25"/>
    <row r="7756" hidden="1" x14ac:dyDescent="0.25"/>
    <row r="7757" hidden="1" x14ac:dyDescent="0.25"/>
    <row r="7758" hidden="1" x14ac:dyDescent="0.25"/>
    <row r="7759" hidden="1" x14ac:dyDescent="0.25"/>
    <row r="7760" hidden="1" x14ac:dyDescent="0.25"/>
    <row r="7761" hidden="1" x14ac:dyDescent="0.25"/>
    <row r="7762" hidden="1" x14ac:dyDescent="0.25"/>
    <row r="7763" hidden="1" x14ac:dyDescent="0.25"/>
    <row r="7764" hidden="1" x14ac:dyDescent="0.25"/>
    <row r="7765" hidden="1" x14ac:dyDescent="0.25"/>
    <row r="7766" hidden="1" x14ac:dyDescent="0.25"/>
    <row r="7767" hidden="1" x14ac:dyDescent="0.25"/>
    <row r="7768" hidden="1" x14ac:dyDescent="0.25"/>
    <row r="7769" hidden="1" x14ac:dyDescent="0.25"/>
    <row r="7770" hidden="1" x14ac:dyDescent="0.25"/>
    <row r="7771" hidden="1" x14ac:dyDescent="0.25"/>
    <row r="7772" hidden="1" x14ac:dyDescent="0.25"/>
    <row r="7773" hidden="1" x14ac:dyDescent="0.25"/>
    <row r="7774" hidden="1" x14ac:dyDescent="0.25"/>
    <row r="7775" hidden="1" x14ac:dyDescent="0.25"/>
    <row r="7776" hidden="1" x14ac:dyDescent="0.25"/>
    <row r="7777" hidden="1" x14ac:dyDescent="0.25"/>
    <row r="7778" hidden="1" x14ac:dyDescent="0.25"/>
    <row r="7779" hidden="1" x14ac:dyDescent="0.25"/>
    <row r="7780" hidden="1" x14ac:dyDescent="0.25"/>
    <row r="7781" hidden="1" x14ac:dyDescent="0.25"/>
    <row r="7782" hidden="1" x14ac:dyDescent="0.25"/>
    <row r="7783" hidden="1" x14ac:dyDescent="0.25"/>
    <row r="7784" hidden="1" x14ac:dyDescent="0.25"/>
    <row r="7785" hidden="1" x14ac:dyDescent="0.25"/>
    <row r="7786" hidden="1" x14ac:dyDescent="0.25"/>
    <row r="7787" hidden="1" x14ac:dyDescent="0.25"/>
    <row r="7788" hidden="1" x14ac:dyDescent="0.25"/>
    <row r="7789" hidden="1" x14ac:dyDescent="0.25"/>
    <row r="7790" hidden="1" x14ac:dyDescent="0.25"/>
    <row r="7791" hidden="1" x14ac:dyDescent="0.25"/>
    <row r="7792" hidden="1" x14ac:dyDescent="0.25"/>
    <row r="7793" hidden="1" x14ac:dyDescent="0.25"/>
    <row r="7794" hidden="1" x14ac:dyDescent="0.25"/>
    <row r="7795" hidden="1" x14ac:dyDescent="0.25"/>
    <row r="7796" hidden="1" x14ac:dyDescent="0.25"/>
    <row r="7797" hidden="1" x14ac:dyDescent="0.25"/>
    <row r="7798" hidden="1" x14ac:dyDescent="0.25"/>
    <row r="7799" hidden="1" x14ac:dyDescent="0.25"/>
    <row r="7800" hidden="1" x14ac:dyDescent="0.25"/>
    <row r="7801" hidden="1" x14ac:dyDescent="0.25"/>
    <row r="7802" hidden="1" x14ac:dyDescent="0.25"/>
    <row r="7803" hidden="1" x14ac:dyDescent="0.25"/>
    <row r="7804" hidden="1" x14ac:dyDescent="0.25"/>
    <row r="7805" hidden="1" x14ac:dyDescent="0.25"/>
    <row r="7806" hidden="1" x14ac:dyDescent="0.25"/>
    <row r="7807" hidden="1" x14ac:dyDescent="0.25"/>
    <row r="7808" hidden="1" x14ac:dyDescent="0.25"/>
    <row r="7809" hidden="1" x14ac:dyDescent="0.25"/>
    <row r="7810" hidden="1" x14ac:dyDescent="0.25"/>
    <row r="7811" hidden="1" x14ac:dyDescent="0.25"/>
    <row r="7812" hidden="1" x14ac:dyDescent="0.25"/>
    <row r="7813" hidden="1" x14ac:dyDescent="0.25"/>
    <row r="7814" hidden="1" x14ac:dyDescent="0.25"/>
    <row r="7815" hidden="1" x14ac:dyDescent="0.25"/>
    <row r="7816" hidden="1" x14ac:dyDescent="0.25"/>
    <row r="7817" hidden="1" x14ac:dyDescent="0.25"/>
    <row r="7818" hidden="1" x14ac:dyDescent="0.25"/>
    <row r="7819" hidden="1" x14ac:dyDescent="0.25"/>
    <row r="7820" hidden="1" x14ac:dyDescent="0.25"/>
    <row r="7821" hidden="1" x14ac:dyDescent="0.25"/>
    <row r="7822" hidden="1" x14ac:dyDescent="0.25"/>
    <row r="7823" hidden="1" x14ac:dyDescent="0.25"/>
    <row r="7824" hidden="1" x14ac:dyDescent="0.25"/>
    <row r="7825" hidden="1" x14ac:dyDescent="0.25"/>
    <row r="7826" hidden="1" x14ac:dyDescent="0.25"/>
    <row r="7827" hidden="1" x14ac:dyDescent="0.25"/>
    <row r="7828" hidden="1" x14ac:dyDescent="0.25"/>
    <row r="7829" hidden="1" x14ac:dyDescent="0.25"/>
    <row r="7830" hidden="1" x14ac:dyDescent="0.25"/>
    <row r="7831" hidden="1" x14ac:dyDescent="0.25"/>
    <row r="7832" hidden="1" x14ac:dyDescent="0.25"/>
    <row r="7833" hidden="1" x14ac:dyDescent="0.25"/>
    <row r="7834" hidden="1" x14ac:dyDescent="0.25"/>
    <row r="7835" hidden="1" x14ac:dyDescent="0.25"/>
    <row r="7836" hidden="1" x14ac:dyDescent="0.25"/>
    <row r="7837" hidden="1" x14ac:dyDescent="0.25"/>
    <row r="7838" hidden="1" x14ac:dyDescent="0.25"/>
    <row r="7839" hidden="1" x14ac:dyDescent="0.25"/>
    <row r="7840" hidden="1" x14ac:dyDescent="0.25"/>
    <row r="7841" hidden="1" x14ac:dyDescent="0.25"/>
    <row r="7842" hidden="1" x14ac:dyDescent="0.25"/>
    <row r="7843" hidden="1" x14ac:dyDescent="0.25"/>
    <row r="7844" hidden="1" x14ac:dyDescent="0.25"/>
    <row r="7845" hidden="1" x14ac:dyDescent="0.25"/>
    <row r="7846" hidden="1" x14ac:dyDescent="0.25"/>
    <row r="7847" hidden="1" x14ac:dyDescent="0.25"/>
    <row r="7848" hidden="1" x14ac:dyDescent="0.25"/>
    <row r="7849" hidden="1" x14ac:dyDescent="0.25"/>
    <row r="7850" hidden="1" x14ac:dyDescent="0.25"/>
    <row r="7851" hidden="1" x14ac:dyDescent="0.25"/>
    <row r="7852" hidden="1" x14ac:dyDescent="0.25"/>
    <row r="7853" hidden="1" x14ac:dyDescent="0.25"/>
    <row r="7854" hidden="1" x14ac:dyDescent="0.25"/>
    <row r="7855" hidden="1" x14ac:dyDescent="0.25"/>
    <row r="7856" hidden="1" x14ac:dyDescent="0.25"/>
    <row r="7857" hidden="1" x14ac:dyDescent="0.25"/>
    <row r="7858" hidden="1" x14ac:dyDescent="0.25"/>
    <row r="7859" hidden="1" x14ac:dyDescent="0.25"/>
    <row r="7860" hidden="1" x14ac:dyDescent="0.25"/>
    <row r="7861" hidden="1" x14ac:dyDescent="0.25"/>
    <row r="7862" hidden="1" x14ac:dyDescent="0.25"/>
    <row r="7863" hidden="1" x14ac:dyDescent="0.25"/>
    <row r="7864" hidden="1" x14ac:dyDescent="0.25"/>
    <row r="7865" hidden="1" x14ac:dyDescent="0.25"/>
    <row r="7866" hidden="1" x14ac:dyDescent="0.25"/>
    <row r="7867" hidden="1" x14ac:dyDescent="0.25"/>
    <row r="7868" hidden="1" x14ac:dyDescent="0.25"/>
    <row r="7869" hidden="1" x14ac:dyDescent="0.25"/>
    <row r="7870" hidden="1" x14ac:dyDescent="0.25"/>
    <row r="7871" hidden="1" x14ac:dyDescent="0.25"/>
    <row r="7872" hidden="1" x14ac:dyDescent="0.25"/>
    <row r="7873" hidden="1" x14ac:dyDescent="0.25"/>
    <row r="7874" hidden="1" x14ac:dyDescent="0.25"/>
    <row r="7875" hidden="1" x14ac:dyDescent="0.25"/>
    <row r="7876" hidden="1" x14ac:dyDescent="0.25"/>
    <row r="7877" hidden="1" x14ac:dyDescent="0.25"/>
    <row r="7878" hidden="1" x14ac:dyDescent="0.25"/>
    <row r="7879" hidden="1" x14ac:dyDescent="0.25"/>
    <row r="7880" hidden="1" x14ac:dyDescent="0.25"/>
    <row r="7881" hidden="1" x14ac:dyDescent="0.25"/>
    <row r="7882" hidden="1" x14ac:dyDescent="0.25"/>
    <row r="7883" hidden="1" x14ac:dyDescent="0.25"/>
    <row r="7884" hidden="1" x14ac:dyDescent="0.25"/>
    <row r="7885" hidden="1" x14ac:dyDescent="0.25"/>
    <row r="7886" hidden="1" x14ac:dyDescent="0.25"/>
    <row r="7887" hidden="1" x14ac:dyDescent="0.25"/>
    <row r="7888" hidden="1" x14ac:dyDescent="0.25"/>
    <row r="7889" hidden="1" x14ac:dyDescent="0.25"/>
    <row r="7890" hidden="1" x14ac:dyDescent="0.25"/>
    <row r="7891" hidden="1" x14ac:dyDescent="0.25"/>
    <row r="7892" hidden="1" x14ac:dyDescent="0.25"/>
    <row r="7893" hidden="1" x14ac:dyDescent="0.25"/>
    <row r="7894" hidden="1" x14ac:dyDescent="0.25"/>
    <row r="7895" hidden="1" x14ac:dyDescent="0.25"/>
    <row r="7896" hidden="1" x14ac:dyDescent="0.25"/>
    <row r="7897" hidden="1" x14ac:dyDescent="0.25"/>
    <row r="7898" hidden="1" x14ac:dyDescent="0.25"/>
    <row r="7899" hidden="1" x14ac:dyDescent="0.25"/>
    <row r="7900" hidden="1" x14ac:dyDescent="0.25"/>
    <row r="7901" hidden="1" x14ac:dyDescent="0.25"/>
    <row r="7902" hidden="1" x14ac:dyDescent="0.25"/>
    <row r="7903" hidden="1" x14ac:dyDescent="0.25"/>
    <row r="7904" hidden="1" x14ac:dyDescent="0.25"/>
    <row r="7905" hidden="1" x14ac:dyDescent="0.25"/>
    <row r="7906" hidden="1" x14ac:dyDescent="0.25"/>
    <row r="7907" hidden="1" x14ac:dyDescent="0.25"/>
    <row r="7908" hidden="1" x14ac:dyDescent="0.25"/>
    <row r="7909" hidden="1" x14ac:dyDescent="0.25"/>
    <row r="7910" hidden="1" x14ac:dyDescent="0.25"/>
    <row r="7911" hidden="1" x14ac:dyDescent="0.25"/>
    <row r="7912" hidden="1" x14ac:dyDescent="0.25"/>
    <row r="7913" hidden="1" x14ac:dyDescent="0.25"/>
    <row r="7914" hidden="1" x14ac:dyDescent="0.25"/>
    <row r="7915" hidden="1" x14ac:dyDescent="0.25"/>
    <row r="7916" hidden="1" x14ac:dyDescent="0.25"/>
    <row r="7917" hidden="1" x14ac:dyDescent="0.25"/>
    <row r="7918" hidden="1" x14ac:dyDescent="0.25"/>
    <row r="7919" hidden="1" x14ac:dyDescent="0.25"/>
    <row r="7920" hidden="1" x14ac:dyDescent="0.25"/>
    <row r="7921" hidden="1" x14ac:dyDescent="0.25"/>
    <row r="7922" hidden="1" x14ac:dyDescent="0.25"/>
    <row r="7923" hidden="1" x14ac:dyDescent="0.25"/>
    <row r="7924" hidden="1" x14ac:dyDescent="0.25"/>
    <row r="7925" hidden="1" x14ac:dyDescent="0.25"/>
    <row r="7926" hidden="1" x14ac:dyDescent="0.25"/>
    <row r="7927" hidden="1" x14ac:dyDescent="0.25"/>
    <row r="7928" hidden="1" x14ac:dyDescent="0.25"/>
    <row r="7929" hidden="1" x14ac:dyDescent="0.25"/>
    <row r="7930" hidden="1" x14ac:dyDescent="0.25"/>
    <row r="7931" hidden="1" x14ac:dyDescent="0.25"/>
    <row r="7932" hidden="1" x14ac:dyDescent="0.25"/>
    <row r="7933" hidden="1" x14ac:dyDescent="0.25"/>
    <row r="7934" hidden="1" x14ac:dyDescent="0.25"/>
    <row r="7935" hidden="1" x14ac:dyDescent="0.25"/>
    <row r="7936" hidden="1" x14ac:dyDescent="0.25"/>
    <row r="7937" hidden="1" x14ac:dyDescent="0.25"/>
    <row r="7938" hidden="1" x14ac:dyDescent="0.25"/>
    <row r="7939" hidden="1" x14ac:dyDescent="0.25"/>
    <row r="7940" hidden="1" x14ac:dyDescent="0.25"/>
    <row r="7941" hidden="1" x14ac:dyDescent="0.25"/>
    <row r="7942" hidden="1" x14ac:dyDescent="0.25"/>
    <row r="7943" hidden="1" x14ac:dyDescent="0.25"/>
    <row r="7944" hidden="1" x14ac:dyDescent="0.25"/>
    <row r="7945" hidden="1" x14ac:dyDescent="0.25"/>
    <row r="7946" hidden="1" x14ac:dyDescent="0.25"/>
    <row r="7947" hidden="1" x14ac:dyDescent="0.25"/>
    <row r="7948" hidden="1" x14ac:dyDescent="0.25"/>
    <row r="7949" hidden="1" x14ac:dyDescent="0.25"/>
    <row r="7950" hidden="1" x14ac:dyDescent="0.25"/>
    <row r="7951" hidden="1" x14ac:dyDescent="0.25"/>
    <row r="7952" hidden="1" x14ac:dyDescent="0.25"/>
    <row r="7953" hidden="1" x14ac:dyDescent="0.25"/>
    <row r="7954" hidden="1" x14ac:dyDescent="0.25"/>
    <row r="7955" hidden="1" x14ac:dyDescent="0.25"/>
    <row r="7956" hidden="1" x14ac:dyDescent="0.25"/>
    <row r="7957" hidden="1" x14ac:dyDescent="0.25"/>
    <row r="7958" hidden="1" x14ac:dyDescent="0.25"/>
    <row r="7959" hidden="1" x14ac:dyDescent="0.25"/>
    <row r="7960" hidden="1" x14ac:dyDescent="0.25"/>
    <row r="7961" hidden="1" x14ac:dyDescent="0.25"/>
    <row r="7962" hidden="1" x14ac:dyDescent="0.25"/>
    <row r="7963" hidden="1" x14ac:dyDescent="0.25"/>
    <row r="7964" hidden="1" x14ac:dyDescent="0.25"/>
    <row r="7965" hidden="1" x14ac:dyDescent="0.25"/>
    <row r="7966" hidden="1" x14ac:dyDescent="0.25"/>
    <row r="7967" hidden="1" x14ac:dyDescent="0.25"/>
    <row r="7968" hidden="1" x14ac:dyDescent="0.25"/>
    <row r="7969" hidden="1" x14ac:dyDescent="0.25"/>
    <row r="7970" hidden="1" x14ac:dyDescent="0.25"/>
    <row r="7971" hidden="1" x14ac:dyDescent="0.25"/>
    <row r="7972" hidden="1" x14ac:dyDescent="0.25"/>
    <row r="7973" hidden="1" x14ac:dyDescent="0.25"/>
    <row r="7974" hidden="1" x14ac:dyDescent="0.25"/>
    <row r="7975" hidden="1" x14ac:dyDescent="0.25"/>
    <row r="7976" hidden="1" x14ac:dyDescent="0.25"/>
    <row r="7977" hidden="1" x14ac:dyDescent="0.25"/>
    <row r="7978" hidden="1" x14ac:dyDescent="0.25"/>
    <row r="7979" hidden="1" x14ac:dyDescent="0.25"/>
    <row r="7980" hidden="1" x14ac:dyDescent="0.25"/>
    <row r="7981" hidden="1" x14ac:dyDescent="0.25"/>
    <row r="7982" hidden="1" x14ac:dyDescent="0.25"/>
    <row r="7983" hidden="1" x14ac:dyDescent="0.25"/>
    <row r="7984" hidden="1" x14ac:dyDescent="0.25"/>
    <row r="7985" hidden="1" x14ac:dyDescent="0.25"/>
    <row r="7986" hidden="1" x14ac:dyDescent="0.25"/>
    <row r="7987" hidden="1" x14ac:dyDescent="0.25"/>
    <row r="7988" hidden="1" x14ac:dyDescent="0.25"/>
    <row r="7989" hidden="1" x14ac:dyDescent="0.25"/>
    <row r="7990" hidden="1" x14ac:dyDescent="0.25"/>
    <row r="7991" hidden="1" x14ac:dyDescent="0.25"/>
    <row r="7992" hidden="1" x14ac:dyDescent="0.25"/>
    <row r="7993" hidden="1" x14ac:dyDescent="0.25"/>
    <row r="7994" hidden="1" x14ac:dyDescent="0.25"/>
    <row r="7995" hidden="1" x14ac:dyDescent="0.25"/>
    <row r="7996" hidden="1" x14ac:dyDescent="0.25"/>
    <row r="7997" hidden="1" x14ac:dyDescent="0.25"/>
    <row r="7998" hidden="1" x14ac:dyDescent="0.25"/>
    <row r="7999" hidden="1" x14ac:dyDescent="0.25"/>
    <row r="8000" hidden="1" x14ac:dyDescent="0.25"/>
    <row r="8001" hidden="1" x14ac:dyDescent="0.25"/>
    <row r="8002" hidden="1" x14ac:dyDescent="0.25"/>
    <row r="8003" hidden="1" x14ac:dyDescent="0.25"/>
    <row r="8004" hidden="1" x14ac:dyDescent="0.25"/>
    <row r="8005" hidden="1" x14ac:dyDescent="0.25"/>
    <row r="8006" hidden="1" x14ac:dyDescent="0.25"/>
    <row r="8007" hidden="1" x14ac:dyDescent="0.25"/>
    <row r="8008" hidden="1" x14ac:dyDescent="0.25"/>
    <row r="8009" hidden="1" x14ac:dyDescent="0.25"/>
    <row r="8010" hidden="1" x14ac:dyDescent="0.25"/>
    <row r="8011" hidden="1" x14ac:dyDescent="0.25"/>
    <row r="8012" hidden="1" x14ac:dyDescent="0.25"/>
    <row r="8013" hidden="1" x14ac:dyDescent="0.25"/>
    <row r="8014" hidden="1" x14ac:dyDescent="0.25"/>
    <row r="8015" hidden="1" x14ac:dyDescent="0.25"/>
    <row r="8016" hidden="1" x14ac:dyDescent="0.25"/>
    <row r="8017" hidden="1" x14ac:dyDescent="0.25"/>
    <row r="8018" hidden="1" x14ac:dyDescent="0.25"/>
    <row r="8019" hidden="1" x14ac:dyDescent="0.25"/>
    <row r="8020" hidden="1" x14ac:dyDescent="0.25"/>
    <row r="8021" hidden="1" x14ac:dyDescent="0.25"/>
    <row r="8022" hidden="1" x14ac:dyDescent="0.25"/>
    <row r="8023" hidden="1" x14ac:dyDescent="0.25"/>
    <row r="8024" hidden="1" x14ac:dyDescent="0.25"/>
    <row r="8025" hidden="1" x14ac:dyDescent="0.25"/>
    <row r="8026" hidden="1" x14ac:dyDescent="0.25"/>
    <row r="8027" hidden="1" x14ac:dyDescent="0.25"/>
    <row r="8028" hidden="1" x14ac:dyDescent="0.25"/>
    <row r="8029" hidden="1" x14ac:dyDescent="0.25"/>
    <row r="8030" hidden="1" x14ac:dyDescent="0.25"/>
    <row r="8031" hidden="1" x14ac:dyDescent="0.25"/>
    <row r="8032" hidden="1" x14ac:dyDescent="0.25"/>
    <row r="8033" hidden="1" x14ac:dyDescent="0.25"/>
    <row r="8034" hidden="1" x14ac:dyDescent="0.25"/>
    <row r="8035" hidden="1" x14ac:dyDescent="0.25"/>
    <row r="8036" hidden="1" x14ac:dyDescent="0.25"/>
    <row r="8037" hidden="1" x14ac:dyDescent="0.25"/>
    <row r="8038" hidden="1" x14ac:dyDescent="0.25"/>
    <row r="8039" hidden="1" x14ac:dyDescent="0.25"/>
    <row r="8040" hidden="1" x14ac:dyDescent="0.25"/>
    <row r="8041" hidden="1" x14ac:dyDescent="0.25"/>
    <row r="8042" hidden="1" x14ac:dyDescent="0.25"/>
    <row r="8043" hidden="1" x14ac:dyDescent="0.25"/>
    <row r="8044" hidden="1" x14ac:dyDescent="0.25"/>
    <row r="8045" hidden="1" x14ac:dyDescent="0.25"/>
    <row r="8046" hidden="1" x14ac:dyDescent="0.25"/>
    <row r="8047" hidden="1" x14ac:dyDescent="0.25"/>
    <row r="8048" hidden="1" x14ac:dyDescent="0.25"/>
    <row r="8049" hidden="1" x14ac:dyDescent="0.25"/>
    <row r="8050" hidden="1" x14ac:dyDescent="0.25"/>
    <row r="8051" hidden="1" x14ac:dyDescent="0.25"/>
    <row r="8052" hidden="1" x14ac:dyDescent="0.25"/>
    <row r="8053" hidden="1" x14ac:dyDescent="0.25"/>
    <row r="8054" hidden="1" x14ac:dyDescent="0.25"/>
    <row r="8055" hidden="1" x14ac:dyDescent="0.25"/>
    <row r="8056" hidden="1" x14ac:dyDescent="0.25"/>
    <row r="8057" hidden="1" x14ac:dyDescent="0.25"/>
    <row r="8058" hidden="1" x14ac:dyDescent="0.25"/>
    <row r="8059" hidden="1" x14ac:dyDescent="0.25"/>
    <row r="8060" hidden="1" x14ac:dyDescent="0.25"/>
    <row r="8061" hidden="1" x14ac:dyDescent="0.25"/>
    <row r="8062" hidden="1" x14ac:dyDescent="0.25"/>
    <row r="8063" hidden="1" x14ac:dyDescent="0.25"/>
    <row r="8064" hidden="1" x14ac:dyDescent="0.25"/>
    <row r="8065" hidden="1" x14ac:dyDescent="0.25"/>
    <row r="8066" hidden="1" x14ac:dyDescent="0.25"/>
    <row r="8067" hidden="1" x14ac:dyDescent="0.25"/>
    <row r="8068" hidden="1" x14ac:dyDescent="0.25"/>
    <row r="8069" hidden="1" x14ac:dyDescent="0.25"/>
    <row r="8070" hidden="1" x14ac:dyDescent="0.25"/>
    <row r="8071" hidden="1" x14ac:dyDescent="0.25"/>
    <row r="8072" hidden="1" x14ac:dyDescent="0.25"/>
    <row r="8073" hidden="1" x14ac:dyDescent="0.25"/>
    <row r="8074" hidden="1" x14ac:dyDescent="0.25"/>
    <row r="8075" hidden="1" x14ac:dyDescent="0.25"/>
    <row r="8076" hidden="1" x14ac:dyDescent="0.25"/>
    <row r="8077" hidden="1" x14ac:dyDescent="0.25"/>
    <row r="8078" hidden="1" x14ac:dyDescent="0.25"/>
    <row r="8079" hidden="1" x14ac:dyDescent="0.25"/>
    <row r="8080" hidden="1" x14ac:dyDescent="0.25"/>
    <row r="8081" hidden="1" x14ac:dyDescent="0.25"/>
    <row r="8082" hidden="1" x14ac:dyDescent="0.25"/>
    <row r="8083" hidden="1" x14ac:dyDescent="0.25"/>
    <row r="8084" hidden="1" x14ac:dyDescent="0.25"/>
    <row r="8085" hidden="1" x14ac:dyDescent="0.25"/>
    <row r="8086" hidden="1" x14ac:dyDescent="0.25"/>
    <row r="8087" hidden="1" x14ac:dyDescent="0.25"/>
    <row r="8088" hidden="1" x14ac:dyDescent="0.25"/>
    <row r="8089" hidden="1" x14ac:dyDescent="0.25"/>
    <row r="8090" hidden="1" x14ac:dyDescent="0.25"/>
    <row r="8091" hidden="1" x14ac:dyDescent="0.25"/>
    <row r="8092" hidden="1" x14ac:dyDescent="0.25"/>
    <row r="8093" hidden="1" x14ac:dyDescent="0.25"/>
    <row r="8094" hidden="1" x14ac:dyDescent="0.25"/>
    <row r="8095" hidden="1" x14ac:dyDescent="0.25"/>
    <row r="8096" hidden="1" x14ac:dyDescent="0.25"/>
    <row r="8097" hidden="1" x14ac:dyDescent="0.25"/>
    <row r="8098" hidden="1" x14ac:dyDescent="0.25"/>
    <row r="8099" hidden="1" x14ac:dyDescent="0.25"/>
    <row r="8100" hidden="1" x14ac:dyDescent="0.25"/>
    <row r="8101" hidden="1" x14ac:dyDescent="0.25"/>
    <row r="8102" hidden="1" x14ac:dyDescent="0.25"/>
    <row r="8103" hidden="1" x14ac:dyDescent="0.25"/>
    <row r="8104" hidden="1" x14ac:dyDescent="0.25"/>
    <row r="8105" hidden="1" x14ac:dyDescent="0.25"/>
    <row r="8106" hidden="1" x14ac:dyDescent="0.25"/>
    <row r="8107" hidden="1" x14ac:dyDescent="0.25"/>
    <row r="8108" hidden="1" x14ac:dyDescent="0.25"/>
    <row r="8109" hidden="1" x14ac:dyDescent="0.25"/>
    <row r="8110" hidden="1" x14ac:dyDescent="0.25"/>
    <row r="8111" hidden="1" x14ac:dyDescent="0.25"/>
    <row r="8112" hidden="1" x14ac:dyDescent="0.25"/>
    <row r="8113" hidden="1" x14ac:dyDescent="0.25"/>
    <row r="8114" hidden="1" x14ac:dyDescent="0.25"/>
    <row r="8115" hidden="1" x14ac:dyDescent="0.25"/>
    <row r="8116" hidden="1" x14ac:dyDescent="0.25"/>
    <row r="8117" hidden="1" x14ac:dyDescent="0.25"/>
    <row r="8118" hidden="1" x14ac:dyDescent="0.25"/>
    <row r="8119" hidden="1" x14ac:dyDescent="0.25"/>
    <row r="8120" hidden="1" x14ac:dyDescent="0.25"/>
    <row r="8121" hidden="1" x14ac:dyDescent="0.25"/>
    <row r="8122" hidden="1" x14ac:dyDescent="0.25"/>
    <row r="8123" hidden="1" x14ac:dyDescent="0.25"/>
    <row r="8124" hidden="1" x14ac:dyDescent="0.25"/>
    <row r="8125" hidden="1" x14ac:dyDescent="0.25"/>
    <row r="8126" hidden="1" x14ac:dyDescent="0.25"/>
    <row r="8127" hidden="1" x14ac:dyDescent="0.25"/>
    <row r="8128" hidden="1" x14ac:dyDescent="0.25"/>
    <row r="8129" hidden="1" x14ac:dyDescent="0.25"/>
    <row r="8130" hidden="1" x14ac:dyDescent="0.25"/>
    <row r="8131" hidden="1" x14ac:dyDescent="0.25"/>
    <row r="8132" hidden="1" x14ac:dyDescent="0.25"/>
    <row r="8133" hidden="1" x14ac:dyDescent="0.25"/>
    <row r="8134" hidden="1" x14ac:dyDescent="0.25"/>
    <row r="8135" hidden="1" x14ac:dyDescent="0.25"/>
    <row r="8136" hidden="1" x14ac:dyDescent="0.25"/>
    <row r="8137" hidden="1" x14ac:dyDescent="0.25"/>
    <row r="8138" hidden="1" x14ac:dyDescent="0.25"/>
    <row r="8139" hidden="1" x14ac:dyDescent="0.25"/>
    <row r="8140" hidden="1" x14ac:dyDescent="0.25"/>
    <row r="8141" hidden="1" x14ac:dyDescent="0.25"/>
    <row r="8142" hidden="1" x14ac:dyDescent="0.25"/>
    <row r="8143" hidden="1" x14ac:dyDescent="0.25"/>
    <row r="8144" hidden="1" x14ac:dyDescent="0.25"/>
    <row r="8145" hidden="1" x14ac:dyDescent="0.25"/>
    <row r="8146" hidden="1" x14ac:dyDescent="0.25"/>
    <row r="8147" hidden="1" x14ac:dyDescent="0.25"/>
    <row r="8148" hidden="1" x14ac:dyDescent="0.25"/>
    <row r="8149" hidden="1" x14ac:dyDescent="0.25"/>
    <row r="8150" hidden="1" x14ac:dyDescent="0.25"/>
    <row r="8151" hidden="1" x14ac:dyDescent="0.25"/>
    <row r="8152" hidden="1" x14ac:dyDescent="0.25"/>
    <row r="8153" hidden="1" x14ac:dyDescent="0.25"/>
    <row r="8154" hidden="1" x14ac:dyDescent="0.25"/>
    <row r="8155" hidden="1" x14ac:dyDescent="0.25"/>
    <row r="8156" hidden="1" x14ac:dyDescent="0.25"/>
    <row r="8157" hidden="1" x14ac:dyDescent="0.25"/>
    <row r="8158" hidden="1" x14ac:dyDescent="0.25"/>
    <row r="8159" hidden="1" x14ac:dyDescent="0.25"/>
    <row r="8160" hidden="1" x14ac:dyDescent="0.25"/>
    <row r="8161" hidden="1" x14ac:dyDescent="0.25"/>
    <row r="8162" hidden="1" x14ac:dyDescent="0.25"/>
    <row r="8163" hidden="1" x14ac:dyDescent="0.25"/>
    <row r="8164" hidden="1" x14ac:dyDescent="0.25"/>
    <row r="8165" hidden="1" x14ac:dyDescent="0.25"/>
    <row r="8166" hidden="1" x14ac:dyDescent="0.25"/>
    <row r="8167" hidden="1" x14ac:dyDescent="0.25"/>
    <row r="8168" hidden="1" x14ac:dyDescent="0.25"/>
    <row r="8169" hidden="1" x14ac:dyDescent="0.25"/>
    <row r="8170" hidden="1" x14ac:dyDescent="0.25"/>
    <row r="8171" hidden="1" x14ac:dyDescent="0.25"/>
    <row r="8172" hidden="1" x14ac:dyDescent="0.25"/>
    <row r="8173" hidden="1" x14ac:dyDescent="0.25"/>
    <row r="8174" hidden="1" x14ac:dyDescent="0.25"/>
    <row r="8175" hidden="1" x14ac:dyDescent="0.25"/>
    <row r="8176" hidden="1" x14ac:dyDescent="0.25"/>
    <row r="8177" hidden="1" x14ac:dyDescent="0.25"/>
    <row r="8178" hidden="1" x14ac:dyDescent="0.25"/>
    <row r="8179" hidden="1" x14ac:dyDescent="0.25"/>
    <row r="8180" hidden="1" x14ac:dyDescent="0.25"/>
    <row r="8181" hidden="1" x14ac:dyDescent="0.25"/>
    <row r="8182" hidden="1" x14ac:dyDescent="0.25"/>
    <row r="8183" hidden="1" x14ac:dyDescent="0.25"/>
    <row r="8184" hidden="1" x14ac:dyDescent="0.25"/>
    <row r="8185" hidden="1" x14ac:dyDescent="0.25"/>
    <row r="8186" hidden="1" x14ac:dyDescent="0.25"/>
    <row r="8187" hidden="1" x14ac:dyDescent="0.25"/>
    <row r="8188" hidden="1" x14ac:dyDescent="0.25"/>
    <row r="8189" hidden="1" x14ac:dyDescent="0.25"/>
    <row r="8190" hidden="1" x14ac:dyDescent="0.25"/>
    <row r="8191" hidden="1" x14ac:dyDescent="0.25"/>
    <row r="8192" hidden="1" x14ac:dyDescent="0.25"/>
    <row r="8193" hidden="1" x14ac:dyDescent="0.25"/>
    <row r="8194" hidden="1" x14ac:dyDescent="0.25"/>
    <row r="8195" hidden="1" x14ac:dyDescent="0.25"/>
    <row r="8196" hidden="1" x14ac:dyDescent="0.25"/>
    <row r="8197" hidden="1" x14ac:dyDescent="0.25"/>
    <row r="8198" hidden="1" x14ac:dyDescent="0.25"/>
    <row r="8199" hidden="1" x14ac:dyDescent="0.25"/>
    <row r="8200" hidden="1" x14ac:dyDescent="0.25"/>
    <row r="8201" hidden="1" x14ac:dyDescent="0.25"/>
    <row r="8202" hidden="1" x14ac:dyDescent="0.25"/>
    <row r="8203" hidden="1" x14ac:dyDescent="0.25"/>
    <row r="8204" hidden="1" x14ac:dyDescent="0.25"/>
    <row r="8205" hidden="1" x14ac:dyDescent="0.25"/>
    <row r="8206" hidden="1" x14ac:dyDescent="0.25"/>
    <row r="8207" hidden="1" x14ac:dyDescent="0.25"/>
    <row r="8208" hidden="1" x14ac:dyDescent="0.25"/>
    <row r="8209" hidden="1" x14ac:dyDescent="0.25"/>
    <row r="8210" hidden="1" x14ac:dyDescent="0.25"/>
    <row r="8211" hidden="1" x14ac:dyDescent="0.25"/>
    <row r="8212" hidden="1" x14ac:dyDescent="0.25"/>
    <row r="8213" hidden="1" x14ac:dyDescent="0.25"/>
    <row r="8214" hidden="1" x14ac:dyDescent="0.25"/>
    <row r="8215" hidden="1" x14ac:dyDescent="0.25"/>
    <row r="8216" hidden="1" x14ac:dyDescent="0.25"/>
    <row r="8217" hidden="1" x14ac:dyDescent="0.25"/>
    <row r="8218" hidden="1" x14ac:dyDescent="0.25"/>
    <row r="8219" hidden="1" x14ac:dyDescent="0.25"/>
    <row r="8220" hidden="1" x14ac:dyDescent="0.25"/>
    <row r="8221" hidden="1" x14ac:dyDescent="0.25"/>
    <row r="8222" hidden="1" x14ac:dyDescent="0.25"/>
    <row r="8223" hidden="1" x14ac:dyDescent="0.25"/>
    <row r="8224" hidden="1" x14ac:dyDescent="0.25"/>
    <row r="8225" hidden="1" x14ac:dyDescent="0.25"/>
    <row r="8226" hidden="1" x14ac:dyDescent="0.25"/>
    <row r="8227" hidden="1" x14ac:dyDescent="0.25"/>
    <row r="8228" hidden="1" x14ac:dyDescent="0.25"/>
    <row r="8229" hidden="1" x14ac:dyDescent="0.25"/>
    <row r="8230" hidden="1" x14ac:dyDescent="0.25"/>
    <row r="8231" hidden="1" x14ac:dyDescent="0.25"/>
    <row r="8232" hidden="1" x14ac:dyDescent="0.25"/>
    <row r="8233" hidden="1" x14ac:dyDescent="0.25"/>
    <row r="8234" hidden="1" x14ac:dyDescent="0.25"/>
    <row r="8235" hidden="1" x14ac:dyDescent="0.25"/>
    <row r="8236" hidden="1" x14ac:dyDescent="0.25"/>
    <row r="8237" hidden="1" x14ac:dyDescent="0.25"/>
    <row r="8238" hidden="1" x14ac:dyDescent="0.25"/>
    <row r="8239" hidden="1" x14ac:dyDescent="0.25"/>
    <row r="8240" hidden="1" x14ac:dyDescent="0.25"/>
    <row r="8241" hidden="1" x14ac:dyDescent="0.25"/>
    <row r="8242" hidden="1" x14ac:dyDescent="0.25"/>
    <row r="8243" hidden="1" x14ac:dyDescent="0.25"/>
    <row r="8244" hidden="1" x14ac:dyDescent="0.25"/>
    <row r="8245" hidden="1" x14ac:dyDescent="0.25"/>
    <row r="8246" hidden="1" x14ac:dyDescent="0.25"/>
    <row r="8247" hidden="1" x14ac:dyDescent="0.25"/>
    <row r="8248" hidden="1" x14ac:dyDescent="0.25"/>
    <row r="8249" hidden="1" x14ac:dyDescent="0.25"/>
    <row r="8250" hidden="1" x14ac:dyDescent="0.25"/>
    <row r="8251" hidden="1" x14ac:dyDescent="0.25"/>
    <row r="8252" hidden="1" x14ac:dyDescent="0.25"/>
    <row r="8253" hidden="1" x14ac:dyDescent="0.25"/>
    <row r="8254" hidden="1" x14ac:dyDescent="0.25"/>
    <row r="8255" hidden="1" x14ac:dyDescent="0.25"/>
    <row r="8256" hidden="1" x14ac:dyDescent="0.25"/>
    <row r="8257" hidden="1" x14ac:dyDescent="0.25"/>
    <row r="8258" hidden="1" x14ac:dyDescent="0.25"/>
    <row r="8259" hidden="1" x14ac:dyDescent="0.25"/>
    <row r="8260" hidden="1" x14ac:dyDescent="0.25"/>
    <row r="8261" hidden="1" x14ac:dyDescent="0.25"/>
    <row r="8262" hidden="1" x14ac:dyDescent="0.25"/>
    <row r="8263" hidden="1" x14ac:dyDescent="0.25"/>
    <row r="8264" hidden="1" x14ac:dyDescent="0.25"/>
    <row r="8265" hidden="1" x14ac:dyDescent="0.25"/>
    <row r="8266" hidden="1" x14ac:dyDescent="0.25"/>
    <row r="8267" hidden="1" x14ac:dyDescent="0.25"/>
    <row r="8268" hidden="1" x14ac:dyDescent="0.25"/>
    <row r="8269" hidden="1" x14ac:dyDescent="0.25"/>
    <row r="8270" hidden="1" x14ac:dyDescent="0.25"/>
    <row r="8271" hidden="1" x14ac:dyDescent="0.25"/>
    <row r="8272" hidden="1" x14ac:dyDescent="0.25"/>
    <row r="8273" hidden="1" x14ac:dyDescent="0.25"/>
    <row r="8274" hidden="1" x14ac:dyDescent="0.25"/>
    <row r="8275" hidden="1" x14ac:dyDescent="0.25"/>
    <row r="8276" hidden="1" x14ac:dyDescent="0.25"/>
    <row r="8277" hidden="1" x14ac:dyDescent="0.25"/>
    <row r="8278" hidden="1" x14ac:dyDescent="0.25"/>
    <row r="8279" hidden="1" x14ac:dyDescent="0.25"/>
    <row r="8280" hidden="1" x14ac:dyDescent="0.25"/>
    <row r="8281" hidden="1" x14ac:dyDescent="0.25"/>
    <row r="8282" hidden="1" x14ac:dyDescent="0.25"/>
    <row r="8283" hidden="1" x14ac:dyDescent="0.25"/>
    <row r="8284" hidden="1" x14ac:dyDescent="0.25"/>
    <row r="8285" hidden="1" x14ac:dyDescent="0.25"/>
    <row r="8286" hidden="1" x14ac:dyDescent="0.25"/>
    <row r="8287" hidden="1" x14ac:dyDescent="0.25"/>
    <row r="8288" hidden="1" x14ac:dyDescent="0.25"/>
    <row r="8289" hidden="1" x14ac:dyDescent="0.25"/>
    <row r="8290" hidden="1" x14ac:dyDescent="0.25"/>
    <row r="8291" hidden="1" x14ac:dyDescent="0.25"/>
    <row r="8292" hidden="1" x14ac:dyDescent="0.25"/>
    <row r="8293" hidden="1" x14ac:dyDescent="0.25"/>
    <row r="8294" hidden="1" x14ac:dyDescent="0.25"/>
    <row r="8295" hidden="1" x14ac:dyDescent="0.25"/>
    <row r="8296" hidden="1" x14ac:dyDescent="0.25"/>
    <row r="8297" hidden="1" x14ac:dyDescent="0.25"/>
    <row r="8298" hidden="1" x14ac:dyDescent="0.25"/>
    <row r="8299" hidden="1" x14ac:dyDescent="0.25"/>
    <row r="8300" hidden="1" x14ac:dyDescent="0.25"/>
    <row r="8301" hidden="1" x14ac:dyDescent="0.25"/>
    <row r="8302" hidden="1" x14ac:dyDescent="0.25"/>
    <row r="8303" hidden="1" x14ac:dyDescent="0.25"/>
    <row r="8304" hidden="1" x14ac:dyDescent="0.25"/>
    <row r="8305" hidden="1" x14ac:dyDescent="0.25"/>
    <row r="8306" hidden="1" x14ac:dyDescent="0.25"/>
    <row r="8307" hidden="1" x14ac:dyDescent="0.25"/>
    <row r="8308" hidden="1" x14ac:dyDescent="0.25"/>
    <row r="8309" hidden="1" x14ac:dyDescent="0.25"/>
    <row r="8310" hidden="1" x14ac:dyDescent="0.25"/>
    <row r="8311" hidden="1" x14ac:dyDescent="0.25"/>
    <row r="8312" hidden="1" x14ac:dyDescent="0.25"/>
    <row r="8313" hidden="1" x14ac:dyDescent="0.25"/>
    <row r="8314" hidden="1" x14ac:dyDescent="0.25"/>
    <row r="8315" hidden="1" x14ac:dyDescent="0.25"/>
    <row r="8316" hidden="1" x14ac:dyDescent="0.25"/>
    <row r="8317" hidden="1" x14ac:dyDescent="0.25"/>
    <row r="8318" hidden="1" x14ac:dyDescent="0.25"/>
    <row r="8319" hidden="1" x14ac:dyDescent="0.25"/>
    <row r="8320" hidden="1" x14ac:dyDescent="0.25"/>
    <row r="8321" hidden="1" x14ac:dyDescent="0.25"/>
    <row r="8322" hidden="1" x14ac:dyDescent="0.25"/>
    <row r="8323" hidden="1" x14ac:dyDescent="0.25"/>
    <row r="8324" hidden="1" x14ac:dyDescent="0.25"/>
    <row r="8325" hidden="1" x14ac:dyDescent="0.25"/>
    <row r="8326" hidden="1" x14ac:dyDescent="0.25"/>
    <row r="8327" hidden="1" x14ac:dyDescent="0.25"/>
    <row r="8328" hidden="1" x14ac:dyDescent="0.25"/>
    <row r="8329" hidden="1" x14ac:dyDescent="0.25"/>
    <row r="8330" hidden="1" x14ac:dyDescent="0.25"/>
    <row r="8331" hidden="1" x14ac:dyDescent="0.25"/>
    <row r="8332" hidden="1" x14ac:dyDescent="0.25"/>
    <row r="8333" hidden="1" x14ac:dyDescent="0.25"/>
    <row r="8334" hidden="1" x14ac:dyDescent="0.25"/>
    <row r="8335" hidden="1" x14ac:dyDescent="0.25"/>
    <row r="8336" hidden="1" x14ac:dyDescent="0.25"/>
    <row r="8337" hidden="1" x14ac:dyDescent="0.25"/>
    <row r="8338" hidden="1" x14ac:dyDescent="0.25"/>
    <row r="8339" hidden="1" x14ac:dyDescent="0.25"/>
    <row r="8340" hidden="1" x14ac:dyDescent="0.25"/>
    <row r="8341" hidden="1" x14ac:dyDescent="0.25"/>
    <row r="8342" hidden="1" x14ac:dyDescent="0.25"/>
    <row r="8343" hidden="1" x14ac:dyDescent="0.25"/>
    <row r="8344" hidden="1" x14ac:dyDescent="0.25"/>
    <row r="8345" hidden="1" x14ac:dyDescent="0.25"/>
    <row r="8346" hidden="1" x14ac:dyDescent="0.25"/>
    <row r="8347" hidden="1" x14ac:dyDescent="0.25"/>
    <row r="8348" hidden="1" x14ac:dyDescent="0.25"/>
    <row r="8349" hidden="1" x14ac:dyDescent="0.25"/>
    <row r="8350" hidden="1" x14ac:dyDescent="0.25"/>
    <row r="8351" hidden="1" x14ac:dyDescent="0.25"/>
    <row r="8352" hidden="1" x14ac:dyDescent="0.25"/>
    <row r="8353" hidden="1" x14ac:dyDescent="0.25"/>
    <row r="8354" hidden="1" x14ac:dyDescent="0.25"/>
    <row r="8355" hidden="1" x14ac:dyDescent="0.25"/>
    <row r="8356" hidden="1" x14ac:dyDescent="0.25"/>
    <row r="8357" hidden="1" x14ac:dyDescent="0.25"/>
    <row r="8358" hidden="1" x14ac:dyDescent="0.25"/>
    <row r="8359" hidden="1" x14ac:dyDescent="0.25"/>
    <row r="8360" hidden="1" x14ac:dyDescent="0.25"/>
    <row r="8361" hidden="1" x14ac:dyDescent="0.25"/>
    <row r="8362" hidden="1" x14ac:dyDescent="0.25"/>
    <row r="8363" hidden="1" x14ac:dyDescent="0.25"/>
    <row r="8364" hidden="1" x14ac:dyDescent="0.25"/>
    <row r="8365" hidden="1" x14ac:dyDescent="0.25"/>
    <row r="8366" hidden="1" x14ac:dyDescent="0.25"/>
    <row r="8367" hidden="1" x14ac:dyDescent="0.25"/>
    <row r="8368" hidden="1" x14ac:dyDescent="0.25"/>
    <row r="8369" hidden="1" x14ac:dyDescent="0.25"/>
    <row r="8370" hidden="1" x14ac:dyDescent="0.25"/>
    <row r="8371" hidden="1" x14ac:dyDescent="0.25"/>
    <row r="8372" hidden="1" x14ac:dyDescent="0.25"/>
    <row r="8373" hidden="1" x14ac:dyDescent="0.25"/>
    <row r="8374" hidden="1" x14ac:dyDescent="0.25"/>
    <row r="8375" hidden="1" x14ac:dyDescent="0.25"/>
    <row r="8376" hidden="1" x14ac:dyDescent="0.25"/>
    <row r="8377" hidden="1" x14ac:dyDescent="0.25"/>
    <row r="8378" hidden="1" x14ac:dyDescent="0.25"/>
    <row r="8379" hidden="1" x14ac:dyDescent="0.25"/>
    <row r="8380" hidden="1" x14ac:dyDescent="0.25"/>
    <row r="8381" hidden="1" x14ac:dyDescent="0.25"/>
    <row r="8382" hidden="1" x14ac:dyDescent="0.25"/>
    <row r="8383" hidden="1" x14ac:dyDescent="0.25"/>
    <row r="8384" hidden="1" x14ac:dyDescent="0.25"/>
    <row r="8385" hidden="1" x14ac:dyDescent="0.25"/>
    <row r="8386" hidden="1" x14ac:dyDescent="0.25"/>
    <row r="8387" hidden="1" x14ac:dyDescent="0.25"/>
    <row r="8388" hidden="1" x14ac:dyDescent="0.25"/>
    <row r="8389" hidden="1" x14ac:dyDescent="0.25"/>
    <row r="8390" hidden="1" x14ac:dyDescent="0.25"/>
    <row r="8391" hidden="1" x14ac:dyDescent="0.25"/>
    <row r="8392" hidden="1" x14ac:dyDescent="0.25"/>
    <row r="8393" hidden="1" x14ac:dyDescent="0.25"/>
    <row r="8394" hidden="1" x14ac:dyDescent="0.25"/>
    <row r="8395" hidden="1" x14ac:dyDescent="0.25"/>
    <row r="8396" hidden="1" x14ac:dyDescent="0.25"/>
    <row r="8397" hidden="1" x14ac:dyDescent="0.25"/>
    <row r="8398" hidden="1" x14ac:dyDescent="0.25"/>
    <row r="8399" hidden="1" x14ac:dyDescent="0.25"/>
    <row r="8400" hidden="1" x14ac:dyDescent="0.25"/>
    <row r="8401" hidden="1" x14ac:dyDescent="0.25"/>
    <row r="8402" hidden="1" x14ac:dyDescent="0.25"/>
    <row r="8403" hidden="1" x14ac:dyDescent="0.25"/>
    <row r="8404" hidden="1" x14ac:dyDescent="0.25"/>
    <row r="8405" hidden="1" x14ac:dyDescent="0.25"/>
    <row r="8406" hidden="1" x14ac:dyDescent="0.25"/>
    <row r="8407" hidden="1" x14ac:dyDescent="0.25"/>
    <row r="8408" hidden="1" x14ac:dyDescent="0.25"/>
    <row r="8409" hidden="1" x14ac:dyDescent="0.25"/>
    <row r="8410" hidden="1" x14ac:dyDescent="0.25"/>
    <row r="8411" hidden="1" x14ac:dyDescent="0.25"/>
    <row r="8412" hidden="1" x14ac:dyDescent="0.25"/>
    <row r="8413" hidden="1" x14ac:dyDescent="0.25"/>
    <row r="8414" hidden="1" x14ac:dyDescent="0.25"/>
    <row r="8415" hidden="1" x14ac:dyDescent="0.25"/>
    <row r="8416" hidden="1" x14ac:dyDescent="0.25"/>
    <row r="8417" hidden="1" x14ac:dyDescent="0.25"/>
    <row r="8418" hidden="1" x14ac:dyDescent="0.25"/>
    <row r="8419" hidden="1" x14ac:dyDescent="0.25"/>
    <row r="8420" hidden="1" x14ac:dyDescent="0.25"/>
    <row r="8421" hidden="1" x14ac:dyDescent="0.25"/>
    <row r="8422" hidden="1" x14ac:dyDescent="0.25"/>
    <row r="8423" hidden="1" x14ac:dyDescent="0.25"/>
    <row r="8424" hidden="1" x14ac:dyDescent="0.25"/>
    <row r="8425" hidden="1" x14ac:dyDescent="0.25"/>
    <row r="8426" hidden="1" x14ac:dyDescent="0.25"/>
    <row r="8427" hidden="1" x14ac:dyDescent="0.25"/>
    <row r="8428" hidden="1" x14ac:dyDescent="0.25"/>
    <row r="8429" hidden="1" x14ac:dyDescent="0.25"/>
    <row r="8430" hidden="1" x14ac:dyDescent="0.25"/>
    <row r="8431" hidden="1" x14ac:dyDescent="0.25"/>
    <row r="8432" hidden="1" x14ac:dyDescent="0.25"/>
    <row r="8433" hidden="1" x14ac:dyDescent="0.25"/>
    <row r="8434" hidden="1" x14ac:dyDescent="0.25"/>
    <row r="8435" hidden="1" x14ac:dyDescent="0.25"/>
    <row r="8436" hidden="1" x14ac:dyDescent="0.25"/>
    <row r="8437" hidden="1" x14ac:dyDescent="0.25"/>
    <row r="8438" hidden="1" x14ac:dyDescent="0.25"/>
    <row r="8439" hidden="1" x14ac:dyDescent="0.25"/>
    <row r="8440" hidden="1" x14ac:dyDescent="0.25"/>
    <row r="8441" hidden="1" x14ac:dyDescent="0.25"/>
    <row r="8442" hidden="1" x14ac:dyDescent="0.25"/>
    <row r="8443" hidden="1" x14ac:dyDescent="0.25"/>
    <row r="8444" hidden="1" x14ac:dyDescent="0.25"/>
    <row r="8445" hidden="1" x14ac:dyDescent="0.25"/>
    <row r="8446" hidden="1" x14ac:dyDescent="0.25"/>
    <row r="8447" hidden="1" x14ac:dyDescent="0.25"/>
    <row r="8448" hidden="1" x14ac:dyDescent="0.25"/>
    <row r="8449" hidden="1" x14ac:dyDescent="0.25"/>
    <row r="8450" hidden="1" x14ac:dyDescent="0.25"/>
    <row r="8451" hidden="1" x14ac:dyDescent="0.25"/>
    <row r="8452" hidden="1" x14ac:dyDescent="0.25"/>
    <row r="8453" hidden="1" x14ac:dyDescent="0.25"/>
    <row r="8454" hidden="1" x14ac:dyDescent="0.25"/>
    <row r="8455" hidden="1" x14ac:dyDescent="0.25"/>
    <row r="8456" hidden="1" x14ac:dyDescent="0.25"/>
    <row r="8457" hidden="1" x14ac:dyDescent="0.25"/>
    <row r="8458" hidden="1" x14ac:dyDescent="0.25"/>
    <row r="8459" hidden="1" x14ac:dyDescent="0.25"/>
    <row r="8460" hidden="1" x14ac:dyDescent="0.25"/>
    <row r="8461" hidden="1" x14ac:dyDescent="0.25"/>
    <row r="8462" hidden="1" x14ac:dyDescent="0.25"/>
    <row r="8463" hidden="1" x14ac:dyDescent="0.25"/>
    <row r="8464" hidden="1" x14ac:dyDescent="0.25"/>
    <row r="8465" hidden="1" x14ac:dyDescent="0.25"/>
    <row r="8466" hidden="1" x14ac:dyDescent="0.25"/>
    <row r="8467" hidden="1" x14ac:dyDescent="0.25"/>
    <row r="8468" hidden="1" x14ac:dyDescent="0.25"/>
    <row r="8469" hidden="1" x14ac:dyDescent="0.25"/>
    <row r="8470" hidden="1" x14ac:dyDescent="0.25"/>
    <row r="8471" hidden="1" x14ac:dyDescent="0.25"/>
    <row r="8472" hidden="1" x14ac:dyDescent="0.25"/>
    <row r="8473" hidden="1" x14ac:dyDescent="0.25"/>
    <row r="8474" hidden="1" x14ac:dyDescent="0.25"/>
    <row r="8475" hidden="1" x14ac:dyDescent="0.25"/>
    <row r="8476" hidden="1" x14ac:dyDescent="0.25"/>
    <row r="8477" hidden="1" x14ac:dyDescent="0.25"/>
    <row r="8478" hidden="1" x14ac:dyDescent="0.25"/>
    <row r="8479" hidden="1" x14ac:dyDescent="0.25"/>
    <row r="8480" hidden="1" x14ac:dyDescent="0.25"/>
    <row r="8481" hidden="1" x14ac:dyDescent="0.25"/>
    <row r="8482" hidden="1" x14ac:dyDescent="0.25"/>
    <row r="8483" hidden="1" x14ac:dyDescent="0.25"/>
    <row r="8484" hidden="1" x14ac:dyDescent="0.25"/>
    <row r="8485" hidden="1" x14ac:dyDescent="0.25"/>
    <row r="8486" hidden="1" x14ac:dyDescent="0.25"/>
    <row r="8487" hidden="1" x14ac:dyDescent="0.25"/>
    <row r="8488" hidden="1" x14ac:dyDescent="0.25"/>
    <row r="8489" hidden="1" x14ac:dyDescent="0.25"/>
    <row r="8490" hidden="1" x14ac:dyDescent="0.25"/>
    <row r="8491" hidden="1" x14ac:dyDescent="0.25"/>
    <row r="8492" hidden="1" x14ac:dyDescent="0.25"/>
    <row r="8493" hidden="1" x14ac:dyDescent="0.25"/>
    <row r="8494" hidden="1" x14ac:dyDescent="0.25"/>
    <row r="8495" hidden="1" x14ac:dyDescent="0.25"/>
    <row r="8496" hidden="1" x14ac:dyDescent="0.25"/>
    <row r="8497" hidden="1" x14ac:dyDescent="0.25"/>
    <row r="8498" hidden="1" x14ac:dyDescent="0.25"/>
    <row r="8499" hidden="1" x14ac:dyDescent="0.25"/>
    <row r="8500" hidden="1" x14ac:dyDescent="0.25"/>
    <row r="8501" hidden="1" x14ac:dyDescent="0.25"/>
    <row r="8502" hidden="1" x14ac:dyDescent="0.25"/>
    <row r="8503" hidden="1" x14ac:dyDescent="0.25"/>
    <row r="8504" hidden="1" x14ac:dyDescent="0.25"/>
    <row r="8505" hidden="1" x14ac:dyDescent="0.25"/>
    <row r="8506" hidden="1" x14ac:dyDescent="0.25"/>
    <row r="8507" hidden="1" x14ac:dyDescent="0.25"/>
    <row r="8508" hidden="1" x14ac:dyDescent="0.25"/>
    <row r="8509" hidden="1" x14ac:dyDescent="0.25"/>
    <row r="8510" hidden="1" x14ac:dyDescent="0.25"/>
    <row r="8511" hidden="1" x14ac:dyDescent="0.25"/>
    <row r="8512" hidden="1" x14ac:dyDescent="0.25"/>
    <row r="8513" hidden="1" x14ac:dyDescent="0.25"/>
    <row r="8514" hidden="1" x14ac:dyDescent="0.25"/>
    <row r="8515" hidden="1" x14ac:dyDescent="0.25"/>
    <row r="8516" hidden="1" x14ac:dyDescent="0.25"/>
    <row r="8517" hidden="1" x14ac:dyDescent="0.25"/>
    <row r="8518" hidden="1" x14ac:dyDescent="0.25"/>
    <row r="8519" hidden="1" x14ac:dyDescent="0.25"/>
    <row r="8520" hidden="1" x14ac:dyDescent="0.25"/>
    <row r="8521" hidden="1" x14ac:dyDescent="0.25"/>
    <row r="8522" hidden="1" x14ac:dyDescent="0.25"/>
    <row r="8523" hidden="1" x14ac:dyDescent="0.25"/>
    <row r="8524" hidden="1" x14ac:dyDescent="0.25"/>
    <row r="8525" hidden="1" x14ac:dyDescent="0.25"/>
    <row r="8526" hidden="1" x14ac:dyDescent="0.25"/>
    <row r="8527" hidden="1" x14ac:dyDescent="0.25"/>
    <row r="8528" hidden="1" x14ac:dyDescent="0.25"/>
    <row r="8529" hidden="1" x14ac:dyDescent="0.25"/>
    <row r="8530" hidden="1" x14ac:dyDescent="0.25"/>
    <row r="8531" hidden="1" x14ac:dyDescent="0.25"/>
    <row r="8532" hidden="1" x14ac:dyDescent="0.25"/>
    <row r="8533" hidden="1" x14ac:dyDescent="0.25"/>
    <row r="8534" hidden="1" x14ac:dyDescent="0.25"/>
    <row r="8535" hidden="1" x14ac:dyDescent="0.25"/>
    <row r="8536" hidden="1" x14ac:dyDescent="0.25"/>
    <row r="8537" hidden="1" x14ac:dyDescent="0.25"/>
    <row r="8538" hidden="1" x14ac:dyDescent="0.25"/>
    <row r="8539" hidden="1" x14ac:dyDescent="0.25"/>
    <row r="8540" hidden="1" x14ac:dyDescent="0.25"/>
    <row r="8541" hidden="1" x14ac:dyDescent="0.25"/>
    <row r="8542" hidden="1" x14ac:dyDescent="0.25"/>
    <row r="8543" hidden="1" x14ac:dyDescent="0.25"/>
    <row r="8544" hidden="1" x14ac:dyDescent="0.25"/>
    <row r="8545" hidden="1" x14ac:dyDescent="0.25"/>
    <row r="8546" hidden="1" x14ac:dyDescent="0.25"/>
    <row r="8547" hidden="1" x14ac:dyDescent="0.25"/>
    <row r="8548" hidden="1" x14ac:dyDescent="0.25"/>
    <row r="8549" hidden="1" x14ac:dyDescent="0.25"/>
    <row r="8550" hidden="1" x14ac:dyDescent="0.25"/>
    <row r="8551" hidden="1" x14ac:dyDescent="0.25"/>
    <row r="8552" hidden="1" x14ac:dyDescent="0.25"/>
    <row r="8553" hidden="1" x14ac:dyDescent="0.25"/>
    <row r="8554" hidden="1" x14ac:dyDescent="0.25"/>
    <row r="8555" hidden="1" x14ac:dyDescent="0.25"/>
    <row r="8556" hidden="1" x14ac:dyDescent="0.25"/>
    <row r="8557" hidden="1" x14ac:dyDescent="0.25"/>
    <row r="8558" hidden="1" x14ac:dyDescent="0.25"/>
    <row r="8559" hidden="1" x14ac:dyDescent="0.25"/>
    <row r="8560" hidden="1" x14ac:dyDescent="0.25"/>
    <row r="8561" hidden="1" x14ac:dyDescent="0.25"/>
    <row r="8562" hidden="1" x14ac:dyDescent="0.25"/>
    <row r="8563" hidden="1" x14ac:dyDescent="0.25"/>
    <row r="8564" hidden="1" x14ac:dyDescent="0.25"/>
    <row r="8565" hidden="1" x14ac:dyDescent="0.25"/>
    <row r="8566" hidden="1" x14ac:dyDescent="0.25"/>
    <row r="8567" hidden="1" x14ac:dyDescent="0.25"/>
    <row r="8568" hidden="1" x14ac:dyDescent="0.25"/>
    <row r="8569" hidden="1" x14ac:dyDescent="0.25"/>
    <row r="8570" hidden="1" x14ac:dyDescent="0.25"/>
    <row r="8571" hidden="1" x14ac:dyDescent="0.25"/>
    <row r="8572" hidden="1" x14ac:dyDescent="0.25"/>
    <row r="8573" hidden="1" x14ac:dyDescent="0.25"/>
    <row r="8574" hidden="1" x14ac:dyDescent="0.25"/>
    <row r="8575" hidden="1" x14ac:dyDescent="0.25"/>
    <row r="8576" hidden="1" x14ac:dyDescent="0.25"/>
    <row r="8577" hidden="1" x14ac:dyDescent="0.25"/>
    <row r="8578" hidden="1" x14ac:dyDescent="0.25"/>
    <row r="8579" hidden="1" x14ac:dyDescent="0.25"/>
    <row r="8580" hidden="1" x14ac:dyDescent="0.25"/>
    <row r="8581" hidden="1" x14ac:dyDescent="0.25"/>
    <row r="8582" hidden="1" x14ac:dyDescent="0.25"/>
    <row r="8583" hidden="1" x14ac:dyDescent="0.25"/>
    <row r="8584" hidden="1" x14ac:dyDescent="0.25"/>
    <row r="8585" hidden="1" x14ac:dyDescent="0.25"/>
    <row r="8586" hidden="1" x14ac:dyDescent="0.25"/>
    <row r="8587" hidden="1" x14ac:dyDescent="0.25"/>
    <row r="8588" hidden="1" x14ac:dyDescent="0.25"/>
    <row r="8589" hidden="1" x14ac:dyDescent="0.25"/>
    <row r="8590" hidden="1" x14ac:dyDescent="0.25"/>
    <row r="8591" hidden="1" x14ac:dyDescent="0.25"/>
    <row r="8592" hidden="1" x14ac:dyDescent="0.25"/>
    <row r="8593" hidden="1" x14ac:dyDescent="0.25"/>
    <row r="8594" hidden="1" x14ac:dyDescent="0.25"/>
    <row r="8595" hidden="1" x14ac:dyDescent="0.25"/>
    <row r="8596" hidden="1" x14ac:dyDescent="0.25"/>
    <row r="8597" hidden="1" x14ac:dyDescent="0.25"/>
    <row r="8598" hidden="1" x14ac:dyDescent="0.25"/>
    <row r="8599" hidden="1" x14ac:dyDescent="0.25"/>
    <row r="8600" hidden="1" x14ac:dyDescent="0.25"/>
    <row r="8601" hidden="1" x14ac:dyDescent="0.25"/>
    <row r="8602" hidden="1" x14ac:dyDescent="0.25"/>
    <row r="8603" hidden="1" x14ac:dyDescent="0.25"/>
    <row r="8604" hidden="1" x14ac:dyDescent="0.25"/>
    <row r="8605" hidden="1" x14ac:dyDescent="0.25"/>
    <row r="8606" hidden="1" x14ac:dyDescent="0.25"/>
    <row r="8607" hidden="1" x14ac:dyDescent="0.25"/>
    <row r="8608" hidden="1" x14ac:dyDescent="0.25"/>
    <row r="8609" hidden="1" x14ac:dyDescent="0.25"/>
    <row r="8610" hidden="1" x14ac:dyDescent="0.25"/>
    <row r="8611" hidden="1" x14ac:dyDescent="0.25"/>
    <row r="8612" hidden="1" x14ac:dyDescent="0.25"/>
    <row r="8613" hidden="1" x14ac:dyDescent="0.25"/>
    <row r="8614" hidden="1" x14ac:dyDescent="0.25"/>
    <row r="8615" hidden="1" x14ac:dyDescent="0.25"/>
    <row r="8616" hidden="1" x14ac:dyDescent="0.25"/>
    <row r="8617" hidden="1" x14ac:dyDescent="0.25"/>
    <row r="8618" hidden="1" x14ac:dyDescent="0.25"/>
    <row r="8619" hidden="1" x14ac:dyDescent="0.25"/>
    <row r="8620" hidden="1" x14ac:dyDescent="0.25"/>
    <row r="8621" hidden="1" x14ac:dyDescent="0.25"/>
    <row r="8622" hidden="1" x14ac:dyDescent="0.25"/>
    <row r="8623" hidden="1" x14ac:dyDescent="0.25"/>
    <row r="8624" hidden="1" x14ac:dyDescent="0.25"/>
    <row r="8625" hidden="1" x14ac:dyDescent="0.25"/>
    <row r="8626" hidden="1" x14ac:dyDescent="0.25"/>
    <row r="8627" hidden="1" x14ac:dyDescent="0.25"/>
    <row r="8628" hidden="1" x14ac:dyDescent="0.25"/>
    <row r="8629" hidden="1" x14ac:dyDescent="0.25"/>
    <row r="8630" hidden="1" x14ac:dyDescent="0.25"/>
    <row r="8631" hidden="1" x14ac:dyDescent="0.25"/>
    <row r="8632" hidden="1" x14ac:dyDescent="0.25"/>
    <row r="8633" hidden="1" x14ac:dyDescent="0.25"/>
    <row r="8634" hidden="1" x14ac:dyDescent="0.25"/>
    <row r="8635" hidden="1" x14ac:dyDescent="0.25"/>
    <row r="8636" hidden="1" x14ac:dyDescent="0.25"/>
    <row r="8637" hidden="1" x14ac:dyDescent="0.25"/>
    <row r="8638" hidden="1" x14ac:dyDescent="0.25"/>
    <row r="8639" hidden="1" x14ac:dyDescent="0.25"/>
    <row r="8640" hidden="1" x14ac:dyDescent="0.25"/>
    <row r="8641" hidden="1" x14ac:dyDescent="0.25"/>
    <row r="8642" hidden="1" x14ac:dyDescent="0.25"/>
    <row r="8643" hidden="1" x14ac:dyDescent="0.25"/>
    <row r="8644" hidden="1" x14ac:dyDescent="0.25"/>
    <row r="8645" hidden="1" x14ac:dyDescent="0.25"/>
    <row r="8646" hidden="1" x14ac:dyDescent="0.25"/>
    <row r="8647" hidden="1" x14ac:dyDescent="0.25"/>
    <row r="8648" hidden="1" x14ac:dyDescent="0.25"/>
    <row r="8649" hidden="1" x14ac:dyDescent="0.25"/>
    <row r="8650" hidden="1" x14ac:dyDescent="0.25"/>
    <row r="8651" hidden="1" x14ac:dyDescent="0.25"/>
    <row r="8652" hidden="1" x14ac:dyDescent="0.25"/>
    <row r="8653" hidden="1" x14ac:dyDescent="0.25"/>
    <row r="8654" hidden="1" x14ac:dyDescent="0.25"/>
    <row r="8655" hidden="1" x14ac:dyDescent="0.25"/>
    <row r="8656" hidden="1" x14ac:dyDescent="0.25"/>
    <row r="8657" hidden="1" x14ac:dyDescent="0.25"/>
    <row r="8658" hidden="1" x14ac:dyDescent="0.25"/>
    <row r="8659" hidden="1" x14ac:dyDescent="0.25"/>
    <row r="8660" hidden="1" x14ac:dyDescent="0.25"/>
    <row r="8661" hidden="1" x14ac:dyDescent="0.25"/>
    <row r="8662" hidden="1" x14ac:dyDescent="0.25"/>
    <row r="8663" hidden="1" x14ac:dyDescent="0.25"/>
    <row r="8664" hidden="1" x14ac:dyDescent="0.25"/>
    <row r="8665" hidden="1" x14ac:dyDescent="0.25"/>
    <row r="8666" hidden="1" x14ac:dyDescent="0.25"/>
    <row r="8667" hidden="1" x14ac:dyDescent="0.25"/>
    <row r="8668" hidden="1" x14ac:dyDescent="0.25"/>
    <row r="8669" hidden="1" x14ac:dyDescent="0.25"/>
    <row r="8670" hidden="1" x14ac:dyDescent="0.25"/>
    <row r="8671" hidden="1" x14ac:dyDescent="0.25"/>
    <row r="8672" hidden="1" x14ac:dyDescent="0.25"/>
    <row r="8673" hidden="1" x14ac:dyDescent="0.25"/>
    <row r="8674" hidden="1" x14ac:dyDescent="0.25"/>
    <row r="8675" hidden="1" x14ac:dyDescent="0.25"/>
    <row r="8676" hidden="1" x14ac:dyDescent="0.25"/>
    <row r="8677" hidden="1" x14ac:dyDescent="0.25"/>
    <row r="8678" hidden="1" x14ac:dyDescent="0.25"/>
    <row r="8679" hidden="1" x14ac:dyDescent="0.25"/>
    <row r="8680" hidden="1" x14ac:dyDescent="0.25"/>
    <row r="8681" hidden="1" x14ac:dyDescent="0.25"/>
    <row r="8682" hidden="1" x14ac:dyDescent="0.25"/>
    <row r="8683" hidden="1" x14ac:dyDescent="0.25"/>
    <row r="8684" hidden="1" x14ac:dyDescent="0.25"/>
    <row r="8685" hidden="1" x14ac:dyDescent="0.25"/>
    <row r="8686" hidden="1" x14ac:dyDescent="0.25"/>
    <row r="8687" hidden="1" x14ac:dyDescent="0.25"/>
    <row r="8688" hidden="1" x14ac:dyDescent="0.25"/>
    <row r="8689" hidden="1" x14ac:dyDescent="0.25"/>
    <row r="8690" hidden="1" x14ac:dyDescent="0.25"/>
    <row r="8691" hidden="1" x14ac:dyDescent="0.25"/>
    <row r="8692" hidden="1" x14ac:dyDescent="0.25"/>
    <row r="8693" hidden="1" x14ac:dyDescent="0.25"/>
    <row r="8694" hidden="1" x14ac:dyDescent="0.25"/>
    <row r="8695" hidden="1" x14ac:dyDescent="0.25"/>
    <row r="8696" hidden="1" x14ac:dyDescent="0.25"/>
    <row r="8697" hidden="1" x14ac:dyDescent="0.25"/>
    <row r="8698" hidden="1" x14ac:dyDescent="0.25"/>
    <row r="8699" hidden="1" x14ac:dyDescent="0.25"/>
    <row r="8700" hidden="1" x14ac:dyDescent="0.25"/>
    <row r="8701" hidden="1" x14ac:dyDescent="0.25"/>
    <row r="8702" hidden="1" x14ac:dyDescent="0.25"/>
    <row r="8703" hidden="1" x14ac:dyDescent="0.25"/>
    <row r="8704" hidden="1" x14ac:dyDescent="0.25"/>
    <row r="8705" hidden="1" x14ac:dyDescent="0.25"/>
    <row r="8706" hidden="1" x14ac:dyDescent="0.25"/>
    <row r="8707" hidden="1" x14ac:dyDescent="0.25"/>
    <row r="8708" hidden="1" x14ac:dyDescent="0.25"/>
    <row r="8709" hidden="1" x14ac:dyDescent="0.25"/>
    <row r="8710" hidden="1" x14ac:dyDescent="0.25"/>
    <row r="8711" hidden="1" x14ac:dyDescent="0.25"/>
    <row r="8712" hidden="1" x14ac:dyDescent="0.25"/>
    <row r="8713" hidden="1" x14ac:dyDescent="0.25"/>
    <row r="8714" hidden="1" x14ac:dyDescent="0.25"/>
    <row r="8715" hidden="1" x14ac:dyDescent="0.25"/>
    <row r="8716" hidden="1" x14ac:dyDescent="0.25"/>
    <row r="8717" hidden="1" x14ac:dyDescent="0.25"/>
    <row r="8718" hidden="1" x14ac:dyDescent="0.25"/>
    <row r="8719" hidden="1" x14ac:dyDescent="0.25"/>
    <row r="8720" hidden="1" x14ac:dyDescent="0.25"/>
    <row r="8721" hidden="1" x14ac:dyDescent="0.25"/>
    <row r="8722" hidden="1" x14ac:dyDescent="0.25"/>
    <row r="8723" hidden="1" x14ac:dyDescent="0.25"/>
    <row r="8724" hidden="1" x14ac:dyDescent="0.25"/>
    <row r="8725" hidden="1" x14ac:dyDescent="0.25"/>
    <row r="8726" hidden="1" x14ac:dyDescent="0.25"/>
    <row r="8727" hidden="1" x14ac:dyDescent="0.25"/>
    <row r="8728" hidden="1" x14ac:dyDescent="0.25"/>
    <row r="8729" hidden="1" x14ac:dyDescent="0.25"/>
    <row r="8730" hidden="1" x14ac:dyDescent="0.25"/>
    <row r="8731" hidden="1" x14ac:dyDescent="0.25"/>
    <row r="8732" hidden="1" x14ac:dyDescent="0.25"/>
    <row r="8733" hidden="1" x14ac:dyDescent="0.25"/>
    <row r="8734" hidden="1" x14ac:dyDescent="0.25"/>
    <row r="8735" hidden="1" x14ac:dyDescent="0.25"/>
    <row r="8736" hidden="1" x14ac:dyDescent="0.25"/>
    <row r="8737" hidden="1" x14ac:dyDescent="0.25"/>
    <row r="8738" hidden="1" x14ac:dyDescent="0.25"/>
    <row r="8739" hidden="1" x14ac:dyDescent="0.25"/>
    <row r="8740" hidden="1" x14ac:dyDescent="0.25"/>
    <row r="8741" hidden="1" x14ac:dyDescent="0.25"/>
    <row r="8742" hidden="1" x14ac:dyDescent="0.25"/>
    <row r="8743" hidden="1" x14ac:dyDescent="0.25"/>
    <row r="8744" hidden="1" x14ac:dyDescent="0.25"/>
    <row r="8745" hidden="1" x14ac:dyDescent="0.25"/>
    <row r="8746" hidden="1" x14ac:dyDescent="0.25"/>
    <row r="8747" hidden="1" x14ac:dyDescent="0.25"/>
    <row r="8748" hidden="1" x14ac:dyDescent="0.25"/>
    <row r="8749" hidden="1" x14ac:dyDescent="0.25"/>
    <row r="8750" hidden="1" x14ac:dyDescent="0.25"/>
    <row r="8751" hidden="1" x14ac:dyDescent="0.25"/>
    <row r="8752" hidden="1" x14ac:dyDescent="0.25"/>
    <row r="8753" hidden="1" x14ac:dyDescent="0.25"/>
    <row r="8754" hidden="1" x14ac:dyDescent="0.25"/>
    <row r="8755" hidden="1" x14ac:dyDescent="0.25"/>
    <row r="8756" hidden="1" x14ac:dyDescent="0.25"/>
    <row r="8757" hidden="1" x14ac:dyDescent="0.25"/>
    <row r="8758" hidden="1" x14ac:dyDescent="0.25"/>
    <row r="8759" hidden="1" x14ac:dyDescent="0.25"/>
    <row r="8760" hidden="1" x14ac:dyDescent="0.25"/>
    <row r="8761" hidden="1" x14ac:dyDescent="0.25"/>
    <row r="8762" hidden="1" x14ac:dyDescent="0.25"/>
    <row r="8763" hidden="1" x14ac:dyDescent="0.25"/>
    <row r="8764" hidden="1" x14ac:dyDescent="0.25"/>
    <row r="8765" hidden="1" x14ac:dyDescent="0.25"/>
    <row r="8766" hidden="1" x14ac:dyDescent="0.25"/>
    <row r="8767" hidden="1" x14ac:dyDescent="0.25"/>
    <row r="8768" hidden="1" x14ac:dyDescent="0.25"/>
    <row r="8769" hidden="1" x14ac:dyDescent="0.25"/>
    <row r="8770" hidden="1" x14ac:dyDescent="0.25"/>
    <row r="8771" hidden="1" x14ac:dyDescent="0.25"/>
    <row r="8772" hidden="1" x14ac:dyDescent="0.25"/>
    <row r="8773" hidden="1" x14ac:dyDescent="0.25"/>
    <row r="8774" hidden="1" x14ac:dyDescent="0.25"/>
    <row r="8775" hidden="1" x14ac:dyDescent="0.25"/>
    <row r="8776" hidden="1" x14ac:dyDescent="0.25"/>
    <row r="8777" hidden="1" x14ac:dyDescent="0.25"/>
    <row r="8778" hidden="1" x14ac:dyDescent="0.25"/>
    <row r="8779" hidden="1" x14ac:dyDescent="0.25"/>
    <row r="8780" hidden="1" x14ac:dyDescent="0.25"/>
    <row r="8781" hidden="1" x14ac:dyDescent="0.25"/>
    <row r="8782" hidden="1" x14ac:dyDescent="0.25"/>
    <row r="8783" hidden="1" x14ac:dyDescent="0.25"/>
    <row r="8784" hidden="1" x14ac:dyDescent="0.25"/>
    <row r="8785" hidden="1" x14ac:dyDescent="0.25"/>
    <row r="8786" hidden="1" x14ac:dyDescent="0.25"/>
    <row r="8787" hidden="1" x14ac:dyDescent="0.25"/>
    <row r="8788" hidden="1" x14ac:dyDescent="0.25"/>
    <row r="8789" hidden="1" x14ac:dyDescent="0.25"/>
    <row r="8790" hidden="1" x14ac:dyDescent="0.25"/>
    <row r="8791" hidden="1" x14ac:dyDescent="0.25"/>
    <row r="8792" hidden="1" x14ac:dyDescent="0.25"/>
    <row r="8793" hidden="1" x14ac:dyDescent="0.25"/>
    <row r="8794" hidden="1" x14ac:dyDescent="0.25"/>
    <row r="8795" hidden="1" x14ac:dyDescent="0.25"/>
    <row r="8796" hidden="1" x14ac:dyDescent="0.25"/>
    <row r="8797" hidden="1" x14ac:dyDescent="0.25"/>
    <row r="8798" hidden="1" x14ac:dyDescent="0.25"/>
    <row r="8799" hidden="1" x14ac:dyDescent="0.25"/>
    <row r="8800" hidden="1" x14ac:dyDescent="0.25"/>
    <row r="8801" hidden="1" x14ac:dyDescent="0.25"/>
    <row r="8802" hidden="1" x14ac:dyDescent="0.25"/>
    <row r="8803" hidden="1" x14ac:dyDescent="0.25"/>
    <row r="8804" hidden="1" x14ac:dyDescent="0.25"/>
    <row r="8805" hidden="1" x14ac:dyDescent="0.25"/>
    <row r="8806" hidden="1" x14ac:dyDescent="0.25"/>
    <row r="8807" hidden="1" x14ac:dyDescent="0.25"/>
    <row r="8808" hidden="1" x14ac:dyDescent="0.25"/>
    <row r="8809" hidden="1" x14ac:dyDescent="0.25"/>
    <row r="8810" hidden="1" x14ac:dyDescent="0.25"/>
    <row r="8811" hidden="1" x14ac:dyDescent="0.25"/>
    <row r="8812" hidden="1" x14ac:dyDescent="0.25"/>
    <row r="8813" hidden="1" x14ac:dyDescent="0.25"/>
    <row r="8814" hidden="1" x14ac:dyDescent="0.25"/>
    <row r="8815" hidden="1" x14ac:dyDescent="0.25"/>
    <row r="8816" hidden="1" x14ac:dyDescent="0.25"/>
    <row r="8817" hidden="1" x14ac:dyDescent="0.25"/>
    <row r="8818" hidden="1" x14ac:dyDescent="0.25"/>
    <row r="8819" hidden="1" x14ac:dyDescent="0.25"/>
    <row r="8820" hidden="1" x14ac:dyDescent="0.25"/>
    <row r="8821" hidden="1" x14ac:dyDescent="0.25"/>
    <row r="8822" hidden="1" x14ac:dyDescent="0.25"/>
    <row r="8823" hidden="1" x14ac:dyDescent="0.25"/>
    <row r="8824" hidden="1" x14ac:dyDescent="0.25"/>
    <row r="8825" hidden="1" x14ac:dyDescent="0.25"/>
    <row r="8826" hidden="1" x14ac:dyDescent="0.25"/>
    <row r="8827" hidden="1" x14ac:dyDescent="0.25"/>
    <row r="8828" hidden="1" x14ac:dyDescent="0.25"/>
    <row r="8829" hidden="1" x14ac:dyDescent="0.25"/>
    <row r="8830" hidden="1" x14ac:dyDescent="0.25"/>
    <row r="8831" hidden="1" x14ac:dyDescent="0.25"/>
    <row r="8832" hidden="1" x14ac:dyDescent="0.25"/>
    <row r="8833" hidden="1" x14ac:dyDescent="0.25"/>
    <row r="8834" hidden="1" x14ac:dyDescent="0.25"/>
    <row r="8835" hidden="1" x14ac:dyDescent="0.25"/>
    <row r="8836" hidden="1" x14ac:dyDescent="0.25"/>
    <row r="8837" hidden="1" x14ac:dyDescent="0.25"/>
    <row r="8838" hidden="1" x14ac:dyDescent="0.25"/>
    <row r="8839" hidden="1" x14ac:dyDescent="0.25"/>
    <row r="8840" hidden="1" x14ac:dyDescent="0.25"/>
    <row r="8841" hidden="1" x14ac:dyDescent="0.25"/>
    <row r="8842" hidden="1" x14ac:dyDescent="0.25"/>
    <row r="8843" hidden="1" x14ac:dyDescent="0.25"/>
    <row r="8844" hidden="1" x14ac:dyDescent="0.25"/>
    <row r="8845" hidden="1" x14ac:dyDescent="0.25"/>
    <row r="8846" hidden="1" x14ac:dyDescent="0.25"/>
    <row r="8847" hidden="1" x14ac:dyDescent="0.25"/>
    <row r="8848" hidden="1" x14ac:dyDescent="0.25"/>
    <row r="8849" hidden="1" x14ac:dyDescent="0.25"/>
    <row r="8850" hidden="1" x14ac:dyDescent="0.25"/>
    <row r="8851" hidden="1" x14ac:dyDescent="0.25"/>
    <row r="8852" hidden="1" x14ac:dyDescent="0.25"/>
    <row r="8853" hidden="1" x14ac:dyDescent="0.25"/>
    <row r="8854" hidden="1" x14ac:dyDescent="0.25"/>
    <row r="8855" hidden="1" x14ac:dyDescent="0.25"/>
    <row r="8856" hidden="1" x14ac:dyDescent="0.25"/>
    <row r="8857" hidden="1" x14ac:dyDescent="0.25"/>
    <row r="8858" hidden="1" x14ac:dyDescent="0.25"/>
    <row r="8859" hidden="1" x14ac:dyDescent="0.25"/>
    <row r="8860" hidden="1" x14ac:dyDescent="0.25"/>
    <row r="8861" hidden="1" x14ac:dyDescent="0.25"/>
    <row r="8862" hidden="1" x14ac:dyDescent="0.25"/>
    <row r="8863" hidden="1" x14ac:dyDescent="0.25"/>
    <row r="8864" hidden="1" x14ac:dyDescent="0.25"/>
    <row r="8865" hidden="1" x14ac:dyDescent="0.25"/>
    <row r="8866" hidden="1" x14ac:dyDescent="0.25"/>
    <row r="8867" hidden="1" x14ac:dyDescent="0.25"/>
    <row r="8868" hidden="1" x14ac:dyDescent="0.25"/>
    <row r="8869" hidden="1" x14ac:dyDescent="0.25"/>
    <row r="8870" hidden="1" x14ac:dyDescent="0.25"/>
    <row r="8871" hidden="1" x14ac:dyDescent="0.25"/>
    <row r="8872" hidden="1" x14ac:dyDescent="0.25"/>
    <row r="8873" hidden="1" x14ac:dyDescent="0.25"/>
    <row r="8874" hidden="1" x14ac:dyDescent="0.25"/>
    <row r="8875" hidden="1" x14ac:dyDescent="0.25"/>
    <row r="8876" hidden="1" x14ac:dyDescent="0.25"/>
    <row r="8877" hidden="1" x14ac:dyDescent="0.25"/>
    <row r="8878" hidden="1" x14ac:dyDescent="0.25"/>
    <row r="8879" hidden="1" x14ac:dyDescent="0.25"/>
    <row r="8880" hidden="1" x14ac:dyDescent="0.25"/>
    <row r="8881" hidden="1" x14ac:dyDescent="0.25"/>
    <row r="8882" hidden="1" x14ac:dyDescent="0.25"/>
    <row r="8883" hidden="1" x14ac:dyDescent="0.25"/>
    <row r="8884" hidden="1" x14ac:dyDescent="0.25"/>
    <row r="8885" hidden="1" x14ac:dyDescent="0.25"/>
    <row r="8886" hidden="1" x14ac:dyDescent="0.25"/>
    <row r="8887" hidden="1" x14ac:dyDescent="0.25"/>
    <row r="8888" hidden="1" x14ac:dyDescent="0.25"/>
    <row r="8889" hidden="1" x14ac:dyDescent="0.25"/>
    <row r="8890" hidden="1" x14ac:dyDescent="0.25"/>
    <row r="8891" hidden="1" x14ac:dyDescent="0.25"/>
    <row r="8892" hidden="1" x14ac:dyDescent="0.25"/>
    <row r="8893" hidden="1" x14ac:dyDescent="0.25"/>
    <row r="8894" hidden="1" x14ac:dyDescent="0.25"/>
    <row r="8895" hidden="1" x14ac:dyDescent="0.25"/>
    <row r="8896" hidden="1" x14ac:dyDescent="0.25"/>
    <row r="8897" hidden="1" x14ac:dyDescent="0.25"/>
    <row r="8898" hidden="1" x14ac:dyDescent="0.25"/>
    <row r="8899" hidden="1" x14ac:dyDescent="0.25"/>
    <row r="8900" hidden="1" x14ac:dyDescent="0.25"/>
    <row r="8901" hidden="1" x14ac:dyDescent="0.25"/>
    <row r="8902" hidden="1" x14ac:dyDescent="0.25"/>
    <row r="8903" hidden="1" x14ac:dyDescent="0.25"/>
    <row r="8904" hidden="1" x14ac:dyDescent="0.25"/>
    <row r="8905" hidden="1" x14ac:dyDescent="0.25"/>
    <row r="8906" hidden="1" x14ac:dyDescent="0.25"/>
    <row r="8907" hidden="1" x14ac:dyDescent="0.25"/>
    <row r="8908" hidden="1" x14ac:dyDescent="0.25"/>
    <row r="8909" hidden="1" x14ac:dyDescent="0.25"/>
    <row r="8910" hidden="1" x14ac:dyDescent="0.25"/>
    <row r="8911" hidden="1" x14ac:dyDescent="0.25"/>
    <row r="8912" hidden="1" x14ac:dyDescent="0.25"/>
    <row r="8913" hidden="1" x14ac:dyDescent="0.25"/>
    <row r="8914" hidden="1" x14ac:dyDescent="0.25"/>
    <row r="8915" hidden="1" x14ac:dyDescent="0.25"/>
    <row r="8916" hidden="1" x14ac:dyDescent="0.25"/>
    <row r="8917" hidden="1" x14ac:dyDescent="0.25"/>
    <row r="8918" hidden="1" x14ac:dyDescent="0.25"/>
    <row r="8919" hidden="1" x14ac:dyDescent="0.25"/>
    <row r="8920" hidden="1" x14ac:dyDescent="0.25"/>
    <row r="8921" hidden="1" x14ac:dyDescent="0.25"/>
    <row r="8922" hidden="1" x14ac:dyDescent="0.25"/>
    <row r="8923" hidden="1" x14ac:dyDescent="0.25"/>
    <row r="8924" hidden="1" x14ac:dyDescent="0.25"/>
    <row r="8925" hidden="1" x14ac:dyDescent="0.25"/>
    <row r="8926" hidden="1" x14ac:dyDescent="0.25"/>
    <row r="8927" hidden="1" x14ac:dyDescent="0.25"/>
    <row r="8928" hidden="1" x14ac:dyDescent="0.25"/>
    <row r="8929" hidden="1" x14ac:dyDescent="0.25"/>
    <row r="8930" hidden="1" x14ac:dyDescent="0.25"/>
    <row r="8931" hidden="1" x14ac:dyDescent="0.25"/>
    <row r="8932" hidden="1" x14ac:dyDescent="0.25"/>
    <row r="8933" hidden="1" x14ac:dyDescent="0.25"/>
    <row r="8934" hidden="1" x14ac:dyDescent="0.25"/>
    <row r="8935" hidden="1" x14ac:dyDescent="0.25"/>
    <row r="8936" hidden="1" x14ac:dyDescent="0.25"/>
    <row r="8937" hidden="1" x14ac:dyDescent="0.25"/>
    <row r="8938" hidden="1" x14ac:dyDescent="0.25"/>
    <row r="8939" hidden="1" x14ac:dyDescent="0.25"/>
    <row r="8940" hidden="1" x14ac:dyDescent="0.25"/>
    <row r="8941" hidden="1" x14ac:dyDescent="0.25"/>
    <row r="8942" hidden="1" x14ac:dyDescent="0.25"/>
    <row r="8943" hidden="1" x14ac:dyDescent="0.25"/>
    <row r="8944" hidden="1" x14ac:dyDescent="0.25"/>
    <row r="8945" hidden="1" x14ac:dyDescent="0.25"/>
    <row r="8946" hidden="1" x14ac:dyDescent="0.25"/>
    <row r="8947" hidden="1" x14ac:dyDescent="0.25"/>
    <row r="8948" hidden="1" x14ac:dyDescent="0.25"/>
    <row r="8949" hidden="1" x14ac:dyDescent="0.25"/>
    <row r="8950" hidden="1" x14ac:dyDescent="0.25"/>
    <row r="8951" hidden="1" x14ac:dyDescent="0.25"/>
    <row r="8952" hidden="1" x14ac:dyDescent="0.25"/>
    <row r="8953" hidden="1" x14ac:dyDescent="0.25"/>
    <row r="8954" hidden="1" x14ac:dyDescent="0.25"/>
    <row r="8955" hidden="1" x14ac:dyDescent="0.25"/>
    <row r="8956" hidden="1" x14ac:dyDescent="0.25"/>
    <row r="8957" hidden="1" x14ac:dyDescent="0.25"/>
    <row r="8958" hidden="1" x14ac:dyDescent="0.25"/>
    <row r="8959" hidden="1" x14ac:dyDescent="0.25"/>
    <row r="8960" hidden="1" x14ac:dyDescent="0.25"/>
    <row r="8961" hidden="1" x14ac:dyDescent="0.25"/>
    <row r="8962" hidden="1" x14ac:dyDescent="0.25"/>
    <row r="8963" hidden="1" x14ac:dyDescent="0.25"/>
    <row r="8964" hidden="1" x14ac:dyDescent="0.25"/>
    <row r="8965" hidden="1" x14ac:dyDescent="0.25"/>
    <row r="8966" hidden="1" x14ac:dyDescent="0.25"/>
    <row r="8967" hidden="1" x14ac:dyDescent="0.25"/>
    <row r="8968" hidden="1" x14ac:dyDescent="0.25"/>
    <row r="8969" hidden="1" x14ac:dyDescent="0.25"/>
    <row r="8970" hidden="1" x14ac:dyDescent="0.25"/>
    <row r="8971" hidden="1" x14ac:dyDescent="0.25"/>
    <row r="8972" hidden="1" x14ac:dyDescent="0.25"/>
    <row r="8973" hidden="1" x14ac:dyDescent="0.25"/>
    <row r="8974" hidden="1" x14ac:dyDescent="0.25"/>
    <row r="8975" hidden="1" x14ac:dyDescent="0.25"/>
    <row r="8976" hidden="1" x14ac:dyDescent="0.25"/>
    <row r="8977" hidden="1" x14ac:dyDescent="0.25"/>
    <row r="8978" hidden="1" x14ac:dyDescent="0.25"/>
    <row r="8979" hidden="1" x14ac:dyDescent="0.25"/>
    <row r="8980" hidden="1" x14ac:dyDescent="0.25"/>
    <row r="8981" hidden="1" x14ac:dyDescent="0.25"/>
    <row r="8982" hidden="1" x14ac:dyDescent="0.25"/>
    <row r="8983" hidden="1" x14ac:dyDescent="0.25"/>
    <row r="8984" hidden="1" x14ac:dyDescent="0.25"/>
    <row r="8985" hidden="1" x14ac:dyDescent="0.25"/>
    <row r="8986" hidden="1" x14ac:dyDescent="0.25"/>
    <row r="8987" hidden="1" x14ac:dyDescent="0.25"/>
    <row r="8988" hidden="1" x14ac:dyDescent="0.25"/>
    <row r="8989" hidden="1" x14ac:dyDescent="0.25"/>
    <row r="8990" hidden="1" x14ac:dyDescent="0.25"/>
    <row r="8991" hidden="1" x14ac:dyDescent="0.25"/>
    <row r="8992" hidden="1" x14ac:dyDescent="0.25"/>
    <row r="8993" hidden="1" x14ac:dyDescent="0.25"/>
    <row r="8994" hidden="1" x14ac:dyDescent="0.25"/>
    <row r="8995" hidden="1" x14ac:dyDescent="0.25"/>
    <row r="8996" hidden="1" x14ac:dyDescent="0.25"/>
    <row r="8997" hidden="1" x14ac:dyDescent="0.25"/>
    <row r="8998" hidden="1" x14ac:dyDescent="0.25"/>
    <row r="8999" hidden="1" x14ac:dyDescent="0.25"/>
    <row r="9000" hidden="1" x14ac:dyDescent="0.25"/>
    <row r="9001" hidden="1" x14ac:dyDescent="0.25"/>
    <row r="9002" hidden="1" x14ac:dyDescent="0.25"/>
    <row r="9003" hidden="1" x14ac:dyDescent="0.25"/>
    <row r="9004" hidden="1" x14ac:dyDescent="0.25"/>
    <row r="9005" hidden="1" x14ac:dyDescent="0.25"/>
    <row r="9006" hidden="1" x14ac:dyDescent="0.25"/>
    <row r="9007" hidden="1" x14ac:dyDescent="0.25"/>
    <row r="9008" hidden="1" x14ac:dyDescent="0.25"/>
    <row r="9009" hidden="1" x14ac:dyDescent="0.25"/>
    <row r="9010" hidden="1" x14ac:dyDescent="0.25"/>
    <row r="9011" hidden="1" x14ac:dyDescent="0.25"/>
    <row r="9012" hidden="1" x14ac:dyDescent="0.25"/>
    <row r="9013" hidden="1" x14ac:dyDescent="0.25"/>
    <row r="9014" hidden="1" x14ac:dyDescent="0.25"/>
    <row r="9015" hidden="1" x14ac:dyDescent="0.25"/>
    <row r="9016" hidden="1" x14ac:dyDescent="0.25"/>
    <row r="9017" hidden="1" x14ac:dyDescent="0.25"/>
    <row r="9018" hidden="1" x14ac:dyDescent="0.25"/>
    <row r="9019" hidden="1" x14ac:dyDescent="0.25"/>
    <row r="9020" hidden="1" x14ac:dyDescent="0.25"/>
    <row r="9021" hidden="1" x14ac:dyDescent="0.25"/>
    <row r="9022" hidden="1" x14ac:dyDescent="0.25"/>
    <row r="9023" hidden="1" x14ac:dyDescent="0.25"/>
    <row r="9024" hidden="1" x14ac:dyDescent="0.25"/>
    <row r="9025" hidden="1" x14ac:dyDescent="0.25"/>
    <row r="9026" hidden="1" x14ac:dyDescent="0.25"/>
    <row r="9027" hidden="1" x14ac:dyDescent="0.25"/>
    <row r="9028" hidden="1" x14ac:dyDescent="0.25"/>
    <row r="9029" hidden="1" x14ac:dyDescent="0.25"/>
    <row r="9030" hidden="1" x14ac:dyDescent="0.25"/>
    <row r="9031" hidden="1" x14ac:dyDescent="0.25"/>
    <row r="9032" hidden="1" x14ac:dyDescent="0.25"/>
    <row r="9033" hidden="1" x14ac:dyDescent="0.25"/>
    <row r="9034" hidden="1" x14ac:dyDescent="0.25"/>
    <row r="9035" hidden="1" x14ac:dyDescent="0.25"/>
    <row r="9036" hidden="1" x14ac:dyDescent="0.25"/>
    <row r="9037" hidden="1" x14ac:dyDescent="0.25"/>
    <row r="9038" hidden="1" x14ac:dyDescent="0.25"/>
    <row r="9039" hidden="1" x14ac:dyDescent="0.25"/>
    <row r="9040" hidden="1" x14ac:dyDescent="0.25"/>
    <row r="9041" hidden="1" x14ac:dyDescent="0.25"/>
    <row r="9042" hidden="1" x14ac:dyDescent="0.25"/>
    <row r="9043" hidden="1" x14ac:dyDescent="0.25"/>
    <row r="9044" hidden="1" x14ac:dyDescent="0.25"/>
    <row r="9045" hidden="1" x14ac:dyDescent="0.25"/>
    <row r="9046" hidden="1" x14ac:dyDescent="0.25"/>
    <row r="9047" hidden="1" x14ac:dyDescent="0.25"/>
    <row r="9048" hidden="1" x14ac:dyDescent="0.25"/>
    <row r="9049" hidden="1" x14ac:dyDescent="0.25"/>
    <row r="9050" hidden="1" x14ac:dyDescent="0.25"/>
    <row r="9051" hidden="1" x14ac:dyDescent="0.25"/>
    <row r="9052" hidden="1" x14ac:dyDescent="0.25"/>
    <row r="9053" hidden="1" x14ac:dyDescent="0.25"/>
    <row r="9054" hidden="1" x14ac:dyDescent="0.25"/>
    <row r="9055" hidden="1" x14ac:dyDescent="0.25"/>
    <row r="9056" hidden="1" x14ac:dyDescent="0.25"/>
    <row r="9057" hidden="1" x14ac:dyDescent="0.25"/>
    <row r="9058" hidden="1" x14ac:dyDescent="0.25"/>
    <row r="9059" hidden="1" x14ac:dyDescent="0.25"/>
    <row r="9060" hidden="1" x14ac:dyDescent="0.25"/>
    <row r="9061" hidden="1" x14ac:dyDescent="0.25"/>
    <row r="9062" hidden="1" x14ac:dyDescent="0.25"/>
    <row r="9063" hidden="1" x14ac:dyDescent="0.25"/>
    <row r="9064" hidden="1" x14ac:dyDescent="0.25"/>
    <row r="9065" hidden="1" x14ac:dyDescent="0.25"/>
    <row r="9066" hidden="1" x14ac:dyDescent="0.25"/>
    <row r="9067" hidden="1" x14ac:dyDescent="0.25"/>
    <row r="9068" hidden="1" x14ac:dyDescent="0.25"/>
    <row r="9069" hidden="1" x14ac:dyDescent="0.25"/>
    <row r="9070" hidden="1" x14ac:dyDescent="0.25"/>
    <row r="9071" hidden="1" x14ac:dyDescent="0.25"/>
    <row r="9072" hidden="1" x14ac:dyDescent="0.25"/>
    <row r="9073" hidden="1" x14ac:dyDescent="0.25"/>
    <row r="9074" hidden="1" x14ac:dyDescent="0.25"/>
    <row r="9075" hidden="1" x14ac:dyDescent="0.25"/>
    <row r="9076" hidden="1" x14ac:dyDescent="0.25"/>
    <row r="9077" hidden="1" x14ac:dyDescent="0.25"/>
    <row r="9078" hidden="1" x14ac:dyDescent="0.25"/>
    <row r="9079" hidden="1" x14ac:dyDescent="0.25"/>
    <row r="9080" hidden="1" x14ac:dyDescent="0.25"/>
    <row r="9081" hidden="1" x14ac:dyDescent="0.25"/>
    <row r="9082" hidden="1" x14ac:dyDescent="0.25"/>
    <row r="9083" hidden="1" x14ac:dyDescent="0.25"/>
    <row r="9084" hidden="1" x14ac:dyDescent="0.25"/>
    <row r="9085" hidden="1" x14ac:dyDescent="0.25"/>
    <row r="9086" hidden="1" x14ac:dyDescent="0.25"/>
    <row r="9087" hidden="1" x14ac:dyDescent="0.25"/>
    <row r="9088" hidden="1" x14ac:dyDescent="0.25"/>
    <row r="9089" hidden="1" x14ac:dyDescent="0.25"/>
    <row r="9090" hidden="1" x14ac:dyDescent="0.25"/>
    <row r="9091" hidden="1" x14ac:dyDescent="0.25"/>
    <row r="9092" hidden="1" x14ac:dyDescent="0.25"/>
    <row r="9093" hidden="1" x14ac:dyDescent="0.25"/>
    <row r="9094" hidden="1" x14ac:dyDescent="0.25"/>
    <row r="9095" hidden="1" x14ac:dyDescent="0.25"/>
    <row r="9096" hidden="1" x14ac:dyDescent="0.25"/>
    <row r="9097" hidden="1" x14ac:dyDescent="0.25"/>
    <row r="9098" hidden="1" x14ac:dyDescent="0.25"/>
    <row r="9099" hidden="1" x14ac:dyDescent="0.25"/>
    <row r="9100" hidden="1" x14ac:dyDescent="0.25"/>
    <row r="9101" hidden="1" x14ac:dyDescent="0.25"/>
    <row r="9102" hidden="1" x14ac:dyDescent="0.25"/>
    <row r="9103" hidden="1" x14ac:dyDescent="0.25"/>
    <row r="9104" hidden="1" x14ac:dyDescent="0.25"/>
    <row r="9105" hidden="1" x14ac:dyDescent="0.25"/>
    <row r="9106" hidden="1" x14ac:dyDescent="0.25"/>
    <row r="9107" hidden="1" x14ac:dyDescent="0.25"/>
    <row r="9108" hidden="1" x14ac:dyDescent="0.25"/>
    <row r="9109" hidden="1" x14ac:dyDescent="0.25"/>
    <row r="9110" hidden="1" x14ac:dyDescent="0.25"/>
    <row r="9111" hidden="1" x14ac:dyDescent="0.25"/>
    <row r="9112" hidden="1" x14ac:dyDescent="0.25"/>
    <row r="9113" hidden="1" x14ac:dyDescent="0.25"/>
    <row r="9114" hidden="1" x14ac:dyDescent="0.25"/>
    <row r="9115" hidden="1" x14ac:dyDescent="0.25"/>
    <row r="9116" hidden="1" x14ac:dyDescent="0.25"/>
    <row r="9117" hidden="1" x14ac:dyDescent="0.25"/>
    <row r="9118" hidden="1" x14ac:dyDescent="0.25"/>
    <row r="9119" hidden="1" x14ac:dyDescent="0.25"/>
    <row r="9120" hidden="1" x14ac:dyDescent="0.25"/>
    <row r="9121" hidden="1" x14ac:dyDescent="0.25"/>
    <row r="9122" hidden="1" x14ac:dyDescent="0.25"/>
    <row r="9123" hidden="1" x14ac:dyDescent="0.25"/>
    <row r="9124" hidden="1" x14ac:dyDescent="0.25"/>
    <row r="9125" hidden="1" x14ac:dyDescent="0.25"/>
    <row r="9126" hidden="1" x14ac:dyDescent="0.25"/>
    <row r="9127" hidden="1" x14ac:dyDescent="0.25"/>
    <row r="9128" hidden="1" x14ac:dyDescent="0.25"/>
    <row r="9129" hidden="1" x14ac:dyDescent="0.25"/>
    <row r="9130" hidden="1" x14ac:dyDescent="0.25"/>
    <row r="9131" hidden="1" x14ac:dyDescent="0.25"/>
    <row r="9132" hidden="1" x14ac:dyDescent="0.25"/>
    <row r="9133" hidden="1" x14ac:dyDescent="0.25"/>
    <row r="9134" hidden="1" x14ac:dyDescent="0.25"/>
    <row r="9135" hidden="1" x14ac:dyDescent="0.25"/>
    <row r="9136" hidden="1" x14ac:dyDescent="0.25"/>
    <row r="9137" hidden="1" x14ac:dyDescent="0.25"/>
    <row r="9138" hidden="1" x14ac:dyDescent="0.25"/>
    <row r="9139" hidden="1" x14ac:dyDescent="0.25"/>
    <row r="9140" hidden="1" x14ac:dyDescent="0.25"/>
    <row r="9141" hidden="1" x14ac:dyDescent="0.25"/>
    <row r="9142" hidden="1" x14ac:dyDescent="0.25"/>
    <row r="9143" hidden="1" x14ac:dyDescent="0.25"/>
    <row r="9144" hidden="1" x14ac:dyDescent="0.25"/>
    <row r="9145" hidden="1" x14ac:dyDescent="0.25"/>
    <row r="9146" hidden="1" x14ac:dyDescent="0.25"/>
    <row r="9147" hidden="1" x14ac:dyDescent="0.25"/>
    <row r="9148" hidden="1" x14ac:dyDescent="0.25"/>
    <row r="9149" hidden="1" x14ac:dyDescent="0.25"/>
    <row r="9150" hidden="1" x14ac:dyDescent="0.25"/>
    <row r="9151" hidden="1" x14ac:dyDescent="0.25"/>
    <row r="9152" hidden="1" x14ac:dyDescent="0.25"/>
    <row r="9153" hidden="1" x14ac:dyDescent="0.25"/>
    <row r="9154" hidden="1" x14ac:dyDescent="0.25"/>
    <row r="9155" hidden="1" x14ac:dyDescent="0.25"/>
    <row r="9156" hidden="1" x14ac:dyDescent="0.25"/>
    <row r="9157" hidden="1" x14ac:dyDescent="0.25"/>
    <row r="9158" hidden="1" x14ac:dyDescent="0.25"/>
    <row r="9159" hidden="1" x14ac:dyDescent="0.25"/>
    <row r="9160" hidden="1" x14ac:dyDescent="0.25"/>
    <row r="9161" hidden="1" x14ac:dyDescent="0.25"/>
    <row r="9162" hidden="1" x14ac:dyDescent="0.25"/>
    <row r="9163" hidden="1" x14ac:dyDescent="0.25"/>
    <row r="9164" hidden="1" x14ac:dyDescent="0.25"/>
    <row r="9165" hidden="1" x14ac:dyDescent="0.25"/>
    <row r="9166" hidden="1" x14ac:dyDescent="0.25"/>
    <row r="9167" hidden="1" x14ac:dyDescent="0.25"/>
    <row r="9168" hidden="1" x14ac:dyDescent="0.25"/>
    <row r="9169" hidden="1" x14ac:dyDescent="0.25"/>
    <row r="9170" hidden="1" x14ac:dyDescent="0.25"/>
    <row r="9171" hidden="1" x14ac:dyDescent="0.25"/>
    <row r="9172" hidden="1" x14ac:dyDescent="0.25"/>
    <row r="9173" hidden="1" x14ac:dyDescent="0.25"/>
    <row r="9174" hidden="1" x14ac:dyDescent="0.25"/>
    <row r="9175" hidden="1" x14ac:dyDescent="0.25"/>
    <row r="9176" hidden="1" x14ac:dyDescent="0.25"/>
    <row r="9177" hidden="1" x14ac:dyDescent="0.25"/>
    <row r="9178" hidden="1" x14ac:dyDescent="0.25"/>
    <row r="9179" hidden="1" x14ac:dyDescent="0.25"/>
    <row r="9180" hidden="1" x14ac:dyDescent="0.25"/>
    <row r="9181" hidden="1" x14ac:dyDescent="0.25"/>
    <row r="9182" hidden="1" x14ac:dyDescent="0.25"/>
    <row r="9183" hidden="1" x14ac:dyDescent="0.25"/>
    <row r="9184" hidden="1" x14ac:dyDescent="0.25"/>
    <row r="9185" hidden="1" x14ac:dyDescent="0.25"/>
    <row r="9186" hidden="1" x14ac:dyDescent="0.25"/>
    <row r="9187" hidden="1" x14ac:dyDescent="0.25"/>
    <row r="9188" hidden="1" x14ac:dyDescent="0.25"/>
    <row r="9189" hidden="1" x14ac:dyDescent="0.25"/>
    <row r="9190" hidden="1" x14ac:dyDescent="0.25"/>
    <row r="9191" hidden="1" x14ac:dyDescent="0.25"/>
    <row r="9192" hidden="1" x14ac:dyDescent="0.25"/>
    <row r="9193" hidden="1" x14ac:dyDescent="0.25"/>
    <row r="9194" hidden="1" x14ac:dyDescent="0.25"/>
    <row r="9195" hidden="1" x14ac:dyDescent="0.25"/>
    <row r="9196" hidden="1" x14ac:dyDescent="0.25"/>
    <row r="9197" hidden="1" x14ac:dyDescent="0.25"/>
    <row r="9198" hidden="1" x14ac:dyDescent="0.25"/>
    <row r="9199" hidden="1" x14ac:dyDescent="0.25"/>
    <row r="9200" hidden="1" x14ac:dyDescent="0.25"/>
    <row r="9201" hidden="1" x14ac:dyDescent="0.25"/>
    <row r="9202" hidden="1" x14ac:dyDescent="0.25"/>
    <row r="9203" hidden="1" x14ac:dyDescent="0.25"/>
    <row r="9204" hidden="1" x14ac:dyDescent="0.25"/>
    <row r="9205" hidden="1" x14ac:dyDescent="0.25"/>
    <row r="9206" hidden="1" x14ac:dyDescent="0.25"/>
    <row r="9207" hidden="1" x14ac:dyDescent="0.25"/>
    <row r="9208" hidden="1" x14ac:dyDescent="0.25"/>
    <row r="9209" hidden="1" x14ac:dyDescent="0.25"/>
    <row r="9210" hidden="1" x14ac:dyDescent="0.25"/>
    <row r="9211" hidden="1" x14ac:dyDescent="0.25"/>
    <row r="9212" hidden="1" x14ac:dyDescent="0.25"/>
    <row r="9213" hidden="1" x14ac:dyDescent="0.25"/>
    <row r="9214" hidden="1" x14ac:dyDescent="0.25"/>
    <row r="9215" hidden="1" x14ac:dyDescent="0.25"/>
    <row r="9216" hidden="1" x14ac:dyDescent="0.25"/>
    <row r="9217" hidden="1" x14ac:dyDescent="0.25"/>
    <row r="9218" hidden="1" x14ac:dyDescent="0.25"/>
    <row r="9219" hidden="1" x14ac:dyDescent="0.25"/>
    <row r="9220" hidden="1" x14ac:dyDescent="0.25"/>
    <row r="9221" hidden="1" x14ac:dyDescent="0.25"/>
    <row r="9222" hidden="1" x14ac:dyDescent="0.25"/>
    <row r="9223" hidden="1" x14ac:dyDescent="0.25"/>
    <row r="9224" hidden="1" x14ac:dyDescent="0.25"/>
    <row r="9225" hidden="1" x14ac:dyDescent="0.25"/>
    <row r="9226" hidden="1" x14ac:dyDescent="0.25"/>
    <row r="9227" hidden="1" x14ac:dyDescent="0.25"/>
    <row r="9228" hidden="1" x14ac:dyDescent="0.25"/>
    <row r="9229" hidden="1" x14ac:dyDescent="0.25"/>
    <row r="9230" hidden="1" x14ac:dyDescent="0.25"/>
    <row r="9231" hidden="1" x14ac:dyDescent="0.25"/>
    <row r="9232" hidden="1" x14ac:dyDescent="0.25"/>
    <row r="9233" hidden="1" x14ac:dyDescent="0.25"/>
    <row r="9234" hidden="1" x14ac:dyDescent="0.25"/>
    <row r="9235" hidden="1" x14ac:dyDescent="0.25"/>
    <row r="9236" hidden="1" x14ac:dyDescent="0.25"/>
    <row r="9237" hidden="1" x14ac:dyDescent="0.25"/>
    <row r="9238" hidden="1" x14ac:dyDescent="0.25"/>
    <row r="9239" hidden="1" x14ac:dyDescent="0.25"/>
    <row r="9240" hidden="1" x14ac:dyDescent="0.25"/>
    <row r="9241" hidden="1" x14ac:dyDescent="0.25"/>
    <row r="9242" hidden="1" x14ac:dyDescent="0.25"/>
    <row r="9243" hidden="1" x14ac:dyDescent="0.25"/>
    <row r="9244" hidden="1" x14ac:dyDescent="0.25"/>
    <row r="9245" hidden="1" x14ac:dyDescent="0.25"/>
    <row r="9246" hidden="1" x14ac:dyDescent="0.25"/>
    <row r="9247" hidden="1" x14ac:dyDescent="0.25"/>
    <row r="9248" hidden="1" x14ac:dyDescent="0.25"/>
    <row r="9249" hidden="1" x14ac:dyDescent="0.25"/>
    <row r="9250" hidden="1" x14ac:dyDescent="0.25"/>
    <row r="9251" hidden="1" x14ac:dyDescent="0.25"/>
    <row r="9252" hidden="1" x14ac:dyDescent="0.25"/>
    <row r="9253" hidden="1" x14ac:dyDescent="0.25"/>
    <row r="9254" hidden="1" x14ac:dyDescent="0.25"/>
    <row r="9255" hidden="1" x14ac:dyDescent="0.25"/>
    <row r="9256" hidden="1" x14ac:dyDescent="0.25"/>
    <row r="9257" hidden="1" x14ac:dyDescent="0.25"/>
    <row r="9258" hidden="1" x14ac:dyDescent="0.25"/>
    <row r="9259" hidden="1" x14ac:dyDescent="0.25"/>
    <row r="9260" hidden="1" x14ac:dyDescent="0.25"/>
    <row r="9261" hidden="1" x14ac:dyDescent="0.25"/>
    <row r="9262" hidden="1" x14ac:dyDescent="0.25"/>
    <row r="9263" hidden="1" x14ac:dyDescent="0.25"/>
    <row r="9264" hidden="1" x14ac:dyDescent="0.25"/>
    <row r="9265" hidden="1" x14ac:dyDescent="0.25"/>
    <row r="9266" hidden="1" x14ac:dyDescent="0.25"/>
    <row r="9267" hidden="1" x14ac:dyDescent="0.25"/>
    <row r="9268" hidden="1" x14ac:dyDescent="0.25"/>
    <row r="9269" hidden="1" x14ac:dyDescent="0.25"/>
    <row r="9270" hidden="1" x14ac:dyDescent="0.25"/>
    <row r="9271" hidden="1" x14ac:dyDescent="0.25"/>
    <row r="9272" hidden="1" x14ac:dyDescent="0.25"/>
    <row r="9273" hidden="1" x14ac:dyDescent="0.25"/>
    <row r="9274" hidden="1" x14ac:dyDescent="0.25"/>
    <row r="9275" hidden="1" x14ac:dyDescent="0.25"/>
    <row r="9276" hidden="1" x14ac:dyDescent="0.25"/>
    <row r="9277" hidden="1" x14ac:dyDescent="0.25"/>
    <row r="9278" hidden="1" x14ac:dyDescent="0.25"/>
    <row r="9279" hidden="1" x14ac:dyDescent="0.25"/>
    <row r="9280" hidden="1" x14ac:dyDescent="0.25"/>
    <row r="9281" hidden="1" x14ac:dyDescent="0.25"/>
    <row r="9282" hidden="1" x14ac:dyDescent="0.25"/>
    <row r="9283" hidden="1" x14ac:dyDescent="0.25"/>
    <row r="9284" hidden="1" x14ac:dyDescent="0.25"/>
    <row r="9285" hidden="1" x14ac:dyDescent="0.25"/>
    <row r="9286" hidden="1" x14ac:dyDescent="0.25"/>
    <row r="9287" hidden="1" x14ac:dyDescent="0.25"/>
    <row r="9288" hidden="1" x14ac:dyDescent="0.25"/>
    <row r="9289" hidden="1" x14ac:dyDescent="0.25"/>
    <row r="9290" hidden="1" x14ac:dyDescent="0.25"/>
    <row r="9291" hidden="1" x14ac:dyDescent="0.25"/>
    <row r="9292" hidden="1" x14ac:dyDescent="0.25"/>
    <row r="9293" hidden="1" x14ac:dyDescent="0.25"/>
    <row r="9294" hidden="1" x14ac:dyDescent="0.25"/>
    <row r="9295" hidden="1" x14ac:dyDescent="0.25"/>
    <row r="9296" hidden="1" x14ac:dyDescent="0.25"/>
    <row r="9297" hidden="1" x14ac:dyDescent="0.25"/>
    <row r="9298" hidden="1" x14ac:dyDescent="0.25"/>
    <row r="9299" hidden="1" x14ac:dyDescent="0.25"/>
    <row r="9300" hidden="1" x14ac:dyDescent="0.25"/>
    <row r="9301" hidden="1" x14ac:dyDescent="0.25"/>
    <row r="9302" hidden="1" x14ac:dyDescent="0.25"/>
    <row r="9303" hidden="1" x14ac:dyDescent="0.25"/>
    <row r="9304" hidden="1" x14ac:dyDescent="0.25"/>
    <row r="9305" hidden="1" x14ac:dyDescent="0.25"/>
    <row r="9306" hidden="1" x14ac:dyDescent="0.25"/>
    <row r="9307" hidden="1" x14ac:dyDescent="0.25"/>
    <row r="9308" hidden="1" x14ac:dyDescent="0.25"/>
    <row r="9309" hidden="1" x14ac:dyDescent="0.25"/>
    <row r="9310" hidden="1" x14ac:dyDescent="0.25"/>
    <row r="9311" hidden="1" x14ac:dyDescent="0.25"/>
    <row r="9312" hidden="1" x14ac:dyDescent="0.25"/>
    <row r="9313" hidden="1" x14ac:dyDescent="0.25"/>
    <row r="9314" hidden="1" x14ac:dyDescent="0.25"/>
    <row r="9315" hidden="1" x14ac:dyDescent="0.25"/>
    <row r="9316" hidden="1" x14ac:dyDescent="0.25"/>
    <row r="9317" hidden="1" x14ac:dyDescent="0.25"/>
    <row r="9318" hidden="1" x14ac:dyDescent="0.25"/>
    <row r="9319" hidden="1" x14ac:dyDescent="0.25"/>
    <row r="9320" hidden="1" x14ac:dyDescent="0.25"/>
    <row r="9321" hidden="1" x14ac:dyDescent="0.25"/>
    <row r="9322" hidden="1" x14ac:dyDescent="0.25"/>
    <row r="9323" hidden="1" x14ac:dyDescent="0.25"/>
    <row r="9324" hidden="1" x14ac:dyDescent="0.25"/>
    <row r="9325" hidden="1" x14ac:dyDescent="0.25"/>
    <row r="9326" hidden="1" x14ac:dyDescent="0.25"/>
    <row r="9327" hidden="1" x14ac:dyDescent="0.25"/>
    <row r="9328" hidden="1" x14ac:dyDescent="0.25"/>
    <row r="9329" hidden="1" x14ac:dyDescent="0.25"/>
    <row r="9330" hidden="1" x14ac:dyDescent="0.25"/>
    <row r="9331" hidden="1" x14ac:dyDescent="0.25"/>
    <row r="9332" hidden="1" x14ac:dyDescent="0.25"/>
    <row r="9333" hidden="1" x14ac:dyDescent="0.25"/>
    <row r="9334" hidden="1" x14ac:dyDescent="0.25"/>
    <row r="9335" hidden="1" x14ac:dyDescent="0.25"/>
    <row r="9336" hidden="1" x14ac:dyDescent="0.25"/>
    <row r="9337" hidden="1" x14ac:dyDescent="0.25"/>
    <row r="9338" hidden="1" x14ac:dyDescent="0.25"/>
    <row r="9339" hidden="1" x14ac:dyDescent="0.25"/>
    <row r="9340" hidden="1" x14ac:dyDescent="0.25"/>
    <row r="9341" hidden="1" x14ac:dyDescent="0.25"/>
    <row r="9342" hidden="1" x14ac:dyDescent="0.25"/>
    <row r="9343" hidden="1" x14ac:dyDescent="0.25"/>
    <row r="9344" hidden="1" x14ac:dyDescent="0.25"/>
    <row r="9345" hidden="1" x14ac:dyDescent="0.25"/>
    <row r="9346" hidden="1" x14ac:dyDescent="0.25"/>
    <row r="9347" hidden="1" x14ac:dyDescent="0.25"/>
    <row r="9348" hidden="1" x14ac:dyDescent="0.25"/>
    <row r="9349" hidden="1" x14ac:dyDescent="0.25"/>
    <row r="9350" hidden="1" x14ac:dyDescent="0.25"/>
    <row r="9351" hidden="1" x14ac:dyDescent="0.25"/>
    <row r="9352" hidden="1" x14ac:dyDescent="0.25"/>
    <row r="9353" hidden="1" x14ac:dyDescent="0.25"/>
    <row r="9354" hidden="1" x14ac:dyDescent="0.25"/>
    <row r="9355" hidden="1" x14ac:dyDescent="0.25"/>
    <row r="9356" hidden="1" x14ac:dyDescent="0.25"/>
    <row r="9357" hidden="1" x14ac:dyDescent="0.25"/>
    <row r="9358" hidden="1" x14ac:dyDescent="0.25"/>
    <row r="9359" hidden="1" x14ac:dyDescent="0.25"/>
    <row r="9360" hidden="1" x14ac:dyDescent="0.25"/>
    <row r="9361" hidden="1" x14ac:dyDescent="0.25"/>
    <row r="9362" hidden="1" x14ac:dyDescent="0.25"/>
    <row r="9363" hidden="1" x14ac:dyDescent="0.25"/>
    <row r="9364" hidden="1" x14ac:dyDescent="0.25"/>
    <row r="9365" hidden="1" x14ac:dyDescent="0.25"/>
    <row r="9366" hidden="1" x14ac:dyDescent="0.25"/>
    <row r="9367" hidden="1" x14ac:dyDescent="0.25"/>
    <row r="9368" hidden="1" x14ac:dyDescent="0.25"/>
    <row r="9369" hidden="1" x14ac:dyDescent="0.25"/>
    <row r="9370" hidden="1" x14ac:dyDescent="0.25"/>
    <row r="9371" hidden="1" x14ac:dyDescent="0.25"/>
    <row r="9372" hidden="1" x14ac:dyDescent="0.25"/>
    <row r="9373" hidden="1" x14ac:dyDescent="0.25"/>
    <row r="9374" hidden="1" x14ac:dyDescent="0.25"/>
    <row r="9375" hidden="1" x14ac:dyDescent="0.25"/>
    <row r="9376" hidden="1" x14ac:dyDescent="0.25"/>
    <row r="9377" hidden="1" x14ac:dyDescent="0.25"/>
    <row r="9378" hidden="1" x14ac:dyDescent="0.25"/>
    <row r="9379" hidden="1" x14ac:dyDescent="0.25"/>
    <row r="9380" hidden="1" x14ac:dyDescent="0.25"/>
    <row r="9381" hidden="1" x14ac:dyDescent="0.25"/>
    <row r="9382" hidden="1" x14ac:dyDescent="0.25"/>
    <row r="9383" hidden="1" x14ac:dyDescent="0.25"/>
    <row r="9384" hidden="1" x14ac:dyDescent="0.25"/>
    <row r="9385" hidden="1" x14ac:dyDescent="0.25"/>
    <row r="9386" hidden="1" x14ac:dyDescent="0.25"/>
    <row r="9387" hidden="1" x14ac:dyDescent="0.25"/>
    <row r="9388" hidden="1" x14ac:dyDescent="0.25"/>
    <row r="9389" hidden="1" x14ac:dyDescent="0.25"/>
    <row r="9390" hidden="1" x14ac:dyDescent="0.25"/>
    <row r="9391" hidden="1" x14ac:dyDescent="0.25"/>
    <row r="9392" hidden="1" x14ac:dyDescent="0.25"/>
    <row r="9393" hidden="1" x14ac:dyDescent="0.25"/>
    <row r="9394" hidden="1" x14ac:dyDescent="0.25"/>
    <row r="9395" hidden="1" x14ac:dyDescent="0.25"/>
    <row r="9396" hidden="1" x14ac:dyDescent="0.25"/>
    <row r="9397" hidden="1" x14ac:dyDescent="0.25"/>
    <row r="9398" hidden="1" x14ac:dyDescent="0.25"/>
    <row r="9399" hidden="1" x14ac:dyDescent="0.25"/>
    <row r="9400" hidden="1" x14ac:dyDescent="0.25"/>
    <row r="9401" hidden="1" x14ac:dyDescent="0.25"/>
    <row r="9402" hidden="1" x14ac:dyDescent="0.25"/>
    <row r="9403" hidden="1" x14ac:dyDescent="0.25"/>
    <row r="9404" hidden="1" x14ac:dyDescent="0.25"/>
    <row r="9405" hidden="1" x14ac:dyDescent="0.25"/>
    <row r="9406" hidden="1" x14ac:dyDescent="0.25"/>
    <row r="9407" hidden="1" x14ac:dyDescent="0.25"/>
    <row r="9408" hidden="1" x14ac:dyDescent="0.25"/>
    <row r="9409" hidden="1" x14ac:dyDescent="0.25"/>
    <row r="9410" hidden="1" x14ac:dyDescent="0.25"/>
    <row r="9411" hidden="1" x14ac:dyDescent="0.25"/>
    <row r="9412" hidden="1" x14ac:dyDescent="0.25"/>
    <row r="9413" hidden="1" x14ac:dyDescent="0.25"/>
    <row r="9414" hidden="1" x14ac:dyDescent="0.25"/>
    <row r="9415" hidden="1" x14ac:dyDescent="0.25"/>
    <row r="9416" hidden="1" x14ac:dyDescent="0.25"/>
    <row r="9417" hidden="1" x14ac:dyDescent="0.25"/>
    <row r="9418" hidden="1" x14ac:dyDescent="0.25"/>
    <row r="9419" hidden="1" x14ac:dyDescent="0.25"/>
    <row r="9420" hidden="1" x14ac:dyDescent="0.25"/>
    <row r="9421" hidden="1" x14ac:dyDescent="0.25"/>
    <row r="9422" hidden="1" x14ac:dyDescent="0.25"/>
    <row r="9423" hidden="1" x14ac:dyDescent="0.25"/>
    <row r="9424" hidden="1" x14ac:dyDescent="0.25"/>
    <row r="9425" hidden="1" x14ac:dyDescent="0.25"/>
    <row r="9426" hidden="1" x14ac:dyDescent="0.25"/>
    <row r="9427" hidden="1" x14ac:dyDescent="0.25"/>
    <row r="9428" hidden="1" x14ac:dyDescent="0.25"/>
    <row r="9429" hidden="1" x14ac:dyDescent="0.25"/>
    <row r="9430" hidden="1" x14ac:dyDescent="0.25"/>
    <row r="9431" hidden="1" x14ac:dyDescent="0.25"/>
    <row r="9432" hidden="1" x14ac:dyDescent="0.25"/>
    <row r="9433" hidden="1" x14ac:dyDescent="0.25"/>
    <row r="9434" hidden="1" x14ac:dyDescent="0.25"/>
    <row r="9435" hidden="1" x14ac:dyDescent="0.25"/>
    <row r="9436" hidden="1" x14ac:dyDescent="0.25"/>
    <row r="9437" hidden="1" x14ac:dyDescent="0.25"/>
    <row r="9438" hidden="1" x14ac:dyDescent="0.25"/>
    <row r="9439" hidden="1" x14ac:dyDescent="0.25"/>
    <row r="9440" hidden="1" x14ac:dyDescent="0.25"/>
    <row r="9441" hidden="1" x14ac:dyDescent="0.25"/>
    <row r="9442" hidden="1" x14ac:dyDescent="0.25"/>
    <row r="9443" hidden="1" x14ac:dyDescent="0.25"/>
    <row r="9444" hidden="1" x14ac:dyDescent="0.25"/>
    <row r="9445" hidden="1" x14ac:dyDescent="0.25"/>
    <row r="9446" hidden="1" x14ac:dyDescent="0.25"/>
    <row r="9447" hidden="1" x14ac:dyDescent="0.25"/>
    <row r="9448" hidden="1" x14ac:dyDescent="0.25"/>
    <row r="9449" hidden="1" x14ac:dyDescent="0.25"/>
    <row r="9450" hidden="1" x14ac:dyDescent="0.25"/>
    <row r="9451" hidden="1" x14ac:dyDescent="0.25"/>
    <row r="9452" hidden="1" x14ac:dyDescent="0.25"/>
    <row r="9453" hidden="1" x14ac:dyDescent="0.25"/>
    <row r="9454" hidden="1" x14ac:dyDescent="0.25"/>
    <row r="9455" hidden="1" x14ac:dyDescent="0.25"/>
    <row r="9456" hidden="1" x14ac:dyDescent="0.25"/>
    <row r="9457" hidden="1" x14ac:dyDescent="0.25"/>
    <row r="9458" hidden="1" x14ac:dyDescent="0.25"/>
    <row r="9459" hidden="1" x14ac:dyDescent="0.25"/>
    <row r="9460" hidden="1" x14ac:dyDescent="0.25"/>
    <row r="9461" hidden="1" x14ac:dyDescent="0.25"/>
    <row r="9462" hidden="1" x14ac:dyDescent="0.25"/>
    <row r="9463" hidden="1" x14ac:dyDescent="0.25"/>
    <row r="9464" hidden="1" x14ac:dyDescent="0.25"/>
    <row r="9465" hidden="1" x14ac:dyDescent="0.25"/>
    <row r="9466" hidden="1" x14ac:dyDescent="0.25"/>
    <row r="9467" hidden="1" x14ac:dyDescent="0.25"/>
    <row r="9468" hidden="1" x14ac:dyDescent="0.25"/>
    <row r="9469" hidden="1" x14ac:dyDescent="0.25"/>
    <row r="9470" hidden="1" x14ac:dyDescent="0.25"/>
    <row r="9471" hidden="1" x14ac:dyDescent="0.25"/>
    <row r="9472" hidden="1" x14ac:dyDescent="0.25"/>
    <row r="9473" hidden="1" x14ac:dyDescent="0.25"/>
    <row r="9474" hidden="1" x14ac:dyDescent="0.25"/>
    <row r="9475" hidden="1" x14ac:dyDescent="0.25"/>
    <row r="9476" hidden="1" x14ac:dyDescent="0.25"/>
    <row r="9477" hidden="1" x14ac:dyDescent="0.25"/>
    <row r="9478" hidden="1" x14ac:dyDescent="0.25"/>
    <row r="9479" hidden="1" x14ac:dyDescent="0.25"/>
    <row r="9480" hidden="1" x14ac:dyDescent="0.25"/>
    <row r="9481" hidden="1" x14ac:dyDescent="0.25"/>
    <row r="9482" hidden="1" x14ac:dyDescent="0.25"/>
    <row r="9483" hidden="1" x14ac:dyDescent="0.25"/>
    <row r="9484" hidden="1" x14ac:dyDescent="0.25"/>
    <row r="9485" hidden="1" x14ac:dyDescent="0.25"/>
    <row r="9486" hidden="1" x14ac:dyDescent="0.25"/>
    <row r="9487" hidden="1" x14ac:dyDescent="0.25"/>
    <row r="9488" hidden="1" x14ac:dyDescent="0.25"/>
    <row r="9489" hidden="1" x14ac:dyDescent="0.25"/>
    <row r="9490" hidden="1" x14ac:dyDescent="0.25"/>
    <row r="9491" hidden="1" x14ac:dyDescent="0.25"/>
    <row r="9492" hidden="1" x14ac:dyDescent="0.25"/>
    <row r="9493" hidden="1" x14ac:dyDescent="0.25"/>
    <row r="9494" hidden="1" x14ac:dyDescent="0.25"/>
    <row r="9495" hidden="1" x14ac:dyDescent="0.25"/>
    <row r="9496" hidden="1" x14ac:dyDescent="0.25"/>
    <row r="9497" hidden="1" x14ac:dyDescent="0.25"/>
    <row r="9498" hidden="1" x14ac:dyDescent="0.25"/>
    <row r="9499" hidden="1" x14ac:dyDescent="0.25"/>
    <row r="9500" hidden="1" x14ac:dyDescent="0.25"/>
    <row r="9501" hidden="1" x14ac:dyDescent="0.25"/>
    <row r="9502" hidden="1" x14ac:dyDescent="0.25"/>
    <row r="9503" hidden="1" x14ac:dyDescent="0.25"/>
    <row r="9504" hidden="1" x14ac:dyDescent="0.25"/>
    <row r="9505" hidden="1" x14ac:dyDescent="0.25"/>
    <row r="9506" hidden="1" x14ac:dyDescent="0.25"/>
    <row r="9507" hidden="1" x14ac:dyDescent="0.25"/>
    <row r="9508" hidden="1" x14ac:dyDescent="0.25"/>
    <row r="9509" hidden="1" x14ac:dyDescent="0.25"/>
    <row r="9510" hidden="1" x14ac:dyDescent="0.25"/>
    <row r="9511" hidden="1" x14ac:dyDescent="0.25"/>
    <row r="9512" hidden="1" x14ac:dyDescent="0.25"/>
    <row r="9513" hidden="1" x14ac:dyDescent="0.25"/>
    <row r="9514" hidden="1" x14ac:dyDescent="0.25"/>
    <row r="9515" hidden="1" x14ac:dyDescent="0.25"/>
    <row r="9516" hidden="1" x14ac:dyDescent="0.25"/>
    <row r="9517" hidden="1" x14ac:dyDescent="0.25"/>
    <row r="9518" hidden="1" x14ac:dyDescent="0.25"/>
    <row r="9519" hidden="1" x14ac:dyDescent="0.25"/>
    <row r="9520" hidden="1" x14ac:dyDescent="0.25"/>
    <row r="9521" hidden="1" x14ac:dyDescent="0.25"/>
    <row r="9522" hidden="1" x14ac:dyDescent="0.25"/>
    <row r="9523" hidden="1" x14ac:dyDescent="0.25"/>
    <row r="9524" hidden="1" x14ac:dyDescent="0.25"/>
    <row r="9525" hidden="1" x14ac:dyDescent="0.25"/>
    <row r="9526" hidden="1" x14ac:dyDescent="0.25"/>
    <row r="9527" hidden="1" x14ac:dyDescent="0.25"/>
    <row r="9528" hidden="1" x14ac:dyDescent="0.25"/>
    <row r="9529" hidden="1" x14ac:dyDescent="0.25"/>
    <row r="9530" hidden="1" x14ac:dyDescent="0.25"/>
    <row r="9531" hidden="1" x14ac:dyDescent="0.25"/>
    <row r="9532" hidden="1" x14ac:dyDescent="0.25"/>
    <row r="9533" hidden="1" x14ac:dyDescent="0.25"/>
    <row r="9534" hidden="1" x14ac:dyDescent="0.25"/>
    <row r="9535" hidden="1" x14ac:dyDescent="0.25"/>
    <row r="9536" hidden="1" x14ac:dyDescent="0.25"/>
    <row r="9537" hidden="1" x14ac:dyDescent="0.25"/>
    <row r="9538" hidden="1" x14ac:dyDescent="0.25"/>
    <row r="9539" hidden="1" x14ac:dyDescent="0.25"/>
    <row r="9540" hidden="1" x14ac:dyDescent="0.25"/>
    <row r="9541" hidden="1" x14ac:dyDescent="0.25"/>
    <row r="9542" hidden="1" x14ac:dyDescent="0.25"/>
    <row r="9543" hidden="1" x14ac:dyDescent="0.25"/>
    <row r="9544" hidden="1" x14ac:dyDescent="0.25"/>
    <row r="9545" hidden="1" x14ac:dyDescent="0.25"/>
    <row r="9546" hidden="1" x14ac:dyDescent="0.25"/>
    <row r="9547" hidden="1" x14ac:dyDescent="0.25"/>
    <row r="9548" hidden="1" x14ac:dyDescent="0.25"/>
    <row r="9549" hidden="1" x14ac:dyDescent="0.25"/>
    <row r="9550" hidden="1" x14ac:dyDescent="0.25"/>
    <row r="9551" hidden="1" x14ac:dyDescent="0.25"/>
    <row r="9552" hidden="1" x14ac:dyDescent="0.25"/>
    <row r="9553" hidden="1" x14ac:dyDescent="0.25"/>
    <row r="9554" hidden="1" x14ac:dyDescent="0.25"/>
    <row r="9555" hidden="1" x14ac:dyDescent="0.25"/>
    <row r="9556" hidden="1" x14ac:dyDescent="0.25"/>
    <row r="9557" hidden="1" x14ac:dyDescent="0.25"/>
    <row r="9558" hidden="1" x14ac:dyDescent="0.25"/>
    <row r="9559" hidden="1" x14ac:dyDescent="0.25"/>
    <row r="9560" hidden="1" x14ac:dyDescent="0.25"/>
    <row r="9561" hidden="1" x14ac:dyDescent="0.25"/>
    <row r="9562" hidden="1" x14ac:dyDescent="0.25"/>
    <row r="9563" hidden="1" x14ac:dyDescent="0.25"/>
    <row r="9564" hidden="1" x14ac:dyDescent="0.25"/>
    <row r="9565" hidden="1" x14ac:dyDescent="0.25"/>
    <row r="9566" hidden="1" x14ac:dyDescent="0.25"/>
    <row r="9567" hidden="1" x14ac:dyDescent="0.25"/>
    <row r="9568" hidden="1" x14ac:dyDescent="0.25"/>
    <row r="9569" hidden="1" x14ac:dyDescent="0.25"/>
    <row r="9570" hidden="1" x14ac:dyDescent="0.25"/>
    <row r="9571" hidden="1" x14ac:dyDescent="0.25"/>
    <row r="9572" hidden="1" x14ac:dyDescent="0.25"/>
    <row r="9573" hidden="1" x14ac:dyDescent="0.25"/>
    <row r="9574" hidden="1" x14ac:dyDescent="0.25"/>
    <row r="9575" hidden="1" x14ac:dyDescent="0.25"/>
    <row r="9576" hidden="1" x14ac:dyDescent="0.25"/>
    <row r="9577" hidden="1" x14ac:dyDescent="0.25"/>
    <row r="9578" hidden="1" x14ac:dyDescent="0.25"/>
    <row r="9579" hidden="1" x14ac:dyDescent="0.25"/>
    <row r="9580" hidden="1" x14ac:dyDescent="0.25"/>
    <row r="9581" hidden="1" x14ac:dyDescent="0.25"/>
    <row r="9582" hidden="1" x14ac:dyDescent="0.25"/>
    <row r="9583" hidden="1" x14ac:dyDescent="0.25"/>
    <row r="9584" hidden="1" x14ac:dyDescent="0.25"/>
    <row r="9585" hidden="1" x14ac:dyDescent="0.25"/>
    <row r="9586" hidden="1" x14ac:dyDescent="0.25"/>
    <row r="9587" hidden="1" x14ac:dyDescent="0.25"/>
    <row r="9588" hidden="1" x14ac:dyDescent="0.25"/>
    <row r="9589" hidden="1" x14ac:dyDescent="0.25"/>
    <row r="9590" hidden="1" x14ac:dyDescent="0.25"/>
    <row r="9591" hidden="1" x14ac:dyDescent="0.25"/>
    <row r="9592" hidden="1" x14ac:dyDescent="0.25"/>
    <row r="9593" hidden="1" x14ac:dyDescent="0.25"/>
    <row r="9594" hidden="1" x14ac:dyDescent="0.25"/>
    <row r="9595" hidden="1" x14ac:dyDescent="0.25"/>
    <row r="9596" hidden="1" x14ac:dyDescent="0.25"/>
    <row r="9597" hidden="1" x14ac:dyDescent="0.25"/>
    <row r="9598" hidden="1" x14ac:dyDescent="0.25"/>
    <row r="9599" hidden="1" x14ac:dyDescent="0.25"/>
    <row r="9600" hidden="1" x14ac:dyDescent="0.25"/>
    <row r="9601" hidden="1" x14ac:dyDescent="0.25"/>
    <row r="9602" hidden="1" x14ac:dyDescent="0.25"/>
    <row r="9603" hidden="1" x14ac:dyDescent="0.25"/>
    <row r="9604" hidden="1" x14ac:dyDescent="0.25"/>
    <row r="9605" hidden="1" x14ac:dyDescent="0.25"/>
    <row r="9606" hidden="1" x14ac:dyDescent="0.25"/>
    <row r="9607" hidden="1" x14ac:dyDescent="0.25"/>
    <row r="9608" hidden="1" x14ac:dyDescent="0.25"/>
    <row r="9609" hidden="1" x14ac:dyDescent="0.25"/>
    <row r="9610" hidden="1" x14ac:dyDescent="0.25"/>
    <row r="9611" hidden="1" x14ac:dyDescent="0.25"/>
    <row r="9612" hidden="1" x14ac:dyDescent="0.25"/>
    <row r="9613" hidden="1" x14ac:dyDescent="0.25"/>
    <row r="9614" hidden="1" x14ac:dyDescent="0.25"/>
    <row r="9615" hidden="1" x14ac:dyDescent="0.25"/>
    <row r="9616" hidden="1" x14ac:dyDescent="0.25"/>
    <row r="9617" hidden="1" x14ac:dyDescent="0.25"/>
    <row r="9618" hidden="1" x14ac:dyDescent="0.25"/>
    <row r="9619" hidden="1" x14ac:dyDescent="0.25"/>
    <row r="9620" hidden="1" x14ac:dyDescent="0.25"/>
    <row r="9621" hidden="1" x14ac:dyDescent="0.25"/>
    <row r="9622" hidden="1" x14ac:dyDescent="0.25"/>
    <row r="9623" hidden="1" x14ac:dyDescent="0.25"/>
    <row r="9624" hidden="1" x14ac:dyDescent="0.25"/>
    <row r="9625" hidden="1" x14ac:dyDescent="0.25"/>
    <row r="9626" hidden="1" x14ac:dyDescent="0.25"/>
    <row r="9627" hidden="1" x14ac:dyDescent="0.25"/>
    <row r="9628" hidden="1" x14ac:dyDescent="0.25"/>
    <row r="9629" hidden="1" x14ac:dyDescent="0.25"/>
    <row r="9630" hidden="1" x14ac:dyDescent="0.25"/>
    <row r="9631" hidden="1" x14ac:dyDescent="0.25"/>
    <row r="9632" hidden="1" x14ac:dyDescent="0.25"/>
    <row r="9633" hidden="1" x14ac:dyDescent="0.25"/>
    <row r="9634" hidden="1" x14ac:dyDescent="0.25"/>
    <row r="9635" hidden="1" x14ac:dyDescent="0.25"/>
    <row r="9636" hidden="1" x14ac:dyDescent="0.25"/>
    <row r="9637" hidden="1" x14ac:dyDescent="0.25"/>
    <row r="9638" hidden="1" x14ac:dyDescent="0.25"/>
    <row r="9639" hidden="1" x14ac:dyDescent="0.25"/>
    <row r="9640" hidden="1" x14ac:dyDescent="0.25"/>
    <row r="9641" hidden="1" x14ac:dyDescent="0.25"/>
    <row r="9642" hidden="1" x14ac:dyDescent="0.25"/>
    <row r="9643" hidden="1" x14ac:dyDescent="0.25"/>
    <row r="9644" hidden="1" x14ac:dyDescent="0.25"/>
    <row r="9645" hidden="1" x14ac:dyDescent="0.25"/>
    <row r="9646" hidden="1" x14ac:dyDescent="0.25"/>
    <row r="9647" hidden="1" x14ac:dyDescent="0.25"/>
    <row r="9648" hidden="1" x14ac:dyDescent="0.25"/>
    <row r="9649" hidden="1" x14ac:dyDescent="0.25"/>
    <row r="9650" hidden="1" x14ac:dyDescent="0.25"/>
    <row r="9651" hidden="1" x14ac:dyDescent="0.25"/>
    <row r="9652" hidden="1" x14ac:dyDescent="0.25"/>
    <row r="9653" hidden="1" x14ac:dyDescent="0.25"/>
    <row r="9654" hidden="1" x14ac:dyDescent="0.25"/>
    <row r="9655" hidden="1" x14ac:dyDescent="0.25"/>
    <row r="9656" hidden="1" x14ac:dyDescent="0.25"/>
    <row r="9657" hidden="1" x14ac:dyDescent="0.25"/>
    <row r="9658" hidden="1" x14ac:dyDescent="0.25"/>
    <row r="9659" hidden="1" x14ac:dyDescent="0.25"/>
    <row r="9660" hidden="1" x14ac:dyDescent="0.25"/>
    <row r="9661" hidden="1" x14ac:dyDescent="0.25"/>
    <row r="9662" hidden="1" x14ac:dyDescent="0.25"/>
    <row r="9663" hidden="1" x14ac:dyDescent="0.25"/>
    <row r="9664" hidden="1" x14ac:dyDescent="0.25"/>
    <row r="9665" hidden="1" x14ac:dyDescent="0.25"/>
    <row r="9666" hidden="1" x14ac:dyDescent="0.25"/>
    <row r="9667" hidden="1" x14ac:dyDescent="0.25"/>
    <row r="9668" hidden="1" x14ac:dyDescent="0.25"/>
    <row r="9669" hidden="1" x14ac:dyDescent="0.25"/>
    <row r="9670" hidden="1" x14ac:dyDescent="0.25"/>
    <row r="9671" hidden="1" x14ac:dyDescent="0.25"/>
    <row r="9672" hidden="1" x14ac:dyDescent="0.25"/>
    <row r="9673" hidden="1" x14ac:dyDescent="0.25"/>
    <row r="9674" hidden="1" x14ac:dyDescent="0.25"/>
    <row r="9675" hidden="1" x14ac:dyDescent="0.25"/>
    <row r="9676" hidden="1" x14ac:dyDescent="0.25"/>
    <row r="9677" hidden="1" x14ac:dyDescent="0.25"/>
    <row r="9678" hidden="1" x14ac:dyDescent="0.25"/>
    <row r="9679" hidden="1" x14ac:dyDescent="0.25"/>
    <row r="9680" hidden="1" x14ac:dyDescent="0.25"/>
    <row r="9681" hidden="1" x14ac:dyDescent="0.25"/>
    <row r="9682" hidden="1" x14ac:dyDescent="0.25"/>
    <row r="9683" hidden="1" x14ac:dyDescent="0.25"/>
    <row r="9684" hidden="1" x14ac:dyDescent="0.25"/>
    <row r="9685" hidden="1" x14ac:dyDescent="0.25"/>
    <row r="9686" hidden="1" x14ac:dyDescent="0.25"/>
    <row r="9687" hidden="1" x14ac:dyDescent="0.25"/>
    <row r="9688" hidden="1" x14ac:dyDescent="0.25"/>
    <row r="9689" hidden="1" x14ac:dyDescent="0.25"/>
    <row r="9690" hidden="1" x14ac:dyDescent="0.25"/>
    <row r="9691" hidden="1" x14ac:dyDescent="0.25"/>
    <row r="9692" hidden="1" x14ac:dyDescent="0.25"/>
    <row r="9693" hidden="1" x14ac:dyDescent="0.25"/>
    <row r="9694" hidden="1" x14ac:dyDescent="0.25"/>
    <row r="9695" hidden="1" x14ac:dyDescent="0.25"/>
    <row r="9696" hidden="1" x14ac:dyDescent="0.25"/>
    <row r="9697" hidden="1" x14ac:dyDescent="0.25"/>
    <row r="9698" hidden="1" x14ac:dyDescent="0.25"/>
    <row r="9699" hidden="1" x14ac:dyDescent="0.25"/>
    <row r="9700" hidden="1" x14ac:dyDescent="0.25"/>
    <row r="9701" hidden="1" x14ac:dyDescent="0.25"/>
    <row r="9702" hidden="1" x14ac:dyDescent="0.25"/>
    <row r="9703" hidden="1" x14ac:dyDescent="0.25"/>
    <row r="9704" hidden="1" x14ac:dyDescent="0.25"/>
    <row r="9705" hidden="1" x14ac:dyDescent="0.25"/>
    <row r="9706" hidden="1" x14ac:dyDescent="0.25"/>
    <row r="9707" hidden="1" x14ac:dyDescent="0.25"/>
    <row r="9708" hidden="1" x14ac:dyDescent="0.25"/>
    <row r="9709" hidden="1" x14ac:dyDescent="0.25"/>
    <row r="9710" hidden="1" x14ac:dyDescent="0.25"/>
    <row r="9711" hidden="1" x14ac:dyDescent="0.25"/>
    <row r="9712" hidden="1" x14ac:dyDescent="0.25"/>
    <row r="9713" hidden="1" x14ac:dyDescent="0.25"/>
    <row r="9714" hidden="1" x14ac:dyDescent="0.25"/>
    <row r="9715" hidden="1" x14ac:dyDescent="0.25"/>
    <row r="9716" hidden="1" x14ac:dyDescent="0.25"/>
    <row r="9717" hidden="1" x14ac:dyDescent="0.25"/>
    <row r="9718" hidden="1" x14ac:dyDescent="0.25"/>
    <row r="9719" hidden="1" x14ac:dyDescent="0.25"/>
    <row r="9720" hidden="1" x14ac:dyDescent="0.25"/>
    <row r="9721" hidden="1" x14ac:dyDescent="0.25"/>
    <row r="9722" hidden="1" x14ac:dyDescent="0.25"/>
    <row r="9723" hidden="1" x14ac:dyDescent="0.25"/>
    <row r="9724" hidden="1" x14ac:dyDescent="0.25"/>
    <row r="9725" hidden="1" x14ac:dyDescent="0.25"/>
    <row r="9726" hidden="1" x14ac:dyDescent="0.25"/>
    <row r="9727" hidden="1" x14ac:dyDescent="0.25"/>
    <row r="9728" hidden="1" x14ac:dyDescent="0.25"/>
    <row r="9729" hidden="1" x14ac:dyDescent="0.25"/>
    <row r="9730" hidden="1" x14ac:dyDescent="0.25"/>
    <row r="9731" hidden="1" x14ac:dyDescent="0.25"/>
    <row r="9732" hidden="1" x14ac:dyDescent="0.25"/>
    <row r="9733" hidden="1" x14ac:dyDescent="0.25"/>
    <row r="9734" hidden="1" x14ac:dyDescent="0.25"/>
    <row r="9735" hidden="1" x14ac:dyDescent="0.25"/>
    <row r="9736" hidden="1" x14ac:dyDescent="0.25"/>
    <row r="9737" hidden="1" x14ac:dyDescent="0.25"/>
    <row r="9738" hidden="1" x14ac:dyDescent="0.25"/>
    <row r="9739" hidden="1" x14ac:dyDescent="0.25"/>
    <row r="9740" hidden="1" x14ac:dyDescent="0.25"/>
    <row r="9741" hidden="1" x14ac:dyDescent="0.25"/>
    <row r="9742" hidden="1" x14ac:dyDescent="0.25"/>
    <row r="9743" hidden="1" x14ac:dyDescent="0.25"/>
    <row r="9744" hidden="1" x14ac:dyDescent="0.25"/>
    <row r="9745" hidden="1" x14ac:dyDescent="0.25"/>
    <row r="9746" hidden="1" x14ac:dyDescent="0.25"/>
    <row r="9747" hidden="1" x14ac:dyDescent="0.25"/>
    <row r="9748" hidden="1" x14ac:dyDescent="0.25"/>
    <row r="9749" hidden="1" x14ac:dyDescent="0.25"/>
    <row r="9750" hidden="1" x14ac:dyDescent="0.25"/>
    <row r="9751" hidden="1" x14ac:dyDescent="0.25"/>
    <row r="9752" hidden="1" x14ac:dyDescent="0.25"/>
    <row r="9753" hidden="1" x14ac:dyDescent="0.25"/>
    <row r="9754" hidden="1" x14ac:dyDescent="0.25"/>
    <row r="9755" hidden="1" x14ac:dyDescent="0.25"/>
    <row r="9756" hidden="1" x14ac:dyDescent="0.25"/>
    <row r="9757" hidden="1" x14ac:dyDescent="0.25"/>
    <row r="9758" hidden="1" x14ac:dyDescent="0.25"/>
    <row r="9759" hidden="1" x14ac:dyDescent="0.25"/>
    <row r="9760" hidden="1" x14ac:dyDescent="0.25"/>
    <row r="9761" hidden="1" x14ac:dyDescent="0.25"/>
    <row r="9762" hidden="1" x14ac:dyDescent="0.25"/>
    <row r="9763" hidden="1" x14ac:dyDescent="0.25"/>
    <row r="9764" hidden="1" x14ac:dyDescent="0.25"/>
    <row r="9765" hidden="1" x14ac:dyDescent="0.25"/>
    <row r="9766" hidden="1" x14ac:dyDescent="0.25"/>
    <row r="9767" hidden="1" x14ac:dyDescent="0.25"/>
    <row r="9768" hidden="1" x14ac:dyDescent="0.25"/>
    <row r="9769" hidden="1" x14ac:dyDescent="0.25"/>
    <row r="9770" hidden="1" x14ac:dyDescent="0.25"/>
    <row r="9771" hidden="1" x14ac:dyDescent="0.25"/>
    <row r="9772" hidden="1" x14ac:dyDescent="0.25"/>
    <row r="9773" hidden="1" x14ac:dyDescent="0.25"/>
    <row r="9774" hidden="1" x14ac:dyDescent="0.25"/>
    <row r="9775" hidden="1" x14ac:dyDescent="0.25"/>
    <row r="9776" hidden="1" x14ac:dyDescent="0.25"/>
    <row r="9777" hidden="1" x14ac:dyDescent="0.25"/>
    <row r="9778" hidden="1" x14ac:dyDescent="0.25"/>
    <row r="9779" hidden="1" x14ac:dyDescent="0.25"/>
    <row r="9780" hidden="1" x14ac:dyDescent="0.25"/>
    <row r="9781" hidden="1" x14ac:dyDescent="0.25"/>
    <row r="9782" hidden="1" x14ac:dyDescent="0.25"/>
    <row r="9783" hidden="1" x14ac:dyDescent="0.25"/>
    <row r="9784" hidden="1" x14ac:dyDescent="0.25"/>
    <row r="9785" hidden="1" x14ac:dyDescent="0.25"/>
    <row r="9786" hidden="1" x14ac:dyDescent="0.25"/>
    <row r="9787" hidden="1" x14ac:dyDescent="0.25"/>
    <row r="9788" hidden="1" x14ac:dyDescent="0.25"/>
    <row r="9789" hidden="1" x14ac:dyDescent="0.25"/>
    <row r="9790" hidden="1" x14ac:dyDescent="0.25"/>
    <row r="9791" hidden="1" x14ac:dyDescent="0.25"/>
    <row r="9792" hidden="1" x14ac:dyDescent="0.25"/>
    <row r="9793" hidden="1" x14ac:dyDescent="0.25"/>
    <row r="9794" hidden="1" x14ac:dyDescent="0.25"/>
    <row r="9795" hidden="1" x14ac:dyDescent="0.25"/>
    <row r="9796" hidden="1" x14ac:dyDescent="0.25"/>
    <row r="9797" hidden="1" x14ac:dyDescent="0.25"/>
    <row r="9798" hidden="1" x14ac:dyDescent="0.25"/>
    <row r="9799" hidden="1" x14ac:dyDescent="0.25"/>
    <row r="9800" hidden="1" x14ac:dyDescent="0.25"/>
    <row r="9801" hidden="1" x14ac:dyDescent="0.25"/>
    <row r="9802" hidden="1" x14ac:dyDescent="0.25"/>
    <row r="9803" hidden="1" x14ac:dyDescent="0.25"/>
    <row r="9804" hidden="1" x14ac:dyDescent="0.25"/>
    <row r="9805" hidden="1" x14ac:dyDescent="0.25"/>
    <row r="9806" hidden="1" x14ac:dyDescent="0.25"/>
    <row r="9807" hidden="1" x14ac:dyDescent="0.25"/>
    <row r="9808" hidden="1" x14ac:dyDescent="0.25"/>
    <row r="9809" hidden="1" x14ac:dyDescent="0.25"/>
    <row r="9810" hidden="1" x14ac:dyDescent="0.25"/>
    <row r="9811" hidden="1" x14ac:dyDescent="0.25"/>
    <row r="9812" hidden="1" x14ac:dyDescent="0.25"/>
    <row r="9813" hidden="1" x14ac:dyDescent="0.25"/>
    <row r="9814" hidden="1" x14ac:dyDescent="0.25"/>
    <row r="9815" hidden="1" x14ac:dyDescent="0.25"/>
    <row r="9816" hidden="1" x14ac:dyDescent="0.25"/>
    <row r="9817" hidden="1" x14ac:dyDescent="0.25"/>
    <row r="9818" hidden="1" x14ac:dyDescent="0.25"/>
    <row r="9819" hidden="1" x14ac:dyDescent="0.25"/>
    <row r="9820" hidden="1" x14ac:dyDescent="0.25"/>
    <row r="9821" hidden="1" x14ac:dyDescent="0.25"/>
    <row r="9822" hidden="1" x14ac:dyDescent="0.25"/>
    <row r="9823" hidden="1" x14ac:dyDescent="0.25"/>
    <row r="9824" hidden="1" x14ac:dyDescent="0.25"/>
    <row r="9825" hidden="1" x14ac:dyDescent="0.25"/>
    <row r="9826" hidden="1" x14ac:dyDescent="0.25"/>
    <row r="9827" hidden="1" x14ac:dyDescent="0.25"/>
    <row r="9828" hidden="1" x14ac:dyDescent="0.25"/>
    <row r="9829" hidden="1" x14ac:dyDescent="0.25"/>
    <row r="9830" hidden="1" x14ac:dyDescent="0.25"/>
    <row r="9831" hidden="1" x14ac:dyDescent="0.25"/>
    <row r="9832" hidden="1" x14ac:dyDescent="0.25"/>
    <row r="9833" hidden="1" x14ac:dyDescent="0.25"/>
    <row r="9834" hidden="1" x14ac:dyDescent="0.25"/>
    <row r="9835" hidden="1" x14ac:dyDescent="0.25"/>
    <row r="9836" hidden="1" x14ac:dyDescent="0.25"/>
    <row r="9837" hidden="1" x14ac:dyDescent="0.25"/>
    <row r="9838" hidden="1" x14ac:dyDescent="0.25"/>
    <row r="9839" hidden="1" x14ac:dyDescent="0.25"/>
    <row r="9840" hidden="1" x14ac:dyDescent="0.25"/>
    <row r="9841" hidden="1" x14ac:dyDescent="0.25"/>
    <row r="9842" hidden="1" x14ac:dyDescent="0.25"/>
    <row r="9843" hidden="1" x14ac:dyDescent="0.25"/>
    <row r="9844" hidden="1" x14ac:dyDescent="0.25"/>
    <row r="9845" hidden="1" x14ac:dyDescent="0.25"/>
    <row r="9846" hidden="1" x14ac:dyDescent="0.25"/>
    <row r="9847" hidden="1" x14ac:dyDescent="0.25"/>
    <row r="9848" hidden="1" x14ac:dyDescent="0.25"/>
    <row r="9849" hidden="1" x14ac:dyDescent="0.25"/>
    <row r="9850" hidden="1" x14ac:dyDescent="0.25"/>
    <row r="9851" hidden="1" x14ac:dyDescent="0.25"/>
    <row r="9852" hidden="1" x14ac:dyDescent="0.25"/>
    <row r="9853" hidden="1" x14ac:dyDescent="0.25"/>
    <row r="9854" hidden="1" x14ac:dyDescent="0.25"/>
    <row r="9855" hidden="1" x14ac:dyDescent="0.25"/>
    <row r="9856" hidden="1" x14ac:dyDescent="0.25"/>
    <row r="9857" hidden="1" x14ac:dyDescent="0.25"/>
    <row r="9858" hidden="1" x14ac:dyDescent="0.25"/>
    <row r="9859" hidden="1" x14ac:dyDescent="0.25"/>
    <row r="9860" hidden="1" x14ac:dyDescent="0.25"/>
    <row r="9861" hidden="1" x14ac:dyDescent="0.25"/>
    <row r="9862" hidden="1" x14ac:dyDescent="0.25"/>
    <row r="9863" hidden="1" x14ac:dyDescent="0.25"/>
    <row r="9864" hidden="1" x14ac:dyDescent="0.25"/>
    <row r="9865" hidden="1" x14ac:dyDescent="0.25"/>
    <row r="9866" hidden="1" x14ac:dyDescent="0.25"/>
    <row r="9867" hidden="1" x14ac:dyDescent="0.25"/>
    <row r="9868" hidden="1" x14ac:dyDescent="0.25"/>
    <row r="9869" hidden="1" x14ac:dyDescent="0.25"/>
    <row r="9870" hidden="1" x14ac:dyDescent="0.25"/>
    <row r="9871" hidden="1" x14ac:dyDescent="0.25"/>
    <row r="9872" hidden="1" x14ac:dyDescent="0.25"/>
    <row r="9873" hidden="1" x14ac:dyDescent="0.25"/>
    <row r="9874" hidden="1" x14ac:dyDescent="0.25"/>
    <row r="9875" hidden="1" x14ac:dyDescent="0.25"/>
    <row r="9876" hidden="1" x14ac:dyDescent="0.25"/>
    <row r="9877" hidden="1" x14ac:dyDescent="0.25"/>
    <row r="9878" hidden="1" x14ac:dyDescent="0.25"/>
    <row r="9879" hidden="1" x14ac:dyDescent="0.25"/>
    <row r="9880" hidden="1" x14ac:dyDescent="0.25"/>
    <row r="9881" hidden="1" x14ac:dyDescent="0.25"/>
    <row r="9882" hidden="1" x14ac:dyDescent="0.25"/>
    <row r="9883" hidden="1" x14ac:dyDescent="0.25"/>
    <row r="9884" hidden="1" x14ac:dyDescent="0.25"/>
    <row r="9885" hidden="1" x14ac:dyDescent="0.25"/>
    <row r="9886" hidden="1" x14ac:dyDescent="0.25"/>
    <row r="9887" hidden="1" x14ac:dyDescent="0.25"/>
    <row r="9888" hidden="1" x14ac:dyDescent="0.25"/>
    <row r="9889" hidden="1" x14ac:dyDescent="0.25"/>
    <row r="9890" hidden="1" x14ac:dyDescent="0.25"/>
    <row r="9891" hidden="1" x14ac:dyDescent="0.25"/>
    <row r="9892" hidden="1" x14ac:dyDescent="0.25"/>
    <row r="9893" hidden="1" x14ac:dyDescent="0.25"/>
    <row r="9894" hidden="1" x14ac:dyDescent="0.25"/>
    <row r="9895" hidden="1" x14ac:dyDescent="0.25"/>
    <row r="9896" hidden="1" x14ac:dyDescent="0.25"/>
    <row r="9897" hidden="1" x14ac:dyDescent="0.25"/>
    <row r="9898" hidden="1" x14ac:dyDescent="0.25"/>
    <row r="9899" hidden="1" x14ac:dyDescent="0.25"/>
    <row r="9900" hidden="1" x14ac:dyDescent="0.25"/>
    <row r="9901" hidden="1" x14ac:dyDescent="0.25"/>
    <row r="9902" hidden="1" x14ac:dyDescent="0.25"/>
    <row r="9903" hidden="1" x14ac:dyDescent="0.25"/>
    <row r="9904" hidden="1" x14ac:dyDescent="0.25"/>
    <row r="9905" hidden="1" x14ac:dyDescent="0.25"/>
    <row r="9906" hidden="1" x14ac:dyDescent="0.25"/>
    <row r="9907" hidden="1" x14ac:dyDescent="0.25"/>
    <row r="9908" hidden="1" x14ac:dyDescent="0.25"/>
    <row r="9909" hidden="1" x14ac:dyDescent="0.25"/>
    <row r="9910" hidden="1" x14ac:dyDescent="0.25"/>
    <row r="9911" hidden="1" x14ac:dyDescent="0.25"/>
    <row r="9912" hidden="1" x14ac:dyDescent="0.25"/>
    <row r="9913" hidden="1" x14ac:dyDescent="0.25"/>
    <row r="9914" hidden="1" x14ac:dyDescent="0.25"/>
    <row r="9915" hidden="1" x14ac:dyDescent="0.25"/>
    <row r="9916" hidden="1" x14ac:dyDescent="0.25"/>
    <row r="9917" hidden="1" x14ac:dyDescent="0.25"/>
    <row r="9918" hidden="1" x14ac:dyDescent="0.25"/>
    <row r="9919" hidden="1" x14ac:dyDescent="0.25"/>
    <row r="9920" hidden="1" x14ac:dyDescent="0.25"/>
    <row r="9921" hidden="1" x14ac:dyDescent="0.25"/>
    <row r="9922" hidden="1" x14ac:dyDescent="0.25"/>
    <row r="9923" hidden="1" x14ac:dyDescent="0.25"/>
    <row r="9924" hidden="1" x14ac:dyDescent="0.25"/>
    <row r="9925" hidden="1" x14ac:dyDescent="0.25"/>
    <row r="9926" hidden="1" x14ac:dyDescent="0.25"/>
    <row r="9927" hidden="1" x14ac:dyDescent="0.25"/>
    <row r="9928" hidden="1" x14ac:dyDescent="0.25"/>
    <row r="9929" hidden="1" x14ac:dyDescent="0.25"/>
    <row r="9930" hidden="1" x14ac:dyDescent="0.25"/>
    <row r="9931" hidden="1" x14ac:dyDescent="0.25"/>
    <row r="9932" hidden="1" x14ac:dyDescent="0.25"/>
    <row r="9933" hidden="1" x14ac:dyDescent="0.25"/>
    <row r="9934" hidden="1" x14ac:dyDescent="0.25"/>
    <row r="9935" hidden="1" x14ac:dyDescent="0.25"/>
    <row r="9936" hidden="1" x14ac:dyDescent="0.25"/>
    <row r="9937" hidden="1" x14ac:dyDescent="0.25"/>
    <row r="9938" hidden="1" x14ac:dyDescent="0.25"/>
    <row r="9939" hidden="1" x14ac:dyDescent="0.25"/>
    <row r="9940" hidden="1" x14ac:dyDescent="0.25"/>
    <row r="9941" hidden="1" x14ac:dyDescent="0.25"/>
    <row r="9942" hidden="1" x14ac:dyDescent="0.25"/>
    <row r="9943" hidden="1" x14ac:dyDescent="0.25"/>
    <row r="9944" hidden="1" x14ac:dyDescent="0.25"/>
    <row r="9945" hidden="1" x14ac:dyDescent="0.25"/>
    <row r="9946" hidden="1" x14ac:dyDescent="0.25"/>
    <row r="9947" hidden="1" x14ac:dyDescent="0.25"/>
    <row r="9948" hidden="1" x14ac:dyDescent="0.25"/>
    <row r="9949" hidden="1" x14ac:dyDescent="0.25"/>
    <row r="9950" hidden="1" x14ac:dyDescent="0.25"/>
    <row r="9951" hidden="1" x14ac:dyDescent="0.25"/>
    <row r="9952" hidden="1" x14ac:dyDescent="0.25"/>
    <row r="9953" hidden="1" x14ac:dyDescent="0.25"/>
    <row r="9954" hidden="1" x14ac:dyDescent="0.25"/>
    <row r="9955" hidden="1" x14ac:dyDescent="0.25"/>
    <row r="9956" hidden="1" x14ac:dyDescent="0.25"/>
    <row r="9957" hidden="1" x14ac:dyDescent="0.25"/>
    <row r="9958" hidden="1" x14ac:dyDescent="0.25"/>
    <row r="9959" hidden="1" x14ac:dyDescent="0.25"/>
    <row r="9960" hidden="1" x14ac:dyDescent="0.25"/>
    <row r="9961" hidden="1" x14ac:dyDescent="0.25"/>
    <row r="9962" hidden="1" x14ac:dyDescent="0.25"/>
    <row r="9963" hidden="1" x14ac:dyDescent="0.25"/>
    <row r="9964" hidden="1" x14ac:dyDescent="0.25"/>
    <row r="9965" hidden="1" x14ac:dyDescent="0.25"/>
    <row r="9966" hidden="1" x14ac:dyDescent="0.25"/>
    <row r="9967" hidden="1" x14ac:dyDescent="0.25"/>
    <row r="9968" hidden="1" x14ac:dyDescent="0.25"/>
    <row r="9969" hidden="1" x14ac:dyDescent="0.25"/>
    <row r="9970" hidden="1" x14ac:dyDescent="0.25"/>
    <row r="9971" hidden="1" x14ac:dyDescent="0.25"/>
    <row r="9972" hidden="1" x14ac:dyDescent="0.25"/>
    <row r="9973" hidden="1" x14ac:dyDescent="0.25"/>
    <row r="9974" hidden="1" x14ac:dyDescent="0.25"/>
    <row r="9975" hidden="1" x14ac:dyDescent="0.25"/>
    <row r="9976" hidden="1" x14ac:dyDescent="0.25"/>
    <row r="9977" hidden="1" x14ac:dyDescent="0.25"/>
    <row r="9978" hidden="1" x14ac:dyDescent="0.25"/>
    <row r="9979" hidden="1" x14ac:dyDescent="0.25"/>
    <row r="9980" hidden="1" x14ac:dyDescent="0.25"/>
    <row r="9981" hidden="1" x14ac:dyDescent="0.25"/>
    <row r="9982" hidden="1" x14ac:dyDescent="0.25"/>
    <row r="9983" hidden="1" x14ac:dyDescent="0.25"/>
    <row r="9984" hidden="1" x14ac:dyDescent="0.25"/>
    <row r="9985" hidden="1" x14ac:dyDescent="0.25"/>
    <row r="9986" hidden="1" x14ac:dyDescent="0.25"/>
    <row r="9987" hidden="1" x14ac:dyDescent="0.25"/>
    <row r="9988" hidden="1" x14ac:dyDescent="0.25"/>
    <row r="9989" hidden="1" x14ac:dyDescent="0.25"/>
    <row r="9990" hidden="1" x14ac:dyDescent="0.25"/>
    <row r="9991" hidden="1" x14ac:dyDescent="0.25"/>
    <row r="9992" hidden="1" x14ac:dyDescent="0.25"/>
    <row r="9993" hidden="1" x14ac:dyDescent="0.25"/>
    <row r="9994" hidden="1" x14ac:dyDescent="0.25"/>
    <row r="9995" hidden="1" x14ac:dyDescent="0.25"/>
    <row r="9996" hidden="1" x14ac:dyDescent="0.25"/>
    <row r="9997" hidden="1" x14ac:dyDescent="0.25"/>
    <row r="9998" hidden="1" x14ac:dyDescent="0.25"/>
    <row r="9999" hidden="1" x14ac:dyDescent="0.25"/>
    <row r="10000" hidden="1" x14ac:dyDescent="0.25"/>
    <row r="10001" hidden="1" x14ac:dyDescent="0.25"/>
    <row r="10002" hidden="1" x14ac:dyDescent="0.25"/>
    <row r="10003" hidden="1" x14ac:dyDescent="0.25"/>
    <row r="10004" hidden="1" x14ac:dyDescent="0.25"/>
    <row r="10005" hidden="1" x14ac:dyDescent="0.25"/>
    <row r="10006" hidden="1" x14ac:dyDescent="0.25"/>
    <row r="10007" hidden="1" x14ac:dyDescent="0.25"/>
    <row r="10008" hidden="1" x14ac:dyDescent="0.25"/>
    <row r="10009" hidden="1" x14ac:dyDescent="0.25"/>
    <row r="10010" hidden="1" x14ac:dyDescent="0.25"/>
    <row r="10011" hidden="1" x14ac:dyDescent="0.25"/>
    <row r="10012" hidden="1" x14ac:dyDescent="0.25"/>
    <row r="10013" hidden="1" x14ac:dyDescent="0.25"/>
    <row r="10014" hidden="1" x14ac:dyDescent="0.25"/>
    <row r="10015" hidden="1" x14ac:dyDescent="0.25"/>
    <row r="10016" hidden="1" x14ac:dyDescent="0.25"/>
    <row r="10017" hidden="1" x14ac:dyDescent="0.25"/>
    <row r="10018" hidden="1" x14ac:dyDescent="0.25"/>
    <row r="10019" hidden="1" x14ac:dyDescent="0.25"/>
    <row r="10020" hidden="1" x14ac:dyDescent="0.25"/>
    <row r="10021" hidden="1" x14ac:dyDescent="0.25"/>
    <row r="10022" hidden="1" x14ac:dyDescent="0.25"/>
    <row r="10023" hidden="1" x14ac:dyDescent="0.25"/>
    <row r="10024" hidden="1" x14ac:dyDescent="0.25"/>
    <row r="10025" hidden="1" x14ac:dyDescent="0.25"/>
    <row r="10026" hidden="1" x14ac:dyDescent="0.25"/>
    <row r="10027" hidden="1" x14ac:dyDescent="0.25"/>
    <row r="10028" hidden="1" x14ac:dyDescent="0.25"/>
    <row r="10029" hidden="1" x14ac:dyDescent="0.25"/>
    <row r="10030" hidden="1" x14ac:dyDescent="0.25"/>
    <row r="10031" hidden="1" x14ac:dyDescent="0.25"/>
    <row r="10032" hidden="1" x14ac:dyDescent="0.25"/>
    <row r="10033" hidden="1" x14ac:dyDescent="0.25"/>
    <row r="10034" hidden="1" x14ac:dyDescent="0.25"/>
    <row r="10035" hidden="1" x14ac:dyDescent="0.25"/>
    <row r="10036" hidden="1" x14ac:dyDescent="0.25"/>
    <row r="10037" hidden="1" x14ac:dyDescent="0.25"/>
    <row r="10038" hidden="1" x14ac:dyDescent="0.25"/>
    <row r="10039" hidden="1" x14ac:dyDescent="0.25"/>
    <row r="10040" hidden="1" x14ac:dyDescent="0.25"/>
    <row r="10041" hidden="1" x14ac:dyDescent="0.25"/>
    <row r="10042" hidden="1" x14ac:dyDescent="0.25"/>
    <row r="10043" hidden="1" x14ac:dyDescent="0.25"/>
    <row r="10044" hidden="1" x14ac:dyDescent="0.25"/>
    <row r="10045" hidden="1" x14ac:dyDescent="0.25"/>
    <row r="10046" hidden="1" x14ac:dyDescent="0.25"/>
    <row r="10047" hidden="1" x14ac:dyDescent="0.25"/>
    <row r="10048" hidden="1" x14ac:dyDescent="0.25"/>
    <row r="10049" hidden="1" x14ac:dyDescent="0.25"/>
    <row r="10050" hidden="1" x14ac:dyDescent="0.25"/>
    <row r="10051" hidden="1" x14ac:dyDescent="0.25"/>
    <row r="10052" hidden="1" x14ac:dyDescent="0.25"/>
    <row r="10053" hidden="1" x14ac:dyDescent="0.25"/>
    <row r="10054" hidden="1" x14ac:dyDescent="0.25"/>
    <row r="10055" hidden="1" x14ac:dyDescent="0.25"/>
    <row r="10056" hidden="1" x14ac:dyDescent="0.25"/>
    <row r="10057" hidden="1" x14ac:dyDescent="0.25"/>
    <row r="10058" hidden="1" x14ac:dyDescent="0.25"/>
    <row r="10059" hidden="1" x14ac:dyDescent="0.25"/>
    <row r="10060" hidden="1" x14ac:dyDescent="0.25"/>
    <row r="10061" hidden="1" x14ac:dyDescent="0.25"/>
    <row r="10062" hidden="1" x14ac:dyDescent="0.25"/>
    <row r="10063" hidden="1" x14ac:dyDescent="0.25"/>
    <row r="10064" hidden="1" x14ac:dyDescent="0.25"/>
    <row r="10065" hidden="1" x14ac:dyDescent="0.25"/>
    <row r="10066" hidden="1" x14ac:dyDescent="0.25"/>
    <row r="10067" hidden="1" x14ac:dyDescent="0.25"/>
    <row r="10068" hidden="1" x14ac:dyDescent="0.25"/>
    <row r="10069" hidden="1" x14ac:dyDescent="0.25"/>
    <row r="10070" hidden="1" x14ac:dyDescent="0.25"/>
    <row r="10071" hidden="1" x14ac:dyDescent="0.25"/>
    <row r="10072" hidden="1" x14ac:dyDescent="0.25"/>
    <row r="10073" hidden="1" x14ac:dyDescent="0.25"/>
    <row r="10074" hidden="1" x14ac:dyDescent="0.25"/>
    <row r="10075" hidden="1" x14ac:dyDescent="0.25"/>
    <row r="10076" hidden="1" x14ac:dyDescent="0.25"/>
    <row r="10077" hidden="1" x14ac:dyDescent="0.25"/>
    <row r="10078" hidden="1" x14ac:dyDescent="0.25"/>
    <row r="10079" hidden="1" x14ac:dyDescent="0.25"/>
    <row r="10080" hidden="1" x14ac:dyDescent="0.25"/>
    <row r="10081" hidden="1" x14ac:dyDescent="0.25"/>
    <row r="10082" hidden="1" x14ac:dyDescent="0.25"/>
    <row r="10083" hidden="1" x14ac:dyDescent="0.25"/>
    <row r="10084" hidden="1" x14ac:dyDescent="0.25"/>
    <row r="10085" hidden="1" x14ac:dyDescent="0.25"/>
    <row r="10086" hidden="1" x14ac:dyDescent="0.25"/>
    <row r="10087" hidden="1" x14ac:dyDescent="0.25"/>
    <row r="10088" hidden="1" x14ac:dyDescent="0.25"/>
    <row r="10089" hidden="1" x14ac:dyDescent="0.25"/>
    <row r="10090" hidden="1" x14ac:dyDescent="0.25"/>
    <row r="10091" hidden="1" x14ac:dyDescent="0.25"/>
    <row r="10092" hidden="1" x14ac:dyDescent="0.25"/>
    <row r="10093" hidden="1" x14ac:dyDescent="0.25"/>
    <row r="10094" hidden="1" x14ac:dyDescent="0.25"/>
    <row r="10095" hidden="1" x14ac:dyDescent="0.25"/>
    <row r="10096" hidden="1" x14ac:dyDescent="0.25"/>
    <row r="10097" hidden="1" x14ac:dyDescent="0.25"/>
    <row r="10098" hidden="1" x14ac:dyDescent="0.25"/>
    <row r="10099" hidden="1" x14ac:dyDescent="0.25"/>
    <row r="10100" hidden="1" x14ac:dyDescent="0.25"/>
    <row r="10101" hidden="1" x14ac:dyDescent="0.25"/>
    <row r="10102" hidden="1" x14ac:dyDescent="0.25"/>
    <row r="10103" hidden="1" x14ac:dyDescent="0.25"/>
    <row r="10104" hidden="1" x14ac:dyDescent="0.25"/>
    <row r="10105" hidden="1" x14ac:dyDescent="0.25"/>
    <row r="10106" hidden="1" x14ac:dyDescent="0.25"/>
    <row r="10107" hidden="1" x14ac:dyDescent="0.25"/>
    <row r="10108" hidden="1" x14ac:dyDescent="0.25"/>
    <row r="10109" hidden="1" x14ac:dyDescent="0.25"/>
    <row r="10110" hidden="1" x14ac:dyDescent="0.25"/>
    <row r="10111" hidden="1" x14ac:dyDescent="0.25"/>
    <row r="10112" hidden="1" x14ac:dyDescent="0.25"/>
    <row r="10113" hidden="1" x14ac:dyDescent="0.25"/>
    <row r="10114" hidden="1" x14ac:dyDescent="0.25"/>
    <row r="10115" hidden="1" x14ac:dyDescent="0.25"/>
    <row r="10116" hidden="1" x14ac:dyDescent="0.25"/>
    <row r="10117" hidden="1" x14ac:dyDescent="0.25"/>
    <row r="10118" hidden="1" x14ac:dyDescent="0.25"/>
    <row r="10119" hidden="1" x14ac:dyDescent="0.25"/>
    <row r="10120" hidden="1" x14ac:dyDescent="0.25"/>
    <row r="10121" hidden="1" x14ac:dyDescent="0.25"/>
    <row r="10122" hidden="1" x14ac:dyDescent="0.25"/>
    <row r="10123" hidden="1" x14ac:dyDescent="0.25"/>
    <row r="10124" hidden="1" x14ac:dyDescent="0.25"/>
    <row r="10125" hidden="1" x14ac:dyDescent="0.25"/>
    <row r="10126" hidden="1" x14ac:dyDescent="0.25"/>
    <row r="10127" hidden="1" x14ac:dyDescent="0.25"/>
    <row r="10128" hidden="1" x14ac:dyDescent="0.25"/>
    <row r="10129" hidden="1" x14ac:dyDescent="0.25"/>
    <row r="10130" hidden="1" x14ac:dyDescent="0.25"/>
    <row r="10131" hidden="1" x14ac:dyDescent="0.25"/>
    <row r="10132" hidden="1" x14ac:dyDescent="0.25"/>
    <row r="10133" hidden="1" x14ac:dyDescent="0.25"/>
    <row r="10134" hidden="1" x14ac:dyDescent="0.25"/>
    <row r="10135" hidden="1" x14ac:dyDescent="0.25"/>
    <row r="10136" hidden="1" x14ac:dyDescent="0.25"/>
    <row r="10137" hidden="1" x14ac:dyDescent="0.25"/>
    <row r="10138" hidden="1" x14ac:dyDescent="0.25"/>
    <row r="10139" hidden="1" x14ac:dyDescent="0.25"/>
    <row r="10140" hidden="1" x14ac:dyDescent="0.25"/>
    <row r="10141" hidden="1" x14ac:dyDescent="0.25"/>
    <row r="10142" hidden="1" x14ac:dyDescent="0.25"/>
    <row r="10143" hidden="1" x14ac:dyDescent="0.25"/>
    <row r="10144" hidden="1" x14ac:dyDescent="0.25"/>
    <row r="10145" hidden="1" x14ac:dyDescent="0.25"/>
    <row r="10146" hidden="1" x14ac:dyDescent="0.25"/>
    <row r="10147" hidden="1" x14ac:dyDescent="0.25"/>
    <row r="10148" hidden="1" x14ac:dyDescent="0.25"/>
    <row r="10149" hidden="1" x14ac:dyDescent="0.25"/>
    <row r="10150" hidden="1" x14ac:dyDescent="0.25"/>
    <row r="10151" hidden="1" x14ac:dyDescent="0.25"/>
    <row r="10152" hidden="1" x14ac:dyDescent="0.25"/>
    <row r="10153" hidden="1" x14ac:dyDescent="0.25"/>
    <row r="10154" hidden="1" x14ac:dyDescent="0.25"/>
    <row r="10155" hidden="1" x14ac:dyDescent="0.25"/>
    <row r="10156" hidden="1" x14ac:dyDescent="0.25"/>
    <row r="10157" hidden="1" x14ac:dyDescent="0.25"/>
    <row r="10158" hidden="1" x14ac:dyDescent="0.25"/>
    <row r="10159" hidden="1" x14ac:dyDescent="0.25"/>
    <row r="10160" hidden="1" x14ac:dyDescent="0.25"/>
    <row r="10161" hidden="1" x14ac:dyDescent="0.25"/>
    <row r="10162" hidden="1" x14ac:dyDescent="0.25"/>
    <row r="10163" hidden="1" x14ac:dyDescent="0.25"/>
    <row r="10164" hidden="1" x14ac:dyDescent="0.25"/>
    <row r="10165" hidden="1" x14ac:dyDescent="0.25"/>
    <row r="10166" hidden="1" x14ac:dyDescent="0.25"/>
    <row r="10167" hidden="1" x14ac:dyDescent="0.25"/>
    <row r="10168" hidden="1" x14ac:dyDescent="0.25"/>
    <row r="10169" hidden="1" x14ac:dyDescent="0.25"/>
    <row r="10170" hidden="1" x14ac:dyDescent="0.25"/>
    <row r="10171" hidden="1" x14ac:dyDescent="0.25"/>
    <row r="10172" hidden="1" x14ac:dyDescent="0.25"/>
    <row r="10173" hidden="1" x14ac:dyDescent="0.25"/>
    <row r="10174" hidden="1" x14ac:dyDescent="0.25"/>
    <row r="10175" hidden="1" x14ac:dyDescent="0.25"/>
    <row r="10176" hidden="1" x14ac:dyDescent="0.25"/>
    <row r="10177" hidden="1" x14ac:dyDescent="0.25"/>
    <row r="10178" hidden="1" x14ac:dyDescent="0.25"/>
    <row r="10179" hidden="1" x14ac:dyDescent="0.25"/>
    <row r="10180" hidden="1" x14ac:dyDescent="0.25"/>
    <row r="10181" hidden="1" x14ac:dyDescent="0.25"/>
    <row r="10182" hidden="1" x14ac:dyDescent="0.25"/>
    <row r="10183" hidden="1" x14ac:dyDescent="0.25"/>
    <row r="10184" hidden="1" x14ac:dyDescent="0.25"/>
    <row r="10185" hidden="1" x14ac:dyDescent="0.25"/>
    <row r="10186" hidden="1" x14ac:dyDescent="0.25"/>
    <row r="10187" hidden="1" x14ac:dyDescent="0.25"/>
    <row r="10188" hidden="1" x14ac:dyDescent="0.25"/>
    <row r="10189" hidden="1" x14ac:dyDescent="0.25"/>
    <row r="10190" hidden="1" x14ac:dyDescent="0.25"/>
    <row r="10191" hidden="1" x14ac:dyDescent="0.25"/>
    <row r="10192" hidden="1" x14ac:dyDescent="0.25"/>
    <row r="10193" hidden="1" x14ac:dyDescent="0.25"/>
    <row r="10194" hidden="1" x14ac:dyDescent="0.25"/>
    <row r="10195" hidden="1" x14ac:dyDescent="0.25"/>
    <row r="10196" hidden="1" x14ac:dyDescent="0.25"/>
    <row r="10197" hidden="1" x14ac:dyDescent="0.25"/>
    <row r="10198" hidden="1" x14ac:dyDescent="0.25"/>
    <row r="10199" hidden="1" x14ac:dyDescent="0.25"/>
    <row r="10200" hidden="1" x14ac:dyDescent="0.25"/>
    <row r="10201" hidden="1" x14ac:dyDescent="0.25"/>
    <row r="10202" hidden="1" x14ac:dyDescent="0.25"/>
    <row r="10203" hidden="1" x14ac:dyDescent="0.25"/>
    <row r="10204" hidden="1" x14ac:dyDescent="0.25"/>
    <row r="10205" hidden="1" x14ac:dyDescent="0.25"/>
    <row r="10206" hidden="1" x14ac:dyDescent="0.25"/>
    <row r="10207" hidden="1" x14ac:dyDescent="0.25"/>
    <row r="10208" hidden="1" x14ac:dyDescent="0.25"/>
    <row r="10209" hidden="1" x14ac:dyDescent="0.25"/>
    <row r="10210" hidden="1" x14ac:dyDescent="0.25"/>
    <row r="10211" hidden="1" x14ac:dyDescent="0.25"/>
    <row r="10212" hidden="1" x14ac:dyDescent="0.25"/>
    <row r="10213" hidden="1" x14ac:dyDescent="0.25"/>
    <row r="10214" hidden="1" x14ac:dyDescent="0.25"/>
    <row r="10215" hidden="1" x14ac:dyDescent="0.25"/>
    <row r="10216" hidden="1" x14ac:dyDescent="0.25"/>
    <row r="10217" hidden="1" x14ac:dyDescent="0.25"/>
    <row r="10218" hidden="1" x14ac:dyDescent="0.25"/>
    <row r="10219" hidden="1" x14ac:dyDescent="0.25"/>
    <row r="10220" hidden="1" x14ac:dyDescent="0.25"/>
    <row r="10221" hidden="1" x14ac:dyDescent="0.25"/>
    <row r="10222" hidden="1" x14ac:dyDescent="0.25"/>
    <row r="10223" hidden="1" x14ac:dyDescent="0.25"/>
    <row r="10224" hidden="1" x14ac:dyDescent="0.25"/>
    <row r="10225" hidden="1" x14ac:dyDescent="0.25"/>
    <row r="10226" hidden="1" x14ac:dyDescent="0.25"/>
    <row r="10227" hidden="1" x14ac:dyDescent="0.25"/>
    <row r="10228" hidden="1" x14ac:dyDescent="0.25"/>
    <row r="10229" hidden="1" x14ac:dyDescent="0.25"/>
    <row r="10230" hidden="1" x14ac:dyDescent="0.25"/>
    <row r="10231" hidden="1" x14ac:dyDescent="0.25"/>
    <row r="10232" hidden="1" x14ac:dyDescent="0.25"/>
    <row r="10233" hidden="1" x14ac:dyDescent="0.25"/>
    <row r="10234" hidden="1" x14ac:dyDescent="0.25"/>
    <row r="10235" hidden="1" x14ac:dyDescent="0.25"/>
    <row r="10236" hidden="1" x14ac:dyDescent="0.25"/>
    <row r="10237" hidden="1" x14ac:dyDescent="0.25"/>
    <row r="10238" hidden="1" x14ac:dyDescent="0.25"/>
    <row r="10239" hidden="1" x14ac:dyDescent="0.25"/>
    <row r="10240" hidden="1" x14ac:dyDescent="0.25"/>
    <row r="10241" hidden="1" x14ac:dyDescent="0.25"/>
    <row r="10242" hidden="1" x14ac:dyDescent="0.25"/>
    <row r="10243" hidden="1" x14ac:dyDescent="0.25"/>
    <row r="10244" hidden="1" x14ac:dyDescent="0.25"/>
    <row r="10245" hidden="1" x14ac:dyDescent="0.25"/>
    <row r="10246" hidden="1" x14ac:dyDescent="0.25"/>
    <row r="10247" hidden="1" x14ac:dyDescent="0.25"/>
    <row r="10248" hidden="1" x14ac:dyDescent="0.25"/>
    <row r="10249" hidden="1" x14ac:dyDescent="0.25"/>
    <row r="10250" hidden="1" x14ac:dyDescent="0.25"/>
    <row r="10251" hidden="1" x14ac:dyDescent="0.25"/>
    <row r="10252" hidden="1" x14ac:dyDescent="0.25"/>
    <row r="10253" hidden="1" x14ac:dyDescent="0.25"/>
    <row r="10254" hidden="1" x14ac:dyDescent="0.25"/>
    <row r="10255" hidden="1" x14ac:dyDescent="0.25"/>
    <row r="10256" hidden="1" x14ac:dyDescent="0.25"/>
    <row r="10257" hidden="1" x14ac:dyDescent="0.25"/>
    <row r="10258" hidden="1" x14ac:dyDescent="0.25"/>
    <row r="10259" hidden="1" x14ac:dyDescent="0.25"/>
    <row r="10260" hidden="1" x14ac:dyDescent="0.25"/>
    <row r="10261" hidden="1" x14ac:dyDescent="0.25"/>
    <row r="10262" hidden="1" x14ac:dyDescent="0.25"/>
    <row r="10263" hidden="1" x14ac:dyDescent="0.25"/>
    <row r="10264" hidden="1" x14ac:dyDescent="0.25"/>
    <row r="10265" hidden="1" x14ac:dyDescent="0.25"/>
    <row r="10266" hidden="1" x14ac:dyDescent="0.25"/>
    <row r="10267" hidden="1" x14ac:dyDescent="0.25"/>
    <row r="10268" hidden="1" x14ac:dyDescent="0.25"/>
    <row r="10269" hidden="1" x14ac:dyDescent="0.25"/>
    <row r="10270" hidden="1" x14ac:dyDescent="0.25"/>
    <row r="10271" hidden="1" x14ac:dyDescent="0.25"/>
    <row r="10272" hidden="1" x14ac:dyDescent="0.25"/>
    <row r="10273" hidden="1" x14ac:dyDescent="0.25"/>
    <row r="10274" hidden="1" x14ac:dyDescent="0.25"/>
    <row r="10275" hidden="1" x14ac:dyDescent="0.25"/>
    <row r="10276" hidden="1" x14ac:dyDescent="0.25"/>
    <row r="10277" hidden="1" x14ac:dyDescent="0.25"/>
    <row r="10278" hidden="1" x14ac:dyDescent="0.25"/>
    <row r="10279" hidden="1" x14ac:dyDescent="0.25"/>
    <row r="10280" hidden="1" x14ac:dyDescent="0.25"/>
    <row r="10281" hidden="1" x14ac:dyDescent="0.25"/>
    <row r="10282" hidden="1" x14ac:dyDescent="0.25"/>
    <row r="10283" hidden="1" x14ac:dyDescent="0.25"/>
    <row r="10284" hidden="1" x14ac:dyDescent="0.25"/>
    <row r="10285" hidden="1" x14ac:dyDescent="0.25"/>
    <row r="10286" hidden="1" x14ac:dyDescent="0.25"/>
    <row r="10287" hidden="1" x14ac:dyDescent="0.25"/>
    <row r="10288" hidden="1" x14ac:dyDescent="0.25"/>
    <row r="10289" hidden="1" x14ac:dyDescent="0.25"/>
    <row r="10290" hidden="1" x14ac:dyDescent="0.25"/>
    <row r="10291" hidden="1" x14ac:dyDescent="0.25"/>
    <row r="10292" hidden="1" x14ac:dyDescent="0.25"/>
    <row r="10293" hidden="1" x14ac:dyDescent="0.25"/>
    <row r="10294" hidden="1" x14ac:dyDescent="0.25"/>
    <row r="10295" hidden="1" x14ac:dyDescent="0.25"/>
    <row r="10296" hidden="1" x14ac:dyDescent="0.25"/>
    <row r="10297" hidden="1" x14ac:dyDescent="0.25"/>
    <row r="10298" hidden="1" x14ac:dyDescent="0.25"/>
    <row r="10299" hidden="1" x14ac:dyDescent="0.25"/>
    <row r="10300" hidden="1" x14ac:dyDescent="0.25"/>
    <row r="10301" hidden="1" x14ac:dyDescent="0.25"/>
    <row r="10302" hidden="1" x14ac:dyDescent="0.25"/>
    <row r="10303" hidden="1" x14ac:dyDescent="0.25"/>
    <row r="10304" hidden="1" x14ac:dyDescent="0.25"/>
    <row r="10305" hidden="1" x14ac:dyDescent="0.25"/>
    <row r="10306" hidden="1" x14ac:dyDescent="0.25"/>
    <row r="10307" hidden="1" x14ac:dyDescent="0.25"/>
    <row r="10308" hidden="1" x14ac:dyDescent="0.25"/>
    <row r="10309" hidden="1" x14ac:dyDescent="0.25"/>
    <row r="10310" hidden="1" x14ac:dyDescent="0.25"/>
    <row r="10311" hidden="1" x14ac:dyDescent="0.25"/>
    <row r="10312" hidden="1" x14ac:dyDescent="0.25"/>
    <row r="10313" hidden="1" x14ac:dyDescent="0.25"/>
    <row r="10314" hidden="1" x14ac:dyDescent="0.25"/>
    <row r="10315" hidden="1" x14ac:dyDescent="0.25"/>
    <row r="10316" hidden="1" x14ac:dyDescent="0.25"/>
    <row r="10317" hidden="1" x14ac:dyDescent="0.25"/>
    <row r="10318" hidden="1" x14ac:dyDescent="0.25"/>
    <row r="10319" hidden="1" x14ac:dyDescent="0.25"/>
    <row r="10320" hidden="1" x14ac:dyDescent="0.25"/>
    <row r="10321" hidden="1" x14ac:dyDescent="0.25"/>
    <row r="10322" hidden="1" x14ac:dyDescent="0.25"/>
    <row r="10323" hidden="1" x14ac:dyDescent="0.25"/>
    <row r="10324" hidden="1" x14ac:dyDescent="0.25"/>
    <row r="10325" hidden="1" x14ac:dyDescent="0.25"/>
    <row r="10326" hidden="1" x14ac:dyDescent="0.25"/>
    <row r="10327" hidden="1" x14ac:dyDescent="0.25"/>
    <row r="10328" hidden="1" x14ac:dyDescent="0.25"/>
    <row r="10329" hidden="1" x14ac:dyDescent="0.25"/>
    <row r="10330" hidden="1" x14ac:dyDescent="0.25"/>
    <row r="10331" hidden="1" x14ac:dyDescent="0.25"/>
    <row r="10332" hidden="1" x14ac:dyDescent="0.25"/>
    <row r="10333" hidden="1" x14ac:dyDescent="0.25"/>
    <row r="10334" hidden="1" x14ac:dyDescent="0.25"/>
    <row r="10335" hidden="1" x14ac:dyDescent="0.25"/>
    <row r="10336" hidden="1" x14ac:dyDescent="0.25"/>
    <row r="10337" hidden="1" x14ac:dyDescent="0.25"/>
    <row r="10338" hidden="1" x14ac:dyDescent="0.25"/>
    <row r="10339" hidden="1" x14ac:dyDescent="0.25"/>
    <row r="10340" hidden="1" x14ac:dyDescent="0.25"/>
    <row r="10341" hidden="1" x14ac:dyDescent="0.25"/>
    <row r="10342" hidden="1" x14ac:dyDescent="0.25"/>
    <row r="10343" hidden="1" x14ac:dyDescent="0.25"/>
    <row r="10344" hidden="1" x14ac:dyDescent="0.25"/>
    <row r="10345" hidden="1" x14ac:dyDescent="0.25"/>
    <row r="10346" hidden="1" x14ac:dyDescent="0.25"/>
    <row r="10347" hidden="1" x14ac:dyDescent="0.25"/>
    <row r="10348" hidden="1" x14ac:dyDescent="0.25"/>
    <row r="10349" hidden="1" x14ac:dyDescent="0.25"/>
    <row r="10350" hidden="1" x14ac:dyDescent="0.25"/>
    <row r="10351" hidden="1" x14ac:dyDescent="0.25"/>
    <row r="10352" hidden="1" x14ac:dyDescent="0.25"/>
    <row r="10353" hidden="1" x14ac:dyDescent="0.25"/>
    <row r="10354" hidden="1" x14ac:dyDescent="0.25"/>
    <row r="10355" hidden="1" x14ac:dyDescent="0.25"/>
    <row r="10356" hidden="1" x14ac:dyDescent="0.25"/>
    <row r="10357" hidden="1" x14ac:dyDescent="0.25"/>
    <row r="10358" hidden="1" x14ac:dyDescent="0.25"/>
    <row r="10359" hidden="1" x14ac:dyDescent="0.25"/>
    <row r="10360" hidden="1" x14ac:dyDescent="0.25"/>
    <row r="10361" hidden="1" x14ac:dyDescent="0.25"/>
    <row r="10362" hidden="1" x14ac:dyDescent="0.25"/>
    <row r="10363" hidden="1" x14ac:dyDescent="0.25"/>
    <row r="10364" hidden="1" x14ac:dyDescent="0.25"/>
    <row r="10365" hidden="1" x14ac:dyDescent="0.25"/>
    <row r="10366" hidden="1" x14ac:dyDescent="0.25"/>
    <row r="10367" hidden="1" x14ac:dyDescent="0.25"/>
    <row r="10368" hidden="1" x14ac:dyDescent="0.25"/>
    <row r="10369" hidden="1" x14ac:dyDescent="0.25"/>
    <row r="10370" hidden="1" x14ac:dyDescent="0.25"/>
    <row r="10371" hidden="1" x14ac:dyDescent="0.25"/>
    <row r="10372" hidden="1" x14ac:dyDescent="0.25"/>
    <row r="10373" hidden="1" x14ac:dyDescent="0.25"/>
    <row r="10374" hidden="1" x14ac:dyDescent="0.25"/>
    <row r="10375" hidden="1" x14ac:dyDescent="0.25"/>
    <row r="10376" hidden="1" x14ac:dyDescent="0.25"/>
    <row r="10377" hidden="1" x14ac:dyDescent="0.25"/>
    <row r="10378" hidden="1" x14ac:dyDescent="0.25"/>
    <row r="10379" hidden="1" x14ac:dyDescent="0.25"/>
    <row r="10380" hidden="1" x14ac:dyDescent="0.25"/>
    <row r="10381" hidden="1" x14ac:dyDescent="0.25"/>
    <row r="10382" hidden="1" x14ac:dyDescent="0.25"/>
    <row r="10383" hidden="1" x14ac:dyDescent="0.25"/>
    <row r="10384" hidden="1" x14ac:dyDescent="0.25"/>
    <row r="10385" hidden="1" x14ac:dyDescent="0.25"/>
    <row r="10386" hidden="1" x14ac:dyDescent="0.25"/>
    <row r="10387" hidden="1" x14ac:dyDescent="0.25"/>
    <row r="10388" hidden="1" x14ac:dyDescent="0.25"/>
    <row r="10389" hidden="1" x14ac:dyDescent="0.25"/>
    <row r="10390" hidden="1" x14ac:dyDescent="0.25"/>
    <row r="10391" hidden="1" x14ac:dyDescent="0.25"/>
    <row r="10392" hidden="1" x14ac:dyDescent="0.25"/>
    <row r="10393" hidden="1" x14ac:dyDescent="0.25"/>
    <row r="10394" hidden="1" x14ac:dyDescent="0.25"/>
    <row r="10395" hidden="1" x14ac:dyDescent="0.25"/>
    <row r="10396" hidden="1" x14ac:dyDescent="0.25"/>
    <row r="10397" hidden="1" x14ac:dyDescent="0.25"/>
    <row r="10398" hidden="1" x14ac:dyDescent="0.25"/>
    <row r="10399" hidden="1" x14ac:dyDescent="0.25"/>
    <row r="10400" hidden="1" x14ac:dyDescent="0.25"/>
    <row r="10401" hidden="1" x14ac:dyDescent="0.25"/>
    <row r="10402" hidden="1" x14ac:dyDescent="0.25"/>
    <row r="10403" hidden="1" x14ac:dyDescent="0.25"/>
    <row r="10404" hidden="1" x14ac:dyDescent="0.25"/>
    <row r="10405" hidden="1" x14ac:dyDescent="0.25"/>
    <row r="10406" hidden="1" x14ac:dyDescent="0.25"/>
    <row r="10407" hidden="1" x14ac:dyDescent="0.25"/>
    <row r="10408" hidden="1" x14ac:dyDescent="0.25"/>
    <row r="10409" hidden="1" x14ac:dyDescent="0.25"/>
    <row r="10410" hidden="1" x14ac:dyDescent="0.25"/>
    <row r="10411" hidden="1" x14ac:dyDescent="0.25"/>
    <row r="10412" hidden="1" x14ac:dyDescent="0.25"/>
    <row r="10413" hidden="1" x14ac:dyDescent="0.25"/>
    <row r="10414" hidden="1" x14ac:dyDescent="0.25"/>
    <row r="10415" hidden="1" x14ac:dyDescent="0.25"/>
    <row r="10416" hidden="1" x14ac:dyDescent="0.25"/>
    <row r="10417" hidden="1" x14ac:dyDescent="0.25"/>
    <row r="10418" hidden="1" x14ac:dyDescent="0.25"/>
    <row r="10419" hidden="1" x14ac:dyDescent="0.25"/>
    <row r="10420" hidden="1" x14ac:dyDescent="0.25"/>
    <row r="10421" hidden="1" x14ac:dyDescent="0.25"/>
    <row r="10422" hidden="1" x14ac:dyDescent="0.25"/>
    <row r="10423" hidden="1" x14ac:dyDescent="0.25"/>
    <row r="10424" hidden="1" x14ac:dyDescent="0.25"/>
    <row r="10425" hidden="1" x14ac:dyDescent="0.25"/>
    <row r="10426" hidden="1" x14ac:dyDescent="0.25"/>
    <row r="10427" hidden="1" x14ac:dyDescent="0.25"/>
    <row r="10428" hidden="1" x14ac:dyDescent="0.25"/>
    <row r="10429" hidden="1" x14ac:dyDescent="0.25"/>
    <row r="10430" hidden="1" x14ac:dyDescent="0.25"/>
    <row r="10431" hidden="1" x14ac:dyDescent="0.25"/>
    <row r="10432" hidden="1" x14ac:dyDescent="0.25"/>
    <row r="10433" hidden="1" x14ac:dyDescent="0.25"/>
    <row r="10434" hidden="1" x14ac:dyDescent="0.25"/>
    <row r="10435" hidden="1" x14ac:dyDescent="0.25"/>
    <row r="10436" hidden="1" x14ac:dyDescent="0.25"/>
    <row r="10437" hidden="1" x14ac:dyDescent="0.25"/>
    <row r="10438" hidden="1" x14ac:dyDescent="0.25"/>
    <row r="10439" hidden="1" x14ac:dyDescent="0.25"/>
    <row r="10440" hidden="1" x14ac:dyDescent="0.25"/>
    <row r="10441" hidden="1" x14ac:dyDescent="0.25"/>
    <row r="10442" hidden="1" x14ac:dyDescent="0.25"/>
    <row r="10443" hidden="1" x14ac:dyDescent="0.25"/>
    <row r="10444" hidden="1" x14ac:dyDescent="0.25"/>
    <row r="10445" hidden="1" x14ac:dyDescent="0.25"/>
    <row r="10446" hidden="1" x14ac:dyDescent="0.25"/>
    <row r="10447" hidden="1" x14ac:dyDescent="0.25"/>
    <row r="10448" hidden="1" x14ac:dyDescent="0.25"/>
    <row r="10449" hidden="1" x14ac:dyDescent="0.25"/>
    <row r="10450" hidden="1" x14ac:dyDescent="0.25"/>
    <row r="10451" hidden="1" x14ac:dyDescent="0.25"/>
    <row r="10452" hidden="1" x14ac:dyDescent="0.25"/>
    <row r="10453" hidden="1" x14ac:dyDescent="0.25"/>
    <row r="10454" hidden="1" x14ac:dyDescent="0.25"/>
    <row r="10455" hidden="1" x14ac:dyDescent="0.25"/>
    <row r="10456" hidden="1" x14ac:dyDescent="0.25"/>
    <row r="10457" hidden="1" x14ac:dyDescent="0.25"/>
    <row r="10458" hidden="1" x14ac:dyDescent="0.25"/>
    <row r="10459" hidden="1" x14ac:dyDescent="0.25"/>
    <row r="10460" hidden="1" x14ac:dyDescent="0.25"/>
    <row r="10461" hidden="1" x14ac:dyDescent="0.25"/>
    <row r="10462" hidden="1" x14ac:dyDescent="0.25"/>
    <row r="10463" hidden="1" x14ac:dyDescent="0.25"/>
    <row r="10464" hidden="1" x14ac:dyDescent="0.25"/>
    <row r="10465" hidden="1" x14ac:dyDescent="0.25"/>
    <row r="10466" hidden="1" x14ac:dyDescent="0.25"/>
    <row r="10467" hidden="1" x14ac:dyDescent="0.25"/>
    <row r="10468" hidden="1" x14ac:dyDescent="0.25"/>
    <row r="10469" hidden="1" x14ac:dyDescent="0.25"/>
    <row r="10470" hidden="1" x14ac:dyDescent="0.25"/>
    <row r="10471" hidden="1" x14ac:dyDescent="0.25"/>
    <row r="10472" hidden="1" x14ac:dyDescent="0.25"/>
    <row r="10473" hidden="1" x14ac:dyDescent="0.25"/>
    <row r="10474" hidden="1" x14ac:dyDescent="0.25"/>
    <row r="10475" hidden="1" x14ac:dyDescent="0.25"/>
    <row r="10476" hidden="1" x14ac:dyDescent="0.25"/>
    <row r="10477" hidden="1" x14ac:dyDescent="0.25"/>
    <row r="10478" hidden="1" x14ac:dyDescent="0.25"/>
    <row r="10479" hidden="1" x14ac:dyDescent="0.25"/>
    <row r="10480" hidden="1" x14ac:dyDescent="0.25"/>
    <row r="10481" hidden="1" x14ac:dyDescent="0.25"/>
    <row r="10482" hidden="1" x14ac:dyDescent="0.25"/>
    <row r="10483" hidden="1" x14ac:dyDescent="0.25"/>
    <row r="10484" hidden="1" x14ac:dyDescent="0.25"/>
    <row r="10485" hidden="1" x14ac:dyDescent="0.25"/>
    <row r="10486" hidden="1" x14ac:dyDescent="0.25"/>
    <row r="10487" hidden="1" x14ac:dyDescent="0.25"/>
    <row r="10488" hidden="1" x14ac:dyDescent="0.25"/>
    <row r="10489" hidden="1" x14ac:dyDescent="0.25"/>
    <row r="10490" hidden="1" x14ac:dyDescent="0.25"/>
    <row r="10491" hidden="1" x14ac:dyDescent="0.25"/>
    <row r="10492" hidden="1" x14ac:dyDescent="0.25"/>
    <row r="10493" hidden="1" x14ac:dyDescent="0.25"/>
    <row r="10494" hidden="1" x14ac:dyDescent="0.25"/>
    <row r="10495" hidden="1" x14ac:dyDescent="0.25"/>
    <row r="10496" hidden="1" x14ac:dyDescent="0.25"/>
    <row r="10497" hidden="1" x14ac:dyDescent="0.25"/>
    <row r="10498" hidden="1" x14ac:dyDescent="0.25"/>
    <row r="10499" hidden="1" x14ac:dyDescent="0.25"/>
    <row r="10500" hidden="1" x14ac:dyDescent="0.25"/>
    <row r="10501" hidden="1" x14ac:dyDescent="0.25"/>
    <row r="10502" hidden="1" x14ac:dyDescent="0.25"/>
    <row r="10503" hidden="1" x14ac:dyDescent="0.25"/>
    <row r="10504" hidden="1" x14ac:dyDescent="0.25"/>
    <row r="10505" hidden="1" x14ac:dyDescent="0.25"/>
    <row r="10506" hidden="1" x14ac:dyDescent="0.25"/>
    <row r="10507" hidden="1" x14ac:dyDescent="0.25"/>
    <row r="10508" hidden="1" x14ac:dyDescent="0.25"/>
    <row r="10509" hidden="1" x14ac:dyDescent="0.25"/>
    <row r="10510" hidden="1" x14ac:dyDescent="0.25"/>
    <row r="10511" hidden="1" x14ac:dyDescent="0.25"/>
    <row r="10512" hidden="1" x14ac:dyDescent="0.25"/>
    <row r="10513" hidden="1" x14ac:dyDescent="0.25"/>
    <row r="10514" hidden="1" x14ac:dyDescent="0.25"/>
    <row r="10515" hidden="1" x14ac:dyDescent="0.25"/>
    <row r="10516" hidden="1" x14ac:dyDescent="0.25"/>
    <row r="10517" hidden="1" x14ac:dyDescent="0.25"/>
    <row r="10518" hidden="1" x14ac:dyDescent="0.25"/>
    <row r="10519" hidden="1" x14ac:dyDescent="0.25"/>
    <row r="10520" hidden="1" x14ac:dyDescent="0.25"/>
    <row r="10521" hidden="1" x14ac:dyDescent="0.25"/>
    <row r="10522" hidden="1" x14ac:dyDescent="0.25"/>
    <row r="10523" hidden="1" x14ac:dyDescent="0.25"/>
    <row r="10524" hidden="1" x14ac:dyDescent="0.25"/>
    <row r="10525" hidden="1" x14ac:dyDescent="0.25"/>
    <row r="10526" hidden="1" x14ac:dyDescent="0.25"/>
    <row r="10527" hidden="1" x14ac:dyDescent="0.25"/>
    <row r="10528" hidden="1" x14ac:dyDescent="0.25"/>
    <row r="10529" hidden="1" x14ac:dyDescent="0.25"/>
    <row r="10530" hidden="1" x14ac:dyDescent="0.25"/>
    <row r="10531" hidden="1" x14ac:dyDescent="0.25"/>
    <row r="10532" hidden="1" x14ac:dyDescent="0.25"/>
    <row r="10533" hidden="1" x14ac:dyDescent="0.25"/>
    <row r="10534" hidden="1" x14ac:dyDescent="0.25"/>
    <row r="10535" hidden="1" x14ac:dyDescent="0.25"/>
    <row r="10536" hidden="1" x14ac:dyDescent="0.25"/>
    <row r="10537" hidden="1" x14ac:dyDescent="0.25"/>
    <row r="10538" hidden="1" x14ac:dyDescent="0.25"/>
    <row r="10539" hidden="1" x14ac:dyDescent="0.25"/>
    <row r="10540" hidden="1" x14ac:dyDescent="0.25"/>
    <row r="10541" hidden="1" x14ac:dyDescent="0.25"/>
    <row r="10542" hidden="1" x14ac:dyDescent="0.25"/>
    <row r="10543" hidden="1" x14ac:dyDescent="0.25"/>
    <row r="10544" hidden="1" x14ac:dyDescent="0.25"/>
    <row r="10545" hidden="1" x14ac:dyDescent="0.25"/>
    <row r="10546" hidden="1" x14ac:dyDescent="0.25"/>
    <row r="10547" hidden="1" x14ac:dyDescent="0.25"/>
    <row r="10548" hidden="1" x14ac:dyDescent="0.25"/>
    <row r="10549" hidden="1" x14ac:dyDescent="0.25"/>
    <row r="10550" hidden="1" x14ac:dyDescent="0.25"/>
    <row r="10551" hidden="1" x14ac:dyDescent="0.25"/>
    <row r="10552" hidden="1" x14ac:dyDescent="0.25"/>
    <row r="10553" hidden="1" x14ac:dyDescent="0.25"/>
    <row r="10554" hidden="1" x14ac:dyDescent="0.25"/>
    <row r="10555" hidden="1" x14ac:dyDescent="0.25"/>
    <row r="10556" hidden="1" x14ac:dyDescent="0.25"/>
    <row r="10557" hidden="1" x14ac:dyDescent="0.25"/>
    <row r="10558" hidden="1" x14ac:dyDescent="0.25"/>
    <row r="10559" hidden="1" x14ac:dyDescent="0.25"/>
    <row r="10560" hidden="1" x14ac:dyDescent="0.25"/>
    <row r="10561" hidden="1" x14ac:dyDescent="0.25"/>
    <row r="10562" hidden="1" x14ac:dyDescent="0.25"/>
    <row r="10563" hidden="1" x14ac:dyDescent="0.25"/>
    <row r="10564" hidden="1" x14ac:dyDescent="0.25"/>
    <row r="10565" hidden="1" x14ac:dyDescent="0.25"/>
    <row r="10566" hidden="1" x14ac:dyDescent="0.25"/>
    <row r="10567" hidden="1" x14ac:dyDescent="0.25"/>
    <row r="10568" hidden="1" x14ac:dyDescent="0.25"/>
    <row r="10569" hidden="1" x14ac:dyDescent="0.25"/>
    <row r="10570" hidden="1" x14ac:dyDescent="0.25"/>
    <row r="10571" hidden="1" x14ac:dyDescent="0.25"/>
    <row r="10572" hidden="1" x14ac:dyDescent="0.25"/>
    <row r="10573" hidden="1" x14ac:dyDescent="0.25"/>
    <row r="10574" hidden="1" x14ac:dyDescent="0.25"/>
    <row r="10575" hidden="1" x14ac:dyDescent="0.25"/>
    <row r="10576" hidden="1" x14ac:dyDescent="0.25"/>
    <row r="10577" hidden="1" x14ac:dyDescent="0.25"/>
    <row r="10578" hidden="1" x14ac:dyDescent="0.25"/>
    <row r="10579" hidden="1" x14ac:dyDescent="0.25"/>
    <row r="10580" hidden="1" x14ac:dyDescent="0.25"/>
    <row r="10581" hidden="1" x14ac:dyDescent="0.25"/>
    <row r="10582" hidden="1" x14ac:dyDescent="0.25"/>
    <row r="10583" hidden="1" x14ac:dyDescent="0.25"/>
    <row r="10584" hidden="1" x14ac:dyDescent="0.25"/>
    <row r="10585" hidden="1" x14ac:dyDescent="0.25"/>
    <row r="10586" hidden="1" x14ac:dyDescent="0.25"/>
    <row r="10587" hidden="1" x14ac:dyDescent="0.25"/>
    <row r="10588" hidden="1" x14ac:dyDescent="0.25"/>
    <row r="10589" hidden="1" x14ac:dyDescent="0.25"/>
    <row r="10590" hidden="1" x14ac:dyDescent="0.25"/>
    <row r="10591" hidden="1" x14ac:dyDescent="0.25"/>
    <row r="10592" hidden="1" x14ac:dyDescent="0.25"/>
    <row r="10593" hidden="1" x14ac:dyDescent="0.25"/>
    <row r="10594" hidden="1" x14ac:dyDescent="0.25"/>
    <row r="10595" hidden="1" x14ac:dyDescent="0.25"/>
    <row r="10596" hidden="1" x14ac:dyDescent="0.25"/>
    <row r="10597" hidden="1" x14ac:dyDescent="0.25"/>
    <row r="10598" hidden="1" x14ac:dyDescent="0.25"/>
    <row r="10599" hidden="1" x14ac:dyDescent="0.25"/>
    <row r="10600" hidden="1" x14ac:dyDescent="0.25"/>
    <row r="10601" hidden="1" x14ac:dyDescent="0.25"/>
    <row r="10602" hidden="1" x14ac:dyDescent="0.25"/>
    <row r="10603" hidden="1" x14ac:dyDescent="0.25"/>
    <row r="10604" hidden="1" x14ac:dyDescent="0.25"/>
    <row r="10605" hidden="1" x14ac:dyDescent="0.25"/>
    <row r="10606" hidden="1" x14ac:dyDescent="0.25"/>
    <row r="10607" hidden="1" x14ac:dyDescent="0.25"/>
    <row r="10608" hidden="1" x14ac:dyDescent="0.25"/>
    <row r="10609" hidden="1" x14ac:dyDescent="0.25"/>
    <row r="10610" hidden="1" x14ac:dyDescent="0.25"/>
    <row r="10611" hidden="1" x14ac:dyDescent="0.25"/>
    <row r="10612" hidden="1" x14ac:dyDescent="0.25"/>
    <row r="10613" hidden="1" x14ac:dyDescent="0.25"/>
    <row r="10614" hidden="1" x14ac:dyDescent="0.25"/>
    <row r="10615" hidden="1" x14ac:dyDescent="0.25"/>
    <row r="10616" hidden="1" x14ac:dyDescent="0.25"/>
    <row r="10617" hidden="1" x14ac:dyDescent="0.25"/>
    <row r="10618" hidden="1" x14ac:dyDescent="0.25"/>
    <row r="10619" hidden="1" x14ac:dyDescent="0.25"/>
    <row r="10620" hidden="1" x14ac:dyDescent="0.25"/>
    <row r="10621" hidden="1" x14ac:dyDescent="0.25"/>
    <row r="10622" hidden="1" x14ac:dyDescent="0.25"/>
    <row r="10623" hidden="1" x14ac:dyDescent="0.25"/>
    <row r="10624" hidden="1" x14ac:dyDescent="0.25"/>
    <row r="10625" hidden="1" x14ac:dyDescent="0.25"/>
    <row r="10626" hidden="1" x14ac:dyDescent="0.25"/>
    <row r="10627" hidden="1" x14ac:dyDescent="0.25"/>
    <row r="10628" hidden="1" x14ac:dyDescent="0.25"/>
    <row r="10629" hidden="1" x14ac:dyDescent="0.25"/>
    <row r="10630" hidden="1" x14ac:dyDescent="0.25"/>
    <row r="10631" hidden="1" x14ac:dyDescent="0.25"/>
    <row r="10632" hidden="1" x14ac:dyDescent="0.25"/>
    <row r="10633" hidden="1" x14ac:dyDescent="0.25"/>
    <row r="10634" hidden="1" x14ac:dyDescent="0.25"/>
    <row r="10635" hidden="1" x14ac:dyDescent="0.25"/>
    <row r="10636" hidden="1" x14ac:dyDescent="0.25"/>
    <row r="10637" hidden="1" x14ac:dyDescent="0.25"/>
    <row r="10638" hidden="1" x14ac:dyDescent="0.25"/>
    <row r="10639" hidden="1" x14ac:dyDescent="0.25"/>
    <row r="10640" hidden="1" x14ac:dyDescent="0.25"/>
    <row r="10641" hidden="1" x14ac:dyDescent="0.25"/>
    <row r="10642" hidden="1" x14ac:dyDescent="0.25"/>
    <row r="10643" hidden="1" x14ac:dyDescent="0.25"/>
    <row r="10644" hidden="1" x14ac:dyDescent="0.25"/>
    <row r="10645" hidden="1" x14ac:dyDescent="0.25"/>
    <row r="10646" hidden="1" x14ac:dyDescent="0.25"/>
    <row r="10647" hidden="1" x14ac:dyDescent="0.25"/>
    <row r="10648" hidden="1" x14ac:dyDescent="0.25"/>
    <row r="10649" hidden="1" x14ac:dyDescent="0.25"/>
    <row r="10650" hidden="1" x14ac:dyDescent="0.25"/>
    <row r="10651" hidden="1" x14ac:dyDescent="0.25"/>
    <row r="10652" hidden="1" x14ac:dyDescent="0.25"/>
    <row r="10653" hidden="1" x14ac:dyDescent="0.25"/>
    <row r="10654" hidden="1" x14ac:dyDescent="0.25"/>
    <row r="10655" hidden="1" x14ac:dyDescent="0.25"/>
    <row r="10656" hidden="1" x14ac:dyDescent="0.25"/>
    <row r="10657" hidden="1" x14ac:dyDescent="0.25"/>
    <row r="10658" hidden="1" x14ac:dyDescent="0.25"/>
    <row r="10659" hidden="1" x14ac:dyDescent="0.25"/>
    <row r="10660" hidden="1" x14ac:dyDescent="0.25"/>
    <row r="10661" hidden="1" x14ac:dyDescent="0.25"/>
    <row r="10662" hidden="1" x14ac:dyDescent="0.25"/>
    <row r="10663" hidden="1" x14ac:dyDescent="0.25"/>
    <row r="10664" hidden="1" x14ac:dyDescent="0.25"/>
    <row r="10665" hidden="1" x14ac:dyDescent="0.25"/>
    <row r="10666" hidden="1" x14ac:dyDescent="0.25"/>
    <row r="10667" hidden="1" x14ac:dyDescent="0.25"/>
    <row r="10668" hidden="1" x14ac:dyDescent="0.25"/>
    <row r="10669" hidden="1" x14ac:dyDescent="0.25"/>
    <row r="10670" hidden="1" x14ac:dyDescent="0.25"/>
    <row r="10671" hidden="1" x14ac:dyDescent="0.25"/>
    <row r="10672" hidden="1" x14ac:dyDescent="0.25"/>
    <row r="10673" hidden="1" x14ac:dyDescent="0.25"/>
    <row r="10674" hidden="1" x14ac:dyDescent="0.25"/>
    <row r="10675" hidden="1" x14ac:dyDescent="0.25"/>
    <row r="10676" hidden="1" x14ac:dyDescent="0.25"/>
    <row r="10677" hidden="1" x14ac:dyDescent="0.25"/>
    <row r="10678" hidden="1" x14ac:dyDescent="0.25"/>
    <row r="10679" hidden="1" x14ac:dyDescent="0.25"/>
    <row r="10680" hidden="1" x14ac:dyDescent="0.25"/>
    <row r="10681" hidden="1" x14ac:dyDescent="0.25"/>
    <row r="10682" hidden="1" x14ac:dyDescent="0.25"/>
    <row r="10683" hidden="1" x14ac:dyDescent="0.25"/>
    <row r="10684" hidden="1" x14ac:dyDescent="0.25"/>
    <row r="10685" hidden="1" x14ac:dyDescent="0.25"/>
    <row r="10686" hidden="1" x14ac:dyDescent="0.25"/>
    <row r="10687" hidden="1" x14ac:dyDescent="0.25"/>
    <row r="10688" hidden="1" x14ac:dyDescent="0.25"/>
    <row r="10689" hidden="1" x14ac:dyDescent="0.25"/>
    <row r="10690" hidden="1" x14ac:dyDescent="0.25"/>
    <row r="10691" hidden="1" x14ac:dyDescent="0.25"/>
    <row r="10692" hidden="1" x14ac:dyDescent="0.25"/>
    <row r="10693" hidden="1" x14ac:dyDescent="0.25"/>
    <row r="10694" hidden="1" x14ac:dyDescent="0.25"/>
    <row r="10695" hidden="1" x14ac:dyDescent="0.25"/>
    <row r="10696" hidden="1" x14ac:dyDescent="0.25"/>
    <row r="10697" hidden="1" x14ac:dyDescent="0.25"/>
    <row r="10698" hidden="1" x14ac:dyDescent="0.25"/>
    <row r="10699" hidden="1" x14ac:dyDescent="0.25"/>
    <row r="10700" hidden="1" x14ac:dyDescent="0.25"/>
    <row r="10701" hidden="1" x14ac:dyDescent="0.25"/>
    <row r="10702" hidden="1" x14ac:dyDescent="0.25"/>
    <row r="10703" hidden="1" x14ac:dyDescent="0.25"/>
    <row r="10704" hidden="1" x14ac:dyDescent="0.25"/>
    <row r="10705" hidden="1" x14ac:dyDescent="0.25"/>
    <row r="10706" hidden="1" x14ac:dyDescent="0.25"/>
    <row r="10707" hidden="1" x14ac:dyDescent="0.25"/>
    <row r="10708" hidden="1" x14ac:dyDescent="0.25"/>
    <row r="10709" hidden="1" x14ac:dyDescent="0.25"/>
    <row r="10710" hidden="1" x14ac:dyDescent="0.25"/>
    <row r="10711" hidden="1" x14ac:dyDescent="0.25"/>
    <row r="10712" hidden="1" x14ac:dyDescent="0.25"/>
    <row r="10713" hidden="1" x14ac:dyDescent="0.25"/>
    <row r="10714" hidden="1" x14ac:dyDescent="0.25"/>
    <row r="10715" hidden="1" x14ac:dyDescent="0.25"/>
    <row r="10716" hidden="1" x14ac:dyDescent="0.25"/>
    <row r="10717" hidden="1" x14ac:dyDescent="0.25"/>
    <row r="10718" hidden="1" x14ac:dyDescent="0.25"/>
    <row r="10719" hidden="1" x14ac:dyDescent="0.25"/>
    <row r="10720" hidden="1" x14ac:dyDescent="0.25"/>
    <row r="10721" hidden="1" x14ac:dyDescent="0.25"/>
    <row r="10722" hidden="1" x14ac:dyDescent="0.25"/>
    <row r="10723" hidden="1" x14ac:dyDescent="0.25"/>
    <row r="10724" hidden="1" x14ac:dyDescent="0.25"/>
    <row r="10725" hidden="1" x14ac:dyDescent="0.25"/>
    <row r="10726" hidden="1" x14ac:dyDescent="0.25"/>
    <row r="10727" hidden="1" x14ac:dyDescent="0.25"/>
    <row r="10728" hidden="1" x14ac:dyDescent="0.25"/>
    <row r="10729" hidden="1" x14ac:dyDescent="0.25"/>
    <row r="10730" hidden="1" x14ac:dyDescent="0.25"/>
    <row r="10731" hidden="1" x14ac:dyDescent="0.25"/>
    <row r="10732" hidden="1" x14ac:dyDescent="0.25"/>
    <row r="10733" hidden="1" x14ac:dyDescent="0.25"/>
    <row r="10734" hidden="1" x14ac:dyDescent="0.25"/>
    <row r="10735" hidden="1" x14ac:dyDescent="0.25"/>
    <row r="10736" hidden="1" x14ac:dyDescent="0.25"/>
    <row r="10737" hidden="1" x14ac:dyDescent="0.25"/>
    <row r="10738" hidden="1" x14ac:dyDescent="0.25"/>
    <row r="10739" hidden="1" x14ac:dyDescent="0.25"/>
    <row r="10740" hidden="1" x14ac:dyDescent="0.25"/>
    <row r="10741" hidden="1" x14ac:dyDescent="0.25"/>
    <row r="10742" hidden="1" x14ac:dyDescent="0.25"/>
    <row r="10743" hidden="1" x14ac:dyDescent="0.25"/>
    <row r="10744" hidden="1" x14ac:dyDescent="0.25"/>
    <row r="10745" hidden="1" x14ac:dyDescent="0.25"/>
    <row r="10746" hidden="1" x14ac:dyDescent="0.25"/>
    <row r="10747" hidden="1" x14ac:dyDescent="0.25"/>
    <row r="10748" hidden="1" x14ac:dyDescent="0.25"/>
    <row r="10749" hidden="1" x14ac:dyDescent="0.25"/>
    <row r="10750" hidden="1" x14ac:dyDescent="0.25"/>
    <row r="10751" hidden="1" x14ac:dyDescent="0.25"/>
    <row r="10752" hidden="1" x14ac:dyDescent="0.25"/>
    <row r="10753" hidden="1" x14ac:dyDescent="0.25"/>
    <row r="10754" hidden="1" x14ac:dyDescent="0.25"/>
    <row r="10755" hidden="1" x14ac:dyDescent="0.25"/>
    <row r="10756" hidden="1" x14ac:dyDescent="0.25"/>
    <row r="10757" hidden="1" x14ac:dyDescent="0.25"/>
    <row r="10758" hidden="1" x14ac:dyDescent="0.25"/>
    <row r="10759" hidden="1" x14ac:dyDescent="0.25"/>
    <row r="10760" hidden="1" x14ac:dyDescent="0.25"/>
    <row r="10761" hidden="1" x14ac:dyDescent="0.25"/>
    <row r="10762" hidden="1" x14ac:dyDescent="0.25"/>
    <row r="10763" hidden="1" x14ac:dyDescent="0.25"/>
    <row r="10764" hidden="1" x14ac:dyDescent="0.25"/>
    <row r="10765" hidden="1" x14ac:dyDescent="0.25"/>
    <row r="10766" hidden="1" x14ac:dyDescent="0.25"/>
    <row r="10767" hidden="1" x14ac:dyDescent="0.25"/>
    <row r="10768" hidden="1" x14ac:dyDescent="0.25"/>
    <row r="10769" hidden="1" x14ac:dyDescent="0.25"/>
    <row r="10770" hidden="1" x14ac:dyDescent="0.25"/>
    <row r="10771" hidden="1" x14ac:dyDescent="0.25"/>
    <row r="10772" hidden="1" x14ac:dyDescent="0.25"/>
    <row r="10773" hidden="1" x14ac:dyDescent="0.25"/>
    <row r="10774" hidden="1" x14ac:dyDescent="0.25"/>
    <row r="10775" hidden="1" x14ac:dyDescent="0.25"/>
    <row r="10776" hidden="1" x14ac:dyDescent="0.25"/>
    <row r="10777" hidden="1" x14ac:dyDescent="0.25"/>
    <row r="10778" hidden="1" x14ac:dyDescent="0.25"/>
    <row r="10779" hidden="1" x14ac:dyDescent="0.25"/>
    <row r="10780" hidden="1" x14ac:dyDescent="0.25"/>
    <row r="10781" hidden="1" x14ac:dyDescent="0.25"/>
    <row r="10782" hidden="1" x14ac:dyDescent="0.25"/>
    <row r="10783" hidden="1" x14ac:dyDescent="0.25"/>
    <row r="10784" hidden="1" x14ac:dyDescent="0.25"/>
    <row r="10785" hidden="1" x14ac:dyDescent="0.25"/>
    <row r="10786" hidden="1" x14ac:dyDescent="0.25"/>
    <row r="10787" hidden="1" x14ac:dyDescent="0.25"/>
    <row r="10788" hidden="1" x14ac:dyDescent="0.25"/>
    <row r="10789" hidden="1" x14ac:dyDescent="0.25"/>
    <row r="10790" hidden="1" x14ac:dyDescent="0.25"/>
    <row r="10791" hidden="1" x14ac:dyDescent="0.25"/>
    <row r="10792" hidden="1" x14ac:dyDescent="0.25"/>
    <row r="10793" hidden="1" x14ac:dyDescent="0.25"/>
    <row r="10794" hidden="1" x14ac:dyDescent="0.25"/>
    <row r="10795" hidden="1" x14ac:dyDescent="0.25"/>
    <row r="10796" hidden="1" x14ac:dyDescent="0.25"/>
    <row r="10797" hidden="1" x14ac:dyDescent="0.25"/>
    <row r="10798" hidden="1" x14ac:dyDescent="0.25"/>
    <row r="10799" hidden="1" x14ac:dyDescent="0.25"/>
    <row r="10800" hidden="1" x14ac:dyDescent="0.25"/>
    <row r="10801" hidden="1" x14ac:dyDescent="0.25"/>
    <row r="10802" hidden="1" x14ac:dyDescent="0.25"/>
    <row r="10803" hidden="1" x14ac:dyDescent="0.25"/>
    <row r="10804" hidden="1" x14ac:dyDescent="0.25"/>
    <row r="10805" hidden="1" x14ac:dyDescent="0.25"/>
    <row r="10806" hidden="1" x14ac:dyDescent="0.25"/>
    <row r="10807" hidden="1" x14ac:dyDescent="0.25"/>
    <row r="10808" hidden="1" x14ac:dyDescent="0.25"/>
    <row r="10809" hidden="1" x14ac:dyDescent="0.25"/>
    <row r="10810" hidden="1" x14ac:dyDescent="0.25"/>
    <row r="10811" hidden="1" x14ac:dyDescent="0.25"/>
    <row r="10812" hidden="1" x14ac:dyDescent="0.25"/>
    <row r="10813" hidden="1" x14ac:dyDescent="0.25"/>
    <row r="10814" hidden="1" x14ac:dyDescent="0.25"/>
    <row r="10815" hidden="1" x14ac:dyDescent="0.25"/>
    <row r="10816" hidden="1" x14ac:dyDescent="0.25"/>
    <row r="10817" hidden="1" x14ac:dyDescent="0.25"/>
    <row r="10818" hidden="1" x14ac:dyDescent="0.25"/>
    <row r="10819" hidden="1" x14ac:dyDescent="0.25"/>
    <row r="10820" hidden="1" x14ac:dyDescent="0.25"/>
    <row r="10821" hidden="1" x14ac:dyDescent="0.25"/>
    <row r="10822" hidden="1" x14ac:dyDescent="0.25"/>
    <row r="10823" hidden="1" x14ac:dyDescent="0.25"/>
    <row r="10824" hidden="1" x14ac:dyDescent="0.25"/>
    <row r="10825" hidden="1" x14ac:dyDescent="0.25"/>
    <row r="10826" hidden="1" x14ac:dyDescent="0.25"/>
    <row r="10827" hidden="1" x14ac:dyDescent="0.25"/>
    <row r="10828" hidden="1" x14ac:dyDescent="0.25"/>
    <row r="10829" hidden="1" x14ac:dyDescent="0.25"/>
    <row r="10830" hidden="1" x14ac:dyDescent="0.25"/>
    <row r="10831" hidden="1" x14ac:dyDescent="0.25"/>
    <row r="10832" hidden="1" x14ac:dyDescent="0.25"/>
    <row r="10833" hidden="1" x14ac:dyDescent="0.25"/>
    <row r="10834" hidden="1" x14ac:dyDescent="0.25"/>
    <row r="10835" hidden="1" x14ac:dyDescent="0.25"/>
    <row r="10836" hidden="1" x14ac:dyDescent="0.25"/>
    <row r="10837" hidden="1" x14ac:dyDescent="0.25"/>
    <row r="10838" hidden="1" x14ac:dyDescent="0.25"/>
    <row r="10839" hidden="1" x14ac:dyDescent="0.25"/>
    <row r="10840" hidden="1" x14ac:dyDescent="0.25"/>
    <row r="10841" hidden="1" x14ac:dyDescent="0.25"/>
    <row r="10842" hidden="1" x14ac:dyDescent="0.25"/>
    <row r="10843" hidden="1" x14ac:dyDescent="0.25"/>
    <row r="10844" hidden="1" x14ac:dyDescent="0.25"/>
    <row r="10845" hidden="1" x14ac:dyDescent="0.25"/>
    <row r="10846" hidden="1" x14ac:dyDescent="0.25"/>
    <row r="10847" hidden="1" x14ac:dyDescent="0.25"/>
    <row r="10848" hidden="1" x14ac:dyDescent="0.25"/>
    <row r="10849" hidden="1" x14ac:dyDescent="0.25"/>
    <row r="10850" hidden="1" x14ac:dyDescent="0.25"/>
    <row r="10851" hidden="1" x14ac:dyDescent="0.25"/>
    <row r="10852" hidden="1" x14ac:dyDescent="0.25"/>
    <row r="10853" hidden="1" x14ac:dyDescent="0.25"/>
    <row r="10854" hidden="1" x14ac:dyDescent="0.25"/>
    <row r="10855" hidden="1" x14ac:dyDescent="0.25"/>
    <row r="10856" hidden="1" x14ac:dyDescent="0.25"/>
    <row r="10857" hidden="1" x14ac:dyDescent="0.25"/>
    <row r="10858" hidden="1" x14ac:dyDescent="0.25"/>
    <row r="10859" hidden="1" x14ac:dyDescent="0.25"/>
    <row r="10860" hidden="1" x14ac:dyDescent="0.25"/>
    <row r="10861" hidden="1" x14ac:dyDescent="0.25"/>
    <row r="10862" hidden="1" x14ac:dyDescent="0.25"/>
    <row r="10863" hidden="1" x14ac:dyDescent="0.25"/>
    <row r="10864" hidden="1" x14ac:dyDescent="0.25"/>
    <row r="10865" hidden="1" x14ac:dyDescent="0.25"/>
    <row r="10866" hidden="1" x14ac:dyDescent="0.25"/>
    <row r="10867" hidden="1" x14ac:dyDescent="0.25"/>
    <row r="10868" hidden="1" x14ac:dyDescent="0.25"/>
    <row r="10869" hidden="1" x14ac:dyDescent="0.25"/>
    <row r="10870" hidden="1" x14ac:dyDescent="0.25"/>
    <row r="10871" hidden="1" x14ac:dyDescent="0.25"/>
    <row r="10872" hidden="1" x14ac:dyDescent="0.25"/>
    <row r="10873" hidden="1" x14ac:dyDescent="0.25"/>
    <row r="10874" hidden="1" x14ac:dyDescent="0.25"/>
    <row r="10875" hidden="1" x14ac:dyDescent="0.25"/>
    <row r="10876" hidden="1" x14ac:dyDescent="0.25"/>
    <row r="10877" hidden="1" x14ac:dyDescent="0.25"/>
    <row r="10878" hidden="1" x14ac:dyDescent="0.25"/>
    <row r="10879" hidden="1" x14ac:dyDescent="0.25"/>
    <row r="10880" hidden="1" x14ac:dyDescent="0.25"/>
    <row r="10881" hidden="1" x14ac:dyDescent="0.25"/>
    <row r="10882" hidden="1" x14ac:dyDescent="0.25"/>
    <row r="10883" hidden="1" x14ac:dyDescent="0.25"/>
    <row r="10884" hidden="1" x14ac:dyDescent="0.25"/>
    <row r="10885" hidden="1" x14ac:dyDescent="0.25"/>
    <row r="10886" hidden="1" x14ac:dyDescent="0.25"/>
    <row r="10887" hidden="1" x14ac:dyDescent="0.25"/>
    <row r="10888" hidden="1" x14ac:dyDescent="0.25"/>
    <row r="10889" hidden="1" x14ac:dyDescent="0.25"/>
    <row r="10890" hidden="1" x14ac:dyDescent="0.25"/>
    <row r="10891" hidden="1" x14ac:dyDescent="0.25"/>
    <row r="10892" hidden="1" x14ac:dyDescent="0.25"/>
    <row r="10893" hidden="1" x14ac:dyDescent="0.25"/>
    <row r="10894" hidden="1" x14ac:dyDescent="0.25"/>
    <row r="10895" hidden="1" x14ac:dyDescent="0.25"/>
    <row r="10896" hidden="1" x14ac:dyDescent="0.25"/>
    <row r="10897" hidden="1" x14ac:dyDescent="0.25"/>
    <row r="10898" hidden="1" x14ac:dyDescent="0.25"/>
    <row r="10899" hidden="1" x14ac:dyDescent="0.25"/>
    <row r="10900" hidden="1" x14ac:dyDescent="0.25"/>
    <row r="10901" hidden="1" x14ac:dyDescent="0.25"/>
    <row r="10902" hidden="1" x14ac:dyDescent="0.25"/>
    <row r="10903" hidden="1" x14ac:dyDescent="0.25"/>
    <row r="10904" hidden="1" x14ac:dyDescent="0.25"/>
    <row r="10905" hidden="1" x14ac:dyDescent="0.25"/>
    <row r="10906" hidden="1" x14ac:dyDescent="0.25"/>
    <row r="10907" hidden="1" x14ac:dyDescent="0.25"/>
    <row r="10908" hidden="1" x14ac:dyDescent="0.25"/>
    <row r="10909" hidden="1" x14ac:dyDescent="0.25"/>
    <row r="10910" hidden="1" x14ac:dyDescent="0.25"/>
    <row r="10911" hidden="1" x14ac:dyDescent="0.25"/>
    <row r="10912" hidden="1" x14ac:dyDescent="0.25"/>
    <row r="10913" hidden="1" x14ac:dyDescent="0.25"/>
    <row r="10914" hidden="1" x14ac:dyDescent="0.25"/>
    <row r="10915" hidden="1" x14ac:dyDescent="0.25"/>
    <row r="10916" hidden="1" x14ac:dyDescent="0.25"/>
    <row r="10917" hidden="1" x14ac:dyDescent="0.25"/>
    <row r="10918" hidden="1" x14ac:dyDescent="0.25"/>
    <row r="10919" hidden="1" x14ac:dyDescent="0.25"/>
    <row r="10920" hidden="1" x14ac:dyDescent="0.25"/>
    <row r="10921" hidden="1" x14ac:dyDescent="0.25"/>
    <row r="10922" hidden="1" x14ac:dyDescent="0.25"/>
    <row r="10923" hidden="1" x14ac:dyDescent="0.25"/>
    <row r="10924" hidden="1" x14ac:dyDescent="0.25"/>
    <row r="10925" hidden="1" x14ac:dyDescent="0.25"/>
    <row r="10926" hidden="1" x14ac:dyDescent="0.25"/>
    <row r="10927" hidden="1" x14ac:dyDescent="0.25"/>
    <row r="10928" hidden="1" x14ac:dyDescent="0.25"/>
    <row r="10929" hidden="1" x14ac:dyDescent="0.25"/>
    <row r="10930" hidden="1" x14ac:dyDescent="0.25"/>
    <row r="10931" hidden="1" x14ac:dyDescent="0.25"/>
    <row r="10932" hidden="1" x14ac:dyDescent="0.25"/>
    <row r="10933" hidden="1" x14ac:dyDescent="0.25"/>
    <row r="10934" hidden="1" x14ac:dyDescent="0.25"/>
    <row r="10935" hidden="1" x14ac:dyDescent="0.25"/>
    <row r="10936" hidden="1" x14ac:dyDescent="0.25"/>
    <row r="10937" hidden="1" x14ac:dyDescent="0.25"/>
    <row r="10938" hidden="1" x14ac:dyDescent="0.25"/>
    <row r="10939" hidden="1" x14ac:dyDescent="0.25"/>
    <row r="10940" hidden="1" x14ac:dyDescent="0.25"/>
    <row r="10941" hidden="1" x14ac:dyDescent="0.25"/>
    <row r="10942" hidden="1" x14ac:dyDescent="0.25"/>
    <row r="10943" hidden="1" x14ac:dyDescent="0.25"/>
    <row r="10944" hidden="1" x14ac:dyDescent="0.25"/>
    <row r="10945" hidden="1" x14ac:dyDescent="0.25"/>
    <row r="10946" hidden="1" x14ac:dyDescent="0.25"/>
    <row r="10947" hidden="1" x14ac:dyDescent="0.25"/>
    <row r="10948" hidden="1" x14ac:dyDescent="0.25"/>
    <row r="10949" hidden="1" x14ac:dyDescent="0.25"/>
    <row r="10950" hidden="1" x14ac:dyDescent="0.25"/>
    <row r="10951" hidden="1" x14ac:dyDescent="0.25"/>
    <row r="10952" hidden="1" x14ac:dyDescent="0.25"/>
    <row r="10953" hidden="1" x14ac:dyDescent="0.25"/>
    <row r="10954" hidden="1" x14ac:dyDescent="0.25"/>
    <row r="10955" hidden="1" x14ac:dyDescent="0.25"/>
    <row r="10956" hidden="1" x14ac:dyDescent="0.25"/>
    <row r="10957" hidden="1" x14ac:dyDescent="0.25"/>
    <row r="10958" hidden="1" x14ac:dyDescent="0.25"/>
    <row r="10959" hidden="1" x14ac:dyDescent="0.25"/>
    <row r="10960" hidden="1" x14ac:dyDescent="0.25"/>
    <row r="10961" hidden="1" x14ac:dyDescent="0.25"/>
    <row r="10962" hidden="1" x14ac:dyDescent="0.25"/>
    <row r="10963" hidden="1" x14ac:dyDescent="0.25"/>
    <row r="10964" hidden="1" x14ac:dyDescent="0.25"/>
    <row r="10965" hidden="1" x14ac:dyDescent="0.25"/>
    <row r="10966" hidden="1" x14ac:dyDescent="0.25"/>
    <row r="10967" hidden="1" x14ac:dyDescent="0.25"/>
    <row r="10968" hidden="1" x14ac:dyDescent="0.25"/>
    <row r="10969" hidden="1" x14ac:dyDescent="0.25"/>
    <row r="10970" hidden="1" x14ac:dyDescent="0.25"/>
    <row r="10971" hidden="1" x14ac:dyDescent="0.25"/>
    <row r="10972" hidden="1" x14ac:dyDescent="0.25"/>
    <row r="10973" hidden="1" x14ac:dyDescent="0.25"/>
    <row r="10974" hidden="1" x14ac:dyDescent="0.25"/>
    <row r="10975" hidden="1" x14ac:dyDescent="0.25"/>
    <row r="10976" hidden="1" x14ac:dyDescent="0.25"/>
    <row r="10977" hidden="1" x14ac:dyDescent="0.25"/>
    <row r="10978" hidden="1" x14ac:dyDescent="0.25"/>
    <row r="10979" hidden="1" x14ac:dyDescent="0.25"/>
    <row r="10980" hidden="1" x14ac:dyDescent="0.25"/>
    <row r="10981" hidden="1" x14ac:dyDescent="0.25"/>
    <row r="10982" hidden="1" x14ac:dyDescent="0.25"/>
    <row r="10983" hidden="1" x14ac:dyDescent="0.25"/>
    <row r="10984" hidden="1" x14ac:dyDescent="0.25"/>
    <row r="10985" hidden="1" x14ac:dyDescent="0.25"/>
    <row r="10986" hidden="1" x14ac:dyDescent="0.25"/>
    <row r="10987" hidden="1" x14ac:dyDescent="0.25"/>
    <row r="10988" hidden="1" x14ac:dyDescent="0.25"/>
    <row r="10989" hidden="1" x14ac:dyDescent="0.25"/>
    <row r="10990" hidden="1" x14ac:dyDescent="0.25"/>
    <row r="10991" hidden="1" x14ac:dyDescent="0.25"/>
    <row r="10992" hidden="1" x14ac:dyDescent="0.25"/>
    <row r="10993" hidden="1" x14ac:dyDescent="0.25"/>
    <row r="10994" hidden="1" x14ac:dyDescent="0.25"/>
    <row r="10995" hidden="1" x14ac:dyDescent="0.25"/>
    <row r="10996" hidden="1" x14ac:dyDescent="0.25"/>
    <row r="10997" hidden="1" x14ac:dyDescent="0.25"/>
    <row r="10998" hidden="1" x14ac:dyDescent="0.25"/>
    <row r="10999" hidden="1" x14ac:dyDescent="0.25"/>
    <row r="11000" hidden="1" x14ac:dyDescent="0.25"/>
    <row r="11001" hidden="1" x14ac:dyDescent="0.25"/>
    <row r="11002" hidden="1" x14ac:dyDescent="0.25"/>
    <row r="11003" hidden="1" x14ac:dyDescent="0.25"/>
    <row r="11004" hidden="1" x14ac:dyDescent="0.25"/>
    <row r="11005" hidden="1" x14ac:dyDescent="0.25"/>
    <row r="11006" hidden="1" x14ac:dyDescent="0.25"/>
    <row r="11007" hidden="1" x14ac:dyDescent="0.25"/>
    <row r="11008" hidden="1" x14ac:dyDescent="0.25"/>
    <row r="11009" hidden="1" x14ac:dyDescent="0.25"/>
    <row r="11010" hidden="1" x14ac:dyDescent="0.25"/>
    <row r="11011" hidden="1" x14ac:dyDescent="0.25"/>
    <row r="11012" hidden="1" x14ac:dyDescent="0.25"/>
    <row r="11013" hidden="1" x14ac:dyDescent="0.25"/>
    <row r="11014" hidden="1" x14ac:dyDescent="0.25"/>
    <row r="11015" hidden="1" x14ac:dyDescent="0.25"/>
    <row r="11016" hidden="1" x14ac:dyDescent="0.25"/>
    <row r="11017" hidden="1" x14ac:dyDescent="0.25"/>
    <row r="11018" hidden="1" x14ac:dyDescent="0.25"/>
    <row r="11019" hidden="1" x14ac:dyDescent="0.25"/>
    <row r="11020" hidden="1" x14ac:dyDescent="0.25"/>
    <row r="11021" hidden="1" x14ac:dyDescent="0.25"/>
    <row r="11022" hidden="1" x14ac:dyDescent="0.25"/>
    <row r="11023" hidden="1" x14ac:dyDescent="0.25"/>
    <row r="11024" hidden="1" x14ac:dyDescent="0.25"/>
    <row r="11025" hidden="1" x14ac:dyDescent="0.25"/>
    <row r="11026" hidden="1" x14ac:dyDescent="0.25"/>
    <row r="11027" hidden="1" x14ac:dyDescent="0.25"/>
    <row r="11028" hidden="1" x14ac:dyDescent="0.25"/>
    <row r="11029" hidden="1" x14ac:dyDescent="0.25"/>
    <row r="11030" hidden="1" x14ac:dyDescent="0.25"/>
    <row r="11031" hidden="1" x14ac:dyDescent="0.25"/>
    <row r="11032" hidden="1" x14ac:dyDescent="0.25"/>
    <row r="11033" hidden="1" x14ac:dyDescent="0.25"/>
    <row r="11034" hidden="1" x14ac:dyDescent="0.25"/>
    <row r="11035" hidden="1" x14ac:dyDescent="0.25"/>
    <row r="11036" hidden="1" x14ac:dyDescent="0.25"/>
    <row r="11037" hidden="1" x14ac:dyDescent="0.25"/>
    <row r="11038" hidden="1" x14ac:dyDescent="0.25"/>
    <row r="11039" hidden="1" x14ac:dyDescent="0.25"/>
    <row r="11040" hidden="1" x14ac:dyDescent="0.25"/>
    <row r="11041" hidden="1" x14ac:dyDescent="0.25"/>
    <row r="11042" hidden="1" x14ac:dyDescent="0.25"/>
    <row r="11043" hidden="1" x14ac:dyDescent="0.25"/>
    <row r="11044" hidden="1" x14ac:dyDescent="0.25"/>
    <row r="11045" hidden="1" x14ac:dyDescent="0.25"/>
    <row r="11046" hidden="1" x14ac:dyDescent="0.25"/>
    <row r="11047" hidden="1" x14ac:dyDescent="0.25"/>
    <row r="11048" hidden="1" x14ac:dyDescent="0.25"/>
    <row r="11049" hidden="1" x14ac:dyDescent="0.25"/>
    <row r="11050" hidden="1" x14ac:dyDescent="0.25"/>
    <row r="11051" hidden="1" x14ac:dyDescent="0.25"/>
    <row r="11052" hidden="1" x14ac:dyDescent="0.25"/>
    <row r="11053" hidden="1" x14ac:dyDescent="0.25"/>
    <row r="11054" hidden="1" x14ac:dyDescent="0.25"/>
    <row r="11055" hidden="1" x14ac:dyDescent="0.25"/>
    <row r="11056" hidden="1" x14ac:dyDescent="0.25"/>
    <row r="11057" hidden="1" x14ac:dyDescent="0.25"/>
    <row r="11058" hidden="1" x14ac:dyDescent="0.25"/>
    <row r="11059" hidden="1" x14ac:dyDescent="0.25"/>
    <row r="11060" hidden="1" x14ac:dyDescent="0.25"/>
    <row r="11061" hidden="1" x14ac:dyDescent="0.25"/>
    <row r="11062" hidden="1" x14ac:dyDescent="0.25"/>
    <row r="11063" hidden="1" x14ac:dyDescent="0.25"/>
    <row r="11064" hidden="1" x14ac:dyDescent="0.25"/>
    <row r="11065" hidden="1" x14ac:dyDescent="0.25"/>
    <row r="11066" hidden="1" x14ac:dyDescent="0.25"/>
    <row r="11067" hidden="1" x14ac:dyDescent="0.25"/>
    <row r="11068" hidden="1" x14ac:dyDescent="0.25"/>
    <row r="11069" hidden="1" x14ac:dyDescent="0.25"/>
    <row r="11070" hidden="1" x14ac:dyDescent="0.25"/>
    <row r="11071" hidden="1" x14ac:dyDescent="0.25"/>
    <row r="11072" hidden="1" x14ac:dyDescent="0.25"/>
    <row r="11073" hidden="1" x14ac:dyDescent="0.25"/>
    <row r="11074" hidden="1" x14ac:dyDescent="0.25"/>
    <row r="11075" hidden="1" x14ac:dyDescent="0.25"/>
    <row r="11076" hidden="1" x14ac:dyDescent="0.25"/>
    <row r="11077" hidden="1" x14ac:dyDescent="0.25"/>
    <row r="11078" hidden="1" x14ac:dyDescent="0.25"/>
    <row r="11079" hidden="1" x14ac:dyDescent="0.25"/>
    <row r="11080" hidden="1" x14ac:dyDescent="0.25"/>
    <row r="11081" hidden="1" x14ac:dyDescent="0.25"/>
    <row r="11082" hidden="1" x14ac:dyDescent="0.25"/>
    <row r="11083" hidden="1" x14ac:dyDescent="0.25"/>
    <row r="11084" hidden="1" x14ac:dyDescent="0.25"/>
    <row r="11085" hidden="1" x14ac:dyDescent="0.25"/>
    <row r="11086" hidden="1" x14ac:dyDescent="0.25"/>
    <row r="11087" hidden="1" x14ac:dyDescent="0.25"/>
    <row r="11088" hidden="1" x14ac:dyDescent="0.25"/>
    <row r="11089" hidden="1" x14ac:dyDescent="0.25"/>
    <row r="11090" hidden="1" x14ac:dyDescent="0.25"/>
    <row r="11091" hidden="1" x14ac:dyDescent="0.25"/>
    <row r="11092" hidden="1" x14ac:dyDescent="0.25"/>
    <row r="11093" hidden="1" x14ac:dyDescent="0.25"/>
    <row r="11094" hidden="1" x14ac:dyDescent="0.25"/>
    <row r="11095" hidden="1" x14ac:dyDescent="0.25"/>
    <row r="11096" hidden="1" x14ac:dyDescent="0.25"/>
    <row r="11097" hidden="1" x14ac:dyDescent="0.25"/>
    <row r="11098" hidden="1" x14ac:dyDescent="0.25"/>
    <row r="11099" hidden="1" x14ac:dyDescent="0.25"/>
    <row r="11100" hidden="1" x14ac:dyDescent="0.25"/>
    <row r="11101" hidden="1" x14ac:dyDescent="0.25"/>
    <row r="11102" hidden="1" x14ac:dyDescent="0.25"/>
    <row r="11103" hidden="1" x14ac:dyDescent="0.25"/>
    <row r="11104" hidden="1" x14ac:dyDescent="0.25"/>
    <row r="11105" hidden="1" x14ac:dyDescent="0.25"/>
    <row r="11106" hidden="1" x14ac:dyDescent="0.25"/>
    <row r="11107" hidden="1" x14ac:dyDescent="0.25"/>
    <row r="11108" hidden="1" x14ac:dyDescent="0.25"/>
    <row r="11109" hidden="1" x14ac:dyDescent="0.25"/>
    <row r="11110" hidden="1" x14ac:dyDescent="0.25"/>
    <row r="11111" hidden="1" x14ac:dyDescent="0.25"/>
    <row r="11112" hidden="1" x14ac:dyDescent="0.25"/>
    <row r="11113" hidden="1" x14ac:dyDescent="0.25"/>
    <row r="11114" hidden="1" x14ac:dyDescent="0.25"/>
    <row r="11115" hidden="1" x14ac:dyDescent="0.25"/>
    <row r="11116" hidden="1" x14ac:dyDescent="0.25"/>
    <row r="11117" hidden="1" x14ac:dyDescent="0.25"/>
    <row r="11118" hidden="1" x14ac:dyDescent="0.25"/>
    <row r="11119" hidden="1" x14ac:dyDescent="0.25"/>
    <row r="11120" hidden="1" x14ac:dyDescent="0.25"/>
    <row r="11121" hidden="1" x14ac:dyDescent="0.25"/>
    <row r="11122" hidden="1" x14ac:dyDescent="0.25"/>
    <row r="11123" hidden="1" x14ac:dyDescent="0.25"/>
    <row r="11124" hidden="1" x14ac:dyDescent="0.25"/>
    <row r="11125" hidden="1" x14ac:dyDescent="0.25"/>
    <row r="11126" hidden="1" x14ac:dyDescent="0.25"/>
    <row r="11127" hidden="1" x14ac:dyDescent="0.25"/>
    <row r="11128" hidden="1" x14ac:dyDescent="0.25"/>
    <row r="11129" hidden="1" x14ac:dyDescent="0.25"/>
    <row r="11130" hidden="1" x14ac:dyDescent="0.25"/>
    <row r="11131" hidden="1" x14ac:dyDescent="0.25"/>
    <row r="11132" hidden="1" x14ac:dyDescent="0.25"/>
    <row r="11133" hidden="1" x14ac:dyDescent="0.25"/>
    <row r="11134" hidden="1" x14ac:dyDescent="0.25"/>
    <row r="11135" hidden="1" x14ac:dyDescent="0.25"/>
    <row r="11136" hidden="1" x14ac:dyDescent="0.25"/>
    <row r="11137" hidden="1" x14ac:dyDescent="0.25"/>
    <row r="11138" hidden="1" x14ac:dyDescent="0.25"/>
    <row r="11139" hidden="1" x14ac:dyDescent="0.25"/>
    <row r="11140" hidden="1" x14ac:dyDescent="0.25"/>
    <row r="11141" hidden="1" x14ac:dyDescent="0.25"/>
    <row r="11142" hidden="1" x14ac:dyDescent="0.25"/>
    <row r="11143" hidden="1" x14ac:dyDescent="0.25"/>
    <row r="11144" hidden="1" x14ac:dyDescent="0.25"/>
    <row r="11145" hidden="1" x14ac:dyDescent="0.25"/>
    <row r="11146" hidden="1" x14ac:dyDescent="0.25"/>
    <row r="11147" hidden="1" x14ac:dyDescent="0.25"/>
    <row r="11148" hidden="1" x14ac:dyDescent="0.25"/>
    <row r="11149" hidden="1" x14ac:dyDescent="0.25"/>
    <row r="11150" hidden="1" x14ac:dyDescent="0.25"/>
    <row r="11151" hidden="1" x14ac:dyDescent="0.25"/>
    <row r="11152" hidden="1" x14ac:dyDescent="0.25"/>
    <row r="11153" hidden="1" x14ac:dyDescent="0.25"/>
    <row r="11154" hidden="1" x14ac:dyDescent="0.25"/>
    <row r="11155" hidden="1" x14ac:dyDescent="0.25"/>
    <row r="11156" hidden="1" x14ac:dyDescent="0.25"/>
    <row r="11157" hidden="1" x14ac:dyDescent="0.25"/>
    <row r="11158" hidden="1" x14ac:dyDescent="0.25"/>
    <row r="11159" hidden="1" x14ac:dyDescent="0.25"/>
    <row r="11160" hidden="1" x14ac:dyDescent="0.25"/>
    <row r="11161" hidden="1" x14ac:dyDescent="0.25"/>
    <row r="11162" hidden="1" x14ac:dyDescent="0.25"/>
    <row r="11163" hidden="1" x14ac:dyDescent="0.25"/>
    <row r="11164" hidden="1" x14ac:dyDescent="0.25"/>
    <row r="11165" hidden="1" x14ac:dyDescent="0.25"/>
    <row r="11166" hidden="1" x14ac:dyDescent="0.25"/>
    <row r="11167" hidden="1" x14ac:dyDescent="0.25"/>
    <row r="11168" hidden="1" x14ac:dyDescent="0.25"/>
    <row r="11169" hidden="1" x14ac:dyDescent="0.25"/>
    <row r="11170" hidden="1" x14ac:dyDescent="0.25"/>
    <row r="11171" hidden="1" x14ac:dyDescent="0.25"/>
    <row r="11172" hidden="1" x14ac:dyDescent="0.25"/>
    <row r="11173" hidden="1" x14ac:dyDescent="0.25"/>
    <row r="11174" hidden="1" x14ac:dyDescent="0.25"/>
    <row r="11175" hidden="1" x14ac:dyDescent="0.25"/>
    <row r="11176" hidden="1" x14ac:dyDescent="0.25"/>
    <row r="11177" hidden="1" x14ac:dyDescent="0.25"/>
    <row r="11178" hidden="1" x14ac:dyDescent="0.25"/>
    <row r="11179" hidden="1" x14ac:dyDescent="0.25"/>
    <row r="11180" hidden="1" x14ac:dyDescent="0.25"/>
    <row r="11181" hidden="1" x14ac:dyDescent="0.25"/>
    <row r="11182" hidden="1" x14ac:dyDescent="0.25"/>
    <row r="11183" hidden="1" x14ac:dyDescent="0.25"/>
    <row r="11184" hidden="1" x14ac:dyDescent="0.25"/>
    <row r="11185" hidden="1" x14ac:dyDescent="0.25"/>
    <row r="11186" hidden="1" x14ac:dyDescent="0.25"/>
    <row r="11187" hidden="1" x14ac:dyDescent="0.25"/>
    <row r="11188" hidden="1" x14ac:dyDescent="0.25"/>
    <row r="11189" hidden="1" x14ac:dyDescent="0.25"/>
    <row r="11190" hidden="1" x14ac:dyDescent="0.25"/>
    <row r="11191" hidden="1" x14ac:dyDescent="0.25"/>
    <row r="11192" hidden="1" x14ac:dyDescent="0.25"/>
    <row r="11193" hidden="1" x14ac:dyDescent="0.25"/>
    <row r="11194" hidden="1" x14ac:dyDescent="0.25"/>
    <row r="11195" hidden="1" x14ac:dyDescent="0.25"/>
    <row r="11196" hidden="1" x14ac:dyDescent="0.25"/>
    <row r="11197" hidden="1" x14ac:dyDescent="0.25"/>
    <row r="11198" hidden="1" x14ac:dyDescent="0.25"/>
    <row r="11199" hidden="1" x14ac:dyDescent="0.25"/>
    <row r="11200" hidden="1" x14ac:dyDescent="0.25"/>
    <row r="11201" hidden="1" x14ac:dyDescent="0.25"/>
    <row r="11202" hidden="1" x14ac:dyDescent="0.25"/>
    <row r="11203" hidden="1" x14ac:dyDescent="0.25"/>
    <row r="11204" hidden="1" x14ac:dyDescent="0.25"/>
    <row r="11205" hidden="1" x14ac:dyDescent="0.25"/>
    <row r="11206" hidden="1" x14ac:dyDescent="0.25"/>
    <row r="11207" hidden="1" x14ac:dyDescent="0.25"/>
    <row r="11208" hidden="1" x14ac:dyDescent="0.25"/>
    <row r="11209" hidden="1" x14ac:dyDescent="0.25"/>
    <row r="11210" hidden="1" x14ac:dyDescent="0.25"/>
    <row r="11211" hidden="1" x14ac:dyDescent="0.25"/>
    <row r="11212" hidden="1" x14ac:dyDescent="0.25"/>
    <row r="11213" hidden="1" x14ac:dyDescent="0.25"/>
    <row r="11214" hidden="1" x14ac:dyDescent="0.25"/>
    <row r="11215" hidden="1" x14ac:dyDescent="0.25"/>
    <row r="11216" hidden="1" x14ac:dyDescent="0.25"/>
    <row r="11217" hidden="1" x14ac:dyDescent="0.25"/>
    <row r="11218" hidden="1" x14ac:dyDescent="0.25"/>
    <row r="11219" hidden="1" x14ac:dyDescent="0.25"/>
    <row r="11220" hidden="1" x14ac:dyDescent="0.25"/>
    <row r="11221" hidden="1" x14ac:dyDescent="0.25"/>
    <row r="11222" hidden="1" x14ac:dyDescent="0.25"/>
    <row r="11223" hidden="1" x14ac:dyDescent="0.25"/>
    <row r="11224" hidden="1" x14ac:dyDescent="0.25"/>
    <row r="11225" hidden="1" x14ac:dyDescent="0.25"/>
    <row r="11226" hidden="1" x14ac:dyDescent="0.25"/>
    <row r="11227" hidden="1" x14ac:dyDescent="0.25"/>
    <row r="11228" hidden="1" x14ac:dyDescent="0.25"/>
    <row r="11229" hidden="1" x14ac:dyDescent="0.25"/>
    <row r="11230" hidden="1" x14ac:dyDescent="0.25"/>
    <row r="11231" hidden="1" x14ac:dyDescent="0.25"/>
    <row r="11232" hidden="1" x14ac:dyDescent="0.25"/>
    <row r="11233" hidden="1" x14ac:dyDescent="0.25"/>
    <row r="11234" hidden="1" x14ac:dyDescent="0.25"/>
    <row r="11235" hidden="1" x14ac:dyDescent="0.25"/>
    <row r="11236" hidden="1" x14ac:dyDescent="0.25"/>
    <row r="11237" hidden="1" x14ac:dyDescent="0.25"/>
    <row r="11238" hidden="1" x14ac:dyDescent="0.25"/>
    <row r="11239" hidden="1" x14ac:dyDescent="0.25"/>
    <row r="11240" hidden="1" x14ac:dyDescent="0.25"/>
    <row r="11241" hidden="1" x14ac:dyDescent="0.25"/>
    <row r="11242" hidden="1" x14ac:dyDescent="0.25"/>
    <row r="11243" hidden="1" x14ac:dyDescent="0.25"/>
    <row r="11244" hidden="1" x14ac:dyDescent="0.25"/>
    <row r="11245" hidden="1" x14ac:dyDescent="0.25"/>
    <row r="11246" hidden="1" x14ac:dyDescent="0.25"/>
    <row r="11247" hidden="1" x14ac:dyDescent="0.25"/>
    <row r="11248" hidden="1" x14ac:dyDescent="0.25"/>
    <row r="11249" hidden="1" x14ac:dyDescent="0.25"/>
    <row r="11250" hidden="1" x14ac:dyDescent="0.25"/>
    <row r="11251" hidden="1" x14ac:dyDescent="0.25"/>
    <row r="11252" hidden="1" x14ac:dyDescent="0.25"/>
    <row r="11253" hidden="1" x14ac:dyDescent="0.25"/>
    <row r="11254" hidden="1" x14ac:dyDescent="0.25"/>
    <row r="11255" hidden="1" x14ac:dyDescent="0.25"/>
    <row r="11256" hidden="1" x14ac:dyDescent="0.25"/>
    <row r="11257" hidden="1" x14ac:dyDescent="0.25"/>
    <row r="11258" hidden="1" x14ac:dyDescent="0.25"/>
    <row r="11259" hidden="1" x14ac:dyDescent="0.25"/>
    <row r="11260" hidden="1" x14ac:dyDescent="0.25"/>
    <row r="11261" hidden="1" x14ac:dyDescent="0.25"/>
    <row r="11262" hidden="1" x14ac:dyDescent="0.25"/>
    <row r="11263" hidden="1" x14ac:dyDescent="0.25"/>
    <row r="11264" hidden="1" x14ac:dyDescent="0.25"/>
    <row r="11265" hidden="1" x14ac:dyDescent="0.25"/>
    <row r="11266" hidden="1" x14ac:dyDescent="0.25"/>
    <row r="11267" hidden="1" x14ac:dyDescent="0.25"/>
    <row r="11268" hidden="1" x14ac:dyDescent="0.25"/>
    <row r="11269" hidden="1" x14ac:dyDescent="0.25"/>
    <row r="11270" hidden="1" x14ac:dyDescent="0.25"/>
    <row r="11271" hidden="1" x14ac:dyDescent="0.25"/>
    <row r="11272" hidden="1" x14ac:dyDescent="0.25"/>
    <row r="11273" hidden="1" x14ac:dyDescent="0.25"/>
    <row r="11274" hidden="1" x14ac:dyDescent="0.25"/>
    <row r="11275" hidden="1" x14ac:dyDescent="0.25"/>
    <row r="11276" hidden="1" x14ac:dyDescent="0.25"/>
    <row r="11277" hidden="1" x14ac:dyDescent="0.25"/>
    <row r="11278" hidden="1" x14ac:dyDescent="0.25"/>
    <row r="11279" hidden="1" x14ac:dyDescent="0.25"/>
    <row r="11280" hidden="1" x14ac:dyDescent="0.25"/>
    <row r="11281" hidden="1" x14ac:dyDescent="0.25"/>
    <row r="11282" hidden="1" x14ac:dyDescent="0.25"/>
    <row r="11283" hidden="1" x14ac:dyDescent="0.25"/>
    <row r="11284" hidden="1" x14ac:dyDescent="0.25"/>
    <row r="11285" hidden="1" x14ac:dyDescent="0.25"/>
    <row r="11286" hidden="1" x14ac:dyDescent="0.25"/>
    <row r="11287" hidden="1" x14ac:dyDescent="0.25"/>
    <row r="11288" hidden="1" x14ac:dyDescent="0.25"/>
    <row r="11289" hidden="1" x14ac:dyDescent="0.25"/>
    <row r="11290" hidden="1" x14ac:dyDescent="0.25"/>
    <row r="11291" hidden="1" x14ac:dyDescent="0.25"/>
    <row r="11292" hidden="1" x14ac:dyDescent="0.25"/>
    <row r="11293" hidden="1" x14ac:dyDescent="0.25"/>
    <row r="11294" hidden="1" x14ac:dyDescent="0.25"/>
    <row r="11295" hidden="1" x14ac:dyDescent="0.25"/>
    <row r="11296" hidden="1" x14ac:dyDescent="0.25"/>
    <row r="11297" hidden="1" x14ac:dyDescent="0.25"/>
    <row r="11298" hidden="1" x14ac:dyDescent="0.25"/>
    <row r="11299" hidden="1" x14ac:dyDescent="0.25"/>
    <row r="11300" hidden="1" x14ac:dyDescent="0.25"/>
    <row r="11301" hidden="1" x14ac:dyDescent="0.25"/>
    <row r="11302" hidden="1" x14ac:dyDescent="0.25"/>
    <row r="11303" hidden="1" x14ac:dyDescent="0.25"/>
    <row r="11304" hidden="1" x14ac:dyDescent="0.25"/>
    <row r="11305" hidden="1" x14ac:dyDescent="0.25"/>
    <row r="11306" hidden="1" x14ac:dyDescent="0.25"/>
    <row r="11307" hidden="1" x14ac:dyDescent="0.25"/>
    <row r="11308" hidden="1" x14ac:dyDescent="0.25"/>
    <row r="11309" hidden="1" x14ac:dyDescent="0.25"/>
    <row r="11310" hidden="1" x14ac:dyDescent="0.25"/>
    <row r="11311" hidden="1" x14ac:dyDescent="0.25"/>
    <row r="11312" hidden="1" x14ac:dyDescent="0.25"/>
    <row r="11313" hidden="1" x14ac:dyDescent="0.25"/>
    <row r="11314" hidden="1" x14ac:dyDescent="0.25"/>
    <row r="11315" hidden="1" x14ac:dyDescent="0.25"/>
    <row r="11316" hidden="1" x14ac:dyDescent="0.25"/>
    <row r="11317" hidden="1" x14ac:dyDescent="0.25"/>
    <row r="11318" hidden="1" x14ac:dyDescent="0.25"/>
    <row r="11319" hidden="1" x14ac:dyDescent="0.25"/>
    <row r="11320" hidden="1" x14ac:dyDescent="0.25"/>
    <row r="11321" hidden="1" x14ac:dyDescent="0.25"/>
    <row r="11322" hidden="1" x14ac:dyDescent="0.25"/>
    <row r="11323" hidden="1" x14ac:dyDescent="0.25"/>
    <row r="11324" hidden="1" x14ac:dyDescent="0.25"/>
    <row r="11325" hidden="1" x14ac:dyDescent="0.25"/>
    <row r="11326" hidden="1" x14ac:dyDescent="0.25"/>
    <row r="11327" hidden="1" x14ac:dyDescent="0.25"/>
    <row r="11328" hidden="1" x14ac:dyDescent="0.25"/>
    <row r="11329" hidden="1" x14ac:dyDescent="0.25"/>
    <row r="11330" hidden="1" x14ac:dyDescent="0.25"/>
    <row r="11331" hidden="1" x14ac:dyDescent="0.25"/>
    <row r="11332" hidden="1" x14ac:dyDescent="0.25"/>
    <row r="11333" hidden="1" x14ac:dyDescent="0.25"/>
    <row r="11334" hidden="1" x14ac:dyDescent="0.25"/>
    <row r="11335" hidden="1" x14ac:dyDescent="0.25"/>
    <row r="11336" hidden="1" x14ac:dyDescent="0.25"/>
    <row r="11337" hidden="1" x14ac:dyDescent="0.25"/>
    <row r="11338" hidden="1" x14ac:dyDescent="0.25"/>
    <row r="11339" hidden="1" x14ac:dyDescent="0.25"/>
    <row r="11340" hidden="1" x14ac:dyDescent="0.25"/>
    <row r="11341" hidden="1" x14ac:dyDescent="0.25"/>
    <row r="11342" hidden="1" x14ac:dyDescent="0.25"/>
    <row r="11343" hidden="1" x14ac:dyDescent="0.25"/>
    <row r="11344" hidden="1" x14ac:dyDescent="0.25"/>
    <row r="11345" hidden="1" x14ac:dyDescent="0.25"/>
    <row r="11346" hidden="1" x14ac:dyDescent="0.25"/>
    <row r="11347" hidden="1" x14ac:dyDescent="0.25"/>
    <row r="11348" hidden="1" x14ac:dyDescent="0.25"/>
    <row r="11349" hidden="1" x14ac:dyDescent="0.25"/>
    <row r="11350" hidden="1" x14ac:dyDescent="0.25"/>
    <row r="11351" hidden="1" x14ac:dyDescent="0.25"/>
    <row r="11352" hidden="1" x14ac:dyDescent="0.25"/>
    <row r="11353" hidden="1" x14ac:dyDescent="0.25"/>
    <row r="11354" hidden="1" x14ac:dyDescent="0.25"/>
    <row r="11355" hidden="1" x14ac:dyDescent="0.25"/>
    <row r="11356" hidden="1" x14ac:dyDescent="0.25"/>
    <row r="11357" hidden="1" x14ac:dyDescent="0.25"/>
    <row r="11358" hidden="1" x14ac:dyDescent="0.25"/>
    <row r="11359" hidden="1" x14ac:dyDescent="0.25"/>
    <row r="11360" hidden="1" x14ac:dyDescent="0.25"/>
    <row r="11361" hidden="1" x14ac:dyDescent="0.25"/>
    <row r="11362" hidden="1" x14ac:dyDescent="0.25"/>
    <row r="11363" hidden="1" x14ac:dyDescent="0.25"/>
    <row r="11364" hidden="1" x14ac:dyDescent="0.25"/>
    <row r="11365" hidden="1" x14ac:dyDescent="0.25"/>
    <row r="11366" hidden="1" x14ac:dyDescent="0.25"/>
    <row r="11367" hidden="1" x14ac:dyDescent="0.25"/>
    <row r="11368" hidden="1" x14ac:dyDescent="0.25"/>
    <row r="11369" hidden="1" x14ac:dyDescent="0.25"/>
    <row r="11370" hidden="1" x14ac:dyDescent="0.25"/>
    <row r="11371" hidden="1" x14ac:dyDescent="0.25"/>
    <row r="11372" hidden="1" x14ac:dyDescent="0.25"/>
    <row r="11373" hidden="1" x14ac:dyDescent="0.25"/>
    <row r="11374" hidden="1" x14ac:dyDescent="0.25"/>
    <row r="11375" hidden="1" x14ac:dyDescent="0.25"/>
    <row r="11376" hidden="1" x14ac:dyDescent="0.25"/>
    <row r="11377" hidden="1" x14ac:dyDescent="0.25"/>
    <row r="11378" hidden="1" x14ac:dyDescent="0.25"/>
    <row r="11379" hidden="1" x14ac:dyDescent="0.25"/>
    <row r="11380" hidden="1" x14ac:dyDescent="0.25"/>
    <row r="11381" hidden="1" x14ac:dyDescent="0.25"/>
    <row r="11382" hidden="1" x14ac:dyDescent="0.25"/>
    <row r="11383" hidden="1" x14ac:dyDescent="0.25"/>
    <row r="11384" hidden="1" x14ac:dyDescent="0.25"/>
    <row r="11385" hidden="1" x14ac:dyDescent="0.25"/>
    <row r="11386" hidden="1" x14ac:dyDescent="0.25"/>
    <row r="11387" hidden="1" x14ac:dyDescent="0.25"/>
    <row r="11388" hidden="1" x14ac:dyDescent="0.25"/>
    <row r="11389" hidden="1" x14ac:dyDescent="0.25"/>
    <row r="11390" hidden="1" x14ac:dyDescent="0.25"/>
    <row r="11391" hidden="1" x14ac:dyDescent="0.25"/>
    <row r="11392" hidden="1" x14ac:dyDescent="0.25"/>
    <row r="11393" hidden="1" x14ac:dyDescent="0.25"/>
    <row r="11394" hidden="1" x14ac:dyDescent="0.25"/>
    <row r="11395" hidden="1" x14ac:dyDescent="0.25"/>
    <row r="11396" hidden="1" x14ac:dyDescent="0.25"/>
    <row r="11397" hidden="1" x14ac:dyDescent="0.25"/>
    <row r="11398" hidden="1" x14ac:dyDescent="0.25"/>
    <row r="11399" hidden="1" x14ac:dyDescent="0.25"/>
    <row r="11400" hidden="1" x14ac:dyDescent="0.25"/>
    <row r="11401" hidden="1" x14ac:dyDescent="0.25"/>
    <row r="11402" hidden="1" x14ac:dyDescent="0.25"/>
    <row r="11403" hidden="1" x14ac:dyDescent="0.25"/>
    <row r="11404" hidden="1" x14ac:dyDescent="0.25"/>
    <row r="11405" hidden="1" x14ac:dyDescent="0.25"/>
    <row r="11406" hidden="1" x14ac:dyDescent="0.25"/>
    <row r="11407" hidden="1" x14ac:dyDescent="0.25"/>
    <row r="11408" hidden="1" x14ac:dyDescent="0.25"/>
    <row r="11409" hidden="1" x14ac:dyDescent="0.25"/>
    <row r="11410" hidden="1" x14ac:dyDescent="0.25"/>
    <row r="11411" hidden="1" x14ac:dyDescent="0.25"/>
    <row r="11412" hidden="1" x14ac:dyDescent="0.25"/>
    <row r="11413" hidden="1" x14ac:dyDescent="0.25"/>
    <row r="11414" hidden="1" x14ac:dyDescent="0.25"/>
    <row r="11415" hidden="1" x14ac:dyDescent="0.25"/>
    <row r="11416" hidden="1" x14ac:dyDescent="0.25"/>
    <row r="11417" hidden="1" x14ac:dyDescent="0.25"/>
    <row r="11418" hidden="1" x14ac:dyDescent="0.25"/>
    <row r="11419" hidden="1" x14ac:dyDescent="0.25"/>
    <row r="11420" hidden="1" x14ac:dyDescent="0.25"/>
    <row r="11421" hidden="1" x14ac:dyDescent="0.25"/>
    <row r="11422" hidden="1" x14ac:dyDescent="0.25"/>
    <row r="11423" hidden="1" x14ac:dyDescent="0.25"/>
    <row r="11424" hidden="1" x14ac:dyDescent="0.25"/>
    <row r="11425" hidden="1" x14ac:dyDescent="0.25"/>
    <row r="11426" hidden="1" x14ac:dyDescent="0.25"/>
    <row r="11427" hidden="1" x14ac:dyDescent="0.25"/>
    <row r="11428" hidden="1" x14ac:dyDescent="0.25"/>
    <row r="11429" hidden="1" x14ac:dyDescent="0.25"/>
    <row r="11430" hidden="1" x14ac:dyDescent="0.25"/>
    <row r="11431" hidden="1" x14ac:dyDescent="0.25"/>
    <row r="11432" hidden="1" x14ac:dyDescent="0.25"/>
    <row r="11433" hidden="1" x14ac:dyDescent="0.25"/>
    <row r="11434" hidden="1" x14ac:dyDescent="0.25"/>
    <row r="11435" hidden="1" x14ac:dyDescent="0.25"/>
    <row r="11436" hidden="1" x14ac:dyDescent="0.25"/>
    <row r="11437" hidden="1" x14ac:dyDescent="0.25"/>
    <row r="11438" hidden="1" x14ac:dyDescent="0.25"/>
    <row r="11439" hidden="1" x14ac:dyDescent="0.25"/>
    <row r="11440" hidden="1" x14ac:dyDescent="0.25"/>
    <row r="11441" hidden="1" x14ac:dyDescent="0.25"/>
    <row r="11442" hidden="1" x14ac:dyDescent="0.25"/>
    <row r="11443" hidden="1" x14ac:dyDescent="0.25"/>
    <row r="11444" hidden="1" x14ac:dyDescent="0.25"/>
    <row r="11445" hidden="1" x14ac:dyDescent="0.25"/>
    <row r="11446" hidden="1" x14ac:dyDescent="0.25"/>
    <row r="11447" hidden="1" x14ac:dyDescent="0.25"/>
    <row r="11448" hidden="1" x14ac:dyDescent="0.25"/>
    <row r="11449" hidden="1" x14ac:dyDescent="0.25"/>
    <row r="11450" hidden="1" x14ac:dyDescent="0.25"/>
    <row r="11451" hidden="1" x14ac:dyDescent="0.25"/>
    <row r="11452" hidden="1" x14ac:dyDescent="0.25"/>
    <row r="11453" hidden="1" x14ac:dyDescent="0.25"/>
    <row r="11454" hidden="1" x14ac:dyDescent="0.25"/>
    <row r="11455" hidden="1" x14ac:dyDescent="0.25"/>
    <row r="11456" hidden="1" x14ac:dyDescent="0.25"/>
    <row r="11457" hidden="1" x14ac:dyDescent="0.25"/>
    <row r="11458" hidden="1" x14ac:dyDescent="0.25"/>
    <row r="11459" hidden="1" x14ac:dyDescent="0.25"/>
    <row r="11460" hidden="1" x14ac:dyDescent="0.25"/>
    <row r="11461" hidden="1" x14ac:dyDescent="0.25"/>
    <row r="11462" hidden="1" x14ac:dyDescent="0.25"/>
    <row r="11463" hidden="1" x14ac:dyDescent="0.25"/>
    <row r="11464" hidden="1" x14ac:dyDescent="0.25"/>
    <row r="11465" hidden="1" x14ac:dyDescent="0.25"/>
    <row r="11466" hidden="1" x14ac:dyDescent="0.25"/>
    <row r="11467" hidden="1" x14ac:dyDescent="0.25"/>
    <row r="11468" hidden="1" x14ac:dyDescent="0.25"/>
    <row r="11469" hidden="1" x14ac:dyDescent="0.25"/>
    <row r="11470" hidden="1" x14ac:dyDescent="0.25"/>
    <row r="11471" hidden="1" x14ac:dyDescent="0.25"/>
    <row r="11472" hidden="1" x14ac:dyDescent="0.25"/>
    <row r="11473" hidden="1" x14ac:dyDescent="0.25"/>
    <row r="11474" hidden="1" x14ac:dyDescent="0.25"/>
    <row r="11475" hidden="1" x14ac:dyDescent="0.25"/>
    <row r="11476" hidden="1" x14ac:dyDescent="0.25"/>
    <row r="11477" hidden="1" x14ac:dyDescent="0.25"/>
    <row r="11478" hidden="1" x14ac:dyDescent="0.25"/>
    <row r="11479" hidden="1" x14ac:dyDescent="0.25"/>
    <row r="11480" hidden="1" x14ac:dyDescent="0.25"/>
    <row r="11481" hidden="1" x14ac:dyDescent="0.25"/>
    <row r="11482" hidden="1" x14ac:dyDescent="0.25"/>
    <row r="11483" hidden="1" x14ac:dyDescent="0.25"/>
    <row r="11484" hidden="1" x14ac:dyDescent="0.25"/>
    <row r="11485" hidden="1" x14ac:dyDescent="0.25"/>
    <row r="11486" hidden="1" x14ac:dyDescent="0.25"/>
    <row r="11487" hidden="1" x14ac:dyDescent="0.25"/>
    <row r="11488" hidden="1" x14ac:dyDescent="0.25"/>
    <row r="11489" hidden="1" x14ac:dyDescent="0.25"/>
    <row r="11490" hidden="1" x14ac:dyDescent="0.25"/>
    <row r="11491" hidden="1" x14ac:dyDescent="0.25"/>
    <row r="11492" hidden="1" x14ac:dyDescent="0.25"/>
    <row r="11493" hidden="1" x14ac:dyDescent="0.25"/>
    <row r="11494" hidden="1" x14ac:dyDescent="0.25"/>
    <row r="11495" hidden="1" x14ac:dyDescent="0.25"/>
    <row r="11496" hidden="1" x14ac:dyDescent="0.25"/>
    <row r="11497" hidden="1" x14ac:dyDescent="0.25"/>
    <row r="11498" hidden="1" x14ac:dyDescent="0.25"/>
    <row r="11499" hidden="1" x14ac:dyDescent="0.25"/>
    <row r="11500" hidden="1" x14ac:dyDescent="0.25"/>
    <row r="11501" hidden="1" x14ac:dyDescent="0.25"/>
    <row r="11502" hidden="1" x14ac:dyDescent="0.25"/>
    <row r="11503" hidden="1" x14ac:dyDescent="0.25"/>
    <row r="11504" hidden="1" x14ac:dyDescent="0.25"/>
    <row r="11505" hidden="1" x14ac:dyDescent="0.25"/>
    <row r="11506" hidden="1" x14ac:dyDescent="0.25"/>
    <row r="11507" hidden="1" x14ac:dyDescent="0.25"/>
    <row r="11508" hidden="1" x14ac:dyDescent="0.25"/>
    <row r="11509" hidden="1" x14ac:dyDescent="0.25"/>
    <row r="11510" hidden="1" x14ac:dyDescent="0.25"/>
    <row r="11511" hidden="1" x14ac:dyDescent="0.25"/>
    <row r="11512" hidden="1" x14ac:dyDescent="0.25"/>
    <row r="11513" hidden="1" x14ac:dyDescent="0.25"/>
    <row r="11514" hidden="1" x14ac:dyDescent="0.25"/>
    <row r="11515" hidden="1" x14ac:dyDescent="0.25"/>
    <row r="11516" hidden="1" x14ac:dyDescent="0.25"/>
    <row r="11517" hidden="1" x14ac:dyDescent="0.25"/>
    <row r="11518" hidden="1" x14ac:dyDescent="0.25"/>
    <row r="11519" hidden="1" x14ac:dyDescent="0.25"/>
    <row r="11520" hidden="1" x14ac:dyDescent="0.25"/>
    <row r="11521" hidden="1" x14ac:dyDescent="0.25"/>
    <row r="11522" hidden="1" x14ac:dyDescent="0.25"/>
    <row r="11523" hidden="1" x14ac:dyDescent="0.25"/>
    <row r="11524" hidden="1" x14ac:dyDescent="0.25"/>
    <row r="11525" hidden="1" x14ac:dyDescent="0.25"/>
    <row r="11526" hidden="1" x14ac:dyDescent="0.25"/>
    <row r="11527" hidden="1" x14ac:dyDescent="0.25"/>
    <row r="11528" hidden="1" x14ac:dyDescent="0.25"/>
    <row r="11529" hidden="1" x14ac:dyDescent="0.25"/>
    <row r="11530" hidden="1" x14ac:dyDescent="0.25"/>
    <row r="11531" hidden="1" x14ac:dyDescent="0.25"/>
    <row r="11532" hidden="1" x14ac:dyDescent="0.25"/>
    <row r="11533" hidden="1" x14ac:dyDescent="0.25"/>
    <row r="11534" hidden="1" x14ac:dyDescent="0.25"/>
    <row r="11535" hidden="1" x14ac:dyDescent="0.25"/>
    <row r="11536" hidden="1" x14ac:dyDescent="0.25"/>
    <row r="11537" hidden="1" x14ac:dyDescent="0.25"/>
    <row r="11538" hidden="1" x14ac:dyDescent="0.25"/>
    <row r="11539" hidden="1" x14ac:dyDescent="0.25"/>
    <row r="11540" hidden="1" x14ac:dyDescent="0.25"/>
    <row r="11541" hidden="1" x14ac:dyDescent="0.25"/>
    <row r="11542" hidden="1" x14ac:dyDescent="0.25"/>
    <row r="11543" hidden="1" x14ac:dyDescent="0.25"/>
    <row r="11544" hidden="1" x14ac:dyDescent="0.25"/>
    <row r="11545" hidden="1" x14ac:dyDescent="0.25"/>
    <row r="11546" hidden="1" x14ac:dyDescent="0.25"/>
    <row r="11547" hidden="1" x14ac:dyDescent="0.25"/>
    <row r="11548" hidden="1" x14ac:dyDescent="0.25"/>
    <row r="11549" hidden="1" x14ac:dyDescent="0.25"/>
    <row r="11550" hidden="1" x14ac:dyDescent="0.25"/>
    <row r="11551" hidden="1" x14ac:dyDescent="0.25"/>
    <row r="11552" hidden="1" x14ac:dyDescent="0.25"/>
    <row r="11553" hidden="1" x14ac:dyDescent="0.25"/>
    <row r="11554" hidden="1" x14ac:dyDescent="0.25"/>
    <row r="11555" hidden="1" x14ac:dyDescent="0.25"/>
    <row r="11556" hidden="1" x14ac:dyDescent="0.25"/>
    <row r="11557" hidden="1" x14ac:dyDescent="0.25"/>
    <row r="11558" hidden="1" x14ac:dyDescent="0.25"/>
    <row r="11559" hidden="1" x14ac:dyDescent="0.25"/>
    <row r="11560" hidden="1" x14ac:dyDescent="0.25"/>
    <row r="11561" hidden="1" x14ac:dyDescent="0.25"/>
    <row r="11562" hidden="1" x14ac:dyDescent="0.25"/>
    <row r="11563" hidden="1" x14ac:dyDescent="0.25"/>
    <row r="11564" hidden="1" x14ac:dyDescent="0.25"/>
    <row r="11565" hidden="1" x14ac:dyDescent="0.25"/>
    <row r="11566" hidden="1" x14ac:dyDescent="0.25"/>
    <row r="11567" hidden="1" x14ac:dyDescent="0.25"/>
    <row r="11568" hidden="1" x14ac:dyDescent="0.25"/>
    <row r="11569" hidden="1" x14ac:dyDescent="0.25"/>
    <row r="11570" hidden="1" x14ac:dyDescent="0.25"/>
    <row r="11571" hidden="1" x14ac:dyDescent="0.25"/>
    <row r="11572" hidden="1" x14ac:dyDescent="0.25"/>
    <row r="11573" hidden="1" x14ac:dyDescent="0.25"/>
    <row r="11574" hidden="1" x14ac:dyDescent="0.25"/>
    <row r="11575" hidden="1" x14ac:dyDescent="0.25"/>
    <row r="11576" hidden="1" x14ac:dyDescent="0.25"/>
    <row r="11577" hidden="1" x14ac:dyDescent="0.25"/>
    <row r="11578" hidden="1" x14ac:dyDescent="0.25"/>
    <row r="11579" hidden="1" x14ac:dyDescent="0.25"/>
    <row r="11580" hidden="1" x14ac:dyDescent="0.25"/>
    <row r="11581" hidden="1" x14ac:dyDescent="0.25"/>
    <row r="11582" hidden="1" x14ac:dyDescent="0.25"/>
    <row r="11583" hidden="1" x14ac:dyDescent="0.25"/>
    <row r="11584" hidden="1" x14ac:dyDescent="0.25"/>
    <row r="11585" hidden="1" x14ac:dyDescent="0.25"/>
    <row r="11586" hidden="1" x14ac:dyDescent="0.25"/>
    <row r="11587" hidden="1" x14ac:dyDescent="0.25"/>
    <row r="11588" hidden="1" x14ac:dyDescent="0.25"/>
    <row r="11589" hidden="1" x14ac:dyDescent="0.25"/>
    <row r="11590" hidden="1" x14ac:dyDescent="0.25"/>
    <row r="11591" hidden="1" x14ac:dyDescent="0.25"/>
    <row r="11592" hidden="1" x14ac:dyDescent="0.25"/>
    <row r="11593" hidden="1" x14ac:dyDescent="0.25"/>
    <row r="11594" hidden="1" x14ac:dyDescent="0.25"/>
    <row r="11595" hidden="1" x14ac:dyDescent="0.25"/>
    <row r="11596" hidden="1" x14ac:dyDescent="0.25"/>
    <row r="11597" hidden="1" x14ac:dyDescent="0.25"/>
    <row r="11598" hidden="1" x14ac:dyDescent="0.25"/>
    <row r="11599" hidden="1" x14ac:dyDescent="0.25"/>
    <row r="11600" hidden="1" x14ac:dyDescent="0.25"/>
    <row r="11601" hidden="1" x14ac:dyDescent="0.25"/>
    <row r="11602" hidden="1" x14ac:dyDescent="0.25"/>
    <row r="11603" hidden="1" x14ac:dyDescent="0.25"/>
    <row r="11604" hidden="1" x14ac:dyDescent="0.25"/>
    <row r="11605" hidden="1" x14ac:dyDescent="0.25"/>
    <row r="11606" hidden="1" x14ac:dyDescent="0.25"/>
    <row r="11607" hidden="1" x14ac:dyDescent="0.25"/>
    <row r="11608" hidden="1" x14ac:dyDescent="0.25"/>
    <row r="11609" hidden="1" x14ac:dyDescent="0.25"/>
    <row r="11610" hidden="1" x14ac:dyDescent="0.25"/>
    <row r="11611" hidden="1" x14ac:dyDescent="0.25"/>
    <row r="11612" hidden="1" x14ac:dyDescent="0.25"/>
    <row r="11613" hidden="1" x14ac:dyDescent="0.25"/>
    <row r="11614" hidden="1" x14ac:dyDescent="0.25"/>
    <row r="11615" hidden="1" x14ac:dyDescent="0.25"/>
    <row r="11616" hidden="1" x14ac:dyDescent="0.25"/>
    <row r="11617" hidden="1" x14ac:dyDescent="0.25"/>
    <row r="11618" hidden="1" x14ac:dyDescent="0.25"/>
    <row r="11619" hidden="1" x14ac:dyDescent="0.25"/>
    <row r="11620" hidden="1" x14ac:dyDescent="0.25"/>
    <row r="11621" hidden="1" x14ac:dyDescent="0.25"/>
    <row r="11622" hidden="1" x14ac:dyDescent="0.25"/>
    <row r="11623" hidden="1" x14ac:dyDescent="0.25"/>
    <row r="11624" hidden="1" x14ac:dyDescent="0.25"/>
    <row r="11625" hidden="1" x14ac:dyDescent="0.25"/>
    <row r="11626" hidden="1" x14ac:dyDescent="0.25"/>
    <row r="11627" hidden="1" x14ac:dyDescent="0.25"/>
    <row r="11628" hidden="1" x14ac:dyDescent="0.25"/>
    <row r="11629" hidden="1" x14ac:dyDescent="0.25"/>
    <row r="11630" hidden="1" x14ac:dyDescent="0.25"/>
    <row r="11631" hidden="1" x14ac:dyDescent="0.25"/>
    <row r="11632" hidden="1" x14ac:dyDescent="0.25"/>
    <row r="11633" hidden="1" x14ac:dyDescent="0.25"/>
    <row r="11634" hidden="1" x14ac:dyDescent="0.25"/>
    <row r="11635" hidden="1" x14ac:dyDescent="0.25"/>
    <row r="11636" hidden="1" x14ac:dyDescent="0.25"/>
    <row r="11637" hidden="1" x14ac:dyDescent="0.25"/>
    <row r="11638" hidden="1" x14ac:dyDescent="0.25"/>
    <row r="11639" hidden="1" x14ac:dyDescent="0.25"/>
    <row r="11640" hidden="1" x14ac:dyDescent="0.25"/>
    <row r="11641" hidden="1" x14ac:dyDescent="0.25"/>
    <row r="11642" hidden="1" x14ac:dyDescent="0.25"/>
    <row r="11643" hidden="1" x14ac:dyDescent="0.25"/>
    <row r="11644" hidden="1" x14ac:dyDescent="0.25"/>
    <row r="11645" hidden="1" x14ac:dyDescent="0.25"/>
    <row r="11646" hidden="1" x14ac:dyDescent="0.25"/>
    <row r="11647" hidden="1" x14ac:dyDescent="0.25"/>
    <row r="11648" hidden="1" x14ac:dyDescent="0.25"/>
    <row r="11649" hidden="1" x14ac:dyDescent="0.25"/>
    <row r="11650" hidden="1" x14ac:dyDescent="0.25"/>
    <row r="11651" hidden="1" x14ac:dyDescent="0.25"/>
    <row r="11652" hidden="1" x14ac:dyDescent="0.25"/>
    <row r="11653" hidden="1" x14ac:dyDescent="0.25"/>
    <row r="11654" hidden="1" x14ac:dyDescent="0.25"/>
    <row r="11655" hidden="1" x14ac:dyDescent="0.25"/>
    <row r="11656" hidden="1" x14ac:dyDescent="0.25"/>
    <row r="11657" hidden="1" x14ac:dyDescent="0.25"/>
    <row r="11658" hidden="1" x14ac:dyDescent="0.25"/>
    <row r="11659" hidden="1" x14ac:dyDescent="0.25"/>
    <row r="11660" hidden="1" x14ac:dyDescent="0.25"/>
    <row r="11661" hidden="1" x14ac:dyDescent="0.25"/>
    <row r="11662" hidden="1" x14ac:dyDescent="0.25"/>
    <row r="11663" hidden="1" x14ac:dyDescent="0.25"/>
    <row r="11664" hidden="1" x14ac:dyDescent="0.25"/>
    <row r="11665" hidden="1" x14ac:dyDescent="0.25"/>
    <row r="11666" hidden="1" x14ac:dyDescent="0.25"/>
    <row r="11667" hidden="1" x14ac:dyDescent="0.25"/>
    <row r="11668" hidden="1" x14ac:dyDescent="0.25"/>
    <row r="11669" hidden="1" x14ac:dyDescent="0.25"/>
    <row r="11670" hidden="1" x14ac:dyDescent="0.25"/>
    <row r="11671" hidden="1" x14ac:dyDescent="0.25"/>
    <row r="11672" hidden="1" x14ac:dyDescent="0.25"/>
    <row r="11673" hidden="1" x14ac:dyDescent="0.25"/>
    <row r="11674" hidden="1" x14ac:dyDescent="0.25"/>
    <row r="11675" hidden="1" x14ac:dyDescent="0.25"/>
    <row r="11676" hidden="1" x14ac:dyDescent="0.25"/>
    <row r="11677" hidden="1" x14ac:dyDescent="0.25"/>
    <row r="11678" hidden="1" x14ac:dyDescent="0.25"/>
    <row r="11679" hidden="1" x14ac:dyDescent="0.25"/>
    <row r="11680" hidden="1" x14ac:dyDescent="0.25"/>
    <row r="11681" hidden="1" x14ac:dyDescent="0.25"/>
    <row r="11682" hidden="1" x14ac:dyDescent="0.25"/>
    <row r="11683" hidden="1" x14ac:dyDescent="0.25"/>
    <row r="11684" hidden="1" x14ac:dyDescent="0.25"/>
    <row r="11685" hidden="1" x14ac:dyDescent="0.25"/>
    <row r="11686" hidden="1" x14ac:dyDescent="0.25"/>
    <row r="11687" hidden="1" x14ac:dyDescent="0.25"/>
    <row r="11688" hidden="1" x14ac:dyDescent="0.25"/>
    <row r="11689" hidden="1" x14ac:dyDescent="0.25"/>
    <row r="11690" hidden="1" x14ac:dyDescent="0.25"/>
    <row r="11691" hidden="1" x14ac:dyDescent="0.25"/>
    <row r="11692" hidden="1" x14ac:dyDescent="0.25"/>
    <row r="11693" hidden="1" x14ac:dyDescent="0.25"/>
    <row r="11694" hidden="1" x14ac:dyDescent="0.25"/>
    <row r="11695" hidden="1" x14ac:dyDescent="0.25"/>
    <row r="11696" hidden="1" x14ac:dyDescent="0.25"/>
    <row r="11697" hidden="1" x14ac:dyDescent="0.25"/>
    <row r="11698" hidden="1" x14ac:dyDescent="0.25"/>
    <row r="11699" hidden="1" x14ac:dyDescent="0.25"/>
    <row r="11700" hidden="1" x14ac:dyDescent="0.25"/>
    <row r="11701" hidden="1" x14ac:dyDescent="0.25"/>
    <row r="11702" hidden="1" x14ac:dyDescent="0.25"/>
    <row r="11703" hidden="1" x14ac:dyDescent="0.25"/>
    <row r="11704" hidden="1" x14ac:dyDescent="0.25"/>
    <row r="11705" hidden="1" x14ac:dyDescent="0.25"/>
    <row r="11706" hidden="1" x14ac:dyDescent="0.25"/>
    <row r="11707" hidden="1" x14ac:dyDescent="0.25"/>
    <row r="11708" hidden="1" x14ac:dyDescent="0.25"/>
    <row r="11709" hidden="1" x14ac:dyDescent="0.25"/>
    <row r="11710" hidden="1" x14ac:dyDescent="0.25"/>
    <row r="11711" hidden="1" x14ac:dyDescent="0.25"/>
    <row r="11712" hidden="1" x14ac:dyDescent="0.25"/>
    <row r="11713" hidden="1" x14ac:dyDescent="0.25"/>
    <row r="11714" hidden="1" x14ac:dyDescent="0.25"/>
    <row r="11715" hidden="1" x14ac:dyDescent="0.25"/>
    <row r="11716" hidden="1" x14ac:dyDescent="0.25"/>
    <row r="11717" hidden="1" x14ac:dyDescent="0.25"/>
    <row r="11718" hidden="1" x14ac:dyDescent="0.25"/>
    <row r="11719" hidden="1" x14ac:dyDescent="0.25"/>
    <row r="11720" hidden="1" x14ac:dyDescent="0.25"/>
    <row r="11721" hidden="1" x14ac:dyDescent="0.25"/>
    <row r="11722" hidden="1" x14ac:dyDescent="0.25"/>
    <row r="11723" hidden="1" x14ac:dyDescent="0.25"/>
    <row r="11724" hidden="1" x14ac:dyDescent="0.25"/>
    <row r="11725" hidden="1" x14ac:dyDescent="0.25"/>
    <row r="11726" hidden="1" x14ac:dyDescent="0.25"/>
    <row r="11727" hidden="1" x14ac:dyDescent="0.25"/>
    <row r="11728" hidden="1" x14ac:dyDescent="0.25"/>
    <row r="11729" hidden="1" x14ac:dyDescent="0.25"/>
    <row r="11730" hidden="1" x14ac:dyDescent="0.25"/>
    <row r="11731" hidden="1" x14ac:dyDescent="0.25"/>
    <row r="11732" hidden="1" x14ac:dyDescent="0.25"/>
    <row r="11733" hidden="1" x14ac:dyDescent="0.25"/>
    <row r="11734" hidden="1" x14ac:dyDescent="0.25"/>
    <row r="11735" hidden="1" x14ac:dyDescent="0.25"/>
    <row r="11736" hidden="1" x14ac:dyDescent="0.25"/>
    <row r="11737" hidden="1" x14ac:dyDescent="0.25"/>
    <row r="11738" hidden="1" x14ac:dyDescent="0.25"/>
    <row r="11739" hidden="1" x14ac:dyDescent="0.25"/>
    <row r="11740" hidden="1" x14ac:dyDescent="0.25"/>
    <row r="11741" hidden="1" x14ac:dyDescent="0.25"/>
    <row r="11742" hidden="1" x14ac:dyDescent="0.25"/>
    <row r="11743" hidden="1" x14ac:dyDescent="0.25"/>
    <row r="11744" hidden="1" x14ac:dyDescent="0.25"/>
    <row r="11745" hidden="1" x14ac:dyDescent="0.25"/>
    <row r="11746" hidden="1" x14ac:dyDescent="0.25"/>
    <row r="11747" hidden="1" x14ac:dyDescent="0.25"/>
    <row r="11748" hidden="1" x14ac:dyDescent="0.25"/>
    <row r="11749" hidden="1" x14ac:dyDescent="0.25"/>
    <row r="11750" hidden="1" x14ac:dyDescent="0.25"/>
    <row r="11751" hidden="1" x14ac:dyDescent="0.25"/>
    <row r="11752" hidden="1" x14ac:dyDescent="0.25"/>
    <row r="11753" hidden="1" x14ac:dyDescent="0.25"/>
    <row r="11754" hidden="1" x14ac:dyDescent="0.25"/>
    <row r="11755" hidden="1" x14ac:dyDescent="0.25"/>
    <row r="11756" hidden="1" x14ac:dyDescent="0.25"/>
    <row r="11757" hidden="1" x14ac:dyDescent="0.25"/>
    <row r="11758" hidden="1" x14ac:dyDescent="0.25"/>
    <row r="11759" hidden="1" x14ac:dyDescent="0.25"/>
    <row r="11760" hidden="1" x14ac:dyDescent="0.25"/>
    <row r="11761" hidden="1" x14ac:dyDescent="0.25"/>
    <row r="11762" hidden="1" x14ac:dyDescent="0.25"/>
    <row r="11763" hidden="1" x14ac:dyDescent="0.25"/>
    <row r="11764" hidden="1" x14ac:dyDescent="0.25"/>
    <row r="11765" hidden="1" x14ac:dyDescent="0.25"/>
    <row r="11766" hidden="1" x14ac:dyDescent="0.25"/>
    <row r="11767" hidden="1" x14ac:dyDescent="0.25"/>
    <row r="11768" hidden="1" x14ac:dyDescent="0.25"/>
    <row r="11769" hidden="1" x14ac:dyDescent="0.25"/>
    <row r="11770" hidden="1" x14ac:dyDescent="0.25"/>
    <row r="11771" hidden="1" x14ac:dyDescent="0.25"/>
    <row r="11772" hidden="1" x14ac:dyDescent="0.25"/>
    <row r="11773" hidden="1" x14ac:dyDescent="0.25"/>
    <row r="11774" hidden="1" x14ac:dyDescent="0.25"/>
    <row r="11775" hidden="1" x14ac:dyDescent="0.25"/>
    <row r="11776" hidden="1" x14ac:dyDescent="0.25"/>
    <row r="11777" hidden="1" x14ac:dyDescent="0.25"/>
    <row r="11778" hidden="1" x14ac:dyDescent="0.25"/>
    <row r="11779" hidden="1" x14ac:dyDescent="0.25"/>
    <row r="11780" hidden="1" x14ac:dyDescent="0.25"/>
    <row r="11781" hidden="1" x14ac:dyDescent="0.25"/>
    <row r="11782" hidden="1" x14ac:dyDescent="0.25"/>
    <row r="11783" hidden="1" x14ac:dyDescent="0.25"/>
    <row r="11784" hidden="1" x14ac:dyDescent="0.25"/>
    <row r="11785" hidden="1" x14ac:dyDescent="0.25"/>
    <row r="11786" hidden="1" x14ac:dyDescent="0.25"/>
    <row r="11787" hidden="1" x14ac:dyDescent="0.25"/>
    <row r="11788" hidden="1" x14ac:dyDescent="0.25"/>
    <row r="11789" hidden="1" x14ac:dyDescent="0.25"/>
    <row r="11790" hidden="1" x14ac:dyDescent="0.25"/>
    <row r="11791" hidden="1" x14ac:dyDescent="0.25"/>
    <row r="11792" hidden="1" x14ac:dyDescent="0.25"/>
    <row r="11793" hidden="1" x14ac:dyDescent="0.25"/>
    <row r="11794" hidden="1" x14ac:dyDescent="0.25"/>
    <row r="11795" hidden="1" x14ac:dyDescent="0.25"/>
    <row r="11796" hidden="1" x14ac:dyDescent="0.25"/>
    <row r="11797" hidden="1" x14ac:dyDescent="0.25"/>
    <row r="11798" hidden="1" x14ac:dyDescent="0.25"/>
    <row r="11799" hidden="1" x14ac:dyDescent="0.25"/>
    <row r="11800" hidden="1" x14ac:dyDescent="0.25"/>
    <row r="11801" hidden="1" x14ac:dyDescent="0.25"/>
    <row r="11802" hidden="1" x14ac:dyDescent="0.25"/>
    <row r="11803" hidden="1" x14ac:dyDescent="0.25"/>
    <row r="11804" hidden="1" x14ac:dyDescent="0.25"/>
    <row r="11805" hidden="1" x14ac:dyDescent="0.25"/>
    <row r="11806" hidden="1" x14ac:dyDescent="0.25"/>
    <row r="11807" hidden="1" x14ac:dyDescent="0.25"/>
    <row r="11808" hidden="1" x14ac:dyDescent="0.25"/>
    <row r="11809" hidden="1" x14ac:dyDescent="0.25"/>
    <row r="11810" hidden="1" x14ac:dyDescent="0.25"/>
    <row r="11811" hidden="1" x14ac:dyDescent="0.25"/>
    <row r="11812" hidden="1" x14ac:dyDescent="0.25"/>
    <row r="11813" hidden="1" x14ac:dyDescent="0.25"/>
    <row r="11814" hidden="1" x14ac:dyDescent="0.25"/>
    <row r="11815" hidden="1" x14ac:dyDescent="0.25"/>
    <row r="11816" hidden="1" x14ac:dyDescent="0.25"/>
    <row r="11817" hidden="1" x14ac:dyDescent="0.25"/>
    <row r="11818" hidden="1" x14ac:dyDescent="0.25"/>
    <row r="11819" hidden="1" x14ac:dyDescent="0.25"/>
    <row r="11820" hidden="1" x14ac:dyDescent="0.25"/>
    <row r="11821" hidden="1" x14ac:dyDescent="0.25"/>
    <row r="11822" hidden="1" x14ac:dyDescent="0.25"/>
    <row r="11823" hidden="1" x14ac:dyDescent="0.25"/>
    <row r="11824" hidden="1" x14ac:dyDescent="0.25"/>
    <row r="11825" hidden="1" x14ac:dyDescent="0.25"/>
    <row r="11826" hidden="1" x14ac:dyDescent="0.25"/>
    <row r="11827" hidden="1" x14ac:dyDescent="0.25"/>
    <row r="11828" hidden="1" x14ac:dyDescent="0.25"/>
    <row r="11829" hidden="1" x14ac:dyDescent="0.25"/>
    <row r="11830" hidden="1" x14ac:dyDescent="0.25"/>
    <row r="11831" hidden="1" x14ac:dyDescent="0.25"/>
    <row r="11832" hidden="1" x14ac:dyDescent="0.25"/>
    <row r="11833" hidden="1" x14ac:dyDescent="0.25"/>
    <row r="11834" hidden="1" x14ac:dyDescent="0.25"/>
    <row r="11835" hidden="1" x14ac:dyDescent="0.25"/>
    <row r="11836" hidden="1" x14ac:dyDescent="0.25"/>
    <row r="11837" hidden="1" x14ac:dyDescent="0.25"/>
    <row r="11838" hidden="1" x14ac:dyDescent="0.25"/>
    <row r="11839" hidden="1" x14ac:dyDescent="0.25"/>
    <row r="11840" hidden="1" x14ac:dyDescent="0.25"/>
    <row r="11841" hidden="1" x14ac:dyDescent="0.25"/>
    <row r="11842" hidden="1" x14ac:dyDescent="0.25"/>
    <row r="11843" hidden="1" x14ac:dyDescent="0.25"/>
    <row r="11844" hidden="1" x14ac:dyDescent="0.25"/>
    <row r="11845" hidden="1" x14ac:dyDescent="0.25"/>
    <row r="11846" hidden="1" x14ac:dyDescent="0.25"/>
    <row r="11847" hidden="1" x14ac:dyDescent="0.25"/>
    <row r="11848" hidden="1" x14ac:dyDescent="0.25"/>
    <row r="11849" hidden="1" x14ac:dyDescent="0.25"/>
    <row r="11850" hidden="1" x14ac:dyDescent="0.25"/>
    <row r="11851" hidden="1" x14ac:dyDescent="0.25"/>
    <row r="11852" hidden="1" x14ac:dyDescent="0.25"/>
    <row r="11853" hidden="1" x14ac:dyDescent="0.25"/>
    <row r="11854" hidden="1" x14ac:dyDescent="0.25"/>
    <row r="11855" hidden="1" x14ac:dyDescent="0.25"/>
    <row r="11856" hidden="1" x14ac:dyDescent="0.25"/>
    <row r="11857" hidden="1" x14ac:dyDescent="0.25"/>
    <row r="11858" hidden="1" x14ac:dyDescent="0.25"/>
    <row r="11859" hidden="1" x14ac:dyDescent="0.25"/>
    <row r="11860" hidden="1" x14ac:dyDescent="0.25"/>
    <row r="11861" hidden="1" x14ac:dyDescent="0.25"/>
    <row r="11862" hidden="1" x14ac:dyDescent="0.25"/>
    <row r="11863" hidden="1" x14ac:dyDescent="0.25"/>
    <row r="11864" hidden="1" x14ac:dyDescent="0.25"/>
    <row r="11865" hidden="1" x14ac:dyDescent="0.25"/>
    <row r="11866" hidden="1" x14ac:dyDescent="0.25"/>
    <row r="11867" hidden="1" x14ac:dyDescent="0.25"/>
    <row r="11868" hidden="1" x14ac:dyDescent="0.25"/>
    <row r="11869" hidden="1" x14ac:dyDescent="0.25"/>
    <row r="11870" hidden="1" x14ac:dyDescent="0.25"/>
    <row r="11871" hidden="1" x14ac:dyDescent="0.25"/>
    <row r="11872" hidden="1" x14ac:dyDescent="0.25"/>
    <row r="11873" hidden="1" x14ac:dyDescent="0.25"/>
    <row r="11874" hidden="1" x14ac:dyDescent="0.25"/>
    <row r="11875" hidden="1" x14ac:dyDescent="0.25"/>
    <row r="11876" hidden="1" x14ac:dyDescent="0.25"/>
    <row r="11877" hidden="1" x14ac:dyDescent="0.25"/>
    <row r="11878" hidden="1" x14ac:dyDescent="0.25"/>
    <row r="11879" hidden="1" x14ac:dyDescent="0.25"/>
    <row r="11880" hidden="1" x14ac:dyDescent="0.25"/>
    <row r="11881" hidden="1" x14ac:dyDescent="0.25"/>
    <row r="11882" hidden="1" x14ac:dyDescent="0.25"/>
    <row r="11883" hidden="1" x14ac:dyDescent="0.25"/>
    <row r="11884" hidden="1" x14ac:dyDescent="0.25"/>
    <row r="11885" hidden="1" x14ac:dyDescent="0.25"/>
    <row r="11886" hidden="1" x14ac:dyDescent="0.25"/>
    <row r="11887" hidden="1" x14ac:dyDescent="0.25"/>
    <row r="11888" hidden="1" x14ac:dyDescent="0.25"/>
    <row r="11889" hidden="1" x14ac:dyDescent="0.25"/>
    <row r="11890" hidden="1" x14ac:dyDescent="0.25"/>
    <row r="11891" hidden="1" x14ac:dyDescent="0.25"/>
    <row r="11892" hidden="1" x14ac:dyDescent="0.25"/>
    <row r="11893" hidden="1" x14ac:dyDescent="0.25"/>
    <row r="11894" hidden="1" x14ac:dyDescent="0.25"/>
    <row r="11895" hidden="1" x14ac:dyDescent="0.25"/>
    <row r="11896" hidden="1" x14ac:dyDescent="0.25"/>
    <row r="11897" hidden="1" x14ac:dyDescent="0.25"/>
    <row r="11898" hidden="1" x14ac:dyDescent="0.25"/>
    <row r="11899" hidden="1" x14ac:dyDescent="0.25"/>
    <row r="11900" hidden="1" x14ac:dyDescent="0.25"/>
    <row r="11901" hidden="1" x14ac:dyDescent="0.25"/>
    <row r="11902" hidden="1" x14ac:dyDescent="0.25"/>
    <row r="11903" hidden="1" x14ac:dyDescent="0.25"/>
    <row r="11904" hidden="1" x14ac:dyDescent="0.25"/>
    <row r="11905" hidden="1" x14ac:dyDescent="0.25"/>
    <row r="11906" hidden="1" x14ac:dyDescent="0.25"/>
    <row r="11907" hidden="1" x14ac:dyDescent="0.25"/>
    <row r="11908" hidden="1" x14ac:dyDescent="0.25"/>
    <row r="11909" hidden="1" x14ac:dyDescent="0.25"/>
    <row r="11910" hidden="1" x14ac:dyDescent="0.25"/>
    <row r="11911" hidden="1" x14ac:dyDescent="0.25"/>
    <row r="11912" hidden="1" x14ac:dyDescent="0.25"/>
    <row r="11913" hidden="1" x14ac:dyDescent="0.25"/>
    <row r="11914" hidden="1" x14ac:dyDescent="0.25"/>
    <row r="11915" hidden="1" x14ac:dyDescent="0.25"/>
    <row r="11916" hidden="1" x14ac:dyDescent="0.25"/>
    <row r="11917" hidden="1" x14ac:dyDescent="0.25"/>
    <row r="11918" hidden="1" x14ac:dyDescent="0.25"/>
    <row r="11919" hidden="1" x14ac:dyDescent="0.25"/>
    <row r="11920" hidden="1" x14ac:dyDescent="0.25"/>
    <row r="11921" hidden="1" x14ac:dyDescent="0.25"/>
    <row r="11922" hidden="1" x14ac:dyDescent="0.25"/>
    <row r="11923" hidden="1" x14ac:dyDescent="0.25"/>
    <row r="11924" hidden="1" x14ac:dyDescent="0.25"/>
    <row r="11925" hidden="1" x14ac:dyDescent="0.25"/>
    <row r="11926" hidden="1" x14ac:dyDescent="0.25"/>
    <row r="11927" hidden="1" x14ac:dyDescent="0.25"/>
    <row r="11928" hidden="1" x14ac:dyDescent="0.25"/>
    <row r="11929" hidden="1" x14ac:dyDescent="0.25"/>
    <row r="11930" hidden="1" x14ac:dyDescent="0.25"/>
    <row r="11931" hidden="1" x14ac:dyDescent="0.25"/>
    <row r="11932" hidden="1" x14ac:dyDescent="0.25"/>
    <row r="11933" hidden="1" x14ac:dyDescent="0.25"/>
    <row r="11934" hidden="1" x14ac:dyDescent="0.25"/>
    <row r="11935" hidden="1" x14ac:dyDescent="0.25"/>
    <row r="11936" hidden="1" x14ac:dyDescent="0.25"/>
    <row r="11937" hidden="1" x14ac:dyDescent="0.25"/>
    <row r="11938" hidden="1" x14ac:dyDescent="0.25"/>
    <row r="11939" hidden="1" x14ac:dyDescent="0.25"/>
    <row r="11940" hidden="1" x14ac:dyDescent="0.25"/>
    <row r="11941" hidden="1" x14ac:dyDescent="0.25"/>
    <row r="11942" hidden="1" x14ac:dyDescent="0.25"/>
    <row r="11943" hidden="1" x14ac:dyDescent="0.25"/>
    <row r="11944" hidden="1" x14ac:dyDescent="0.25"/>
    <row r="11945" hidden="1" x14ac:dyDescent="0.25"/>
    <row r="11946" hidden="1" x14ac:dyDescent="0.25"/>
    <row r="11947" hidden="1" x14ac:dyDescent="0.25"/>
    <row r="11948" hidden="1" x14ac:dyDescent="0.25"/>
    <row r="11949" hidden="1" x14ac:dyDescent="0.25"/>
    <row r="11950" hidden="1" x14ac:dyDescent="0.25"/>
    <row r="11951" hidden="1" x14ac:dyDescent="0.25"/>
    <row r="11952" hidden="1" x14ac:dyDescent="0.25"/>
    <row r="11953" hidden="1" x14ac:dyDescent="0.25"/>
    <row r="11954" hidden="1" x14ac:dyDescent="0.25"/>
    <row r="11955" hidden="1" x14ac:dyDescent="0.25"/>
    <row r="11956" hidden="1" x14ac:dyDescent="0.25"/>
    <row r="11957" hidden="1" x14ac:dyDescent="0.25"/>
    <row r="11958" hidden="1" x14ac:dyDescent="0.25"/>
    <row r="11959" hidden="1" x14ac:dyDescent="0.25"/>
    <row r="11960" hidden="1" x14ac:dyDescent="0.25"/>
    <row r="11961" hidden="1" x14ac:dyDescent="0.25"/>
    <row r="11962" hidden="1" x14ac:dyDescent="0.25"/>
    <row r="11963" hidden="1" x14ac:dyDescent="0.25"/>
    <row r="11964" hidden="1" x14ac:dyDescent="0.25"/>
    <row r="11965" hidden="1" x14ac:dyDescent="0.25"/>
    <row r="11966" hidden="1" x14ac:dyDescent="0.25"/>
    <row r="11967" hidden="1" x14ac:dyDescent="0.25"/>
    <row r="11968" hidden="1" x14ac:dyDescent="0.25"/>
    <row r="11969" hidden="1" x14ac:dyDescent="0.25"/>
    <row r="11970" hidden="1" x14ac:dyDescent="0.25"/>
    <row r="11971" hidden="1" x14ac:dyDescent="0.25"/>
    <row r="11972" hidden="1" x14ac:dyDescent="0.25"/>
    <row r="11973" hidden="1" x14ac:dyDescent="0.25"/>
    <row r="11974" hidden="1" x14ac:dyDescent="0.25"/>
    <row r="11975" hidden="1" x14ac:dyDescent="0.25"/>
    <row r="11976" hidden="1" x14ac:dyDescent="0.25"/>
    <row r="11977" hidden="1" x14ac:dyDescent="0.25"/>
    <row r="11978" hidden="1" x14ac:dyDescent="0.25"/>
    <row r="11979" hidden="1" x14ac:dyDescent="0.25"/>
    <row r="11980" hidden="1" x14ac:dyDescent="0.25"/>
    <row r="11981" hidden="1" x14ac:dyDescent="0.25"/>
    <row r="11982" hidden="1" x14ac:dyDescent="0.25"/>
    <row r="11983" hidden="1" x14ac:dyDescent="0.25"/>
    <row r="11984" hidden="1" x14ac:dyDescent="0.25"/>
    <row r="11985" hidden="1" x14ac:dyDescent="0.25"/>
    <row r="11986" hidden="1" x14ac:dyDescent="0.25"/>
    <row r="11987" hidden="1" x14ac:dyDescent="0.25"/>
    <row r="11988" hidden="1" x14ac:dyDescent="0.25"/>
    <row r="11989" hidden="1" x14ac:dyDescent="0.25"/>
    <row r="11990" hidden="1" x14ac:dyDescent="0.25"/>
    <row r="11991" hidden="1" x14ac:dyDescent="0.25"/>
    <row r="11992" hidden="1" x14ac:dyDescent="0.25"/>
    <row r="11993" hidden="1" x14ac:dyDescent="0.25"/>
    <row r="11994" hidden="1" x14ac:dyDescent="0.25"/>
    <row r="11995" hidden="1" x14ac:dyDescent="0.25"/>
    <row r="11996" hidden="1" x14ac:dyDescent="0.25"/>
    <row r="11997" hidden="1" x14ac:dyDescent="0.25"/>
    <row r="11998" hidden="1" x14ac:dyDescent="0.25"/>
    <row r="11999" hidden="1" x14ac:dyDescent="0.25"/>
    <row r="12000" hidden="1" x14ac:dyDescent="0.25"/>
    <row r="12001" hidden="1" x14ac:dyDescent="0.25"/>
    <row r="12002" hidden="1" x14ac:dyDescent="0.25"/>
    <row r="12003" hidden="1" x14ac:dyDescent="0.25"/>
    <row r="12004" hidden="1" x14ac:dyDescent="0.25"/>
    <row r="12005" hidden="1" x14ac:dyDescent="0.25"/>
    <row r="12006" hidden="1" x14ac:dyDescent="0.25"/>
    <row r="12007" hidden="1" x14ac:dyDescent="0.25"/>
    <row r="12008" hidden="1" x14ac:dyDescent="0.25"/>
    <row r="12009" hidden="1" x14ac:dyDescent="0.25"/>
    <row r="12010" hidden="1" x14ac:dyDescent="0.25"/>
    <row r="12011" hidden="1" x14ac:dyDescent="0.25"/>
    <row r="12012" hidden="1" x14ac:dyDescent="0.25"/>
    <row r="12013" hidden="1" x14ac:dyDescent="0.25"/>
    <row r="12014" hidden="1" x14ac:dyDescent="0.25"/>
    <row r="12015" hidden="1" x14ac:dyDescent="0.25"/>
    <row r="12016" hidden="1" x14ac:dyDescent="0.25"/>
    <row r="12017" hidden="1" x14ac:dyDescent="0.25"/>
    <row r="12018" hidden="1" x14ac:dyDescent="0.25"/>
    <row r="12019" hidden="1" x14ac:dyDescent="0.25"/>
    <row r="12020" hidden="1" x14ac:dyDescent="0.25"/>
    <row r="12021" hidden="1" x14ac:dyDescent="0.25"/>
    <row r="12022" hidden="1" x14ac:dyDescent="0.25"/>
    <row r="12023" hidden="1" x14ac:dyDescent="0.25"/>
    <row r="12024" hidden="1" x14ac:dyDescent="0.25"/>
    <row r="12025" hidden="1" x14ac:dyDescent="0.25"/>
    <row r="12026" hidden="1" x14ac:dyDescent="0.25"/>
    <row r="12027" hidden="1" x14ac:dyDescent="0.25"/>
    <row r="12028" hidden="1" x14ac:dyDescent="0.25"/>
    <row r="12029" hidden="1" x14ac:dyDescent="0.25"/>
    <row r="12030" hidden="1" x14ac:dyDescent="0.25"/>
    <row r="12031" hidden="1" x14ac:dyDescent="0.25"/>
    <row r="12032" hidden="1" x14ac:dyDescent="0.25"/>
    <row r="12033" hidden="1" x14ac:dyDescent="0.25"/>
    <row r="12034" hidden="1" x14ac:dyDescent="0.25"/>
    <row r="12035" hidden="1" x14ac:dyDescent="0.25"/>
    <row r="12036" hidden="1" x14ac:dyDescent="0.25"/>
    <row r="12037" hidden="1" x14ac:dyDescent="0.25"/>
    <row r="12038" hidden="1" x14ac:dyDescent="0.25"/>
    <row r="12039" hidden="1" x14ac:dyDescent="0.25"/>
    <row r="12040" hidden="1" x14ac:dyDescent="0.25"/>
    <row r="12041" hidden="1" x14ac:dyDescent="0.25"/>
    <row r="12042" hidden="1" x14ac:dyDescent="0.25"/>
    <row r="12043" hidden="1" x14ac:dyDescent="0.25"/>
    <row r="12044" hidden="1" x14ac:dyDescent="0.25"/>
    <row r="12045" hidden="1" x14ac:dyDescent="0.25"/>
    <row r="12046" hidden="1" x14ac:dyDescent="0.25"/>
    <row r="12047" hidden="1" x14ac:dyDescent="0.25"/>
    <row r="12048" hidden="1" x14ac:dyDescent="0.25"/>
    <row r="12049" hidden="1" x14ac:dyDescent="0.25"/>
    <row r="12050" hidden="1" x14ac:dyDescent="0.25"/>
    <row r="12051" hidden="1" x14ac:dyDescent="0.25"/>
    <row r="12052" hidden="1" x14ac:dyDescent="0.25"/>
    <row r="12053" hidden="1" x14ac:dyDescent="0.25"/>
    <row r="12054" hidden="1" x14ac:dyDescent="0.25"/>
    <row r="12055" hidden="1" x14ac:dyDescent="0.25"/>
    <row r="12056" hidden="1" x14ac:dyDescent="0.25"/>
    <row r="12057" hidden="1" x14ac:dyDescent="0.25"/>
    <row r="12058" hidden="1" x14ac:dyDescent="0.25"/>
    <row r="12059" hidden="1" x14ac:dyDescent="0.25"/>
    <row r="12060" hidden="1" x14ac:dyDescent="0.25"/>
    <row r="12061" hidden="1" x14ac:dyDescent="0.25"/>
    <row r="12062" hidden="1" x14ac:dyDescent="0.25"/>
    <row r="12063" hidden="1" x14ac:dyDescent="0.25"/>
    <row r="12064" hidden="1" x14ac:dyDescent="0.25"/>
    <row r="12065" hidden="1" x14ac:dyDescent="0.25"/>
    <row r="12066" hidden="1" x14ac:dyDescent="0.25"/>
    <row r="12067" hidden="1" x14ac:dyDescent="0.25"/>
    <row r="12068" hidden="1" x14ac:dyDescent="0.25"/>
    <row r="12069" hidden="1" x14ac:dyDescent="0.25"/>
    <row r="12070" hidden="1" x14ac:dyDescent="0.25"/>
    <row r="12071" hidden="1" x14ac:dyDescent="0.25"/>
    <row r="12072" hidden="1" x14ac:dyDescent="0.25"/>
    <row r="12073" hidden="1" x14ac:dyDescent="0.25"/>
    <row r="12074" hidden="1" x14ac:dyDescent="0.25"/>
    <row r="12075" hidden="1" x14ac:dyDescent="0.25"/>
    <row r="12076" hidden="1" x14ac:dyDescent="0.25"/>
    <row r="12077" hidden="1" x14ac:dyDescent="0.25"/>
    <row r="12078" hidden="1" x14ac:dyDescent="0.25"/>
    <row r="12079" hidden="1" x14ac:dyDescent="0.25"/>
    <row r="12080" hidden="1" x14ac:dyDescent="0.25"/>
    <row r="12081" hidden="1" x14ac:dyDescent="0.25"/>
    <row r="12082" hidden="1" x14ac:dyDescent="0.25"/>
    <row r="12083" hidden="1" x14ac:dyDescent="0.25"/>
    <row r="12084" hidden="1" x14ac:dyDescent="0.25"/>
    <row r="12085" hidden="1" x14ac:dyDescent="0.25"/>
    <row r="12086" hidden="1" x14ac:dyDescent="0.25"/>
    <row r="12087" hidden="1" x14ac:dyDescent="0.25"/>
    <row r="12088" hidden="1" x14ac:dyDescent="0.25"/>
    <row r="12089" hidden="1" x14ac:dyDescent="0.25"/>
    <row r="12090" hidden="1" x14ac:dyDescent="0.25"/>
    <row r="12091" hidden="1" x14ac:dyDescent="0.25"/>
    <row r="12092" hidden="1" x14ac:dyDescent="0.25"/>
    <row r="12093" hidden="1" x14ac:dyDescent="0.25"/>
    <row r="12094" hidden="1" x14ac:dyDescent="0.25"/>
    <row r="12095" hidden="1" x14ac:dyDescent="0.25"/>
    <row r="12096" hidden="1" x14ac:dyDescent="0.25"/>
    <row r="12097" hidden="1" x14ac:dyDescent="0.25"/>
    <row r="12098" hidden="1" x14ac:dyDescent="0.25"/>
    <row r="12099" hidden="1" x14ac:dyDescent="0.25"/>
    <row r="12100" hidden="1" x14ac:dyDescent="0.25"/>
    <row r="12101" hidden="1" x14ac:dyDescent="0.25"/>
    <row r="12102" hidden="1" x14ac:dyDescent="0.25"/>
    <row r="12103" hidden="1" x14ac:dyDescent="0.25"/>
    <row r="12104" hidden="1" x14ac:dyDescent="0.25"/>
    <row r="12105" hidden="1" x14ac:dyDescent="0.25"/>
    <row r="12106" hidden="1" x14ac:dyDescent="0.25"/>
    <row r="12107" hidden="1" x14ac:dyDescent="0.25"/>
    <row r="12108" hidden="1" x14ac:dyDescent="0.25"/>
    <row r="12109" hidden="1" x14ac:dyDescent="0.25"/>
    <row r="12110" hidden="1" x14ac:dyDescent="0.25"/>
    <row r="12111" hidden="1" x14ac:dyDescent="0.25"/>
    <row r="12112" hidden="1" x14ac:dyDescent="0.25"/>
    <row r="12113" hidden="1" x14ac:dyDescent="0.25"/>
    <row r="12114" hidden="1" x14ac:dyDescent="0.25"/>
    <row r="12115" hidden="1" x14ac:dyDescent="0.25"/>
    <row r="12116" hidden="1" x14ac:dyDescent="0.25"/>
    <row r="12117" hidden="1" x14ac:dyDescent="0.25"/>
    <row r="12118" hidden="1" x14ac:dyDescent="0.25"/>
    <row r="12119" hidden="1" x14ac:dyDescent="0.25"/>
    <row r="12120" hidden="1" x14ac:dyDescent="0.25"/>
    <row r="12121" hidden="1" x14ac:dyDescent="0.25"/>
    <row r="12122" hidden="1" x14ac:dyDescent="0.25"/>
    <row r="12123" hidden="1" x14ac:dyDescent="0.25"/>
    <row r="12124" hidden="1" x14ac:dyDescent="0.25"/>
    <row r="12125" hidden="1" x14ac:dyDescent="0.25"/>
    <row r="12126" hidden="1" x14ac:dyDescent="0.25"/>
    <row r="12127" hidden="1" x14ac:dyDescent="0.25"/>
    <row r="12128" hidden="1" x14ac:dyDescent="0.25"/>
    <row r="12129" hidden="1" x14ac:dyDescent="0.25"/>
    <row r="12130" hidden="1" x14ac:dyDescent="0.25"/>
    <row r="12131" hidden="1" x14ac:dyDescent="0.25"/>
    <row r="12132" hidden="1" x14ac:dyDescent="0.25"/>
    <row r="12133" hidden="1" x14ac:dyDescent="0.25"/>
    <row r="12134" hidden="1" x14ac:dyDescent="0.25"/>
    <row r="12135" hidden="1" x14ac:dyDescent="0.25"/>
    <row r="12136" hidden="1" x14ac:dyDescent="0.25"/>
    <row r="12137" hidden="1" x14ac:dyDescent="0.25"/>
    <row r="12138" hidden="1" x14ac:dyDescent="0.25"/>
    <row r="12139" hidden="1" x14ac:dyDescent="0.25"/>
    <row r="12140" hidden="1" x14ac:dyDescent="0.25"/>
    <row r="12141" hidden="1" x14ac:dyDescent="0.25"/>
    <row r="12142" hidden="1" x14ac:dyDescent="0.25"/>
    <row r="12143" hidden="1" x14ac:dyDescent="0.25"/>
    <row r="12144" hidden="1" x14ac:dyDescent="0.25"/>
    <row r="12145" hidden="1" x14ac:dyDescent="0.25"/>
    <row r="12146" hidden="1" x14ac:dyDescent="0.25"/>
    <row r="12147" hidden="1" x14ac:dyDescent="0.25"/>
    <row r="12148" hidden="1" x14ac:dyDescent="0.25"/>
    <row r="12149" hidden="1" x14ac:dyDescent="0.25"/>
    <row r="12150" hidden="1" x14ac:dyDescent="0.25"/>
    <row r="12151" hidden="1" x14ac:dyDescent="0.25"/>
    <row r="12152" hidden="1" x14ac:dyDescent="0.25"/>
    <row r="12153" hidden="1" x14ac:dyDescent="0.25"/>
    <row r="12154" hidden="1" x14ac:dyDescent="0.25"/>
    <row r="12155" hidden="1" x14ac:dyDescent="0.25"/>
    <row r="12156" hidden="1" x14ac:dyDescent="0.25"/>
    <row r="12157" hidden="1" x14ac:dyDescent="0.25"/>
    <row r="12158" hidden="1" x14ac:dyDescent="0.25"/>
    <row r="12159" hidden="1" x14ac:dyDescent="0.25"/>
    <row r="12160" hidden="1" x14ac:dyDescent="0.25"/>
    <row r="12161" hidden="1" x14ac:dyDescent="0.25"/>
    <row r="12162" hidden="1" x14ac:dyDescent="0.25"/>
    <row r="12163" hidden="1" x14ac:dyDescent="0.25"/>
    <row r="12164" hidden="1" x14ac:dyDescent="0.25"/>
    <row r="12165" hidden="1" x14ac:dyDescent="0.25"/>
    <row r="12166" hidden="1" x14ac:dyDescent="0.25"/>
    <row r="12167" hidden="1" x14ac:dyDescent="0.25"/>
    <row r="12168" hidden="1" x14ac:dyDescent="0.25"/>
    <row r="12169" hidden="1" x14ac:dyDescent="0.25"/>
    <row r="12170" hidden="1" x14ac:dyDescent="0.25"/>
    <row r="12171" hidden="1" x14ac:dyDescent="0.25"/>
    <row r="12172" hidden="1" x14ac:dyDescent="0.25"/>
    <row r="12173" hidden="1" x14ac:dyDescent="0.25"/>
    <row r="12174" hidden="1" x14ac:dyDescent="0.25"/>
    <row r="12175" hidden="1" x14ac:dyDescent="0.25"/>
    <row r="12176" hidden="1" x14ac:dyDescent="0.25"/>
    <row r="12177" hidden="1" x14ac:dyDescent="0.25"/>
    <row r="12178" hidden="1" x14ac:dyDescent="0.25"/>
    <row r="12179" hidden="1" x14ac:dyDescent="0.25"/>
    <row r="12180" hidden="1" x14ac:dyDescent="0.25"/>
    <row r="12181" hidden="1" x14ac:dyDescent="0.25"/>
    <row r="12182" hidden="1" x14ac:dyDescent="0.25"/>
    <row r="12183" hidden="1" x14ac:dyDescent="0.25"/>
    <row r="12184" hidden="1" x14ac:dyDescent="0.25"/>
    <row r="12185" hidden="1" x14ac:dyDescent="0.25"/>
    <row r="12186" hidden="1" x14ac:dyDescent="0.25"/>
    <row r="12187" hidden="1" x14ac:dyDescent="0.25"/>
    <row r="12188" hidden="1" x14ac:dyDescent="0.25"/>
    <row r="12189" hidden="1" x14ac:dyDescent="0.25"/>
    <row r="12190" hidden="1" x14ac:dyDescent="0.25"/>
    <row r="12191" hidden="1" x14ac:dyDescent="0.25"/>
    <row r="12192" hidden="1" x14ac:dyDescent="0.25"/>
    <row r="12193" hidden="1" x14ac:dyDescent="0.25"/>
    <row r="12194" hidden="1" x14ac:dyDescent="0.25"/>
    <row r="12195" hidden="1" x14ac:dyDescent="0.25"/>
    <row r="12196" hidden="1" x14ac:dyDescent="0.25"/>
    <row r="12197" hidden="1" x14ac:dyDescent="0.25"/>
    <row r="12198" hidden="1" x14ac:dyDescent="0.25"/>
    <row r="12199" hidden="1" x14ac:dyDescent="0.25"/>
    <row r="12200" hidden="1" x14ac:dyDescent="0.25"/>
    <row r="12201" hidden="1" x14ac:dyDescent="0.25"/>
    <row r="12202" hidden="1" x14ac:dyDescent="0.25"/>
    <row r="12203" hidden="1" x14ac:dyDescent="0.25"/>
    <row r="12204" hidden="1" x14ac:dyDescent="0.25"/>
    <row r="12205" hidden="1" x14ac:dyDescent="0.25"/>
    <row r="12206" hidden="1" x14ac:dyDescent="0.25"/>
    <row r="12207" hidden="1" x14ac:dyDescent="0.25"/>
    <row r="12208" hidden="1" x14ac:dyDescent="0.25"/>
    <row r="12209" hidden="1" x14ac:dyDescent="0.25"/>
    <row r="12210" hidden="1" x14ac:dyDescent="0.25"/>
    <row r="12211" hidden="1" x14ac:dyDescent="0.25"/>
    <row r="12212" hidden="1" x14ac:dyDescent="0.25"/>
    <row r="12213" hidden="1" x14ac:dyDescent="0.25"/>
    <row r="12214" hidden="1" x14ac:dyDescent="0.25"/>
    <row r="12215" hidden="1" x14ac:dyDescent="0.25"/>
    <row r="12216" hidden="1" x14ac:dyDescent="0.25"/>
    <row r="12217" hidden="1" x14ac:dyDescent="0.25"/>
    <row r="12218" hidden="1" x14ac:dyDescent="0.25"/>
    <row r="12219" hidden="1" x14ac:dyDescent="0.25"/>
    <row r="12220" hidden="1" x14ac:dyDescent="0.25"/>
    <row r="12221" hidden="1" x14ac:dyDescent="0.25"/>
    <row r="12222" hidden="1" x14ac:dyDescent="0.25"/>
    <row r="12223" hidden="1" x14ac:dyDescent="0.25"/>
    <row r="12224" hidden="1" x14ac:dyDescent="0.25"/>
    <row r="12225" hidden="1" x14ac:dyDescent="0.25"/>
    <row r="12226" hidden="1" x14ac:dyDescent="0.25"/>
    <row r="12227" hidden="1" x14ac:dyDescent="0.25"/>
    <row r="12228" hidden="1" x14ac:dyDescent="0.25"/>
    <row r="12229" hidden="1" x14ac:dyDescent="0.25"/>
    <row r="12230" hidden="1" x14ac:dyDescent="0.25"/>
    <row r="12231" hidden="1" x14ac:dyDescent="0.25"/>
    <row r="12232" hidden="1" x14ac:dyDescent="0.25"/>
    <row r="12233" hidden="1" x14ac:dyDescent="0.25"/>
    <row r="12234" hidden="1" x14ac:dyDescent="0.25"/>
    <row r="12235" hidden="1" x14ac:dyDescent="0.25"/>
    <row r="12236" hidden="1" x14ac:dyDescent="0.25"/>
    <row r="12237" hidden="1" x14ac:dyDescent="0.25"/>
    <row r="12238" hidden="1" x14ac:dyDescent="0.25"/>
    <row r="12239" hidden="1" x14ac:dyDescent="0.25"/>
    <row r="12240" hidden="1" x14ac:dyDescent="0.25"/>
    <row r="12241" hidden="1" x14ac:dyDescent="0.25"/>
    <row r="12242" hidden="1" x14ac:dyDescent="0.25"/>
    <row r="12243" hidden="1" x14ac:dyDescent="0.25"/>
    <row r="12244" hidden="1" x14ac:dyDescent="0.25"/>
    <row r="12245" hidden="1" x14ac:dyDescent="0.25"/>
    <row r="12246" hidden="1" x14ac:dyDescent="0.25"/>
    <row r="12247" hidden="1" x14ac:dyDescent="0.25"/>
    <row r="12248" hidden="1" x14ac:dyDescent="0.25"/>
    <row r="12249" hidden="1" x14ac:dyDescent="0.25"/>
    <row r="12250" hidden="1" x14ac:dyDescent="0.25"/>
    <row r="12251" hidden="1" x14ac:dyDescent="0.25"/>
    <row r="12252" hidden="1" x14ac:dyDescent="0.25"/>
    <row r="12253" hidden="1" x14ac:dyDescent="0.25"/>
    <row r="12254" hidden="1" x14ac:dyDescent="0.25"/>
    <row r="12255" hidden="1" x14ac:dyDescent="0.25"/>
    <row r="12256" hidden="1" x14ac:dyDescent="0.25"/>
    <row r="12257" hidden="1" x14ac:dyDescent="0.25"/>
    <row r="12258" hidden="1" x14ac:dyDescent="0.25"/>
    <row r="12259" hidden="1" x14ac:dyDescent="0.25"/>
    <row r="12260" hidden="1" x14ac:dyDescent="0.25"/>
    <row r="12261" hidden="1" x14ac:dyDescent="0.25"/>
    <row r="12262" hidden="1" x14ac:dyDescent="0.25"/>
    <row r="12263" hidden="1" x14ac:dyDescent="0.25"/>
    <row r="12264" hidden="1" x14ac:dyDescent="0.25"/>
    <row r="12265" hidden="1" x14ac:dyDescent="0.25"/>
    <row r="12266" hidden="1" x14ac:dyDescent="0.25"/>
    <row r="12267" hidden="1" x14ac:dyDescent="0.25"/>
    <row r="12268" hidden="1" x14ac:dyDescent="0.25"/>
    <row r="12269" hidden="1" x14ac:dyDescent="0.25"/>
    <row r="12270" hidden="1" x14ac:dyDescent="0.25"/>
    <row r="12271" hidden="1" x14ac:dyDescent="0.25"/>
    <row r="12272" hidden="1" x14ac:dyDescent="0.25"/>
    <row r="12273" hidden="1" x14ac:dyDescent="0.25"/>
    <row r="12274" hidden="1" x14ac:dyDescent="0.25"/>
    <row r="12275" hidden="1" x14ac:dyDescent="0.25"/>
    <row r="12276" hidden="1" x14ac:dyDescent="0.25"/>
    <row r="12277" hidden="1" x14ac:dyDescent="0.25"/>
    <row r="12278" hidden="1" x14ac:dyDescent="0.25"/>
    <row r="12279" hidden="1" x14ac:dyDescent="0.25"/>
    <row r="12280" hidden="1" x14ac:dyDescent="0.25"/>
    <row r="12281" hidden="1" x14ac:dyDescent="0.25"/>
    <row r="12282" hidden="1" x14ac:dyDescent="0.25"/>
    <row r="12283" hidden="1" x14ac:dyDescent="0.25"/>
    <row r="12284" hidden="1" x14ac:dyDescent="0.25"/>
    <row r="12285" hidden="1" x14ac:dyDescent="0.25"/>
    <row r="12286" hidden="1" x14ac:dyDescent="0.25"/>
    <row r="12287" hidden="1" x14ac:dyDescent="0.25"/>
    <row r="12288" hidden="1" x14ac:dyDescent="0.25"/>
    <row r="12289" hidden="1" x14ac:dyDescent="0.25"/>
    <row r="12290" hidden="1" x14ac:dyDescent="0.25"/>
    <row r="12291" hidden="1" x14ac:dyDescent="0.25"/>
    <row r="12292" hidden="1" x14ac:dyDescent="0.25"/>
    <row r="12293" hidden="1" x14ac:dyDescent="0.25"/>
    <row r="12294" hidden="1" x14ac:dyDescent="0.25"/>
    <row r="12295" hidden="1" x14ac:dyDescent="0.25"/>
    <row r="12296" hidden="1" x14ac:dyDescent="0.25"/>
    <row r="12297" hidden="1" x14ac:dyDescent="0.25"/>
    <row r="12298" hidden="1" x14ac:dyDescent="0.25"/>
    <row r="12299" hidden="1" x14ac:dyDescent="0.25"/>
    <row r="12300" hidden="1" x14ac:dyDescent="0.25"/>
    <row r="12301" hidden="1" x14ac:dyDescent="0.25"/>
    <row r="12302" hidden="1" x14ac:dyDescent="0.25"/>
    <row r="12303" hidden="1" x14ac:dyDescent="0.25"/>
    <row r="12304" hidden="1" x14ac:dyDescent="0.25"/>
    <row r="12305" hidden="1" x14ac:dyDescent="0.25"/>
    <row r="12306" hidden="1" x14ac:dyDescent="0.25"/>
    <row r="12307" hidden="1" x14ac:dyDescent="0.25"/>
    <row r="12308" hidden="1" x14ac:dyDescent="0.25"/>
    <row r="12309" hidden="1" x14ac:dyDescent="0.25"/>
    <row r="12310" hidden="1" x14ac:dyDescent="0.25"/>
    <row r="12311" hidden="1" x14ac:dyDescent="0.25"/>
    <row r="12312" hidden="1" x14ac:dyDescent="0.25"/>
    <row r="12313" hidden="1" x14ac:dyDescent="0.25"/>
    <row r="12314" hidden="1" x14ac:dyDescent="0.25"/>
    <row r="12315" hidden="1" x14ac:dyDescent="0.25"/>
    <row r="12316" hidden="1" x14ac:dyDescent="0.25"/>
    <row r="12317" hidden="1" x14ac:dyDescent="0.25"/>
    <row r="12318" hidden="1" x14ac:dyDescent="0.25"/>
    <row r="12319" hidden="1" x14ac:dyDescent="0.25"/>
    <row r="12320" hidden="1" x14ac:dyDescent="0.25"/>
    <row r="12321" hidden="1" x14ac:dyDescent="0.25"/>
    <row r="12322" hidden="1" x14ac:dyDescent="0.25"/>
    <row r="12323" hidden="1" x14ac:dyDescent="0.25"/>
    <row r="12324" hidden="1" x14ac:dyDescent="0.25"/>
    <row r="12325" hidden="1" x14ac:dyDescent="0.25"/>
    <row r="12326" hidden="1" x14ac:dyDescent="0.25"/>
    <row r="12327" hidden="1" x14ac:dyDescent="0.25"/>
    <row r="12328" hidden="1" x14ac:dyDescent="0.25"/>
    <row r="12329" hidden="1" x14ac:dyDescent="0.25"/>
    <row r="12330" hidden="1" x14ac:dyDescent="0.25"/>
    <row r="12331" hidden="1" x14ac:dyDescent="0.25"/>
    <row r="12332" hidden="1" x14ac:dyDescent="0.25"/>
    <row r="12333" hidden="1" x14ac:dyDescent="0.25"/>
    <row r="12334" hidden="1" x14ac:dyDescent="0.25"/>
    <row r="12335" hidden="1" x14ac:dyDescent="0.25"/>
    <row r="12336" hidden="1" x14ac:dyDescent="0.25"/>
    <row r="12337" hidden="1" x14ac:dyDescent="0.25"/>
    <row r="12338" hidden="1" x14ac:dyDescent="0.25"/>
    <row r="12339" hidden="1" x14ac:dyDescent="0.25"/>
    <row r="12340" hidden="1" x14ac:dyDescent="0.25"/>
    <row r="12341" hidden="1" x14ac:dyDescent="0.25"/>
    <row r="12342" hidden="1" x14ac:dyDescent="0.25"/>
    <row r="12343" hidden="1" x14ac:dyDescent="0.25"/>
    <row r="12344" hidden="1" x14ac:dyDescent="0.25"/>
    <row r="12345" hidden="1" x14ac:dyDescent="0.25"/>
    <row r="12346" hidden="1" x14ac:dyDescent="0.25"/>
    <row r="12347" hidden="1" x14ac:dyDescent="0.25"/>
    <row r="12348" hidden="1" x14ac:dyDescent="0.25"/>
    <row r="12349" hidden="1" x14ac:dyDescent="0.25"/>
    <row r="12350" hidden="1" x14ac:dyDescent="0.25"/>
    <row r="12351" hidden="1" x14ac:dyDescent="0.25"/>
    <row r="12352" hidden="1" x14ac:dyDescent="0.25"/>
    <row r="12353" hidden="1" x14ac:dyDescent="0.25"/>
    <row r="12354" hidden="1" x14ac:dyDescent="0.25"/>
    <row r="12355" hidden="1" x14ac:dyDescent="0.25"/>
    <row r="12356" hidden="1" x14ac:dyDescent="0.25"/>
    <row r="12357" hidden="1" x14ac:dyDescent="0.25"/>
    <row r="12358" hidden="1" x14ac:dyDescent="0.25"/>
    <row r="12359" hidden="1" x14ac:dyDescent="0.25"/>
    <row r="12360" hidden="1" x14ac:dyDescent="0.25"/>
    <row r="12361" hidden="1" x14ac:dyDescent="0.25"/>
    <row r="12362" hidden="1" x14ac:dyDescent="0.25"/>
    <row r="12363" hidden="1" x14ac:dyDescent="0.25"/>
    <row r="12364" hidden="1" x14ac:dyDescent="0.25"/>
    <row r="12365" hidden="1" x14ac:dyDescent="0.25"/>
    <row r="12366" hidden="1" x14ac:dyDescent="0.25"/>
    <row r="12367" hidden="1" x14ac:dyDescent="0.25"/>
    <row r="12368" hidden="1" x14ac:dyDescent="0.25"/>
    <row r="12369" hidden="1" x14ac:dyDescent="0.25"/>
    <row r="12370" hidden="1" x14ac:dyDescent="0.25"/>
    <row r="12371" hidden="1" x14ac:dyDescent="0.25"/>
    <row r="12372" hidden="1" x14ac:dyDescent="0.25"/>
    <row r="12373" hidden="1" x14ac:dyDescent="0.25"/>
    <row r="12374" hidden="1" x14ac:dyDescent="0.25"/>
    <row r="12375" hidden="1" x14ac:dyDescent="0.25"/>
    <row r="12376" hidden="1" x14ac:dyDescent="0.25"/>
    <row r="12377" hidden="1" x14ac:dyDescent="0.25"/>
    <row r="12378" hidden="1" x14ac:dyDescent="0.25"/>
    <row r="12379" hidden="1" x14ac:dyDescent="0.25"/>
    <row r="12380" hidden="1" x14ac:dyDescent="0.25"/>
    <row r="12381" hidden="1" x14ac:dyDescent="0.25"/>
    <row r="12382" hidden="1" x14ac:dyDescent="0.25"/>
    <row r="12383" hidden="1" x14ac:dyDescent="0.25"/>
    <row r="12384" hidden="1" x14ac:dyDescent="0.25"/>
    <row r="12385" hidden="1" x14ac:dyDescent="0.25"/>
    <row r="12386" hidden="1" x14ac:dyDescent="0.25"/>
    <row r="12387" hidden="1" x14ac:dyDescent="0.25"/>
    <row r="12388" hidden="1" x14ac:dyDescent="0.25"/>
    <row r="12389" hidden="1" x14ac:dyDescent="0.25"/>
    <row r="12390" hidden="1" x14ac:dyDescent="0.25"/>
    <row r="12391" hidden="1" x14ac:dyDescent="0.25"/>
    <row r="12392" hidden="1" x14ac:dyDescent="0.25"/>
    <row r="12393" hidden="1" x14ac:dyDescent="0.25"/>
    <row r="12394" hidden="1" x14ac:dyDescent="0.25"/>
    <row r="12395" hidden="1" x14ac:dyDescent="0.25"/>
    <row r="12396" hidden="1" x14ac:dyDescent="0.25"/>
    <row r="12397" hidden="1" x14ac:dyDescent="0.25"/>
    <row r="12398" hidden="1" x14ac:dyDescent="0.25"/>
    <row r="12399" hidden="1" x14ac:dyDescent="0.25"/>
    <row r="12400" hidden="1" x14ac:dyDescent="0.25"/>
    <row r="12401" hidden="1" x14ac:dyDescent="0.25"/>
    <row r="12402" hidden="1" x14ac:dyDescent="0.25"/>
    <row r="12403" hidden="1" x14ac:dyDescent="0.25"/>
    <row r="12404" hidden="1" x14ac:dyDescent="0.25"/>
    <row r="12405" hidden="1" x14ac:dyDescent="0.25"/>
    <row r="12406" hidden="1" x14ac:dyDescent="0.25"/>
    <row r="12407" hidden="1" x14ac:dyDescent="0.25"/>
    <row r="12408" hidden="1" x14ac:dyDescent="0.25"/>
    <row r="12409" hidden="1" x14ac:dyDescent="0.25"/>
    <row r="12410" hidden="1" x14ac:dyDescent="0.25"/>
    <row r="12411" hidden="1" x14ac:dyDescent="0.25"/>
    <row r="12412" hidden="1" x14ac:dyDescent="0.25"/>
    <row r="12413" hidden="1" x14ac:dyDescent="0.25"/>
    <row r="12414" hidden="1" x14ac:dyDescent="0.25"/>
    <row r="12415" hidden="1" x14ac:dyDescent="0.25"/>
    <row r="12416" hidden="1" x14ac:dyDescent="0.25"/>
    <row r="12417" hidden="1" x14ac:dyDescent="0.25"/>
    <row r="12418" hidden="1" x14ac:dyDescent="0.25"/>
    <row r="12419" hidden="1" x14ac:dyDescent="0.25"/>
    <row r="12420" hidden="1" x14ac:dyDescent="0.25"/>
    <row r="12421" hidden="1" x14ac:dyDescent="0.25"/>
    <row r="12422" hidden="1" x14ac:dyDescent="0.25"/>
    <row r="12423" hidden="1" x14ac:dyDescent="0.25"/>
    <row r="12424" hidden="1" x14ac:dyDescent="0.25"/>
    <row r="12425" hidden="1" x14ac:dyDescent="0.25"/>
    <row r="12426" hidden="1" x14ac:dyDescent="0.25"/>
    <row r="12427" hidden="1" x14ac:dyDescent="0.25"/>
    <row r="12428" hidden="1" x14ac:dyDescent="0.25"/>
    <row r="12429" hidden="1" x14ac:dyDescent="0.25"/>
    <row r="12430" hidden="1" x14ac:dyDescent="0.25"/>
    <row r="12431" hidden="1" x14ac:dyDescent="0.25"/>
    <row r="12432" hidden="1" x14ac:dyDescent="0.25"/>
    <row r="12433" hidden="1" x14ac:dyDescent="0.25"/>
    <row r="12434" hidden="1" x14ac:dyDescent="0.25"/>
    <row r="12435" hidden="1" x14ac:dyDescent="0.25"/>
    <row r="12436" hidden="1" x14ac:dyDescent="0.25"/>
    <row r="12437" hidden="1" x14ac:dyDescent="0.25"/>
    <row r="12438" hidden="1" x14ac:dyDescent="0.25"/>
    <row r="12439" hidden="1" x14ac:dyDescent="0.25"/>
    <row r="12440" hidden="1" x14ac:dyDescent="0.25"/>
    <row r="12441" hidden="1" x14ac:dyDescent="0.25"/>
    <row r="12442" hidden="1" x14ac:dyDescent="0.25"/>
    <row r="12443" hidden="1" x14ac:dyDescent="0.25"/>
    <row r="12444" hidden="1" x14ac:dyDescent="0.25"/>
    <row r="12445" hidden="1" x14ac:dyDescent="0.25"/>
    <row r="12446" hidden="1" x14ac:dyDescent="0.25"/>
    <row r="12447" hidden="1" x14ac:dyDescent="0.25"/>
    <row r="12448" hidden="1" x14ac:dyDescent="0.25"/>
    <row r="12449" hidden="1" x14ac:dyDescent="0.25"/>
    <row r="12450" hidden="1" x14ac:dyDescent="0.25"/>
    <row r="12451" hidden="1" x14ac:dyDescent="0.25"/>
    <row r="12452" hidden="1" x14ac:dyDescent="0.25"/>
    <row r="12453" hidden="1" x14ac:dyDescent="0.25"/>
    <row r="12454" hidden="1" x14ac:dyDescent="0.25"/>
    <row r="12455" hidden="1" x14ac:dyDescent="0.25"/>
    <row r="12456" hidden="1" x14ac:dyDescent="0.25"/>
    <row r="12457" hidden="1" x14ac:dyDescent="0.25"/>
    <row r="12458" hidden="1" x14ac:dyDescent="0.25"/>
    <row r="12459" hidden="1" x14ac:dyDescent="0.25"/>
    <row r="12460" hidden="1" x14ac:dyDescent="0.25"/>
    <row r="12461" hidden="1" x14ac:dyDescent="0.25"/>
    <row r="12462" hidden="1" x14ac:dyDescent="0.25"/>
    <row r="12463" hidden="1" x14ac:dyDescent="0.25"/>
    <row r="12464" hidden="1" x14ac:dyDescent="0.25"/>
    <row r="12465" hidden="1" x14ac:dyDescent="0.25"/>
    <row r="12466" hidden="1" x14ac:dyDescent="0.25"/>
    <row r="12467" hidden="1" x14ac:dyDescent="0.25"/>
    <row r="12468" hidden="1" x14ac:dyDescent="0.25"/>
    <row r="12469" hidden="1" x14ac:dyDescent="0.25"/>
    <row r="12470" hidden="1" x14ac:dyDescent="0.25"/>
    <row r="12471" hidden="1" x14ac:dyDescent="0.25"/>
    <row r="12472" hidden="1" x14ac:dyDescent="0.25"/>
    <row r="12473" hidden="1" x14ac:dyDescent="0.25"/>
    <row r="12474" hidden="1" x14ac:dyDescent="0.25"/>
    <row r="12475" hidden="1" x14ac:dyDescent="0.25"/>
    <row r="12476" hidden="1" x14ac:dyDescent="0.25"/>
    <row r="12477" hidden="1" x14ac:dyDescent="0.25"/>
    <row r="12478" hidden="1" x14ac:dyDescent="0.25"/>
    <row r="12479" hidden="1" x14ac:dyDescent="0.25"/>
    <row r="12480" hidden="1" x14ac:dyDescent="0.25"/>
    <row r="12481" hidden="1" x14ac:dyDescent="0.25"/>
    <row r="12482" hidden="1" x14ac:dyDescent="0.25"/>
    <row r="12483" hidden="1" x14ac:dyDescent="0.25"/>
    <row r="12484" hidden="1" x14ac:dyDescent="0.25"/>
    <row r="12485" hidden="1" x14ac:dyDescent="0.25"/>
    <row r="12486" hidden="1" x14ac:dyDescent="0.25"/>
    <row r="12487" hidden="1" x14ac:dyDescent="0.25"/>
    <row r="12488" hidden="1" x14ac:dyDescent="0.25"/>
    <row r="12489" hidden="1" x14ac:dyDescent="0.25"/>
    <row r="12490" hidden="1" x14ac:dyDescent="0.25"/>
    <row r="12491" hidden="1" x14ac:dyDescent="0.25"/>
    <row r="12492" hidden="1" x14ac:dyDescent="0.25"/>
    <row r="12493" hidden="1" x14ac:dyDescent="0.25"/>
    <row r="12494" hidden="1" x14ac:dyDescent="0.25"/>
    <row r="12495" hidden="1" x14ac:dyDescent="0.25"/>
    <row r="12496" hidden="1" x14ac:dyDescent="0.25"/>
    <row r="12497" hidden="1" x14ac:dyDescent="0.25"/>
    <row r="12498" hidden="1" x14ac:dyDescent="0.25"/>
    <row r="12499" hidden="1" x14ac:dyDescent="0.25"/>
    <row r="12500" hidden="1" x14ac:dyDescent="0.25"/>
    <row r="12501" hidden="1" x14ac:dyDescent="0.25"/>
    <row r="12502" hidden="1" x14ac:dyDescent="0.25"/>
    <row r="12503" hidden="1" x14ac:dyDescent="0.25"/>
    <row r="12504" hidden="1" x14ac:dyDescent="0.25"/>
    <row r="12505" hidden="1" x14ac:dyDescent="0.25"/>
    <row r="12506" hidden="1" x14ac:dyDescent="0.25"/>
    <row r="12507" hidden="1" x14ac:dyDescent="0.25"/>
    <row r="12508" hidden="1" x14ac:dyDescent="0.25"/>
    <row r="12509" hidden="1" x14ac:dyDescent="0.25"/>
    <row r="12510" hidden="1" x14ac:dyDescent="0.25"/>
    <row r="12511" hidden="1" x14ac:dyDescent="0.25"/>
    <row r="12512" hidden="1" x14ac:dyDescent="0.25"/>
    <row r="12513" hidden="1" x14ac:dyDescent="0.25"/>
    <row r="12514" hidden="1" x14ac:dyDescent="0.25"/>
    <row r="12515" hidden="1" x14ac:dyDescent="0.25"/>
    <row r="12516" hidden="1" x14ac:dyDescent="0.25"/>
    <row r="12517" hidden="1" x14ac:dyDescent="0.25"/>
    <row r="12518" hidden="1" x14ac:dyDescent="0.25"/>
    <row r="12519" hidden="1" x14ac:dyDescent="0.25"/>
    <row r="12520" hidden="1" x14ac:dyDescent="0.25"/>
    <row r="12521" hidden="1" x14ac:dyDescent="0.25"/>
    <row r="12522" hidden="1" x14ac:dyDescent="0.25"/>
    <row r="12523" hidden="1" x14ac:dyDescent="0.25"/>
    <row r="12524" hidden="1" x14ac:dyDescent="0.25"/>
    <row r="12525" hidden="1" x14ac:dyDescent="0.25"/>
    <row r="12526" hidden="1" x14ac:dyDescent="0.25"/>
    <row r="12527" hidden="1" x14ac:dyDescent="0.25"/>
    <row r="12528" hidden="1" x14ac:dyDescent="0.25"/>
    <row r="12529" hidden="1" x14ac:dyDescent="0.25"/>
    <row r="12530" hidden="1" x14ac:dyDescent="0.25"/>
    <row r="12531" hidden="1" x14ac:dyDescent="0.25"/>
    <row r="12532" hidden="1" x14ac:dyDescent="0.25"/>
    <row r="12533" hidden="1" x14ac:dyDescent="0.25"/>
    <row r="12534" hidden="1" x14ac:dyDescent="0.25"/>
    <row r="12535" hidden="1" x14ac:dyDescent="0.25"/>
    <row r="12536" hidden="1" x14ac:dyDescent="0.25"/>
    <row r="12537" hidden="1" x14ac:dyDescent="0.25"/>
    <row r="12538" hidden="1" x14ac:dyDescent="0.25"/>
    <row r="12539" hidden="1" x14ac:dyDescent="0.25"/>
    <row r="12540" hidden="1" x14ac:dyDescent="0.25"/>
    <row r="12541" hidden="1" x14ac:dyDescent="0.25"/>
    <row r="12542" hidden="1" x14ac:dyDescent="0.25"/>
    <row r="12543" hidden="1" x14ac:dyDescent="0.25"/>
    <row r="12544" hidden="1" x14ac:dyDescent="0.25"/>
    <row r="12545" hidden="1" x14ac:dyDescent="0.25"/>
    <row r="12546" hidden="1" x14ac:dyDescent="0.25"/>
    <row r="12547" hidden="1" x14ac:dyDescent="0.25"/>
    <row r="12548" hidden="1" x14ac:dyDescent="0.25"/>
    <row r="12549" hidden="1" x14ac:dyDescent="0.25"/>
    <row r="12550" hidden="1" x14ac:dyDescent="0.25"/>
    <row r="12551" hidden="1" x14ac:dyDescent="0.25"/>
    <row r="12552" hidden="1" x14ac:dyDescent="0.25"/>
    <row r="12553" hidden="1" x14ac:dyDescent="0.25"/>
    <row r="12554" hidden="1" x14ac:dyDescent="0.25"/>
    <row r="12555" hidden="1" x14ac:dyDescent="0.25"/>
    <row r="12556" hidden="1" x14ac:dyDescent="0.25"/>
    <row r="12557" hidden="1" x14ac:dyDescent="0.25"/>
    <row r="12558" hidden="1" x14ac:dyDescent="0.25"/>
    <row r="12559" hidden="1" x14ac:dyDescent="0.25"/>
    <row r="12560" hidden="1" x14ac:dyDescent="0.25"/>
    <row r="12561" hidden="1" x14ac:dyDescent="0.25"/>
    <row r="12562" hidden="1" x14ac:dyDescent="0.25"/>
    <row r="12563" hidden="1" x14ac:dyDescent="0.25"/>
    <row r="12564" hidden="1" x14ac:dyDescent="0.25"/>
    <row r="12565" hidden="1" x14ac:dyDescent="0.25"/>
    <row r="12566" hidden="1" x14ac:dyDescent="0.25"/>
    <row r="12567" hidden="1" x14ac:dyDescent="0.25"/>
    <row r="12568" hidden="1" x14ac:dyDescent="0.25"/>
    <row r="12569" hidden="1" x14ac:dyDescent="0.25"/>
    <row r="12570" hidden="1" x14ac:dyDescent="0.25"/>
    <row r="12571" hidden="1" x14ac:dyDescent="0.25"/>
    <row r="12572" hidden="1" x14ac:dyDescent="0.25"/>
    <row r="12573" hidden="1" x14ac:dyDescent="0.25"/>
    <row r="12574" hidden="1" x14ac:dyDescent="0.25"/>
    <row r="12575" hidden="1" x14ac:dyDescent="0.25"/>
    <row r="12576" hidden="1" x14ac:dyDescent="0.25"/>
    <row r="12577" hidden="1" x14ac:dyDescent="0.25"/>
    <row r="12578" hidden="1" x14ac:dyDescent="0.25"/>
    <row r="12579" hidden="1" x14ac:dyDescent="0.25"/>
    <row r="12580" hidden="1" x14ac:dyDescent="0.25"/>
    <row r="12581" hidden="1" x14ac:dyDescent="0.25"/>
    <row r="12582" hidden="1" x14ac:dyDescent="0.25"/>
    <row r="12583" hidden="1" x14ac:dyDescent="0.25"/>
    <row r="12584" hidden="1" x14ac:dyDescent="0.25"/>
    <row r="12585" hidden="1" x14ac:dyDescent="0.25"/>
    <row r="12586" hidden="1" x14ac:dyDescent="0.25"/>
    <row r="12587" hidden="1" x14ac:dyDescent="0.25"/>
    <row r="12588" hidden="1" x14ac:dyDescent="0.25"/>
    <row r="12589" hidden="1" x14ac:dyDescent="0.25"/>
    <row r="12590" hidden="1" x14ac:dyDescent="0.25"/>
    <row r="12591" hidden="1" x14ac:dyDescent="0.25"/>
    <row r="12592" hidden="1" x14ac:dyDescent="0.25"/>
    <row r="12593" hidden="1" x14ac:dyDescent="0.25"/>
    <row r="12594" hidden="1" x14ac:dyDescent="0.25"/>
    <row r="12595" hidden="1" x14ac:dyDescent="0.25"/>
    <row r="12596" hidden="1" x14ac:dyDescent="0.25"/>
    <row r="12597" hidden="1" x14ac:dyDescent="0.25"/>
    <row r="12598" hidden="1" x14ac:dyDescent="0.25"/>
    <row r="12599" hidden="1" x14ac:dyDescent="0.25"/>
    <row r="12600" hidden="1" x14ac:dyDescent="0.25"/>
    <row r="12601" hidden="1" x14ac:dyDescent="0.25"/>
    <row r="12602" hidden="1" x14ac:dyDescent="0.25"/>
    <row r="12603" hidden="1" x14ac:dyDescent="0.25"/>
    <row r="12604" hidden="1" x14ac:dyDescent="0.25"/>
    <row r="12605" hidden="1" x14ac:dyDescent="0.25"/>
    <row r="12606" hidden="1" x14ac:dyDescent="0.25"/>
    <row r="12607" hidden="1" x14ac:dyDescent="0.25"/>
    <row r="12608" hidden="1" x14ac:dyDescent="0.25"/>
    <row r="12609" hidden="1" x14ac:dyDescent="0.25"/>
    <row r="12610" hidden="1" x14ac:dyDescent="0.25"/>
    <row r="12611" hidden="1" x14ac:dyDescent="0.25"/>
    <row r="12612" hidden="1" x14ac:dyDescent="0.25"/>
    <row r="12613" hidden="1" x14ac:dyDescent="0.25"/>
    <row r="12614" hidden="1" x14ac:dyDescent="0.25"/>
    <row r="12615" hidden="1" x14ac:dyDescent="0.25"/>
    <row r="12616" hidden="1" x14ac:dyDescent="0.25"/>
    <row r="12617" hidden="1" x14ac:dyDescent="0.25"/>
    <row r="12618" hidden="1" x14ac:dyDescent="0.25"/>
    <row r="12619" hidden="1" x14ac:dyDescent="0.25"/>
    <row r="12620" hidden="1" x14ac:dyDescent="0.25"/>
    <row r="12621" hidden="1" x14ac:dyDescent="0.25"/>
    <row r="12622" hidden="1" x14ac:dyDescent="0.25"/>
    <row r="12623" hidden="1" x14ac:dyDescent="0.25"/>
    <row r="12624" hidden="1" x14ac:dyDescent="0.25"/>
    <row r="12625" hidden="1" x14ac:dyDescent="0.25"/>
    <row r="12626" hidden="1" x14ac:dyDescent="0.25"/>
    <row r="12627" hidden="1" x14ac:dyDescent="0.25"/>
    <row r="12628" hidden="1" x14ac:dyDescent="0.25"/>
    <row r="12629" hidden="1" x14ac:dyDescent="0.25"/>
    <row r="12630" hidden="1" x14ac:dyDescent="0.25"/>
    <row r="12631" hidden="1" x14ac:dyDescent="0.25"/>
    <row r="12632" hidden="1" x14ac:dyDescent="0.25"/>
    <row r="12633" hidden="1" x14ac:dyDescent="0.25"/>
    <row r="12634" hidden="1" x14ac:dyDescent="0.25"/>
    <row r="12635" hidden="1" x14ac:dyDescent="0.25"/>
    <row r="12636" hidden="1" x14ac:dyDescent="0.25"/>
    <row r="12637" hidden="1" x14ac:dyDescent="0.25"/>
    <row r="12638" hidden="1" x14ac:dyDescent="0.25"/>
    <row r="12639" hidden="1" x14ac:dyDescent="0.25"/>
    <row r="12640" hidden="1" x14ac:dyDescent="0.25"/>
    <row r="12641" hidden="1" x14ac:dyDescent="0.25"/>
    <row r="12642" hidden="1" x14ac:dyDescent="0.25"/>
    <row r="12643" hidden="1" x14ac:dyDescent="0.25"/>
    <row r="12644" hidden="1" x14ac:dyDescent="0.25"/>
    <row r="12645" hidden="1" x14ac:dyDescent="0.25"/>
    <row r="12646" hidden="1" x14ac:dyDescent="0.25"/>
    <row r="12647" hidden="1" x14ac:dyDescent="0.25"/>
    <row r="12648" hidden="1" x14ac:dyDescent="0.25"/>
    <row r="12649" hidden="1" x14ac:dyDescent="0.25"/>
    <row r="12650" hidden="1" x14ac:dyDescent="0.25"/>
    <row r="12651" hidden="1" x14ac:dyDescent="0.25"/>
    <row r="12652" hidden="1" x14ac:dyDescent="0.25"/>
    <row r="12653" hidden="1" x14ac:dyDescent="0.25"/>
    <row r="12654" hidden="1" x14ac:dyDescent="0.25"/>
    <row r="12655" hidden="1" x14ac:dyDescent="0.25"/>
    <row r="12656" hidden="1" x14ac:dyDescent="0.25"/>
    <row r="12657" hidden="1" x14ac:dyDescent="0.25"/>
    <row r="12658" hidden="1" x14ac:dyDescent="0.25"/>
    <row r="12659" hidden="1" x14ac:dyDescent="0.25"/>
    <row r="12660" hidden="1" x14ac:dyDescent="0.25"/>
    <row r="12661" hidden="1" x14ac:dyDescent="0.25"/>
    <row r="12662" hidden="1" x14ac:dyDescent="0.25"/>
    <row r="12663" hidden="1" x14ac:dyDescent="0.25"/>
    <row r="12664" hidden="1" x14ac:dyDescent="0.25"/>
    <row r="12665" hidden="1" x14ac:dyDescent="0.25"/>
    <row r="12666" hidden="1" x14ac:dyDescent="0.25"/>
    <row r="12667" hidden="1" x14ac:dyDescent="0.25"/>
    <row r="12668" hidden="1" x14ac:dyDescent="0.25"/>
    <row r="12669" hidden="1" x14ac:dyDescent="0.25"/>
    <row r="12670" hidden="1" x14ac:dyDescent="0.25"/>
    <row r="12671" hidden="1" x14ac:dyDescent="0.25"/>
    <row r="12672" hidden="1" x14ac:dyDescent="0.25"/>
    <row r="12673" hidden="1" x14ac:dyDescent="0.25"/>
    <row r="12674" hidden="1" x14ac:dyDescent="0.25"/>
    <row r="12675" hidden="1" x14ac:dyDescent="0.25"/>
    <row r="12676" hidden="1" x14ac:dyDescent="0.25"/>
    <row r="12677" hidden="1" x14ac:dyDescent="0.25"/>
    <row r="12678" hidden="1" x14ac:dyDescent="0.25"/>
    <row r="12679" hidden="1" x14ac:dyDescent="0.25"/>
    <row r="12680" hidden="1" x14ac:dyDescent="0.25"/>
    <row r="12681" hidden="1" x14ac:dyDescent="0.25"/>
    <row r="12682" hidden="1" x14ac:dyDescent="0.25"/>
    <row r="12683" hidden="1" x14ac:dyDescent="0.25"/>
    <row r="12684" hidden="1" x14ac:dyDescent="0.25"/>
    <row r="12685" hidden="1" x14ac:dyDescent="0.25"/>
    <row r="12686" hidden="1" x14ac:dyDescent="0.25"/>
    <row r="12687" hidden="1" x14ac:dyDescent="0.25"/>
    <row r="12688" hidden="1" x14ac:dyDescent="0.25"/>
    <row r="12689" hidden="1" x14ac:dyDescent="0.25"/>
    <row r="12690" hidden="1" x14ac:dyDescent="0.25"/>
    <row r="12691" hidden="1" x14ac:dyDescent="0.25"/>
    <row r="12692" hidden="1" x14ac:dyDescent="0.25"/>
    <row r="12693" hidden="1" x14ac:dyDescent="0.25"/>
    <row r="12694" hidden="1" x14ac:dyDescent="0.25"/>
    <row r="12695" hidden="1" x14ac:dyDescent="0.25"/>
    <row r="12696" hidden="1" x14ac:dyDescent="0.25"/>
    <row r="12697" hidden="1" x14ac:dyDescent="0.25"/>
    <row r="12698" hidden="1" x14ac:dyDescent="0.25"/>
    <row r="12699" hidden="1" x14ac:dyDescent="0.25"/>
    <row r="12700" hidden="1" x14ac:dyDescent="0.25"/>
    <row r="12701" hidden="1" x14ac:dyDescent="0.25"/>
    <row r="12702" hidden="1" x14ac:dyDescent="0.25"/>
    <row r="12703" hidden="1" x14ac:dyDescent="0.25"/>
    <row r="12704" hidden="1" x14ac:dyDescent="0.25"/>
    <row r="12705" hidden="1" x14ac:dyDescent="0.25"/>
    <row r="12706" hidden="1" x14ac:dyDescent="0.25"/>
    <row r="12707" hidden="1" x14ac:dyDescent="0.25"/>
    <row r="12708" hidden="1" x14ac:dyDescent="0.25"/>
    <row r="12709" hidden="1" x14ac:dyDescent="0.25"/>
    <row r="12710" hidden="1" x14ac:dyDescent="0.25"/>
    <row r="12711" hidden="1" x14ac:dyDescent="0.25"/>
    <row r="12712" hidden="1" x14ac:dyDescent="0.25"/>
    <row r="12713" hidden="1" x14ac:dyDescent="0.25"/>
    <row r="12714" hidden="1" x14ac:dyDescent="0.25"/>
    <row r="12715" hidden="1" x14ac:dyDescent="0.25"/>
    <row r="12716" hidden="1" x14ac:dyDescent="0.25"/>
    <row r="12717" hidden="1" x14ac:dyDescent="0.25"/>
    <row r="12718" hidden="1" x14ac:dyDescent="0.25"/>
    <row r="12719" hidden="1" x14ac:dyDescent="0.25"/>
    <row r="12720" hidden="1" x14ac:dyDescent="0.25"/>
    <row r="12721" hidden="1" x14ac:dyDescent="0.25"/>
    <row r="12722" hidden="1" x14ac:dyDescent="0.25"/>
    <row r="12723" hidden="1" x14ac:dyDescent="0.25"/>
    <row r="12724" hidden="1" x14ac:dyDescent="0.25"/>
    <row r="12725" hidden="1" x14ac:dyDescent="0.25"/>
    <row r="12726" hidden="1" x14ac:dyDescent="0.25"/>
    <row r="12727" hidden="1" x14ac:dyDescent="0.25"/>
    <row r="12728" hidden="1" x14ac:dyDescent="0.25"/>
    <row r="12729" hidden="1" x14ac:dyDescent="0.25"/>
    <row r="12730" hidden="1" x14ac:dyDescent="0.25"/>
    <row r="12731" hidden="1" x14ac:dyDescent="0.25"/>
    <row r="12732" hidden="1" x14ac:dyDescent="0.25"/>
    <row r="12733" hidden="1" x14ac:dyDescent="0.25"/>
    <row r="12734" hidden="1" x14ac:dyDescent="0.25"/>
    <row r="12735" hidden="1" x14ac:dyDescent="0.25"/>
    <row r="12736" hidden="1" x14ac:dyDescent="0.25"/>
    <row r="12737" hidden="1" x14ac:dyDescent="0.25"/>
    <row r="12738" hidden="1" x14ac:dyDescent="0.25"/>
    <row r="12739" hidden="1" x14ac:dyDescent="0.25"/>
    <row r="12740" hidden="1" x14ac:dyDescent="0.25"/>
    <row r="12741" hidden="1" x14ac:dyDescent="0.25"/>
    <row r="12742" hidden="1" x14ac:dyDescent="0.25"/>
    <row r="12743" hidden="1" x14ac:dyDescent="0.25"/>
    <row r="12744" hidden="1" x14ac:dyDescent="0.25"/>
    <row r="12745" hidden="1" x14ac:dyDescent="0.25"/>
    <row r="12746" hidden="1" x14ac:dyDescent="0.25"/>
    <row r="12747" hidden="1" x14ac:dyDescent="0.25"/>
    <row r="12748" hidden="1" x14ac:dyDescent="0.25"/>
    <row r="12749" hidden="1" x14ac:dyDescent="0.25"/>
    <row r="12750" hidden="1" x14ac:dyDescent="0.25"/>
    <row r="12751" hidden="1" x14ac:dyDescent="0.25"/>
    <row r="12752" hidden="1" x14ac:dyDescent="0.25"/>
    <row r="12753" hidden="1" x14ac:dyDescent="0.25"/>
    <row r="12754" hidden="1" x14ac:dyDescent="0.25"/>
    <row r="12755" hidden="1" x14ac:dyDescent="0.25"/>
    <row r="12756" hidden="1" x14ac:dyDescent="0.25"/>
    <row r="12757" hidden="1" x14ac:dyDescent="0.25"/>
    <row r="12758" hidden="1" x14ac:dyDescent="0.25"/>
    <row r="12759" hidden="1" x14ac:dyDescent="0.25"/>
    <row r="12760" hidden="1" x14ac:dyDescent="0.25"/>
    <row r="12761" hidden="1" x14ac:dyDescent="0.25"/>
    <row r="12762" hidden="1" x14ac:dyDescent="0.25"/>
    <row r="12763" hidden="1" x14ac:dyDescent="0.25"/>
    <row r="12764" hidden="1" x14ac:dyDescent="0.25"/>
    <row r="12765" hidden="1" x14ac:dyDescent="0.25"/>
    <row r="12766" hidden="1" x14ac:dyDescent="0.25"/>
    <row r="12767" hidden="1" x14ac:dyDescent="0.25"/>
    <row r="12768" hidden="1" x14ac:dyDescent="0.25"/>
    <row r="12769" hidden="1" x14ac:dyDescent="0.25"/>
    <row r="12770" hidden="1" x14ac:dyDescent="0.25"/>
    <row r="12771" hidden="1" x14ac:dyDescent="0.25"/>
    <row r="12772" hidden="1" x14ac:dyDescent="0.25"/>
    <row r="12773" hidden="1" x14ac:dyDescent="0.25"/>
    <row r="12774" hidden="1" x14ac:dyDescent="0.25"/>
    <row r="12775" hidden="1" x14ac:dyDescent="0.25"/>
    <row r="12776" hidden="1" x14ac:dyDescent="0.25"/>
    <row r="12777" hidden="1" x14ac:dyDescent="0.25"/>
    <row r="12778" hidden="1" x14ac:dyDescent="0.25"/>
    <row r="12779" hidden="1" x14ac:dyDescent="0.25"/>
    <row r="12780" hidden="1" x14ac:dyDescent="0.25"/>
    <row r="12781" hidden="1" x14ac:dyDescent="0.25"/>
    <row r="12782" hidden="1" x14ac:dyDescent="0.25"/>
    <row r="12783" hidden="1" x14ac:dyDescent="0.25"/>
    <row r="12784" hidden="1" x14ac:dyDescent="0.25"/>
    <row r="12785" hidden="1" x14ac:dyDescent="0.25"/>
    <row r="12786" hidden="1" x14ac:dyDescent="0.25"/>
    <row r="12787" hidden="1" x14ac:dyDescent="0.25"/>
    <row r="12788" hidden="1" x14ac:dyDescent="0.25"/>
    <row r="12789" hidden="1" x14ac:dyDescent="0.25"/>
    <row r="12790" hidden="1" x14ac:dyDescent="0.25"/>
    <row r="12791" hidden="1" x14ac:dyDescent="0.25"/>
    <row r="12792" hidden="1" x14ac:dyDescent="0.25"/>
    <row r="12793" hidden="1" x14ac:dyDescent="0.25"/>
    <row r="12794" hidden="1" x14ac:dyDescent="0.25"/>
    <row r="12795" hidden="1" x14ac:dyDescent="0.25"/>
    <row r="12796" hidden="1" x14ac:dyDescent="0.25"/>
    <row r="12797" hidden="1" x14ac:dyDescent="0.25"/>
    <row r="12798" hidden="1" x14ac:dyDescent="0.25"/>
    <row r="12799" hidden="1" x14ac:dyDescent="0.25"/>
    <row r="12800" hidden="1" x14ac:dyDescent="0.25"/>
    <row r="12801" hidden="1" x14ac:dyDescent="0.25"/>
    <row r="12802" hidden="1" x14ac:dyDescent="0.25"/>
    <row r="12803" hidden="1" x14ac:dyDescent="0.25"/>
    <row r="12804" hidden="1" x14ac:dyDescent="0.25"/>
    <row r="12805" hidden="1" x14ac:dyDescent="0.25"/>
    <row r="12806" hidden="1" x14ac:dyDescent="0.25"/>
    <row r="12807" hidden="1" x14ac:dyDescent="0.25"/>
    <row r="12808" hidden="1" x14ac:dyDescent="0.25"/>
    <row r="12809" hidden="1" x14ac:dyDescent="0.25"/>
    <row r="12810" hidden="1" x14ac:dyDescent="0.25"/>
    <row r="12811" hidden="1" x14ac:dyDescent="0.25"/>
    <row r="12812" hidden="1" x14ac:dyDescent="0.25"/>
    <row r="12813" hidden="1" x14ac:dyDescent="0.25"/>
    <row r="12814" hidden="1" x14ac:dyDescent="0.25"/>
    <row r="12815" hidden="1" x14ac:dyDescent="0.25"/>
    <row r="12816" hidden="1" x14ac:dyDescent="0.25"/>
    <row r="12817" hidden="1" x14ac:dyDescent="0.25"/>
    <row r="12818" hidden="1" x14ac:dyDescent="0.25"/>
    <row r="12819" hidden="1" x14ac:dyDescent="0.25"/>
    <row r="12820" hidden="1" x14ac:dyDescent="0.25"/>
    <row r="12821" hidden="1" x14ac:dyDescent="0.25"/>
    <row r="12822" hidden="1" x14ac:dyDescent="0.25"/>
    <row r="12823" hidden="1" x14ac:dyDescent="0.25"/>
    <row r="12824" hidden="1" x14ac:dyDescent="0.25"/>
    <row r="12825" hidden="1" x14ac:dyDescent="0.25"/>
    <row r="12826" hidden="1" x14ac:dyDescent="0.25"/>
    <row r="12827" hidden="1" x14ac:dyDescent="0.25"/>
    <row r="12828" hidden="1" x14ac:dyDescent="0.25"/>
    <row r="12829" hidden="1" x14ac:dyDescent="0.25"/>
    <row r="12830" hidden="1" x14ac:dyDescent="0.25"/>
    <row r="12831" hidden="1" x14ac:dyDescent="0.25"/>
    <row r="12832" hidden="1" x14ac:dyDescent="0.25"/>
    <row r="12833" hidden="1" x14ac:dyDescent="0.25"/>
    <row r="12834" hidden="1" x14ac:dyDescent="0.25"/>
    <row r="12835" hidden="1" x14ac:dyDescent="0.25"/>
    <row r="12836" hidden="1" x14ac:dyDescent="0.25"/>
    <row r="12837" hidden="1" x14ac:dyDescent="0.25"/>
    <row r="12838" hidden="1" x14ac:dyDescent="0.25"/>
    <row r="12839" hidden="1" x14ac:dyDescent="0.25"/>
    <row r="12840" hidden="1" x14ac:dyDescent="0.25"/>
    <row r="12841" hidden="1" x14ac:dyDescent="0.25"/>
    <row r="12842" hidden="1" x14ac:dyDescent="0.25"/>
    <row r="12843" hidden="1" x14ac:dyDescent="0.25"/>
    <row r="12844" hidden="1" x14ac:dyDescent="0.25"/>
    <row r="12845" hidden="1" x14ac:dyDescent="0.25"/>
    <row r="12846" hidden="1" x14ac:dyDescent="0.25"/>
    <row r="12847" hidden="1" x14ac:dyDescent="0.25"/>
    <row r="12848" hidden="1" x14ac:dyDescent="0.25"/>
    <row r="12849" hidden="1" x14ac:dyDescent="0.25"/>
    <row r="12850" hidden="1" x14ac:dyDescent="0.25"/>
    <row r="12851" hidden="1" x14ac:dyDescent="0.25"/>
    <row r="12852" hidden="1" x14ac:dyDescent="0.25"/>
    <row r="12853" hidden="1" x14ac:dyDescent="0.25"/>
    <row r="12854" hidden="1" x14ac:dyDescent="0.25"/>
    <row r="12855" hidden="1" x14ac:dyDescent="0.25"/>
    <row r="12856" hidden="1" x14ac:dyDescent="0.25"/>
    <row r="12857" hidden="1" x14ac:dyDescent="0.25"/>
    <row r="12858" hidden="1" x14ac:dyDescent="0.25"/>
    <row r="12859" hidden="1" x14ac:dyDescent="0.25"/>
    <row r="12860" hidden="1" x14ac:dyDescent="0.25"/>
    <row r="12861" hidden="1" x14ac:dyDescent="0.25"/>
    <row r="12862" hidden="1" x14ac:dyDescent="0.25"/>
    <row r="12863" hidden="1" x14ac:dyDescent="0.25"/>
    <row r="12864" hidden="1" x14ac:dyDescent="0.25"/>
    <row r="12865" hidden="1" x14ac:dyDescent="0.25"/>
    <row r="12866" hidden="1" x14ac:dyDescent="0.25"/>
    <row r="12867" hidden="1" x14ac:dyDescent="0.25"/>
    <row r="12868" hidden="1" x14ac:dyDescent="0.25"/>
    <row r="12869" hidden="1" x14ac:dyDescent="0.25"/>
    <row r="12870" hidden="1" x14ac:dyDescent="0.25"/>
    <row r="12871" hidden="1" x14ac:dyDescent="0.25"/>
    <row r="12872" hidden="1" x14ac:dyDescent="0.25"/>
    <row r="12873" hidden="1" x14ac:dyDescent="0.25"/>
    <row r="12874" hidden="1" x14ac:dyDescent="0.25"/>
    <row r="12875" hidden="1" x14ac:dyDescent="0.25"/>
    <row r="12876" hidden="1" x14ac:dyDescent="0.25"/>
    <row r="12877" hidden="1" x14ac:dyDescent="0.25"/>
    <row r="12878" hidden="1" x14ac:dyDescent="0.25"/>
    <row r="12879" hidden="1" x14ac:dyDescent="0.25"/>
    <row r="12880" hidden="1" x14ac:dyDescent="0.25"/>
    <row r="12881" hidden="1" x14ac:dyDescent="0.25"/>
    <row r="12882" hidden="1" x14ac:dyDescent="0.25"/>
    <row r="12883" hidden="1" x14ac:dyDescent="0.25"/>
    <row r="12884" hidden="1" x14ac:dyDescent="0.25"/>
    <row r="12885" hidden="1" x14ac:dyDescent="0.25"/>
    <row r="12886" hidden="1" x14ac:dyDescent="0.25"/>
    <row r="12887" hidden="1" x14ac:dyDescent="0.25"/>
    <row r="12888" hidden="1" x14ac:dyDescent="0.25"/>
    <row r="12889" hidden="1" x14ac:dyDescent="0.25"/>
    <row r="12890" hidden="1" x14ac:dyDescent="0.25"/>
    <row r="12891" hidden="1" x14ac:dyDescent="0.25"/>
    <row r="12892" hidden="1" x14ac:dyDescent="0.25"/>
    <row r="12893" hidden="1" x14ac:dyDescent="0.25"/>
    <row r="12894" hidden="1" x14ac:dyDescent="0.25"/>
    <row r="12895" hidden="1" x14ac:dyDescent="0.25"/>
    <row r="12896" hidden="1" x14ac:dyDescent="0.25"/>
    <row r="12897" hidden="1" x14ac:dyDescent="0.25"/>
    <row r="12898" hidden="1" x14ac:dyDescent="0.25"/>
    <row r="12899" hidden="1" x14ac:dyDescent="0.25"/>
    <row r="12900" hidden="1" x14ac:dyDescent="0.25"/>
    <row r="12901" hidden="1" x14ac:dyDescent="0.25"/>
    <row r="12902" hidden="1" x14ac:dyDescent="0.25"/>
    <row r="12903" hidden="1" x14ac:dyDescent="0.25"/>
    <row r="12904" hidden="1" x14ac:dyDescent="0.25"/>
    <row r="12905" hidden="1" x14ac:dyDescent="0.25"/>
    <row r="12906" hidden="1" x14ac:dyDescent="0.25"/>
    <row r="12907" hidden="1" x14ac:dyDescent="0.25"/>
    <row r="12908" hidden="1" x14ac:dyDescent="0.25"/>
    <row r="12909" hidden="1" x14ac:dyDescent="0.25"/>
    <row r="12910" hidden="1" x14ac:dyDescent="0.25"/>
    <row r="12911" hidden="1" x14ac:dyDescent="0.25"/>
    <row r="12912" hidden="1" x14ac:dyDescent="0.25"/>
    <row r="12913" hidden="1" x14ac:dyDescent="0.25"/>
    <row r="12914" hidden="1" x14ac:dyDescent="0.25"/>
    <row r="12915" hidden="1" x14ac:dyDescent="0.25"/>
    <row r="12916" hidden="1" x14ac:dyDescent="0.25"/>
    <row r="12917" hidden="1" x14ac:dyDescent="0.25"/>
    <row r="12918" hidden="1" x14ac:dyDescent="0.25"/>
    <row r="12919" hidden="1" x14ac:dyDescent="0.25"/>
    <row r="12920" hidden="1" x14ac:dyDescent="0.25"/>
    <row r="12921" hidden="1" x14ac:dyDescent="0.25"/>
    <row r="12922" hidden="1" x14ac:dyDescent="0.25"/>
    <row r="12923" hidden="1" x14ac:dyDescent="0.25"/>
    <row r="12924" hidden="1" x14ac:dyDescent="0.25"/>
    <row r="12925" hidden="1" x14ac:dyDescent="0.25"/>
    <row r="12926" hidden="1" x14ac:dyDescent="0.25"/>
    <row r="12927" hidden="1" x14ac:dyDescent="0.25"/>
    <row r="12928" hidden="1" x14ac:dyDescent="0.25"/>
    <row r="12929" hidden="1" x14ac:dyDescent="0.25"/>
    <row r="12930" hidden="1" x14ac:dyDescent="0.25"/>
    <row r="12931" hidden="1" x14ac:dyDescent="0.25"/>
    <row r="12932" hidden="1" x14ac:dyDescent="0.25"/>
    <row r="12933" hidden="1" x14ac:dyDescent="0.25"/>
    <row r="12934" hidden="1" x14ac:dyDescent="0.25"/>
    <row r="12935" hidden="1" x14ac:dyDescent="0.25"/>
    <row r="12936" hidden="1" x14ac:dyDescent="0.25"/>
    <row r="12937" hidden="1" x14ac:dyDescent="0.25"/>
    <row r="12938" hidden="1" x14ac:dyDescent="0.25"/>
    <row r="12939" hidden="1" x14ac:dyDescent="0.25"/>
    <row r="12940" hidden="1" x14ac:dyDescent="0.25"/>
    <row r="12941" hidden="1" x14ac:dyDescent="0.25"/>
    <row r="12942" hidden="1" x14ac:dyDescent="0.25"/>
    <row r="12943" hidden="1" x14ac:dyDescent="0.25"/>
    <row r="12944" hidden="1" x14ac:dyDescent="0.25"/>
    <row r="12945" hidden="1" x14ac:dyDescent="0.25"/>
    <row r="12946" hidden="1" x14ac:dyDescent="0.25"/>
    <row r="12947" hidden="1" x14ac:dyDescent="0.25"/>
    <row r="12948" hidden="1" x14ac:dyDescent="0.25"/>
    <row r="12949" hidden="1" x14ac:dyDescent="0.25"/>
    <row r="12950" hidden="1" x14ac:dyDescent="0.25"/>
    <row r="12951" hidden="1" x14ac:dyDescent="0.25"/>
    <row r="12952" hidden="1" x14ac:dyDescent="0.25"/>
    <row r="12953" hidden="1" x14ac:dyDescent="0.25"/>
    <row r="12954" hidden="1" x14ac:dyDescent="0.25"/>
    <row r="12955" hidden="1" x14ac:dyDescent="0.25"/>
    <row r="12956" hidden="1" x14ac:dyDescent="0.25"/>
    <row r="12957" hidden="1" x14ac:dyDescent="0.25"/>
    <row r="12958" hidden="1" x14ac:dyDescent="0.25"/>
    <row r="12959" hidden="1" x14ac:dyDescent="0.25"/>
    <row r="12960" hidden="1" x14ac:dyDescent="0.25"/>
    <row r="12961" hidden="1" x14ac:dyDescent="0.25"/>
    <row r="12962" hidden="1" x14ac:dyDescent="0.25"/>
    <row r="12963" hidden="1" x14ac:dyDescent="0.25"/>
    <row r="12964" hidden="1" x14ac:dyDescent="0.25"/>
    <row r="12965" hidden="1" x14ac:dyDescent="0.25"/>
    <row r="12966" hidden="1" x14ac:dyDescent="0.25"/>
    <row r="12967" hidden="1" x14ac:dyDescent="0.25"/>
    <row r="12968" hidden="1" x14ac:dyDescent="0.25"/>
    <row r="12969" hidden="1" x14ac:dyDescent="0.25"/>
    <row r="12970" hidden="1" x14ac:dyDescent="0.25"/>
    <row r="12971" hidden="1" x14ac:dyDescent="0.25"/>
    <row r="12972" hidden="1" x14ac:dyDescent="0.25"/>
    <row r="12973" hidden="1" x14ac:dyDescent="0.25"/>
    <row r="12974" hidden="1" x14ac:dyDescent="0.25"/>
    <row r="12975" hidden="1" x14ac:dyDescent="0.25"/>
    <row r="12976" hidden="1" x14ac:dyDescent="0.25"/>
    <row r="12977" hidden="1" x14ac:dyDescent="0.25"/>
    <row r="12978" hidden="1" x14ac:dyDescent="0.25"/>
    <row r="12979" hidden="1" x14ac:dyDescent="0.25"/>
    <row r="12980" hidden="1" x14ac:dyDescent="0.25"/>
    <row r="12981" hidden="1" x14ac:dyDescent="0.25"/>
    <row r="12982" hidden="1" x14ac:dyDescent="0.25"/>
    <row r="12983" hidden="1" x14ac:dyDescent="0.25"/>
    <row r="12984" hidden="1" x14ac:dyDescent="0.25"/>
    <row r="12985" hidden="1" x14ac:dyDescent="0.25"/>
    <row r="12986" hidden="1" x14ac:dyDescent="0.25"/>
    <row r="12987" hidden="1" x14ac:dyDescent="0.25"/>
    <row r="12988" hidden="1" x14ac:dyDescent="0.25"/>
    <row r="12989" hidden="1" x14ac:dyDescent="0.25"/>
    <row r="12990" hidden="1" x14ac:dyDescent="0.25"/>
    <row r="12991" hidden="1" x14ac:dyDescent="0.25"/>
    <row r="12992" hidden="1" x14ac:dyDescent="0.25"/>
    <row r="12993" hidden="1" x14ac:dyDescent="0.25"/>
    <row r="12994" hidden="1" x14ac:dyDescent="0.25"/>
    <row r="12995" hidden="1" x14ac:dyDescent="0.25"/>
    <row r="12996" hidden="1" x14ac:dyDescent="0.25"/>
    <row r="12997" hidden="1" x14ac:dyDescent="0.25"/>
    <row r="12998" hidden="1" x14ac:dyDescent="0.25"/>
    <row r="12999" hidden="1" x14ac:dyDescent="0.25"/>
    <row r="13000" hidden="1" x14ac:dyDescent="0.25"/>
    <row r="13001" hidden="1" x14ac:dyDescent="0.25"/>
    <row r="13002" hidden="1" x14ac:dyDescent="0.25"/>
    <row r="13003" hidden="1" x14ac:dyDescent="0.25"/>
    <row r="13004" hidden="1" x14ac:dyDescent="0.25"/>
    <row r="13005" hidden="1" x14ac:dyDescent="0.25"/>
    <row r="13006" hidden="1" x14ac:dyDescent="0.25"/>
    <row r="13007" hidden="1" x14ac:dyDescent="0.25"/>
    <row r="13008" hidden="1" x14ac:dyDescent="0.25"/>
    <row r="13009" hidden="1" x14ac:dyDescent="0.25"/>
    <row r="13010" hidden="1" x14ac:dyDescent="0.25"/>
    <row r="13011" hidden="1" x14ac:dyDescent="0.25"/>
    <row r="13012" hidden="1" x14ac:dyDescent="0.25"/>
    <row r="13013" hidden="1" x14ac:dyDescent="0.25"/>
    <row r="13014" hidden="1" x14ac:dyDescent="0.25"/>
    <row r="13015" hidden="1" x14ac:dyDescent="0.25"/>
    <row r="13016" hidden="1" x14ac:dyDescent="0.25"/>
    <row r="13017" hidden="1" x14ac:dyDescent="0.25"/>
    <row r="13018" hidden="1" x14ac:dyDescent="0.25"/>
    <row r="13019" hidden="1" x14ac:dyDescent="0.25"/>
    <row r="13020" hidden="1" x14ac:dyDescent="0.25"/>
    <row r="13021" hidden="1" x14ac:dyDescent="0.25"/>
    <row r="13022" hidden="1" x14ac:dyDescent="0.25"/>
    <row r="13023" hidden="1" x14ac:dyDescent="0.25"/>
    <row r="13024" hidden="1" x14ac:dyDescent="0.25"/>
    <row r="13025" hidden="1" x14ac:dyDescent="0.25"/>
    <row r="13026" hidden="1" x14ac:dyDescent="0.25"/>
    <row r="13027" hidden="1" x14ac:dyDescent="0.25"/>
    <row r="13028" hidden="1" x14ac:dyDescent="0.25"/>
    <row r="13029" hidden="1" x14ac:dyDescent="0.25"/>
    <row r="13030" hidden="1" x14ac:dyDescent="0.25"/>
    <row r="13031" hidden="1" x14ac:dyDescent="0.25"/>
    <row r="13032" hidden="1" x14ac:dyDescent="0.25"/>
    <row r="13033" hidden="1" x14ac:dyDescent="0.25"/>
    <row r="13034" hidden="1" x14ac:dyDescent="0.25"/>
    <row r="13035" hidden="1" x14ac:dyDescent="0.25"/>
    <row r="13036" hidden="1" x14ac:dyDescent="0.25"/>
    <row r="13037" hidden="1" x14ac:dyDescent="0.25"/>
    <row r="13038" hidden="1" x14ac:dyDescent="0.25"/>
    <row r="13039" hidden="1" x14ac:dyDescent="0.25"/>
    <row r="13040" hidden="1" x14ac:dyDescent="0.25"/>
    <row r="13041" hidden="1" x14ac:dyDescent="0.25"/>
    <row r="13042" hidden="1" x14ac:dyDescent="0.25"/>
    <row r="13043" hidden="1" x14ac:dyDescent="0.25"/>
    <row r="13044" hidden="1" x14ac:dyDescent="0.25"/>
    <row r="13045" hidden="1" x14ac:dyDescent="0.25"/>
    <row r="13046" hidden="1" x14ac:dyDescent="0.25"/>
    <row r="13047" hidden="1" x14ac:dyDescent="0.25"/>
    <row r="13048" hidden="1" x14ac:dyDescent="0.25"/>
    <row r="13049" hidden="1" x14ac:dyDescent="0.25"/>
    <row r="13050" hidden="1" x14ac:dyDescent="0.25"/>
    <row r="13051" hidden="1" x14ac:dyDescent="0.25"/>
    <row r="13052" hidden="1" x14ac:dyDescent="0.25"/>
    <row r="13053" hidden="1" x14ac:dyDescent="0.25"/>
    <row r="13054" hidden="1" x14ac:dyDescent="0.25"/>
    <row r="13055" hidden="1" x14ac:dyDescent="0.25"/>
    <row r="13056" hidden="1" x14ac:dyDescent="0.25"/>
    <row r="13057" hidden="1" x14ac:dyDescent="0.25"/>
    <row r="13058" hidden="1" x14ac:dyDescent="0.25"/>
    <row r="13059" hidden="1" x14ac:dyDescent="0.25"/>
    <row r="13060" hidden="1" x14ac:dyDescent="0.25"/>
    <row r="13061" hidden="1" x14ac:dyDescent="0.25"/>
    <row r="13062" hidden="1" x14ac:dyDescent="0.25"/>
    <row r="13063" hidden="1" x14ac:dyDescent="0.25"/>
    <row r="13064" hidden="1" x14ac:dyDescent="0.25"/>
    <row r="13065" hidden="1" x14ac:dyDescent="0.25"/>
    <row r="13066" hidden="1" x14ac:dyDescent="0.25"/>
    <row r="13067" hidden="1" x14ac:dyDescent="0.25"/>
    <row r="13068" hidden="1" x14ac:dyDescent="0.25"/>
    <row r="13069" hidden="1" x14ac:dyDescent="0.25"/>
    <row r="13070" hidden="1" x14ac:dyDescent="0.25"/>
    <row r="13071" hidden="1" x14ac:dyDescent="0.25"/>
    <row r="13072" hidden="1" x14ac:dyDescent="0.25"/>
    <row r="13073" hidden="1" x14ac:dyDescent="0.25"/>
    <row r="13074" hidden="1" x14ac:dyDescent="0.25"/>
    <row r="13075" hidden="1" x14ac:dyDescent="0.25"/>
    <row r="13076" hidden="1" x14ac:dyDescent="0.25"/>
    <row r="13077" hidden="1" x14ac:dyDescent="0.25"/>
    <row r="13078" hidden="1" x14ac:dyDescent="0.25"/>
    <row r="13079" hidden="1" x14ac:dyDescent="0.25"/>
    <row r="13080" hidden="1" x14ac:dyDescent="0.25"/>
    <row r="13081" hidden="1" x14ac:dyDescent="0.25"/>
    <row r="13082" hidden="1" x14ac:dyDescent="0.25"/>
    <row r="13083" hidden="1" x14ac:dyDescent="0.25"/>
    <row r="13084" hidden="1" x14ac:dyDescent="0.25"/>
    <row r="13085" hidden="1" x14ac:dyDescent="0.25"/>
    <row r="13086" hidden="1" x14ac:dyDescent="0.25"/>
    <row r="13087" hidden="1" x14ac:dyDescent="0.25"/>
    <row r="13088" hidden="1" x14ac:dyDescent="0.25"/>
    <row r="13089" hidden="1" x14ac:dyDescent="0.25"/>
    <row r="13090" hidden="1" x14ac:dyDescent="0.25"/>
    <row r="13091" hidden="1" x14ac:dyDescent="0.25"/>
    <row r="13092" hidden="1" x14ac:dyDescent="0.25"/>
    <row r="13093" hidden="1" x14ac:dyDescent="0.25"/>
    <row r="13094" hidden="1" x14ac:dyDescent="0.25"/>
    <row r="13095" hidden="1" x14ac:dyDescent="0.25"/>
    <row r="13096" hidden="1" x14ac:dyDescent="0.25"/>
    <row r="13097" hidden="1" x14ac:dyDescent="0.25"/>
    <row r="13098" hidden="1" x14ac:dyDescent="0.25"/>
    <row r="13099" hidden="1" x14ac:dyDescent="0.25"/>
    <row r="13100" hidden="1" x14ac:dyDescent="0.25"/>
    <row r="13101" hidden="1" x14ac:dyDescent="0.25"/>
    <row r="13102" hidden="1" x14ac:dyDescent="0.25"/>
    <row r="13103" hidden="1" x14ac:dyDescent="0.25"/>
    <row r="13104" hidden="1" x14ac:dyDescent="0.25"/>
    <row r="13105" hidden="1" x14ac:dyDescent="0.25"/>
    <row r="13106" hidden="1" x14ac:dyDescent="0.25"/>
    <row r="13107" hidden="1" x14ac:dyDescent="0.25"/>
    <row r="13108" hidden="1" x14ac:dyDescent="0.25"/>
    <row r="13109" hidden="1" x14ac:dyDescent="0.25"/>
    <row r="13110" hidden="1" x14ac:dyDescent="0.25"/>
    <row r="13111" hidden="1" x14ac:dyDescent="0.25"/>
    <row r="13112" hidden="1" x14ac:dyDescent="0.25"/>
    <row r="13113" hidden="1" x14ac:dyDescent="0.25"/>
    <row r="13114" hidden="1" x14ac:dyDescent="0.25"/>
    <row r="13115" hidden="1" x14ac:dyDescent="0.25"/>
    <row r="13116" hidden="1" x14ac:dyDescent="0.25"/>
    <row r="13117" hidden="1" x14ac:dyDescent="0.25"/>
    <row r="13118" hidden="1" x14ac:dyDescent="0.25"/>
    <row r="13119" hidden="1" x14ac:dyDescent="0.25"/>
    <row r="13120" hidden="1" x14ac:dyDescent="0.25"/>
    <row r="13121" hidden="1" x14ac:dyDescent="0.25"/>
    <row r="13122" hidden="1" x14ac:dyDescent="0.25"/>
    <row r="13123" hidden="1" x14ac:dyDescent="0.25"/>
    <row r="13124" hidden="1" x14ac:dyDescent="0.25"/>
    <row r="13125" hidden="1" x14ac:dyDescent="0.25"/>
    <row r="13126" hidden="1" x14ac:dyDescent="0.25"/>
    <row r="13127" hidden="1" x14ac:dyDescent="0.25"/>
    <row r="13128" hidden="1" x14ac:dyDescent="0.25"/>
    <row r="13129" hidden="1" x14ac:dyDescent="0.25"/>
    <row r="13130" hidden="1" x14ac:dyDescent="0.25"/>
    <row r="13131" hidden="1" x14ac:dyDescent="0.25"/>
    <row r="13132" hidden="1" x14ac:dyDescent="0.25"/>
    <row r="13133" hidden="1" x14ac:dyDescent="0.25"/>
    <row r="13134" hidden="1" x14ac:dyDescent="0.25"/>
    <row r="13135" hidden="1" x14ac:dyDescent="0.25"/>
    <row r="13136" hidden="1" x14ac:dyDescent="0.25"/>
    <row r="13137" hidden="1" x14ac:dyDescent="0.25"/>
    <row r="13138" hidden="1" x14ac:dyDescent="0.25"/>
    <row r="13139" hidden="1" x14ac:dyDescent="0.25"/>
    <row r="13140" hidden="1" x14ac:dyDescent="0.25"/>
    <row r="13141" hidden="1" x14ac:dyDescent="0.25"/>
    <row r="13142" hidden="1" x14ac:dyDescent="0.25"/>
    <row r="13143" hidden="1" x14ac:dyDescent="0.25"/>
    <row r="13144" hidden="1" x14ac:dyDescent="0.25"/>
    <row r="13145" hidden="1" x14ac:dyDescent="0.25"/>
    <row r="13146" hidden="1" x14ac:dyDescent="0.25"/>
    <row r="13147" hidden="1" x14ac:dyDescent="0.25"/>
    <row r="13148" hidden="1" x14ac:dyDescent="0.25"/>
    <row r="13149" hidden="1" x14ac:dyDescent="0.25"/>
    <row r="13150" hidden="1" x14ac:dyDescent="0.25"/>
    <row r="13151" hidden="1" x14ac:dyDescent="0.25"/>
    <row r="13152" hidden="1" x14ac:dyDescent="0.25"/>
    <row r="13153" hidden="1" x14ac:dyDescent="0.25"/>
    <row r="13154" hidden="1" x14ac:dyDescent="0.25"/>
    <row r="13155" hidden="1" x14ac:dyDescent="0.25"/>
    <row r="13156" hidden="1" x14ac:dyDescent="0.25"/>
    <row r="13157" hidden="1" x14ac:dyDescent="0.25"/>
    <row r="13158" hidden="1" x14ac:dyDescent="0.25"/>
    <row r="13159" hidden="1" x14ac:dyDescent="0.25"/>
    <row r="13160" hidden="1" x14ac:dyDescent="0.25"/>
    <row r="13161" hidden="1" x14ac:dyDescent="0.25"/>
    <row r="13162" hidden="1" x14ac:dyDescent="0.25"/>
    <row r="13163" hidden="1" x14ac:dyDescent="0.25"/>
    <row r="13164" hidden="1" x14ac:dyDescent="0.25"/>
    <row r="13165" hidden="1" x14ac:dyDescent="0.25"/>
    <row r="13166" hidden="1" x14ac:dyDescent="0.25"/>
    <row r="13167" hidden="1" x14ac:dyDescent="0.25"/>
    <row r="13168" hidden="1" x14ac:dyDescent="0.25"/>
    <row r="13169" hidden="1" x14ac:dyDescent="0.25"/>
    <row r="13170" hidden="1" x14ac:dyDescent="0.25"/>
    <row r="13171" hidden="1" x14ac:dyDescent="0.25"/>
    <row r="13172" hidden="1" x14ac:dyDescent="0.25"/>
    <row r="13173" hidden="1" x14ac:dyDescent="0.25"/>
    <row r="13174" hidden="1" x14ac:dyDescent="0.25"/>
    <row r="13175" hidden="1" x14ac:dyDescent="0.25"/>
    <row r="13176" hidden="1" x14ac:dyDescent="0.25"/>
    <row r="13177" hidden="1" x14ac:dyDescent="0.25"/>
    <row r="13178" hidden="1" x14ac:dyDescent="0.25"/>
    <row r="13179" hidden="1" x14ac:dyDescent="0.25"/>
    <row r="13180" hidden="1" x14ac:dyDescent="0.25"/>
    <row r="13181" hidden="1" x14ac:dyDescent="0.25"/>
    <row r="13182" hidden="1" x14ac:dyDescent="0.25"/>
    <row r="13183" hidden="1" x14ac:dyDescent="0.25"/>
    <row r="13184" hidden="1" x14ac:dyDescent="0.25"/>
    <row r="13185" hidden="1" x14ac:dyDescent="0.25"/>
    <row r="13186" hidden="1" x14ac:dyDescent="0.25"/>
    <row r="13187" hidden="1" x14ac:dyDescent="0.25"/>
    <row r="13188" hidden="1" x14ac:dyDescent="0.25"/>
    <row r="13189" hidden="1" x14ac:dyDescent="0.25"/>
    <row r="13190" hidden="1" x14ac:dyDescent="0.25"/>
    <row r="13191" hidden="1" x14ac:dyDescent="0.25"/>
    <row r="13192" hidden="1" x14ac:dyDescent="0.25"/>
    <row r="13193" hidden="1" x14ac:dyDescent="0.25"/>
    <row r="13194" hidden="1" x14ac:dyDescent="0.25"/>
    <row r="13195" hidden="1" x14ac:dyDescent="0.25"/>
    <row r="13196" hidden="1" x14ac:dyDescent="0.25"/>
    <row r="13197" hidden="1" x14ac:dyDescent="0.25"/>
    <row r="13198" hidden="1" x14ac:dyDescent="0.25"/>
    <row r="13199" hidden="1" x14ac:dyDescent="0.25"/>
    <row r="13200" hidden="1" x14ac:dyDescent="0.25"/>
    <row r="13201" hidden="1" x14ac:dyDescent="0.25"/>
    <row r="13202" hidden="1" x14ac:dyDescent="0.25"/>
    <row r="13203" hidden="1" x14ac:dyDescent="0.25"/>
    <row r="13204" hidden="1" x14ac:dyDescent="0.25"/>
    <row r="13205" hidden="1" x14ac:dyDescent="0.25"/>
    <row r="13206" hidden="1" x14ac:dyDescent="0.25"/>
    <row r="13207" hidden="1" x14ac:dyDescent="0.25"/>
    <row r="13208" hidden="1" x14ac:dyDescent="0.25"/>
    <row r="13209" hidden="1" x14ac:dyDescent="0.25"/>
    <row r="13210" hidden="1" x14ac:dyDescent="0.25"/>
    <row r="13211" hidden="1" x14ac:dyDescent="0.25"/>
    <row r="13212" hidden="1" x14ac:dyDescent="0.25"/>
    <row r="13213" hidden="1" x14ac:dyDescent="0.25"/>
    <row r="13214" hidden="1" x14ac:dyDescent="0.25"/>
    <row r="13215" hidden="1" x14ac:dyDescent="0.25"/>
    <row r="13216" hidden="1" x14ac:dyDescent="0.25"/>
    <row r="13217" hidden="1" x14ac:dyDescent="0.25"/>
    <row r="13218" hidden="1" x14ac:dyDescent="0.25"/>
    <row r="13219" hidden="1" x14ac:dyDescent="0.25"/>
    <row r="13220" hidden="1" x14ac:dyDescent="0.25"/>
    <row r="13221" hidden="1" x14ac:dyDescent="0.25"/>
    <row r="13222" hidden="1" x14ac:dyDescent="0.25"/>
    <row r="13223" hidden="1" x14ac:dyDescent="0.25"/>
    <row r="13224" hidden="1" x14ac:dyDescent="0.25"/>
    <row r="13225" hidden="1" x14ac:dyDescent="0.25"/>
    <row r="13226" hidden="1" x14ac:dyDescent="0.25"/>
    <row r="13227" hidden="1" x14ac:dyDescent="0.25"/>
    <row r="13228" hidden="1" x14ac:dyDescent="0.25"/>
    <row r="13229" hidden="1" x14ac:dyDescent="0.25"/>
    <row r="13230" hidden="1" x14ac:dyDescent="0.25"/>
    <row r="13231" hidden="1" x14ac:dyDescent="0.25"/>
    <row r="13232" hidden="1" x14ac:dyDescent="0.25"/>
    <row r="13233" hidden="1" x14ac:dyDescent="0.25"/>
    <row r="13234" hidden="1" x14ac:dyDescent="0.25"/>
    <row r="13235" hidden="1" x14ac:dyDescent="0.25"/>
    <row r="13236" hidden="1" x14ac:dyDescent="0.25"/>
    <row r="13237" hidden="1" x14ac:dyDescent="0.25"/>
    <row r="13238" hidden="1" x14ac:dyDescent="0.25"/>
    <row r="13239" hidden="1" x14ac:dyDescent="0.25"/>
    <row r="13240" hidden="1" x14ac:dyDescent="0.25"/>
    <row r="13241" hidden="1" x14ac:dyDescent="0.25"/>
    <row r="13242" hidden="1" x14ac:dyDescent="0.25"/>
    <row r="13243" hidden="1" x14ac:dyDescent="0.25"/>
    <row r="13244" hidden="1" x14ac:dyDescent="0.25"/>
    <row r="13245" hidden="1" x14ac:dyDescent="0.25"/>
    <row r="13246" hidden="1" x14ac:dyDescent="0.25"/>
    <row r="13247" hidden="1" x14ac:dyDescent="0.25"/>
    <row r="13248" hidden="1" x14ac:dyDescent="0.25"/>
    <row r="13249" hidden="1" x14ac:dyDescent="0.25"/>
    <row r="13250" hidden="1" x14ac:dyDescent="0.25"/>
    <row r="13251" hidden="1" x14ac:dyDescent="0.25"/>
    <row r="13252" hidden="1" x14ac:dyDescent="0.25"/>
    <row r="13253" hidden="1" x14ac:dyDescent="0.25"/>
    <row r="13254" hidden="1" x14ac:dyDescent="0.25"/>
    <row r="13255" hidden="1" x14ac:dyDescent="0.25"/>
    <row r="13256" hidden="1" x14ac:dyDescent="0.25"/>
    <row r="13257" hidden="1" x14ac:dyDescent="0.25"/>
    <row r="13258" hidden="1" x14ac:dyDescent="0.25"/>
    <row r="13259" hidden="1" x14ac:dyDescent="0.25"/>
    <row r="13260" hidden="1" x14ac:dyDescent="0.25"/>
    <row r="13261" hidden="1" x14ac:dyDescent="0.25"/>
    <row r="13262" hidden="1" x14ac:dyDescent="0.25"/>
    <row r="13263" hidden="1" x14ac:dyDescent="0.25"/>
    <row r="13264" hidden="1" x14ac:dyDescent="0.25"/>
    <row r="13265" hidden="1" x14ac:dyDescent="0.25"/>
    <row r="13266" hidden="1" x14ac:dyDescent="0.25"/>
    <row r="13267" hidden="1" x14ac:dyDescent="0.25"/>
    <row r="13268" hidden="1" x14ac:dyDescent="0.25"/>
    <row r="13269" hidden="1" x14ac:dyDescent="0.25"/>
    <row r="13270" hidden="1" x14ac:dyDescent="0.25"/>
    <row r="13271" hidden="1" x14ac:dyDescent="0.25"/>
    <row r="13272" hidden="1" x14ac:dyDescent="0.25"/>
    <row r="13273" hidden="1" x14ac:dyDescent="0.25"/>
    <row r="13274" hidden="1" x14ac:dyDescent="0.25"/>
    <row r="13275" hidden="1" x14ac:dyDescent="0.25"/>
    <row r="13276" hidden="1" x14ac:dyDescent="0.25"/>
    <row r="13277" hidden="1" x14ac:dyDescent="0.25"/>
    <row r="13278" hidden="1" x14ac:dyDescent="0.25"/>
    <row r="13279" hidden="1" x14ac:dyDescent="0.25"/>
    <row r="13280" hidden="1" x14ac:dyDescent="0.25"/>
    <row r="13281" hidden="1" x14ac:dyDescent="0.25"/>
    <row r="13282" hidden="1" x14ac:dyDescent="0.25"/>
    <row r="13283" hidden="1" x14ac:dyDescent="0.25"/>
    <row r="13284" hidden="1" x14ac:dyDescent="0.25"/>
    <row r="13285" hidden="1" x14ac:dyDescent="0.25"/>
    <row r="13286" hidden="1" x14ac:dyDescent="0.25"/>
    <row r="13287" hidden="1" x14ac:dyDescent="0.25"/>
    <row r="13288" hidden="1" x14ac:dyDescent="0.25"/>
    <row r="13289" hidden="1" x14ac:dyDescent="0.25"/>
    <row r="13290" hidden="1" x14ac:dyDescent="0.25"/>
    <row r="13291" hidden="1" x14ac:dyDescent="0.25"/>
    <row r="13292" hidden="1" x14ac:dyDescent="0.25"/>
    <row r="13293" hidden="1" x14ac:dyDescent="0.25"/>
    <row r="13294" hidden="1" x14ac:dyDescent="0.25"/>
    <row r="13295" hidden="1" x14ac:dyDescent="0.25"/>
    <row r="13296" hidden="1" x14ac:dyDescent="0.25"/>
    <row r="13297" hidden="1" x14ac:dyDescent="0.25"/>
    <row r="13298" hidden="1" x14ac:dyDescent="0.25"/>
    <row r="13299" hidden="1" x14ac:dyDescent="0.25"/>
    <row r="13300" hidden="1" x14ac:dyDescent="0.25"/>
    <row r="13301" hidden="1" x14ac:dyDescent="0.25"/>
    <row r="13302" hidden="1" x14ac:dyDescent="0.25"/>
    <row r="13303" hidden="1" x14ac:dyDescent="0.25"/>
    <row r="13304" hidden="1" x14ac:dyDescent="0.25"/>
    <row r="13305" hidden="1" x14ac:dyDescent="0.25"/>
    <row r="13306" hidden="1" x14ac:dyDescent="0.25"/>
    <row r="13307" hidden="1" x14ac:dyDescent="0.25"/>
    <row r="13308" hidden="1" x14ac:dyDescent="0.25"/>
    <row r="13309" hidden="1" x14ac:dyDescent="0.25"/>
    <row r="13310" hidden="1" x14ac:dyDescent="0.25"/>
    <row r="13311" hidden="1" x14ac:dyDescent="0.25"/>
    <row r="13312" hidden="1" x14ac:dyDescent="0.25"/>
    <row r="13313" hidden="1" x14ac:dyDescent="0.25"/>
    <row r="13314" hidden="1" x14ac:dyDescent="0.25"/>
    <row r="13315" hidden="1" x14ac:dyDescent="0.25"/>
    <row r="13316" hidden="1" x14ac:dyDescent="0.25"/>
    <row r="13317" hidden="1" x14ac:dyDescent="0.25"/>
    <row r="13318" hidden="1" x14ac:dyDescent="0.25"/>
    <row r="13319" hidden="1" x14ac:dyDescent="0.25"/>
    <row r="13320" hidden="1" x14ac:dyDescent="0.25"/>
    <row r="13321" hidden="1" x14ac:dyDescent="0.25"/>
    <row r="13322" hidden="1" x14ac:dyDescent="0.25"/>
    <row r="13323" hidden="1" x14ac:dyDescent="0.25"/>
    <row r="13324" hidden="1" x14ac:dyDescent="0.25"/>
    <row r="13325" hidden="1" x14ac:dyDescent="0.25"/>
    <row r="13326" hidden="1" x14ac:dyDescent="0.25"/>
    <row r="13327" hidden="1" x14ac:dyDescent="0.25"/>
    <row r="13328" hidden="1" x14ac:dyDescent="0.25"/>
    <row r="13329" hidden="1" x14ac:dyDescent="0.25"/>
    <row r="13330" hidden="1" x14ac:dyDescent="0.25"/>
    <row r="13331" hidden="1" x14ac:dyDescent="0.25"/>
    <row r="13332" hidden="1" x14ac:dyDescent="0.25"/>
    <row r="13333" hidden="1" x14ac:dyDescent="0.25"/>
    <row r="13334" hidden="1" x14ac:dyDescent="0.25"/>
    <row r="13335" hidden="1" x14ac:dyDescent="0.25"/>
    <row r="13336" hidden="1" x14ac:dyDescent="0.25"/>
    <row r="13337" hidden="1" x14ac:dyDescent="0.25"/>
    <row r="13338" hidden="1" x14ac:dyDescent="0.25"/>
    <row r="13339" hidden="1" x14ac:dyDescent="0.25"/>
    <row r="13340" hidden="1" x14ac:dyDescent="0.25"/>
    <row r="13341" hidden="1" x14ac:dyDescent="0.25"/>
    <row r="13342" hidden="1" x14ac:dyDescent="0.25"/>
    <row r="13343" hidden="1" x14ac:dyDescent="0.25"/>
    <row r="13344" hidden="1" x14ac:dyDescent="0.25"/>
    <row r="13345" hidden="1" x14ac:dyDescent="0.25"/>
    <row r="13346" hidden="1" x14ac:dyDescent="0.25"/>
    <row r="13347" hidden="1" x14ac:dyDescent="0.25"/>
    <row r="13348" hidden="1" x14ac:dyDescent="0.25"/>
    <row r="13349" hidden="1" x14ac:dyDescent="0.25"/>
    <row r="13350" hidden="1" x14ac:dyDescent="0.25"/>
    <row r="13351" hidden="1" x14ac:dyDescent="0.25"/>
    <row r="13352" hidden="1" x14ac:dyDescent="0.25"/>
    <row r="13353" hidden="1" x14ac:dyDescent="0.25"/>
    <row r="13354" hidden="1" x14ac:dyDescent="0.25"/>
    <row r="13355" hidden="1" x14ac:dyDescent="0.25"/>
    <row r="13356" hidden="1" x14ac:dyDescent="0.25"/>
    <row r="13357" hidden="1" x14ac:dyDescent="0.25"/>
    <row r="13358" hidden="1" x14ac:dyDescent="0.25"/>
    <row r="13359" hidden="1" x14ac:dyDescent="0.25"/>
    <row r="13360" hidden="1" x14ac:dyDescent="0.25"/>
    <row r="13361" hidden="1" x14ac:dyDescent="0.25"/>
    <row r="13362" hidden="1" x14ac:dyDescent="0.25"/>
    <row r="13363" hidden="1" x14ac:dyDescent="0.25"/>
    <row r="13364" hidden="1" x14ac:dyDescent="0.25"/>
    <row r="13365" hidden="1" x14ac:dyDescent="0.25"/>
    <row r="13366" hidden="1" x14ac:dyDescent="0.25"/>
    <row r="13367" hidden="1" x14ac:dyDescent="0.25"/>
    <row r="13368" hidden="1" x14ac:dyDescent="0.25"/>
    <row r="13369" hidden="1" x14ac:dyDescent="0.25"/>
    <row r="13370" hidden="1" x14ac:dyDescent="0.25"/>
    <row r="13371" hidden="1" x14ac:dyDescent="0.25"/>
    <row r="13372" hidden="1" x14ac:dyDescent="0.25"/>
    <row r="13373" hidden="1" x14ac:dyDescent="0.25"/>
    <row r="13374" hidden="1" x14ac:dyDescent="0.25"/>
    <row r="13375" hidden="1" x14ac:dyDescent="0.25"/>
    <row r="13376" hidden="1" x14ac:dyDescent="0.25"/>
    <row r="13377" hidden="1" x14ac:dyDescent="0.25"/>
    <row r="13378" hidden="1" x14ac:dyDescent="0.25"/>
    <row r="13379" hidden="1" x14ac:dyDescent="0.25"/>
    <row r="13380" hidden="1" x14ac:dyDescent="0.25"/>
    <row r="13381" hidden="1" x14ac:dyDescent="0.25"/>
    <row r="13382" hidden="1" x14ac:dyDescent="0.25"/>
    <row r="13383" hidden="1" x14ac:dyDescent="0.25"/>
    <row r="13384" hidden="1" x14ac:dyDescent="0.25"/>
    <row r="13385" hidden="1" x14ac:dyDescent="0.25"/>
    <row r="13386" hidden="1" x14ac:dyDescent="0.25"/>
    <row r="13387" hidden="1" x14ac:dyDescent="0.25"/>
    <row r="13388" hidden="1" x14ac:dyDescent="0.25"/>
    <row r="13389" hidden="1" x14ac:dyDescent="0.25"/>
    <row r="13390" hidden="1" x14ac:dyDescent="0.25"/>
    <row r="13391" hidden="1" x14ac:dyDescent="0.25"/>
    <row r="13392" hidden="1" x14ac:dyDescent="0.25"/>
    <row r="13393" hidden="1" x14ac:dyDescent="0.25"/>
    <row r="13394" hidden="1" x14ac:dyDescent="0.25"/>
    <row r="13395" hidden="1" x14ac:dyDescent="0.25"/>
    <row r="13396" hidden="1" x14ac:dyDescent="0.25"/>
    <row r="13397" hidden="1" x14ac:dyDescent="0.25"/>
    <row r="13398" hidden="1" x14ac:dyDescent="0.25"/>
    <row r="13399" hidden="1" x14ac:dyDescent="0.25"/>
    <row r="13400" hidden="1" x14ac:dyDescent="0.25"/>
    <row r="13401" hidden="1" x14ac:dyDescent="0.25"/>
    <row r="13402" hidden="1" x14ac:dyDescent="0.25"/>
    <row r="13403" hidden="1" x14ac:dyDescent="0.25"/>
    <row r="13404" hidden="1" x14ac:dyDescent="0.25"/>
    <row r="13405" hidden="1" x14ac:dyDescent="0.25"/>
    <row r="13406" hidden="1" x14ac:dyDescent="0.25"/>
    <row r="13407" hidden="1" x14ac:dyDescent="0.25"/>
    <row r="13408" hidden="1" x14ac:dyDescent="0.25"/>
    <row r="13409" hidden="1" x14ac:dyDescent="0.25"/>
    <row r="13410" hidden="1" x14ac:dyDescent="0.25"/>
    <row r="13411" hidden="1" x14ac:dyDescent="0.25"/>
    <row r="13412" hidden="1" x14ac:dyDescent="0.25"/>
    <row r="13413" hidden="1" x14ac:dyDescent="0.25"/>
    <row r="13414" hidden="1" x14ac:dyDescent="0.25"/>
    <row r="13415" hidden="1" x14ac:dyDescent="0.25"/>
    <row r="13416" hidden="1" x14ac:dyDescent="0.25"/>
    <row r="13417" hidden="1" x14ac:dyDescent="0.25"/>
    <row r="13418" hidden="1" x14ac:dyDescent="0.25"/>
    <row r="13419" hidden="1" x14ac:dyDescent="0.25"/>
    <row r="13420" hidden="1" x14ac:dyDescent="0.25"/>
    <row r="13421" hidden="1" x14ac:dyDescent="0.25"/>
    <row r="13422" hidden="1" x14ac:dyDescent="0.25"/>
    <row r="13423" hidden="1" x14ac:dyDescent="0.25"/>
    <row r="13424" hidden="1" x14ac:dyDescent="0.25"/>
    <row r="13425" hidden="1" x14ac:dyDescent="0.25"/>
    <row r="13426" hidden="1" x14ac:dyDescent="0.25"/>
    <row r="13427" hidden="1" x14ac:dyDescent="0.25"/>
    <row r="13428" hidden="1" x14ac:dyDescent="0.25"/>
    <row r="13429" hidden="1" x14ac:dyDescent="0.25"/>
    <row r="13430" hidden="1" x14ac:dyDescent="0.25"/>
    <row r="13431" hidden="1" x14ac:dyDescent="0.25"/>
    <row r="13432" hidden="1" x14ac:dyDescent="0.25"/>
    <row r="13433" hidden="1" x14ac:dyDescent="0.25"/>
    <row r="13434" hidden="1" x14ac:dyDescent="0.25"/>
    <row r="13435" hidden="1" x14ac:dyDescent="0.25"/>
    <row r="13436" hidden="1" x14ac:dyDescent="0.25"/>
    <row r="13437" hidden="1" x14ac:dyDescent="0.25"/>
    <row r="13438" hidden="1" x14ac:dyDescent="0.25"/>
    <row r="13439" hidden="1" x14ac:dyDescent="0.25"/>
    <row r="13440" hidden="1" x14ac:dyDescent="0.25"/>
    <row r="13441" hidden="1" x14ac:dyDescent="0.25"/>
    <row r="13442" hidden="1" x14ac:dyDescent="0.25"/>
    <row r="13443" hidden="1" x14ac:dyDescent="0.25"/>
    <row r="13444" hidden="1" x14ac:dyDescent="0.25"/>
    <row r="13445" hidden="1" x14ac:dyDescent="0.25"/>
    <row r="13446" hidden="1" x14ac:dyDescent="0.25"/>
    <row r="13447" hidden="1" x14ac:dyDescent="0.25"/>
    <row r="13448" hidden="1" x14ac:dyDescent="0.25"/>
    <row r="13449" hidden="1" x14ac:dyDescent="0.25"/>
    <row r="13450" hidden="1" x14ac:dyDescent="0.25"/>
    <row r="13451" hidden="1" x14ac:dyDescent="0.25"/>
    <row r="13452" hidden="1" x14ac:dyDescent="0.25"/>
    <row r="13453" hidden="1" x14ac:dyDescent="0.25"/>
    <row r="13454" hidden="1" x14ac:dyDescent="0.25"/>
    <row r="13455" hidden="1" x14ac:dyDescent="0.25"/>
    <row r="13456" hidden="1" x14ac:dyDescent="0.25"/>
    <row r="13457" hidden="1" x14ac:dyDescent="0.25"/>
    <row r="13458" hidden="1" x14ac:dyDescent="0.25"/>
    <row r="13459" hidden="1" x14ac:dyDescent="0.25"/>
    <row r="13460" hidden="1" x14ac:dyDescent="0.25"/>
    <row r="13461" hidden="1" x14ac:dyDescent="0.25"/>
    <row r="13462" hidden="1" x14ac:dyDescent="0.25"/>
    <row r="13463" hidden="1" x14ac:dyDescent="0.25"/>
    <row r="13464" hidden="1" x14ac:dyDescent="0.25"/>
    <row r="13465" hidden="1" x14ac:dyDescent="0.25"/>
    <row r="13466" hidden="1" x14ac:dyDescent="0.25"/>
    <row r="13467" hidden="1" x14ac:dyDescent="0.25"/>
    <row r="13468" hidden="1" x14ac:dyDescent="0.25"/>
    <row r="13469" hidden="1" x14ac:dyDescent="0.25"/>
    <row r="13470" hidden="1" x14ac:dyDescent="0.25"/>
    <row r="13471" hidden="1" x14ac:dyDescent="0.25"/>
    <row r="13472" hidden="1" x14ac:dyDescent="0.25"/>
    <row r="13473" hidden="1" x14ac:dyDescent="0.25"/>
    <row r="13474" hidden="1" x14ac:dyDescent="0.25"/>
    <row r="13475" hidden="1" x14ac:dyDescent="0.25"/>
    <row r="13476" hidden="1" x14ac:dyDescent="0.25"/>
    <row r="13477" hidden="1" x14ac:dyDescent="0.25"/>
    <row r="13478" hidden="1" x14ac:dyDescent="0.25"/>
    <row r="13479" hidden="1" x14ac:dyDescent="0.25"/>
    <row r="13480" hidden="1" x14ac:dyDescent="0.25"/>
    <row r="13481" hidden="1" x14ac:dyDescent="0.25"/>
    <row r="13482" hidden="1" x14ac:dyDescent="0.25"/>
    <row r="13483" hidden="1" x14ac:dyDescent="0.25"/>
    <row r="13484" hidden="1" x14ac:dyDescent="0.25"/>
    <row r="13485" hidden="1" x14ac:dyDescent="0.25"/>
    <row r="13486" hidden="1" x14ac:dyDescent="0.25"/>
    <row r="13487" hidden="1" x14ac:dyDescent="0.25"/>
    <row r="13488" hidden="1" x14ac:dyDescent="0.25"/>
    <row r="13489" hidden="1" x14ac:dyDescent="0.25"/>
    <row r="13490" hidden="1" x14ac:dyDescent="0.25"/>
    <row r="13491" hidden="1" x14ac:dyDescent="0.25"/>
    <row r="13492" hidden="1" x14ac:dyDescent="0.25"/>
    <row r="13493" hidden="1" x14ac:dyDescent="0.25"/>
    <row r="13494" hidden="1" x14ac:dyDescent="0.25"/>
    <row r="13495" hidden="1" x14ac:dyDescent="0.25"/>
    <row r="13496" hidden="1" x14ac:dyDescent="0.25"/>
    <row r="13497" hidden="1" x14ac:dyDescent="0.25"/>
    <row r="13498" hidden="1" x14ac:dyDescent="0.25"/>
    <row r="13499" hidden="1" x14ac:dyDescent="0.25"/>
    <row r="13500" hidden="1" x14ac:dyDescent="0.25"/>
    <row r="13501" hidden="1" x14ac:dyDescent="0.25"/>
    <row r="13502" hidden="1" x14ac:dyDescent="0.25"/>
    <row r="13503" hidden="1" x14ac:dyDescent="0.25"/>
    <row r="13504" hidden="1" x14ac:dyDescent="0.25"/>
    <row r="13505" hidden="1" x14ac:dyDescent="0.25"/>
    <row r="13506" hidden="1" x14ac:dyDescent="0.25"/>
    <row r="13507" hidden="1" x14ac:dyDescent="0.25"/>
    <row r="13508" hidden="1" x14ac:dyDescent="0.25"/>
    <row r="13509" hidden="1" x14ac:dyDescent="0.25"/>
    <row r="13510" hidden="1" x14ac:dyDescent="0.25"/>
    <row r="13511" hidden="1" x14ac:dyDescent="0.25"/>
    <row r="13512" hidden="1" x14ac:dyDescent="0.25"/>
    <row r="13513" hidden="1" x14ac:dyDescent="0.25"/>
    <row r="13514" hidden="1" x14ac:dyDescent="0.25"/>
    <row r="13515" hidden="1" x14ac:dyDescent="0.25"/>
    <row r="13516" hidden="1" x14ac:dyDescent="0.25"/>
    <row r="13517" hidden="1" x14ac:dyDescent="0.25"/>
    <row r="13518" hidden="1" x14ac:dyDescent="0.25"/>
    <row r="13519" hidden="1" x14ac:dyDescent="0.25"/>
    <row r="13520" hidden="1" x14ac:dyDescent="0.25"/>
    <row r="13521" hidden="1" x14ac:dyDescent="0.25"/>
    <row r="13522" hidden="1" x14ac:dyDescent="0.25"/>
    <row r="13523" hidden="1" x14ac:dyDescent="0.25"/>
    <row r="13524" hidden="1" x14ac:dyDescent="0.25"/>
    <row r="13525" hidden="1" x14ac:dyDescent="0.25"/>
    <row r="13526" hidden="1" x14ac:dyDescent="0.25"/>
    <row r="13527" hidden="1" x14ac:dyDescent="0.25"/>
    <row r="13528" hidden="1" x14ac:dyDescent="0.25"/>
    <row r="13529" hidden="1" x14ac:dyDescent="0.25"/>
    <row r="13530" hidden="1" x14ac:dyDescent="0.25"/>
    <row r="13531" hidden="1" x14ac:dyDescent="0.25"/>
    <row r="13532" hidden="1" x14ac:dyDescent="0.25"/>
    <row r="13533" hidden="1" x14ac:dyDescent="0.25"/>
    <row r="13534" hidden="1" x14ac:dyDescent="0.25"/>
    <row r="13535" hidden="1" x14ac:dyDescent="0.25"/>
    <row r="13536" hidden="1" x14ac:dyDescent="0.25"/>
    <row r="13537" hidden="1" x14ac:dyDescent="0.25"/>
    <row r="13538" hidden="1" x14ac:dyDescent="0.25"/>
    <row r="13539" hidden="1" x14ac:dyDescent="0.25"/>
    <row r="13540" hidden="1" x14ac:dyDescent="0.25"/>
    <row r="13541" hidden="1" x14ac:dyDescent="0.25"/>
    <row r="13542" hidden="1" x14ac:dyDescent="0.25"/>
    <row r="13543" hidden="1" x14ac:dyDescent="0.25"/>
    <row r="13544" hidden="1" x14ac:dyDescent="0.25"/>
    <row r="13545" hidden="1" x14ac:dyDescent="0.25"/>
    <row r="13546" hidden="1" x14ac:dyDescent="0.25"/>
    <row r="13547" hidden="1" x14ac:dyDescent="0.25"/>
    <row r="13548" hidden="1" x14ac:dyDescent="0.25"/>
    <row r="13549" hidden="1" x14ac:dyDescent="0.25"/>
    <row r="13550" hidden="1" x14ac:dyDescent="0.25"/>
    <row r="13551" hidden="1" x14ac:dyDescent="0.25"/>
    <row r="13552" hidden="1" x14ac:dyDescent="0.25"/>
    <row r="13553" hidden="1" x14ac:dyDescent="0.25"/>
    <row r="13554" hidden="1" x14ac:dyDescent="0.25"/>
    <row r="13555" hidden="1" x14ac:dyDescent="0.25"/>
    <row r="13556" hidden="1" x14ac:dyDescent="0.25"/>
    <row r="13557" hidden="1" x14ac:dyDescent="0.25"/>
    <row r="13558" hidden="1" x14ac:dyDescent="0.25"/>
    <row r="13559" hidden="1" x14ac:dyDescent="0.25"/>
    <row r="13560" hidden="1" x14ac:dyDescent="0.25"/>
    <row r="13561" hidden="1" x14ac:dyDescent="0.25"/>
    <row r="13562" hidden="1" x14ac:dyDescent="0.25"/>
    <row r="13563" hidden="1" x14ac:dyDescent="0.25"/>
    <row r="13564" hidden="1" x14ac:dyDescent="0.25"/>
    <row r="13565" hidden="1" x14ac:dyDescent="0.25"/>
    <row r="13566" hidden="1" x14ac:dyDescent="0.25"/>
    <row r="13567" hidden="1" x14ac:dyDescent="0.25"/>
    <row r="13568" hidden="1" x14ac:dyDescent="0.25"/>
    <row r="13569" hidden="1" x14ac:dyDescent="0.25"/>
    <row r="13570" hidden="1" x14ac:dyDescent="0.25"/>
    <row r="13571" hidden="1" x14ac:dyDescent="0.25"/>
    <row r="13572" hidden="1" x14ac:dyDescent="0.25"/>
    <row r="13573" hidden="1" x14ac:dyDescent="0.25"/>
    <row r="13574" hidden="1" x14ac:dyDescent="0.25"/>
    <row r="13575" hidden="1" x14ac:dyDescent="0.25"/>
    <row r="13576" hidden="1" x14ac:dyDescent="0.25"/>
    <row r="13577" hidden="1" x14ac:dyDescent="0.25"/>
    <row r="13578" hidden="1" x14ac:dyDescent="0.25"/>
    <row r="13579" hidden="1" x14ac:dyDescent="0.25"/>
    <row r="13580" hidden="1" x14ac:dyDescent="0.25"/>
    <row r="13581" hidden="1" x14ac:dyDescent="0.25"/>
    <row r="13582" hidden="1" x14ac:dyDescent="0.25"/>
    <row r="13583" hidden="1" x14ac:dyDescent="0.25"/>
    <row r="13584" hidden="1" x14ac:dyDescent="0.25"/>
    <row r="13585" hidden="1" x14ac:dyDescent="0.25"/>
    <row r="13586" hidden="1" x14ac:dyDescent="0.25"/>
    <row r="13587" hidden="1" x14ac:dyDescent="0.25"/>
    <row r="13588" hidden="1" x14ac:dyDescent="0.25"/>
    <row r="13589" hidden="1" x14ac:dyDescent="0.25"/>
    <row r="13590" hidden="1" x14ac:dyDescent="0.25"/>
    <row r="13591" hidden="1" x14ac:dyDescent="0.25"/>
    <row r="13592" hidden="1" x14ac:dyDescent="0.25"/>
    <row r="13593" hidden="1" x14ac:dyDescent="0.25"/>
    <row r="13594" hidden="1" x14ac:dyDescent="0.25"/>
    <row r="13595" hidden="1" x14ac:dyDescent="0.25"/>
    <row r="13596" hidden="1" x14ac:dyDescent="0.25"/>
    <row r="13597" hidden="1" x14ac:dyDescent="0.25"/>
    <row r="13598" hidden="1" x14ac:dyDescent="0.25"/>
    <row r="13599" hidden="1" x14ac:dyDescent="0.25"/>
    <row r="13600" hidden="1" x14ac:dyDescent="0.25"/>
    <row r="13601" hidden="1" x14ac:dyDescent="0.25"/>
    <row r="13602" hidden="1" x14ac:dyDescent="0.25"/>
    <row r="13603" hidden="1" x14ac:dyDescent="0.25"/>
    <row r="13604" hidden="1" x14ac:dyDescent="0.25"/>
    <row r="13605" hidden="1" x14ac:dyDescent="0.25"/>
    <row r="13606" hidden="1" x14ac:dyDescent="0.25"/>
    <row r="13607" hidden="1" x14ac:dyDescent="0.25"/>
    <row r="13608" hidden="1" x14ac:dyDescent="0.25"/>
    <row r="13609" hidden="1" x14ac:dyDescent="0.25"/>
    <row r="13610" hidden="1" x14ac:dyDescent="0.25"/>
    <row r="13611" hidden="1" x14ac:dyDescent="0.25"/>
    <row r="13612" hidden="1" x14ac:dyDescent="0.25"/>
    <row r="13613" hidden="1" x14ac:dyDescent="0.25"/>
    <row r="13614" hidden="1" x14ac:dyDescent="0.25"/>
    <row r="13615" hidden="1" x14ac:dyDescent="0.25"/>
    <row r="13616" hidden="1" x14ac:dyDescent="0.25"/>
    <row r="13617" hidden="1" x14ac:dyDescent="0.25"/>
    <row r="13618" hidden="1" x14ac:dyDescent="0.25"/>
    <row r="13619" hidden="1" x14ac:dyDescent="0.25"/>
    <row r="13620" hidden="1" x14ac:dyDescent="0.25"/>
    <row r="13621" hidden="1" x14ac:dyDescent="0.25"/>
    <row r="13622" hidden="1" x14ac:dyDescent="0.25"/>
    <row r="13623" hidden="1" x14ac:dyDescent="0.25"/>
    <row r="13624" hidden="1" x14ac:dyDescent="0.25"/>
    <row r="13625" hidden="1" x14ac:dyDescent="0.25"/>
    <row r="13626" hidden="1" x14ac:dyDescent="0.25"/>
    <row r="13627" hidden="1" x14ac:dyDescent="0.25"/>
    <row r="13628" hidden="1" x14ac:dyDescent="0.25"/>
    <row r="13629" hidden="1" x14ac:dyDescent="0.25"/>
    <row r="13630" hidden="1" x14ac:dyDescent="0.25"/>
    <row r="13631" hidden="1" x14ac:dyDescent="0.25"/>
    <row r="13632" hidden="1" x14ac:dyDescent="0.25"/>
    <row r="13633" hidden="1" x14ac:dyDescent="0.25"/>
    <row r="13634" hidden="1" x14ac:dyDescent="0.25"/>
    <row r="13635" hidden="1" x14ac:dyDescent="0.25"/>
    <row r="13636" hidden="1" x14ac:dyDescent="0.25"/>
    <row r="13637" hidden="1" x14ac:dyDescent="0.25"/>
    <row r="13638" hidden="1" x14ac:dyDescent="0.25"/>
    <row r="13639" hidden="1" x14ac:dyDescent="0.25"/>
    <row r="13640" hidden="1" x14ac:dyDescent="0.25"/>
    <row r="13641" hidden="1" x14ac:dyDescent="0.25"/>
    <row r="13642" hidden="1" x14ac:dyDescent="0.25"/>
    <row r="13643" hidden="1" x14ac:dyDescent="0.25"/>
    <row r="13644" hidden="1" x14ac:dyDescent="0.25"/>
    <row r="13645" hidden="1" x14ac:dyDescent="0.25"/>
    <row r="13646" hidden="1" x14ac:dyDescent="0.25"/>
    <row r="13647" hidden="1" x14ac:dyDescent="0.25"/>
    <row r="13648" hidden="1" x14ac:dyDescent="0.25"/>
    <row r="13649" hidden="1" x14ac:dyDescent="0.25"/>
    <row r="13650" hidden="1" x14ac:dyDescent="0.25"/>
    <row r="13651" hidden="1" x14ac:dyDescent="0.25"/>
    <row r="13652" hidden="1" x14ac:dyDescent="0.25"/>
    <row r="13653" hidden="1" x14ac:dyDescent="0.25"/>
    <row r="13654" hidden="1" x14ac:dyDescent="0.25"/>
    <row r="13655" hidden="1" x14ac:dyDescent="0.25"/>
    <row r="13656" hidden="1" x14ac:dyDescent="0.25"/>
    <row r="13657" hidden="1" x14ac:dyDescent="0.25"/>
    <row r="13658" hidden="1" x14ac:dyDescent="0.25"/>
    <row r="13659" hidden="1" x14ac:dyDescent="0.25"/>
    <row r="13660" hidden="1" x14ac:dyDescent="0.25"/>
    <row r="13661" hidden="1" x14ac:dyDescent="0.25"/>
    <row r="13662" hidden="1" x14ac:dyDescent="0.25"/>
    <row r="13663" hidden="1" x14ac:dyDescent="0.25"/>
    <row r="13664" hidden="1" x14ac:dyDescent="0.25"/>
    <row r="13665" hidden="1" x14ac:dyDescent="0.25"/>
    <row r="13666" hidden="1" x14ac:dyDescent="0.25"/>
    <row r="13667" hidden="1" x14ac:dyDescent="0.25"/>
    <row r="13668" hidden="1" x14ac:dyDescent="0.25"/>
    <row r="13669" hidden="1" x14ac:dyDescent="0.25"/>
    <row r="13670" hidden="1" x14ac:dyDescent="0.25"/>
    <row r="13671" hidden="1" x14ac:dyDescent="0.25"/>
    <row r="13672" hidden="1" x14ac:dyDescent="0.25"/>
    <row r="13673" hidden="1" x14ac:dyDescent="0.25"/>
    <row r="13674" hidden="1" x14ac:dyDescent="0.25"/>
    <row r="13675" hidden="1" x14ac:dyDescent="0.25"/>
    <row r="13676" hidden="1" x14ac:dyDescent="0.25"/>
    <row r="13677" hidden="1" x14ac:dyDescent="0.25"/>
    <row r="13678" hidden="1" x14ac:dyDescent="0.25"/>
    <row r="13679" hidden="1" x14ac:dyDescent="0.25"/>
    <row r="13680" hidden="1" x14ac:dyDescent="0.25"/>
    <row r="13681" hidden="1" x14ac:dyDescent="0.25"/>
    <row r="13682" hidden="1" x14ac:dyDescent="0.25"/>
    <row r="13683" hidden="1" x14ac:dyDescent="0.25"/>
    <row r="13684" hidden="1" x14ac:dyDescent="0.25"/>
    <row r="13685" hidden="1" x14ac:dyDescent="0.25"/>
    <row r="13686" hidden="1" x14ac:dyDescent="0.25"/>
    <row r="13687" hidden="1" x14ac:dyDescent="0.25"/>
    <row r="13688" hidden="1" x14ac:dyDescent="0.25"/>
    <row r="13689" hidden="1" x14ac:dyDescent="0.25"/>
    <row r="13690" hidden="1" x14ac:dyDescent="0.25"/>
    <row r="13691" hidden="1" x14ac:dyDescent="0.25"/>
    <row r="13692" hidden="1" x14ac:dyDescent="0.25"/>
    <row r="13693" hidden="1" x14ac:dyDescent="0.25"/>
    <row r="13694" hidden="1" x14ac:dyDescent="0.25"/>
    <row r="13695" hidden="1" x14ac:dyDescent="0.25"/>
    <row r="13696" hidden="1" x14ac:dyDescent="0.25"/>
    <row r="13697" hidden="1" x14ac:dyDescent="0.25"/>
    <row r="13698" hidden="1" x14ac:dyDescent="0.25"/>
    <row r="13699" hidden="1" x14ac:dyDescent="0.25"/>
    <row r="13700" hidden="1" x14ac:dyDescent="0.25"/>
    <row r="13701" hidden="1" x14ac:dyDescent="0.25"/>
    <row r="13702" hidden="1" x14ac:dyDescent="0.25"/>
    <row r="13703" hidden="1" x14ac:dyDescent="0.25"/>
    <row r="13704" hidden="1" x14ac:dyDescent="0.25"/>
    <row r="13705" hidden="1" x14ac:dyDescent="0.25"/>
    <row r="13706" hidden="1" x14ac:dyDescent="0.25"/>
    <row r="13707" hidden="1" x14ac:dyDescent="0.25"/>
    <row r="13708" hidden="1" x14ac:dyDescent="0.25"/>
    <row r="13709" hidden="1" x14ac:dyDescent="0.25"/>
    <row r="13710" hidden="1" x14ac:dyDescent="0.25"/>
    <row r="13711" hidden="1" x14ac:dyDescent="0.25"/>
    <row r="13712" hidden="1" x14ac:dyDescent="0.25"/>
    <row r="13713" hidden="1" x14ac:dyDescent="0.25"/>
    <row r="13714" hidden="1" x14ac:dyDescent="0.25"/>
    <row r="13715" hidden="1" x14ac:dyDescent="0.25"/>
    <row r="13716" hidden="1" x14ac:dyDescent="0.25"/>
    <row r="13717" hidden="1" x14ac:dyDescent="0.25"/>
    <row r="13718" hidden="1" x14ac:dyDescent="0.25"/>
    <row r="13719" hidden="1" x14ac:dyDescent="0.25"/>
    <row r="13720" hidden="1" x14ac:dyDescent="0.25"/>
    <row r="13721" hidden="1" x14ac:dyDescent="0.25"/>
    <row r="13722" hidden="1" x14ac:dyDescent="0.25"/>
    <row r="13723" hidden="1" x14ac:dyDescent="0.25"/>
    <row r="13724" hidden="1" x14ac:dyDescent="0.25"/>
    <row r="13725" hidden="1" x14ac:dyDescent="0.25"/>
    <row r="13726" hidden="1" x14ac:dyDescent="0.25"/>
    <row r="13727" hidden="1" x14ac:dyDescent="0.25"/>
    <row r="13728" hidden="1" x14ac:dyDescent="0.25"/>
    <row r="13729" hidden="1" x14ac:dyDescent="0.25"/>
    <row r="13730" hidden="1" x14ac:dyDescent="0.25"/>
    <row r="13731" hidden="1" x14ac:dyDescent="0.25"/>
    <row r="13732" hidden="1" x14ac:dyDescent="0.25"/>
    <row r="13733" hidden="1" x14ac:dyDescent="0.25"/>
    <row r="13734" hidden="1" x14ac:dyDescent="0.25"/>
    <row r="13735" hidden="1" x14ac:dyDescent="0.25"/>
    <row r="13736" hidden="1" x14ac:dyDescent="0.25"/>
    <row r="13737" hidden="1" x14ac:dyDescent="0.25"/>
    <row r="13738" hidden="1" x14ac:dyDescent="0.25"/>
    <row r="13739" hidden="1" x14ac:dyDescent="0.25"/>
    <row r="13740" hidden="1" x14ac:dyDescent="0.25"/>
    <row r="13741" hidden="1" x14ac:dyDescent="0.25"/>
    <row r="13742" hidden="1" x14ac:dyDescent="0.25"/>
    <row r="13743" hidden="1" x14ac:dyDescent="0.25"/>
    <row r="13744" hidden="1" x14ac:dyDescent="0.25"/>
    <row r="13745" hidden="1" x14ac:dyDescent="0.25"/>
    <row r="13746" hidden="1" x14ac:dyDescent="0.25"/>
    <row r="13747" hidden="1" x14ac:dyDescent="0.25"/>
    <row r="13748" hidden="1" x14ac:dyDescent="0.25"/>
    <row r="13749" hidden="1" x14ac:dyDescent="0.25"/>
    <row r="13750" hidden="1" x14ac:dyDescent="0.25"/>
    <row r="13751" hidden="1" x14ac:dyDescent="0.25"/>
    <row r="13752" hidden="1" x14ac:dyDescent="0.25"/>
    <row r="13753" hidden="1" x14ac:dyDescent="0.25"/>
    <row r="13754" hidden="1" x14ac:dyDescent="0.25"/>
    <row r="13755" hidden="1" x14ac:dyDescent="0.25"/>
    <row r="13756" hidden="1" x14ac:dyDescent="0.25"/>
    <row r="13757" hidden="1" x14ac:dyDescent="0.25"/>
    <row r="13758" hidden="1" x14ac:dyDescent="0.25"/>
    <row r="13759" hidden="1" x14ac:dyDescent="0.25"/>
    <row r="13760" hidden="1" x14ac:dyDescent="0.25"/>
    <row r="13761" hidden="1" x14ac:dyDescent="0.25"/>
    <row r="13762" hidden="1" x14ac:dyDescent="0.25"/>
    <row r="13763" hidden="1" x14ac:dyDescent="0.25"/>
    <row r="13764" hidden="1" x14ac:dyDescent="0.25"/>
    <row r="13765" hidden="1" x14ac:dyDescent="0.25"/>
    <row r="13766" hidden="1" x14ac:dyDescent="0.25"/>
    <row r="13767" hidden="1" x14ac:dyDescent="0.25"/>
    <row r="13768" hidden="1" x14ac:dyDescent="0.25"/>
    <row r="13769" hidden="1" x14ac:dyDescent="0.25"/>
    <row r="13770" hidden="1" x14ac:dyDescent="0.25"/>
    <row r="13771" hidden="1" x14ac:dyDescent="0.25"/>
    <row r="13772" hidden="1" x14ac:dyDescent="0.25"/>
    <row r="13773" hidden="1" x14ac:dyDescent="0.25"/>
    <row r="13774" hidden="1" x14ac:dyDescent="0.25"/>
    <row r="13775" hidden="1" x14ac:dyDescent="0.25"/>
    <row r="13776" hidden="1" x14ac:dyDescent="0.25"/>
    <row r="13777" hidden="1" x14ac:dyDescent="0.25"/>
    <row r="13778" hidden="1" x14ac:dyDescent="0.25"/>
    <row r="13779" hidden="1" x14ac:dyDescent="0.25"/>
    <row r="13780" hidden="1" x14ac:dyDescent="0.25"/>
    <row r="13781" hidden="1" x14ac:dyDescent="0.25"/>
    <row r="13782" hidden="1" x14ac:dyDescent="0.25"/>
    <row r="13783" hidden="1" x14ac:dyDescent="0.25"/>
    <row r="13784" hidden="1" x14ac:dyDescent="0.25"/>
    <row r="13785" hidden="1" x14ac:dyDescent="0.25"/>
    <row r="13786" hidden="1" x14ac:dyDescent="0.25"/>
    <row r="13787" hidden="1" x14ac:dyDescent="0.25"/>
    <row r="13788" hidden="1" x14ac:dyDescent="0.25"/>
    <row r="13789" hidden="1" x14ac:dyDescent="0.25"/>
    <row r="13790" hidden="1" x14ac:dyDescent="0.25"/>
    <row r="13791" hidden="1" x14ac:dyDescent="0.25"/>
    <row r="13792" hidden="1" x14ac:dyDescent="0.25"/>
    <row r="13793" hidden="1" x14ac:dyDescent="0.25"/>
    <row r="13794" hidden="1" x14ac:dyDescent="0.25"/>
    <row r="13795" hidden="1" x14ac:dyDescent="0.25"/>
    <row r="13796" hidden="1" x14ac:dyDescent="0.25"/>
    <row r="13797" hidden="1" x14ac:dyDescent="0.25"/>
    <row r="13798" hidden="1" x14ac:dyDescent="0.25"/>
    <row r="13799" hidden="1" x14ac:dyDescent="0.25"/>
    <row r="13800" hidden="1" x14ac:dyDescent="0.25"/>
    <row r="13801" hidden="1" x14ac:dyDescent="0.25"/>
    <row r="13802" hidden="1" x14ac:dyDescent="0.25"/>
    <row r="13803" hidden="1" x14ac:dyDescent="0.25"/>
    <row r="13804" hidden="1" x14ac:dyDescent="0.25"/>
    <row r="13805" hidden="1" x14ac:dyDescent="0.25"/>
    <row r="13806" hidden="1" x14ac:dyDescent="0.25"/>
    <row r="13807" hidden="1" x14ac:dyDescent="0.25"/>
    <row r="13808" hidden="1" x14ac:dyDescent="0.25"/>
    <row r="13809" hidden="1" x14ac:dyDescent="0.25"/>
    <row r="13810" hidden="1" x14ac:dyDescent="0.25"/>
    <row r="13811" hidden="1" x14ac:dyDescent="0.25"/>
    <row r="13812" hidden="1" x14ac:dyDescent="0.25"/>
    <row r="13813" hidden="1" x14ac:dyDescent="0.25"/>
    <row r="13814" hidden="1" x14ac:dyDescent="0.25"/>
    <row r="13815" hidden="1" x14ac:dyDescent="0.25"/>
    <row r="13816" hidden="1" x14ac:dyDescent="0.25"/>
    <row r="13817" hidden="1" x14ac:dyDescent="0.25"/>
    <row r="13818" hidden="1" x14ac:dyDescent="0.25"/>
    <row r="13819" hidden="1" x14ac:dyDescent="0.25"/>
    <row r="13820" hidden="1" x14ac:dyDescent="0.25"/>
    <row r="13821" hidden="1" x14ac:dyDescent="0.25"/>
    <row r="13822" hidden="1" x14ac:dyDescent="0.25"/>
    <row r="13823" hidden="1" x14ac:dyDescent="0.25"/>
    <row r="13824" hidden="1" x14ac:dyDescent="0.25"/>
    <row r="13825" hidden="1" x14ac:dyDescent="0.25"/>
    <row r="13826" hidden="1" x14ac:dyDescent="0.25"/>
    <row r="13827" hidden="1" x14ac:dyDescent="0.25"/>
    <row r="13828" hidden="1" x14ac:dyDescent="0.25"/>
    <row r="13829" hidden="1" x14ac:dyDescent="0.25"/>
    <row r="13830" hidden="1" x14ac:dyDescent="0.25"/>
    <row r="13831" hidden="1" x14ac:dyDescent="0.25"/>
    <row r="13832" hidden="1" x14ac:dyDescent="0.25"/>
    <row r="13833" hidden="1" x14ac:dyDescent="0.25"/>
    <row r="13834" hidden="1" x14ac:dyDescent="0.25"/>
    <row r="13835" hidden="1" x14ac:dyDescent="0.25"/>
    <row r="13836" hidden="1" x14ac:dyDescent="0.25"/>
    <row r="13837" hidden="1" x14ac:dyDescent="0.25"/>
    <row r="13838" hidden="1" x14ac:dyDescent="0.25"/>
    <row r="13839" hidden="1" x14ac:dyDescent="0.25"/>
    <row r="13840" hidden="1" x14ac:dyDescent="0.25"/>
    <row r="13841" hidden="1" x14ac:dyDescent="0.25"/>
    <row r="13842" hidden="1" x14ac:dyDescent="0.25"/>
    <row r="13843" hidden="1" x14ac:dyDescent="0.25"/>
    <row r="13844" hidden="1" x14ac:dyDescent="0.25"/>
    <row r="13845" hidden="1" x14ac:dyDescent="0.25"/>
    <row r="13846" hidden="1" x14ac:dyDescent="0.25"/>
    <row r="13847" hidden="1" x14ac:dyDescent="0.25"/>
    <row r="13848" hidden="1" x14ac:dyDescent="0.25"/>
    <row r="13849" hidden="1" x14ac:dyDescent="0.25"/>
    <row r="13850" hidden="1" x14ac:dyDescent="0.25"/>
    <row r="13851" hidden="1" x14ac:dyDescent="0.25"/>
    <row r="13852" hidden="1" x14ac:dyDescent="0.25"/>
    <row r="13853" hidden="1" x14ac:dyDescent="0.25"/>
    <row r="13854" hidden="1" x14ac:dyDescent="0.25"/>
    <row r="13855" hidden="1" x14ac:dyDescent="0.25"/>
    <row r="13856" hidden="1" x14ac:dyDescent="0.25"/>
    <row r="13857" hidden="1" x14ac:dyDescent="0.25"/>
    <row r="13858" hidden="1" x14ac:dyDescent="0.25"/>
    <row r="13859" hidden="1" x14ac:dyDescent="0.25"/>
    <row r="13860" hidden="1" x14ac:dyDescent="0.25"/>
    <row r="13861" hidden="1" x14ac:dyDescent="0.25"/>
    <row r="13862" hidden="1" x14ac:dyDescent="0.25"/>
    <row r="13863" hidden="1" x14ac:dyDescent="0.25"/>
    <row r="13864" hidden="1" x14ac:dyDescent="0.25"/>
    <row r="13865" hidden="1" x14ac:dyDescent="0.25"/>
    <row r="13866" hidden="1" x14ac:dyDescent="0.25"/>
    <row r="13867" hidden="1" x14ac:dyDescent="0.25"/>
    <row r="13868" hidden="1" x14ac:dyDescent="0.25"/>
    <row r="13869" hidden="1" x14ac:dyDescent="0.25"/>
    <row r="13870" hidden="1" x14ac:dyDescent="0.25"/>
    <row r="13871" hidden="1" x14ac:dyDescent="0.25"/>
    <row r="13872" hidden="1" x14ac:dyDescent="0.25"/>
    <row r="13873" hidden="1" x14ac:dyDescent="0.25"/>
    <row r="13874" hidden="1" x14ac:dyDescent="0.25"/>
    <row r="13875" hidden="1" x14ac:dyDescent="0.25"/>
    <row r="13876" hidden="1" x14ac:dyDescent="0.25"/>
    <row r="13877" hidden="1" x14ac:dyDescent="0.25"/>
    <row r="13878" hidden="1" x14ac:dyDescent="0.25"/>
    <row r="13879" hidden="1" x14ac:dyDescent="0.25"/>
    <row r="13880" hidden="1" x14ac:dyDescent="0.25"/>
    <row r="13881" hidden="1" x14ac:dyDescent="0.25"/>
    <row r="13882" hidden="1" x14ac:dyDescent="0.25"/>
    <row r="13883" hidden="1" x14ac:dyDescent="0.25"/>
    <row r="13884" hidden="1" x14ac:dyDescent="0.25"/>
    <row r="13885" hidden="1" x14ac:dyDescent="0.25"/>
    <row r="13886" hidden="1" x14ac:dyDescent="0.25"/>
    <row r="13887" hidden="1" x14ac:dyDescent="0.25"/>
    <row r="13888" hidden="1" x14ac:dyDescent="0.25"/>
    <row r="13889" hidden="1" x14ac:dyDescent="0.25"/>
    <row r="13890" hidden="1" x14ac:dyDescent="0.25"/>
    <row r="13891" hidden="1" x14ac:dyDescent="0.25"/>
    <row r="13892" hidden="1" x14ac:dyDescent="0.25"/>
    <row r="13893" hidden="1" x14ac:dyDescent="0.25"/>
    <row r="13894" hidden="1" x14ac:dyDescent="0.25"/>
    <row r="13895" hidden="1" x14ac:dyDescent="0.25"/>
    <row r="13896" hidden="1" x14ac:dyDescent="0.25"/>
    <row r="13897" hidden="1" x14ac:dyDescent="0.25"/>
    <row r="13898" hidden="1" x14ac:dyDescent="0.25"/>
    <row r="13899" hidden="1" x14ac:dyDescent="0.25"/>
    <row r="13900" hidden="1" x14ac:dyDescent="0.25"/>
    <row r="13901" hidden="1" x14ac:dyDescent="0.25"/>
    <row r="13902" hidden="1" x14ac:dyDescent="0.25"/>
    <row r="13903" hidden="1" x14ac:dyDescent="0.25"/>
    <row r="13904" hidden="1" x14ac:dyDescent="0.25"/>
    <row r="13905" hidden="1" x14ac:dyDescent="0.25"/>
    <row r="13906" hidden="1" x14ac:dyDescent="0.25"/>
    <row r="13907" hidden="1" x14ac:dyDescent="0.25"/>
    <row r="13908" hidden="1" x14ac:dyDescent="0.25"/>
    <row r="13909" hidden="1" x14ac:dyDescent="0.25"/>
    <row r="13910" hidden="1" x14ac:dyDescent="0.25"/>
    <row r="13911" hidden="1" x14ac:dyDescent="0.25"/>
    <row r="13912" hidden="1" x14ac:dyDescent="0.25"/>
    <row r="13913" hidden="1" x14ac:dyDescent="0.25"/>
    <row r="13914" hidden="1" x14ac:dyDescent="0.25"/>
    <row r="13915" hidden="1" x14ac:dyDescent="0.25"/>
    <row r="13916" hidden="1" x14ac:dyDescent="0.25"/>
    <row r="13917" hidden="1" x14ac:dyDescent="0.25"/>
    <row r="13918" hidden="1" x14ac:dyDescent="0.25"/>
    <row r="13919" hidden="1" x14ac:dyDescent="0.25"/>
    <row r="13920" hidden="1" x14ac:dyDescent="0.25"/>
    <row r="13921" hidden="1" x14ac:dyDescent="0.25"/>
    <row r="13922" hidden="1" x14ac:dyDescent="0.25"/>
    <row r="13923" hidden="1" x14ac:dyDescent="0.25"/>
    <row r="13924" hidden="1" x14ac:dyDescent="0.25"/>
    <row r="13925" hidden="1" x14ac:dyDescent="0.25"/>
    <row r="13926" hidden="1" x14ac:dyDescent="0.25"/>
    <row r="13927" hidden="1" x14ac:dyDescent="0.25"/>
    <row r="13928" hidden="1" x14ac:dyDescent="0.25"/>
    <row r="13929" hidden="1" x14ac:dyDescent="0.25"/>
    <row r="13930" hidden="1" x14ac:dyDescent="0.25"/>
    <row r="13931" hidden="1" x14ac:dyDescent="0.25"/>
    <row r="13932" hidden="1" x14ac:dyDescent="0.25"/>
    <row r="13933" hidden="1" x14ac:dyDescent="0.25"/>
    <row r="13934" hidden="1" x14ac:dyDescent="0.25"/>
    <row r="13935" hidden="1" x14ac:dyDescent="0.25"/>
    <row r="13936" hidden="1" x14ac:dyDescent="0.25"/>
    <row r="13937" hidden="1" x14ac:dyDescent="0.25"/>
    <row r="13938" hidden="1" x14ac:dyDescent="0.25"/>
    <row r="13939" hidden="1" x14ac:dyDescent="0.25"/>
    <row r="13940" hidden="1" x14ac:dyDescent="0.25"/>
    <row r="13941" hidden="1" x14ac:dyDescent="0.25"/>
    <row r="13942" hidden="1" x14ac:dyDescent="0.25"/>
    <row r="13943" hidden="1" x14ac:dyDescent="0.25"/>
    <row r="13944" hidden="1" x14ac:dyDescent="0.25"/>
    <row r="13945" hidden="1" x14ac:dyDescent="0.25"/>
    <row r="13946" hidden="1" x14ac:dyDescent="0.25"/>
    <row r="13947" hidden="1" x14ac:dyDescent="0.25"/>
    <row r="13948" hidden="1" x14ac:dyDescent="0.25"/>
    <row r="13949" hidden="1" x14ac:dyDescent="0.25"/>
    <row r="13950" hidden="1" x14ac:dyDescent="0.25"/>
    <row r="13951" hidden="1" x14ac:dyDescent="0.25"/>
    <row r="13952" hidden="1" x14ac:dyDescent="0.25"/>
    <row r="13953" hidden="1" x14ac:dyDescent="0.25"/>
    <row r="13954" hidden="1" x14ac:dyDescent="0.25"/>
    <row r="13955" hidden="1" x14ac:dyDescent="0.25"/>
    <row r="13956" hidden="1" x14ac:dyDescent="0.25"/>
    <row r="13957" hidden="1" x14ac:dyDescent="0.25"/>
    <row r="13958" hidden="1" x14ac:dyDescent="0.25"/>
    <row r="13959" hidden="1" x14ac:dyDescent="0.25"/>
    <row r="13960" hidden="1" x14ac:dyDescent="0.25"/>
    <row r="13961" hidden="1" x14ac:dyDescent="0.25"/>
    <row r="13962" hidden="1" x14ac:dyDescent="0.25"/>
    <row r="13963" hidden="1" x14ac:dyDescent="0.25"/>
    <row r="13964" hidden="1" x14ac:dyDescent="0.25"/>
    <row r="13965" hidden="1" x14ac:dyDescent="0.25"/>
    <row r="13966" hidden="1" x14ac:dyDescent="0.25"/>
    <row r="13967" hidden="1" x14ac:dyDescent="0.25"/>
    <row r="13968" hidden="1" x14ac:dyDescent="0.25"/>
    <row r="13969" hidden="1" x14ac:dyDescent="0.25"/>
    <row r="13970" hidden="1" x14ac:dyDescent="0.25"/>
    <row r="13971" hidden="1" x14ac:dyDescent="0.25"/>
    <row r="13972" hidden="1" x14ac:dyDescent="0.25"/>
    <row r="13973" hidden="1" x14ac:dyDescent="0.25"/>
    <row r="13974" hidden="1" x14ac:dyDescent="0.25"/>
    <row r="13975" hidden="1" x14ac:dyDescent="0.25"/>
    <row r="13976" hidden="1" x14ac:dyDescent="0.25"/>
    <row r="13977" hidden="1" x14ac:dyDescent="0.25"/>
    <row r="13978" hidden="1" x14ac:dyDescent="0.25"/>
    <row r="13979" hidden="1" x14ac:dyDescent="0.25"/>
    <row r="13980" hidden="1" x14ac:dyDescent="0.25"/>
    <row r="13981" hidden="1" x14ac:dyDescent="0.25"/>
    <row r="13982" hidden="1" x14ac:dyDescent="0.25"/>
    <row r="13983" hidden="1" x14ac:dyDescent="0.25"/>
    <row r="13984" hidden="1" x14ac:dyDescent="0.25"/>
    <row r="13985" hidden="1" x14ac:dyDescent="0.25"/>
    <row r="13986" hidden="1" x14ac:dyDescent="0.25"/>
    <row r="13987" hidden="1" x14ac:dyDescent="0.25"/>
    <row r="13988" hidden="1" x14ac:dyDescent="0.25"/>
    <row r="13989" hidden="1" x14ac:dyDescent="0.25"/>
    <row r="13990" hidden="1" x14ac:dyDescent="0.25"/>
    <row r="13991" hidden="1" x14ac:dyDescent="0.25"/>
    <row r="13992" hidden="1" x14ac:dyDescent="0.25"/>
    <row r="13993" hidden="1" x14ac:dyDescent="0.25"/>
    <row r="13994" hidden="1" x14ac:dyDescent="0.25"/>
    <row r="13995" hidden="1" x14ac:dyDescent="0.25"/>
    <row r="13996" hidden="1" x14ac:dyDescent="0.25"/>
    <row r="13997" hidden="1" x14ac:dyDescent="0.25"/>
    <row r="13998" hidden="1" x14ac:dyDescent="0.25"/>
    <row r="13999" hidden="1" x14ac:dyDescent="0.25"/>
    <row r="14000" hidden="1" x14ac:dyDescent="0.25"/>
    <row r="14001" hidden="1" x14ac:dyDescent="0.25"/>
    <row r="14002" hidden="1" x14ac:dyDescent="0.25"/>
    <row r="14003" hidden="1" x14ac:dyDescent="0.25"/>
    <row r="14004" hidden="1" x14ac:dyDescent="0.25"/>
    <row r="14005" hidden="1" x14ac:dyDescent="0.25"/>
    <row r="14006" hidden="1" x14ac:dyDescent="0.25"/>
    <row r="14007" hidden="1" x14ac:dyDescent="0.25"/>
    <row r="14008" hidden="1" x14ac:dyDescent="0.25"/>
    <row r="14009" hidden="1" x14ac:dyDescent="0.25"/>
    <row r="14010" hidden="1" x14ac:dyDescent="0.25"/>
    <row r="14011" hidden="1" x14ac:dyDescent="0.25"/>
    <row r="14012" hidden="1" x14ac:dyDescent="0.25"/>
    <row r="14013" hidden="1" x14ac:dyDescent="0.25"/>
    <row r="14014" hidden="1" x14ac:dyDescent="0.25"/>
    <row r="14015" hidden="1" x14ac:dyDescent="0.25"/>
    <row r="14016" hidden="1" x14ac:dyDescent="0.25"/>
    <row r="14017" hidden="1" x14ac:dyDescent="0.25"/>
    <row r="14018" hidden="1" x14ac:dyDescent="0.25"/>
    <row r="14019" hidden="1" x14ac:dyDescent="0.25"/>
    <row r="14020" hidden="1" x14ac:dyDescent="0.25"/>
    <row r="14021" hidden="1" x14ac:dyDescent="0.25"/>
    <row r="14022" hidden="1" x14ac:dyDescent="0.25"/>
    <row r="14023" hidden="1" x14ac:dyDescent="0.25"/>
    <row r="14024" hidden="1" x14ac:dyDescent="0.25"/>
    <row r="14025" hidden="1" x14ac:dyDescent="0.25"/>
    <row r="14026" hidden="1" x14ac:dyDescent="0.25"/>
    <row r="14027" hidden="1" x14ac:dyDescent="0.25"/>
    <row r="14028" hidden="1" x14ac:dyDescent="0.25"/>
    <row r="14029" hidden="1" x14ac:dyDescent="0.25"/>
    <row r="14030" hidden="1" x14ac:dyDescent="0.25"/>
    <row r="14031" hidden="1" x14ac:dyDescent="0.25"/>
    <row r="14032" hidden="1" x14ac:dyDescent="0.25"/>
    <row r="14033" hidden="1" x14ac:dyDescent="0.25"/>
    <row r="14034" hidden="1" x14ac:dyDescent="0.25"/>
    <row r="14035" hidden="1" x14ac:dyDescent="0.25"/>
    <row r="14036" hidden="1" x14ac:dyDescent="0.25"/>
    <row r="14037" hidden="1" x14ac:dyDescent="0.25"/>
    <row r="14038" hidden="1" x14ac:dyDescent="0.25"/>
    <row r="14039" hidden="1" x14ac:dyDescent="0.25"/>
    <row r="14040" hidden="1" x14ac:dyDescent="0.25"/>
    <row r="14041" hidden="1" x14ac:dyDescent="0.25"/>
    <row r="14042" hidden="1" x14ac:dyDescent="0.25"/>
    <row r="14043" hidden="1" x14ac:dyDescent="0.25"/>
    <row r="14044" hidden="1" x14ac:dyDescent="0.25"/>
    <row r="14045" hidden="1" x14ac:dyDescent="0.25"/>
    <row r="14046" hidden="1" x14ac:dyDescent="0.25"/>
    <row r="14047" hidden="1" x14ac:dyDescent="0.25"/>
    <row r="14048" hidden="1" x14ac:dyDescent="0.25"/>
    <row r="14049" hidden="1" x14ac:dyDescent="0.25"/>
    <row r="14050" hidden="1" x14ac:dyDescent="0.25"/>
    <row r="14051" hidden="1" x14ac:dyDescent="0.25"/>
    <row r="14052" hidden="1" x14ac:dyDescent="0.25"/>
    <row r="14053" hidden="1" x14ac:dyDescent="0.25"/>
    <row r="14054" hidden="1" x14ac:dyDescent="0.25"/>
    <row r="14055" hidden="1" x14ac:dyDescent="0.25"/>
    <row r="14056" hidden="1" x14ac:dyDescent="0.25"/>
    <row r="14057" hidden="1" x14ac:dyDescent="0.25"/>
    <row r="14058" hidden="1" x14ac:dyDescent="0.25"/>
    <row r="14059" hidden="1" x14ac:dyDescent="0.25"/>
    <row r="14060" hidden="1" x14ac:dyDescent="0.25"/>
    <row r="14061" hidden="1" x14ac:dyDescent="0.25"/>
    <row r="14062" hidden="1" x14ac:dyDescent="0.25"/>
    <row r="14063" hidden="1" x14ac:dyDescent="0.25"/>
    <row r="14064" hidden="1" x14ac:dyDescent="0.25"/>
    <row r="14065" hidden="1" x14ac:dyDescent="0.25"/>
    <row r="14066" hidden="1" x14ac:dyDescent="0.25"/>
    <row r="14067" hidden="1" x14ac:dyDescent="0.25"/>
    <row r="14068" hidden="1" x14ac:dyDescent="0.25"/>
    <row r="14069" hidden="1" x14ac:dyDescent="0.25"/>
    <row r="14070" hidden="1" x14ac:dyDescent="0.25"/>
    <row r="14071" hidden="1" x14ac:dyDescent="0.25"/>
    <row r="14072" hidden="1" x14ac:dyDescent="0.25"/>
    <row r="14073" hidden="1" x14ac:dyDescent="0.25"/>
    <row r="14074" hidden="1" x14ac:dyDescent="0.25"/>
    <row r="14075" hidden="1" x14ac:dyDescent="0.25"/>
    <row r="14076" hidden="1" x14ac:dyDescent="0.25"/>
    <row r="14077" hidden="1" x14ac:dyDescent="0.25"/>
    <row r="14078" hidden="1" x14ac:dyDescent="0.25"/>
    <row r="14079" hidden="1" x14ac:dyDescent="0.25"/>
    <row r="14080" hidden="1" x14ac:dyDescent="0.25"/>
    <row r="14081" hidden="1" x14ac:dyDescent="0.25"/>
    <row r="14082" hidden="1" x14ac:dyDescent="0.25"/>
    <row r="14083" hidden="1" x14ac:dyDescent="0.25"/>
    <row r="14084" hidden="1" x14ac:dyDescent="0.25"/>
    <row r="14085" hidden="1" x14ac:dyDescent="0.25"/>
    <row r="14086" hidden="1" x14ac:dyDescent="0.25"/>
    <row r="14087" hidden="1" x14ac:dyDescent="0.25"/>
    <row r="14088" hidden="1" x14ac:dyDescent="0.25"/>
    <row r="14089" hidden="1" x14ac:dyDescent="0.25"/>
    <row r="14090" hidden="1" x14ac:dyDescent="0.25"/>
    <row r="14091" hidden="1" x14ac:dyDescent="0.25"/>
    <row r="14092" hidden="1" x14ac:dyDescent="0.25"/>
    <row r="14093" hidden="1" x14ac:dyDescent="0.25"/>
    <row r="14094" hidden="1" x14ac:dyDescent="0.25"/>
    <row r="14095" hidden="1" x14ac:dyDescent="0.25"/>
    <row r="14096" hidden="1" x14ac:dyDescent="0.25"/>
    <row r="14097" hidden="1" x14ac:dyDescent="0.25"/>
    <row r="14098" hidden="1" x14ac:dyDescent="0.25"/>
    <row r="14099" hidden="1" x14ac:dyDescent="0.25"/>
    <row r="14100" hidden="1" x14ac:dyDescent="0.25"/>
    <row r="14101" hidden="1" x14ac:dyDescent="0.25"/>
    <row r="14102" hidden="1" x14ac:dyDescent="0.25"/>
    <row r="14103" hidden="1" x14ac:dyDescent="0.25"/>
    <row r="14104" hidden="1" x14ac:dyDescent="0.25"/>
    <row r="14105" hidden="1" x14ac:dyDescent="0.25"/>
    <row r="14106" hidden="1" x14ac:dyDescent="0.25"/>
    <row r="14107" hidden="1" x14ac:dyDescent="0.25"/>
    <row r="14108" hidden="1" x14ac:dyDescent="0.25"/>
    <row r="14109" hidden="1" x14ac:dyDescent="0.25"/>
    <row r="14110" hidden="1" x14ac:dyDescent="0.25"/>
    <row r="14111" hidden="1" x14ac:dyDescent="0.25"/>
    <row r="14112" hidden="1" x14ac:dyDescent="0.25"/>
    <row r="14113" hidden="1" x14ac:dyDescent="0.25"/>
    <row r="14114" hidden="1" x14ac:dyDescent="0.25"/>
    <row r="14115" hidden="1" x14ac:dyDescent="0.25"/>
    <row r="14116" hidden="1" x14ac:dyDescent="0.25"/>
    <row r="14117" hidden="1" x14ac:dyDescent="0.25"/>
    <row r="14118" hidden="1" x14ac:dyDescent="0.25"/>
    <row r="14119" hidden="1" x14ac:dyDescent="0.25"/>
    <row r="14120" hidden="1" x14ac:dyDescent="0.25"/>
    <row r="14121" hidden="1" x14ac:dyDescent="0.25"/>
    <row r="14122" hidden="1" x14ac:dyDescent="0.25"/>
    <row r="14123" hidden="1" x14ac:dyDescent="0.25"/>
    <row r="14124" hidden="1" x14ac:dyDescent="0.25"/>
    <row r="14125" hidden="1" x14ac:dyDescent="0.25"/>
    <row r="14126" hidden="1" x14ac:dyDescent="0.25"/>
    <row r="14127" hidden="1" x14ac:dyDescent="0.25"/>
    <row r="14128" hidden="1" x14ac:dyDescent="0.25"/>
    <row r="14129" hidden="1" x14ac:dyDescent="0.25"/>
    <row r="14130" hidden="1" x14ac:dyDescent="0.25"/>
    <row r="14131" hidden="1" x14ac:dyDescent="0.25"/>
    <row r="14132" hidden="1" x14ac:dyDescent="0.25"/>
    <row r="14133" hidden="1" x14ac:dyDescent="0.25"/>
    <row r="14134" hidden="1" x14ac:dyDescent="0.25"/>
    <row r="14135" hidden="1" x14ac:dyDescent="0.25"/>
    <row r="14136" hidden="1" x14ac:dyDescent="0.25"/>
    <row r="14137" hidden="1" x14ac:dyDescent="0.25"/>
    <row r="14138" hidden="1" x14ac:dyDescent="0.25"/>
    <row r="14139" hidden="1" x14ac:dyDescent="0.25"/>
    <row r="14140" hidden="1" x14ac:dyDescent="0.25"/>
    <row r="14141" hidden="1" x14ac:dyDescent="0.25"/>
    <row r="14142" hidden="1" x14ac:dyDescent="0.25"/>
    <row r="14143" hidden="1" x14ac:dyDescent="0.25"/>
    <row r="14144" hidden="1" x14ac:dyDescent="0.25"/>
    <row r="14145" hidden="1" x14ac:dyDescent="0.25"/>
    <row r="14146" hidden="1" x14ac:dyDescent="0.25"/>
    <row r="14147" hidden="1" x14ac:dyDescent="0.25"/>
    <row r="14148" hidden="1" x14ac:dyDescent="0.25"/>
    <row r="14149" hidden="1" x14ac:dyDescent="0.25"/>
    <row r="14150" hidden="1" x14ac:dyDescent="0.25"/>
    <row r="14151" hidden="1" x14ac:dyDescent="0.25"/>
    <row r="14152" hidden="1" x14ac:dyDescent="0.25"/>
    <row r="14153" hidden="1" x14ac:dyDescent="0.25"/>
    <row r="14154" hidden="1" x14ac:dyDescent="0.25"/>
    <row r="14155" hidden="1" x14ac:dyDescent="0.25"/>
    <row r="14156" hidden="1" x14ac:dyDescent="0.25"/>
    <row r="14157" hidden="1" x14ac:dyDescent="0.25"/>
    <row r="14158" hidden="1" x14ac:dyDescent="0.25"/>
    <row r="14159" hidden="1" x14ac:dyDescent="0.25"/>
    <row r="14160" hidden="1" x14ac:dyDescent="0.25"/>
    <row r="14161" hidden="1" x14ac:dyDescent="0.25"/>
    <row r="14162" hidden="1" x14ac:dyDescent="0.25"/>
    <row r="14163" hidden="1" x14ac:dyDescent="0.25"/>
    <row r="14164" hidden="1" x14ac:dyDescent="0.25"/>
    <row r="14165" hidden="1" x14ac:dyDescent="0.25"/>
    <row r="14166" hidden="1" x14ac:dyDescent="0.25"/>
    <row r="14167" hidden="1" x14ac:dyDescent="0.25"/>
    <row r="14168" hidden="1" x14ac:dyDescent="0.25"/>
    <row r="14169" hidden="1" x14ac:dyDescent="0.25"/>
    <row r="14170" hidden="1" x14ac:dyDescent="0.25"/>
    <row r="14171" hidden="1" x14ac:dyDescent="0.25"/>
    <row r="14172" hidden="1" x14ac:dyDescent="0.25"/>
    <row r="14173" hidden="1" x14ac:dyDescent="0.25"/>
    <row r="14174" hidden="1" x14ac:dyDescent="0.25"/>
    <row r="14175" hidden="1" x14ac:dyDescent="0.25"/>
    <row r="14176" hidden="1" x14ac:dyDescent="0.25"/>
    <row r="14177" hidden="1" x14ac:dyDescent="0.25"/>
    <row r="14178" hidden="1" x14ac:dyDescent="0.25"/>
    <row r="14179" hidden="1" x14ac:dyDescent="0.25"/>
    <row r="14180" hidden="1" x14ac:dyDescent="0.25"/>
    <row r="14181" hidden="1" x14ac:dyDescent="0.25"/>
    <row r="14182" hidden="1" x14ac:dyDescent="0.25"/>
    <row r="14183" hidden="1" x14ac:dyDescent="0.25"/>
    <row r="14184" hidden="1" x14ac:dyDescent="0.25"/>
    <row r="14185" hidden="1" x14ac:dyDescent="0.25"/>
    <row r="14186" hidden="1" x14ac:dyDescent="0.25"/>
    <row r="14187" hidden="1" x14ac:dyDescent="0.25"/>
    <row r="14188" hidden="1" x14ac:dyDescent="0.25"/>
    <row r="14189" hidden="1" x14ac:dyDescent="0.25"/>
    <row r="14190" hidden="1" x14ac:dyDescent="0.25"/>
    <row r="14191" hidden="1" x14ac:dyDescent="0.25"/>
    <row r="14192" hidden="1" x14ac:dyDescent="0.25"/>
    <row r="14193" hidden="1" x14ac:dyDescent="0.25"/>
    <row r="14194" hidden="1" x14ac:dyDescent="0.25"/>
    <row r="14195" hidden="1" x14ac:dyDescent="0.25"/>
    <row r="14196" hidden="1" x14ac:dyDescent="0.25"/>
    <row r="14197" hidden="1" x14ac:dyDescent="0.25"/>
    <row r="14198" hidden="1" x14ac:dyDescent="0.25"/>
    <row r="14199" hidden="1" x14ac:dyDescent="0.25"/>
    <row r="14200" hidden="1" x14ac:dyDescent="0.25"/>
    <row r="14201" hidden="1" x14ac:dyDescent="0.25"/>
    <row r="14202" hidden="1" x14ac:dyDescent="0.25"/>
    <row r="14203" hidden="1" x14ac:dyDescent="0.25"/>
    <row r="14204" hidden="1" x14ac:dyDescent="0.25"/>
    <row r="14205" hidden="1" x14ac:dyDescent="0.25"/>
    <row r="14206" hidden="1" x14ac:dyDescent="0.25"/>
    <row r="14207" hidden="1" x14ac:dyDescent="0.25"/>
    <row r="14208" hidden="1" x14ac:dyDescent="0.25"/>
    <row r="14209" hidden="1" x14ac:dyDescent="0.25"/>
    <row r="14210" hidden="1" x14ac:dyDescent="0.25"/>
    <row r="14211" hidden="1" x14ac:dyDescent="0.25"/>
    <row r="14212" hidden="1" x14ac:dyDescent="0.25"/>
    <row r="14213" hidden="1" x14ac:dyDescent="0.25"/>
    <row r="14214" hidden="1" x14ac:dyDescent="0.25"/>
    <row r="14215" hidden="1" x14ac:dyDescent="0.25"/>
    <row r="14216" hidden="1" x14ac:dyDescent="0.25"/>
    <row r="14217" hidden="1" x14ac:dyDescent="0.25"/>
    <row r="14218" hidden="1" x14ac:dyDescent="0.25"/>
    <row r="14219" hidden="1" x14ac:dyDescent="0.25"/>
    <row r="14220" hidden="1" x14ac:dyDescent="0.25"/>
    <row r="14221" hidden="1" x14ac:dyDescent="0.25"/>
    <row r="14222" hidden="1" x14ac:dyDescent="0.25"/>
    <row r="14223" hidden="1" x14ac:dyDescent="0.25"/>
    <row r="14224" hidden="1" x14ac:dyDescent="0.25"/>
    <row r="14225" hidden="1" x14ac:dyDescent="0.25"/>
    <row r="14226" hidden="1" x14ac:dyDescent="0.25"/>
    <row r="14227" hidden="1" x14ac:dyDescent="0.25"/>
    <row r="14228" hidden="1" x14ac:dyDescent="0.25"/>
    <row r="14229" hidden="1" x14ac:dyDescent="0.25"/>
    <row r="14230" hidden="1" x14ac:dyDescent="0.25"/>
    <row r="14231" hidden="1" x14ac:dyDescent="0.25"/>
    <row r="14232" hidden="1" x14ac:dyDescent="0.25"/>
    <row r="14233" hidden="1" x14ac:dyDescent="0.25"/>
    <row r="14234" hidden="1" x14ac:dyDescent="0.25"/>
    <row r="14235" hidden="1" x14ac:dyDescent="0.25"/>
    <row r="14236" hidden="1" x14ac:dyDescent="0.25"/>
    <row r="14237" hidden="1" x14ac:dyDescent="0.25"/>
    <row r="14238" hidden="1" x14ac:dyDescent="0.25"/>
    <row r="14239" hidden="1" x14ac:dyDescent="0.25"/>
    <row r="14240" hidden="1" x14ac:dyDescent="0.25"/>
    <row r="14241" hidden="1" x14ac:dyDescent="0.25"/>
    <row r="14242" hidden="1" x14ac:dyDescent="0.25"/>
    <row r="14243" hidden="1" x14ac:dyDescent="0.25"/>
    <row r="14244" hidden="1" x14ac:dyDescent="0.25"/>
    <row r="14245" hidden="1" x14ac:dyDescent="0.25"/>
    <row r="14246" hidden="1" x14ac:dyDescent="0.25"/>
    <row r="14247" hidden="1" x14ac:dyDescent="0.25"/>
    <row r="14248" hidden="1" x14ac:dyDescent="0.25"/>
    <row r="14249" hidden="1" x14ac:dyDescent="0.25"/>
    <row r="14250" hidden="1" x14ac:dyDescent="0.25"/>
    <row r="14251" hidden="1" x14ac:dyDescent="0.25"/>
    <row r="14252" hidden="1" x14ac:dyDescent="0.25"/>
    <row r="14253" hidden="1" x14ac:dyDescent="0.25"/>
    <row r="14254" hidden="1" x14ac:dyDescent="0.25"/>
    <row r="14255" hidden="1" x14ac:dyDescent="0.25"/>
    <row r="14256" hidden="1" x14ac:dyDescent="0.25"/>
    <row r="14257" hidden="1" x14ac:dyDescent="0.25"/>
    <row r="14258" hidden="1" x14ac:dyDescent="0.25"/>
    <row r="14259" hidden="1" x14ac:dyDescent="0.25"/>
    <row r="14260" hidden="1" x14ac:dyDescent="0.25"/>
    <row r="14261" hidden="1" x14ac:dyDescent="0.25"/>
    <row r="14262" hidden="1" x14ac:dyDescent="0.25"/>
    <row r="14263" hidden="1" x14ac:dyDescent="0.25"/>
    <row r="14264" hidden="1" x14ac:dyDescent="0.25"/>
    <row r="14265" hidden="1" x14ac:dyDescent="0.25"/>
    <row r="14266" hidden="1" x14ac:dyDescent="0.25"/>
    <row r="14267" hidden="1" x14ac:dyDescent="0.25"/>
    <row r="14268" hidden="1" x14ac:dyDescent="0.25"/>
    <row r="14269" hidden="1" x14ac:dyDescent="0.25"/>
    <row r="14270" hidden="1" x14ac:dyDescent="0.25"/>
    <row r="14271" hidden="1" x14ac:dyDescent="0.25"/>
    <row r="14272" hidden="1" x14ac:dyDescent="0.25"/>
    <row r="14273" hidden="1" x14ac:dyDescent="0.25"/>
    <row r="14274" hidden="1" x14ac:dyDescent="0.25"/>
    <row r="14275" hidden="1" x14ac:dyDescent="0.25"/>
    <row r="14276" hidden="1" x14ac:dyDescent="0.25"/>
    <row r="14277" hidden="1" x14ac:dyDescent="0.25"/>
    <row r="14278" hidden="1" x14ac:dyDescent="0.25"/>
    <row r="14279" hidden="1" x14ac:dyDescent="0.25"/>
    <row r="14280" hidden="1" x14ac:dyDescent="0.25"/>
    <row r="14281" hidden="1" x14ac:dyDescent="0.25"/>
    <row r="14282" hidden="1" x14ac:dyDescent="0.25"/>
    <row r="14283" hidden="1" x14ac:dyDescent="0.25"/>
    <row r="14284" hidden="1" x14ac:dyDescent="0.25"/>
    <row r="14285" hidden="1" x14ac:dyDescent="0.25"/>
    <row r="14286" hidden="1" x14ac:dyDescent="0.25"/>
    <row r="14287" hidden="1" x14ac:dyDescent="0.25"/>
    <row r="14288" hidden="1" x14ac:dyDescent="0.25"/>
    <row r="14289" hidden="1" x14ac:dyDescent="0.25"/>
    <row r="14290" hidden="1" x14ac:dyDescent="0.25"/>
    <row r="14291" hidden="1" x14ac:dyDescent="0.25"/>
    <row r="14292" hidden="1" x14ac:dyDescent="0.25"/>
    <row r="14293" hidden="1" x14ac:dyDescent="0.25"/>
    <row r="14294" hidden="1" x14ac:dyDescent="0.25"/>
    <row r="14295" hidden="1" x14ac:dyDescent="0.25"/>
    <row r="14296" hidden="1" x14ac:dyDescent="0.25"/>
    <row r="14297" hidden="1" x14ac:dyDescent="0.25"/>
    <row r="14298" hidden="1" x14ac:dyDescent="0.25"/>
    <row r="14299" hidden="1" x14ac:dyDescent="0.25"/>
    <row r="14300" hidden="1" x14ac:dyDescent="0.25"/>
    <row r="14301" hidden="1" x14ac:dyDescent="0.25"/>
    <row r="14302" hidden="1" x14ac:dyDescent="0.25"/>
    <row r="14303" hidden="1" x14ac:dyDescent="0.25"/>
    <row r="14304" hidden="1" x14ac:dyDescent="0.25"/>
    <row r="14305" hidden="1" x14ac:dyDescent="0.25"/>
    <row r="14306" hidden="1" x14ac:dyDescent="0.25"/>
    <row r="14307" hidden="1" x14ac:dyDescent="0.25"/>
    <row r="14308" hidden="1" x14ac:dyDescent="0.25"/>
    <row r="14309" hidden="1" x14ac:dyDescent="0.25"/>
    <row r="14310" hidden="1" x14ac:dyDescent="0.25"/>
    <row r="14311" hidden="1" x14ac:dyDescent="0.25"/>
    <row r="14312" hidden="1" x14ac:dyDescent="0.25"/>
    <row r="14313" hidden="1" x14ac:dyDescent="0.25"/>
    <row r="14314" hidden="1" x14ac:dyDescent="0.25"/>
    <row r="14315" hidden="1" x14ac:dyDescent="0.25"/>
    <row r="14316" hidden="1" x14ac:dyDescent="0.25"/>
    <row r="14317" hidden="1" x14ac:dyDescent="0.25"/>
    <row r="14318" hidden="1" x14ac:dyDescent="0.25"/>
    <row r="14319" hidden="1" x14ac:dyDescent="0.25"/>
    <row r="14320" hidden="1" x14ac:dyDescent="0.25"/>
    <row r="14321" hidden="1" x14ac:dyDescent="0.25"/>
    <row r="14322" hidden="1" x14ac:dyDescent="0.25"/>
    <row r="14323" hidden="1" x14ac:dyDescent="0.25"/>
    <row r="14324" hidden="1" x14ac:dyDescent="0.25"/>
    <row r="14325" hidden="1" x14ac:dyDescent="0.25"/>
    <row r="14326" hidden="1" x14ac:dyDescent="0.25"/>
    <row r="14327" hidden="1" x14ac:dyDescent="0.25"/>
    <row r="14328" hidden="1" x14ac:dyDescent="0.25"/>
    <row r="14329" hidden="1" x14ac:dyDescent="0.25"/>
    <row r="14330" hidden="1" x14ac:dyDescent="0.25"/>
    <row r="14331" hidden="1" x14ac:dyDescent="0.25"/>
    <row r="14332" hidden="1" x14ac:dyDescent="0.25"/>
    <row r="14333" hidden="1" x14ac:dyDescent="0.25"/>
    <row r="14334" hidden="1" x14ac:dyDescent="0.25"/>
    <row r="14335" hidden="1" x14ac:dyDescent="0.25"/>
    <row r="14336" hidden="1" x14ac:dyDescent="0.25"/>
    <row r="14337" hidden="1" x14ac:dyDescent="0.25"/>
    <row r="14338" hidden="1" x14ac:dyDescent="0.25"/>
    <row r="14339" hidden="1" x14ac:dyDescent="0.25"/>
    <row r="14340" hidden="1" x14ac:dyDescent="0.25"/>
    <row r="14341" hidden="1" x14ac:dyDescent="0.25"/>
    <row r="14342" hidden="1" x14ac:dyDescent="0.25"/>
    <row r="14343" hidden="1" x14ac:dyDescent="0.25"/>
    <row r="14344" hidden="1" x14ac:dyDescent="0.25"/>
    <row r="14345" hidden="1" x14ac:dyDescent="0.25"/>
    <row r="14346" hidden="1" x14ac:dyDescent="0.25"/>
    <row r="14347" hidden="1" x14ac:dyDescent="0.25"/>
    <row r="14348" hidden="1" x14ac:dyDescent="0.25"/>
    <row r="14349" hidden="1" x14ac:dyDescent="0.25"/>
    <row r="14350" hidden="1" x14ac:dyDescent="0.25"/>
    <row r="14351" hidden="1" x14ac:dyDescent="0.25"/>
    <row r="14352" hidden="1" x14ac:dyDescent="0.25"/>
    <row r="14353" hidden="1" x14ac:dyDescent="0.25"/>
    <row r="14354" hidden="1" x14ac:dyDescent="0.25"/>
    <row r="14355" hidden="1" x14ac:dyDescent="0.25"/>
    <row r="14356" hidden="1" x14ac:dyDescent="0.25"/>
    <row r="14357" hidden="1" x14ac:dyDescent="0.25"/>
    <row r="14358" hidden="1" x14ac:dyDescent="0.25"/>
    <row r="14359" hidden="1" x14ac:dyDescent="0.25"/>
    <row r="14360" hidden="1" x14ac:dyDescent="0.25"/>
    <row r="14361" hidden="1" x14ac:dyDescent="0.25"/>
    <row r="14362" hidden="1" x14ac:dyDescent="0.25"/>
    <row r="14363" hidden="1" x14ac:dyDescent="0.25"/>
    <row r="14364" hidden="1" x14ac:dyDescent="0.25"/>
    <row r="14365" hidden="1" x14ac:dyDescent="0.25"/>
    <row r="14366" hidden="1" x14ac:dyDescent="0.25"/>
    <row r="14367" hidden="1" x14ac:dyDescent="0.25"/>
    <row r="14368" hidden="1" x14ac:dyDescent="0.25"/>
    <row r="14369" hidden="1" x14ac:dyDescent="0.25"/>
    <row r="14370" hidden="1" x14ac:dyDescent="0.25"/>
    <row r="14371" hidden="1" x14ac:dyDescent="0.25"/>
    <row r="14372" hidden="1" x14ac:dyDescent="0.25"/>
    <row r="14373" hidden="1" x14ac:dyDescent="0.25"/>
    <row r="14374" hidden="1" x14ac:dyDescent="0.25"/>
    <row r="14375" hidden="1" x14ac:dyDescent="0.25"/>
    <row r="14376" hidden="1" x14ac:dyDescent="0.25"/>
    <row r="14377" hidden="1" x14ac:dyDescent="0.25"/>
    <row r="14378" hidden="1" x14ac:dyDescent="0.25"/>
    <row r="14379" hidden="1" x14ac:dyDescent="0.25"/>
    <row r="14380" hidden="1" x14ac:dyDescent="0.25"/>
    <row r="14381" hidden="1" x14ac:dyDescent="0.25"/>
    <row r="14382" hidden="1" x14ac:dyDescent="0.25"/>
    <row r="14383" hidden="1" x14ac:dyDescent="0.25"/>
    <row r="14384" hidden="1" x14ac:dyDescent="0.25"/>
    <row r="14385" hidden="1" x14ac:dyDescent="0.25"/>
    <row r="14386" hidden="1" x14ac:dyDescent="0.25"/>
    <row r="14387" hidden="1" x14ac:dyDescent="0.25"/>
    <row r="14388" hidden="1" x14ac:dyDescent="0.25"/>
    <row r="14389" hidden="1" x14ac:dyDescent="0.25"/>
    <row r="14390" hidden="1" x14ac:dyDescent="0.25"/>
    <row r="14391" hidden="1" x14ac:dyDescent="0.25"/>
    <row r="14392" hidden="1" x14ac:dyDescent="0.25"/>
    <row r="14393" hidden="1" x14ac:dyDescent="0.25"/>
    <row r="14394" hidden="1" x14ac:dyDescent="0.25"/>
    <row r="14395" hidden="1" x14ac:dyDescent="0.25"/>
    <row r="14396" hidden="1" x14ac:dyDescent="0.25"/>
    <row r="14397" hidden="1" x14ac:dyDescent="0.25"/>
    <row r="14398" hidden="1" x14ac:dyDescent="0.25"/>
    <row r="14399" hidden="1" x14ac:dyDescent="0.25"/>
    <row r="14400" hidden="1" x14ac:dyDescent="0.25"/>
    <row r="14401" hidden="1" x14ac:dyDescent="0.25"/>
    <row r="14402" hidden="1" x14ac:dyDescent="0.25"/>
    <row r="14403" hidden="1" x14ac:dyDescent="0.25"/>
    <row r="14404" hidden="1" x14ac:dyDescent="0.25"/>
    <row r="14405" hidden="1" x14ac:dyDescent="0.25"/>
    <row r="14406" hidden="1" x14ac:dyDescent="0.25"/>
    <row r="14407" hidden="1" x14ac:dyDescent="0.25"/>
    <row r="14408" hidden="1" x14ac:dyDescent="0.25"/>
    <row r="14409" hidden="1" x14ac:dyDescent="0.25"/>
    <row r="14410" hidden="1" x14ac:dyDescent="0.25"/>
    <row r="14411" hidden="1" x14ac:dyDescent="0.25"/>
    <row r="14412" hidden="1" x14ac:dyDescent="0.25"/>
    <row r="14413" hidden="1" x14ac:dyDescent="0.25"/>
    <row r="14414" hidden="1" x14ac:dyDescent="0.25"/>
    <row r="14415" hidden="1" x14ac:dyDescent="0.25"/>
    <row r="14416" hidden="1" x14ac:dyDescent="0.25"/>
    <row r="14417" hidden="1" x14ac:dyDescent="0.25"/>
    <row r="14418" hidden="1" x14ac:dyDescent="0.25"/>
    <row r="14419" hidden="1" x14ac:dyDescent="0.25"/>
    <row r="14420" hidden="1" x14ac:dyDescent="0.25"/>
    <row r="14421" hidden="1" x14ac:dyDescent="0.25"/>
    <row r="14422" hidden="1" x14ac:dyDescent="0.25"/>
    <row r="14423" hidden="1" x14ac:dyDescent="0.25"/>
    <row r="14424" hidden="1" x14ac:dyDescent="0.25"/>
    <row r="14425" hidden="1" x14ac:dyDescent="0.25"/>
    <row r="14426" hidden="1" x14ac:dyDescent="0.25"/>
    <row r="14427" hidden="1" x14ac:dyDescent="0.25"/>
    <row r="14428" hidden="1" x14ac:dyDescent="0.25"/>
    <row r="14429" hidden="1" x14ac:dyDescent="0.25"/>
    <row r="14430" hidden="1" x14ac:dyDescent="0.25"/>
    <row r="14431" hidden="1" x14ac:dyDescent="0.25"/>
    <row r="14432" hidden="1" x14ac:dyDescent="0.25"/>
    <row r="14433" hidden="1" x14ac:dyDescent="0.25"/>
    <row r="14434" hidden="1" x14ac:dyDescent="0.25"/>
    <row r="14435" hidden="1" x14ac:dyDescent="0.25"/>
    <row r="14436" hidden="1" x14ac:dyDescent="0.25"/>
    <row r="14437" hidden="1" x14ac:dyDescent="0.25"/>
    <row r="14438" hidden="1" x14ac:dyDescent="0.25"/>
    <row r="14439" hidden="1" x14ac:dyDescent="0.25"/>
    <row r="14440" hidden="1" x14ac:dyDescent="0.25"/>
    <row r="14441" hidden="1" x14ac:dyDescent="0.25"/>
    <row r="14442" hidden="1" x14ac:dyDescent="0.25"/>
    <row r="14443" hidden="1" x14ac:dyDescent="0.25"/>
    <row r="14444" hidden="1" x14ac:dyDescent="0.25"/>
    <row r="14445" hidden="1" x14ac:dyDescent="0.25"/>
    <row r="14446" hidden="1" x14ac:dyDescent="0.25"/>
    <row r="14447" hidden="1" x14ac:dyDescent="0.25"/>
    <row r="14448" hidden="1" x14ac:dyDescent="0.25"/>
    <row r="14449" hidden="1" x14ac:dyDescent="0.25"/>
    <row r="14450" hidden="1" x14ac:dyDescent="0.25"/>
    <row r="14451" hidden="1" x14ac:dyDescent="0.25"/>
    <row r="14452" hidden="1" x14ac:dyDescent="0.25"/>
    <row r="14453" hidden="1" x14ac:dyDescent="0.25"/>
    <row r="14454" hidden="1" x14ac:dyDescent="0.25"/>
    <row r="14455" hidden="1" x14ac:dyDescent="0.25"/>
    <row r="14456" hidden="1" x14ac:dyDescent="0.25"/>
    <row r="14457" hidden="1" x14ac:dyDescent="0.25"/>
    <row r="14458" hidden="1" x14ac:dyDescent="0.25"/>
    <row r="14459" hidden="1" x14ac:dyDescent="0.25"/>
    <row r="14460" hidden="1" x14ac:dyDescent="0.25"/>
    <row r="14461" hidden="1" x14ac:dyDescent="0.25"/>
    <row r="14462" hidden="1" x14ac:dyDescent="0.25"/>
    <row r="14463" hidden="1" x14ac:dyDescent="0.25"/>
    <row r="14464" hidden="1" x14ac:dyDescent="0.25"/>
    <row r="14465" hidden="1" x14ac:dyDescent="0.25"/>
    <row r="14466" hidden="1" x14ac:dyDescent="0.25"/>
    <row r="14467" hidden="1" x14ac:dyDescent="0.25"/>
    <row r="14468" hidden="1" x14ac:dyDescent="0.25"/>
    <row r="14469" hidden="1" x14ac:dyDescent="0.25"/>
    <row r="14470" hidden="1" x14ac:dyDescent="0.25"/>
    <row r="14471" hidden="1" x14ac:dyDescent="0.25"/>
    <row r="14472" hidden="1" x14ac:dyDescent="0.25"/>
    <row r="14473" hidden="1" x14ac:dyDescent="0.25"/>
    <row r="14474" hidden="1" x14ac:dyDescent="0.25"/>
    <row r="14475" hidden="1" x14ac:dyDescent="0.25"/>
    <row r="14476" hidden="1" x14ac:dyDescent="0.25"/>
    <row r="14477" hidden="1" x14ac:dyDescent="0.25"/>
    <row r="14478" hidden="1" x14ac:dyDescent="0.25"/>
    <row r="14479" hidden="1" x14ac:dyDescent="0.25"/>
    <row r="14480" hidden="1" x14ac:dyDescent="0.25"/>
    <row r="14481" hidden="1" x14ac:dyDescent="0.25"/>
    <row r="14482" hidden="1" x14ac:dyDescent="0.25"/>
    <row r="14483" hidden="1" x14ac:dyDescent="0.25"/>
    <row r="14484" hidden="1" x14ac:dyDescent="0.25"/>
    <row r="14485" hidden="1" x14ac:dyDescent="0.25"/>
    <row r="14486" hidden="1" x14ac:dyDescent="0.25"/>
    <row r="14487" hidden="1" x14ac:dyDescent="0.25"/>
    <row r="14488" hidden="1" x14ac:dyDescent="0.25"/>
    <row r="14489" hidden="1" x14ac:dyDescent="0.25"/>
    <row r="14490" hidden="1" x14ac:dyDescent="0.25"/>
    <row r="14491" hidden="1" x14ac:dyDescent="0.25"/>
    <row r="14492" hidden="1" x14ac:dyDescent="0.25"/>
    <row r="14493" hidden="1" x14ac:dyDescent="0.25"/>
    <row r="14494" hidden="1" x14ac:dyDescent="0.25"/>
    <row r="14495" hidden="1" x14ac:dyDescent="0.25"/>
    <row r="14496" hidden="1" x14ac:dyDescent="0.25"/>
    <row r="14497" hidden="1" x14ac:dyDescent="0.25"/>
    <row r="14498" hidden="1" x14ac:dyDescent="0.25"/>
    <row r="14499" hidden="1" x14ac:dyDescent="0.25"/>
    <row r="14500" hidden="1" x14ac:dyDescent="0.25"/>
    <row r="14501" hidden="1" x14ac:dyDescent="0.25"/>
    <row r="14502" hidden="1" x14ac:dyDescent="0.25"/>
    <row r="14503" hidden="1" x14ac:dyDescent="0.25"/>
    <row r="14504" hidden="1" x14ac:dyDescent="0.25"/>
    <row r="14505" hidden="1" x14ac:dyDescent="0.25"/>
    <row r="14506" hidden="1" x14ac:dyDescent="0.25"/>
    <row r="14507" hidden="1" x14ac:dyDescent="0.25"/>
    <row r="14508" hidden="1" x14ac:dyDescent="0.25"/>
    <row r="14509" hidden="1" x14ac:dyDescent="0.25"/>
    <row r="14510" hidden="1" x14ac:dyDescent="0.25"/>
    <row r="14511" hidden="1" x14ac:dyDescent="0.25"/>
    <row r="14512" hidden="1" x14ac:dyDescent="0.25"/>
    <row r="14513" hidden="1" x14ac:dyDescent="0.25"/>
    <row r="14514" hidden="1" x14ac:dyDescent="0.25"/>
    <row r="14515" hidden="1" x14ac:dyDescent="0.25"/>
    <row r="14516" hidden="1" x14ac:dyDescent="0.25"/>
    <row r="14517" hidden="1" x14ac:dyDescent="0.25"/>
    <row r="14518" hidden="1" x14ac:dyDescent="0.25"/>
    <row r="14519" hidden="1" x14ac:dyDescent="0.25"/>
    <row r="14520" hidden="1" x14ac:dyDescent="0.25"/>
    <row r="14521" hidden="1" x14ac:dyDescent="0.25"/>
    <row r="14522" hidden="1" x14ac:dyDescent="0.25"/>
    <row r="14523" hidden="1" x14ac:dyDescent="0.25"/>
    <row r="14524" hidden="1" x14ac:dyDescent="0.25"/>
    <row r="14525" hidden="1" x14ac:dyDescent="0.25"/>
    <row r="14526" hidden="1" x14ac:dyDescent="0.25"/>
    <row r="14527" hidden="1" x14ac:dyDescent="0.25"/>
    <row r="14528" hidden="1" x14ac:dyDescent="0.25"/>
    <row r="14529" hidden="1" x14ac:dyDescent="0.25"/>
    <row r="14530" hidden="1" x14ac:dyDescent="0.25"/>
    <row r="14531" hidden="1" x14ac:dyDescent="0.25"/>
    <row r="14532" hidden="1" x14ac:dyDescent="0.25"/>
    <row r="14533" hidden="1" x14ac:dyDescent="0.25"/>
    <row r="14534" hidden="1" x14ac:dyDescent="0.25"/>
    <row r="14535" hidden="1" x14ac:dyDescent="0.25"/>
    <row r="14536" hidden="1" x14ac:dyDescent="0.25"/>
    <row r="14537" hidden="1" x14ac:dyDescent="0.25"/>
    <row r="14538" hidden="1" x14ac:dyDescent="0.25"/>
    <row r="14539" hidden="1" x14ac:dyDescent="0.25"/>
    <row r="14540" hidden="1" x14ac:dyDescent="0.25"/>
    <row r="14541" hidden="1" x14ac:dyDescent="0.25"/>
    <row r="14542" hidden="1" x14ac:dyDescent="0.25"/>
    <row r="14543" hidden="1" x14ac:dyDescent="0.25"/>
    <row r="14544" hidden="1" x14ac:dyDescent="0.25"/>
    <row r="14545" hidden="1" x14ac:dyDescent="0.25"/>
    <row r="14546" hidden="1" x14ac:dyDescent="0.25"/>
    <row r="14547" hidden="1" x14ac:dyDescent="0.25"/>
    <row r="14548" hidden="1" x14ac:dyDescent="0.25"/>
    <row r="14549" hidden="1" x14ac:dyDescent="0.25"/>
    <row r="14550" hidden="1" x14ac:dyDescent="0.25"/>
    <row r="14551" hidden="1" x14ac:dyDescent="0.25"/>
    <row r="14552" hidden="1" x14ac:dyDescent="0.25"/>
    <row r="14553" hidden="1" x14ac:dyDescent="0.25"/>
    <row r="14554" hidden="1" x14ac:dyDescent="0.25"/>
    <row r="14555" hidden="1" x14ac:dyDescent="0.25"/>
    <row r="14556" hidden="1" x14ac:dyDescent="0.25"/>
    <row r="14557" hidden="1" x14ac:dyDescent="0.25"/>
    <row r="14558" hidden="1" x14ac:dyDescent="0.25"/>
    <row r="14559" hidden="1" x14ac:dyDescent="0.25"/>
    <row r="14560" hidden="1" x14ac:dyDescent="0.25"/>
    <row r="14561" hidden="1" x14ac:dyDescent="0.25"/>
    <row r="14562" hidden="1" x14ac:dyDescent="0.25"/>
    <row r="14563" hidden="1" x14ac:dyDescent="0.25"/>
    <row r="14564" hidden="1" x14ac:dyDescent="0.25"/>
    <row r="14565" hidden="1" x14ac:dyDescent="0.25"/>
    <row r="14566" hidden="1" x14ac:dyDescent="0.25"/>
    <row r="14567" hidden="1" x14ac:dyDescent="0.25"/>
    <row r="14568" hidden="1" x14ac:dyDescent="0.25"/>
    <row r="14569" hidden="1" x14ac:dyDescent="0.25"/>
    <row r="14570" hidden="1" x14ac:dyDescent="0.25"/>
    <row r="14571" hidden="1" x14ac:dyDescent="0.25"/>
    <row r="14572" hidden="1" x14ac:dyDescent="0.25"/>
    <row r="14573" hidden="1" x14ac:dyDescent="0.25"/>
    <row r="14574" hidden="1" x14ac:dyDescent="0.25"/>
    <row r="14575" hidden="1" x14ac:dyDescent="0.25"/>
    <row r="14576" hidden="1" x14ac:dyDescent="0.25"/>
    <row r="14577" hidden="1" x14ac:dyDescent="0.25"/>
    <row r="14578" hidden="1" x14ac:dyDescent="0.25"/>
    <row r="14579" hidden="1" x14ac:dyDescent="0.25"/>
    <row r="14580" hidden="1" x14ac:dyDescent="0.25"/>
    <row r="14581" hidden="1" x14ac:dyDescent="0.25"/>
    <row r="14582" hidden="1" x14ac:dyDescent="0.25"/>
    <row r="14583" hidden="1" x14ac:dyDescent="0.25"/>
    <row r="14584" hidden="1" x14ac:dyDescent="0.25"/>
    <row r="14585" hidden="1" x14ac:dyDescent="0.25"/>
    <row r="14586" hidden="1" x14ac:dyDescent="0.25"/>
    <row r="14587" hidden="1" x14ac:dyDescent="0.25"/>
    <row r="14588" hidden="1" x14ac:dyDescent="0.25"/>
    <row r="14589" hidden="1" x14ac:dyDescent="0.25"/>
    <row r="14590" hidden="1" x14ac:dyDescent="0.25"/>
    <row r="14591" hidden="1" x14ac:dyDescent="0.25"/>
    <row r="14592" hidden="1" x14ac:dyDescent="0.25"/>
    <row r="14593" hidden="1" x14ac:dyDescent="0.25"/>
    <row r="14594" hidden="1" x14ac:dyDescent="0.25"/>
    <row r="14595" hidden="1" x14ac:dyDescent="0.25"/>
    <row r="14596" hidden="1" x14ac:dyDescent="0.25"/>
    <row r="14597" hidden="1" x14ac:dyDescent="0.25"/>
    <row r="14598" hidden="1" x14ac:dyDescent="0.25"/>
    <row r="14599" hidden="1" x14ac:dyDescent="0.25"/>
    <row r="14600" hidden="1" x14ac:dyDescent="0.25"/>
    <row r="14601" hidden="1" x14ac:dyDescent="0.25"/>
    <row r="14602" hidden="1" x14ac:dyDescent="0.25"/>
    <row r="14603" hidden="1" x14ac:dyDescent="0.25"/>
    <row r="14604" hidden="1" x14ac:dyDescent="0.25"/>
    <row r="14605" hidden="1" x14ac:dyDescent="0.25"/>
    <row r="14606" hidden="1" x14ac:dyDescent="0.25"/>
    <row r="14607" hidden="1" x14ac:dyDescent="0.25"/>
    <row r="14608" hidden="1" x14ac:dyDescent="0.25"/>
    <row r="14609" hidden="1" x14ac:dyDescent="0.25"/>
    <row r="14610" hidden="1" x14ac:dyDescent="0.25"/>
    <row r="14611" hidden="1" x14ac:dyDescent="0.25"/>
    <row r="14612" hidden="1" x14ac:dyDescent="0.25"/>
    <row r="14613" hidden="1" x14ac:dyDescent="0.25"/>
    <row r="14614" hidden="1" x14ac:dyDescent="0.25"/>
    <row r="14615" hidden="1" x14ac:dyDescent="0.25"/>
    <row r="14616" hidden="1" x14ac:dyDescent="0.25"/>
    <row r="14617" hidden="1" x14ac:dyDescent="0.25"/>
    <row r="14618" hidden="1" x14ac:dyDescent="0.25"/>
    <row r="14619" hidden="1" x14ac:dyDescent="0.25"/>
    <row r="14620" hidden="1" x14ac:dyDescent="0.25"/>
    <row r="14621" hidden="1" x14ac:dyDescent="0.25"/>
    <row r="14622" hidden="1" x14ac:dyDescent="0.25"/>
    <row r="14623" hidden="1" x14ac:dyDescent="0.25"/>
    <row r="14624" hidden="1" x14ac:dyDescent="0.25"/>
    <row r="14625" hidden="1" x14ac:dyDescent="0.25"/>
    <row r="14626" hidden="1" x14ac:dyDescent="0.25"/>
    <row r="14627" hidden="1" x14ac:dyDescent="0.25"/>
    <row r="14628" hidden="1" x14ac:dyDescent="0.25"/>
    <row r="14629" hidden="1" x14ac:dyDescent="0.25"/>
    <row r="14630" hidden="1" x14ac:dyDescent="0.25"/>
    <row r="14631" hidden="1" x14ac:dyDescent="0.25"/>
    <row r="14632" hidden="1" x14ac:dyDescent="0.25"/>
    <row r="14633" hidden="1" x14ac:dyDescent="0.25"/>
    <row r="14634" hidden="1" x14ac:dyDescent="0.25"/>
    <row r="14635" hidden="1" x14ac:dyDescent="0.25"/>
    <row r="14636" hidden="1" x14ac:dyDescent="0.25"/>
    <row r="14637" hidden="1" x14ac:dyDescent="0.25"/>
    <row r="14638" hidden="1" x14ac:dyDescent="0.25"/>
    <row r="14639" hidden="1" x14ac:dyDescent="0.25"/>
    <row r="14640" hidden="1" x14ac:dyDescent="0.25"/>
    <row r="14641" hidden="1" x14ac:dyDescent="0.25"/>
    <row r="14642" hidden="1" x14ac:dyDescent="0.25"/>
    <row r="14643" hidden="1" x14ac:dyDescent="0.25"/>
    <row r="14644" hidden="1" x14ac:dyDescent="0.25"/>
    <row r="14645" hidden="1" x14ac:dyDescent="0.25"/>
    <row r="14646" hidden="1" x14ac:dyDescent="0.25"/>
    <row r="14647" hidden="1" x14ac:dyDescent="0.25"/>
    <row r="14648" hidden="1" x14ac:dyDescent="0.25"/>
    <row r="14649" hidden="1" x14ac:dyDescent="0.25"/>
    <row r="14650" hidden="1" x14ac:dyDescent="0.25"/>
    <row r="14651" hidden="1" x14ac:dyDescent="0.25"/>
    <row r="14652" hidden="1" x14ac:dyDescent="0.25"/>
    <row r="14653" hidden="1" x14ac:dyDescent="0.25"/>
    <row r="14654" hidden="1" x14ac:dyDescent="0.25"/>
    <row r="14655" hidden="1" x14ac:dyDescent="0.25"/>
    <row r="14656" hidden="1" x14ac:dyDescent="0.25"/>
    <row r="14657" hidden="1" x14ac:dyDescent="0.25"/>
    <row r="14658" hidden="1" x14ac:dyDescent="0.25"/>
    <row r="14659" hidden="1" x14ac:dyDescent="0.25"/>
    <row r="14660" hidden="1" x14ac:dyDescent="0.25"/>
    <row r="14661" hidden="1" x14ac:dyDescent="0.25"/>
    <row r="14662" hidden="1" x14ac:dyDescent="0.25"/>
    <row r="14663" hidden="1" x14ac:dyDescent="0.25"/>
    <row r="14664" hidden="1" x14ac:dyDescent="0.25"/>
    <row r="14665" hidden="1" x14ac:dyDescent="0.25"/>
    <row r="14666" hidden="1" x14ac:dyDescent="0.25"/>
    <row r="14667" hidden="1" x14ac:dyDescent="0.25"/>
    <row r="14668" hidden="1" x14ac:dyDescent="0.25"/>
    <row r="14669" hidden="1" x14ac:dyDescent="0.25"/>
    <row r="14670" hidden="1" x14ac:dyDescent="0.25"/>
    <row r="14671" hidden="1" x14ac:dyDescent="0.25"/>
    <row r="14672" hidden="1" x14ac:dyDescent="0.25"/>
    <row r="14673" hidden="1" x14ac:dyDescent="0.25"/>
    <row r="14674" hidden="1" x14ac:dyDescent="0.25"/>
    <row r="14675" hidden="1" x14ac:dyDescent="0.25"/>
    <row r="14676" hidden="1" x14ac:dyDescent="0.25"/>
    <row r="14677" hidden="1" x14ac:dyDescent="0.25"/>
    <row r="14678" hidden="1" x14ac:dyDescent="0.25"/>
    <row r="14679" hidden="1" x14ac:dyDescent="0.25"/>
    <row r="14680" hidden="1" x14ac:dyDescent="0.25"/>
    <row r="14681" hidden="1" x14ac:dyDescent="0.25"/>
    <row r="14682" hidden="1" x14ac:dyDescent="0.25"/>
    <row r="14683" hidden="1" x14ac:dyDescent="0.25"/>
    <row r="14684" hidden="1" x14ac:dyDescent="0.25"/>
    <row r="14685" hidden="1" x14ac:dyDescent="0.25"/>
    <row r="14686" hidden="1" x14ac:dyDescent="0.25"/>
    <row r="14687" hidden="1" x14ac:dyDescent="0.25"/>
    <row r="14688" hidden="1" x14ac:dyDescent="0.25"/>
    <row r="14689" hidden="1" x14ac:dyDescent="0.25"/>
    <row r="14690" hidden="1" x14ac:dyDescent="0.25"/>
    <row r="14691" hidden="1" x14ac:dyDescent="0.25"/>
    <row r="14692" hidden="1" x14ac:dyDescent="0.25"/>
    <row r="14693" hidden="1" x14ac:dyDescent="0.25"/>
    <row r="14694" hidden="1" x14ac:dyDescent="0.25"/>
    <row r="14695" hidden="1" x14ac:dyDescent="0.25"/>
    <row r="14696" hidden="1" x14ac:dyDescent="0.25"/>
    <row r="14697" hidden="1" x14ac:dyDescent="0.25"/>
    <row r="14698" hidden="1" x14ac:dyDescent="0.25"/>
    <row r="14699" hidden="1" x14ac:dyDescent="0.25"/>
    <row r="14700" hidden="1" x14ac:dyDescent="0.25"/>
    <row r="14701" hidden="1" x14ac:dyDescent="0.25"/>
    <row r="14702" hidden="1" x14ac:dyDescent="0.25"/>
    <row r="14703" hidden="1" x14ac:dyDescent="0.25"/>
    <row r="14704" hidden="1" x14ac:dyDescent="0.25"/>
    <row r="14705" hidden="1" x14ac:dyDescent="0.25"/>
    <row r="14706" hidden="1" x14ac:dyDescent="0.25"/>
    <row r="14707" hidden="1" x14ac:dyDescent="0.25"/>
    <row r="14708" hidden="1" x14ac:dyDescent="0.25"/>
    <row r="14709" hidden="1" x14ac:dyDescent="0.25"/>
    <row r="14710" hidden="1" x14ac:dyDescent="0.25"/>
    <row r="14711" hidden="1" x14ac:dyDescent="0.25"/>
    <row r="14712" hidden="1" x14ac:dyDescent="0.25"/>
    <row r="14713" hidden="1" x14ac:dyDescent="0.25"/>
    <row r="14714" hidden="1" x14ac:dyDescent="0.25"/>
    <row r="14715" hidden="1" x14ac:dyDescent="0.25"/>
    <row r="14716" hidden="1" x14ac:dyDescent="0.25"/>
    <row r="14717" hidden="1" x14ac:dyDescent="0.25"/>
    <row r="14718" hidden="1" x14ac:dyDescent="0.25"/>
    <row r="14719" hidden="1" x14ac:dyDescent="0.25"/>
    <row r="14720" hidden="1" x14ac:dyDescent="0.25"/>
    <row r="14721" hidden="1" x14ac:dyDescent="0.25"/>
    <row r="14722" hidden="1" x14ac:dyDescent="0.25"/>
    <row r="14723" hidden="1" x14ac:dyDescent="0.25"/>
    <row r="14724" hidden="1" x14ac:dyDescent="0.25"/>
    <row r="14725" hidden="1" x14ac:dyDescent="0.25"/>
    <row r="14726" hidden="1" x14ac:dyDescent="0.25"/>
    <row r="14727" hidden="1" x14ac:dyDescent="0.25"/>
    <row r="14728" hidden="1" x14ac:dyDescent="0.25"/>
    <row r="14729" hidden="1" x14ac:dyDescent="0.25"/>
    <row r="14730" hidden="1" x14ac:dyDescent="0.25"/>
    <row r="14731" hidden="1" x14ac:dyDescent="0.25"/>
    <row r="14732" hidden="1" x14ac:dyDescent="0.25"/>
    <row r="14733" hidden="1" x14ac:dyDescent="0.25"/>
    <row r="14734" hidden="1" x14ac:dyDescent="0.25"/>
    <row r="14735" hidden="1" x14ac:dyDescent="0.25"/>
    <row r="14736" hidden="1" x14ac:dyDescent="0.25"/>
    <row r="14737" hidden="1" x14ac:dyDescent="0.25"/>
    <row r="14738" hidden="1" x14ac:dyDescent="0.25"/>
    <row r="14739" hidden="1" x14ac:dyDescent="0.25"/>
    <row r="14740" hidden="1" x14ac:dyDescent="0.25"/>
    <row r="14741" hidden="1" x14ac:dyDescent="0.25"/>
    <row r="14742" hidden="1" x14ac:dyDescent="0.25"/>
    <row r="14743" hidden="1" x14ac:dyDescent="0.25"/>
    <row r="14744" hidden="1" x14ac:dyDescent="0.25"/>
    <row r="14745" hidden="1" x14ac:dyDescent="0.25"/>
    <row r="14746" hidden="1" x14ac:dyDescent="0.25"/>
    <row r="14747" hidden="1" x14ac:dyDescent="0.25"/>
    <row r="14748" hidden="1" x14ac:dyDescent="0.25"/>
    <row r="14749" hidden="1" x14ac:dyDescent="0.25"/>
    <row r="14750" hidden="1" x14ac:dyDescent="0.25"/>
    <row r="14751" hidden="1" x14ac:dyDescent="0.25"/>
    <row r="14752" hidden="1" x14ac:dyDescent="0.25"/>
    <row r="14753" hidden="1" x14ac:dyDescent="0.25"/>
    <row r="14754" hidden="1" x14ac:dyDescent="0.25"/>
    <row r="14755" hidden="1" x14ac:dyDescent="0.25"/>
    <row r="14756" hidden="1" x14ac:dyDescent="0.25"/>
    <row r="14757" hidden="1" x14ac:dyDescent="0.25"/>
    <row r="14758" hidden="1" x14ac:dyDescent="0.25"/>
    <row r="14759" hidden="1" x14ac:dyDescent="0.25"/>
    <row r="14760" hidden="1" x14ac:dyDescent="0.25"/>
    <row r="14761" hidden="1" x14ac:dyDescent="0.25"/>
    <row r="14762" hidden="1" x14ac:dyDescent="0.25"/>
    <row r="14763" hidden="1" x14ac:dyDescent="0.25"/>
    <row r="14764" hidden="1" x14ac:dyDescent="0.25"/>
    <row r="14765" hidden="1" x14ac:dyDescent="0.25"/>
    <row r="14766" hidden="1" x14ac:dyDescent="0.25"/>
    <row r="14767" hidden="1" x14ac:dyDescent="0.25"/>
    <row r="14768" hidden="1" x14ac:dyDescent="0.25"/>
    <row r="14769" hidden="1" x14ac:dyDescent="0.25"/>
    <row r="14770" hidden="1" x14ac:dyDescent="0.25"/>
    <row r="14771" hidden="1" x14ac:dyDescent="0.25"/>
    <row r="14772" hidden="1" x14ac:dyDescent="0.25"/>
    <row r="14773" hidden="1" x14ac:dyDescent="0.25"/>
    <row r="14774" hidden="1" x14ac:dyDescent="0.25"/>
    <row r="14775" hidden="1" x14ac:dyDescent="0.25"/>
    <row r="14776" hidden="1" x14ac:dyDescent="0.25"/>
    <row r="14777" hidden="1" x14ac:dyDescent="0.25"/>
    <row r="14778" hidden="1" x14ac:dyDescent="0.25"/>
    <row r="14779" hidden="1" x14ac:dyDescent="0.25"/>
    <row r="14780" hidden="1" x14ac:dyDescent="0.25"/>
    <row r="14781" hidden="1" x14ac:dyDescent="0.25"/>
    <row r="14782" hidden="1" x14ac:dyDescent="0.25"/>
    <row r="14783" hidden="1" x14ac:dyDescent="0.25"/>
    <row r="14784" hidden="1" x14ac:dyDescent="0.25"/>
    <row r="14785" hidden="1" x14ac:dyDescent="0.25"/>
    <row r="14786" hidden="1" x14ac:dyDescent="0.25"/>
    <row r="14787" hidden="1" x14ac:dyDescent="0.25"/>
    <row r="14788" hidden="1" x14ac:dyDescent="0.25"/>
    <row r="14789" hidden="1" x14ac:dyDescent="0.25"/>
    <row r="14790" hidden="1" x14ac:dyDescent="0.25"/>
    <row r="14791" hidden="1" x14ac:dyDescent="0.25"/>
    <row r="14792" hidden="1" x14ac:dyDescent="0.25"/>
    <row r="14793" hidden="1" x14ac:dyDescent="0.25"/>
    <row r="14794" hidden="1" x14ac:dyDescent="0.25"/>
    <row r="14795" hidden="1" x14ac:dyDescent="0.25"/>
    <row r="14796" hidden="1" x14ac:dyDescent="0.25"/>
    <row r="14797" hidden="1" x14ac:dyDescent="0.25"/>
    <row r="14798" hidden="1" x14ac:dyDescent="0.25"/>
    <row r="14799" hidden="1" x14ac:dyDescent="0.25"/>
    <row r="14800" hidden="1" x14ac:dyDescent="0.25"/>
    <row r="14801" hidden="1" x14ac:dyDescent="0.25"/>
    <row r="14802" hidden="1" x14ac:dyDescent="0.25"/>
    <row r="14803" hidden="1" x14ac:dyDescent="0.25"/>
    <row r="14804" hidden="1" x14ac:dyDescent="0.25"/>
    <row r="14805" hidden="1" x14ac:dyDescent="0.25"/>
    <row r="14806" hidden="1" x14ac:dyDescent="0.25"/>
    <row r="14807" hidden="1" x14ac:dyDescent="0.25"/>
    <row r="14808" hidden="1" x14ac:dyDescent="0.25"/>
    <row r="14809" hidden="1" x14ac:dyDescent="0.25"/>
    <row r="14810" hidden="1" x14ac:dyDescent="0.25"/>
    <row r="14811" hidden="1" x14ac:dyDescent="0.25"/>
    <row r="14812" hidden="1" x14ac:dyDescent="0.25"/>
    <row r="14813" hidden="1" x14ac:dyDescent="0.25"/>
    <row r="14814" hidden="1" x14ac:dyDescent="0.25"/>
    <row r="14815" hidden="1" x14ac:dyDescent="0.25"/>
    <row r="14816" hidden="1" x14ac:dyDescent="0.25"/>
    <row r="14817" hidden="1" x14ac:dyDescent="0.25"/>
    <row r="14818" hidden="1" x14ac:dyDescent="0.25"/>
    <row r="14819" hidden="1" x14ac:dyDescent="0.25"/>
    <row r="14820" hidden="1" x14ac:dyDescent="0.25"/>
    <row r="14821" hidden="1" x14ac:dyDescent="0.25"/>
    <row r="14822" hidden="1" x14ac:dyDescent="0.25"/>
    <row r="14823" hidden="1" x14ac:dyDescent="0.25"/>
    <row r="14824" hidden="1" x14ac:dyDescent="0.25"/>
    <row r="14825" hidden="1" x14ac:dyDescent="0.25"/>
    <row r="14826" hidden="1" x14ac:dyDescent="0.25"/>
    <row r="14827" hidden="1" x14ac:dyDescent="0.25"/>
    <row r="14828" hidden="1" x14ac:dyDescent="0.25"/>
    <row r="14829" hidden="1" x14ac:dyDescent="0.25"/>
    <row r="14830" hidden="1" x14ac:dyDescent="0.25"/>
    <row r="14831" hidden="1" x14ac:dyDescent="0.25"/>
    <row r="14832" hidden="1" x14ac:dyDescent="0.25"/>
    <row r="14833" hidden="1" x14ac:dyDescent="0.25"/>
    <row r="14834" hidden="1" x14ac:dyDescent="0.25"/>
    <row r="14835" hidden="1" x14ac:dyDescent="0.25"/>
    <row r="14836" hidden="1" x14ac:dyDescent="0.25"/>
    <row r="14837" hidden="1" x14ac:dyDescent="0.25"/>
    <row r="14838" hidden="1" x14ac:dyDescent="0.25"/>
    <row r="14839" hidden="1" x14ac:dyDescent="0.25"/>
    <row r="14840" hidden="1" x14ac:dyDescent="0.25"/>
    <row r="14841" hidden="1" x14ac:dyDescent="0.25"/>
    <row r="14842" hidden="1" x14ac:dyDescent="0.25"/>
    <row r="14843" hidden="1" x14ac:dyDescent="0.25"/>
    <row r="14844" hidden="1" x14ac:dyDescent="0.25"/>
    <row r="14845" hidden="1" x14ac:dyDescent="0.25"/>
    <row r="14846" hidden="1" x14ac:dyDescent="0.25"/>
    <row r="14847" hidden="1" x14ac:dyDescent="0.25"/>
    <row r="14848" hidden="1" x14ac:dyDescent="0.25"/>
    <row r="14849" hidden="1" x14ac:dyDescent="0.25"/>
    <row r="14850" hidden="1" x14ac:dyDescent="0.25"/>
    <row r="14851" hidden="1" x14ac:dyDescent="0.25"/>
    <row r="14852" hidden="1" x14ac:dyDescent="0.25"/>
    <row r="14853" hidden="1" x14ac:dyDescent="0.25"/>
    <row r="14854" hidden="1" x14ac:dyDescent="0.25"/>
    <row r="14855" hidden="1" x14ac:dyDescent="0.25"/>
    <row r="14856" hidden="1" x14ac:dyDescent="0.25"/>
    <row r="14857" hidden="1" x14ac:dyDescent="0.25"/>
    <row r="14858" hidden="1" x14ac:dyDescent="0.25"/>
    <row r="14859" hidden="1" x14ac:dyDescent="0.25"/>
    <row r="14860" hidden="1" x14ac:dyDescent="0.25"/>
    <row r="14861" hidden="1" x14ac:dyDescent="0.25"/>
    <row r="14862" hidden="1" x14ac:dyDescent="0.25"/>
    <row r="14863" hidden="1" x14ac:dyDescent="0.25"/>
    <row r="14864" hidden="1" x14ac:dyDescent="0.25"/>
    <row r="14865" hidden="1" x14ac:dyDescent="0.25"/>
    <row r="14866" hidden="1" x14ac:dyDescent="0.25"/>
    <row r="14867" hidden="1" x14ac:dyDescent="0.25"/>
    <row r="14868" hidden="1" x14ac:dyDescent="0.25"/>
    <row r="14869" hidden="1" x14ac:dyDescent="0.25"/>
    <row r="14870" hidden="1" x14ac:dyDescent="0.25"/>
    <row r="14871" hidden="1" x14ac:dyDescent="0.25"/>
    <row r="14872" hidden="1" x14ac:dyDescent="0.25"/>
    <row r="14873" hidden="1" x14ac:dyDescent="0.25"/>
    <row r="14874" hidden="1" x14ac:dyDescent="0.25"/>
    <row r="14875" hidden="1" x14ac:dyDescent="0.25"/>
    <row r="14876" hidden="1" x14ac:dyDescent="0.25"/>
    <row r="14877" hidden="1" x14ac:dyDescent="0.25"/>
    <row r="14878" hidden="1" x14ac:dyDescent="0.25"/>
    <row r="14879" hidden="1" x14ac:dyDescent="0.25"/>
    <row r="14880" hidden="1" x14ac:dyDescent="0.25"/>
    <row r="14881" hidden="1" x14ac:dyDescent="0.25"/>
    <row r="14882" hidden="1" x14ac:dyDescent="0.25"/>
    <row r="14883" hidden="1" x14ac:dyDescent="0.25"/>
    <row r="14884" hidden="1" x14ac:dyDescent="0.25"/>
    <row r="14885" hidden="1" x14ac:dyDescent="0.25"/>
    <row r="14886" hidden="1" x14ac:dyDescent="0.25"/>
    <row r="14887" hidden="1" x14ac:dyDescent="0.25"/>
    <row r="14888" hidden="1" x14ac:dyDescent="0.25"/>
    <row r="14889" hidden="1" x14ac:dyDescent="0.25"/>
    <row r="14890" hidden="1" x14ac:dyDescent="0.25"/>
    <row r="14891" hidden="1" x14ac:dyDescent="0.25"/>
    <row r="14892" hidden="1" x14ac:dyDescent="0.25"/>
    <row r="14893" hidden="1" x14ac:dyDescent="0.25"/>
    <row r="14894" hidden="1" x14ac:dyDescent="0.25"/>
    <row r="14895" hidden="1" x14ac:dyDescent="0.25"/>
    <row r="14896" hidden="1" x14ac:dyDescent="0.25"/>
    <row r="14897" hidden="1" x14ac:dyDescent="0.25"/>
    <row r="14898" hidden="1" x14ac:dyDescent="0.25"/>
    <row r="14899" hidden="1" x14ac:dyDescent="0.25"/>
    <row r="14900" hidden="1" x14ac:dyDescent="0.25"/>
    <row r="14901" hidden="1" x14ac:dyDescent="0.25"/>
    <row r="14902" hidden="1" x14ac:dyDescent="0.25"/>
    <row r="14903" hidden="1" x14ac:dyDescent="0.25"/>
    <row r="14904" hidden="1" x14ac:dyDescent="0.25"/>
    <row r="14905" hidden="1" x14ac:dyDescent="0.25"/>
    <row r="14906" hidden="1" x14ac:dyDescent="0.25"/>
    <row r="14907" hidden="1" x14ac:dyDescent="0.25"/>
    <row r="14908" hidden="1" x14ac:dyDescent="0.25"/>
    <row r="14909" hidden="1" x14ac:dyDescent="0.25"/>
    <row r="14910" hidden="1" x14ac:dyDescent="0.25"/>
    <row r="14911" hidden="1" x14ac:dyDescent="0.25"/>
    <row r="14912" hidden="1" x14ac:dyDescent="0.25"/>
    <row r="14913" hidden="1" x14ac:dyDescent="0.25"/>
    <row r="14914" hidden="1" x14ac:dyDescent="0.25"/>
    <row r="14915" hidden="1" x14ac:dyDescent="0.25"/>
    <row r="14916" hidden="1" x14ac:dyDescent="0.25"/>
    <row r="14917" hidden="1" x14ac:dyDescent="0.25"/>
    <row r="14918" hidden="1" x14ac:dyDescent="0.25"/>
    <row r="14919" hidden="1" x14ac:dyDescent="0.25"/>
    <row r="14920" hidden="1" x14ac:dyDescent="0.25"/>
    <row r="14921" hidden="1" x14ac:dyDescent="0.25"/>
    <row r="14922" hidden="1" x14ac:dyDescent="0.25"/>
    <row r="14923" hidden="1" x14ac:dyDescent="0.25"/>
    <row r="14924" hidden="1" x14ac:dyDescent="0.25"/>
    <row r="14925" hidden="1" x14ac:dyDescent="0.25"/>
    <row r="14926" hidden="1" x14ac:dyDescent="0.25"/>
    <row r="14927" hidden="1" x14ac:dyDescent="0.25"/>
    <row r="14928" hidden="1" x14ac:dyDescent="0.25"/>
    <row r="14929" hidden="1" x14ac:dyDescent="0.25"/>
    <row r="14930" hidden="1" x14ac:dyDescent="0.25"/>
    <row r="14931" hidden="1" x14ac:dyDescent="0.25"/>
    <row r="14932" hidden="1" x14ac:dyDescent="0.25"/>
    <row r="14933" hidden="1" x14ac:dyDescent="0.25"/>
    <row r="14934" hidden="1" x14ac:dyDescent="0.25"/>
    <row r="14935" hidden="1" x14ac:dyDescent="0.25"/>
    <row r="14936" hidden="1" x14ac:dyDescent="0.25"/>
    <row r="14937" hidden="1" x14ac:dyDescent="0.25"/>
    <row r="14938" hidden="1" x14ac:dyDescent="0.25"/>
    <row r="14939" hidden="1" x14ac:dyDescent="0.25"/>
    <row r="14940" hidden="1" x14ac:dyDescent="0.25"/>
    <row r="14941" hidden="1" x14ac:dyDescent="0.25"/>
    <row r="14942" hidden="1" x14ac:dyDescent="0.25"/>
    <row r="14943" hidden="1" x14ac:dyDescent="0.25"/>
    <row r="14944" hidden="1" x14ac:dyDescent="0.25"/>
    <row r="14945" hidden="1" x14ac:dyDescent="0.25"/>
    <row r="14946" hidden="1" x14ac:dyDescent="0.25"/>
    <row r="14947" hidden="1" x14ac:dyDescent="0.25"/>
    <row r="14948" hidden="1" x14ac:dyDescent="0.25"/>
    <row r="14949" hidden="1" x14ac:dyDescent="0.25"/>
    <row r="14950" hidden="1" x14ac:dyDescent="0.25"/>
    <row r="14951" hidden="1" x14ac:dyDescent="0.25"/>
    <row r="14952" hidden="1" x14ac:dyDescent="0.25"/>
    <row r="14953" hidden="1" x14ac:dyDescent="0.25"/>
    <row r="14954" hidden="1" x14ac:dyDescent="0.25"/>
    <row r="14955" hidden="1" x14ac:dyDescent="0.25"/>
    <row r="14956" hidden="1" x14ac:dyDescent="0.25"/>
    <row r="14957" hidden="1" x14ac:dyDescent="0.25"/>
    <row r="14958" hidden="1" x14ac:dyDescent="0.25"/>
    <row r="14959" hidden="1" x14ac:dyDescent="0.25"/>
    <row r="14960" hidden="1" x14ac:dyDescent="0.25"/>
    <row r="14961" hidden="1" x14ac:dyDescent="0.25"/>
    <row r="14962" hidden="1" x14ac:dyDescent="0.25"/>
    <row r="14963" hidden="1" x14ac:dyDescent="0.25"/>
    <row r="14964" hidden="1" x14ac:dyDescent="0.25"/>
    <row r="14965" hidden="1" x14ac:dyDescent="0.25"/>
    <row r="14966" hidden="1" x14ac:dyDescent="0.25"/>
    <row r="14967" hidden="1" x14ac:dyDescent="0.25"/>
    <row r="14968" hidden="1" x14ac:dyDescent="0.25"/>
    <row r="14969" hidden="1" x14ac:dyDescent="0.25"/>
    <row r="14970" hidden="1" x14ac:dyDescent="0.25"/>
    <row r="14971" hidden="1" x14ac:dyDescent="0.25"/>
    <row r="14972" hidden="1" x14ac:dyDescent="0.25"/>
    <row r="14973" hidden="1" x14ac:dyDescent="0.25"/>
    <row r="14974" hidden="1" x14ac:dyDescent="0.25"/>
    <row r="14975" hidden="1" x14ac:dyDescent="0.25"/>
    <row r="14976" hidden="1" x14ac:dyDescent="0.25"/>
    <row r="14977" hidden="1" x14ac:dyDescent="0.25"/>
    <row r="14978" hidden="1" x14ac:dyDescent="0.25"/>
    <row r="14979" hidden="1" x14ac:dyDescent="0.25"/>
    <row r="14980" hidden="1" x14ac:dyDescent="0.25"/>
    <row r="14981" hidden="1" x14ac:dyDescent="0.25"/>
    <row r="14982" hidden="1" x14ac:dyDescent="0.25"/>
    <row r="14983" hidden="1" x14ac:dyDescent="0.25"/>
    <row r="14984" hidden="1" x14ac:dyDescent="0.25"/>
    <row r="14985" hidden="1" x14ac:dyDescent="0.25"/>
    <row r="14986" hidden="1" x14ac:dyDescent="0.25"/>
    <row r="14987" hidden="1" x14ac:dyDescent="0.25"/>
    <row r="14988" hidden="1" x14ac:dyDescent="0.25"/>
    <row r="14989" hidden="1" x14ac:dyDescent="0.25"/>
    <row r="14990" hidden="1" x14ac:dyDescent="0.25"/>
    <row r="14991" hidden="1" x14ac:dyDescent="0.25"/>
    <row r="14992" hidden="1" x14ac:dyDescent="0.25"/>
    <row r="14993" hidden="1" x14ac:dyDescent="0.25"/>
    <row r="14994" hidden="1" x14ac:dyDescent="0.25"/>
    <row r="14995" hidden="1" x14ac:dyDescent="0.25"/>
    <row r="14996" hidden="1" x14ac:dyDescent="0.25"/>
    <row r="14997" hidden="1" x14ac:dyDescent="0.25"/>
    <row r="14998" hidden="1" x14ac:dyDescent="0.25"/>
    <row r="14999" hidden="1" x14ac:dyDescent="0.25"/>
    <row r="15000" hidden="1" x14ac:dyDescent="0.25"/>
    <row r="15001" hidden="1" x14ac:dyDescent="0.25"/>
    <row r="15002" hidden="1" x14ac:dyDescent="0.25"/>
    <row r="15003" hidden="1" x14ac:dyDescent="0.25"/>
    <row r="15004" hidden="1" x14ac:dyDescent="0.25"/>
    <row r="15005" hidden="1" x14ac:dyDescent="0.25"/>
    <row r="15006" hidden="1" x14ac:dyDescent="0.25"/>
    <row r="15007" hidden="1" x14ac:dyDescent="0.25"/>
    <row r="15008" hidden="1" x14ac:dyDescent="0.25"/>
    <row r="15009" hidden="1" x14ac:dyDescent="0.25"/>
    <row r="15010" hidden="1" x14ac:dyDescent="0.25"/>
    <row r="15011" hidden="1" x14ac:dyDescent="0.25"/>
    <row r="15012" hidden="1" x14ac:dyDescent="0.25"/>
    <row r="15013" hidden="1" x14ac:dyDescent="0.25"/>
    <row r="15014" hidden="1" x14ac:dyDescent="0.25"/>
    <row r="15015" hidden="1" x14ac:dyDescent="0.25"/>
    <row r="15016" hidden="1" x14ac:dyDescent="0.25"/>
    <row r="15017" hidden="1" x14ac:dyDescent="0.25"/>
    <row r="15018" hidden="1" x14ac:dyDescent="0.25"/>
    <row r="15019" hidden="1" x14ac:dyDescent="0.25"/>
    <row r="15020" hidden="1" x14ac:dyDescent="0.25"/>
    <row r="15021" hidden="1" x14ac:dyDescent="0.25"/>
    <row r="15022" hidden="1" x14ac:dyDescent="0.25"/>
    <row r="15023" hidden="1" x14ac:dyDescent="0.25"/>
    <row r="15024" hidden="1" x14ac:dyDescent="0.25"/>
    <row r="15025" hidden="1" x14ac:dyDescent="0.25"/>
    <row r="15026" hidden="1" x14ac:dyDescent="0.25"/>
    <row r="15027" hidden="1" x14ac:dyDescent="0.25"/>
    <row r="15028" hidden="1" x14ac:dyDescent="0.25"/>
    <row r="15029" hidden="1" x14ac:dyDescent="0.25"/>
    <row r="15030" hidden="1" x14ac:dyDescent="0.25"/>
    <row r="15031" hidden="1" x14ac:dyDescent="0.25"/>
    <row r="15032" hidden="1" x14ac:dyDescent="0.25"/>
    <row r="15033" hidden="1" x14ac:dyDescent="0.25"/>
    <row r="15034" hidden="1" x14ac:dyDescent="0.25"/>
    <row r="15035" hidden="1" x14ac:dyDescent="0.25"/>
    <row r="15036" hidden="1" x14ac:dyDescent="0.25"/>
    <row r="15037" hidden="1" x14ac:dyDescent="0.25"/>
    <row r="15038" hidden="1" x14ac:dyDescent="0.25"/>
    <row r="15039" hidden="1" x14ac:dyDescent="0.25"/>
    <row r="15040" hidden="1" x14ac:dyDescent="0.25"/>
    <row r="15041" hidden="1" x14ac:dyDescent="0.25"/>
    <row r="15042" hidden="1" x14ac:dyDescent="0.25"/>
    <row r="15043" hidden="1" x14ac:dyDescent="0.25"/>
    <row r="15044" hidden="1" x14ac:dyDescent="0.25"/>
    <row r="15045" hidden="1" x14ac:dyDescent="0.25"/>
    <row r="15046" hidden="1" x14ac:dyDescent="0.25"/>
    <row r="15047" hidden="1" x14ac:dyDescent="0.25"/>
    <row r="15048" hidden="1" x14ac:dyDescent="0.25"/>
    <row r="15049" hidden="1" x14ac:dyDescent="0.25"/>
    <row r="15050" hidden="1" x14ac:dyDescent="0.25"/>
    <row r="15051" hidden="1" x14ac:dyDescent="0.25"/>
    <row r="15052" hidden="1" x14ac:dyDescent="0.25"/>
    <row r="15053" hidden="1" x14ac:dyDescent="0.25"/>
    <row r="15054" hidden="1" x14ac:dyDescent="0.25"/>
    <row r="15055" hidden="1" x14ac:dyDescent="0.25"/>
    <row r="15056" hidden="1" x14ac:dyDescent="0.25"/>
    <row r="15057" hidden="1" x14ac:dyDescent="0.25"/>
    <row r="15058" hidden="1" x14ac:dyDescent="0.25"/>
    <row r="15059" hidden="1" x14ac:dyDescent="0.25"/>
    <row r="15060" hidden="1" x14ac:dyDescent="0.25"/>
    <row r="15061" hidden="1" x14ac:dyDescent="0.25"/>
    <row r="15062" hidden="1" x14ac:dyDescent="0.25"/>
    <row r="15063" hidden="1" x14ac:dyDescent="0.25"/>
    <row r="15064" hidden="1" x14ac:dyDescent="0.25"/>
    <row r="15065" hidden="1" x14ac:dyDescent="0.25"/>
    <row r="15066" hidden="1" x14ac:dyDescent="0.25"/>
    <row r="15067" hidden="1" x14ac:dyDescent="0.25"/>
    <row r="15068" hidden="1" x14ac:dyDescent="0.25"/>
    <row r="15069" hidden="1" x14ac:dyDescent="0.25"/>
    <row r="15070" hidden="1" x14ac:dyDescent="0.25"/>
    <row r="15071" hidden="1" x14ac:dyDescent="0.25"/>
    <row r="15072" hidden="1" x14ac:dyDescent="0.25"/>
    <row r="15073" hidden="1" x14ac:dyDescent="0.25"/>
    <row r="15074" hidden="1" x14ac:dyDescent="0.25"/>
    <row r="15075" hidden="1" x14ac:dyDescent="0.25"/>
    <row r="15076" hidden="1" x14ac:dyDescent="0.25"/>
    <row r="15077" hidden="1" x14ac:dyDescent="0.25"/>
    <row r="15078" hidden="1" x14ac:dyDescent="0.25"/>
    <row r="15079" hidden="1" x14ac:dyDescent="0.25"/>
    <row r="15080" hidden="1" x14ac:dyDescent="0.25"/>
    <row r="15081" hidden="1" x14ac:dyDescent="0.25"/>
    <row r="15082" hidden="1" x14ac:dyDescent="0.25"/>
    <row r="15083" hidden="1" x14ac:dyDescent="0.25"/>
    <row r="15084" hidden="1" x14ac:dyDescent="0.25"/>
    <row r="15085" hidden="1" x14ac:dyDescent="0.25"/>
    <row r="15086" hidden="1" x14ac:dyDescent="0.25"/>
    <row r="15087" hidden="1" x14ac:dyDescent="0.25"/>
    <row r="15088" hidden="1" x14ac:dyDescent="0.25"/>
    <row r="15089" hidden="1" x14ac:dyDescent="0.25"/>
    <row r="15090" hidden="1" x14ac:dyDescent="0.25"/>
    <row r="15091" hidden="1" x14ac:dyDescent="0.25"/>
    <row r="15092" hidden="1" x14ac:dyDescent="0.25"/>
    <row r="15093" hidden="1" x14ac:dyDescent="0.25"/>
    <row r="15094" hidden="1" x14ac:dyDescent="0.25"/>
    <row r="15095" hidden="1" x14ac:dyDescent="0.25"/>
    <row r="15096" hidden="1" x14ac:dyDescent="0.25"/>
    <row r="15097" hidden="1" x14ac:dyDescent="0.25"/>
    <row r="15098" hidden="1" x14ac:dyDescent="0.25"/>
    <row r="15099" hidden="1" x14ac:dyDescent="0.25"/>
    <row r="15100" hidden="1" x14ac:dyDescent="0.25"/>
    <row r="15101" hidden="1" x14ac:dyDescent="0.25"/>
    <row r="15102" hidden="1" x14ac:dyDescent="0.25"/>
    <row r="15103" hidden="1" x14ac:dyDescent="0.25"/>
    <row r="15104" hidden="1" x14ac:dyDescent="0.25"/>
    <row r="15105" hidden="1" x14ac:dyDescent="0.25"/>
    <row r="15106" hidden="1" x14ac:dyDescent="0.25"/>
    <row r="15107" hidden="1" x14ac:dyDescent="0.25"/>
    <row r="15108" hidden="1" x14ac:dyDescent="0.25"/>
    <row r="15109" hidden="1" x14ac:dyDescent="0.25"/>
    <row r="15110" hidden="1" x14ac:dyDescent="0.25"/>
    <row r="15111" hidden="1" x14ac:dyDescent="0.25"/>
    <row r="15112" hidden="1" x14ac:dyDescent="0.25"/>
    <row r="15113" hidden="1" x14ac:dyDescent="0.25"/>
    <row r="15114" hidden="1" x14ac:dyDescent="0.25"/>
    <row r="15115" hidden="1" x14ac:dyDescent="0.25"/>
    <row r="15116" hidden="1" x14ac:dyDescent="0.25"/>
    <row r="15117" hidden="1" x14ac:dyDescent="0.25"/>
    <row r="15118" hidden="1" x14ac:dyDescent="0.25"/>
    <row r="15119" hidden="1" x14ac:dyDescent="0.25"/>
    <row r="15120" hidden="1" x14ac:dyDescent="0.25"/>
    <row r="15121" hidden="1" x14ac:dyDescent="0.25"/>
    <row r="15122" hidden="1" x14ac:dyDescent="0.25"/>
    <row r="15123" hidden="1" x14ac:dyDescent="0.25"/>
    <row r="15124" hidden="1" x14ac:dyDescent="0.25"/>
    <row r="15125" hidden="1" x14ac:dyDescent="0.25"/>
    <row r="15126" hidden="1" x14ac:dyDescent="0.25"/>
    <row r="15127" hidden="1" x14ac:dyDescent="0.25"/>
    <row r="15128" hidden="1" x14ac:dyDescent="0.25"/>
    <row r="15129" hidden="1" x14ac:dyDescent="0.25"/>
    <row r="15130" hidden="1" x14ac:dyDescent="0.25"/>
    <row r="15131" hidden="1" x14ac:dyDescent="0.25"/>
    <row r="15132" hidden="1" x14ac:dyDescent="0.25"/>
    <row r="15133" hidden="1" x14ac:dyDescent="0.25"/>
    <row r="15134" hidden="1" x14ac:dyDescent="0.25"/>
    <row r="15135" hidden="1" x14ac:dyDescent="0.25"/>
    <row r="15136" hidden="1" x14ac:dyDescent="0.25"/>
    <row r="15137" hidden="1" x14ac:dyDescent="0.25"/>
    <row r="15138" hidden="1" x14ac:dyDescent="0.25"/>
    <row r="15139" hidden="1" x14ac:dyDescent="0.25"/>
    <row r="15140" hidden="1" x14ac:dyDescent="0.25"/>
    <row r="15141" hidden="1" x14ac:dyDescent="0.25"/>
    <row r="15142" hidden="1" x14ac:dyDescent="0.25"/>
    <row r="15143" hidden="1" x14ac:dyDescent="0.25"/>
    <row r="15144" hidden="1" x14ac:dyDescent="0.25"/>
    <row r="15145" hidden="1" x14ac:dyDescent="0.25"/>
    <row r="15146" hidden="1" x14ac:dyDescent="0.25"/>
    <row r="15147" hidden="1" x14ac:dyDescent="0.25"/>
    <row r="15148" hidden="1" x14ac:dyDescent="0.25"/>
    <row r="15149" hidden="1" x14ac:dyDescent="0.25"/>
    <row r="15150" hidden="1" x14ac:dyDescent="0.25"/>
    <row r="15151" hidden="1" x14ac:dyDescent="0.25"/>
    <row r="15152" hidden="1" x14ac:dyDescent="0.25"/>
    <row r="15153" hidden="1" x14ac:dyDescent="0.25"/>
    <row r="15154" hidden="1" x14ac:dyDescent="0.25"/>
    <row r="15155" hidden="1" x14ac:dyDescent="0.25"/>
    <row r="15156" hidden="1" x14ac:dyDescent="0.25"/>
    <row r="15157" hidden="1" x14ac:dyDescent="0.25"/>
    <row r="15158" hidden="1" x14ac:dyDescent="0.25"/>
    <row r="15159" hidden="1" x14ac:dyDescent="0.25"/>
    <row r="15160" hidden="1" x14ac:dyDescent="0.25"/>
    <row r="15161" hidden="1" x14ac:dyDescent="0.25"/>
    <row r="15162" hidden="1" x14ac:dyDescent="0.25"/>
    <row r="15163" hidden="1" x14ac:dyDescent="0.25"/>
    <row r="15164" hidden="1" x14ac:dyDescent="0.25"/>
    <row r="15165" hidden="1" x14ac:dyDescent="0.25"/>
    <row r="15166" hidden="1" x14ac:dyDescent="0.25"/>
    <row r="15167" hidden="1" x14ac:dyDescent="0.25"/>
    <row r="15168" hidden="1" x14ac:dyDescent="0.25"/>
    <row r="15169" hidden="1" x14ac:dyDescent="0.25"/>
    <row r="15170" hidden="1" x14ac:dyDescent="0.25"/>
    <row r="15171" hidden="1" x14ac:dyDescent="0.25"/>
    <row r="15172" hidden="1" x14ac:dyDescent="0.25"/>
    <row r="15173" hidden="1" x14ac:dyDescent="0.25"/>
    <row r="15174" hidden="1" x14ac:dyDescent="0.25"/>
    <row r="15175" hidden="1" x14ac:dyDescent="0.25"/>
    <row r="15176" hidden="1" x14ac:dyDescent="0.25"/>
    <row r="15177" hidden="1" x14ac:dyDescent="0.25"/>
    <row r="15178" hidden="1" x14ac:dyDescent="0.25"/>
    <row r="15179" hidden="1" x14ac:dyDescent="0.25"/>
    <row r="15180" hidden="1" x14ac:dyDescent="0.25"/>
    <row r="15181" hidden="1" x14ac:dyDescent="0.25"/>
    <row r="15182" hidden="1" x14ac:dyDescent="0.25"/>
    <row r="15183" hidden="1" x14ac:dyDescent="0.25"/>
    <row r="15184" hidden="1" x14ac:dyDescent="0.25"/>
    <row r="15185" hidden="1" x14ac:dyDescent="0.25"/>
    <row r="15186" hidden="1" x14ac:dyDescent="0.25"/>
    <row r="15187" hidden="1" x14ac:dyDescent="0.25"/>
    <row r="15188" hidden="1" x14ac:dyDescent="0.25"/>
    <row r="15189" hidden="1" x14ac:dyDescent="0.25"/>
    <row r="15190" hidden="1" x14ac:dyDescent="0.25"/>
    <row r="15191" hidden="1" x14ac:dyDescent="0.25"/>
    <row r="15192" hidden="1" x14ac:dyDescent="0.25"/>
    <row r="15193" hidden="1" x14ac:dyDescent="0.25"/>
    <row r="15194" hidden="1" x14ac:dyDescent="0.25"/>
    <row r="15195" hidden="1" x14ac:dyDescent="0.25"/>
    <row r="15196" hidden="1" x14ac:dyDescent="0.25"/>
    <row r="15197" hidden="1" x14ac:dyDescent="0.25"/>
    <row r="15198" hidden="1" x14ac:dyDescent="0.25"/>
    <row r="15199" hidden="1" x14ac:dyDescent="0.25"/>
    <row r="15200" hidden="1" x14ac:dyDescent="0.25"/>
    <row r="15201" hidden="1" x14ac:dyDescent="0.25"/>
    <row r="15202" hidden="1" x14ac:dyDescent="0.25"/>
    <row r="15203" hidden="1" x14ac:dyDescent="0.25"/>
    <row r="15204" hidden="1" x14ac:dyDescent="0.25"/>
    <row r="15205" hidden="1" x14ac:dyDescent="0.25"/>
    <row r="15206" hidden="1" x14ac:dyDescent="0.25"/>
    <row r="15207" hidden="1" x14ac:dyDescent="0.25"/>
    <row r="15208" hidden="1" x14ac:dyDescent="0.25"/>
    <row r="15209" hidden="1" x14ac:dyDescent="0.25"/>
    <row r="15210" hidden="1" x14ac:dyDescent="0.25"/>
    <row r="15211" hidden="1" x14ac:dyDescent="0.25"/>
    <row r="15212" hidden="1" x14ac:dyDescent="0.25"/>
    <row r="15213" hidden="1" x14ac:dyDescent="0.25"/>
    <row r="15214" hidden="1" x14ac:dyDescent="0.25"/>
    <row r="15215" hidden="1" x14ac:dyDescent="0.25"/>
    <row r="15216" hidden="1" x14ac:dyDescent="0.25"/>
    <row r="15217" hidden="1" x14ac:dyDescent="0.25"/>
    <row r="15218" hidden="1" x14ac:dyDescent="0.25"/>
    <row r="15219" hidden="1" x14ac:dyDescent="0.25"/>
    <row r="15220" hidden="1" x14ac:dyDescent="0.25"/>
    <row r="15221" hidden="1" x14ac:dyDescent="0.25"/>
    <row r="15222" hidden="1" x14ac:dyDescent="0.25"/>
    <row r="15223" hidden="1" x14ac:dyDescent="0.25"/>
    <row r="15224" hidden="1" x14ac:dyDescent="0.25"/>
    <row r="15225" hidden="1" x14ac:dyDescent="0.25"/>
    <row r="15226" hidden="1" x14ac:dyDescent="0.25"/>
    <row r="15227" hidden="1" x14ac:dyDescent="0.25"/>
    <row r="15228" hidden="1" x14ac:dyDescent="0.25"/>
    <row r="15229" hidden="1" x14ac:dyDescent="0.25"/>
    <row r="15230" hidden="1" x14ac:dyDescent="0.25"/>
    <row r="15231" hidden="1" x14ac:dyDescent="0.25"/>
    <row r="15232" hidden="1" x14ac:dyDescent="0.25"/>
    <row r="15233" hidden="1" x14ac:dyDescent="0.25"/>
    <row r="15234" hidden="1" x14ac:dyDescent="0.25"/>
    <row r="15235" hidden="1" x14ac:dyDescent="0.25"/>
    <row r="15236" hidden="1" x14ac:dyDescent="0.25"/>
    <row r="15237" hidden="1" x14ac:dyDescent="0.25"/>
    <row r="15238" hidden="1" x14ac:dyDescent="0.25"/>
    <row r="15239" hidden="1" x14ac:dyDescent="0.25"/>
    <row r="15240" hidden="1" x14ac:dyDescent="0.25"/>
    <row r="15241" hidden="1" x14ac:dyDescent="0.25"/>
    <row r="15242" hidden="1" x14ac:dyDescent="0.25"/>
    <row r="15243" hidden="1" x14ac:dyDescent="0.25"/>
    <row r="15244" hidden="1" x14ac:dyDescent="0.25"/>
    <row r="15245" hidden="1" x14ac:dyDescent="0.25"/>
    <row r="15246" hidden="1" x14ac:dyDescent="0.25"/>
    <row r="15247" hidden="1" x14ac:dyDescent="0.25"/>
    <row r="15248" hidden="1" x14ac:dyDescent="0.25"/>
    <row r="15249" hidden="1" x14ac:dyDescent="0.25"/>
    <row r="15250" hidden="1" x14ac:dyDescent="0.25"/>
    <row r="15251" hidden="1" x14ac:dyDescent="0.25"/>
    <row r="15252" hidden="1" x14ac:dyDescent="0.25"/>
    <row r="15253" hidden="1" x14ac:dyDescent="0.25"/>
    <row r="15254" hidden="1" x14ac:dyDescent="0.25"/>
    <row r="15255" hidden="1" x14ac:dyDescent="0.25"/>
    <row r="15256" hidden="1" x14ac:dyDescent="0.25"/>
    <row r="15257" hidden="1" x14ac:dyDescent="0.25"/>
    <row r="15258" hidden="1" x14ac:dyDescent="0.25"/>
    <row r="15259" hidden="1" x14ac:dyDescent="0.25"/>
    <row r="15260" hidden="1" x14ac:dyDescent="0.25"/>
    <row r="15261" hidden="1" x14ac:dyDescent="0.25"/>
    <row r="15262" hidden="1" x14ac:dyDescent="0.25"/>
    <row r="15263" hidden="1" x14ac:dyDescent="0.25"/>
    <row r="15264" hidden="1" x14ac:dyDescent="0.25"/>
    <row r="15265" hidden="1" x14ac:dyDescent="0.25"/>
    <row r="15266" hidden="1" x14ac:dyDescent="0.25"/>
    <row r="15267" hidden="1" x14ac:dyDescent="0.25"/>
    <row r="15268" hidden="1" x14ac:dyDescent="0.25"/>
    <row r="15269" hidden="1" x14ac:dyDescent="0.25"/>
    <row r="15270" hidden="1" x14ac:dyDescent="0.25"/>
    <row r="15271" hidden="1" x14ac:dyDescent="0.25"/>
    <row r="15272" hidden="1" x14ac:dyDescent="0.25"/>
    <row r="15273" hidden="1" x14ac:dyDescent="0.25"/>
    <row r="15274" hidden="1" x14ac:dyDescent="0.25"/>
    <row r="15275" hidden="1" x14ac:dyDescent="0.25"/>
    <row r="15276" hidden="1" x14ac:dyDescent="0.25"/>
    <row r="15277" hidden="1" x14ac:dyDescent="0.25"/>
    <row r="15278" hidden="1" x14ac:dyDescent="0.25"/>
    <row r="15279" hidden="1" x14ac:dyDescent="0.25"/>
    <row r="15280" hidden="1" x14ac:dyDescent="0.25"/>
    <row r="15281" hidden="1" x14ac:dyDescent="0.25"/>
    <row r="15282" hidden="1" x14ac:dyDescent="0.25"/>
    <row r="15283" hidden="1" x14ac:dyDescent="0.25"/>
    <row r="15284" hidden="1" x14ac:dyDescent="0.25"/>
    <row r="15285" hidden="1" x14ac:dyDescent="0.25"/>
    <row r="15286" hidden="1" x14ac:dyDescent="0.25"/>
    <row r="15287" hidden="1" x14ac:dyDescent="0.25"/>
    <row r="15288" hidden="1" x14ac:dyDescent="0.25"/>
    <row r="15289" hidden="1" x14ac:dyDescent="0.25"/>
    <row r="15290" hidden="1" x14ac:dyDescent="0.25"/>
    <row r="15291" hidden="1" x14ac:dyDescent="0.25"/>
    <row r="15292" hidden="1" x14ac:dyDescent="0.25"/>
    <row r="15293" hidden="1" x14ac:dyDescent="0.25"/>
    <row r="15294" hidden="1" x14ac:dyDescent="0.25"/>
    <row r="15295" hidden="1" x14ac:dyDescent="0.25"/>
    <row r="15296" hidden="1" x14ac:dyDescent="0.25"/>
    <row r="15297" hidden="1" x14ac:dyDescent="0.25"/>
    <row r="15298" hidden="1" x14ac:dyDescent="0.25"/>
    <row r="15299" hidden="1" x14ac:dyDescent="0.25"/>
    <row r="15300" hidden="1" x14ac:dyDescent="0.25"/>
    <row r="15301" hidden="1" x14ac:dyDescent="0.25"/>
    <row r="15302" hidden="1" x14ac:dyDescent="0.25"/>
    <row r="15303" hidden="1" x14ac:dyDescent="0.25"/>
    <row r="15304" hidden="1" x14ac:dyDescent="0.25"/>
    <row r="15305" hidden="1" x14ac:dyDescent="0.25"/>
    <row r="15306" hidden="1" x14ac:dyDescent="0.25"/>
    <row r="15307" hidden="1" x14ac:dyDescent="0.25"/>
    <row r="15308" hidden="1" x14ac:dyDescent="0.25"/>
    <row r="15309" hidden="1" x14ac:dyDescent="0.25"/>
    <row r="15310" hidden="1" x14ac:dyDescent="0.25"/>
    <row r="15311" hidden="1" x14ac:dyDescent="0.25"/>
    <row r="15312" hidden="1" x14ac:dyDescent="0.25"/>
    <row r="15313" hidden="1" x14ac:dyDescent="0.25"/>
    <row r="15314" hidden="1" x14ac:dyDescent="0.25"/>
    <row r="15315" hidden="1" x14ac:dyDescent="0.25"/>
    <row r="15316" hidden="1" x14ac:dyDescent="0.25"/>
    <row r="15317" hidden="1" x14ac:dyDescent="0.25"/>
    <row r="15318" hidden="1" x14ac:dyDescent="0.25"/>
    <row r="15319" hidden="1" x14ac:dyDescent="0.25"/>
    <row r="15320" hidden="1" x14ac:dyDescent="0.25"/>
    <row r="15321" hidden="1" x14ac:dyDescent="0.25"/>
    <row r="15322" hidden="1" x14ac:dyDescent="0.25"/>
    <row r="15323" hidden="1" x14ac:dyDescent="0.25"/>
    <row r="15324" hidden="1" x14ac:dyDescent="0.25"/>
    <row r="15325" hidden="1" x14ac:dyDescent="0.25"/>
    <row r="15326" hidden="1" x14ac:dyDescent="0.25"/>
    <row r="15327" hidden="1" x14ac:dyDescent="0.25"/>
    <row r="15328" hidden="1" x14ac:dyDescent="0.25"/>
    <row r="15329" hidden="1" x14ac:dyDescent="0.25"/>
    <row r="15330" hidden="1" x14ac:dyDescent="0.25"/>
    <row r="15331" hidden="1" x14ac:dyDescent="0.25"/>
    <row r="15332" hidden="1" x14ac:dyDescent="0.25"/>
    <row r="15333" hidden="1" x14ac:dyDescent="0.25"/>
    <row r="15334" hidden="1" x14ac:dyDescent="0.25"/>
    <row r="15335" hidden="1" x14ac:dyDescent="0.25"/>
    <row r="15336" hidden="1" x14ac:dyDescent="0.25"/>
    <row r="15337" hidden="1" x14ac:dyDescent="0.25"/>
    <row r="15338" hidden="1" x14ac:dyDescent="0.25"/>
    <row r="15339" hidden="1" x14ac:dyDescent="0.25"/>
    <row r="15340" hidden="1" x14ac:dyDescent="0.25"/>
    <row r="15341" hidden="1" x14ac:dyDescent="0.25"/>
    <row r="15342" hidden="1" x14ac:dyDescent="0.25"/>
    <row r="15343" hidden="1" x14ac:dyDescent="0.25"/>
    <row r="15344" hidden="1" x14ac:dyDescent="0.25"/>
    <row r="15345" hidden="1" x14ac:dyDescent="0.25"/>
    <row r="15346" hidden="1" x14ac:dyDescent="0.25"/>
    <row r="15347" hidden="1" x14ac:dyDescent="0.25"/>
    <row r="15348" hidden="1" x14ac:dyDescent="0.25"/>
    <row r="15349" hidden="1" x14ac:dyDescent="0.25"/>
    <row r="15350" hidden="1" x14ac:dyDescent="0.25"/>
    <row r="15351" hidden="1" x14ac:dyDescent="0.25"/>
    <row r="15352" hidden="1" x14ac:dyDescent="0.25"/>
    <row r="15353" hidden="1" x14ac:dyDescent="0.25"/>
    <row r="15354" hidden="1" x14ac:dyDescent="0.25"/>
    <row r="15355" hidden="1" x14ac:dyDescent="0.25"/>
    <row r="15356" hidden="1" x14ac:dyDescent="0.25"/>
    <row r="15357" hidden="1" x14ac:dyDescent="0.25"/>
    <row r="15358" hidden="1" x14ac:dyDescent="0.25"/>
    <row r="15359" hidden="1" x14ac:dyDescent="0.25"/>
    <row r="15360" hidden="1" x14ac:dyDescent="0.25"/>
    <row r="15361" hidden="1" x14ac:dyDescent="0.25"/>
    <row r="15362" hidden="1" x14ac:dyDescent="0.25"/>
    <row r="15363" hidden="1" x14ac:dyDescent="0.25"/>
    <row r="15364" hidden="1" x14ac:dyDescent="0.25"/>
    <row r="15365" hidden="1" x14ac:dyDescent="0.25"/>
    <row r="15366" hidden="1" x14ac:dyDescent="0.25"/>
    <row r="15367" hidden="1" x14ac:dyDescent="0.25"/>
    <row r="15368" hidden="1" x14ac:dyDescent="0.25"/>
    <row r="15369" hidden="1" x14ac:dyDescent="0.25"/>
    <row r="15370" hidden="1" x14ac:dyDescent="0.25"/>
    <row r="15371" hidden="1" x14ac:dyDescent="0.25"/>
    <row r="15372" hidden="1" x14ac:dyDescent="0.25"/>
    <row r="15373" hidden="1" x14ac:dyDescent="0.25"/>
    <row r="15374" hidden="1" x14ac:dyDescent="0.25"/>
    <row r="15375" hidden="1" x14ac:dyDescent="0.25"/>
    <row r="15376" hidden="1" x14ac:dyDescent="0.25"/>
    <row r="15377" hidden="1" x14ac:dyDescent="0.25"/>
    <row r="15378" hidden="1" x14ac:dyDescent="0.25"/>
    <row r="15379" hidden="1" x14ac:dyDescent="0.25"/>
    <row r="15380" hidden="1" x14ac:dyDescent="0.25"/>
    <row r="15381" hidden="1" x14ac:dyDescent="0.25"/>
    <row r="15382" hidden="1" x14ac:dyDescent="0.25"/>
    <row r="15383" hidden="1" x14ac:dyDescent="0.25"/>
    <row r="15384" hidden="1" x14ac:dyDescent="0.25"/>
    <row r="15385" hidden="1" x14ac:dyDescent="0.25"/>
    <row r="15386" hidden="1" x14ac:dyDescent="0.25"/>
    <row r="15387" hidden="1" x14ac:dyDescent="0.25"/>
    <row r="15388" hidden="1" x14ac:dyDescent="0.25"/>
    <row r="15389" hidden="1" x14ac:dyDescent="0.25"/>
    <row r="15390" hidden="1" x14ac:dyDescent="0.25"/>
    <row r="15391" hidden="1" x14ac:dyDescent="0.25"/>
    <row r="15392" hidden="1" x14ac:dyDescent="0.25"/>
    <row r="15393" hidden="1" x14ac:dyDescent="0.25"/>
    <row r="15394" hidden="1" x14ac:dyDescent="0.25"/>
    <row r="15395" hidden="1" x14ac:dyDescent="0.25"/>
    <row r="15396" hidden="1" x14ac:dyDescent="0.25"/>
    <row r="15397" hidden="1" x14ac:dyDescent="0.25"/>
    <row r="15398" hidden="1" x14ac:dyDescent="0.25"/>
    <row r="15399" hidden="1" x14ac:dyDescent="0.25"/>
    <row r="15400" hidden="1" x14ac:dyDescent="0.25"/>
    <row r="15401" hidden="1" x14ac:dyDescent="0.25"/>
    <row r="15402" hidden="1" x14ac:dyDescent="0.25"/>
    <row r="15403" hidden="1" x14ac:dyDescent="0.25"/>
    <row r="15404" hidden="1" x14ac:dyDescent="0.25"/>
    <row r="15405" hidden="1" x14ac:dyDescent="0.25"/>
    <row r="15406" hidden="1" x14ac:dyDescent="0.25"/>
    <row r="15407" hidden="1" x14ac:dyDescent="0.25"/>
    <row r="15408" hidden="1" x14ac:dyDescent="0.25"/>
    <row r="15409" hidden="1" x14ac:dyDescent="0.25"/>
    <row r="15410" hidden="1" x14ac:dyDescent="0.25"/>
    <row r="15411" hidden="1" x14ac:dyDescent="0.25"/>
    <row r="15412" hidden="1" x14ac:dyDescent="0.25"/>
    <row r="15413" hidden="1" x14ac:dyDescent="0.25"/>
    <row r="15414" hidden="1" x14ac:dyDescent="0.25"/>
    <row r="15415" hidden="1" x14ac:dyDescent="0.25"/>
    <row r="15416" hidden="1" x14ac:dyDescent="0.25"/>
    <row r="15417" hidden="1" x14ac:dyDescent="0.25"/>
    <row r="15418" hidden="1" x14ac:dyDescent="0.25"/>
    <row r="15419" hidden="1" x14ac:dyDescent="0.25"/>
    <row r="15420" hidden="1" x14ac:dyDescent="0.25"/>
    <row r="15421" hidden="1" x14ac:dyDescent="0.25"/>
    <row r="15422" hidden="1" x14ac:dyDescent="0.25"/>
    <row r="15423" hidden="1" x14ac:dyDescent="0.25"/>
    <row r="15424" hidden="1" x14ac:dyDescent="0.25"/>
    <row r="15425" hidden="1" x14ac:dyDescent="0.25"/>
    <row r="15426" hidden="1" x14ac:dyDescent="0.25"/>
    <row r="15427" hidden="1" x14ac:dyDescent="0.25"/>
    <row r="15428" hidden="1" x14ac:dyDescent="0.25"/>
    <row r="15429" hidden="1" x14ac:dyDescent="0.25"/>
    <row r="15430" hidden="1" x14ac:dyDescent="0.25"/>
    <row r="15431" hidden="1" x14ac:dyDescent="0.25"/>
    <row r="15432" hidden="1" x14ac:dyDescent="0.25"/>
    <row r="15433" hidden="1" x14ac:dyDescent="0.25"/>
    <row r="15434" hidden="1" x14ac:dyDescent="0.25"/>
    <row r="15435" hidden="1" x14ac:dyDescent="0.25"/>
    <row r="15436" hidden="1" x14ac:dyDescent="0.25"/>
    <row r="15437" hidden="1" x14ac:dyDescent="0.25"/>
    <row r="15438" hidden="1" x14ac:dyDescent="0.25"/>
    <row r="15439" hidden="1" x14ac:dyDescent="0.25"/>
    <row r="15440" hidden="1" x14ac:dyDescent="0.25"/>
    <row r="15441" hidden="1" x14ac:dyDescent="0.25"/>
    <row r="15442" hidden="1" x14ac:dyDescent="0.25"/>
    <row r="15443" hidden="1" x14ac:dyDescent="0.25"/>
    <row r="15444" hidden="1" x14ac:dyDescent="0.25"/>
    <row r="15445" hidden="1" x14ac:dyDescent="0.25"/>
    <row r="15446" hidden="1" x14ac:dyDescent="0.25"/>
    <row r="15447" hidden="1" x14ac:dyDescent="0.25"/>
    <row r="15448" hidden="1" x14ac:dyDescent="0.25"/>
    <row r="15449" hidden="1" x14ac:dyDescent="0.25"/>
    <row r="15450" hidden="1" x14ac:dyDescent="0.25"/>
    <row r="15451" hidden="1" x14ac:dyDescent="0.25"/>
    <row r="15452" hidden="1" x14ac:dyDescent="0.25"/>
    <row r="15453" hidden="1" x14ac:dyDescent="0.25"/>
    <row r="15454" hidden="1" x14ac:dyDescent="0.25"/>
    <row r="15455" hidden="1" x14ac:dyDescent="0.25"/>
    <row r="15456" hidden="1" x14ac:dyDescent="0.25"/>
    <row r="15457" hidden="1" x14ac:dyDescent="0.25"/>
    <row r="15458" hidden="1" x14ac:dyDescent="0.25"/>
    <row r="15459" hidden="1" x14ac:dyDescent="0.25"/>
    <row r="15460" hidden="1" x14ac:dyDescent="0.25"/>
    <row r="15461" hidden="1" x14ac:dyDescent="0.25"/>
    <row r="15462" hidden="1" x14ac:dyDescent="0.25"/>
    <row r="15463" hidden="1" x14ac:dyDescent="0.25"/>
    <row r="15464" hidden="1" x14ac:dyDescent="0.25"/>
    <row r="15465" hidden="1" x14ac:dyDescent="0.25"/>
    <row r="15466" hidden="1" x14ac:dyDescent="0.25"/>
    <row r="15467" hidden="1" x14ac:dyDescent="0.25"/>
    <row r="15468" hidden="1" x14ac:dyDescent="0.25"/>
    <row r="15469" hidden="1" x14ac:dyDescent="0.25"/>
    <row r="15470" hidden="1" x14ac:dyDescent="0.25"/>
    <row r="15471" hidden="1" x14ac:dyDescent="0.25"/>
    <row r="15472" hidden="1" x14ac:dyDescent="0.25"/>
    <row r="15473" hidden="1" x14ac:dyDescent="0.25"/>
    <row r="15474" hidden="1" x14ac:dyDescent="0.25"/>
    <row r="15475" hidden="1" x14ac:dyDescent="0.25"/>
    <row r="15476" hidden="1" x14ac:dyDescent="0.25"/>
    <row r="15477" hidden="1" x14ac:dyDescent="0.25"/>
    <row r="15478" hidden="1" x14ac:dyDescent="0.25"/>
    <row r="15479" hidden="1" x14ac:dyDescent="0.25"/>
    <row r="15480" hidden="1" x14ac:dyDescent="0.25"/>
    <row r="15481" hidden="1" x14ac:dyDescent="0.25"/>
    <row r="15482" hidden="1" x14ac:dyDescent="0.25"/>
    <row r="15483" hidden="1" x14ac:dyDescent="0.25"/>
    <row r="15484" hidden="1" x14ac:dyDescent="0.25"/>
    <row r="15485" hidden="1" x14ac:dyDescent="0.25"/>
    <row r="15486" hidden="1" x14ac:dyDescent="0.25"/>
    <row r="15487" hidden="1" x14ac:dyDescent="0.25"/>
    <row r="15488" hidden="1" x14ac:dyDescent="0.25"/>
    <row r="15489" hidden="1" x14ac:dyDescent="0.25"/>
    <row r="15490" hidden="1" x14ac:dyDescent="0.25"/>
    <row r="15491" hidden="1" x14ac:dyDescent="0.25"/>
    <row r="15492" hidden="1" x14ac:dyDescent="0.25"/>
    <row r="15493" hidden="1" x14ac:dyDescent="0.25"/>
    <row r="15494" hidden="1" x14ac:dyDescent="0.25"/>
    <row r="15495" hidden="1" x14ac:dyDescent="0.25"/>
    <row r="15496" hidden="1" x14ac:dyDescent="0.25"/>
    <row r="15497" hidden="1" x14ac:dyDescent="0.25"/>
    <row r="15498" hidden="1" x14ac:dyDescent="0.25"/>
    <row r="15499" hidden="1" x14ac:dyDescent="0.25"/>
    <row r="15500" hidden="1" x14ac:dyDescent="0.25"/>
    <row r="15501" hidden="1" x14ac:dyDescent="0.25"/>
    <row r="15502" hidden="1" x14ac:dyDescent="0.25"/>
    <row r="15503" hidden="1" x14ac:dyDescent="0.25"/>
    <row r="15504" hidden="1" x14ac:dyDescent="0.25"/>
    <row r="15505" hidden="1" x14ac:dyDescent="0.25"/>
    <row r="15506" hidden="1" x14ac:dyDescent="0.25"/>
    <row r="15507" hidden="1" x14ac:dyDescent="0.25"/>
    <row r="15508" hidden="1" x14ac:dyDescent="0.25"/>
    <row r="15509" hidden="1" x14ac:dyDescent="0.25"/>
    <row r="15510" hidden="1" x14ac:dyDescent="0.25"/>
    <row r="15511" hidden="1" x14ac:dyDescent="0.25"/>
    <row r="15512" hidden="1" x14ac:dyDescent="0.25"/>
    <row r="15513" hidden="1" x14ac:dyDescent="0.25"/>
    <row r="15514" hidden="1" x14ac:dyDescent="0.25"/>
    <row r="15515" hidden="1" x14ac:dyDescent="0.25"/>
    <row r="15516" hidden="1" x14ac:dyDescent="0.25"/>
    <row r="15517" hidden="1" x14ac:dyDescent="0.25"/>
    <row r="15518" hidden="1" x14ac:dyDescent="0.25"/>
    <row r="15519" hidden="1" x14ac:dyDescent="0.25"/>
    <row r="15520" hidden="1" x14ac:dyDescent="0.25"/>
    <row r="15521" hidden="1" x14ac:dyDescent="0.25"/>
    <row r="15522" hidden="1" x14ac:dyDescent="0.25"/>
    <row r="15523" hidden="1" x14ac:dyDescent="0.25"/>
    <row r="15524" hidden="1" x14ac:dyDescent="0.25"/>
    <row r="15525" hidden="1" x14ac:dyDescent="0.25"/>
    <row r="15526" hidden="1" x14ac:dyDescent="0.25"/>
    <row r="15527" hidden="1" x14ac:dyDescent="0.25"/>
    <row r="15528" hidden="1" x14ac:dyDescent="0.25"/>
    <row r="15529" hidden="1" x14ac:dyDescent="0.25"/>
    <row r="15530" hidden="1" x14ac:dyDescent="0.25"/>
    <row r="15531" hidden="1" x14ac:dyDescent="0.25"/>
    <row r="15532" hidden="1" x14ac:dyDescent="0.25"/>
    <row r="15533" hidden="1" x14ac:dyDescent="0.25"/>
    <row r="15534" hidden="1" x14ac:dyDescent="0.25"/>
    <row r="15535" hidden="1" x14ac:dyDescent="0.25"/>
    <row r="15536" hidden="1" x14ac:dyDescent="0.25"/>
    <row r="15537" hidden="1" x14ac:dyDescent="0.25"/>
    <row r="15538" hidden="1" x14ac:dyDescent="0.25"/>
    <row r="15539" hidden="1" x14ac:dyDescent="0.25"/>
    <row r="15540" hidden="1" x14ac:dyDescent="0.25"/>
    <row r="15541" hidden="1" x14ac:dyDescent="0.25"/>
    <row r="15542" hidden="1" x14ac:dyDescent="0.25"/>
    <row r="15543" hidden="1" x14ac:dyDescent="0.25"/>
    <row r="15544" hidden="1" x14ac:dyDescent="0.25"/>
    <row r="15545" hidden="1" x14ac:dyDescent="0.25"/>
    <row r="15546" hidden="1" x14ac:dyDescent="0.25"/>
    <row r="15547" hidden="1" x14ac:dyDescent="0.25"/>
    <row r="15548" hidden="1" x14ac:dyDescent="0.25"/>
    <row r="15549" hidden="1" x14ac:dyDescent="0.25"/>
    <row r="15550" hidden="1" x14ac:dyDescent="0.25"/>
    <row r="15551" hidden="1" x14ac:dyDescent="0.25"/>
    <row r="15552" hidden="1" x14ac:dyDescent="0.25"/>
    <row r="15553" hidden="1" x14ac:dyDescent="0.25"/>
    <row r="15554" hidden="1" x14ac:dyDescent="0.25"/>
    <row r="15555" hidden="1" x14ac:dyDescent="0.25"/>
    <row r="15556" hidden="1" x14ac:dyDescent="0.25"/>
    <row r="15557" hidden="1" x14ac:dyDescent="0.25"/>
    <row r="15558" hidden="1" x14ac:dyDescent="0.25"/>
    <row r="15559" hidden="1" x14ac:dyDescent="0.25"/>
    <row r="15560" hidden="1" x14ac:dyDescent="0.25"/>
    <row r="15561" hidden="1" x14ac:dyDescent="0.25"/>
    <row r="15562" hidden="1" x14ac:dyDescent="0.25"/>
    <row r="15563" hidden="1" x14ac:dyDescent="0.25"/>
    <row r="15564" hidden="1" x14ac:dyDescent="0.25"/>
    <row r="15565" hidden="1" x14ac:dyDescent="0.25"/>
    <row r="15566" hidden="1" x14ac:dyDescent="0.25"/>
    <row r="15567" hidden="1" x14ac:dyDescent="0.25"/>
    <row r="15568" hidden="1" x14ac:dyDescent="0.25"/>
    <row r="15569" hidden="1" x14ac:dyDescent="0.25"/>
    <row r="15570" hidden="1" x14ac:dyDescent="0.25"/>
    <row r="15571" hidden="1" x14ac:dyDescent="0.25"/>
    <row r="15572" hidden="1" x14ac:dyDescent="0.25"/>
    <row r="15573" hidden="1" x14ac:dyDescent="0.25"/>
    <row r="15574" hidden="1" x14ac:dyDescent="0.25"/>
    <row r="15575" hidden="1" x14ac:dyDescent="0.25"/>
    <row r="15576" hidden="1" x14ac:dyDescent="0.25"/>
    <row r="15577" hidden="1" x14ac:dyDescent="0.25"/>
    <row r="15578" hidden="1" x14ac:dyDescent="0.25"/>
    <row r="15579" hidden="1" x14ac:dyDescent="0.25"/>
    <row r="15580" hidden="1" x14ac:dyDescent="0.25"/>
    <row r="15581" hidden="1" x14ac:dyDescent="0.25"/>
    <row r="15582" hidden="1" x14ac:dyDescent="0.25"/>
    <row r="15583" hidden="1" x14ac:dyDescent="0.25"/>
    <row r="15584" hidden="1" x14ac:dyDescent="0.25"/>
    <row r="15585" hidden="1" x14ac:dyDescent="0.25"/>
    <row r="15586" hidden="1" x14ac:dyDescent="0.25"/>
    <row r="15587" hidden="1" x14ac:dyDescent="0.25"/>
    <row r="15588" hidden="1" x14ac:dyDescent="0.25"/>
    <row r="15589" hidden="1" x14ac:dyDescent="0.25"/>
    <row r="15590" hidden="1" x14ac:dyDescent="0.25"/>
    <row r="15591" hidden="1" x14ac:dyDescent="0.25"/>
    <row r="15592" hidden="1" x14ac:dyDescent="0.25"/>
    <row r="15593" hidden="1" x14ac:dyDescent="0.25"/>
    <row r="15594" hidden="1" x14ac:dyDescent="0.25"/>
    <row r="15595" hidden="1" x14ac:dyDescent="0.25"/>
    <row r="15596" hidden="1" x14ac:dyDescent="0.25"/>
    <row r="15597" hidden="1" x14ac:dyDescent="0.25"/>
    <row r="15598" hidden="1" x14ac:dyDescent="0.25"/>
    <row r="15599" hidden="1" x14ac:dyDescent="0.25"/>
    <row r="15600" hidden="1" x14ac:dyDescent="0.25"/>
    <row r="15601" hidden="1" x14ac:dyDescent="0.25"/>
    <row r="15602" hidden="1" x14ac:dyDescent="0.25"/>
    <row r="15603" hidden="1" x14ac:dyDescent="0.25"/>
    <row r="15604" hidden="1" x14ac:dyDescent="0.25"/>
    <row r="15605" hidden="1" x14ac:dyDescent="0.25"/>
    <row r="15606" hidden="1" x14ac:dyDescent="0.25"/>
    <row r="15607" hidden="1" x14ac:dyDescent="0.25"/>
    <row r="15608" hidden="1" x14ac:dyDescent="0.25"/>
    <row r="15609" hidden="1" x14ac:dyDescent="0.25"/>
    <row r="15610" hidden="1" x14ac:dyDescent="0.25"/>
    <row r="15611" hidden="1" x14ac:dyDescent="0.25"/>
    <row r="15612" hidden="1" x14ac:dyDescent="0.25"/>
    <row r="15613" hidden="1" x14ac:dyDescent="0.25"/>
    <row r="15614" hidden="1" x14ac:dyDescent="0.25"/>
    <row r="15615" hidden="1" x14ac:dyDescent="0.25"/>
    <row r="15616" hidden="1" x14ac:dyDescent="0.25"/>
    <row r="15617" hidden="1" x14ac:dyDescent="0.25"/>
    <row r="15618" hidden="1" x14ac:dyDescent="0.25"/>
    <row r="15619" hidden="1" x14ac:dyDescent="0.25"/>
    <row r="15620" hidden="1" x14ac:dyDescent="0.25"/>
    <row r="15621" hidden="1" x14ac:dyDescent="0.25"/>
    <row r="15622" hidden="1" x14ac:dyDescent="0.25"/>
    <row r="15623" hidden="1" x14ac:dyDescent="0.25"/>
    <row r="15624" hidden="1" x14ac:dyDescent="0.25"/>
    <row r="15625" hidden="1" x14ac:dyDescent="0.25"/>
    <row r="15626" hidden="1" x14ac:dyDescent="0.25"/>
    <row r="15627" hidden="1" x14ac:dyDescent="0.25"/>
    <row r="15628" hidden="1" x14ac:dyDescent="0.25"/>
    <row r="15629" hidden="1" x14ac:dyDescent="0.25"/>
    <row r="15630" hidden="1" x14ac:dyDescent="0.25"/>
    <row r="15631" hidden="1" x14ac:dyDescent="0.25"/>
    <row r="15632" hidden="1" x14ac:dyDescent="0.25"/>
    <row r="15633" hidden="1" x14ac:dyDescent="0.25"/>
    <row r="15634" hidden="1" x14ac:dyDescent="0.25"/>
    <row r="15635" hidden="1" x14ac:dyDescent="0.25"/>
    <row r="15636" hidden="1" x14ac:dyDescent="0.25"/>
    <row r="15637" hidden="1" x14ac:dyDescent="0.25"/>
    <row r="15638" hidden="1" x14ac:dyDescent="0.25"/>
    <row r="15639" hidden="1" x14ac:dyDescent="0.25"/>
    <row r="15640" hidden="1" x14ac:dyDescent="0.25"/>
    <row r="15641" hidden="1" x14ac:dyDescent="0.25"/>
    <row r="15642" hidden="1" x14ac:dyDescent="0.25"/>
    <row r="15643" hidden="1" x14ac:dyDescent="0.25"/>
    <row r="15644" hidden="1" x14ac:dyDescent="0.25"/>
    <row r="15645" hidden="1" x14ac:dyDescent="0.25"/>
    <row r="15646" hidden="1" x14ac:dyDescent="0.25"/>
    <row r="15647" hidden="1" x14ac:dyDescent="0.25"/>
    <row r="15648" hidden="1" x14ac:dyDescent="0.25"/>
    <row r="15649" hidden="1" x14ac:dyDescent="0.25"/>
    <row r="15650" hidden="1" x14ac:dyDescent="0.25"/>
    <row r="15651" hidden="1" x14ac:dyDescent="0.25"/>
    <row r="15652" hidden="1" x14ac:dyDescent="0.25"/>
    <row r="15653" hidden="1" x14ac:dyDescent="0.25"/>
    <row r="15654" hidden="1" x14ac:dyDescent="0.25"/>
    <row r="15655" hidden="1" x14ac:dyDescent="0.25"/>
    <row r="15656" hidden="1" x14ac:dyDescent="0.25"/>
    <row r="15657" hidden="1" x14ac:dyDescent="0.25"/>
    <row r="15658" hidden="1" x14ac:dyDescent="0.25"/>
    <row r="15659" hidden="1" x14ac:dyDescent="0.25"/>
    <row r="15660" hidden="1" x14ac:dyDescent="0.25"/>
    <row r="15661" hidden="1" x14ac:dyDescent="0.25"/>
    <row r="15662" hidden="1" x14ac:dyDescent="0.25"/>
    <row r="15663" hidden="1" x14ac:dyDescent="0.25"/>
    <row r="15664" hidden="1" x14ac:dyDescent="0.25"/>
    <row r="15665" hidden="1" x14ac:dyDescent="0.25"/>
    <row r="15666" hidden="1" x14ac:dyDescent="0.25"/>
    <row r="15667" hidden="1" x14ac:dyDescent="0.25"/>
    <row r="15668" hidden="1" x14ac:dyDescent="0.25"/>
    <row r="15669" hidden="1" x14ac:dyDescent="0.25"/>
    <row r="15670" hidden="1" x14ac:dyDescent="0.25"/>
    <row r="15671" hidden="1" x14ac:dyDescent="0.25"/>
    <row r="15672" hidden="1" x14ac:dyDescent="0.25"/>
    <row r="15673" hidden="1" x14ac:dyDescent="0.25"/>
    <row r="15674" hidden="1" x14ac:dyDescent="0.25"/>
    <row r="15675" hidden="1" x14ac:dyDescent="0.25"/>
    <row r="15676" hidden="1" x14ac:dyDescent="0.25"/>
    <row r="15677" hidden="1" x14ac:dyDescent="0.25"/>
    <row r="15678" hidden="1" x14ac:dyDescent="0.25"/>
    <row r="15679" hidden="1" x14ac:dyDescent="0.25"/>
    <row r="15680" hidden="1" x14ac:dyDescent="0.25"/>
    <row r="15681" hidden="1" x14ac:dyDescent="0.25"/>
    <row r="15682" hidden="1" x14ac:dyDescent="0.25"/>
    <row r="15683" hidden="1" x14ac:dyDescent="0.25"/>
    <row r="15684" hidden="1" x14ac:dyDescent="0.25"/>
    <row r="15685" hidden="1" x14ac:dyDescent="0.25"/>
    <row r="15686" hidden="1" x14ac:dyDescent="0.25"/>
    <row r="15687" hidden="1" x14ac:dyDescent="0.25"/>
    <row r="15688" hidden="1" x14ac:dyDescent="0.25"/>
    <row r="15689" hidden="1" x14ac:dyDescent="0.25"/>
    <row r="15690" hidden="1" x14ac:dyDescent="0.25"/>
    <row r="15691" hidden="1" x14ac:dyDescent="0.25"/>
    <row r="15692" hidden="1" x14ac:dyDescent="0.25"/>
    <row r="15693" hidden="1" x14ac:dyDescent="0.25"/>
    <row r="15694" hidden="1" x14ac:dyDescent="0.25"/>
    <row r="15695" hidden="1" x14ac:dyDescent="0.25"/>
    <row r="15696" hidden="1" x14ac:dyDescent="0.25"/>
    <row r="15697" hidden="1" x14ac:dyDescent="0.25"/>
    <row r="15698" hidden="1" x14ac:dyDescent="0.25"/>
    <row r="15699" hidden="1" x14ac:dyDescent="0.25"/>
    <row r="15700" hidden="1" x14ac:dyDescent="0.25"/>
    <row r="15701" hidden="1" x14ac:dyDescent="0.25"/>
    <row r="15702" hidden="1" x14ac:dyDescent="0.25"/>
    <row r="15703" hidden="1" x14ac:dyDescent="0.25"/>
    <row r="15704" hidden="1" x14ac:dyDescent="0.25"/>
    <row r="15705" hidden="1" x14ac:dyDescent="0.25"/>
    <row r="15706" hidden="1" x14ac:dyDescent="0.25"/>
    <row r="15707" hidden="1" x14ac:dyDescent="0.25"/>
    <row r="15708" hidden="1" x14ac:dyDescent="0.25"/>
    <row r="15709" hidden="1" x14ac:dyDescent="0.25"/>
    <row r="15710" hidden="1" x14ac:dyDescent="0.25"/>
    <row r="15711" hidden="1" x14ac:dyDescent="0.25"/>
    <row r="15712" hidden="1" x14ac:dyDescent="0.25"/>
    <row r="15713" hidden="1" x14ac:dyDescent="0.25"/>
    <row r="15714" hidden="1" x14ac:dyDescent="0.25"/>
    <row r="15715" hidden="1" x14ac:dyDescent="0.25"/>
    <row r="15716" hidden="1" x14ac:dyDescent="0.25"/>
    <row r="15717" hidden="1" x14ac:dyDescent="0.25"/>
    <row r="15718" hidden="1" x14ac:dyDescent="0.25"/>
    <row r="15719" hidden="1" x14ac:dyDescent="0.25"/>
    <row r="15720" hidden="1" x14ac:dyDescent="0.25"/>
    <row r="15721" hidden="1" x14ac:dyDescent="0.25"/>
    <row r="15722" hidden="1" x14ac:dyDescent="0.25"/>
    <row r="15723" hidden="1" x14ac:dyDescent="0.25"/>
    <row r="15724" hidden="1" x14ac:dyDescent="0.25"/>
    <row r="15725" hidden="1" x14ac:dyDescent="0.25"/>
    <row r="15726" hidden="1" x14ac:dyDescent="0.25"/>
    <row r="15727" hidden="1" x14ac:dyDescent="0.25"/>
    <row r="15728" hidden="1" x14ac:dyDescent="0.25"/>
    <row r="15729" hidden="1" x14ac:dyDescent="0.25"/>
    <row r="15730" hidden="1" x14ac:dyDescent="0.25"/>
    <row r="15731" hidden="1" x14ac:dyDescent="0.25"/>
    <row r="15732" hidden="1" x14ac:dyDescent="0.25"/>
    <row r="15733" hidden="1" x14ac:dyDescent="0.25"/>
    <row r="15734" hidden="1" x14ac:dyDescent="0.25"/>
    <row r="15735" hidden="1" x14ac:dyDescent="0.25"/>
    <row r="15736" hidden="1" x14ac:dyDescent="0.25"/>
    <row r="15737" hidden="1" x14ac:dyDescent="0.25"/>
    <row r="15738" hidden="1" x14ac:dyDescent="0.25"/>
    <row r="15739" hidden="1" x14ac:dyDescent="0.25"/>
    <row r="15740" hidden="1" x14ac:dyDescent="0.25"/>
    <row r="15741" hidden="1" x14ac:dyDescent="0.25"/>
    <row r="15742" hidden="1" x14ac:dyDescent="0.25"/>
    <row r="15743" hidden="1" x14ac:dyDescent="0.25"/>
    <row r="15744" hidden="1" x14ac:dyDescent="0.25"/>
    <row r="15745" hidden="1" x14ac:dyDescent="0.25"/>
    <row r="15746" hidden="1" x14ac:dyDescent="0.25"/>
    <row r="15747" hidden="1" x14ac:dyDescent="0.25"/>
    <row r="15748" hidden="1" x14ac:dyDescent="0.25"/>
    <row r="15749" hidden="1" x14ac:dyDescent="0.25"/>
    <row r="15750" hidden="1" x14ac:dyDescent="0.25"/>
    <row r="15751" hidden="1" x14ac:dyDescent="0.25"/>
    <row r="15752" hidden="1" x14ac:dyDescent="0.25"/>
    <row r="15753" hidden="1" x14ac:dyDescent="0.25"/>
    <row r="15754" hidden="1" x14ac:dyDescent="0.25"/>
    <row r="15755" hidden="1" x14ac:dyDescent="0.25"/>
    <row r="15756" hidden="1" x14ac:dyDescent="0.25"/>
    <row r="15757" hidden="1" x14ac:dyDescent="0.25"/>
    <row r="15758" hidden="1" x14ac:dyDescent="0.25"/>
    <row r="15759" hidden="1" x14ac:dyDescent="0.25"/>
    <row r="15760" hidden="1" x14ac:dyDescent="0.25"/>
    <row r="15761" hidden="1" x14ac:dyDescent="0.25"/>
    <row r="15762" hidden="1" x14ac:dyDescent="0.25"/>
    <row r="15763" hidden="1" x14ac:dyDescent="0.25"/>
    <row r="15764" hidden="1" x14ac:dyDescent="0.25"/>
    <row r="15765" hidden="1" x14ac:dyDescent="0.25"/>
    <row r="15766" hidden="1" x14ac:dyDescent="0.25"/>
    <row r="15767" hidden="1" x14ac:dyDescent="0.25"/>
    <row r="15768" hidden="1" x14ac:dyDescent="0.25"/>
    <row r="15769" hidden="1" x14ac:dyDescent="0.25"/>
    <row r="15770" hidden="1" x14ac:dyDescent="0.25"/>
    <row r="15771" hidden="1" x14ac:dyDescent="0.25"/>
    <row r="15772" hidden="1" x14ac:dyDescent="0.25"/>
    <row r="15773" hidden="1" x14ac:dyDescent="0.25"/>
    <row r="15774" hidden="1" x14ac:dyDescent="0.25"/>
    <row r="15775" hidden="1" x14ac:dyDescent="0.25"/>
    <row r="15776" hidden="1" x14ac:dyDescent="0.25"/>
    <row r="15777" hidden="1" x14ac:dyDescent="0.25"/>
    <row r="15778" hidden="1" x14ac:dyDescent="0.25"/>
    <row r="15779" hidden="1" x14ac:dyDescent="0.25"/>
    <row r="15780" hidden="1" x14ac:dyDescent="0.25"/>
    <row r="15781" hidden="1" x14ac:dyDescent="0.25"/>
    <row r="15782" hidden="1" x14ac:dyDescent="0.25"/>
    <row r="15783" hidden="1" x14ac:dyDescent="0.25"/>
    <row r="15784" hidden="1" x14ac:dyDescent="0.25"/>
    <row r="15785" hidden="1" x14ac:dyDescent="0.25"/>
    <row r="15786" hidden="1" x14ac:dyDescent="0.25"/>
    <row r="15787" hidden="1" x14ac:dyDescent="0.25"/>
    <row r="15788" hidden="1" x14ac:dyDescent="0.25"/>
    <row r="15789" hidden="1" x14ac:dyDescent="0.25"/>
    <row r="15790" hidden="1" x14ac:dyDescent="0.25"/>
    <row r="15791" hidden="1" x14ac:dyDescent="0.25"/>
    <row r="15792" hidden="1" x14ac:dyDescent="0.25"/>
    <row r="15793" hidden="1" x14ac:dyDescent="0.25"/>
    <row r="15794" hidden="1" x14ac:dyDescent="0.25"/>
    <row r="15795" hidden="1" x14ac:dyDescent="0.25"/>
    <row r="15796" hidden="1" x14ac:dyDescent="0.25"/>
    <row r="15797" hidden="1" x14ac:dyDescent="0.25"/>
    <row r="15798" hidden="1" x14ac:dyDescent="0.25"/>
    <row r="15799" hidden="1" x14ac:dyDescent="0.25"/>
    <row r="15800" hidden="1" x14ac:dyDescent="0.25"/>
    <row r="15801" hidden="1" x14ac:dyDescent="0.25"/>
    <row r="15802" hidden="1" x14ac:dyDescent="0.25"/>
    <row r="15803" hidden="1" x14ac:dyDescent="0.25"/>
    <row r="15804" hidden="1" x14ac:dyDescent="0.25"/>
    <row r="15805" hidden="1" x14ac:dyDescent="0.25"/>
    <row r="15806" hidden="1" x14ac:dyDescent="0.25"/>
    <row r="15807" hidden="1" x14ac:dyDescent="0.25"/>
    <row r="15808" hidden="1" x14ac:dyDescent="0.25"/>
    <row r="15809" hidden="1" x14ac:dyDescent="0.25"/>
    <row r="15810" hidden="1" x14ac:dyDescent="0.25"/>
    <row r="15811" hidden="1" x14ac:dyDescent="0.25"/>
    <row r="15812" hidden="1" x14ac:dyDescent="0.25"/>
    <row r="15813" hidden="1" x14ac:dyDescent="0.25"/>
    <row r="15814" hidden="1" x14ac:dyDescent="0.25"/>
    <row r="15815" hidden="1" x14ac:dyDescent="0.25"/>
    <row r="15816" hidden="1" x14ac:dyDescent="0.25"/>
    <row r="15817" hidden="1" x14ac:dyDescent="0.25"/>
    <row r="15818" hidden="1" x14ac:dyDescent="0.25"/>
    <row r="15819" hidden="1" x14ac:dyDescent="0.25"/>
    <row r="15820" hidden="1" x14ac:dyDescent="0.25"/>
    <row r="15821" hidden="1" x14ac:dyDescent="0.25"/>
    <row r="15822" hidden="1" x14ac:dyDescent="0.25"/>
    <row r="15823" hidden="1" x14ac:dyDescent="0.25"/>
    <row r="15824" hidden="1" x14ac:dyDescent="0.25"/>
    <row r="15825" hidden="1" x14ac:dyDescent="0.25"/>
    <row r="15826" hidden="1" x14ac:dyDescent="0.25"/>
    <row r="15827" hidden="1" x14ac:dyDescent="0.25"/>
    <row r="15828" hidden="1" x14ac:dyDescent="0.25"/>
    <row r="15829" hidden="1" x14ac:dyDescent="0.25"/>
    <row r="15830" hidden="1" x14ac:dyDescent="0.25"/>
    <row r="15831" hidden="1" x14ac:dyDescent="0.25"/>
    <row r="15832" hidden="1" x14ac:dyDescent="0.25"/>
    <row r="15833" hidden="1" x14ac:dyDescent="0.25"/>
    <row r="15834" hidden="1" x14ac:dyDescent="0.25"/>
    <row r="15835" hidden="1" x14ac:dyDescent="0.25"/>
    <row r="15836" hidden="1" x14ac:dyDescent="0.25"/>
    <row r="15837" hidden="1" x14ac:dyDescent="0.25"/>
    <row r="15838" hidden="1" x14ac:dyDescent="0.25"/>
    <row r="15839" hidden="1" x14ac:dyDescent="0.25"/>
    <row r="15840" hidden="1" x14ac:dyDescent="0.25"/>
    <row r="15841" hidden="1" x14ac:dyDescent="0.25"/>
    <row r="15842" hidden="1" x14ac:dyDescent="0.25"/>
    <row r="15843" hidden="1" x14ac:dyDescent="0.25"/>
    <row r="15844" hidden="1" x14ac:dyDescent="0.25"/>
    <row r="15845" hidden="1" x14ac:dyDescent="0.25"/>
    <row r="15846" hidden="1" x14ac:dyDescent="0.25"/>
    <row r="15847" hidden="1" x14ac:dyDescent="0.25"/>
    <row r="15848" hidden="1" x14ac:dyDescent="0.25"/>
    <row r="15849" hidden="1" x14ac:dyDescent="0.25"/>
    <row r="15850" hidden="1" x14ac:dyDescent="0.25"/>
    <row r="15851" hidden="1" x14ac:dyDescent="0.25"/>
    <row r="15852" hidden="1" x14ac:dyDescent="0.25"/>
    <row r="15853" hidden="1" x14ac:dyDescent="0.25"/>
    <row r="15854" hidden="1" x14ac:dyDescent="0.25"/>
    <row r="15855" hidden="1" x14ac:dyDescent="0.25"/>
    <row r="15856" hidden="1" x14ac:dyDescent="0.25"/>
    <row r="15857" hidden="1" x14ac:dyDescent="0.25"/>
    <row r="15858" hidden="1" x14ac:dyDescent="0.25"/>
    <row r="15859" hidden="1" x14ac:dyDescent="0.25"/>
    <row r="15860" hidden="1" x14ac:dyDescent="0.25"/>
    <row r="15861" hidden="1" x14ac:dyDescent="0.25"/>
    <row r="15862" hidden="1" x14ac:dyDescent="0.25"/>
    <row r="15863" hidden="1" x14ac:dyDescent="0.25"/>
    <row r="15864" hidden="1" x14ac:dyDescent="0.25"/>
    <row r="15865" hidden="1" x14ac:dyDescent="0.25"/>
    <row r="15866" hidden="1" x14ac:dyDescent="0.25"/>
    <row r="15867" hidden="1" x14ac:dyDescent="0.25"/>
    <row r="15868" hidden="1" x14ac:dyDescent="0.25"/>
    <row r="15869" hidden="1" x14ac:dyDescent="0.25"/>
    <row r="15870" hidden="1" x14ac:dyDescent="0.25"/>
    <row r="15871" hidden="1" x14ac:dyDescent="0.25"/>
    <row r="15872" hidden="1" x14ac:dyDescent="0.25"/>
    <row r="15873" hidden="1" x14ac:dyDescent="0.25"/>
    <row r="15874" hidden="1" x14ac:dyDescent="0.25"/>
    <row r="15875" hidden="1" x14ac:dyDescent="0.25"/>
    <row r="15876" hidden="1" x14ac:dyDescent="0.25"/>
    <row r="15877" hidden="1" x14ac:dyDescent="0.25"/>
    <row r="15878" hidden="1" x14ac:dyDescent="0.25"/>
    <row r="15879" hidden="1" x14ac:dyDescent="0.25"/>
    <row r="15880" hidden="1" x14ac:dyDescent="0.25"/>
    <row r="15881" hidden="1" x14ac:dyDescent="0.25"/>
    <row r="15882" hidden="1" x14ac:dyDescent="0.25"/>
    <row r="15883" hidden="1" x14ac:dyDescent="0.25"/>
    <row r="15884" hidden="1" x14ac:dyDescent="0.25"/>
    <row r="15885" hidden="1" x14ac:dyDescent="0.25"/>
    <row r="15886" hidden="1" x14ac:dyDescent="0.25"/>
    <row r="15887" hidden="1" x14ac:dyDescent="0.25"/>
    <row r="15888" hidden="1" x14ac:dyDescent="0.25"/>
    <row r="15889" hidden="1" x14ac:dyDescent="0.25"/>
    <row r="15890" hidden="1" x14ac:dyDescent="0.25"/>
    <row r="15891" hidden="1" x14ac:dyDescent="0.25"/>
    <row r="15892" hidden="1" x14ac:dyDescent="0.25"/>
    <row r="15893" hidden="1" x14ac:dyDescent="0.25"/>
    <row r="15894" hidden="1" x14ac:dyDescent="0.25"/>
    <row r="15895" hidden="1" x14ac:dyDescent="0.25"/>
    <row r="15896" hidden="1" x14ac:dyDescent="0.25"/>
    <row r="15897" hidden="1" x14ac:dyDescent="0.25"/>
    <row r="15898" hidden="1" x14ac:dyDescent="0.25"/>
    <row r="15899" hidden="1" x14ac:dyDescent="0.25"/>
    <row r="15900" hidden="1" x14ac:dyDescent="0.25"/>
    <row r="15901" hidden="1" x14ac:dyDescent="0.25"/>
    <row r="15902" hidden="1" x14ac:dyDescent="0.25"/>
    <row r="15903" hidden="1" x14ac:dyDescent="0.25"/>
    <row r="15904" hidden="1" x14ac:dyDescent="0.25"/>
    <row r="15905" hidden="1" x14ac:dyDescent="0.25"/>
    <row r="15906" hidden="1" x14ac:dyDescent="0.25"/>
    <row r="15907" hidden="1" x14ac:dyDescent="0.25"/>
    <row r="15908" hidden="1" x14ac:dyDescent="0.25"/>
    <row r="15909" hidden="1" x14ac:dyDescent="0.25"/>
    <row r="15910" hidden="1" x14ac:dyDescent="0.25"/>
    <row r="15911" hidden="1" x14ac:dyDescent="0.25"/>
    <row r="15912" hidden="1" x14ac:dyDescent="0.25"/>
    <row r="15913" hidden="1" x14ac:dyDescent="0.25"/>
    <row r="15914" hidden="1" x14ac:dyDescent="0.25"/>
    <row r="15915" hidden="1" x14ac:dyDescent="0.25"/>
    <row r="15916" hidden="1" x14ac:dyDescent="0.25"/>
    <row r="15917" hidden="1" x14ac:dyDescent="0.25"/>
    <row r="15918" hidden="1" x14ac:dyDescent="0.25"/>
    <row r="15919" hidden="1" x14ac:dyDescent="0.25"/>
    <row r="15920" hidden="1" x14ac:dyDescent="0.25"/>
    <row r="15921" hidden="1" x14ac:dyDescent="0.25"/>
    <row r="15922" hidden="1" x14ac:dyDescent="0.25"/>
    <row r="15923" hidden="1" x14ac:dyDescent="0.25"/>
    <row r="15924" hidden="1" x14ac:dyDescent="0.25"/>
    <row r="15925" hidden="1" x14ac:dyDescent="0.25"/>
    <row r="15926" hidden="1" x14ac:dyDescent="0.25"/>
    <row r="15927" hidden="1" x14ac:dyDescent="0.25"/>
    <row r="15928" hidden="1" x14ac:dyDescent="0.25"/>
    <row r="15929" hidden="1" x14ac:dyDescent="0.25"/>
    <row r="15930" hidden="1" x14ac:dyDescent="0.25"/>
    <row r="15931" hidden="1" x14ac:dyDescent="0.25"/>
    <row r="15932" hidden="1" x14ac:dyDescent="0.25"/>
    <row r="15933" hidden="1" x14ac:dyDescent="0.25"/>
    <row r="15934" hidden="1" x14ac:dyDescent="0.25"/>
    <row r="15935" hidden="1" x14ac:dyDescent="0.25"/>
    <row r="15936" hidden="1" x14ac:dyDescent="0.25"/>
    <row r="15937" hidden="1" x14ac:dyDescent="0.25"/>
    <row r="15938" hidden="1" x14ac:dyDescent="0.25"/>
    <row r="15939" hidden="1" x14ac:dyDescent="0.25"/>
    <row r="15940" hidden="1" x14ac:dyDescent="0.25"/>
    <row r="15941" hidden="1" x14ac:dyDescent="0.25"/>
    <row r="15942" hidden="1" x14ac:dyDescent="0.25"/>
    <row r="15943" hidden="1" x14ac:dyDescent="0.25"/>
    <row r="15944" hidden="1" x14ac:dyDescent="0.25"/>
    <row r="15945" hidden="1" x14ac:dyDescent="0.25"/>
    <row r="15946" hidden="1" x14ac:dyDescent="0.25"/>
    <row r="15947" hidden="1" x14ac:dyDescent="0.25"/>
    <row r="15948" hidden="1" x14ac:dyDescent="0.25"/>
    <row r="15949" hidden="1" x14ac:dyDescent="0.25"/>
    <row r="15950" hidden="1" x14ac:dyDescent="0.25"/>
    <row r="15951" hidden="1" x14ac:dyDescent="0.25"/>
    <row r="15952" hidden="1" x14ac:dyDescent="0.25"/>
    <row r="15953" hidden="1" x14ac:dyDescent="0.25"/>
    <row r="15954" hidden="1" x14ac:dyDescent="0.25"/>
    <row r="15955" hidden="1" x14ac:dyDescent="0.25"/>
    <row r="15956" hidden="1" x14ac:dyDescent="0.25"/>
    <row r="15957" hidden="1" x14ac:dyDescent="0.25"/>
    <row r="15958" hidden="1" x14ac:dyDescent="0.25"/>
    <row r="15959" hidden="1" x14ac:dyDescent="0.25"/>
    <row r="15960" hidden="1" x14ac:dyDescent="0.25"/>
    <row r="15961" hidden="1" x14ac:dyDescent="0.25"/>
    <row r="15962" hidden="1" x14ac:dyDescent="0.25"/>
    <row r="15963" hidden="1" x14ac:dyDescent="0.25"/>
    <row r="15964" hidden="1" x14ac:dyDescent="0.25"/>
    <row r="15965" hidden="1" x14ac:dyDescent="0.25"/>
    <row r="15966" hidden="1" x14ac:dyDescent="0.25"/>
    <row r="15967" hidden="1" x14ac:dyDescent="0.25"/>
    <row r="15968" hidden="1" x14ac:dyDescent="0.25"/>
    <row r="15969" hidden="1" x14ac:dyDescent="0.25"/>
    <row r="15970" hidden="1" x14ac:dyDescent="0.25"/>
    <row r="15971" hidden="1" x14ac:dyDescent="0.25"/>
    <row r="15972" hidden="1" x14ac:dyDescent="0.25"/>
    <row r="15973" hidden="1" x14ac:dyDescent="0.25"/>
    <row r="15974" hidden="1" x14ac:dyDescent="0.25"/>
    <row r="15975" hidden="1" x14ac:dyDescent="0.25"/>
    <row r="15976" hidden="1" x14ac:dyDescent="0.25"/>
    <row r="15977" hidden="1" x14ac:dyDescent="0.25"/>
    <row r="15978" hidden="1" x14ac:dyDescent="0.25"/>
    <row r="15979" hidden="1" x14ac:dyDescent="0.25"/>
    <row r="15980" hidden="1" x14ac:dyDescent="0.25"/>
    <row r="15981" hidden="1" x14ac:dyDescent="0.25"/>
    <row r="15982" hidden="1" x14ac:dyDescent="0.25"/>
    <row r="15983" hidden="1" x14ac:dyDescent="0.25"/>
    <row r="15984" hidden="1" x14ac:dyDescent="0.25"/>
    <row r="15985" hidden="1" x14ac:dyDescent="0.25"/>
    <row r="15986" hidden="1" x14ac:dyDescent="0.25"/>
    <row r="15987" hidden="1" x14ac:dyDescent="0.25"/>
    <row r="15988" hidden="1" x14ac:dyDescent="0.25"/>
    <row r="15989" hidden="1" x14ac:dyDescent="0.25"/>
    <row r="15990" hidden="1" x14ac:dyDescent="0.25"/>
    <row r="15991" hidden="1" x14ac:dyDescent="0.25"/>
    <row r="15992" hidden="1" x14ac:dyDescent="0.25"/>
    <row r="15993" hidden="1" x14ac:dyDescent="0.25"/>
    <row r="15994" hidden="1" x14ac:dyDescent="0.25"/>
    <row r="15995" hidden="1" x14ac:dyDescent="0.25"/>
    <row r="15996" hidden="1" x14ac:dyDescent="0.25"/>
    <row r="15997" hidden="1" x14ac:dyDescent="0.25"/>
    <row r="15998" hidden="1" x14ac:dyDescent="0.25"/>
    <row r="15999" hidden="1" x14ac:dyDescent="0.25"/>
    <row r="16000" hidden="1" x14ac:dyDescent="0.25"/>
    <row r="16001" hidden="1" x14ac:dyDescent="0.25"/>
    <row r="16002" hidden="1" x14ac:dyDescent="0.25"/>
    <row r="16003" hidden="1" x14ac:dyDescent="0.25"/>
    <row r="16004" hidden="1" x14ac:dyDescent="0.25"/>
    <row r="16005" hidden="1" x14ac:dyDescent="0.25"/>
    <row r="16006" hidden="1" x14ac:dyDescent="0.25"/>
    <row r="16007" hidden="1" x14ac:dyDescent="0.25"/>
    <row r="16008" hidden="1" x14ac:dyDescent="0.25"/>
    <row r="16009" hidden="1" x14ac:dyDescent="0.25"/>
    <row r="16010" hidden="1" x14ac:dyDescent="0.25"/>
    <row r="16011" hidden="1" x14ac:dyDescent="0.25"/>
    <row r="16012" hidden="1" x14ac:dyDescent="0.25"/>
    <row r="16013" hidden="1" x14ac:dyDescent="0.25"/>
    <row r="16014" hidden="1" x14ac:dyDescent="0.25"/>
    <row r="16015" hidden="1" x14ac:dyDescent="0.25"/>
    <row r="16016" hidden="1" x14ac:dyDescent="0.25"/>
    <row r="16017" hidden="1" x14ac:dyDescent="0.25"/>
    <row r="16018" hidden="1" x14ac:dyDescent="0.25"/>
    <row r="16019" hidden="1" x14ac:dyDescent="0.25"/>
    <row r="16020" hidden="1" x14ac:dyDescent="0.25"/>
    <row r="16021" hidden="1" x14ac:dyDescent="0.25"/>
    <row r="16022" hidden="1" x14ac:dyDescent="0.25"/>
    <row r="16023" hidden="1" x14ac:dyDescent="0.25"/>
    <row r="16024" hidden="1" x14ac:dyDescent="0.25"/>
    <row r="16025" hidden="1" x14ac:dyDescent="0.25"/>
    <row r="16026" hidden="1" x14ac:dyDescent="0.25"/>
    <row r="16027" hidden="1" x14ac:dyDescent="0.25"/>
    <row r="16028" hidden="1" x14ac:dyDescent="0.25"/>
    <row r="16029" hidden="1" x14ac:dyDescent="0.25"/>
    <row r="16030" hidden="1" x14ac:dyDescent="0.25"/>
    <row r="16031" hidden="1" x14ac:dyDescent="0.25"/>
    <row r="16032" hidden="1" x14ac:dyDescent="0.25"/>
    <row r="16033" hidden="1" x14ac:dyDescent="0.25"/>
    <row r="16034" hidden="1" x14ac:dyDescent="0.25"/>
    <row r="16035" hidden="1" x14ac:dyDescent="0.25"/>
    <row r="16036" hidden="1" x14ac:dyDescent="0.25"/>
    <row r="16037" hidden="1" x14ac:dyDescent="0.25"/>
    <row r="16038" hidden="1" x14ac:dyDescent="0.25"/>
    <row r="16039" hidden="1" x14ac:dyDescent="0.25"/>
    <row r="16040" hidden="1" x14ac:dyDescent="0.25"/>
    <row r="16041" hidden="1" x14ac:dyDescent="0.25"/>
    <row r="16042" hidden="1" x14ac:dyDescent="0.25"/>
    <row r="16043" hidden="1" x14ac:dyDescent="0.25"/>
    <row r="16044" hidden="1" x14ac:dyDescent="0.25"/>
    <row r="16045" hidden="1" x14ac:dyDescent="0.25"/>
    <row r="16046" hidden="1" x14ac:dyDescent="0.25"/>
    <row r="16047" hidden="1" x14ac:dyDescent="0.25"/>
    <row r="16048" hidden="1" x14ac:dyDescent="0.25"/>
    <row r="16049" hidden="1" x14ac:dyDescent="0.25"/>
    <row r="16050" hidden="1" x14ac:dyDescent="0.25"/>
    <row r="16051" hidden="1" x14ac:dyDescent="0.25"/>
    <row r="16052" hidden="1" x14ac:dyDescent="0.25"/>
    <row r="16053" hidden="1" x14ac:dyDescent="0.25"/>
    <row r="16054" hidden="1" x14ac:dyDescent="0.25"/>
    <row r="16055" hidden="1" x14ac:dyDescent="0.25"/>
    <row r="16056" hidden="1" x14ac:dyDescent="0.25"/>
    <row r="16057" hidden="1" x14ac:dyDescent="0.25"/>
    <row r="16058" hidden="1" x14ac:dyDescent="0.25"/>
    <row r="16059" hidden="1" x14ac:dyDescent="0.25"/>
    <row r="16060" hidden="1" x14ac:dyDescent="0.25"/>
    <row r="16061" hidden="1" x14ac:dyDescent="0.25"/>
    <row r="16062" hidden="1" x14ac:dyDescent="0.25"/>
    <row r="16063" hidden="1" x14ac:dyDescent="0.25"/>
    <row r="16064" hidden="1" x14ac:dyDescent="0.25"/>
    <row r="16065" hidden="1" x14ac:dyDescent="0.25"/>
    <row r="16066" hidden="1" x14ac:dyDescent="0.25"/>
    <row r="16067" hidden="1" x14ac:dyDescent="0.25"/>
    <row r="16068" hidden="1" x14ac:dyDescent="0.25"/>
    <row r="16069" hidden="1" x14ac:dyDescent="0.25"/>
    <row r="16070" hidden="1" x14ac:dyDescent="0.25"/>
    <row r="16071" hidden="1" x14ac:dyDescent="0.25"/>
    <row r="16072" hidden="1" x14ac:dyDescent="0.25"/>
    <row r="16073" hidden="1" x14ac:dyDescent="0.25"/>
    <row r="16074" hidden="1" x14ac:dyDescent="0.25"/>
    <row r="16075" hidden="1" x14ac:dyDescent="0.25"/>
    <row r="16076" hidden="1" x14ac:dyDescent="0.25"/>
    <row r="16077" hidden="1" x14ac:dyDescent="0.25"/>
    <row r="16078" hidden="1" x14ac:dyDescent="0.25"/>
    <row r="16079" hidden="1" x14ac:dyDescent="0.25"/>
    <row r="16080" hidden="1" x14ac:dyDescent="0.25"/>
    <row r="16081" hidden="1" x14ac:dyDescent="0.25"/>
    <row r="16082" hidden="1" x14ac:dyDescent="0.25"/>
    <row r="16083" hidden="1" x14ac:dyDescent="0.25"/>
    <row r="16084" hidden="1" x14ac:dyDescent="0.25"/>
    <row r="16085" hidden="1" x14ac:dyDescent="0.25"/>
    <row r="16086" hidden="1" x14ac:dyDescent="0.25"/>
    <row r="16087" hidden="1" x14ac:dyDescent="0.25"/>
    <row r="16088" hidden="1" x14ac:dyDescent="0.25"/>
    <row r="16089" hidden="1" x14ac:dyDescent="0.25"/>
    <row r="16090" hidden="1" x14ac:dyDescent="0.25"/>
    <row r="16091" hidden="1" x14ac:dyDescent="0.25"/>
    <row r="16092" hidden="1" x14ac:dyDescent="0.25"/>
    <row r="16093" hidden="1" x14ac:dyDescent="0.25"/>
    <row r="16094" hidden="1" x14ac:dyDescent="0.25"/>
    <row r="16095" hidden="1" x14ac:dyDescent="0.25"/>
    <row r="16096" hidden="1" x14ac:dyDescent="0.25"/>
    <row r="16097" hidden="1" x14ac:dyDescent="0.25"/>
    <row r="16098" hidden="1" x14ac:dyDescent="0.25"/>
    <row r="16099" hidden="1" x14ac:dyDescent="0.25"/>
    <row r="16100" hidden="1" x14ac:dyDescent="0.25"/>
    <row r="16101" hidden="1" x14ac:dyDescent="0.25"/>
    <row r="16102" hidden="1" x14ac:dyDescent="0.25"/>
    <row r="16103" hidden="1" x14ac:dyDescent="0.25"/>
    <row r="16104" hidden="1" x14ac:dyDescent="0.25"/>
    <row r="16105" hidden="1" x14ac:dyDescent="0.25"/>
    <row r="16106" hidden="1" x14ac:dyDescent="0.25"/>
    <row r="16107" hidden="1" x14ac:dyDescent="0.25"/>
    <row r="16108" hidden="1" x14ac:dyDescent="0.25"/>
    <row r="16109" hidden="1" x14ac:dyDescent="0.25"/>
    <row r="16110" hidden="1" x14ac:dyDescent="0.25"/>
    <row r="16111" hidden="1" x14ac:dyDescent="0.25"/>
    <row r="16112" hidden="1" x14ac:dyDescent="0.25"/>
    <row r="16113" hidden="1" x14ac:dyDescent="0.25"/>
    <row r="16114" hidden="1" x14ac:dyDescent="0.25"/>
    <row r="16115" hidden="1" x14ac:dyDescent="0.25"/>
    <row r="16116" hidden="1" x14ac:dyDescent="0.25"/>
    <row r="16117" hidden="1" x14ac:dyDescent="0.25"/>
    <row r="16118" hidden="1" x14ac:dyDescent="0.25"/>
    <row r="16119" hidden="1" x14ac:dyDescent="0.25"/>
    <row r="16120" hidden="1" x14ac:dyDescent="0.25"/>
    <row r="16121" hidden="1" x14ac:dyDescent="0.25"/>
    <row r="16122" hidden="1" x14ac:dyDescent="0.25"/>
    <row r="16123" hidden="1" x14ac:dyDescent="0.25"/>
    <row r="16124" hidden="1" x14ac:dyDescent="0.25"/>
    <row r="16125" hidden="1" x14ac:dyDescent="0.25"/>
    <row r="16126" hidden="1" x14ac:dyDescent="0.25"/>
    <row r="16127" hidden="1" x14ac:dyDescent="0.25"/>
    <row r="16128" hidden="1" x14ac:dyDescent="0.25"/>
    <row r="16129" hidden="1" x14ac:dyDescent="0.25"/>
    <row r="16130" hidden="1" x14ac:dyDescent="0.25"/>
    <row r="16131" hidden="1" x14ac:dyDescent="0.25"/>
    <row r="16132" hidden="1" x14ac:dyDescent="0.25"/>
    <row r="16133" hidden="1" x14ac:dyDescent="0.25"/>
    <row r="16134" hidden="1" x14ac:dyDescent="0.25"/>
    <row r="16135" hidden="1" x14ac:dyDescent="0.25"/>
    <row r="16136" hidden="1" x14ac:dyDescent="0.25"/>
    <row r="16137" hidden="1" x14ac:dyDescent="0.25"/>
    <row r="16138" hidden="1" x14ac:dyDescent="0.25"/>
    <row r="16139" hidden="1" x14ac:dyDescent="0.25"/>
    <row r="16140" hidden="1" x14ac:dyDescent="0.25"/>
    <row r="16141" hidden="1" x14ac:dyDescent="0.25"/>
    <row r="16142" hidden="1" x14ac:dyDescent="0.25"/>
    <row r="16143" hidden="1" x14ac:dyDescent="0.25"/>
    <row r="16144" hidden="1" x14ac:dyDescent="0.25"/>
    <row r="16145" hidden="1" x14ac:dyDescent="0.25"/>
    <row r="16146" hidden="1" x14ac:dyDescent="0.25"/>
    <row r="16147" hidden="1" x14ac:dyDescent="0.25"/>
    <row r="16148" hidden="1" x14ac:dyDescent="0.25"/>
    <row r="16149" hidden="1" x14ac:dyDescent="0.25"/>
    <row r="16150" hidden="1" x14ac:dyDescent="0.25"/>
    <row r="16151" hidden="1" x14ac:dyDescent="0.25"/>
    <row r="16152" hidden="1" x14ac:dyDescent="0.25"/>
    <row r="16153" hidden="1" x14ac:dyDescent="0.25"/>
    <row r="16154" hidden="1" x14ac:dyDescent="0.25"/>
    <row r="16155" hidden="1" x14ac:dyDescent="0.25"/>
    <row r="16156" hidden="1" x14ac:dyDescent="0.25"/>
    <row r="16157" hidden="1" x14ac:dyDescent="0.25"/>
    <row r="16158" hidden="1" x14ac:dyDescent="0.25"/>
    <row r="16159" hidden="1" x14ac:dyDescent="0.25"/>
    <row r="16160" hidden="1" x14ac:dyDescent="0.25"/>
    <row r="16161" hidden="1" x14ac:dyDescent="0.25"/>
    <row r="16162" hidden="1" x14ac:dyDescent="0.25"/>
    <row r="16163" hidden="1" x14ac:dyDescent="0.25"/>
    <row r="16164" hidden="1" x14ac:dyDescent="0.25"/>
    <row r="16165" hidden="1" x14ac:dyDescent="0.25"/>
    <row r="16166" hidden="1" x14ac:dyDescent="0.25"/>
    <row r="16167" hidden="1" x14ac:dyDescent="0.25"/>
    <row r="16168" hidden="1" x14ac:dyDescent="0.25"/>
    <row r="16169" hidden="1" x14ac:dyDescent="0.25"/>
    <row r="16170" hidden="1" x14ac:dyDescent="0.25"/>
    <row r="16171" hidden="1" x14ac:dyDescent="0.25"/>
    <row r="16172" hidden="1" x14ac:dyDescent="0.25"/>
    <row r="16173" hidden="1" x14ac:dyDescent="0.25"/>
    <row r="16174" hidden="1" x14ac:dyDescent="0.25"/>
    <row r="16175" hidden="1" x14ac:dyDescent="0.25"/>
    <row r="16176" hidden="1" x14ac:dyDescent="0.25"/>
    <row r="16177" hidden="1" x14ac:dyDescent="0.25"/>
    <row r="16178" hidden="1" x14ac:dyDescent="0.25"/>
    <row r="16179" hidden="1" x14ac:dyDescent="0.25"/>
    <row r="16180" hidden="1" x14ac:dyDescent="0.25"/>
    <row r="16181" hidden="1" x14ac:dyDescent="0.25"/>
    <row r="16182" hidden="1" x14ac:dyDescent="0.25"/>
    <row r="16183" hidden="1" x14ac:dyDescent="0.25"/>
    <row r="16184" hidden="1" x14ac:dyDescent="0.25"/>
    <row r="16185" hidden="1" x14ac:dyDescent="0.25"/>
    <row r="16186" hidden="1" x14ac:dyDescent="0.25"/>
    <row r="16187" hidden="1" x14ac:dyDescent="0.25"/>
    <row r="16188" hidden="1" x14ac:dyDescent="0.25"/>
    <row r="16189" hidden="1" x14ac:dyDescent="0.25"/>
    <row r="16190" hidden="1" x14ac:dyDescent="0.25"/>
    <row r="16191" hidden="1" x14ac:dyDescent="0.25"/>
    <row r="16192" hidden="1" x14ac:dyDescent="0.25"/>
    <row r="16193" hidden="1" x14ac:dyDescent="0.25"/>
    <row r="16194" hidden="1" x14ac:dyDescent="0.25"/>
    <row r="16195" hidden="1" x14ac:dyDescent="0.25"/>
    <row r="16196" hidden="1" x14ac:dyDescent="0.25"/>
    <row r="16197" hidden="1" x14ac:dyDescent="0.25"/>
    <row r="16198" hidden="1" x14ac:dyDescent="0.25"/>
    <row r="16199" hidden="1" x14ac:dyDescent="0.25"/>
    <row r="16200" hidden="1" x14ac:dyDescent="0.25"/>
    <row r="16201" hidden="1" x14ac:dyDescent="0.25"/>
    <row r="16202" hidden="1" x14ac:dyDescent="0.25"/>
    <row r="16203" hidden="1" x14ac:dyDescent="0.25"/>
    <row r="16204" hidden="1" x14ac:dyDescent="0.25"/>
    <row r="16205" hidden="1" x14ac:dyDescent="0.25"/>
    <row r="16206" hidden="1" x14ac:dyDescent="0.25"/>
    <row r="16207" hidden="1" x14ac:dyDescent="0.25"/>
    <row r="16208" hidden="1" x14ac:dyDescent="0.25"/>
    <row r="16209" hidden="1" x14ac:dyDescent="0.25"/>
    <row r="16210" hidden="1" x14ac:dyDescent="0.25"/>
    <row r="16211" hidden="1" x14ac:dyDescent="0.25"/>
    <row r="16212" hidden="1" x14ac:dyDescent="0.25"/>
    <row r="16213" hidden="1" x14ac:dyDescent="0.25"/>
    <row r="16214" hidden="1" x14ac:dyDescent="0.25"/>
    <row r="16215" hidden="1" x14ac:dyDescent="0.25"/>
    <row r="16216" hidden="1" x14ac:dyDescent="0.25"/>
    <row r="16217" hidden="1" x14ac:dyDescent="0.25"/>
    <row r="16218" hidden="1" x14ac:dyDescent="0.25"/>
    <row r="16219" hidden="1" x14ac:dyDescent="0.25"/>
    <row r="16220" hidden="1" x14ac:dyDescent="0.25"/>
    <row r="16221" hidden="1" x14ac:dyDescent="0.25"/>
    <row r="16222" hidden="1" x14ac:dyDescent="0.25"/>
    <row r="16223" hidden="1" x14ac:dyDescent="0.25"/>
    <row r="16224" hidden="1" x14ac:dyDescent="0.25"/>
    <row r="16225" hidden="1" x14ac:dyDescent="0.25"/>
    <row r="16226" hidden="1" x14ac:dyDescent="0.25"/>
    <row r="16227" hidden="1" x14ac:dyDescent="0.25"/>
    <row r="16228" hidden="1" x14ac:dyDescent="0.25"/>
    <row r="16229" hidden="1" x14ac:dyDescent="0.25"/>
    <row r="16230" hidden="1" x14ac:dyDescent="0.25"/>
    <row r="16231" hidden="1" x14ac:dyDescent="0.25"/>
    <row r="16232" hidden="1" x14ac:dyDescent="0.25"/>
    <row r="16233" hidden="1" x14ac:dyDescent="0.25"/>
    <row r="16234" hidden="1" x14ac:dyDescent="0.25"/>
    <row r="16235" hidden="1" x14ac:dyDescent="0.25"/>
    <row r="16236" hidden="1" x14ac:dyDescent="0.25"/>
    <row r="16237" hidden="1" x14ac:dyDescent="0.25"/>
    <row r="16238" hidden="1" x14ac:dyDescent="0.25"/>
    <row r="16239" hidden="1" x14ac:dyDescent="0.25"/>
    <row r="16240" hidden="1" x14ac:dyDescent="0.25"/>
    <row r="16241" hidden="1" x14ac:dyDescent="0.25"/>
    <row r="16242" hidden="1" x14ac:dyDescent="0.25"/>
    <row r="16243" hidden="1" x14ac:dyDescent="0.25"/>
    <row r="16244" hidden="1" x14ac:dyDescent="0.25"/>
    <row r="16245" hidden="1" x14ac:dyDescent="0.25"/>
    <row r="16246" hidden="1" x14ac:dyDescent="0.25"/>
    <row r="16247" hidden="1" x14ac:dyDescent="0.25"/>
    <row r="16248" hidden="1" x14ac:dyDescent="0.25"/>
    <row r="16249" hidden="1" x14ac:dyDescent="0.25"/>
    <row r="16250" hidden="1" x14ac:dyDescent="0.25"/>
    <row r="16251" hidden="1" x14ac:dyDescent="0.25"/>
    <row r="16252" hidden="1" x14ac:dyDescent="0.25"/>
    <row r="16253" hidden="1" x14ac:dyDescent="0.25"/>
    <row r="16254" hidden="1" x14ac:dyDescent="0.25"/>
    <row r="16255" hidden="1" x14ac:dyDescent="0.25"/>
    <row r="16256" hidden="1" x14ac:dyDescent="0.25"/>
    <row r="16257" hidden="1" x14ac:dyDescent="0.25"/>
    <row r="16258" hidden="1" x14ac:dyDescent="0.25"/>
    <row r="16259" hidden="1" x14ac:dyDescent="0.25"/>
    <row r="16260" hidden="1" x14ac:dyDescent="0.25"/>
    <row r="16261" hidden="1" x14ac:dyDescent="0.25"/>
    <row r="16262" hidden="1" x14ac:dyDescent="0.25"/>
    <row r="16263" hidden="1" x14ac:dyDescent="0.25"/>
    <row r="16264" hidden="1" x14ac:dyDescent="0.25"/>
    <row r="16265" hidden="1" x14ac:dyDescent="0.25"/>
    <row r="16266" hidden="1" x14ac:dyDescent="0.25"/>
    <row r="16267" hidden="1" x14ac:dyDescent="0.25"/>
    <row r="16268" hidden="1" x14ac:dyDescent="0.25"/>
    <row r="16269" hidden="1" x14ac:dyDescent="0.25"/>
    <row r="16270" hidden="1" x14ac:dyDescent="0.25"/>
    <row r="16271" hidden="1" x14ac:dyDescent="0.25"/>
    <row r="16272" hidden="1" x14ac:dyDescent="0.25"/>
    <row r="16273" hidden="1" x14ac:dyDescent="0.25"/>
    <row r="16274" hidden="1" x14ac:dyDescent="0.25"/>
    <row r="16275" hidden="1" x14ac:dyDescent="0.25"/>
    <row r="16276" hidden="1" x14ac:dyDescent="0.25"/>
    <row r="16277" hidden="1" x14ac:dyDescent="0.25"/>
    <row r="16278" hidden="1" x14ac:dyDescent="0.25"/>
    <row r="16279" hidden="1" x14ac:dyDescent="0.25"/>
    <row r="16280" hidden="1" x14ac:dyDescent="0.25"/>
    <row r="16281" hidden="1" x14ac:dyDescent="0.25"/>
    <row r="16282" hidden="1" x14ac:dyDescent="0.25"/>
    <row r="16283" hidden="1" x14ac:dyDescent="0.25"/>
    <row r="16284" hidden="1" x14ac:dyDescent="0.25"/>
    <row r="16285" hidden="1" x14ac:dyDescent="0.25"/>
    <row r="16286" hidden="1" x14ac:dyDescent="0.25"/>
    <row r="16287" hidden="1" x14ac:dyDescent="0.25"/>
    <row r="16288" hidden="1" x14ac:dyDescent="0.25"/>
    <row r="16289" hidden="1" x14ac:dyDescent="0.25"/>
    <row r="16290" hidden="1" x14ac:dyDescent="0.25"/>
    <row r="16291" hidden="1" x14ac:dyDescent="0.25"/>
    <row r="16292" hidden="1" x14ac:dyDescent="0.25"/>
    <row r="16293" hidden="1" x14ac:dyDescent="0.25"/>
    <row r="16294" hidden="1" x14ac:dyDescent="0.25"/>
    <row r="16295" hidden="1" x14ac:dyDescent="0.25"/>
    <row r="16296" hidden="1" x14ac:dyDescent="0.25"/>
    <row r="16297" hidden="1" x14ac:dyDescent="0.25"/>
    <row r="16298" hidden="1" x14ac:dyDescent="0.25"/>
    <row r="16299" hidden="1" x14ac:dyDescent="0.25"/>
    <row r="16300" hidden="1" x14ac:dyDescent="0.25"/>
    <row r="16301" hidden="1" x14ac:dyDescent="0.25"/>
    <row r="16302" hidden="1" x14ac:dyDescent="0.25"/>
    <row r="16303" hidden="1" x14ac:dyDescent="0.25"/>
    <row r="16304" hidden="1" x14ac:dyDescent="0.25"/>
    <row r="16305" hidden="1" x14ac:dyDescent="0.25"/>
    <row r="16306" hidden="1" x14ac:dyDescent="0.25"/>
    <row r="16307" hidden="1" x14ac:dyDescent="0.25"/>
    <row r="16308" hidden="1" x14ac:dyDescent="0.25"/>
    <row r="16309" hidden="1" x14ac:dyDescent="0.25"/>
    <row r="16310" hidden="1" x14ac:dyDescent="0.25"/>
    <row r="16311" hidden="1" x14ac:dyDescent="0.25"/>
    <row r="16312" hidden="1" x14ac:dyDescent="0.25"/>
    <row r="16313" hidden="1" x14ac:dyDescent="0.25"/>
    <row r="16314" hidden="1" x14ac:dyDescent="0.25"/>
    <row r="16315" hidden="1" x14ac:dyDescent="0.25"/>
    <row r="16316" hidden="1" x14ac:dyDescent="0.25"/>
    <row r="16317" hidden="1" x14ac:dyDescent="0.25"/>
    <row r="16318" hidden="1" x14ac:dyDescent="0.25"/>
    <row r="16319" hidden="1" x14ac:dyDescent="0.25"/>
    <row r="16320" hidden="1" x14ac:dyDescent="0.25"/>
    <row r="16321" hidden="1" x14ac:dyDescent="0.25"/>
    <row r="16322" hidden="1" x14ac:dyDescent="0.25"/>
    <row r="16323" hidden="1" x14ac:dyDescent="0.25"/>
    <row r="16324" hidden="1" x14ac:dyDescent="0.25"/>
    <row r="16325" hidden="1" x14ac:dyDescent="0.25"/>
    <row r="16326" hidden="1" x14ac:dyDescent="0.25"/>
    <row r="16327" hidden="1" x14ac:dyDescent="0.25"/>
    <row r="16328" hidden="1" x14ac:dyDescent="0.25"/>
    <row r="16329" hidden="1" x14ac:dyDescent="0.25"/>
    <row r="16330" hidden="1" x14ac:dyDescent="0.25"/>
    <row r="16331" hidden="1" x14ac:dyDescent="0.25"/>
    <row r="16332" hidden="1" x14ac:dyDescent="0.25"/>
    <row r="16333" hidden="1" x14ac:dyDescent="0.25"/>
    <row r="16334" hidden="1" x14ac:dyDescent="0.25"/>
    <row r="16335" hidden="1" x14ac:dyDescent="0.25"/>
    <row r="16336" hidden="1" x14ac:dyDescent="0.25"/>
    <row r="16337" hidden="1" x14ac:dyDescent="0.25"/>
    <row r="16338" hidden="1" x14ac:dyDescent="0.25"/>
    <row r="16339" hidden="1" x14ac:dyDescent="0.25"/>
    <row r="16340" hidden="1" x14ac:dyDescent="0.25"/>
    <row r="16341" hidden="1" x14ac:dyDescent="0.25"/>
    <row r="16342" hidden="1" x14ac:dyDescent="0.25"/>
    <row r="16343" hidden="1" x14ac:dyDescent="0.25"/>
    <row r="16344" hidden="1" x14ac:dyDescent="0.25"/>
    <row r="16345" hidden="1" x14ac:dyDescent="0.25"/>
    <row r="16346" hidden="1" x14ac:dyDescent="0.25"/>
    <row r="16347" hidden="1" x14ac:dyDescent="0.25"/>
    <row r="16348" hidden="1" x14ac:dyDescent="0.25"/>
    <row r="16349" hidden="1" x14ac:dyDescent="0.25"/>
    <row r="16350" hidden="1" x14ac:dyDescent="0.25"/>
    <row r="16351" hidden="1" x14ac:dyDescent="0.25"/>
    <row r="16352" hidden="1" x14ac:dyDescent="0.25"/>
    <row r="16353" hidden="1" x14ac:dyDescent="0.25"/>
    <row r="16354" hidden="1" x14ac:dyDescent="0.25"/>
    <row r="16355" hidden="1" x14ac:dyDescent="0.25"/>
    <row r="16356" hidden="1" x14ac:dyDescent="0.25"/>
    <row r="16357" hidden="1" x14ac:dyDescent="0.25"/>
    <row r="16358" hidden="1" x14ac:dyDescent="0.25"/>
    <row r="16359" hidden="1" x14ac:dyDescent="0.25"/>
    <row r="16360" hidden="1" x14ac:dyDescent="0.25"/>
    <row r="16361" hidden="1" x14ac:dyDescent="0.25"/>
    <row r="16362" hidden="1" x14ac:dyDescent="0.25"/>
    <row r="16363" hidden="1" x14ac:dyDescent="0.25"/>
    <row r="16364" hidden="1" x14ac:dyDescent="0.25"/>
    <row r="16365" hidden="1" x14ac:dyDescent="0.25"/>
    <row r="16366" hidden="1" x14ac:dyDescent="0.25"/>
    <row r="16367" hidden="1" x14ac:dyDescent="0.25"/>
    <row r="16368" hidden="1" x14ac:dyDescent="0.25"/>
    <row r="16369" hidden="1" x14ac:dyDescent="0.25"/>
    <row r="16370" hidden="1" x14ac:dyDescent="0.25"/>
    <row r="16371" hidden="1" x14ac:dyDescent="0.25"/>
    <row r="16372" hidden="1" x14ac:dyDescent="0.25"/>
    <row r="16373" hidden="1" x14ac:dyDescent="0.25"/>
    <row r="16374" hidden="1" x14ac:dyDescent="0.25"/>
    <row r="16375" hidden="1" x14ac:dyDescent="0.25"/>
    <row r="16376" hidden="1" x14ac:dyDescent="0.25"/>
    <row r="16377" hidden="1" x14ac:dyDescent="0.25"/>
    <row r="16378" hidden="1" x14ac:dyDescent="0.25"/>
    <row r="16379" hidden="1" x14ac:dyDescent="0.25"/>
    <row r="16380" hidden="1" x14ac:dyDescent="0.25"/>
    <row r="16381" hidden="1" x14ac:dyDescent="0.25"/>
    <row r="16382" hidden="1" x14ac:dyDescent="0.25"/>
    <row r="16383" hidden="1" x14ac:dyDescent="0.25"/>
    <row r="16384" hidden="1" x14ac:dyDescent="0.25"/>
    <row r="16385" hidden="1" x14ac:dyDescent="0.25"/>
    <row r="16386" hidden="1" x14ac:dyDescent="0.25"/>
    <row r="16387" hidden="1" x14ac:dyDescent="0.25"/>
    <row r="16388" hidden="1" x14ac:dyDescent="0.25"/>
    <row r="16389" hidden="1" x14ac:dyDescent="0.25"/>
    <row r="16390" hidden="1" x14ac:dyDescent="0.25"/>
    <row r="16391" hidden="1" x14ac:dyDescent="0.25"/>
    <row r="16392" hidden="1" x14ac:dyDescent="0.25"/>
    <row r="16393" hidden="1" x14ac:dyDescent="0.25"/>
    <row r="16394" hidden="1" x14ac:dyDescent="0.25"/>
    <row r="16395" hidden="1" x14ac:dyDescent="0.25"/>
    <row r="16396" hidden="1" x14ac:dyDescent="0.25"/>
    <row r="16397" hidden="1" x14ac:dyDescent="0.25"/>
    <row r="16398" hidden="1" x14ac:dyDescent="0.25"/>
    <row r="16399" hidden="1" x14ac:dyDescent="0.25"/>
    <row r="16400" hidden="1" x14ac:dyDescent="0.25"/>
    <row r="16401" hidden="1" x14ac:dyDescent="0.25"/>
    <row r="16402" hidden="1" x14ac:dyDescent="0.25"/>
    <row r="16403" hidden="1" x14ac:dyDescent="0.25"/>
    <row r="16404" hidden="1" x14ac:dyDescent="0.25"/>
    <row r="16405" hidden="1" x14ac:dyDescent="0.25"/>
    <row r="16406" hidden="1" x14ac:dyDescent="0.25"/>
    <row r="16407" hidden="1" x14ac:dyDescent="0.25"/>
    <row r="16408" hidden="1" x14ac:dyDescent="0.25"/>
    <row r="16409" hidden="1" x14ac:dyDescent="0.25"/>
    <row r="16410" hidden="1" x14ac:dyDescent="0.25"/>
    <row r="16411" hidden="1" x14ac:dyDescent="0.25"/>
    <row r="16412" hidden="1" x14ac:dyDescent="0.25"/>
    <row r="16413" hidden="1" x14ac:dyDescent="0.25"/>
    <row r="16414" hidden="1" x14ac:dyDescent="0.25"/>
    <row r="16415" hidden="1" x14ac:dyDescent="0.25"/>
    <row r="16416" hidden="1" x14ac:dyDescent="0.25"/>
    <row r="16417" hidden="1" x14ac:dyDescent="0.25"/>
    <row r="16418" hidden="1" x14ac:dyDescent="0.25"/>
    <row r="16419" hidden="1" x14ac:dyDescent="0.25"/>
    <row r="16420" hidden="1" x14ac:dyDescent="0.25"/>
    <row r="16421" hidden="1" x14ac:dyDescent="0.25"/>
    <row r="16422" hidden="1" x14ac:dyDescent="0.25"/>
    <row r="16423" hidden="1" x14ac:dyDescent="0.25"/>
    <row r="16424" hidden="1" x14ac:dyDescent="0.25"/>
    <row r="16425" hidden="1" x14ac:dyDescent="0.25"/>
    <row r="16426" hidden="1" x14ac:dyDescent="0.25"/>
    <row r="16427" hidden="1" x14ac:dyDescent="0.25"/>
    <row r="16428" hidden="1" x14ac:dyDescent="0.25"/>
    <row r="16429" hidden="1" x14ac:dyDescent="0.25"/>
    <row r="16430" hidden="1" x14ac:dyDescent="0.25"/>
    <row r="16431" hidden="1" x14ac:dyDescent="0.25"/>
    <row r="16432" hidden="1" x14ac:dyDescent="0.25"/>
    <row r="16433" hidden="1" x14ac:dyDescent="0.25"/>
    <row r="16434" hidden="1" x14ac:dyDescent="0.25"/>
    <row r="16435" hidden="1" x14ac:dyDescent="0.25"/>
    <row r="16436" hidden="1" x14ac:dyDescent="0.25"/>
    <row r="16437" hidden="1" x14ac:dyDescent="0.25"/>
    <row r="16438" hidden="1" x14ac:dyDescent="0.25"/>
    <row r="16439" hidden="1" x14ac:dyDescent="0.25"/>
    <row r="16440" hidden="1" x14ac:dyDescent="0.25"/>
    <row r="16441" hidden="1" x14ac:dyDescent="0.25"/>
    <row r="16442" hidden="1" x14ac:dyDescent="0.25"/>
    <row r="16443" hidden="1" x14ac:dyDescent="0.25"/>
    <row r="16444" hidden="1" x14ac:dyDescent="0.25"/>
    <row r="16445" hidden="1" x14ac:dyDescent="0.25"/>
    <row r="16446" hidden="1" x14ac:dyDescent="0.25"/>
    <row r="16447" hidden="1" x14ac:dyDescent="0.25"/>
    <row r="16448" hidden="1" x14ac:dyDescent="0.25"/>
    <row r="16449" hidden="1" x14ac:dyDescent="0.25"/>
    <row r="16450" hidden="1" x14ac:dyDescent="0.25"/>
    <row r="16451" hidden="1" x14ac:dyDescent="0.25"/>
    <row r="16452" hidden="1" x14ac:dyDescent="0.25"/>
    <row r="16453" hidden="1" x14ac:dyDescent="0.25"/>
    <row r="16454" hidden="1" x14ac:dyDescent="0.25"/>
    <row r="16455" hidden="1" x14ac:dyDescent="0.25"/>
    <row r="16456" hidden="1" x14ac:dyDescent="0.25"/>
    <row r="16457" hidden="1" x14ac:dyDescent="0.25"/>
    <row r="16458" hidden="1" x14ac:dyDescent="0.25"/>
    <row r="16459" hidden="1" x14ac:dyDescent="0.25"/>
    <row r="16460" hidden="1" x14ac:dyDescent="0.25"/>
    <row r="16461" hidden="1" x14ac:dyDescent="0.25"/>
    <row r="16462" hidden="1" x14ac:dyDescent="0.25"/>
    <row r="16463" hidden="1" x14ac:dyDescent="0.25"/>
    <row r="16464" hidden="1" x14ac:dyDescent="0.25"/>
    <row r="16465" hidden="1" x14ac:dyDescent="0.25"/>
    <row r="16466" hidden="1" x14ac:dyDescent="0.25"/>
    <row r="16467" hidden="1" x14ac:dyDescent="0.25"/>
    <row r="16468" hidden="1" x14ac:dyDescent="0.25"/>
    <row r="16469" hidden="1" x14ac:dyDescent="0.25"/>
    <row r="16470" hidden="1" x14ac:dyDescent="0.25"/>
    <row r="16471" hidden="1" x14ac:dyDescent="0.25"/>
    <row r="16472" hidden="1" x14ac:dyDescent="0.25"/>
    <row r="16473" hidden="1" x14ac:dyDescent="0.25"/>
    <row r="16474" hidden="1" x14ac:dyDescent="0.25"/>
    <row r="16475" hidden="1" x14ac:dyDescent="0.25"/>
    <row r="16476" hidden="1" x14ac:dyDescent="0.25"/>
    <row r="16477" hidden="1" x14ac:dyDescent="0.25"/>
    <row r="16478" hidden="1" x14ac:dyDescent="0.25"/>
    <row r="16479" hidden="1" x14ac:dyDescent="0.25"/>
    <row r="16480" hidden="1" x14ac:dyDescent="0.25"/>
    <row r="16481" hidden="1" x14ac:dyDescent="0.25"/>
    <row r="16482" hidden="1" x14ac:dyDescent="0.25"/>
    <row r="16483" hidden="1" x14ac:dyDescent="0.25"/>
    <row r="16484" hidden="1" x14ac:dyDescent="0.25"/>
    <row r="16485" hidden="1" x14ac:dyDescent="0.25"/>
    <row r="16486" hidden="1" x14ac:dyDescent="0.25"/>
    <row r="16487" hidden="1" x14ac:dyDescent="0.25"/>
    <row r="16488" hidden="1" x14ac:dyDescent="0.25"/>
    <row r="16489" hidden="1" x14ac:dyDescent="0.25"/>
    <row r="16490" hidden="1" x14ac:dyDescent="0.25"/>
    <row r="16491" hidden="1" x14ac:dyDescent="0.25"/>
    <row r="16492" hidden="1" x14ac:dyDescent="0.25"/>
    <row r="16493" hidden="1" x14ac:dyDescent="0.25"/>
    <row r="16494" hidden="1" x14ac:dyDescent="0.25"/>
    <row r="16495" hidden="1" x14ac:dyDescent="0.25"/>
    <row r="16496" hidden="1" x14ac:dyDescent="0.25"/>
    <row r="16497" hidden="1" x14ac:dyDescent="0.25"/>
    <row r="16498" hidden="1" x14ac:dyDescent="0.25"/>
    <row r="16499" hidden="1" x14ac:dyDescent="0.25"/>
    <row r="16500" hidden="1" x14ac:dyDescent="0.25"/>
    <row r="16501" hidden="1" x14ac:dyDescent="0.25"/>
    <row r="16502" hidden="1" x14ac:dyDescent="0.25"/>
    <row r="16503" hidden="1" x14ac:dyDescent="0.25"/>
    <row r="16504" hidden="1" x14ac:dyDescent="0.25"/>
    <row r="16505" hidden="1" x14ac:dyDescent="0.25"/>
    <row r="16506" hidden="1" x14ac:dyDescent="0.25"/>
    <row r="16507" hidden="1" x14ac:dyDescent="0.25"/>
    <row r="16508" hidden="1" x14ac:dyDescent="0.25"/>
    <row r="16509" hidden="1" x14ac:dyDescent="0.25"/>
    <row r="16510" hidden="1" x14ac:dyDescent="0.25"/>
    <row r="16511" hidden="1" x14ac:dyDescent="0.25"/>
    <row r="16512" hidden="1" x14ac:dyDescent="0.25"/>
    <row r="16513" hidden="1" x14ac:dyDescent="0.25"/>
    <row r="16514" hidden="1" x14ac:dyDescent="0.25"/>
    <row r="16515" hidden="1" x14ac:dyDescent="0.25"/>
    <row r="16516" hidden="1" x14ac:dyDescent="0.25"/>
    <row r="16517" hidden="1" x14ac:dyDescent="0.25"/>
    <row r="16518" hidden="1" x14ac:dyDescent="0.25"/>
    <row r="16519" hidden="1" x14ac:dyDescent="0.25"/>
    <row r="16520" hidden="1" x14ac:dyDescent="0.25"/>
    <row r="16521" hidden="1" x14ac:dyDescent="0.25"/>
    <row r="16522" hidden="1" x14ac:dyDescent="0.25"/>
    <row r="16523" hidden="1" x14ac:dyDescent="0.25"/>
    <row r="16524" hidden="1" x14ac:dyDescent="0.25"/>
    <row r="16525" hidden="1" x14ac:dyDescent="0.25"/>
    <row r="16526" hidden="1" x14ac:dyDescent="0.25"/>
    <row r="16527" hidden="1" x14ac:dyDescent="0.25"/>
    <row r="16528" hidden="1" x14ac:dyDescent="0.25"/>
    <row r="16529" hidden="1" x14ac:dyDescent="0.25"/>
    <row r="16530" hidden="1" x14ac:dyDescent="0.25"/>
    <row r="16531" hidden="1" x14ac:dyDescent="0.25"/>
    <row r="16532" hidden="1" x14ac:dyDescent="0.25"/>
    <row r="16533" hidden="1" x14ac:dyDescent="0.25"/>
    <row r="16534" hidden="1" x14ac:dyDescent="0.25"/>
    <row r="16535" hidden="1" x14ac:dyDescent="0.25"/>
    <row r="16536" hidden="1" x14ac:dyDescent="0.25"/>
    <row r="16537" hidden="1" x14ac:dyDescent="0.25"/>
    <row r="16538" hidden="1" x14ac:dyDescent="0.25"/>
    <row r="16539" hidden="1" x14ac:dyDescent="0.25"/>
    <row r="16540" hidden="1" x14ac:dyDescent="0.25"/>
    <row r="16541" hidden="1" x14ac:dyDescent="0.25"/>
    <row r="16542" hidden="1" x14ac:dyDescent="0.25"/>
    <row r="16543" hidden="1" x14ac:dyDescent="0.25"/>
    <row r="16544" hidden="1" x14ac:dyDescent="0.25"/>
    <row r="16545" hidden="1" x14ac:dyDescent="0.25"/>
    <row r="16546" hidden="1" x14ac:dyDescent="0.25"/>
    <row r="16547" hidden="1" x14ac:dyDescent="0.25"/>
    <row r="16548" hidden="1" x14ac:dyDescent="0.25"/>
    <row r="16549" hidden="1" x14ac:dyDescent="0.25"/>
    <row r="16550" hidden="1" x14ac:dyDescent="0.25"/>
    <row r="16551" hidden="1" x14ac:dyDescent="0.25"/>
    <row r="16552" hidden="1" x14ac:dyDescent="0.25"/>
    <row r="16553" hidden="1" x14ac:dyDescent="0.25"/>
    <row r="16554" hidden="1" x14ac:dyDescent="0.25"/>
    <row r="16555" hidden="1" x14ac:dyDescent="0.25"/>
    <row r="16556" hidden="1" x14ac:dyDescent="0.25"/>
    <row r="16557" hidden="1" x14ac:dyDescent="0.25"/>
    <row r="16558" hidden="1" x14ac:dyDescent="0.25"/>
    <row r="16559" hidden="1" x14ac:dyDescent="0.25"/>
    <row r="16560" hidden="1" x14ac:dyDescent="0.25"/>
    <row r="16561" hidden="1" x14ac:dyDescent="0.25"/>
    <row r="16562" hidden="1" x14ac:dyDescent="0.25"/>
    <row r="16563" hidden="1" x14ac:dyDescent="0.25"/>
    <row r="16564" hidden="1" x14ac:dyDescent="0.25"/>
    <row r="16565" hidden="1" x14ac:dyDescent="0.25"/>
    <row r="16566" hidden="1" x14ac:dyDescent="0.25"/>
    <row r="16567" hidden="1" x14ac:dyDescent="0.25"/>
    <row r="16568" hidden="1" x14ac:dyDescent="0.25"/>
    <row r="16569" hidden="1" x14ac:dyDescent="0.25"/>
    <row r="16570" hidden="1" x14ac:dyDescent="0.25"/>
    <row r="16571" hidden="1" x14ac:dyDescent="0.25"/>
    <row r="16572" hidden="1" x14ac:dyDescent="0.25"/>
    <row r="16573" hidden="1" x14ac:dyDescent="0.25"/>
    <row r="16574" hidden="1" x14ac:dyDescent="0.25"/>
    <row r="16575" hidden="1" x14ac:dyDescent="0.25"/>
    <row r="16576" hidden="1" x14ac:dyDescent="0.25"/>
    <row r="16577" hidden="1" x14ac:dyDescent="0.25"/>
    <row r="16578" hidden="1" x14ac:dyDescent="0.25"/>
    <row r="16579" hidden="1" x14ac:dyDescent="0.25"/>
    <row r="16580" hidden="1" x14ac:dyDescent="0.25"/>
    <row r="16581" hidden="1" x14ac:dyDescent="0.25"/>
    <row r="16582" hidden="1" x14ac:dyDescent="0.25"/>
    <row r="16583" hidden="1" x14ac:dyDescent="0.25"/>
    <row r="16584" hidden="1" x14ac:dyDescent="0.25"/>
    <row r="16585" hidden="1" x14ac:dyDescent="0.25"/>
    <row r="16586" hidden="1" x14ac:dyDescent="0.25"/>
    <row r="16587" hidden="1" x14ac:dyDescent="0.25"/>
    <row r="16588" hidden="1" x14ac:dyDescent="0.25"/>
    <row r="16589" hidden="1" x14ac:dyDescent="0.25"/>
    <row r="16590" hidden="1" x14ac:dyDescent="0.25"/>
    <row r="16591" hidden="1" x14ac:dyDescent="0.25"/>
    <row r="16592" hidden="1" x14ac:dyDescent="0.25"/>
    <row r="16593" hidden="1" x14ac:dyDescent="0.25"/>
    <row r="16594" hidden="1" x14ac:dyDescent="0.25"/>
    <row r="16595" hidden="1" x14ac:dyDescent="0.25"/>
    <row r="16596" hidden="1" x14ac:dyDescent="0.25"/>
    <row r="16597" hidden="1" x14ac:dyDescent="0.25"/>
    <row r="16598" hidden="1" x14ac:dyDescent="0.25"/>
    <row r="16599" hidden="1" x14ac:dyDescent="0.25"/>
    <row r="16600" hidden="1" x14ac:dyDescent="0.25"/>
    <row r="16601" hidden="1" x14ac:dyDescent="0.25"/>
    <row r="16602" hidden="1" x14ac:dyDescent="0.25"/>
    <row r="16603" hidden="1" x14ac:dyDescent="0.25"/>
    <row r="16604" hidden="1" x14ac:dyDescent="0.25"/>
    <row r="16605" hidden="1" x14ac:dyDescent="0.25"/>
    <row r="16606" hidden="1" x14ac:dyDescent="0.25"/>
    <row r="16607" hidden="1" x14ac:dyDescent="0.25"/>
    <row r="16608" hidden="1" x14ac:dyDescent="0.25"/>
    <row r="16609" hidden="1" x14ac:dyDescent="0.25"/>
    <row r="16610" hidden="1" x14ac:dyDescent="0.25"/>
    <row r="16611" hidden="1" x14ac:dyDescent="0.25"/>
    <row r="16612" hidden="1" x14ac:dyDescent="0.25"/>
    <row r="16613" hidden="1" x14ac:dyDescent="0.25"/>
    <row r="16614" hidden="1" x14ac:dyDescent="0.25"/>
    <row r="16615" hidden="1" x14ac:dyDescent="0.25"/>
    <row r="16616" hidden="1" x14ac:dyDescent="0.25"/>
    <row r="16617" hidden="1" x14ac:dyDescent="0.25"/>
    <row r="16618" hidden="1" x14ac:dyDescent="0.25"/>
    <row r="16619" hidden="1" x14ac:dyDescent="0.25"/>
    <row r="16620" hidden="1" x14ac:dyDescent="0.25"/>
    <row r="16621" hidden="1" x14ac:dyDescent="0.25"/>
    <row r="16622" hidden="1" x14ac:dyDescent="0.25"/>
    <row r="16623" hidden="1" x14ac:dyDescent="0.25"/>
    <row r="16624" hidden="1" x14ac:dyDescent="0.25"/>
    <row r="16625" hidden="1" x14ac:dyDescent="0.25"/>
    <row r="16626" hidden="1" x14ac:dyDescent="0.25"/>
    <row r="16627" hidden="1" x14ac:dyDescent="0.25"/>
    <row r="16628" hidden="1" x14ac:dyDescent="0.25"/>
    <row r="16629" hidden="1" x14ac:dyDescent="0.25"/>
    <row r="16630" hidden="1" x14ac:dyDescent="0.25"/>
    <row r="16631" hidden="1" x14ac:dyDescent="0.25"/>
    <row r="16632" hidden="1" x14ac:dyDescent="0.25"/>
    <row r="16633" hidden="1" x14ac:dyDescent="0.25"/>
    <row r="16634" hidden="1" x14ac:dyDescent="0.25"/>
    <row r="16635" hidden="1" x14ac:dyDescent="0.25"/>
    <row r="16636" hidden="1" x14ac:dyDescent="0.25"/>
    <row r="16637" hidden="1" x14ac:dyDescent="0.25"/>
    <row r="16638" hidden="1" x14ac:dyDescent="0.25"/>
    <row r="16639" hidden="1" x14ac:dyDescent="0.25"/>
    <row r="16640" hidden="1" x14ac:dyDescent="0.25"/>
    <row r="16641" hidden="1" x14ac:dyDescent="0.25"/>
    <row r="16642" hidden="1" x14ac:dyDescent="0.25"/>
    <row r="16643" hidden="1" x14ac:dyDescent="0.25"/>
    <row r="16644" hidden="1" x14ac:dyDescent="0.25"/>
    <row r="16645" hidden="1" x14ac:dyDescent="0.25"/>
    <row r="16646" hidden="1" x14ac:dyDescent="0.25"/>
    <row r="16647" hidden="1" x14ac:dyDescent="0.25"/>
    <row r="16648" hidden="1" x14ac:dyDescent="0.25"/>
    <row r="16649" hidden="1" x14ac:dyDescent="0.25"/>
    <row r="16650" hidden="1" x14ac:dyDescent="0.25"/>
    <row r="16651" hidden="1" x14ac:dyDescent="0.25"/>
    <row r="16652" hidden="1" x14ac:dyDescent="0.25"/>
    <row r="16653" hidden="1" x14ac:dyDescent="0.25"/>
    <row r="16654" hidden="1" x14ac:dyDescent="0.25"/>
    <row r="16655" hidden="1" x14ac:dyDescent="0.25"/>
    <row r="16656" hidden="1" x14ac:dyDescent="0.25"/>
    <row r="16657" hidden="1" x14ac:dyDescent="0.25"/>
    <row r="16658" hidden="1" x14ac:dyDescent="0.25"/>
    <row r="16659" hidden="1" x14ac:dyDescent="0.25"/>
    <row r="16660" hidden="1" x14ac:dyDescent="0.25"/>
    <row r="16661" hidden="1" x14ac:dyDescent="0.25"/>
    <row r="16662" hidden="1" x14ac:dyDescent="0.25"/>
    <row r="16663" hidden="1" x14ac:dyDescent="0.25"/>
    <row r="16664" hidden="1" x14ac:dyDescent="0.25"/>
    <row r="16665" hidden="1" x14ac:dyDescent="0.25"/>
    <row r="16666" hidden="1" x14ac:dyDescent="0.25"/>
    <row r="16667" hidden="1" x14ac:dyDescent="0.25"/>
    <row r="16668" hidden="1" x14ac:dyDescent="0.25"/>
    <row r="16669" hidden="1" x14ac:dyDescent="0.25"/>
    <row r="16670" hidden="1" x14ac:dyDescent="0.25"/>
    <row r="16671" hidden="1" x14ac:dyDescent="0.25"/>
    <row r="16672" hidden="1" x14ac:dyDescent="0.25"/>
    <row r="16673" hidden="1" x14ac:dyDescent="0.25"/>
    <row r="16674" hidden="1" x14ac:dyDescent="0.25"/>
    <row r="16675" hidden="1" x14ac:dyDescent="0.25"/>
    <row r="16676" hidden="1" x14ac:dyDescent="0.25"/>
    <row r="16677" hidden="1" x14ac:dyDescent="0.25"/>
    <row r="16678" hidden="1" x14ac:dyDescent="0.25"/>
    <row r="16679" hidden="1" x14ac:dyDescent="0.25"/>
    <row r="16680" hidden="1" x14ac:dyDescent="0.25"/>
    <row r="16681" hidden="1" x14ac:dyDescent="0.25"/>
    <row r="16682" hidden="1" x14ac:dyDescent="0.25"/>
    <row r="16683" hidden="1" x14ac:dyDescent="0.25"/>
    <row r="16684" hidden="1" x14ac:dyDescent="0.25"/>
    <row r="16685" hidden="1" x14ac:dyDescent="0.25"/>
    <row r="16686" hidden="1" x14ac:dyDescent="0.25"/>
    <row r="16687" hidden="1" x14ac:dyDescent="0.25"/>
    <row r="16688" hidden="1" x14ac:dyDescent="0.25"/>
    <row r="16689" hidden="1" x14ac:dyDescent="0.25"/>
    <row r="16690" hidden="1" x14ac:dyDescent="0.25"/>
    <row r="16691" hidden="1" x14ac:dyDescent="0.25"/>
    <row r="16692" hidden="1" x14ac:dyDescent="0.25"/>
    <row r="16693" hidden="1" x14ac:dyDescent="0.25"/>
    <row r="16694" hidden="1" x14ac:dyDescent="0.25"/>
    <row r="16695" hidden="1" x14ac:dyDescent="0.25"/>
    <row r="16696" hidden="1" x14ac:dyDescent="0.25"/>
    <row r="16697" hidden="1" x14ac:dyDescent="0.25"/>
    <row r="16698" hidden="1" x14ac:dyDescent="0.25"/>
    <row r="16699" hidden="1" x14ac:dyDescent="0.25"/>
    <row r="16700" hidden="1" x14ac:dyDescent="0.25"/>
    <row r="16701" hidden="1" x14ac:dyDescent="0.25"/>
    <row r="16702" hidden="1" x14ac:dyDescent="0.25"/>
    <row r="16703" hidden="1" x14ac:dyDescent="0.25"/>
    <row r="16704" hidden="1" x14ac:dyDescent="0.25"/>
    <row r="16705" hidden="1" x14ac:dyDescent="0.25"/>
    <row r="16706" hidden="1" x14ac:dyDescent="0.25"/>
    <row r="16707" hidden="1" x14ac:dyDescent="0.25"/>
    <row r="16708" hidden="1" x14ac:dyDescent="0.25"/>
    <row r="16709" hidden="1" x14ac:dyDescent="0.25"/>
    <row r="16710" hidden="1" x14ac:dyDescent="0.25"/>
    <row r="16711" hidden="1" x14ac:dyDescent="0.25"/>
    <row r="16712" hidden="1" x14ac:dyDescent="0.25"/>
    <row r="16713" hidden="1" x14ac:dyDescent="0.25"/>
    <row r="16714" hidden="1" x14ac:dyDescent="0.25"/>
    <row r="16715" hidden="1" x14ac:dyDescent="0.25"/>
    <row r="16716" hidden="1" x14ac:dyDescent="0.25"/>
    <row r="16717" hidden="1" x14ac:dyDescent="0.25"/>
    <row r="16718" hidden="1" x14ac:dyDescent="0.25"/>
    <row r="16719" hidden="1" x14ac:dyDescent="0.25"/>
    <row r="16720" hidden="1" x14ac:dyDescent="0.25"/>
    <row r="16721" hidden="1" x14ac:dyDescent="0.25"/>
    <row r="16722" hidden="1" x14ac:dyDescent="0.25"/>
    <row r="16723" hidden="1" x14ac:dyDescent="0.25"/>
    <row r="16724" hidden="1" x14ac:dyDescent="0.25"/>
    <row r="16725" hidden="1" x14ac:dyDescent="0.25"/>
    <row r="16726" hidden="1" x14ac:dyDescent="0.25"/>
    <row r="16727" hidden="1" x14ac:dyDescent="0.25"/>
    <row r="16728" hidden="1" x14ac:dyDescent="0.25"/>
    <row r="16729" hidden="1" x14ac:dyDescent="0.25"/>
    <row r="16730" hidden="1" x14ac:dyDescent="0.25"/>
    <row r="16731" hidden="1" x14ac:dyDescent="0.25"/>
    <row r="16732" hidden="1" x14ac:dyDescent="0.25"/>
    <row r="16733" hidden="1" x14ac:dyDescent="0.25"/>
    <row r="16734" hidden="1" x14ac:dyDescent="0.25"/>
    <row r="16735" hidden="1" x14ac:dyDescent="0.25"/>
    <row r="16736" hidden="1" x14ac:dyDescent="0.25"/>
    <row r="16737" hidden="1" x14ac:dyDescent="0.25"/>
    <row r="16738" hidden="1" x14ac:dyDescent="0.25"/>
    <row r="16739" hidden="1" x14ac:dyDescent="0.25"/>
    <row r="16740" hidden="1" x14ac:dyDescent="0.25"/>
    <row r="16741" hidden="1" x14ac:dyDescent="0.25"/>
    <row r="16742" hidden="1" x14ac:dyDescent="0.25"/>
    <row r="16743" hidden="1" x14ac:dyDescent="0.25"/>
    <row r="16744" hidden="1" x14ac:dyDescent="0.25"/>
    <row r="16745" hidden="1" x14ac:dyDescent="0.25"/>
    <row r="16746" hidden="1" x14ac:dyDescent="0.25"/>
    <row r="16747" hidden="1" x14ac:dyDescent="0.25"/>
    <row r="16748" hidden="1" x14ac:dyDescent="0.25"/>
    <row r="16749" hidden="1" x14ac:dyDescent="0.25"/>
    <row r="16750" hidden="1" x14ac:dyDescent="0.25"/>
    <row r="16751" hidden="1" x14ac:dyDescent="0.25"/>
    <row r="16752" hidden="1" x14ac:dyDescent="0.25"/>
    <row r="16753" hidden="1" x14ac:dyDescent="0.25"/>
    <row r="16754" hidden="1" x14ac:dyDescent="0.25"/>
    <row r="16755" hidden="1" x14ac:dyDescent="0.25"/>
    <row r="16756" hidden="1" x14ac:dyDescent="0.25"/>
    <row r="16757" hidden="1" x14ac:dyDescent="0.25"/>
    <row r="16758" hidden="1" x14ac:dyDescent="0.25"/>
    <row r="16759" hidden="1" x14ac:dyDescent="0.25"/>
    <row r="16760" hidden="1" x14ac:dyDescent="0.25"/>
    <row r="16761" hidden="1" x14ac:dyDescent="0.25"/>
    <row r="16762" hidden="1" x14ac:dyDescent="0.25"/>
    <row r="16763" hidden="1" x14ac:dyDescent="0.25"/>
    <row r="16764" hidden="1" x14ac:dyDescent="0.25"/>
    <row r="16765" hidden="1" x14ac:dyDescent="0.25"/>
    <row r="16766" hidden="1" x14ac:dyDescent="0.25"/>
    <row r="16767" hidden="1" x14ac:dyDescent="0.25"/>
    <row r="16768" hidden="1" x14ac:dyDescent="0.25"/>
    <row r="16769" hidden="1" x14ac:dyDescent="0.25"/>
    <row r="16770" hidden="1" x14ac:dyDescent="0.25"/>
    <row r="16771" hidden="1" x14ac:dyDescent="0.25"/>
    <row r="16772" hidden="1" x14ac:dyDescent="0.25"/>
    <row r="16773" hidden="1" x14ac:dyDescent="0.25"/>
    <row r="16774" hidden="1" x14ac:dyDescent="0.25"/>
    <row r="16775" hidden="1" x14ac:dyDescent="0.25"/>
    <row r="16776" hidden="1" x14ac:dyDescent="0.25"/>
    <row r="16777" hidden="1" x14ac:dyDescent="0.25"/>
    <row r="16778" hidden="1" x14ac:dyDescent="0.25"/>
    <row r="16779" hidden="1" x14ac:dyDescent="0.25"/>
    <row r="16780" hidden="1" x14ac:dyDescent="0.25"/>
    <row r="16781" hidden="1" x14ac:dyDescent="0.25"/>
    <row r="16782" hidden="1" x14ac:dyDescent="0.25"/>
    <row r="16783" hidden="1" x14ac:dyDescent="0.25"/>
    <row r="16784" hidden="1" x14ac:dyDescent="0.25"/>
    <row r="16785" hidden="1" x14ac:dyDescent="0.25"/>
    <row r="16786" hidden="1" x14ac:dyDescent="0.25"/>
    <row r="16787" hidden="1" x14ac:dyDescent="0.25"/>
    <row r="16788" hidden="1" x14ac:dyDescent="0.25"/>
    <row r="16789" hidden="1" x14ac:dyDescent="0.25"/>
    <row r="16790" hidden="1" x14ac:dyDescent="0.25"/>
    <row r="16791" hidden="1" x14ac:dyDescent="0.25"/>
    <row r="16792" hidden="1" x14ac:dyDescent="0.25"/>
    <row r="16793" hidden="1" x14ac:dyDescent="0.25"/>
    <row r="16794" hidden="1" x14ac:dyDescent="0.25"/>
    <row r="16795" hidden="1" x14ac:dyDescent="0.25"/>
    <row r="16796" hidden="1" x14ac:dyDescent="0.25"/>
    <row r="16797" hidden="1" x14ac:dyDescent="0.25"/>
    <row r="16798" hidden="1" x14ac:dyDescent="0.25"/>
    <row r="16799" hidden="1" x14ac:dyDescent="0.25"/>
    <row r="16800" hidden="1" x14ac:dyDescent="0.25"/>
    <row r="16801" hidden="1" x14ac:dyDescent="0.25"/>
    <row r="16802" hidden="1" x14ac:dyDescent="0.25"/>
    <row r="16803" hidden="1" x14ac:dyDescent="0.25"/>
    <row r="16804" hidden="1" x14ac:dyDescent="0.25"/>
    <row r="16805" hidden="1" x14ac:dyDescent="0.25"/>
    <row r="16806" hidden="1" x14ac:dyDescent="0.25"/>
    <row r="16807" hidden="1" x14ac:dyDescent="0.25"/>
    <row r="16808" hidden="1" x14ac:dyDescent="0.25"/>
    <row r="16809" hidden="1" x14ac:dyDescent="0.25"/>
    <row r="16810" hidden="1" x14ac:dyDescent="0.25"/>
    <row r="16811" hidden="1" x14ac:dyDescent="0.25"/>
    <row r="16812" hidden="1" x14ac:dyDescent="0.25"/>
    <row r="16813" hidden="1" x14ac:dyDescent="0.25"/>
    <row r="16814" hidden="1" x14ac:dyDescent="0.25"/>
    <row r="16815" hidden="1" x14ac:dyDescent="0.25"/>
    <row r="16816" hidden="1" x14ac:dyDescent="0.25"/>
    <row r="16817" hidden="1" x14ac:dyDescent="0.25"/>
    <row r="16818" hidden="1" x14ac:dyDescent="0.25"/>
    <row r="16819" hidden="1" x14ac:dyDescent="0.25"/>
    <row r="16820" hidden="1" x14ac:dyDescent="0.25"/>
    <row r="16821" hidden="1" x14ac:dyDescent="0.25"/>
    <row r="16822" hidden="1" x14ac:dyDescent="0.25"/>
    <row r="16823" hidden="1" x14ac:dyDescent="0.25"/>
    <row r="16824" hidden="1" x14ac:dyDescent="0.25"/>
    <row r="16825" hidden="1" x14ac:dyDescent="0.25"/>
    <row r="16826" hidden="1" x14ac:dyDescent="0.25"/>
    <row r="16827" hidden="1" x14ac:dyDescent="0.25"/>
    <row r="16828" hidden="1" x14ac:dyDescent="0.25"/>
    <row r="16829" hidden="1" x14ac:dyDescent="0.25"/>
    <row r="16830" hidden="1" x14ac:dyDescent="0.25"/>
    <row r="16831" hidden="1" x14ac:dyDescent="0.25"/>
    <row r="16832" hidden="1" x14ac:dyDescent="0.25"/>
    <row r="16833" hidden="1" x14ac:dyDescent="0.25"/>
    <row r="16834" hidden="1" x14ac:dyDescent="0.25"/>
    <row r="16835" hidden="1" x14ac:dyDescent="0.25"/>
    <row r="16836" hidden="1" x14ac:dyDescent="0.25"/>
    <row r="16837" hidden="1" x14ac:dyDescent="0.25"/>
    <row r="16838" hidden="1" x14ac:dyDescent="0.25"/>
    <row r="16839" hidden="1" x14ac:dyDescent="0.25"/>
    <row r="16840" hidden="1" x14ac:dyDescent="0.25"/>
    <row r="16841" hidden="1" x14ac:dyDescent="0.25"/>
    <row r="16842" hidden="1" x14ac:dyDescent="0.25"/>
    <row r="16843" hidden="1" x14ac:dyDescent="0.25"/>
    <row r="16844" hidden="1" x14ac:dyDescent="0.25"/>
    <row r="16845" hidden="1" x14ac:dyDescent="0.25"/>
    <row r="16846" hidden="1" x14ac:dyDescent="0.25"/>
    <row r="16847" hidden="1" x14ac:dyDescent="0.25"/>
    <row r="16848" hidden="1" x14ac:dyDescent="0.25"/>
    <row r="16849" hidden="1" x14ac:dyDescent="0.25"/>
    <row r="16850" hidden="1" x14ac:dyDescent="0.25"/>
    <row r="16851" hidden="1" x14ac:dyDescent="0.25"/>
    <row r="16852" hidden="1" x14ac:dyDescent="0.25"/>
    <row r="16853" hidden="1" x14ac:dyDescent="0.25"/>
    <row r="16854" hidden="1" x14ac:dyDescent="0.25"/>
    <row r="16855" hidden="1" x14ac:dyDescent="0.25"/>
    <row r="16856" hidden="1" x14ac:dyDescent="0.25"/>
    <row r="16857" hidden="1" x14ac:dyDescent="0.25"/>
    <row r="16858" hidden="1" x14ac:dyDescent="0.25"/>
    <row r="16859" hidden="1" x14ac:dyDescent="0.25"/>
    <row r="16860" hidden="1" x14ac:dyDescent="0.25"/>
    <row r="16861" hidden="1" x14ac:dyDescent="0.25"/>
    <row r="16862" hidden="1" x14ac:dyDescent="0.25"/>
    <row r="16863" hidden="1" x14ac:dyDescent="0.25"/>
    <row r="16864" hidden="1" x14ac:dyDescent="0.25"/>
    <row r="16865" hidden="1" x14ac:dyDescent="0.25"/>
    <row r="16866" hidden="1" x14ac:dyDescent="0.25"/>
    <row r="16867" hidden="1" x14ac:dyDescent="0.25"/>
    <row r="16868" hidden="1" x14ac:dyDescent="0.25"/>
    <row r="16869" hidden="1" x14ac:dyDescent="0.25"/>
    <row r="16870" hidden="1" x14ac:dyDescent="0.25"/>
    <row r="16871" hidden="1" x14ac:dyDescent="0.25"/>
    <row r="16872" hidden="1" x14ac:dyDescent="0.25"/>
    <row r="16873" hidden="1" x14ac:dyDescent="0.25"/>
    <row r="16874" hidden="1" x14ac:dyDescent="0.25"/>
    <row r="16875" hidden="1" x14ac:dyDescent="0.25"/>
    <row r="16876" hidden="1" x14ac:dyDescent="0.25"/>
    <row r="16877" hidden="1" x14ac:dyDescent="0.25"/>
    <row r="16878" hidden="1" x14ac:dyDescent="0.25"/>
    <row r="16879" hidden="1" x14ac:dyDescent="0.25"/>
    <row r="16880" hidden="1" x14ac:dyDescent="0.25"/>
    <row r="16881" hidden="1" x14ac:dyDescent="0.25"/>
    <row r="16882" hidden="1" x14ac:dyDescent="0.25"/>
    <row r="16883" hidden="1" x14ac:dyDescent="0.25"/>
    <row r="16884" hidden="1" x14ac:dyDescent="0.25"/>
    <row r="16885" hidden="1" x14ac:dyDescent="0.25"/>
    <row r="16886" hidden="1" x14ac:dyDescent="0.25"/>
    <row r="16887" hidden="1" x14ac:dyDescent="0.25"/>
    <row r="16888" hidden="1" x14ac:dyDescent="0.25"/>
    <row r="16889" hidden="1" x14ac:dyDescent="0.25"/>
    <row r="16890" hidden="1" x14ac:dyDescent="0.25"/>
    <row r="16891" hidden="1" x14ac:dyDescent="0.25"/>
    <row r="16892" hidden="1" x14ac:dyDescent="0.25"/>
    <row r="16893" hidden="1" x14ac:dyDescent="0.25"/>
    <row r="16894" hidden="1" x14ac:dyDescent="0.25"/>
    <row r="16895" hidden="1" x14ac:dyDescent="0.25"/>
    <row r="16896" hidden="1" x14ac:dyDescent="0.25"/>
    <row r="16897" hidden="1" x14ac:dyDescent="0.25"/>
    <row r="16898" hidden="1" x14ac:dyDescent="0.25"/>
    <row r="16899" hidden="1" x14ac:dyDescent="0.25"/>
    <row r="16900" hidden="1" x14ac:dyDescent="0.25"/>
    <row r="16901" hidden="1" x14ac:dyDescent="0.25"/>
    <row r="16902" hidden="1" x14ac:dyDescent="0.25"/>
    <row r="16903" hidden="1" x14ac:dyDescent="0.25"/>
    <row r="16904" hidden="1" x14ac:dyDescent="0.25"/>
    <row r="16905" hidden="1" x14ac:dyDescent="0.25"/>
    <row r="16906" hidden="1" x14ac:dyDescent="0.25"/>
    <row r="16907" hidden="1" x14ac:dyDescent="0.25"/>
    <row r="16908" hidden="1" x14ac:dyDescent="0.25"/>
    <row r="16909" hidden="1" x14ac:dyDescent="0.25"/>
    <row r="16910" hidden="1" x14ac:dyDescent="0.25"/>
    <row r="16911" hidden="1" x14ac:dyDescent="0.25"/>
    <row r="16912" hidden="1" x14ac:dyDescent="0.25"/>
    <row r="16913" hidden="1" x14ac:dyDescent="0.25"/>
    <row r="16914" hidden="1" x14ac:dyDescent="0.25"/>
    <row r="16915" hidden="1" x14ac:dyDescent="0.25"/>
    <row r="16916" hidden="1" x14ac:dyDescent="0.25"/>
    <row r="16917" hidden="1" x14ac:dyDescent="0.25"/>
    <row r="16918" hidden="1" x14ac:dyDescent="0.25"/>
    <row r="16919" hidden="1" x14ac:dyDescent="0.25"/>
    <row r="16920" hidden="1" x14ac:dyDescent="0.25"/>
    <row r="16921" hidden="1" x14ac:dyDescent="0.25"/>
    <row r="16922" hidden="1" x14ac:dyDescent="0.25"/>
    <row r="16923" hidden="1" x14ac:dyDescent="0.25"/>
    <row r="16924" hidden="1" x14ac:dyDescent="0.25"/>
    <row r="16925" hidden="1" x14ac:dyDescent="0.25"/>
    <row r="16926" hidden="1" x14ac:dyDescent="0.25"/>
    <row r="16927" hidden="1" x14ac:dyDescent="0.25"/>
    <row r="16928" hidden="1" x14ac:dyDescent="0.25"/>
    <row r="16929" hidden="1" x14ac:dyDescent="0.25"/>
    <row r="16930" hidden="1" x14ac:dyDescent="0.25"/>
    <row r="16931" hidden="1" x14ac:dyDescent="0.25"/>
    <row r="16932" hidden="1" x14ac:dyDescent="0.25"/>
    <row r="16933" hidden="1" x14ac:dyDescent="0.25"/>
    <row r="16934" hidden="1" x14ac:dyDescent="0.25"/>
    <row r="16935" hidden="1" x14ac:dyDescent="0.25"/>
    <row r="16936" hidden="1" x14ac:dyDescent="0.25"/>
    <row r="16937" hidden="1" x14ac:dyDescent="0.25"/>
    <row r="16938" hidden="1" x14ac:dyDescent="0.25"/>
    <row r="16939" hidden="1" x14ac:dyDescent="0.25"/>
    <row r="16940" hidden="1" x14ac:dyDescent="0.25"/>
    <row r="16941" hidden="1" x14ac:dyDescent="0.25"/>
    <row r="16942" hidden="1" x14ac:dyDescent="0.25"/>
    <row r="16943" hidden="1" x14ac:dyDescent="0.25"/>
    <row r="16944" hidden="1" x14ac:dyDescent="0.25"/>
    <row r="16945" hidden="1" x14ac:dyDescent="0.25"/>
    <row r="16946" hidden="1" x14ac:dyDescent="0.25"/>
    <row r="16947" hidden="1" x14ac:dyDescent="0.25"/>
    <row r="16948" hidden="1" x14ac:dyDescent="0.25"/>
    <row r="16949" hidden="1" x14ac:dyDescent="0.25"/>
    <row r="16950" hidden="1" x14ac:dyDescent="0.25"/>
    <row r="16951" hidden="1" x14ac:dyDescent="0.25"/>
    <row r="16952" hidden="1" x14ac:dyDescent="0.25"/>
    <row r="16953" hidden="1" x14ac:dyDescent="0.25"/>
    <row r="16954" hidden="1" x14ac:dyDescent="0.25"/>
    <row r="16955" hidden="1" x14ac:dyDescent="0.25"/>
    <row r="16956" hidden="1" x14ac:dyDescent="0.25"/>
    <row r="16957" hidden="1" x14ac:dyDescent="0.25"/>
    <row r="16958" hidden="1" x14ac:dyDescent="0.25"/>
    <row r="16959" hidden="1" x14ac:dyDescent="0.25"/>
    <row r="16960" hidden="1" x14ac:dyDescent="0.25"/>
    <row r="16961" hidden="1" x14ac:dyDescent="0.25"/>
    <row r="16962" hidden="1" x14ac:dyDescent="0.25"/>
    <row r="16963" hidden="1" x14ac:dyDescent="0.25"/>
    <row r="16964" hidden="1" x14ac:dyDescent="0.25"/>
    <row r="16965" hidden="1" x14ac:dyDescent="0.25"/>
    <row r="16966" hidden="1" x14ac:dyDescent="0.25"/>
    <row r="16967" hidden="1" x14ac:dyDescent="0.25"/>
    <row r="16968" hidden="1" x14ac:dyDescent="0.25"/>
    <row r="16969" hidden="1" x14ac:dyDescent="0.25"/>
    <row r="16970" hidden="1" x14ac:dyDescent="0.25"/>
    <row r="16971" hidden="1" x14ac:dyDescent="0.25"/>
    <row r="16972" hidden="1" x14ac:dyDescent="0.25"/>
    <row r="16973" hidden="1" x14ac:dyDescent="0.25"/>
    <row r="16974" hidden="1" x14ac:dyDescent="0.25"/>
    <row r="16975" hidden="1" x14ac:dyDescent="0.25"/>
    <row r="16976" hidden="1" x14ac:dyDescent="0.25"/>
    <row r="16977" hidden="1" x14ac:dyDescent="0.25"/>
    <row r="16978" hidden="1" x14ac:dyDescent="0.25"/>
    <row r="16979" hidden="1" x14ac:dyDescent="0.25"/>
    <row r="16980" hidden="1" x14ac:dyDescent="0.25"/>
    <row r="16981" hidden="1" x14ac:dyDescent="0.25"/>
    <row r="16982" hidden="1" x14ac:dyDescent="0.25"/>
    <row r="16983" hidden="1" x14ac:dyDescent="0.25"/>
    <row r="16984" hidden="1" x14ac:dyDescent="0.25"/>
    <row r="16985" hidden="1" x14ac:dyDescent="0.25"/>
    <row r="16986" hidden="1" x14ac:dyDescent="0.25"/>
    <row r="16987" hidden="1" x14ac:dyDescent="0.25"/>
    <row r="16988" hidden="1" x14ac:dyDescent="0.25"/>
    <row r="16989" hidden="1" x14ac:dyDescent="0.25"/>
    <row r="16990" hidden="1" x14ac:dyDescent="0.25"/>
    <row r="16991" hidden="1" x14ac:dyDescent="0.25"/>
    <row r="16992" hidden="1" x14ac:dyDescent="0.25"/>
    <row r="16993" hidden="1" x14ac:dyDescent="0.25"/>
    <row r="16994" hidden="1" x14ac:dyDescent="0.25"/>
    <row r="16995" hidden="1" x14ac:dyDescent="0.25"/>
    <row r="16996" hidden="1" x14ac:dyDescent="0.25"/>
    <row r="16997" hidden="1" x14ac:dyDescent="0.25"/>
    <row r="16998" hidden="1" x14ac:dyDescent="0.25"/>
    <row r="16999" hidden="1" x14ac:dyDescent="0.25"/>
    <row r="17000" hidden="1" x14ac:dyDescent="0.25"/>
    <row r="17001" hidden="1" x14ac:dyDescent="0.25"/>
    <row r="17002" hidden="1" x14ac:dyDescent="0.25"/>
    <row r="17003" hidden="1" x14ac:dyDescent="0.25"/>
    <row r="17004" hidden="1" x14ac:dyDescent="0.25"/>
    <row r="17005" hidden="1" x14ac:dyDescent="0.25"/>
    <row r="17006" hidden="1" x14ac:dyDescent="0.25"/>
    <row r="17007" hidden="1" x14ac:dyDescent="0.25"/>
    <row r="17008" hidden="1" x14ac:dyDescent="0.25"/>
    <row r="17009" hidden="1" x14ac:dyDescent="0.25"/>
    <row r="17010" hidden="1" x14ac:dyDescent="0.25"/>
    <row r="17011" hidden="1" x14ac:dyDescent="0.25"/>
    <row r="17012" hidden="1" x14ac:dyDescent="0.25"/>
    <row r="17013" hidden="1" x14ac:dyDescent="0.25"/>
    <row r="17014" hidden="1" x14ac:dyDescent="0.25"/>
    <row r="17015" hidden="1" x14ac:dyDescent="0.25"/>
    <row r="17016" hidden="1" x14ac:dyDescent="0.25"/>
    <row r="17017" hidden="1" x14ac:dyDescent="0.25"/>
    <row r="17018" hidden="1" x14ac:dyDescent="0.25"/>
    <row r="17019" hidden="1" x14ac:dyDescent="0.25"/>
    <row r="17020" hidden="1" x14ac:dyDescent="0.25"/>
    <row r="17021" hidden="1" x14ac:dyDescent="0.25"/>
    <row r="17022" hidden="1" x14ac:dyDescent="0.25"/>
    <row r="17023" hidden="1" x14ac:dyDescent="0.25"/>
    <row r="17024" hidden="1" x14ac:dyDescent="0.25"/>
    <row r="17025" hidden="1" x14ac:dyDescent="0.25"/>
    <row r="17026" hidden="1" x14ac:dyDescent="0.25"/>
    <row r="17027" hidden="1" x14ac:dyDescent="0.25"/>
    <row r="17028" hidden="1" x14ac:dyDescent="0.25"/>
    <row r="17029" hidden="1" x14ac:dyDescent="0.25"/>
    <row r="17030" hidden="1" x14ac:dyDescent="0.25"/>
    <row r="17031" hidden="1" x14ac:dyDescent="0.25"/>
    <row r="17032" hidden="1" x14ac:dyDescent="0.25"/>
    <row r="17033" hidden="1" x14ac:dyDescent="0.25"/>
    <row r="17034" hidden="1" x14ac:dyDescent="0.25"/>
    <row r="17035" hidden="1" x14ac:dyDescent="0.25"/>
    <row r="17036" hidden="1" x14ac:dyDescent="0.25"/>
    <row r="17037" hidden="1" x14ac:dyDescent="0.25"/>
    <row r="17038" hidden="1" x14ac:dyDescent="0.25"/>
    <row r="17039" hidden="1" x14ac:dyDescent="0.25"/>
    <row r="17040" hidden="1" x14ac:dyDescent="0.25"/>
    <row r="17041" hidden="1" x14ac:dyDescent="0.25"/>
    <row r="17042" hidden="1" x14ac:dyDescent="0.25"/>
    <row r="17043" hidden="1" x14ac:dyDescent="0.25"/>
    <row r="17044" hidden="1" x14ac:dyDescent="0.25"/>
    <row r="17045" hidden="1" x14ac:dyDescent="0.25"/>
    <row r="17046" hidden="1" x14ac:dyDescent="0.25"/>
    <row r="17047" hidden="1" x14ac:dyDescent="0.25"/>
    <row r="17048" hidden="1" x14ac:dyDescent="0.25"/>
    <row r="17049" hidden="1" x14ac:dyDescent="0.25"/>
    <row r="17050" hidden="1" x14ac:dyDescent="0.25"/>
    <row r="17051" hidden="1" x14ac:dyDescent="0.25"/>
    <row r="17052" hidden="1" x14ac:dyDescent="0.25"/>
    <row r="17053" hidden="1" x14ac:dyDescent="0.25"/>
    <row r="17054" hidden="1" x14ac:dyDescent="0.25"/>
    <row r="17055" hidden="1" x14ac:dyDescent="0.25"/>
    <row r="17056" hidden="1" x14ac:dyDescent="0.25"/>
    <row r="17057" hidden="1" x14ac:dyDescent="0.25"/>
    <row r="17058" hidden="1" x14ac:dyDescent="0.25"/>
    <row r="17059" hidden="1" x14ac:dyDescent="0.25"/>
    <row r="17060" hidden="1" x14ac:dyDescent="0.25"/>
    <row r="17061" hidden="1" x14ac:dyDescent="0.25"/>
    <row r="17062" hidden="1" x14ac:dyDescent="0.25"/>
    <row r="17063" hidden="1" x14ac:dyDescent="0.25"/>
    <row r="17064" hidden="1" x14ac:dyDescent="0.25"/>
    <row r="17065" hidden="1" x14ac:dyDescent="0.25"/>
    <row r="17066" hidden="1" x14ac:dyDescent="0.25"/>
    <row r="17067" hidden="1" x14ac:dyDescent="0.25"/>
    <row r="17068" hidden="1" x14ac:dyDescent="0.25"/>
    <row r="17069" hidden="1" x14ac:dyDescent="0.25"/>
    <row r="17070" hidden="1" x14ac:dyDescent="0.25"/>
    <row r="17071" hidden="1" x14ac:dyDescent="0.25"/>
    <row r="17072" hidden="1" x14ac:dyDescent="0.25"/>
    <row r="17073" hidden="1" x14ac:dyDescent="0.25"/>
    <row r="17074" hidden="1" x14ac:dyDescent="0.25"/>
    <row r="17075" hidden="1" x14ac:dyDescent="0.25"/>
    <row r="17076" hidden="1" x14ac:dyDescent="0.25"/>
    <row r="17077" hidden="1" x14ac:dyDescent="0.25"/>
    <row r="17078" hidden="1" x14ac:dyDescent="0.25"/>
    <row r="17079" hidden="1" x14ac:dyDescent="0.25"/>
    <row r="17080" hidden="1" x14ac:dyDescent="0.25"/>
    <row r="17081" hidden="1" x14ac:dyDescent="0.25"/>
    <row r="17082" hidden="1" x14ac:dyDescent="0.25"/>
    <row r="17083" hidden="1" x14ac:dyDescent="0.25"/>
    <row r="17084" hidden="1" x14ac:dyDescent="0.25"/>
    <row r="17085" hidden="1" x14ac:dyDescent="0.25"/>
    <row r="17086" hidden="1" x14ac:dyDescent="0.25"/>
    <row r="17087" hidden="1" x14ac:dyDescent="0.25"/>
    <row r="17088" hidden="1" x14ac:dyDescent="0.25"/>
    <row r="17089" hidden="1" x14ac:dyDescent="0.25"/>
    <row r="17090" hidden="1" x14ac:dyDescent="0.25"/>
    <row r="17091" hidden="1" x14ac:dyDescent="0.25"/>
    <row r="17092" hidden="1" x14ac:dyDescent="0.25"/>
    <row r="17093" hidden="1" x14ac:dyDescent="0.25"/>
    <row r="17094" hidden="1" x14ac:dyDescent="0.25"/>
    <row r="17095" hidden="1" x14ac:dyDescent="0.25"/>
    <row r="17096" hidden="1" x14ac:dyDescent="0.25"/>
    <row r="17097" hidden="1" x14ac:dyDescent="0.25"/>
    <row r="17098" hidden="1" x14ac:dyDescent="0.25"/>
    <row r="17099" hidden="1" x14ac:dyDescent="0.25"/>
    <row r="17100" hidden="1" x14ac:dyDescent="0.25"/>
    <row r="17101" hidden="1" x14ac:dyDescent="0.25"/>
    <row r="17102" hidden="1" x14ac:dyDescent="0.25"/>
    <row r="17103" hidden="1" x14ac:dyDescent="0.25"/>
    <row r="17104" hidden="1" x14ac:dyDescent="0.25"/>
    <row r="17105" hidden="1" x14ac:dyDescent="0.25"/>
    <row r="17106" hidden="1" x14ac:dyDescent="0.25"/>
    <row r="17107" hidden="1" x14ac:dyDescent="0.25"/>
    <row r="17108" hidden="1" x14ac:dyDescent="0.25"/>
    <row r="17109" hidden="1" x14ac:dyDescent="0.25"/>
    <row r="17110" hidden="1" x14ac:dyDescent="0.25"/>
    <row r="17111" hidden="1" x14ac:dyDescent="0.25"/>
    <row r="17112" hidden="1" x14ac:dyDescent="0.25"/>
    <row r="17113" hidden="1" x14ac:dyDescent="0.25"/>
    <row r="17114" hidden="1" x14ac:dyDescent="0.25"/>
    <row r="17115" hidden="1" x14ac:dyDescent="0.25"/>
    <row r="17116" hidden="1" x14ac:dyDescent="0.25"/>
    <row r="17117" hidden="1" x14ac:dyDescent="0.25"/>
    <row r="17118" hidden="1" x14ac:dyDescent="0.25"/>
    <row r="17119" hidden="1" x14ac:dyDescent="0.25"/>
    <row r="17120" hidden="1" x14ac:dyDescent="0.25"/>
    <row r="17121" hidden="1" x14ac:dyDescent="0.25"/>
    <row r="17122" hidden="1" x14ac:dyDescent="0.25"/>
    <row r="17123" hidden="1" x14ac:dyDescent="0.25"/>
    <row r="17124" hidden="1" x14ac:dyDescent="0.25"/>
    <row r="17125" hidden="1" x14ac:dyDescent="0.25"/>
    <row r="17126" hidden="1" x14ac:dyDescent="0.25"/>
    <row r="17127" hidden="1" x14ac:dyDescent="0.25"/>
    <row r="17128" hidden="1" x14ac:dyDescent="0.25"/>
    <row r="17129" hidden="1" x14ac:dyDescent="0.25"/>
    <row r="17130" hidden="1" x14ac:dyDescent="0.25"/>
    <row r="17131" hidden="1" x14ac:dyDescent="0.25"/>
    <row r="17132" hidden="1" x14ac:dyDescent="0.25"/>
    <row r="17133" hidden="1" x14ac:dyDescent="0.25"/>
    <row r="17134" hidden="1" x14ac:dyDescent="0.25"/>
    <row r="17135" hidden="1" x14ac:dyDescent="0.25"/>
    <row r="17136" hidden="1" x14ac:dyDescent="0.25"/>
    <row r="17137" hidden="1" x14ac:dyDescent="0.25"/>
    <row r="17138" hidden="1" x14ac:dyDescent="0.25"/>
    <row r="17139" hidden="1" x14ac:dyDescent="0.25"/>
    <row r="17140" hidden="1" x14ac:dyDescent="0.25"/>
    <row r="17141" hidden="1" x14ac:dyDescent="0.25"/>
    <row r="17142" hidden="1" x14ac:dyDescent="0.25"/>
    <row r="17143" hidden="1" x14ac:dyDescent="0.25"/>
    <row r="17144" hidden="1" x14ac:dyDescent="0.25"/>
    <row r="17145" hidden="1" x14ac:dyDescent="0.25"/>
    <row r="17146" hidden="1" x14ac:dyDescent="0.25"/>
    <row r="17147" hidden="1" x14ac:dyDescent="0.25"/>
    <row r="17148" hidden="1" x14ac:dyDescent="0.25"/>
    <row r="17149" hidden="1" x14ac:dyDescent="0.25"/>
    <row r="17150" hidden="1" x14ac:dyDescent="0.25"/>
    <row r="17151" hidden="1" x14ac:dyDescent="0.25"/>
    <row r="17152" hidden="1" x14ac:dyDescent="0.25"/>
    <row r="17153" hidden="1" x14ac:dyDescent="0.25"/>
    <row r="17154" hidden="1" x14ac:dyDescent="0.25"/>
    <row r="17155" hidden="1" x14ac:dyDescent="0.25"/>
    <row r="17156" hidden="1" x14ac:dyDescent="0.25"/>
    <row r="17157" hidden="1" x14ac:dyDescent="0.25"/>
    <row r="17158" hidden="1" x14ac:dyDescent="0.25"/>
    <row r="17159" hidden="1" x14ac:dyDescent="0.25"/>
    <row r="17160" hidden="1" x14ac:dyDescent="0.25"/>
    <row r="17161" hidden="1" x14ac:dyDescent="0.25"/>
    <row r="17162" hidden="1" x14ac:dyDescent="0.25"/>
    <row r="17163" hidden="1" x14ac:dyDescent="0.25"/>
    <row r="17164" hidden="1" x14ac:dyDescent="0.25"/>
    <row r="17165" hidden="1" x14ac:dyDescent="0.25"/>
    <row r="17166" hidden="1" x14ac:dyDescent="0.25"/>
    <row r="17167" hidden="1" x14ac:dyDescent="0.25"/>
    <row r="17168" hidden="1" x14ac:dyDescent="0.25"/>
    <row r="17169" hidden="1" x14ac:dyDescent="0.25"/>
    <row r="17170" hidden="1" x14ac:dyDescent="0.25"/>
    <row r="17171" hidden="1" x14ac:dyDescent="0.25"/>
    <row r="17172" hidden="1" x14ac:dyDescent="0.25"/>
    <row r="17173" hidden="1" x14ac:dyDescent="0.25"/>
    <row r="17174" hidden="1" x14ac:dyDescent="0.25"/>
    <row r="17175" hidden="1" x14ac:dyDescent="0.25"/>
    <row r="17176" hidden="1" x14ac:dyDescent="0.25"/>
    <row r="17177" hidden="1" x14ac:dyDescent="0.25"/>
    <row r="17178" hidden="1" x14ac:dyDescent="0.25"/>
    <row r="17179" hidden="1" x14ac:dyDescent="0.25"/>
    <row r="17180" hidden="1" x14ac:dyDescent="0.25"/>
    <row r="17181" hidden="1" x14ac:dyDescent="0.25"/>
    <row r="17182" hidden="1" x14ac:dyDescent="0.25"/>
    <row r="17183" hidden="1" x14ac:dyDescent="0.25"/>
    <row r="17184" hidden="1" x14ac:dyDescent="0.25"/>
    <row r="17185" hidden="1" x14ac:dyDescent="0.25"/>
    <row r="17186" hidden="1" x14ac:dyDescent="0.25"/>
    <row r="17187" hidden="1" x14ac:dyDescent="0.25"/>
    <row r="17188" hidden="1" x14ac:dyDescent="0.25"/>
    <row r="17189" hidden="1" x14ac:dyDescent="0.25"/>
    <row r="17190" hidden="1" x14ac:dyDescent="0.25"/>
    <row r="17191" hidden="1" x14ac:dyDescent="0.25"/>
    <row r="17192" hidden="1" x14ac:dyDescent="0.25"/>
    <row r="17193" hidden="1" x14ac:dyDescent="0.25"/>
    <row r="17194" hidden="1" x14ac:dyDescent="0.25"/>
    <row r="17195" hidden="1" x14ac:dyDescent="0.25"/>
    <row r="17196" hidden="1" x14ac:dyDescent="0.25"/>
    <row r="17197" hidden="1" x14ac:dyDescent="0.25"/>
    <row r="17198" hidden="1" x14ac:dyDescent="0.25"/>
    <row r="17199" hidden="1" x14ac:dyDescent="0.25"/>
    <row r="17200" hidden="1" x14ac:dyDescent="0.25"/>
    <row r="17201" hidden="1" x14ac:dyDescent="0.25"/>
    <row r="17202" hidden="1" x14ac:dyDescent="0.25"/>
    <row r="17203" hidden="1" x14ac:dyDescent="0.25"/>
    <row r="17204" hidden="1" x14ac:dyDescent="0.25"/>
    <row r="17205" hidden="1" x14ac:dyDescent="0.25"/>
    <row r="17206" hidden="1" x14ac:dyDescent="0.25"/>
    <row r="17207" hidden="1" x14ac:dyDescent="0.25"/>
    <row r="17208" hidden="1" x14ac:dyDescent="0.25"/>
    <row r="17209" hidden="1" x14ac:dyDescent="0.25"/>
    <row r="17210" hidden="1" x14ac:dyDescent="0.25"/>
    <row r="17211" hidden="1" x14ac:dyDescent="0.25"/>
    <row r="17212" hidden="1" x14ac:dyDescent="0.25"/>
    <row r="17213" hidden="1" x14ac:dyDescent="0.25"/>
    <row r="17214" hidden="1" x14ac:dyDescent="0.25"/>
    <row r="17215" hidden="1" x14ac:dyDescent="0.25"/>
    <row r="17216" hidden="1" x14ac:dyDescent="0.25"/>
    <row r="17217" hidden="1" x14ac:dyDescent="0.25"/>
    <row r="17218" hidden="1" x14ac:dyDescent="0.25"/>
    <row r="17219" hidden="1" x14ac:dyDescent="0.25"/>
    <row r="17220" hidden="1" x14ac:dyDescent="0.25"/>
    <row r="17221" hidden="1" x14ac:dyDescent="0.25"/>
    <row r="17222" hidden="1" x14ac:dyDescent="0.25"/>
    <row r="17223" hidden="1" x14ac:dyDescent="0.25"/>
    <row r="17224" hidden="1" x14ac:dyDescent="0.25"/>
    <row r="17225" hidden="1" x14ac:dyDescent="0.25"/>
    <row r="17226" hidden="1" x14ac:dyDescent="0.25"/>
    <row r="17227" hidden="1" x14ac:dyDescent="0.25"/>
    <row r="17228" hidden="1" x14ac:dyDescent="0.25"/>
    <row r="17229" hidden="1" x14ac:dyDescent="0.25"/>
    <row r="17230" hidden="1" x14ac:dyDescent="0.25"/>
    <row r="17231" hidden="1" x14ac:dyDescent="0.25"/>
    <row r="17232" hidden="1" x14ac:dyDescent="0.25"/>
    <row r="17233" hidden="1" x14ac:dyDescent="0.25"/>
    <row r="17234" hidden="1" x14ac:dyDescent="0.25"/>
    <row r="17235" hidden="1" x14ac:dyDescent="0.25"/>
    <row r="17236" hidden="1" x14ac:dyDescent="0.25"/>
    <row r="17237" hidden="1" x14ac:dyDescent="0.25"/>
    <row r="17238" hidden="1" x14ac:dyDescent="0.25"/>
    <row r="17239" hidden="1" x14ac:dyDescent="0.25"/>
    <row r="17240" hidden="1" x14ac:dyDescent="0.25"/>
    <row r="17241" hidden="1" x14ac:dyDescent="0.25"/>
    <row r="17242" hidden="1" x14ac:dyDescent="0.25"/>
    <row r="17243" hidden="1" x14ac:dyDescent="0.25"/>
    <row r="17244" hidden="1" x14ac:dyDescent="0.25"/>
    <row r="17245" hidden="1" x14ac:dyDescent="0.25"/>
    <row r="17246" hidden="1" x14ac:dyDescent="0.25"/>
    <row r="17247" hidden="1" x14ac:dyDescent="0.25"/>
    <row r="17248" hidden="1" x14ac:dyDescent="0.25"/>
    <row r="17249" hidden="1" x14ac:dyDescent="0.25"/>
    <row r="17250" hidden="1" x14ac:dyDescent="0.25"/>
    <row r="17251" hidden="1" x14ac:dyDescent="0.25"/>
    <row r="17252" hidden="1" x14ac:dyDescent="0.25"/>
    <row r="17253" hidden="1" x14ac:dyDescent="0.25"/>
    <row r="17254" hidden="1" x14ac:dyDescent="0.25"/>
    <row r="17255" hidden="1" x14ac:dyDescent="0.25"/>
    <row r="17256" hidden="1" x14ac:dyDescent="0.25"/>
    <row r="17257" hidden="1" x14ac:dyDescent="0.25"/>
    <row r="17258" hidden="1" x14ac:dyDescent="0.25"/>
    <row r="17259" hidden="1" x14ac:dyDescent="0.25"/>
    <row r="17260" hidden="1" x14ac:dyDescent="0.25"/>
    <row r="17261" hidden="1" x14ac:dyDescent="0.25"/>
    <row r="17262" hidden="1" x14ac:dyDescent="0.25"/>
    <row r="17263" hidden="1" x14ac:dyDescent="0.25"/>
    <row r="17264" hidden="1" x14ac:dyDescent="0.25"/>
    <row r="17265" hidden="1" x14ac:dyDescent="0.25"/>
    <row r="17266" hidden="1" x14ac:dyDescent="0.25"/>
    <row r="17267" hidden="1" x14ac:dyDescent="0.25"/>
    <row r="17268" hidden="1" x14ac:dyDescent="0.25"/>
    <row r="17269" hidden="1" x14ac:dyDescent="0.25"/>
    <row r="17270" hidden="1" x14ac:dyDescent="0.25"/>
    <row r="17271" hidden="1" x14ac:dyDescent="0.25"/>
    <row r="17272" hidden="1" x14ac:dyDescent="0.25"/>
    <row r="17273" hidden="1" x14ac:dyDescent="0.25"/>
    <row r="17274" hidden="1" x14ac:dyDescent="0.25"/>
    <row r="17275" hidden="1" x14ac:dyDescent="0.25"/>
    <row r="17276" hidden="1" x14ac:dyDescent="0.25"/>
    <row r="17277" hidden="1" x14ac:dyDescent="0.25"/>
    <row r="17278" hidden="1" x14ac:dyDescent="0.25"/>
    <row r="17279" hidden="1" x14ac:dyDescent="0.25"/>
    <row r="17280" hidden="1" x14ac:dyDescent="0.25"/>
    <row r="17281" hidden="1" x14ac:dyDescent="0.25"/>
    <row r="17282" hidden="1" x14ac:dyDescent="0.25"/>
    <row r="17283" hidden="1" x14ac:dyDescent="0.25"/>
    <row r="17284" hidden="1" x14ac:dyDescent="0.25"/>
    <row r="17285" hidden="1" x14ac:dyDescent="0.25"/>
    <row r="17286" hidden="1" x14ac:dyDescent="0.25"/>
    <row r="17287" hidden="1" x14ac:dyDescent="0.25"/>
    <row r="17288" hidden="1" x14ac:dyDescent="0.25"/>
    <row r="17289" hidden="1" x14ac:dyDescent="0.25"/>
    <row r="17290" hidden="1" x14ac:dyDescent="0.25"/>
    <row r="17291" hidden="1" x14ac:dyDescent="0.25"/>
    <row r="17292" hidden="1" x14ac:dyDescent="0.25"/>
    <row r="17293" hidden="1" x14ac:dyDescent="0.25"/>
    <row r="17294" hidden="1" x14ac:dyDescent="0.25"/>
    <row r="17295" hidden="1" x14ac:dyDescent="0.25"/>
    <row r="17296" hidden="1" x14ac:dyDescent="0.25"/>
    <row r="17297" hidden="1" x14ac:dyDescent="0.25"/>
    <row r="17298" hidden="1" x14ac:dyDescent="0.25"/>
    <row r="17299" hidden="1" x14ac:dyDescent="0.25"/>
    <row r="17300" hidden="1" x14ac:dyDescent="0.25"/>
    <row r="17301" hidden="1" x14ac:dyDescent="0.25"/>
    <row r="17302" hidden="1" x14ac:dyDescent="0.25"/>
    <row r="17303" hidden="1" x14ac:dyDescent="0.25"/>
    <row r="17304" hidden="1" x14ac:dyDescent="0.25"/>
    <row r="17305" hidden="1" x14ac:dyDescent="0.25"/>
    <row r="17306" hidden="1" x14ac:dyDescent="0.25"/>
    <row r="17307" hidden="1" x14ac:dyDescent="0.25"/>
    <row r="17308" hidden="1" x14ac:dyDescent="0.25"/>
    <row r="17309" hidden="1" x14ac:dyDescent="0.25"/>
    <row r="17310" hidden="1" x14ac:dyDescent="0.25"/>
    <row r="17311" hidden="1" x14ac:dyDescent="0.25"/>
    <row r="17312" hidden="1" x14ac:dyDescent="0.25"/>
    <row r="17313" hidden="1" x14ac:dyDescent="0.25"/>
    <row r="17314" hidden="1" x14ac:dyDescent="0.25"/>
    <row r="17315" hidden="1" x14ac:dyDescent="0.25"/>
    <row r="17316" hidden="1" x14ac:dyDescent="0.25"/>
    <row r="17317" hidden="1" x14ac:dyDescent="0.25"/>
    <row r="17318" hidden="1" x14ac:dyDescent="0.25"/>
    <row r="17319" hidden="1" x14ac:dyDescent="0.25"/>
    <row r="17320" hidden="1" x14ac:dyDescent="0.25"/>
    <row r="17321" hidden="1" x14ac:dyDescent="0.25"/>
    <row r="17322" hidden="1" x14ac:dyDescent="0.25"/>
    <row r="17323" hidden="1" x14ac:dyDescent="0.25"/>
    <row r="17324" hidden="1" x14ac:dyDescent="0.25"/>
    <row r="17325" hidden="1" x14ac:dyDescent="0.25"/>
    <row r="17326" hidden="1" x14ac:dyDescent="0.25"/>
    <row r="17327" hidden="1" x14ac:dyDescent="0.25"/>
    <row r="17328" hidden="1" x14ac:dyDescent="0.25"/>
    <row r="17329" hidden="1" x14ac:dyDescent="0.25"/>
    <row r="17330" hidden="1" x14ac:dyDescent="0.25"/>
    <row r="17331" hidden="1" x14ac:dyDescent="0.25"/>
    <row r="17332" hidden="1" x14ac:dyDescent="0.25"/>
    <row r="17333" hidden="1" x14ac:dyDescent="0.25"/>
    <row r="17334" hidden="1" x14ac:dyDescent="0.25"/>
    <row r="17335" hidden="1" x14ac:dyDescent="0.25"/>
    <row r="17336" hidden="1" x14ac:dyDescent="0.25"/>
    <row r="17337" hidden="1" x14ac:dyDescent="0.25"/>
    <row r="17338" hidden="1" x14ac:dyDescent="0.25"/>
    <row r="17339" hidden="1" x14ac:dyDescent="0.25"/>
    <row r="17340" hidden="1" x14ac:dyDescent="0.25"/>
    <row r="17341" hidden="1" x14ac:dyDescent="0.25"/>
    <row r="17342" hidden="1" x14ac:dyDescent="0.25"/>
    <row r="17343" hidden="1" x14ac:dyDescent="0.25"/>
    <row r="17344" hidden="1" x14ac:dyDescent="0.25"/>
    <row r="17345" hidden="1" x14ac:dyDescent="0.25"/>
    <row r="17346" hidden="1" x14ac:dyDescent="0.25"/>
    <row r="17347" hidden="1" x14ac:dyDescent="0.25"/>
    <row r="17348" hidden="1" x14ac:dyDescent="0.25"/>
    <row r="17349" hidden="1" x14ac:dyDescent="0.25"/>
    <row r="17350" hidden="1" x14ac:dyDescent="0.25"/>
    <row r="17351" hidden="1" x14ac:dyDescent="0.25"/>
    <row r="17352" hidden="1" x14ac:dyDescent="0.25"/>
    <row r="17353" hidden="1" x14ac:dyDescent="0.25"/>
    <row r="17354" hidden="1" x14ac:dyDescent="0.25"/>
    <row r="17355" hidden="1" x14ac:dyDescent="0.25"/>
    <row r="17356" hidden="1" x14ac:dyDescent="0.25"/>
    <row r="17357" hidden="1" x14ac:dyDescent="0.25"/>
    <row r="17358" hidden="1" x14ac:dyDescent="0.25"/>
    <row r="17359" hidden="1" x14ac:dyDescent="0.25"/>
    <row r="17360" hidden="1" x14ac:dyDescent="0.25"/>
    <row r="17361" hidden="1" x14ac:dyDescent="0.25"/>
    <row r="17362" hidden="1" x14ac:dyDescent="0.25"/>
    <row r="17363" hidden="1" x14ac:dyDescent="0.25"/>
    <row r="17364" hidden="1" x14ac:dyDescent="0.25"/>
    <row r="17365" hidden="1" x14ac:dyDescent="0.25"/>
    <row r="17366" hidden="1" x14ac:dyDescent="0.25"/>
    <row r="17367" hidden="1" x14ac:dyDescent="0.25"/>
    <row r="17368" hidden="1" x14ac:dyDescent="0.25"/>
    <row r="17369" hidden="1" x14ac:dyDescent="0.25"/>
    <row r="17370" hidden="1" x14ac:dyDescent="0.25"/>
    <row r="17371" hidden="1" x14ac:dyDescent="0.25"/>
    <row r="17372" hidden="1" x14ac:dyDescent="0.25"/>
    <row r="17373" hidden="1" x14ac:dyDescent="0.25"/>
    <row r="17374" hidden="1" x14ac:dyDescent="0.25"/>
    <row r="17375" hidden="1" x14ac:dyDescent="0.25"/>
    <row r="17376" hidden="1" x14ac:dyDescent="0.25"/>
    <row r="17377" hidden="1" x14ac:dyDescent="0.25"/>
    <row r="17378" hidden="1" x14ac:dyDescent="0.25"/>
    <row r="17379" hidden="1" x14ac:dyDescent="0.25"/>
    <row r="17380" hidden="1" x14ac:dyDescent="0.25"/>
    <row r="17381" hidden="1" x14ac:dyDescent="0.25"/>
    <row r="17382" hidden="1" x14ac:dyDescent="0.25"/>
    <row r="17383" hidden="1" x14ac:dyDescent="0.25"/>
    <row r="17384" hidden="1" x14ac:dyDescent="0.25"/>
    <row r="17385" hidden="1" x14ac:dyDescent="0.25"/>
    <row r="17386" hidden="1" x14ac:dyDescent="0.25"/>
    <row r="17387" hidden="1" x14ac:dyDescent="0.25"/>
    <row r="17388" hidden="1" x14ac:dyDescent="0.25"/>
    <row r="17389" hidden="1" x14ac:dyDescent="0.25"/>
    <row r="17390" hidden="1" x14ac:dyDescent="0.25"/>
    <row r="17391" hidden="1" x14ac:dyDescent="0.25"/>
    <row r="17392" hidden="1" x14ac:dyDescent="0.25"/>
    <row r="17393" hidden="1" x14ac:dyDescent="0.25"/>
    <row r="17394" hidden="1" x14ac:dyDescent="0.25"/>
    <row r="17395" hidden="1" x14ac:dyDescent="0.25"/>
    <row r="17396" hidden="1" x14ac:dyDescent="0.25"/>
    <row r="17397" hidden="1" x14ac:dyDescent="0.25"/>
    <row r="17398" hidden="1" x14ac:dyDescent="0.25"/>
    <row r="17399" hidden="1" x14ac:dyDescent="0.25"/>
    <row r="17400" hidden="1" x14ac:dyDescent="0.25"/>
    <row r="17401" hidden="1" x14ac:dyDescent="0.25"/>
    <row r="17402" hidden="1" x14ac:dyDescent="0.25"/>
    <row r="17403" hidden="1" x14ac:dyDescent="0.25"/>
    <row r="17404" hidden="1" x14ac:dyDescent="0.25"/>
    <row r="17405" hidden="1" x14ac:dyDescent="0.25"/>
    <row r="17406" hidden="1" x14ac:dyDescent="0.25"/>
    <row r="17407" hidden="1" x14ac:dyDescent="0.25"/>
    <row r="17408" hidden="1" x14ac:dyDescent="0.25"/>
    <row r="17409" hidden="1" x14ac:dyDescent="0.25"/>
    <row r="17410" hidden="1" x14ac:dyDescent="0.25"/>
    <row r="17411" hidden="1" x14ac:dyDescent="0.25"/>
    <row r="17412" hidden="1" x14ac:dyDescent="0.25"/>
    <row r="17413" hidden="1" x14ac:dyDescent="0.25"/>
    <row r="17414" hidden="1" x14ac:dyDescent="0.25"/>
    <row r="17415" hidden="1" x14ac:dyDescent="0.25"/>
    <row r="17416" hidden="1" x14ac:dyDescent="0.25"/>
    <row r="17417" hidden="1" x14ac:dyDescent="0.25"/>
    <row r="17418" hidden="1" x14ac:dyDescent="0.25"/>
    <row r="17419" hidden="1" x14ac:dyDescent="0.25"/>
    <row r="17420" hidden="1" x14ac:dyDescent="0.25"/>
    <row r="17421" hidden="1" x14ac:dyDescent="0.25"/>
    <row r="17422" hidden="1" x14ac:dyDescent="0.25"/>
    <row r="17423" hidden="1" x14ac:dyDescent="0.25"/>
    <row r="17424" hidden="1" x14ac:dyDescent="0.25"/>
    <row r="17425" hidden="1" x14ac:dyDescent="0.25"/>
    <row r="17426" hidden="1" x14ac:dyDescent="0.25"/>
    <row r="17427" hidden="1" x14ac:dyDescent="0.25"/>
    <row r="17428" hidden="1" x14ac:dyDescent="0.25"/>
    <row r="17429" hidden="1" x14ac:dyDescent="0.25"/>
    <row r="17430" hidden="1" x14ac:dyDescent="0.25"/>
    <row r="17431" hidden="1" x14ac:dyDescent="0.25"/>
    <row r="17432" hidden="1" x14ac:dyDescent="0.25"/>
    <row r="17433" hidden="1" x14ac:dyDescent="0.25"/>
    <row r="17434" hidden="1" x14ac:dyDescent="0.25"/>
    <row r="17435" hidden="1" x14ac:dyDescent="0.25"/>
    <row r="17436" hidden="1" x14ac:dyDescent="0.25"/>
    <row r="17437" hidden="1" x14ac:dyDescent="0.25"/>
    <row r="17438" hidden="1" x14ac:dyDescent="0.25"/>
    <row r="17439" hidden="1" x14ac:dyDescent="0.25"/>
    <row r="17440" hidden="1" x14ac:dyDescent="0.25"/>
    <row r="17441" hidden="1" x14ac:dyDescent="0.25"/>
    <row r="17442" hidden="1" x14ac:dyDescent="0.25"/>
    <row r="17443" hidden="1" x14ac:dyDescent="0.25"/>
    <row r="17444" hidden="1" x14ac:dyDescent="0.25"/>
    <row r="17445" hidden="1" x14ac:dyDescent="0.25"/>
    <row r="17446" hidden="1" x14ac:dyDescent="0.25"/>
    <row r="17447" hidden="1" x14ac:dyDescent="0.25"/>
    <row r="17448" hidden="1" x14ac:dyDescent="0.25"/>
    <row r="17449" hidden="1" x14ac:dyDescent="0.25"/>
    <row r="17450" hidden="1" x14ac:dyDescent="0.25"/>
    <row r="17451" hidden="1" x14ac:dyDescent="0.25"/>
    <row r="17452" hidden="1" x14ac:dyDescent="0.25"/>
    <row r="17453" hidden="1" x14ac:dyDescent="0.25"/>
    <row r="17454" hidden="1" x14ac:dyDescent="0.25"/>
    <row r="17455" hidden="1" x14ac:dyDescent="0.25"/>
    <row r="17456" hidden="1" x14ac:dyDescent="0.25"/>
    <row r="17457" hidden="1" x14ac:dyDescent="0.25"/>
    <row r="17458" hidden="1" x14ac:dyDescent="0.25"/>
    <row r="17459" hidden="1" x14ac:dyDescent="0.25"/>
    <row r="17460" hidden="1" x14ac:dyDescent="0.25"/>
    <row r="17461" hidden="1" x14ac:dyDescent="0.25"/>
    <row r="17462" hidden="1" x14ac:dyDescent="0.25"/>
    <row r="17463" hidden="1" x14ac:dyDescent="0.25"/>
    <row r="17464" hidden="1" x14ac:dyDescent="0.25"/>
    <row r="17465" hidden="1" x14ac:dyDescent="0.25"/>
    <row r="17466" hidden="1" x14ac:dyDescent="0.25"/>
    <row r="17467" hidden="1" x14ac:dyDescent="0.25"/>
    <row r="17468" hidden="1" x14ac:dyDescent="0.25"/>
    <row r="17469" hidden="1" x14ac:dyDescent="0.25"/>
    <row r="17470" hidden="1" x14ac:dyDescent="0.25"/>
    <row r="17471" hidden="1" x14ac:dyDescent="0.25"/>
    <row r="17472" hidden="1" x14ac:dyDescent="0.25"/>
    <row r="17473" hidden="1" x14ac:dyDescent="0.25"/>
    <row r="17474" hidden="1" x14ac:dyDescent="0.25"/>
    <row r="17475" hidden="1" x14ac:dyDescent="0.25"/>
    <row r="17476" hidden="1" x14ac:dyDescent="0.25"/>
    <row r="17477" hidden="1" x14ac:dyDescent="0.25"/>
    <row r="17478" hidden="1" x14ac:dyDescent="0.25"/>
    <row r="17479" hidden="1" x14ac:dyDescent="0.25"/>
    <row r="17480" hidden="1" x14ac:dyDescent="0.25"/>
    <row r="17481" hidden="1" x14ac:dyDescent="0.25"/>
    <row r="17482" hidden="1" x14ac:dyDescent="0.25"/>
    <row r="17483" hidden="1" x14ac:dyDescent="0.25"/>
    <row r="17484" hidden="1" x14ac:dyDescent="0.25"/>
    <row r="17485" hidden="1" x14ac:dyDescent="0.25"/>
    <row r="17486" hidden="1" x14ac:dyDescent="0.25"/>
    <row r="17487" hidden="1" x14ac:dyDescent="0.25"/>
    <row r="17488" hidden="1" x14ac:dyDescent="0.25"/>
    <row r="17489" hidden="1" x14ac:dyDescent="0.25"/>
    <row r="17490" hidden="1" x14ac:dyDescent="0.25"/>
    <row r="17491" hidden="1" x14ac:dyDescent="0.25"/>
    <row r="17492" hidden="1" x14ac:dyDescent="0.25"/>
    <row r="17493" hidden="1" x14ac:dyDescent="0.25"/>
    <row r="17494" hidden="1" x14ac:dyDescent="0.25"/>
    <row r="17495" hidden="1" x14ac:dyDescent="0.25"/>
    <row r="17496" hidden="1" x14ac:dyDescent="0.25"/>
    <row r="17497" hidden="1" x14ac:dyDescent="0.25"/>
    <row r="17498" hidden="1" x14ac:dyDescent="0.25"/>
    <row r="17499" hidden="1" x14ac:dyDescent="0.25"/>
    <row r="17500" hidden="1" x14ac:dyDescent="0.25"/>
    <row r="17501" hidden="1" x14ac:dyDescent="0.25"/>
    <row r="17502" hidden="1" x14ac:dyDescent="0.25"/>
    <row r="17503" hidden="1" x14ac:dyDescent="0.25"/>
    <row r="17504" hidden="1" x14ac:dyDescent="0.25"/>
    <row r="17505" hidden="1" x14ac:dyDescent="0.25"/>
    <row r="17506" hidden="1" x14ac:dyDescent="0.25"/>
    <row r="17507" hidden="1" x14ac:dyDescent="0.25"/>
    <row r="17508" hidden="1" x14ac:dyDescent="0.25"/>
    <row r="17509" hidden="1" x14ac:dyDescent="0.25"/>
    <row r="17510" hidden="1" x14ac:dyDescent="0.25"/>
    <row r="17511" hidden="1" x14ac:dyDescent="0.25"/>
    <row r="17512" hidden="1" x14ac:dyDescent="0.25"/>
    <row r="17513" hidden="1" x14ac:dyDescent="0.25"/>
    <row r="17514" hidden="1" x14ac:dyDescent="0.25"/>
    <row r="17515" hidden="1" x14ac:dyDescent="0.25"/>
    <row r="17516" hidden="1" x14ac:dyDescent="0.25"/>
    <row r="17517" hidden="1" x14ac:dyDescent="0.25"/>
    <row r="17518" hidden="1" x14ac:dyDescent="0.25"/>
    <row r="17519" hidden="1" x14ac:dyDescent="0.25"/>
    <row r="17520" hidden="1" x14ac:dyDescent="0.25"/>
    <row r="17521" hidden="1" x14ac:dyDescent="0.25"/>
    <row r="17522" hidden="1" x14ac:dyDescent="0.25"/>
    <row r="17523" hidden="1" x14ac:dyDescent="0.25"/>
    <row r="17524" hidden="1" x14ac:dyDescent="0.25"/>
    <row r="17525" hidden="1" x14ac:dyDescent="0.25"/>
    <row r="17526" hidden="1" x14ac:dyDescent="0.25"/>
    <row r="17527" hidden="1" x14ac:dyDescent="0.25"/>
    <row r="17528" hidden="1" x14ac:dyDescent="0.25"/>
    <row r="17529" hidden="1" x14ac:dyDescent="0.25"/>
    <row r="17530" hidden="1" x14ac:dyDescent="0.25"/>
    <row r="17531" hidden="1" x14ac:dyDescent="0.25"/>
    <row r="17532" hidden="1" x14ac:dyDescent="0.25"/>
    <row r="17533" hidden="1" x14ac:dyDescent="0.25"/>
    <row r="17534" hidden="1" x14ac:dyDescent="0.25"/>
    <row r="17535" hidden="1" x14ac:dyDescent="0.25"/>
    <row r="17536" hidden="1" x14ac:dyDescent="0.25"/>
    <row r="17537" hidden="1" x14ac:dyDescent="0.25"/>
    <row r="17538" hidden="1" x14ac:dyDescent="0.25"/>
    <row r="17539" hidden="1" x14ac:dyDescent="0.25"/>
    <row r="17540" hidden="1" x14ac:dyDescent="0.25"/>
    <row r="17541" hidden="1" x14ac:dyDescent="0.25"/>
    <row r="17542" hidden="1" x14ac:dyDescent="0.25"/>
    <row r="17543" hidden="1" x14ac:dyDescent="0.25"/>
    <row r="17544" hidden="1" x14ac:dyDescent="0.25"/>
    <row r="17545" hidden="1" x14ac:dyDescent="0.25"/>
    <row r="17546" hidden="1" x14ac:dyDescent="0.25"/>
    <row r="17547" hidden="1" x14ac:dyDescent="0.25"/>
    <row r="17548" hidden="1" x14ac:dyDescent="0.25"/>
    <row r="17549" hidden="1" x14ac:dyDescent="0.25"/>
    <row r="17550" hidden="1" x14ac:dyDescent="0.25"/>
    <row r="17551" hidden="1" x14ac:dyDescent="0.25"/>
    <row r="17552" hidden="1" x14ac:dyDescent="0.25"/>
    <row r="17553" hidden="1" x14ac:dyDescent="0.25"/>
    <row r="17554" hidden="1" x14ac:dyDescent="0.25"/>
    <row r="17555" hidden="1" x14ac:dyDescent="0.25"/>
    <row r="17556" hidden="1" x14ac:dyDescent="0.25"/>
    <row r="17557" hidden="1" x14ac:dyDescent="0.25"/>
    <row r="17558" hidden="1" x14ac:dyDescent="0.25"/>
    <row r="17559" hidden="1" x14ac:dyDescent="0.25"/>
    <row r="17560" hidden="1" x14ac:dyDescent="0.25"/>
    <row r="17561" hidden="1" x14ac:dyDescent="0.25"/>
    <row r="17562" hidden="1" x14ac:dyDescent="0.25"/>
    <row r="17563" hidden="1" x14ac:dyDescent="0.25"/>
    <row r="17564" hidden="1" x14ac:dyDescent="0.25"/>
    <row r="17565" hidden="1" x14ac:dyDescent="0.25"/>
    <row r="17566" hidden="1" x14ac:dyDescent="0.25"/>
    <row r="17567" hidden="1" x14ac:dyDescent="0.25"/>
    <row r="17568" hidden="1" x14ac:dyDescent="0.25"/>
    <row r="17569" hidden="1" x14ac:dyDescent="0.25"/>
    <row r="17570" hidden="1" x14ac:dyDescent="0.25"/>
    <row r="17571" hidden="1" x14ac:dyDescent="0.25"/>
    <row r="17572" hidden="1" x14ac:dyDescent="0.25"/>
    <row r="17573" hidden="1" x14ac:dyDescent="0.25"/>
    <row r="17574" hidden="1" x14ac:dyDescent="0.25"/>
    <row r="17575" hidden="1" x14ac:dyDescent="0.25"/>
    <row r="17576" hidden="1" x14ac:dyDescent="0.25"/>
    <row r="17577" hidden="1" x14ac:dyDescent="0.25"/>
    <row r="17578" hidden="1" x14ac:dyDescent="0.25"/>
    <row r="17579" hidden="1" x14ac:dyDescent="0.25"/>
    <row r="17580" hidden="1" x14ac:dyDescent="0.25"/>
    <row r="17581" hidden="1" x14ac:dyDescent="0.25"/>
    <row r="17582" hidden="1" x14ac:dyDescent="0.25"/>
    <row r="17583" hidden="1" x14ac:dyDescent="0.25"/>
    <row r="17584" hidden="1" x14ac:dyDescent="0.25"/>
    <row r="17585" hidden="1" x14ac:dyDescent="0.25"/>
    <row r="17586" hidden="1" x14ac:dyDescent="0.25"/>
    <row r="17587" hidden="1" x14ac:dyDescent="0.25"/>
    <row r="17588" hidden="1" x14ac:dyDescent="0.25"/>
    <row r="17589" hidden="1" x14ac:dyDescent="0.25"/>
    <row r="17590" hidden="1" x14ac:dyDescent="0.25"/>
    <row r="17591" hidden="1" x14ac:dyDescent="0.25"/>
    <row r="17592" hidden="1" x14ac:dyDescent="0.25"/>
    <row r="17593" hidden="1" x14ac:dyDescent="0.25"/>
    <row r="17594" hidden="1" x14ac:dyDescent="0.25"/>
    <row r="17595" hidden="1" x14ac:dyDescent="0.25"/>
    <row r="17596" hidden="1" x14ac:dyDescent="0.25"/>
    <row r="17597" hidden="1" x14ac:dyDescent="0.25"/>
    <row r="17598" hidden="1" x14ac:dyDescent="0.25"/>
    <row r="17599" hidden="1" x14ac:dyDescent="0.25"/>
    <row r="17600" hidden="1" x14ac:dyDescent="0.25"/>
    <row r="17601" hidden="1" x14ac:dyDescent="0.25"/>
    <row r="17602" hidden="1" x14ac:dyDescent="0.25"/>
    <row r="17603" hidden="1" x14ac:dyDescent="0.25"/>
    <row r="17604" hidden="1" x14ac:dyDescent="0.25"/>
    <row r="17605" hidden="1" x14ac:dyDescent="0.25"/>
    <row r="17606" hidden="1" x14ac:dyDescent="0.25"/>
    <row r="17607" hidden="1" x14ac:dyDescent="0.25"/>
    <row r="17608" hidden="1" x14ac:dyDescent="0.25"/>
    <row r="17609" hidden="1" x14ac:dyDescent="0.25"/>
    <row r="17610" hidden="1" x14ac:dyDescent="0.25"/>
    <row r="17611" hidden="1" x14ac:dyDescent="0.25"/>
    <row r="17612" hidden="1" x14ac:dyDescent="0.25"/>
    <row r="17613" hidden="1" x14ac:dyDescent="0.25"/>
    <row r="17614" hidden="1" x14ac:dyDescent="0.25"/>
    <row r="17615" hidden="1" x14ac:dyDescent="0.25"/>
    <row r="17616" hidden="1" x14ac:dyDescent="0.25"/>
    <row r="17617" hidden="1" x14ac:dyDescent="0.25"/>
    <row r="17618" hidden="1" x14ac:dyDescent="0.25"/>
    <row r="17619" hidden="1" x14ac:dyDescent="0.25"/>
    <row r="17620" hidden="1" x14ac:dyDescent="0.25"/>
    <row r="17621" hidden="1" x14ac:dyDescent="0.25"/>
    <row r="17622" hidden="1" x14ac:dyDescent="0.25"/>
    <row r="17623" hidden="1" x14ac:dyDescent="0.25"/>
    <row r="17624" hidden="1" x14ac:dyDescent="0.25"/>
    <row r="17625" hidden="1" x14ac:dyDescent="0.25"/>
    <row r="17626" hidden="1" x14ac:dyDescent="0.25"/>
    <row r="17627" hidden="1" x14ac:dyDescent="0.25"/>
    <row r="17628" hidden="1" x14ac:dyDescent="0.25"/>
    <row r="17629" hidden="1" x14ac:dyDescent="0.25"/>
    <row r="17630" hidden="1" x14ac:dyDescent="0.25"/>
    <row r="17631" hidden="1" x14ac:dyDescent="0.25"/>
    <row r="17632" hidden="1" x14ac:dyDescent="0.25"/>
    <row r="17633" hidden="1" x14ac:dyDescent="0.25"/>
    <row r="17634" hidden="1" x14ac:dyDescent="0.25"/>
    <row r="17635" hidden="1" x14ac:dyDescent="0.25"/>
    <row r="17636" hidden="1" x14ac:dyDescent="0.25"/>
    <row r="17637" hidden="1" x14ac:dyDescent="0.25"/>
    <row r="17638" hidden="1" x14ac:dyDescent="0.25"/>
    <row r="17639" hidden="1" x14ac:dyDescent="0.25"/>
    <row r="17640" hidden="1" x14ac:dyDescent="0.25"/>
    <row r="17641" hidden="1" x14ac:dyDescent="0.25"/>
    <row r="17642" hidden="1" x14ac:dyDescent="0.25"/>
    <row r="17643" hidden="1" x14ac:dyDescent="0.25"/>
    <row r="17644" hidden="1" x14ac:dyDescent="0.25"/>
    <row r="17645" hidden="1" x14ac:dyDescent="0.25"/>
    <row r="17646" hidden="1" x14ac:dyDescent="0.25"/>
    <row r="17647" hidden="1" x14ac:dyDescent="0.25"/>
    <row r="17648" hidden="1" x14ac:dyDescent="0.25"/>
    <row r="17649" hidden="1" x14ac:dyDescent="0.25"/>
    <row r="17650" hidden="1" x14ac:dyDescent="0.25"/>
    <row r="17651" hidden="1" x14ac:dyDescent="0.25"/>
    <row r="17652" hidden="1" x14ac:dyDescent="0.25"/>
    <row r="17653" hidden="1" x14ac:dyDescent="0.25"/>
    <row r="17654" hidden="1" x14ac:dyDescent="0.25"/>
    <row r="17655" hidden="1" x14ac:dyDescent="0.25"/>
    <row r="17656" hidden="1" x14ac:dyDescent="0.25"/>
    <row r="17657" hidden="1" x14ac:dyDescent="0.25"/>
    <row r="17658" hidden="1" x14ac:dyDescent="0.25"/>
    <row r="17659" hidden="1" x14ac:dyDescent="0.25"/>
    <row r="17660" hidden="1" x14ac:dyDescent="0.25"/>
    <row r="17661" hidden="1" x14ac:dyDescent="0.25"/>
    <row r="17662" hidden="1" x14ac:dyDescent="0.25"/>
    <row r="17663" hidden="1" x14ac:dyDescent="0.25"/>
    <row r="17664" hidden="1" x14ac:dyDescent="0.25"/>
    <row r="17665" hidden="1" x14ac:dyDescent="0.25"/>
    <row r="17666" hidden="1" x14ac:dyDescent="0.25"/>
    <row r="17667" hidden="1" x14ac:dyDescent="0.25"/>
    <row r="17668" hidden="1" x14ac:dyDescent="0.25"/>
    <row r="17669" hidden="1" x14ac:dyDescent="0.25"/>
    <row r="17670" hidden="1" x14ac:dyDescent="0.25"/>
    <row r="17671" hidden="1" x14ac:dyDescent="0.25"/>
    <row r="17672" hidden="1" x14ac:dyDescent="0.25"/>
    <row r="17673" hidden="1" x14ac:dyDescent="0.25"/>
    <row r="17674" hidden="1" x14ac:dyDescent="0.25"/>
    <row r="17675" hidden="1" x14ac:dyDescent="0.25"/>
    <row r="17676" hidden="1" x14ac:dyDescent="0.25"/>
    <row r="17677" hidden="1" x14ac:dyDescent="0.25"/>
    <row r="17678" hidden="1" x14ac:dyDescent="0.25"/>
    <row r="17679" hidden="1" x14ac:dyDescent="0.25"/>
    <row r="17680" hidden="1" x14ac:dyDescent="0.25"/>
    <row r="17681" hidden="1" x14ac:dyDescent="0.25"/>
    <row r="17682" hidden="1" x14ac:dyDescent="0.25"/>
    <row r="17683" hidden="1" x14ac:dyDescent="0.25"/>
    <row r="17684" hidden="1" x14ac:dyDescent="0.25"/>
    <row r="17685" hidden="1" x14ac:dyDescent="0.25"/>
    <row r="17686" hidden="1" x14ac:dyDescent="0.25"/>
    <row r="17687" hidden="1" x14ac:dyDescent="0.25"/>
    <row r="17688" hidden="1" x14ac:dyDescent="0.25"/>
    <row r="17689" hidden="1" x14ac:dyDescent="0.25"/>
    <row r="17690" hidden="1" x14ac:dyDescent="0.25"/>
    <row r="17691" hidden="1" x14ac:dyDescent="0.25"/>
    <row r="17692" hidden="1" x14ac:dyDescent="0.25"/>
    <row r="17693" hidden="1" x14ac:dyDescent="0.25"/>
    <row r="17694" hidden="1" x14ac:dyDescent="0.25"/>
    <row r="17695" hidden="1" x14ac:dyDescent="0.25"/>
    <row r="17696" hidden="1" x14ac:dyDescent="0.25"/>
    <row r="17697" hidden="1" x14ac:dyDescent="0.25"/>
    <row r="17698" hidden="1" x14ac:dyDescent="0.25"/>
    <row r="17699" hidden="1" x14ac:dyDescent="0.25"/>
    <row r="17700" hidden="1" x14ac:dyDescent="0.25"/>
    <row r="17701" hidden="1" x14ac:dyDescent="0.25"/>
    <row r="17702" hidden="1" x14ac:dyDescent="0.25"/>
    <row r="17703" hidden="1" x14ac:dyDescent="0.25"/>
    <row r="17704" hidden="1" x14ac:dyDescent="0.25"/>
    <row r="17705" hidden="1" x14ac:dyDescent="0.25"/>
    <row r="17706" hidden="1" x14ac:dyDescent="0.25"/>
    <row r="17707" hidden="1" x14ac:dyDescent="0.25"/>
    <row r="17708" hidden="1" x14ac:dyDescent="0.25"/>
    <row r="17709" hidden="1" x14ac:dyDescent="0.25"/>
    <row r="17710" hidden="1" x14ac:dyDescent="0.25"/>
    <row r="17711" hidden="1" x14ac:dyDescent="0.25"/>
    <row r="17712" hidden="1" x14ac:dyDescent="0.25"/>
    <row r="17713" hidden="1" x14ac:dyDescent="0.25"/>
    <row r="17714" hidden="1" x14ac:dyDescent="0.25"/>
    <row r="17715" hidden="1" x14ac:dyDescent="0.25"/>
    <row r="17716" hidden="1" x14ac:dyDescent="0.25"/>
    <row r="17717" hidden="1" x14ac:dyDescent="0.25"/>
    <row r="17718" hidden="1" x14ac:dyDescent="0.25"/>
    <row r="17719" hidden="1" x14ac:dyDescent="0.25"/>
    <row r="17720" hidden="1" x14ac:dyDescent="0.25"/>
    <row r="17721" hidden="1" x14ac:dyDescent="0.25"/>
    <row r="17722" hidden="1" x14ac:dyDescent="0.25"/>
    <row r="17723" hidden="1" x14ac:dyDescent="0.25"/>
    <row r="17724" hidden="1" x14ac:dyDescent="0.25"/>
    <row r="17725" hidden="1" x14ac:dyDescent="0.25"/>
    <row r="17726" hidden="1" x14ac:dyDescent="0.25"/>
    <row r="17727" hidden="1" x14ac:dyDescent="0.25"/>
    <row r="17728" hidden="1" x14ac:dyDescent="0.25"/>
    <row r="17729" hidden="1" x14ac:dyDescent="0.25"/>
    <row r="17730" hidden="1" x14ac:dyDescent="0.25"/>
    <row r="17731" hidden="1" x14ac:dyDescent="0.25"/>
    <row r="17732" hidden="1" x14ac:dyDescent="0.25"/>
    <row r="17733" hidden="1" x14ac:dyDescent="0.25"/>
    <row r="17734" hidden="1" x14ac:dyDescent="0.25"/>
    <row r="17735" hidden="1" x14ac:dyDescent="0.25"/>
    <row r="17736" hidden="1" x14ac:dyDescent="0.25"/>
    <row r="17737" hidden="1" x14ac:dyDescent="0.25"/>
    <row r="17738" hidden="1" x14ac:dyDescent="0.25"/>
    <row r="17739" hidden="1" x14ac:dyDescent="0.25"/>
    <row r="17740" hidden="1" x14ac:dyDescent="0.25"/>
    <row r="17741" hidden="1" x14ac:dyDescent="0.25"/>
    <row r="17742" hidden="1" x14ac:dyDescent="0.25"/>
    <row r="17743" hidden="1" x14ac:dyDescent="0.25"/>
    <row r="17744" hidden="1" x14ac:dyDescent="0.25"/>
    <row r="17745" hidden="1" x14ac:dyDescent="0.25"/>
    <row r="17746" hidden="1" x14ac:dyDescent="0.25"/>
    <row r="17747" hidden="1" x14ac:dyDescent="0.25"/>
    <row r="17748" hidden="1" x14ac:dyDescent="0.25"/>
    <row r="17749" hidden="1" x14ac:dyDescent="0.25"/>
    <row r="17750" hidden="1" x14ac:dyDescent="0.25"/>
    <row r="17751" hidden="1" x14ac:dyDescent="0.25"/>
    <row r="17752" hidden="1" x14ac:dyDescent="0.25"/>
    <row r="17753" hidden="1" x14ac:dyDescent="0.25"/>
    <row r="17754" hidden="1" x14ac:dyDescent="0.25"/>
    <row r="17755" hidden="1" x14ac:dyDescent="0.25"/>
    <row r="17756" hidden="1" x14ac:dyDescent="0.25"/>
    <row r="17757" hidden="1" x14ac:dyDescent="0.25"/>
    <row r="17758" hidden="1" x14ac:dyDescent="0.25"/>
    <row r="17759" hidden="1" x14ac:dyDescent="0.25"/>
    <row r="17760" hidden="1" x14ac:dyDescent="0.25"/>
    <row r="17761" hidden="1" x14ac:dyDescent="0.25"/>
    <row r="17762" hidden="1" x14ac:dyDescent="0.25"/>
    <row r="17763" hidden="1" x14ac:dyDescent="0.25"/>
    <row r="17764" hidden="1" x14ac:dyDescent="0.25"/>
    <row r="17765" hidden="1" x14ac:dyDescent="0.25"/>
    <row r="17766" hidden="1" x14ac:dyDescent="0.25"/>
    <row r="17767" hidden="1" x14ac:dyDescent="0.25"/>
    <row r="17768" hidden="1" x14ac:dyDescent="0.25"/>
    <row r="17769" hidden="1" x14ac:dyDescent="0.25"/>
    <row r="17770" hidden="1" x14ac:dyDescent="0.25"/>
    <row r="17771" hidden="1" x14ac:dyDescent="0.25"/>
    <row r="17772" hidden="1" x14ac:dyDescent="0.25"/>
    <row r="17773" hidden="1" x14ac:dyDescent="0.25"/>
    <row r="17774" hidden="1" x14ac:dyDescent="0.25"/>
    <row r="17775" hidden="1" x14ac:dyDescent="0.25"/>
    <row r="17776" hidden="1" x14ac:dyDescent="0.25"/>
    <row r="17777" hidden="1" x14ac:dyDescent="0.25"/>
    <row r="17778" hidden="1" x14ac:dyDescent="0.25"/>
    <row r="17779" hidden="1" x14ac:dyDescent="0.25"/>
    <row r="17780" hidden="1" x14ac:dyDescent="0.25"/>
    <row r="17781" hidden="1" x14ac:dyDescent="0.25"/>
    <row r="17782" hidden="1" x14ac:dyDescent="0.25"/>
    <row r="17783" hidden="1" x14ac:dyDescent="0.25"/>
    <row r="17784" hidden="1" x14ac:dyDescent="0.25"/>
    <row r="17785" hidden="1" x14ac:dyDescent="0.25"/>
    <row r="17786" hidden="1" x14ac:dyDescent="0.25"/>
    <row r="17787" hidden="1" x14ac:dyDescent="0.25"/>
    <row r="17788" hidden="1" x14ac:dyDescent="0.25"/>
    <row r="17789" hidden="1" x14ac:dyDescent="0.25"/>
    <row r="17790" hidden="1" x14ac:dyDescent="0.25"/>
    <row r="17791" hidden="1" x14ac:dyDescent="0.25"/>
    <row r="17792" hidden="1" x14ac:dyDescent="0.25"/>
    <row r="17793" hidden="1" x14ac:dyDescent="0.25"/>
    <row r="17794" hidden="1" x14ac:dyDescent="0.25"/>
    <row r="17795" hidden="1" x14ac:dyDescent="0.25"/>
    <row r="17796" hidden="1" x14ac:dyDescent="0.25"/>
    <row r="17797" hidden="1" x14ac:dyDescent="0.25"/>
    <row r="17798" hidden="1" x14ac:dyDescent="0.25"/>
    <row r="17799" hidden="1" x14ac:dyDescent="0.25"/>
    <row r="17800" hidden="1" x14ac:dyDescent="0.25"/>
    <row r="17801" hidden="1" x14ac:dyDescent="0.25"/>
    <row r="17802" hidden="1" x14ac:dyDescent="0.25"/>
    <row r="17803" hidden="1" x14ac:dyDescent="0.25"/>
    <row r="17804" hidden="1" x14ac:dyDescent="0.25"/>
    <row r="17805" hidden="1" x14ac:dyDescent="0.25"/>
    <row r="17806" hidden="1" x14ac:dyDescent="0.25"/>
    <row r="17807" hidden="1" x14ac:dyDescent="0.25"/>
    <row r="17808" hidden="1" x14ac:dyDescent="0.25"/>
    <row r="17809" hidden="1" x14ac:dyDescent="0.25"/>
    <row r="17810" hidden="1" x14ac:dyDescent="0.25"/>
    <row r="17811" hidden="1" x14ac:dyDescent="0.25"/>
    <row r="17812" hidden="1" x14ac:dyDescent="0.25"/>
    <row r="17813" hidden="1" x14ac:dyDescent="0.25"/>
    <row r="17814" hidden="1" x14ac:dyDescent="0.25"/>
    <row r="17815" hidden="1" x14ac:dyDescent="0.25"/>
    <row r="17816" hidden="1" x14ac:dyDescent="0.25"/>
    <row r="17817" hidden="1" x14ac:dyDescent="0.25"/>
    <row r="17818" hidden="1" x14ac:dyDescent="0.25"/>
    <row r="17819" hidden="1" x14ac:dyDescent="0.25"/>
    <row r="17820" hidden="1" x14ac:dyDescent="0.25"/>
    <row r="17821" hidden="1" x14ac:dyDescent="0.25"/>
    <row r="17822" hidden="1" x14ac:dyDescent="0.25"/>
    <row r="17823" hidden="1" x14ac:dyDescent="0.25"/>
    <row r="17824" hidden="1" x14ac:dyDescent="0.25"/>
    <row r="17825" hidden="1" x14ac:dyDescent="0.25"/>
    <row r="17826" hidden="1" x14ac:dyDescent="0.25"/>
    <row r="17827" hidden="1" x14ac:dyDescent="0.25"/>
    <row r="17828" hidden="1" x14ac:dyDescent="0.25"/>
    <row r="17829" hidden="1" x14ac:dyDescent="0.25"/>
    <row r="17830" hidden="1" x14ac:dyDescent="0.25"/>
    <row r="17831" hidden="1" x14ac:dyDescent="0.25"/>
    <row r="17832" hidden="1" x14ac:dyDescent="0.25"/>
    <row r="17833" hidden="1" x14ac:dyDescent="0.25"/>
    <row r="17834" hidden="1" x14ac:dyDescent="0.25"/>
    <row r="17835" hidden="1" x14ac:dyDescent="0.25"/>
    <row r="17836" hidden="1" x14ac:dyDescent="0.25"/>
    <row r="17837" hidden="1" x14ac:dyDescent="0.25"/>
    <row r="17838" hidden="1" x14ac:dyDescent="0.25"/>
    <row r="17839" hidden="1" x14ac:dyDescent="0.25"/>
    <row r="17840" hidden="1" x14ac:dyDescent="0.25"/>
    <row r="17841" hidden="1" x14ac:dyDescent="0.25"/>
    <row r="17842" hidden="1" x14ac:dyDescent="0.25"/>
    <row r="17843" hidden="1" x14ac:dyDescent="0.25"/>
    <row r="17844" hidden="1" x14ac:dyDescent="0.25"/>
    <row r="17845" hidden="1" x14ac:dyDescent="0.25"/>
    <row r="17846" hidden="1" x14ac:dyDescent="0.25"/>
    <row r="17847" hidden="1" x14ac:dyDescent="0.25"/>
    <row r="17848" hidden="1" x14ac:dyDescent="0.25"/>
    <row r="17849" hidden="1" x14ac:dyDescent="0.25"/>
    <row r="17850" hidden="1" x14ac:dyDescent="0.25"/>
    <row r="17851" hidden="1" x14ac:dyDescent="0.25"/>
    <row r="17852" hidden="1" x14ac:dyDescent="0.25"/>
    <row r="17853" hidden="1" x14ac:dyDescent="0.25"/>
    <row r="17854" hidden="1" x14ac:dyDescent="0.25"/>
    <row r="17855" hidden="1" x14ac:dyDescent="0.25"/>
    <row r="17856" hidden="1" x14ac:dyDescent="0.25"/>
    <row r="17857" hidden="1" x14ac:dyDescent="0.25"/>
    <row r="17858" hidden="1" x14ac:dyDescent="0.25"/>
    <row r="17859" hidden="1" x14ac:dyDescent="0.25"/>
    <row r="17860" hidden="1" x14ac:dyDescent="0.25"/>
    <row r="17861" hidden="1" x14ac:dyDescent="0.25"/>
    <row r="17862" hidden="1" x14ac:dyDescent="0.25"/>
    <row r="17863" hidden="1" x14ac:dyDescent="0.25"/>
    <row r="17864" hidden="1" x14ac:dyDescent="0.25"/>
    <row r="17865" hidden="1" x14ac:dyDescent="0.25"/>
    <row r="17866" hidden="1" x14ac:dyDescent="0.25"/>
    <row r="17867" hidden="1" x14ac:dyDescent="0.25"/>
    <row r="17868" hidden="1" x14ac:dyDescent="0.25"/>
    <row r="17869" hidden="1" x14ac:dyDescent="0.25"/>
    <row r="17870" hidden="1" x14ac:dyDescent="0.25"/>
    <row r="17871" hidden="1" x14ac:dyDescent="0.25"/>
    <row r="17872" hidden="1" x14ac:dyDescent="0.25"/>
    <row r="17873" hidden="1" x14ac:dyDescent="0.25"/>
    <row r="17874" hidden="1" x14ac:dyDescent="0.25"/>
    <row r="17875" hidden="1" x14ac:dyDescent="0.25"/>
    <row r="17876" hidden="1" x14ac:dyDescent="0.25"/>
    <row r="17877" hidden="1" x14ac:dyDescent="0.25"/>
    <row r="17878" hidden="1" x14ac:dyDescent="0.25"/>
    <row r="17879" hidden="1" x14ac:dyDescent="0.25"/>
    <row r="17880" hidden="1" x14ac:dyDescent="0.25"/>
    <row r="17881" hidden="1" x14ac:dyDescent="0.25"/>
    <row r="17882" hidden="1" x14ac:dyDescent="0.25"/>
    <row r="17883" hidden="1" x14ac:dyDescent="0.25"/>
    <row r="17884" hidden="1" x14ac:dyDescent="0.25"/>
    <row r="17885" hidden="1" x14ac:dyDescent="0.25"/>
    <row r="17886" hidden="1" x14ac:dyDescent="0.25"/>
    <row r="17887" hidden="1" x14ac:dyDescent="0.25"/>
    <row r="17888" hidden="1" x14ac:dyDescent="0.25"/>
    <row r="17889" hidden="1" x14ac:dyDescent="0.25"/>
    <row r="17890" hidden="1" x14ac:dyDescent="0.25"/>
    <row r="17891" hidden="1" x14ac:dyDescent="0.25"/>
    <row r="17892" hidden="1" x14ac:dyDescent="0.25"/>
    <row r="17893" hidden="1" x14ac:dyDescent="0.25"/>
    <row r="17894" hidden="1" x14ac:dyDescent="0.25"/>
    <row r="17895" hidden="1" x14ac:dyDescent="0.25"/>
    <row r="17896" hidden="1" x14ac:dyDescent="0.25"/>
    <row r="17897" hidden="1" x14ac:dyDescent="0.25"/>
    <row r="17898" hidden="1" x14ac:dyDescent="0.25"/>
    <row r="17899" hidden="1" x14ac:dyDescent="0.25"/>
    <row r="17900" hidden="1" x14ac:dyDescent="0.25"/>
    <row r="17901" hidden="1" x14ac:dyDescent="0.25"/>
    <row r="17902" hidden="1" x14ac:dyDescent="0.25"/>
    <row r="17903" hidden="1" x14ac:dyDescent="0.25"/>
    <row r="17904" hidden="1" x14ac:dyDescent="0.25"/>
    <row r="17905" hidden="1" x14ac:dyDescent="0.25"/>
    <row r="17906" hidden="1" x14ac:dyDescent="0.25"/>
    <row r="17907" hidden="1" x14ac:dyDescent="0.25"/>
    <row r="17908" hidden="1" x14ac:dyDescent="0.25"/>
    <row r="17909" hidden="1" x14ac:dyDescent="0.25"/>
    <row r="17910" hidden="1" x14ac:dyDescent="0.25"/>
    <row r="17911" hidden="1" x14ac:dyDescent="0.25"/>
    <row r="17912" hidden="1" x14ac:dyDescent="0.25"/>
    <row r="17913" hidden="1" x14ac:dyDescent="0.25"/>
    <row r="17914" hidden="1" x14ac:dyDescent="0.25"/>
    <row r="17915" hidden="1" x14ac:dyDescent="0.25"/>
    <row r="17916" hidden="1" x14ac:dyDescent="0.25"/>
    <row r="17917" hidden="1" x14ac:dyDescent="0.25"/>
    <row r="17918" hidden="1" x14ac:dyDescent="0.25"/>
    <row r="17919" hidden="1" x14ac:dyDescent="0.25"/>
    <row r="17920" hidden="1" x14ac:dyDescent="0.25"/>
    <row r="17921" hidden="1" x14ac:dyDescent="0.25"/>
    <row r="17922" hidden="1" x14ac:dyDescent="0.25"/>
    <row r="17923" hidden="1" x14ac:dyDescent="0.25"/>
    <row r="17924" hidden="1" x14ac:dyDescent="0.25"/>
    <row r="17925" hidden="1" x14ac:dyDescent="0.25"/>
    <row r="17926" hidden="1" x14ac:dyDescent="0.25"/>
    <row r="17927" hidden="1" x14ac:dyDescent="0.25"/>
    <row r="17928" hidden="1" x14ac:dyDescent="0.25"/>
    <row r="17929" hidden="1" x14ac:dyDescent="0.25"/>
    <row r="17930" hidden="1" x14ac:dyDescent="0.25"/>
    <row r="17931" hidden="1" x14ac:dyDescent="0.25"/>
    <row r="17932" hidden="1" x14ac:dyDescent="0.25"/>
    <row r="17933" hidden="1" x14ac:dyDescent="0.25"/>
    <row r="17934" hidden="1" x14ac:dyDescent="0.25"/>
    <row r="17935" hidden="1" x14ac:dyDescent="0.25"/>
    <row r="17936" hidden="1" x14ac:dyDescent="0.25"/>
    <row r="17937" hidden="1" x14ac:dyDescent="0.25"/>
    <row r="17938" hidden="1" x14ac:dyDescent="0.25"/>
    <row r="17939" hidden="1" x14ac:dyDescent="0.25"/>
    <row r="17940" hidden="1" x14ac:dyDescent="0.25"/>
    <row r="17941" hidden="1" x14ac:dyDescent="0.25"/>
    <row r="17942" hidden="1" x14ac:dyDescent="0.25"/>
    <row r="17943" hidden="1" x14ac:dyDescent="0.25"/>
    <row r="17944" hidden="1" x14ac:dyDescent="0.25"/>
    <row r="17945" hidden="1" x14ac:dyDescent="0.25"/>
    <row r="17946" hidden="1" x14ac:dyDescent="0.25"/>
    <row r="17947" hidden="1" x14ac:dyDescent="0.25"/>
    <row r="17948" hidden="1" x14ac:dyDescent="0.25"/>
    <row r="17949" hidden="1" x14ac:dyDescent="0.25"/>
    <row r="17950" hidden="1" x14ac:dyDescent="0.25"/>
    <row r="17951" hidden="1" x14ac:dyDescent="0.25"/>
    <row r="17952" hidden="1" x14ac:dyDescent="0.25"/>
    <row r="17953" hidden="1" x14ac:dyDescent="0.25"/>
    <row r="17954" hidden="1" x14ac:dyDescent="0.25"/>
    <row r="17955" hidden="1" x14ac:dyDescent="0.25"/>
    <row r="17956" hidden="1" x14ac:dyDescent="0.25"/>
    <row r="17957" hidden="1" x14ac:dyDescent="0.25"/>
    <row r="17958" hidden="1" x14ac:dyDescent="0.25"/>
    <row r="17959" hidden="1" x14ac:dyDescent="0.25"/>
    <row r="17960" hidden="1" x14ac:dyDescent="0.25"/>
    <row r="17961" hidden="1" x14ac:dyDescent="0.25"/>
    <row r="17962" hidden="1" x14ac:dyDescent="0.25"/>
    <row r="17963" hidden="1" x14ac:dyDescent="0.25"/>
    <row r="17964" hidden="1" x14ac:dyDescent="0.25"/>
    <row r="17965" hidden="1" x14ac:dyDescent="0.25"/>
    <row r="17966" hidden="1" x14ac:dyDescent="0.25"/>
    <row r="17967" hidden="1" x14ac:dyDescent="0.25"/>
    <row r="17968" hidden="1" x14ac:dyDescent="0.25"/>
    <row r="17969" hidden="1" x14ac:dyDescent="0.25"/>
    <row r="17970" hidden="1" x14ac:dyDescent="0.25"/>
    <row r="17971" hidden="1" x14ac:dyDescent="0.25"/>
    <row r="17972" hidden="1" x14ac:dyDescent="0.25"/>
    <row r="17973" hidden="1" x14ac:dyDescent="0.25"/>
    <row r="17974" hidden="1" x14ac:dyDescent="0.25"/>
    <row r="17975" hidden="1" x14ac:dyDescent="0.25"/>
    <row r="17976" hidden="1" x14ac:dyDescent="0.25"/>
    <row r="17977" hidden="1" x14ac:dyDescent="0.25"/>
    <row r="17978" hidden="1" x14ac:dyDescent="0.25"/>
    <row r="17979" hidden="1" x14ac:dyDescent="0.25"/>
    <row r="17980" hidden="1" x14ac:dyDescent="0.25"/>
    <row r="17981" hidden="1" x14ac:dyDescent="0.25"/>
    <row r="17982" hidden="1" x14ac:dyDescent="0.25"/>
    <row r="17983" hidden="1" x14ac:dyDescent="0.25"/>
    <row r="17984" hidden="1" x14ac:dyDescent="0.25"/>
    <row r="17985" hidden="1" x14ac:dyDescent="0.25"/>
    <row r="17986" hidden="1" x14ac:dyDescent="0.25"/>
    <row r="17987" hidden="1" x14ac:dyDescent="0.25"/>
    <row r="17988" hidden="1" x14ac:dyDescent="0.25"/>
    <row r="17989" hidden="1" x14ac:dyDescent="0.25"/>
    <row r="17990" hidden="1" x14ac:dyDescent="0.25"/>
    <row r="17991" hidden="1" x14ac:dyDescent="0.25"/>
    <row r="17992" hidden="1" x14ac:dyDescent="0.25"/>
    <row r="17993" hidden="1" x14ac:dyDescent="0.25"/>
    <row r="17994" hidden="1" x14ac:dyDescent="0.25"/>
    <row r="17995" hidden="1" x14ac:dyDescent="0.25"/>
    <row r="17996" hidden="1" x14ac:dyDescent="0.25"/>
    <row r="17997" hidden="1" x14ac:dyDescent="0.25"/>
    <row r="17998" hidden="1" x14ac:dyDescent="0.25"/>
    <row r="17999" hidden="1" x14ac:dyDescent="0.25"/>
    <row r="18000" hidden="1" x14ac:dyDescent="0.25"/>
    <row r="18001" hidden="1" x14ac:dyDescent="0.25"/>
    <row r="18002" hidden="1" x14ac:dyDescent="0.25"/>
    <row r="18003" hidden="1" x14ac:dyDescent="0.25"/>
    <row r="18004" hidden="1" x14ac:dyDescent="0.25"/>
    <row r="18005" hidden="1" x14ac:dyDescent="0.25"/>
    <row r="18006" hidden="1" x14ac:dyDescent="0.25"/>
    <row r="18007" hidden="1" x14ac:dyDescent="0.25"/>
    <row r="18008" hidden="1" x14ac:dyDescent="0.25"/>
    <row r="18009" hidden="1" x14ac:dyDescent="0.25"/>
    <row r="18010" hidden="1" x14ac:dyDescent="0.25"/>
    <row r="18011" hidden="1" x14ac:dyDescent="0.25"/>
    <row r="18012" hidden="1" x14ac:dyDescent="0.25"/>
    <row r="18013" hidden="1" x14ac:dyDescent="0.25"/>
    <row r="18014" hidden="1" x14ac:dyDescent="0.25"/>
    <row r="18015" hidden="1" x14ac:dyDescent="0.25"/>
    <row r="18016" hidden="1" x14ac:dyDescent="0.25"/>
    <row r="18017" hidden="1" x14ac:dyDescent="0.25"/>
    <row r="18018" hidden="1" x14ac:dyDescent="0.25"/>
    <row r="18019" hidden="1" x14ac:dyDescent="0.25"/>
    <row r="18020" hidden="1" x14ac:dyDescent="0.25"/>
    <row r="18021" hidden="1" x14ac:dyDescent="0.25"/>
    <row r="18022" hidden="1" x14ac:dyDescent="0.25"/>
    <row r="18023" hidden="1" x14ac:dyDescent="0.25"/>
    <row r="18024" hidden="1" x14ac:dyDescent="0.25"/>
    <row r="18025" hidden="1" x14ac:dyDescent="0.25"/>
    <row r="18026" hidden="1" x14ac:dyDescent="0.25"/>
    <row r="18027" hidden="1" x14ac:dyDescent="0.25"/>
    <row r="18028" hidden="1" x14ac:dyDescent="0.25"/>
    <row r="18029" hidden="1" x14ac:dyDescent="0.25"/>
    <row r="18030" hidden="1" x14ac:dyDescent="0.25"/>
    <row r="18031" hidden="1" x14ac:dyDescent="0.25"/>
    <row r="18032" hidden="1" x14ac:dyDescent="0.25"/>
    <row r="18033" hidden="1" x14ac:dyDescent="0.25"/>
    <row r="18034" hidden="1" x14ac:dyDescent="0.25"/>
    <row r="18035" hidden="1" x14ac:dyDescent="0.25"/>
    <row r="18036" hidden="1" x14ac:dyDescent="0.25"/>
    <row r="18037" hidden="1" x14ac:dyDescent="0.25"/>
    <row r="18038" hidden="1" x14ac:dyDescent="0.25"/>
    <row r="18039" hidden="1" x14ac:dyDescent="0.25"/>
    <row r="18040" hidden="1" x14ac:dyDescent="0.25"/>
    <row r="18041" hidden="1" x14ac:dyDescent="0.25"/>
    <row r="18042" hidden="1" x14ac:dyDescent="0.25"/>
    <row r="18043" hidden="1" x14ac:dyDescent="0.25"/>
    <row r="18044" hidden="1" x14ac:dyDescent="0.25"/>
    <row r="18045" hidden="1" x14ac:dyDescent="0.25"/>
    <row r="18046" hidden="1" x14ac:dyDescent="0.25"/>
    <row r="18047" hidden="1" x14ac:dyDescent="0.25"/>
    <row r="18048" hidden="1" x14ac:dyDescent="0.25"/>
    <row r="18049" hidden="1" x14ac:dyDescent="0.25"/>
    <row r="18050" hidden="1" x14ac:dyDescent="0.25"/>
    <row r="18051" hidden="1" x14ac:dyDescent="0.25"/>
    <row r="18052" hidden="1" x14ac:dyDescent="0.25"/>
    <row r="18053" hidden="1" x14ac:dyDescent="0.25"/>
    <row r="18054" hidden="1" x14ac:dyDescent="0.25"/>
    <row r="18055" hidden="1" x14ac:dyDescent="0.25"/>
    <row r="18056" hidden="1" x14ac:dyDescent="0.25"/>
    <row r="18057" hidden="1" x14ac:dyDescent="0.25"/>
    <row r="18058" hidden="1" x14ac:dyDescent="0.25"/>
    <row r="18059" hidden="1" x14ac:dyDescent="0.25"/>
    <row r="18060" hidden="1" x14ac:dyDescent="0.25"/>
    <row r="18061" hidden="1" x14ac:dyDescent="0.25"/>
    <row r="18062" hidden="1" x14ac:dyDescent="0.25"/>
    <row r="18063" hidden="1" x14ac:dyDescent="0.25"/>
    <row r="18064" hidden="1" x14ac:dyDescent="0.25"/>
    <row r="18065" hidden="1" x14ac:dyDescent="0.25"/>
    <row r="18066" hidden="1" x14ac:dyDescent="0.25"/>
    <row r="18067" hidden="1" x14ac:dyDescent="0.25"/>
    <row r="18068" hidden="1" x14ac:dyDescent="0.25"/>
    <row r="18069" hidden="1" x14ac:dyDescent="0.25"/>
    <row r="18070" hidden="1" x14ac:dyDescent="0.25"/>
    <row r="18071" hidden="1" x14ac:dyDescent="0.25"/>
    <row r="18072" hidden="1" x14ac:dyDescent="0.25"/>
    <row r="18073" hidden="1" x14ac:dyDescent="0.25"/>
    <row r="18074" hidden="1" x14ac:dyDescent="0.25"/>
    <row r="18075" hidden="1" x14ac:dyDescent="0.25"/>
    <row r="18076" hidden="1" x14ac:dyDescent="0.25"/>
    <row r="18077" hidden="1" x14ac:dyDescent="0.25"/>
    <row r="18078" hidden="1" x14ac:dyDescent="0.25"/>
    <row r="18079" hidden="1" x14ac:dyDescent="0.25"/>
    <row r="18080" hidden="1" x14ac:dyDescent="0.25"/>
    <row r="18081" hidden="1" x14ac:dyDescent="0.25"/>
    <row r="18082" hidden="1" x14ac:dyDescent="0.25"/>
    <row r="18083" hidden="1" x14ac:dyDescent="0.25"/>
    <row r="18084" hidden="1" x14ac:dyDescent="0.25"/>
    <row r="18085" hidden="1" x14ac:dyDescent="0.25"/>
    <row r="18086" hidden="1" x14ac:dyDescent="0.25"/>
    <row r="18087" hidden="1" x14ac:dyDescent="0.25"/>
    <row r="18088" hidden="1" x14ac:dyDescent="0.25"/>
    <row r="18089" hidden="1" x14ac:dyDescent="0.25"/>
    <row r="18090" hidden="1" x14ac:dyDescent="0.25"/>
    <row r="18091" hidden="1" x14ac:dyDescent="0.25"/>
    <row r="18092" hidden="1" x14ac:dyDescent="0.25"/>
    <row r="18093" hidden="1" x14ac:dyDescent="0.25"/>
    <row r="18094" hidden="1" x14ac:dyDescent="0.25"/>
    <row r="18095" hidden="1" x14ac:dyDescent="0.25"/>
    <row r="18096" hidden="1" x14ac:dyDescent="0.25"/>
    <row r="18097" hidden="1" x14ac:dyDescent="0.25"/>
    <row r="18098" hidden="1" x14ac:dyDescent="0.25"/>
    <row r="18099" hidden="1" x14ac:dyDescent="0.25"/>
    <row r="18100" hidden="1" x14ac:dyDescent="0.25"/>
    <row r="18101" hidden="1" x14ac:dyDescent="0.25"/>
    <row r="18102" hidden="1" x14ac:dyDescent="0.25"/>
    <row r="18103" hidden="1" x14ac:dyDescent="0.25"/>
    <row r="18104" hidden="1" x14ac:dyDescent="0.25"/>
    <row r="18105" hidden="1" x14ac:dyDescent="0.25"/>
    <row r="18106" hidden="1" x14ac:dyDescent="0.25"/>
    <row r="18107" hidden="1" x14ac:dyDescent="0.25"/>
    <row r="18108" hidden="1" x14ac:dyDescent="0.25"/>
    <row r="18109" hidden="1" x14ac:dyDescent="0.25"/>
    <row r="18110" hidden="1" x14ac:dyDescent="0.25"/>
    <row r="18111" hidden="1" x14ac:dyDescent="0.25"/>
    <row r="18112" hidden="1" x14ac:dyDescent="0.25"/>
    <row r="18113" hidden="1" x14ac:dyDescent="0.25"/>
    <row r="18114" hidden="1" x14ac:dyDescent="0.25"/>
    <row r="18115" hidden="1" x14ac:dyDescent="0.25"/>
    <row r="18116" hidden="1" x14ac:dyDescent="0.25"/>
    <row r="18117" hidden="1" x14ac:dyDescent="0.25"/>
    <row r="18118" hidden="1" x14ac:dyDescent="0.25"/>
    <row r="18119" hidden="1" x14ac:dyDescent="0.25"/>
    <row r="18120" hidden="1" x14ac:dyDescent="0.25"/>
    <row r="18121" hidden="1" x14ac:dyDescent="0.25"/>
    <row r="18122" hidden="1" x14ac:dyDescent="0.25"/>
    <row r="18123" hidden="1" x14ac:dyDescent="0.25"/>
    <row r="18124" hidden="1" x14ac:dyDescent="0.25"/>
    <row r="18125" hidden="1" x14ac:dyDescent="0.25"/>
    <row r="18126" hidden="1" x14ac:dyDescent="0.25"/>
    <row r="18127" hidden="1" x14ac:dyDescent="0.25"/>
    <row r="18128" hidden="1" x14ac:dyDescent="0.25"/>
    <row r="18129" hidden="1" x14ac:dyDescent="0.25"/>
    <row r="18130" hidden="1" x14ac:dyDescent="0.25"/>
    <row r="18131" hidden="1" x14ac:dyDescent="0.25"/>
    <row r="18132" hidden="1" x14ac:dyDescent="0.25"/>
    <row r="18133" hidden="1" x14ac:dyDescent="0.25"/>
    <row r="18134" hidden="1" x14ac:dyDescent="0.25"/>
    <row r="18135" hidden="1" x14ac:dyDescent="0.25"/>
    <row r="18136" hidden="1" x14ac:dyDescent="0.25"/>
    <row r="18137" hidden="1" x14ac:dyDescent="0.25"/>
    <row r="18138" hidden="1" x14ac:dyDescent="0.25"/>
    <row r="18139" hidden="1" x14ac:dyDescent="0.25"/>
    <row r="18140" hidden="1" x14ac:dyDescent="0.25"/>
    <row r="18141" hidden="1" x14ac:dyDescent="0.25"/>
    <row r="18142" hidden="1" x14ac:dyDescent="0.25"/>
    <row r="18143" hidden="1" x14ac:dyDescent="0.25"/>
    <row r="18144" hidden="1" x14ac:dyDescent="0.25"/>
    <row r="18145" hidden="1" x14ac:dyDescent="0.25"/>
    <row r="18146" hidden="1" x14ac:dyDescent="0.25"/>
    <row r="18147" hidden="1" x14ac:dyDescent="0.25"/>
    <row r="18148" hidden="1" x14ac:dyDescent="0.25"/>
    <row r="18149" hidden="1" x14ac:dyDescent="0.25"/>
    <row r="18150" hidden="1" x14ac:dyDescent="0.25"/>
    <row r="18151" hidden="1" x14ac:dyDescent="0.25"/>
    <row r="18152" hidden="1" x14ac:dyDescent="0.25"/>
    <row r="18153" hidden="1" x14ac:dyDescent="0.25"/>
    <row r="18154" hidden="1" x14ac:dyDescent="0.25"/>
    <row r="18155" hidden="1" x14ac:dyDescent="0.25"/>
    <row r="18156" hidden="1" x14ac:dyDescent="0.25"/>
    <row r="18157" hidden="1" x14ac:dyDescent="0.25"/>
    <row r="18158" hidden="1" x14ac:dyDescent="0.25"/>
    <row r="18159" hidden="1" x14ac:dyDescent="0.25"/>
    <row r="18160" hidden="1" x14ac:dyDescent="0.25"/>
    <row r="18161" hidden="1" x14ac:dyDescent="0.25"/>
    <row r="18162" hidden="1" x14ac:dyDescent="0.25"/>
    <row r="18163" hidden="1" x14ac:dyDescent="0.25"/>
    <row r="18164" hidden="1" x14ac:dyDescent="0.25"/>
    <row r="18165" hidden="1" x14ac:dyDescent="0.25"/>
    <row r="18166" hidden="1" x14ac:dyDescent="0.25"/>
    <row r="18167" hidden="1" x14ac:dyDescent="0.25"/>
    <row r="18168" hidden="1" x14ac:dyDescent="0.25"/>
    <row r="18169" hidden="1" x14ac:dyDescent="0.25"/>
    <row r="18170" hidden="1" x14ac:dyDescent="0.25"/>
    <row r="18171" hidden="1" x14ac:dyDescent="0.25"/>
    <row r="18172" hidden="1" x14ac:dyDescent="0.25"/>
    <row r="18173" hidden="1" x14ac:dyDescent="0.25"/>
    <row r="18174" hidden="1" x14ac:dyDescent="0.25"/>
    <row r="18175" hidden="1" x14ac:dyDescent="0.25"/>
    <row r="18176" hidden="1" x14ac:dyDescent="0.25"/>
    <row r="18177" hidden="1" x14ac:dyDescent="0.25"/>
    <row r="18178" hidden="1" x14ac:dyDescent="0.25"/>
    <row r="18179" hidden="1" x14ac:dyDescent="0.25"/>
    <row r="18180" hidden="1" x14ac:dyDescent="0.25"/>
    <row r="18181" hidden="1" x14ac:dyDescent="0.25"/>
    <row r="18182" hidden="1" x14ac:dyDescent="0.25"/>
    <row r="18183" hidden="1" x14ac:dyDescent="0.25"/>
    <row r="18184" hidden="1" x14ac:dyDescent="0.25"/>
    <row r="18185" hidden="1" x14ac:dyDescent="0.25"/>
    <row r="18186" hidden="1" x14ac:dyDescent="0.25"/>
    <row r="18187" hidden="1" x14ac:dyDescent="0.25"/>
    <row r="18188" hidden="1" x14ac:dyDescent="0.25"/>
    <row r="18189" hidden="1" x14ac:dyDescent="0.25"/>
    <row r="18190" hidden="1" x14ac:dyDescent="0.25"/>
    <row r="18191" hidden="1" x14ac:dyDescent="0.25"/>
    <row r="18192" hidden="1" x14ac:dyDescent="0.25"/>
    <row r="18193" hidden="1" x14ac:dyDescent="0.25"/>
    <row r="18194" hidden="1" x14ac:dyDescent="0.25"/>
    <row r="18195" hidden="1" x14ac:dyDescent="0.25"/>
    <row r="18196" hidden="1" x14ac:dyDescent="0.25"/>
    <row r="18197" hidden="1" x14ac:dyDescent="0.25"/>
    <row r="18198" hidden="1" x14ac:dyDescent="0.25"/>
    <row r="18199" hidden="1" x14ac:dyDescent="0.25"/>
    <row r="18200" hidden="1" x14ac:dyDescent="0.25"/>
    <row r="18201" hidden="1" x14ac:dyDescent="0.25"/>
    <row r="18202" hidden="1" x14ac:dyDescent="0.25"/>
    <row r="18203" hidden="1" x14ac:dyDescent="0.25"/>
    <row r="18204" hidden="1" x14ac:dyDescent="0.25"/>
    <row r="18205" hidden="1" x14ac:dyDescent="0.25"/>
    <row r="18206" hidden="1" x14ac:dyDescent="0.25"/>
    <row r="18207" hidden="1" x14ac:dyDescent="0.25"/>
    <row r="18208" hidden="1" x14ac:dyDescent="0.25"/>
    <row r="18209" hidden="1" x14ac:dyDescent="0.25"/>
    <row r="18210" hidden="1" x14ac:dyDescent="0.25"/>
    <row r="18211" hidden="1" x14ac:dyDescent="0.25"/>
    <row r="18212" hidden="1" x14ac:dyDescent="0.25"/>
    <row r="18213" hidden="1" x14ac:dyDescent="0.25"/>
    <row r="18214" hidden="1" x14ac:dyDescent="0.25"/>
    <row r="18215" hidden="1" x14ac:dyDescent="0.25"/>
    <row r="18216" hidden="1" x14ac:dyDescent="0.25"/>
    <row r="18217" hidden="1" x14ac:dyDescent="0.25"/>
    <row r="18218" hidden="1" x14ac:dyDescent="0.25"/>
    <row r="18219" hidden="1" x14ac:dyDescent="0.25"/>
    <row r="18220" hidden="1" x14ac:dyDescent="0.25"/>
    <row r="18221" hidden="1" x14ac:dyDescent="0.25"/>
    <row r="18222" hidden="1" x14ac:dyDescent="0.25"/>
    <row r="18223" hidden="1" x14ac:dyDescent="0.25"/>
    <row r="18224" hidden="1" x14ac:dyDescent="0.25"/>
    <row r="18225" hidden="1" x14ac:dyDescent="0.25"/>
    <row r="18226" hidden="1" x14ac:dyDescent="0.25"/>
    <row r="18227" hidden="1" x14ac:dyDescent="0.25"/>
    <row r="18228" hidden="1" x14ac:dyDescent="0.25"/>
    <row r="18229" hidden="1" x14ac:dyDescent="0.25"/>
    <row r="18230" hidden="1" x14ac:dyDescent="0.25"/>
    <row r="18231" hidden="1" x14ac:dyDescent="0.25"/>
    <row r="18232" hidden="1" x14ac:dyDescent="0.25"/>
    <row r="18233" hidden="1" x14ac:dyDescent="0.25"/>
    <row r="18234" hidden="1" x14ac:dyDescent="0.25"/>
    <row r="18235" hidden="1" x14ac:dyDescent="0.25"/>
    <row r="18236" hidden="1" x14ac:dyDescent="0.25"/>
    <row r="18237" hidden="1" x14ac:dyDescent="0.25"/>
    <row r="18238" hidden="1" x14ac:dyDescent="0.25"/>
    <row r="18239" hidden="1" x14ac:dyDescent="0.25"/>
    <row r="18240" hidden="1" x14ac:dyDescent="0.25"/>
    <row r="18241" hidden="1" x14ac:dyDescent="0.25"/>
    <row r="18242" hidden="1" x14ac:dyDescent="0.25"/>
    <row r="18243" hidden="1" x14ac:dyDescent="0.25"/>
    <row r="18244" hidden="1" x14ac:dyDescent="0.25"/>
    <row r="18245" hidden="1" x14ac:dyDescent="0.25"/>
    <row r="18246" hidden="1" x14ac:dyDescent="0.25"/>
    <row r="18247" hidden="1" x14ac:dyDescent="0.25"/>
    <row r="18248" hidden="1" x14ac:dyDescent="0.25"/>
    <row r="18249" hidden="1" x14ac:dyDescent="0.25"/>
    <row r="18250" hidden="1" x14ac:dyDescent="0.25"/>
    <row r="18251" hidden="1" x14ac:dyDescent="0.25"/>
    <row r="18252" hidden="1" x14ac:dyDescent="0.25"/>
    <row r="18253" hidden="1" x14ac:dyDescent="0.25"/>
    <row r="18254" hidden="1" x14ac:dyDescent="0.25"/>
    <row r="18255" hidden="1" x14ac:dyDescent="0.25"/>
    <row r="18256" hidden="1" x14ac:dyDescent="0.25"/>
    <row r="18257" hidden="1" x14ac:dyDescent="0.25"/>
    <row r="18258" hidden="1" x14ac:dyDescent="0.25"/>
    <row r="18259" hidden="1" x14ac:dyDescent="0.25"/>
    <row r="18260" hidden="1" x14ac:dyDescent="0.25"/>
    <row r="18261" hidden="1" x14ac:dyDescent="0.25"/>
    <row r="18262" hidden="1" x14ac:dyDescent="0.25"/>
    <row r="18263" hidden="1" x14ac:dyDescent="0.25"/>
    <row r="18264" hidden="1" x14ac:dyDescent="0.25"/>
    <row r="18265" hidden="1" x14ac:dyDescent="0.25"/>
    <row r="18266" hidden="1" x14ac:dyDescent="0.25"/>
    <row r="18267" hidden="1" x14ac:dyDescent="0.25"/>
    <row r="18268" hidden="1" x14ac:dyDescent="0.25"/>
    <row r="18269" hidden="1" x14ac:dyDescent="0.25"/>
    <row r="18270" hidden="1" x14ac:dyDescent="0.25"/>
    <row r="18271" hidden="1" x14ac:dyDescent="0.25"/>
    <row r="18272" hidden="1" x14ac:dyDescent="0.25"/>
    <row r="18273" hidden="1" x14ac:dyDescent="0.25"/>
    <row r="18274" hidden="1" x14ac:dyDescent="0.25"/>
    <row r="18275" hidden="1" x14ac:dyDescent="0.25"/>
    <row r="18276" hidden="1" x14ac:dyDescent="0.25"/>
    <row r="18277" hidden="1" x14ac:dyDescent="0.25"/>
    <row r="18278" hidden="1" x14ac:dyDescent="0.25"/>
    <row r="18279" hidden="1" x14ac:dyDescent="0.25"/>
    <row r="18280" hidden="1" x14ac:dyDescent="0.25"/>
    <row r="18281" hidden="1" x14ac:dyDescent="0.25"/>
    <row r="18282" hidden="1" x14ac:dyDescent="0.25"/>
    <row r="18283" hidden="1" x14ac:dyDescent="0.25"/>
    <row r="18284" hidden="1" x14ac:dyDescent="0.25"/>
    <row r="18285" hidden="1" x14ac:dyDescent="0.25"/>
    <row r="18286" hidden="1" x14ac:dyDescent="0.25"/>
    <row r="18287" hidden="1" x14ac:dyDescent="0.25"/>
    <row r="18288" hidden="1" x14ac:dyDescent="0.25"/>
    <row r="18289" hidden="1" x14ac:dyDescent="0.25"/>
    <row r="18290" hidden="1" x14ac:dyDescent="0.25"/>
    <row r="18291" hidden="1" x14ac:dyDescent="0.25"/>
    <row r="18292" hidden="1" x14ac:dyDescent="0.25"/>
    <row r="18293" hidden="1" x14ac:dyDescent="0.25"/>
    <row r="18294" hidden="1" x14ac:dyDescent="0.25"/>
    <row r="18295" hidden="1" x14ac:dyDescent="0.25"/>
    <row r="18296" hidden="1" x14ac:dyDescent="0.25"/>
    <row r="18297" hidden="1" x14ac:dyDescent="0.25"/>
    <row r="18298" hidden="1" x14ac:dyDescent="0.25"/>
    <row r="18299" hidden="1" x14ac:dyDescent="0.25"/>
    <row r="18300" hidden="1" x14ac:dyDescent="0.25"/>
    <row r="18301" hidden="1" x14ac:dyDescent="0.25"/>
    <row r="18302" hidden="1" x14ac:dyDescent="0.25"/>
    <row r="18303" hidden="1" x14ac:dyDescent="0.25"/>
    <row r="18304" hidden="1" x14ac:dyDescent="0.25"/>
    <row r="18305" hidden="1" x14ac:dyDescent="0.25"/>
    <row r="18306" hidden="1" x14ac:dyDescent="0.25"/>
    <row r="18307" hidden="1" x14ac:dyDescent="0.25"/>
    <row r="18308" hidden="1" x14ac:dyDescent="0.25"/>
    <row r="18309" hidden="1" x14ac:dyDescent="0.25"/>
    <row r="18310" hidden="1" x14ac:dyDescent="0.25"/>
    <row r="18311" hidden="1" x14ac:dyDescent="0.25"/>
    <row r="18312" hidden="1" x14ac:dyDescent="0.25"/>
    <row r="18313" hidden="1" x14ac:dyDescent="0.25"/>
    <row r="18314" hidden="1" x14ac:dyDescent="0.25"/>
    <row r="18315" hidden="1" x14ac:dyDescent="0.25"/>
    <row r="18316" hidden="1" x14ac:dyDescent="0.25"/>
    <row r="18317" hidden="1" x14ac:dyDescent="0.25"/>
    <row r="18318" hidden="1" x14ac:dyDescent="0.25"/>
    <row r="18319" hidden="1" x14ac:dyDescent="0.25"/>
    <row r="18320" hidden="1" x14ac:dyDescent="0.25"/>
    <row r="18321" hidden="1" x14ac:dyDescent="0.25"/>
    <row r="18322" hidden="1" x14ac:dyDescent="0.25"/>
    <row r="18323" hidden="1" x14ac:dyDescent="0.25"/>
    <row r="18324" hidden="1" x14ac:dyDescent="0.25"/>
    <row r="18325" hidden="1" x14ac:dyDescent="0.25"/>
    <row r="18326" hidden="1" x14ac:dyDescent="0.25"/>
    <row r="18327" hidden="1" x14ac:dyDescent="0.25"/>
    <row r="18328" hidden="1" x14ac:dyDescent="0.25"/>
    <row r="18329" hidden="1" x14ac:dyDescent="0.25"/>
    <row r="18330" hidden="1" x14ac:dyDescent="0.25"/>
    <row r="18331" hidden="1" x14ac:dyDescent="0.25"/>
    <row r="18332" hidden="1" x14ac:dyDescent="0.25"/>
    <row r="18333" hidden="1" x14ac:dyDescent="0.25"/>
    <row r="18334" hidden="1" x14ac:dyDescent="0.25"/>
    <row r="18335" hidden="1" x14ac:dyDescent="0.25"/>
    <row r="18336" hidden="1" x14ac:dyDescent="0.25"/>
    <row r="18337" hidden="1" x14ac:dyDescent="0.25"/>
    <row r="18338" hidden="1" x14ac:dyDescent="0.25"/>
    <row r="18339" hidden="1" x14ac:dyDescent="0.25"/>
    <row r="18340" hidden="1" x14ac:dyDescent="0.25"/>
    <row r="18341" hidden="1" x14ac:dyDescent="0.25"/>
    <row r="18342" hidden="1" x14ac:dyDescent="0.25"/>
    <row r="18343" hidden="1" x14ac:dyDescent="0.25"/>
    <row r="18344" hidden="1" x14ac:dyDescent="0.25"/>
    <row r="18345" hidden="1" x14ac:dyDescent="0.25"/>
    <row r="18346" hidden="1" x14ac:dyDescent="0.25"/>
    <row r="18347" hidden="1" x14ac:dyDescent="0.25"/>
    <row r="18348" hidden="1" x14ac:dyDescent="0.25"/>
    <row r="18349" hidden="1" x14ac:dyDescent="0.25"/>
    <row r="18350" hidden="1" x14ac:dyDescent="0.25"/>
    <row r="18351" hidden="1" x14ac:dyDescent="0.25"/>
    <row r="18352" hidden="1" x14ac:dyDescent="0.25"/>
    <row r="18353" hidden="1" x14ac:dyDescent="0.25"/>
    <row r="18354" hidden="1" x14ac:dyDescent="0.25"/>
    <row r="18355" hidden="1" x14ac:dyDescent="0.25"/>
    <row r="18356" hidden="1" x14ac:dyDescent="0.25"/>
    <row r="18357" hidden="1" x14ac:dyDescent="0.25"/>
    <row r="18358" hidden="1" x14ac:dyDescent="0.25"/>
    <row r="18359" hidden="1" x14ac:dyDescent="0.25"/>
    <row r="18360" hidden="1" x14ac:dyDescent="0.25"/>
    <row r="18361" hidden="1" x14ac:dyDescent="0.25"/>
    <row r="18362" hidden="1" x14ac:dyDescent="0.25"/>
    <row r="18363" hidden="1" x14ac:dyDescent="0.25"/>
    <row r="18364" hidden="1" x14ac:dyDescent="0.25"/>
    <row r="18365" hidden="1" x14ac:dyDescent="0.25"/>
    <row r="18366" hidden="1" x14ac:dyDescent="0.25"/>
    <row r="18367" hidden="1" x14ac:dyDescent="0.25"/>
    <row r="18368" hidden="1" x14ac:dyDescent="0.25"/>
    <row r="18369" hidden="1" x14ac:dyDescent="0.25"/>
    <row r="18370" hidden="1" x14ac:dyDescent="0.25"/>
    <row r="18371" hidden="1" x14ac:dyDescent="0.25"/>
    <row r="18372" hidden="1" x14ac:dyDescent="0.25"/>
    <row r="18373" hidden="1" x14ac:dyDescent="0.25"/>
    <row r="18374" hidden="1" x14ac:dyDescent="0.25"/>
    <row r="18375" hidden="1" x14ac:dyDescent="0.25"/>
    <row r="18376" hidden="1" x14ac:dyDescent="0.25"/>
    <row r="18377" hidden="1" x14ac:dyDescent="0.25"/>
    <row r="18378" hidden="1" x14ac:dyDescent="0.25"/>
    <row r="18379" hidden="1" x14ac:dyDescent="0.25"/>
    <row r="18380" hidden="1" x14ac:dyDescent="0.25"/>
    <row r="18381" hidden="1" x14ac:dyDescent="0.25"/>
    <row r="18382" hidden="1" x14ac:dyDescent="0.25"/>
    <row r="18383" hidden="1" x14ac:dyDescent="0.25"/>
    <row r="18384" hidden="1" x14ac:dyDescent="0.25"/>
    <row r="18385" hidden="1" x14ac:dyDescent="0.25"/>
    <row r="18386" hidden="1" x14ac:dyDescent="0.25"/>
    <row r="18387" hidden="1" x14ac:dyDescent="0.25"/>
    <row r="18388" hidden="1" x14ac:dyDescent="0.25"/>
    <row r="18389" hidden="1" x14ac:dyDescent="0.25"/>
    <row r="18390" hidden="1" x14ac:dyDescent="0.25"/>
    <row r="18391" hidden="1" x14ac:dyDescent="0.25"/>
    <row r="18392" hidden="1" x14ac:dyDescent="0.25"/>
    <row r="18393" hidden="1" x14ac:dyDescent="0.25"/>
    <row r="18394" hidden="1" x14ac:dyDescent="0.25"/>
    <row r="18395" hidden="1" x14ac:dyDescent="0.25"/>
    <row r="18396" hidden="1" x14ac:dyDescent="0.25"/>
    <row r="18397" hidden="1" x14ac:dyDescent="0.25"/>
    <row r="18398" hidden="1" x14ac:dyDescent="0.25"/>
    <row r="18399" hidden="1" x14ac:dyDescent="0.25"/>
    <row r="18400" hidden="1" x14ac:dyDescent="0.25"/>
    <row r="18401" hidden="1" x14ac:dyDescent="0.25"/>
    <row r="18402" hidden="1" x14ac:dyDescent="0.25"/>
    <row r="18403" hidden="1" x14ac:dyDescent="0.25"/>
    <row r="18404" hidden="1" x14ac:dyDescent="0.25"/>
    <row r="18405" hidden="1" x14ac:dyDescent="0.25"/>
    <row r="18406" hidden="1" x14ac:dyDescent="0.25"/>
    <row r="18407" hidden="1" x14ac:dyDescent="0.25"/>
    <row r="18408" hidden="1" x14ac:dyDescent="0.25"/>
    <row r="18409" hidden="1" x14ac:dyDescent="0.25"/>
    <row r="18410" hidden="1" x14ac:dyDescent="0.25"/>
    <row r="18411" hidden="1" x14ac:dyDescent="0.25"/>
    <row r="18412" hidden="1" x14ac:dyDescent="0.25"/>
    <row r="18413" hidden="1" x14ac:dyDescent="0.25"/>
    <row r="18414" hidden="1" x14ac:dyDescent="0.25"/>
    <row r="18415" hidden="1" x14ac:dyDescent="0.25"/>
    <row r="18416" hidden="1" x14ac:dyDescent="0.25"/>
    <row r="18417" hidden="1" x14ac:dyDescent="0.25"/>
    <row r="18418" hidden="1" x14ac:dyDescent="0.25"/>
    <row r="18419" hidden="1" x14ac:dyDescent="0.25"/>
    <row r="18420" hidden="1" x14ac:dyDescent="0.25"/>
    <row r="18421" hidden="1" x14ac:dyDescent="0.25"/>
    <row r="18422" hidden="1" x14ac:dyDescent="0.25"/>
    <row r="18423" hidden="1" x14ac:dyDescent="0.25"/>
    <row r="18424" hidden="1" x14ac:dyDescent="0.25"/>
    <row r="18425" hidden="1" x14ac:dyDescent="0.25"/>
    <row r="18426" hidden="1" x14ac:dyDescent="0.25"/>
    <row r="18427" hidden="1" x14ac:dyDescent="0.25"/>
    <row r="18428" hidden="1" x14ac:dyDescent="0.25"/>
    <row r="18429" hidden="1" x14ac:dyDescent="0.25"/>
    <row r="18430" hidden="1" x14ac:dyDescent="0.25"/>
    <row r="18431" hidden="1" x14ac:dyDescent="0.25"/>
    <row r="18432" hidden="1" x14ac:dyDescent="0.25"/>
    <row r="18433" hidden="1" x14ac:dyDescent="0.25"/>
    <row r="18434" hidden="1" x14ac:dyDescent="0.25"/>
    <row r="18435" hidden="1" x14ac:dyDescent="0.25"/>
    <row r="18436" hidden="1" x14ac:dyDescent="0.25"/>
    <row r="18437" hidden="1" x14ac:dyDescent="0.25"/>
    <row r="18438" hidden="1" x14ac:dyDescent="0.25"/>
    <row r="18439" hidden="1" x14ac:dyDescent="0.25"/>
    <row r="18440" hidden="1" x14ac:dyDescent="0.25"/>
    <row r="18441" hidden="1" x14ac:dyDescent="0.25"/>
    <row r="18442" hidden="1" x14ac:dyDescent="0.25"/>
    <row r="18443" hidden="1" x14ac:dyDescent="0.25"/>
    <row r="18444" hidden="1" x14ac:dyDescent="0.25"/>
    <row r="18445" hidden="1" x14ac:dyDescent="0.25"/>
    <row r="18446" hidden="1" x14ac:dyDescent="0.25"/>
    <row r="18447" hidden="1" x14ac:dyDescent="0.25"/>
    <row r="18448" hidden="1" x14ac:dyDescent="0.25"/>
    <row r="18449" hidden="1" x14ac:dyDescent="0.25"/>
    <row r="18450" hidden="1" x14ac:dyDescent="0.25"/>
    <row r="18451" hidden="1" x14ac:dyDescent="0.25"/>
    <row r="18452" hidden="1" x14ac:dyDescent="0.25"/>
    <row r="18453" hidden="1" x14ac:dyDescent="0.25"/>
    <row r="18454" hidden="1" x14ac:dyDescent="0.25"/>
    <row r="18455" hidden="1" x14ac:dyDescent="0.25"/>
    <row r="18456" hidden="1" x14ac:dyDescent="0.25"/>
    <row r="18457" hidden="1" x14ac:dyDescent="0.25"/>
    <row r="18458" hidden="1" x14ac:dyDescent="0.25"/>
    <row r="18459" hidden="1" x14ac:dyDescent="0.25"/>
    <row r="18460" hidden="1" x14ac:dyDescent="0.25"/>
    <row r="18461" hidden="1" x14ac:dyDescent="0.25"/>
    <row r="18462" hidden="1" x14ac:dyDescent="0.25"/>
    <row r="18463" hidden="1" x14ac:dyDescent="0.25"/>
    <row r="18464" hidden="1" x14ac:dyDescent="0.25"/>
    <row r="18465" hidden="1" x14ac:dyDescent="0.25"/>
    <row r="18466" hidden="1" x14ac:dyDescent="0.25"/>
    <row r="18467" hidden="1" x14ac:dyDescent="0.25"/>
    <row r="18468" hidden="1" x14ac:dyDescent="0.25"/>
    <row r="18469" hidden="1" x14ac:dyDescent="0.25"/>
    <row r="18470" hidden="1" x14ac:dyDescent="0.25"/>
    <row r="18471" hidden="1" x14ac:dyDescent="0.25"/>
    <row r="18472" hidden="1" x14ac:dyDescent="0.25"/>
    <row r="18473" hidden="1" x14ac:dyDescent="0.25"/>
    <row r="18474" hidden="1" x14ac:dyDescent="0.25"/>
    <row r="18475" hidden="1" x14ac:dyDescent="0.25"/>
    <row r="18476" hidden="1" x14ac:dyDescent="0.25"/>
    <row r="18477" hidden="1" x14ac:dyDescent="0.25"/>
    <row r="18478" hidden="1" x14ac:dyDescent="0.25"/>
    <row r="18479" hidden="1" x14ac:dyDescent="0.25"/>
    <row r="18480" hidden="1" x14ac:dyDescent="0.25"/>
    <row r="18481" hidden="1" x14ac:dyDescent="0.25"/>
    <row r="18482" hidden="1" x14ac:dyDescent="0.25"/>
    <row r="18483" hidden="1" x14ac:dyDescent="0.25"/>
    <row r="18484" hidden="1" x14ac:dyDescent="0.25"/>
    <row r="18485" hidden="1" x14ac:dyDescent="0.25"/>
    <row r="18486" hidden="1" x14ac:dyDescent="0.25"/>
    <row r="18487" hidden="1" x14ac:dyDescent="0.25"/>
    <row r="18488" hidden="1" x14ac:dyDescent="0.25"/>
    <row r="18489" hidden="1" x14ac:dyDescent="0.25"/>
    <row r="18490" hidden="1" x14ac:dyDescent="0.25"/>
    <row r="18491" hidden="1" x14ac:dyDescent="0.25"/>
    <row r="18492" hidden="1" x14ac:dyDescent="0.25"/>
    <row r="18493" hidden="1" x14ac:dyDescent="0.25"/>
    <row r="18494" hidden="1" x14ac:dyDescent="0.25"/>
    <row r="18495" hidden="1" x14ac:dyDescent="0.25"/>
    <row r="18496" hidden="1" x14ac:dyDescent="0.25"/>
    <row r="18497" hidden="1" x14ac:dyDescent="0.25"/>
    <row r="18498" hidden="1" x14ac:dyDescent="0.25"/>
    <row r="18499" hidden="1" x14ac:dyDescent="0.25"/>
    <row r="18500" hidden="1" x14ac:dyDescent="0.25"/>
    <row r="18501" hidden="1" x14ac:dyDescent="0.25"/>
    <row r="18502" hidden="1" x14ac:dyDescent="0.25"/>
    <row r="18503" hidden="1" x14ac:dyDescent="0.25"/>
    <row r="18504" hidden="1" x14ac:dyDescent="0.25"/>
    <row r="18505" hidden="1" x14ac:dyDescent="0.25"/>
    <row r="18506" hidden="1" x14ac:dyDescent="0.25"/>
    <row r="18507" hidden="1" x14ac:dyDescent="0.25"/>
    <row r="18508" hidden="1" x14ac:dyDescent="0.25"/>
    <row r="18509" hidden="1" x14ac:dyDescent="0.25"/>
    <row r="18510" hidden="1" x14ac:dyDescent="0.25"/>
    <row r="18511" hidden="1" x14ac:dyDescent="0.25"/>
    <row r="18512" hidden="1" x14ac:dyDescent="0.25"/>
    <row r="18513" hidden="1" x14ac:dyDescent="0.25"/>
    <row r="18514" hidden="1" x14ac:dyDescent="0.25"/>
    <row r="18515" hidden="1" x14ac:dyDescent="0.25"/>
    <row r="18516" hidden="1" x14ac:dyDescent="0.25"/>
    <row r="18517" hidden="1" x14ac:dyDescent="0.25"/>
    <row r="18518" hidden="1" x14ac:dyDescent="0.25"/>
    <row r="18519" hidden="1" x14ac:dyDescent="0.25"/>
    <row r="18520" hidden="1" x14ac:dyDescent="0.25"/>
    <row r="18521" hidden="1" x14ac:dyDescent="0.25"/>
    <row r="18522" hidden="1" x14ac:dyDescent="0.25"/>
    <row r="18523" hidden="1" x14ac:dyDescent="0.25"/>
    <row r="18524" hidden="1" x14ac:dyDescent="0.25"/>
    <row r="18525" hidden="1" x14ac:dyDescent="0.25"/>
    <row r="18526" hidden="1" x14ac:dyDescent="0.25"/>
    <row r="18527" hidden="1" x14ac:dyDescent="0.25"/>
    <row r="18528" hidden="1" x14ac:dyDescent="0.25"/>
    <row r="18529" hidden="1" x14ac:dyDescent="0.25"/>
    <row r="18530" hidden="1" x14ac:dyDescent="0.25"/>
    <row r="18531" hidden="1" x14ac:dyDescent="0.25"/>
    <row r="18532" hidden="1" x14ac:dyDescent="0.25"/>
    <row r="18533" hidden="1" x14ac:dyDescent="0.25"/>
    <row r="18534" hidden="1" x14ac:dyDescent="0.25"/>
    <row r="18535" hidden="1" x14ac:dyDescent="0.25"/>
    <row r="18536" hidden="1" x14ac:dyDescent="0.25"/>
    <row r="18537" hidden="1" x14ac:dyDescent="0.25"/>
    <row r="18538" hidden="1" x14ac:dyDescent="0.25"/>
    <row r="18539" hidden="1" x14ac:dyDescent="0.25"/>
    <row r="18540" hidden="1" x14ac:dyDescent="0.25"/>
    <row r="18541" hidden="1" x14ac:dyDescent="0.25"/>
    <row r="18542" hidden="1" x14ac:dyDescent="0.25"/>
    <row r="18543" hidden="1" x14ac:dyDescent="0.25"/>
    <row r="18544" hidden="1" x14ac:dyDescent="0.25"/>
    <row r="18545" hidden="1" x14ac:dyDescent="0.25"/>
    <row r="18546" hidden="1" x14ac:dyDescent="0.25"/>
    <row r="18547" hidden="1" x14ac:dyDescent="0.25"/>
    <row r="18548" hidden="1" x14ac:dyDescent="0.25"/>
    <row r="18549" hidden="1" x14ac:dyDescent="0.25"/>
    <row r="18550" hidden="1" x14ac:dyDescent="0.25"/>
    <row r="18551" hidden="1" x14ac:dyDescent="0.25"/>
    <row r="18552" hidden="1" x14ac:dyDescent="0.25"/>
    <row r="18553" hidden="1" x14ac:dyDescent="0.25"/>
    <row r="18554" hidden="1" x14ac:dyDescent="0.25"/>
    <row r="18555" hidden="1" x14ac:dyDescent="0.25"/>
    <row r="18556" hidden="1" x14ac:dyDescent="0.25"/>
    <row r="18557" hidden="1" x14ac:dyDescent="0.25"/>
    <row r="18558" hidden="1" x14ac:dyDescent="0.25"/>
    <row r="18559" hidden="1" x14ac:dyDescent="0.25"/>
    <row r="18560" hidden="1" x14ac:dyDescent="0.25"/>
    <row r="18561" hidden="1" x14ac:dyDescent="0.25"/>
    <row r="18562" hidden="1" x14ac:dyDescent="0.25"/>
    <row r="18563" hidden="1" x14ac:dyDescent="0.25"/>
    <row r="18564" hidden="1" x14ac:dyDescent="0.25"/>
    <row r="18565" hidden="1" x14ac:dyDescent="0.25"/>
    <row r="18566" hidden="1" x14ac:dyDescent="0.25"/>
    <row r="18567" hidden="1" x14ac:dyDescent="0.25"/>
    <row r="18568" hidden="1" x14ac:dyDescent="0.25"/>
    <row r="18569" hidden="1" x14ac:dyDescent="0.25"/>
    <row r="18570" hidden="1" x14ac:dyDescent="0.25"/>
    <row r="18571" hidden="1" x14ac:dyDescent="0.25"/>
    <row r="18572" hidden="1" x14ac:dyDescent="0.25"/>
    <row r="18573" hidden="1" x14ac:dyDescent="0.25"/>
    <row r="18574" hidden="1" x14ac:dyDescent="0.25"/>
    <row r="18575" hidden="1" x14ac:dyDescent="0.25"/>
    <row r="18576" hidden="1" x14ac:dyDescent="0.25"/>
    <row r="18577" hidden="1" x14ac:dyDescent="0.25"/>
    <row r="18578" hidden="1" x14ac:dyDescent="0.25"/>
    <row r="18579" hidden="1" x14ac:dyDescent="0.25"/>
    <row r="18580" hidden="1" x14ac:dyDescent="0.25"/>
    <row r="18581" hidden="1" x14ac:dyDescent="0.25"/>
    <row r="18582" hidden="1" x14ac:dyDescent="0.25"/>
    <row r="18583" hidden="1" x14ac:dyDescent="0.25"/>
    <row r="18584" hidden="1" x14ac:dyDescent="0.25"/>
    <row r="18585" hidden="1" x14ac:dyDescent="0.25"/>
    <row r="18586" hidden="1" x14ac:dyDescent="0.25"/>
    <row r="18587" hidden="1" x14ac:dyDescent="0.25"/>
    <row r="18588" hidden="1" x14ac:dyDescent="0.25"/>
    <row r="18589" hidden="1" x14ac:dyDescent="0.25"/>
    <row r="18590" hidden="1" x14ac:dyDescent="0.25"/>
    <row r="18591" hidden="1" x14ac:dyDescent="0.25"/>
    <row r="18592" hidden="1" x14ac:dyDescent="0.25"/>
    <row r="18593" hidden="1" x14ac:dyDescent="0.25"/>
    <row r="18594" hidden="1" x14ac:dyDescent="0.25"/>
    <row r="18595" hidden="1" x14ac:dyDescent="0.25"/>
    <row r="18596" hidden="1" x14ac:dyDescent="0.25"/>
    <row r="18597" hidden="1" x14ac:dyDescent="0.25"/>
    <row r="18598" hidden="1" x14ac:dyDescent="0.25"/>
    <row r="18599" hidden="1" x14ac:dyDescent="0.25"/>
    <row r="18600" hidden="1" x14ac:dyDescent="0.25"/>
    <row r="18601" hidden="1" x14ac:dyDescent="0.25"/>
    <row r="18602" hidden="1" x14ac:dyDescent="0.25"/>
    <row r="18603" hidden="1" x14ac:dyDescent="0.25"/>
    <row r="18604" hidden="1" x14ac:dyDescent="0.25"/>
    <row r="18605" hidden="1" x14ac:dyDescent="0.25"/>
    <row r="18606" hidden="1" x14ac:dyDescent="0.25"/>
    <row r="18607" hidden="1" x14ac:dyDescent="0.25"/>
    <row r="18608" hidden="1" x14ac:dyDescent="0.25"/>
    <row r="18609" hidden="1" x14ac:dyDescent="0.25"/>
    <row r="18610" hidden="1" x14ac:dyDescent="0.25"/>
    <row r="18611" hidden="1" x14ac:dyDescent="0.25"/>
    <row r="18612" hidden="1" x14ac:dyDescent="0.25"/>
    <row r="18613" hidden="1" x14ac:dyDescent="0.25"/>
    <row r="18614" hidden="1" x14ac:dyDescent="0.25"/>
    <row r="18615" hidden="1" x14ac:dyDescent="0.25"/>
    <row r="18616" hidden="1" x14ac:dyDescent="0.25"/>
    <row r="18617" hidden="1" x14ac:dyDescent="0.25"/>
    <row r="18618" hidden="1" x14ac:dyDescent="0.25"/>
    <row r="18619" hidden="1" x14ac:dyDescent="0.25"/>
    <row r="18620" hidden="1" x14ac:dyDescent="0.25"/>
    <row r="18621" hidden="1" x14ac:dyDescent="0.25"/>
    <row r="18622" hidden="1" x14ac:dyDescent="0.25"/>
    <row r="18623" hidden="1" x14ac:dyDescent="0.25"/>
    <row r="18624" hidden="1" x14ac:dyDescent="0.25"/>
    <row r="18625" hidden="1" x14ac:dyDescent="0.25"/>
    <row r="18626" hidden="1" x14ac:dyDescent="0.25"/>
    <row r="18627" hidden="1" x14ac:dyDescent="0.25"/>
    <row r="18628" hidden="1" x14ac:dyDescent="0.25"/>
    <row r="18629" hidden="1" x14ac:dyDescent="0.25"/>
    <row r="18630" hidden="1" x14ac:dyDescent="0.25"/>
    <row r="18631" hidden="1" x14ac:dyDescent="0.25"/>
    <row r="18632" hidden="1" x14ac:dyDescent="0.25"/>
    <row r="18633" hidden="1" x14ac:dyDescent="0.25"/>
    <row r="18634" hidden="1" x14ac:dyDescent="0.25"/>
    <row r="18635" hidden="1" x14ac:dyDescent="0.25"/>
    <row r="18636" hidden="1" x14ac:dyDescent="0.25"/>
    <row r="18637" hidden="1" x14ac:dyDescent="0.25"/>
    <row r="18638" hidden="1" x14ac:dyDescent="0.25"/>
    <row r="18639" hidden="1" x14ac:dyDescent="0.25"/>
    <row r="18640" hidden="1" x14ac:dyDescent="0.25"/>
    <row r="18641" hidden="1" x14ac:dyDescent="0.25"/>
    <row r="18642" hidden="1" x14ac:dyDescent="0.25"/>
    <row r="18643" hidden="1" x14ac:dyDescent="0.25"/>
    <row r="18644" hidden="1" x14ac:dyDescent="0.25"/>
    <row r="18645" hidden="1" x14ac:dyDescent="0.25"/>
    <row r="18646" hidden="1" x14ac:dyDescent="0.25"/>
    <row r="18647" hidden="1" x14ac:dyDescent="0.25"/>
    <row r="18648" hidden="1" x14ac:dyDescent="0.25"/>
    <row r="18649" hidden="1" x14ac:dyDescent="0.25"/>
    <row r="18650" hidden="1" x14ac:dyDescent="0.25"/>
    <row r="18651" hidden="1" x14ac:dyDescent="0.25"/>
    <row r="18652" hidden="1" x14ac:dyDescent="0.25"/>
    <row r="18653" hidden="1" x14ac:dyDescent="0.25"/>
    <row r="18654" hidden="1" x14ac:dyDescent="0.25"/>
    <row r="18655" hidden="1" x14ac:dyDescent="0.25"/>
    <row r="18656" hidden="1" x14ac:dyDescent="0.25"/>
    <row r="18657" hidden="1" x14ac:dyDescent="0.25"/>
    <row r="18658" hidden="1" x14ac:dyDescent="0.25"/>
    <row r="18659" hidden="1" x14ac:dyDescent="0.25"/>
    <row r="18660" hidden="1" x14ac:dyDescent="0.25"/>
    <row r="18661" hidden="1" x14ac:dyDescent="0.25"/>
    <row r="18662" hidden="1" x14ac:dyDescent="0.25"/>
    <row r="18663" hidden="1" x14ac:dyDescent="0.25"/>
    <row r="18664" hidden="1" x14ac:dyDescent="0.25"/>
    <row r="18665" hidden="1" x14ac:dyDescent="0.25"/>
    <row r="18666" hidden="1" x14ac:dyDescent="0.25"/>
    <row r="18667" hidden="1" x14ac:dyDescent="0.25"/>
    <row r="18668" hidden="1" x14ac:dyDescent="0.25"/>
    <row r="18669" hidden="1" x14ac:dyDescent="0.25"/>
    <row r="18670" hidden="1" x14ac:dyDescent="0.25"/>
    <row r="18671" hidden="1" x14ac:dyDescent="0.25"/>
    <row r="18672" hidden="1" x14ac:dyDescent="0.25"/>
    <row r="18673" hidden="1" x14ac:dyDescent="0.25"/>
    <row r="18674" hidden="1" x14ac:dyDescent="0.25"/>
    <row r="18675" hidden="1" x14ac:dyDescent="0.25"/>
    <row r="18676" hidden="1" x14ac:dyDescent="0.25"/>
    <row r="18677" hidden="1" x14ac:dyDescent="0.25"/>
    <row r="18678" hidden="1" x14ac:dyDescent="0.25"/>
    <row r="18679" hidden="1" x14ac:dyDescent="0.25"/>
    <row r="18680" hidden="1" x14ac:dyDescent="0.25"/>
    <row r="18681" hidden="1" x14ac:dyDescent="0.25"/>
    <row r="18682" hidden="1" x14ac:dyDescent="0.25"/>
    <row r="18683" hidden="1" x14ac:dyDescent="0.25"/>
    <row r="18684" hidden="1" x14ac:dyDescent="0.25"/>
    <row r="18685" hidden="1" x14ac:dyDescent="0.25"/>
    <row r="18686" hidden="1" x14ac:dyDescent="0.25"/>
    <row r="18687" hidden="1" x14ac:dyDescent="0.25"/>
    <row r="18688" hidden="1" x14ac:dyDescent="0.25"/>
    <row r="18689" hidden="1" x14ac:dyDescent="0.25"/>
    <row r="18690" hidden="1" x14ac:dyDescent="0.25"/>
    <row r="18691" hidden="1" x14ac:dyDescent="0.25"/>
    <row r="18692" hidden="1" x14ac:dyDescent="0.25"/>
    <row r="18693" hidden="1" x14ac:dyDescent="0.25"/>
    <row r="18694" hidden="1" x14ac:dyDescent="0.25"/>
    <row r="18695" hidden="1" x14ac:dyDescent="0.25"/>
    <row r="18696" hidden="1" x14ac:dyDescent="0.25"/>
    <row r="18697" hidden="1" x14ac:dyDescent="0.25"/>
    <row r="18698" hidden="1" x14ac:dyDescent="0.25"/>
    <row r="18699" hidden="1" x14ac:dyDescent="0.25"/>
    <row r="18700" hidden="1" x14ac:dyDescent="0.25"/>
    <row r="18701" hidden="1" x14ac:dyDescent="0.25"/>
    <row r="18702" hidden="1" x14ac:dyDescent="0.25"/>
    <row r="18703" hidden="1" x14ac:dyDescent="0.25"/>
    <row r="18704" hidden="1" x14ac:dyDescent="0.25"/>
    <row r="18705" hidden="1" x14ac:dyDescent="0.25"/>
    <row r="18706" hidden="1" x14ac:dyDescent="0.25"/>
    <row r="18707" hidden="1" x14ac:dyDescent="0.25"/>
    <row r="18708" hidden="1" x14ac:dyDescent="0.25"/>
    <row r="18709" hidden="1" x14ac:dyDescent="0.25"/>
    <row r="18710" hidden="1" x14ac:dyDescent="0.25"/>
    <row r="18711" hidden="1" x14ac:dyDescent="0.25"/>
    <row r="18712" hidden="1" x14ac:dyDescent="0.25"/>
    <row r="18713" hidden="1" x14ac:dyDescent="0.25"/>
    <row r="18714" hidden="1" x14ac:dyDescent="0.25"/>
    <row r="18715" hidden="1" x14ac:dyDescent="0.25"/>
    <row r="18716" hidden="1" x14ac:dyDescent="0.25"/>
    <row r="18717" hidden="1" x14ac:dyDescent="0.25"/>
    <row r="18718" hidden="1" x14ac:dyDescent="0.25"/>
    <row r="18719" hidden="1" x14ac:dyDescent="0.25"/>
    <row r="18720" hidden="1" x14ac:dyDescent="0.25"/>
    <row r="18721" hidden="1" x14ac:dyDescent="0.25"/>
    <row r="18722" hidden="1" x14ac:dyDescent="0.25"/>
    <row r="18723" hidden="1" x14ac:dyDescent="0.25"/>
    <row r="18724" hidden="1" x14ac:dyDescent="0.25"/>
    <row r="18725" hidden="1" x14ac:dyDescent="0.25"/>
    <row r="18726" hidden="1" x14ac:dyDescent="0.25"/>
    <row r="18727" hidden="1" x14ac:dyDescent="0.25"/>
    <row r="18728" hidden="1" x14ac:dyDescent="0.25"/>
    <row r="18729" hidden="1" x14ac:dyDescent="0.25"/>
    <row r="18730" hidden="1" x14ac:dyDescent="0.25"/>
    <row r="18731" hidden="1" x14ac:dyDescent="0.25"/>
    <row r="18732" hidden="1" x14ac:dyDescent="0.25"/>
    <row r="18733" hidden="1" x14ac:dyDescent="0.25"/>
    <row r="18734" hidden="1" x14ac:dyDescent="0.25"/>
    <row r="18735" hidden="1" x14ac:dyDescent="0.25"/>
    <row r="18736" hidden="1" x14ac:dyDescent="0.25"/>
    <row r="18737" hidden="1" x14ac:dyDescent="0.25"/>
    <row r="18738" hidden="1" x14ac:dyDescent="0.25"/>
    <row r="18739" hidden="1" x14ac:dyDescent="0.25"/>
    <row r="18740" hidden="1" x14ac:dyDescent="0.25"/>
    <row r="18741" hidden="1" x14ac:dyDescent="0.25"/>
    <row r="18742" hidden="1" x14ac:dyDescent="0.25"/>
    <row r="18743" hidden="1" x14ac:dyDescent="0.25"/>
    <row r="18744" hidden="1" x14ac:dyDescent="0.25"/>
    <row r="18745" hidden="1" x14ac:dyDescent="0.25"/>
    <row r="18746" hidden="1" x14ac:dyDescent="0.25"/>
    <row r="18747" hidden="1" x14ac:dyDescent="0.25"/>
    <row r="18748" hidden="1" x14ac:dyDescent="0.25"/>
    <row r="18749" hidden="1" x14ac:dyDescent="0.25"/>
    <row r="18750" hidden="1" x14ac:dyDescent="0.25"/>
    <row r="18751" hidden="1" x14ac:dyDescent="0.25"/>
    <row r="18752" hidden="1" x14ac:dyDescent="0.25"/>
    <row r="18753" hidden="1" x14ac:dyDescent="0.25"/>
    <row r="18754" hidden="1" x14ac:dyDescent="0.25"/>
    <row r="18755" hidden="1" x14ac:dyDescent="0.25"/>
    <row r="18756" hidden="1" x14ac:dyDescent="0.25"/>
    <row r="18757" hidden="1" x14ac:dyDescent="0.25"/>
    <row r="18758" hidden="1" x14ac:dyDescent="0.25"/>
    <row r="18759" hidden="1" x14ac:dyDescent="0.25"/>
    <row r="18760" hidden="1" x14ac:dyDescent="0.25"/>
    <row r="18761" hidden="1" x14ac:dyDescent="0.25"/>
    <row r="18762" hidden="1" x14ac:dyDescent="0.25"/>
    <row r="18763" hidden="1" x14ac:dyDescent="0.25"/>
    <row r="18764" hidden="1" x14ac:dyDescent="0.25"/>
    <row r="18765" hidden="1" x14ac:dyDescent="0.25"/>
    <row r="18766" hidden="1" x14ac:dyDescent="0.25"/>
    <row r="18767" hidden="1" x14ac:dyDescent="0.25"/>
    <row r="18768" hidden="1" x14ac:dyDescent="0.25"/>
    <row r="18769" hidden="1" x14ac:dyDescent="0.25"/>
    <row r="18770" hidden="1" x14ac:dyDescent="0.25"/>
    <row r="18771" hidden="1" x14ac:dyDescent="0.25"/>
    <row r="18772" hidden="1" x14ac:dyDescent="0.25"/>
    <row r="18773" hidden="1" x14ac:dyDescent="0.25"/>
    <row r="18774" hidden="1" x14ac:dyDescent="0.25"/>
    <row r="18775" hidden="1" x14ac:dyDescent="0.25"/>
    <row r="18776" hidden="1" x14ac:dyDescent="0.25"/>
    <row r="18777" hidden="1" x14ac:dyDescent="0.25"/>
    <row r="18778" hidden="1" x14ac:dyDescent="0.25"/>
    <row r="18779" hidden="1" x14ac:dyDescent="0.25"/>
    <row r="18780" hidden="1" x14ac:dyDescent="0.25"/>
    <row r="18781" hidden="1" x14ac:dyDescent="0.25"/>
    <row r="18782" hidden="1" x14ac:dyDescent="0.25"/>
    <row r="18783" hidden="1" x14ac:dyDescent="0.25"/>
    <row r="18784" hidden="1" x14ac:dyDescent="0.25"/>
    <row r="18785" hidden="1" x14ac:dyDescent="0.25"/>
    <row r="18786" hidden="1" x14ac:dyDescent="0.25"/>
    <row r="18787" hidden="1" x14ac:dyDescent="0.25"/>
    <row r="18788" hidden="1" x14ac:dyDescent="0.25"/>
    <row r="18789" hidden="1" x14ac:dyDescent="0.25"/>
    <row r="18790" hidden="1" x14ac:dyDescent="0.25"/>
    <row r="18791" hidden="1" x14ac:dyDescent="0.25"/>
    <row r="18792" hidden="1" x14ac:dyDescent="0.25"/>
    <row r="18793" hidden="1" x14ac:dyDescent="0.25"/>
    <row r="18794" hidden="1" x14ac:dyDescent="0.25"/>
    <row r="18795" hidden="1" x14ac:dyDescent="0.25"/>
    <row r="18796" hidden="1" x14ac:dyDescent="0.25"/>
    <row r="18797" hidden="1" x14ac:dyDescent="0.25"/>
    <row r="18798" hidden="1" x14ac:dyDescent="0.25"/>
    <row r="18799" hidden="1" x14ac:dyDescent="0.25"/>
    <row r="18800" hidden="1" x14ac:dyDescent="0.25"/>
    <row r="18801" hidden="1" x14ac:dyDescent="0.25"/>
    <row r="18802" hidden="1" x14ac:dyDescent="0.25"/>
    <row r="18803" hidden="1" x14ac:dyDescent="0.25"/>
    <row r="18804" hidden="1" x14ac:dyDescent="0.25"/>
    <row r="18805" hidden="1" x14ac:dyDescent="0.25"/>
    <row r="18806" hidden="1" x14ac:dyDescent="0.25"/>
    <row r="18807" hidden="1" x14ac:dyDescent="0.25"/>
    <row r="18808" hidden="1" x14ac:dyDescent="0.25"/>
    <row r="18809" hidden="1" x14ac:dyDescent="0.25"/>
    <row r="18810" hidden="1" x14ac:dyDescent="0.25"/>
    <row r="18811" hidden="1" x14ac:dyDescent="0.25"/>
    <row r="18812" hidden="1" x14ac:dyDescent="0.25"/>
    <row r="18813" hidden="1" x14ac:dyDescent="0.25"/>
    <row r="18814" hidden="1" x14ac:dyDescent="0.25"/>
    <row r="18815" hidden="1" x14ac:dyDescent="0.25"/>
    <row r="18816" hidden="1" x14ac:dyDescent="0.25"/>
    <row r="18817" hidden="1" x14ac:dyDescent="0.25"/>
    <row r="18818" hidden="1" x14ac:dyDescent="0.25"/>
    <row r="18819" hidden="1" x14ac:dyDescent="0.25"/>
    <row r="18820" hidden="1" x14ac:dyDescent="0.25"/>
    <row r="18821" hidden="1" x14ac:dyDescent="0.25"/>
    <row r="18822" hidden="1" x14ac:dyDescent="0.25"/>
    <row r="18823" hidden="1" x14ac:dyDescent="0.25"/>
    <row r="18824" hidden="1" x14ac:dyDescent="0.25"/>
    <row r="18825" hidden="1" x14ac:dyDescent="0.25"/>
    <row r="18826" hidden="1" x14ac:dyDescent="0.25"/>
    <row r="18827" hidden="1" x14ac:dyDescent="0.25"/>
    <row r="18828" hidden="1" x14ac:dyDescent="0.25"/>
    <row r="18829" hidden="1" x14ac:dyDescent="0.25"/>
    <row r="18830" hidden="1" x14ac:dyDescent="0.25"/>
    <row r="18831" hidden="1" x14ac:dyDescent="0.25"/>
    <row r="18832" hidden="1" x14ac:dyDescent="0.25"/>
    <row r="18833" hidden="1" x14ac:dyDescent="0.25"/>
    <row r="18834" hidden="1" x14ac:dyDescent="0.25"/>
    <row r="18835" hidden="1" x14ac:dyDescent="0.25"/>
    <row r="18836" hidden="1" x14ac:dyDescent="0.25"/>
    <row r="18837" hidden="1" x14ac:dyDescent="0.25"/>
    <row r="18838" hidden="1" x14ac:dyDescent="0.25"/>
    <row r="18839" hidden="1" x14ac:dyDescent="0.25"/>
    <row r="18840" hidden="1" x14ac:dyDescent="0.25"/>
    <row r="18841" hidden="1" x14ac:dyDescent="0.25"/>
    <row r="18842" hidden="1" x14ac:dyDescent="0.25"/>
    <row r="18843" hidden="1" x14ac:dyDescent="0.25"/>
    <row r="18844" hidden="1" x14ac:dyDescent="0.25"/>
    <row r="18845" hidden="1" x14ac:dyDescent="0.25"/>
    <row r="18846" hidden="1" x14ac:dyDescent="0.25"/>
    <row r="18847" hidden="1" x14ac:dyDescent="0.25"/>
    <row r="18848" hidden="1" x14ac:dyDescent="0.25"/>
    <row r="18849" hidden="1" x14ac:dyDescent="0.25"/>
    <row r="18850" hidden="1" x14ac:dyDescent="0.25"/>
    <row r="18851" hidden="1" x14ac:dyDescent="0.25"/>
    <row r="18852" hidden="1" x14ac:dyDescent="0.25"/>
    <row r="18853" hidden="1" x14ac:dyDescent="0.25"/>
    <row r="18854" hidden="1" x14ac:dyDescent="0.25"/>
    <row r="18855" hidden="1" x14ac:dyDescent="0.25"/>
    <row r="18856" hidden="1" x14ac:dyDescent="0.25"/>
    <row r="18857" hidden="1" x14ac:dyDescent="0.25"/>
    <row r="18858" hidden="1" x14ac:dyDescent="0.25"/>
    <row r="18859" hidden="1" x14ac:dyDescent="0.25"/>
    <row r="18860" hidden="1" x14ac:dyDescent="0.25"/>
    <row r="18861" hidden="1" x14ac:dyDescent="0.25"/>
    <row r="18862" hidden="1" x14ac:dyDescent="0.25"/>
    <row r="18863" hidden="1" x14ac:dyDescent="0.25"/>
    <row r="18864" hidden="1" x14ac:dyDescent="0.25"/>
    <row r="18865" hidden="1" x14ac:dyDescent="0.25"/>
    <row r="18866" hidden="1" x14ac:dyDescent="0.25"/>
    <row r="18867" hidden="1" x14ac:dyDescent="0.25"/>
    <row r="18868" hidden="1" x14ac:dyDescent="0.25"/>
    <row r="18869" hidden="1" x14ac:dyDescent="0.25"/>
    <row r="18870" hidden="1" x14ac:dyDescent="0.25"/>
    <row r="18871" hidden="1" x14ac:dyDescent="0.25"/>
    <row r="18872" hidden="1" x14ac:dyDescent="0.25"/>
    <row r="18873" hidden="1" x14ac:dyDescent="0.25"/>
    <row r="18874" hidden="1" x14ac:dyDescent="0.25"/>
    <row r="18875" hidden="1" x14ac:dyDescent="0.25"/>
    <row r="18876" hidden="1" x14ac:dyDescent="0.25"/>
    <row r="18877" hidden="1" x14ac:dyDescent="0.25"/>
    <row r="18878" hidden="1" x14ac:dyDescent="0.25"/>
    <row r="18879" hidden="1" x14ac:dyDescent="0.25"/>
    <row r="18880" hidden="1" x14ac:dyDescent="0.25"/>
    <row r="18881" hidden="1" x14ac:dyDescent="0.25"/>
    <row r="18882" hidden="1" x14ac:dyDescent="0.25"/>
    <row r="18883" hidden="1" x14ac:dyDescent="0.25"/>
    <row r="18884" hidden="1" x14ac:dyDescent="0.25"/>
    <row r="18885" hidden="1" x14ac:dyDescent="0.25"/>
    <row r="18886" hidden="1" x14ac:dyDescent="0.25"/>
    <row r="18887" hidden="1" x14ac:dyDescent="0.25"/>
    <row r="18888" hidden="1" x14ac:dyDescent="0.25"/>
    <row r="18889" hidden="1" x14ac:dyDescent="0.25"/>
    <row r="18890" hidden="1" x14ac:dyDescent="0.25"/>
    <row r="18891" hidden="1" x14ac:dyDescent="0.25"/>
    <row r="18892" hidden="1" x14ac:dyDescent="0.25"/>
    <row r="18893" hidden="1" x14ac:dyDescent="0.25"/>
    <row r="18894" hidden="1" x14ac:dyDescent="0.25"/>
    <row r="18895" hidden="1" x14ac:dyDescent="0.25"/>
    <row r="18896" hidden="1" x14ac:dyDescent="0.25"/>
    <row r="18897" hidden="1" x14ac:dyDescent="0.25"/>
    <row r="18898" hidden="1" x14ac:dyDescent="0.25"/>
    <row r="18899" hidden="1" x14ac:dyDescent="0.25"/>
    <row r="18900" hidden="1" x14ac:dyDescent="0.25"/>
    <row r="18901" hidden="1" x14ac:dyDescent="0.25"/>
    <row r="18902" hidden="1" x14ac:dyDescent="0.25"/>
    <row r="18903" hidden="1" x14ac:dyDescent="0.25"/>
    <row r="18904" hidden="1" x14ac:dyDescent="0.25"/>
    <row r="18905" hidden="1" x14ac:dyDescent="0.25"/>
    <row r="18906" hidden="1" x14ac:dyDescent="0.25"/>
    <row r="18907" hidden="1" x14ac:dyDescent="0.25"/>
    <row r="18908" hidden="1" x14ac:dyDescent="0.25"/>
    <row r="18909" hidden="1" x14ac:dyDescent="0.25"/>
    <row r="18910" hidden="1" x14ac:dyDescent="0.25"/>
    <row r="18911" hidden="1" x14ac:dyDescent="0.25"/>
    <row r="18912" hidden="1" x14ac:dyDescent="0.25"/>
    <row r="18913" hidden="1" x14ac:dyDescent="0.25"/>
    <row r="18914" hidden="1" x14ac:dyDescent="0.25"/>
    <row r="18915" hidden="1" x14ac:dyDescent="0.25"/>
    <row r="18916" hidden="1" x14ac:dyDescent="0.25"/>
    <row r="18917" hidden="1" x14ac:dyDescent="0.25"/>
    <row r="18918" hidden="1" x14ac:dyDescent="0.25"/>
    <row r="18919" hidden="1" x14ac:dyDescent="0.25"/>
    <row r="18920" hidden="1" x14ac:dyDescent="0.25"/>
    <row r="18921" hidden="1" x14ac:dyDescent="0.25"/>
    <row r="18922" hidden="1" x14ac:dyDescent="0.25"/>
    <row r="18923" hidden="1" x14ac:dyDescent="0.25"/>
    <row r="18924" hidden="1" x14ac:dyDescent="0.25"/>
    <row r="18925" hidden="1" x14ac:dyDescent="0.25"/>
    <row r="18926" hidden="1" x14ac:dyDescent="0.25"/>
    <row r="18927" hidden="1" x14ac:dyDescent="0.25"/>
    <row r="18928" hidden="1" x14ac:dyDescent="0.25"/>
    <row r="18929" hidden="1" x14ac:dyDescent="0.25"/>
    <row r="18930" hidden="1" x14ac:dyDescent="0.25"/>
    <row r="18931" hidden="1" x14ac:dyDescent="0.25"/>
    <row r="18932" hidden="1" x14ac:dyDescent="0.25"/>
    <row r="18933" hidden="1" x14ac:dyDescent="0.25"/>
    <row r="18934" hidden="1" x14ac:dyDescent="0.25"/>
    <row r="18935" hidden="1" x14ac:dyDescent="0.25"/>
    <row r="18936" hidden="1" x14ac:dyDescent="0.25"/>
    <row r="18937" hidden="1" x14ac:dyDescent="0.25"/>
    <row r="18938" hidden="1" x14ac:dyDescent="0.25"/>
    <row r="18939" hidden="1" x14ac:dyDescent="0.25"/>
    <row r="18940" hidden="1" x14ac:dyDescent="0.25"/>
    <row r="18941" hidden="1" x14ac:dyDescent="0.25"/>
    <row r="18942" hidden="1" x14ac:dyDescent="0.25"/>
    <row r="18943" hidden="1" x14ac:dyDescent="0.25"/>
    <row r="18944" hidden="1" x14ac:dyDescent="0.25"/>
    <row r="18945" hidden="1" x14ac:dyDescent="0.25"/>
    <row r="18946" hidden="1" x14ac:dyDescent="0.25"/>
    <row r="18947" hidden="1" x14ac:dyDescent="0.25"/>
    <row r="18948" hidden="1" x14ac:dyDescent="0.25"/>
    <row r="18949" hidden="1" x14ac:dyDescent="0.25"/>
    <row r="18950" hidden="1" x14ac:dyDescent="0.25"/>
    <row r="18951" hidden="1" x14ac:dyDescent="0.25"/>
    <row r="18952" hidden="1" x14ac:dyDescent="0.25"/>
    <row r="18953" hidden="1" x14ac:dyDescent="0.25"/>
    <row r="18954" hidden="1" x14ac:dyDescent="0.25"/>
    <row r="18955" hidden="1" x14ac:dyDescent="0.25"/>
    <row r="18956" hidden="1" x14ac:dyDescent="0.25"/>
    <row r="18957" hidden="1" x14ac:dyDescent="0.25"/>
    <row r="18958" hidden="1" x14ac:dyDescent="0.25"/>
    <row r="18959" hidden="1" x14ac:dyDescent="0.25"/>
    <row r="18960" hidden="1" x14ac:dyDescent="0.25"/>
    <row r="18961" hidden="1" x14ac:dyDescent="0.25"/>
    <row r="18962" hidden="1" x14ac:dyDescent="0.25"/>
    <row r="18963" hidden="1" x14ac:dyDescent="0.25"/>
    <row r="18964" hidden="1" x14ac:dyDescent="0.25"/>
    <row r="18965" hidden="1" x14ac:dyDescent="0.25"/>
    <row r="18966" hidden="1" x14ac:dyDescent="0.25"/>
    <row r="18967" hidden="1" x14ac:dyDescent="0.25"/>
    <row r="18968" hidden="1" x14ac:dyDescent="0.25"/>
    <row r="18969" hidden="1" x14ac:dyDescent="0.25"/>
    <row r="18970" hidden="1" x14ac:dyDescent="0.25"/>
    <row r="18971" hidden="1" x14ac:dyDescent="0.25"/>
    <row r="18972" hidden="1" x14ac:dyDescent="0.25"/>
    <row r="18973" hidden="1" x14ac:dyDescent="0.25"/>
    <row r="18974" hidden="1" x14ac:dyDescent="0.25"/>
    <row r="18975" hidden="1" x14ac:dyDescent="0.25"/>
    <row r="18976" hidden="1" x14ac:dyDescent="0.25"/>
    <row r="18977" hidden="1" x14ac:dyDescent="0.25"/>
    <row r="18978" hidden="1" x14ac:dyDescent="0.25"/>
    <row r="18979" hidden="1" x14ac:dyDescent="0.25"/>
    <row r="18980" hidden="1" x14ac:dyDescent="0.25"/>
    <row r="18981" hidden="1" x14ac:dyDescent="0.25"/>
    <row r="18982" hidden="1" x14ac:dyDescent="0.25"/>
    <row r="18983" hidden="1" x14ac:dyDescent="0.25"/>
    <row r="18984" hidden="1" x14ac:dyDescent="0.25"/>
    <row r="18985" hidden="1" x14ac:dyDescent="0.25"/>
    <row r="18986" hidden="1" x14ac:dyDescent="0.25"/>
    <row r="18987" hidden="1" x14ac:dyDescent="0.25"/>
    <row r="18988" hidden="1" x14ac:dyDescent="0.25"/>
    <row r="18989" hidden="1" x14ac:dyDescent="0.25"/>
    <row r="18990" hidden="1" x14ac:dyDescent="0.25"/>
    <row r="18991" hidden="1" x14ac:dyDescent="0.25"/>
    <row r="18992" hidden="1" x14ac:dyDescent="0.25"/>
    <row r="18993" hidden="1" x14ac:dyDescent="0.25"/>
    <row r="18994" hidden="1" x14ac:dyDescent="0.25"/>
    <row r="18995" hidden="1" x14ac:dyDescent="0.25"/>
    <row r="18996" hidden="1" x14ac:dyDescent="0.25"/>
    <row r="18997" hidden="1" x14ac:dyDescent="0.25"/>
    <row r="18998" hidden="1" x14ac:dyDescent="0.25"/>
    <row r="18999" hidden="1" x14ac:dyDescent="0.25"/>
    <row r="19000" hidden="1" x14ac:dyDescent="0.25"/>
    <row r="19001" hidden="1" x14ac:dyDescent="0.25"/>
    <row r="19002" hidden="1" x14ac:dyDescent="0.25"/>
    <row r="19003" hidden="1" x14ac:dyDescent="0.25"/>
    <row r="19004" hidden="1" x14ac:dyDescent="0.25"/>
    <row r="19005" hidden="1" x14ac:dyDescent="0.25"/>
    <row r="19006" hidden="1" x14ac:dyDescent="0.25"/>
    <row r="19007" hidden="1" x14ac:dyDescent="0.25"/>
    <row r="19008" hidden="1" x14ac:dyDescent="0.25"/>
    <row r="19009" hidden="1" x14ac:dyDescent="0.25"/>
    <row r="19010" hidden="1" x14ac:dyDescent="0.25"/>
    <row r="19011" hidden="1" x14ac:dyDescent="0.25"/>
    <row r="19012" hidden="1" x14ac:dyDescent="0.25"/>
    <row r="19013" hidden="1" x14ac:dyDescent="0.25"/>
    <row r="19014" hidden="1" x14ac:dyDescent="0.25"/>
    <row r="19015" hidden="1" x14ac:dyDescent="0.25"/>
    <row r="19016" hidden="1" x14ac:dyDescent="0.25"/>
    <row r="19017" hidden="1" x14ac:dyDescent="0.25"/>
    <row r="19018" hidden="1" x14ac:dyDescent="0.25"/>
    <row r="19019" hidden="1" x14ac:dyDescent="0.25"/>
    <row r="19020" hidden="1" x14ac:dyDescent="0.25"/>
    <row r="19021" hidden="1" x14ac:dyDescent="0.25"/>
    <row r="19022" hidden="1" x14ac:dyDescent="0.25"/>
    <row r="19023" hidden="1" x14ac:dyDescent="0.25"/>
    <row r="19024" hidden="1" x14ac:dyDescent="0.25"/>
    <row r="19025" hidden="1" x14ac:dyDescent="0.25"/>
    <row r="19026" hidden="1" x14ac:dyDescent="0.25"/>
    <row r="19027" hidden="1" x14ac:dyDescent="0.25"/>
    <row r="19028" hidden="1" x14ac:dyDescent="0.25"/>
    <row r="19029" hidden="1" x14ac:dyDescent="0.25"/>
    <row r="19030" hidden="1" x14ac:dyDescent="0.25"/>
    <row r="19031" hidden="1" x14ac:dyDescent="0.25"/>
    <row r="19032" hidden="1" x14ac:dyDescent="0.25"/>
    <row r="19033" hidden="1" x14ac:dyDescent="0.25"/>
    <row r="19034" hidden="1" x14ac:dyDescent="0.25"/>
    <row r="19035" hidden="1" x14ac:dyDescent="0.25"/>
    <row r="19036" hidden="1" x14ac:dyDescent="0.25"/>
    <row r="19037" hidden="1" x14ac:dyDescent="0.25"/>
    <row r="19038" hidden="1" x14ac:dyDescent="0.25"/>
    <row r="19039" hidden="1" x14ac:dyDescent="0.25"/>
    <row r="19040" hidden="1" x14ac:dyDescent="0.25"/>
    <row r="19041" hidden="1" x14ac:dyDescent="0.25"/>
    <row r="19042" hidden="1" x14ac:dyDescent="0.25"/>
    <row r="19043" hidden="1" x14ac:dyDescent="0.25"/>
    <row r="19044" hidden="1" x14ac:dyDescent="0.25"/>
    <row r="19045" hidden="1" x14ac:dyDescent="0.25"/>
    <row r="19046" hidden="1" x14ac:dyDescent="0.25"/>
    <row r="19047" hidden="1" x14ac:dyDescent="0.25"/>
    <row r="19048" hidden="1" x14ac:dyDescent="0.25"/>
    <row r="19049" hidden="1" x14ac:dyDescent="0.25"/>
    <row r="19050" hidden="1" x14ac:dyDescent="0.25"/>
    <row r="19051" hidden="1" x14ac:dyDescent="0.25"/>
    <row r="19052" hidden="1" x14ac:dyDescent="0.25"/>
    <row r="19053" hidden="1" x14ac:dyDescent="0.25"/>
    <row r="19054" hidden="1" x14ac:dyDescent="0.25"/>
    <row r="19055" hidden="1" x14ac:dyDescent="0.25"/>
    <row r="19056" hidden="1" x14ac:dyDescent="0.25"/>
    <row r="19057" hidden="1" x14ac:dyDescent="0.25"/>
    <row r="19058" hidden="1" x14ac:dyDescent="0.25"/>
    <row r="19059" hidden="1" x14ac:dyDescent="0.25"/>
    <row r="19060" hidden="1" x14ac:dyDescent="0.25"/>
    <row r="19061" hidden="1" x14ac:dyDescent="0.25"/>
    <row r="19062" hidden="1" x14ac:dyDescent="0.25"/>
    <row r="19063" hidden="1" x14ac:dyDescent="0.25"/>
    <row r="19064" hidden="1" x14ac:dyDescent="0.25"/>
    <row r="19065" hidden="1" x14ac:dyDescent="0.25"/>
    <row r="19066" hidden="1" x14ac:dyDescent="0.25"/>
    <row r="19067" hidden="1" x14ac:dyDescent="0.25"/>
    <row r="19068" hidden="1" x14ac:dyDescent="0.25"/>
    <row r="19069" hidden="1" x14ac:dyDescent="0.25"/>
    <row r="19070" hidden="1" x14ac:dyDescent="0.25"/>
    <row r="19071" hidden="1" x14ac:dyDescent="0.25"/>
    <row r="19072" hidden="1" x14ac:dyDescent="0.25"/>
    <row r="19073" hidden="1" x14ac:dyDescent="0.25"/>
    <row r="19074" hidden="1" x14ac:dyDescent="0.25"/>
    <row r="19075" hidden="1" x14ac:dyDescent="0.25"/>
    <row r="19076" hidden="1" x14ac:dyDescent="0.25"/>
    <row r="19077" hidden="1" x14ac:dyDescent="0.25"/>
    <row r="19078" hidden="1" x14ac:dyDescent="0.25"/>
    <row r="19079" hidden="1" x14ac:dyDescent="0.25"/>
    <row r="19080" hidden="1" x14ac:dyDescent="0.25"/>
    <row r="19081" hidden="1" x14ac:dyDescent="0.25"/>
    <row r="19082" hidden="1" x14ac:dyDescent="0.25"/>
    <row r="19083" hidden="1" x14ac:dyDescent="0.25"/>
    <row r="19084" hidden="1" x14ac:dyDescent="0.25"/>
    <row r="19085" hidden="1" x14ac:dyDescent="0.25"/>
    <row r="19086" hidden="1" x14ac:dyDescent="0.25"/>
    <row r="19087" hidden="1" x14ac:dyDescent="0.25"/>
    <row r="19088" hidden="1" x14ac:dyDescent="0.25"/>
    <row r="19089" hidden="1" x14ac:dyDescent="0.25"/>
    <row r="19090" hidden="1" x14ac:dyDescent="0.25"/>
    <row r="19091" hidden="1" x14ac:dyDescent="0.25"/>
    <row r="19092" hidden="1" x14ac:dyDescent="0.25"/>
    <row r="19093" hidden="1" x14ac:dyDescent="0.25"/>
    <row r="19094" hidden="1" x14ac:dyDescent="0.25"/>
    <row r="19095" hidden="1" x14ac:dyDescent="0.25"/>
    <row r="19096" hidden="1" x14ac:dyDescent="0.25"/>
    <row r="19097" hidden="1" x14ac:dyDescent="0.25"/>
    <row r="19098" hidden="1" x14ac:dyDescent="0.25"/>
    <row r="19099" hidden="1" x14ac:dyDescent="0.25"/>
    <row r="19100" hidden="1" x14ac:dyDescent="0.25"/>
    <row r="19101" hidden="1" x14ac:dyDescent="0.25"/>
    <row r="19102" hidden="1" x14ac:dyDescent="0.25"/>
    <row r="19103" hidden="1" x14ac:dyDescent="0.25"/>
    <row r="19104" hidden="1" x14ac:dyDescent="0.25"/>
    <row r="19105" hidden="1" x14ac:dyDescent="0.25"/>
    <row r="19106" hidden="1" x14ac:dyDescent="0.25"/>
    <row r="19107" hidden="1" x14ac:dyDescent="0.25"/>
    <row r="19108" hidden="1" x14ac:dyDescent="0.25"/>
    <row r="19109" hidden="1" x14ac:dyDescent="0.25"/>
    <row r="19110" hidden="1" x14ac:dyDescent="0.25"/>
    <row r="19111" hidden="1" x14ac:dyDescent="0.25"/>
    <row r="19112" hidden="1" x14ac:dyDescent="0.25"/>
    <row r="19113" hidden="1" x14ac:dyDescent="0.25"/>
    <row r="19114" hidden="1" x14ac:dyDescent="0.25"/>
    <row r="19115" hidden="1" x14ac:dyDescent="0.25"/>
    <row r="19116" hidden="1" x14ac:dyDescent="0.25"/>
    <row r="19117" hidden="1" x14ac:dyDescent="0.25"/>
    <row r="19118" hidden="1" x14ac:dyDescent="0.25"/>
    <row r="19119" hidden="1" x14ac:dyDescent="0.25"/>
    <row r="19120" hidden="1" x14ac:dyDescent="0.25"/>
    <row r="19121" hidden="1" x14ac:dyDescent="0.25"/>
    <row r="19122" hidden="1" x14ac:dyDescent="0.25"/>
    <row r="19123" hidden="1" x14ac:dyDescent="0.25"/>
    <row r="19124" hidden="1" x14ac:dyDescent="0.25"/>
    <row r="19125" hidden="1" x14ac:dyDescent="0.25"/>
    <row r="19126" hidden="1" x14ac:dyDescent="0.25"/>
    <row r="19127" hidden="1" x14ac:dyDescent="0.25"/>
    <row r="19128" hidden="1" x14ac:dyDescent="0.25"/>
    <row r="19129" hidden="1" x14ac:dyDescent="0.25"/>
    <row r="19130" hidden="1" x14ac:dyDescent="0.25"/>
    <row r="19131" hidden="1" x14ac:dyDescent="0.25"/>
    <row r="19132" hidden="1" x14ac:dyDescent="0.25"/>
    <row r="19133" hidden="1" x14ac:dyDescent="0.25"/>
    <row r="19134" hidden="1" x14ac:dyDescent="0.25"/>
    <row r="19135" hidden="1" x14ac:dyDescent="0.25"/>
    <row r="19136" hidden="1" x14ac:dyDescent="0.25"/>
    <row r="19137" hidden="1" x14ac:dyDescent="0.25"/>
    <row r="19138" hidden="1" x14ac:dyDescent="0.25"/>
    <row r="19139" hidden="1" x14ac:dyDescent="0.25"/>
    <row r="19140" hidden="1" x14ac:dyDescent="0.25"/>
    <row r="19141" hidden="1" x14ac:dyDescent="0.25"/>
    <row r="19142" hidden="1" x14ac:dyDescent="0.25"/>
    <row r="19143" hidden="1" x14ac:dyDescent="0.25"/>
    <row r="19144" hidden="1" x14ac:dyDescent="0.25"/>
    <row r="19145" hidden="1" x14ac:dyDescent="0.25"/>
    <row r="19146" hidden="1" x14ac:dyDescent="0.25"/>
    <row r="19147" hidden="1" x14ac:dyDescent="0.25"/>
    <row r="19148" hidden="1" x14ac:dyDescent="0.25"/>
    <row r="19149" hidden="1" x14ac:dyDescent="0.25"/>
    <row r="19150" hidden="1" x14ac:dyDescent="0.25"/>
    <row r="19151" hidden="1" x14ac:dyDescent="0.25"/>
    <row r="19152" hidden="1" x14ac:dyDescent="0.25"/>
    <row r="19153" hidden="1" x14ac:dyDescent="0.25"/>
    <row r="19154" hidden="1" x14ac:dyDescent="0.25"/>
    <row r="19155" hidden="1" x14ac:dyDescent="0.25"/>
    <row r="19156" hidden="1" x14ac:dyDescent="0.25"/>
    <row r="19157" hidden="1" x14ac:dyDescent="0.25"/>
    <row r="19158" hidden="1" x14ac:dyDescent="0.25"/>
    <row r="19159" hidden="1" x14ac:dyDescent="0.25"/>
    <row r="19160" hidden="1" x14ac:dyDescent="0.25"/>
    <row r="19161" hidden="1" x14ac:dyDescent="0.25"/>
    <row r="19162" hidden="1" x14ac:dyDescent="0.25"/>
    <row r="19163" hidden="1" x14ac:dyDescent="0.25"/>
    <row r="19164" hidden="1" x14ac:dyDescent="0.25"/>
    <row r="19165" hidden="1" x14ac:dyDescent="0.25"/>
    <row r="19166" hidden="1" x14ac:dyDescent="0.25"/>
    <row r="19167" hidden="1" x14ac:dyDescent="0.25"/>
    <row r="19168" hidden="1" x14ac:dyDescent="0.25"/>
    <row r="19169" hidden="1" x14ac:dyDescent="0.25"/>
    <row r="19170" hidden="1" x14ac:dyDescent="0.25"/>
    <row r="19171" hidden="1" x14ac:dyDescent="0.25"/>
    <row r="19172" hidden="1" x14ac:dyDescent="0.25"/>
    <row r="19173" hidden="1" x14ac:dyDescent="0.25"/>
    <row r="19174" hidden="1" x14ac:dyDescent="0.25"/>
    <row r="19175" hidden="1" x14ac:dyDescent="0.25"/>
    <row r="19176" hidden="1" x14ac:dyDescent="0.25"/>
    <row r="19177" hidden="1" x14ac:dyDescent="0.25"/>
    <row r="19178" hidden="1" x14ac:dyDescent="0.25"/>
    <row r="19179" hidden="1" x14ac:dyDescent="0.25"/>
    <row r="19180" hidden="1" x14ac:dyDescent="0.25"/>
    <row r="19181" hidden="1" x14ac:dyDescent="0.25"/>
    <row r="19182" hidden="1" x14ac:dyDescent="0.25"/>
    <row r="19183" hidden="1" x14ac:dyDescent="0.25"/>
    <row r="19184" hidden="1" x14ac:dyDescent="0.25"/>
    <row r="19185" hidden="1" x14ac:dyDescent="0.25"/>
    <row r="19186" hidden="1" x14ac:dyDescent="0.25"/>
    <row r="19187" hidden="1" x14ac:dyDescent="0.25"/>
    <row r="19188" hidden="1" x14ac:dyDescent="0.25"/>
    <row r="19189" hidden="1" x14ac:dyDescent="0.25"/>
    <row r="19190" hidden="1" x14ac:dyDescent="0.25"/>
    <row r="19191" hidden="1" x14ac:dyDescent="0.25"/>
    <row r="19192" hidden="1" x14ac:dyDescent="0.25"/>
    <row r="19193" hidden="1" x14ac:dyDescent="0.25"/>
    <row r="19194" hidden="1" x14ac:dyDescent="0.25"/>
    <row r="19195" hidden="1" x14ac:dyDescent="0.25"/>
    <row r="19196" hidden="1" x14ac:dyDescent="0.25"/>
    <row r="19197" hidden="1" x14ac:dyDescent="0.25"/>
    <row r="19198" hidden="1" x14ac:dyDescent="0.25"/>
    <row r="19199" hidden="1" x14ac:dyDescent="0.25"/>
    <row r="19200" hidden="1" x14ac:dyDescent="0.25"/>
    <row r="19201" hidden="1" x14ac:dyDescent="0.25"/>
    <row r="19202" hidden="1" x14ac:dyDescent="0.25"/>
    <row r="19203" hidden="1" x14ac:dyDescent="0.25"/>
    <row r="19204" hidden="1" x14ac:dyDescent="0.25"/>
    <row r="19205" hidden="1" x14ac:dyDescent="0.25"/>
    <row r="19206" hidden="1" x14ac:dyDescent="0.25"/>
    <row r="19207" hidden="1" x14ac:dyDescent="0.25"/>
    <row r="19208" hidden="1" x14ac:dyDescent="0.25"/>
    <row r="19209" hidden="1" x14ac:dyDescent="0.25"/>
    <row r="19210" hidden="1" x14ac:dyDescent="0.25"/>
    <row r="19211" hidden="1" x14ac:dyDescent="0.25"/>
    <row r="19212" hidden="1" x14ac:dyDescent="0.25"/>
    <row r="19213" hidden="1" x14ac:dyDescent="0.25"/>
    <row r="19214" hidden="1" x14ac:dyDescent="0.25"/>
    <row r="19215" hidden="1" x14ac:dyDescent="0.25"/>
    <row r="19216" hidden="1" x14ac:dyDescent="0.25"/>
    <row r="19217" hidden="1" x14ac:dyDescent="0.25"/>
    <row r="19218" hidden="1" x14ac:dyDescent="0.25"/>
    <row r="19219" hidden="1" x14ac:dyDescent="0.25"/>
    <row r="19220" hidden="1" x14ac:dyDescent="0.25"/>
    <row r="19221" hidden="1" x14ac:dyDescent="0.25"/>
    <row r="19222" hidden="1" x14ac:dyDescent="0.25"/>
    <row r="19223" hidden="1" x14ac:dyDescent="0.25"/>
    <row r="19224" hidden="1" x14ac:dyDescent="0.25"/>
    <row r="19225" hidden="1" x14ac:dyDescent="0.25"/>
    <row r="19226" hidden="1" x14ac:dyDescent="0.25"/>
    <row r="19227" hidden="1" x14ac:dyDescent="0.25"/>
    <row r="19228" hidden="1" x14ac:dyDescent="0.25"/>
    <row r="19229" hidden="1" x14ac:dyDescent="0.25"/>
    <row r="19230" hidden="1" x14ac:dyDescent="0.25"/>
    <row r="19231" hidden="1" x14ac:dyDescent="0.25"/>
    <row r="19232" hidden="1" x14ac:dyDescent="0.25"/>
    <row r="19233" hidden="1" x14ac:dyDescent="0.25"/>
    <row r="19234" hidden="1" x14ac:dyDescent="0.25"/>
    <row r="19235" hidden="1" x14ac:dyDescent="0.25"/>
    <row r="19236" hidden="1" x14ac:dyDescent="0.25"/>
    <row r="19237" hidden="1" x14ac:dyDescent="0.25"/>
    <row r="19238" hidden="1" x14ac:dyDescent="0.25"/>
    <row r="19239" hidden="1" x14ac:dyDescent="0.25"/>
    <row r="19240" hidden="1" x14ac:dyDescent="0.25"/>
    <row r="19241" hidden="1" x14ac:dyDescent="0.25"/>
    <row r="19242" hidden="1" x14ac:dyDescent="0.25"/>
    <row r="19243" hidden="1" x14ac:dyDescent="0.25"/>
    <row r="19244" hidden="1" x14ac:dyDescent="0.25"/>
    <row r="19245" hidden="1" x14ac:dyDescent="0.25"/>
    <row r="19246" hidden="1" x14ac:dyDescent="0.25"/>
    <row r="19247" hidden="1" x14ac:dyDescent="0.25"/>
    <row r="19248" hidden="1" x14ac:dyDescent="0.25"/>
    <row r="19249" hidden="1" x14ac:dyDescent="0.25"/>
    <row r="19250" hidden="1" x14ac:dyDescent="0.25"/>
    <row r="19251" hidden="1" x14ac:dyDescent="0.25"/>
    <row r="19252" hidden="1" x14ac:dyDescent="0.25"/>
    <row r="19253" hidden="1" x14ac:dyDescent="0.25"/>
    <row r="19254" hidden="1" x14ac:dyDescent="0.25"/>
    <row r="19255" hidden="1" x14ac:dyDescent="0.25"/>
    <row r="19256" hidden="1" x14ac:dyDescent="0.25"/>
    <row r="19257" hidden="1" x14ac:dyDescent="0.25"/>
    <row r="19258" hidden="1" x14ac:dyDescent="0.25"/>
    <row r="19259" hidden="1" x14ac:dyDescent="0.25"/>
    <row r="19260" hidden="1" x14ac:dyDescent="0.25"/>
    <row r="19261" hidden="1" x14ac:dyDescent="0.25"/>
    <row r="19262" hidden="1" x14ac:dyDescent="0.25"/>
    <row r="19263" hidden="1" x14ac:dyDescent="0.25"/>
    <row r="19264" hidden="1" x14ac:dyDescent="0.25"/>
    <row r="19265" hidden="1" x14ac:dyDescent="0.25"/>
    <row r="19266" hidden="1" x14ac:dyDescent="0.25"/>
    <row r="19267" hidden="1" x14ac:dyDescent="0.25"/>
    <row r="19268" hidden="1" x14ac:dyDescent="0.25"/>
    <row r="19269" hidden="1" x14ac:dyDescent="0.25"/>
    <row r="19270" hidden="1" x14ac:dyDescent="0.25"/>
    <row r="19271" hidden="1" x14ac:dyDescent="0.25"/>
    <row r="19272" hidden="1" x14ac:dyDescent="0.25"/>
    <row r="19273" hidden="1" x14ac:dyDescent="0.25"/>
    <row r="19274" hidden="1" x14ac:dyDescent="0.25"/>
    <row r="19275" hidden="1" x14ac:dyDescent="0.25"/>
    <row r="19276" hidden="1" x14ac:dyDescent="0.25"/>
    <row r="19277" hidden="1" x14ac:dyDescent="0.25"/>
    <row r="19278" hidden="1" x14ac:dyDescent="0.25"/>
    <row r="19279" hidden="1" x14ac:dyDescent="0.25"/>
    <row r="19280" hidden="1" x14ac:dyDescent="0.25"/>
    <row r="19281" hidden="1" x14ac:dyDescent="0.25"/>
    <row r="19282" hidden="1" x14ac:dyDescent="0.25"/>
    <row r="19283" hidden="1" x14ac:dyDescent="0.25"/>
    <row r="19284" hidden="1" x14ac:dyDescent="0.25"/>
    <row r="19285" hidden="1" x14ac:dyDescent="0.25"/>
    <row r="19286" hidden="1" x14ac:dyDescent="0.25"/>
    <row r="19287" hidden="1" x14ac:dyDescent="0.25"/>
    <row r="19288" hidden="1" x14ac:dyDescent="0.25"/>
    <row r="19289" hidden="1" x14ac:dyDescent="0.25"/>
    <row r="19290" hidden="1" x14ac:dyDescent="0.25"/>
    <row r="19291" hidden="1" x14ac:dyDescent="0.25"/>
    <row r="19292" hidden="1" x14ac:dyDescent="0.25"/>
    <row r="19293" hidden="1" x14ac:dyDescent="0.25"/>
    <row r="19294" hidden="1" x14ac:dyDescent="0.25"/>
    <row r="19295" hidden="1" x14ac:dyDescent="0.25"/>
    <row r="19296" hidden="1" x14ac:dyDescent="0.25"/>
    <row r="19297" hidden="1" x14ac:dyDescent="0.25"/>
    <row r="19298" hidden="1" x14ac:dyDescent="0.25"/>
    <row r="19299" hidden="1" x14ac:dyDescent="0.25"/>
    <row r="19300" hidden="1" x14ac:dyDescent="0.25"/>
    <row r="19301" hidden="1" x14ac:dyDescent="0.25"/>
    <row r="19302" hidden="1" x14ac:dyDescent="0.25"/>
    <row r="19303" hidden="1" x14ac:dyDescent="0.25"/>
    <row r="19304" hidden="1" x14ac:dyDescent="0.25"/>
    <row r="19305" hidden="1" x14ac:dyDescent="0.25"/>
    <row r="19306" hidden="1" x14ac:dyDescent="0.25"/>
    <row r="19307" hidden="1" x14ac:dyDescent="0.25"/>
    <row r="19308" hidden="1" x14ac:dyDescent="0.25"/>
    <row r="19309" hidden="1" x14ac:dyDescent="0.25"/>
    <row r="19310" hidden="1" x14ac:dyDescent="0.25"/>
    <row r="19311" hidden="1" x14ac:dyDescent="0.25"/>
    <row r="19312" hidden="1" x14ac:dyDescent="0.25"/>
    <row r="19313" hidden="1" x14ac:dyDescent="0.25"/>
    <row r="19314" hidden="1" x14ac:dyDescent="0.25"/>
    <row r="19315" hidden="1" x14ac:dyDescent="0.25"/>
    <row r="19316" hidden="1" x14ac:dyDescent="0.25"/>
    <row r="19317" hidden="1" x14ac:dyDescent="0.25"/>
    <row r="19318" hidden="1" x14ac:dyDescent="0.25"/>
    <row r="19319" hidden="1" x14ac:dyDescent="0.25"/>
    <row r="19320" hidden="1" x14ac:dyDescent="0.25"/>
    <row r="19321" hidden="1" x14ac:dyDescent="0.25"/>
    <row r="19322" hidden="1" x14ac:dyDescent="0.25"/>
    <row r="19323" hidden="1" x14ac:dyDescent="0.25"/>
    <row r="19324" hidden="1" x14ac:dyDescent="0.25"/>
    <row r="19325" hidden="1" x14ac:dyDescent="0.25"/>
    <row r="19326" hidden="1" x14ac:dyDescent="0.25"/>
    <row r="19327" hidden="1" x14ac:dyDescent="0.25"/>
    <row r="19328" hidden="1" x14ac:dyDescent="0.25"/>
    <row r="19329" hidden="1" x14ac:dyDescent="0.25"/>
    <row r="19330" hidden="1" x14ac:dyDescent="0.25"/>
    <row r="19331" hidden="1" x14ac:dyDescent="0.25"/>
    <row r="19332" hidden="1" x14ac:dyDescent="0.25"/>
    <row r="19333" hidden="1" x14ac:dyDescent="0.25"/>
    <row r="19334" hidden="1" x14ac:dyDescent="0.25"/>
    <row r="19335" hidden="1" x14ac:dyDescent="0.25"/>
    <row r="19336" hidden="1" x14ac:dyDescent="0.25"/>
    <row r="19337" hidden="1" x14ac:dyDescent="0.25"/>
    <row r="19338" hidden="1" x14ac:dyDescent="0.25"/>
    <row r="19339" hidden="1" x14ac:dyDescent="0.25"/>
    <row r="19340" hidden="1" x14ac:dyDescent="0.25"/>
    <row r="19341" hidden="1" x14ac:dyDescent="0.25"/>
    <row r="19342" hidden="1" x14ac:dyDescent="0.25"/>
    <row r="19343" hidden="1" x14ac:dyDescent="0.25"/>
    <row r="19344" hidden="1" x14ac:dyDescent="0.25"/>
    <row r="19345" hidden="1" x14ac:dyDescent="0.25"/>
    <row r="19346" hidden="1" x14ac:dyDescent="0.25"/>
    <row r="19347" hidden="1" x14ac:dyDescent="0.25"/>
    <row r="19348" hidden="1" x14ac:dyDescent="0.25"/>
    <row r="19349" hidden="1" x14ac:dyDescent="0.25"/>
    <row r="19350" hidden="1" x14ac:dyDescent="0.25"/>
    <row r="19351" hidden="1" x14ac:dyDescent="0.25"/>
    <row r="19352" hidden="1" x14ac:dyDescent="0.25"/>
    <row r="19353" hidden="1" x14ac:dyDescent="0.25"/>
    <row r="19354" hidden="1" x14ac:dyDescent="0.25"/>
    <row r="19355" hidden="1" x14ac:dyDescent="0.25"/>
    <row r="19356" hidden="1" x14ac:dyDescent="0.25"/>
    <row r="19357" hidden="1" x14ac:dyDescent="0.25"/>
    <row r="19358" hidden="1" x14ac:dyDescent="0.25"/>
    <row r="19359" hidden="1" x14ac:dyDescent="0.25"/>
    <row r="19360" hidden="1" x14ac:dyDescent="0.25"/>
    <row r="19361" hidden="1" x14ac:dyDescent="0.25"/>
    <row r="19362" hidden="1" x14ac:dyDescent="0.25"/>
    <row r="19363" hidden="1" x14ac:dyDescent="0.25"/>
    <row r="19364" hidden="1" x14ac:dyDescent="0.25"/>
    <row r="19365" hidden="1" x14ac:dyDescent="0.25"/>
    <row r="19366" hidden="1" x14ac:dyDescent="0.25"/>
    <row r="19367" hidden="1" x14ac:dyDescent="0.25"/>
    <row r="19368" hidden="1" x14ac:dyDescent="0.25"/>
    <row r="19369" hidden="1" x14ac:dyDescent="0.25"/>
    <row r="19370" hidden="1" x14ac:dyDescent="0.25"/>
    <row r="19371" hidden="1" x14ac:dyDescent="0.25"/>
    <row r="19372" hidden="1" x14ac:dyDescent="0.25"/>
    <row r="19373" hidden="1" x14ac:dyDescent="0.25"/>
    <row r="19374" hidden="1" x14ac:dyDescent="0.25"/>
    <row r="19375" hidden="1" x14ac:dyDescent="0.25"/>
    <row r="19376" hidden="1" x14ac:dyDescent="0.25"/>
    <row r="19377" hidden="1" x14ac:dyDescent="0.25"/>
    <row r="19378" hidden="1" x14ac:dyDescent="0.25"/>
    <row r="19379" hidden="1" x14ac:dyDescent="0.25"/>
    <row r="19380" hidden="1" x14ac:dyDescent="0.25"/>
    <row r="19381" hidden="1" x14ac:dyDescent="0.25"/>
    <row r="19382" hidden="1" x14ac:dyDescent="0.25"/>
    <row r="19383" hidden="1" x14ac:dyDescent="0.25"/>
    <row r="19384" hidden="1" x14ac:dyDescent="0.25"/>
    <row r="19385" hidden="1" x14ac:dyDescent="0.25"/>
    <row r="19386" hidden="1" x14ac:dyDescent="0.25"/>
    <row r="19387" hidden="1" x14ac:dyDescent="0.25"/>
    <row r="19388" hidden="1" x14ac:dyDescent="0.25"/>
    <row r="19389" hidden="1" x14ac:dyDescent="0.25"/>
    <row r="19390" hidden="1" x14ac:dyDescent="0.25"/>
    <row r="19391" hidden="1" x14ac:dyDescent="0.25"/>
    <row r="19392" hidden="1" x14ac:dyDescent="0.25"/>
    <row r="19393" hidden="1" x14ac:dyDescent="0.25"/>
    <row r="19394" hidden="1" x14ac:dyDescent="0.25"/>
    <row r="19395" hidden="1" x14ac:dyDescent="0.25"/>
    <row r="19396" hidden="1" x14ac:dyDescent="0.25"/>
    <row r="19397" hidden="1" x14ac:dyDescent="0.25"/>
    <row r="19398" hidden="1" x14ac:dyDescent="0.25"/>
    <row r="19399" hidden="1" x14ac:dyDescent="0.25"/>
    <row r="19400" hidden="1" x14ac:dyDescent="0.25"/>
    <row r="19401" hidden="1" x14ac:dyDescent="0.25"/>
    <row r="19402" hidden="1" x14ac:dyDescent="0.25"/>
    <row r="19403" hidden="1" x14ac:dyDescent="0.25"/>
    <row r="19404" hidden="1" x14ac:dyDescent="0.25"/>
    <row r="19405" hidden="1" x14ac:dyDescent="0.25"/>
    <row r="19406" hidden="1" x14ac:dyDescent="0.25"/>
    <row r="19407" hidden="1" x14ac:dyDescent="0.25"/>
    <row r="19408" hidden="1" x14ac:dyDescent="0.25"/>
    <row r="19409" hidden="1" x14ac:dyDescent="0.25"/>
    <row r="19410" hidden="1" x14ac:dyDescent="0.25"/>
    <row r="19411" hidden="1" x14ac:dyDescent="0.25"/>
    <row r="19412" hidden="1" x14ac:dyDescent="0.25"/>
    <row r="19413" hidden="1" x14ac:dyDescent="0.25"/>
    <row r="19414" hidden="1" x14ac:dyDescent="0.25"/>
    <row r="19415" hidden="1" x14ac:dyDescent="0.25"/>
    <row r="19416" hidden="1" x14ac:dyDescent="0.25"/>
    <row r="19417" hidden="1" x14ac:dyDescent="0.25"/>
    <row r="19418" hidden="1" x14ac:dyDescent="0.25"/>
    <row r="19419" hidden="1" x14ac:dyDescent="0.25"/>
    <row r="19420" hidden="1" x14ac:dyDescent="0.25"/>
    <row r="19421" hidden="1" x14ac:dyDescent="0.25"/>
    <row r="19422" hidden="1" x14ac:dyDescent="0.25"/>
    <row r="19423" hidden="1" x14ac:dyDescent="0.25"/>
    <row r="19424" hidden="1" x14ac:dyDescent="0.25"/>
    <row r="19425" hidden="1" x14ac:dyDescent="0.25"/>
    <row r="19426" hidden="1" x14ac:dyDescent="0.25"/>
    <row r="19427" hidden="1" x14ac:dyDescent="0.25"/>
    <row r="19428" hidden="1" x14ac:dyDescent="0.25"/>
    <row r="19429" hidden="1" x14ac:dyDescent="0.25"/>
    <row r="19430" hidden="1" x14ac:dyDescent="0.25"/>
    <row r="19431" hidden="1" x14ac:dyDescent="0.25"/>
    <row r="19432" hidden="1" x14ac:dyDescent="0.25"/>
    <row r="19433" hidden="1" x14ac:dyDescent="0.25"/>
    <row r="19434" hidden="1" x14ac:dyDescent="0.25"/>
    <row r="19435" hidden="1" x14ac:dyDescent="0.25"/>
    <row r="19436" hidden="1" x14ac:dyDescent="0.25"/>
    <row r="19437" hidden="1" x14ac:dyDescent="0.25"/>
    <row r="19438" hidden="1" x14ac:dyDescent="0.25"/>
    <row r="19439" hidden="1" x14ac:dyDescent="0.25"/>
    <row r="19440" hidden="1" x14ac:dyDescent="0.25"/>
    <row r="19441" hidden="1" x14ac:dyDescent="0.25"/>
    <row r="19442" hidden="1" x14ac:dyDescent="0.25"/>
    <row r="19443" hidden="1" x14ac:dyDescent="0.25"/>
    <row r="19444" hidden="1" x14ac:dyDescent="0.25"/>
    <row r="19445" hidden="1" x14ac:dyDescent="0.25"/>
    <row r="19446" hidden="1" x14ac:dyDescent="0.25"/>
    <row r="19447" hidden="1" x14ac:dyDescent="0.25"/>
    <row r="19448" hidden="1" x14ac:dyDescent="0.25"/>
    <row r="19449" hidden="1" x14ac:dyDescent="0.25"/>
    <row r="19450" hidden="1" x14ac:dyDescent="0.25"/>
    <row r="19451" hidden="1" x14ac:dyDescent="0.25"/>
    <row r="19452" hidden="1" x14ac:dyDescent="0.25"/>
    <row r="19453" hidden="1" x14ac:dyDescent="0.25"/>
    <row r="19454" hidden="1" x14ac:dyDescent="0.25"/>
    <row r="19455" hidden="1" x14ac:dyDescent="0.25"/>
    <row r="19456" hidden="1" x14ac:dyDescent="0.25"/>
    <row r="19457" hidden="1" x14ac:dyDescent="0.25"/>
    <row r="19458" hidden="1" x14ac:dyDescent="0.25"/>
    <row r="19459" hidden="1" x14ac:dyDescent="0.25"/>
    <row r="19460" hidden="1" x14ac:dyDescent="0.25"/>
    <row r="19461" hidden="1" x14ac:dyDescent="0.25"/>
    <row r="19462" hidden="1" x14ac:dyDescent="0.25"/>
    <row r="19463" hidden="1" x14ac:dyDescent="0.25"/>
    <row r="19464" hidden="1" x14ac:dyDescent="0.25"/>
    <row r="19465" hidden="1" x14ac:dyDescent="0.25"/>
    <row r="19466" hidden="1" x14ac:dyDescent="0.25"/>
    <row r="19467" hidden="1" x14ac:dyDescent="0.25"/>
    <row r="19468" hidden="1" x14ac:dyDescent="0.25"/>
    <row r="19469" hidden="1" x14ac:dyDescent="0.25"/>
    <row r="19470" hidden="1" x14ac:dyDescent="0.25"/>
    <row r="19471" hidden="1" x14ac:dyDescent="0.25"/>
    <row r="19472" hidden="1" x14ac:dyDescent="0.25"/>
    <row r="19473" hidden="1" x14ac:dyDescent="0.25"/>
    <row r="19474" hidden="1" x14ac:dyDescent="0.25"/>
    <row r="19475" hidden="1" x14ac:dyDescent="0.25"/>
    <row r="19476" hidden="1" x14ac:dyDescent="0.25"/>
    <row r="19477" hidden="1" x14ac:dyDescent="0.25"/>
    <row r="19478" hidden="1" x14ac:dyDescent="0.25"/>
    <row r="19479" hidden="1" x14ac:dyDescent="0.25"/>
    <row r="19480" hidden="1" x14ac:dyDescent="0.25"/>
    <row r="19481" hidden="1" x14ac:dyDescent="0.25"/>
    <row r="19482" hidden="1" x14ac:dyDescent="0.25"/>
    <row r="19483" hidden="1" x14ac:dyDescent="0.25"/>
    <row r="19484" hidden="1" x14ac:dyDescent="0.25"/>
    <row r="19485" hidden="1" x14ac:dyDescent="0.25"/>
    <row r="19486" hidden="1" x14ac:dyDescent="0.25"/>
    <row r="19487" hidden="1" x14ac:dyDescent="0.25"/>
    <row r="19488" hidden="1" x14ac:dyDescent="0.25"/>
    <row r="19489" hidden="1" x14ac:dyDescent="0.25"/>
    <row r="19490" hidden="1" x14ac:dyDescent="0.25"/>
    <row r="19491" hidden="1" x14ac:dyDescent="0.25"/>
    <row r="19492" hidden="1" x14ac:dyDescent="0.25"/>
    <row r="19493" hidden="1" x14ac:dyDescent="0.25"/>
    <row r="19494" hidden="1" x14ac:dyDescent="0.25"/>
    <row r="19495" hidden="1" x14ac:dyDescent="0.25"/>
    <row r="19496" hidden="1" x14ac:dyDescent="0.25"/>
    <row r="19497" hidden="1" x14ac:dyDescent="0.25"/>
    <row r="19498" hidden="1" x14ac:dyDescent="0.25"/>
    <row r="19499" hidden="1" x14ac:dyDescent="0.25"/>
    <row r="19500" hidden="1" x14ac:dyDescent="0.25"/>
    <row r="19501" hidden="1" x14ac:dyDescent="0.25"/>
    <row r="19502" hidden="1" x14ac:dyDescent="0.25"/>
    <row r="19503" hidden="1" x14ac:dyDescent="0.25"/>
    <row r="19504" hidden="1" x14ac:dyDescent="0.25"/>
    <row r="19505" hidden="1" x14ac:dyDescent="0.25"/>
    <row r="19506" hidden="1" x14ac:dyDescent="0.25"/>
    <row r="19507" hidden="1" x14ac:dyDescent="0.25"/>
    <row r="19508" hidden="1" x14ac:dyDescent="0.25"/>
    <row r="19509" hidden="1" x14ac:dyDescent="0.25"/>
    <row r="19510" hidden="1" x14ac:dyDescent="0.25"/>
    <row r="19511" hidden="1" x14ac:dyDescent="0.25"/>
    <row r="19512" hidden="1" x14ac:dyDescent="0.25"/>
    <row r="19513" x14ac:dyDescent="0.25"/>
    <row r="19514" x14ac:dyDescent="0.25"/>
    <row r="19515" x14ac:dyDescent="0.25"/>
    <row r="19516" x14ac:dyDescent="0.25"/>
    <row r="19517" x14ac:dyDescent="0.25"/>
    <row r="19518" x14ac:dyDescent="0.25"/>
    <row r="19519" x14ac:dyDescent="0.25"/>
    <row r="19520" x14ac:dyDescent="0.25"/>
    <row r="19521" x14ac:dyDescent="0.25"/>
    <row r="19522" x14ac:dyDescent="0.25"/>
    <row r="19523" x14ac:dyDescent="0.25"/>
    <row r="19524" x14ac:dyDescent="0.25"/>
    <row r="19525" x14ac:dyDescent="0.25"/>
    <row r="19526" x14ac:dyDescent="0.25"/>
    <row r="19527" x14ac:dyDescent="0.25"/>
    <row r="19528" x14ac:dyDescent="0.25"/>
    <row r="19529" x14ac:dyDescent="0.25"/>
    <row r="19530" x14ac:dyDescent="0.25"/>
    <row r="19531" x14ac:dyDescent="0.25"/>
    <row r="19532" x14ac:dyDescent="0.25"/>
    <row r="19533" x14ac:dyDescent="0.25"/>
    <row r="19534" x14ac:dyDescent="0.25"/>
    <row r="19535" x14ac:dyDescent="0.25"/>
    <row r="19536" x14ac:dyDescent="0.25"/>
    <row r="19537" x14ac:dyDescent="0.25"/>
    <row r="19538" x14ac:dyDescent="0.25"/>
    <row r="19539" x14ac:dyDescent="0.25"/>
    <row r="19540" x14ac:dyDescent="0.25"/>
    <row r="19541" x14ac:dyDescent="0.25"/>
    <row r="19542" x14ac:dyDescent="0.25"/>
    <row r="19543" x14ac:dyDescent="0.25"/>
    <row r="19544" x14ac:dyDescent="0.25"/>
    <row r="19545" x14ac:dyDescent="0.25"/>
    <row r="19546" x14ac:dyDescent="0.25"/>
    <row r="19547" x14ac:dyDescent="0.25"/>
    <row r="19548" x14ac:dyDescent="0.25"/>
    <row r="19549" x14ac:dyDescent="0.25"/>
    <row r="19550" x14ac:dyDescent="0.25"/>
    <row r="19551" x14ac:dyDescent="0.25"/>
    <row r="19552" x14ac:dyDescent="0.25"/>
    <row r="19553" x14ac:dyDescent="0.25"/>
    <row r="19554" x14ac:dyDescent="0.25"/>
    <row r="19555" x14ac:dyDescent="0.25"/>
    <row r="19556" x14ac:dyDescent="0.25"/>
    <row r="19557" x14ac:dyDescent="0.25"/>
    <row r="19558" x14ac:dyDescent="0.25"/>
    <row r="19559" x14ac:dyDescent="0.25"/>
    <row r="19560" x14ac:dyDescent="0.25"/>
    <row r="19561" x14ac:dyDescent="0.25"/>
    <row r="19562" x14ac:dyDescent="0.25"/>
    <row r="19563" x14ac:dyDescent="0.25"/>
    <row r="19564" x14ac:dyDescent="0.25"/>
    <row r="19565" x14ac:dyDescent="0.25"/>
    <row r="19566" x14ac:dyDescent="0.25"/>
    <row r="19567" x14ac:dyDescent="0.25"/>
    <row r="19568" x14ac:dyDescent="0.25"/>
    <row r="19569" x14ac:dyDescent="0.25"/>
    <row r="19570" x14ac:dyDescent="0.25"/>
    <row r="19571" x14ac:dyDescent="0.25"/>
    <row r="19572" x14ac:dyDescent="0.25"/>
    <row r="19573" x14ac:dyDescent="0.25"/>
    <row r="19574" x14ac:dyDescent="0.25"/>
    <row r="19575" x14ac:dyDescent="0.25"/>
    <row r="19576" x14ac:dyDescent="0.25"/>
    <row r="19577" x14ac:dyDescent="0.25"/>
    <row r="19578" x14ac:dyDescent="0.25"/>
    <row r="19579" x14ac:dyDescent="0.25"/>
    <row r="19580" x14ac:dyDescent="0.25"/>
    <row r="19581" x14ac:dyDescent="0.25"/>
    <row r="19582" x14ac:dyDescent="0.25"/>
    <row r="19583" x14ac:dyDescent="0.25"/>
    <row r="19584" x14ac:dyDescent="0.25"/>
    <row r="19585" x14ac:dyDescent="0.25"/>
    <row r="19586" x14ac:dyDescent="0.25"/>
    <row r="19587" x14ac:dyDescent="0.25"/>
    <row r="19588" x14ac:dyDescent="0.25"/>
    <row r="19589" x14ac:dyDescent="0.25"/>
    <row r="19590" x14ac:dyDescent="0.25"/>
    <row r="19591" x14ac:dyDescent="0.25"/>
    <row r="19592" x14ac:dyDescent="0.25"/>
    <row r="19593" x14ac:dyDescent="0.25"/>
    <row r="19594" x14ac:dyDescent="0.25"/>
    <row r="19595" x14ac:dyDescent="0.25"/>
    <row r="19596" x14ac:dyDescent="0.25"/>
    <row r="19597" x14ac:dyDescent="0.25"/>
    <row r="19598" x14ac:dyDescent="0.25"/>
    <row r="19599" x14ac:dyDescent="0.25"/>
    <row r="19600" x14ac:dyDescent="0.25"/>
    <row r="19601" x14ac:dyDescent="0.25"/>
    <row r="19602" x14ac:dyDescent="0.25"/>
    <row r="19603" x14ac:dyDescent="0.25"/>
    <row r="19604" x14ac:dyDescent="0.25"/>
    <row r="19605" x14ac:dyDescent="0.25"/>
    <row r="19606" x14ac:dyDescent="0.25"/>
    <row r="19607" x14ac:dyDescent="0.25"/>
    <row r="19608" x14ac:dyDescent="0.25"/>
    <row r="19609" x14ac:dyDescent="0.25"/>
    <row r="19610" x14ac:dyDescent="0.25"/>
    <row r="19611" x14ac:dyDescent="0.25"/>
    <row r="19612" x14ac:dyDescent="0.25"/>
    <row r="19613" x14ac:dyDescent="0.25"/>
    <row r="19614" x14ac:dyDescent="0.25"/>
    <row r="19615" x14ac:dyDescent="0.25"/>
    <row r="19616" x14ac:dyDescent="0.25"/>
    <row r="19617" x14ac:dyDescent="0.25"/>
    <row r="19618" x14ac:dyDescent="0.25"/>
    <row r="19619" x14ac:dyDescent="0.25"/>
    <row r="19620" x14ac:dyDescent="0.25"/>
    <row r="19621" x14ac:dyDescent="0.25"/>
    <row r="19622" x14ac:dyDescent="0.25"/>
    <row r="19623" x14ac:dyDescent="0.25"/>
    <row r="19624" x14ac:dyDescent="0.25"/>
    <row r="19625" x14ac:dyDescent="0.25"/>
    <row r="19626" x14ac:dyDescent="0.25"/>
    <row r="19627" x14ac:dyDescent="0.25"/>
    <row r="19628" x14ac:dyDescent="0.25"/>
    <row r="19629" x14ac:dyDescent="0.25"/>
    <row r="19630" x14ac:dyDescent="0.25"/>
    <row r="19631" x14ac:dyDescent="0.25"/>
    <row r="19632" x14ac:dyDescent="0.25"/>
    <row r="19633" x14ac:dyDescent="0.25"/>
    <row r="19634" x14ac:dyDescent="0.25"/>
    <row r="19635" x14ac:dyDescent="0.25"/>
    <row r="19636" x14ac:dyDescent="0.25"/>
    <row r="19637" x14ac:dyDescent="0.25"/>
    <row r="19638" x14ac:dyDescent="0.25"/>
    <row r="19639" x14ac:dyDescent="0.25"/>
    <row r="19640" x14ac:dyDescent="0.25"/>
    <row r="19641" x14ac:dyDescent="0.25"/>
    <row r="19642" x14ac:dyDescent="0.25"/>
    <row r="19643" x14ac:dyDescent="0.25"/>
    <row r="19644" x14ac:dyDescent="0.25"/>
    <row r="19645" x14ac:dyDescent="0.25"/>
    <row r="19646" x14ac:dyDescent="0.25"/>
    <row r="19647" x14ac:dyDescent="0.25"/>
    <row r="19648" x14ac:dyDescent="0.25"/>
    <row r="19649" x14ac:dyDescent="0.25"/>
    <row r="19650" x14ac:dyDescent="0.25"/>
    <row r="19651" x14ac:dyDescent="0.25"/>
    <row r="19652" x14ac:dyDescent="0.25"/>
    <row r="19653" x14ac:dyDescent="0.25"/>
    <row r="19654" x14ac:dyDescent="0.25"/>
    <row r="19655" x14ac:dyDescent="0.25"/>
    <row r="19656" x14ac:dyDescent="0.25"/>
    <row r="19657" x14ac:dyDescent="0.25"/>
    <row r="19658" x14ac:dyDescent="0.25"/>
    <row r="19659" x14ac:dyDescent="0.25"/>
    <row r="19660" x14ac:dyDescent="0.25"/>
    <row r="19661" x14ac:dyDescent="0.25"/>
    <row r="19662" x14ac:dyDescent="0.25"/>
    <row r="19663" x14ac:dyDescent="0.25"/>
    <row r="19664" x14ac:dyDescent="0.25"/>
    <row r="19665" x14ac:dyDescent="0.25"/>
    <row r="19666" x14ac:dyDescent="0.25"/>
    <row r="19667" x14ac:dyDescent="0.25"/>
    <row r="19668" x14ac:dyDescent="0.25"/>
    <row r="19669" x14ac:dyDescent="0.25"/>
    <row r="19670" x14ac:dyDescent="0.25"/>
    <row r="19671" x14ac:dyDescent="0.25"/>
    <row r="19672" x14ac:dyDescent="0.25"/>
    <row r="19673" x14ac:dyDescent="0.25"/>
    <row r="19674" x14ac:dyDescent="0.25"/>
    <row r="19675" x14ac:dyDescent="0.25"/>
    <row r="19676" x14ac:dyDescent="0.25"/>
    <row r="19677" x14ac:dyDescent="0.25"/>
    <row r="19678" x14ac:dyDescent="0.25"/>
    <row r="19679" x14ac:dyDescent="0.25"/>
    <row r="19680" x14ac:dyDescent="0.25"/>
    <row r="19681" x14ac:dyDescent="0.25"/>
    <row r="19682" x14ac:dyDescent="0.25"/>
    <row r="19683" x14ac:dyDescent="0.25"/>
    <row r="19684" x14ac:dyDescent="0.25"/>
    <row r="19685" x14ac:dyDescent="0.25"/>
    <row r="19686" x14ac:dyDescent="0.25"/>
    <row r="19687" x14ac:dyDescent="0.25"/>
    <row r="19688" x14ac:dyDescent="0.25"/>
    <row r="19689" x14ac:dyDescent="0.25"/>
    <row r="19690" x14ac:dyDescent="0.25"/>
    <row r="19691" x14ac:dyDescent="0.25"/>
    <row r="19692" x14ac:dyDescent="0.25"/>
    <row r="19693" x14ac:dyDescent="0.25"/>
    <row r="19694" x14ac:dyDescent="0.25"/>
    <row r="19695" x14ac:dyDescent="0.25"/>
    <row r="19696" x14ac:dyDescent="0.25"/>
    <row r="19697" x14ac:dyDescent="0.25"/>
    <row r="19698" x14ac:dyDescent="0.25"/>
    <row r="19699" x14ac:dyDescent="0.25"/>
    <row r="19700" x14ac:dyDescent="0.25"/>
    <row r="19701" x14ac:dyDescent="0.25"/>
    <row r="19702" x14ac:dyDescent="0.25"/>
    <row r="19703" x14ac:dyDescent="0.25"/>
    <row r="19704" x14ac:dyDescent="0.25"/>
    <row r="19705" x14ac:dyDescent="0.25"/>
    <row r="19706" x14ac:dyDescent="0.25"/>
    <row r="19707" x14ac:dyDescent="0.25"/>
    <row r="19708" x14ac:dyDescent="0.25"/>
    <row r="19709" x14ac:dyDescent="0.25"/>
    <row r="19710" x14ac:dyDescent="0.25"/>
    <row r="19711" x14ac:dyDescent="0.25"/>
    <row r="19712" x14ac:dyDescent="0.25"/>
    <row r="19713" x14ac:dyDescent="0.25"/>
    <row r="19714" x14ac:dyDescent="0.25"/>
    <row r="19715" x14ac:dyDescent="0.25"/>
    <row r="19716" x14ac:dyDescent="0.25"/>
    <row r="19717" x14ac:dyDescent="0.25"/>
    <row r="19718" x14ac:dyDescent="0.25"/>
    <row r="19719" x14ac:dyDescent="0.25"/>
    <row r="19720" x14ac:dyDescent="0.25"/>
    <row r="19721" x14ac:dyDescent="0.25"/>
    <row r="19722" x14ac:dyDescent="0.25"/>
    <row r="19723" x14ac:dyDescent="0.25"/>
    <row r="19724" x14ac:dyDescent="0.25"/>
    <row r="19725" x14ac:dyDescent="0.25"/>
    <row r="19726" x14ac:dyDescent="0.25"/>
    <row r="19727" x14ac:dyDescent="0.25"/>
    <row r="19728" x14ac:dyDescent="0.25"/>
    <row r="19729" x14ac:dyDescent="0.25"/>
    <row r="19730" x14ac:dyDescent="0.25"/>
    <row r="19731" x14ac:dyDescent="0.25"/>
    <row r="19732" x14ac:dyDescent="0.25"/>
    <row r="19733" x14ac:dyDescent="0.25"/>
    <row r="19734" x14ac:dyDescent="0.25"/>
    <row r="19735" x14ac:dyDescent="0.25"/>
    <row r="19736" x14ac:dyDescent="0.25"/>
    <row r="19737" x14ac:dyDescent="0.25"/>
    <row r="19738" x14ac:dyDescent="0.25"/>
    <row r="19739" x14ac:dyDescent="0.25"/>
    <row r="19740" x14ac:dyDescent="0.25"/>
    <row r="19741" x14ac:dyDescent="0.25"/>
    <row r="19742" x14ac:dyDescent="0.25"/>
    <row r="19743" x14ac:dyDescent="0.25"/>
    <row r="19744" x14ac:dyDescent="0.25"/>
    <row r="19745" x14ac:dyDescent="0.25"/>
    <row r="19746" x14ac:dyDescent="0.25"/>
    <row r="19747" x14ac:dyDescent="0.25"/>
    <row r="19748" x14ac:dyDescent="0.25"/>
    <row r="19749" x14ac:dyDescent="0.25"/>
    <row r="19750" x14ac:dyDescent="0.25"/>
    <row r="19751" x14ac:dyDescent="0.25"/>
    <row r="19752" x14ac:dyDescent="0.25"/>
    <row r="19753" x14ac:dyDescent="0.25"/>
    <row r="19754" x14ac:dyDescent="0.25"/>
    <row r="19755" x14ac:dyDescent="0.25"/>
    <row r="19756" x14ac:dyDescent="0.25"/>
    <row r="19757" x14ac:dyDescent="0.25"/>
    <row r="19758" x14ac:dyDescent="0.25"/>
    <row r="19759" x14ac:dyDescent="0.25"/>
    <row r="19760" x14ac:dyDescent="0.25"/>
    <row r="19761" x14ac:dyDescent="0.25"/>
    <row r="19762" x14ac:dyDescent="0.25"/>
    <row r="19763" x14ac:dyDescent="0.25"/>
    <row r="19764" x14ac:dyDescent="0.25"/>
    <row r="19765" x14ac:dyDescent="0.25"/>
    <row r="19766" x14ac:dyDescent="0.25"/>
    <row r="19767" x14ac:dyDescent="0.25"/>
    <row r="19768" x14ac:dyDescent="0.25"/>
    <row r="19769" x14ac:dyDescent="0.25"/>
    <row r="19770" x14ac:dyDescent="0.25"/>
    <row r="19771" x14ac:dyDescent="0.25"/>
    <row r="19772" x14ac:dyDescent="0.25"/>
    <row r="19773" x14ac:dyDescent="0.25"/>
    <row r="19774" x14ac:dyDescent="0.25"/>
    <row r="19775" x14ac:dyDescent="0.25"/>
    <row r="19776" x14ac:dyDescent="0.25"/>
    <row r="19777" x14ac:dyDescent="0.25"/>
    <row r="19778" x14ac:dyDescent="0.25"/>
    <row r="19779" x14ac:dyDescent="0.25"/>
    <row r="19780" x14ac:dyDescent="0.25"/>
    <row r="19781" x14ac:dyDescent="0.25"/>
    <row r="19782" x14ac:dyDescent="0.25"/>
    <row r="19783" x14ac:dyDescent="0.25"/>
    <row r="19784" x14ac:dyDescent="0.25"/>
    <row r="19785" x14ac:dyDescent="0.25"/>
    <row r="19786" x14ac:dyDescent="0.25"/>
    <row r="19787" x14ac:dyDescent="0.25"/>
    <row r="19788" x14ac:dyDescent="0.25"/>
    <row r="19789" x14ac:dyDescent="0.25"/>
    <row r="19790" x14ac:dyDescent="0.25"/>
    <row r="19791" x14ac:dyDescent="0.25"/>
    <row r="19792" x14ac:dyDescent="0.25"/>
    <row r="19793" x14ac:dyDescent="0.25"/>
    <row r="19794" x14ac:dyDescent="0.25"/>
    <row r="19795" x14ac:dyDescent="0.25"/>
    <row r="19796" x14ac:dyDescent="0.25"/>
    <row r="19797" x14ac:dyDescent="0.25"/>
    <row r="19798" x14ac:dyDescent="0.25"/>
    <row r="19799" x14ac:dyDescent="0.25"/>
    <row r="19800" x14ac:dyDescent="0.25"/>
    <row r="19801" x14ac:dyDescent="0.25"/>
    <row r="19802" x14ac:dyDescent="0.25"/>
    <row r="19803" x14ac:dyDescent="0.25"/>
    <row r="19804" x14ac:dyDescent="0.25"/>
    <row r="19805" x14ac:dyDescent="0.25"/>
    <row r="19806" x14ac:dyDescent="0.25"/>
    <row r="19807" x14ac:dyDescent="0.25"/>
    <row r="19808" x14ac:dyDescent="0.25"/>
    <row r="19809" x14ac:dyDescent="0.25"/>
    <row r="19810" x14ac:dyDescent="0.25"/>
    <row r="19811" x14ac:dyDescent="0.25"/>
    <row r="19812" x14ac:dyDescent="0.25"/>
    <row r="19813" x14ac:dyDescent="0.25"/>
    <row r="19814" x14ac:dyDescent="0.25"/>
    <row r="19815" x14ac:dyDescent="0.25"/>
    <row r="19816" x14ac:dyDescent="0.25"/>
    <row r="19817" x14ac:dyDescent="0.25"/>
    <row r="19818" x14ac:dyDescent="0.25"/>
    <row r="19819" x14ac:dyDescent="0.25"/>
    <row r="19820" x14ac:dyDescent="0.25"/>
    <row r="19821" x14ac:dyDescent="0.25"/>
    <row r="19822" x14ac:dyDescent="0.25"/>
    <row r="19823" x14ac:dyDescent="0.25"/>
    <row r="19824" x14ac:dyDescent="0.25"/>
    <row r="19825" x14ac:dyDescent="0.25"/>
    <row r="19826" x14ac:dyDescent="0.25"/>
    <row r="19827" x14ac:dyDescent="0.25"/>
    <row r="19828" x14ac:dyDescent="0.25"/>
    <row r="19829" x14ac:dyDescent="0.25"/>
    <row r="19830" x14ac:dyDescent="0.25"/>
    <row r="19831" x14ac:dyDescent="0.25"/>
    <row r="19832" x14ac:dyDescent="0.25"/>
    <row r="19833" x14ac:dyDescent="0.25"/>
    <row r="19834" x14ac:dyDescent="0.25"/>
    <row r="19835" x14ac:dyDescent="0.25"/>
    <row r="19836" x14ac:dyDescent="0.25"/>
    <row r="19837" x14ac:dyDescent="0.25"/>
    <row r="19838" x14ac:dyDescent="0.25"/>
    <row r="19839" x14ac:dyDescent="0.25"/>
    <row r="19840" x14ac:dyDescent="0.25"/>
    <row r="19841" x14ac:dyDescent="0.25"/>
    <row r="19842" x14ac:dyDescent="0.25"/>
    <row r="19843" x14ac:dyDescent="0.25"/>
    <row r="19844" x14ac:dyDescent="0.25"/>
    <row r="19845" x14ac:dyDescent="0.25"/>
    <row r="19846" x14ac:dyDescent="0.25"/>
    <row r="19847" x14ac:dyDescent="0.25"/>
    <row r="19848" x14ac:dyDescent="0.25"/>
    <row r="19849" x14ac:dyDescent="0.25"/>
    <row r="19850" x14ac:dyDescent="0.25"/>
    <row r="19851" x14ac:dyDescent="0.25"/>
    <row r="19852" x14ac:dyDescent="0.25"/>
    <row r="19853" x14ac:dyDescent="0.25"/>
    <row r="19854" x14ac:dyDescent="0.25"/>
    <row r="19855" x14ac:dyDescent="0.25"/>
    <row r="19856" x14ac:dyDescent="0.25"/>
    <row r="19857" x14ac:dyDescent="0.25"/>
    <row r="19858" x14ac:dyDescent="0.25"/>
    <row r="19859" x14ac:dyDescent="0.25"/>
    <row r="19860" x14ac:dyDescent="0.25"/>
    <row r="19861" x14ac:dyDescent="0.25"/>
    <row r="19862" x14ac:dyDescent="0.25"/>
    <row r="19863" x14ac:dyDescent="0.25"/>
    <row r="19864" x14ac:dyDescent="0.25"/>
    <row r="19865" x14ac:dyDescent="0.25"/>
    <row r="19866" x14ac:dyDescent="0.25"/>
    <row r="19867" x14ac:dyDescent="0.25"/>
    <row r="19868" x14ac:dyDescent="0.25"/>
    <row r="19869" x14ac:dyDescent="0.25"/>
    <row r="19870" x14ac:dyDescent="0.25"/>
    <row r="19871" x14ac:dyDescent="0.25"/>
    <row r="19872" x14ac:dyDescent="0.25"/>
    <row r="19873" x14ac:dyDescent="0.25"/>
    <row r="19874" x14ac:dyDescent="0.25"/>
    <row r="19875" x14ac:dyDescent="0.25"/>
    <row r="19876" x14ac:dyDescent="0.25"/>
    <row r="19877" x14ac:dyDescent="0.25"/>
    <row r="19878" x14ac:dyDescent="0.25"/>
    <row r="19879" x14ac:dyDescent="0.25"/>
    <row r="19880" x14ac:dyDescent="0.25"/>
    <row r="19881" x14ac:dyDescent="0.25"/>
    <row r="19882" x14ac:dyDescent="0.25"/>
    <row r="19883" x14ac:dyDescent="0.25"/>
    <row r="19884" x14ac:dyDescent="0.25"/>
    <row r="19885" x14ac:dyDescent="0.25"/>
    <row r="19886" x14ac:dyDescent="0.25"/>
    <row r="19887" x14ac:dyDescent="0.25"/>
    <row r="19888" x14ac:dyDescent="0.25"/>
    <row r="19889" x14ac:dyDescent="0.25"/>
    <row r="19890" x14ac:dyDescent="0.25"/>
    <row r="19891" x14ac:dyDescent="0.25"/>
    <row r="19892" x14ac:dyDescent="0.25"/>
    <row r="19893" x14ac:dyDescent="0.25"/>
    <row r="19894" x14ac:dyDescent="0.25"/>
    <row r="19895" x14ac:dyDescent="0.25"/>
    <row r="19896" x14ac:dyDescent="0.25"/>
    <row r="19897" x14ac:dyDescent="0.25"/>
    <row r="19898" x14ac:dyDescent="0.25"/>
    <row r="19899" x14ac:dyDescent="0.25"/>
    <row r="19900" x14ac:dyDescent="0.25"/>
    <row r="19901" x14ac:dyDescent="0.25"/>
    <row r="19902" x14ac:dyDescent="0.25"/>
    <row r="19903" x14ac:dyDescent="0.25"/>
    <row r="19904" x14ac:dyDescent="0.25"/>
    <row r="19905" x14ac:dyDescent="0.25"/>
    <row r="19906" x14ac:dyDescent="0.25"/>
    <row r="19907" x14ac:dyDescent="0.25"/>
    <row r="19908" x14ac:dyDescent="0.25"/>
    <row r="19909" x14ac:dyDescent="0.25"/>
    <row r="19910" x14ac:dyDescent="0.25"/>
    <row r="19911" x14ac:dyDescent="0.25"/>
    <row r="19912" x14ac:dyDescent="0.25"/>
    <row r="19913" x14ac:dyDescent="0.25"/>
    <row r="19914" x14ac:dyDescent="0.25"/>
    <row r="19915" x14ac:dyDescent="0.25"/>
    <row r="19916" x14ac:dyDescent="0.25"/>
    <row r="19917" x14ac:dyDescent="0.25"/>
    <row r="19918" x14ac:dyDescent="0.25"/>
    <row r="19919" x14ac:dyDescent="0.25"/>
    <row r="19920" x14ac:dyDescent="0.25"/>
    <row r="19921" x14ac:dyDescent="0.25"/>
    <row r="19922" x14ac:dyDescent="0.25"/>
    <row r="19923" x14ac:dyDescent="0.25"/>
    <row r="19924" x14ac:dyDescent="0.25"/>
    <row r="19925" x14ac:dyDescent="0.25"/>
    <row r="19926" x14ac:dyDescent="0.25"/>
    <row r="19927" x14ac:dyDescent="0.25"/>
    <row r="19928" x14ac:dyDescent="0.25"/>
    <row r="19929" x14ac:dyDescent="0.25"/>
    <row r="19930" x14ac:dyDescent="0.25"/>
    <row r="19931" x14ac:dyDescent="0.25"/>
    <row r="19932" x14ac:dyDescent="0.25"/>
    <row r="19933" x14ac:dyDescent="0.25"/>
    <row r="19934" x14ac:dyDescent="0.25"/>
    <row r="19935" x14ac:dyDescent="0.25"/>
    <row r="19936" x14ac:dyDescent="0.25"/>
    <row r="19937" x14ac:dyDescent="0.25"/>
    <row r="19938" x14ac:dyDescent="0.25"/>
    <row r="19939" x14ac:dyDescent="0.25"/>
    <row r="19940" x14ac:dyDescent="0.25"/>
    <row r="19941" x14ac:dyDescent="0.25"/>
    <row r="19942" x14ac:dyDescent="0.25"/>
    <row r="19943" x14ac:dyDescent="0.25"/>
    <row r="19944" x14ac:dyDescent="0.25"/>
    <row r="19945" x14ac:dyDescent="0.25"/>
    <row r="19946" x14ac:dyDescent="0.25"/>
    <row r="19947" x14ac:dyDescent="0.25"/>
    <row r="19948" x14ac:dyDescent="0.25"/>
    <row r="19949" x14ac:dyDescent="0.25"/>
    <row r="19950" x14ac:dyDescent="0.25"/>
    <row r="19951" x14ac:dyDescent="0.25"/>
    <row r="19952" x14ac:dyDescent="0.25"/>
    <row r="19953" x14ac:dyDescent="0.25"/>
    <row r="19954" x14ac:dyDescent="0.25"/>
    <row r="19955" x14ac:dyDescent="0.25"/>
    <row r="19956" x14ac:dyDescent="0.25"/>
    <row r="19957" x14ac:dyDescent="0.25"/>
    <row r="19958" x14ac:dyDescent="0.25"/>
    <row r="19959" x14ac:dyDescent="0.25"/>
    <row r="19960" x14ac:dyDescent="0.25"/>
    <row r="19961" x14ac:dyDescent="0.25"/>
    <row r="19962" x14ac:dyDescent="0.25"/>
    <row r="19963" x14ac:dyDescent="0.25"/>
    <row r="19964" x14ac:dyDescent="0.25"/>
    <row r="19965" x14ac:dyDescent="0.25"/>
    <row r="19966" x14ac:dyDescent="0.25"/>
    <row r="19967" x14ac:dyDescent="0.25"/>
    <row r="19968" x14ac:dyDescent="0.25"/>
    <row r="19969" x14ac:dyDescent="0.25"/>
    <row r="19970" x14ac:dyDescent="0.25"/>
    <row r="19971" x14ac:dyDescent="0.25"/>
    <row r="19972" x14ac:dyDescent="0.25"/>
    <row r="19973" x14ac:dyDescent="0.25"/>
    <row r="19974" x14ac:dyDescent="0.25"/>
    <row r="19975" x14ac:dyDescent="0.25"/>
    <row r="19976" x14ac:dyDescent="0.25"/>
    <row r="19977" x14ac:dyDescent="0.25"/>
    <row r="19978" x14ac:dyDescent="0.25"/>
    <row r="19979" x14ac:dyDescent="0.25"/>
    <row r="19980" x14ac:dyDescent="0.25"/>
    <row r="19981" x14ac:dyDescent="0.25"/>
    <row r="19982" x14ac:dyDescent="0.25"/>
    <row r="19983" x14ac:dyDescent="0.25"/>
    <row r="19984" x14ac:dyDescent="0.25"/>
    <row r="19985" x14ac:dyDescent="0.25"/>
    <row r="19986" x14ac:dyDescent="0.25"/>
    <row r="19987" x14ac:dyDescent="0.25"/>
    <row r="19988" x14ac:dyDescent="0.25"/>
    <row r="19989" x14ac:dyDescent="0.25"/>
    <row r="19990" x14ac:dyDescent="0.25"/>
    <row r="19991" x14ac:dyDescent="0.25"/>
    <row r="19992" x14ac:dyDescent="0.25"/>
    <row r="19993" x14ac:dyDescent="0.25"/>
    <row r="19994" x14ac:dyDescent="0.25"/>
    <row r="19995" x14ac:dyDescent="0.25"/>
    <row r="19996" x14ac:dyDescent="0.25"/>
    <row r="19997" x14ac:dyDescent="0.25"/>
    <row r="19998" x14ac:dyDescent="0.25"/>
    <row r="19999" x14ac:dyDescent="0.25"/>
    <row r="20000" x14ac:dyDescent="0.25"/>
    <row r="20001" x14ac:dyDescent="0.25"/>
    <row r="20002" x14ac:dyDescent="0.25"/>
    <row r="20003" x14ac:dyDescent="0.25"/>
    <row r="20004" x14ac:dyDescent="0.25"/>
    <row r="20005" x14ac:dyDescent="0.25"/>
    <row r="20006" x14ac:dyDescent="0.25"/>
    <row r="20007" x14ac:dyDescent="0.25"/>
    <row r="20008" x14ac:dyDescent="0.25"/>
    <row r="20009" x14ac:dyDescent="0.25"/>
    <row r="20010" x14ac:dyDescent="0.25"/>
    <row r="20011" x14ac:dyDescent="0.25"/>
    <row r="20012" x14ac:dyDescent="0.25"/>
    <row r="20013" x14ac:dyDescent="0.25"/>
    <row r="20014" x14ac:dyDescent="0.25"/>
    <row r="20015" x14ac:dyDescent="0.25"/>
    <row r="20016" x14ac:dyDescent="0.25"/>
    <row r="20017" x14ac:dyDescent="0.25"/>
    <row r="20018" x14ac:dyDescent="0.25"/>
    <row r="20019" x14ac:dyDescent="0.25"/>
    <row r="20020" x14ac:dyDescent="0.25"/>
    <row r="20021" x14ac:dyDescent="0.25"/>
    <row r="20022" x14ac:dyDescent="0.25"/>
    <row r="20023" x14ac:dyDescent="0.25"/>
    <row r="20024" x14ac:dyDescent="0.25"/>
    <row r="20025" x14ac:dyDescent="0.25"/>
    <row r="20026" x14ac:dyDescent="0.25"/>
    <row r="20027" x14ac:dyDescent="0.25"/>
    <row r="20028" x14ac:dyDescent="0.25"/>
    <row r="20029" x14ac:dyDescent="0.25"/>
    <row r="20030" x14ac:dyDescent="0.25"/>
    <row r="20031" x14ac:dyDescent="0.25"/>
    <row r="20032" x14ac:dyDescent="0.25"/>
    <row r="20033" x14ac:dyDescent="0.25"/>
    <row r="20034" x14ac:dyDescent="0.25"/>
    <row r="20035" x14ac:dyDescent="0.25"/>
    <row r="20036" x14ac:dyDescent="0.25"/>
    <row r="20037" x14ac:dyDescent="0.25"/>
    <row r="20038" x14ac:dyDescent="0.25"/>
    <row r="20039" x14ac:dyDescent="0.25"/>
    <row r="20040" x14ac:dyDescent="0.25"/>
    <row r="20041" x14ac:dyDescent="0.25"/>
    <row r="20042" x14ac:dyDescent="0.25"/>
    <row r="20043" x14ac:dyDescent="0.25"/>
    <row r="20044" x14ac:dyDescent="0.25"/>
    <row r="20045" x14ac:dyDescent="0.25"/>
    <row r="20046" x14ac:dyDescent="0.25"/>
    <row r="20047" x14ac:dyDescent="0.25"/>
    <row r="20048" x14ac:dyDescent="0.25"/>
    <row r="20049" x14ac:dyDescent="0.25"/>
    <row r="20050" x14ac:dyDescent="0.25"/>
    <row r="20051" x14ac:dyDescent="0.25"/>
    <row r="20052" x14ac:dyDescent="0.25"/>
    <row r="20053" x14ac:dyDescent="0.25"/>
    <row r="20054" x14ac:dyDescent="0.25"/>
    <row r="20055" x14ac:dyDescent="0.25"/>
    <row r="20056" x14ac:dyDescent="0.25"/>
    <row r="20057" x14ac:dyDescent="0.25"/>
    <row r="20058" x14ac:dyDescent="0.25"/>
    <row r="20059" x14ac:dyDescent="0.25"/>
    <row r="20060" x14ac:dyDescent="0.25"/>
    <row r="20061" x14ac:dyDescent="0.25"/>
    <row r="20062" x14ac:dyDescent="0.25"/>
    <row r="20063" x14ac:dyDescent="0.25"/>
    <row r="20064" x14ac:dyDescent="0.25"/>
    <row r="20065" x14ac:dyDescent="0.25"/>
    <row r="20066" x14ac:dyDescent="0.25"/>
    <row r="20067" x14ac:dyDescent="0.25"/>
    <row r="20068" x14ac:dyDescent="0.25"/>
    <row r="20069" x14ac:dyDescent="0.25"/>
    <row r="20070" x14ac:dyDescent="0.25"/>
    <row r="20071" x14ac:dyDescent="0.25"/>
    <row r="20072" x14ac:dyDescent="0.25"/>
    <row r="20073" x14ac:dyDescent="0.25"/>
    <row r="20074" x14ac:dyDescent="0.25"/>
    <row r="20075" x14ac:dyDescent="0.25"/>
    <row r="20076" x14ac:dyDescent="0.25"/>
    <row r="20077" x14ac:dyDescent="0.25"/>
    <row r="20078" x14ac:dyDescent="0.25"/>
    <row r="20079" x14ac:dyDescent="0.25"/>
    <row r="20080" x14ac:dyDescent="0.25"/>
    <row r="20081" x14ac:dyDescent="0.25"/>
    <row r="20082" x14ac:dyDescent="0.25"/>
    <row r="20083" x14ac:dyDescent="0.25"/>
    <row r="20084" x14ac:dyDescent="0.25"/>
    <row r="20085" x14ac:dyDescent="0.25"/>
    <row r="20086" x14ac:dyDescent="0.25"/>
    <row r="20087" x14ac:dyDescent="0.25"/>
    <row r="20088" x14ac:dyDescent="0.25"/>
    <row r="20089" x14ac:dyDescent="0.25"/>
    <row r="20090" x14ac:dyDescent="0.25"/>
    <row r="20091" x14ac:dyDescent="0.25"/>
    <row r="20092" x14ac:dyDescent="0.25"/>
    <row r="20093" x14ac:dyDescent="0.25"/>
    <row r="20094" x14ac:dyDescent="0.25"/>
    <row r="20095" x14ac:dyDescent="0.25"/>
    <row r="20096" x14ac:dyDescent="0.25"/>
    <row r="20097" x14ac:dyDescent="0.25"/>
    <row r="20098" x14ac:dyDescent="0.25"/>
    <row r="20099" x14ac:dyDescent="0.25"/>
    <row r="20100" x14ac:dyDescent="0.25"/>
    <row r="20101" x14ac:dyDescent="0.25"/>
    <row r="20102" x14ac:dyDescent="0.25"/>
    <row r="20103" x14ac:dyDescent="0.25"/>
    <row r="20104" x14ac:dyDescent="0.25"/>
    <row r="20105" x14ac:dyDescent="0.25"/>
    <row r="20106" x14ac:dyDescent="0.25"/>
    <row r="20107" x14ac:dyDescent="0.25"/>
    <row r="20108" x14ac:dyDescent="0.25"/>
    <row r="20109" x14ac:dyDescent="0.25"/>
    <row r="20110" x14ac:dyDescent="0.25"/>
    <row r="20111" x14ac:dyDescent="0.25"/>
    <row r="20112" x14ac:dyDescent="0.25"/>
    <row r="20113" x14ac:dyDescent="0.25"/>
    <row r="20114" x14ac:dyDescent="0.25"/>
    <row r="20115" x14ac:dyDescent="0.25"/>
    <row r="20116" x14ac:dyDescent="0.25"/>
    <row r="20117" x14ac:dyDescent="0.25"/>
    <row r="20118" x14ac:dyDescent="0.25"/>
    <row r="20119" x14ac:dyDescent="0.25"/>
    <row r="20120" x14ac:dyDescent="0.25"/>
    <row r="20121" x14ac:dyDescent="0.25"/>
    <row r="20122" x14ac:dyDescent="0.25"/>
    <row r="20123" x14ac:dyDescent="0.25"/>
    <row r="20124" x14ac:dyDescent="0.25"/>
    <row r="20125" x14ac:dyDescent="0.25"/>
    <row r="20126" x14ac:dyDescent="0.25"/>
    <row r="20127" x14ac:dyDescent="0.25"/>
    <row r="20128" x14ac:dyDescent="0.25"/>
    <row r="20129" x14ac:dyDescent="0.25"/>
    <row r="20130" x14ac:dyDescent="0.25"/>
    <row r="20131" x14ac:dyDescent="0.25"/>
    <row r="20132" x14ac:dyDescent="0.25"/>
    <row r="20133" x14ac:dyDescent="0.25"/>
    <row r="20134" x14ac:dyDescent="0.25"/>
    <row r="20135" x14ac:dyDescent="0.25"/>
    <row r="20136" x14ac:dyDescent="0.25"/>
    <row r="20137" x14ac:dyDescent="0.25"/>
    <row r="20138" x14ac:dyDescent="0.25"/>
    <row r="20139" x14ac:dyDescent="0.25"/>
    <row r="20140" x14ac:dyDescent="0.25"/>
    <row r="20141" x14ac:dyDescent="0.25"/>
    <row r="20142" x14ac:dyDescent="0.25"/>
    <row r="20143" x14ac:dyDescent="0.25"/>
    <row r="20144" x14ac:dyDescent="0.25"/>
    <row r="20145" x14ac:dyDescent="0.25"/>
    <row r="20146" x14ac:dyDescent="0.25"/>
    <row r="20147" x14ac:dyDescent="0.25"/>
    <row r="20148" x14ac:dyDescent="0.25"/>
    <row r="20149" x14ac:dyDescent="0.25"/>
    <row r="20150" x14ac:dyDescent="0.25"/>
    <row r="20151" x14ac:dyDescent="0.25"/>
    <row r="20152" x14ac:dyDescent="0.25"/>
    <row r="20153" x14ac:dyDescent="0.25"/>
    <row r="20154" x14ac:dyDescent="0.25"/>
    <row r="20155" x14ac:dyDescent="0.25"/>
    <row r="20156" x14ac:dyDescent="0.25"/>
    <row r="20157" x14ac:dyDescent="0.25"/>
    <row r="20158" x14ac:dyDescent="0.25"/>
    <row r="20159" x14ac:dyDescent="0.25"/>
    <row r="20160" x14ac:dyDescent="0.25"/>
    <row r="20161" x14ac:dyDescent="0.25"/>
    <row r="20162" x14ac:dyDescent="0.25"/>
    <row r="20163" x14ac:dyDescent="0.25"/>
    <row r="20164" x14ac:dyDescent="0.25"/>
    <row r="20165" x14ac:dyDescent="0.25"/>
    <row r="20166" x14ac:dyDescent="0.25"/>
    <row r="20167" x14ac:dyDescent="0.25"/>
    <row r="20168" x14ac:dyDescent="0.25"/>
    <row r="20169" x14ac:dyDescent="0.25"/>
    <row r="20170" x14ac:dyDescent="0.25"/>
    <row r="20171" x14ac:dyDescent="0.25"/>
    <row r="20172" x14ac:dyDescent="0.25"/>
    <row r="20173" x14ac:dyDescent="0.25"/>
    <row r="20174" x14ac:dyDescent="0.25"/>
    <row r="20175" x14ac:dyDescent="0.25"/>
    <row r="20176" x14ac:dyDescent="0.25"/>
    <row r="20177" x14ac:dyDescent="0.25"/>
    <row r="20178" x14ac:dyDescent="0.25"/>
    <row r="20179" x14ac:dyDescent="0.25"/>
    <row r="20180" x14ac:dyDescent="0.25"/>
    <row r="20181" x14ac:dyDescent="0.25"/>
    <row r="20182" x14ac:dyDescent="0.25"/>
    <row r="20183" x14ac:dyDescent="0.25"/>
    <row r="20184" x14ac:dyDescent="0.25"/>
    <row r="20185" x14ac:dyDescent="0.25"/>
    <row r="20186" x14ac:dyDescent="0.25"/>
    <row r="20187" x14ac:dyDescent="0.25"/>
    <row r="20188" x14ac:dyDescent="0.25"/>
    <row r="20189" x14ac:dyDescent="0.25"/>
    <row r="20190" x14ac:dyDescent="0.25"/>
    <row r="20191" x14ac:dyDescent="0.25"/>
    <row r="20192" x14ac:dyDescent="0.25"/>
    <row r="20193" x14ac:dyDescent="0.25"/>
    <row r="20194" x14ac:dyDescent="0.25"/>
    <row r="20195" x14ac:dyDescent="0.25"/>
    <row r="20196" x14ac:dyDescent="0.25"/>
    <row r="20197" x14ac:dyDescent="0.25"/>
    <row r="20198" x14ac:dyDescent="0.25"/>
    <row r="20199" x14ac:dyDescent="0.25"/>
    <row r="20200" x14ac:dyDescent="0.25"/>
    <row r="20201" x14ac:dyDescent="0.25"/>
    <row r="20202" x14ac:dyDescent="0.25"/>
    <row r="20203" x14ac:dyDescent="0.25"/>
    <row r="20204" x14ac:dyDescent="0.25"/>
    <row r="20205" x14ac:dyDescent="0.25"/>
    <row r="20206" x14ac:dyDescent="0.25"/>
    <row r="20207" x14ac:dyDescent="0.25"/>
    <row r="20208" x14ac:dyDescent="0.25"/>
    <row r="20209" x14ac:dyDescent="0.25"/>
    <row r="20210" x14ac:dyDescent="0.25"/>
    <row r="20211" x14ac:dyDescent="0.25"/>
    <row r="20212" x14ac:dyDescent="0.25"/>
    <row r="20213" x14ac:dyDescent="0.25"/>
    <row r="20214" x14ac:dyDescent="0.25"/>
    <row r="20215" x14ac:dyDescent="0.25"/>
    <row r="20216" x14ac:dyDescent="0.25"/>
    <row r="20217" x14ac:dyDescent="0.25"/>
    <row r="20218" x14ac:dyDescent="0.25"/>
    <row r="20219" x14ac:dyDescent="0.25"/>
    <row r="20220" x14ac:dyDescent="0.25"/>
    <row r="20221" x14ac:dyDescent="0.25"/>
    <row r="20222" x14ac:dyDescent="0.25"/>
    <row r="20223" x14ac:dyDescent="0.25"/>
    <row r="20224" x14ac:dyDescent="0.25"/>
    <row r="20225" x14ac:dyDescent="0.25"/>
    <row r="20226" x14ac:dyDescent="0.25"/>
    <row r="20227" x14ac:dyDescent="0.25"/>
    <row r="20228" x14ac:dyDescent="0.25"/>
    <row r="20229" x14ac:dyDescent="0.25"/>
    <row r="20230" x14ac:dyDescent="0.25"/>
    <row r="20231" x14ac:dyDescent="0.25"/>
    <row r="20232" x14ac:dyDescent="0.25"/>
    <row r="20233" x14ac:dyDescent="0.25"/>
    <row r="20234" x14ac:dyDescent="0.25"/>
    <row r="20235" x14ac:dyDescent="0.25"/>
    <row r="20236" x14ac:dyDescent="0.25"/>
    <row r="20237" x14ac:dyDescent="0.25"/>
    <row r="20238" x14ac:dyDescent="0.25"/>
    <row r="20239" x14ac:dyDescent="0.25"/>
    <row r="20240" x14ac:dyDescent="0.25"/>
    <row r="20241" x14ac:dyDescent="0.25"/>
    <row r="20242" x14ac:dyDescent="0.25"/>
    <row r="20243" x14ac:dyDescent="0.25"/>
    <row r="20244" x14ac:dyDescent="0.25"/>
    <row r="20245" x14ac:dyDescent="0.25"/>
    <row r="20246" x14ac:dyDescent="0.25"/>
    <row r="20247" x14ac:dyDescent="0.25"/>
    <row r="20248" x14ac:dyDescent="0.25"/>
    <row r="20249" x14ac:dyDescent="0.25"/>
    <row r="20250" x14ac:dyDescent="0.25"/>
    <row r="20251" x14ac:dyDescent="0.25"/>
    <row r="20252" x14ac:dyDescent="0.25"/>
    <row r="20253" x14ac:dyDescent="0.25"/>
    <row r="20254" x14ac:dyDescent="0.25"/>
    <row r="20255" x14ac:dyDescent="0.25"/>
    <row r="20256" x14ac:dyDescent="0.25"/>
    <row r="20257" x14ac:dyDescent="0.25"/>
    <row r="20258" x14ac:dyDescent="0.25"/>
    <row r="20259" x14ac:dyDescent="0.25"/>
    <row r="20260" x14ac:dyDescent="0.25"/>
    <row r="20261" x14ac:dyDescent="0.25"/>
    <row r="20262" x14ac:dyDescent="0.25"/>
    <row r="20263" x14ac:dyDescent="0.25"/>
    <row r="20264" x14ac:dyDescent="0.25"/>
    <row r="20265" x14ac:dyDescent="0.25"/>
    <row r="20266" x14ac:dyDescent="0.25"/>
    <row r="20267" x14ac:dyDescent="0.25"/>
    <row r="20268" x14ac:dyDescent="0.25"/>
    <row r="20269" x14ac:dyDescent="0.25"/>
    <row r="20270" x14ac:dyDescent="0.25"/>
    <row r="20271" x14ac:dyDescent="0.25"/>
    <row r="20272" x14ac:dyDescent="0.25"/>
    <row r="20273" x14ac:dyDescent="0.25"/>
    <row r="20274" x14ac:dyDescent="0.25"/>
    <row r="20275" x14ac:dyDescent="0.25"/>
    <row r="20276" x14ac:dyDescent="0.25"/>
    <row r="20277" x14ac:dyDescent="0.25"/>
    <row r="20278" x14ac:dyDescent="0.25"/>
    <row r="20279" x14ac:dyDescent="0.25"/>
    <row r="20280" x14ac:dyDescent="0.25"/>
    <row r="20281" x14ac:dyDescent="0.25"/>
    <row r="20282" x14ac:dyDescent="0.25"/>
    <row r="20283" x14ac:dyDescent="0.25"/>
    <row r="20284" x14ac:dyDescent="0.25"/>
    <row r="20285" x14ac:dyDescent="0.25"/>
    <row r="20286" x14ac:dyDescent="0.25"/>
    <row r="20287" x14ac:dyDescent="0.25"/>
    <row r="20288" x14ac:dyDescent="0.25"/>
    <row r="20289" x14ac:dyDescent="0.25"/>
    <row r="20290" x14ac:dyDescent="0.25"/>
    <row r="20291" x14ac:dyDescent="0.25"/>
    <row r="20292" x14ac:dyDescent="0.25"/>
    <row r="20293" x14ac:dyDescent="0.25"/>
    <row r="20294" x14ac:dyDescent="0.25"/>
    <row r="20295" x14ac:dyDescent="0.25"/>
    <row r="20296" x14ac:dyDescent="0.25"/>
    <row r="20297" x14ac:dyDescent="0.25"/>
    <row r="20298" x14ac:dyDescent="0.25"/>
    <row r="20299" x14ac:dyDescent="0.25"/>
    <row r="20300" x14ac:dyDescent="0.25"/>
    <row r="20301" x14ac:dyDescent="0.25"/>
    <row r="20302" x14ac:dyDescent="0.25"/>
    <row r="20303" x14ac:dyDescent="0.25"/>
    <row r="20304" x14ac:dyDescent="0.25"/>
    <row r="20305" x14ac:dyDescent="0.25"/>
    <row r="20306" x14ac:dyDescent="0.25"/>
    <row r="20307" x14ac:dyDescent="0.25"/>
    <row r="20308" x14ac:dyDescent="0.25"/>
    <row r="20309" x14ac:dyDescent="0.25"/>
    <row r="20310" x14ac:dyDescent="0.25"/>
    <row r="20311" x14ac:dyDescent="0.25"/>
    <row r="20312" x14ac:dyDescent="0.25"/>
    <row r="20313" x14ac:dyDescent="0.25"/>
    <row r="20314" x14ac:dyDescent="0.25"/>
    <row r="20315" x14ac:dyDescent="0.25"/>
    <row r="20316" x14ac:dyDescent="0.25"/>
    <row r="20317" x14ac:dyDescent="0.25"/>
    <row r="20318" x14ac:dyDescent="0.25"/>
    <row r="20319" x14ac:dyDescent="0.25"/>
    <row r="20320" x14ac:dyDescent="0.25"/>
    <row r="20321" x14ac:dyDescent="0.25"/>
    <row r="20322" x14ac:dyDescent="0.25"/>
    <row r="20323" x14ac:dyDescent="0.25"/>
    <row r="20324" x14ac:dyDescent="0.25"/>
    <row r="20325" x14ac:dyDescent="0.25"/>
    <row r="20326" x14ac:dyDescent="0.25"/>
    <row r="20327" x14ac:dyDescent="0.25"/>
    <row r="20328" x14ac:dyDescent="0.25"/>
    <row r="20329" x14ac:dyDescent="0.25"/>
    <row r="20330" x14ac:dyDescent="0.25"/>
    <row r="20331" x14ac:dyDescent="0.25"/>
    <row r="20332" x14ac:dyDescent="0.25"/>
    <row r="20333" x14ac:dyDescent="0.25"/>
    <row r="20334" x14ac:dyDescent="0.25"/>
    <row r="20335" x14ac:dyDescent="0.25"/>
    <row r="20336" x14ac:dyDescent="0.25"/>
    <row r="20337" x14ac:dyDescent="0.25"/>
    <row r="20338" x14ac:dyDescent="0.25"/>
    <row r="20339" x14ac:dyDescent="0.25"/>
    <row r="20340" x14ac:dyDescent="0.25"/>
    <row r="20341" x14ac:dyDescent="0.25"/>
    <row r="20342" x14ac:dyDescent="0.25"/>
    <row r="20343" x14ac:dyDescent="0.25"/>
    <row r="20344" x14ac:dyDescent="0.25"/>
    <row r="20345" x14ac:dyDescent="0.25"/>
    <row r="20346" x14ac:dyDescent="0.25"/>
    <row r="20347" x14ac:dyDescent="0.25"/>
    <row r="20348" x14ac:dyDescent="0.25"/>
    <row r="20349" x14ac:dyDescent="0.25"/>
    <row r="20350" x14ac:dyDescent="0.25"/>
    <row r="20351" x14ac:dyDescent="0.25"/>
    <row r="20352" x14ac:dyDescent="0.25"/>
    <row r="20353" x14ac:dyDescent="0.25"/>
    <row r="20354" x14ac:dyDescent="0.25"/>
    <row r="20355" x14ac:dyDescent="0.25"/>
    <row r="20356" x14ac:dyDescent="0.25"/>
    <row r="20357" x14ac:dyDescent="0.25"/>
    <row r="20358" x14ac:dyDescent="0.25"/>
    <row r="20359" x14ac:dyDescent="0.25"/>
    <row r="20360" x14ac:dyDescent="0.25"/>
    <row r="20361" x14ac:dyDescent="0.25"/>
    <row r="20362" x14ac:dyDescent="0.25"/>
    <row r="20363" x14ac:dyDescent="0.25"/>
    <row r="20364" x14ac:dyDescent="0.25"/>
    <row r="20365" x14ac:dyDescent="0.25"/>
    <row r="20366" x14ac:dyDescent="0.25"/>
    <row r="20367" x14ac:dyDescent="0.25"/>
    <row r="20368" x14ac:dyDescent="0.25"/>
    <row r="20369" x14ac:dyDescent="0.25"/>
    <row r="20370" x14ac:dyDescent="0.25"/>
    <row r="20371" x14ac:dyDescent="0.25"/>
    <row r="20372" x14ac:dyDescent="0.25"/>
    <row r="20373" x14ac:dyDescent="0.25"/>
    <row r="20374" x14ac:dyDescent="0.25"/>
    <row r="20375" x14ac:dyDescent="0.25"/>
    <row r="20376" x14ac:dyDescent="0.25"/>
    <row r="20377" x14ac:dyDescent="0.25"/>
    <row r="20378" x14ac:dyDescent="0.25"/>
    <row r="20379" x14ac:dyDescent="0.25"/>
    <row r="20380" x14ac:dyDescent="0.25"/>
    <row r="20381" x14ac:dyDescent="0.25"/>
    <row r="20382" x14ac:dyDescent="0.25"/>
    <row r="20383" x14ac:dyDescent="0.25"/>
    <row r="20384" x14ac:dyDescent="0.25"/>
    <row r="20385" x14ac:dyDescent="0.25"/>
    <row r="20386" x14ac:dyDescent="0.25"/>
    <row r="20387" x14ac:dyDescent="0.25"/>
    <row r="20388" x14ac:dyDescent="0.25"/>
    <row r="20389" x14ac:dyDescent="0.25"/>
    <row r="20390" x14ac:dyDescent="0.25"/>
    <row r="20391" x14ac:dyDescent="0.25"/>
    <row r="20392" x14ac:dyDescent="0.25"/>
    <row r="20393" x14ac:dyDescent="0.25"/>
    <row r="20394" x14ac:dyDescent="0.25"/>
    <row r="20395" x14ac:dyDescent="0.25"/>
    <row r="20396" x14ac:dyDescent="0.25"/>
    <row r="20397" x14ac:dyDescent="0.25"/>
    <row r="20398" x14ac:dyDescent="0.25"/>
    <row r="20399" x14ac:dyDescent="0.25"/>
    <row r="20400" x14ac:dyDescent="0.25"/>
    <row r="20401" x14ac:dyDescent="0.25"/>
    <row r="20402" x14ac:dyDescent="0.25"/>
    <row r="20403" x14ac:dyDescent="0.25"/>
    <row r="20404" x14ac:dyDescent="0.25"/>
    <row r="20405" x14ac:dyDescent="0.25"/>
    <row r="20406" x14ac:dyDescent="0.25"/>
    <row r="20407" x14ac:dyDescent="0.25"/>
    <row r="20408" x14ac:dyDescent="0.25"/>
    <row r="20409" x14ac:dyDescent="0.25"/>
    <row r="20410" x14ac:dyDescent="0.25"/>
    <row r="20411" x14ac:dyDescent="0.25"/>
    <row r="20412" x14ac:dyDescent="0.25"/>
    <row r="20413" x14ac:dyDescent="0.25"/>
    <row r="20414" x14ac:dyDescent="0.25"/>
    <row r="20415" x14ac:dyDescent="0.25"/>
    <row r="20416" x14ac:dyDescent="0.25"/>
    <row r="20417" x14ac:dyDescent="0.25"/>
    <row r="20418" x14ac:dyDescent="0.25"/>
    <row r="20419" x14ac:dyDescent="0.25"/>
    <row r="20420" x14ac:dyDescent="0.25"/>
    <row r="20421" x14ac:dyDescent="0.25"/>
    <row r="20422" x14ac:dyDescent="0.25"/>
    <row r="20423" x14ac:dyDescent="0.25"/>
    <row r="20424" x14ac:dyDescent="0.25"/>
    <row r="20425" x14ac:dyDescent="0.25"/>
    <row r="20426" x14ac:dyDescent="0.25"/>
    <row r="20427" x14ac:dyDescent="0.25"/>
    <row r="20428" x14ac:dyDescent="0.25"/>
    <row r="20429" x14ac:dyDescent="0.25"/>
    <row r="20430" x14ac:dyDescent="0.25"/>
    <row r="20431" x14ac:dyDescent="0.25"/>
    <row r="20432" x14ac:dyDescent="0.25"/>
    <row r="20433" x14ac:dyDescent="0.25"/>
    <row r="20434" x14ac:dyDescent="0.25"/>
    <row r="20435" x14ac:dyDescent="0.25"/>
    <row r="20436" x14ac:dyDescent="0.25"/>
    <row r="20437" x14ac:dyDescent="0.25"/>
    <row r="20438" x14ac:dyDescent="0.25"/>
    <row r="20439" x14ac:dyDescent="0.25"/>
    <row r="20440" x14ac:dyDescent="0.25"/>
    <row r="20441" x14ac:dyDescent="0.25"/>
    <row r="20442" x14ac:dyDescent="0.25"/>
    <row r="20443" x14ac:dyDescent="0.25"/>
    <row r="20444" x14ac:dyDescent="0.25"/>
    <row r="20445" x14ac:dyDescent="0.25"/>
    <row r="20446" x14ac:dyDescent="0.25"/>
    <row r="20447" x14ac:dyDescent="0.25"/>
    <row r="20448" x14ac:dyDescent="0.25"/>
    <row r="20449" x14ac:dyDescent="0.25"/>
    <row r="20450" x14ac:dyDescent="0.25"/>
    <row r="20451" x14ac:dyDescent="0.25"/>
    <row r="20452" x14ac:dyDescent="0.25"/>
    <row r="20453" x14ac:dyDescent="0.25"/>
    <row r="20454" x14ac:dyDescent="0.25"/>
    <row r="20455" x14ac:dyDescent="0.25"/>
    <row r="20456" x14ac:dyDescent="0.25"/>
    <row r="20457" x14ac:dyDescent="0.25"/>
    <row r="20458" x14ac:dyDescent="0.25"/>
    <row r="20459" x14ac:dyDescent="0.25"/>
    <row r="20460" x14ac:dyDescent="0.25"/>
    <row r="20461" x14ac:dyDescent="0.25"/>
    <row r="20462" x14ac:dyDescent="0.25"/>
    <row r="20463" x14ac:dyDescent="0.25"/>
    <row r="20464" x14ac:dyDescent="0.25"/>
    <row r="20465" x14ac:dyDescent="0.25"/>
    <row r="20466" x14ac:dyDescent="0.25"/>
    <row r="20467" x14ac:dyDescent="0.25"/>
    <row r="20468" x14ac:dyDescent="0.25"/>
    <row r="20469" x14ac:dyDescent="0.25"/>
    <row r="20470" x14ac:dyDescent="0.25"/>
    <row r="20471" x14ac:dyDescent="0.25"/>
    <row r="20472" x14ac:dyDescent="0.25"/>
    <row r="20473" x14ac:dyDescent="0.25"/>
    <row r="20474" x14ac:dyDescent="0.25"/>
    <row r="20475" x14ac:dyDescent="0.25"/>
    <row r="20476" x14ac:dyDescent="0.25"/>
    <row r="20477" x14ac:dyDescent="0.25"/>
    <row r="20478" x14ac:dyDescent="0.25"/>
    <row r="20479" x14ac:dyDescent="0.25"/>
    <row r="20480" x14ac:dyDescent="0.25"/>
    <row r="20481" x14ac:dyDescent="0.25"/>
    <row r="20482" x14ac:dyDescent="0.25"/>
    <row r="20483" x14ac:dyDescent="0.25"/>
    <row r="20484" x14ac:dyDescent="0.25"/>
    <row r="20485" x14ac:dyDescent="0.25"/>
    <row r="20486" x14ac:dyDescent="0.25"/>
    <row r="20487" x14ac:dyDescent="0.25"/>
    <row r="20488" x14ac:dyDescent="0.25"/>
    <row r="20489" x14ac:dyDescent="0.25"/>
    <row r="20490" x14ac:dyDescent="0.25"/>
    <row r="20491" x14ac:dyDescent="0.25"/>
    <row r="20492" x14ac:dyDescent="0.25"/>
    <row r="20493" x14ac:dyDescent="0.25"/>
    <row r="20494" x14ac:dyDescent="0.25"/>
    <row r="20495" x14ac:dyDescent="0.25"/>
    <row r="20496" x14ac:dyDescent="0.25"/>
    <row r="20497" x14ac:dyDescent="0.25"/>
    <row r="20498" x14ac:dyDescent="0.25"/>
    <row r="20499" x14ac:dyDescent="0.25"/>
    <row r="20500" x14ac:dyDescent="0.25"/>
    <row r="20501" x14ac:dyDescent="0.25"/>
    <row r="20502" x14ac:dyDescent="0.25"/>
    <row r="20503" x14ac:dyDescent="0.25"/>
    <row r="20504" x14ac:dyDescent="0.25"/>
    <row r="20505" x14ac:dyDescent="0.25"/>
    <row r="20506" x14ac:dyDescent="0.25"/>
    <row r="20507" x14ac:dyDescent="0.25"/>
    <row r="20508" x14ac:dyDescent="0.25"/>
    <row r="20509" x14ac:dyDescent="0.25"/>
    <row r="20510" x14ac:dyDescent="0.25"/>
    <row r="20511" x14ac:dyDescent="0.25"/>
    <row r="20512" x14ac:dyDescent="0.25"/>
    <row r="20513" x14ac:dyDescent="0.25"/>
    <row r="20514" x14ac:dyDescent="0.25"/>
    <row r="20515" x14ac:dyDescent="0.25"/>
    <row r="20516" x14ac:dyDescent="0.25"/>
    <row r="20517" x14ac:dyDescent="0.25"/>
    <row r="20518" x14ac:dyDescent="0.25"/>
    <row r="20519" x14ac:dyDescent="0.25"/>
    <row r="20520" x14ac:dyDescent="0.25"/>
    <row r="20521" x14ac:dyDescent="0.25"/>
    <row r="20522" x14ac:dyDescent="0.25"/>
    <row r="20523" x14ac:dyDescent="0.25"/>
    <row r="20524" x14ac:dyDescent="0.25"/>
    <row r="20525" x14ac:dyDescent="0.25"/>
    <row r="20526" x14ac:dyDescent="0.25"/>
    <row r="20527" x14ac:dyDescent="0.25"/>
    <row r="20528" x14ac:dyDescent="0.25"/>
    <row r="20529" x14ac:dyDescent="0.25"/>
    <row r="20530" x14ac:dyDescent="0.25"/>
    <row r="20531" x14ac:dyDescent="0.25"/>
    <row r="20532" x14ac:dyDescent="0.25"/>
    <row r="20533" x14ac:dyDescent="0.25"/>
    <row r="20534" x14ac:dyDescent="0.25"/>
    <row r="20535" x14ac:dyDescent="0.25"/>
    <row r="20536" x14ac:dyDescent="0.25"/>
    <row r="20537" x14ac:dyDescent="0.25"/>
    <row r="20538" x14ac:dyDescent="0.25"/>
    <row r="20539" x14ac:dyDescent="0.25"/>
    <row r="20540" x14ac:dyDescent="0.25"/>
    <row r="20541" x14ac:dyDescent="0.25"/>
    <row r="20542" x14ac:dyDescent="0.25"/>
    <row r="20543" x14ac:dyDescent="0.25"/>
    <row r="20544" x14ac:dyDescent="0.25"/>
    <row r="20545" x14ac:dyDescent="0.25"/>
    <row r="20546" x14ac:dyDescent="0.25"/>
    <row r="20547" x14ac:dyDescent="0.25"/>
    <row r="20548" x14ac:dyDescent="0.25"/>
    <row r="20549" x14ac:dyDescent="0.25"/>
    <row r="20550" x14ac:dyDescent="0.25"/>
    <row r="20551" x14ac:dyDescent="0.25"/>
    <row r="20552" x14ac:dyDescent="0.25"/>
    <row r="20553" x14ac:dyDescent="0.25"/>
    <row r="20554" x14ac:dyDescent="0.25"/>
    <row r="20555" x14ac:dyDescent="0.25"/>
    <row r="20556" x14ac:dyDescent="0.25"/>
    <row r="20557" x14ac:dyDescent="0.25"/>
    <row r="20558" x14ac:dyDescent="0.25"/>
    <row r="20559" x14ac:dyDescent="0.25"/>
    <row r="20560" x14ac:dyDescent="0.25"/>
    <row r="20561" x14ac:dyDescent="0.25"/>
    <row r="20562" x14ac:dyDescent="0.25"/>
    <row r="20563" x14ac:dyDescent="0.25"/>
    <row r="20564" x14ac:dyDescent="0.25"/>
    <row r="20565" x14ac:dyDescent="0.25"/>
    <row r="20566" x14ac:dyDescent="0.25"/>
    <row r="20567" x14ac:dyDescent="0.25"/>
    <row r="20568" x14ac:dyDescent="0.25"/>
    <row r="20569" x14ac:dyDescent="0.25"/>
    <row r="20570" x14ac:dyDescent="0.25"/>
    <row r="20571" x14ac:dyDescent="0.25"/>
    <row r="20572" x14ac:dyDescent="0.25"/>
    <row r="20573" x14ac:dyDescent="0.25"/>
    <row r="20574" x14ac:dyDescent="0.25"/>
    <row r="20575" x14ac:dyDescent="0.25"/>
    <row r="20576" x14ac:dyDescent="0.25"/>
    <row r="20577" x14ac:dyDescent="0.25"/>
    <row r="20578" x14ac:dyDescent="0.25"/>
    <row r="20579" x14ac:dyDescent="0.25"/>
    <row r="20580" x14ac:dyDescent="0.25"/>
    <row r="20581" x14ac:dyDescent="0.25"/>
    <row r="20582" x14ac:dyDescent="0.25"/>
    <row r="20583" x14ac:dyDescent="0.25"/>
    <row r="20584" x14ac:dyDescent="0.25"/>
    <row r="20585" x14ac:dyDescent="0.25"/>
    <row r="20586" x14ac:dyDescent="0.25"/>
    <row r="20587" x14ac:dyDescent="0.25"/>
    <row r="20588" x14ac:dyDescent="0.25"/>
    <row r="20589" x14ac:dyDescent="0.25"/>
    <row r="20590" x14ac:dyDescent="0.25"/>
    <row r="20591" x14ac:dyDescent="0.25"/>
    <row r="20592" x14ac:dyDescent="0.25"/>
    <row r="20593" x14ac:dyDescent="0.25"/>
    <row r="20594" x14ac:dyDescent="0.25"/>
    <row r="20595" x14ac:dyDescent="0.25"/>
    <row r="20596" x14ac:dyDescent="0.25"/>
    <row r="20597" x14ac:dyDescent="0.25"/>
    <row r="20598" x14ac:dyDescent="0.25"/>
    <row r="20599" x14ac:dyDescent="0.25"/>
    <row r="20600" x14ac:dyDescent="0.25"/>
    <row r="20601" x14ac:dyDescent="0.25"/>
    <row r="20602" x14ac:dyDescent="0.25"/>
    <row r="20603" x14ac:dyDescent="0.25"/>
    <row r="20604" x14ac:dyDescent="0.25"/>
    <row r="20605" x14ac:dyDescent="0.25"/>
    <row r="20606" x14ac:dyDescent="0.25"/>
    <row r="20607" x14ac:dyDescent="0.25"/>
    <row r="20608" x14ac:dyDescent="0.25"/>
    <row r="20609" x14ac:dyDescent="0.25"/>
    <row r="20610" x14ac:dyDescent="0.25"/>
    <row r="20611" x14ac:dyDescent="0.25"/>
    <row r="20612" x14ac:dyDescent="0.25"/>
    <row r="20613" x14ac:dyDescent="0.25"/>
    <row r="20614" x14ac:dyDescent="0.25"/>
    <row r="20615" x14ac:dyDescent="0.25"/>
    <row r="20616" x14ac:dyDescent="0.25"/>
    <row r="20617" x14ac:dyDescent="0.25"/>
    <row r="20618" x14ac:dyDescent="0.25"/>
    <row r="20619" x14ac:dyDescent="0.25"/>
    <row r="20620" x14ac:dyDescent="0.25"/>
    <row r="20621" x14ac:dyDescent="0.25"/>
    <row r="20622" x14ac:dyDescent="0.25"/>
    <row r="20623" x14ac:dyDescent="0.25"/>
    <row r="20624" x14ac:dyDescent="0.25"/>
    <row r="20625" x14ac:dyDescent="0.25"/>
    <row r="20626" x14ac:dyDescent="0.25"/>
    <row r="20627" x14ac:dyDescent="0.25"/>
    <row r="20628" x14ac:dyDescent="0.25"/>
    <row r="20629" x14ac:dyDescent="0.25"/>
    <row r="20630" x14ac:dyDescent="0.25"/>
    <row r="20631" x14ac:dyDescent="0.25"/>
    <row r="20632" x14ac:dyDescent="0.25"/>
    <row r="20633" x14ac:dyDescent="0.25"/>
    <row r="20634" x14ac:dyDescent="0.25"/>
    <row r="20635" x14ac:dyDescent="0.25"/>
    <row r="20636" x14ac:dyDescent="0.25"/>
    <row r="20637" x14ac:dyDescent="0.25"/>
    <row r="20638" x14ac:dyDescent="0.25"/>
    <row r="20639" x14ac:dyDescent="0.25"/>
    <row r="20640" x14ac:dyDescent="0.25"/>
    <row r="20641" x14ac:dyDescent="0.25"/>
    <row r="20642" x14ac:dyDescent="0.25"/>
    <row r="20643" x14ac:dyDescent="0.25"/>
    <row r="20644" x14ac:dyDescent="0.25"/>
    <row r="20645" x14ac:dyDescent="0.25"/>
    <row r="20646" x14ac:dyDescent="0.25"/>
    <row r="20647" x14ac:dyDescent="0.25"/>
    <row r="20648" x14ac:dyDescent="0.25"/>
    <row r="20649" x14ac:dyDescent="0.25"/>
    <row r="20650" x14ac:dyDescent="0.25"/>
    <row r="20651" x14ac:dyDescent="0.25"/>
    <row r="20652" x14ac:dyDescent="0.25"/>
    <row r="20653" x14ac:dyDescent="0.25"/>
    <row r="20654" x14ac:dyDescent="0.25"/>
    <row r="20655" x14ac:dyDescent="0.25"/>
    <row r="20656" x14ac:dyDescent="0.25"/>
    <row r="20657" x14ac:dyDescent="0.25"/>
    <row r="20658" x14ac:dyDescent="0.25"/>
    <row r="20659" x14ac:dyDescent="0.25"/>
    <row r="20660" x14ac:dyDescent="0.25"/>
    <row r="20661" x14ac:dyDescent="0.25"/>
    <row r="20662" x14ac:dyDescent="0.25"/>
    <row r="20663" x14ac:dyDescent="0.25"/>
    <row r="20664" x14ac:dyDescent="0.25"/>
    <row r="20665" x14ac:dyDescent="0.25"/>
    <row r="20666" x14ac:dyDescent="0.25"/>
    <row r="20667" x14ac:dyDescent="0.25"/>
    <row r="20668" x14ac:dyDescent="0.25"/>
    <row r="20669" x14ac:dyDescent="0.25"/>
    <row r="20670" x14ac:dyDescent="0.25"/>
    <row r="20671" x14ac:dyDescent="0.25"/>
    <row r="20672" x14ac:dyDescent="0.25"/>
    <row r="20673" x14ac:dyDescent="0.25"/>
    <row r="20674" x14ac:dyDescent="0.25"/>
    <row r="20675" x14ac:dyDescent="0.25"/>
    <row r="20676" x14ac:dyDescent="0.25"/>
    <row r="20677" x14ac:dyDescent="0.25"/>
    <row r="20678" x14ac:dyDescent="0.25"/>
    <row r="20679" x14ac:dyDescent="0.25"/>
    <row r="20680" x14ac:dyDescent="0.25"/>
    <row r="20681" x14ac:dyDescent="0.25"/>
    <row r="20682" x14ac:dyDescent="0.25"/>
    <row r="20683" x14ac:dyDescent="0.25"/>
    <row r="20684" x14ac:dyDescent="0.25"/>
    <row r="20685" x14ac:dyDescent="0.25"/>
    <row r="20686" x14ac:dyDescent="0.25"/>
    <row r="20687" x14ac:dyDescent="0.25"/>
    <row r="20688" x14ac:dyDescent="0.25"/>
    <row r="20689" x14ac:dyDescent="0.25"/>
    <row r="20690" x14ac:dyDescent="0.25"/>
    <row r="20691" x14ac:dyDescent="0.25"/>
    <row r="20692" x14ac:dyDescent="0.25"/>
    <row r="20693" x14ac:dyDescent="0.25"/>
    <row r="20694" x14ac:dyDescent="0.25"/>
    <row r="20695" x14ac:dyDescent="0.25"/>
    <row r="20696" x14ac:dyDescent="0.25"/>
    <row r="20697" x14ac:dyDescent="0.25"/>
    <row r="20698" x14ac:dyDescent="0.25"/>
    <row r="20699" x14ac:dyDescent="0.25"/>
    <row r="20700" x14ac:dyDescent="0.25"/>
    <row r="20701" x14ac:dyDescent="0.25"/>
    <row r="20702" x14ac:dyDescent="0.25"/>
    <row r="20703" x14ac:dyDescent="0.25"/>
    <row r="20704" x14ac:dyDescent="0.25"/>
    <row r="20705" x14ac:dyDescent="0.25"/>
    <row r="20706" x14ac:dyDescent="0.25"/>
    <row r="20707" x14ac:dyDescent="0.25"/>
    <row r="20708" x14ac:dyDescent="0.25"/>
    <row r="20709" x14ac:dyDescent="0.25"/>
    <row r="20710" x14ac:dyDescent="0.25"/>
    <row r="20711" x14ac:dyDescent="0.25"/>
    <row r="20712" x14ac:dyDescent="0.25"/>
    <row r="20713" x14ac:dyDescent="0.25"/>
    <row r="20714" x14ac:dyDescent="0.25"/>
    <row r="20715" x14ac:dyDescent="0.25"/>
    <row r="20716" x14ac:dyDescent="0.25"/>
    <row r="20717" x14ac:dyDescent="0.25"/>
    <row r="20718" x14ac:dyDescent="0.25"/>
    <row r="20719" x14ac:dyDescent="0.25"/>
    <row r="20720" x14ac:dyDescent="0.25"/>
    <row r="20721" x14ac:dyDescent="0.25"/>
    <row r="20722" x14ac:dyDescent="0.25"/>
    <row r="20723" x14ac:dyDescent="0.25"/>
    <row r="20724" x14ac:dyDescent="0.25"/>
    <row r="20725" x14ac:dyDescent="0.25"/>
    <row r="20726" x14ac:dyDescent="0.25"/>
    <row r="20727" x14ac:dyDescent="0.25"/>
    <row r="20728" x14ac:dyDescent="0.25"/>
    <row r="20729" x14ac:dyDescent="0.25"/>
    <row r="20730" x14ac:dyDescent="0.25"/>
    <row r="20731" x14ac:dyDescent="0.25"/>
    <row r="20732" x14ac:dyDescent="0.25"/>
    <row r="20733" x14ac:dyDescent="0.25"/>
    <row r="20734" x14ac:dyDescent="0.25"/>
    <row r="20735" x14ac:dyDescent="0.25"/>
    <row r="20736" x14ac:dyDescent="0.25"/>
    <row r="20737" x14ac:dyDescent="0.25"/>
    <row r="20738" x14ac:dyDescent="0.25"/>
    <row r="20739" x14ac:dyDescent="0.25"/>
    <row r="20740" x14ac:dyDescent="0.25"/>
    <row r="20741" x14ac:dyDescent="0.25"/>
    <row r="20742" x14ac:dyDescent="0.25"/>
    <row r="20743" x14ac:dyDescent="0.25"/>
    <row r="20744" x14ac:dyDescent="0.25"/>
    <row r="20745" x14ac:dyDescent="0.25"/>
    <row r="20746" x14ac:dyDescent="0.25"/>
    <row r="20747" x14ac:dyDescent="0.25"/>
    <row r="20748" x14ac:dyDescent="0.25"/>
    <row r="20749" x14ac:dyDescent="0.25"/>
    <row r="20750" x14ac:dyDescent="0.25"/>
    <row r="20751" x14ac:dyDescent="0.25"/>
    <row r="20752" x14ac:dyDescent="0.25"/>
    <row r="20753" x14ac:dyDescent="0.25"/>
    <row r="20754" x14ac:dyDescent="0.25"/>
    <row r="20755" x14ac:dyDescent="0.25"/>
    <row r="20756" x14ac:dyDescent="0.25"/>
    <row r="20757" x14ac:dyDescent="0.25"/>
    <row r="20758" x14ac:dyDescent="0.25"/>
    <row r="20759" x14ac:dyDescent="0.25"/>
    <row r="20760" x14ac:dyDescent="0.25"/>
    <row r="20761" x14ac:dyDescent="0.25"/>
    <row r="20762" x14ac:dyDescent="0.25"/>
    <row r="20763" x14ac:dyDescent="0.25"/>
    <row r="20764" x14ac:dyDescent="0.25"/>
    <row r="20765" x14ac:dyDescent="0.25"/>
    <row r="20766" x14ac:dyDescent="0.25"/>
    <row r="20767" x14ac:dyDescent="0.25"/>
    <row r="20768" x14ac:dyDescent="0.25"/>
    <row r="20769" x14ac:dyDescent="0.25"/>
    <row r="20770" x14ac:dyDescent="0.25"/>
    <row r="20771" x14ac:dyDescent="0.25"/>
    <row r="20772" x14ac:dyDescent="0.25"/>
    <row r="20773" x14ac:dyDescent="0.25"/>
    <row r="20774" x14ac:dyDescent="0.25"/>
    <row r="20775" x14ac:dyDescent="0.25"/>
    <row r="20776" x14ac:dyDescent="0.25"/>
    <row r="20777" x14ac:dyDescent="0.25"/>
    <row r="20778" x14ac:dyDescent="0.25"/>
    <row r="20779" x14ac:dyDescent="0.25"/>
    <row r="20780" x14ac:dyDescent="0.25"/>
    <row r="20781" x14ac:dyDescent="0.25"/>
    <row r="20782" x14ac:dyDescent="0.25"/>
    <row r="20783" x14ac:dyDescent="0.25"/>
    <row r="20784" x14ac:dyDescent="0.25"/>
    <row r="20785" x14ac:dyDescent="0.25"/>
    <row r="20786" x14ac:dyDescent="0.25"/>
    <row r="20787" x14ac:dyDescent="0.25"/>
    <row r="20788" x14ac:dyDescent="0.25"/>
    <row r="20789" x14ac:dyDescent="0.25"/>
    <row r="20790" x14ac:dyDescent="0.25"/>
    <row r="20791" x14ac:dyDescent="0.25"/>
    <row r="20792" x14ac:dyDescent="0.25"/>
    <row r="20793" x14ac:dyDescent="0.25"/>
    <row r="20794" x14ac:dyDescent="0.25"/>
    <row r="20795" x14ac:dyDescent="0.25"/>
    <row r="20796" x14ac:dyDescent="0.25"/>
    <row r="20797" x14ac:dyDescent="0.25"/>
    <row r="20798" x14ac:dyDescent="0.25"/>
    <row r="20799" x14ac:dyDescent="0.25"/>
    <row r="20800" x14ac:dyDescent="0.25"/>
    <row r="20801" x14ac:dyDescent="0.25"/>
    <row r="20802" x14ac:dyDescent="0.25"/>
    <row r="20803" x14ac:dyDescent="0.25"/>
    <row r="20804" x14ac:dyDescent="0.25"/>
    <row r="20805" x14ac:dyDescent="0.25"/>
    <row r="20806" x14ac:dyDescent="0.25"/>
    <row r="20807" x14ac:dyDescent="0.25"/>
    <row r="20808" x14ac:dyDescent="0.25"/>
    <row r="20809" x14ac:dyDescent="0.25"/>
    <row r="20810" x14ac:dyDescent="0.25"/>
    <row r="20811" x14ac:dyDescent="0.25"/>
    <row r="20812" x14ac:dyDescent="0.25"/>
    <row r="20813" x14ac:dyDescent="0.25"/>
    <row r="20814" x14ac:dyDescent="0.25"/>
    <row r="20815" x14ac:dyDescent="0.25"/>
    <row r="20816" x14ac:dyDescent="0.25"/>
    <row r="20817" x14ac:dyDescent="0.25"/>
    <row r="20818" x14ac:dyDescent="0.25"/>
    <row r="20819" x14ac:dyDescent="0.25"/>
    <row r="20820" x14ac:dyDescent="0.25"/>
    <row r="20821" x14ac:dyDescent="0.25"/>
    <row r="20822" x14ac:dyDescent="0.25"/>
    <row r="20823" x14ac:dyDescent="0.25"/>
    <row r="20824" x14ac:dyDescent="0.25"/>
    <row r="20825" x14ac:dyDescent="0.25"/>
    <row r="20826" x14ac:dyDescent="0.25"/>
    <row r="20827" x14ac:dyDescent="0.25"/>
    <row r="20828" x14ac:dyDescent="0.25"/>
    <row r="20829" x14ac:dyDescent="0.25"/>
    <row r="20830" x14ac:dyDescent="0.25"/>
    <row r="20831" x14ac:dyDescent="0.25"/>
    <row r="20832" x14ac:dyDescent="0.25"/>
    <row r="20833" x14ac:dyDescent="0.25"/>
    <row r="20834" x14ac:dyDescent="0.25"/>
    <row r="20835" x14ac:dyDescent="0.25"/>
    <row r="20836" x14ac:dyDescent="0.25"/>
    <row r="20837" x14ac:dyDescent="0.25"/>
    <row r="20838" x14ac:dyDescent="0.25"/>
    <row r="20839" x14ac:dyDescent="0.25"/>
    <row r="20840" x14ac:dyDescent="0.25"/>
    <row r="20841" x14ac:dyDescent="0.25"/>
    <row r="20842" x14ac:dyDescent="0.25"/>
    <row r="20843" x14ac:dyDescent="0.25"/>
    <row r="20844" x14ac:dyDescent="0.25"/>
    <row r="20845" x14ac:dyDescent="0.25"/>
    <row r="20846" x14ac:dyDescent="0.25"/>
    <row r="20847" x14ac:dyDescent="0.25"/>
    <row r="20848" x14ac:dyDescent="0.25"/>
    <row r="20849" x14ac:dyDescent="0.25"/>
    <row r="20850" x14ac:dyDescent="0.25"/>
    <row r="20851" x14ac:dyDescent="0.25"/>
    <row r="20852" x14ac:dyDescent="0.25"/>
    <row r="20853" x14ac:dyDescent="0.25"/>
    <row r="20854" x14ac:dyDescent="0.25"/>
    <row r="20855" x14ac:dyDescent="0.25"/>
    <row r="20856" x14ac:dyDescent="0.25"/>
    <row r="20857" x14ac:dyDescent="0.25"/>
    <row r="20858" x14ac:dyDescent="0.25"/>
    <row r="20859" x14ac:dyDescent="0.25"/>
    <row r="20860" x14ac:dyDescent="0.25"/>
    <row r="20861" x14ac:dyDescent="0.25"/>
    <row r="20862" x14ac:dyDescent="0.25"/>
    <row r="20863" x14ac:dyDescent="0.25"/>
    <row r="20864" x14ac:dyDescent="0.25"/>
    <row r="20865" x14ac:dyDescent="0.25"/>
    <row r="20866" x14ac:dyDescent="0.25"/>
    <row r="20867" x14ac:dyDescent="0.25"/>
    <row r="20868" x14ac:dyDescent="0.25"/>
    <row r="20869" x14ac:dyDescent="0.25"/>
    <row r="20870" x14ac:dyDescent="0.25"/>
    <row r="20871" x14ac:dyDescent="0.25"/>
    <row r="20872" x14ac:dyDescent="0.25"/>
    <row r="20873" x14ac:dyDescent="0.25"/>
    <row r="20874" x14ac:dyDescent="0.25"/>
    <row r="20875" x14ac:dyDescent="0.25"/>
    <row r="20876" x14ac:dyDescent="0.25"/>
    <row r="20877" x14ac:dyDescent="0.25"/>
    <row r="20878" x14ac:dyDescent="0.25"/>
    <row r="20879" x14ac:dyDescent="0.25"/>
    <row r="20880" x14ac:dyDescent="0.25"/>
    <row r="20881" x14ac:dyDescent="0.25"/>
    <row r="20882" x14ac:dyDescent="0.25"/>
    <row r="20883" x14ac:dyDescent="0.25"/>
    <row r="20884" x14ac:dyDescent="0.25"/>
    <row r="20885" x14ac:dyDescent="0.25"/>
    <row r="20886" x14ac:dyDescent="0.25"/>
    <row r="20887" x14ac:dyDescent="0.25"/>
    <row r="20888" x14ac:dyDescent="0.25"/>
    <row r="20889" x14ac:dyDescent="0.25"/>
    <row r="20890" x14ac:dyDescent="0.25"/>
    <row r="20891" x14ac:dyDescent="0.25"/>
    <row r="20892" x14ac:dyDescent="0.25"/>
    <row r="20893" x14ac:dyDescent="0.25"/>
    <row r="20894" x14ac:dyDescent="0.25"/>
    <row r="20895" x14ac:dyDescent="0.25"/>
    <row r="20896" x14ac:dyDescent="0.25"/>
    <row r="20897" x14ac:dyDescent="0.25"/>
    <row r="20898" x14ac:dyDescent="0.25"/>
    <row r="20899" x14ac:dyDescent="0.25"/>
    <row r="20900" x14ac:dyDescent="0.25"/>
    <row r="20901" x14ac:dyDescent="0.25"/>
    <row r="20902" x14ac:dyDescent="0.25"/>
    <row r="20903" x14ac:dyDescent="0.25"/>
    <row r="20904" x14ac:dyDescent="0.25"/>
    <row r="20905" x14ac:dyDescent="0.25"/>
    <row r="20906" x14ac:dyDescent="0.25"/>
    <row r="20907" x14ac:dyDescent="0.25"/>
    <row r="20908" x14ac:dyDescent="0.25"/>
    <row r="20909" x14ac:dyDescent="0.25"/>
    <row r="20910" x14ac:dyDescent="0.25"/>
    <row r="20911" x14ac:dyDescent="0.25"/>
    <row r="20912" x14ac:dyDescent="0.25"/>
    <row r="20913" x14ac:dyDescent="0.25"/>
    <row r="20914" x14ac:dyDescent="0.25"/>
    <row r="20915" x14ac:dyDescent="0.25"/>
    <row r="20916" x14ac:dyDescent="0.25"/>
    <row r="20917" x14ac:dyDescent="0.25"/>
    <row r="20918" x14ac:dyDescent="0.25"/>
    <row r="20919" x14ac:dyDescent="0.25"/>
    <row r="20920" x14ac:dyDescent="0.25"/>
    <row r="20921" x14ac:dyDescent="0.25"/>
    <row r="20922" x14ac:dyDescent="0.25"/>
    <row r="20923" x14ac:dyDescent="0.25"/>
    <row r="20924" x14ac:dyDescent="0.25"/>
    <row r="20925" x14ac:dyDescent="0.25"/>
    <row r="20926" x14ac:dyDescent="0.25"/>
    <row r="20927" x14ac:dyDescent="0.25"/>
    <row r="20928" x14ac:dyDescent="0.25"/>
    <row r="20929" x14ac:dyDescent="0.25"/>
    <row r="20930" x14ac:dyDescent="0.25"/>
    <row r="20931" x14ac:dyDescent="0.25"/>
    <row r="20932" x14ac:dyDescent="0.25"/>
    <row r="20933" x14ac:dyDescent="0.25"/>
    <row r="20934" x14ac:dyDescent="0.25"/>
    <row r="20935" x14ac:dyDescent="0.25"/>
    <row r="20936" x14ac:dyDescent="0.25"/>
    <row r="20937" x14ac:dyDescent="0.25"/>
    <row r="20938" x14ac:dyDescent="0.25"/>
    <row r="20939" x14ac:dyDescent="0.25"/>
    <row r="20940" x14ac:dyDescent="0.25"/>
    <row r="20941" x14ac:dyDescent="0.25"/>
    <row r="20942" x14ac:dyDescent="0.25"/>
    <row r="20943" x14ac:dyDescent="0.25"/>
    <row r="20944" x14ac:dyDescent="0.25"/>
    <row r="20945" x14ac:dyDescent="0.25"/>
    <row r="20946" x14ac:dyDescent="0.25"/>
    <row r="20947" x14ac:dyDescent="0.25"/>
    <row r="20948" x14ac:dyDescent="0.25"/>
    <row r="20949" x14ac:dyDescent="0.25"/>
    <row r="20950" x14ac:dyDescent="0.25"/>
    <row r="20951" x14ac:dyDescent="0.25"/>
    <row r="20952" x14ac:dyDescent="0.25"/>
    <row r="20953" x14ac:dyDescent="0.25"/>
    <row r="20954" x14ac:dyDescent="0.25"/>
    <row r="20955" x14ac:dyDescent="0.25"/>
    <row r="20956" x14ac:dyDescent="0.25"/>
    <row r="20957" x14ac:dyDescent="0.25"/>
    <row r="20958" x14ac:dyDescent="0.25"/>
    <row r="20959" x14ac:dyDescent="0.25"/>
    <row r="20960" x14ac:dyDescent="0.25"/>
    <row r="20961" x14ac:dyDescent="0.25"/>
    <row r="20962" x14ac:dyDescent="0.25"/>
    <row r="20963" x14ac:dyDescent="0.25"/>
    <row r="20964" x14ac:dyDescent="0.25"/>
    <row r="20965" x14ac:dyDescent="0.25"/>
    <row r="20966" x14ac:dyDescent="0.25"/>
    <row r="20967" x14ac:dyDescent="0.25"/>
    <row r="20968" x14ac:dyDescent="0.25"/>
    <row r="20969" x14ac:dyDescent="0.25"/>
    <row r="20970" x14ac:dyDescent="0.25"/>
    <row r="20971" x14ac:dyDescent="0.25"/>
    <row r="20972" x14ac:dyDescent="0.25"/>
    <row r="20973" x14ac:dyDescent="0.25"/>
    <row r="20974" x14ac:dyDescent="0.25"/>
    <row r="20975" x14ac:dyDescent="0.25"/>
    <row r="20976" x14ac:dyDescent="0.25"/>
    <row r="20977" x14ac:dyDescent="0.25"/>
    <row r="20978" x14ac:dyDescent="0.25"/>
    <row r="20979" x14ac:dyDescent="0.25"/>
    <row r="20980" x14ac:dyDescent="0.25"/>
    <row r="20981" x14ac:dyDescent="0.25"/>
    <row r="20982" x14ac:dyDescent="0.25"/>
    <row r="20983" x14ac:dyDescent="0.25"/>
    <row r="20984" x14ac:dyDescent="0.25"/>
    <row r="20985" x14ac:dyDescent="0.25"/>
    <row r="20986" x14ac:dyDescent="0.25"/>
    <row r="20987" x14ac:dyDescent="0.25"/>
    <row r="20988" x14ac:dyDescent="0.25"/>
    <row r="20989" x14ac:dyDescent="0.25"/>
    <row r="20990" x14ac:dyDescent="0.25"/>
    <row r="20991" x14ac:dyDescent="0.25"/>
    <row r="20992" x14ac:dyDescent="0.25"/>
    <row r="20993" x14ac:dyDescent="0.25"/>
    <row r="20994" x14ac:dyDescent="0.25"/>
    <row r="20995" x14ac:dyDescent="0.25"/>
    <row r="20996" x14ac:dyDescent="0.25"/>
    <row r="20997" x14ac:dyDescent="0.25"/>
    <row r="20998" x14ac:dyDescent="0.25"/>
    <row r="20999" x14ac:dyDescent="0.25"/>
    <row r="21000" x14ac:dyDescent="0.25"/>
    <row r="21001" x14ac:dyDescent="0.25"/>
    <row r="21002" x14ac:dyDescent="0.25"/>
    <row r="21003" x14ac:dyDescent="0.25"/>
    <row r="21004" x14ac:dyDescent="0.25"/>
    <row r="21005" x14ac:dyDescent="0.25"/>
    <row r="21006" x14ac:dyDescent="0.25"/>
    <row r="21007" x14ac:dyDescent="0.25"/>
    <row r="21008" x14ac:dyDescent="0.25"/>
    <row r="21009" x14ac:dyDescent="0.25"/>
    <row r="21010" x14ac:dyDescent="0.25"/>
    <row r="21011" x14ac:dyDescent="0.25"/>
    <row r="21012" x14ac:dyDescent="0.25"/>
    <row r="21013" x14ac:dyDescent="0.25"/>
    <row r="21014" x14ac:dyDescent="0.25"/>
    <row r="21015" x14ac:dyDescent="0.25"/>
    <row r="21016" x14ac:dyDescent="0.25"/>
    <row r="21017" x14ac:dyDescent="0.25"/>
    <row r="21018" x14ac:dyDescent="0.25"/>
    <row r="21019" x14ac:dyDescent="0.25"/>
    <row r="21020" x14ac:dyDescent="0.25"/>
    <row r="21021" x14ac:dyDescent="0.25"/>
    <row r="21022" x14ac:dyDescent="0.25"/>
    <row r="21023" x14ac:dyDescent="0.25"/>
    <row r="21024" x14ac:dyDescent="0.25"/>
    <row r="21025" x14ac:dyDescent="0.25"/>
    <row r="21026" x14ac:dyDescent="0.25"/>
    <row r="21027" x14ac:dyDescent="0.25"/>
    <row r="21028" x14ac:dyDescent="0.25"/>
    <row r="21029" x14ac:dyDescent="0.25"/>
    <row r="21030" x14ac:dyDescent="0.25"/>
    <row r="21031" x14ac:dyDescent="0.25"/>
    <row r="21032" x14ac:dyDescent="0.25"/>
    <row r="21033" x14ac:dyDescent="0.25"/>
    <row r="21034" x14ac:dyDescent="0.25"/>
    <row r="21035" x14ac:dyDescent="0.25"/>
    <row r="21036" x14ac:dyDescent="0.25"/>
    <row r="21037" x14ac:dyDescent="0.25"/>
    <row r="21038" x14ac:dyDescent="0.25"/>
    <row r="21039" x14ac:dyDescent="0.25"/>
    <row r="21040" x14ac:dyDescent="0.25"/>
    <row r="21041" x14ac:dyDescent="0.25"/>
    <row r="21042" x14ac:dyDescent="0.25"/>
    <row r="21043" x14ac:dyDescent="0.25"/>
    <row r="21044" x14ac:dyDescent="0.25"/>
    <row r="21045" x14ac:dyDescent="0.25"/>
    <row r="21046" x14ac:dyDescent="0.25"/>
    <row r="21047" x14ac:dyDescent="0.25"/>
    <row r="21048" x14ac:dyDescent="0.25"/>
    <row r="21049" x14ac:dyDescent="0.25"/>
    <row r="21050" x14ac:dyDescent="0.25"/>
    <row r="21051" x14ac:dyDescent="0.25"/>
    <row r="21052" x14ac:dyDescent="0.25"/>
    <row r="21053" x14ac:dyDescent="0.25"/>
    <row r="21054" x14ac:dyDescent="0.25"/>
    <row r="21055" x14ac:dyDescent="0.25"/>
    <row r="21056" x14ac:dyDescent="0.25"/>
    <row r="21057" x14ac:dyDescent="0.25"/>
    <row r="21058" x14ac:dyDescent="0.25"/>
    <row r="21059" x14ac:dyDescent="0.25"/>
    <row r="21060" x14ac:dyDescent="0.25"/>
    <row r="21061" x14ac:dyDescent="0.25"/>
    <row r="21062" x14ac:dyDescent="0.25"/>
    <row r="21063" x14ac:dyDescent="0.25"/>
    <row r="21064" x14ac:dyDescent="0.25"/>
    <row r="21065" x14ac:dyDescent="0.25"/>
    <row r="21066" x14ac:dyDescent="0.25"/>
    <row r="21067" x14ac:dyDescent="0.25"/>
    <row r="21068" x14ac:dyDescent="0.25"/>
    <row r="21069" x14ac:dyDescent="0.25"/>
    <row r="21070" x14ac:dyDescent="0.25"/>
    <row r="21071" x14ac:dyDescent="0.25"/>
    <row r="21072" x14ac:dyDescent="0.25"/>
    <row r="21073" x14ac:dyDescent="0.25"/>
    <row r="21074" x14ac:dyDescent="0.25"/>
    <row r="21075" x14ac:dyDescent="0.25"/>
    <row r="21076" x14ac:dyDescent="0.25"/>
    <row r="21077" x14ac:dyDescent="0.25"/>
    <row r="21078" x14ac:dyDescent="0.25"/>
    <row r="21079" x14ac:dyDescent="0.25"/>
    <row r="21080" x14ac:dyDescent="0.25"/>
    <row r="21081" x14ac:dyDescent="0.25"/>
    <row r="21082" x14ac:dyDescent="0.25"/>
    <row r="21083" x14ac:dyDescent="0.25"/>
    <row r="21084" x14ac:dyDescent="0.25"/>
    <row r="21085" x14ac:dyDescent="0.25"/>
    <row r="21086" x14ac:dyDescent="0.25"/>
    <row r="21087" x14ac:dyDescent="0.25"/>
    <row r="21088" x14ac:dyDescent="0.25"/>
    <row r="21089" x14ac:dyDescent="0.25"/>
    <row r="21090" x14ac:dyDescent="0.25"/>
    <row r="21091" x14ac:dyDescent="0.25"/>
    <row r="21092" x14ac:dyDescent="0.25"/>
    <row r="21093" x14ac:dyDescent="0.25"/>
    <row r="21094" x14ac:dyDescent="0.25"/>
    <row r="21095" x14ac:dyDescent="0.25"/>
    <row r="21096" x14ac:dyDescent="0.25"/>
    <row r="21097" x14ac:dyDescent="0.25"/>
    <row r="21098" x14ac:dyDescent="0.25"/>
    <row r="21099" x14ac:dyDescent="0.25"/>
    <row r="21100" x14ac:dyDescent="0.25"/>
    <row r="21101" x14ac:dyDescent="0.25"/>
    <row r="21102" x14ac:dyDescent="0.25"/>
    <row r="21103" x14ac:dyDescent="0.25"/>
    <row r="21104" x14ac:dyDescent="0.25"/>
    <row r="21105" x14ac:dyDescent="0.25"/>
    <row r="21106" x14ac:dyDescent="0.25"/>
    <row r="21107" x14ac:dyDescent="0.25"/>
    <row r="21108" x14ac:dyDescent="0.25"/>
    <row r="21109" x14ac:dyDescent="0.25"/>
    <row r="21110" x14ac:dyDescent="0.25"/>
    <row r="21111" x14ac:dyDescent="0.25"/>
    <row r="21112" x14ac:dyDescent="0.25"/>
    <row r="21113" x14ac:dyDescent="0.25"/>
    <row r="21114" x14ac:dyDescent="0.25"/>
    <row r="21115" x14ac:dyDescent="0.25"/>
    <row r="21116" x14ac:dyDescent="0.25"/>
    <row r="21117" x14ac:dyDescent="0.25"/>
    <row r="21118" x14ac:dyDescent="0.25"/>
    <row r="21119" x14ac:dyDescent="0.25"/>
    <row r="21120" x14ac:dyDescent="0.25"/>
    <row r="21121" x14ac:dyDescent="0.25"/>
    <row r="21122" x14ac:dyDescent="0.25"/>
    <row r="21123" x14ac:dyDescent="0.25"/>
    <row r="21124" x14ac:dyDescent="0.25"/>
    <row r="21125" x14ac:dyDescent="0.25"/>
    <row r="21126" x14ac:dyDescent="0.25"/>
    <row r="21127" x14ac:dyDescent="0.25"/>
    <row r="21128" x14ac:dyDescent="0.25"/>
    <row r="21129" x14ac:dyDescent="0.25"/>
    <row r="21130" x14ac:dyDescent="0.25"/>
    <row r="21131" x14ac:dyDescent="0.25"/>
    <row r="21132" x14ac:dyDescent="0.25"/>
    <row r="21133" x14ac:dyDescent="0.25"/>
    <row r="21134" x14ac:dyDescent="0.25"/>
    <row r="21135" x14ac:dyDescent="0.25"/>
    <row r="21136" x14ac:dyDescent="0.25"/>
    <row r="21137" x14ac:dyDescent="0.25"/>
    <row r="21138" x14ac:dyDescent="0.25"/>
    <row r="21139" x14ac:dyDescent="0.25"/>
    <row r="21140" x14ac:dyDescent="0.25"/>
    <row r="21141" x14ac:dyDescent="0.25"/>
    <row r="21142" x14ac:dyDescent="0.25"/>
    <row r="21143" x14ac:dyDescent="0.25"/>
    <row r="21144" x14ac:dyDescent="0.25"/>
    <row r="21145" x14ac:dyDescent="0.25"/>
    <row r="21146" x14ac:dyDescent="0.25"/>
    <row r="21147" x14ac:dyDescent="0.25"/>
    <row r="21148" x14ac:dyDescent="0.25"/>
    <row r="21149" x14ac:dyDescent="0.25"/>
    <row r="21150" x14ac:dyDescent="0.25"/>
    <row r="21151" x14ac:dyDescent="0.25"/>
    <row r="21152" x14ac:dyDescent="0.25"/>
    <row r="21153" x14ac:dyDescent="0.25"/>
    <row r="21154" x14ac:dyDescent="0.25"/>
    <row r="21155" x14ac:dyDescent="0.25"/>
    <row r="21156" x14ac:dyDescent="0.25"/>
    <row r="21157" x14ac:dyDescent="0.25"/>
    <row r="21158" x14ac:dyDescent="0.25"/>
    <row r="21159" x14ac:dyDescent="0.25"/>
    <row r="21160" x14ac:dyDescent="0.25"/>
    <row r="21161" x14ac:dyDescent="0.25"/>
    <row r="21162" x14ac:dyDescent="0.25"/>
    <row r="21163" x14ac:dyDescent="0.25"/>
    <row r="21164" x14ac:dyDescent="0.25"/>
    <row r="21165" x14ac:dyDescent="0.25"/>
    <row r="21166" x14ac:dyDescent="0.25"/>
    <row r="21167" x14ac:dyDescent="0.25"/>
    <row r="21168" x14ac:dyDescent="0.25"/>
    <row r="21169" x14ac:dyDescent="0.25"/>
    <row r="21170" x14ac:dyDescent="0.25"/>
    <row r="21171" x14ac:dyDescent="0.25"/>
    <row r="21172" x14ac:dyDescent="0.25"/>
    <row r="21173" x14ac:dyDescent="0.25"/>
    <row r="21174" x14ac:dyDescent="0.25"/>
    <row r="21175" x14ac:dyDescent="0.25"/>
    <row r="21176" x14ac:dyDescent="0.25"/>
    <row r="21177" x14ac:dyDescent="0.25"/>
    <row r="21178" x14ac:dyDescent="0.25"/>
    <row r="21179" x14ac:dyDescent="0.25"/>
    <row r="21180" x14ac:dyDescent="0.25"/>
    <row r="21181" x14ac:dyDescent="0.25"/>
    <row r="21182" x14ac:dyDescent="0.25"/>
    <row r="21183" x14ac:dyDescent="0.25"/>
    <row r="21184" x14ac:dyDescent="0.25"/>
    <row r="21185" x14ac:dyDescent="0.25"/>
    <row r="21186" x14ac:dyDescent="0.25"/>
    <row r="21187" x14ac:dyDescent="0.25"/>
    <row r="21188" x14ac:dyDescent="0.25"/>
    <row r="21189" x14ac:dyDescent="0.25"/>
    <row r="21190" x14ac:dyDescent="0.25"/>
    <row r="21191" x14ac:dyDescent="0.25"/>
    <row r="21192" x14ac:dyDescent="0.25"/>
    <row r="21193" x14ac:dyDescent="0.25"/>
    <row r="21194" x14ac:dyDescent="0.25"/>
    <row r="21195" x14ac:dyDescent="0.25"/>
    <row r="21196" x14ac:dyDescent="0.25"/>
    <row r="21197" x14ac:dyDescent="0.25"/>
    <row r="21198" x14ac:dyDescent="0.25"/>
    <row r="21199" x14ac:dyDescent="0.25"/>
    <row r="21200" x14ac:dyDescent="0.25"/>
    <row r="21201" x14ac:dyDescent="0.25"/>
    <row r="21202" x14ac:dyDescent="0.25"/>
    <row r="21203" x14ac:dyDescent="0.25"/>
    <row r="21204" x14ac:dyDescent="0.25"/>
    <row r="21205" x14ac:dyDescent="0.25"/>
    <row r="21206" x14ac:dyDescent="0.25"/>
    <row r="21207" x14ac:dyDescent="0.25"/>
    <row r="21208" x14ac:dyDescent="0.25"/>
    <row r="21209" x14ac:dyDescent="0.25"/>
    <row r="21210" x14ac:dyDescent="0.25"/>
    <row r="21211" x14ac:dyDescent="0.25"/>
    <row r="21212" x14ac:dyDescent="0.25"/>
    <row r="21213" x14ac:dyDescent="0.25"/>
    <row r="21214" x14ac:dyDescent="0.25"/>
    <row r="21215" x14ac:dyDescent="0.25"/>
    <row r="21216" x14ac:dyDescent="0.25"/>
    <row r="21217" x14ac:dyDescent="0.25"/>
    <row r="21218" x14ac:dyDescent="0.25"/>
    <row r="21219" x14ac:dyDescent="0.25"/>
    <row r="21220" x14ac:dyDescent="0.25"/>
    <row r="21221" x14ac:dyDescent="0.25"/>
    <row r="21222" x14ac:dyDescent="0.25"/>
    <row r="21223" x14ac:dyDescent="0.25"/>
    <row r="21224" x14ac:dyDescent="0.25"/>
    <row r="21225" x14ac:dyDescent="0.25"/>
    <row r="21226" x14ac:dyDescent="0.25"/>
    <row r="21227" x14ac:dyDescent="0.25"/>
    <row r="21228" x14ac:dyDescent="0.25"/>
    <row r="21229" x14ac:dyDescent="0.25"/>
    <row r="21230" x14ac:dyDescent="0.25"/>
    <row r="21231" x14ac:dyDescent="0.25"/>
    <row r="21232" x14ac:dyDescent="0.25"/>
    <row r="21233" x14ac:dyDescent="0.25"/>
    <row r="21234" x14ac:dyDescent="0.25"/>
    <row r="21235" x14ac:dyDescent="0.25"/>
    <row r="21236" x14ac:dyDescent="0.25"/>
    <row r="21237" x14ac:dyDescent="0.25"/>
    <row r="21238" x14ac:dyDescent="0.25"/>
    <row r="21239" x14ac:dyDescent="0.25"/>
    <row r="21240" x14ac:dyDescent="0.25"/>
    <row r="21241" x14ac:dyDescent="0.25"/>
    <row r="21242" x14ac:dyDescent="0.25"/>
    <row r="21243" x14ac:dyDescent="0.25"/>
    <row r="21244" x14ac:dyDescent="0.25"/>
    <row r="21245" x14ac:dyDescent="0.25"/>
    <row r="21246" x14ac:dyDescent="0.25"/>
    <row r="21247" x14ac:dyDescent="0.25"/>
    <row r="21248" x14ac:dyDescent="0.25"/>
    <row r="21249" x14ac:dyDescent="0.25"/>
    <row r="21250" x14ac:dyDescent="0.25"/>
    <row r="21251" x14ac:dyDescent="0.25"/>
    <row r="21252" x14ac:dyDescent="0.25"/>
    <row r="21253" x14ac:dyDescent="0.25"/>
    <row r="21254" x14ac:dyDescent="0.25"/>
    <row r="21255" x14ac:dyDescent="0.25"/>
    <row r="21256" x14ac:dyDescent="0.25"/>
    <row r="21257" x14ac:dyDescent="0.25"/>
    <row r="21258" x14ac:dyDescent="0.25"/>
    <row r="21259" x14ac:dyDescent="0.25"/>
    <row r="21260" x14ac:dyDescent="0.25"/>
    <row r="21261" x14ac:dyDescent="0.25"/>
    <row r="21262" x14ac:dyDescent="0.25"/>
    <row r="21263" x14ac:dyDescent="0.25"/>
    <row r="21264" x14ac:dyDescent="0.25"/>
    <row r="21265" x14ac:dyDescent="0.25"/>
    <row r="21266" x14ac:dyDescent="0.25"/>
    <row r="21267" x14ac:dyDescent="0.25"/>
    <row r="21268" x14ac:dyDescent="0.25"/>
    <row r="21269" x14ac:dyDescent="0.25"/>
    <row r="21270" x14ac:dyDescent="0.25"/>
    <row r="21271" x14ac:dyDescent="0.25"/>
    <row r="21272" x14ac:dyDescent="0.25"/>
    <row r="21273" x14ac:dyDescent="0.25"/>
    <row r="21274" x14ac:dyDescent="0.25"/>
    <row r="21275" x14ac:dyDescent="0.25"/>
    <row r="21276" x14ac:dyDescent="0.25"/>
    <row r="21277" x14ac:dyDescent="0.25"/>
    <row r="21278" x14ac:dyDescent="0.25"/>
    <row r="21279" x14ac:dyDescent="0.25"/>
    <row r="21280" x14ac:dyDescent="0.25"/>
    <row r="21281" x14ac:dyDescent="0.25"/>
    <row r="21282" x14ac:dyDescent="0.25"/>
    <row r="21283" x14ac:dyDescent="0.25"/>
    <row r="21284" x14ac:dyDescent="0.25"/>
    <row r="21285" x14ac:dyDescent="0.25"/>
    <row r="21286" x14ac:dyDescent="0.25"/>
    <row r="21287" x14ac:dyDescent="0.25"/>
    <row r="21288" x14ac:dyDescent="0.25"/>
    <row r="21289" x14ac:dyDescent="0.25"/>
    <row r="21290" x14ac:dyDescent="0.25"/>
    <row r="21291" x14ac:dyDescent="0.25"/>
    <row r="21292" x14ac:dyDescent="0.25"/>
    <row r="21293" x14ac:dyDescent="0.25"/>
    <row r="21294" x14ac:dyDescent="0.25"/>
    <row r="21295" x14ac:dyDescent="0.25"/>
    <row r="21296" x14ac:dyDescent="0.25"/>
    <row r="21297" x14ac:dyDescent="0.25"/>
    <row r="21298" x14ac:dyDescent="0.25"/>
    <row r="21299" x14ac:dyDescent="0.25"/>
    <row r="21300" x14ac:dyDescent="0.25"/>
    <row r="21301" x14ac:dyDescent="0.25"/>
    <row r="21302" x14ac:dyDescent="0.25"/>
    <row r="21303" x14ac:dyDescent="0.25"/>
    <row r="21304" x14ac:dyDescent="0.25"/>
    <row r="21305" x14ac:dyDescent="0.25"/>
    <row r="21306" x14ac:dyDescent="0.25"/>
    <row r="21307" x14ac:dyDescent="0.25"/>
    <row r="21308" x14ac:dyDescent="0.25"/>
    <row r="21309" x14ac:dyDescent="0.25"/>
    <row r="21310" x14ac:dyDescent="0.25"/>
    <row r="21311" x14ac:dyDescent="0.25"/>
    <row r="21312" x14ac:dyDescent="0.25"/>
    <row r="21313" x14ac:dyDescent="0.25"/>
    <row r="21314" x14ac:dyDescent="0.25"/>
    <row r="21315" x14ac:dyDescent="0.25"/>
    <row r="21316" x14ac:dyDescent="0.25"/>
    <row r="21317" x14ac:dyDescent="0.25"/>
    <row r="21318" x14ac:dyDescent="0.25"/>
    <row r="21319" x14ac:dyDescent="0.25"/>
    <row r="21320" x14ac:dyDescent="0.25"/>
    <row r="21321" x14ac:dyDescent="0.25"/>
    <row r="21322" x14ac:dyDescent="0.25"/>
    <row r="21323" x14ac:dyDescent="0.25"/>
    <row r="21324" x14ac:dyDescent="0.25"/>
    <row r="21325" x14ac:dyDescent="0.25"/>
    <row r="21326" x14ac:dyDescent="0.25"/>
    <row r="21327" x14ac:dyDescent="0.25"/>
    <row r="21328" x14ac:dyDescent="0.25"/>
    <row r="21329" x14ac:dyDescent="0.25"/>
    <row r="21330" x14ac:dyDescent="0.25"/>
    <row r="21331" x14ac:dyDescent="0.25"/>
    <row r="21332" x14ac:dyDescent="0.25"/>
    <row r="21333" x14ac:dyDescent="0.25"/>
    <row r="21334" x14ac:dyDescent="0.25"/>
    <row r="21335" x14ac:dyDescent="0.25"/>
    <row r="21336" x14ac:dyDescent="0.25"/>
    <row r="21337" x14ac:dyDescent="0.25"/>
    <row r="21338" x14ac:dyDescent="0.25"/>
    <row r="21339" x14ac:dyDescent="0.25"/>
    <row r="21340" x14ac:dyDescent="0.25"/>
    <row r="21341" x14ac:dyDescent="0.25"/>
    <row r="21342" x14ac:dyDescent="0.25"/>
    <row r="21343" x14ac:dyDescent="0.25"/>
    <row r="21344" x14ac:dyDescent="0.25"/>
    <row r="21345" x14ac:dyDescent="0.25"/>
    <row r="21346" x14ac:dyDescent="0.25"/>
    <row r="21347" x14ac:dyDescent="0.25"/>
    <row r="21348" x14ac:dyDescent="0.25"/>
    <row r="21349" x14ac:dyDescent="0.25"/>
    <row r="21350" x14ac:dyDescent="0.25"/>
    <row r="21351" x14ac:dyDescent="0.25"/>
    <row r="21352" x14ac:dyDescent="0.25"/>
    <row r="21353" x14ac:dyDescent="0.25"/>
    <row r="21354" x14ac:dyDescent="0.25"/>
    <row r="21355" x14ac:dyDescent="0.25"/>
    <row r="21356" x14ac:dyDescent="0.25"/>
    <row r="21357" x14ac:dyDescent="0.25"/>
    <row r="21358" x14ac:dyDescent="0.25"/>
    <row r="21359" x14ac:dyDescent="0.25"/>
    <row r="21360" x14ac:dyDescent="0.25"/>
    <row r="21361" x14ac:dyDescent="0.25"/>
    <row r="21362" x14ac:dyDescent="0.25"/>
    <row r="21363" x14ac:dyDescent="0.25"/>
    <row r="21364" x14ac:dyDescent="0.25"/>
    <row r="21365" x14ac:dyDescent="0.25"/>
    <row r="21366" x14ac:dyDescent="0.25"/>
    <row r="21367" x14ac:dyDescent="0.25"/>
    <row r="21368" x14ac:dyDescent="0.25"/>
    <row r="21369" x14ac:dyDescent="0.25"/>
    <row r="21370" x14ac:dyDescent="0.25"/>
    <row r="21371" x14ac:dyDescent="0.25"/>
    <row r="21372" x14ac:dyDescent="0.25"/>
    <row r="21373" x14ac:dyDescent="0.25"/>
    <row r="21374" x14ac:dyDescent="0.25"/>
    <row r="21375" x14ac:dyDescent="0.25"/>
    <row r="21376" x14ac:dyDescent="0.25"/>
    <row r="21377" x14ac:dyDescent="0.25"/>
    <row r="21378" x14ac:dyDescent="0.25"/>
    <row r="21379" x14ac:dyDescent="0.25"/>
    <row r="21380" x14ac:dyDescent="0.25"/>
    <row r="21381" x14ac:dyDescent="0.25"/>
    <row r="21382" x14ac:dyDescent="0.25"/>
    <row r="21383" x14ac:dyDescent="0.25"/>
    <row r="21384" x14ac:dyDescent="0.25"/>
    <row r="21385" x14ac:dyDescent="0.25"/>
    <row r="21386" x14ac:dyDescent="0.25"/>
    <row r="21387" x14ac:dyDescent="0.25"/>
    <row r="21388" x14ac:dyDescent="0.25"/>
    <row r="21389" x14ac:dyDescent="0.25"/>
    <row r="21390" x14ac:dyDescent="0.25"/>
    <row r="21391" x14ac:dyDescent="0.25"/>
    <row r="21392" x14ac:dyDescent="0.25"/>
    <row r="21393" x14ac:dyDescent="0.25"/>
    <row r="21394" x14ac:dyDescent="0.25"/>
    <row r="21395" x14ac:dyDescent="0.25"/>
    <row r="21396" x14ac:dyDescent="0.25"/>
    <row r="21397" x14ac:dyDescent="0.25"/>
    <row r="21398" x14ac:dyDescent="0.25"/>
    <row r="21399" x14ac:dyDescent="0.25"/>
    <row r="21400" x14ac:dyDescent="0.25"/>
    <row r="21401" x14ac:dyDescent="0.25"/>
    <row r="21402" x14ac:dyDescent="0.25"/>
    <row r="21403" x14ac:dyDescent="0.25"/>
    <row r="21404" x14ac:dyDescent="0.25"/>
    <row r="21405" x14ac:dyDescent="0.25"/>
    <row r="21406" x14ac:dyDescent="0.25"/>
    <row r="21407" x14ac:dyDescent="0.25"/>
    <row r="21408" x14ac:dyDescent="0.25"/>
    <row r="21409" x14ac:dyDescent="0.25"/>
    <row r="21410" x14ac:dyDescent="0.25"/>
    <row r="21411" x14ac:dyDescent="0.25"/>
    <row r="21412" x14ac:dyDescent="0.25"/>
    <row r="21413" x14ac:dyDescent="0.25"/>
    <row r="21414" x14ac:dyDescent="0.25"/>
    <row r="21415" x14ac:dyDescent="0.25"/>
    <row r="21416" x14ac:dyDescent="0.25"/>
    <row r="21417" x14ac:dyDescent="0.25"/>
    <row r="21418" x14ac:dyDescent="0.25"/>
    <row r="21419" x14ac:dyDescent="0.25"/>
    <row r="21420" x14ac:dyDescent="0.25"/>
    <row r="21421" x14ac:dyDescent="0.25"/>
    <row r="21422" x14ac:dyDescent="0.25"/>
    <row r="21423" x14ac:dyDescent="0.25"/>
    <row r="21424" x14ac:dyDescent="0.25"/>
    <row r="21425" x14ac:dyDescent="0.25"/>
    <row r="21426" x14ac:dyDescent="0.25"/>
    <row r="21427" x14ac:dyDescent="0.25"/>
    <row r="21428" x14ac:dyDescent="0.25"/>
    <row r="21429" x14ac:dyDescent="0.25"/>
    <row r="21430" x14ac:dyDescent="0.25"/>
    <row r="21431" x14ac:dyDescent="0.25"/>
    <row r="21432" x14ac:dyDescent="0.25"/>
    <row r="21433" x14ac:dyDescent="0.25"/>
    <row r="21434" x14ac:dyDescent="0.25"/>
    <row r="21435" x14ac:dyDescent="0.25"/>
    <row r="21436" x14ac:dyDescent="0.25"/>
    <row r="21437" x14ac:dyDescent="0.25"/>
    <row r="21438" x14ac:dyDescent="0.25"/>
    <row r="21439" x14ac:dyDescent="0.25"/>
    <row r="21440" x14ac:dyDescent="0.25"/>
    <row r="21441" x14ac:dyDescent="0.25"/>
    <row r="21442" x14ac:dyDescent="0.25"/>
    <row r="21443" x14ac:dyDescent="0.25"/>
    <row r="21444" x14ac:dyDescent="0.25"/>
    <row r="21445" x14ac:dyDescent="0.25"/>
    <row r="21446" x14ac:dyDescent="0.25"/>
    <row r="21447" x14ac:dyDescent="0.25"/>
    <row r="21448" x14ac:dyDescent="0.25"/>
    <row r="21449" x14ac:dyDescent="0.25"/>
    <row r="21450" x14ac:dyDescent="0.25"/>
    <row r="21451" x14ac:dyDescent="0.25"/>
    <row r="21452" x14ac:dyDescent="0.25"/>
    <row r="21453" x14ac:dyDescent="0.25"/>
    <row r="21454" x14ac:dyDescent="0.25"/>
    <row r="21455" x14ac:dyDescent="0.25"/>
    <row r="21456" x14ac:dyDescent="0.25"/>
    <row r="21457" x14ac:dyDescent="0.25"/>
    <row r="21458" x14ac:dyDescent="0.25"/>
    <row r="21459" x14ac:dyDescent="0.25"/>
    <row r="21460" x14ac:dyDescent="0.25"/>
    <row r="21461" x14ac:dyDescent="0.25"/>
    <row r="21462" x14ac:dyDescent="0.25"/>
    <row r="21463" x14ac:dyDescent="0.25"/>
    <row r="21464" x14ac:dyDescent="0.25"/>
    <row r="21465" x14ac:dyDescent="0.25"/>
    <row r="21466" x14ac:dyDescent="0.25"/>
    <row r="21467" x14ac:dyDescent="0.25"/>
    <row r="21468" x14ac:dyDescent="0.25"/>
    <row r="21469" x14ac:dyDescent="0.25"/>
    <row r="21470" x14ac:dyDescent="0.25"/>
    <row r="21471" x14ac:dyDescent="0.25"/>
    <row r="21472" x14ac:dyDescent="0.25"/>
    <row r="21473" x14ac:dyDescent="0.25"/>
    <row r="21474" x14ac:dyDescent="0.25"/>
    <row r="21475" x14ac:dyDescent="0.25"/>
    <row r="21476" x14ac:dyDescent="0.25"/>
    <row r="21477" x14ac:dyDescent="0.25"/>
    <row r="21478" x14ac:dyDescent="0.25"/>
    <row r="21479" x14ac:dyDescent="0.25"/>
    <row r="21480" x14ac:dyDescent="0.25"/>
    <row r="21481" x14ac:dyDescent="0.25"/>
    <row r="21482" x14ac:dyDescent="0.25"/>
    <row r="21483" x14ac:dyDescent="0.25"/>
    <row r="21484" x14ac:dyDescent="0.25"/>
    <row r="21485" x14ac:dyDescent="0.25"/>
    <row r="21486" x14ac:dyDescent="0.25"/>
    <row r="21487" x14ac:dyDescent="0.25"/>
    <row r="21488" x14ac:dyDescent="0.25"/>
    <row r="21489" x14ac:dyDescent="0.25"/>
    <row r="21490" x14ac:dyDescent="0.25"/>
    <row r="21491" x14ac:dyDescent="0.25"/>
    <row r="21492" x14ac:dyDescent="0.25"/>
    <row r="21493" x14ac:dyDescent="0.25"/>
    <row r="21494" x14ac:dyDescent="0.25"/>
    <row r="21495" x14ac:dyDescent="0.25"/>
    <row r="21496" x14ac:dyDescent="0.25"/>
    <row r="21497" x14ac:dyDescent="0.25"/>
    <row r="21498" x14ac:dyDescent="0.25"/>
    <row r="21499" x14ac:dyDescent="0.25"/>
    <row r="21500" x14ac:dyDescent="0.25"/>
    <row r="21501" x14ac:dyDescent="0.25"/>
    <row r="21502" x14ac:dyDescent="0.25"/>
    <row r="21503" x14ac:dyDescent="0.25"/>
    <row r="21504" x14ac:dyDescent="0.25"/>
    <row r="21505" x14ac:dyDescent="0.25"/>
    <row r="21506" x14ac:dyDescent="0.25"/>
    <row r="21507" x14ac:dyDescent="0.25"/>
    <row r="21508" x14ac:dyDescent="0.25"/>
    <row r="21509" x14ac:dyDescent="0.25"/>
    <row r="21510" x14ac:dyDescent="0.25"/>
    <row r="21511" x14ac:dyDescent="0.25"/>
    <row r="21512" x14ac:dyDescent="0.25"/>
    <row r="21513" x14ac:dyDescent="0.25"/>
    <row r="21514" x14ac:dyDescent="0.25"/>
    <row r="21515" x14ac:dyDescent="0.25"/>
    <row r="21516" x14ac:dyDescent="0.25"/>
    <row r="21517" x14ac:dyDescent="0.25"/>
    <row r="21518" x14ac:dyDescent="0.25"/>
    <row r="21519" x14ac:dyDescent="0.25"/>
    <row r="21520" x14ac:dyDescent="0.25"/>
    <row r="21521" x14ac:dyDescent="0.25"/>
    <row r="21522" x14ac:dyDescent="0.25"/>
    <row r="21523" x14ac:dyDescent="0.25"/>
    <row r="21524" x14ac:dyDescent="0.25"/>
    <row r="21525" x14ac:dyDescent="0.25"/>
    <row r="21526" x14ac:dyDescent="0.25"/>
    <row r="21527" x14ac:dyDescent="0.25"/>
    <row r="21528" x14ac:dyDescent="0.25"/>
    <row r="21529" x14ac:dyDescent="0.25"/>
    <row r="21530" x14ac:dyDescent="0.25"/>
    <row r="21531" x14ac:dyDescent="0.25"/>
    <row r="21532" x14ac:dyDescent="0.25"/>
    <row r="21533" x14ac:dyDescent="0.25"/>
    <row r="21534" x14ac:dyDescent="0.25"/>
    <row r="21535" x14ac:dyDescent="0.25"/>
    <row r="21536" x14ac:dyDescent="0.25"/>
    <row r="21537" x14ac:dyDescent="0.25"/>
    <row r="21538" x14ac:dyDescent="0.25"/>
    <row r="21539" x14ac:dyDescent="0.25"/>
    <row r="21540" x14ac:dyDescent="0.25"/>
    <row r="21541" x14ac:dyDescent="0.25"/>
    <row r="21542" x14ac:dyDescent="0.25"/>
    <row r="21543" x14ac:dyDescent="0.25"/>
    <row r="21544" x14ac:dyDescent="0.25"/>
    <row r="21545" x14ac:dyDescent="0.25"/>
    <row r="21546" x14ac:dyDescent="0.25"/>
    <row r="21547" x14ac:dyDescent="0.25"/>
    <row r="21548" x14ac:dyDescent="0.25"/>
    <row r="21549" x14ac:dyDescent="0.25"/>
    <row r="21550" x14ac:dyDescent="0.25"/>
    <row r="21551" x14ac:dyDescent="0.25"/>
    <row r="21552" x14ac:dyDescent="0.25"/>
    <row r="21553" x14ac:dyDescent="0.25"/>
    <row r="21554" x14ac:dyDescent="0.25"/>
    <row r="21555" x14ac:dyDescent="0.25"/>
    <row r="21556" x14ac:dyDescent="0.25"/>
    <row r="21557" x14ac:dyDescent="0.25"/>
    <row r="21558" x14ac:dyDescent="0.25"/>
    <row r="21559" x14ac:dyDescent="0.25"/>
    <row r="21560" x14ac:dyDescent="0.25"/>
    <row r="21561" x14ac:dyDescent="0.25"/>
    <row r="21562" x14ac:dyDescent="0.25"/>
    <row r="21563" x14ac:dyDescent="0.25"/>
    <row r="21564" x14ac:dyDescent="0.25"/>
    <row r="21565" x14ac:dyDescent="0.25"/>
    <row r="21566" x14ac:dyDescent="0.25"/>
    <row r="21567" x14ac:dyDescent="0.25"/>
    <row r="21568" x14ac:dyDescent="0.25"/>
    <row r="21569" x14ac:dyDescent="0.25"/>
    <row r="21570" x14ac:dyDescent="0.25"/>
    <row r="21571" x14ac:dyDescent="0.25"/>
    <row r="21572" x14ac:dyDescent="0.25"/>
    <row r="21573" x14ac:dyDescent="0.25"/>
    <row r="21574" x14ac:dyDescent="0.25"/>
    <row r="21575" x14ac:dyDescent="0.25"/>
    <row r="21576" x14ac:dyDescent="0.25"/>
    <row r="21577" x14ac:dyDescent="0.25"/>
    <row r="21578" x14ac:dyDescent="0.25"/>
    <row r="21579" x14ac:dyDescent="0.25"/>
    <row r="21580" x14ac:dyDescent="0.25"/>
    <row r="21581" x14ac:dyDescent="0.25"/>
    <row r="21582" x14ac:dyDescent="0.25"/>
    <row r="21583" x14ac:dyDescent="0.25"/>
    <row r="21584" x14ac:dyDescent="0.25"/>
    <row r="21585" x14ac:dyDescent="0.25"/>
    <row r="21586" x14ac:dyDescent="0.25"/>
    <row r="21587" x14ac:dyDescent="0.25"/>
    <row r="21588" x14ac:dyDescent="0.25"/>
    <row r="21589" x14ac:dyDescent="0.25"/>
    <row r="21590" x14ac:dyDescent="0.25"/>
    <row r="21591" x14ac:dyDescent="0.25"/>
    <row r="21592" x14ac:dyDescent="0.25"/>
    <row r="21593" x14ac:dyDescent="0.25"/>
    <row r="21594" x14ac:dyDescent="0.25"/>
    <row r="21595" x14ac:dyDescent="0.25"/>
    <row r="21596" x14ac:dyDescent="0.25"/>
    <row r="21597" x14ac:dyDescent="0.25"/>
    <row r="21598" x14ac:dyDescent="0.25"/>
    <row r="21599" x14ac:dyDescent="0.25"/>
    <row r="21600" x14ac:dyDescent="0.25"/>
    <row r="21601" x14ac:dyDescent="0.25"/>
    <row r="21602" x14ac:dyDescent="0.25"/>
    <row r="21603" x14ac:dyDescent="0.25"/>
    <row r="21604" x14ac:dyDescent="0.25"/>
    <row r="21605" x14ac:dyDescent="0.25"/>
    <row r="21606" x14ac:dyDescent="0.25"/>
    <row r="21607" x14ac:dyDescent="0.25"/>
    <row r="21608" x14ac:dyDescent="0.25"/>
    <row r="21609" x14ac:dyDescent="0.25"/>
    <row r="21610" x14ac:dyDescent="0.25"/>
    <row r="21611" x14ac:dyDescent="0.25"/>
    <row r="21612" x14ac:dyDescent="0.25"/>
    <row r="21613" x14ac:dyDescent="0.25"/>
    <row r="21614" x14ac:dyDescent="0.25"/>
    <row r="21615" x14ac:dyDescent="0.25"/>
    <row r="21616" x14ac:dyDescent="0.25"/>
    <row r="21617" x14ac:dyDescent="0.25"/>
    <row r="21618" x14ac:dyDescent="0.25"/>
    <row r="21619" x14ac:dyDescent="0.25"/>
    <row r="21620" x14ac:dyDescent="0.25"/>
    <row r="21621" x14ac:dyDescent="0.25"/>
    <row r="21622" x14ac:dyDescent="0.25"/>
    <row r="21623" x14ac:dyDescent="0.25"/>
    <row r="21624" x14ac:dyDescent="0.25"/>
    <row r="21625" x14ac:dyDescent="0.25"/>
    <row r="21626" x14ac:dyDescent="0.25"/>
    <row r="21627" x14ac:dyDescent="0.25"/>
    <row r="21628" x14ac:dyDescent="0.25"/>
    <row r="21629" x14ac:dyDescent="0.25"/>
    <row r="21630" x14ac:dyDescent="0.25"/>
    <row r="21631" x14ac:dyDescent="0.25"/>
    <row r="21632" x14ac:dyDescent="0.25"/>
    <row r="21633" x14ac:dyDescent="0.25"/>
    <row r="21634" x14ac:dyDescent="0.25"/>
    <row r="21635" x14ac:dyDescent="0.25"/>
    <row r="21636" x14ac:dyDescent="0.25"/>
    <row r="21637" x14ac:dyDescent="0.25"/>
    <row r="21638" x14ac:dyDescent="0.25"/>
    <row r="21639" x14ac:dyDescent="0.25"/>
    <row r="21640" x14ac:dyDescent="0.25"/>
    <row r="21641" x14ac:dyDescent="0.25"/>
    <row r="21642" x14ac:dyDescent="0.25"/>
    <row r="21643" x14ac:dyDescent="0.25"/>
    <row r="21644" x14ac:dyDescent="0.25"/>
    <row r="21645" x14ac:dyDescent="0.25"/>
    <row r="21646" x14ac:dyDescent="0.25"/>
    <row r="21647" x14ac:dyDescent="0.25"/>
    <row r="21648" x14ac:dyDescent="0.25"/>
    <row r="21649" x14ac:dyDescent="0.25"/>
    <row r="21650" x14ac:dyDescent="0.25"/>
    <row r="21651" x14ac:dyDescent="0.25"/>
    <row r="21652" x14ac:dyDescent="0.25"/>
    <row r="21653" x14ac:dyDescent="0.25"/>
    <row r="21654" x14ac:dyDescent="0.25"/>
    <row r="21655" x14ac:dyDescent="0.25"/>
    <row r="21656" x14ac:dyDescent="0.25"/>
    <row r="21657" x14ac:dyDescent="0.25"/>
    <row r="21658" x14ac:dyDescent="0.25"/>
    <row r="21659" x14ac:dyDescent="0.25"/>
    <row r="21660" x14ac:dyDescent="0.25"/>
    <row r="21661" x14ac:dyDescent="0.25"/>
    <row r="21662" x14ac:dyDescent="0.25"/>
    <row r="21663" x14ac:dyDescent="0.25"/>
    <row r="21664" x14ac:dyDescent="0.25"/>
    <row r="21665" x14ac:dyDescent="0.25"/>
    <row r="21666" x14ac:dyDescent="0.25"/>
    <row r="21667" x14ac:dyDescent="0.25"/>
    <row r="21668" x14ac:dyDescent="0.25"/>
    <row r="21669" x14ac:dyDescent="0.25"/>
    <row r="21670" x14ac:dyDescent="0.25"/>
    <row r="21671" x14ac:dyDescent="0.25"/>
    <row r="21672" x14ac:dyDescent="0.25"/>
    <row r="21673" x14ac:dyDescent="0.25"/>
    <row r="21674" x14ac:dyDescent="0.25"/>
    <row r="21675" x14ac:dyDescent="0.25"/>
    <row r="21676" x14ac:dyDescent="0.25"/>
    <row r="21677" x14ac:dyDescent="0.25"/>
    <row r="21678" x14ac:dyDescent="0.25"/>
    <row r="21679" x14ac:dyDescent="0.25"/>
    <row r="21680" x14ac:dyDescent="0.25"/>
    <row r="21681" x14ac:dyDescent="0.25"/>
    <row r="21682" x14ac:dyDescent="0.25"/>
    <row r="21683" x14ac:dyDescent="0.25"/>
    <row r="21684" x14ac:dyDescent="0.25"/>
    <row r="21685" x14ac:dyDescent="0.25"/>
    <row r="21686" x14ac:dyDescent="0.25"/>
    <row r="21687" x14ac:dyDescent="0.25"/>
    <row r="21688" x14ac:dyDescent="0.25"/>
    <row r="21689" x14ac:dyDescent="0.25"/>
    <row r="21690" x14ac:dyDescent="0.25"/>
    <row r="21691" x14ac:dyDescent="0.25"/>
    <row r="21692" x14ac:dyDescent="0.25"/>
    <row r="21693" x14ac:dyDescent="0.25"/>
    <row r="21694" x14ac:dyDescent="0.25"/>
    <row r="21695" x14ac:dyDescent="0.25"/>
    <row r="21696" x14ac:dyDescent="0.25"/>
    <row r="21697" x14ac:dyDescent="0.25"/>
    <row r="21698" x14ac:dyDescent="0.25"/>
    <row r="21699" x14ac:dyDescent="0.25"/>
    <row r="21700" x14ac:dyDescent="0.25"/>
    <row r="21701" x14ac:dyDescent="0.25"/>
    <row r="21702" x14ac:dyDescent="0.25"/>
    <row r="21703" x14ac:dyDescent="0.25"/>
    <row r="21704" x14ac:dyDescent="0.25"/>
    <row r="21705" x14ac:dyDescent="0.25"/>
    <row r="21706" x14ac:dyDescent="0.25"/>
    <row r="21707" x14ac:dyDescent="0.25"/>
    <row r="21708" x14ac:dyDescent="0.25"/>
    <row r="21709" x14ac:dyDescent="0.25"/>
    <row r="21710" x14ac:dyDescent="0.25"/>
    <row r="21711" x14ac:dyDescent="0.25"/>
    <row r="21712" x14ac:dyDescent="0.25"/>
    <row r="21713" x14ac:dyDescent="0.25"/>
    <row r="21714" x14ac:dyDescent="0.25"/>
    <row r="21715" x14ac:dyDescent="0.25"/>
    <row r="21716" x14ac:dyDescent="0.25"/>
    <row r="21717" x14ac:dyDescent="0.25"/>
    <row r="21718" x14ac:dyDescent="0.25"/>
    <row r="21719" x14ac:dyDescent="0.25"/>
    <row r="21720" x14ac:dyDescent="0.25"/>
    <row r="21721" x14ac:dyDescent="0.25"/>
    <row r="21722" x14ac:dyDescent="0.25"/>
    <row r="21723" x14ac:dyDescent="0.25"/>
    <row r="21724" x14ac:dyDescent="0.25"/>
    <row r="21725" x14ac:dyDescent="0.25"/>
    <row r="21726" x14ac:dyDescent="0.25"/>
    <row r="21727" x14ac:dyDescent="0.25"/>
    <row r="21728" x14ac:dyDescent="0.25"/>
    <row r="21729" x14ac:dyDescent="0.25"/>
    <row r="21730" x14ac:dyDescent="0.25"/>
    <row r="21731" x14ac:dyDescent="0.25"/>
    <row r="21732" x14ac:dyDescent="0.25"/>
    <row r="21733" x14ac:dyDescent="0.25"/>
    <row r="21734" x14ac:dyDescent="0.25"/>
    <row r="21735" x14ac:dyDescent="0.25"/>
    <row r="21736" x14ac:dyDescent="0.25"/>
    <row r="21737" x14ac:dyDescent="0.25"/>
    <row r="21738" x14ac:dyDescent="0.25"/>
    <row r="21739" x14ac:dyDescent="0.25"/>
    <row r="21740" x14ac:dyDescent="0.25"/>
    <row r="21741" x14ac:dyDescent="0.25"/>
    <row r="21742" x14ac:dyDescent="0.25"/>
    <row r="21743" x14ac:dyDescent="0.25"/>
    <row r="21744" x14ac:dyDescent="0.25"/>
    <row r="21745" x14ac:dyDescent="0.25"/>
    <row r="21746" x14ac:dyDescent="0.25"/>
    <row r="21747" x14ac:dyDescent="0.25"/>
    <row r="21748" x14ac:dyDescent="0.25"/>
    <row r="21749" x14ac:dyDescent="0.25"/>
    <row r="21750" x14ac:dyDescent="0.25"/>
    <row r="21751" x14ac:dyDescent="0.25"/>
    <row r="21752" x14ac:dyDescent="0.25"/>
    <row r="21753" x14ac:dyDescent="0.25"/>
    <row r="21754" x14ac:dyDescent="0.25"/>
    <row r="21755" x14ac:dyDescent="0.25"/>
    <row r="21756" x14ac:dyDescent="0.25"/>
    <row r="21757" x14ac:dyDescent="0.25"/>
    <row r="21758" x14ac:dyDescent="0.25"/>
    <row r="21759" x14ac:dyDescent="0.25"/>
    <row r="21760" x14ac:dyDescent="0.25"/>
    <row r="21761" x14ac:dyDescent="0.25"/>
    <row r="21762" x14ac:dyDescent="0.25"/>
    <row r="21763" x14ac:dyDescent="0.25"/>
    <row r="21764" x14ac:dyDescent="0.25"/>
    <row r="21765" x14ac:dyDescent="0.25"/>
    <row r="21766" x14ac:dyDescent="0.25"/>
    <row r="21767" x14ac:dyDescent="0.25"/>
    <row r="21768" x14ac:dyDescent="0.25"/>
    <row r="21769" x14ac:dyDescent="0.25"/>
    <row r="21770" x14ac:dyDescent="0.25"/>
    <row r="21771" x14ac:dyDescent="0.25"/>
    <row r="21772" x14ac:dyDescent="0.25"/>
    <row r="21773" x14ac:dyDescent="0.25"/>
    <row r="21774" x14ac:dyDescent="0.25"/>
    <row r="21775" x14ac:dyDescent="0.25"/>
    <row r="21776" x14ac:dyDescent="0.25"/>
    <row r="21777" x14ac:dyDescent="0.25"/>
    <row r="21778" x14ac:dyDescent="0.25"/>
    <row r="21779" x14ac:dyDescent="0.25"/>
    <row r="21780" x14ac:dyDescent="0.25"/>
    <row r="21781" x14ac:dyDescent="0.25"/>
    <row r="21782" x14ac:dyDescent="0.25"/>
    <row r="21783" x14ac:dyDescent="0.25"/>
    <row r="21784" x14ac:dyDescent="0.25"/>
    <row r="21785" x14ac:dyDescent="0.25"/>
    <row r="21786" x14ac:dyDescent="0.25"/>
    <row r="21787" x14ac:dyDescent="0.25"/>
    <row r="21788" x14ac:dyDescent="0.25"/>
    <row r="21789" x14ac:dyDescent="0.25"/>
    <row r="21790" x14ac:dyDescent="0.25"/>
    <row r="21791" x14ac:dyDescent="0.25"/>
    <row r="21792" x14ac:dyDescent="0.25"/>
    <row r="21793" x14ac:dyDescent="0.25"/>
    <row r="21794" x14ac:dyDescent="0.25"/>
    <row r="21795" x14ac:dyDescent="0.25"/>
    <row r="21796" x14ac:dyDescent="0.25"/>
    <row r="21797" x14ac:dyDescent="0.25"/>
    <row r="21798" x14ac:dyDescent="0.25"/>
    <row r="21799" x14ac:dyDescent="0.25"/>
    <row r="21800" x14ac:dyDescent="0.25"/>
    <row r="21801" x14ac:dyDescent="0.25"/>
    <row r="21802" x14ac:dyDescent="0.25"/>
    <row r="21803" x14ac:dyDescent="0.25"/>
    <row r="21804" x14ac:dyDescent="0.25"/>
    <row r="21805" x14ac:dyDescent="0.25"/>
    <row r="21806" x14ac:dyDescent="0.25"/>
    <row r="21807" x14ac:dyDescent="0.25"/>
    <row r="21808" x14ac:dyDescent="0.25"/>
    <row r="21809" x14ac:dyDescent="0.25"/>
    <row r="21810" x14ac:dyDescent="0.25"/>
    <row r="21811" x14ac:dyDescent="0.25"/>
    <row r="21812" x14ac:dyDescent="0.25"/>
    <row r="21813" x14ac:dyDescent="0.25"/>
    <row r="21814" x14ac:dyDescent="0.25"/>
    <row r="21815" x14ac:dyDescent="0.25"/>
    <row r="21816" x14ac:dyDescent="0.25"/>
    <row r="21817" x14ac:dyDescent="0.25"/>
    <row r="21818" x14ac:dyDescent="0.25"/>
    <row r="21819" x14ac:dyDescent="0.25"/>
    <row r="21820" x14ac:dyDescent="0.25"/>
    <row r="21821" x14ac:dyDescent="0.25"/>
    <row r="21822" x14ac:dyDescent="0.25"/>
    <row r="21823" x14ac:dyDescent="0.25"/>
    <row r="21824" x14ac:dyDescent="0.25"/>
    <row r="21825" x14ac:dyDescent="0.25"/>
    <row r="21826" x14ac:dyDescent="0.25"/>
    <row r="21827" x14ac:dyDescent="0.25"/>
    <row r="21828" x14ac:dyDescent="0.25"/>
    <row r="21829" x14ac:dyDescent="0.25"/>
    <row r="21830" x14ac:dyDescent="0.25"/>
    <row r="21831" x14ac:dyDescent="0.25"/>
    <row r="21832" x14ac:dyDescent="0.25"/>
    <row r="21833" x14ac:dyDescent="0.25"/>
    <row r="21834" x14ac:dyDescent="0.25"/>
    <row r="21835" x14ac:dyDescent="0.25"/>
    <row r="21836" x14ac:dyDescent="0.25"/>
    <row r="21837" x14ac:dyDescent="0.25"/>
    <row r="21838" x14ac:dyDescent="0.25"/>
    <row r="21839" x14ac:dyDescent="0.25"/>
    <row r="21840" x14ac:dyDescent="0.25"/>
    <row r="21841" x14ac:dyDescent="0.25"/>
    <row r="21842" x14ac:dyDescent="0.25"/>
    <row r="21843" x14ac:dyDescent="0.25"/>
    <row r="21844" x14ac:dyDescent="0.25"/>
    <row r="21845" x14ac:dyDescent="0.25"/>
    <row r="21846" x14ac:dyDescent="0.25"/>
    <row r="21847" x14ac:dyDescent="0.25"/>
    <row r="21848" x14ac:dyDescent="0.25"/>
    <row r="21849" x14ac:dyDescent="0.25"/>
    <row r="21850" x14ac:dyDescent="0.25"/>
    <row r="21851" x14ac:dyDescent="0.25"/>
    <row r="21852" x14ac:dyDescent="0.25"/>
    <row r="21853" x14ac:dyDescent="0.25"/>
    <row r="21854" x14ac:dyDescent="0.25"/>
    <row r="21855" x14ac:dyDescent="0.25"/>
    <row r="21856" x14ac:dyDescent="0.25"/>
    <row r="21857" x14ac:dyDescent="0.25"/>
    <row r="21858" x14ac:dyDescent="0.25"/>
    <row r="21859" x14ac:dyDescent="0.25"/>
    <row r="21860" x14ac:dyDescent="0.25"/>
    <row r="21861" x14ac:dyDescent="0.25"/>
    <row r="21862" x14ac:dyDescent="0.25"/>
    <row r="21863" x14ac:dyDescent="0.25"/>
    <row r="21864" x14ac:dyDescent="0.25"/>
    <row r="21865" x14ac:dyDescent="0.25"/>
    <row r="21866" x14ac:dyDescent="0.25"/>
    <row r="21867" x14ac:dyDescent="0.25"/>
    <row r="21868" x14ac:dyDescent="0.25"/>
    <row r="21869" x14ac:dyDescent="0.25"/>
    <row r="21870" x14ac:dyDescent="0.25"/>
    <row r="21871" x14ac:dyDescent="0.25"/>
    <row r="21872" x14ac:dyDescent="0.25"/>
    <row r="21873" x14ac:dyDescent="0.25"/>
    <row r="21874" x14ac:dyDescent="0.25"/>
    <row r="21875" x14ac:dyDescent="0.25"/>
    <row r="21876" x14ac:dyDescent="0.25"/>
    <row r="21877" x14ac:dyDescent="0.25"/>
    <row r="21878" x14ac:dyDescent="0.25"/>
    <row r="21879" x14ac:dyDescent="0.25"/>
    <row r="21880" x14ac:dyDescent="0.25"/>
    <row r="21881" x14ac:dyDescent="0.25"/>
    <row r="21882" x14ac:dyDescent="0.25"/>
    <row r="21883" x14ac:dyDescent="0.25"/>
    <row r="21884" x14ac:dyDescent="0.25"/>
    <row r="21885" x14ac:dyDescent="0.25"/>
    <row r="21886" x14ac:dyDescent="0.25"/>
    <row r="21887" x14ac:dyDescent="0.25"/>
    <row r="21888" x14ac:dyDescent="0.25"/>
    <row r="21889" x14ac:dyDescent="0.25"/>
    <row r="21890" x14ac:dyDescent="0.25"/>
    <row r="21891" x14ac:dyDescent="0.25"/>
    <row r="21892" x14ac:dyDescent="0.25"/>
    <row r="21893" x14ac:dyDescent="0.25"/>
    <row r="21894" x14ac:dyDescent="0.25"/>
    <row r="21895" x14ac:dyDescent="0.25"/>
    <row r="21896" x14ac:dyDescent="0.25"/>
    <row r="21897" x14ac:dyDescent="0.25"/>
    <row r="21898" x14ac:dyDescent="0.25"/>
    <row r="21899" x14ac:dyDescent="0.25"/>
    <row r="21900" x14ac:dyDescent="0.25"/>
    <row r="21901" x14ac:dyDescent="0.25"/>
    <row r="21902" x14ac:dyDescent="0.25"/>
    <row r="21903" x14ac:dyDescent="0.25"/>
    <row r="21904" x14ac:dyDescent="0.25"/>
    <row r="21905" x14ac:dyDescent="0.25"/>
    <row r="21906" x14ac:dyDescent="0.25"/>
    <row r="21907" x14ac:dyDescent="0.25"/>
    <row r="21908" x14ac:dyDescent="0.25"/>
    <row r="21909" x14ac:dyDescent="0.25"/>
    <row r="21910" x14ac:dyDescent="0.25"/>
    <row r="21911" x14ac:dyDescent="0.25"/>
    <row r="21912" x14ac:dyDescent="0.25"/>
    <row r="21913" x14ac:dyDescent="0.25"/>
    <row r="21914" x14ac:dyDescent="0.25"/>
    <row r="21915" x14ac:dyDescent="0.25"/>
    <row r="21916" x14ac:dyDescent="0.25"/>
    <row r="21917" x14ac:dyDescent="0.25"/>
    <row r="21918" x14ac:dyDescent="0.25"/>
    <row r="21919" x14ac:dyDescent="0.25"/>
    <row r="21920" x14ac:dyDescent="0.25"/>
    <row r="21921" x14ac:dyDescent="0.25"/>
    <row r="21922" x14ac:dyDescent="0.25"/>
    <row r="21923" x14ac:dyDescent="0.25"/>
    <row r="21924" x14ac:dyDescent="0.25"/>
    <row r="21925" x14ac:dyDescent="0.25"/>
    <row r="21926" x14ac:dyDescent="0.25"/>
    <row r="21927" x14ac:dyDescent="0.25"/>
    <row r="21928" x14ac:dyDescent="0.25"/>
    <row r="21929" x14ac:dyDescent="0.25"/>
    <row r="21930" x14ac:dyDescent="0.25"/>
    <row r="21931" x14ac:dyDescent="0.25"/>
    <row r="21932" x14ac:dyDescent="0.25"/>
    <row r="21933" x14ac:dyDescent="0.25"/>
    <row r="21934" x14ac:dyDescent="0.25"/>
    <row r="21935" x14ac:dyDescent="0.25"/>
    <row r="21936" x14ac:dyDescent="0.25"/>
    <row r="21937" x14ac:dyDescent="0.25"/>
    <row r="21938" x14ac:dyDescent="0.25"/>
    <row r="21939" x14ac:dyDescent="0.25"/>
    <row r="21940" x14ac:dyDescent="0.25"/>
    <row r="21941" x14ac:dyDescent="0.25"/>
    <row r="21942" x14ac:dyDescent="0.25"/>
    <row r="21943" x14ac:dyDescent="0.25"/>
    <row r="21944" x14ac:dyDescent="0.25"/>
    <row r="21945" x14ac:dyDescent="0.25"/>
    <row r="21946" x14ac:dyDescent="0.25"/>
    <row r="21947" x14ac:dyDescent="0.25"/>
    <row r="21948" x14ac:dyDescent="0.25"/>
    <row r="21949" x14ac:dyDescent="0.25"/>
    <row r="21950" x14ac:dyDescent="0.25"/>
    <row r="21951" x14ac:dyDescent="0.25"/>
    <row r="21952" x14ac:dyDescent="0.25"/>
    <row r="21953" x14ac:dyDescent="0.25"/>
    <row r="21954" x14ac:dyDescent="0.25"/>
    <row r="21955" x14ac:dyDescent="0.25"/>
    <row r="21956" x14ac:dyDescent="0.25"/>
    <row r="21957" x14ac:dyDescent="0.25"/>
    <row r="21958" x14ac:dyDescent="0.25"/>
    <row r="21959" x14ac:dyDescent="0.25"/>
    <row r="21960" x14ac:dyDescent="0.25"/>
    <row r="21961" x14ac:dyDescent="0.25"/>
    <row r="21962" x14ac:dyDescent="0.25"/>
    <row r="21963" x14ac:dyDescent="0.25"/>
    <row r="21964" x14ac:dyDescent="0.25"/>
    <row r="21965" x14ac:dyDescent="0.25"/>
    <row r="21966" x14ac:dyDescent="0.25"/>
    <row r="21967" x14ac:dyDescent="0.25"/>
    <row r="21968" x14ac:dyDescent="0.25"/>
    <row r="21969" x14ac:dyDescent="0.25"/>
    <row r="21970" x14ac:dyDescent="0.25"/>
    <row r="21971" x14ac:dyDescent="0.25"/>
    <row r="21972" x14ac:dyDescent="0.25"/>
    <row r="21973" x14ac:dyDescent="0.25"/>
    <row r="21974" x14ac:dyDescent="0.25"/>
    <row r="21975" x14ac:dyDescent="0.25"/>
    <row r="21976" x14ac:dyDescent="0.25"/>
    <row r="21977" x14ac:dyDescent="0.25"/>
    <row r="21978" x14ac:dyDescent="0.25"/>
    <row r="21979" x14ac:dyDescent="0.25"/>
    <row r="21980" x14ac:dyDescent="0.25"/>
    <row r="21981" x14ac:dyDescent="0.25"/>
    <row r="21982" x14ac:dyDescent="0.25"/>
    <row r="21983" x14ac:dyDescent="0.25"/>
    <row r="21984" x14ac:dyDescent="0.25"/>
    <row r="21985" x14ac:dyDescent="0.25"/>
    <row r="21986" x14ac:dyDescent="0.25"/>
    <row r="21987" x14ac:dyDescent="0.25"/>
    <row r="21988" x14ac:dyDescent="0.25"/>
    <row r="21989" x14ac:dyDescent="0.25"/>
    <row r="21990" x14ac:dyDescent="0.25"/>
    <row r="21991" x14ac:dyDescent="0.25"/>
    <row r="21992" x14ac:dyDescent="0.25"/>
    <row r="21993" x14ac:dyDescent="0.25"/>
    <row r="21994" x14ac:dyDescent="0.25"/>
    <row r="21995" x14ac:dyDescent="0.25"/>
    <row r="21996" x14ac:dyDescent="0.25"/>
    <row r="21997" x14ac:dyDescent="0.25"/>
    <row r="21998" x14ac:dyDescent="0.25"/>
    <row r="21999" x14ac:dyDescent="0.25"/>
    <row r="22000" x14ac:dyDescent="0.25"/>
    <row r="22001" x14ac:dyDescent="0.25"/>
    <row r="22002" x14ac:dyDescent="0.25"/>
    <row r="22003" x14ac:dyDescent="0.25"/>
    <row r="22004" x14ac:dyDescent="0.25"/>
    <row r="22005" x14ac:dyDescent="0.25"/>
    <row r="22006" x14ac:dyDescent="0.25"/>
    <row r="22007" x14ac:dyDescent="0.25"/>
    <row r="22008" x14ac:dyDescent="0.25"/>
    <row r="22009" x14ac:dyDescent="0.25"/>
    <row r="22010" x14ac:dyDescent="0.25"/>
    <row r="22011" x14ac:dyDescent="0.25"/>
    <row r="22012" x14ac:dyDescent="0.25"/>
    <row r="22013" x14ac:dyDescent="0.25"/>
    <row r="22014" x14ac:dyDescent="0.25"/>
    <row r="22015" x14ac:dyDescent="0.25"/>
    <row r="22016" x14ac:dyDescent="0.25"/>
    <row r="22017" x14ac:dyDescent="0.25"/>
    <row r="22018" x14ac:dyDescent="0.25"/>
    <row r="22019" x14ac:dyDescent="0.25"/>
    <row r="22020" x14ac:dyDescent="0.25"/>
    <row r="22021" x14ac:dyDescent="0.25"/>
    <row r="22022" x14ac:dyDescent="0.25"/>
    <row r="22023" x14ac:dyDescent="0.25"/>
    <row r="22024" x14ac:dyDescent="0.25"/>
    <row r="22025" x14ac:dyDescent="0.25"/>
    <row r="22026" x14ac:dyDescent="0.25"/>
    <row r="22027" x14ac:dyDescent="0.25"/>
    <row r="22028" x14ac:dyDescent="0.25"/>
    <row r="22029" x14ac:dyDescent="0.25"/>
    <row r="22030" x14ac:dyDescent="0.25"/>
    <row r="22031" x14ac:dyDescent="0.25"/>
    <row r="22032" x14ac:dyDescent="0.25"/>
    <row r="22033" x14ac:dyDescent="0.25"/>
    <row r="22034" x14ac:dyDescent="0.25"/>
    <row r="22035" x14ac:dyDescent="0.25"/>
    <row r="22036" x14ac:dyDescent="0.25"/>
    <row r="22037" x14ac:dyDescent="0.25"/>
    <row r="22038" x14ac:dyDescent="0.25"/>
    <row r="22039" x14ac:dyDescent="0.25"/>
    <row r="22040" x14ac:dyDescent="0.25"/>
    <row r="22041" x14ac:dyDescent="0.25"/>
    <row r="22042" x14ac:dyDescent="0.25"/>
    <row r="22043" x14ac:dyDescent="0.25"/>
    <row r="22044" x14ac:dyDescent="0.25"/>
    <row r="22045" x14ac:dyDescent="0.25"/>
    <row r="22046" x14ac:dyDescent="0.25"/>
    <row r="22047" x14ac:dyDescent="0.25"/>
    <row r="22048" x14ac:dyDescent="0.25"/>
    <row r="22049" x14ac:dyDescent="0.25"/>
    <row r="22050" x14ac:dyDescent="0.25"/>
    <row r="22051" x14ac:dyDescent="0.25"/>
    <row r="22052" x14ac:dyDescent="0.25"/>
    <row r="22053" x14ac:dyDescent="0.25"/>
    <row r="22054" x14ac:dyDescent="0.25"/>
    <row r="22055" x14ac:dyDescent="0.25"/>
    <row r="22056" x14ac:dyDescent="0.25"/>
    <row r="22057" x14ac:dyDescent="0.25"/>
    <row r="22058" x14ac:dyDescent="0.25"/>
    <row r="22059" x14ac:dyDescent="0.25"/>
    <row r="22060" x14ac:dyDescent="0.25"/>
    <row r="22061" x14ac:dyDescent="0.25"/>
    <row r="22062" x14ac:dyDescent="0.25"/>
    <row r="22063" x14ac:dyDescent="0.25"/>
    <row r="22064" x14ac:dyDescent="0.25"/>
    <row r="22065" x14ac:dyDescent="0.25"/>
    <row r="22066" x14ac:dyDescent="0.25"/>
    <row r="22067" x14ac:dyDescent="0.25"/>
    <row r="22068" x14ac:dyDescent="0.25"/>
    <row r="22069" x14ac:dyDescent="0.25"/>
    <row r="22070" x14ac:dyDescent="0.25"/>
    <row r="22071" x14ac:dyDescent="0.25"/>
    <row r="22072" x14ac:dyDescent="0.25"/>
    <row r="22073" x14ac:dyDescent="0.25"/>
    <row r="22074" x14ac:dyDescent="0.25"/>
    <row r="22075" x14ac:dyDescent="0.25"/>
    <row r="22076" x14ac:dyDescent="0.25"/>
    <row r="22077" x14ac:dyDescent="0.25"/>
    <row r="22078" x14ac:dyDescent="0.25"/>
    <row r="22079" x14ac:dyDescent="0.25"/>
    <row r="22080" x14ac:dyDescent="0.25"/>
    <row r="22081" x14ac:dyDescent="0.25"/>
    <row r="22082" x14ac:dyDescent="0.25"/>
    <row r="22083" x14ac:dyDescent="0.25"/>
    <row r="22084" x14ac:dyDescent="0.25"/>
    <row r="22085" x14ac:dyDescent="0.25"/>
    <row r="22086" x14ac:dyDescent="0.25"/>
    <row r="22087" x14ac:dyDescent="0.25"/>
    <row r="22088" x14ac:dyDescent="0.25"/>
    <row r="22089" x14ac:dyDescent="0.25"/>
    <row r="22090" x14ac:dyDescent="0.25"/>
    <row r="22091" x14ac:dyDescent="0.25"/>
    <row r="22092" x14ac:dyDescent="0.25"/>
    <row r="22093" x14ac:dyDescent="0.25"/>
    <row r="22094" x14ac:dyDescent="0.25"/>
    <row r="22095" x14ac:dyDescent="0.25"/>
    <row r="22096" x14ac:dyDescent="0.25"/>
    <row r="22097" x14ac:dyDescent="0.25"/>
    <row r="22098" x14ac:dyDescent="0.25"/>
    <row r="22099" x14ac:dyDescent="0.25"/>
    <row r="22100" x14ac:dyDescent="0.25"/>
    <row r="22101" x14ac:dyDescent="0.25"/>
    <row r="22102" x14ac:dyDescent="0.25"/>
    <row r="22103" x14ac:dyDescent="0.25"/>
    <row r="22104" x14ac:dyDescent="0.25"/>
    <row r="22105" x14ac:dyDescent="0.25"/>
    <row r="22106" x14ac:dyDescent="0.25"/>
    <row r="22107" x14ac:dyDescent="0.25"/>
    <row r="22108" x14ac:dyDescent="0.25"/>
    <row r="22109" x14ac:dyDescent="0.25"/>
    <row r="22110" x14ac:dyDescent="0.25"/>
    <row r="22111" x14ac:dyDescent="0.25"/>
    <row r="22112" x14ac:dyDescent="0.25"/>
    <row r="22113" x14ac:dyDescent="0.25"/>
    <row r="22114" x14ac:dyDescent="0.25"/>
    <row r="22115" x14ac:dyDescent="0.25"/>
    <row r="22116" x14ac:dyDescent="0.25"/>
    <row r="22117" x14ac:dyDescent="0.25"/>
    <row r="22118" x14ac:dyDescent="0.25"/>
    <row r="22119" x14ac:dyDescent="0.25"/>
    <row r="22120" x14ac:dyDescent="0.25"/>
    <row r="22121" x14ac:dyDescent="0.25"/>
    <row r="22122" x14ac:dyDescent="0.25"/>
    <row r="22123" x14ac:dyDescent="0.25"/>
    <row r="22124" x14ac:dyDescent="0.25"/>
    <row r="22125" x14ac:dyDescent="0.25"/>
    <row r="22126" x14ac:dyDescent="0.25"/>
    <row r="22127" x14ac:dyDescent="0.25"/>
    <row r="22128" x14ac:dyDescent="0.25"/>
    <row r="22129" x14ac:dyDescent="0.25"/>
    <row r="22130" x14ac:dyDescent="0.25"/>
    <row r="22131" x14ac:dyDescent="0.25"/>
    <row r="22132" x14ac:dyDescent="0.25"/>
    <row r="22133" x14ac:dyDescent="0.25"/>
    <row r="22134" x14ac:dyDescent="0.25"/>
    <row r="22135" x14ac:dyDescent="0.25"/>
    <row r="22136" x14ac:dyDescent="0.25"/>
    <row r="22137" x14ac:dyDescent="0.25"/>
    <row r="22138" x14ac:dyDescent="0.25"/>
    <row r="22139" x14ac:dyDescent="0.25"/>
    <row r="22140" x14ac:dyDescent="0.25"/>
    <row r="22141" x14ac:dyDescent="0.25"/>
    <row r="22142" x14ac:dyDescent="0.25"/>
    <row r="22143" x14ac:dyDescent="0.25"/>
    <row r="22144" x14ac:dyDescent="0.25"/>
    <row r="22145" x14ac:dyDescent="0.25"/>
    <row r="22146" x14ac:dyDescent="0.25"/>
    <row r="22147" x14ac:dyDescent="0.25"/>
    <row r="22148" x14ac:dyDescent="0.25"/>
    <row r="22149" x14ac:dyDescent="0.25"/>
    <row r="22150" x14ac:dyDescent="0.25"/>
    <row r="22151" x14ac:dyDescent="0.25"/>
    <row r="22152" x14ac:dyDescent="0.25"/>
    <row r="22153" x14ac:dyDescent="0.25"/>
    <row r="22154" x14ac:dyDescent="0.25"/>
    <row r="22155" x14ac:dyDescent="0.25"/>
    <row r="22156" x14ac:dyDescent="0.25"/>
    <row r="22157" x14ac:dyDescent="0.25"/>
    <row r="22158" x14ac:dyDescent="0.25"/>
    <row r="22159" x14ac:dyDescent="0.25"/>
    <row r="22160" x14ac:dyDescent="0.25"/>
    <row r="22161" x14ac:dyDescent="0.25"/>
    <row r="22162" x14ac:dyDescent="0.25"/>
    <row r="22163" x14ac:dyDescent="0.25"/>
    <row r="22164" x14ac:dyDescent="0.25"/>
    <row r="22165" x14ac:dyDescent="0.25"/>
    <row r="22166" x14ac:dyDescent="0.25"/>
    <row r="22167" x14ac:dyDescent="0.25"/>
    <row r="22168" x14ac:dyDescent="0.25"/>
    <row r="22169" x14ac:dyDescent="0.25"/>
    <row r="22170" x14ac:dyDescent="0.25"/>
    <row r="22171" x14ac:dyDescent="0.25"/>
    <row r="22172" x14ac:dyDescent="0.25"/>
    <row r="22173" x14ac:dyDescent="0.25"/>
    <row r="22174" x14ac:dyDescent="0.25"/>
    <row r="22175" x14ac:dyDescent="0.25"/>
    <row r="22176" x14ac:dyDescent="0.25"/>
    <row r="22177" x14ac:dyDescent="0.25"/>
    <row r="22178" x14ac:dyDescent="0.25"/>
    <row r="22179" x14ac:dyDescent="0.25"/>
    <row r="22180" x14ac:dyDescent="0.25"/>
    <row r="22181" x14ac:dyDescent="0.25"/>
    <row r="22182" x14ac:dyDescent="0.25"/>
    <row r="22183" x14ac:dyDescent="0.25"/>
    <row r="22184" x14ac:dyDescent="0.25"/>
    <row r="22185" x14ac:dyDescent="0.25"/>
    <row r="22186" x14ac:dyDescent="0.25"/>
    <row r="22187" x14ac:dyDescent="0.25"/>
    <row r="22188" x14ac:dyDescent="0.25"/>
    <row r="22189" x14ac:dyDescent="0.25"/>
    <row r="22190" x14ac:dyDescent="0.25"/>
    <row r="22191" x14ac:dyDescent="0.25"/>
    <row r="22192" x14ac:dyDescent="0.25"/>
    <row r="22193" x14ac:dyDescent="0.25"/>
    <row r="22194" x14ac:dyDescent="0.25"/>
    <row r="22195" x14ac:dyDescent="0.25"/>
    <row r="22196" x14ac:dyDescent="0.25"/>
    <row r="22197" x14ac:dyDescent="0.25"/>
    <row r="22198" x14ac:dyDescent="0.25"/>
    <row r="22199" x14ac:dyDescent="0.25"/>
    <row r="22200" x14ac:dyDescent="0.25"/>
    <row r="22201" x14ac:dyDescent="0.25"/>
    <row r="22202" x14ac:dyDescent="0.25"/>
    <row r="22203" x14ac:dyDescent="0.25"/>
    <row r="22204" x14ac:dyDescent="0.25"/>
    <row r="22205" x14ac:dyDescent="0.25"/>
    <row r="22206" x14ac:dyDescent="0.25"/>
    <row r="22207" x14ac:dyDescent="0.25"/>
    <row r="22208" x14ac:dyDescent="0.25"/>
    <row r="22209" x14ac:dyDescent="0.25"/>
    <row r="22210" x14ac:dyDescent="0.25"/>
    <row r="22211" x14ac:dyDescent="0.25"/>
    <row r="22212" x14ac:dyDescent="0.25"/>
    <row r="22213" x14ac:dyDescent="0.25"/>
    <row r="22214" x14ac:dyDescent="0.25"/>
    <row r="22215" x14ac:dyDescent="0.25"/>
    <row r="22216" x14ac:dyDescent="0.25"/>
    <row r="22217" x14ac:dyDescent="0.25"/>
    <row r="22218" x14ac:dyDescent="0.25"/>
    <row r="22219" x14ac:dyDescent="0.25"/>
    <row r="22220" x14ac:dyDescent="0.25"/>
    <row r="22221" x14ac:dyDescent="0.25"/>
    <row r="22222" x14ac:dyDescent="0.25"/>
    <row r="22223" x14ac:dyDescent="0.25"/>
    <row r="22224" x14ac:dyDescent="0.25"/>
    <row r="22225" x14ac:dyDescent="0.25"/>
    <row r="22226" x14ac:dyDescent="0.25"/>
    <row r="22227" x14ac:dyDescent="0.25"/>
    <row r="22228" x14ac:dyDescent="0.25"/>
    <row r="22229" x14ac:dyDescent="0.25"/>
    <row r="22230" x14ac:dyDescent="0.25"/>
    <row r="22231" x14ac:dyDescent="0.25"/>
    <row r="22232" x14ac:dyDescent="0.25"/>
    <row r="22233" x14ac:dyDescent="0.25"/>
    <row r="22234" x14ac:dyDescent="0.25"/>
    <row r="22235" x14ac:dyDescent="0.25"/>
    <row r="22236" x14ac:dyDescent="0.25"/>
    <row r="22237" x14ac:dyDescent="0.25"/>
    <row r="22238" x14ac:dyDescent="0.25"/>
    <row r="22239" x14ac:dyDescent="0.25"/>
    <row r="22240" x14ac:dyDescent="0.25"/>
    <row r="22241" x14ac:dyDescent="0.25"/>
    <row r="22242" x14ac:dyDescent="0.25"/>
    <row r="22243" x14ac:dyDescent="0.25"/>
    <row r="22244" x14ac:dyDescent="0.25"/>
    <row r="22245" x14ac:dyDescent="0.25"/>
    <row r="22246" x14ac:dyDescent="0.25"/>
    <row r="22247" x14ac:dyDescent="0.25"/>
    <row r="22248" x14ac:dyDescent="0.25"/>
    <row r="22249" x14ac:dyDescent="0.25"/>
    <row r="22250" x14ac:dyDescent="0.25"/>
    <row r="22251" x14ac:dyDescent="0.25"/>
    <row r="22252" x14ac:dyDescent="0.25"/>
    <row r="22253" x14ac:dyDescent="0.25"/>
    <row r="22254" x14ac:dyDescent="0.25"/>
    <row r="22255" x14ac:dyDescent="0.25"/>
    <row r="22256" x14ac:dyDescent="0.25"/>
    <row r="22257" x14ac:dyDescent="0.25"/>
    <row r="22258" x14ac:dyDescent="0.25"/>
    <row r="22259" x14ac:dyDescent="0.25"/>
    <row r="22260" x14ac:dyDescent="0.25"/>
    <row r="22261" x14ac:dyDescent="0.25"/>
    <row r="22262" x14ac:dyDescent="0.25"/>
    <row r="22263" x14ac:dyDescent="0.25"/>
    <row r="22264" x14ac:dyDescent="0.25"/>
    <row r="22265" x14ac:dyDescent="0.25"/>
    <row r="22266" x14ac:dyDescent="0.25"/>
    <row r="22267" x14ac:dyDescent="0.25"/>
    <row r="22268" x14ac:dyDescent="0.25"/>
    <row r="22269" x14ac:dyDescent="0.25"/>
    <row r="22270" x14ac:dyDescent="0.25"/>
    <row r="22271" x14ac:dyDescent="0.25"/>
    <row r="22272" x14ac:dyDescent="0.25"/>
    <row r="22273" x14ac:dyDescent="0.25"/>
    <row r="22274" x14ac:dyDescent="0.25"/>
    <row r="22275" x14ac:dyDescent="0.25"/>
    <row r="22276" x14ac:dyDescent="0.25"/>
    <row r="22277" x14ac:dyDescent="0.25"/>
    <row r="22278" x14ac:dyDescent="0.25"/>
    <row r="22279" x14ac:dyDescent="0.25"/>
    <row r="22280" x14ac:dyDescent="0.25"/>
    <row r="22281" x14ac:dyDescent="0.25"/>
    <row r="22282" x14ac:dyDescent="0.25"/>
    <row r="22283" x14ac:dyDescent="0.25"/>
    <row r="22284" x14ac:dyDescent="0.25"/>
    <row r="22285" x14ac:dyDescent="0.25"/>
    <row r="22286" x14ac:dyDescent="0.25"/>
    <row r="22287" x14ac:dyDescent="0.25"/>
    <row r="22288" x14ac:dyDescent="0.25"/>
    <row r="22289" x14ac:dyDescent="0.25"/>
    <row r="22290" x14ac:dyDescent="0.25"/>
    <row r="22291" x14ac:dyDescent="0.25"/>
    <row r="22292" x14ac:dyDescent="0.25"/>
    <row r="22293" x14ac:dyDescent="0.25"/>
    <row r="22294" x14ac:dyDescent="0.25"/>
    <row r="22295" x14ac:dyDescent="0.25"/>
    <row r="22296" x14ac:dyDescent="0.25"/>
    <row r="22297" x14ac:dyDescent="0.25"/>
    <row r="22298" x14ac:dyDescent="0.25"/>
    <row r="22299" x14ac:dyDescent="0.25"/>
    <row r="22300" x14ac:dyDescent="0.25"/>
    <row r="22301" x14ac:dyDescent="0.25"/>
    <row r="22302" x14ac:dyDescent="0.25"/>
    <row r="22303" x14ac:dyDescent="0.25"/>
    <row r="22304" x14ac:dyDescent="0.25"/>
    <row r="22305" x14ac:dyDescent="0.25"/>
    <row r="22306" x14ac:dyDescent="0.25"/>
    <row r="22307" x14ac:dyDescent="0.25"/>
    <row r="22308" x14ac:dyDescent="0.25"/>
    <row r="22309" x14ac:dyDescent="0.25"/>
    <row r="22310" x14ac:dyDescent="0.25"/>
    <row r="22311" x14ac:dyDescent="0.25"/>
    <row r="22312" x14ac:dyDescent="0.25"/>
    <row r="22313" x14ac:dyDescent="0.25"/>
    <row r="22314" x14ac:dyDescent="0.25"/>
    <row r="22315" x14ac:dyDescent="0.25"/>
    <row r="22316" x14ac:dyDescent="0.25"/>
    <row r="22317" x14ac:dyDescent="0.25"/>
    <row r="22318" x14ac:dyDescent="0.25"/>
    <row r="22319" x14ac:dyDescent="0.25"/>
    <row r="22320" x14ac:dyDescent="0.25"/>
    <row r="22321" x14ac:dyDescent="0.25"/>
    <row r="22322" x14ac:dyDescent="0.25"/>
    <row r="22323" x14ac:dyDescent="0.25"/>
    <row r="22324" x14ac:dyDescent="0.25"/>
    <row r="22325" x14ac:dyDescent="0.25"/>
    <row r="22326" x14ac:dyDescent="0.25"/>
    <row r="22327" x14ac:dyDescent="0.25"/>
    <row r="22328" x14ac:dyDescent="0.25"/>
    <row r="22329" x14ac:dyDescent="0.25"/>
    <row r="22330" x14ac:dyDescent="0.25"/>
    <row r="22331" x14ac:dyDescent="0.25"/>
    <row r="22332" x14ac:dyDescent="0.25"/>
    <row r="22333" x14ac:dyDescent="0.25"/>
    <row r="22334" x14ac:dyDescent="0.25"/>
    <row r="22335" x14ac:dyDescent="0.25"/>
    <row r="22336" x14ac:dyDescent="0.25"/>
    <row r="22337" x14ac:dyDescent="0.25"/>
    <row r="22338" x14ac:dyDescent="0.25"/>
    <row r="22339" x14ac:dyDescent="0.25"/>
    <row r="22340" x14ac:dyDescent="0.25"/>
    <row r="22341" x14ac:dyDescent="0.25"/>
    <row r="22342" x14ac:dyDescent="0.25"/>
    <row r="22343" x14ac:dyDescent="0.25"/>
    <row r="22344" x14ac:dyDescent="0.25"/>
    <row r="22345" x14ac:dyDescent="0.25"/>
    <row r="22346" x14ac:dyDescent="0.25"/>
    <row r="22347" x14ac:dyDescent="0.25"/>
    <row r="22348" x14ac:dyDescent="0.25"/>
    <row r="22349" x14ac:dyDescent="0.25"/>
    <row r="22350" x14ac:dyDescent="0.25"/>
    <row r="22351" x14ac:dyDescent="0.25"/>
    <row r="22352" x14ac:dyDescent="0.25"/>
    <row r="22353" x14ac:dyDescent="0.25"/>
    <row r="22354" x14ac:dyDescent="0.25"/>
    <row r="22355" x14ac:dyDescent="0.25"/>
    <row r="22356" x14ac:dyDescent="0.25"/>
    <row r="22357" x14ac:dyDescent="0.25"/>
    <row r="22358" x14ac:dyDescent="0.25"/>
    <row r="22359" x14ac:dyDescent="0.25"/>
    <row r="22360" x14ac:dyDescent="0.25"/>
    <row r="22361" x14ac:dyDescent="0.25"/>
    <row r="22362" x14ac:dyDescent="0.25"/>
    <row r="22363" x14ac:dyDescent="0.25"/>
    <row r="22364" x14ac:dyDescent="0.25"/>
    <row r="22365" x14ac:dyDescent="0.25"/>
    <row r="22366" x14ac:dyDescent="0.25"/>
    <row r="22367" x14ac:dyDescent="0.25"/>
    <row r="22368" x14ac:dyDescent="0.25"/>
    <row r="22369" x14ac:dyDescent="0.25"/>
    <row r="22370" x14ac:dyDescent="0.25"/>
    <row r="22371" x14ac:dyDescent="0.25"/>
    <row r="22372" x14ac:dyDescent="0.25"/>
    <row r="22373" x14ac:dyDescent="0.25"/>
    <row r="22374" x14ac:dyDescent="0.25"/>
    <row r="22375" x14ac:dyDescent="0.25"/>
    <row r="22376" x14ac:dyDescent="0.25"/>
    <row r="22377" x14ac:dyDescent="0.25"/>
    <row r="22378" x14ac:dyDescent="0.25"/>
    <row r="22379" x14ac:dyDescent="0.25"/>
    <row r="22380" x14ac:dyDescent="0.25"/>
    <row r="22381" x14ac:dyDescent="0.25"/>
    <row r="22382" x14ac:dyDescent="0.25"/>
    <row r="22383" x14ac:dyDescent="0.25"/>
    <row r="22384" x14ac:dyDescent="0.25"/>
    <row r="22385" x14ac:dyDescent="0.25"/>
    <row r="22386" x14ac:dyDescent="0.25"/>
    <row r="22387" x14ac:dyDescent="0.25"/>
    <row r="22388" x14ac:dyDescent="0.25"/>
    <row r="22389" x14ac:dyDescent="0.25"/>
    <row r="22390" x14ac:dyDescent="0.25"/>
    <row r="22391" x14ac:dyDescent="0.25"/>
    <row r="22392" x14ac:dyDescent="0.25"/>
    <row r="22393" x14ac:dyDescent="0.25"/>
    <row r="22394" x14ac:dyDescent="0.25"/>
    <row r="22395" x14ac:dyDescent="0.25"/>
    <row r="22396" x14ac:dyDescent="0.25"/>
    <row r="22397" x14ac:dyDescent="0.25"/>
    <row r="22398" x14ac:dyDescent="0.25"/>
    <row r="22399" x14ac:dyDescent="0.25"/>
    <row r="22400" x14ac:dyDescent="0.25"/>
    <row r="22401" x14ac:dyDescent="0.25"/>
    <row r="22402" x14ac:dyDescent="0.25"/>
    <row r="22403" x14ac:dyDescent="0.25"/>
    <row r="22404" x14ac:dyDescent="0.25"/>
    <row r="22405" x14ac:dyDescent="0.25"/>
    <row r="22406" x14ac:dyDescent="0.25"/>
    <row r="22407" x14ac:dyDescent="0.25"/>
    <row r="22408" x14ac:dyDescent="0.25"/>
    <row r="22409" x14ac:dyDescent="0.25"/>
    <row r="22410" x14ac:dyDescent="0.25"/>
    <row r="22411" x14ac:dyDescent="0.25"/>
    <row r="22412" x14ac:dyDescent="0.25"/>
    <row r="22413" x14ac:dyDescent="0.25"/>
    <row r="22414" x14ac:dyDescent="0.25"/>
    <row r="22415" x14ac:dyDescent="0.25"/>
    <row r="22416" x14ac:dyDescent="0.25"/>
    <row r="22417" x14ac:dyDescent="0.25"/>
    <row r="22418" x14ac:dyDescent="0.25"/>
    <row r="22419" x14ac:dyDescent="0.25"/>
    <row r="22420" x14ac:dyDescent="0.25"/>
    <row r="22421" x14ac:dyDescent="0.25"/>
    <row r="22422" x14ac:dyDescent="0.25"/>
    <row r="22423" x14ac:dyDescent="0.25"/>
    <row r="22424" x14ac:dyDescent="0.25"/>
    <row r="22425" x14ac:dyDescent="0.25"/>
    <row r="22426" x14ac:dyDescent="0.25"/>
    <row r="22427" x14ac:dyDescent="0.25"/>
    <row r="22428" x14ac:dyDescent="0.25"/>
    <row r="22429" x14ac:dyDescent="0.25"/>
    <row r="22430" x14ac:dyDescent="0.25"/>
    <row r="22431" x14ac:dyDescent="0.25"/>
    <row r="22432" x14ac:dyDescent="0.25"/>
    <row r="22433" x14ac:dyDescent="0.25"/>
    <row r="22434" x14ac:dyDescent="0.25"/>
    <row r="22435" x14ac:dyDescent="0.25"/>
    <row r="22436" x14ac:dyDescent="0.25"/>
    <row r="22437" x14ac:dyDescent="0.25"/>
    <row r="22438" x14ac:dyDescent="0.25"/>
    <row r="22439" x14ac:dyDescent="0.25"/>
    <row r="22440" x14ac:dyDescent="0.25"/>
    <row r="22441" x14ac:dyDescent="0.25"/>
    <row r="22442" x14ac:dyDescent="0.25"/>
    <row r="22443" x14ac:dyDescent="0.25"/>
    <row r="22444" x14ac:dyDescent="0.25"/>
    <row r="22445" x14ac:dyDescent="0.25"/>
    <row r="22446" x14ac:dyDescent="0.25"/>
    <row r="22447" x14ac:dyDescent="0.25"/>
    <row r="22448" x14ac:dyDescent="0.25"/>
    <row r="22449" x14ac:dyDescent="0.25"/>
    <row r="22450" x14ac:dyDescent="0.25"/>
    <row r="22451" x14ac:dyDescent="0.25"/>
    <row r="22452" x14ac:dyDescent="0.25"/>
    <row r="22453" x14ac:dyDescent="0.25"/>
    <row r="22454" x14ac:dyDescent="0.25"/>
    <row r="22455" x14ac:dyDescent="0.25"/>
    <row r="22456" x14ac:dyDescent="0.25"/>
    <row r="22457" x14ac:dyDescent="0.25"/>
    <row r="22458" x14ac:dyDescent="0.25"/>
    <row r="22459" x14ac:dyDescent="0.25"/>
    <row r="22460" x14ac:dyDescent="0.25"/>
    <row r="22461" x14ac:dyDescent="0.25"/>
    <row r="22462" x14ac:dyDescent="0.25"/>
    <row r="22463" x14ac:dyDescent="0.25"/>
    <row r="22464" x14ac:dyDescent="0.25"/>
    <row r="22465" x14ac:dyDescent="0.25"/>
    <row r="22466" x14ac:dyDescent="0.25"/>
    <row r="22467" x14ac:dyDescent="0.25"/>
    <row r="22468" x14ac:dyDescent="0.25"/>
    <row r="22469" x14ac:dyDescent="0.25"/>
    <row r="22470" x14ac:dyDescent="0.25"/>
    <row r="22471" x14ac:dyDescent="0.25"/>
    <row r="22472" x14ac:dyDescent="0.25"/>
    <row r="22473" x14ac:dyDescent="0.25"/>
    <row r="22474" x14ac:dyDescent="0.25"/>
    <row r="22475" x14ac:dyDescent="0.25"/>
    <row r="22476" x14ac:dyDescent="0.25"/>
    <row r="22477" x14ac:dyDescent="0.25"/>
    <row r="22478" x14ac:dyDescent="0.25"/>
    <row r="22479" x14ac:dyDescent="0.25"/>
    <row r="22480" x14ac:dyDescent="0.25"/>
    <row r="22481" x14ac:dyDescent="0.25"/>
    <row r="22482" x14ac:dyDescent="0.25"/>
    <row r="22483" x14ac:dyDescent="0.25"/>
    <row r="22484" x14ac:dyDescent="0.25"/>
    <row r="22485" x14ac:dyDescent="0.25"/>
    <row r="22486" x14ac:dyDescent="0.25"/>
    <row r="22487" x14ac:dyDescent="0.25"/>
    <row r="22488" x14ac:dyDescent="0.25"/>
    <row r="22489" x14ac:dyDescent="0.25"/>
    <row r="22490" x14ac:dyDescent="0.25"/>
    <row r="22491" x14ac:dyDescent="0.25"/>
    <row r="22492" x14ac:dyDescent="0.25"/>
    <row r="22493" x14ac:dyDescent="0.25"/>
    <row r="22494" x14ac:dyDescent="0.25"/>
    <row r="22495" x14ac:dyDescent="0.25"/>
    <row r="22496" x14ac:dyDescent="0.25"/>
    <row r="22497" x14ac:dyDescent="0.25"/>
    <row r="22498" x14ac:dyDescent="0.25"/>
    <row r="22499" x14ac:dyDescent="0.25"/>
    <row r="22500" x14ac:dyDescent="0.25"/>
    <row r="22501" x14ac:dyDescent="0.25"/>
    <row r="22502" x14ac:dyDescent="0.25"/>
    <row r="22503" x14ac:dyDescent="0.25"/>
    <row r="22504" x14ac:dyDescent="0.25"/>
    <row r="22505" x14ac:dyDescent="0.25"/>
    <row r="22506" x14ac:dyDescent="0.25"/>
    <row r="22507" x14ac:dyDescent="0.25"/>
    <row r="22508" x14ac:dyDescent="0.25"/>
    <row r="22509" x14ac:dyDescent="0.25"/>
    <row r="22510" x14ac:dyDescent="0.25"/>
    <row r="22511" x14ac:dyDescent="0.25"/>
    <row r="22512" x14ac:dyDescent="0.25"/>
    <row r="22513" x14ac:dyDescent="0.25"/>
    <row r="22514" x14ac:dyDescent="0.25"/>
    <row r="22515" x14ac:dyDescent="0.25"/>
    <row r="22516" x14ac:dyDescent="0.25"/>
    <row r="22517" x14ac:dyDescent="0.25"/>
    <row r="22518" x14ac:dyDescent="0.25"/>
    <row r="22519" x14ac:dyDescent="0.25"/>
    <row r="22520" x14ac:dyDescent="0.25"/>
    <row r="22521" x14ac:dyDescent="0.25"/>
    <row r="22522" x14ac:dyDescent="0.25"/>
    <row r="22523" x14ac:dyDescent="0.25"/>
    <row r="22524" x14ac:dyDescent="0.25"/>
    <row r="22525" x14ac:dyDescent="0.25"/>
    <row r="22526" x14ac:dyDescent="0.25"/>
    <row r="22527" x14ac:dyDescent="0.25"/>
    <row r="22528" x14ac:dyDescent="0.25"/>
    <row r="22529" x14ac:dyDescent="0.25"/>
    <row r="22530" x14ac:dyDescent="0.25"/>
    <row r="22531" x14ac:dyDescent="0.25"/>
    <row r="22532" x14ac:dyDescent="0.25"/>
    <row r="22533" x14ac:dyDescent="0.25"/>
    <row r="22534" x14ac:dyDescent="0.25"/>
    <row r="22535" x14ac:dyDescent="0.25"/>
    <row r="22536" x14ac:dyDescent="0.25"/>
    <row r="22537" x14ac:dyDescent="0.25"/>
    <row r="22538" x14ac:dyDescent="0.25"/>
    <row r="22539" x14ac:dyDescent="0.25"/>
    <row r="22540" x14ac:dyDescent="0.25"/>
    <row r="22541" x14ac:dyDescent="0.25"/>
    <row r="22542" x14ac:dyDescent="0.25"/>
    <row r="22543" x14ac:dyDescent="0.25"/>
    <row r="22544" x14ac:dyDescent="0.25"/>
    <row r="22545" x14ac:dyDescent="0.25"/>
    <row r="22546" x14ac:dyDescent="0.25"/>
    <row r="22547" x14ac:dyDescent="0.25"/>
    <row r="22548" x14ac:dyDescent="0.25"/>
    <row r="22549" x14ac:dyDescent="0.25"/>
    <row r="22550" x14ac:dyDescent="0.25"/>
    <row r="22551" x14ac:dyDescent="0.25"/>
    <row r="22552" x14ac:dyDescent="0.25"/>
    <row r="22553" x14ac:dyDescent="0.25"/>
    <row r="22554" x14ac:dyDescent="0.25"/>
    <row r="22555" x14ac:dyDescent="0.25"/>
    <row r="22556" x14ac:dyDescent="0.25"/>
    <row r="22557" x14ac:dyDescent="0.25"/>
    <row r="22558" x14ac:dyDescent="0.25"/>
    <row r="22559" x14ac:dyDescent="0.25"/>
    <row r="22560" x14ac:dyDescent="0.25"/>
    <row r="22561" x14ac:dyDescent="0.25"/>
    <row r="22562" x14ac:dyDescent="0.25"/>
    <row r="22563" x14ac:dyDescent="0.25"/>
    <row r="22564" x14ac:dyDescent="0.25"/>
    <row r="22565" x14ac:dyDescent="0.25"/>
    <row r="22566" x14ac:dyDescent="0.25"/>
    <row r="22567" x14ac:dyDescent="0.25"/>
    <row r="22568" x14ac:dyDescent="0.25"/>
    <row r="22569" x14ac:dyDescent="0.25"/>
    <row r="22570" x14ac:dyDescent="0.25"/>
    <row r="22571" x14ac:dyDescent="0.25"/>
    <row r="22572" x14ac:dyDescent="0.25"/>
    <row r="22573" x14ac:dyDescent="0.25"/>
    <row r="22574" x14ac:dyDescent="0.25"/>
    <row r="22575" x14ac:dyDescent="0.25"/>
    <row r="22576" x14ac:dyDescent="0.25"/>
    <row r="22577" x14ac:dyDescent="0.25"/>
    <row r="22578" x14ac:dyDescent="0.25"/>
    <row r="22579" x14ac:dyDescent="0.25"/>
    <row r="22580" x14ac:dyDescent="0.25"/>
    <row r="22581" x14ac:dyDescent="0.25"/>
    <row r="22582" x14ac:dyDescent="0.25"/>
    <row r="22583" x14ac:dyDescent="0.25"/>
    <row r="22584" x14ac:dyDescent="0.25"/>
    <row r="22585" x14ac:dyDescent="0.25"/>
    <row r="22586" x14ac:dyDescent="0.25"/>
    <row r="22587" x14ac:dyDescent="0.25"/>
    <row r="22588" x14ac:dyDescent="0.25"/>
    <row r="22589" x14ac:dyDescent="0.25"/>
    <row r="22590" x14ac:dyDescent="0.25"/>
    <row r="22591" x14ac:dyDescent="0.25"/>
    <row r="22592" x14ac:dyDescent="0.25"/>
    <row r="22593" x14ac:dyDescent="0.25"/>
    <row r="22594" x14ac:dyDescent="0.25"/>
    <row r="22595" x14ac:dyDescent="0.25"/>
    <row r="22596" x14ac:dyDescent="0.25"/>
    <row r="22597" x14ac:dyDescent="0.25"/>
    <row r="22598" x14ac:dyDescent="0.25"/>
    <row r="22599" x14ac:dyDescent="0.25"/>
    <row r="22600" x14ac:dyDescent="0.25"/>
    <row r="22601" x14ac:dyDescent="0.25"/>
    <row r="22602" x14ac:dyDescent="0.25"/>
    <row r="22603" x14ac:dyDescent="0.25"/>
    <row r="22604" x14ac:dyDescent="0.25"/>
    <row r="22605" x14ac:dyDescent="0.25"/>
    <row r="22606" x14ac:dyDescent="0.25"/>
    <row r="22607" x14ac:dyDescent="0.25"/>
    <row r="22608" x14ac:dyDescent="0.25"/>
    <row r="22609" x14ac:dyDescent="0.25"/>
    <row r="22610" x14ac:dyDescent="0.25"/>
    <row r="22611" x14ac:dyDescent="0.25"/>
    <row r="22612" x14ac:dyDescent="0.25"/>
    <row r="22613" x14ac:dyDescent="0.25"/>
    <row r="22614" x14ac:dyDescent="0.25"/>
    <row r="22615" x14ac:dyDescent="0.25"/>
    <row r="22616" x14ac:dyDescent="0.25"/>
    <row r="22617" x14ac:dyDescent="0.25"/>
    <row r="22618" x14ac:dyDescent="0.25"/>
    <row r="22619" x14ac:dyDescent="0.25"/>
    <row r="22620" x14ac:dyDescent="0.25"/>
    <row r="22621" x14ac:dyDescent="0.25"/>
    <row r="22622" x14ac:dyDescent="0.25"/>
    <row r="22623" x14ac:dyDescent="0.25"/>
    <row r="22624" x14ac:dyDescent="0.25"/>
    <row r="22625" x14ac:dyDescent="0.25"/>
    <row r="22626" x14ac:dyDescent="0.25"/>
    <row r="22627" x14ac:dyDescent="0.25"/>
    <row r="22628" x14ac:dyDescent="0.25"/>
    <row r="22629" x14ac:dyDescent="0.25"/>
    <row r="22630" x14ac:dyDescent="0.25"/>
    <row r="22631" x14ac:dyDescent="0.25"/>
    <row r="22632" x14ac:dyDescent="0.25"/>
    <row r="22633" x14ac:dyDescent="0.25"/>
    <row r="22634" x14ac:dyDescent="0.25"/>
    <row r="22635" x14ac:dyDescent="0.25"/>
    <row r="22636" x14ac:dyDescent="0.25"/>
    <row r="22637" x14ac:dyDescent="0.25"/>
    <row r="22638" x14ac:dyDescent="0.25"/>
    <row r="22639" x14ac:dyDescent="0.25"/>
    <row r="22640" x14ac:dyDescent="0.25"/>
    <row r="22641" x14ac:dyDescent="0.25"/>
    <row r="22642" x14ac:dyDescent="0.25"/>
    <row r="22643" x14ac:dyDescent="0.25"/>
    <row r="22644" x14ac:dyDescent="0.25"/>
    <row r="22645" x14ac:dyDescent="0.25"/>
    <row r="22646" x14ac:dyDescent="0.25"/>
    <row r="22647" x14ac:dyDescent="0.25"/>
    <row r="22648" x14ac:dyDescent="0.25"/>
    <row r="22649" x14ac:dyDescent="0.25"/>
    <row r="22650" x14ac:dyDescent="0.25"/>
    <row r="22651" x14ac:dyDescent="0.25"/>
    <row r="22652" x14ac:dyDescent="0.25"/>
    <row r="22653" x14ac:dyDescent="0.25"/>
    <row r="22654" x14ac:dyDescent="0.25"/>
    <row r="22655" x14ac:dyDescent="0.25"/>
    <row r="22656" x14ac:dyDescent="0.25"/>
    <row r="22657" x14ac:dyDescent="0.25"/>
    <row r="22658" x14ac:dyDescent="0.25"/>
    <row r="22659" x14ac:dyDescent="0.25"/>
    <row r="22660" x14ac:dyDescent="0.25"/>
    <row r="22661" x14ac:dyDescent="0.25"/>
    <row r="22662" x14ac:dyDescent="0.25"/>
    <row r="22663" x14ac:dyDescent="0.25"/>
    <row r="22664" x14ac:dyDescent="0.25"/>
    <row r="22665" x14ac:dyDescent="0.25"/>
    <row r="22666" x14ac:dyDescent="0.25"/>
    <row r="22667" x14ac:dyDescent="0.25"/>
    <row r="22668" x14ac:dyDescent="0.25"/>
    <row r="22669" x14ac:dyDescent="0.25"/>
    <row r="22670" x14ac:dyDescent="0.25"/>
    <row r="22671" x14ac:dyDescent="0.25"/>
    <row r="22672" x14ac:dyDescent="0.25"/>
    <row r="22673" x14ac:dyDescent="0.25"/>
    <row r="22674" x14ac:dyDescent="0.25"/>
    <row r="22675" x14ac:dyDescent="0.25"/>
    <row r="22676" x14ac:dyDescent="0.25"/>
    <row r="22677" x14ac:dyDescent="0.25"/>
    <row r="22678" x14ac:dyDescent="0.25"/>
    <row r="22679" x14ac:dyDescent="0.25"/>
    <row r="22680" x14ac:dyDescent="0.25"/>
    <row r="22681" x14ac:dyDescent="0.25"/>
    <row r="22682" x14ac:dyDescent="0.25"/>
    <row r="22683" x14ac:dyDescent="0.25"/>
    <row r="22684" x14ac:dyDescent="0.25"/>
    <row r="22685" x14ac:dyDescent="0.25"/>
    <row r="22686" x14ac:dyDescent="0.25"/>
    <row r="22687" x14ac:dyDescent="0.25"/>
    <row r="22688" x14ac:dyDescent="0.25"/>
    <row r="22689" x14ac:dyDescent="0.25"/>
    <row r="22690" x14ac:dyDescent="0.25"/>
    <row r="22691" x14ac:dyDescent="0.25"/>
    <row r="22692" x14ac:dyDescent="0.25"/>
    <row r="22693" x14ac:dyDescent="0.25"/>
    <row r="22694" x14ac:dyDescent="0.25"/>
    <row r="22695" x14ac:dyDescent="0.25"/>
    <row r="22696" x14ac:dyDescent="0.25"/>
    <row r="22697" x14ac:dyDescent="0.25"/>
    <row r="22698" x14ac:dyDescent="0.25"/>
    <row r="22699" x14ac:dyDescent="0.25"/>
    <row r="22700" x14ac:dyDescent="0.25"/>
    <row r="22701" x14ac:dyDescent="0.25"/>
    <row r="22702" x14ac:dyDescent="0.25"/>
    <row r="22703" x14ac:dyDescent="0.25"/>
    <row r="22704" x14ac:dyDescent="0.25"/>
    <row r="22705" x14ac:dyDescent="0.25"/>
    <row r="22706" x14ac:dyDescent="0.25"/>
    <row r="22707" x14ac:dyDescent="0.25"/>
    <row r="22708" x14ac:dyDescent="0.25"/>
    <row r="22709" x14ac:dyDescent="0.25"/>
    <row r="22710" x14ac:dyDescent="0.25"/>
    <row r="22711" x14ac:dyDescent="0.25"/>
    <row r="22712" x14ac:dyDescent="0.25"/>
    <row r="22713" x14ac:dyDescent="0.25"/>
    <row r="22714" x14ac:dyDescent="0.25"/>
    <row r="22715" x14ac:dyDescent="0.25"/>
    <row r="22716" x14ac:dyDescent="0.25"/>
    <row r="22717" x14ac:dyDescent="0.25"/>
    <row r="22718" x14ac:dyDescent="0.25"/>
    <row r="22719" x14ac:dyDescent="0.25"/>
    <row r="22720" x14ac:dyDescent="0.25"/>
    <row r="22721" x14ac:dyDescent="0.25"/>
    <row r="22722" x14ac:dyDescent="0.25"/>
    <row r="22723" x14ac:dyDescent="0.25"/>
    <row r="22724" x14ac:dyDescent="0.25"/>
    <row r="22725" x14ac:dyDescent="0.25"/>
    <row r="22726" x14ac:dyDescent="0.25"/>
    <row r="22727" x14ac:dyDescent="0.25"/>
    <row r="22728" x14ac:dyDescent="0.25"/>
    <row r="22729" x14ac:dyDescent="0.25"/>
    <row r="22730" x14ac:dyDescent="0.25"/>
    <row r="22731" x14ac:dyDescent="0.25"/>
    <row r="22732" x14ac:dyDescent="0.25"/>
    <row r="22733" x14ac:dyDescent="0.25"/>
    <row r="22734" x14ac:dyDescent="0.25"/>
    <row r="22735" x14ac:dyDescent="0.25"/>
    <row r="22736" x14ac:dyDescent="0.25"/>
    <row r="22737" x14ac:dyDescent="0.25"/>
    <row r="22738" x14ac:dyDescent="0.25"/>
    <row r="22739" x14ac:dyDescent="0.25"/>
    <row r="22740" x14ac:dyDescent="0.25"/>
    <row r="22741" x14ac:dyDescent="0.25"/>
    <row r="22742" x14ac:dyDescent="0.25"/>
    <row r="22743" x14ac:dyDescent="0.25"/>
    <row r="22744" x14ac:dyDescent="0.25"/>
    <row r="22745" x14ac:dyDescent="0.25"/>
    <row r="22746" x14ac:dyDescent="0.25"/>
    <row r="22747" x14ac:dyDescent="0.25"/>
    <row r="22748" x14ac:dyDescent="0.25"/>
    <row r="22749" x14ac:dyDescent="0.25"/>
    <row r="22750" x14ac:dyDescent="0.25"/>
    <row r="22751" x14ac:dyDescent="0.25"/>
    <row r="22752" x14ac:dyDescent="0.25"/>
    <row r="22753" x14ac:dyDescent="0.25"/>
    <row r="22754" x14ac:dyDescent="0.25"/>
    <row r="22755" x14ac:dyDescent="0.25"/>
    <row r="22756" x14ac:dyDescent="0.25"/>
    <row r="22757" x14ac:dyDescent="0.25"/>
    <row r="22758" x14ac:dyDescent="0.25"/>
    <row r="22759" x14ac:dyDescent="0.25"/>
    <row r="22760" x14ac:dyDescent="0.25"/>
    <row r="22761" x14ac:dyDescent="0.25"/>
    <row r="22762" x14ac:dyDescent="0.25"/>
    <row r="22763" x14ac:dyDescent="0.25"/>
    <row r="22764" x14ac:dyDescent="0.25"/>
    <row r="22765" x14ac:dyDescent="0.25"/>
    <row r="22766" x14ac:dyDescent="0.25"/>
    <row r="22767" x14ac:dyDescent="0.25"/>
    <row r="22768" x14ac:dyDescent="0.25"/>
    <row r="22769" x14ac:dyDescent="0.25"/>
    <row r="22770" x14ac:dyDescent="0.25"/>
    <row r="22771" x14ac:dyDescent="0.25"/>
    <row r="22772" x14ac:dyDescent="0.25"/>
    <row r="22773" x14ac:dyDescent="0.25"/>
    <row r="22774" x14ac:dyDescent="0.25"/>
    <row r="22775" x14ac:dyDescent="0.25"/>
    <row r="22776" x14ac:dyDescent="0.25"/>
    <row r="22777" x14ac:dyDescent="0.25"/>
    <row r="22778" x14ac:dyDescent="0.25"/>
    <row r="22779" x14ac:dyDescent="0.25"/>
    <row r="22780" x14ac:dyDescent="0.25"/>
    <row r="22781" x14ac:dyDescent="0.25"/>
    <row r="22782" x14ac:dyDescent="0.25"/>
    <row r="22783" x14ac:dyDescent="0.25"/>
    <row r="22784" x14ac:dyDescent="0.25"/>
    <row r="22785" x14ac:dyDescent="0.25"/>
    <row r="22786" x14ac:dyDescent="0.25"/>
    <row r="22787" x14ac:dyDescent="0.25"/>
    <row r="22788" x14ac:dyDescent="0.25"/>
    <row r="22789" x14ac:dyDescent="0.25"/>
    <row r="22790" x14ac:dyDescent="0.25"/>
    <row r="22791" x14ac:dyDescent="0.25"/>
    <row r="22792" x14ac:dyDescent="0.25"/>
    <row r="22793" x14ac:dyDescent="0.25"/>
    <row r="22794" x14ac:dyDescent="0.25"/>
    <row r="22795" x14ac:dyDescent="0.25"/>
    <row r="22796" x14ac:dyDescent="0.25"/>
    <row r="22797" x14ac:dyDescent="0.25"/>
    <row r="22798" x14ac:dyDescent="0.25"/>
    <row r="22799" x14ac:dyDescent="0.25"/>
    <row r="22800" x14ac:dyDescent="0.25"/>
    <row r="22801" x14ac:dyDescent="0.25"/>
    <row r="22802" x14ac:dyDescent="0.25"/>
    <row r="22803" x14ac:dyDescent="0.25"/>
    <row r="22804" x14ac:dyDescent="0.25"/>
    <row r="22805" x14ac:dyDescent="0.25"/>
    <row r="22806" x14ac:dyDescent="0.25"/>
    <row r="22807" x14ac:dyDescent="0.25"/>
    <row r="22808" x14ac:dyDescent="0.25"/>
    <row r="22809" x14ac:dyDescent="0.25"/>
    <row r="22810" x14ac:dyDescent="0.25"/>
    <row r="22811" x14ac:dyDescent="0.25"/>
    <row r="22812" x14ac:dyDescent="0.25"/>
    <row r="22813" x14ac:dyDescent="0.25"/>
    <row r="22814" x14ac:dyDescent="0.25"/>
    <row r="22815" x14ac:dyDescent="0.25"/>
    <row r="22816" x14ac:dyDescent="0.25"/>
    <row r="22817" x14ac:dyDescent="0.25"/>
    <row r="22818" x14ac:dyDescent="0.25"/>
    <row r="22819" x14ac:dyDescent="0.25"/>
    <row r="22820" x14ac:dyDescent="0.25"/>
    <row r="22821" x14ac:dyDescent="0.25"/>
    <row r="22822" x14ac:dyDescent="0.25"/>
    <row r="22823" x14ac:dyDescent="0.25"/>
    <row r="22824" x14ac:dyDescent="0.25"/>
    <row r="22825" x14ac:dyDescent="0.25"/>
    <row r="22826" x14ac:dyDescent="0.25"/>
    <row r="22827" x14ac:dyDescent="0.25"/>
    <row r="22828" x14ac:dyDescent="0.25"/>
    <row r="22829" x14ac:dyDescent="0.25"/>
    <row r="22830" x14ac:dyDescent="0.25"/>
    <row r="22831" x14ac:dyDescent="0.25"/>
    <row r="22832" x14ac:dyDescent="0.25"/>
    <row r="22833" x14ac:dyDescent="0.25"/>
    <row r="22834" x14ac:dyDescent="0.25"/>
    <row r="22835" x14ac:dyDescent="0.25"/>
    <row r="22836" x14ac:dyDescent="0.25"/>
    <row r="22837" x14ac:dyDescent="0.25"/>
    <row r="22838" x14ac:dyDescent="0.25"/>
    <row r="22839" x14ac:dyDescent="0.25"/>
    <row r="22840" x14ac:dyDescent="0.25"/>
    <row r="22841" x14ac:dyDescent="0.25"/>
    <row r="22842" x14ac:dyDescent="0.25"/>
    <row r="22843" x14ac:dyDescent="0.25"/>
    <row r="22844" x14ac:dyDescent="0.25"/>
    <row r="22845" x14ac:dyDescent="0.25"/>
    <row r="22846" x14ac:dyDescent="0.25"/>
    <row r="22847" x14ac:dyDescent="0.25"/>
    <row r="22848" x14ac:dyDescent="0.25"/>
    <row r="22849" x14ac:dyDescent="0.25"/>
    <row r="22850" x14ac:dyDescent="0.25"/>
    <row r="22851" x14ac:dyDescent="0.25"/>
    <row r="22852" x14ac:dyDescent="0.25"/>
    <row r="22853" x14ac:dyDescent="0.25"/>
    <row r="22854" x14ac:dyDescent="0.25"/>
    <row r="22855" x14ac:dyDescent="0.25"/>
    <row r="22856" x14ac:dyDescent="0.25"/>
    <row r="22857" x14ac:dyDescent="0.25"/>
    <row r="22858" x14ac:dyDescent="0.25"/>
    <row r="22859" x14ac:dyDescent="0.25"/>
    <row r="22860" x14ac:dyDescent="0.25"/>
    <row r="22861" x14ac:dyDescent="0.25"/>
    <row r="22862" x14ac:dyDescent="0.25"/>
    <row r="22863" x14ac:dyDescent="0.25"/>
    <row r="22864" x14ac:dyDescent="0.25"/>
    <row r="22865" x14ac:dyDescent="0.25"/>
    <row r="22866" x14ac:dyDescent="0.25"/>
    <row r="22867" x14ac:dyDescent="0.25"/>
    <row r="22868" x14ac:dyDescent="0.25"/>
    <row r="22869" x14ac:dyDescent="0.25"/>
    <row r="22870" x14ac:dyDescent="0.25"/>
    <row r="22871" x14ac:dyDescent="0.25"/>
    <row r="22872" x14ac:dyDescent="0.25"/>
    <row r="22873" x14ac:dyDescent="0.25"/>
    <row r="22874" x14ac:dyDescent="0.25"/>
    <row r="22875" x14ac:dyDescent="0.25"/>
    <row r="22876" x14ac:dyDescent="0.25"/>
    <row r="22877" x14ac:dyDescent="0.25"/>
    <row r="22878" x14ac:dyDescent="0.25"/>
    <row r="22879" x14ac:dyDescent="0.25"/>
    <row r="22880" x14ac:dyDescent="0.25"/>
    <row r="22881" x14ac:dyDescent="0.25"/>
    <row r="22882" x14ac:dyDescent="0.25"/>
    <row r="22883" x14ac:dyDescent="0.25"/>
    <row r="22884" x14ac:dyDescent="0.25"/>
    <row r="22885" x14ac:dyDescent="0.25"/>
    <row r="22886" x14ac:dyDescent="0.25"/>
    <row r="22887" x14ac:dyDescent="0.25"/>
    <row r="22888" x14ac:dyDescent="0.25"/>
    <row r="22889" x14ac:dyDescent="0.25"/>
    <row r="22890" x14ac:dyDescent="0.25"/>
    <row r="22891" x14ac:dyDescent="0.25"/>
    <row r="22892" x14ac:dyDescent="0.25"/>
    <row r="22893" x14ac:dyDescent="0.25"/>
    <row r="22894" x14ac:dyDescent="0.25"/>
    <row r="22895" x14ac:dyDescent="0.25"/>
    <row r="22896" x14ac:dyDescent="0.25"/>
    <row r="22897" x14ac:dyDescent="0.25"/>
    <row r="22898" x14ac:dyDescent="0.25"/>
    <row r="22899" x14ac:dyDescent="0.25"/>
    <row r="22900" x14ac:dyDescent="0.25"/>
    <row r="22901" x14ac:dyDescent="0.25"/>
    <row r="22902" x14ac:dyDescent="0.25"/>
    <row r="22903" x14ac:dyDescent="0.25"/>
    <row r="22904" x14ac:dyDescent="0.25"/>
    <row r="22905" x14ac:dyDescent="0.25"/>
    <row r="22906" x14ac:dyDescent="0.25"/>
    <row r="22907" x14ac:dyDescent="0.25"/>
    <row r="22908" x14ac:dyDescent="0.25"/>
    <row r="22909" x14ac:dyDescent="0.25"/>
    <row r="22910" x14ac:dyDescent="0.25"/>
    <row r="22911" x14ac:dyDescent="0.25"/>
    <row r="22912" x14ac:dyDescent="0.25"/>
    <row r="22913" x14ac:dyDescent="0.25"/>
    <row r="22914" x14ac:dyDescent="0.25"/>
    <row r="22915" x14ac:dyDescent="0.25"/>
    <row r="22916" x14ac:dyDescent="0.25"/>
    <row r="22917" x14ac:dyDescent="0.25"/>
    <row r="22918" x14ac:dyDescent="0.25"/>
    <row r="22919" x14ac:dyDescent="0.25"/>
    <row r="22920" x14ac:dyDescent="0.25"/>
    <row r="22921" x14ac:dyDescent="0.25"/>
    <row r="22922" x14ac:dyDescent="0.25"/>
    <row r="22923" x14ac:dyDescent="0.25"/>
    <row r="22924" x14ac:dyDescent="0.25"/>
    <row r="22925" x14ac:dyDescent="0.25"/>
    <row r="22926" x14ac:dyDescent="0.25"/>
    <row r="22927" x14ac:dyDescent="0.25"/>
    <row r="22928" x14ac:dyDescent="0.25"/>
    <row r="22929" x14ac:dyDescent="0.25"/>
    <row r="22930" x14ac:dyDescent="0.25"/>
    <row r="22931" x14ac:dyDescent="0.25"/>
    <row r="22932" x14ac:dyDescent="0.25"/>
    <row r="22933" x14ac:dyDescent="0.25"/>
    <row r="22934" x14ac:dyDescent="0.25"/>
    <row r="22935" x14ac:dyDescent="0.25"/>
    <row r="22936" x14ac:dyDescent="0.25"/>
    <row r="22937" x14ac:dyDescent="0.25"/>
    <row r="22938" x14ac:dyDescent="0.25"/>
    <row r="22939" x14ac:dyDescent="0.25"/>
    <row r="22940" x14ac:dyDescent="0.25"/>
    <row r="22941" x14ac:dyDescent="0.25"/>
    <row r="22942" x14ac:dyDescent="0.25"/>
    <row r="22943" x14ac:dyDescent="0.25"/>
    <row r="22944" x14ac:dyDescent="0.25"/>
    <row r="22945" x14ac:dyDescent="0.25"/>
    <row r="22946" x14ac:dyDescent="0.25"/>
    <row r="22947" x14ac:dyDescent="0.25"/>
    <row r="22948" x14ac:dyDescent="0.25"/>
    <row r="22949" x14ac:dyDescent="0.25"/>
    <row r="22950" x14ac:dyDescent="0.25"/>
    <row r="22951" x14ac:dyDescent="0.25"/>
    <row r="22952" x14ac:dyDescent="0.25"/>
    <row r="22953" x14ac:dyDescent="0.25"/>
    <row r="22954" x14ac:dyDescent="0.25"/>
    <row r="22955" x14ac:dyDescent="0.25"/>
    <row r="22956" x14ac:dyDescent="0.25"/>
    <row r="22957" x14ac:dyDescent="0.25"/>
    <row r="22958" x14ac:dyDescent="0.25"/>
    <row r="22959" x14ac:dyDescent="0.25"/>
    <row r="22960" x14ac:dyDescent="0.25"/>
    <row r="22961" x14ac:dyDescent="0.25"/>
    <row r="22962" x14ac:dyDescent="0.25"/>
    <row r="22963" x14ac:dyDescent="0.25"/>
    <row r="22964" x14ac:dyDescent="0.25"/>
    <row r="22965" x14ac:dyDescent="0.25"/>
    <row r="22966" x14ac:dyDescent="0.25"/>
    <row r="22967" x14ac:dyDescent="0.25"/>
    <row r="22968" x14ac:dyDescent="0.25"/>
    <row r="22969" x14ac:dyDescent="0.25"/>
    <row r="22970" x14ac:dyDescent="0.25"/>
    <row r="22971" x14ac:dyDescent="0.25"/>
    <row r="22972" x14ac:dyDescent="0.25"/>
    <row r="22973" x14ac:dyDescent="0.25"/>
    <row r="22974" x14ac:dyDescent="0.25"/>
    <row r="22975" x14ac:dyDescent="0.25"/>
    <row r="22976" x14ac:dyDescent="0.25"/>
    <row r="22977" x14ac:dyDescent="0.25"/>
    <row r="22978" x14ac:dyDescent="0.25"/>
    <row r="22979" x14ac:dyDescent="0.25"/>
    <row r="22980" x14ac:dyDescent="0.25"/>
    <row r="22981" x14ac:dyDescent="0.25"/>
    <row r="22982" x14ac:dyDescent="0.25"/>
    <row r="22983" x14ac:dyDescent="0.25"/>
    <row r="22984" x14ac:dyDescent="0.25"/>
    <row r="22985" x14ac:dyDescent="0.25"/>
    <row r="22986" x14ac:dyDescent="0.25"/>
    <row r="22987" x14ac:dyDescent="0.25"/>
    <row r="22988" x14ac:dyDescent="0.25"/>
    <row r="22989" x14ac:dyDescent="0.25"/>
    <row r="22990" x14ac:dyDescent="0.25"/>
    <row r="22991" x14ac:dyDescent="0.25"/>
    <row r="22992" x14ac:dyDescent="0.25"/>
    <row r="22993" x14ac:dyDescent="0.25"/>
    <row r="22994" x14ac:dyDescent="0.25"/>
    <row r="22995" x14ac:dyDescent="0.25"/>
    <row r="22996" x14ac:dyDescent="0.25"/>
    <row r="22997" x14ac:dyDescent="0.25"/>
    <row r="22998" x14ac:dyDescent="0.25"/>
    <row r="22999" x14ac:dyDescent="0.25"/>
    <row r="23000" x14ac:dyDescent="0.25"/>
    <row r="23001" x14ac:dyDescent="0.25"/>
    <row r="23002" x14ac:dyDescent="0.25"/>
    <row r="23003" x14ac:dyDescent="0.25"/>
    <row r="23004" x14ac:dyDescent="0.25"/>
    <row r="23005" x14ac:dyDescent="0.25"/>
    <row r="23006" x14ac:dyDescent="0.25"/>
    <row r="23007" x14ac:dyDescent="0.25"/>
    <row r="23008" x14ac:dyDescent="0.25"/>
    <row r="23009" x14ac:dyDescent="0.25"/>
    <row r="23010" x14ac:dyDescent="0.25"/>
    <row r="23011" x14ac:dyDescent="0.25"/>
    <row r="23012" x14ac:dyDescent="0.25"/>
    <row r="23013" x14ac:dyDescent="0.25"/>
    <row r="23014" x14ac:dyDescent="0.25"/>
    <row r="23015" x14ac:dyDescent="0.25"/>
    <row r="23016" x14ac:dyDescent="0.25"/>
    <row r="23017" x14ac:dyDescent="0.25"/>
    <row r="23018" x14ac:dyDescent="0.25"/>
    <row r="23019" x14ac:dyDescent="0.25"/>
    <row r="23020" x14ac:dyDescent="0.25"/>
    <row r="23021" x14ac:dyDescent="0.25"/>
    <row r="23022" x14ac:dyDescent="0.25"/>
    <row r="23023" x14ac:dyDescent="0.25"/>
    <row r="23024" x14ac:dyDescent="0.25"/>
    <row r="23025" x14ac:dyDescent="0.25"/>
    <row r="23026" x14ac:dyDescent="0.25"/>
    <row r="23027" x14ac:dyDescent="0.25"/>
    <row r="23028" x14ac:dyDescent="0.25"/>
    <row r="23029" x14ac:dyDescent="0.25"/>
    <row r="23030" x14ac:dyDescent="0.25"/>
    <row r="23031" x14ac:dyDescent="0.25"/>
    <row r="23032" x14ac:dyDescent="0.25"/>
    <row r="23033" x14ac:dyDescent="0.25"/>
    <row r="23034" x14ac:dyDescent="0.25"/>
    <row r="23035" x14ac:dyDescent="0.25"/>
    <row r="23036" x14ac:dyDescent="0.25"/>
    <row r="23037" x14ac:dyDescent="0.25"/>
    <row r="23038" x14ac:dyDescent="0.25"/>
    <row r="23039" x14ac:dyDescent="0.25"/>
    <row r="23040" x14ac:dyDescent="0.25"/>
    <row r="23041" x14ac:dyDescent="0.25"/>
    <row r="23042" x14ac:dyDescent="0.25"/>
    <row r="23043" x14ac:dyDescent="0.25"/>
    <row r="23044" x14ac:dyDescent="0.25"/>
    <row r="23045" x14ac:dyDescent="0.25"/>
    <row r="23046" x14ac:dyDescent="0.25"/>
    <row r="23047" x14ac:dyDescent="0.25"/>
    <row r="23048" x14ac:dyDescent="0.25"/>
    <row r="23049" x14ac:dyDescent="0.25"/>
    <row r="23050" x14ac:dyDescent="0.25"/>
    <row r="23051" x14ac:dyDescent="0.25"/>
    <row r="23052" x14ac:dyDescent="0.25"/>
    <row r="23053" x14ac:dyDescent="0.25"/>
    <row r="23054" x14ac:dyDescent="0.25"/>
    <row r="23055" x14ac:dyDescent="0.25"/>
    <row r="23056" x14ac:dyDescent="0.25"/>
    <row r="23057" x14ac:dyDescent="0.25"/>
    <row r="23058" x14ac:dyDescent="0.25"/>
    <row r="23059" x14ac:dyDescent="0.25"/>
    <row r="23060" x14ac:dyDescent="0.25"/>
    <row r="23061" x14ac:dyDescent="0.25"/>
    <row r="23062" x14ac:dyDescent="0.25"/>
    <row r="23063" x14ac:dyDescent="0.25"/>
    <row r="23064" x14ac:dyDescent="0.25"/>
    <row r="23065" x14ac:dyDescent="0.25"/>
    <row r="23066" x14ac:dyDescent="0.25"/>
    <row r="23067" x14ac:dyDescent="0.25"/>
    <row r="23068" x14ac:dyDescent="0.25"/>
    <row r="23069" x14ac:dyDescent="0.25"/>
    <row r="23070" x14ac:dyDescent="0.25"/>
    <row r="23071" x14ac:dyDescent="0.25"/>
    <row r="23072" x14ac:dyDescent="0.25"/>
    <row r="23073" x14ac:dyDescent="0.25"/>
    <row r="23074" x14ac:dyDescent="0.25"/>
    <row r="23075" x14ac:dyDescent="0.25"/>
    <row r="23076" x14ac:dyDescent="0.25"/>
    <row r="23077" x14ac:dyDescent="0.25"/>
    <row r="23078" x14ac:dyDescent="0.25"/>
    <row r="23079" x14ac:dyDescent="0.25"/>
    <row r="23080" x14ac:dyDescent="0.25"/>
    <row r="23081" x14ac:dyDescent="0.25"/>
    <row r="23082" x14ac:dyDescent="0.25"/>
    <row r="23083" x14ac:dyDescent="0.25"/>
    <row r="23084" x14ac:dyDescent="0.25"/>
    <row r="23085" x14ac:dyDescent="0.25"/>
    <row r="23086" x14ac:dyDescent="0.25"/>
    <row r="23087" x14ac:dyDescent="0.25"/>
    <row r="23088" x14ac:dyDescent="0.25"/>
    <row r="23089" x14ac:dyDescent="0.25"/>
    <row r="23090" x14ac:dyDescent="0.25"/>
    <row r="23091" x14ac:dyDescent="0.25"/>
    <row r="23092" x14ac:dyDescent="0.25"/>
    <row r="23093" x14ac:dyDescent="0.25"/>
    <row r="23094" x14ac:dyDescent="0.25"/>
    <row r="23095" x14ac:dyDescent="0.25"/>
    <row r="23096" x14ac:dyDescent="0.25"/>
    <row r="23097" x14ac:dyDescent="0.25"/>
    <row r="23098" x14ac:dyDescent="0.25"/>
    <row r="23099" x14ac:dyDescent="0.25"/>
    <row r="23100" x14ac:dyDescent="0.25"/>
    <row r="23101" x14ac:dyDescent="0.25"/>
    <row r="23102" x14ac:dyDescent="0.25"/>
    <row r="23103" x14ac:dyDescent="0.25"/>
    <row r="23104" x14ac:dyDescent="0.25"/>
    <row r="23105" x14ac:dyDescent="0.25"/>
    <row r="23106" x14ac:dyDescent="0.25"/>
    <row r="23107" x14ac:dyDescent="0.25"/>
    <row r="23108" x14ac:dyDescent="0.25"/>
    <row r="23109" x14ac:dyDescent="0.25"/>
    <row r="23110" x14ac:dyDescent="0.25"/>
    <row r="23111" x14ac:dyDescent="0.25"/>
    <row r="23112" x14ac:dyDescent="0.25"/>
    <row r="23113" x14ac:dyDescent="0.25"/>
    <row r="23114" x14ac:dyDescent="0.25"/>
    <row r="23115" x14ac:dyDescent="0.25"/>
    <row r="23116" x14ac:dyDescent="0.25"/>
    <row r="23117" x14ac:dyDescent="0.25"/>
    <row r="23118" x14ac:dyDescent="0.25"/>
    <row r="23119" x14ac:dyDescent="0.25"/>
    <row r="23120" x14ac:dyDescent="0.25"/>
    <row r="23121" x14ac:dyDescent="0.25"/>
    <row r="23122" x14ac:dyDescent="0.25"/>
    <row r="23123" x14ac:dyDescent="0.25"/>
    <row r="23124" x14ac:dyDescent="0.25"/>
    <row r="23125" x14ac:dyDescent="0.25"/>
    <row r="23126" x14ac:dyDescent="0.25"/>
    <row r="23127" x14ac:dyDescent="0.25"/>
    <row r="23128" x14ac:dyDescent="0.25"/>
    <row r="23129" x14ac:dyDescent="0.25"/>
    <row r="23130" x14ac:dyDescent="0.25"/>
    <row r="23131" x14ac:dyDescent="0.25"/>
    <row r="23132" x14ac:dyDescent="0.25"/>
    <row r="23133" x14ac:dyDescent="0.25"/>
    <row r="23134" x14ac:dyDescent="0.25"/>
    <row r="23135" x14ac:dyDescent="0.25"/>
    <row r="23136" x14ac:dyDescent="0.25"/>
    <row r="23137" x14ac:dyDescent="0.25"/>
    <row r="23138" x14ac:dyDescent="0.25"/>
    <row r="23139" x14ac:dyDescent="0.25"/>
    <row r="23140" x14ac:dyDescent="0.25"/>
    <row r="23141" x14ac:dyDescent="0.25"/>
    <row r="23142" x14ac:dyDescent="0.25"/>
    <row r="23143" x14ac:dyDescent="0.25"/>
    <row r="23144" x14ac:dyDescent="0.25"/>
    <row r="23145" x14ac:dyDescent="0.25"/>
    <row r="23146" x14ac:dyDescent="0.25"/>
    <row r="23147" x14ac:dyDescent="0.25"/>
    <row r="23148" x14ac:dyDescent="0.25"/>
    <row r="23149" x14ac:dyDescent="0.25"/>
    <row r="23150" x14ac:dyDescent="0.25"/>
    <row r="23151" x14ac:dyDescent="0.25"/>
    <row r="23152" x14ac:dyDescent="0.25"/>
    <row r="23153" x14ac:dyDescent="0.25"/>
    <row r="23154" x14ac:dyDescent="0.25"/>
    <row r="23155" x14ac:dyDescent="0.25"/>
    <row r="23156" x14ac:dyDescent="0.25"/>
    <row r="23157" x14ac:dyDescent="0.25"/>
    <row r="23158" x14ac:dyDescent="0.25"/>
    <row r="23159" x14ac:dyDescent="0.25"/>
    <row r="23160" x14ac:dyDescent="0.25"/>
    <row r="23161" x14ac:dyDescent="0.25"/>
    <row r="23162" x14ac:dyDescent="0.25"/>
    <row r="23163" x14ac:dyDescent="0.25"/>
    <row r="23164" x14ac:dyDescent="0.25"/>
    <row r="23165" x14ac:dyDescent="0.25"/>
    <row r="23166" x14ac:dyDescent="0.25"/>
    <row r="23167" x14ac:dyDescent="0.25"/>
    <row r="23168" x14ac:dyDescent="0.25"/>
    <row r="23169" x14ac:dyDescent="0.25"/>
    <row r="23170" x14ac:dyDescent="0.25"/>
    <row r="23171" x14ac:dyDescent="0.25"/>
    <row r="23172" x14ac:dyDescent="0.25"/>
    <row r="23173" x14ac:dyDescent="0.25"/>
    <row r="23174" x14ac:dyDescent="0.25"/>
    <row r="23175" x14ac:dyDescent="0.25"/>
    <row r="23176" x14ac:dyDescent="0.25"/>
    <row r="23177" x14ac:dyDescent="0.25"/>
    <row r="23178" x14ac:dyDescent="0.25"/>
    <row r="23179" x14ac:dyDescent="0.25"/>
    <row r="23180" x14ac:dyDescent="0.25"/>
    <row r="23181" x14ac:dyDescent="0.25"/>
    <row r="23182" x14ac:dyDescent="0.25"/>
    <row r="23183" x14ac:dyDescent="0.25"/>
    <row r="23184" x14ac:dyDescent="0.25"/>
    <row r="23185" x14ac:dyDescent="0.25"/>
    <row r="23186" x14ac:dyDescent="0.25"/>
    <row r="23187" x14ac:dyDescent="0.25"/>
    <row r="23188" x14ac:dyDescent="0.25"/>
    <row r="23189" x14ac:dyDescent="0.25"/>
    <row r="23190" x14ac:dyDescent="0.25"/>
    <row r="23191" x14ac:dyDescent="0.25"/>
    <row r="23192" x14ac:dyDescent="0.25"/>
    <row r="23193" x14ac:dyDescent="0.25"/>
    <row r="23194" x14ac:dyDescent="0.25"/>
    <row r="23195" x14ac:dyDescent="0.25"/>
    <row r="23196" x14ac:dyDescent="0.25"/>
    <row r="23197" x14ac:dyDescent="0.25"/>
    <row r="23198" x14ac:dyDescent="0.25"/>
    <row r="23199" x14ac:dyDescent="0.25"/>
    <row r="23200" x14ac:dyDescent="0.25"/>
    <row r="23201" x14ac:dyDescent="0.25"/>
    <row r="23202" x14ac:dyDescent="0.25"/>
    <row r="23203" x14ac:dyDescent="0.25"/>
    <row r="23204" x14ac:dyDescent="0.25"/>
    <row r="23205" x14ac:dyDescent="0.25"/>
    <row r="23206" x14ac:dyDescent="0.25"/>
    <row r="23207" x14ac:dyDescent="0.25"/>
    <row r="23208" x14ac:dyDescent="0.25"/>
    <row r="23209" x14ac:dyDescent="0.25"/>
    <row r="23210" x14ac:dyDescent="0.25"/>
    <row r="23211" x14ac:dyDescent="0.25"/>
    <row r="23212" x14ac:dyDescent="0.25"/>
    <row r="23213" x14ac:dyDescent="0.25"/>
    <row r="23214" x14ac:dyDescent="0.25"/>
    <row r="23215" x14ac:dyDescent="0.25"/>
    <row r="23216" x14ac:dyDescent="0.25"/>
    <row r="23217" x14ac:dyDescent="0.25"/>
    <row r="23218" x14ac:dyDescent="0.25"/>
    <row r="23219" x14ac:dyDescent="0.25"/>
    <row r="23220" x14ac:dyDescent="0.25"/>
    <row r="23221" x14ac:dyDescent="0.25"/>
    <row r="23222" x14ac:dyDescent="0.25"/>
    <row r="23223" x14ac:dyDescent="0.25"/>
    <row r="23224" x14ac:dyDescent="0.25"/>
    <row r="23225" x14ac:dyDescent="0.25"/>
    <row r="23226" x14ac:dyDescent="0.25"/>
    <row r="23227" x14ac:dyDescent="0.25"/>
    <row r="23228" x14ac:dyDescent="0.25"/>
    <row r="23229" x14ac:dyDescent="0.25"/>
    <row r="23230" x14ac:dyDescent="0.25"/>
    <row r="23231" x14ac:dyDescent="0.25"/>
    <row r="23232" x14ac:dyDescent="0.25"/>
    <row r="23233" x14ac:dyDescent="0.25"/>
    <row r="23234" x14ac:dyDescent="0.25"/>
    <row r="23235" x14ac:dyDescent="0.25"/>
    <row r="23236" x14ac:dyDescent="0.25"/>
    <row r="23237" x14ac:dyDescent="0.25"/>
    <row r="23238" x14ac:dyDescent="0.25"/>
    <row r="23239" x14ac:dyDescent="0.25"/>
    <row r="23240" x14ac:dyDescent="0.25"/>
    <row r="23241" x14ac:dyDescent="0.25"/>
    <row r="23242" x14ac:dyDescent="0.25"/>
    <row r="23243" x14ac:dyDescent="0.25"/>
    <row r="23244" x14ac:dyDescent="0.25"/>
    <row r="23245" x14ac:dyDescent="0.25"/>
    <row r="23246" x14ac:dyDescent="0.25"/>
    <row r="23247" x14ac:dyDescent="0.25"/>
    <row r="23248" x14ac:dyDescent="0.25"/>
    <row r="23249" x14ac:dyDescent="0.25"/>
    <row r="23250" x14ac:dyDescent="0.25"/>
    <row r="23251" x14ac:dyDescent="0.25"/>
    <row r="23252" x14ac:dyDescent="0.25"/>
    <row r="23253" x14ac:dyDescent="0.25"/>
    <row r="23254" x14ac:dyDescent="0.25"/>
    <row r="23255" x14ac:dyDescent="0.25"/>
    <row r="23256" x14ac:dyDescent="0.25"/>
    <row r="23257" x14ac:dyDescent="0.25"/>
    <row r="23258" x14ac:dyDescent="0.25"/>
    <row r="23259" x14ac:dyDescent="0.25"/>
    <row r="23260" x14ac:dyDescent="0.25"/>
    <row r="23261" x14ac:dyDescent="0.25"/>
    <row r="23262" x14ac:dyDescent="0.25"/>
    <row r="23263" x14ac:dyDescent="0.25"/>
    <row r="23264" x14ac:dyDescent="0.25"/>
    <row r="23265" x14ac:dyDescent="0.25"/>
    <row r="23266" x14ac:dyDescent="0.25"/>
    <row r="23267" x14ac:dyDescent="0.25"/>
    <row r="23268" x14ac:dyDescent="0.25"/>
    <row r="23269" x14ac:dyDescent="0.25"/>
    <row r="23270" x14ac:dyDescent="0.25"/>
    <row r="23271" x14ac:dyDescent="0.25"/>
    <row r="23272" x14ac:dyDescent="0.25"/>
    <row r="23273" x14ac:dyDescent="0.25"/>
    <row r="23274" x14ac:dyDescent="0.25"/>
    <row r="23275" x14ac:dyDescent="0.25"/>
    <row r="23276" x14ac:dyDescent="0.25"/>
    <row r="23277" x14ac:dyDescent="0.25"/>
    <row r="23278" x14ac:dyDescent="0.25"/>
    <row r="23279" x14ac:dyDescent="0.25"/>
    <row r="23280" x14ac:dyDescent="0.25"/>
    <row r="23281" x14ac:dyDescent="0.25"/>
    <row r="23282" x14ac:dyDescent="0.25"/>
    <row r="23283" x14ac:dyDescent="0.25"/>
    <row r="23284" x14ac:dyDescent="0.25"/>
    <row r="23285" x14ac:dyDescent="0.25"/>
    <row r="23286" x14ac:dyDescent="0.25"/>
    <row r="23287" x14ac:dyDescent="0.25"/>
    <row r="23288" x14ac:dyDescent="0.25"/>
    <row r="23289" x14ac:dyDescent="0.25"/>
    <row r="23290" x14ac:dyDescent="0.25"/>
    <row r="23291" x14ac:dyDescent="0.25"/>
    <row r="23292" x14ac:dyDescent="0.25"/>
    <row r="23293" x14ac:dyDescent="0.25"/>
    <row r="23294" x14ac:dyDescent="0.25"/>
    <row r="23295" x14ac:dyDescent="0.25"/>
    <row r="23296" x14ac:dyDescent="0.25"/>
    <row r="23297" x14ac:dyDescent="0.25"/>
    <row r="23298" x14ac:dyDescent="0.25"/>
    <row r="23299" x14ac:dyDescent="0.25"/>
    <row r="23300" x14ac:dyDescent="0.25"/>
    <row r="23301" x14ac:dyDescent="0.25"/>
    <row r="23302" x14ac:dyDescent="0.25"/>
    <row r="23303" x14ac:dyDescent="0.25"/>
    <row r="23304" x14ac:dyDescent="0.25"/>
    <row r="23305" x14ac:dyDescent="0.25"/>
    <row r="23306" x14ac:dyDescent="0.25"/>
    <row r="23307" x14ac:dyDescent="0.25"/>
    <row r="23308" x14ac:dyDescent="0.25"/>
    <row r="23309" x14ac:dyDescent="0.25"/>
    <row r="23310" x14ac:dyDescent="0.25"/>
    <row r="23311" x14ac:dyDescent="0.25"/>
    <row r="23312" x14ac:dyDescent="0.25"/>
    <row r="23313" x14ac:dyDescent="0.25"/>
    <row r="23314" x14ac:dyDescent="0.25"/>
    <row r="23315" x14ac:dyDescent="0.25"/>
    <row r="23316" x14ac:dyDescent="0.25"/>
    <row r="23317" x14ac:dyDescent="0.25"/>
    <row r="23318" x14ac:dyDescent="0.25"/>
    <row r="23319" x14ac:dyDescent="0.25"/>
    <row r="23320" x14ac:dyDescent="0.25"/>
    <row r="23321" x14ac:dyDescent="0.25"/>
    <row r="23322" x14ac:dyDescent="0.25"/>
    <row r="23323" x14ac:dyDescent="0.25"/>
    <row r="23324" x14ac:dyDescent="0.25"/>
    <row r="23325" x14ac:dyDescent="0.25"/>
    <row r="23326" x14ac:dyDescent="0.25"/>
    <row r="23327" x14ac:dyDescent="0.25"/>
    <row r="23328" x14ac:dyDescent="0.25"/>
    <row r="23329" x14ac:dyDescent="0.25"/>
    <row r="23330" x14ac:dyDescent="0.25"/>
    <row r="23331" x14ac:dyDescent="0.25"/>
    <row r="23332" x14ac:dyDescent="0.25"/>
    <row r="23333" x14ac:dyDescent="0.25"/>
    <row r="23334" x14ac:dyDescent="0.25"/>
    <row r="23335" x14ac:dyDescent="0.25"/>
    <row r="23336" x14ac:dyDescent="0.25"/>
    <row r="23337" x14ac:dyDescent="0.25"/>
    <row r="23338" x14ac:dyDescent="0.25"/>
    <row r="23339" x14ac:dyDescent="0.25"/>
    <row r="23340" x14ac:dyDescent="0.25"/>
    <row r="23341" x14ac:dyDescent="0.25"/>
    <row r="23342" x14ac:dyDescent="0.25"/>
    <row r="23343" x14ac:dyDescent="0.25"/>
    <row r="23344" x14ac:dyDescent="0.25"/>
    <row r="23345" x14ac:dyDescent="0.25"/>
    <row r="23346" x14ac:dyDescent="0.25"/>
    <row r="23347" x14ac:dyDescent="0.25"/>
    <row r="23348" x14ac:dyDescent="0.25"/>
    <row r="23349" x14ac:dyDescent="0.25"/>
    <row r="23350" x14ac:dyDescent="0.25"/>
    <row r="23351" x14ac:dyDescent="0.25"/>
    <row r="23352" x14ac:dyDescent="0.25"/>
    <row r="23353" x14ac:dyDescent="0.25"/>
    <row r="23354" x14ac:dyDescent="0.25"/>
    <row r="23355" x14ac:dyDescent="0.25"/>
    <row r="23356" x14ac:dyDescent="0.25"/>
    <row r="23357" x14ac:dyDescent="0.25"/>
    <row r="23358" x14ac:dyDescent="0.25"/>
    <row r="23359" x14ac:dyDescent="0.25"/>
    <row r="23360" x14ac:dyDescent="0.25"/>
    <row r="23361" x14ac:dyDescent="0.25"/>
    <row r="23362" x14ac:dyDescent="0.25"/>
    <row r="23363" x14ac:dyDescent="0.25"/>
    <row r="23364" x14ac:dyDescent="0.25"/>
    <row r="23365" x14ac:dyDescent="0.25"/>
    <row r="23366" x14ac:dyDescent="0.25"/>
    <row r="23367" x14ac:dyDescent="0.25"/>
    <row r="23368" x14ac:dyDescent="0.25"/>
    <row r="23369" x14ac:dyDescent="0.25"/>
    <row r="23370" x14ac:dyDescent="0.25"/>
    <row r="23371" x14ac:dyDescent="0.25"/>
    <row r="23372" x14ac:dyDescent="0.25"/>
    <row r="23373" x14ac:dyDescent="0.25"/>
    <row r="23374" x14ac:dyDescent="0.25"/>
    <row r="23375" x14ac:dyDescent="0.25"/>
    <row r="23376" x14ac:dyDescent="0.25"/>
    <row r="23377" x14ac:dyDescent="0.25"/>
    <row r="23378" x14ac:dyDescent="0.25"/>
    <row r="23379" x14ac:dyDescent="0.25"/>
    <row r="23380" x14ac:dyDescent="0.25"/>
    <row r="23381" x14ac:dyDescent="0.25"/>
    <row r="23382" x14ac:dyDescent="0.25"/>
    <row r="23383" x14ac:dyDescent="0.25"/>
    <row r="23384" x14ac:dyDescent="0.25"/>
    <row r="23385" x14ac:dyDescent="0.25"/>
    <row r="23386" x14ac:dyDescent="0.25"/>
    <row r="23387" x14ac:dyDescent="0.25"/>
    <row r="23388" x14ac:dyDescent="0.25"/>
    <row r="23389" x14ac:dyDescent="0.25"/>
    <row r="23390" x14ac:dyDescent="0.25"/>
    <row r="23391" x14ac:dyDescent="0.25"/>
    <row r="23392" x14ac:dyDescent="0.25"/>
    <row r="23393" x14ac:dyDescent="0.25"/>
    <row r="23394" x14ac:dyDescent="0.25"/>
    <row r="23395" x14ac:dyDescent="0.25"/>
    <row r="23396" x14ac:dyDescent="0.25"/>
    <row r="23397" x14ac:dyDescent="0.25"/>
    <row r="23398" x14ac:dyDescent="0.25"/>
    <row r="23399" x14ac:dyDescent="0.25"/>
    <row r="23400" x14ac:dyDescent="0.25"/>
    <row r="23401" x14ac:dyDescent="0.25"/>
    <row r="23402" x14ac:dyDescent="0.25"/>
    <row r="23403" x14ac:dyDescent="0.25"/>
    <row r="23404" x14ac:dyDescent="0.25"/>
    <row r="23405" x14ac:dyDescent="0.25"/>
    <row r="23406" x14ac:dyDescent="0.25"/>
    <row r="23407" x14ac:dyDescent="0.25"/>
    <row r="23408" x14ac:dyDescent="0.25"/>
    <row r="23409" x14ac:dyDescent="0.25"/>
    <row r="23410" x14ac:dyDescent="0.25"/>
    <row r="23411" x14ac:dyDescent="0.25"/>
    <row r="23412" x14ac:dyDescent="0.25"/>
    <row r="23413" x14ac:dyDescent="0.25"/>
    <row r="23414" x14ac:dyDescent="0.25"/>
    <row r="23415" x14ac:dyDescent="0.25"/>
    <row r="23416" x14ac:dyDescent="0.25"/>
    <row r="23417" x14ac:dyDescent="0.25"/>
    <row r="23418" x14ac:dyDescent="0.25"/>
    <row r="23419" x14ac:dyDescent="0.25"/>
    <row r="23420" x14ac:dyDescent="0.25"/>
    <row r="23421" x14ac:dyDescent="0.25"/>
    <row r="23422" x14ac:dyDescent="0.25"/>
    <row r="23423" x14ac:dyDescent="0.25"/>
    <row r="23424" x14ac:dyDescent="0.25"/>
    <row r="23425" x14ac:dyDescent="0.25"/>
    <row r="23426" x14ac:dyDescent="0.25"/>
    <row r="23427" x14ac:dyDescent="0.25"/>
    <row r="23428" x14ac:dyDescent="0.25"/>
    <row r="23429" x14ac:dyDescent="0.25"/>
    <row r="23430" x14ac:dyDescent="0.25"/>
    <row r="23431" x14ac:dyDescent="0.25"/>
    <row r="23432" x14ac:dyDescent="0.25"/>
    <row r="23433" x14ac:dyDescent="0.25"/>
    <row r="23434" x14ac:dyDescent="0.25"/>
    <row r="23435" x14ac:dyDescent="0.25"/>
    <row r="23436" x14ac:dyDescent="0.25"/>
    <row r="23437" x14ac:dyDescent="0.25"/>
    <row r="23438" x14ac:dyDescent="0.25"/>
    <row r="23439" x14ac:dyDescent="0.25"/>
    <row r="23440" x14ac:dyDescent="0.25"/>
    <row r="23441" x14ac:dyDescent="0.25"/>
    <row r="23442" x14ac:dyDescent="0.25"/>
    <row r="23443" x14ac:dyDescent="0.25"/>
    <row r="23444" x14ac:dyDescent="0.25"/>
    <row r="23445" x14ac:dyDescent="0.25"/>
    <row r="23446" x14ac:dyDescent="0.25"/>
    <row r="23447" x14ac:dyDescent="0.25"/>
    <row r="23448" x14ac:dyDescent="0.25"/>
    <row r="23449" x14ac:dyDescent="0.25"/>
    <row r="23450" x14ac:dyDescent="0.25"/>
    <row r="23451" x14ac:dyDescent="0.25"/>
    <row r="23452" x14ac:dyDescent="0.25"/>
    <row r="23453" x14ac:dyDescent="0.25"/>
    <row r="23454" x14ac:dyDescent="0.25"/>
    <row r="23455" x14ac:dyDescent="0.25"/>
    <row r="23456" x14ac:dyDescent="0.25"/>
    <row r="23457" x14ac:dyDescent="0.25"/>
    <row r="23458" x14ac:dyDescent="0.25"/>
    <row r="23459" x14ac:dyDescent="0.25"/>
    <row r="23460" x14ac:dyDescent="0.25"/>
    <row r="23461" x14ac:dyDescent="0.25"/>
    <row r="23462" x14ac:dyDescent="0.25"/>
    <row r="23463" x14ac:dyDescent="0.25"/>
    <row r="23464" x14ac:dyDescent="0.25"/>
    <row r="23465" x14ac:dyDescent="0.25"/>
    <row r="23466" x14ac:dyDescent="0.25"/>
    <row r="23467" x14ac:dyDescent="0.25"/>
    <row r="23468" x14ac:dyDescent="0.25"/>
    <row r="23469" x14ac:dyDescent="0.25"/>
    <row r="23470" x14ac:dyDescent="0.25"/>
    <row r="23471" x14ac:dyDescent="0.25"/>
    <row r="23472" x14ac:dyDescent="0.25"/>
    <row r="23473" x14ac:dyDescent="0.25"/>
    <row r="23474" x14ac:dyDescent="0.25"/>
    <row r="23475" x14ac:dyDescent="0.25"/>
    <row r="23476" x14ac:dyDescent="0.25"/>
    <row r="23477" x14ac:dyDescent="0.25"/>
    <row r="23478" x14ac:dyDescent="0.25"/>
    <row r="23479" x14ac:dyDescent="0.25"/>
    <row r="23480" x14ac:dyDescent="0.25"/>
    <row r="23481" x14ac:dyDescent="0.25"/>
    <row r="23482" x14ac:dyDescent="0.25"/>
    <row r="23483" x14ac:dyDescent="0.25"/>
    <row r="23484" x14ac:dyDescent="0.25"/>
    <row r="23485" x14ac:dyDescent="0.25"/>
    <row r="23486" x14ac:dyDescent="0.25"/>
    <row r="23487" x14ac:dyDescent="0.25"/>
    <row r="23488" x14ac:dyDescent="0.25"/>
    <row r="23489" x14ac:dyDescent="0.25"/>
    <row r="23490" x14ac:dyDescent="0.25"/>
    <row r="23491" x14ac:dyDescent="0.25"/>
    <row r="23492" x14ac:dyDescent="0.25"/>
    <row r="23493" x14ac:dyDescent="0.25"/>
    <row r="23494" x14ac:dyDescent="0.25"/>
    <row r="23495" x14ac:dyDescent="0.25"/>
    <row r="23496" x14ac:dyDescent="0.25"/>
    <row r="23497" x14ac:dyDescent="0.25"/>
    <row r="23498" x14ac:dyDescent="0.25"/>
    <row r="23499" x14ac:dyDescent="0.25"/>
    <row r="23500" x14ac:dyDescent="0.25"/>
    <row r="23501" x14ac:dyDescent="0.25"/>
    <row r="23502" x14ac:dyDescent="0.25"/>
    <row r="23503" x14ac:dyDescent="0.25"/>
    <row r="23504" x14ac:dyDescent="0.25"/>
    <row r="23505" x14ac:dyDescent="0.25"/>
    <row r="23506" x14ac:dyDescent="0.25"/>
    <row r="23507" x14ac:dyDescent="0.25"/>
    <row r="23508" x14ac:dyDescent="0.25"/>
    <row r="23509" x14ac:dyDescent="0.25"/>
    <row r="23510" x14ac:dyDescent="0.25"/>
    <row r="23511" x14ac:dyDescent="0.25"/>
    <row r="23512" x14ac:dyDescent="0.25"/>
    <row r="23513" x14ac:dyDescent="0.25"/>
    <row r="23514" x14ac:dyDescent="0.25"/>
    <row r="23515" x14ac:dyDescent="0.25"/>
    <row r="23516" x14ac:dyDescent="0.25"/>
    <row r="23517" x14ac:dyDescent="0.25"/>
    <row r="23518" x14ac:dyDescent="0.25"/>
    <row r="23519" x14ac:dyDescent="0.25"/>
    <row r="23520" x14ac:dyDescent="0.25"/>
    <row r="23521" x14ac:dyDescent="0.25"/>
    <row r="23522" x14ac:dyDescent="0.25"/>
    <row r="23523" x14ac:dyDescent="0.25"/>
    <row r="23524" x14ac:dyDescent="0.25"/>
    <row r="23525" x14ac:dyDescent="0.25"/>
    <row r="23526" x14ac:dyDescent="0.25"/>
    <row r="23527" x14ac:dyDescent="0.25"/>
    <row r="23528" x14ac:dyDescent="0.25"/>
    <row r="23529" x14ac:dyDescent="0.25"/>
    <row r="23530" x14ac:dyDescent="0.25"/>
    <row r="23531" x14ac:dyDescent="0.25"/>
    <row r="23532" x14ac:dyDescent="0.25"/>
    <row r="23533" x14ac:dyDescent="0.25"/>
    <row r="23534" x14ac:dyDescent="0.25"/>
    <row r="23535" x14ac:dyDescent="0.25"/>
    <row r="23536" x14ac:dyDescent="0.25"/>
    <row r="23537" x14ac:dyDescent="0.25"/>
    <row r="23538" x14ac:dyDescent="0.25"/>
    <row r="23539" x14ac:dyDescent="0.25"/>
    <row r="23540" x14ac:dyDescent="0.25"/>
    <row r="23541" x14ac:dyDescent="0.25"/>
    <row r="23542" x14ac:dyDescent="0.25"/>
    <row r="23543" x14ac:dyDescent="0.25"/>
    <row r="23544" x14ac:dyDescent="0.25"/>
    <row r="23545" x14ac:dyDescent="0.25"/>
    <row r="23546" x14ac:dyDescent="0.25"/>
    <row r="23547" x14ac:dyDescent="0.25"/>
    <row r="23548" x14ac:dyDescent="0.25"/>
    <row r="23549" x14ac:dyDescent="0.25"/>
    <row r="23550" x14ac:dyDescent="0.25"/>
    <row r="23551" x14ac:dyDescent="0.25"/>
    <row r="23552" x14ac:dyDescent="0.25"/>
    <row r="23553" x14ac:dyDescent="0.25"/>
    <row r="23554" x14ac:dyDescent="0.25"/>
    <row r="23555" x14ac:dyDescent="0.25"/>
    <row r="23556" x14ac:dyDescent="0.25"/>
    <row r="23557" x14ac:dyDescent="0.25"/>
    <row r="23558" x14ac:dyDescent="0.25"/>
    <row r="23559" x14ac:dyDescent="0.25"/>
    <row r="23560" x14ac:dyDescent="0.25"/>
    <row r="23561" x14ac:dyDescent="0.25"/>
    <row r="23562" x14ac:dyDescent="0.25"/>
    <row r="23563" x14ac:dyDescent="0.25"/>
    <row r="23564" x14ac:dyDescent="0.25"/>
    <row r="23565" x14ac:dyDescent="0.25"/>
    <row r="23566" x14ac:dyDescent="0.25"/>
    <row r="23567" x14ac:dyDescent="0.25"/>
    <row r="23568" x14ac:dyDescent="0.25"/>
    <row r="23569" x14ac:dyDescent="0.25"/>
    <row r="23570" x14ac:dyDescent="0.25"/>
    <row r="23571" x14ac:dyDescent="0.25"/>
    <row r="23572" x14ac:dyDescent="0.25"/>
    <row r="23573" x14ac:dyDescent="0.25"/>
    <row r="23574" x14ac:dyDescent="0.25"/>
    <row r="23575" x14ac:dyDescent="0.25"/>
    <row r="23576" x14ac:dyDescent="0.25"/>
    <row r="23577" x14ac:dyDescent="0.25"/>
    <row r="23578" x14ac:dyDescent="0.25"/>
    <row r="23579" x14ac:dyDescent="0.25"/>
    <row r="23580" x14ac:dyDescent="0.25"/>
    <row r="23581" x14ac:dyDescent="0.25"/>
    <row r="23582" x14ac:dyDescent="0.25"/>
    <row r="23583" x14ac:dyDescent="0.25"/>
    <row r="23584" x14ac:dyDescent="0.25"/>
    <row r="23585" x14ac:dyDescent="0.25"/>
    <row r="23586" x14ac:dyDescent="0.25"/>
    <row r="23587" x14ac:dyDescent="0.25"/>
    <row r="23588" x14ac:dyDescent="0.25"/>
    <row r="23589" x14ac:dyDescent="0.25"/>
    <row r="23590" x14ac:dyDescent="0.25"/>
    <row r="23591" x14ac:dyDescent="0.25"/>
    <row r="23592" x14ac:dyDescent="0.25"/>
    <row r="23593" x14ac:dyDescent="0.25"/>
    <row r="23594" x14ac:dyDescent="0.25"/>
    <row r="23595" x14ac:dyDescent="0.25"/>
    <row r="23596" x14ac:dyDescent="0.25"/>
    <row r="23597" x14ac:dyDescent="0.25"/>
    <row r="23598" x14ac:dyDescent="0.25"/>
    <row r="23599" x14ac:dyDescent="0.25"/>
    <row r="23600" x14ac:dyDescent="0.25"/>
    <row r="23601" x14ac:dyDescent="0.25"/>
    <row r="23602" x14ac:dyDescent="0.25"/>
    <row r="23603" x14ac:dyDescent="0.25"/>
    <row r="23604" x14ac:dyDescent="0.25"/>
    <row r="23605" x14ac:dyDescent="0.25"/>
    <row r="23606" x14ac:dyDescent="0.25"/>
    <row r="23607" x14ac:dyDescent="0.25"/>
    <row r="23608" x14ac:dyDescent="0.25"/>
    <row r="23609" x14ac:dyDescent="0.25"/>
    <row r="23610" x14ac:dyDescent="0.25"/>
    <row r="23611" x14ac:dyDescent="0.25"/>
    <row r="23612" x14ac:dyDescent="0.25"/>
    <row r="23613" x14ac:dyDescent="0.25"/>
    <row r="23614" x14ac:dyDescent="0.25"/>
    <row r="23615" x14ac:dyDescent="0.25"/>
    <row r="23616" x14ac:dyDescent="0.25"/>
    <row r="23617" x14ac:dyDescent="0.25"/>
    <row r="23618" x14ac:dyDescent="0.25"/>
    <row r="23619" x14ac:dyDescent="0.25"/>
    <row r="23620" x14ac:dyDescent="0.25"/>
    <row r="23621" x14ac:dyDescent="0.25"/>
    <row r="23622" x14ac:dyDescent="0.25"/>
    <row r="23623" x14ac:dyDescent="0.25"/>
    <row r="23624" x14ac:dyDescent="0.25"/>
    <row r="23625" x14ac:dyDescent="0.25"/>
    <row r="23626" x14ac:dyDescent="0.25"/>
    <row r="23627" x14ac:dyDescent="0.25"/>
    <row r="23628" x14ac:dyDescent="0.25"/>
    <row r="23629" x14ac:dyDescent="0.25"/>
    <row r="23630" x14ac:dyDescent="0.25"/>
    <row r="23631" x14ac:dyDescent="0.25"/>
    <row r="23632" x14ac:dyDescent="0.25"/>
    <row r="23633" x14ac:dyDescent="0.25"/>
    <row r="23634" x14ac:dyDescent="0.25"/>
    <row r="23635" x14ac:dyDescent="0.25"/>
    <row r="23636" x14ac:dyDescent="0.25"/>
    <row r="23637" x14ac:dyDescent="0.25"/>
    <row r="23638" x14ac:dyDescent="0.25"/>
    <row r="23639" x14ac:dyDescent="0.25"/>
    <row r="23640" x14ac:dyDescent="0.25"/>
    <row r="23641" x14ac:dyDescent="0.25"/>
    <row r="23642" x14ac:dyDescent="0.25"/>
    <row r="23643" x14ac:dyDescent="0.25"/>
    <row r="23644" x14ac:dyDescent="0.25"/>
    <row r="23645" x14ac:dyDescent="0.25"/>
    <row r="23646" x14ac:dyDescent="0.25"/>
    <row r="23647" x14ac:dyDescent="0.25"/>
    <row r="23648" x14ac:dyDescent="0.25"/>
    <row r="23649" x14ac:dyDescent="0.25"/>
    <row r="23650" x14ac:dyDescent="0.25"/>
    <row r="23651" x14ac:dyDescent="0.25"/>
    <row r="23652" x14ac:dyDescent="0.25"/>
    <row r="23653" x14ac:dyDescent="0.25"/>
    <row r="23654" x14ac:dyDescent="0.25"/>
    <row r="23655" x14ac:dyDescent="0.25"/>
    <row r="23656" x14ac:dyDescent="0.25"/>
    <row r="23657" x14ac:dyDescent="0.25"/>
    <row r="23658" x14ac:dyDescent="0.25"/>
    <row r="23659" x14ac:dyDescent="0.25"/>
    <row r="23660" x14ac:dyDescent="0.25"/>
    <row r="23661" x14ac:dyDescent="0.25"/>
    <row r="23662" x14ac:dyDescent="0.25"/>
    <row r="23663" x14ac:dyDescent="0.25"/>
    <row r="23664" x14ac:dyDescent="0.25"/>
    <row r="23665" x14ac:dyDescent="0.25"/>
    <row r="23666" x14ac:dyDescent="0.25"/>
    <row r="23667" x14ac:dyDescent="0.25"/>
    <row r="23668" x14ac:dyDescent="0.25"/>
    <row r="23669" x14ac:dyDescent="0.25"/>
    <row r="23670" x14ac:dyDescent="0.25"/>
    <row r="23671" x14ac:dyDescent="0.25"/>
    <row r="23672" x14ac:dyDescent="0.25"/>
    <row r="23673" x14ac:dyDescent="0.25"/>
    <row r="23674" x14ac:dyDescent="0.25"/>
    <row r="23675" x14ac:dyDescent="0.25"/>
    <row r="23676" x14ac:dyDescent="0.25"/>
    <row r="23677" x14ac:dyDescent="0.25"/>
    <row r="23678" x14ac:dyDescent="0.25"/>
    <row r="23679" x14ac:dyDescent="0.25"/>
    <row r="23680" x14ac:dyDescent="0.25"/>
    <row r="23681" x14ac:dyDescent="0.25"/>
    <row r="23682" x14ac:dyDescent="0.25"/>
    <row r="23683" x14ac:dyDescent="0.25"/>
    <row r="23684" x14ac:dyDescent="0.25"/>
    <row r="23685" x14ac:dyDescent="0.25"/>
    <row r="23686" x14ac:dyDescent="0.25"/>
    <row r="23687" x14ac:dyDescent="0.25"/>
    <row r="23688" x14ac:dyDescent="0.25"/>
    <row r="23689" x14ac:dyDescent="0.25"/>
    <row r="23690" x14ac:dyDescent="0.25"/>
    <row r="23691" x14ac:dyDescent="0.25"/>
    <row r="23692" x14ac:dyDescent="0.25"/>
    <row r="23693" x14ac:dyDescent="0.25"/>
    <row r="23694" x14ac:dyDescent="0.25"/>
    <row r="23695" x14ac:dyDescent="0.25"/>
    <row r="23696" x14ac:dyDescent="0.25"/>
    <row r="23697" x14ac:dyDescent="0.25"/>
    <row r="23698" x14ac:dyDescent="0.25"/>
    <row r="23699" x14ac:dyDescent="0.25"/>
    <row r="23700" x14ac:dyDescent="0.25"/>
    <row r="23701" x14ac:dyDescent="0.25"/>
    <row r="23702" x14ac:dyDescent="0.25"/>
    <row r="23703" x14ac:dyDescent="0.25"/>
    <row r="23704" x14ac:dyDescent="0.25"/>
    <row r="23705" x14ac:dyDescent="0.25"/>
    <row r="23706" x14ac:dyDescent="0.25"/>
    <row r="23707" x14ac:dyDescent="0.25"/>
    <row r="23708" x14ac:dyDescent="0.25"/>
    <row r="23709" x14ac:dyDescent="0.25"/>
    <row r="23710" x14ac:dyDescent="0.25"/>
    <row r="23711" x14ac:dyDescent="0.25"/>
    <row r="23712" x14ac:dyDescent="0.25"/>
    <row r="23713" x14ac:dyDescent="0.25"/>
    <row r="23714" x14ac:dyDescent="0.25"/>
    <row r="23715" x14ac:dyDescent="0.25"/>
    <row r="23716" x14ac:dyDescent="0.25"/>
    <row r="23717" x14ac:dyDescent="0.25"/>
    <row r="23718" x14ac:dyDescent="0.25"/>
    <row r="23719" x14ac:dyDescent="0.25"/>
    <row r="23720" x14ac:dyDescent="0.25"/>
    <row r="23721" x14ac:dyDescent="0.25"/>
    <row r="23722" x14ac:dyDescent="0.25"/>
    <row r="23723" x14ac:dyDescent="0.25"/>
    <row r="23724" x14ac:dyDescent="0.25"/>
    <row r="23725" x14ac:dyDescent="0.25"/>
    <row r="23726" x14ac:dyDescent="0.25"/>
    <row r="23727" x14ac:dyDescent="0.25"/>
    <row r="23728" x14ac:dyDescent="0.25"/>
    <row r="23729" x14ac:dyDescent="0.25"/>
    <row r="23730" x14ac:dyDescent="0.25"/>
    <row r="23731" x14ac:dyDescent="0.25"/>
    <row r="23732" x14ac:dyDescent="0.25"/>
    <row r="23733" x14ac:dyDescent="0.25"/>
    <row r="23734" x14ac:dyDescent="0.25"/>
    <row r="23735" x14ac:dyDescent="0.25"/>
    <row r="23736" x14ac:dyDescent="0.25"/>
    <row r="23737" x14ac:dyDescent="0.25"/>
    <row r="23738" x14ac:dyDescent="0.25"/>
    <row r="23739" x14ac:dyDescent="0.25"/>
    <row r="23740" x14ac:dyDescent="0.25"/>
    <row r="23741" x14ac:dyDescent="0.25"/>
    <row r="23742" x14ac:dyDescent="0.25"/>
    <row r="23743" x14ac:dyDescent="0.25"/>
    <row r="23744" x14ac:dyDescent="0.25"/>
    <row r="23745" x14ac:dyDescent="0.25"/>
    <row r="23746" x14ac:dyDescent="0.25"/>
    <row r="23747" x14ac:dyDescent="0.25"/>
    <row r="23748" x14ac:dyDescent="0.25"/>
    <row r="23749" x14ac:dyDescent="0.25"/>
    <row r="23750" x14ac:dyDescent="0.25"/>
    <row r="23751" x14ac:dyDescent="0.25"/>
    <row r="23752" x14ac:dyDescent="0.25"/>
    <row r="23753" x14ac:dyDescent="0.25"/>
    <row r="23754" x14ac:dyDescent="0.25"/>
    <row r="23755" x14ac:dyDescent="0.25"/>
    <row r="23756" x14ac:dyDescent="0.25"/>
    <row r="23757" x14ac:dyDescent="0.25"/>
    <row r="23758" x14ac:dyDescent="0.25"/>
    <row r="23759" x14ac:dyDescent="0.25"/>
    <row r="23760" x14ac:dyDescent="0.25"/>
    <row r="23761" x14ac:dyDescent="0.25"/>
    <row r="23762" x14ac:dyDescent="0.25"/>
    <row r="23763" x14ac:dyDescent="0.25"/>
    <row r="23764" x14ac:dyDescent="0.25"/>
    <row r="23765" x14ac:dyDescent="0.25"/>
    <row r="23766" x14ac:dyDescent="0.25"/>
    <row r="23767" x14ac:dyDescent="0.25"/>
    <row r="23768" x14ac:dyDescent="0.25"/>
    <row r="23769" x14ac:dyDescent="0.25"/>
    <row r="23770" x14ac:dyDescent="0.25"/>
    <row r="23771" x14ac:dyDescent="0.25"/>
    <row r="23772" x14ac:dyDescent="0.25"/>
    <row r="23773" x14ac:dyDescent="0.25"/>
    <row r="23774" x14ac:dyDescent="0.25"/>
    <row r="23775" x14ac:dyDescent="0.25"/>
    <row r="23776" x14ac:dyDescent="0.25"/>
    <row r="23777" x14ac:dyDescent="0.25"/>
    <row r="23778" x14ac:dyDescent="0.25"/>
    <row r="23779" x14ac:dyDescent="0.25"/>
    <row r="23780" x14ac:dyDescent="0.25"/>
    <row r="23781" x14ac:dyDescent="0.25"/>
    <row r="23782" x14ac:dyDescent="0.25"/>
    <row r="23783" x14ac:dyDescent="0.25"/>
    <row r="23784" x14ac:dyDescent="0.25"/>
    <row r="23785" x14ac:dyDescent="0.25"/>
    <row r="23786" x14ac:dyDescent="0.25"/>
    <row r="23787" x14ac:dyDescent="0.25"/>
    <row r="23788" x14ac:dyDescent="0.25"/>
    <row r="23789" x14ac:dyDescent="0.25"/>
    <row r="23790" x14ac:dyDescent="0.25"/>
    <row r="23791" x14ac:dyDescent="0.25"/>
    <row r="23792" x14ac:dyDescent="0.25"/>
    <row r="23793" x14ac:dyDescent="0.25"/>
    <row r="23794" x14ac:dyDescent="0.25"/>
    <row r="23795" x14ac:dyDescent="0.25"/>
    <row r="23796" x14ac:dyDescent="0.25"/>
    <row r="23797" x14ac:dyDescent="0.25"/>
    <row r="23798" x14ac:dyDescent="0.25"/>
    <row r="23799" x14ac:dyDescent="0.25"/>
    <row r="23800" x14ac:dyDescent="0.25"/>
    <row r="23801" x14ac:dyDescent="0.25"/>
    <row r="23802" x14ac:dyDescent="0.25"/>
    <row r="23803" x14ac:dyDescent="0.25"/>
    <row r="23804" x14ac:dyDescent="0.25"/>
    <row r="23805" x14ac:dyDescent="0.25"/>
    <row r="23806" x14ac:dyDescent="0.25"/>
    <row r="23807" x14ac:dyDescent="0.25"/>
    <row r="23808" x14ac:dyDescent="0.25"/>
    <row r="23809" x14ac:dyDescent="0.25"/>
    <row r="23810" x14ac:dyDescent="0.25"/>
    <row r="23811" x14ac:dyDescent="0.25"/>
    <row r="23812" x14ac:dyDescent="0.25"/>
    <row r="23813" x14ac:dyDescent="0.25"/>
    <row r="23814" x14ac:dyDescent="0.25"/>
    <row r="23815" x14ac:dyDescent="0.25"/>
    <row r="23816" x14ac:dyDescent="0.25"/>
    <row r="23817" x14ac:dyDescent="0.25"/>
    <row r="23818" x14ac:dyDescent="0.25"/>
    <row r="23819" x14ac:dyDescent="0.25"/>
    <row r="23820" x14ac:dyDescent="0.25"/>
    <row r="23821" x14ac:dyDescent="0.25"/>
    <row r="23822" x14ac:dyDescent="0.25"/>
    <row r="23823" x14ac:dyDescent="0.25"/>
    <row r="23824" x14ac:dyDescent="0.25"/>
    <row r="23825" x14ac:dyDescent="0.25"/>
    <row r="23826" x14ac:dyDescent="0.25"/>
    <row r="23827" x14ac:dyDescent="0.25"/>
    <row r="23828" x14ac:dyDescent="0.25"/>
    <row r="23829" x14ac:dyDescent="0.25"/>
    <row r="23830" x14ac:dyDescent="0.25"/>
    <row r="23831" x14ac:dyDescent="0.25"/>
    <row r="23832" x14ac:dyDescent="0.25"/>
    <row r="23833" x14ac:dyDescent="0.25"/>
    <row r="23834" x14ac:dyDescent="0.25"/>
    <row r="23835" x14ac:dyDescent="0.25"/>
    <row r="23836" x14ac:dyDescent="0.25"/>
    <row r="23837" x14ac:dyDescent="0.25"/>
    <row r="23838" x14ac:dyDescent="0.25"/>
    <row r="23839" x14ac:dyDescent="0.25"/>
    <row r="23840" x14ac:dyDescent="0.25"/>
    <row r="23841" x14ac:dyDescent="0.25"/>
    <row r="23842" x14ac:dyDescent="0.25"/>
    <row r="23843" x14ac:dyDescent="0.25"/>
    <row r="23844" x14ac:dyDescent="0.25"/>
    <row r="23845" x14ac:dyDescent="0.25"/>
    <row r="23846" x14ac:dyDescent="0.25"/>
    <row r="23847" x14ac:dyDescent="0.25"/>
    <row r="23848" x14ac:dyDescent="0.25"/>
    <row r="23849" x14ac:dyDescent="0.25"/>
    <row r="23850" x14ac:dyDescent="0.25"/>
    <row r="23851" x14ac:dyDescent="0.25"/>
    <row r="23852" x14ac:dyDescent="0.25"/>
    <row r="23853" x14ac:dyDescent="0.25"/>
    <row r="23854" x14ac:dyDescent="0.25"/>
    <row r="23855" x14ac:dyDescent="0.25"/>
    <row r="23856" x14ac:dyDescent="0.25"/>
    <row r="23857" x14ac:dyDescent="0.25"/>
    <row r="23858" x14ac:dyDescent="0.25"/>
    <row r="23859" x14ac:dyDescent="0.25"/>
    <row r="23860" x14ac:dyDescent="0.25"/>
    <row r="23861" x14ac:dyDescent="0.25"/>
    <row r="23862" x14ac:dyDescent="0.25"/>
    <row r="23863" x14ac:dyDescent="0.25"/>
    <row r="23864" x14ac:dyDescent="0.25"/>
    <row r="23865" x14ac:dyDescent="0.25"/>
    <row r="23866" x14ac:dyDescent="0.25"/>
    <row r="23867" x14ac:dyDescent="0.25"/>
    <row r="23868" x14ac:dyDescent="0.25"/>
    <row r="23869" x14ac:dyDescent="0.25"/>
    <row r="23870" x14ac:dyDescent="0.25"/>
    <row r="23871" x14ac:dyDescent="0.25"/>
    <row r="23872" x14ac:dyDescent="0.25"/>
    <row r="23873" x14ac:dyDescent="0.25"/>
    <row r="23874" x14ac:dyDescent="0.25"/>
    <row r="23875" x14ac:dyDescent="0.25"/>
    <row r="23876" x14ac:dyDescent="0.25"/>
    <row r="23877" x14ac:dyDescent="0.25"/>
    <row r="23878" x14ac:dyDescent="0.25"/>
    <row r="23879" x14ac:dyDescent="0.25"/>
    <row r="23880" x14ac:dyDescent="0.25"/>
    <row r="23881" x14ac:dyDescent="0.25"/>
    <row r="23882" x14ac:dyDescent="0.25"/>
    <row r="23883" x14ac:dyDescent="0.25"/>
    <row r="23884" x14ac:dyDescent="0.25"/>
    <row r="23885" x14ac:dyDescent="0.25"/>
    <row r="23886" x14ac:dyDescent="0.25"/>
    <row r="23887" x14ac:dyDescent="0.25"/>
    <row r="23888" x14ac:dyDescent="0.25"/>
    <row r="23889" x14ac:dyDescent="0.25"/>
    <row r="23890" x14ac:dyDescent="0.25"/>
    <row r="23891" x14ac:dyDescent="0.25"/>
    <row r="23892" x14ac:dyDescent="0.25"/>
    <row r="23893" x14ac:dyDescent="0.25"/>
    <row r="23894" x14ac:dyDescent="0.25"/>
    <row r="23895" x14ac:dyDescent="0.25"/>
    <row r="23896" x14ac:dyDescent="0.25"/>
    <row r="23897" x14ac:dyDescent="0.25"/>
    <row r="23898" x14ac:dyDescent="0.25"/>
    <row r="23899" x14ac:dyDescent="0.25"/>
    <row r="23900" x14ac:dyDescent="0.25"/>
    <row r="23901" x14ac:dyDescent="0.25"/>
    <row r="23902" x14ac:dyDescent="0.25"/>
    <row r="23903" x14ac:dyDescent="0.25"/>
    <row r="23904" x14ac:dyDescent="0.25"/>
    <row r="23905" x14ac:dyDescent="0.25"/>
    <row r="23906" x14ac:dyDescent="0.25"/>
    <row r="23907" x14ac:dyDescent="0.25"/>
    <row r="23908" x14ac:dyDescent="0.25"/>
    <row r="23909" x14ac:dyDescent="0.25"/>
    <row r="23910" x14ac:dyDescent="0.25"/>
    <row r="23911" x14ac:dyDescent="0.25"/>
    <row r="23912" x14ac:dyDescent="0.25"/>
    <row r="23913" x14ac:dyDescent="0.25"/>
    <row r="23914" x14ac:dyDescent="0.25"/>
    <row r="23915" x14ac:dyDescent="0.25"/>
    <row r="23916" x14ac:dyDescent="0.25"/>
    <row r="23917" x14ac:dyDescent="0.25"/>
    <row r="23918" x14ac:dyDescent="0.25"/>
    <row r="23919" x14ac:dyDescent="0.25"/>
    <row r="23920" x14ac:dyDescent="0.25"/>
    <row r="23921" x14ac:dyDescent="0.25"/>
    <row r="23922" x14ac:dyDescent="0.25"/>
    <row r="23923" x14ac:dyDescent="0.25"/>
    <row r="23924" x14ac:dyDescent="0.25"/>
    <row r="23925" x14ac:dyDescent="0.25"/>
    <row r="23926" x14ac:dyDescent="0.25"/>
    <row r="23927" x14ac:dyDescent="0.25"/>
    <row r="23928" x14ac:dyDescent="0.25"/>
    <row r="23929" x14ac:dyDescent="0.25"/>
    <row r="23930" x14ac:dyDescent="0.25"/>
    <row r="23931" x14ac:dyDescent="0.25"/>
    <row r="23932" x14ac:dyDescent="0.25"/>
    <row r="23933" x14ac:dyDescent="0.25"/>
    <row r="23934" x14ac:dyDescent="0.25"/>
    <row r="23935" x14ac:dyDescent="0.25"/>
    <row r="23936" x14ac:dyDescent="0.25"/>
    <row r="23937" x14ac:dyDescent="0.25"/>
    <row r="23938" x14ac:dyDescent="0.25"/>
    <row r="23939" x14ac:dyDescent="0.25"/>
    <row r="23940" x14ac:dyDescent="0.25"/>
    <row r="23941" x14ac:dyDescent="0.25"/>
    <row r="23942" x14ac:dyDescent="0.25"/>
    <row r="23943" x14ac:dyDescent="0.25"/>
    <row r="23944" x14ac:dyDescent="0.25"/>
    <row r="23945" x14ac:dyDescent="0.25"/>
    <row r="23946" x14ac:dyDescent="0.25"/>
    <row r="23947" x14ac:dyDescent="0.25"/>
    <row r="23948" x14ac:dyDescent="0.25"/>
    <row r="23949" x14ac:dyDescent="0.25"/>
    <row r="23950" x14ac:dyDescent="0.25"/>
    <row r="23951" x14ac:dyDescent="0.25"/>
    <row r="23952" x14ac:dyDescent="0.25"/>
    <row r="23953" x14ac:dyDescent="0.25"/>
    <row r="23954" x14ac:dyDescent="0.25"/>
    <row r="23955" x14ac:dyDescent="0.25"/>
    <row r="23956" x14ac:dyDescent="0.25"/>
    <row r="23957" x14ac:dyDescent="0.25"/>
    <row r="23958" x14ac:dyDescent="0.25"/>
    <row r="23959" x14ac:dyDescent="0.25"/>
    <row r="23960" x14ac:dyDescent="0.25"/>
    <row r="23961" x14ac:dyDescent="0.25"/>
    <row r="23962" x14ac:dyDescent="0.25"/>
    <row r="23963" x14ac:dyDescent="0.25"/>
    <row r="23964" x14ac:dyDescent="0.25"/>
    <row r="23965" x14ac:dyDescent="0.25"/>
    <row r="23966" x14ac:dyDescent="0.25"/>
    <row r="23967" x14ac:dyDescent="0.25"/>
    <row r="23968" x14ac:dyDescent="0.25"/>
    <row r="23969" x14ac:dyDescent="0.25"/>
    <row r="23970" x14ac:dyDescent="0.25"/>
    <row r="23971" x14ac:dyDescent="0.25"/>
    <row r="23972" x14ac:dyDescent="0.25"/>
    <row r="23973" x14ac:dyDescent="0.25"/>
    <row r="23974" x14ac:dyDescent="0.25"/>
    <row r="23975" x14ac:dyDescent="0.25"/>
    <row r="23976" x14ac:dyDescent="0.25"/>
    <row r="23977" x14ac:dyDescent="0.25"/>
    <row r="23978" x14ac:dyDescent="0.25"/>
    <row r="23979" x14ac:dyDescent="0.25"/>
    <row r="23980" x14ac:dyDescent="0.25"/>
    <row r="23981" x14ac:dyDescent="0.25"/>
    <row r="23982" x14ac:dyDescent="0.25"/>
    <row r="23983" x14ac:dyDescent="0.25"/>
    <row r="23984" x14ac:dyDescent="0.25"/>
    <row r="23985" x14ac:dyDescent="0.25"/>
    <row r="23986" x14ac:dyDescent="0.25"/>
    <row r="23987" x14ac:dyDescent="0.25"/>
    <row r="23988" x14ac:dyDescent="0.25"/>
    <row r="23989" x14ac:dyDescent="0.25"/>
    <row r="23990" x14ac:dyDescent="0.25"/>
    <row r="23991" x14ac:dyDescent="0.25"/>
    <row r="23992" x14ac:dyDescent="0.25"/>
    <row r="23993" x14ac:dyDescent="0.25"/>
    <row r="23994" x14ac:dyDescent="0.25"/>
    <row r="23995" x14ac:dyDescent="0.25"/>
    <row r="23996" x14ac:dyDescent="0.25"/>
    <row r="23997" x14ac:dyDescent="0.25"/>
    <row r="23998" x14ac:dyDescent="0.25"/>
    <row r="23999" x14ac:dyDescent="0.25"/>
    <row r="24000" x14ac:dyDescent="0.25"/>
    <row r="24001" x14ac:dyDescent="0.25"/>
    <row r="24002" x14ac:dyDescent="0.25"/>
    <row r="24003" x14ac:dyDescent="0.25"/>
    <row r="24004" x14ac:dyDescent="0.25"/>
    <row r="24005" x14ac:dyDescent="0.25"/>
    <row r="24006" x14ac:dyDescent="0.25"/>
    <row r="24007" x14ac:dyDescent="0.25"/>
    <row r="24008" x14ac:dyDescent="0.25"/>
    <row r="24009" x14ac:dyDescent="0.25"/>
    <row r="24010" x14ac:dyDescent="0.25"/>
    <row r="24011" x14ac:dyDescent="0.25"/>
    <row r="24012" x14ac:dyDescent="0.25"/>
    <row r="24013" x14ac:dyDescent="0.25"/>
    <row r="24014" x14ac:dyDescent="0.25"/>
    <row r="24015" x14ac:dyDescent="0.25"/>
    <row r="24016" x14ac:dyDescent="0.25"/>
    <row r="24017" x14ac:dyDescent="0.25"/>
    <row r="24018" x14ac:dyDescent="0.25"/>
    <row r="24019" x14ac:dyDescent="0.25"/>
    <row r="24020" x14ac:dyDescent="0.25"/>
    <row r="24021" x14ac:dyDescent="0.25"/>
    <row r="24022" x14ac:dyDescent="0.25"/>
    <row r="24023" x14ac:dyDescent="0.25"/>
    <row r="24024" x14ac:dyDescent="0.25"/>
    <row r="24025" x14ac:dyDescent="0.25"/>
    <row r="24026" x14ac:dyDescent="0.25"/>
    <row r="24027" x14ac:dyDescent="0.25"/>
    <row r="24028" x14ac:dyDescent="0.25"/>
    <row r="24029" x14ac:dyDescent="0.25"/>
    <row r="24030" x14ac:dyDescent="0.25"/>
    <row r="24031" x14ac:dyDescent="0.25"/>
    <row r="24032" x14ac:dyDescent="0.25"/>
    <row r="24033" x14ac:dyDescent="0.25"/>
    <row r="24034" x14ac:dyDescent="0.25"/>
    <row r="24035" x14ac:dyDescent="0.25"/>
    <row r="24036" x14ac:dyDescent="0.25"/>
    <row r="24037" x14ac:dyDescent="0.25"/>
    <row r="24038" x14ac:dyDescent="0.25"/>
    <row r="24039" x14ac:dyDescent="0.25"/>
    <row r="24040" x14ac:dyDescent="0.25"/>
    <row r="24041" x14ac:dyDescent="0.25"/>
    <row r="24042" x14ac:dyDescent="0.25"/>
    <row r="24043" x14ac:dyDescent="0.25"/>
    <row r="24044" x14ac:dyDescent="0.25"/>
    <row r="24045" x14ac:dyDescent="0.25"/>
    <row r="24046" x14ac:dyDescent="0.25"/>
    <row r="24047" x14ac:dyDescent="0.25"/>
    <row r="24048" x14ac:dyDescent="0.25"/>
    <row r="24049" x14ac:dyDescent="0.25"/>
    <row r="24050" x14ac:dyDescent="0.25"/>
    <row r="24051" x14ac:dyDescent="0.25"/>
    <row r="24052" x14ac:dyDescent="0.25"/>
    <row r="24053" x14ac:dyDescent="0.25"/>
    <row r="24054" x14ac:dyDescent="0.25"/>
    <row r="24055" x14ac:dyDescent="0.25"/>
    <row r="24056" x14ac:dyDescent="0.25"/>
    <row r="24057" x14ac:dyDescent="0.25"/>
    <row r="24058" x14ac:dyDescent="0.25"/>
    <row r="24059" x14ac:dyDescent="0.25"/>
    <row r="24060" x14ac:dyDescent="0.25"/>
    <row r="24061" x14ac:dyDescent="0.25"/>
    <row r="24062" x14ac:dyDescent="0.25"/>
    <row r="24063" x14ac:dyDescent="0.25"/>
    <row r="24064" x14ac:dyDescent="0.25"/>
    <row r="24065" x14ac:dyDescent="0.25"/>
    <row r="24066" x14ac:dyDescent="0.25"/>
    <row r="24067" x14ac:dyDescent="0.25"/>
    <row r="24068" x14ac:dyDescent="0.25"/>
    <row r="24069" x14ac:dyDescent="0.25"/>
    <row r="24070" x14ac:dyDescent="0.25"/>
    <row r="24071" x14ac:dyDescent="0.25"/>
    <row r="24072" x14ac:dyDescent="0.25"/>
    <row r="24073" x14ac:dyDescent="0.25"/>
    <row r="24074" x14ac:dyDescent="0.25"/>
    <row r="24075" x14ac:dyDescent="0.25"/>
    <row r="24076" x14ac:dyDescent="0.25"/>
    <row r="24077" x14ac:dyDescent="0.25"/>
    <row r="24078" x14ac:dyDescent="0.25"/>
    <row r="24079" x14ac:dyDescent="0.25"/>
    <row r="24080" x14ac:dyDescent="0.25"/>
    <row r="24081" x14ac:dyDescent="0.25"/>
    <row r="24082" x14ac:dyDescent="0.25"/>
    <row r="24083" x14ac:dyDescent="0.25"/>
    <row r="24084" x14ac:dyDescent="0.25"/>
    <row r="24085" x14ac:dyDescent="0.25"/>
    <row r="24086" x14ac:dyDescent="0.25"/>
    <row r="24087" x14ac:dyDescent="0.25"/>
    <row r="24088" x14ac:dyDescent="0.25"/>
    <row r="24089" x14ac:dyDescent="0.25"/>
    <row r="24090" x14ac:dyDescent="0.25"/>
    <row r="24091" x14ac:dyDescent="0.25"/>
    <row r="24092" x14ac:dyDescent="0.25"/>
    <row r="24093" x14ac:dyDescent="0.25"/>
    <row r="24094" x14ac:dyDescent="0.25"/>
    <row r="24095" x14ac:dyDescent="0.25"/>
    <row r="24096" x14ac:dyDescent="0.25"/>
    <row r="24097" x14ac:dyDescent="0.25"/>
    <row r="24098" x14ac:dyDescent="0.25"/>
    <row r="24099" x14ac:dyDescent="0.25"/>
    <row r="24100" x14ac:dyDescent="0.25"/>
    <row r="24101" x14ac:dyDescent="0.25"/>
    <row r="24102" x14ac:dyDescent="0.25"/>
    <row r="24103" x14ac:dyDescent="0.25"/>
    <row r="24104" x14ac:dyDescent="0.25"/>
    <row r="24105" x14ac:dyDescent="0.25"/>
    <row r="24106" x14ac:dyDescent="0.25"/>
    <row r="24107" x14ac:dyDescent="0.25"/>
    <row r="24108" x14ac:dyDescent="0.25"/>
    <row r="24109" x14ac:dyDescent="0.25"/>
    <row r="24110" x14ac:dyDescent="0.25"/>
    <row r="24111" x14ac:dyDescent="0.25"/>
    <row r="24112" x14ac:dyDescent="0.25"/>
    <row r="24113" x14ac:dyDescent="0.25"/>
    <row r="24114" x14ac:dyDescent="0.25"/>
    <row r="24115" x14ac:dyDescent="0.25"/>
    <row r="24116" x14ac:dyDescent="0.25"/>
    <row r="24117" x14ac:dyDescent="0.25"/>
    <row r="24118" x14ac:dyDescent="0.25"/>
    <row r="24119" x14ac:dyDescent="0.25"/>
    <row r="24120" x14ac:dyDescent="0.25"/>
    <row r="24121" x14ac:dyDescent="0.25"/>
    <row r="24122" x14ac:dyDescent="0.25"/>
    <row r="24123" x14ac:dyDescent="0.25"/>
    <row r="24124" x14ac:dyDescent="0.25"/>
    <row r="24125" x14ac:dyDescent="0.25"/>
    <row r="24126" x14ac:dyDescent="0.25"/>
    <row r="24127" x14ac:dyDescent="0.25"/>
    <row r="24128" x14ac:dyDescent="0.25"/>
    <row r="24129" x14ac:dyDescent="0.25"/>
    <row r="24130" x14ac:dyDescent="0.25"/>
    <row r="24131" x14ac:dyDescent="0.25"/>
    <row r="24132" x14ac:dyDescent="0.25"/>
    <row r="24133" x14ac:dyDescent="0.25"/>
    <row r="24134" x14ac:dyDescent="0.25"/>
    <row r="24135" x14ac:dyDescent="0.25"/>
    <row r="24136" x14ac:dyDescent="0.25"/>
    <row r="24137" x14ac:dyDescent="0.25"/>
    <row r="24138" x14ac:dyDescent="0.25"/>
    <row r="24139" x14ac:dyDescent="0.25"/>
    <row r="24140" x14ac:dyDescent="0.25"/>
    <row r="24141" x14ac:dyDescent="0.25"/>
    <row r="24142" x14ac:dyDescent="0.25"/>
    <row r="24143" x14ac:dyDescent="0.25"/>
    <row r="24144" x14ac:dyDescent="0.25"/>
    <row r="24145" x14ac:dyDescent="0.25"/>
    <row r="24146" x14ac:dyDescent="0.25"/>
    <row r="24147" x14ac:dyDescent="0.25"/>
    <row r="24148" x14ac:dyDescent="0.25"/>
    <row r="24149" x14ac:dyDescent="0.25"/>
    <row r="24150" x14ac:dyDescent="0.25"/>
    <row r="24151" x14ac:dyDescent="0.25"/>
    <row r="24152" x14ac:dyDescent="0.25"/>
    <row r="24153" x14ac:dyDescent="0.25"/>
    <row r="24154" x14ac:dyDescent="0.25"/>
    <row r="24155" x14ac:dyDescent="0.25"/>
    <row r="24156" x14ac:dyDescent="0.25"/>
    <row r="24157" x14ac:dyDescent="0.25"/>
    <row r="24158" x14ac:dyDescent="0.25"/>
    <row r="24159" x14ac:dyDescent="0.25"/>
    <row r="24160" x14ac:dyDescent="0.25"/>
    <row r="24161" x14ac:dyDescent="0.25"/>
    <row r="24162" x14ac:dyDescent="0.25"/>
    <row r="24163" x14ac:dyDescent="0.25"/>
    <row r="24164" x14ac:dyDescent="0.25"/>
    <row r="24165" x14ac:dyDescent="0.25"/>
    <row r="24166" x14ac:dyDescent="0.25"/>
    <row r="24167" x14ac:dyDescent="0.25"/>
    <row r="24168" x14ac:dyDescent="0.25"/>
    <row r="24169" x14ac:dyDescent="0.25"/>
    <row r="24170" x14ac:dyDescent="0.25"/>
    <row r="24171" x14ac:dyDescent="0.25"/>
    <row r="24172" x14ac:dyDescent="0.25"/>
    <row r="24173" x14ac:dyDescent="0.25"/>
    <row r="24174" x14ac:dyDescent="0.25"/>
    <row r="24175" x14ac:dyDescent="0.25"/>
    <row r="24176" x14ac:dyDescent="0.25"/>
    <row r="24177" x14ac:dyDescent="0.25"/>
    <row r="24178" x14ac:dyDescent="0.25"/>
    <row r="24179" x14ac:dyDescent="0.25"/>
    <row r="24180" x14ac:dyDescent="0.25"/>
    <row r="24181" x14ac:dyDescent="0.25"/>
    <row r="24182" x14ac:dyDescent="0.25"/>
    <row r="24183" x14ac:dyDescent="0.25"/>
    <row r="24184" x14ac:dyDescent="0.25"/>
    <row r="24185" x14ac:dyDescent="0.25"/>
    <row r="24186" x14ac:dyDescent="0.25"/>
    <row r="24187" x14ac:dyDescent="0.25"/>
    <row r="24188" x14ac:dyDescent="0.25"/>
    <row r="24189" x14ac:dyDescent="0.25"/>
    <row r="24190" x14ac:dyDescent="0.25"/>
    <row r="24191" x14ac:dyDescent="0.25"/>
    <row r="24192" x14ac:dyDescent="0.25"/>
    <row r="24193" x14ac:dyDescent="0.25"/>
    <row r="24194" x14ac:dyDescent="0.25"/>
    <row r="24195" x14ac:dyDescent="0.25"/>
    <row r="24196" x14ac:dyDescent="0.25"/>
    <row r="24197" x14ac:dyDescent="0.25"/>
    <row r="24198" x14ac:dyDescent="0.25"/>
    <row r="24199" x14ac:dyDescent="0.25"/>
    <row r="24200" x14ac:dyDescent="0.25"/>
    <row r="24201" x14ac:dyDescent="0.25"/>
    <row r="24202" x14ac:dyDescent="0.25"/>
    <row r="24203" x14ac:dyDescent="0.25"/>
    <row r="24204" x14ac:dyDescent="0.25"/>
    <row r="24205" x14ac:dyDescent="0.25"/>
    <row r="24206" x14ac:dyDescent="0.25"/>
    <row r="24207" x14ac:dyDescent="0.25"/>
    <row r="24208" x14ac:dyDescent="0.25"/>
    <row r="24209" x14ac:dyDescent="0.25"/>
    <row r="24210" x14ac:dyDescent="0.25"/>
    <row r="24211" x14ac:dyDescent="0.25"/>
    <row r="24212" x14ac:dyDescent="0.25"/>
    <row r="24213" x14ac:dyDescent="0.25"/>
    <row r="24214" x14ac:dyDescent="0.25"/>
    <row r="24215" x14ac:dyDescent="0.25"/>
    <row r="24216" x14ac:dyDescent="0.25"/>
    <row r="24217" x14ac:dyDescent="0.25"/>
    <row r="24218" x14ac:dyDescent="0.25"/>
    <row r="24219" x14ac:dyDescent="0.25"/>
    <row r="24220" x14ac:dyDescent="0.25"/>
    <row r="24221" x14ac:dyDescent="0.25"/>
    <row r="24222" x14ac:dyDescent="0.25"/>
    <row r="24223" x14ac:dyDescent="0.25"/>
    <row r="24224" x14ac:dyDescent="0.25"/>
    <row r="24225" x14ac:dyDescent="0.25"/>
    <row r="24226" x14ac:dyDescent="0.25"/>
    <row r="24227" x14ac:dyDescent="0.25"/>
    <row r="24228" x14ac:dyDescent="0.25"/>
    <row r="24229" x14ac:dyDescent="0.25"/>
    <row r="24230" x14ac:dyDescent="0.25"/>
    <row r="24231" x14ac:dyDescent="0.25"/>
    <row r="24232" x14ac:dyDescent="0.25"/>
    <row r="24233" x14ac:dyDescent="0.25"/>
    <row r="24234" x14ac:dyDescent="0.25"/>
    <row r="24235" x14ac:dyDescent="0.25"/>
    <row r="24236" x14ac:dyDescent="0.25"/>
    <row r="24237" x14ac:dyDescent="0.25"/>
    <row r="24238" x14ac:dyDescent="0.25"/>
    <row r="24239" x14ac:dyDescent="0.25"/>
    <row r="24240" x14ac:dyDescent="0.25"/>
    <row r="24241" x14ac:dyDescent="0.25"/>
    <row r="24242" x14ac:dyDescent="0.25"/>
    <row r="24243" x14ac:dyDescent="0.25"/>
    <row r="24244" x14ac:dyDescent="0.25"/>
    <row r="24245" x14ac:dyDescent="0.25"/>
    <row r="24246" x14ac:dyDescent="0.25"/>
    <row r="24247" x14ac:dyDescent="0.25"/>
    <row r="24248" x14ac:dyDescent="0.25"/>
    <row r="24249" x14ac:dyDescent="0.25"/>
    <row r="24250" x14ac:dyDescent="0.25"/>
    <row r="24251" x14ac:dyDescent="0.25"/>
    <row r="24252" x14ac:dyDescent="0.25"/>
    <row r="24253" x14ac:dyDescent="0.25"/>
    <row r="24254" x14ac:dyDescent="0.25"/>
    <row r="24255" x14ac:dyDescent="0.25"/>
    <row r="24256" x14ac:dyDescent="0.25"/>
    <row r="24257" x14ac:dyDescent="0.25"/>
    <row r="24258" x14ac:dyDescent="0.25"/>
    <row r="24259" x14ac:dyDescent="0.25"/>
    <row r="24260" x14ac:dyDescent="0.25"/>
    <row r="24261" x14ac:dyDescent="0.25"/>
    <row r="24262" x14ac:dyDescent="0.25"/>
    <row r="24263" x14ac:dyDescent="0.25"/>
    <row r="24264" x14ac:dyDescent="0.25"/>
    <row r="24265" x14ac:dyDescent="0.25"/>
    <row r="24266" x14ac:dyDescent="0.25"/>
    <row r="24267" x14ac:dyDescent="0.25"/>
    <row r="24268" x14ac:dyDescent="0.25"/>
    <row r="24269" x14ac:dyDescent="0.25"/>
    <row r="24270" x14ac:dyDescent="0.25"/>
    <row r="24271" x14ac:dyDescent="0.25"/>
    <row r="24272" x14ac:dyDescent="0.25"/>
    <row r="24273" x14ac:dyDescent="0.25"/>
    <row r="24274" x14ac:dyDescent="0.25"/>
    <row r="24275" x14ac:dyDescent="0.25"/>
    <row r="24276" x14ac:dyDescent="0.25"/>
    <row r="24277" x14ac:dyDescent="0.25"/>
    <row r="24278" x14ac:dyDescent="0.25"/>
    <row r="24279" x14ac:dyDescent="0.25"/>
    <row r="24280" x14ac:dyDescent="0.25"/>
    <row r="24281" x14ac:dyDescent="0.25"/>
    <row r="24282" x14ac:dyDescent="0.25"/>
    <row r="24283" x14ac:dyDescent="0.25"/>
    <row r="24284" x14ac:dyDescent="0.25"/>
    <row r="24285" x14ac:dyDescent="0.25"/>
    <row r="24286" x14ac:dyDescent="0.25"/>
    <row r="24287" x14ac:dyDescent="0.25"/>
    <row r="24288" x14ac:dyDescent="0.25"/>
    <row r="24289" x14ac:dyDescent="0.25"/>
    <row r="24290" x14ac:dyDescent="0.25"/>
    <row r="24291" x14ac:dyDescent="0.25"/>
    <row r="24292" x14ac:dyDescent="0.25"/>
    <row r="24293" x14ac:dyDescent="0.25"/>
    <row r="24294" x14ac:dyDescent="0.25"/>
    <row r="24295" x14ac:dyDescent="0.25"/>
    <row r="24296" x14ac:dyDescent="0.25"/>
    <row r="24297" x14ac:dyDescent="0.25"/>
    <row r="24298" x14ac:dyDescent="0.25"/>
    <row r="24299" x14ac:dyDescent="0.25"/>
    <row r="24300" x14ac:dyDescent="0.25"/>
    <row r="24301" x14ac:dyDescent="0.25"/>
    <row r="24302" x14ac:dyDescent="0.25"/>
    <row r="24303" x14ac:dyDescent="0.25"/>
    <row r="24304" x14ac:dyDescent="0.25"/>
    <row r="24305" x14ac:dyDescent="0.25"/>
    <row r="24306" x14ac:dyDescent="0.25"/>
    <row r="24307" x14ac:dyDescent="0.25"/>
    <row r="24308" x14ac:dyDescent="0.25"/>
    <row r="24309" x14ac:dyDescent="0.25"/>
    <row r="24310" x14ac:dyDescent="0.25"/>
    <row r="24311" x14ac:dyDescent="0.25"/>
    <row r="24312" x14ac:dyDescent="0.25"/>
    <row r="24313" x14ac:dyDescent="0.25"/>
    <row r="24314" x14ac:dyDescent="0.25"/>
    <row r="24315" x14ac:dyDescent="0.25"/>
    <row r="24316" x14ac:dyDescent="0.25"/>
    <row r="24317" x14ac:dyDescent="0.25"/>
    <row r="24318" x14ac:dyDescent="0.25"/>
    <row r="24319" x14ac:dyDescent="0.25"/>
    <row r="24320" x14ac:dyDescent="0.25"/>
    <row r="24321" x14ac:dyDescent="0.25"/>
    <row r="24322" x14ac:dyDescent="0.25"/>
    <row r="24323" x14ac:dyDescent="0.25"/>
    <row r="24324" x14ac:dyDescent="0.25"/>
    <row r="24325" x14ac:dyDescent="0.25"/>
    <row r="24326" x14ac:dyDescent="0.25"/>
    <row r="24327" x14ac:dyDescent="0.25"/>
    <row r="24328" x14ac:dyDescent="0.25"/>
    <row r="24329" x14ac:dyDescent="0.25"/>
    <row r="24330" x14ac:dyDescent="0.25"/>
    <row r="24331" x14ac:dyDescent="0.25"/>
    <row r="24332" x14ac:dyDescent="0.25"/>
    <row r="24333" x14ac:dyDescent="0.25"/>
    <row r="24334" x14ac:dyDescent="0.25"/>
    <row r="24335" x14ac:dyDescent="0.25"/>
    <row r="24336" x14ac:dyDescent="0.25"/>
    <row r="24337" x14ac:dyDescent="0.25"/>
    <row r="24338" x14ac:dyDescent="0.25"/>
    <row r="24339" x14ac:dyDescent="0.25"/>
    <row r="24340" x14ac:dyDescent="0.25"/>
    <row r="24341" x14ac:dyDescent="0.25"/>
    <row r="24342" x14ac:dyDescent="0.25"/>
    <row r="24343" x14ac:dyDescent="0.25"/>
    <row r="24344" x14ac:dyDescent="0.25"/>
    <row r="24345" x14ac:dyDescent="0.25"/>
    <row r="24346" x14ac:dyDescent="0.25"/>
    <row r="24347" x14ac:dyDescent="0.25"/>
    <row r="24348" x14ac:dyDescent="0.25"/>
    <row r="24349" x14ac:dyDescent="0.25"/>
    <row r="24350" x14ac:dyDescent="0.25"/>
    <row r="24351" x14ac:dyDescent="0.25"/>
    <row r="24352" x14ac:dyDescent="0.25"/>
    <row r="24353" x14ac:dyDescent="0.25"/>
    <row r="24354" x14ac:dyDescent="0.25"/>
    <row r="24355" x14ac:dyDescent="0.25"/>
    <row r="24356" x14ac:dyDescent="0.25"/>
    <row r="24357" x14ac:dyDescent="0.25"/>
    <row r="24358" x14ac:dyDescent="0.25"/>
    <row r="24359" x14ac:dyDescent="0.25"/>
    <row r="24360" x14ac:dyDescent="0.25"/>
    <row r="24361" x14ac:dyDescent="0.25"/>
    <row r="24362" x14ac:dyDescent="0.25"/>
    <row r="24363" x14ac:dyDescent="0.25"/>
    <row r="24364" x14ac:dyDescent="0.25"/>
    <row r="24365" x14ac:dyDescent="0.25"/>
    <row r="24366" x14ac:dyDescent="0.25"/>
    <row r="24367" x14ac:dyDescent="0.25"/>
    <row r="24368" x14ac:dyDescent="0.25"/>
    <row r="24369" x14ac:dyDescent="0.25"/>
    <row r="24370" x14ac:dyDescent="0.25"/>
    <row r="24371" x14ac:dyDescent="0.25"/>
    <row r="24372" x14ac:dyDescent="0.25"/>
    <row r="24373" x14ac:dyDescent="0.25"/>
    <row r="24374" x14ac:dyDescent="0.25"/>
    <row r="24375" x14ac:dyDescent="0.25"/>
    <row r="24376" x14ac:dyDescent="0.25"/>
    <row r="24377" x14ac:dyDescent="0.25"/>
    <row r="24378" x14ac:dyDescent="0.25"/>
    <row r="24379" x14ac:dyDescent="0.25"/>
    <row r="24380" x14ac:dyDescent="0.25"/>
    <row r="24381" x14ac:dyDescent="0.25"/>
    <row r="24382" x14ac:dyDescent="0.25"/>
    <row r="24383" x14ac:dyDescent="0.25"/>
    <row r="24384" x14ac:dyDescent="0.25"/>
    <row r="24385" x14ac:dyDescent="0.25"/>
    <row r="24386" x14ac:dyDescent="0.25"/>
    <row r="24387" x14ac:dyDescent="0.25"/>
    <row r="24388" x14ac:dyDescent="0.25"/>
    <row r="24389" x14ac:dyDescent="0.25"/>
    <row r="24390" x14ac:dyDescent="0.25"/>
    <row r="24391" x14ac:dyDescent="0.25"/>
    <row r="24392" x14ac:dyDescent="0.25"/>
    <row r="24393" x14ac:dyDescent="0.25"/>
    <row r="24394" x14ac:dyDescent="0.25"/>
    <row r="24395" x14ac:dyDescent="0.25"/>
    <row r="24396" x14ac:dyDescent="0.25"/>
    <row r="24397" x14ac:dyDescent="0.25"/>
    <row r="24398" x14ac:dyDescent="0.25"/>
    <row r="24399" x14ac:dyDescent="0.25"/>
    <row r="24400" x14ac:dyDescent="0.25"/>
    <row r="24401" x14ac:dyDescent="0.25"/>
    <row r="24402" x14ac:dyDescent="0.25"/>
    <row r="24403" x14ac:dyDescent="0.25"/>
    <row r="24404" x14ac:dyDescent="0.25"/>
    <row r="24405" x14ac:dyDescent="0.25"/>
    <row r="24406" x14ac:dyDescent="0.25"/>
    <row r="24407" x14ac:dyDescent="0.25"/>
    <row r="24408" x14ac:dyDescent="0.25"/>
    <row r="24409" x14ac:dyDescent="0.25"/>
    <row r="24410" x14ac:dyDescent="0.25"/>
    <row r="24411" x14ac:dyDescent="0.25"/>
    <row r="24412" x14ac:dyDescent="0.25"/>
    <row r="24413" x14ac:dyDescent="0.25"/>
    <row r="24414" x14ac:dyDescent="0.25"/>
    <row r="24415" x14ac:dyDescent="0.25"/>
    <row r="24416" x14ac:dyDescent="0.25"/>
    <row r="24417" x14ac:dyDescent="0.25"/>
    <row r="24418" x14ac:dyDescent="0.25"/>
    <row r="24419" x14ac:dyDescent="0.25"/>
    <row r="24420" x14ac:dyDescent="0.25"/>
    <row r="24421" x14ac:dyDescent="0.25"/>
    <row r="24422" x14ac:dyDescent="0.25"/>
    <row r="24423" x14ac:dyDescent="0.25"/>
    <row r="24424" x14ac:dyDescent="0.25"/>
    <row r="24425" x14ac:dyDescent="0.25"/>
    <row r="24426" x14ac:dyDescent="0.25"/>
    <row r="24427" x14ac:dyDescent="0.25"/>
    <row r="24428" x14ac:dyDescent="0.25"/>
    <row r="24429" x14ac:dyDescent="0.25"/>
    <row r="24430" x14ac:dyDescent="0.25"/>
    <row r="24431" x14ac:dyDescent="0.25"/>
    <row r="24432" x14ac:dyDescent="0.25"/>
    <row r="24433" x14ac:dyDescent="0.25"/>
    <row r="24434" x14ac:dyDescent="0.25"/>
    <row r="24435" x14ac:dyDescent="0.25"/>
    <row r="24436" x14ac:dyDescent="0.25"/>
    <row r="24437" x14ac:dyDescent="0.25"/>
    <row r="24438" x14ac:dyDescent="0.25"/>
    <row r="24439" x14ac:dyDescent="0.25"/>
    <row r="24440" x14ac:dyDescent="0.25"/>
    <row r="24441" x14ac:dyDescent="0.25"/>
    <row r="24442" x14ac:dyDescent="0.25"/>
    <row r="24443" x14ac:dyDescent="0.25"/>
    <row r="24444" x14ac:dyDescent="0.25"/>
    <row r="24445" x14ac:dyDescent="0.25"/>
    <row r="24446" x14ac:dyDescent="0.25"/>
    <row r="24447" x14ac:dyDescent="0.25"/>
    <row r="24448" x14ac:dyDescent="0.25"/>
    <row r="24449" x14ac:dyDescent="0.25"/>
    <row r="24450" x14ac:dyDescent="0.25"/>
    <row r="24451" x14ac:dyDescent="0.25"/>
    <row r="24452" x14ac:dyDescent="0.25"/>
    <row r="24453" x14ac:dyDescent="0.25"/>
    <row r="24454" x14ac:dyDescent="0.25"/>
    <row r="24455" x14ac:dyDescent="0.25"/>
    <row r="24456" x14ac:dyDescent="0.25"/>
    <row r="24457" x14ac:dyDescent="0.25"/>
    <row r="24458" x14ac:dyDescent="0.25"/>
    <row r="24459" x14ac:dyDescent="0.25"/>
    <row r="24460" x14ac:dyDescent="0.25"/>
    <row r="24461" x14ac:dyDescent="0.25"/>
    <row r="24462" x14ac:dyDescent="0.25"/>
    <row r="24463" x14ac:dyDescent="0.25"/>
    <row r="24464" x14ac:dyDescent="0.25"/>
    <row r="24465" x14ac:dyDescent="0.25"/>
    <row r="24466" x14ac:dyDescent="0.25"/>
    <row r="24467" x14ac:dyDescent="0.25"/>
    <row r="24468" x14ac:dyDescent="0.25"/>
    <row r="24469" x14ac:dyDescent="0.25"/>
    <row r="24470" x14ac:dyDescent="0.25"/>
    <row r="24471" x14ac:dyDescent="0.25"/>
    <row r="24472" x14ac:dyDescent="0.25"/>
    <row r="24473" x14ac:dyDescent="0.25"/>
    <row r="24474" x14ac:dyDescent="0.25"/>
    <row r="24475" x14ac:dyDescent="0.25"/>
    <row r="24476" x14ac:dyDescent="0.25"/>
    <row r="24477" x14ac:dyDescent="0.25"/>
    <row r="24478" x14ac:dyDescent="0.25"/>
    <row r="24479" x14ac:dyDescent="0.25"/>
    <row r="24480" x14ac:dyDescent="0.25"/>
    <row r="24481" x14ac:dyDescent="0.25"/>
    <row r="24482" x14ac:dyDescent="0.25"/>
    <row r="24483" x14ac:dyDescent="0.25"/>
    <row r="24484" x14ac:dyDescent="0.25"/>
    <row r="24485" x14ac:dyDescent="0.25"/>
    <row r="24486" x14ac:dyDescent="0.25"/>
    <row r="24487" x14ac:dyDescent="0.25"/>
    <row r="24488" x14ac:dyDescent="0.25"/>
    <row r="24489" x14ac:dyDescent="0.25"/>
    <row r="24490" x14ac:dyDescent="0.25"/>
    <row r="24491" x14ac:dyDescent="0.25"/>
    <row r="24492" x14ac:dyDescent="0.25"/>
    <row r="24493" x14ac:dyDescent="0.25"/>
    <row r="24494" x14ac:dyDescent="0.25"/>
    <row r="24495" x14ac:dyDescent="0.25"/>
    <row r="24496" x14ac:dyDescent="0.25"/>
    <row r="24497" x14ac:dyDescent="0.25"/>
    <row r="24498" x14ac:dyDescent="0.25"/>
    <row r="24499" x14ac:dyDescent="0.25"/>
    <row r="24500" x14ac:dyDescent="0.25"/>
    <row r="24501" x14ac:dyDescent="0.25"/>
    <row r="24502" x14ac:dyDescent="0.25"/>
    <row r="24503" x14ac:dyDescent="0.25"/>
    <row r="24504" x14ac:dyDescent="0.25"/>
    <row r="24505" x14ac:dyDescent="0.25"/>
    <row r="24506" x14ac:dyDescent="0.25"/>
    <row r="24507" x14ac:dyDescent="0.25"/>
    <row r="24508" x14ac:dyDescent="0.25"/>
    <row r="24509" x14ac:dyDescent="0.25"/>
    <row r="24510" x14ac:dyDescent="0.25"/>
    <row r="24511" x14ac:dyDescent="0.25"/>
    <row r="24512" x14ac:dyDescent="0.25"/>
    <row r="24513" x14ac:dyDescent="0.25"/>
    <row r="24514" x14ac:dyDescent="0.25"/>
    <row r="24515" x14ac:dyDescent="0.25"/>
    <row r="24516" x14ac:dyDescent="0.25"/>
    <row r="24517" x14ac:dyDescent="0.25"/>
    <row r="24518" x14ac:dyDescent="0.25"/>
    <row r="24519" x14ac:dyDescent="0.25"/>
    <row r="24520" x14ac:dyDescent="0.25"/>
    <row r="24521" x14ac:dyDescent="0.25"/>
    <row r="24522" x14ac:dyDescent="0.25"/>
    <row r="24523" x14ac:dyDescent="0.25"/>
    <row r="24524" x14ac:dyDescent="0.25"/>
    <row r="24525" x14ac:dyDescent="0.25"/>
    <row r="24526" x14ac:dyDescent="0.25"/>
    <row r="24527" x14ac:dyDescent="0.25"/>
    <row r="24528" x14ac:dyDescent="0.25"/>
    <row r="24529" x14ac:dyDescent="0.25"/>
    <row r="24530" x14ac:dyDescent="0.25"/>
    <row r="24531" x14ac:dyDescent="0.25"/>
    <row r="24532" x14ac:dyDescent="0.25"/>
    <row r="24533" x14ac:dyDescent="0.25"/>
    <row r="24534" x14ac:dyDescent="0.25"/>
    <row r="24535" x14ac:dyDescent="0.25"/>
    <row r="24536" x14ac:dyDescent="0.25"/>
    <row r="24537" x14ac:dyDescent="0.25"/>
    <row r="24538" x14ac:dyDescent="0.25"/>
    <row r="24539" x14ac:dyDescent="0.25"/>
    <row r="24540" x14ac:dyDescent="0.25"/>
    <row r="24541" x14ac:dyDescent="0.25"/>
    <row r="24542" x14ac:dyDescent="0.25"/>
    <row r="24543" x14ac:dyDescent="0.25"/>
    <row r="24544" x14ac:dyDescent="0.25"/>
    <row r="24545" x14ac:dyDescent="0.25"/>
    <row r="24546" x14ac:dyDescent="0.25"/>
    <row r="24547" x14ac:dyDescent="0.25"/>
    <row r="24548" x14ac:dyDescent="0.25"/>
    <row r="24549" x14ac:dyDescent="0.25"/>
    <row r="24550" x14ac:dyDescent="0.25"/>
    <row r="24551" x14ac:dyDescent="0.25"/>
    <row r="24552" x14ac:dyDescent="0.25"/>
    <row r="24553" x14ac:dyDescent="0.25"/>
    <row r="24554" x14ac:dyDescent="0.25"/>
    <row r="24555" x14ac:dyDescent="0.25"/>
    <row r="24556" x14ac:dyDescent="0.25"/>
    <row r="24557" x14ac:dyDescent="0.25"/>
    <row r="24558" x14ac:dyDescent="0.25"/>
    <row r="24559" x14ac:dyDescent="0.25"/>
    <row r="24560" x14ac:dyDescent="0.25"/>
    <row r="24561" x14ac:dyDescent="0.25"/>
    <row r="24562" x14ac:dyDescent="0.25"/>
    <row r="24563" x14ac:dyDescent="0.25"/>
    <row r="24564" x14ac:dyDescent="0.25"/>
    <row r="24565" x14ac:dyDescent="0.25"/>
    <row r="24566" x14ac:dyDescent="0.25"/>
    <row r="24567" x14ac:dyDescent="0.25"/>
    <row r="24568" x14ac:dyDescent="0.25"/>
    <row r="24569" x14ac:dyDescent="0.25"/>
    <row r="24570" x14ac:dyDescent="0.25"/>
    <row r="24571" x14ac:dyDescent="0.25"/>
    <row r="24572" x14ac:dyDescent="0.25"/>
    <row r="24573" x14ac:dyDescent="0.25"/>
    <row r="24574" x14ac:dyDescent="0.25"/>
    <row r="24575" x14ac:dyDescent="0.25"/>
    <row r="24576" x14ac:dyDescent="0.25"/>
    <row r="24577" x14ac:dyDescent="0.25"/>
    <row r="24578" x14ac:dyDescent="0.25"/>
    <row r="24579" x14ac:dyDescent="0.25"/>
    <row r="24580" x14ac:dyDescent="0.25"/>
    <row r="24581" x14ac:dyDescent="0.25"/>
    <row r="24582" x14ac:dyDescent="0.25"/>
    <row r="24583" x14ac:dyDescent="0.25"/>
    <row r="24584" x14ac:dyDescent="0.25"/>
    <row r="24585" x14ac:dyDescent="0.25"/>
    <row r="24586" x14ac:dyDescent="0.25"/>
    <row r="24587" x14ac:dyDescent="0.25"/>
    <row r="24588" x14ac:dyDescent="0.25"/>
    <row r="24589" x14ac:dyDescent="0.25"/>
    <row r="24590" x14ac:dyDescent="0.25"/>
    <row r="24591" x14ac:dyDescent="0.25"/>
    <row r="24592" x14ac:dyDescent="0.25"/>
    <row r="24593" x14ac:dyDescent="0.25"/>
    <row r="24594" x14ac:dyDescent="0.25"/>
    <row r="24595" x14ac:dyDescent="0.25"/>
    <row r="24596" x14ac:dyDescent="0.25"/>
    <row r="24597" x14ac:dyDescent="0.25"/>
    <row r="24598" x14ac:dyDescent="0.25"/>
    <row r="24599" x14ac:dyDescent="0.25"/>
    <row r="24600" x14ac:dyDescent="0.25"/>
    <row r="24601" x14ac:dyDescent="0.25"/>
    <row r="24602" x14ac:dyDescent="0.25"/>
    <row r="24603" x14ac:dyDescent="0.25"/>
    <row r="24604" x14ac:dyDescent="0.25"/>
    <row r="24605" x14ac:dyDescent="0.25"/>
    <row r="24606" x14ac:dyDescent="0.25"/>
    <row r="24607" x14ac:dyDescent="0.25"/>
    <row r="24608" x14ac:dyDescent="0.25"/>
    <row r="24609" x14ac:dyDescent="0.25"/>
    <row r="24610" x14ac:dyDescent="0.25"/>
    <row r="24611" x14ac:dyDescent="0.25"/>
    <row r="24612" x14ac:dyDescent="0.25"/>
    <row r="24613" x14ac:dyDescent="0.25"/>
    <row r="24614" x14ac:dyDescent="0.25"/>
    <row r="24615" x14ac:dyDescent="0.25"/>
    <row r="24616" x14ac:dyDescent="0.25"/>
    <row r="24617" x14ac:dyDescent="0.25"/>
    <row r="24618" x14ac:dyDescent="0.25"/>
    <row r="24619" x14ac:dyDescent="0.25"/>
    <row r="24620" x14ac:dyDescent="0.25"/>
    <row r="24621" x14ac:dyDescent="0.25"/>
    <row r="24622" x14ac:dyDescent="0.25"/>
    <row r="24623" x14ac:dyDescent="0.25"/>
    <row r="24624" x14ac:dyDescent="0.25"/>
    <row r="24625" x14ac:dyDescent="0.25"/>
    <row r="24626" x14ac:dyDescent="0.25"/>
    <row r="24627" x14ac:dyDescent="0.25"/>
    <row r="24628" x14ac:dyDescent="0.25"/>
    <row r="24629" x14ac:dyDescent="0.25"/>
    <row r="24630" x14ac:dyDescent="0.25"/>
    <row r="24631" x14ac:dyDescent="0.25"/>
    <row r="24632" x14ac:dyDescent="0.25"/>
    <row r="24633" x14ac:dyDescent="0.25"/>
    <row r="24634" x14ac:dyDescent="0.25"/>
    <row r="24635" x14ac:dyDescent="0.25"/>
    <row r="24636" x14ac:dyDescent="0.25"/>
    <row r="24637" x14ac:dyDescent="0.25"/>
    <row r="24638" x14ac:dyDescent="0.25"/>
    <row r="24639" x14ac:dyDescent="0.25"/>
    <row r="24640" x14ac:dyDescent="0.25"/>
    <row r="24641" x14ac:dyDescent="0.25"/>
    <row r="24642" x14ac:dyDescent="0.25"/>
    <row r="24643" x14ac:dyDescent="0.25"/>
    <row r="24644" x14ac:dyDescent="0.25"/>
    <row r="24645" x14ac:dyDescent="0.25"/>
    <row r="24646" x14ac:dyDescent="0.25"/>
    <row r="24647" x14ac:dyDescent="0.25"/>
    <row r="24648" x14ac:dyDescent="0.25"/>
    <row r="24649" x14ac:dyDescent="0.25"/>
    <row r="24650" x14ac:dyDescent="0.25"/>
    <row r="24651" x14ac:dyDescent="0.25"/>
    <row r="24652" x14ac:dyDescent="0.25"/>
    <row r="24653" x14ac:dyDescent="0.25"/>
    <row r="24654" x14ac:dyDescent="0.25"/>
    <row r="24655" x14ac:dyDescent="0.25"/>
    <row r="24656" x14ac:dyDescent="0.25"/>
    <row r="24657" x14ac:dyDescent="0.25"/>
    <row r="24658" x14ac:dyDescent="0.25"/>
    <row r="24659" x14ac:dyDescent="0.25"/>
    <row r="24660" x14ac:dyDescent="0.25"/>
    <row r="24661" x14ac:dyDescent="0.25"/>
    <row r="24662" x14ac:dyDescent="0.25"/>
    <row r="24663" x14ac:dyDescent="0.25"/>
    <row r="24664" x14ac:dyDescent="0.25"/>
    <row r="24665" x14ac:dyDescent="0.25"/>
    <row r="24666" x14ac:dyDescent="0.25"/>
    <row r="24667" x14ac:dyDescent="0.25"/>
    <row r="24668" x14ac:dyDescent="0.25"/>
    <row r="24669" x14ac:dyDescent="0.25"/>
    <row r="24670" x14ac:dyDescent="0.25"/>
    <row r="24671" x14ac:dyDescent="0.25"/>
    <row r="24672" x14ac:dyDescent="0.25"/>
    <row r="24673" x14ac:dyDescent="0.25"/>
    <row r="24674" x14ac:dyDescent="0.25"/>
    <row r="24675" x14ac:dyDescent="0.25"/>
    <row r="24676" x14ac:dyDescent="0.25"/>
    <row r="24677" x14ac:dyDescent="0.25"/>
    <row r="24678" x14ac:dyDescent="0.25"/>
    <row r="24679" x14ac:dyDescent="0.25"/>
    <row r="24680" x14ac:dyDescent="0.25"/>
    <row r="24681" x14ac:dyDescent="0.25"/>
    <row r="24682" x14ac:dyDescent="0.25"/>
    <row r="24683" x14ac:dyDescent="0.25"/>
    <row r="24684" x14ac:dyDescent="0.25"/>
    <row r="24685" x14ac:dyDescent="0.25"/>
    <row r="24686" x14ac:dyDescent="0.25"/>
    <row r="24687" x14ac:dyDescent="0.25"/>
    <row r="24688" x14ac:dyDescent="0.25"/>
    <row r="24689" x14ac:dyDescent="0.25"/>
    <row r="24690" x14ac:dyDescent="0.25"/>
    <row r="24691" x14ac:dyDescent="0.25"/>
    <row r="24692" x14ac:dyDescent="0.25"/>
    <row r="24693" x14ac:dyDescent="0.25"/>
    <row r="24694" x14ac:dyDescent="0.25"/>
    <row r="24695" x14ac:dyDescent="0.25"/>
    <row r="24696" x14ac:dyDescent="0.25"/>
    <row r="24697" x14ac:dyDescent="0.25"/>
    <row r="24698" x14ac:dyDescent="0.25"/>
    <row r="24699" x14ac:dyDescent="0.25"/>
    <row r="24700" x14ac:dyDescent="0.25"/>
    <row r="24701" x14ac:dyDescent="0.25"/>
    <row r="24702" x14ac:dyDescent="0.25"/>
    <row r="24703" x14ac:dyDescent="0.25"/>
    <row r="24704" x14ac:dyDescent="0.25"/>
    <row r="24705" x14ac:dyDescent="0.25"/>
    <row r="24706" x14ac:dyDescent="0.25"/>
    <row r="24707" x14ac:dyDescent="0.25"/>
    <row r="24708" x14ac:dyDescent="0.25"/>
    <row r="24709" x14ac:dyDescent="0.25"/>
    <row r="24710" x14ac:dyDescent="0.25"/>
    <row r="24711" x14ac:dyDescent="0.25"/>
    <row r="24712" x14ac:dyDescent="0.25"/>
    <row r="24713" x14ac:dyDescent="0.25"/>
    <row r="24714" x14ac:dyDescent="0.25"/>
    <row r="24715" x14ac:dyDescent="0.25"/>
    <row r="24716" x14ac:dyDescent="0.25"/>
    <row r="24717" x14ac:dyDescent="0.25"/>
    <row r="24718" x14ac:dyDescent="0.25"/>
    <row r="24719" x14ac:dyDescent="0.25"/>
    <row r="24720" x14ac:dyDescent="0.25"/>
    <row r="24721" x14ac:dyDescent="0.25"/>
    <row r="24722" x14ac:dyDescent="0.25"/>
    <row r="24723" x14ac:dyDescent="0.25"/>
    <row r="24724" x14ac:dyDescent="0.25"/>
    <row r="24725" x14ac:dyDescent="0.25"/>
    <row r="24726" x14ac:dyDescent="0.25"/>
    <row r="24727" x14ac:dyDescent="0.25"/>
    <row r="24728" x14ac:dyDescent="0.25"/>
    <row r="24729" x14ac:dyDescent="0.25"/>
    <row r="24730" x14ac:dyDescent="0.25"/>
    <row r="24731" x14ac:dyDescent="0.25"/>
    <row r="24732" x14ac:dyDescent="0.25"/>
    <row r="24733" x14ac:dyDescent="0.25"/>
    <row r="24734" x14ac:dyDescent="0.25"/>
    <row r="24735" x14ac:dyDescent="0.25"/>
    <row r="24736" x14ac:dyDescent="0.25"/>
    <row r="24737" x14ac:dyDescent="0.25"/>
    <row r="24738" x14ac:dyDescent="0.25"/>
    <row r="24739" x14ac:dyDescent="0.25"/>
    <row r="24740" x14ac:dyDescent="0.25"/>
    <row r="24741" x14ac:dyDescent="0.25"/>
    <row r="24742" x14ac:dyDescent="0.25"/>
    <row r="24743" x14ac:dyDescent="0.25"/>
    <row r="24744" x14ac:dyDescent="0.25"/>
    <row r="24745" x14ac:dyDescent="0.25"/>
    <row r="24746" x14ac:dyDescent="0.25"/>
    <row r="24747" x14ac:dyDescent="0.25"/>
    <row r="24748" x14ac:dyDescent="0.25"/>
    <row r="24749" x14ac:dyDescent="0.25"/>
    <row r="24750" x14ac:dyDescent="0.25"/>
    <row r="24751" x14ac:dyDescent="0.25"/>
    <row r="24752" x14ac:dyDescent="0.25"/>
    <row r="24753" x14ac:dyDescent="0.25"/>
    <row r="24754" x14ac:dyDescent="0.25"/>
    <row r="24755" x14ac:dyDescent="0.25"/>
    <row r="24756" x14ac:dyDescent="0.25"/>
    <row r="24757" x14ac:dyDescent="0.25"/>
    <row r="24758" x14ac:dyDescent="0.25"/>
    <row r="24759" x14ac:dyDescent="0.25"/>
    <row r="24760" x14ac:dyDescent="0.25"/>
    <row r="24761" x14ac:dyDescent="0.25"/>
    <row r="24762" x14ac:dyDescent="0.25"/>
    <row r="24763" x14ac:dyDescent="0.25"/>
    <row r="24764" x14ac:dyDescent="0.25"/>
    <row r="24765" x14ac:dyDescent="0.25"/>
    <row r="24766" x14ac:dyDescent="0.25"/>
    <row r="24767" x14ac:dyDescent="0.25"/>
    <row r="24768" x14ac:dyDescent="0.25"/>
    <row r="24769" x14ac:dyDescent="0.25"/>
    <row r="24770" x14ac:dyDescent="0.25"/>
    <row r="24771" x14ac:dyDescent="0.25"/>
    <row r="24772" x14ac:dyDescent="0.25"/>
    <row r="24773" x14ac:dyDescent="0.25"/>
    <row r="24774" x14ac:dyDescent="0.25"/>
    <row r="24775" x14ac:dyDescent="0.25"/>
    <row r="24776" x14ac:dyDescent="0.25"/>
    <row r="24777" x14ac:dyDescent="0.25"/>
    <row r="24778" x14ac:dyDescent="0.25"/>
    <row r="24779" x14ac:dyDescent="0.25"/>
    <row r="24780" x14ac:dyDescent="0.25"/>
    <row r="24781" x14ac:dyDescent="0.25"/>
    <row r="24782" x14ac:dyDescent="0.25"/>
    <row r="24783" x14ac:dyDescent="0.25"/>
    <row r="24784" x14ac:dyDescent="0.25"/>
    <row r="24785" x14ac:dyDescent="0.25"/>
    <row r="24786" x14ac:dyDescent="0.25"/>
    <row r="24787" x14ac:dyDescent="0.25"/>
    <row r="24788" x14ac:dyDescent="0.25"/>
    <row r="24789" x14ac:dyDescent="0.25"/>
    <row r="24790" x14ac:dyDescent="0.25"/>
    <row r="24791" x14ac:dyDescent="0.25"/>
    <row r="24792" x14ac:dyDescent="0.25"/>
    <row r="24793" x14ac:dyDescent="0.25"/>
    <row r="24794" x14ac:dyDescent="0.25"/>
    <row r="24795" x14ac:dyDescent="0.25"/>
    <row r="24796" x14ac:dyDescent="0.25"/>
    <row r="24797" x14ac:dyDescent="0.25"/>
    <row r="24798" x14ac:dyDescent="0.25"/>
    <row r="24799" x14ac:dyDescent="0.25"/>
    <row r="24800" x14ac:dyDescent="0.25"/>
    <row r="24801" x14ac:dyDescent="0.25"/>
    <row r="24802" x14ac:dyDescent="0.25"/>
    <row r="24803" x14ac:dyDescent="0.25"/>
    <row r="24804" x14ac:dyDescent="0.25"/>
    <row r="24805" x14ac:dyDescent="0.25"/>
    <row r="24806" x14ac:dyDescent="0.25"/>
    <row r="24807" x14ac:dyDescent="0.25"/>
    <row r="24808" x14ac:dyDescent="0.25"/>
    <row r="24809" x14ac:dyDescent="0.25"/>
    <row r="24810" x14ac:dyDescent="0.25"/>
    <row r="24811" x14ac:dyDescent="0.25"/>
    <row r="24812" x14ac:dyDescent="0.25"/>
    <row r="24813" x14ac:dyDescent="0.25"/>
    <row r="24814" x14ac:dyDescent="0.25"/>
    <row r="24815" x14ac:dyDescent="0.25"/>
    <row r="24816" x14ac:dyDescent="0.25"/>
    <row r="24817" x14ac:dyDescent="0.25"/>
    <row r="24818" x14ac:dyDescent="0.25"/>
    <row r="24819" x14ac:dyDescent="0.25"/>
    <row r="24820" x14ac:dyDescent="0.25"/>
    <row r="24821" x14ac:dyDescent="0.25"/>
    <row r="24822" x14ac:dyDescent="0.25"/>
    <row r="24823" x14ac:dyDescent="0.25"/>
    <row r="24824" x14ac:dyDescent="0.25"/>
    <row r="24825" x14ac:dyDescent="0.25"/>
    <row r="24826" x14ac:dyDescent="0.25"/>
    <row r="24827" x14ac:dyDescent="0.25"/>
    <row r="24828" x14ac:dyDescent="0.25"/>
    <row r="24829" x14ac:dyDescent="0.25"/>
    <row r="24830" x14ac:dyDescent="0.25"/>
    <row r="24831" x14ac:dyDescent="0.25"/>
    <row r="24832" x14ac:dyDescent="0.25"/>
    <row r="24833" x14ac:dyDescent="0.25"/>
    <row r="24834" x14ac:dyDescent="0.25"/>
    <row r="24835" x14ac:dyDescent="0.25"/>
    <row r="24836" x14ac:dyDescent="0.25"/>
    <row r="24837" x14ac:dyDescent="0.25"/>
    <row r="24838" x14ac:dyDescent="0.25"/>
    <row r="24839" x14ac:dyDescent="0.25"/>
    <row r="24840" x14ac:dyDescent="0.25"/>
    <row r="24841" x14ac:dyDescent="0.25"/>
    <row r="24842" x14ac:dyDescent="0.25"/>
    <row r="24843" x14ac:dyDescent="0.25"/>
    <row r="24844" x14ac:dyDescent="0.25"/>
    <row r="24845" x14ac:dyDescent="0.25"/>
    <row r="24846" x14ac:dyDescent="0.25"/>
    <row r="24847" x14ac:dyDescent="0.25"/>
    <row r="24848" x14ac:dyDescent="0.25"/>
    <row r="24849" x14ac:dyDescent="0.25"/>
    <row r="24850" x14ac:dyDescent="0.25"/>
    <row r="24851" x14ac:dyDescent="0.25"/>
    <row r="24852" x14ac:dyDescent="0.25"/>
    <row r="24853" x14ac:dyDescent="0.25"/>
    <row r="24854" x14ac:dyDescent="0.25"/>
    <row r="24855" x14ac:dyDescent="0.25"/>
    <row r="24856" x14ac:dyDescent="0.25"/>
    <row r="24857" x14ac:dyDescent="0.25"/>
    <row r="24858" x14ac:dyDescent="0.25"/>
    <row r="24859" x14ac:dyDescent="0.25"/>
    <row r="24860" x14ac:dyDescent="0.25"/>
    <row r="24861" x14ac:dyDescent="0.25"/>
    <row r="24862" x14ac:dyDescent="0.25"/>
    <row r="24863" x14ac:dyDescent="0.25"/>
    <row r="24864" x14ac:dyDescent="0.25"/>
    <row r="24865" x14ac:dyDescent="0.25"/>
    <row r="24866" x14ac:dyDescent="0.25"/>
    <row r="24867" x14ac:dyDescent="0.25"/>
    <row r="24868" x14ac:dyDescent="0.25"/>
    <row r="24869" x14ac:dyDescent="0.25"/>
    <row r="24870" x14ac:dyDescent="0.25"/>
    <row r="24871" x14ac:dyDescent="0.25"/>
    <row r="24872" x14ac:dyDescent="0.25"/>
    <row r="24873" x14ac:dyDescent="0.25"/>
    <row r="24874" x14ac:dyDescent="0.25"/>
    <row r="24875" x14ac:dyDescent="0.25"/>
    <row r="24876" x14ac:dyDescent="0.25"/>
    <row r="24877" x14ac:dyDescent="0.25"/>
    <row r="24878" x14ac:dyDescent="0.25"/>
    <row r="24879" x14ac:dyDescent="0.25"/>
    <row r="24880" x14ac:dyDescent="0.25"/>
    <row r="24881" x14ac:dyDescent="0.25"/>
    <row r="24882" x14ac:dyDescent="0.25"/>
    <row r="24883" x14ac:dyDescent="0.25"/>
    <row r="24884" x14ac:dyDescent="0.25"/>
    <row r="24885" x14ac:dyDescent="0.25"/>
    <row r="24886" x14ac:dyDescent="0.25"/>
    <row r="24887" x14ac:dyDescent="0.25"/>
    <row r="24888" x14ac:dyDescent="0.25"/>
    <row r="24889" x14ac:dyDescent="0.25"/>
    <row r="24890" x14ac:dyDescent="0.25"/>
    <row r="24891" x14ac:dyDescent="0.25"/>
    <row r="24892" x14ac:dyDescent="0.25"/>
    <row r="24893" x14ac:dyDescent="0.25"/>
    <row r="24894" x14ac:dyDescent="0.25"/>
    <row r="24895" x14ac:dyDescent="0.25"/>
    <row r="24896" x14ac:dyDescent="0.25"/>
    <row r="24897" x14ac:dyDescent="0.25"/>
    <row r="24898" x14ac:dyDescent="0.25"/>
    <row r="24899" x14ac:dyDescent="0.25"/>
    <row r="24900" x14ac:dyDescent="0.25"/>
    <row r="24901" x14ac:dyDescent="0.25"/>
    <row r="24902" x14ac:dyDescent="0.25"/>
    <row r="24903" x14ac:dyDescent="0.25"/>
    <row r="24904" x14ac:dyDescent="0.25"/>
    <row r="24905" x14ac:dyDescent="0.25"/>
    <row r="24906" x14ac:dyDescent="0.25"/>
    <row r="24907" x14ac:dyDescent="0.25"/>
    <row r="24908" x14ac:dyDescent="0.25"/>
    <row r="24909" x14ac:dyDescent="0.25"/>
    <row r="24910" x14ac:dyDescent="0.25"/>
    <row r="24911" x14ac:dyDescent="0.25"/>
    <row r="24912" x14ac:dyDescent="0.25"/>
    <row r="24913" x14ac:dyDescent="0.25"/>
    <row r="24914" x14ac:dyDescent="0.25"/>
    <row r="24915" x14ac:dyDescent="0.25"/>
    <row r="24916" x14ac:dyDescent="0.25"/>
    <row r="24917" x14ac:dyDescent="0.25"/>
    <row r="24918" x14ac:dyDescent="0.25"/>
    <row r="24919" x14ac:dyDescent="0.25"/>
    <row r="24920" x14ac:dyDescent="0.25"/>
    <row r="24921" x14ac:dyDescent="0.25"/>
    <row r="24922" x14ac:dyDescent="0.25"/>
    <row r="24923" x14ac:dyDescent="0.25"/>
    <row r="24924" x14ac:dyDescent="0.25"/>
    <row r="24925" x14ac:dyDescent="0.25"/>
    <row r="24926" x14ac:dyDescent="0.25"/>
    <row r="24927" x14ac:dyDescent="0.25"/>
    <row r="24928" x14ac:dyDescent="0.25"/>
    <row r="24929" x14ac:dyDescent="0.25"/>
    <row r="24930" x14ac:dyDescent="0.25"/>
    <row r="24931" x14ac:dyDescent="0.25"/>
    <row r="24932" x14ac:dyDescent="0.25"/>
    <row r="24933" x14ac:dyDescent="0.25"/>
    <row r="24934" x14ac:dyDescent="0.25"/>
    <row r="24935" x14ac:dyDescent="0.25"/>
    <row r="24936" x14ac:dyDescent="0.25"/>
    <row r="24937" x14ac:dyDescent="0.25"/>
    <row r="24938" x14ac:dyDescent="0.25"/>
    <row r="24939" x14ac:dyDescent="0.25"/>
    <row r="24940" x14ac:dyDescent="0.25"/>
    <row r="24941" x14ac:dyDescent="0.25"/>
    <row r="24942" x14ac:dyDescent="0.25"/>
    <row r="24943" x14ac:dyDescent="0.25"/>
    <row r="24944" x14ac:dyDescent="0.25"/>
    <row r="24945" x14ac:dyDescent="0.25"/>
    <row r="24946" x14ac:dyDescent="0.25"/>
    <row r="24947" x14ac:dyDescent="0.25"/>
    <row r="24948" x14ac:dyDescent="0.25"/>
    <row r="24949" x14ac:dyDescent="0.25"/>
    <row r="24950" x14ac:dyDescent="0.25"/>
    <row r="24951" x14ac:dyDescent="0.25"/>
    <row r="24952" x14ac:dyDescent="0.25"/>
    <row r="24953" x14ac:dyDescent="0.25"/>
    <row r="24954" x14ac:dyDescent="0.25"/>
    <row r="24955" x14ac:dyDescent="0.25"/>
    <row r="24956" x14ac:dyDescent="0.25"/>
    <row r="24957" x14ac:dyDescent="0.25"/>
    <row r="24958" x14ac:dyDescent="0.25"/>
    <row r="24959" x14ac:dyDescent="0.25"/>
    <row r="24960" x14ac:dyDescent="0.25"/>
    <row r="24961" x14ac:dyDescent="0.25"/>
    <row r="24962" x14ac:dyDescent="0.25"/>
    <row r="24963" x14ac:dyDescent="0.25"/>
    <row r="24964" x14ac:dyDescent="0.25"/>
    <row r="24965" x14ac:dyDescent="0.25"/>
    <row r="24966" x14ac:dyDescent="0.25"/>
    <row r="24967" x14ac:dyDescent="0.25"/>
    <row r="24968" x14ac:dyDescent="0.25"/>
    <row r="24969" x14ac:dyDescent="0.25"/>
    <row r="24970" x14ac:dyDescent="0.25"/>
    <row r="24971" x14ac:dyDescent="0.25"/>
    <row r="24972" x14ac:dyDescent="0.25"/>
    <row r="24973" x14ac:dyDescent="0.25"/>
    <row r="24974" x14ac:dyDescent="0.25"/>
    <row r="24975" x14ac:dyDescent="0.25"/>
    <row r="24976" x14ac:dyDescent="0.25"/>
    <row r="24977" x14ac:dyDescent="0.25"/>
    <row r="24978" x14ac:dyDescent="0.25"/>
    <row r="24979" x14ac:dyDescent="0.25"/>
    <row r="24980" x14ac:dyDescent="0.25"/>
    <row r="24981" x14ac:dyDescent="0.25"/>
    <row r="24982" x14ac:dyDescent="0.25"/>
    <row r="24983" x14ac:dyDescent="0.25"/>
    <row r="24984" x14ac:dyDescent="0.25"/>
    <row r="24985" x14ac:dyDescent="0.25"/>
    <row r="24986" x14ac:dyDescent="0.25"/>
    <row r="24987" x14ac:dyDescent="0.25"/>
    <row r="24988" x14ac:dyDescent="0.25"/>
    <row r="24989" x14ac:dyDescent="0.25"/>
    <row r="24990" x14ac:dyDescent="0.25"/>
    <row r="24991" x14ac:dyDescent="0.25"/>
    <row r="24992" x14ac:dyDescent="0.25"/>
    <row r="24993" x14ac:dyDescent="0.25"/>
    <row r="24994" x14ac:dyDescent="0.25"/>
    <row r="24995" x14ac:dyDescent="0.25"/>
    <row r="24996" x14ac:dyDescent="0.25"/>
    <row r="24997" x14ac:dyDescent="0.25"/>
    <row r="24998" x14ac:dyDescent="0.25"/>
    <row r="24999" x14ac:dyDescent="0.25"/>
    <row r="25000" x14ac:dyDescent="0.25"/>
  </sheetData>
  <autoFilter ref="A19:AE19"/>
  <mergeCells count="9">
    <mergeCell ref="O6:P6"/>
    <mergeCell ref="O7:P7"/>
    <mergeCell ref="M2:N7"/>
    <mergeCell ref="X3:Y4"/>
    <mergeCell ref="U3:V3"/>
    <mergeCell ref="O2:P2"/>
    <mergeCell ref="O3:P3"/>
    <mergeCell ref="O4:P4"/>
    <mergeCell ref="O5:P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J10000"/>
  <sheetViews>
    <sheetView workbookViewId="0">
      <pane ySplit="19" topLeftCell="A20" activePane="bottomLeft" state="frozen"/>
      <selection pane="bottomLeft" activeCell="H28" sqref="H28"/>
    </sheetView>
  </sheetViews>
  <sheetFormatPr defaultColWidth="0" defaultRowHeight="15" zeroHeight="1" x14ac:dyDescent="0.25"/>
  <cols>
    <col min="1" max="1" width="11.42578125" customWidth="1"/>
    <col min="2" max="2" width="12.5703125" customWidth="1"/>
    <col min="3" max="3" width="44.5703125" customWidth="1"/>
    <col min="4" max="4" width="16.7109375" customWidth="1"/>
    <col min="5" max="7" width="10.7109375" customWidth="1"/>
    <col min="8" max="8" width="23.140625" customWidth="1"/>
    <col min="9" max="9" width="9.140625" customWidth="1"/>
    <col min="10" max="10" width="25.140625" customWidth="1"/>
    <col min="11" max="16384" width="9.140625" hidden="1"/>
  </cols>
  <sheetData>
    <row r="1" spans="1:10" x14ac:dyDescent="0.25">
      <c r="A1" s="56"/>
      <c r="B1" s="56"/>
      <c r="C1" s="7"/>
      <c r="D1" s="7"/>
      <c r="E1" s="7"/>
      <c r="F1" s="7"/>
      <c r="G1" s="7"/>
      <c r="H1" s="7"/>
      <c r="I1" s="7"/>
      <c r="J1" s="7"/>
    </row>
    <row r="2" spans="1:10" x14ac:dyDescent="0.25">
      <c r="A2" s="56"/>
      <c r="B2" s="56"/>
      <c r="C2" s="7"/>
      <c r="D2" s="7"/>
      <c r="E2" s="7"/>
      <c r="F2" s="7"/>
      <c r="G2" s="7"/>
      <c r="H2" s="7"/>
      <c r="I2" s="7"/>
      <c r="J2" s="7"/>
    </row>
    <row r="3" spans="1:10" x14ac:dyDescent="0.25">
      <c r="A3" s="56"/>
      <c r="B3" s="56"/>
      <c r="C3" s="7"/>
      <c r="D3" s="7"/>
      <c r="E3" s="7"/>
      <c r="F3" s="7"/>
      <c r="G3" s="7"/>
      <c r="H3" s="7"/>
      <c r="I3" s="7"/>
      <c r="J3" s="7"/>
    </row>
    <row r="4" spans="1:10" x14ac:dyDescent="0.25">
      <c r="A4" s="56"/>
      <c r="B4" s="56"/>
      <c r="C4" s="7"/>
      <c r="D4" s="7"/>
      <c r="E4" s="7"/>
      <c r="F4" s="7"/>
      <c r="G4" s="7"/>
      <c r="H4" s="7"/>
      <c r="I4" s="7"/>
      <c r="J4" s="7"/>
    </row>
    <row r="5" spans="1:10" x14ac:dyDescent="0.25">
      <c r="A5" s="56"/>
      <c r="B5" s="56"/>
      <c r="C5" s="7"/>
      <c r="D5" s="7"/>
      <c r="E5" s="7"/>
      <c r="F5" s="7"/>
      <c r="G5" s="7"/>
      <c r="H5" s="7"/>
      <c r="I5" s="7"/>
      <c r="J5" s="7"/>
    </row>
    <row r="6" spans="1:10" x14ac:dyDescent="0.25">
      <c r="A6" s="56"/>
      <c r="B6" s="56"/>
      <c r="C6" s="7"/>
      <c r="D6" s="7"/>
      <c r="E6" s="7"/>
      <c r="F6" s="7"/>
      <c r="G6" s="7"/>
      <c r="H6" s="7"/>
      <c r="I6" s="7"/>
      <c r="J6" s="7"/>
    </row>
    <row r="7" spans="1:10" x14ac:dyDescent="0.25">
      <c r="A7" s="56"/>
      <c r="B7" s="56"/>
      <c r="C7" s="7"/>
      <c r="D7" s="7"/>
      <c r="E7" s="7"/>
      <c r="F7" s="7"/>
      <c r="G7" s="7"/>
      <c r="H7" s="7"/>
      <c r="I7" s="7"/>
      <c r="J7" s="7"/>
    </row>
    <row r="8" spans="1:10" x14ac:dyDescent="0.25">
      <c r="A8" s="56"/>
      <c r="B8" s="56"/>
      <c r="C8" s="7"/>
      <c r="D8" s="7"/>
      <c r="E8" s="7"/>
      <c r="F8" s="7"/>
      <c r="G8" s="7"/>
      <c r="H8" s="7"/>
      <c r="I8" s="7"/>
      <c r="J8" s="7"/>
    </row>
    <row r="9" spans="1:10" hidden="1" x14ac:dyDescent="0.25"/>
    <row r="10" spans="1:10" hidden="1" x14ac:dyDescent="0.25"/>
    <row r="11" spans="1:10" hidden="1" x14ac:dyDescent="0.25"/>
    <row r="12" spans="1:10" hidden="1" x14ac:dyDescent="0.25"/>
    <row r="13" spans="1:10" hidden="1" x14ac:dyDescent="0.25"/>
    <row r="14" spans="1:10" hidden="1" x14ac:dyDescent="0.25"/>
    <row r="15" spans="1:10" hidden="1" x14ac:dyDescent="0.25"/>
    <row r="16" spans="1:10" hidden="1" x14ac:dyDescent="0.25"/>
    <row r="17" spans="1:10" hidden="1" x14ac:dyDescent="0.25"/>
    <row r="18" spans="1:10" hidden="1" x14ac:dyDescent="0.25"/>
    <row r="19" spans="1:10" ht="25.5" x14ac:dyDescent="0.25">
      <c r="A19" s="57" t="s">
        <v>55</v>
      </c>
      <c r="B19" s="57" t="s">
        <v>0</v>
      </c>
      <c r="C19" s="57" t="s">
        <v>2</v>
      </c>
      <c r="D19" s="58" t="s">
        <v>80</v>
      </c>
      <c r="E19" s="58" t="s">
        <v>81</v>
      </c>
      <c r="F19" s="58" t="s">
        <v>82</v>
      </c>
      <c r="G19" s="58" t="s">
        <v>83</v>
      </c>
      <c r="H19" s="57" t="s">
        <v>84</v>
      </c>
      <c r="I19" s="57" t="s">
        <v>56</v>
      </c>
      <c r="J19" s="57" t="s">
        <v>57</v>
      </c>
    </row>
    <row r="20" spans="1:10" x14ac:dyDescent="0.25">
      <c r="A20" s="66"/>
    </row>
    <row r="21" spans="1:10" x14ac:dyDescent="0.25">
      <c r="A21" s="66"/>
    </row>
    <row r="22" spans="1:10" x14ac:dyDescent="0.25">
      <c r="A22" s="66"/>
    </row>
    <row r="23" spans="1:10" x14ac:dyDescent="0.25">
      <c r="A23" s="66"/>
    </row>
    <row r="24" spans="1:10" x14ac:dyDescent="0.25">
      <c r="A24" s="66"/>
    </row>
    <row r="25" spans="1:10" x14ac:dyDescent="0.25">
      <c r="A25" s="66"/>
    </row>
    <row r="26" spans="1:10" x14ac:dyDescent="0.25">
      <c r="A26" s="66"/>
    </row>
    <row r="27" spans="1:10" x14ac:dyDescent="0.25">
      <c r="A27" s="66"/>
    </row>
    <row r="28" spans="1:10" x14ac:dyDescent="0.25">
      <c r="A28" s="66"/>
    </row>
    <row r="29" spans="1:10" x14ac:dyDescent="0.25">
      <c r="A29" s="66"/>
    </row>
    <row r="30" spans="1:10" x14ac:dyDescent="0.25">
      <c r="A30" s="66"/>
    </row>
    <row r="31" spans="1:10" x14ac:dyDescent="0.25">
      <c r="A31" s="66"/>
    </row>
    <row r="32" spans="1:10" x14ac:dyDescent="0.25">
      <c r="A32" s="66"/>
    </row>
    <row r="33" spans="1:1" x14ac:dyDescent="0.25">
      <c r="A33" s="66"/>
    </row>
    <row r="34" spans="1:1" x14ac:dyDescent="0.25">
      <c r="A34" s="66"/>
    </row>
    <row r="35" spans="1:1" x14ac:dyDescent="0.25">
      <c r="A35" s="66"/>
    </row>
    <row r="36" spans="1:1" x14ac:dyDescent="0.25">
      <c r="A36" s="66"/>
    </row>
    <row r="37" spans="1:1" x14ac:dyDescent="0.25">
      <c r="A37" s="66"/>
    </row>
    <row r="38" spans="1:1" x14ac:dyDescent="0.25">
      <c r="A38" s="66"/>
    </row>
    <row r="39" spans="1:1" x14ac:dyDescent="0.25">
      <c r="A39" s="66"/>
    </row>
    <row r="40" spans="1:1" x14ac:dyDescent="0.25">
      <c r="A40" s="66"/>
    </row>
    <row r="41" spans="1:1" x14ac:dyDescent="0.25">
      <c r="A41" s="66"/>
    </row>
    <row r="42" spans="1:1" x14ac:dyDescent="0.25">
      <c r="A42" s="66"/>
    </row>
    <row r="43" spans="1:1" x14ac:dyDescent="0.25">
      <c r="A43" s="66"/>
    </row>
    <row r="44" spans="1:1" x14ac:dyDescent="0.25">
      <c r="A44" s="66"/>
    </row>
    <row r="45" spans="1:1" x14ac:dyDescent="0.25">
      <c r="A45" s="66"/>
    </row>
    <row r="46" spans="1:1" x14ac:dyDescent="0.25">
      <c r="A46" s="66"/>
    </row>
    <row r="47" spans="1:1" x14ac:dyDescent="0.25">
      <c r="A47" s="66"/>
    </row>
    <row r="48" spans="1:1" x14ac:dyDescent="0.25">
      <c r="A48" s="66"/>
    </row>
    <row r="49" spans="1:1" x14ac:dyDescent="0.25">
      <c r="A49" s="66"/>
    </row>
    <row r="50" spans="1:1" x14ac:dyDescent="0.25">
      <c r="A50" s="66"/>
    </row>
    <row r="51" spans="1:1" x14ac:dyDescent="0.25">
      <c r="A51" s="66"/>
    </row>
    <row r="52" spans="1:1" x14ac:dyDescent="0.25">
      <c r="A52" s="66"/>
    </row>
    <row r="53" spans="1:1" x14ac:dyDescent="0.25">
      <c r="A53" s="66"/>
    </row>
    <row r="54" spans="1:1" x14ac:dyDescent="0.25">
      <c r="A54" s="66"/>
    </row>
    <row r="55" spans="1:1" x14ac:dyDescent="0.25">
      <c r="A55" s="66"/>
    </row>
    <row r="56" spans="1:1" x14ac:dyDescent="0.25">
      <c r="A56" s="66"/>
    </row>
    <row r="57" spans="1:1" x14ac:dyDescent="0.25">
      <c r="A57" s="66"/>
    </row>
    <row r="58" spans="1:1" x14ac:dyDescent="0.25">
      <c r="A58" s="66"/>
    </row>
    <row r="59" spans="1:1" x14ac:dyDescent="0.25">
      <c r="A59" s="66"/>
    </row>
    <row r="60" spans="1:1" x14ac:dyDescent="0.25">
      <c r="A60" s="66"/>
    </row>
    <row r="61" spans="1:1" x14ac:dyDescent="0.25">
      <c r="A61" s="66"/>
    </row>
    <row r="62" spans="1:1" x14ac:dyDescent="0.25">
      <c r="A62" s="66"/>
    </row>
    <row r="63" spans="1:1" x14ac:dyDescent="0.25">
      <c r="A63" s="66"/>
    </row>
    <row r="64" spans="1:1" x14ac:dyDescent="0.25">
      <c r="A64" s="66"/>
    </row>
    <row r="65" spans="1:1" x14ac:dyDescent="0.25">
      <c r="A65" s="66"/>
    </row>
    <row r="66" spans="1:1" x14ac:dyDescent="0.25">
      <c r="A66" s="66"/>
    </row>
    <row r="67" spans="1:1" x14ac:dyDescent="0.25">
      <c r="A67" s="66"/>
    </row>
    <row r="68" spans="1:1" x14ac:dyDescent="0.25">
      <c r="A68" s="66"/>
    </row>
    <row r="69" spans="1:1" x14ac:dyDescent="0.25">
      <c r="A69" s="66"/>
    </row>
    <row r="70" spans="1:1" x14ac:dyDescent="0.25">
      <c r="A70" s="66"/>
    </row>
    <row r="71" spans="1:1" x14ac:dyDescent="0.25">
      <c r="A71" s="66"/>
    </row>
    <row r="72" spans="1:1" x14ac:dyDescent="0.25">
      <c r="A72" s="66"/>
    </row>
    <row r="73" spans="1:1" x14ac:dyDescent="0.25">
      <c r="A73" s="66"/>
    </row>
    <row r="74" spans="1:1" x14ac:dyDescent="0.25">
      <c r="A74" s="66"/>
    </row>
    <row r="75" spans="1:1" x14ac:dyDescent="0.25">
      <c r="A75" s="66"/>
    </row>
    <row r="76" spans="1:1" x14ac:dyDescent="0.25">
      <c r="A76" s="66"/>
    </row>
    <row r="77" spans="1:1" x14ac:dyDescent="0.25">
      <c r="A77" s="66"/>
    </row>
    <row r="78" spans="1:1" x14ac:dyDescent="0.25">
      <c r="A78" s="66"/>
    </row>
    <row r="79" spans="1:1" x14ac:dyDescent="0.25">
      <c r="A79" s="66"/>
    </row>
    <row r="80" spans="1:1" x14ac:dyDescent="0.25">
      <c r="A80" s="66"/>
    </row>
    <row r="81" spans="1:1" x14ac:dyDescent="0.25">
      <c r="A81" s="66"/>
    </row>
    <row r="82" spans="1:1" x14ac:dyDescent="0.25">
      <c r="A82" s="66"/>
    </row>
    <row r="83" spans="1:1" x14ac:dyDescent="0.25">
      <c r="A83" s="66"/>
    </row>
    <row r="84" spans="1:1" x14ac:dyDescent="0.25">
      <c r="A84" s="66"/>
    </row>
    <row r="85" spans="1:1" x14ac:dyDescent="0.25">
      <c r="A85" s="66"/>
    </row>
    <row r="86" spans="1:1" x14ac:dyDescent="0.25">
      <c r="A86" s="66"/>
    </row>
    <row r="87" spans="1:1" x14ac:dyDescent="0.25">
      <c r="A87" s="66"/>
    </row>
    <row r="88" spans="1:1" x14ac:dyDescent="0.25">
      <c r="A88" s="66"/>
    </row>
    <row r="89" spans="1:1" x14ac:dyDescent="0.25">
      <c r="A89" s="66"/>
    </row>
    <row r="90" spans="1:1" x14ac:dyDescent="0.25">
      <c r="A90" s="66"/>
    </row>
    <row r="91" spans="1:1" x14ac:dyDescent="0.25">
      <c r="A91" s="66"/>
    </row>
    <row r="92" spans="1:1" x14ac:dyDescent="0.25">
      <c r="A92" s="66"/>
    </row>
    <row r="93" spans="1:1" x14ac:dyDescent="0.25">
      <c r="A93" s="66"/>
    </row>
    <row r="94" spans="1:1" x14ac:dyDescent="0.25">
      <c r="A94" s="66"/>
    </row>
    <row r="95" spans="1:1" x14ac:dyDescent="0.25">
      <c r="A95" s="66"/>
    </row>
    <row r="96" spans="1:1" x14ac:dyDescent="0.25">
      <c r="A96" s="66"/>
    </row>
    <row r="97" spans="1:1" x14ac:dyDescent="0.25">
      <c r="A97" s="66"/>
    </row>
    <row r="98" spans="1:1" x14ac:dyDescent="0.25">
      <c r="A98" s="66"/>
    </row>
    <row r="99" spans="1:1" x14ac:dyDescent="0.25">
      <c r="A99" s="66"/>
    </row>
    <row r="100" spans="1:1" x14ac:dyDescent="0.25">
      <c r="A100" s="66"/>
    </row>
    <row r="101" spans="1:1" x14ac:dyDescent="0.25">
      <c r="A101" s="66"/>
    </row>
    <row r="102" spans="1:1" x14ac:dyDescent="0.25">
      <c r="A102" s="66"/>
    </row>
    <row r="103" spans="1:1" x14ac:dyDescent="0.25">
      <c r="A103" s="66"/>
    </row>
    <row r="104" spans="1:1" x14ac:dyDescent="0.25">
      <c r="A104" s="66"/>
    </row>
    <row r="105" spans="1:1" x14ac:dyDescent="0.25">
      <c r="A105" s="66"/>
    </row>
    <row r="106" spans="1:1" x14ac:dyDescent="0.25">
      <c r="A106" s="66"/>
    </row>
    <row r="107" spans="1:1" x14ac:dyDescent="0.25">
      <c r="A107" s="66"/>
    </row>
    <row r="108" spans="1:1" x14ac:dyDescent="0.25">
      <c r="A108" s="66"/>
    </row>
    <row r="109" spans="1:1" x14ac:dyDescent="0.25">
      <c r="A109" s="66"/>
    </row>
    <row r="110" spans="1:1" x14ac:dyDescent="0.25">
      <c r="A110" s="66"/>
    </row>
    <row r="111" spans="1:1" x14ac:dyDescent="0.25">
      <c r="A111" s="66"/>
    </row>
    <row r="112" spans="1:1" x14ac:dyDescent="0.25">
      <c r="A112" s="66"/>
    </row>
    <row r="113" spans="1:1" x14ac:dyDescent="0.25">
      <c r="A113" s="66"/>
    </row>
    <row r="114" spans="1:1" x14ac:dyDescent="0.25">
      <c r="A114" s="66"/>
    </row>
    <row r="115" spans="1:1" x14ac:dyDescent="0.25">
      <c r="A115" s="66"/>
    </row>
    <row r="116" spans="1:1" x14ac:dyDescent="0.25">
      <c r="A116" s="66"/>
    </row>
    <row r="117" spans="1:1" x14ac:dyDescent="0.25">
      <c r="A117" s="66"/>
    </row>
    <row r="118" spans="1:1" x14ac:dyDescent="0.25">
      <c r="A118" s="66"/>
    </row>
    <row r="119" spans="1:1" x14ac:dyDescent="0.25">
      <c r="A119" s="66"/>
    </row>
    <row r="120" spans="1:1" x14ac:dyDescent="0.25">
      <c r="A120" s="66"/>
    </row>
    <row r="121" spans="1:1" x14ac:dyDescent="0.25">
      <c r="A121" s="66"/>
    </row>
    <row r="122" spans="1:1" x14ac:dyDescent="0.25">
      <c r="A122" s="66"/>
    </row>
    <row r="123" spans="1:1" x14ac:dyDescent="0.25">
      <c r="A123" s="66"/>
    </row>
    <row r="124" spans="1:1" x14ac:dyDescent="0.25">
      <c r="A124" s="66"/>
    </row>
    <row r="125" spans="1:1" x14ac:dyDescent="0.25">
      <c r="A125" s="66"/>
    </row>
    <row r="126" spans="1:1" x14ac:dyDescent="0.25">
      <c r="A126" s="66"/>
    </row>
    <row r="127" spans="1:1" x14ac:dyDescent="0.25">
      <c r="A127" s="66"/>
    </row>
    <row r="128" spans="1:1" x14ac:dyDescent="0.25">
      <c r="A128" s="66"/>
    </row>
    <row r="129" spans="1:1" x14ac:dyDescent="0.25">
      <c r="A129" s="66"/>
    </row>
    <row r="130" spans="1:1" x14ac:dyDescent="0.25">
      <c r="A130" s="66"/>
    </row>
    <row r="131" spans="1:1" x14ac:dyDescent="0.25">
      <c r="A131" s="66"/>
    </row>
    <row r="132" spans="1:1" x14ac:dyDescent="0.25">
      <c r="A132" s="66"/>
    </row>
    <row r="133" spans="1:1" x14ac:dyDescent="0.25">
      <c r="A133" s="66"/>
    </row>
    <row r="134" spans="1:1" x14ac:dyDescent="0.25">
      <c r="A134" s="66"/>
    </row>
    <row r="135" spans="1:1" x14ac:dyDescent="0.25">
      <c r="A135" s="66"/>
    </row>
    <row r="136" spans="1:1" x14ac:dyDescent="0.25">
      <c r="A136" s="66"/>
    </row>
    <row r="137" spans="1:1" x14ac:dyDescent="0.25">
      <c r="A137" s="66"/>
    </row>
    <row r="138" spans="1:1" x14ac:dyDescent="0.25">
      <c r="A138" s="66"/>
    </row>
    <row r="139" spans="1:1" x14ac:dyDescent="0.25">
      <c r="A139" s="66"/>
    </row>
    <row r="140" spans="1:1" x14ac:dyDescent="0.25">
      <c r="A140" s="66"/>
    </row>
    <row r="141" spans="1:1" x14ac:dyDescent="0.25">
      <c r="A141" s="66"/>
    </row>
    <row r="142" spans="1:1" x14ac:dyDescent="0.25">
      <c r="A142" s="66"/>
    </row>
    <row r="143" spans="1:1" x14ac:dyDescent="0.25">
      <c r="A143" s="66"/>
    </row>
    <row r="144" spans="1:1" x14ac:dyDescent="0.25">
      <c r="A144" s="66"/>
    </row>
    <row r="145" spans="1:1" x14ac:dyDescent="0.25">
      <c r="A145" s="66"/>
    </row>
    <row r="146" spans="1:1" x14ac:dyDescent="0.25">
      <c r="A146" s="66"/>
    </row>
    <row r="147" spans="1:1" x14ac:dyDescent="0.25">
      <c r="A147" s="66"/>
    </row>
    <row r="148" spans="1:1" x14ac:dyDescent="0.25">
      <c r="A148" s="66"/>
    </row>
    <row r="149" spans="1:1" x14ac:dyDescent="0.25">
      <c r="A149" s="66"/>
    </row>
    <row r="150" spans="1:1" x14ac:dyDescent="0.25">
      <c r="A150" s="66"/>
    </row>
    <row r="151" spans="1:1" x14ac:dyDescent="0.25">
      <c r="A151" s="66"/>
    </row>
    <row r="152" spans="1:1" x14ac:dyDescent="0.25">
      <c r="A152" s="66"/>
    </row>
    <row r="153" spans="1:1" x14ac:dyDescent="0.25">
      <c r="A153" s="66"/>
    </row>
    <row r="154" spans="1:1" x14ac:dyDescent="0.25">
      <c r="A154" s="66"/>
    </row>
    <row r="155" spans="1:1" x14ac:dyDescent="0.25">
      <c r="A155" s="66"/>
    </row>
    <row r="156" spans="1:1" x14ac:dyDescent="0.25">
      <c r="A156" s="66"/>
    </row>
    <row r="157" spans="1:1" x14ac:dyDescent="0.25">
      <c r="A157" s="66"/>
    </row>
    <row r="158" spans="1:1" x14ac:dyDescent="0.25">
      <c r="A158" s="66"/>
    </row>
    <row r="159" spans="1:1" x14ac:dyDescent="0.25">
      <c r="A159" s="66"/>
    </row>
    <row r="160" spans="1:1" x14ac:dyDescent="0.25">
      <c r="A160" s="66"/>
    </row>
    <row r="161" spans="1:1" x14ac:dyDescent="0.25">
      <c r="A161" s="66"/>
    </row>
    <row r="162" spans="1:1" x14ac:dyDescent="0.25">
      <c r="A162" s="66"/>
    </row>
    <row r="163" spans="1:1" x14ac:dyDescent="0.25">
      <c r="A163" s="66"/>
    </row>
    <row r="164" spans="1:1" x14ac:dyDescent="0.25">
      <c r="A164" s="66"/>
    </row>
    <row r="165" spans="1:1" x14ac:dyDescent="0.25">
      <c r="A165" s="66"/>
    </row>
    <row r="166" spans="1:1" x14ac:dyDescent="0.25">
      <c r="A166" s="66"/>
    </row>
    <row r="167" spans="1:1" x14ac:dyDescent="0.25">
      <c r="A167" s="66"/>
    </row>
    <row r="168" spans="1:1" x14ac:dyDescent="0.25">
      <c r="A168" s="66"/>
    </row>
    <row r="169" spans="1:1" x14ac:dyDescent="0.25">
      <c r="A169" s="66"/>
    </row>
    <row r="170" spans="1:1" x14ac:dyDescent="0.25">
      <c r="A170" s="66"/>
    </row>
    <row r="171" spans="1:1" x14ac:dyDescent="0.25">
      <c r="A171" s="66"/>
    </row>
    <row r="172" spans="1:1" x14ac:dyDescent="0.25">
      <c r="A172" s="66"/>
    </row>
    <row r="173" spans="1:1" x14ac:dyDescent="0.25">
      <c r="A173" s="66"/>
    </row>
    <row r="174" spans="1:1" x14ac:dyDescent="0.25">
      <c r="A174" s="66"/>
    </row>
    <row r="175" spans="1:1" x14ac:dyDescent="0.25">
      <c r="A175" s="66"/>
    </row>
    <row r="176" spans="1:1" x14ac:dyDescent="0.25">
      <c r="A176" s="66"/>
    </row>
    <row r="177" spans="1:1" x14ac:dyDescent="0.25">
      <c r="A177" s="66"/>
    </row>
    <row r="178" spans="1:1" x14ac:dyDescent="0.25">
      <c r="A178" s="66"/>
    </row>
    <row r="179" spans="1:1" x14ac:dyDescent="0.25">
      <c r="A179" s="66"/>
    </row>
    <row r="180" spans="1:1" x14ac:dyDescent="0.25">
      <c r="A180" s="66"/>
    </row>
    <row r="181" spans="1:1" x14ac:dyDescent="0.25">
      <c r="A181" s="66"/>
    </row>
    <row r="182" spans="1:1" x14ac:dyDescent="0.25">
      <c r="A182" s="66"/>
    </row>
    <row r="183" spans="1:1" x14ac:dyDescent="0.25">
      <c r="A183" s="66"/>
    </row>
    <row r="184" spans="1:1" x14ac:dyDescent="0.25">
      <c r="A184" s="66"/>
    </row>
    <row r="185" spans="1:1" x14ac:dyDescent="0.25">
      <c r="A185" s="66"/>
    </row>
    <row r="186" spans="1:1" x14ac:dyDescent="0.25">
      <c r="A186" s="66"/>
    </row>
    <row r="187" spans="1:1" x14ac:dyDescent="0.25">
      <c r="A187" s="66"/>
    </row>
    <row r="188" spans="1:1" x14ac:dyDescent="0.25">
      <c r="A188" s="66"/>
    </row>
    <row r="189" spans="1:1" x14ac:dyDescent="0.25">
      <c r="A189" s="66"/>
    </row>
    <row r="190" spans="1:1" x14ac:dyDescent="0.25">
      <c r="A190" s="66"/>
    </row>
    <row r="191" spans="1:1" x14ac:dyDescent="0.25">
      <c r="A191" s="66"/>
    </row>
    <row r="192" spans="1:1" x14ac:dyDescent="0.25">
      <c r="A192" s="66"/>
    </row>
    <row r="193" spans="1:1" x14ac:dyDescent="0.25">
      <c r="A193" s="66"/>
    </row>
    <row r="194" spans="1:1" x14ac:dyDescent="0.25">
      <c r="A194" s="66"/>
    </row>
    <row r="195" spans="1:1" x14ac:dyDescent="0.25">
      <c r="A195" s="66"/>
    </row>
    <row r="196" spans="1:1" x14ac:dyDescent="0.25">
      <c r="A196" s="66"/>
    </row>
    <row r="197" spans="1:1" x14ac:dyDescent="0.25">
      <c r="A197" s="66"/>
    </row>
    <row r="198" spans="1:1" x14ac:dyDescent="0.25">
      <c r="A198" s="66"/>
    </row>
    <row r="199" spans="1:1" x14ac:dyDescent="0.25">
      <c r="A199" s="66"/>
    </row>
    <row r="200" spans="1:1" x14ac:dyDescent="0.25">
      <c r="A200" s="66"/>
    </row>
    <row r="201" spans="1:1" x14ac:dyDescent="0.25">
      <c r="A201" s="66"/>
    </row>
    <row r="202" spans="1:1" x14ac:dyDescent="0.25">
      <c r="A202" s="66"/>
    </row>
    <row r="203" spans="1:1" x14ac:dyDescent="0.25">
      <c r="A203" s="66"/>
    </row>
    <row r="204" spans="1:1" x14ac:dyDescent="0.25">
      <c r="A204" s="66"/>
    </row>
    <row r="205" spans="1:1" x14ac:dyDescent="0.25">
      <c r="A205" s="66"/>
    </row>
    <row r="206" spans="1:1" x14ac:dyDescent="0.25">
      <c r="A206" s="66"/>
    </row>
    <row r="207" spans="1:1" x14ac:dyDescent="0.25">
      <c r="A207" s="66"/>
    </row>
    <row r="208" spans="1:1" x14ac:dyDescent="0.25">
      <c r="A208" s="66"/>
    </row>
    <row r="209" spans="1:1" x14ac:dyDescent="0.25">
      <c r="A209" s="66"/>
    </row>
    <row r="210" spans="1:1" x14ac:dyDescent="0.25">
      <c r="A210" s="66"/>
    </row>
    <row r="211" spans="1:1" x14ac:dyDescent="0.25">
      <c r="A211" s="66"/>
    </row>
    <row r="212" spans="1:1" x14ac:dyDescent="0.25">
      <c r="A212" s="66"/>
    </row>
    <row r="213" spans="1:1" x14ac:dyDescent="0.25">
      <c r="A213" s="66"/>
    </row>
    <row r="214" spans="1:1" x14ac:dyDescent="0.25">
      <c r="A214" s="66"/>
    </row>
    <row r="215" spans="1:1" x14ac:dyDescent="0.25">
      <c r="A215" s="66"/>
    </row>
    <row r="216" spans="1:1" x14ac:dyDescent="0.25">
      <c r="A216" s="66"/>
    </row>
    <row r="217" spans="1:1" x14ac:dyDescent="0.25">
      <c r="A217" s="66"/>
    </row>
    <row r="218" spans="1:1" x14ac:dyDescent="0.25">
      <c r="A218" s="66"/>
    </row>
    <row r="219" spans="1:1" x14ac:dyDescent="0.25">
      <c r="A219" s="66"/>
    </row>
    <row r="220" spans="1:1" x14ac:dyDescent="0.25">
      <c r="A220" s="66"/>
    </row>
    <row r="221" spans="1:1" x14ac:dyDescent="0.25">
      <c r="A221" s="66"/>
    </row>
    <row r="222" spans="1:1" x14ac:dyDescent="0.25">
      <c r="A222" s="66"/>
    </row>
    <row r="223" spans="1:1" x14ac:dyDescent="0.25">
      <c r="A223" s="66"/>
    </row>
    <row r="224" spans="1:1" x14ac:dyDescent="0.25">
      <c r="A224" s="66"/>
    </row>
    <row r="225" spans="1:1" x14ac:dyDescent="0.25">
      <c r="A225" s="66"/>
    </row>
    <row r="226" spans="1:1" x14ac:dyDescent="0.25">
      <c r="A226" s="66"/>
    </row>
    <row r="227" spans="1:1" x14ac:dyDescent="0.25">
      <c r="A227" s="66"/>
    </row>
    <row r="228" spans="1:1" x14ac:dyDescent="0.25">
      <c r="A228" s="66"/>
    </row>
    <row r="229" spans="1:1" x14ac:dyDescent="0.25">
      <c r="A229" s="66"/>
    </row>
    <row r="230" spans="1:1" x14ac:dyDescent="0.25">
      <c r="A230" s="66"/>
    </row>
    <row r="231" spans="1:1" x14ac:dyDescent="0.25">
      <c r="A231" s="66"/>
    </row>
    <row r="232" spans="1:1" x14ac:dyDescent="0.25">
      <c r="A232" s="66"/>
    </row>
    <row r="233" spans="1:1" x14ac:dyDescent="0.25">
      <c r="A233" s="66"/>
    </row>
    <row r="234" spans="1:1" x14ac:dyDescent="0.25">
      <c r="A234" s="66"/>
    </row>
    <row r="235" spans="1:1" x14ac:dyDescent="0.25">
      <c r="A235" s="66"/>
    </row>
    <row r="236" spans="1:1" x14ac:dyDescent="0.25">
      <c r="A236" s="66"/>
    </row>
    <row r="237" spans="1:1" x14ac:dyDescent="0.25">
      <c r="A237" s="66"/>
    </row>
    <row r="238" spans="1:1" x14ac:dyDescent="0.25">
      <c r="A238" s="66"/>
    </row>
    <row r="239" spans="1:1" x14ac:dyDescent="0.25">
      <c r="A239" s="66"/>
    </row>
    <row r="240" spans="1:1" x14ac:dyDescent="0.25">
      <c r="A240" s="66"/>
    </row>
    <row r="241" spans="1:1" x14ac:dyDescent="0.25">
      <c r="A241" s="66"/>
    </row>
    <row r="242" spans="1:1" x14ac:dyDescent="0.25">
      <c r="A242" s="66"/>
    </row>
    <row r="243" spans="1:1" x14ac:dyDescent="0.25">
      <c r="A243" s="66"/>
    </row>
    <row r="244" spans="1:1" x14ac:dyDescent="0.25">
      <c r="A244" s="66"/>
    </row>
    <row r="245" spans="1:1" x14ac:dyDescent="0.25">
      <c r="A245" s="66"/>
    </row>
    <row r="246" spans="1:1" x14ac:dyDescent="0.25">
      <c r="A246" s="66"/>
    </row>
    <row r="247" spans="1:1" x14ac:dyDescent="0.25">
      <c r="A247" s="66"/>
    </row>
    <row r="248" spans="1:1" x14ac:dyDescent="0.25">
      <c r="A248" s="66"/>
    </row>
    <row r="249" spans="1:1" x14ac:dyDescent="0.25">
      <c r="A249" s="66"/>
    </row>
    <row r="250" spans="1:1" x14ac:dyDescent="0.25">
      <c r="A250" s="66"/>
    </row>
    <row r="251" spans="1:1" x14ac:dyDescent="0.25">
      <c r="A251" s="66"/>
    </row>
    <row r="252" spans="1:1" x14ac:dyDescent="0.25">
      <c r="A252" s="66"/>
    </row>
    <row r="253" spans="1:1" x14ac:dyDescent="0.25">
      <c r="A253" s="66"/>
    </row>
    <row r="254" spans="1:1" x14ac:dyDescent="0.25">
      <c r="A254" s="66"/>
    </row>
    <row r="255" spans="1:1" x14ac:dyDescent="0.25">
      <c r="A255" s="66"/>
    </row>
    <row r="256" spans="1:1" x14ac:dyDescent="0.25">
      <c r="A256" s="66"/>
    </row>
    <row r="257" spans="1:1" x14ac:dyDescent="0.25">
      <c r="A257" s="66"/>
    </row>
    <row r="258" spans="1:1" x14ac:dyDescent="0.25">
      <c r="A258" s="66"/>
    </row>
    <row r="259" spans="1:1" x14ac:dyDescent="0.25">
      <c r="A259" s="66"/>
    </row>
    <row r="260" spans="1:1" x14ac:dyDescent="0.25">
      <c r="A260" s="66"/>
    </row>
    <row r="261" spans="1:1" x14ac:dyDescent="0.25">
      <c r="A261" s="66"/>
    </row>
    <row r="262" spans="1:1" x14ac:dyDescent="0.25">
      <c r="A262" s="66"/>
    </row>
    <row r="263" spans="1:1" x14ac:dyDescent="0.25">
      <c r="A263" s="66"/>
    </row>
    <row r="264" spans="1:1" x14ac:dyDescent="0.25">
      <c r="A264" s="66"/>
    </row>
    <row r="265" spans="1:1" x14ac:dyDescent="0.25">
      <c r="A265" s="66"/>
    </row>
    <row r="266" spans="1:1" x14ac:dyDescent="0.25">
      <c r="A266" s="66"/>
    </row>
    <row r="267" spans="1:1" x14ac:dyDescent="0.25">
      <c r="A267" s="66"/>
    </row>
    <row r="268" spans="1:1" x14ac:dyDescent="0.25">
      <c r="A268" s="66"/>
    </row>
    <row r="269" spans="1:1" x14ac:dyDescent="0.25">
      <c r="A269" s="66"/>
    </row>
    <row r="270" spans="1:1" x14ac:dyDescent="0.25">
      <c r="A270" s="66"/>
    </row>
    <row r="271" spans="1:1" x14ac:dyDescent="0.25">
      <c r="A271" s="66"/>
    </row>
    <row r="272" spans="1:1" x14ac:dyDescent="0.25">
      <c r="A272" s="66"/>
    </row>
    <row r="273" spans="1:1" x14ac:dyDescent="0.25">
      <c r="A273" s="66"/>
    </row>
    <row r="274" spans="1:1" x14ac:dyDescent="0.25">
      <c r="A274" s="66"/>
    </row>
    <row r="275" spans="1:1" x14ac:dyDescent="0.25">
      <c r="A275" s="66"/>
    </row>
    <row r="276" spans="1:1" x14ac:dyDescent="0.25">
      <c r="A276" s="66"/>
    </row>
    <row r="277" spans="1:1" x14ac:dyDescent="0.25">
      <c r="A277" s="66"/>
    </row>
    <row r="278" spans="1:1" x14ac:dyDescent="0.25">
      <c r="A278" s="66"/>
    </row>
    <row r="279" spans="1:1" x14ac:dyDescent="0.25">
      <c r="A279" s="66"/>
    </row>
    <row r="280" spans="1:1" x14ac:dyDescent="0.25">
      <c r="A280" s="66"/>
    </row>
    <row r="281" spans="1:1" x14ac:dyDescent="0.25">
      <c r="A281" s="66"/>
    </row>
    <row r="282" spans="1:1" x14ac:dyDescent="0.25">
      <c r="A282" s="66"/>
    </row>
    <row r="283" spans="1:1" x14ac:dyDescent="0.25">
      <c r="A283" s="66"/>
    </row>
    <row r="284" spans="1:1" x14ac:dyDescent="0.25">
      <c r="A284" s="66"/>
    </row>
    <row r="285" spans="1:1" x14ac:dyDescent="0.25">
      <c r="A285" s="66"/>
    </row>
    <row r="286" spans="1:1" x14ac:dyDescent="0.25">
      <c r="A286" s="66"/>
    </row>
    <row r="287" spans="1:1" x14ac:dyDescent="0.25">
      <c r="A287" s="66"/>
    </row>
    <row r="288" spans="1:1" x14ac:dyDescent="0.25">
      <c r="A288" s="66"/>
    </row>
    <row r="289" spans="1:1" x14ac:dyDescent="0.25">
      <c r="A289" s="66"/>
    </row>
    <row r="290" spans="1:1" x14ac:dyDescent="0.25">
      <c r="A290" s="66"/>
    </row>
    <row r="291" spans="1:1" x14ac:dyDescent="0.25">
      <c r="A291" s="66"/>
    </row>
    <row r="292" spans="1:1" x14ac:dyDescent="0.25">
      <c r="A292" s="66"/>
    </row>
    <row r="293" spans="1:1" x14ac:dyDescent="0.25">
      <c r="A293" s="66"/>
    </row>
    <row r="294" spans="1:1" x14ac:dyDescent="0.25">
      <c r="A294" s="66"/>
    </row>
    <row r="295" spans="1:1" x14ac:dyDescent="0.25">
      <c r="A295" s="66"/>
    </row>
    <row r="296" spans="1:1" x14ac:dyDescent="0.25">
      <c r="A296" s="66"/>
    </row>
    <row r="297" spans="1:1" x14ac:dyDescent="0.25">
      <c r="A297" s="66"/>
    </row>
    <row r="298" spans="1:1" x14ac:dyDescent="0.25">
      <c r="A298" s="66"/>
    </row>
    <row r="299" spans="1:1" x14ac:dyDescent="0.25">
      <c r="A299" s="66"/>
    </row>
    <row r="300" spans="1:1" x14ac:dyDescent="0.25">
      <c r="A300" s="66"/>
    </row>
    <row r="301" spans="1:1" x14ac:dyDescent="0.25">
      <c r="A301" s="66"/>
    </row>
    <row r="302" spans="1:1" x14ac:dyDescent="0.25">
      <c r="A302" s="66"/>
    </row>
    <row r="303" spans="1:1" x14ac:dyDescent="0.25">
      <c r="A303" s="66"/>
    </row>
    <row r="304" spans="1:1" x14ac:dyDescent="0.25">
      <c r="A304" s="66"/>
    </row>
    <row r="305" spans="1:1" x14ac:dyDescent="0.25">
      <c r="A305" s="66"/>
    </row>
    <row r="306" spans="1:1" x14ac:dyDescent="0.25">
      <c r="A306" s="66"/>
    </row>
    <row r="307" spans="1:1" x14ac:dyDescent="0.25">
      <c r="A307" s="66"/>
    </row>
    <row r="308" spans="1:1" x14ac:dyDescent="0.25">
      <c r="A308" s="66"/>
    </row>
    <row r="309" spans="1:1" x14ac:dyDescent="0.25">
      <c r="A309" s="66"/>
    </row>
    <row r="310" spans="1:1" x14ac:dyDescent="0.25">
      <c r="A310" s="66"/>
    </row>
    <row r="311" spans="1:1" x14ac:dyDescent="0.25">
      <c r="A311" s="66"/>
    </row>
    <row r="312" spans="1:1" x14ac:dyDescent="0.25">
      <c r="A312" s="66"/>
    </row>
    <row r="313" spans="1:1" x14ac:dyDescent="0.25">
      <c r="A313" s="66"/>
    </row>
    <row r="314" spans="1:1" x14ac:dyDescent="0.25">
      <c r="A314" s="66"/>
    </row>
    <row r="315" spans="1:1" x14ac:dyDescent="0.25">
      <c r="A315" s="66"/>
    </row>
    <row r="316" spans="1:1" x14ac:dyDescent="0.25">
      <c r="A316" s="66"/>
    </row>
    <row r="317" spans="1:1" x14ac:dyDescent="0.25">
      <c r="A317" s="66"/>
    </row>
    <row r="318" spans="1:1" x14ac:dyDescent="0.25">
      <c r="A318" s="66"/>
    </row>
    <row r="319" spans="1:1" x14ac:dyDescent="0.25">
      <c r="A319" s="66"/>
    </row>
    <row r="320" spans="1:1" x14ac:dyDescent="0.25">
      <c r="A320" s="66"/>
    </row>
    <row r="321" spans="1:1" x14ac:dyDescent="0.25">
      <c r="A321" s="66"/>
    </row>
    <row r="322" spans="1:1" x14ac:dyDescent="0.25">
      <c r="A322" s="66"/>
    </row>
    <row r="323" spans="1:1" x14ac:dyDescent="0.25">
      <c r="A323" s="66"/>
    </row>
    <row r="324" spans="1:1" x14ac:dyDescent="0.25">
      <c r="A324" s="66"/>
    </row>
    <row r="325" spans="1:1" x14ac:dyDescent="0.25">
      <c r="A325" s="66"/>
    </row>
    <row r="326" spans="1:1" x14ac:dyDescent="0.25">
      <c r="A326" s="66"/>
    </row>
    <row r="327" spans="1:1" x14ac:dyDescent="0.25">
      <c r="A327" s="66"/>
    </row>
    <row r="328" spans="1:1" x14ac:dyDescent="0.25">
      <c r="A328" s="66"/>
    </row>
    <row r="329" spans="1:1" x14ac:dyDescent="0.25">
      <c r="A329" s="66"/>
    </row>
    <row r="330" spans="1:1" x14ac:dyDescent="0.25">
      <c r="A330" s="66"/>
    </row>
    <row r="331" spans="1:1" x14ac:dyDescent="0.25">
      <c r="A331" s="66"/>
    </row>
    <row r="332" spans="1:1" x14ac:dyDescent="0.25">
      <c r="A332" s="66"/>
    </row>
    <row r="333" spans="1:1" x14ac:dyDescent="0.25">
      <c r="A333" s="66"/>
    </row>
    <row r="334" spans="1:1" x14ac:dyDescent="0.25">
      <c r="A334" s="66"/>
    </row>
    <row r="335" spans="1:1" x14ac:dyDescent="0.25">
      <c r="A335" s="66"/>
    </row>
    <row r="336" spans="1:1" x14ac:dyDescent="0.25">
      <c r="A336" s="66"/>
    </row>
    <row r="337" spans="1:1" x14ac:dyDescent="0.25">
      <c r="A337" s="66"/>
    </row>
    <row r="338" spans="1:1" x14ac:dyDescent="0.25">
      <c r="A338" s="66"/>
    </row>
    <row r="339" spans="1:1" x14ac:dyDescent="0.25">
      <c r="A339" s="66"/>
    </row>
    <row r="340" spans="1:1" x14ac:dyDescent="0.25">
      <c r="A340" s="66"/>
    </row>
    <row r="341" spans="1:1" x14ac:dyDescent="0.25">
      <c r="A341" s="66"/>
    </row>
    <row r="342" spans="1:1" x14ac:dyDescent="0.25">
      <c r="A342" s="66"/>
    </row>
    <row r="343" spans="1:1" x14ac:dyDescent="0.25">
      <c r="A343" s="66"/>
    </row>
    <row r="344" spans="1:1" x14ac:dyDescent="0.25">
      <c r="A344" s="66"/>
    </row>
    <row r="345" spans="1:1" x14ac:dyDescent="0.25">
      <c r="A345" s="66"/>
    </row>
    <row r="346" spans="1:1" x14ac:dyDescent="0.25">
      <c r="A346" s="66"/>
    </row>
    <row r="347" spans="1:1" x14ac:dyDescent="0.25">
      <c r="A347" s="66"/>
    </row>
    <row r="348" spans="1:1" x14ac:dyDescent="0.25">
      <c r="A348" s="66"/>
    </row>
    <row r="349" spans="1:1" x14ac:dyDescent="0.25">
      <c r="A349" s="66"/>
    </row>
    <row r="350" spans="1:1" x14ac:dyDescent="0.25">
      <c r="A350" s="66"/>
    </row>
    <row r="351" spans="1:1" x14ac:dyDescent="0.25">
      <c r="A351" s="66"/>
    </row>
    <row r="352" spans="1:1" x14ac:dyDescent="0.25">
      <c r="A352" s="66"/>
    </row>
    <row r="353" spans="1:1" x14ac:dyDescent="0.25">
      <c r="A353" s="66"/>
    </row>
    <row r="354" spans="1:1" x14ac:dyDescent="0.25">
      <c r="A354" s="66"/>
    </row>
    <row r="355" spans="1:1" x14ac:dyDescent="0.25">
      <c r="A355" s="66"/>
    </row>
    <row r="356" spans="1:1" x14ac:dyDescent="0.25">
      <c r="A356" s="66"/>
    </row>
    <row r="357" spans="1:1" x14ac:dyDescent="0.25">
      <c r="A357" s="66"/>
    </row>
    <row r="358" spans="1:1" x14ac:dyDescent="0.25">
      <c r="A358" s="66"/>
    </row>
    <row r="359" spans="1:1" x14ac:dyDescent="0.25">
      <c r="A359" s="66"/>
    </row>
    <row r="360" spans="1:1" x14ac:dyDescent="0.25">
      <c r="A360" s="66"/>
    </row>
    <row r="361" spans="1:1" x14ac:dyDescent="0.25">
      <c r="A361" s="66"/>
    </row>
    <row r="362" spans="1:1" x14ac:dyDescent="0.25">
      <c r="A362" s="66"/>
    </row>
    <row r="363" spans="1:1" x14ac:dyDescent="0.25">
      <c r="A363" s="66"/>
    </row>
    <row r="364" spans="1:1" x14ac:dyDescent="0.25">
      <c r="A364" s="66"/>
    </row>
    <row r="365" spans="1:1" x14ac:dyDescent="0.25">
      <c r="A365" s="66"/>
    </row>
    <row r="366" spans="1:1" x14ac:dyDescent="0.25">
      <c r="A366" s="66"/>
    </row>
    <row r="367" spans="1:1" x14ac:dyDescent="0.25">
      <c r="A367" s="66"/>
    </row>
    <row r="368" spans="1:1" x14ac:dyDescent="0.25">
      <c r="A368" s="66"/>
    </row>
    <row r="369" spans="1:1" x14ac:dyDescent="0.25">
      <c r="A369" s="66"/>
    </row>
    <row r="370" spans="1:1" x14ac:dyDescent="0.25">
      <c r="A370" s="66"/>
    </row>
    <row r="371" spans="1:1" x14ac:dyDescent="0.25">
      <c r="A371" s="66"/>
    </row>
    <row r="372" spans="1:1" x14ac:dyDescent="0.25">
      <c r="A372" s="66"/>
    </row>
    <row r="373" spans="1:1" x14ac:dyDescent="0.25">
      <c r="A373" s="66"/>
    </row>
    <row r="374" spans="1:1" x14ac:dyDescent="0.25">
      <c r="A374" s="66"/>
    </row>
    <row r="375" spans="1:1" x14ac:dyDescent="0.25">
      <c r="A375" s="66"/>
    </row>
    <row r="376" spans="1:1" x14ac:dyDescent="0.25">
      <c r="A376" s="66"/>
    </row>
    <row r="377" spans="1:1" x14ac:dyDescent="0.25">
      <c r="A377" s="66"/>
    </row>
    <row r="378" spans="1:1" x14ac:dyDescent="0.25">
      <c r="A378" s="66"/>
    </row>
    <row r="379" spans="1:1" x14ac:dyDescent="0.25">
      <c r="A379" s="66"/>
    </row>
    <row r="380" spans="1:1" x14ac:dyDescent="0.25">
      <c r="A380" s="66"/>
    </row>
    <row r="381" spans="1:1" x14ac:dyDescent="0.25">
      <c r="A381" s="66"/>
    </row>
    <row r="382" spans="1:1" x14ac:dyDescent="0.25">
      <c r="A382" s="66"/>
    </row>
    <row r="383" spans="1:1" x14ac:dyDescent="0.25">
      <c r="A383" s="66"/>
    </row>
    <row r="384" spans="1:1" x14ac:dyDescent="0.25">
      <c r="A384" s="66"/>
    </row>
    <row r="385" spans="1:1" x14ac:dyDescent="0.25">
      <c r="A385" s="66"/>
    </row>
    <row r="386" spans="1:1" x14ac:dyDescent="0.25">
      <c r="A386" s="66"/>
    </row>
    <row r="387" spans="1:1" x14ac:dyDescent="0.25">
      <c r="A387" s="66"/>
    </row>
    <row r="388" spans="1:1" x14ac:dyDescent="0.25">
      <c r="A388" s="66"/>
    </row>
    <row r="389" spans="1:1" x14ac:dyDescent="0.25">
      <c r="A389" s="66"/>
    </row>
    <row r="390" spans="1:1" x14ac:dyDescent="0.25">
      <c r="A390" s="66"/>
    </row>
    <row r="391" spans="1:1" x14ac:dyDescent="0.25">
      <c r="A391" s="66"/>
    </row>
    <row r="392" spans="1:1" x14ac:dyDescent="0.25">
      <c r="A392" s="66"/>
    </row>
    <row r="393" spans="1:1" x14ac:dyDescent="0.25">
      <c r="A393" s="66"/>
    </row>
    <row r="394" spans="1:1" x14ac:dyDescent="0.25">
      <c r="A394" s="66"/>
    </row>
    <row r="395" spans="1:1" x14ac:dyDescent="0.25">
      <c r="A395" s="66"/>
    </row>
    <row r="396" spans="1:1" x14ac:dyDescent="0.25">
      <c r="A396" s="66"/>
    </row>
    <row r="397" spans="1:1" x14ac:dyDescent="0.25">
      <c r="A397" s="66"/>
    </row>
    <row r="398" spans="1:1" x14ac:dyDescent="0.25">
      <c r="A398" s="66"/>
    </row>
    <row r="399" spans="1:1" x14ac:dyDescent="0.25">
      <c r="A399" s="66"/>
    </row>
    <row r="400" spans="1:1" x14ac:dyDescent="0.25">
      <c r="A400" s="66"/>
    </row>
    <row r="401" spans="1:1" x14ac:dyDescent="0.25">
      <c r="A401" s="66"/>
    </row>
    <row r="402" spans="1:1" x14ac:dyDescent="0.25">
      <c r="A402" s="66"/>
    </row>
    <row r="403" spans="1:1" x14ac:dyDescent="0.25">
      <c r="A403" s="66"/>
    </row>
    <row r="404" spans="1:1" x14ac:dyDescent="0.25">
      <c r="A404" s="66"/>
    </row>
    <row r="405" spans="1:1" x14ac:dyDescent="0.25">
      <c r="A405" s="66"/>
    </row>
    <row r="406" spans="1:1" x14ac:dyDescent="0.25">
      <c r="A406" s="66"/>
    </row>
    <row r="407" spans="1:1" x14ac:dyDescent="0.25">
      <c r="A407" s="66"/>
    </row>
    <row r="408" spans="1:1" x14ac:dyDescent="0.25">
      <c r="A408" s="66"/>
    </row>
    <row r="409" spans="1:1" x14ac:dyDescent="0.25">
      <c r="A409" s="66"/>
    </row>
    <row r="410" spans="1:1" x14ac:dyDescent="0.25">
      <c r="A410" s="66"/>
    </row>
    <row r="411" spans="1:1" x14ac:dyDescent="0.25">
      <c r="A411" s="66"/>
    </row>
    <row r="412" spans="1:1" x14ac:dyDescent="0.25">
      <c r="A412" s="66"/>
    </row>
    <row r="413" spans="1:1" x14ac:dyDescent="0.25">
      <c r="A413" s="66"/>
    </row>
    <row r="414" spans="1:1" x14ac:dyDescent="0.25">
      <c r="A414" s="66"/>
    </row>
    <row r="415" spans="1:1" x14ac:dyDescent="0.25">
      <c r="A415" s="66"/>
    </row>
    <row r="416" spans="1:1" x14ac:dyDescent="0.25">
      <c r="A416" s="66"/>
    </row>
    <row r="417" spans="1:1" x14ac:dyDescent="0.25">
      <c r="A417" s="66"/>
    </row>
    <row r="418" spans="1:1" x14ac:dyDescent="0.25">
      <c r="A418" s="66"/>
    </row>
    <row r="419" spans="1:1" x14ac:dyDescent="0.25">
      <c r="A419" s="66"/>
    </row>
    <row r="420" spans="1:1" x14ac:dyDescent="0.25">
      <c r="A420" s="66"/>
    </row>
    <row r="421" spans="1:1" x14ac:dyDescent="0.25">
      <c r="A421" s="66"/>
    </row>
    <row r="422" spans="1:1" x14ac:dyDescent="0.25">
      <c r="A422" s="66"/>
    </row>
    <row r="423" spans="1:1" x14ac:dyDescent="0.25">
      <c r="A423" s="66"/>
    </row>
    <row r="424" spans="1:1" x14ac:dyDescent="0.25">
      <c r="A424" s="66"/>
    </row>
    <row r="425" spans="1:1" x14ac:dyDescent="0.25">
      <c r="A425" s="66"/>
    </row>
    <row r="426" spans="1:1" x14ac:dyDescent="0.25">
      <c r="A426" s="66"/>
    </row>
    <row r="427" spans="1:1" x14ac:dyDescent="0.25">
      <c r="A427" s="66"/>
    </row>
    <row r="428" spans="1:1" x14ac:dyDescent="0.25">
      <c r="A428" s="66"/>
    </row>
    <row r="429" spans="1:1" x14ac:dyDescent="0.25">
      <c r="A429" s="66"/>
    </row>
    <row r="430" spans="1:1" x14ac:dyDescent="0.25">
      <c r="A430" s="66"/>
    </row>
    <row r="431" spans="1:1" x14ac:dyDescent="0.25">
      <c r="A431" s="66"/>
    </row>
    <row r="432" spans="1:1" x14ac:dyDescent="0.25">
      <c r="A432" s="66"/>
    </row>
    <row r="433" spans="1:1" x14ac:dyDescent="0.25">
      <c r="A433" s="66"/>
    </row>
    <row r="434" spans="1:1" x14ac:dyDescent="0.25">
      <c r="A434" s="66"/>
    </row>
    <row r="435" spans="1:1" x14ac:dyDescent="0.25">
      <c r="A435" s="66"/>
    </row>
    <row r="436" spans="1:1" x14ac:dyDescent="0.25">
      <c r="A436" s="66"/>
    </row>
    <row r="437" spans="1:1" x14ac:dyDescent="0.25">
      <c r="A437" s="66"/>
    </row>
    <row r="438" spans="1:1" x14ac:dyDescent="0.25">
      <c r="A438" s="66"/>
    </row>
    <row r="439" spans="1:1" x14ac:dyDescent="0.25">
      <c r="A439" s="66"/>
    </row>
    <row r="440" spans="1:1" x14ac:dyDescent="0.25">
      <c r="A440" s="66"/>
    </row>
    <row r="441" spans="1:1" x14ac:dyDescent="0.25">
      <c r="A441" s="66"/>
    </row>
    <row r="442" spans="1:1" x14ac:dyDescent="0.25">
      <c r="A442" s="66"/>
    </row>
    <row r="443" spans="1:1" x14ac:dyDescent="0.25">
      <c r="A443" s="66"/>
    </row>
    <row r="444" spans="1:1" x14ac:dyDescent="0.25">
      <c r="A444" s="66"/>
    </row>
    <row r="445" spans="1:1" x14ac:dyDescent="0.25">
      <c r="A445" s="66"/>
    </row>
    <row r="446" spans="1:1" x14ac:dyDescent="0.25">
      <c r="A446" s="66"/>
    </row>
    <row r="447" spans="1:1" x14ac:dyDescent="0.25">
      <c r="A447" s="66"/>
    </row>
    <row r="448" spans="1:1" x14ac:dyDescent="0.25">
      <c r="A448" s="66"/>
    </row>
    <row r="449" spans="1:1" x14ac:dyDescent="0.25">
      <c r="A449" s="66"/>
    </row>
    <row r="450" spans="1:1" x14ac:dyDescent="0.25">
      <c r="A450" s="66"/>
    </row>
    <row r="451" spans="1:1" x14ac:dyDescent="0.25">
      <c r="A451" s="66"/>
    </row>
    <row r="452" spans="1:1" x14ac:dyDescent="0.25">
      <c r="A452" s="66"/>
    </row>
    <row r="453" spans="1:1" x14ac:dyDescent="0.25">
      <c r="A453" s="66"/>
    </row>
    <row r="454" spans="1:1" x14ac:dyDescent="0.25">
      <c r="A454" s="66"/>
    </row>
    <row r="455" spans="1:1" x14ac:dyDescent="0.25">
      <c r="A455" s="66"/>
    </row>
    <row r="456" spans="1:1" x14ac:dyDescent="0.25">
      <c r="A456" s="66"/>
    </row>
    <row r="457" spans="1:1" x14ac:dyDescent="0.25">
      <c r="A457" s="66"/>
    </row>
    <row r="458" spans="1:1" x14ac:dyDescent="0.25">
      <c r="A458" s="66"/>
    </row>
    <row r="459" spans="1:1" x14ac:dyDescent="0.25">
      <c r="A459" s="66"/>
    </row>
    <row r="460" spans="1:1" x14ac:dyDescent="0.25">
      <c r="A460" s="66"/>
    </row>
    <row r="461" spans="1:1" x14ac:dyDescent="0.25">
      <c r="A461" s="66"/>
    </row>
    <row r="462" spans="1:1" x14ac:dyDescent="0.25">
      <c r="A462" s="66"/>
    </row>
    <row r="463" spans="1:1" x14ac:dyDescent="0.25">
      <c r="A463" s="66"/>
    </row>
    <row r="464" spans="1:1" x14ac:dyDescent="0.25">
      <c r="A464" s="66"/>
    </row>
    <row r="465" spans="1:1" x14ac:dyDescent="0.25">
      <c r="A465" s="66"/>
    </row>
    <row r="466" spans="1:1" x14ac:dyDescent="0.25">
      <c r="A466" s="66"/>
    </row>
    <row r="467" spans="1:1" x14ac:dyDescent="0.25">
      <c r="A467" s="66"/>
    </row>
    <row r="468" spans="1:1" x14ac:dyDescent="0.25">
      <c r="A468" s="66"/>
    </row>
    <row r="469" spans="1:1" x14ac:dyDescent="0.25">
      <c r="A469" s="66"/>
    </row>
    <row r="470" spans="1:1" x14ac:dyDescent="0.25">
      <c r="A470" s="66"/>
    </row>
    <row r="471" spans="1:1" x14ac:dyDescent="0.25">
      <c r="A471" s="66"/>
    </row>
    <row r="472" spans="1:1" x14ac:dyDescent="0.25">
      <c r="A472" s="66"/>
    </row>
    <row r="473" spans="1:1" x14ac:dyDescent="0.25">
      <c r="A473" s="66"/>
    </row>
    <row r="474" spans="1:1" x14ac:dyDescent="0.25">
      <c r="A474" s="66"/>
    </row>
    <row r="475" spans="1:1" x14ac:dyDescent="0.25">
      <c r="A475" s="66"/>
    </row>
    <row r="476" spans="1:1" x14ac:dyDescent="0.25">
      <c r="A476" s="66"/>
    </row>
    <row r="477" spans="1:1" x14ac:dyDescent="0.25">
      <c r="A477" s="66"/>
    </row>
    <row r="478" spans="1:1" x14ac:dyDescent="0.25">
      <c r="A478" s="66"/>
    </row>
    <row r="479" spans="1:1" x14ac:dyDescent="0.25">
      <c r="A479" s="66"/>
    </row>
    <row r="480" spans="1:1" x14ac:dyDescent="0.25">
      <c r="A480" s="66"/>
    </row>
    <row r="481" spans="1:1" x14ac:dyDescent="0.25">
      <c r="A481" s="66"/>
    </row>
    <row r="482" spans="1:1" x14ac:dyDescent="0.25">
      <c r="A482" s="66"/>
    </row>
    <row r="483" spans="1:1" x14ac:dyDescent="0.25">
      <c r="A483" s="66"/>
    </row>
    <row r="484" spans="1:1" x14ac:dyDescent="0.25">
      <c r="A484" s="66"/>
    </row>
    <row r="485" spans="1:1" x14ac:dyDescent="0.25">
      <c r="A485" s="66"/>
    </row>
    <row r="486" spans="1:1" x14ac:dyDescent="0.25">
      <c r="A486" s="66"/>
    </row>
    <row r="487" spans="1:1" x14ac:dyDescent="0.25">
      <c r="A487" s="66"/>
    </row>
    <row r="488" spans="1:1" x14ac:dyDescent="0.25">
      <c r="A488" s="66"/>
    </row>
    <row r="489" spans="1:1" x14ac:dyDescent="0.25">
      <c r="A489" s="66"/>
    </row>
    <row r="490" spans="1:1" x14ac:dyDescent="0.25">
      <c r="A490" s="66"/>
    </row>
    <row r="491" spans="1:1" x14ac:dyDescent="0.25">
      <c r="A491" s="66"/>
    </row>
    <row r="492" spans="1:1" x14ac:dyDescent="0.25">
      <c r="A492" s="66"/>
    </row>
    <row r="493" spans="1:1" x14ac:dyDescent="0.25">
      <c r="A493" s="66"/>
    </row>
    <row r="494" spans="1:1" x14ac:dyDescent="0.25">
      <c r="A494" s="66"/>
    </row>
    <row r="495" spans="1:1" x14ac:dyDescent="0.25">
      <c r="A495" s="66"/>
    </row>
    <row r="496" spans="1:1" x14ac:dyDescent="0.25">
      <c r="A496" s="66"/>
    </row>
    <row r="497" spans="1:1" x14ac:dyDescent="0.25">
      <c r="A497" s="66"/>
    </row>
    <row r="498" spans="1:1" x14ac:dyDescent="0.25">
      <c r="A498" s="66"/>
    </row>
    <row r="499" spans="1:1" x14ac:dyDescent="0.25">
      <c r="A499" s="66"/>
    </row>
    <row r="500" spans="1:1" x14ac:dyDescent="0.25">
      <c r="A500" s="66"/>
    </row>
    <row r="501" spans="1:1" x14ac:dyDescent="0.25">
      <c r="A501" s="66"/>
    </row>
    <row r="502" spans="1:1" x14ac:dyDescent="0.25">
      <c r="A502" s="66"/>
    </row>
    <row r="503" spans="1:1" x14ac:dyDescent="0.25">
      <c r="A503" s="66"/>
    </row>
    <row r="504" spans="1:1" x14ac:dyDescent="0.25">
      <c r="A504" s="66"/>
    </row>
    <row r="505" spans="1:1" x14ac:dyDescent="0.25">
      <c r="A505" s="66"/>
    </row>
    <row r="506" spans="1:1" x14ac:dyDescent="0.25">
      <c r="A506" s="66"/>
    </row>
    <row r="507" spans="1:1" x14ac:dyDescent="0.25">
      <c r="A507" s="66"/>
    </row>
    <row r="508" spans="1:1" x14ac:dyDescent="0.25">
      <c r="A508" s="66"/>
    </row>
    <row r="509" spans="1:1" x14ac:dyDescent="0.25">
      <c r="A509" s="66"/>
    </row>
    <row r="510" spans="1:1" x14ac:dyDescent="0.25">
      <c r="A510" s="66"/>
    </row>
    <row r="511" spans="1:1" x14ac:dyDescent="0.25">
      <c r="A511" s="66"/>
    </row>
    <row r="512" spans="1:1" x14ac:dyDescent="0.25">
      <c r="A512" s="66"/>
    </row>
    <row r="513" spans="1:1" x14ac:dyDescent="0.25">
      <c r="A513" s="66"/>
    </row>
    <row r="514" spans="1:1" x14ac:dyDescent="0.25">
      <c r="A514" s="66"/>
    </row>
    <row r="515" spans="1:1" x14ac:dyDescent="0.25">
      <c r="A515" s="66"/>
    </row>
    <row r="516" spans="1:1" x14ac:dyDescent="0.25">
      <c r="A516" s="66"/>
    </row>
    <row r="517" spans="1:1" x14ac:dyDescent="0.25">
      <c r="A517" s="66"/>
    </row>
    <row r="518" spans="1:1" x14ac:dyDescent="0.25">
      <c r="A518" s="66"/>
    </row>
    <row r="519" spans="1:1" x14ac:dyDescent="0.25">
      <c r="A519" s="66"/>
    </row>
    <row r="520" spans="1:1" x14ac:dyDescent="0.25">
      <c r="A520" s="66"/>
    </row>
    <row r="521" spans="1:1" x14ac:dyDescent="0.25">
      <c r="A521" s="66"/>
    </row>
    <row r="522" spans="1:1" x14ac:dyDescent="0.25">
      <c r="A522" s="66"/>
    </row>
    <row r="523" spans="1:1" x14ac:dyDescent="0.25">
      <c r="A523" s="66"/>
    </row>
    <row r="524" spans="1:1" x14ac:dyDescent="0.25">
      <c r="A524" s="66"/>
    </row>
    <row r="525" spans="1:1" x14ac:dyDescent="0.25">
      <c r="A525" s="66"/>
    </row>
    <row r="526" spans="1:1" x14ac:dyDescent="0.25">
      <c r="A526" s="66"/>
    </row>
    <row r="527" spans="1:1" x14ac:dyDescent="0.25">
      <c r="A527" s="66"/>
    </row>
    <row r="528" spans="1:1" x14ac:dyDescent="0.25">
      <c r="A528" s="66"/>
    </row>
    <row r="529" spans="1:1" x14ac:dyDescent="0.25">
      <c r="A529" s="66"/>
    </row>
    <row r="530" spans="1:1" x14ac:dyDescent="0.25">
      <c r="A530" s="66"/>
    </row>
    <row r="531" spans="1:1" x14ac:dyDescent="0.25">
      <c r="A531" s="66"/>
    </row>
    <row r="532" spans="1:1" x14ac:dyDescent="0.25">
      <c r="A532" s="66"/>
    </row>
    <row r="533" spans="1:1" x14ac:dyDescent="0.25">
      <c r="A533" s="66"/>
    </row>
    <row r="534" spans="1:1" x14ac:dyDescent="0.25">
      <c r="A534" s="66"/>
    </row>
    <row r="535" spans="1:1" x14ac:dyDescent="0.25">
      <c r="A535" s="66"/>
    </row>
    <row r="536" spans="1:1" x14ac:dyDescent="0.25">
      <c r="A536" s="66"/>
    </row>
    <row r="537" spans="1:1" x14ac:dyDescent="0.25">
      <c r="A537" s="66"/>
    </row>
    <row r="538" spans="1:1" x14ac:dyDescent="0.25">
      <c r="A538" s="66"/>
    </row>
    <row r="539" spans="1:1" x14ac:dyDescent="0.25">
      <c r="A539" s="66"/>
    </row>
    <row r="540" spans="1:1" x14ac:dyDescent="0.25">
      <c r="A540" s="66"/>
    </row>
    <row r="541" spans="1:1" x14ac:dyDescent="0.25">
      <c r="A541" s="66"/>
    </row>
    <row r="542" spans="1:1" x14ac:dyDescent="0.25">
      <c r="A542" s="66"/>
    </row>
    <row r="543" spans="1:1" x14ac:dyDescent="0.25">
      <c r="A543" s="66"/>
    </row>
    <row r="544" spans="1:1" x14ac:dyDescent="0.25">
      <c r="A544" s="66"/>
    </row>
    <row r="545" spans="1:1" x14ac:dyDescent="0.25">
      <c r="A545" s="66"/>
    </row>
    <row r="546" spans="1:1" x14ac:dyDescent="0.25">
      <c r="A546" s="66"/>
    </row>
    <row r="547" spans="1:1" x14ac:dyDescent="0.25">
      <c r="A547" s="66"/>
    </row>
    <row r="548" spans="1:1" x14ac:dyDescent="0.25">
      <c r="A548" s="66"/>
    </row>
    <row r="549" spans="1:1" x14ac:dyDescent="0.25">
      <c r="A549" s="66"/>
    </row>
    <row r="550" spans="1:1" x14ac:dyDescent="0.25">
      <c r="A550" s="66"/>
    </row>
    <row r="551" spans="1:1" x14ac:dyDescent="0.25">
      <c r="A551" s="66"/>
    </row>
    <row r="552" spans="1:1" x14ac:dyDescent="0.25">
      <c r="A552" s="66"/>
    </row>
    <row r="553" spans="1:1" x14ac:dyDescent="0.25">
      <c r="A553" s="66"/>
    </row>
    <row r="554" spans="1:1" x14ac:dyDescent="0.25">
      <c r="A554" s="66"/>
    </row>
    <row r="555" spans="1:1" x14ac:dyDescent="0.25">
      <c r="A555" s="66"/>
    </row>
    <row r="556" spans="1:1" x14ac:dyDescent="0.25">
      <c r="A556" s="66"/>
    </row>
    <row r="557" spans="1:1" x14ac:dyDescent="0.25">
      <c r="A557" s="66"/>
    </row>
    <row r="558" spans="1:1" x14ac:dyDescent="0.25">
      <c r="A558" s="66"/>
    </row>
    <row r="559" spans="1:1" x14ac:dyDescent="0.25">
      <c r="A559" s="66"/>
    </row>
    <row r="560" spans="1:1" x14ac:dyDescent="0.25">
      <c r="A560" s="66"/>
    </row>
    <row r="561" spans="1:1" x14ac:dyDescent="0.25">
      <c r="A561" s="66"/>
    </row>
    <row r="562" spans="1:1" x14ac:dyDescent="0.25">
      <c r="A562" s="66"/>
    </row>
    <row r="563" spans="1:1" x14ac:dyDescent="0.25">
      <c r="A563" s="66"/>
    </row>
    <row r="564" spans="1:1" x14ac:dyDescent="0.25">
      <c r="A564" s="66"/>
    </row>
    <row r="565" spans="1:1" x14ac:dyDescent="0.25">
      <c r="A565" s="66"/>
    </row>
    <row r="566" spans="1:1" x14ac:dyDescent="0.25">
      <c r="A566" s="66"/>
    </row>
    <row r="567" spans="1:1" x14ac:dyDescent="0.25">
      <c r="A567" s="66"/>
    </row>
    <row r="568" spans="1:1" x14ac:dyDescent="0.25">
      <c r="A568" s="66"/>
    </row>
    <row r="569" spans="1:1" x14ac:dyDescent="0.25">
      <c r="A569" s="66"/>
    </row>
    <row r="570" spans="1:1" x14ac:dyDescent="0.25">
      <c r="A570" s="66"/>
    </row>
    <row r="571" spans="1:1" x14ac:dyDescent="0.25">
      <c r="A571" s="66"/>
    </row>
    <row r="572" spans="1:1" x14ac:dyDescent="0.25">
      <c r="A572" s="66"/>
    </row>
    <row r="573" spans="1:1" x14ac:dyDescent="0.25">
      <c r="A573" s="66"/>
    </row>
    <row r="574" spans="1:1" x14ac:dyDescent="0.25">
      <c r="A574" s="66"/>
    </row>
    <row r="575" spans="1:1" x14ac:dyDescent="0.25">
      <c r="A575" s="66"/>
    </row>
    <row r="576" spans="1:1" x14ac:dyDescent="0.25">
      <c r="A576" s="66"/>
    </row>
    <row r="577" spans="1:1" x14ac:dyDescent="0.25">
      <c r="A577" s="66"/>
    </row>
    <row r="578" spans="1:1" x14ac:dyDescent="0.25">
      <c r="A578" s="66"/>
    </row>
    <row r="579" spans="1:1" x14ac:dyDescent="0.25">
      <c r="A579" s="66"/>
    </row>
    <row r="580" spans="1:1" x14ac:dyDescent="0.25">
      <c r="A580" s="66"/>
    </row>
    <row r="581" spans="1:1" x14ac:dyDescent="0.25">
      <c r="A581" s="66"/>
    </row>
    <row r="582" spans="1:1" x14ac:dyDescent="0.25">
      <c r="A582" s="66"/>
    </row>
    <row r="583" spans="1:1" x14ac:dyDescent="0.25">
      <c r="A583" s="66"/>
    </row>
    <row r="584" spans="1:1" x14ac:dyDescent="0.25">
      <c r="A584" s="66"/>
    </row>
    <row r="585" spans="1:1" x14ac:dyDescent="0.25">
      <c r="A585" s="66"/>
    </row>
    <row r="586" spans="1:1" x14ac:dyDescent="0.25">
      <c r="A586" s="66"/>
    </row>
    <row r="587" spans="1:1" x14ac:dyDescent="0.25">
      <c r="A587" s="66"/>
    </row>
    <row r="588" spans="1:1" x14ac:dyDescent="0.25">
      <c r="A588" s="66"/>
    </row>
    <row r="589" spans="1:1" x14ac:dyDescent="0.25">
      <c r="A589" s="66"/>
    </row>
    <row r="590" spans="1:1" x14ac:dyDescent="0.25">
      <c r="A590" s="66"/>
    </row>
    <row r="591" spans="1:1" x14ac:dyDescent="0.25">
      <c r="A591" s="66"/>
    </row>
    <row r="592" spans="1:1" x14ac:dyDescent="0.25">
      <c r="A592" s="66"/>
    </row>
    <row r="593" spans="1:1" x14ac:dyDescent="0.25">
      <c r="A593" s="66"/>
    </row>
    <row r="594" spans="1:1" x14ac:dyDescent="0.25">
      <c r="A594" s="66"/>
    </row>
    <row r="595" spans="1:1" x14ac:dyDescent="0.25">
      <c r="A595" s="66"/>
    </row>
    <row r="596" spans="1:1" x14ac:dyDescent="0.25">
      <c r="A596" s="66"/>
    </row>
    <row r="597" spans="1:1" x14ac:dyDescent="0.25">
      <c r="A597" s="66"/>
    </row>
    <row r="598" spans="1:1" x14ac:dyDescent="0.25">
      <c r="A598" s="66"/>
    </row>
    <row r="599" spans="1:1" x14ac:dyDescent="0.25">
      <c r="A599" s="66"/>
    </row>
    <row r="600" spans="1:1" x14ac:dyDescent="0.25">
      <c r="A600" s="66"/>
    </row>
    <row r="601" spans="1:1" x14ac:dyDescent="0.25">
      <c r="A601" s="66"/>
    </row>
    <row r="602" spans="1:1" x14ac:dyDescent="0.25">
      <c r="A602" s="66"/>
    </row>
    <row r="603" spans="1:1" x14ac:dyDescent="0.25">
      <c r="A603" s="66"/>
    </row>
    <row r="604" spans="1:1" x14ac:dyDescent="0.25">
      <c r="A604" s="66"/>
    </row>
    <row r="605" spans="1:1" x14ac:dyDescent="0.25">
      <c r="A605" s="66"/>
    </row>
    <row r="606" spans="1:1" x14ac:dyDescent="0.25">
      <c r="A606" s="66"/>
    </row>
    <row r="607" spans="1:1" x14ac:dyDescent="0.25">
      <c r="A607" s="66"/>
    </row>
    <row r="608" spans="1:1" x14ac:dyDescent="0.25">
      <c r="A608" s="66"/>
    </row>
    <row r="609" spans="1:1" x14ac:dyDescent="0.25">
      <c r="A609" s="66"/>
    </row>
    <row r="610" spans="1:1" x14ac:dyDescent="0.25">
      <c r="A610" s="66"/>
    </row>
    <row r="611" spans="1:1" x14ac:dyDescent="0.25">
      <c r="A611" s="66"/>
    </row>
    <row r="612" spans="1:1" x14ac:dyDescent="0.25">
      <c r="A612" s="66"/>
    </row>
    <row r="613" spans="1:1" x14ac:dyDescent="0.25">
      <c r="A613" s="66"/>
    </row>
    <row r="614" spans="1:1" x14ac:dyDescent="0.25">
      <c r="A614" s="66"/>
    </row>
    <row r="615" spans="1:1" x14ac:dyDescent="0.25">
      <c r="A615" s="66"/>
    </row>
    <row r="616" spans="1:1" x14ac:dyDescent="0.25">
      <c r="A616" s="66"/>
    </row>
    <row r="617" spans="1:1" x14ac:dyDescent="0.25">
      <c r="A617" s="66"/>
    </row>
    <row r="618" spans="1:1" x14ac:dyDescent="0.25">
      <c r="A618" s="66"/>
    </row>
    <row r="619" spans="1:1" x14ac:dyDescent="0.25">
      <c r="A619" s="66"/>
    </row>
    <row r="620" spans="1:1" x14ac:dyDescent="0.25">
      <c r="A620" s="66"/>
    </row>
    <row r="621" spans="1:1" x14ac:dyDescent="0.25">
      <c r="A621" s="66"/>
    </row>
    <row r="622" spans="1:1" x14ac:dyDescent="0.25">
      <c r="A622" s="66"/>
    </row>
    <row r="623" spans="1:1" x14ac:dyDescent="0.25">
      <c r="A623" s="66"/>
    </row>
    <row r="624" spans="1:1" x14ac:dyDescent="0.25">
      <c r="A624" s="66"/>
    </row>
    <row r="625" spans="1:1" x14ac:dyDescent="0.25">
      <c r="A625" s="66"/>
    </row>
    <row r="626" spans="1:1" x14ac:dyDescent="0.25">
      <c r="A626" s="66"/>
    </row>
    <row r="627" spans="1:1" x14ac:dyDescent="0.25">
      <c r="A627" s="66"/>
    </row>
    <row r="628" spans="1:1" x14ac:dyDescent="0.25">
      <c r="A628" s="66"/>
    </row>
    <row r="629" spans="1:1" x14ac:dyDescent="0.25">
      <c r="A629" s="66"/>
    </row>
    <row r="630" spans="1:1" x14ac:dyDescent="0.25">
      <c r="A630" s="66"/>
    </row>
    <row r="631" spans="1:1" x14ac:dyDescent="0.25">
      <c r="A631" s="66"/>
    </row>
    <row r="632" spans="1:1" x14ac:dyDescent="0.25">
      <c r="A632" s="66"/>
    </row>
    <row r="633" spans="1:1" x14ac:dyDescent="0.25">
      <c r="A633" s="66"/>
    </row>
    <row r="634" spans="1:1" x14ac:dyDescent="0.25">
      <c r="A634" s="66"/>
    </row>
    <row r="635" spans="1:1" x14ac:dyDescent="0.25">
      <c r="A635" s="66"/>
    </row>
    <row r="636" spans="1:1" x14ac:dyDescent="0.25">
      <c r="A636" s="66"/>
    </row>
    <row r="637" spans="1:1" x14ac:dyDescent="0.25">
      <c r="A637" s="66"/>
    </row>
    <row r="638" spans="1:1" x14ac:dyDescent="0.25">
      <c r="A638" s="66"/>
    </row>
    <row r="639" spans="1:1" x14ac:dyDescent="0.25">
      <c r="A639" s="66"/>
    </row>
    <row r="640" spans="1:1" x14ac:dyDescent="0.25">
      <c r="A640" s="66"/>
    </row>
    <row r="641" spans="1:1" x14ac:dyDescent="0.25">
      <c r="A641" s="66"/>
    </row>
    <row r="642" spans="1:1" x14ac:dyDescent="0.25">
      <c r="A642" s="66"/>
    </row>
    <row r="643" spans="1:1" x14ac:dyDescent="0.25">
      <c r="A643" s="66"/>
    </row>
    <row r="644" spans="1:1" x14ac:dyDescent="0.25">
      <c r="A644" s="66"/>
    </row>
    <row r="645" spans="1:1" x14ac:dyDescent="0.25">
      <c r="A645" s="66"/>
    </row>
    <row r="646" spans="1:1" x14ac:dyDescent="0.25">
      <c r="A646" s="66"/>
    </row>
    <row r="647" spans="1:1" x14ac:dyDescent="0.25">
      <c r="A647" s="66"/>
    </row>
    <row r="648" spans="1:1" x14ac:dyDescent="0.25">
      <c r="A648" s="66"/>
    </row>
    <row r="649" spans="1:1" x14ac:dyDescent="0.25">
      <c r="A649" s="66"/>
    </row>
    <row r="650" spans="1:1" x14ac:dyDescent="0.25">
      <c r="A650" s="66"/>
    </row>
    <row r="651" spans="1:1" x14ac:dyDescent="0.25">
      <c r="A651" s="66"/>
    </row>
    <row r="652" spans="1:1" x14ac:dyDescent="0.25">
      <c r="A652" s="66"/>
    </row>
    <row r="653" spans="1:1" x14ac:dyDescent="0.25">
      <c r="A653" s="66"/>
    </row>
    <row r="654" spans="1:1" x14ac:dyDescent="0.25">
      <c r="A654" s="66"/>
    </row>
    <row r="655" spans="1:1" x14ac:dyDescent="0.25">
      <c r="A655" s="66"/>
    </row>
    <row r="656" spans="1:1" x14ac:dyDescent="0.25">
      <c r="A656" s="66"/>
    </row>
    <row r="657" spans="1:1" x14ac:dyDescent="0.25">
      <c r="A657" s="66"/>
    </row>
    <row r="658" spans="1:1" x14ac:dyDescent="0.25">
      <c r="A658" s="66"/>
    </row>
    <row r="659" spans="1:1" x14ac:dyDescent="0.25">
      <c r="A659" s="66"/>
    </row>
    <row r="660" spans="1:1" x14ac:dyDescent="0.25">
      <c r="A660" s="66"/>
    </row>
    <row r="661" spans="1:1" x14ac:dyDescent="0.25">
      <c r="A661" s="66"/>
    </row>
    <row r="662" spans="1:1" x14ac:dyDescent="0.25">
      <c r="A662" s="66"/>
    </row>
    <row r="663" spans="1:1" x14ac:dyDescent="0.25">
      <c r="A663" s="66"/>
    </row>
    <row r="664" spans="1:1" x14ac:dyDescent="0.25">
      <c r="A664" s="66"/>
    </row>
    <row r="665" spans="1:1" x14ac:dyDescent="0.25">
      <c r="A665" s="66"/>
    </row>
    <row r="666" spans="1:1" x14ac:dyDescent="0.25">
      <c r="A666" s="66"/>
    </row>
    <row r="667" spans="1:1" x14ac:dyDescent="0.25">
      <c r="A667" s="66"/>
    </row>
    <row r="668" spans="1:1" x14ac:dyDescent="0.25">
      <c r="A668" s="66"/>
    </row>
    <row r="669" spans="1:1" x14ac:dyDescent="0.25">
      <c r="A669" s="66"/>
    </row>
    <row r="670" spans="1:1" x14ac:dyDescent="0.25">
      <c r="A670" s="66"/>
    </row>
    <row r="671" spans="1:1" x14ac:dyDescent="0.25">
      <c r="A671" s="66"/>
    </row>
    <row r="672" spans="1:1" x14ac:dyDescent="0.25">
      <c r="A672" s="66"/>
    </row>
    <row r="673" spans="1:1" x14ac:dyDescent="0.25">
      <c r="A673" s="66"/>
    </row>
    <row r="674" spans="1:1" x14ac:dyDescent="0.25">
      <c r="A674" s="66"/>
    </row>
    <row r="675" spans="1:1" x14ac:dyDescent="0.25">
      <c r="A675" s="66"/>
    </row>
    <row r="676" spans="1:1" x14ac:dyDescent="0.25">
      <c r="A676" s="66"/>
    </row>
    <row r="677" spans="1:1" x14ac:dyDescent="0.25">
      <c r="A677" s="66"/>
    </row>
    <row r="678" spans="1:1" x14ac:dyDescent="0.25">
      <c r="A678" s="66"/>
    </row>
    <row r="679" spans="1:1" x14ac:dyDescent="0.25">
      <c r="A679" s="66"/>
    </row>
    <row r="680" spans="1:1" x14ac:dyDescent="0.25">
      <c r="A680" s="66"/>
    </row>
    <row r="681" spans="1:1" x14ac:dyDescent="0.25">
      <c r="A681" s="66"/>
    </row>
    <row r="682" spans="1:1" x14ac:dyDescent="0.25">
      <c r="A682" s="66"/>
    </row>
    <row r="683" spans="1:1" x14ac:dyDescent="0.25">
      <c r="A683" s="66"/>
    </row>
    <row r="684" spans="1:1" x14ac:dyDescent="0.25">
      <c r="A684" s="66"/>
    </row>
    <row r="685" spans="1:1" x14ac:dyDescent="0.25">
      <c r="A685" s="66"/>
    </row>
    <row r="686" spans="1:1" x14ac:dyDescent="0.25">
      <c r="A686" s="66"/>
    </row>
    <row r="687" spans="1:1" x14ac:dyDescent="0.25">
      <c r="A687" s="66"/>
    </row>
    <row r="688" spans="1:1" x14ac:dyDescent="0.25">
      <c r="A688" s="66"/>
    </row>
    <row r="689" spans="1:1" x14ac:dyDescent="0.25">
      <c r="A689" s="66"/>
    </row>
    <row r="690" spans="1:1" x14ac:dyDescent="0.25">
      <c r="A690" s="66"/>
    </row>
    <row r="691" spans="1:1" x14ac:dyDescent="0.25">
      <c r="A691" s="66"/>
    </row>
    <row r="692" spans="1:1" x14ac:dyDescent="0.25">
      <c r="A692" s="66"/>
    </row>
    <row r="693" spans="1:1" x14ac:dyDescent="0.25">
      <c r="A693" s="66"/>
    </row>
    <row r="694" spans="1:1" x14ac:dyDescent="0.25">
      <c r="A694" s="66"/>
    </row>
    <row r="695" spans="1:1" x14ac:dyDescent="0.25">
      <c r="A695" s="66"/>
    </row>
    <row r="696" spans="1:1" x14ac:dyDescent="0.25">
      <c r="A696" s="66"/>
    </row>
    <row r="697" spans="1:1" x14ac:dyDescent="0.25">
      <c r="A697" s="66"/>
    </row>
    <row r="698" spans="1:1" x14ac:dyDescent="0.25">
      <c r="A698" s="66"/>
    </row>
    <row r="699" spans="1:1" x14ac:dyDescent="0.25">
      <c r="A699" s="66"/>
    </row>
    <row r="700" spans="1:1" x14ac:dyDescent="0.25">
      <c r="A700" s="66"/>
    </row>
    <row r="701" spans="1:1" x14ac:dyDescent="0.25">
      <c r="A701" s="66"/>
    </row>
    <row r="702" spans="1:1" x14ac:dyDescent="0.25">
      <c r="A702" s="66"/>
    </row>
    <row r="703" spans="1:1" x14ac:dyDescent="0.25">
      <c r="A703" s="66"/>
    </row>
    <row r="704" spans="1:1" x14ac:dyDescent="0.25">
      <c r="A704" s="66"/>
    </row>
    <row r="705" spans="1:1" x14ac:dyDescent="0.25">
      <c r="A705" s="66"/>
    </row>
    <row r="706" spans="1:1" x14ac:dyDescent="0.25">
      <c r="A706" s="66"/>
    </row>
    <row r="707" spans="1:1" x14ac:dyDescent="0.25">
      <c r="A707" s="66"/>
    </row>
    <row r="708" spans="1:1" x14ac:dyDescent="0.25">
      <c r="A708" s="66"/>
    </row>
    <row r="709" spans="1:1" x14ac:dyDescent="0.25">
      <c r="A709" s="66"/>
    </row>
    <row r="710" spans="1:1" x14ac:dyDescent="0.25">
      <c r="A710" s="66"/>
    </row>
    <row r="711" spans="1:1" x14ac:dyDescent="0.25">
      <c r="A711" s="66"/>
    </row>
    <row r="712" spans="1:1" x14ac:dyDescent="0.25">
      <c r="A712" s="66"/>
    </row>
    <row r="713" spans="1:1" x14ac:dyDescent="0.25">
      <c r="A713" s="66"/>
    </row>
    <row r="714" spans="1:1" x14ac:dyDescent="0.25">
      <c r="A714" s="66"/>
    </row>
    <row r="715" spans="1:1" x14ac:dyDescent="0.25">
      <c r="A715" s="66"/>
    </row>
    <row r="716" spans="1:1" x14ac:dyDescent="0.25">
      <c r="A716" s="66"/>
    </row>
    <row r="717" spans="1:1" x14ac:dyDescent="0.25">
      <c r="A717" s="66"/>
    </row>
    <row r="718" spans="1:1" x14ac:dyDescent="0.25">
      <c r="A718" s="66"/>
    </row>
    <row r="719" spans="1:1" x14ac:dyDescent="0.25">
      <c r="A719" s="66"/>
    </row>
    <row r="720" spans="1:1" x14ac:dyDescent="0.25">
      <c r="A720" s="66"/>
    </row>
    <row r="721" spans="1:1" x14ac:dyDescent="0.25">
      <c r="A721" s="66"/>
    </row>
    <row r="722" spans="1:1" x14ac:dyDescent="0.25">
      <c r="A722" s="66"/>
    </row>
    <row r="723" spans="1:1" x14ac:dyDescent="0.25">
      <c r="A723" s="66"/>
    </row>
    <row r="724" spans="1:1" x14ac:dyDescent="0.25">
      <c r="A724" s="66"/>
    </row>
    <row r="725" spans="1:1" x14ac:dyDescent="0.25">
      <c r="A725" s="66"/>
    </row>
    <row r="726" spans="1:1" x14ac:dyDescent="0.25">
      <c r="A726" s="66"/>
    </row>
    <row r="727" spans="1:1" x14ac:dyDescent="0.25">
      <c r="A727" s="66"/>
    </row>
    <row r="728" spans="1:1" x14ac:dyDescent="0.25">
      <c r="A728" s="66"/>
    </row>
    <row r="729" spans="1:1" x14ac:dyDescent="0.25">
      <c r="A729" s="66"/>
    </row>
    <row r="730" spans="1:1" x14ac:dyDescent="0.25">
      <c r="A730" s="66"/>
    </row>
    <row r="731" spans="1:1" x14ac:dyDescent="0.25">
      <c r="A731" s="66"/>
    </row>
    <row r="732" spans="1:1" x14ac:dyDescent="0.25">
      <c r="A732" s="66"/>
    </row>
    <row r="733" spans="1:1" x14ac:dyDescent="0.25">
      <c r="A733" s="66"/>
    </row>
    <row r="734" spans="1:1" x14ac:dyDescent="0.25">
      <c r="A734" s="66"/>
    </row>
    <row r="735" spans="1:1" x14ac:dyDescent="0.25">
      <c r="A735" s="66"/>
    </row>
    <row r="736" spans="1:1" x14ac:dyDescent="0.25">
      <c r="A736" s="66"/>
    </row>
    <row r="737" spans="1:1" x14ac:dyDescent="0.25">
      <c r="A737" s="66"/>
    </row>
    <row r="738" spans="1:1" x14ac:dyDescent="0.25">
      <c r="A738" s="66"/>
    </row>
    <row r="739" spans="1:1" x14ac:dyDescent="0.25">
      <c r="A739" s="66"/>
    </row>
    <row r="740" spans="1:1" x14ac:dyDescent="0.25">
      <c r="A740" s="66"/>
    </row>
    <row r="741" spans="1:1" x14ac:dyDescent="0.25">
      <c r="A741" s="66"/>
    </row>
    <row r="742" spans="1:1" x14ac:dyDescent="0.25">
      <c r="A742" s="66"/>
    </row>
    <row r="743" spans="1:1" x14ac:dyDescent="0.25">
      <c r="A743" s="66"/>
    </row>
    <row r="744" spans="1:1" x14ac:dyDescent="0.25">
      <c r="A744" s="66"/>
    </row>
    <row r="745" spans="1:1" x14ac:dyDescent="0.25">
      <c r="A745" s="66"/>
    </row>
    <row r="746" spans="1:1" x14ac:dyDescent="0.25">
      <c r="A746" s="66"/>
    </row>
    <row r="747" spans="1:1" x14ac:dyDescent="0.25">
      <c r="A747" s="66"/>
    </row>
    <row r="748" spans="1:1" x14ac:dyDescent="0.25">
      <c r="A748" s="66"/>
    </row>
    <row r="749" spans="1:1" x14ac:dyDescent="0.25">
      <c r="A749" s="66"/>
    </row>
    <row r="750" spans="1:1" x14ac:dyDescent="0.25">
      <c r="A750" s="66"/>
    </row>
    <row r="751" spans="1:1" x14ac:dyDescent="0.25">
      <c r="A751" s="66"/>
    </row>
    <row r="752" spans="1:1" x14ac:dyDescent="0.25">
      <c r="A752" s="66"/>
    </row>
    <row r="753" spans="1:1" x14ac:dyDescent="0.25">
      <c r="A753" s="66"/>
    </row>
    <row r="754" spans="1:1" x14ac:dyDescent="0.25">
      <c r="A754" s="66"/>
    </row>
    <row r="755" spans="1:1" x14ac:dyDescent="0.25">
      <c r="A755" s="66"/>
    </row>
    <row r="756" spans="1:1" x14ac:dyDescent="0.25">
      <c r="A756" s="66"/>
    </row>
    <row r="757" spans="1:1" x14ac:dyDescent="0.25">
      <c r="A757" s="66"/>
    </row>
    <row r="758" spans="1:1" x14ac:dyDescent="0.25">
      <c r="A758" s="66"/>
    </row>
    <row r="759" spans="1:1" x14ac:dyDescent="0.25">
      <c r="A759" s="66"/>
    </row>
    <row r="760" spans="1:1" x14ac:dyDescent="0.25">
      <c r="A760" s="66"/>
    </row>
    <row r="761" spans="1:1" x14ac:dyDescent="0.25">
      <c r="A761" s="66"/>
    </row>
    <row r="762" spans="1:1" x14ac:dyDescent="0.25">
      <c r="A762" s="66"/>
    </row>
    <row r="763" spans="1:1" x14ac:dyDescent="0.25">
      <c r="A763" s="66"/>
    </row>
    <row r="764" spans="1:1" x14ac:dyDescent="0.25">
      <c r="A764" s="66"/>
    </row>
    <row r="765" spans="1:1" x14ac:dyDescent="0.25">
      <c r="A765" s="66"/>
    </row>
    <row r="766" spans="1:1" x14ac:dyDescent="0.25">
      <c r="A766" s="66"/>
    </row>
    <row r="767" spans="1:1" x14ac:dyDescent="0.25">
      <c r="A767" s="66"/>
    </row>
    <row r="768" spans="1:1" x14ac:dyDescent="0.25">
      <c r="A768" s="66"/>
    </row>
    <row r="769" spans="1:1" x14ac:dyDescent="0.25">
      <c r="A769" s="66"/>
    </row>
    <row r="770" spans="1:1" x14ac:dyDescent="0.25">
      <c r="A770" s="66"/>
    </row>
    <row r="771" spans="1:1" x14ac:dyDescent="0.25">
      <c r="A771" s="66"/>
    </row>
    <row r="772" spans="1:1" x14ac:dyDescent="0.25">
      <c r="A772" s="66"/>
    </row>
    <row r="773" spans="1:1" x14ac:dyDescent="0.25">
      <c r="A773" s="66"/>
    </row>
    <row r="774" spans="1:1" x14ac:dyDescent="0.25">
      <c r="A774" s="66"/>
    </row>
    <row r="775" spans="1:1" x14ac:dyDescent="0.25">
      <c r="A775" s="66"/>
    </row>
    <row r="776" spans="1:1" x14ac:dyDescent="0.25">
      <c r="A776" s="66"/>
    </row>
    <row r="777" spans="1:1" x14ac:dyDescent="0.25">
      <c r="A777" s="66"/>
    </row>
    <row r="778" spans="1:1" x14ac:dyDescent="0.25">
      <c r="A778" s="66"/>
    </row>
    <row r="779" spans="1:1" x14ac:dyDescent="0.25">
      <c r="A779" s="66"/>
    </row>
    <row r="780" spans="1:1" x14ac:dyDescent="0.25">
      <c r="A780" s="66"/>
    </row>
    <row r="781" spans="1:1" x14ac:dyDescent="0.25">
      <c r="A781" s="66"/>
    </row>
    <row r="782" spans="1:1" x14ac:dyDescent="0.25">
      <c r="A782" s="66"/>
    </row>
    <row r="783" spans="1:1" x14ac:dyDescent="0.25">
      <c r="A783" s="66"/>
    </row>
    <row r="784" spans="1:1" x14ac:dyDescent="0.25">
      <c r="A784" s="66"/>
    </row>
    <row r="785" spans="1:1" x14ac:dyDescent="0.25">
      <c r="A785" s="66"/>
    </row>
    <row r="786" spans="1:1" x14ac:dyDescent="0.25">
      <c r="A786" s="66"/>
    </row>
    <row r="787" spans="1:1" x14ac:dyDescent="0.25">
      <c r="A787" s="66"/>
    </row>
    <row r="788" spans="1:1" x14ac:dyDescent="0.25">
      <c r="A788" s="66"/>
    </row>
    <row r="789" spans="1:1" x14ac:dyDescent="0.25">
      <c r="A789" s="66"/>
    </row>
    <row r="790" spans="1:1" x14ac:dyDescent="0.25">
      <c r="A790" s="66"/>
    </row>
    <row r="791" spans="1:1" x14ac:dyDescent="0.25">
      <c r="A791" s="66"/>
    </row>
    <row r="792" spans="1:1" x14ac:dyDescent="0.25">
      <c r="A792" s="66"/>
    </row>
    <row r="793" spans="1:1" x14ac:dyDescent="0.25">
      <c r="A793" s="66"/>
    </row>
    <row r="794" spans="1:1" x14ac:dyDescent="0.25">
      <c r="A794" s="66"/>
    </row>
    <row r="795" spans="1:1" x14ac:dyDescent="0.25">
      <c r="A795" s="66"/>
    </row>
    <row r="796" spans="1:1" x14ac:dyDescent="0.25">
      <c r="A796" s="66"/>
    </row>
    <row r="797" spans="1:1" x14ac:dyDescent="0.25">
      <c r="A797" s="66"/>
    </row>
    <row r="798" spans="1:1" x14ac:dyDescent="0.25">
      <c r="A798" s="66"/>
    </row>
    <row r="799" spans="1:1" x14ac:dyDescent="0.25">
      <c r="A799" s="66"/>
    </row>
    <row r="800" spans="1:1" x14ac:dyDescent="0.25">
      <c r="A800" s="66"/>
    </row>
    <row r="801" spans="1:1" x14ac:dyDescent="0.25">
      <c r="A801" s="66"/>
    </row>
    <row r="802" spans="1:1" x14ac:dyDescent="0.25">
      <c r="A802" s="66"/>
    </row>
    <row r="803" spans="1:1" x14ac:dyDescent="0.25">
      <c r="A803" s="66"/>
    </row>
    <row r="804" spans="1:1" x14ac:dyDescent="0.25">
      <c r="A804" s="66"/>
    </row>
    <row r="805" spans="1:1" x14ac:dyDescent="0.25">
      <c r="A805" s="66"/>
    </row>
    <row r="806" spans="1:1" x14ac:dyDescent="0.25">
      <c r="A806" s="66"/>
    </row>
    <row r="807" spans="1:1" x14ac:dyDescent="0.25">
      <c r="A807" s="66"/>
    </row>
    <row r="808" spans="1:1" x14ac:dyDescent="0.25">
      <c r="A808" s="66"/>
    </row>
    <row r="809" spans="1:1" x14ac:dyDescent="0.25">
      <c r="A809" s="66"/>
    </row>
    <row r="810" spans="1:1" x14ac:dyDescent="0.25">
      <c r="A810" s="66"/>
    </row>
    <row r="811" spans="1:1" x14ac:dyDescent="0.25">
      <c r="A811" s="66"/>
    </row>
    <row r="812" spans="1:1" x14ac:dyDescent="0.25">
      <c r="A812" s="66"/>
    </row>
    <row r="813" spans="1:1" x14ac:dyDescent="0.25">
      <c r="A813" s="66"/>
    </row>
    <row r="814" spans="1:1" x14ac:dyDescent="0.25">
      <c r="A814" s="66"/>
    </row>
    <row r="815" spans="1:1" x14ac:dyDescent="0.25">
      <c r="A815" s="66"/>
    </row>
    <row r="816" spans="1:1" x14ac:dyDescent="0.25">
      <c r="A816" s="66"/>
    </row>
    <row r="817" spans="1:1" x14ac:dyDescent="0.25">
      <c r="A817" s="66"/>
    </row>
    <row r="818" spans="1:1" x14ac:dyDescent="0.25">
      <c r="A818" s="66"/>
    </row>
    <row r="819" spans="1:1" x14ac:dyDescent="0.25">
      <c r="A819" s="66"/>
    </row>
    <row r="820" spans="1:1" x14ac:dyDescent="0.25">
      <c r="A820" s="66"/>
    </row>
    <row r="821" spans="1:1" x14ac:dyDescent="0.25">
      <c r="A821" s="66"/>
    </row>
    <row r="822" spans="1:1" x14ac:dyDescent="0.25">
      <c r="A822" s="66"/>
    </row>
    <row r="823" spans="1:1" x14ac:dyDescent="0.25">
      <c r="A823" s="66"/>
    </row>
    <row r="824" spans="1:1" x14ac:dyDescent="0.25">
      <c r="A824" s="66"/>
    </row>
    <row r="825" spans="1:1" x14ac:dyDescent="0.25">
      <c r="A825" s="66"/>
    </row>
    <row r="826" spans="1:1" x14ac:dyDescent="0.25">
      <c r="A826" s="66"/>
    </row>
    <row r="827" spans="1:1" x14ac:dyDescent="0.25">
      <c r="A827" s="66"/>
    </row>
    <row r="828" spans="1:1" x14ac:dyDescent="0.25">
      <c r="A828" s="66"/>
    </row>
    <row r="829" spans="1:1" x14ac:dyDescent="0.25">
      <c r="A829" s="66"/>
    </row>
    <row r="830" spans="1:1" x14ac:dyDescent="0.25">
      <c r="A830" s="66"/>
    </row>
    <row r="831" spans="1:1" x14ac:dyDescent="0.25">
      <c r="A831" s="66"/>
    </row>
    <row r="832" spans="1:1" x14ac:dyDescent="0.25">
      <c r="A832" s="66"/>
    </row>
    <row r="833" spans="1:1" x14ac:dyDescent="0.25">
      <c r="A833" s="66"/>
    </row>
    <row r="834" spans="1:1" x14ac:dyDescent="0.25">
      <c r="A834" s="66"/>
    </row>
    <row r="835" spans="1:1" x14ac:dyDescent="0.25">
      <c r="A835" s="66"/>
    </row>
    <row r="836" spans="1:1" x14ac:dyDescent="0.25">
      <c r="A836" s="66"/>
    </row>
    <row r="837" spans="1:1" x14ac:dyDescent="0.25">
      <c r="A837" s="66"/>
    </row>
    <row r="838" spans="1:1" x14ac:dyDescent="0.25">
      <c r="A838" s="66"/>
    </row>
    <row r="839" spans="1:1" x14ac:dyDescent="0.25">
      <c r="A839" s="66"/>
    </row>
    <row r="840" spans="1:1" x14ac:dyDescent="0.25">
      <c r="A840" s="66"/>
    </row>
    <row r="841" spans="1:1" x14ac:dyDescent="0.25">
      <c r="A841" s="66"/>
    </row>
    <row r="842" spans="1:1" x14ac:dyDescent="0.25">
      <c r="A842" s="66"/>
    </row>
    <row r="843" spans="1:1" x14ac:dyDescent="0.25">
      <c r="A843" s="66"/>
    </row>
    <row r="844" spans="1:1" x14ac:dyDescent="0.25">
      <c r="A844" s="66"/>
    </row>
    <row r="845" spans="1:1" x14ac:dyDescent="0.25">
      <c r="A845" s="66"/>
    </row>
    <row r="846" spans="1:1" x14ac:dyDescent="0.25">
      <c r="A846" s="66"/>
    </row>
    <row r="847" spans="1:1" x14ac:dyDescent="0.25">
      <c r="A847" s="66"/>
    </row>
    <row r="848" spans="1:1" x14ac:dyDescent="0.25">
      <c r="A848" s="66"/>
    </row>
    <row r="849" spans="1:1" x14ac:dyDescent="0.25">
      <c r="A849" s="66"/>
    </row>
    <row r="850" spans="1:1" x14ac:dyDescent="0.25">
      <c r="A850" s="66"/>
    </row>
    <row r="851" spans="1:1" x14ac:dyDescent="0.25">
      <c r="A851" s="66"/>
    </row>
    <row r="852" spans="1:1" x14ac:dyDescent="0.25">
      <c r="A852" s="66"/>
    </row>
    <row r="853" spans="1:1" x14ac:dyDescent="0.25">
      <c r="A853" s="66"/>
    </row>
    <row r="854" spans="1:1" x14ac:dyDescent="0.25">
      <c r="A854" s="66"/>
    </row>
    <row r="855" spans="1:1" x14ac:dyDescent="0.25">
      <c r="A855" s="66"/>
    </row>
    <row r="856" spans="1:1" x14ac:dyDescent="0.25">
      <c r="A856" s="66"/>
    </row>
    <row r="857" spans="1:1" x14ac:dyDescent="0.25">
      <c r="A857" s="66"/>
    </row>
    <row r="858" spans="1:1" x14ac:dyDescent="0.25">
      <c r="A858" s="66"/>
    </row>
    <row r="859" spans="1:1" x14ac:dyDescent="0.25">
      <c r="A859" s="66"/>
    </row>
    <row r="860" spans="1:1" x14ac:dyDescent="0.25">
      <c r="A860" s="66"/>
    </row>
    <row r="861" spans="1:1" x14ac:dyDescent="0.25">
      <c r="A861" s="66"/>
    </row>
    <row r="862" spans="1:1" x14ac:dyDescent="0.25">
      <c r="A862" s="66"/>
    </row>
    <row r="863" spans="1:1" x14ac:dyDescent="0.25">
      <c r="A863" s="66"/>
    </row>
    <row r="864" spans="1:1" x14ac:dyDescent="0.25">
      <c r="A864" s="66"/>
    </row>
    <row r="865" spans="1:1" x14ac:dyDescent="0.25">
      <c r="A865" s="66"/>
    </row>
    <row r="866" spans="1:1" x14ac:dyDescent="0.25">
      <c r="A866" s="66"/>
    </row>
    <row r="867" spans="1:1" x14ac:dyDescent="0.25">
      <c r="A867" s="66"/>
    </row>
    <row r="868" spans="1:1" x14ac:dyDescent="0.25">
      <c r="A868" s="66"/>
    </row>
    <row r="869" spans="1:1" x14ac:dyDescent="0.25">
      <c r="A869" s="66"/>
    </row>
    <row r="870" spans="1:1" x14ac:dyDescent="0.25">
      <c r="A870" s="66"/>
    </row>
    <row r="871" spans="1:1" x14ac:dyDescent="0.25">
      <c r="A871" s="66"/>
    </row>
    <row r="872" spans="1:1" x14ac:dyDescent="0.25">
      <c r="A872" s="66"/>
    </row>
    <row r="873" spans="1:1" x14ac:dyDescent="0.25">
      <c r="A873" s="66"/>
    </row>
    <row r="874" spans="1:1" x14ac:dyDescent="0.25">
      <c r="A874" s="66"/>
    </row>
    <row r="875" spans="1:1" x14ac:dyDescent="0.25">
      <c r="A875" s="66"/>
    </row>
    <row r="876" spans="1:1" x14ac:dyDescent="0.25">
      <c r="A876" s="66"/>
    </row>
    <row r="877" spans="1:1" x14ac:dyDescent="0.25">
      <c r="A877" s="66"/>
    </row>
    <row r="878" spans="1:1" x14ac:dyDescent="0.25">
      <c r="A878" s="66"/>
    </row>
    <row r="879" spans="1:1" x14ac:dyDescent="0.25">
      <c r="A879" s="66"/>
    </row>
    <row r="880" spans="1:1" x14ac:dyDescent="0.25">
      <c r="A880" s="66"/>
    </row>
    <row r="881" spans="1:1" x14ac:dyDescent="0.25">
      <c r="A881" s="66"/>
    </row>
    <row r="882" spans="1:1" x14ac:dyDescent="0.25">
      <c r="A882" s="66"/>
    </row>
    <row r="883" spans="1:1" x14ac:dyDescent="0.25">
      <c r="A883" s="66"/>
    </row>
    <row r="884" spans="1:1" x14ac:dyDescent="0.25">
      <c r="A884" s="66"/>
    </row>
    <row r="885" spans="1:1" x14ac:dyDescent="0.25">
      <c r="A885" s="66"/>
    </row>
    <row r="886" spans="1:1" x14ac:dyDescent="0.25">
      <c r="A886" s="66"/>
    </row>
    <row r="887" spans="1:1" x14ac:dyDescent="0.25">
      <c r="A887" s="66"/>
    </row>
    <row r="888" spans="1:1" x14ac:dyDescent="0.25">
      <c r="A888" s="66"/>
    </row>
    <row r="889" spans="1:1" x14ac:dyDescent="0.25">
      <c r="A889" s="66"/>
    </row>
    <row r="890" spans="1:1" x14ac:dyDescent="0.25">
      <c r="A890" s="66"/>
    </row>
    <row r="891" spans="1:1" x14ac:dyDescent="0.25">
      <c r="A891" s="66"/>
    </row>
    <row r="892" spans="1:1" x14ac:dyDescent="0.25">
      <c r="A892" s="66"/>
    </row>
    <row r="893" spans="1:1" x14ac:dyDescent="0.25">
      <c r="A893" s="66"/>
    </row>
    <row r="894" spans="1:1" x14ac:dyDescent="0.25">
      <c r="A894" s="66"/>
    </row>
    <row r="895" spans="1:1" x14ac:dyDescent="0.25">
      <c r="A895" s="66"/>
    </row>
    <row r="896" spans="1:1" x14ac:dyDescent="0.25">
      <c r="A896" s="66"/>
    </row>
    <row r="897" spans="1:1" x14ac:dyDescent="0.25">
      <c r="A897" s="66"/>
    </row>
    <row r="898" spans="1:1" x14ac:dyDescent="0.25">
      <c r="A898" s="66"/>
    </row>
    <row r="899" spans="1:1" x14ac:dyDescent="0.25">
      <c r="A899" s="66"/>
    </row>
    <row r="900" spans="1:1" x14ac:dyDescent="0.25">
      <c r="A900" s="66"/>
    </row>
    <row r="901" spans="1:1" x14ac:dyDescent="0.25">
      <c r="A901" s="66"/>
    </row>
    <row r="902" spans="1:1" x14ac:dyDescent="0.25">
      <c r="A902" s="66"/>
    </row>
    <row r="903" spans="1:1" x14ac:dyDescent="0.25">
      <c r="A903" s="66"/>
    </row>
    <row r="904" spans="1:1" x14ac:dyDescent="0.25">
      <c r="A904" s="66"/>
    </row>
    <row r="905" spans="1:1" x14ac:dyDescent="0.25">
      <c r="A905" s="66"/>
    </row>
    <row r="906" spans="1:1" x14ac:dyDescent="0.25">
      <c r="A906" s="66"/>
    </row>
    <row r="907" spans="1:1" x14ac:dyDescent="0.25">
      <c r="A907" s="66"/>
    </row>
    <row r="908" spans="1:1" x14ac:dyDescent="0.25">
      <c r="A908" s="66"/>
    </row>
    <row r="909" spans="1:1" x14ac:dyDescent="0.25">
      <c r="A909" s="66"/>
    </row>
    <row r="910" spans="1:1" x14ac:dyDescent="0.25">
      <c r="A910" s="66"/>
    </row>
    <row r="911" spans="1:1" x14ac:dyDescent="0.25">
      <c r="A911" s="66"/>
    </row>
    <row r="912" spans="1:1" x14ac:dyDescent="0.25">
      <c r="A912" s="66"/>
    </row>
    <row r="913" spans="1:1" x14ac:dyDescent="0.25">
      <c r="A913" s="66"/>
    </row>
    <row r="914" spans="1:1" x14ac:dyDescent="0.25">
      <c r="A914" s="66"/>
    </row>
    <row r="915" spans="1:1" x14ac:dyDescent="0.25">
      <c r="A915" s="66"/>
    </row>
    <row r="916" spans="1:1" x14ac:dyDescent="0.25">
      <c r="A916" s="66"/>
    </row>
    <row r="917" spans="1:1" x14ac:dyDescent="0.25">
      <c r="A917" s="66"/>
    </row>
    <row r="918" spans="1:1" x14ac:dyDescent="0.25">
      <c r="A918" s="66"/>
    </row>
    <row r="919" spans="1:1" x14ac:dyDescent="0.25">
      <c r="A919" s="66"/>
    </row>
    <row r="920" spans="1:1" x14ac:dyDescent="0.25">
      <c r="A920" s="66"/>
    </row>
    <row r="921" spans="1:1" x14ac:dyDescent="0.25">
      <c r="A921" s="66"/>
    </row>
    <row r="922" spans="1:1" x14ac:dyDescent="0.25">
      <c r="A922" s="66"/>
    </row>
    <row r="923" spans="1:1" x14ac:dyDescent="0.25">
      <c r="A923" s="66"/>
    </row>
    <row r="924" spans="1:1" x14ac:dyDescent="0.25">
      <c r="A924" s="66"/>
    </row>
    <row r="925" spans="1:1" x14ac:dyDescent="0.25">
      <c r="A925" s="66"/>
    </row>
    <row r="926" spans="1:1" x14ac:dyDescent="0.25">
      <c r="A926" s="66"/>
    </row>
    <row r="927" spans="1:1" x14ac:dyDescent="0.25">
      <c r="A927" s="66"/>
    </row>
    <row r="928" spans="1:1" x14ac:dyDescent="0.25">
      <c r="A928" s="66"/>
    </row>
    <row r="929" spans="1:1" x14ac:dyDescent="0.25">
      <c r="A929" s="66"/>
    </row>
    <row r="930" spans="1:1" x14ac:dyDescent="0.25">
      <c r="A930" s="66"/>
    </row>
    <row r="931" spans="1:1" x14ac:dyDescent="0.25">
      <c r="A931" s="66"/>
    </row>
    <row r="932" spans="1:1" x14ac:dyDescent="0.25">
      <c r="A932" s="66"/>
    </row>
    <row r="933" spans="1:1" x14ac:dyDescent="0.25">
      <c r="A933" s="66"/>
    </row>
    <row r="934" spans="1:1" x14ac:dyDescent="0.25">
      <c r="A934" s="66"/>
    </row>
    <row r="935" spans="1:1" x14ac:dyDescent="0.25">
      <c r="A935" s="66"/>
    </row>
    <row r="936" spans="1:1" x14ac:dyDescent="0.25">
      <c r="A936" s="66"/>
    </row>
    <row r="937" spans="1:1" x14ac:dyDescent="0.25">
      <c r="A937" s="66"/>
    </row>
    <row r="938" spans="1:1" x14ac:dyDescent="0.25">
      <c r="A938" s="66"/>
    </row>
    <row r="939" spans="1:1" x14ac:dyDescent="0.25">
      <c r="A939" s="66"/>
    </row>
    <row r="940" spans="1:1" x14ac:dyDescent="0.25">
      <c r="A940" s="66"/>
    </row>
    <row r="941" spans="1:1" x14ac:dyDescent="0.25">
      <c r="A941" s="66"/>
    </row>
    <row r="942" spans="1:1" x14ac:dyDescent="0.25">
      <c r="A942" s="66"/>
    </row>
    <row r="943" spans="1:1" x14ac:dyDescent="0.25">
      <c r="A943" s="66"/>
    </row>
    <row r="944" spans="1:1" x14ac:dyDescent="0.25">
      <c r="A944" s="66"/>
    </row>
    <row r="945" spans="1:1" x14ac:dyDescent="0.25">
      <c r="A945" s="66"/>
    </row>
    <row r="946" spans="1:1" x14ac:dyDescent="0.25">
      <c r="A946" s="66"/>
    </row>
    <row r="947" spans="1:1" x14ac:dyDescent="0.25">
      <c r="A947" s="66"/>
    </row>
    <row r="948" spans="1:1" x14ac:dyDescent="0.25">
      <c r="A948" s="66"/>
    </row>
    <row r="949" spans="1:1" x14ac:dyDescent="0.25">
      <c r="A949" s="66"/>
    </row>
    <row r="950" spans="1:1" x14ac:dyDescent="0.25">
      <c r="A950" s="66"/>
    </row>
    <row r="951" spans="1:1" x14ac:dyDescent="0.25">
      <c r="A951" s="66"/>
    </row>
    <row r="952" spans="1:1" x14ac:dyDescent="0.25">
      <c r="A952" s="66"/>
    </row>
    <row r="953" spans="1:1" x14ac:dyDescent="0.25">
      <c r="A953" s="66"/>
    </row>
    <row r="954" spans="1:1" x14ac:dyDescent="0.25">
      <c r="A954" s="66"/>
    </row>
    <row r="955" spans="1:1" x14ac:dyDescent="0.25">
      <c r="A955" s="66"/>
    </row>
    <row r="956" spans="1:1" x14ac:dyDescent="0.25">
      <c r="A956" s="66"/>
    </row>
    <row r="957" spans="1:1" x14ac:dyDescent="0.25">
      <c r="A957" s="66"/>
    </row>
    <row r="958" spans="1:1" x14ac:dyDescent="0.25">
      <c r="A958" s="66"/>
    </row>
    <row r="959" spans="1:1" x14ac:dyDescent="0.25">
      <c r="A959" s="66"/>
    </row>
    <row r="960" spans="1:1" x14ac:dyDescent="0.25">
      <c r="A960" s="66"/>
    </row>
    <row r="961" spans="1:1" x14ac:dyDescent="0.25">
      <c r="A961" s="66"/>
    </row>
    <row r="962" spans="1:1" x14ac:dyDescent="0.25">
      <c r="A962" s="66"/>
    </row>
    <row r="963" spans="1:1" x14ac:dyDescent="0.25">
      <c r="A963" s="66"/>
    </row>
    <row r="964" spans="1:1" x14ac:dyDescent="0.25">
      <c r="A964" s="66"/>
    </row>
    <row r="965" spans="1:1" x14ac:dyDescent="0.25">
      <c r="A965" s="66"/>
    </row>
    <row r="966" spans="1:1" x14ac:dyDescent="0.25">
      <c r="A966" s="66"/>
    </row>
    <row r="967" spans="1:1" x14ac:dyDescent="0.25">
      <c r="A967" s="66"/>
    </row>
    <row r="968" spans="1:1" x14ac:dyDescent="0.25">
      <c r="A968" s="66"/>
    </row>
    <row r="969" spans="1:1" x14ac:dyDescent="0.25">
      <c r="A969" s="66"/>
    </row>
    <row r="970" spans="1:1" x14ac:dyDescent="0.25">
      <c r="A970" s="66"/>
    </row>
    <row r="971" spans="1:1" x14ac:dyDescent="0.25">
      <c r="A971" s="66"/>
    </row>
    <row r="972" spans="1:1" x14ac:dyDescent="0.25">
      <c r="A972" s="66"/>
    </row>
    <row r="973" spans="1:1" x14ac:dyDescent="0.25">
      <c r="A973" s="66"/>
    </row>
    <row r="974" spans="1:1" x14ac:dyDescent="0.25">
      <c r="A974" s="66"/>
    </row>
    <row r="975" spans="1:1" x14ac:dyDescent="0.25">
      <c r="A975" s="66"/>
    </row>
    <row r="976" spans="1:1" x14ac:dyDescent="0.25">
      <c r="A976" s="66"/>
    </row>
    <row r="977" spans="1:1" x14ac:dyDescent="0.25">
      <c r="A977" s="66"/>
    </row>
    <row r="978" spans="1:1" x14ac:dyDescent="0.25">
      <c r="A978" s="66"/>
    </row>
    <row r="979" spans="1:1" x14ac:dyDescent="0.25">
      <c r="A979" s="66"/>
    </row>
    <row r="980" spans="1:1" x14ac:dyDescent="0.25">
      <c r="A980" s="66"/>
    </row>
    <row r="981" spans="1:1" x14ac:dyDescent="0.25">
      <c r="A981" s="66"/>
    </row>
    <row r="982" spans="1:1" x14ac:dyDescent="0.25">
      <c r="A982" s="66"/>
    </row>
    <row r="983" spans="1:1" x14ac:dyDescent="0.25">
      <c r="A983" s="66"/>
    </row>
    <row r="984" spans="1:1" x14ac:dyDescent="0.25">
      <c r="A984" s="66"/>
    </row>
    <row r="985" spans="1:1" x14ac:dyDescent="0.25">
      <c r="A985" s="66"/>
    </row>
    <row r="986" spans="1:1" x14ac:dyDescent="0.25">
      <c r="A986" s="66"/>
    </row>
    <row r="987" spans="1:1" x14ac:dyDescent="0.25">
      <c r="A987" s="66"/>
    </row>
    <row r="988" spans="1:1" x14ac:dyDescent="0.25">
      <c r="A988" s="66"/>
    </row>
    <row r="989" spans="1:1" x14ac:dyDescent="0.25">
      <c r="A989" s="66"/>
    </row>
    <row r="990" spans="1:1" x14ac:dyDescent="0.25">
      <c r="A990" s="66"/>
    </row>
    <row r="991" spans="1:1" x14ac:dyDescent="0.25">
      <c r="A991" s="66"/>
    </row>
    <row r="992" spans="1:1" x14ac:dyDescent="0.25">
      <c r="A992" s="66"/>
    </row>
    <row r="993" spans="1:1" x14ac:dyDescent="0.25">
      <c r="A993" s="66"/>
    </row>
    <row r="994" spans="1:1" x14ac:dyDescent="0.25">
      <c r="A994" s="66"/>
    </row>
    <row r="995" spans="1:1" x14ac:dyDescent="0.25">
      <c r="A995" s="66"/>
    </row>
    <row r="996" spans="1:1" x14ac:dyDescent="0.25">
      <c r="A996" s="66"/>
    </row>
    <row r="997" spans="1:1" x14ac:dyDescent="0.25">
      <c r="A997" s="66"/>
    </row>
    <row r="998" spans="1:1" x14ac:dyDescent="0.25">
      <c r="A998" s="66"/>
    </row>
    <row r="999" spans="1:1" x14ac:dyDescent="0.25">
      <c r="A999" s="66"/>
    </row>
    <row r="1000" spans="1:1" x14ac:dyDescent="0.25">
      <c r="A1000" s="66"/>
    </row>
    <row r="1001" spans="1:1" x14ac:dyDescent="0.25">
      <c r="A1001" s="66"/>
    </row>
    <row r="1002" spans="1:1" x14ac:dyDescent="0.25">
      <c r="A1002" s="66"/>
    </row>
    <row r="1003" spans="1:1" x14ac:dyDescent="0.25">
      <c r="A1003" s="66"/>
    </row>
    <row r="1004" spans="1:1" x14ac:dyDescent="0.25">
      <c r="A1004" s="66"/>
    </row>
    <row r="1005" spans="1:1" x14ac:dyDescent="0.25">
      <c r="A1005" s="66"/>
    </row>
    <row r="1006" spans="1:1" x14ac:dyDescent="0.25">
      <c r="A1006" s="66"/>
    </row>
    <row r="1007" spans="1:1" x14ac:dyDescent="0.25">
      <c r="A1007" s="66"/>
    </row>
    <row r="1008" spans="1:1" x14ac:dyDescent="0.25">
      <c r="A1008" s="66"/>
    </row>
    <row r="1009" spans="1:1" x14ac:dyDescent="0.25">
      <c r="A1009" s="66"/>
    </row>
    <row r="1010" spans="1:1" x14ac:dyDescent="0.25">
      <c r="A1010" s="66"/>
    </row>
    <row r="1011" spans="1:1" x14ac:dyDescent="0.25">
      <c r="A1011" s="66"/>
    </row>
    <row r="1012" spans="1:1" x14ac:dyDescent="0.25">
      <c r="A1012" s="66"/>
    </row>
    <row r="1013" spans="1:1" x14ac:dyDescent="0.25">
      <c r="A1013" s="66"/>
    </row>
    <row r="1014" spans="1:1" x14ac:dyDescent="0.25">
      <c r="A1014" s="66"/>
    </row>
    <row r="1015" spans="1:1" x14ac:dyDescent="0.25">
      <c r="A1015" s="66"/>
    </row>
    <row r="1016" spans="1:1" x14ac:dyDescent="0.25">
      <c r="A1016" s="66"/>
    </row>
    <row r="1017" spans="1:1" x14ac:dyDescent="0.25">
      <c r="A1017" s="66"/>
    </row>
    <row r="1018" spans="1:1" x14ac:dyDescent="0.25">
      <c r="A1018" s="66"/>
    </row>
    <row r="1019" spans="1:1" x14ac:dyDescent="0.25">
      <c r="A1019" s="66"/>
    </row>
    <row r="1020" spans="1:1" x14ac:dyDescent="0.25">
      <c r="A1020" s="66"/>
    </row>
    <row r="1021" spans="1:1" x14ac:dyDescent="0.25">
      <c r="A1021" s="66"/>
    </row>
    <row r="1022" spans="1:1" x14ac:dyDescent="0.25">
      <c r="A1022" s="66"/>
    </row>
    <row r="1023" spans="1:1" x14ac:dyDescent="0.25">
      <c r="A1023" s="66"/>
    </row>
    <row r="1024" spans="1:1" x14ac:dyDescent="0.25">
      <c r="A1024" s="66"/>
    </row>
    <row r="1025" spans="1:1" x14ac:dyDescent="0.25">
      <c r="A1025" s="66"/>
    </row>
    <row r="1026" spans="1:1" x14ac:dyDescent="0.25">
      <c r="A1026" s="66"/>
    </row>
    <row r="1027" spans="1:1" x14ac:dyDescent="0.25">
      <c r="A1027" s="66"/>
    </row>
    <row r="1028" spans="1:1" x14ac:dyDescent="0.25">
      <c r="A1028" s="66"/>
    </row>
    <row r="1029" spans="1:1" x14ac:dyDescent="0.25">
      <c r="A1029" s="66"/>
    </row>
    <row r="1030" spans="1:1" x14ac:dyDescent="0.25">
      <c r="A1030" s="66"/>
    </row>
    <row r="1031" spans="1:1" x14ac:dyDescent="0.25">
      <c r="A1031" s="66"/>
    </row>
    <row r="1032" spans="1:1" x14ac:dyDescent="0.25">
      <c r="A1032" s="66"/>
    </row>
    <row r="1033" spans="1:1" x14ac:dyDescent="0.25">
      <c r="A1033" s="66"/>
    </row>
    <row r="1034" spans="1:1" x14ac:dyDescent="0.25">
      <c r="A1034" s="66"/>
    </row>
    <row r="1035" spans="1:1" x14ac:dyDescent="0.25">
      <c r="A1035" s="66"/>
    </row>
    <row r="1036" spans="1:1" x14ac:dyDescent="0.25">
      <c r="A1036" s="66"/>
    </row>
    <row r="1037" spans="1:1" x14ac:dyDescent="0.25">
      <c r="A1037" s="66"/>
    </row>
    <row r="1038" spans="1:1" x14ac:dyDescent="0.25">
      <c r="A1038" s="66"/>
    </row>
    <row r="1039" spans="1:1" x14ac:dyDescent="0.25">
      <c r="A1039" s="66"/>
    </row>
    <row r="1040" spans="1:1" x14ac:dyDescent="0.25">
      <c r="A1040" s="66"/>
    </row>
    <row r="1041" spans="1:1" x14ac:dyDescent="0.25">
      <c r="A1041" s="66"/>
    </row>
    <row r="1042" spans="1:1" x14ac:dyDescent="0.25">
      <c r="A1042" s="66"/>
    </row>
    <row r="1043" spans="1:1" x14ac:dyDescent="0.25">
      <c r="A1043" s="66"/>
    </row>
    <row r="1044" spans="1:1" x14ac:dyDescent="0.25">
      <c r="A1044" s="66"/>
    </row>
    <row r="1045" spans="1:1" x14ac:dyDescent="0.25">
      <c r="A1045" s="66"/>
    </row>
    <row r="1046" spans="1:1" x14ac:dyDescent="0.25">
      <c r="A1046" s="66"/>
    </row>
    <row r="1047" spans="1:1" x14ac:dyDescent="0.25">
      <c r="A1047" s="66"/>
    </row>
    <row r="1048" spans="1:1" x14ac:dyDescent="0.25">
      <c r="A1048" s="66"/>
    </row>
    <row r="1049" spans="1:1" x14ac:dyDescent="0.25">
      <c r="A1049" s="66"/>
    </row>
    <row r="1050" spans="1:1" x14ac:dyDescent="0.25">
      <c r="A1050" s="66"/>
    </row>
    <row r="1051" spans="1:1" x14ac:dyDescent="0.25">
      <c r="A1051" s="66"/>
    </row>
    <row r="1052" spans="1:1" x14ac:dyDescent="0.25">
      <c r="A1052" s="66"/>
    </row>
    <row r="1053" spans="1:1" x14ac:dyDescent="0.25">
      <c r="A1053" s="66"/>
    </row>
    <row r="1054" spans="1:1" x14ac:dyDescent="0.25">
      <c r="A1054" s="66"/>
    </row>
    <row r="1055" spans="1:1" x14ac:dyDescent="0.25">
      <c r="A1055" s="66"/>
    </row>
    <row r="1056" spans="1:1" x14ac:dyDescent="0.25">
      <c r="A1056" s="66"/>
    </row>
    <row r="1057" spans="1:1" x14ac:dyDescent="0.25">
      <c r="A1057" s="66"/>
    </row>
    <row r="1058" spans="1:1" x14ac:dyDescent="0.25">
      <c r="A1058" s="66"/>
    </row>
    <row r="1059" spans="1:1" x14ac:dyDescent="0.25">
      <c r="A1059" s="66"/>
    </row>
    <row r="1060" spans="1:1" x14ac:dyDescent="0.25">
      <c r="A1060" s="66"/>
    </row>
    <row r="1061" spans="1:1" x14ac:dyDescent="0.25">
      <c r="A1061" s="66"/>
    </row>
    <row r="1062" spans="1:1" x14ac:dyDescent="0.25">
      <c r="A1062" s="66"/>
    </row>
    <row r="1063" spans="1:1" x14ac:dyDescent="0.25">
      <c r="A1063" s="66"/>
    </row>
    <row r="1064" spans="1:1" x14ac:dyDescent="0.25">
      <c r="A1064" s="66"/>
    </row>
    <row r="1065" spans="1:1" x14ac:dyDescent="0.25">
      <c r="A1065" s="66"/>
    </row>
    <row r="1066" spans="1:1" x14ac:dyDescent="0.25">
      <c r="A1066" s="66"/>
    </row>
    <row r="1067" spans="1:1" x14ac:dyDescent="0.25">
      <c r="A1067" s="66"/>
    </row>
    <row r="1068" spans="1:1" x14ac:dyDescent="0.25">
      <c r="A1068" s="66"/>
    </row>
    <row r="1069" spans="1:1" x14ac:dyDescent="0.25">
      <c r="A1069" s="66"/>
    </row>
    <row r="1070" spans="1:1" x14ac:dyDescent="0.25">
      <c r="A1070" s="66"/>
    </row>
    <row r="1071" spans="1:1" x14ac:dyDescent="0.25">
      <c r="A1071" s="66"/>
    </row>
    <row r="1072" spans="1:1" x14ac:dyDescent="0.25">
      <c r="A1072" s="66"/>
    </row>
    <row r="1073" spans="1:1" x14ac:dyDescent="0.25">
      <c r="A1073" s="66"/>
    </row>
    <row r="1074" spans="1:1" x14ac:dyDescent="0.25">
      <c r="A1074" s="66"/>
    </row>
    <row r="1075" spans="1:1" x14ac:dyDescent="0.25">
      <c r="A1075" s="66"/>
    </row>
    <row r="1076" spans="1:1" x14ac:dyDescent="0.25">
      <c r="A1076" s="66"/>
    </row>
    <row r="1077" spans="1:1" x14ac:dyDescent="0.25">
      <c r="A1077" s="66"/>
    </row>
    <row r="1078" spans="1:1" x14ac:dyDescent="0.25">
      <c r="A1078" s="66"/>
    </row>
    <row r="1079" spans="1:1" x14ac:dyDescent="0.25">
      <c r="A1079" s="66"/>
    </row>
    <row r="1080" spans="1:1" x14ac:dyDescent="0.25">
      <c r="A1080" s="66"/>
    </row>
    <row r="1081" spans="1:1" x14ac:dyDescent="0.25">
      <c r="A1081" s="66"/>
    </row>
    <row r="1082" spans="1:1" x14ac:dyDescent="0.25">
      <c r="A1082" s="66"/>
    </row>
    <row r="1083" spans="1:1" x14ac:dyDescent="0.25">
      <c r="A1083" s="66"/>
    </row>
    <row r="1084" spans="1:1" x14ac:dyDescent="0.25">
      <c r="A1084" s="66"/>
    </row>
    <row r="1085" spans="1:1" x14ac:dyDescent="0.25">
      <c r="A1085" s="66"/>
    </row>
    <row r="1086" spans="1:1" x14ac:dyDescent="0.25">
      <c r="A1086" s="66"/>
    </row>
    <row r="1087" spans="1:1" x14ac:dyDescent="0.25">
      <c r="A1087" s="66"/>
    </row>
    <row r="1088" spans="1:1" x14ac:dyDescent="0.25">
      <c r="A1088" s="66"/>
    </row>
    <row r="1089" spans="1:1" x14ac:dyDescent="0.25">
      <c r="A1089" s="66"/>
    </row>
    <row r="1090" spans="1:1" x14ac:dyDescent="0.25">
      <c r="A1090" s="66"/>
    </row>
    <row r="1091" spans="1:1" x14ac:dyDescent="0.25">
      <c r="A1091" s="66"/>
    </row>
    <row r="1092" spans="1:1" x14ac:dyDescent="0.25">
      <c r="A1092" s="66"/>
    </row>
    <row r="1093" spans="1:1" x14ac:dyDescent="0.25">
      <c r="A1093" s="66"/>
    </row>
    <row r="1094" spans="1:1" x14ac:dyDescent="0.25">
      <c r="A1094" s="66"/>
    </row>
    <row r="1095" spans="1:1" x14ac:dyDescent="0.25">
      <c r="A1095" s="66"/>
    </row>
    <row r="1096" spans="1:1" x14ac:dyDescent="0.25">
      <c r="A1096" s="66"/>
    </row>
    <row r="1097" spans="1:1" x14ac:dyDescent="0.25">
      <c r="A1097" s="66"/>
    </row>
    <row r="1098" spans="1:1" x14ac:dyDescent="0.25">
      <c r="A1098" s="66"/>
    </row>
    <row r="1099" spans="1:1" x14ac:dyDescent="0.25">
      <c r="A1099" s="66"/>
    </row>
    <row r="1100" spans="1:1" x14ac:dyDescent="0.25">
      <c r="A1100" s="66"/>
    </row>
    <row r="1101" spans="1:1" x14ac:dyDescent="0.25">
      <c r="A1101" s="66"/>
    </row>
    <row r="1102" spans="1:1" x14ac:dyDescent="0.25">
      <c r="A1102" s="66"/>
    </row>
    <row r="1103" spans="1:1" x14ac:dyDescent="0.25">
      <c r="A1103" s="66"/>
    </row>
    <row r="1104" spans="1:1" x14ac:dyDescent="0.25">
      <c r="A1104" s="66"/>
    </row>
    <row r="1105" spans="1:1" x14ac:dyDescent="0.25">
      <c r="A1105" s="66"/>
    </row>
    <row r="1106" spans="1:1" x14ac:dyDescent="0.25">
      <c r="A1106" s="66"/>
    </row>
    <row r="1107" spans="1:1" x14ac:dyDescent="0.25">
      <c r="A1107" s="66"/>
    </row>
    <row r="1108" spans="1:1" x14ac:dyDescent="0.25">
      <c r="A1108" s="66"/>
    </row>
    <row r="1109" spans="1:1" x14ac:dyDescent="0.25">
      <c r="A1109" s="66"/>
    </row>
    <row r="1110" spans="1:1" x14ac:dyDescent="0.25">
      <c r="A1110" s="66"/>
    </row>
    <row r="1111" spans="1:1" x14ac:dyDescent="0.25">
      <c r="A1111" s="66"/>
    </row>
    <row r="1112" spans="1:1" x14ac:dyDescent="0.25">
      <c r="A1112" s="66"/>
    </row>
    <row r="1113" spans="1:1" x14ac:dyDescent="0.25">
      <c r="A1113" s="66"/>
    </row>
    <row r="1114" spans="1:1" x14ac:dyDescent="0.25">
      <c r="A1114" s="66"/>
    </row>
    <row r="1115" spans="1:1" x14ac:dyDescent="0.25">
      <c r="A1115" s="66"/>
    </row>
    <row r="1116" spans="1:1" x14ac:dyDescent="0.25">
      <c r="A1116" s="66"/>
    </row>
    <row r="1117" spans="1:1" x14ac:dyDescent="0.25">
      <c r="A1117" s="66"/>
    </row>
    <row r="1118" spans="1:1" x14ac:dyDescent="0.25">
      <c r="A1118" s="66"/>
    </row>
    <row r="1119" spans="1:1" x14ac:dyDescent="0.25">
      <c r="A1119" s="66"/>
    </row>
    <row r="1120" spans="1:1" x14ac:dyDescent="0.25">
      <c r="A1120" s="66"/>
    </row>
    <row r="1121" spans="1:1" x14ac:dyDescent="0.25">
      <c r="A1121" s="66"/>
    </row>
    <row r="1122" spans="1:1" x14ac:dyDescent="0.25">
      <c r="A1122" s="66"/>
    </row>
    <row r="1123" spans="1:1" x14ac:dyDescent="0.25">
      <c r="A1123" s="66"/>
    </row>
    <row r="1124" spans="1:1" x14ac:dyDescent="0.25">
      <c r="A1124" s="66"/>
    </row>
    <row r="1125" spans="1:1" x14ac:dyDescent="0.25">
      <c r="A1125" s="66"/>
    </row>
    <row r="1126" spans="1:1" x14ac:dyDescent="0.25">
      <c r="A1126" s="66"/>
    </row>
    <row r="1127" spans="1:1" x14ac:dyDescent="0.25">
      <c r="A1127" s="66"/>
    </row>
    <row r="1128" spans="1:1" x14ac:dyDescent="0.25">
      <c r="A1128" s="66"/>
    </row>
    <row r="1129" spans="1:1" x14ac:dyDescent="0.25">
      <c r="A1129" s="66"/>
    </row>
    <row r="1130" spans="1:1" x14ac:dyDescent="0.25">
      <c r="A1130" s="66"/>
    </row>
    <row r="1131" spans="1:1" x14ac:dyDescent="0.25">
      <c r="A1131" s="66"/>
    </row>
    <row r="1132" spans="1:1" x14ac:dyDescent="0.25">
      <c r="A1132" s="66"/>
    </row>
    <row r="1133" spans="1:1" x14ac:dyDescent="0.25">
      <c r="A1133" s="66"/>
    </row>
    <row r="1134" spans="1:1" x14ac:dyDescent="0.25">
      <c r="A1134" s="66"/>
    </row>
    <row r="1135" spans="1:1" x14ac:dyDescent="0.25">
      <c r="A1135" s="66"/>
    </row>
    <row r="1136" spans="1:1" x14ac:dyDescent="0.25">
      <c r="A1136" s="66"/>
    </row>
    <row r="1137" spans="1:1" x14ac:dyDescent="0.25">
      <c r="A1137" s="66"/>
    </row>
    <row r="1138" spans="1:1" x14ac:dyDescent="0.25">
      <c r="A1138" s="66"/>
    </row>
    <row r="1139" spans="1:1" x14ac:dyDescent="0.25">
      <c r="A1139" s="66"/>
    </row>
    <row r="1140" spans="1:1" x14ac:dyDescent="0.25">
      <c r="A1140" s="66"/>
    </row>
    <row r="1141" spans="1:1" x14ac:dyDescent="0.25">
      <c r="A1141" s="66"/>
    </row>
    <row r="1142" spans="1:1" x14ac:dyDescent="0.25">
      <c r="A1142" s="66"/>
    </row>
    <row r="1143" spans="1:1" x14ac:dyDescent="0.25">
      <c r="A1143" s="66"/>
    </row>
    <row r="1144" spans="1:1" x14ac:dyDescent="0.25">
      <c r="A1144" s="66"/>
    </row>
    <row r="1145" spans="1:1" x14ac:dyDescent="0.25">
      <c r="A1145" s="66"/>
    </row>
    <row r="1146" spans="1:1" x14ac:dyDescent="0.25">
      <c r="A1146" s="66"/>
    </row>
    <row r="1147" spans="1:1" x14ac:dyDescent="0.25">
      <c r="A1147" s="66"/>
    </row>
    <row r="1148" spans="1:1" x14ac:dyDescent="0.25">
      <c r="A1148" s="66"/>
    </row>
    <row r="1149" spans="1:1" x14ac:dyDescent="0.25">
      <c r="A1149" s="66"/>
    </row>
    <row r="1150" spans="1:1" x14ac:dyDescent="0.25">
      <c r="A1150" s="66"/>
    </row>
    <row r="1151" spans="1:1" x14ac:dyDescent="0.25">
      <c r="A1151" s="66"/>
    </row>
    <row r="1152" spans="1:1" x14ac:dyDescent="0.25">
      <c r="A1152" s="66"/>
    </row>
    <row r="1153" spans="1:1" x14ac:dyDescent="0.25">
      <c r="A1153" s="66"/>
    </row>
    <row r="1154" spans="1:1" x14ac:dyDescent="0.25">
      <c r="A1154" s="66"/>
    </row>
    <row r="1155" spans="1:1" x14ac:dyDescent="0.25">
      <c r="A1155" s="66"/>
    </row>
    <row r="1156" spans="1:1" x14ac:dyDescent="0.25">
      <c r="A1156" s="66"/>
    </row>
    <row r="1157" spans="1:1" x14ac:dyDescent="0.25">
      <c r="A1157" s="66"/>
    </row>
    <row r="1158" spans="1:1" x14ac:dyDescent="0.25">
      <c r="A1158" s="66"/>
    </row>
    <row r="1159" spans="1:1" x14ac:dyDescent="0.25">
      <c r="A1159" s="66"/>
    </row>
    <row r="1160" spans="1:1" x14ac:dyDescent="0.25">
      <c r="A1160" s="66"/>
    </row>
    <row r="1161" spans="1:1" x14ac:dyDescent="0.25">
      <c r="A1161" s="66"/>
    </row>
    <row r="1162" spans="1:1" x14ac:dyDescent="0.25">
      <c r="A1162" s="66"/>
    </row>
    <row r="1163" spans="1:1" x14ac:dyDescent="0.25">
      <c r="A1163" s="66"/>
    </row>
    <row r="1164" spans="1:1" x14ac:dyDescent="0.25">
      <c r="A1164" s="66"/>
    </row>
    <row r="1165" spans="1:1" x14ac:dyDescent="0.25">
      <c r="A1165" s="66"/>
    </row>
    <row r="1166" spans="1:1" x14ac:dyDescent="0.25">
      <c r="A1166" s="66"/>
    </row>
    <row r="1167" spans="1:1" x14ac:dyDescent="0.25">
      <c r="A1167" s="66"/>
    </row>
    <row r="1168" spans="1:1" x14ac:dyDescent="0.25">
      <c r="A1168" s="66"/>
    </row>
    <row r="1169" spans="1:1" x14ac:dyDescent="0.25">
      <c r="A1169" s="66"/>
    </row>
    <row r="1170" spans="1:1" x14ac:dyDescent="0.25">
      <c r="A1170" s="66"/>
    </row>
    <row r="1171" spans="1:1" x14ac:dyDescent="0.25">
      <c r="A1171" s="66"/>
    </row>
    <row r="1172" spans="1:1" x14ac:dyDescent="0.25">
      <c r="A1172" s="66"/>
    </row>
    <row r="1173" spans="1:1" x14ac:dyDescent="0.25">
      <c r="A1173" s="66"/>
    </row>
    <row r="1174" spans="1:1" x14ac:dyDescent="0.25">
      <c r="A1174" s="66"/>
    </row>
    <row r="1175" spans="1:1" x14ac:dyDescent="0.25">
      <c r="A1175" s="66"/>
    </row>
    <row r="1176" spans="1:1" x14ac:dyDescent="0.25">
      <c r="A1176" s="66"/>
    </row>
    <row r="1177" spans="1:1" x14ac:dyDescent="0.25">
      <c r="A1177" s="66"/>
    </row>
    <row r="1178" spans="1:1" x14ac:dyDescent="0.25">
      <c r="A1178" s="66"/>
    </row>
    <row r="1179" spans="1:1" x14ac:dyDescent="0.25">
      <c r="A1179" s="66"/>
    </row>
    <row r="1180" spans="1:1" x14ac:dyDescent="0.25">
      <c r="A1180" s="66"/>
    </row>
    <row r="1181" spans="1:1" x14ac:dyDescent="0.25">
      <c r="A1181" s="66"/>
    </row>
    <row r="1182" spans="1:1" x14ac:dyDescent="0.25">
      <c r="A1182" s="66"/>
    </row>
    <row r="1183" spans="1:1" x14ac:dyDescent="0.25">
      <c r="A1183" s="66"/>
    </row>
    <row r="1184" spans="1:1" x14ac:dyDescent="0.25">
      <c r="A1184" s="66"/>
    </row>
    <row r="1185" spans="1:1" x14ac:dyDescent="0.25">
      <c r="A1185" s="66"/>
    </row>
    <row r="1186" spans="1:1" x14ac:dyDescent="0.25">
      <c r="A1186" s="66"/>
    </row>
    <row r="1187" spans="1:1" x14ac:dyDescent="0.25">
      <c r="A1187" s="66"/>
    </row>
    <row r="1188" spans="1:1" x14ac:dyDescent="0.25">
      <c r="A1188" s="66"/>
    </row>
    <row r="1189" spans="1:1" x14ac:dyDescent="0.25">
      <c r="A1189" s="66"/>
    </row>
    <row r="1190" spans="1:1" x14ac:dyDescent="0.25">
      <c r="A1190" s="66"/>
    </row>
    <row r="1191" spans="1:1" x14ac:dyDescent="0.25">
      <c r="A1191" s="66"/>
    </row>
    <row r="1192" spans="1:1" x14ac:dyDescent="0.25">
      <c r="A1192" s="66"/>
    </row>
    <row r="1193" spans="1:1" x14ac:dyDescent="0.25">
      <c r="A1193" s="66"/>
    </row>
    <row r="1194" spans="1:1" x14ac:dyDescent="0.25">
      <c r="A1194" s="66"/>
    </row>
    <row r="1195" spans="1:1" x14ac:dyDescent="0.25">
      <c r="A1195" s="66"/>
    </row>
    <row r="1196" spans="1:1" x14ac:dyDescent="0.25">
      <c r="A1196" s="66"/>
    </row>
    <row r="1197" spans="1:1" x14ac:dyDescent="0.25">
      <c r="A1197" s="66"/>
    </row>
    <row r="1198" spans="1:1" x14ac:dyDescent="0.25">
      <c r="A1198" s="66"/>
    </row>
    <row r="1199" spans="1:1" x14ac:dyDescent="0.25">
      <c r="A1199" s="66"/>
    </row>
    <row r="1200" spans="1:1" x14ac:dyDescent="0.25">
      <c r="A1200" s="66"/>
    </row>
    <row r="1201" spans="1:1" x14ac:dyDescent="0.25">
      <c r="A1201" s="66"/>
    </row>
    <row r="1202" spans="1:1" x14ac:dyDescent="0.25">
      <c r="A1202" s="66"/>
    </row>
    <row r="1203" spans="1:1" x14ac:dyDescent="0.25">
      <c r="A1203" s="66"/>
    </row>
    <row r="1204" spans="1:1" x14ac:dyDescent="0.25">
      <c r="A1204" s="66"/>
    </row>
    <row r="1205" spans="1:1" x14ac:dyDescent="0.25">
      <c r="A1205" s="66"/>
    </row>
    <row r="1206" spans="1:1" x14ac:dyDescent="0.25">
      <c r="A1206" s="66"/>
    </row>
    <row r="1207" spans="1:1" x14ac:dyDescent="0.25">
      <c r="A1207" s="66"/>
    </row>
    <row r="1208" spans="1:1" x14ac:dyDescent="0.25">
      <c r="A1208" s="66"/>
    </row>
    <row r="1209" spans="1:1" x14ac:dyDescent="0.25">
      <c r="A1209" s="66"/>
    </row>
    <row r="1210" spans="1:1" x14ac:dyDescent="0.25">
      <c r="A1210" s="66"/>
    </row>
    <row r="1211" spans="1:1" x14ac:dyDescent="0.25">
      <c r="A1211" s="66"/>
    </row>
    <row r="1212" spans="1:1" x14ac:dyDescent="0.25">
      <c r="A1212" s="66"/>
    </row>
    <row r="1213" spans="1:1" x14ac:dyDescent="0.25">
      <c r="A1213" s="66"/>
    </row>
    <row r="1214" spans="1:1" x14ac:dyDescent="0.25">
      <c r="A1214" s="66"/>
    </row>
    <row r="1215" spans="1:1" x14ac:dyDescent="0.25">
      <c r="A1215" s="66"/>
    </row>
    <row r="1216" spans="1:1" x14ac:dyDescent="0.25">
      <c r="A1216" s="66"/>
    </row>
    <row r="1217" spans="1:1" x14ac:dyDescent="0.25">
      <c r="A1217" s="66"/>
    </row>
    <row r="1218" spans="1:1" x14ac:dyDescent="0.25">
      <c r="A1218" s="66"/>
    </row>
    <row r="1219" spans="1:1" x14ac:dyDescent="0.25">
      <c r="A1219" s="66"/>
    </row>
    <row r="1220" spans="1:1" x14ac:dyDescent="0.25">
      <c r="A1220" s="66"/>
    </row>
    <row r="1221" spans="1:1" x14ac:dyDescent="0.25">
      <c r="A1221" s="66"/>
    </row>
    <row r="1222" spans="1:1" x14ac:dyDescent="0.25">
      <c r="A1222" s="66"/>
    </row>
    <row r="1223" spans="1:1" x14ac:dyDescent="0.25">
      <c r="A1223" s="66"/>
    </row>
    <row r="1224" spans="1:1" x14ac:dyDescent="0.25">
      <c r="A1224" s="66"/>
    </row>
    <row r="1225" spans="1:1" x14ac:dyDescent="0.25">
      <c r="A1225" s="66"/>
    </row>
    <row r="1226" spans="1:1" x14ac:dyDescent="0.25">
      <c r="A1226" s="66"/>
    </row>
    <row r="1227" spans="1:1" x14ac:dyDescent="0.25">
      <c r="A1227" s="66"/>
    </row>
    <row r="1228" spans="1:1" x14ac:dyDescent="0.25">
      <c r="A1228" s="66"/>
    </row>
    <row r="1229" spans="1:1" x14ac:dyDescent="0.25">
      <c r="A1229" s="66"/>
    </row>
    <row r="1230" spans="1:1" x14ac:dyDescent="0.25">
      <c r="A1230" s="66"/>
    </row>
    <row r="1231" spans="1:1" x14ac:dyDescent="0.25">
      <c r="A1231" s="66"/>
    </row>
    <row r="1232" spans="1:1" x14ac:dyDescent="0.25">
      <c r="A1232" s="66"/>
    </row>
    <row r="1233" spans="1:1" x14ac:dyDescent="0.25">
      <c r="A1233" s="66"/>
    </row>
    <row r="1234" spans="1:1" x14ac:dyDescent="0.25">
      <c r="A1234" s="66"/>
    </row>
    <row r="1235" spans="1:1" x14ac:dyDescent="0.25">
      <c r="A1235" s="66"/>
    </row>
    <row r="1236" spans="1:1" x14ac:dyDescent="0.25">
      <c r="A1236" s="66"/>
    </row>
    <row r="1237" spans="1:1" x14ac:dyDescent="0.25">
      <c r="A1237" s="66"/>
    </row>
    <row r="1238" spans="1:1" x14ac:dyDescent="0.25">
      <c r="A1238" s="66"/>
    </row>
    <row r="1239" spans="1:1" x14ac:dyDescent="0.25">
      <c r="A1239" s="66"/>
    </row>
    <row r="1240" spans="1:1" x14ac:dyDescent="0.25">
      <c r="A1240" s="66"/>
    </row>
    <row r="1241" spans="1:1" x14ac:dyDescent="0.25">
      <c r="A1241" s="66"/>
    </row>
    <row r="1242" spans="1:1" x14ac:dyDescent="0.25">
      <c r="A1242" s="66"/>
    </row>
    <row r="1243" spans="1:1" x14ac:dyDescent="0.25">
      <c r="A1243" s="66"/>
    </row>
    <row r="1244" spans="1:1" x14ac:dyDescent="0.25">
      <c r="A1244" s="66"/>
    </row>
    <row r="1245" spans="1:1" x14ac:dyDescent="0.25">
      <c r="A1245" s="66"/>
    </row>
    <row r="1246" spans="1:1" x14ac:dyDescent="0.25">
      <c r="A1246" s="66"/>
    </row>
    <row r="1247" spans="1:1" x14ac:dyDescent="0.25">
      <c r="A1247" s="66"/>
    </row>
    <row r="1248" spans="1:1" x14ac:dyDescent="0.25">
      <c r="A1248" s="66"/>
    </row>
    <row r="1249" spans="1:1" x14ac:dyDescent="0.25">
      <c r="A1249" s="66"/>
    </row>
    <row r="1250" spans="1:1" x14ac:dyDescent="0.25">
      <c r="A1250" s="66"/>
    </row>
    <row r="1251" spans="1:1" x14ac:dyDescent="0.25">
      <c r="A1251" s="66"/>
    </row>
    <row r="1252" spans="1:1" x14ac:dyDescent="0.25">
      <c r="A1252" s="66"/>
    </row>
    <row r="1253" spans="1:1" x14ac:dyDescent="0.25">
      <c r="A1253" s="66"/>
    </row>
    <row r="1254" spans="1:1" x14ac:dyDescent="0.25">
      <c r="A1254" s="66"/>
    </row>
    <row r="1255" spans="1:1" x14ac:dyDescent="0.25">
      <c r="A1255" s="66"/>
    </row>
    <row r="1256" spans="1:1" x14ac:dyDescent="0.25">
      <c r="A1256" s="66"/>
    </row>
    <row r="1257" spans="1:1" x14ac:dyDescent="0.25">
      <c r="A1257" s="66"/>
    </row>
    <row r="1258" spans="1:1" x14ac:dyDescent="0.25">
      <c r="A1258" s="66"/>
    </row>
    <row r="1259" spans="1:1" x14ac:dyDescent="0.25">
      <c r="A1259" s="66"/>
    </row>
    <row r="1260" spans="1:1" x14ac:dyDescent="0.25">
      <c r="A1260" s="66"/>
    </row>
    <row r="1261" spans="1:1" x14ac:dyDescent="0.25">
      <c r="A1261" s="66"/>
    </row>
    <row r="1262" spans="1:1" x14ac:dyDescent="0.25">
      <c r="A1262" s="66"/>
    </row>
    <row r="1263" spans="1:1" x14ac:dyDescent="0.25">
      <c r="A1263" s="66"/>
    </row>
    <row r="1264" spans="1:1" x14ac:dyDescent="0.25">
      <c r="A1264" s="66"/>
    </row>
    <row r="1265" spans="1:1" x14ac:dyDescent="0.25">
      <c r="A1265" s="66"/>
    </row>
    <row r="1266" spans="1:1" x14ac:dyDescent="0.25">
      <c r="A1266" s="66"/>
    </row>
    <row r="1267" spans="1:1" x14ac:dyDescent="0.25">
      <c r="A1267" s="66"/>
    </row>
    <row r="1268" spans="1:1" x14ac:dyDescent="0.25">
      <c r="A1268" s="66"/>
    </row>
    <row r="1269" spans="1:1" x14ac:dyDescent="0.25">
      <c r="A1269" s="66"/>
    </row>
    <row r="1270" spans="1:1" x14ac:dyDescent="0.25">
      <c r="A1270" s="66"/>
    </row>
    <row r="1271" spans="1:1" x14ac:dyDescent="0.25">
      <c r="A1271" s="66"/>
    </row>
    <row r="1272" spans="1:1" x14ac:dyDescent="0.25">
      <c r="A1272" s="66"/>
    </row>
    <row r="1273" spans="1:1" x14ac:dyDescent="0.25">
      <c r="A1273" s="66"/>
    </row>
    <row r="1274" spans="1:1" x14ac:dyDescent="0.25">
      <c r="A1274" s="66"/>
    </row>
    <row r="1275" spans="1:1" x14ac:dyDescent="0.25">
      <c r="A1275" s="66"/>
    </row>
    <row r="1276" spans="1:1" x14ac:dyDescent="0.25">
      <c r="A1276" s="66"/>
    </row>
    <row r="1277" spans="1:1" x14ac:dyDescent="0.25">
      <c r="A1277" s="66"/>
    </row>
    <row r="1278" spans="1:1" x14ac:dyDescent="0.25">
      <c r="A1278" s="66"/>
    </row>
    <row r="1279" spans="1:1" x14ac:dyDescent="0.25">
      <c r="A1279" s="66"/>
    </row>
    <row r="1280" spans="1:1" x14ac:dyDescent="0.25">
      <c r="A1280" s="66"/>
    </row>
    <row r="1281" spans="1:1" x14ac:dyDescent="0.25">
      <c r="A1281" s="66"/>
    </row>
    <row r="1282" spans="1:1" x14ac:dyDescent="0.25">
      <c r="A1282" s="66"/>
    </row>
    <row r="1283" spans="1:1" x14ac:dyDescent="0.25">
      <c r="A1283" s="66"/>
    </row>
    <row r="1284" spans="1:1" x14ac:dyDescent="0.25">
      <c r="A1284" s="66"/>
    </row>
    <row r="1285" spans="1:1" x14ac:dyDescent="0.25">
      <c r="A1285" s="66"/>
    </row>
    <row r="1286" spans="1:1" x14ac:dyDescent="0.25">
      <c r="A1286" s="66"/>
    </row>
    <row r="1287" spans="1:1" x14ac:dyDescent="0.25">
      <c r="A1287" s="66"/>
    </row>
    <row r="1288" spans="1:1" x14ac:dyDescent="0.25">
      <c r="A1288" s="66"/>
    </row>
    <row r="1289" spans="1:1" x14ac:dyDescent="0.25">
      <c r="A1289" s="66"/>
    </row>
    <row r="1290" spans="1:1" x14ac:dyDescent="0.25">
      <c r="A1290" s="66"/>
    </row>
    <row r="1291" spans="1:1" x14ac:dyDescent="0.25">
      <c r="A1291" s="66"/>
    </row>
    <row r="1292" spans="1:1" x14ac:dyDescent="0.25">
      <c r="A1292" s="66"/>
    </row>
    <row r="1293" spans="1:1" x14ac:dyDescent="0.25">
      <c r="A1293" s="66"/>
    </row>
    <row r="1294" spans="1:1" x14ac:dyDescent="0.25">
      <c r="A1294" s="66"/>
    </row>
    <row r="1295" spans="1:1" x14ac:dyDescent="0.25">
      <c r="A1295" s="66"/>
    </row>
    <row r="1296" spans="1:1" x14ac:dyDescent="0.25">
      <c r="A1296" s="66"/>
    </row>
    <row r="1297" spans="1:1" x14ac:dyDescent="0.25">
      <c r="A1297" s="66"/>
    </row>
    <row r="1298" spans="1:1" x14ac:dyDescent="0.25">
      <c r="A1298" s="66"/>
    </row>
    <row r="1299" spans="1:1" x14ac:dyDescent="0.25">
      <c r="A1299" s="66"/>
    </row>
    <row r="1300" spans="1:1" x14ac:dyDescent="0.25">
      <c r="A1300" s="66"/>
    </row>
    <row r="1301" spans="1:1" x14ac:dyDescent="0.25">
      <c r="A1301" s="66"/>
    </row>
    <row r="1302" spans="1:1" x14ac:dyDescent="0.25">
      <c r="A1302" s="66"/>
    </row>
    <row r="1303" spans="1:1" x14ac:dyDescent="0.25">
      <c r="A1303" s="66"/>
    </row>
    <row r="1304" spans="1:1" x14ac:dyDescent="0.25">
      <c r="A1304" s="66"/>
    </row>
    <row r="1305" spans="1:1" x14ac:dyDescent="0.25">
      <c r="A1305" s="66"/>
    </row>
    <row r="1306" spans="1:1" x14ac:dyDescent="0.25">
      <c r="A1306" s="66"/>
    </row>
    <row r="1307" spans="1:1" x14ac:dyDescent="0.25">
      <c r="A1307" s="66"/>
    </row>
    <row r="1308" spans="1:1" x14ac:dyDescent="0.25">
      <c r="A1308" s="66"/>
    </row>
    <row r="1309" spans="1:1" x14ac:dyDescent="0.25">
      <c r="A1309" s="66"/>
    </row>
    <row r="1310" spans="1:1" x14ac:dyDescent="0.25">
      <c r="A1310" s="66"/>
    </row>
    <row r="1311" spans="1:1" x14ac:dyDescent="0.25">
      <c r="A1311" s="66"/>
    </row>
    <row r="1312" spans="1:1" x14ac:dyDescent="0.25">
      <c r="A1312" s="66"/>
    </row>
    <row r="1313" spans="1:1" x14ac:dyDescent="0.25">
      <c r="A1313" s="66"/>
    </row>
    <row r="1314" spans="1:1" x14ac:dyDescent="0.25">
      <c r="A1314" s="66"/>
    </row>
    <row r="1315" spans="1:1" x14ac:dyDescent="0.25">
      <c r="A1315" s="66"/>
    </row>
    <row r="1316" spans="1:1" x14ac:dyDescent="0.25">
      <c r="A1316" s="66"/>
    </row>
    <row r="1317" spans="1:1" x14ac:dyDescent="0.25">
      <c r="A1317" s="66"/>
    </row>
    <row r="1318" spans="1:1" x14ac:dyDescent="0.25">
      <c r="A1318" s="66"/>
    </row>
    <row r="1319" spans="1:1" x14ac:dyDescent="0.25">
      <c r="A1319" s="66"/>
    </row>
    <row r="1320" spans="1:1" x14ac:dyDescent="0.25">
      <c r="A1320" s="66"/>
    </row>
    <row r="1321" spans="1:1" x14ac:dyDescent="0.25">
      <c r="A1321" s="66"/>
    </row>
    <row r="1322" spans="1:1" x14ac:dyDescent="0.25">
      <c r="A1322" s="66"/>
    </row>
    <row r="1323" spans="1:1" x14ac:dyDescent="0.25">
      <c r="A1323" s="66"/>
    </row>
    <row r="1324" spans="1:1" x14ac:dyDescent="0.25">
      <c r="A1324" s="66"/>
    </row>
    <row r="1325" spans="1:1" x14ac:dyDescent="0.25">
      <c r="A1325" s="66"/>
    </row>
    <row r="1326" spans="1:1" x14ac:dyDescent="0.25">
      <c r="A1326" s="66"/>
    </row>
    <row r="1327" spans="1:1" x14ac:dyDescent="0.25">
      <c r="A1327" s="66"/>
    </row>
    <row r="1328" spans="1:1" x14ac:dyDescent="0.25">
      <c r="A1328" s="66"/>
    </row>
    <row r="1329" spans="1:1" x14ac:dyDescent="0.25">
      <c r="A1329" s="66"/>
    </row>
    <row r="1330" spans="1:1" x14ac:dyDescent="0.25">
      <c r="A1330" s="66"/>
    </row>
    <row r="1331" spans="1:1" x14ac:dyDescent="0.25">
      <c r="A1331" s="66"/>
    </row>
    <row r="1332" spans="1:1" x14ac:dyDescent="0.25">
      <c r="A1332" s="66"/>
    </row>
    <row r="1333" spans="1:1" x14ac:dyDescent="0.25">
      <c r="A1333" s="66"/>
    </row>
    <row r="1334" spans="1:1" x14ac:dyDescent="0.25">
      <c r="A1334" s="66"/>
    </row>
    <row r="1335" spans="1:1" x14ac:dyDescent="0.25">
      <c r="A1335" s="66"/>
    </row>
    <row r="1336" spans="1:1" x14ac:dyDescent="0.25">
      <c r="A1336" s="66"/>
    </row>
    <row r="1337" spans="1:1" x14ac:dyDescent="0.25">
      <c r="A1337" s="66"/>
    </row>
    <row r="1338" spans="1:1" x14ac:dyDescent="0.25">
      <c r="A1338" s="66"/>
    </row>
    <row r="1339" spans="1:1" x14ac:dyDescent="0.25">
      <c r="A1339" s="66"/>
    </row>
    <row r="1340" spans="1:1" x14ac:dyDescent="0.25">
      <c r="A1340" s="66"/>
    </row>
    <row r="1341" spans="1:1" x14ac:dyDescent="0.25">
      <c r="A1341" s="66"/>
    </row>
    <row r="1342" spans="1:1" x14ac:dyDescent="0.25">
      <c r="A1342" s="66"/>
    </row>
    <row r="1343" spans="1:1" x14ac:dyDescent="0.25">
      <c r="A1343" s="66"/>
    </row>
    <row r="1344" spans="1:1" x14ac:dyDescent="0.25">
      <c r="A1344" s="66"/>
    </row>
    <row r="1345" spans="1:1" x14ac:dyDescent="0.25">
      <c r="A1345" s="66"/>
    </row>
    <row r="1346" spans="1:1" x14ac:dyDescent="0.25">
      <c r="A1346" s="66"/>
    </row>
    <row r="1347" spans="1:1" x14ac:dyDescent="0.25">
      <c r="A1347" s="66"/>
    </row>
    <row r="1348" spans="1:1" x14ac:dyDescent="0.25">
      <c r="A1348" s="66"/>
    </row>
    <row r="1349" spans="1:1" x14ac:dyDescent="0.25">
      <c r="A1349" s="66"/>
    </row>
    <row r="1350" spans="1:1" x14ac:dyDescent="0.25">
      <c r="A1350" s="66"/>
    </row>
    <row r="1351" spans="1:1" x14ac:dyDescent="0.25">
      <c r="A1351" s="66"/>
    </row>
    <row r="1352" spans="1:1" x14ac:dyDescent="0.25">
      <c r="A1352" s="66"/>
    </row>
    <row r="1353" spans="1:1" x14ac:dyDescent="0.25">
      <c r="A1353" s="66"/>
    </row>
    <row r="1354" spans="1:1" x14ac:dyDescent="0.25">
      <c r="A1354" s="66"/>
    </row>
    <row r="1355" spans="1:1" x14ac:dyDescent="0.25">
      <c r="A1355" s="66"/>
    </row>
    <row r="1356" spans="1:1" x14ac:dyDescent="0.25">
      <c r="A1356" s="66"/>
    </row>
    <row r="1357" spans="1:1" x14ac:dyDescent="0.25">
      <c r="A1357" s="66"/>
    </row>
    <row r="1358" spans="1:1" x14ac:dyDescent="0.25">
      <c r="A1358" s="66"/>
    </row>
    <row r="1359" spans="1:1" x14ac:dyDescent="0.25">
      <c r="A1359" s="66"/>
    </row>
    <row r="1360" spans="1:1" x14ac:dyDescent="0.25">
      <c r="A1360" s="66"/>
    </row>
    <row r="1361" spans="1:1" x14ac:dyDescent="0.25">
      <c r="A1361" s="66"/>
    </row>
    <row r="1362" spans="1:1" x14ac:dyDescent="0.25">
      <c r="A1362" s="66"/>
    </row>
    <row r="1363" spans="1:1" x14ac:dyDescent="0.25">
      <c r="A1363" s="66"/>
    </row>
    <row r="1364" spans="1:1" x14ac:dyDescent="0.25">
      <c r="A1364" s="66"/>
    </row>
    <row r="1365" spans="1:1" x14ac:dyDescent="0.25">
      <c r="A1365" s="66"/>
    </row>
    <row r="1366" spans="1:1" x14ac:dyDescent="0.25">
      <c r="A1366" s="66"/>
    </row>
    <row r="1367" spans="1:1" x14ac:dyDescent="0.25">
      <c r="A1367" s="66"/>
    </row>
    <row r="1368" spans="1:1" x14ac:dyDescent="0.25">
      <c r="A1368" s="66"/>
    </row>
    <row r="1369" spans="1:1" x14ac:dyDescent="0.25">
      <c r="A1369" s="66"/>
    </row>
    <row r="1370" spans="1:1" x14ac:dyDescent="0.25">
      <c r="A1370" s="66"/>
    </row>
    <row r="1371" spans="1:1" x14ac:dyDescent="0.25">
      <c r="A1371" s="66"/>
    </row>
    <row r="1372" spans="1:1" x14ac:dyDescent="0.25">
      <c r="A1372" s="66"/>
    </row>
    <row r="1373" spans="1:1" x14ac:dyDescent="0.25">
      <c r="A1373" s="66"/>
    </row>
    <row r="1374" spans="1:1" x14ac:dyDescent="0.25">
      <c r="A1374" s="66"/>
    </row>
    <row r="1375" spans="1:1" x14ac:dyDescent="0.25">
      <c r="A1375" s="66"/>
    </row>
    <row r="1376" spans="1:1" x14ac:dyDescent="0.25">
      <c r="A1376" s="66"/>
    </row>
    <row r="1377" spans="1:1" x14ac:dyDescent="0.25">
      <c r="A1377" s="66"/>
    </row>
    <row r="1378" spans="1:1" x14ac:dyDescent="0.25">
      <c r="A1378" s="66"/>
    </row>
    <row r="1379" spans="1:1" x14ac:dyDescent="0.25">
      <c r="A1379" s="66"/>
    </row>
    <row r="1380" spans="1:1" x14ac:dyDescent="0.25">
      <c r="A1380" s="66"/>
    </row>
    <row r="1381" spans="1:1" x14ac:dyDescent="0.25">
      <c r="A1381" s="66"/>
    </row>
    <row r="1382" spans="1:1" x14ac:dyDescent="0.25">
      <c r="A1382" s="66"/>
    </row>
    <row r="1383" spans="1:1" x14ac:dyDescent="0.25">
      <c r="A1383" s="66"/>
    </row>
    <row r="1384" spans="1:1" x14ac:dyDescent="0.25">
      <c r="A1384" s="66"/>
    </row>
    <row r="1385" spans="1:1" x14ac:dyDescent="0.25">
      <c r="A1385" s="66"/>
    </row>
    <row r="1386" spans="1:1" x14ac:dyDescent="0.25">
      <c r="A1386" s="66"/>
    </row>
    <row r="1387" spans="1:1" x14ac:dyDescent="0.25">
      <c r="A1387" s="66"/>
    </row>
    <row r="1388" spans="1:1" x14ac:dyDescent="0.25">
      <c r="A1388" s="66"/>
    </row>
    <row r="1389" spans="1:1" x14ac:dyDescent="0.25">
      <c r="A1389" s="66"/>
    </row>
    <row r="1390" spans="1:1" x14ac:dyDescent="0.25">
      <c r="A1390" s="66"/>
    </row>
    <row r="1391" spans="1:1" x14ac:dyDescent="0.25">
      <c r="A1391" s="66"/>
    </row>
    <row r="1392" spans="1:1" x14ac:dyDescent="0.25">
      <c r="A1392" s="66"/>
    </row>
    <row r="1393" spans="1:1" x14ac:dyDescent="0.25">
      <c r="A1393" s="66"/>
    </row>
    <row r="1394" spans="1:1" x14ac:dyDescent="0.25">
      <c r="A1394" s="66"/>
    </row>
    <row r="1395" spans="1:1" x14ac:dyDescent="0.25">
      <c r="A1395" s="66"/>
    </row>
    <row r="1396" spans="1:1" x14ac:dyDescent="0.25">
      <c r="A1396" s="66"/>
    </row>
    <row r="1397" spans="1:1" x14ac:dyDescent="0.25">
      <c r="A1397" s="66"/>
    </row>
    <row r="1398" spans="1:1" x14ac:dyDescent="0.25">
      <c r="A1398" s="66"/>
    </row>
    <row r="1399" spans="1:1" x14ac:dyDescent="0.25">
      <c r="A1399" s="66"/>
    </row>
    <row r="1400" spans="1:1" x14ac:dyDescent="0.25">
      <c r="A1400" s="66"/>
    </row>
    <row r="1401" spans="1:1" x14ac:dyDescent="0.25">
      <c r="A1401" s="66"/>
    </row>
    <row r="1402" spans="1:1" x14ac:dyDescent="0.25">
      <c r="A1402" s="66"/>
    </row>
    <row r="1403" spans="1:1" x14ac:dyDescent="0.25">
      <c r="A1403" s="66"/>
    </row>
    <row r="1404" spans="1:1" x14ac:dyDescent="0.25">
      <c r="A1404" s="66"/>
    </row>
    <row r="1405" spans="1:1" x14ac:dyDescent="0.25">
      <c r="A1405" s="66"/>
    </row>
    <row r="1406" spans="1:1" x14ac:dyDescent="0.25">
      <c r="A1406" s="66"/>
    </row>
    <row r="1407" spans="1:1" x14ac:dyDescent="0.25">
      <c r="A1407" s="66"/>
    </row>
    <row r="1408" spans="1:1" x14ac:dyDescent="0.25">
      <c r="A1408" s="66"/>
    </row>
    <row r="1409" spans="1:1" x14ac:dyDescent="0.25">
      <c r="A1409" s="66"/>
    </row>
    <row r="1410" spans="1:1" x14ac:dyDescent="0.25">
      <c r="A1410" s="66"/>
    </row>
    <row r="1411" spans="1:1" x14ac:dyDescent="0.25">
      <c r="A1411" s="66"/>
    </row>
    <row r="1412" spans="1:1" x14ac:dyDescent="0.25">
      <c r="A1412" s="66"/>
    </row>
    <row r="1413" spans="1:1" x14ac:dyDescent="0.25">
      <c r="A1413" s="66"/>
    </row>
    <row r="1414" spans="1:1" x14ac:dyDescent="0.25">
      <c r="A1414" s="66"/>
    </row>
    <row r="1415" spans="1:1" x14ac:dyDescent="0.25">
      <c r="A1415" s="66"/>
    </row>
    <row r="1416" spans="1:1" x14ac:dyDescent="0.25">
      <c r="A1416" s="66"/>
    </row>
    <row r="1417" spans="1:1" x14ac:dyDescent="0.25">
      <c r="A1417" s="66"/>
    </row>
    <row r="1418" spans="1:1" x14ac:dyDescent="0.25">
      <c r="A1418" s="66"/>
    </row>
    <row r="1419" spans="1:1" x14ac:dyDescent="0.25">
      <c r="A1419" s="66"/>
    </row>
    <row r="1420" spans="1:1" x14ac:dyDescent="0.25">
      <c r="A1420" s="66"/>
    </row>
    <row r="1421" spans="1:1" x14ac:dyDescent="0.25">
      <c r="A1421" s="66"/>
    </row>
    <row r="1422" spans="1:1" x14ac:dyDescent="0.25">
      <c r="A1422" s="66"/>
    </row>
    <row r="1423" spans="1:1" x14ac:dyDescent="0.25">
      <c r="A1423" s="66"/>
    </row>
    <row r="1424" spans="1:1" x14ac:dyDescent="0.25">
      <c r="A1424" s="66"/>
    </row>
    <row r="1425" spans="1:1" x14ac:dyDescent="0.25">
      <c r="A1425" s="66"/>
    </row>
    <row r="1426" spans="1:1" x14ac:dyDescent="0.25">
      <c r="A1426" s="66"/>
    </row>
    <row r="1427" spans="1:1" x14ac:dyDescent="0.25">
      <c r="A1427" s="66"/>
    </row>
    <row r="1428" spans="1:1" x14ac:dyDescent="0.25">
      <c r="A1428" s="66"/>
    </row>
    <row r="1429" spans="1:1" x14ac:dyDescent="0.25">
      <c r="A1429" s="66"/>
    </row>
    <row r="1430" spans="1:1" x14ac:dyDescent="0.25">
      <c r="A1430" s="66"/>
    </row>
    <row r="1431" spans="1:1" x14ac:dyDescent="0.25">
      <c r="A1431" s="66"/>
    </row>
    <row r="1432" spans="1:1" x14ac:dyDescent="0.25">
      <c r="A1432" s="66"/>
    </row>
    <row r="1433" spans="1:1" x14ac:dyDescent="0.25">
      <c r="A1433" s="66"/>
    </row>
    <row r="1434" spans="1:1" x14ac:dyDescent="0.25">
      <c r="A1434" s="66"/>
    </row>
    <row r="1435" spans="1:1" x14ac:dyDescent="0.25">
      <c r="A1435" s="66"/>
    </row>
    <row r="1436" spans="1:1" x14ac:dyDescent="0.25">
      <c r="A1436" s="66"/>
    </row>
    <row r="1437" spans="1:1" x14ac:dyDescent="0.25">
      <c r="A1437" s="66"/>
    </row>
    <row r="1438" spans="1:1" x14ac:dyDescent="0.25">
      <c r="A1438" s="66"/>
    </row>
    <row r="1439" spans="1:1" x14ac:dyDescent="0.25">
      <c r="A1439" s="66"/>
    </row>
    <row r="1440" spans="1:1" x14ac:dyDescent="0.25">
      <c r="A1440" s="66"/>
    </row>
    <row r="1441" spans="1:1" x14ac:dyDescent="0.25">
      <c r="A1441" s="66"/>
    </row>
    <row r="1442" spans="1:1" x14ac:dyDescent="0.25">
      <c r="A1442" s="66"/>
    </row>
    <row r="1443" spans="1:1" x14ac:dyDescent="0.25">
      <c r="A1443" s="66"/>
    </row>
    <row r="1444" spans="1:1" x14ac:dyDescent="0.25">
      <c r="A1444" s="66"/>
    </row>
    <row r="1445" spans="1:1" x14ac:dyDescent="0.25">
      <c r="A1445" s="66"/>
    </row>
    <row r="1446" spans="1:1" x14ac:dyDescent="0.25">
      <c r="A1446" s="66"/>
    </row>
    <row r="1447" spans="1:1" x14ac:dyDescent="0.25">
      <c r="A1447" s="66"/>
    </row>
    <row r="1448" spans="1:1" x14ac:dyDescent="0.25">
      <c r="A1448" s="66"/>
    </row>
    <row r="1449" spans="1:1" x14ac:dyDescent="0.25">
      <c r="A1449" s="66"/>
    </row>
    <row r="1450" spans="1:1" x14ac:dyDescent="0.25">
      <c r="A1450" s="66"/>
    </row>
    <row r="1451" spans="1:1" x14ac:dyDescent="0.25">
      <c r="A1451" s="66"/>
    </row>
    <row r="1452" spans="1:1" x14ac:dyDescent="0.25">
      <c r="A1452" s="66"/>
    </row>
    <row r="1453" spans="1:1" x14ac:dyDescent="0.25">
      <c r="A1453" s="66"/>
    </row>
    <row r="1454" spans="1:1" x14ac:dyDescent="0.25">
      <c r="A1454" s="66"/>
    </row>
    <row r="1455" spans="1:1" x14ac:dyDescent="0.25">
      <c r="A1455" s="66"/>
    </row>
    <row r="1456" spans="1:1" x14ac:dyDescent="0.25">
      <c r="A1456" s="66"/>
    </row>
    <row r="1457" spans="1:1" x14ac:dyDescent="0.25">
      <c r="A1457" s="66"/>
    </row>
    <row r="1458" spans="1:1" x14ac:dyDescent="0.25">
      <c r="A1458" s="66"/>
    </row>
    <row r="1459" spans="1:1" x14ac:dyDescent="0.25">
      <c r="A1459" s="66"/>
    </row>
    <row r="1460" spans="1:1" x14ac:dyDescent="0.25">
      <c r="A1460" s="66"/>
    </row>
    <row r="1461" spans="1:1" x14ac:dyDescent="0.25">
      <c r="A1461" s="66"/>
    </row>
    <row r="1462" spans="1:1" x14ac:dyDescent="0.25">
      <c r="A1462" s="66"/>
    </row>
    <row r="1463" spans="1:1" x14ac:dyDescent="0.25">
      <c r="A1463" s="66"/>
    </row>
    <row r="1464" spans="1:1" x14ac:dyDescent="0.25">
      <c r="A1464" s="66"/>
    </row>
    <row r="1465" spans="1:1" x14ac:dyDescent="0.25">
      <c r="A1465" s="66"/>
    </row>
    <row r="1466" spans="1:1" x14ac:dyDescent="0.25">
      <c r="A1466" s="66"/>
    </row>
    <row r="1467" spans="1:1" x14ac:dyDescent="0.25">
      <c r="A1467" s="66"/>
    </row>
    <row r="1468" spans="1:1" x14ac:dyDescent="0.25">
      <c r="A1468" s="66"/>
    </row>
    <row r="1469" spans="1:1" x14ac:dyDescent="0.25">
      <c r="A1469" s="66"/>
    </row>
    <row r="1470" spans="1:1" x14ac:dyDescent="0.25">
      <c r="A1470" s="66"/>
    </row>
    <row r="1471" spans="1:1" x14ac:dyDescent="0.25">
      <c r="A1471" s="66"/>
    </row>
    <row r="1472" spans="1:1" x14ac:dyDescent="0.25">
      <c r="A1472" s="66"/>
    </row>
    <row r="1473" spans="1:1" x14ac:dyDescent="0.25">
      <c r="A1473" s="66"/>
    </row>
    <row r="1474" spans="1:1" x14ac:dyDescent="0.25">
      <c r="A1474" s="66"/>
    </row>
    <row r="1475" spans="1:1" x14ac:dyDescent="0.25">
      <c r="A1475" s="66"/>
    </row>
    <row r="1476" spans="1:1" x14ac:dyDescent="0.25">
      <c r="A1476" s="66"/>
    </row>
    <row r="1477" spans="1:1" x14ac:dyDescent="0.25">
      <c r="A1477" s="66"/>
    </row>
    <row r="1478" spans="1:1" x14ac:dyDescent="0.25">
      <c r="A1478" s="66"/>
    </row>
    <row r="1479" spans="1:1" x14ac:dyDescent="0.25">
      <c r="A1479" s="66"/>
    </row>
    <row r="1480" spans="1:1" x14ac:dyDescent="0.25">
      <c r="A1480" s="66"/>
    </row>
    <row r="1481" spans="1:1" x14ac:dyDescent="0.25">
      <c r="A1481" s="66"/>
    </row>
    <row r="1482" spans="1:1" x14ac:dyDescent="0.25">
      <c r="A1482" s="66"/>
    </row>
    <row r="1483" spans="1:1" x14ac:dyDescent="0.25">
      <c r="A1483" s="66"/>
    </row>
    <row r="1484" spans="1:1" x14ac:dyDescent="0.25">
      <c r="A1484" s="66"/>
    </row>
    <row r="1485" spans="1:1" x14ac:dyDescent="0.25">
      <c r="A1485" s="66"/>
    </row>
    <row r="1486" spans="1:1" x14ac:dyDescent="0.25">
      <c r="A1486" s="66"/>
    </row>
    <row r="1487" spans="1:1" x14ac:dyDescent="0.25">
      <c r="A1487" s="66"/>
    </row>
    <row r="1488" spans="1:1" x14ac:dyDescent="0.25">
      <c r="A1488" s="66"/>
    </row>
    <row r="1489" spans="1:1" x14ac:dyDescent="0.25">
      <c r="A1489" s="66"/>
    </row>
    <row r="1490" spans="1:1" x14ac:dyDescent="0.25">
      <c r="A1490" s="66"/>
    </row>
    <row r="1491" spans="1:1" x14ac:dyDescent="0.25">
      <c r="A1491" s="66"/>
    </row>
    <row r="1492" spans="1:1" x14ac:dyDescent="0.25">
      <c r="A1492" s="66"/>
    </row>
    <row r="1493" spans="1:1" x14ac:dyDescent="0.25">
      <c r="A1493" s="66"/>
    </row>
    <row r="1494" spans="1:1" x14ac:dyDescent="0.25">
      <c r="A1494" s="66"/>
    </row>
    <row r="1495" spans="1:1" x14ac:dyDescent="0.25">
      <c r="A1495" s="66"/>
    </row>
    <row r="1496" spans="1:1" x14ac:dyDescent="0.25">
      <c r="A1496" s="66"/>
    </row>
    <row r="1497" spans="1:1" x14ac:dyDescent="0.25">
      <c r="A1497" s="66"/>
    </row>
    <row r="1498" spans="1:1" x14ac:dyDescent="0.25">
      <c r="A1498" s="66"/>
    </row>
    <row r="1499" spans="1:1" x14ac:dyDescent="0.25">
      <c r="A1499" s="66"/>
    </row>
    <row r="1500" spans="1:1" x14ac:dyDescent="0.25">
      <c r="A1500" s="66"/>
    </row>
    <row r="1501" spans="1:1" x14ac:dyDescent="0.25">
      <c r="A1501" s="66"/>
    </row>
    <row r="1502" spans="1:1" x14ac:dyDescent="0.25">
      <c r="A1502" s="66"/>
    </row>
    <row r="1503" spans="1:1" x14ac:dyDescent="0.25">
      <c r="A1503" s="66"/>
    </row>
    <row r="1504" spans="1:1" x14ac:dyDescent="0.25">
      <c r="A1504" s="66"/>
    </row>
    <row r="1505" spans="1:1" x14ac:dyDescent="0.25">
      <c r="A1505" s="66"/>
    </row>
    <row r="1506" spans="1:1" x14ac:dyDescent="0.25">
      <c r="A1506" s="66"/>
    </row>
    <row r="1507" spans="1:1" x14ac:dyDescent="0.25">
      <c r="A1507" s="66"/>
    </row>
    <row r="1508" spans="1:1" x14ac:dyDescent="0.25">
      <c r="A1508" s="66"/>
    </row>
    <row r="1509" spans="1:1" x14ac:dyDescent="0.25">
      <c r="A1509" s="66"/>
    </row>
    <row r="1510" spans="1:1" x14ac:dyDescent="0.25">
      <c r="A1510" s="66"/>
    </row>
    <row r="1511" spans="1:1" x14ac:dyDescent="0.25">
      <c r="A1511" s="66"/>
    </row>
    <row r="1512" spans="1:1" x14ac:dyDescent="0.25">
      <c r="A1512" s="66"/>
    </row>
    <row r="1513" spans="1:1" x14ac:dyDescent="0.25">
      <c r="A1513" s="66"/>
    </row>
    <row r="1514" spans="1:1" x14ac:dyDescent="0.25">
      <c r="A1514" s="66"/>
    </row>
    <row r="1515" spans="1:1" x14ac:dyDescent="0.25">
      <c r="A1515" s="66"/>
    </row>
    <row r="1516" spans="1:1" x14ac:dyDescent="0.25">
      <c r="A1516" s="66"/>
    </row>
    <row r="1517" spans="1:1" x14ac:dyDescent="0.25">
      <c r="A1517" s="66"/>
    </row>
    <row r="1518" spans="1:1" x14ac:dyDescent="0.25">
      <c r="A1518" s="66"/>
    </row>
    <row r="1519" spans="1:1" x14ac:dyDescent="0.25">
      <c r="A1519" s="66"/>
    </row>
    <row r="1520" spans="1:1" x14ac:dyDescent="0.25">
      <c r="A1520" s="66"/>
    </row>
    <row r="1521" spans="1:1" x14ac:dyDescent="0.25">
      <c r="A1521" s="66"/>
    </row>
    <row r="1522" spans="1:1" x14ac:dyDescent="0.25">
      <c r="A1522" s="66"/>
    </row>
    <row r="1523" spans="1:1" x14ac:dyDescent="0.25">
      <c r="A1523" s="66"/>
    </row>
    <row r="1524" spans="1:1" x14ac:dyDescent="0.25">
      <c r="A1524" s="66"/>
    </row>
    <row r="1525" spans="1:1" x14ac:dyDescent="0.25">
      <c r="A1525" s="66"/>
    </row>
    <row r="1526" spans="1:1" x14ac:dyDescent="0.25">
      <c r="A1526" s="66"/>
    </row>
    <row r="1527" spans="1:1" x14ac:dyDescent="0.25">
      <c r="A1527" s="66"/>
    </row>
    <row r="1528" spans="1:1" x14ac:dyDescent="0.25">
      <c r="A1528" s="66"/>
    </row>
    <row r="1529" spans="1:1" x14ac:dyDescent="0.25">
      <c r="A1529" s="66"/>
    </row>
    <row r="1530" spans="1:1" x14ac:dyDescent="0.25">
      <c r="A1530" s="66"/>
    </row>
    <row r="1531" spans="1:1" x14ac:dyDescent="0.25">
      <c r="A1531" s="66"/>
    </row>
    <row r="1532" spans="1:1" x14ac:dyDescent="0.25">
      <c r="A1532" s="66"/>
    </row>
    <row r="1533" spans="1:1" x14ac:dyDescent="0.25">
      <c r="A1533" s="66"/>
    </row>
    <row r="1534" spans="1:1" x14ac:dyDescent="0.25">
      <c r="A1534" s="66"/>
    </row>
    <row r="1535" spans="1:1" x14ac:dyDescent="0.25">
      <c r="A1535" s="66"/>
    </row>
    <row r="1536" spans="1:1" x14ac:dyDescent="0.25">
      <c r="A1536" s="66"/>
    </row>
    <row r="1537" spans="1:1" x14ac:dyDescent="0.25">
      <c r="A1537" s="66"/>
    </row>
    <row r="1538" spans="1:1" x14ac:dyDescent="0.25">
      <c r="A1538" s="66"/>
    </row>
    <row r="1539" spans="1:1" x14ac:dyDescent="0.25">
      <c r="A1539" s="66"/>
    </row>
    <row r="1540" spans="1:1" x14ac:dyDescent="0.25">
      <c r="A1540" s="66"/>
    </row>
    <row r="1541" spans="1:1" x14ac:dyDescent="0.25">
      <c r="A1541" s="66"/>
    </row>
    <row r="1542" spans="1:1" x14ac:dyDescent="0.25">
      <c r="A1542" s="66"/>
    </row>
    <row r="1543" spans="1:1" x14ac:dyDescent="0.25">
      <c r="A1543" s="66"/>
    </row>
    <row r="1544" spans="1:1" x14ac:dyDescent="0.25">
      <c r="A1544" s="66"/>
    </row>
    <row r="1545" spans="1:1" x14ac:dyDescent="0.25">
      <c r="A1545" s="66"/>
    </row>
    <row r="1546" spans="1:1" x14ac:dyDescent="0.25">
      <c r="A1546" s="66"/>
    </row>
    <row r="1547" spans="1:1" x14ac:dyDescent="0.25">
      <c r="A1547" s="66"/>
    </row>
    <row r="1548" spans="1:1" x14ac:dyDescent="0.25">
      <c r="A1548" s="66"/>
    </row>
    <row r="1549" spans="1:1" x14ac:dyDescent="0.25">
      <c r="A1549" s="66"/>
    </row>
    <row r="1550" spans="1:1" x14ac:dyDescent="0.25">
      <c r="A1550" s="66"/>
    </row>
    <row r="1551" spans="1:1" x14ac:dyDescent="0.25">
      <c r="A1551" s="66"/>
    </row>
    <row r="1552" spans="1:1" x14ac:dyDescent="0.25">
      <c r="A1552" s="66"/>
    </row>
    <row r="1553" spans="1:1" x14ac:dyDescent="0.25">
      <c r="A1553" s="66"/>
    </row>
    <row r="1554" spans="1:1" x14ac:dyDescent="0.25">
      <c r="A1554" s="66"/>
    </row>
    <row r="1555" spans="1:1" x14ac:dyDescent="0.25">
      <c r="A1555" s="66"/>
    </row>
    <row r="1556" spans="1:1" x14ac:dyDescent="0.25">
      <c r="A1556" s="66"/>
    </row>
    <row r="1557" spans="1:1" x14ac:dyDescent="0.25">
      <c r="A1557" s="66"/>
    </row>
    <row r="1558" spans="1:1" x14ac:dyDescent="0.25">
      <c r="A1558" s="66"/>
    </row>
    <row r="1559" spans="1:1" x14ac:dyDescent="0.25">
      <c r="A1559" s="66"/>
    </row>
    <row r="1560" spans="1:1" x14ac:dyDescent="0.25">
      <c r="A1560" s="66"/>
    </row>
    <row r="1561" spans="1:1" x14ac:dyDescent="0.25">
      <c r="A1561" s="66"/>
    </row>
    <row r="1562" spans="1:1" x14ac:dyDescent="0.25">
      <c r="A1562" s="66"/>
    </row>
    <row r="1563" spans="1:1" x14ac:dyDescent="0.25">
      <c r="A1563" s="66"/>
    </row>
    <row r="1564" spans="1:1" x14ac:dyDescent="0.25">
      <c r="A1564" s="66"/>
    </row>
    <row r="1565" spans="1:1" x14ac:dyDescent="0.25">
      <c r="A1565" s="66"/>
    </row>
    <row r="1566" spans="1:1" x14ac:dyDescent="0.25">
      <c r="A1566" s="66"/>
    </row>
    <row r="1567" spans="1:1" x14ac:dyDescent="0.25">
      <c r="A1567" s="66"/>
    </row>
    <row r="1568" spans="1:1" x14ac:dyDescent="0.25">
      <c r="A1568" s="66"/>
    </row>
    <row r="1569" spans="1:1" x14ac:dyDescent="0.25">
      <c r="A1569" s="66"/>
    </row>
    <row r="1570" spans="1:1" x14ac:dyDescent="0.25">
      <c r="A1570" s="66"/>
    </row>
    <row r="1571" spans="1:1" x14ac:dyDescent="0.25">
      <c r="A1571" s="66"/>
    </row>
    <row r="1572" spans="1:1" x14ac:dyDescent="0.25">
      <c r="A1572" s="66"/>
    </row>
    <row r="1573" spans="1:1" x14ac:dyDescent="0.25">
      <c r="A1573" s="66"/>
    </row>
    <row r="1574" spans="1:1" x14ac:dyDescent="0.25">
      <c r="A1574" s="66"/>
    </row>
    <row r="1575" spans="1:1" x14ac:dyDescent="0.25">
      <c r="A1575" s="66"/>
    </row>
    <row r="1576" spans="1:1" x14ac:dyDescent="0.25">
      <c r="A1576" s="66"/>
    </row>
    <row r="1577" spans="1:1" x14ac:dyDescent="0.25">
      <c r="A1577" s="66"/>
    </row>
    <row r="1578" spans="1:1" x14ac:dyDescent="0.25">
      <c r="A1578" s="66"/>
    </row>
    <row r="1579" spans="1:1" x14ac:dyDescent="0.25">
      <c r="A1579" s="66"/>
    </row>
    <row r="1580" spans="1:1" x14ac:dyDescent="0.25">
      <c r="A1580" s="66"/>
    </row>
    <row r="1581" spans="1:1" x14ac:dyDescent="0.25">
      <c r="A1581" s="66"/>
    </row>
    <row r="1582" spans="1:1" x14ac:dyDescent="0.25">
      <c r="A1582" s="66"/>
    </row>
    <row r="1583" spans="1:1" x14ac:dyDescent="0.25">
      <c r="A1583" s="66"/>
    </row>
    <row r="1584" spans="1:1" x14ac:dyDescent="0.25">
      <c r="A1584" s="66"/>
    </row>
    <row r="1585" spans="1:1" x14ac:dyDescent="0.25">
      <c r="A1585" s="66"/>
    </row>
    <row r="1586" spans="1:1" x14ac:dyDescent="0.25">
      <c r="A1586" s="66"/>
    </row>
    <row r="1587" spans="1:1" x14ac:dyDescent="0.25">
      <c r="A1587" s="66"/>
    </row>
    <row r="1588" spans="1:1" x14ac:dyDescent="0.25">
      <c r="A1588" s="66"/>
    </row>
    <row r="1589" spans="1:1" x14ac:dyDescent="0.25">
      <c r="A1589" s="66"/>
    </row>
    <row r="1590" spans="1:1" x14ac:dyDescent="0.25">
      <c r="A1590" s="66"/>
    </row>
    <row r="1591" spans="1:1" x14ac:dyDescent="0.25">
      <c r="A1591" s="66"/>
    </row>
    <row r="1592" spans="1:1" x14ac:dyDescent="0.25">
      <c r="A1592" s="66"/>
    </row>
    <row r="1593" spans="1:1" x14ac:dyDescent="0.25">
      <c r="A1593" s="66"/>
    </row>
    <row r="1594" spans="1:1" x14ac:dyDescent="0.25">
      <c r="A1594" s="66"/>
    </row>
    <row r="1595" spans="1:1" x14ac:dyDescent="0.25">
      <c r="A1595" s="66"/>
    </row>
    <row r="1596" spans="1:1" x14ac:dyDescent="0.25">
      <c r="A1596" s="66"/>
    </row>
    <row r="1597" spans="1:1" x14ac:dyDescent="0.25">
      <c r="A1597" s="66"/>
    </row>
    <row r="1598" spans="1:1" x14ac:dyDescent="0.25">
      <c r="A1598" s="66"/>
    </row>
    <row r="1599" spans="1:1" x14ac:dyDescent="0.25">
      <c r="A1599" s="66"/>
    </row>
    <row r="1600" spans="1:1" x14ac:dyDescent="0.25">
      <c r="A1600" s="66"/>
    </row>
    <row r="1601" spans="1:1" x14ac:dyDescent="0.25">
      <c r="A1601" s="66"/>
    </row>
    <row r="1602" spans="1:1" x14ac:dyDescent="0.25">
      <c r="A1602" s="66"/>
    </row>
    <row r="1603" spans="1:1" x14ac:dyDescent="0.25">
      <c r="A1603" s="66"/>
    </row>
    <row r="1604" spans="1:1" x14ac:dyDescent="0.25">
      <c r="A1604" s="66"/>
    </row>
    <row r="1605" spans="1:1" x14ac:dyDescent="0.25">
      <c r="A1605" s="66"/>
    </row>
    <row r="1606" spans="1:1" x14ac:dyDescent="0.25">
      <c r="A1606" s="66"/>
    </row>
    <row r="1607" spans="1:1" x14ac:dyDescent="0.25">
      <c r="A1607" s="66"/>
    </row>
    <row r="1608" spans="1:1" x14ac:dyDescent="0.25">
      <c r="A1608" s="66"/>
    </row>
    <row r="1609" spans="1:1" x14ac:dyDescent="0.25">
      <c r="A1609" s="66"/>
    </row>
    <row r="1610" spans="1:1" x14ac:dyDescent="0.25">
      <c r="A1610" s="66"/>
    </row>
    <row r="1611" spans="1:1" x14ac:dyDescent="0.25">
      <c r="A1611" s="66"/>
    </row>
    <row r="1612" spans="1:1" x14ac:dyDescent="0.25">
      <c r="A1612" s="66"/>
    </row>
    <row r="1613" spans="1:1" x14ac:dyDescent="0.25">
      <c r="A1613" s="66"/>
    </row>
    <row r="1614" spans="1:1" x14ac:dyDescent="0.25">
      <c r="A1614" s="66"/>
    </row>
    <row r="1615" spans="1:1" x14ac:dyDescent="0.25">
      <c r="A1615" s="66"/>
    </row>
    <row r="1616" spans="1:1" x14ac:dyDescent="0.25">
      <c r="A1616" s="66"/>
    </row>
    <row r="1617" spans="1:1" x14ac:dyDescent="0.25">
      <c r="A1617" s="66"/>
    </row>
    <row r="1618" spans="1:1" x14ac:dyDescent="0.25">
      <c r="A1618" s="66"/>
    </row>
    <row r="1619" spans="1:1" x14ac:dyDescent="0.25">
      <c r="A1619" s="66"/>
    </row>
    <row r="1620" spans="1:1" x14ac:dyDescent="0.25">
      <c r="A1620" s="66"/>
    </row>
    <row r="1621" spans="1:1" x14ac:dyDescent="0.25">
      <c r="A1621" s="66"/>
    </row>
    <row r="1622" spans="1:1" x14ac:dyDescent="0.25">
      <c r="A1622" s="66"/>
    </row>
    <row r="1623" spans="1:1" x14ac:dyDescent="0.25">
      <c r="A1623" s="66"/>
    </row>
    <row r="1624" spans="1:1" x14ac:dyDescent="0.25">
      <c r="A1624" s="66"/>
    </row>
    <row r="1625" spans="1:1" x14ac:dyDescent="0.25">
      <c r="A1625" s="66"/>
    </row>
    <row r="1626" spans="1:1" x14ac:dyDescent="0.25">
      <c r="A1626" s="66"/>
    </row>
    <row r="1627" spans="1:1" x14ac:dyDescent="0.25">
      <c r="A1627" s="66"/>
    </row>
    <row r="1628" spans="1:1" x14ac:dyDescent="0.25">
      <c r="A1628" s="66"/>
    </row>
    <row r="1629" spans="1:1" x14ac:dyDescent="0.25">
      <c r="A1629" s="66"/>
    </row>
    <row r="1630" spans="1:1" x14ac:dyDescent="0.25">
      <c r="A1630" s="66"/>
    </row>
    <row r="1631" spans="1:1" x14ac:dyDescent="0.25">
      <c r="A1631" s="66"/>
    </row>
    <row r="1632" spans="1:1" x14ac:dyDescent="0.25">
      <c r="A1632" s="66"/>
    </row>
    <row r="1633" spans="1:1" x14ac:dyDescent="0.25">
      <c r="A1633" s="66"/>
    </row>
    <row r="1634" spans="1:1" x14ac:dyDescent="0.25">
      <c r="A1634" s="66"/>
    </row>
    <row r="1635" spans="1:1" x14ac:dyDescent="0.25">
      <c r="A1635" s="66"/>
    </row>
    <row r="1636" spans="1:1" x14ac:dyDescent="0.25">
      <c r="A1636" s="66"/>
    </row>
    <row r="1637" spans="1:1" x14ac:dyDescent="0.25">
      <c r="A1637" s="66"/>
    </row>
    <row r="1638" spans="1:1" x14ac:dyDescent="0.25">
      <c r="A1638" s="66"/>
    </row>
    <row r="1639" spans="1:1" x14ac:dyDescent="0.25">
      <c r="A1639" s="66"/>
    </row>
    <row r="1640" spans="1:1" x14ac:dyDescent="0.25">
      <c r="A1640" s="66"/>
    </row>
    <row r="1641" spans="1:1" x14ac:dyDescent="0.25">
      <c r="A1641" s="66"/>
    </row>
    <row r="1642" spans="1:1" x14ac:dyDescent="0.25">
      <c r="A1642" s="66"/>
    </row>
    <row r="1643" spans="1:1" x14ac:dyDescent="0.25">
      <c r="A1643" s="66"/>
    </row>
    <row r="1644" spans="1:1" x14ac:dyDescent="0.25">
      <c r="A1644" s="66"/>
    </row>
    <row r="1645" spans="1:1" x14ac:dyDescent="0.25">
      <c r="A1645" s="66"/>
    </row>
    <row r="1646" spans="1:1" x14ac:dyDescent="0.25">
      <c r="A1646" s="66"/>
    </row>
    <row r="1647" spans="1:1" x14ac:dyDescent="0.25">
      <c r="A1647" s="66"/>
    </row>
    <row r="1648" spans="1:1" x14ac:dyDescent="0.25">
      <c r="A1648" s="66"/>
    </row>
    <row r="1649" spans="1:1" x14ac:dyDescent="0.25">
      <c r="A1649" s="66"/>
    </row>
    <row r="1650" spans="1:1" x14ac:dyDescent="0.25">
      <c r="A1650" s="66"/>
    </row>
    <row r="1651" spans="1:1" x14ac:dyDescent="0.25">
      <c r="A1651" s="66"/>
    </row>
    <row r="1652" spans="1:1" x14ac:dyDescent="0.25">
      <c r="A1652" s="66"/>
    </row>
    <row r="1653" spans="1:1" x14ac:dyDescent="0.25">
      <c r="A1653" s="66"/>
    </row>
    <row r="1654" spans="1:1" x14ac:dyDescent="0.25">
      <c r="A1654" s="66"/>
    </row>
    <row r="1655" spans="1:1" x14ac:dyDescent="0.25">
      <c r="A1655" s="66"/>
    </row>
    <row r="1656" spans="1:1" x14ac:dyDescent="0.25">
      <c r="A1656" s="66"/>
    </row>
    <row r="1657" spans="1:1" x14ac:dyDescent="0.25">
      <c r="A1657" s="66"/>
    </row>
    <row r="1658" spans="1:1" x14ac:dyDescent="0.25">
      <c r="A1658" s="66"/>
    </row>
    <row r="1659" spans="1:1" x14ac:dyDescent="0.25">
      <c r="A1659" s="66"/>
    </row>
    <row r="1660" spans="1:1" x14ac:dyDescent="0.25">
      <c r="A1660" s="66"/>
    </row>
    <row r="1661" spans="1:1" x14ac:dyDescent="0.25">
      <c r="A1661" s="66"/>
    </row>
    <row r="1662" spans="1:1" x14ac:dyDescent="0.25">
      <c r="A1662" s="66"/>
    </row>
    <row r="1663" spans="1:1" x14ac:dyDescent="0.25">
      <c r="A1663" s="66"/>
    </row>
    <row r="1664" spans="1:1" x14ac:dyDescent="0.25">
      <c r="A1664" s="66"/>
    </row>
    <row r="1665" spans="1:1" x14ac:dyDescent="0.25">
      <c r="A1665" s="66"/>
    </row>
    <row r="1666" spans="1:1" x14ac:dyDescent="0.25">
      <c r="A1666" s="66"/>
    </row>
    <row r="1667" spans="1:1" x14ac:dyDescent="0.25">
      <c r="A1667" s="66"/>
    </row>
    <row r="1668" spans="1:1" x14ac:dyDescent="0.25">
      <c r="A1668" s="66"/>
    </row>
    <row r="1669" spans="1:1" x14ac:dyDescent="0.25">
      <c r="A1669" s="66"/>
    </row>
    <row r="1670" spans="1:1" x14ac:dyDescent="0.25">
      <c r="A1670" s="66"/>
    </row>
    <row r="1671" spans="1:1" x14ac:dyDescent="0.25">
      <c r="A1671" s="66"/>
    </row>
    <row r="1672" spans="1:1" x14ac:dyDescent="0.25">
      <c r="A1672" s="66"/>
    </row>
    <row r="1673" spans="1:1" x14ac:dyDescent="0.25">
      <c r="A1673" s="66"/>
    </row>
    <row r="1674" spans="1:1" x14ac:dyDescent="0.25">
      <c r="A1674" s="66"/>
    </row>
    <row r="1675" spans="1:1" x14ac:dyDescent="0.25">
      <c r="A1675" s="66"/>
    </row>
    <row r="1676" spans="1:1" x14ac:dyDescent="0.25">
      <c r="A1676" s="66"/>
    </row>
    <row r="1677" spans="1:1" x14ac:dyDescent="0.25">
      <c r="A1677" s="66"/>
    </row>
    <row r="1678" spans="1:1" x14ac:dyDescent="0.25">
      <c r="A1678" s="66"/>
    </row>
    <row r="1679" spans="1:1" x14ac:dyDescent="0.25">
      <c r="A1679" s="66"/>
    </row>
    <row r="1680" spans="1:1" x14ac:dyDescent="0.25">
      <c r="A1680" s="66"/>
    </row>
    <row r="1681" spans="1:1" x14ac:dyDescent="0.25">
      <c r="A1681" s="66"/>
    </row>
    <row r="1682" spans="1:1" x14ac:dyDescent="0.25">
      <c r="A1682" s="66"/>
    </row>
    <row r="1683" spans="1:1" x14ac:dyDescent="0.25">
      <c r="A1683" s="66"/>
    </row>
    <row r="1684" spans="1:1" x14ac:dyDescent="0.25">
      <c r="A1684" s="66"/>
    </row>
    <row r="1685" spans="1:1" x14ac:dyDescent="0.25">
      <c r="A1685" s="66"/>
    </row>
    <row r="1686" spans="1:1" x14ac:dyDescent="0.25">
      <c r="A1686" s="66"/>
    </row>
    <row r="1687" spans="1:1" x14ac:dyDescent="0.25">
      <c r="A1687" s="66"/>
    </row>
    <row r="1688" spans="1:1" x14ac:dyDescent="0.25">
      <c r="A1688" s="66"/>
    </row>
    <row r="1689" spans="1:1" x14ac:dyDescent="0.25">
      <c r="A1689" s="66"/>
    </row>
    <row r="1690" spans="1:1" x14ac:dyDescent="0.25">
      <c r="A1690" s="66"/>
    </row>
    <row r="1691" spans="1:1" x14ac:dyDescent="0.25">
      <c r="A1691" s="66"/>
    </row>
    <row r="1692" spans="1:1" x14ac:dyDescent="0.25">
      <c r="A1692" s="66"/>
    </row>
    <row r="1693" spans="1:1" x14ac:dyDescent="0.25">
      <c r="A1693" s="66"/>
    </row>
    <row r="1694" spans="1:1" x14ac:dyDescent="0.25">
      <c r="A1694" s="66"/>
    </row>
    <row r="1695" spans="1:1" x14ac:dyDescent="0.25">
      <c r="A1695" s="66"/>
    </row>
    <row r="1696" spans="1:1" x14ac:dyDescent="0.25">
      <c r="A1696" s="66"/>
    </row>
    <row r="1697" spans="1:1" x14ac:dyDescent="0.25">
      <c r="A1697" s="66"/>
    </row>
    <row r="1698" spans="1:1" x14ac:dyDescent="0.25">
      <c r="A1698" s="66"/>
    </row>
    <row r="1699" spans="1:1" x14ac:dyDescent="0.25">
      <c r="A1699" s="66"/>
    </row>
    <row r="1700" spans="1:1" x14ac:dyDescent="0.25">
      <c r="A1700" s="66"/>
    </row>
    <row r="1701" spans="1:1" x14ac:dyDescent="0.25">
      <c r="A1701" s="66"/>
    </row>
    <row r="1702" spans="1:1" x14ac:dyDescent="0.25">
      <c r="A1702" s="66"/>
    </row>
    <row r="1703" spans="1:1" x14ac:dyDescent="0.25">
      <c r="A1703" s="66"/>
    </row>
    <row r="1704" spans="1:1" x14ac:dyDescent="0.25">
      <c r="A1704" s="66"/>
    </row>
    <row r="1705" spans="1:1" x14ac:dyDescent="0.25">
      <c r="A1705" s="66"/>
    </row>
    <row r="1706" spans="1:1" x14ac:dyDescent="0.25">
      <c r="A1706" s="66"/>
    </row>
    <row r="1707" spans="1:1" x14ac:dyDescent="0.25">
      <c r="A1707" s="66"/>
    </row>
    <row r="1708" spans="1:1" x14ac:dyDescent="0.25">
      <c r="A1708" s="66"/>
    </row>
    <row r="1709" spans="1:1" x14ac:dyDescent="0.25">
      <c r="A1709" s="66"/>
    </row>
    <row r="1710" spans="1:1" x14ac:dyDescent="0.25">
      <c r="A1710" s="66"/>
    </row>
    <row r="1711" spans="1:1" x14ac:dyDescent="0.25">
      <c r="A1711" s="66"/>
    </row>
    <row r="1712" spans="1:1" x14ac:dyDescent="0.25">
      <c r="A1712" s="66"/>
    </row>
    <row r="1713" spans="1:1" x14ac:dyDescent="0.25">
      <c r="A1713" s="66"/>
    </row>
    <row r="1714" spans="1:1" x14ac:dyDescent="0.25">
      <c r="A1714" s="66"/>
    </row>
    <row r="1715" spans="1:1" x14ac:dyDescent="0.25">
      <c r="A1715" s="66"/>
    </row>
    <row r="1716" spans="1:1" x14ac:dyDescent="0.25">
      <c r="A1716" s="66"/>
    </row>
    <row r="1717" spans="1:1" x14ac:dyDescent="0.25">
      <c r="A1717" s="66"/>
    </row>
    <row r="1718" spans="1:1" x14ac:dyDescent="0.25">
      <c r="A1718" s="66"/>
    </row>
    <row r="1719" spans="1:1" x14ac:dyDescent="0.25">
      <c r="A1719" s="66"/>
    </row>
    <row r="1720" spans="1:1" x14ac:dyDescent="0.25">
      <c r="A1720" s="66"/>
    </row>
    <row r="1721" spans="1:1" x14ac:dyDescent="0.25">
      <c r="A1721" s="66"/>
    </row>
    <row r="1722" spans="1:1" x14ac:dyDescent="0.25">
      <c r="A1722" s="66"/>
    </row>
    <row r="1723" spans="1:1" x14ac:dyDescent="0.25">
      <c r="A1723" s="66"/>
    </row>
    <row r="1724" spans="1:1" x14ac:dyDescent="0.25">
      <c r="A1724" s="66"/>
    </row>
    <row r="1725" spans="1:1" x14ac:dyDescent="0.25">
      <c r="A1725" s="66"/>
    </row>
    <row r="1726" spans="1:1" x14ac:dyDescent="0.25">
      <c r="A1726" s="66"/>
    </row>
    <row r="1727" spans="1:1" x14ac:dyDescent="0.25">
      <c r="A1727" s="66"/>
    </row>
    <row r="1728" spans="1:1" x14ac:dyDescent="0.25">
      <c r="A1728" s="66"/>
    </row>
    <row r="1729" spans="1:1" x14ac:dyDescent="0.25">
      <c r="A1729" s="66"/>
    </row>
    <row r="1730" spans="1:1" x14ac:dyDescent="0.25">
      <c r="A1730" s="66"/>
    </row>
    <row r="1731" spans="1:1" x14ac:dyDescent="0.25">
      <c r="A1731" s="66"/>
    </row>
    <row r="1732" spans="1:1" x14ac:dyDescent="0.25">
      <c r="A1732" s="66"/>
    </row>
    <row r="1733" spans="1:1" x14ac:dyDescent="0.25">
      <c r="A1733" s="66"/>
    </row>
    <row r="1734" spans="1:1" x14ac:dyDescent="0.25">
      <c r="A1734" s="66"/>
    </row>
    <row r="1735" spans="1:1" x14ac:dyDescent="0.25">
      <c r="A1735" s="66"/>
    </row>
    <row r="1736" spans="1:1" x14ac:dyDescent="0.25">
      <c r="A1736" s="66"/>
    </row>
    <row r="1737" spans="1:1" x14ac:dyDescent="0.25">
      <c r="A1737" s="66"/>
    </row>
    <row r="1738" spans="1:1" x14ac:dyDescent="0.25">
      <c r="A1738" s="66"/>
    </row>
    <row r="1739" spans="1:1" x14ac:dyDescent="0.25">
      <c r="A1739" s="66"/>
    </row>
    <row r="1740" spans="1:1" x14ac:dyDescent="0.25">
      <c r="A1740" s="66"/>
    </row>
    <row r="1741" spans="1:1" x14ac:dyDescent="0.25">
      <c r="A1741" s="66"/>
    </row>
    <row r="1742" spans="1:1" x14ac:dyDescent="0.25">
      <c r="A1742" s="66"/>
    </row>
    <row r="1743" spans="1:1" x14ac:dyDescent="0.25">
      <c r="A1743" s="66"/>
    </row>
    <row r="1744" spans="1:1" x14ac:dyDescent="0.25">
      <c r="A1744" s="66"/>
    </row>
    <row r="1745" spans="1:1" x14ac:dyDescent="0.25">
      <c r="A1745" s="66"/>
    </row>
    <row r="1746" spans="1:1" x14ac:dyDescent="0.25">
      <c r="A1746" s="66"/>
    </row>
    <row r="1747" spans="1:1" x14ac:dyDescent="0.25">
      <c r="A1747" s="66"/>
    </row>
    <row r="1748" spans="1:1" x14ac:dyDescent="0.25">
      <c r="A1748" s="66"/>
    </row>
    <row r="1749" spans="1:1" x14ac:dyDescent="0.25">
      <c r="A1749" s="66"/>
    </row>
    <row r="1750" spans="1:1" x14ac:dyDescent="0.25">
      <c r="A1750" s="66"/>
    </row>
    <row r="1751" spans="1:1" x14ac:dyDescent="0.25">
      <c r="A1751" s="66"/>
    </row>
    <row r="1752" spans="1:1" x14ac:dyDescent="0.25">
      <c r="A1752" s="66"/>
    </row>
    <row r="1753" spans="1:1" x14ac:dyDescent="0.25">
      <c r="A1753" s="66"/>
    </row>
    <row r="1754" spans="1:1" x14ac:dyDescent="0.25">
      <c r="A1754" s="66"/>
    </row>
    <row r="1755" spans="1:1" x14ac:dyDescent="0.25">
      <c r="A1755" s="66"/>
    </row>
    <row r="1756" spans="1:1" x14ac:dyDescent="0.25">
      <c r="A1756" s="66"/>
    </row>
    <row r="1757" spans="1:1" x14ac:dyDescent="0.25">
      <c r="A1757" s="66"/>
    </row>
    <row r="1758" spans="1:1" x14ac:dyDescent="0.25">
      <c r="A1758" s="66"/>
    </row>
    <row r="1759" spans="1:1" x14ac:dyDescent="0.25">
      <c r="A1759" s="66"/>
    </row>
    <row r="1760" spans="1:1" x14ac:dyDescent="0.25">
      <c r="A1760" s="66"/>
    </row>
    <row r="1761" spans="1:1" x14ac:dyDescent="0.25">
      <c r="A1761" s="66"/>
    </row>
    <row r="1762" spans="1:1" x14ac:dyDescent="0.25">
      <c r="A1762" s="66"/>
    </row>
    <row r="1763" spans="1:1" x14ac:dyDescent="0.25">
      <c r="A1763" s="66"/>
    </row>
    <row r="1764" spans="1:1" x14ac:dyDescent="0.25">
      <c r="A1764" s="66"/>
    </row>
    <row r="1765" spans="1:1" x14ac:dyDescent="0.25">
      <c r="A1765" s="66"/>
    </row>
    <row r="1766" spans="1:1" x14ac:dyDescent="0.25">
      <c r="A1766" s="66"/>
    </row>
    <row r="1767" spans="1:1" x14ac:dyDescent="0.25">
      <c r="A1767" s="66"/>
    </row>
    <row r="1768" spans="1:1" x14ac:dyDescent="0.25">
      <c r="A1768" s="66"/>
    </row>
    <row r="1769" spans="1:1" x14ac:dyDescent="0.25">
      <c r="A1769" s="66"/>
    </row>
    <row r="1770" spans="1:1" x14ac:dyDescent="0.25">
      <c r="A1770" s="66"/>
    </row>
    <row r="1771" spans="1:1" x14ac:dyDescent="0.25">
      <c r="A1771" s="66"/>
    </row>
    <row r="1772" spans="1:1" x14ac:dyDescent="0.25">
      <c r="A1772" s="66"/>
    </row>
    <row r="1773" spans="1:1" x14ac:dyDescent="0.25">
      <c r="A1773" s="66"/>
    </row>
    <row r="1774" spans="1:1" x14ac:dyDescent="0.25">
      <c r="A1774" s="66"/>
    </row>
    <row r="1775" spans="1:1" x14ac:dyDescent="0.25">
      <c r="A1775" s="66"/>
    </row>
    <row r="1776" spans="1:1" x14ac:dyDescent="0.25">
      <c r="A1776" s="66"/>
    </row>
    <row r="1777" spans="1:1" x14ac:dyDescent="0.25">
      <c r="A1777" s="66"/>
    </row>
    <row r="1778" spans="1:1" x14ac:dyDescent="0.25">
      <c r="A1778" s="66"/>
    </row>
    <row r="1779" spans="1:1" x14ac:dyDescent="0.25">
      <c r="A1779" s="66"/>
    </row>
    <row r="1780" spans="1:1" x14ac:dyDescent="0.25">
      <c r="A1780" s="66"/>
    </row>
    <row r="1781" spans="1:1" x14ac:dyDescent="0.25">
      <c r="A1781" s="66"/>
    </row>
    <row r="1782" spans="1:1" x14ac:dyDescent="0.25">
      <c r="A1782" s="66"/>
    </row>
    <row r="1783" spans="1:1" x14ac:dyDescent="0.25">
      <c r="A1783" s="66"/>
    </row>
    <row r="1784" spans="1:1" x14ac:dyDescent="0.25">
      <c r="A1784" s="66"/>
    </row>
    <row r="1785" spans="1:1" x14ac:dyDescent="0.25">
      <c r="A1785" s="66"/>
    </row>
    <row r="1786" spans="1:1" x14ac:dyDescent="0.25">
      <c r="A1786" s="66"/>
    </row>
    <row r="1787" spans="1:1" x14ac:dyDescent="0.25">
      <c r="A1787" s="66"/>
    </row>
    <row r="1788" spans="1:1" x14ac:dyDescent="0.25">
      <c r="A1788" s="66"/>
    </row>
    <row r="1789" spans="1:1" x14ac:dyDescent="0.25">
      <c r="A1789" s="66"/>
    </row>
    <row r="1790" spans="1:1" x14ac:dyDescent="0.25">
      <c r="A1790" s="66"/>
    </row>
    <row r="1791" spans="1:1" x14ac:dyDescent="0.25">
      <c r="A1791" s="66"/>
    </row>
    <row r="1792" spans="1:1" x14ac:dyDescent="0.25">
      <c r="A1792" s="66"/>
    </row>
    <row r="1793" spans="1:1" x14ac:dyDescent="0.25">
      <c r="A1793" s="66"/>
    </row>
    <row r="1794" spans="1:1" x14ac:dyDescent="0.25">
      <c r="A1794" s="66"/>
    </row>
    <row r="1795" spans="1:1" x14ac:dyDescent="0.25">
      <c r="A1795" s="66"/>
    </row>
    <row r="1796" spans="1:1" x14ac:dyDescent="0.25">
      <c r="A1796" s="66"/>
    </row>
    <row r="1797" spans="1:1" x14ac:dyDescent="0.25">
      <c r="A1797" s="66"/>
    </row>
    <row r="1798" spans="1:1" x14ac:dyDescent="0.25">
      <c r="A1798" s="66"/>
    </row>
    <row r="1799" spans="1:1" x14ac:dyDescent="0.25">
      <c r="A1799" s="66"/>
    </row>
    <row r="1800" spans="1:1" x14ac:dyDescent="0.25">
      <c r="A1800" s="66"/>
    </row>
    <row r="1801" spans="1:1" x14ac:dyDescent="0.25">
      <c r="A1801" s="66"/>
    </row>
    <row r="1802" spans="1:1" x14ac:dyDescent="0.25">
      <c r="A1802" s="66"/>
    </row>
    <row r="1803" spans="1:1" x14ac:dyDescent="0.25">
      <c r="A1803" s="66"/>
    </row>
    <row r="1804" spans="1:1" x14ac:dyDescent="0.25">
      <c r="A1804" s="66"/>
    </row>
    <row r="1805" spans="1:1" x14ac:dyDescent="0.25">
      <c r="A1805" s="66"/>
    </row>
    <row r="1806" spans="1:1" x14ac:dyDescent="0.25">
      <c r="A1806" s="66"/>
    </row>
    <row r="1807" spans="1:1" x14ac:dyDescent="0.25">
      <c r="A1807" s="66"/>
    </row>
    <row r="1808" spans="1:1" x14ac:dyDescent="0.25">
      <c r="A1808" s="66"/>
    </row>
    <row r="1809" spans="1:1" x14ac:dyDescent="0.25">
      <c r="A1809" s="66"/>
    </row>
    <row r="1810" spans="1:1" x14ac:dyDescent="0.25">
      <c r="A1810" s="66"/>
    </row>
    <row r="1811" spans="1:1" x14ac:dyDescent="0.25">
      <c r="A1811" s="66"/>
    </row>
    <row r="1812" spans="1:1" x14ac:dyDescent="0.25">
      <c r="A1812" s="66"/>
    </row>
    <row r="1813" spans="1:1" x14ac:dyDescent="0.25">
      <c r="A1813" s="66"/>
    </row>
    <row r="1814" spans="1:1" x14ac:dyDescent="0.25">
      <c r="A1814" s="66"/>
    </row>
    <row r="1815" spans="1:1" x14ac:dyDescent="0.25">
      <c r="A1815" s="66"/>
    </row>
    <row r="1816" spans="1:1" x14ac:dyDescent="0.25">
      <c r="A1816" s="66"/>
    </row>
    <row r="1817" spans="1:1" x14ac:dyDescent="0.25">
      <c r="A1817" s="66"/>
    </row>
    <row r="1818" spans="1:1" x14ac:dyDescent="0.25">
      <c r="A1818" s="66"/>
    </row>
    <row r="1819" spans="1:1" x14ac:dyDescent="0.25">
      <c r="A1819" s="66"/>
    </row>
    <row r="1820" spans="1:1" x14ac:dyDescent="0.25">
      <c r="A1820" s="66"/>
    </row>
    <row r="1821" spans="1:1" x14ac:dyDescent="0.25">
      <c r="A1821" s="66"/>
    </row>
    <row r="1822" spans="1:1" x14ac:dyDescent="0.25">
      <c r="A1822" s="66"/>
    </row>
    <row r="1823" spans="1:1" x14ac:dyDescent="0.25">
      <c r="A1823" s="66"/>
    </row>
    <row r="1824" spans="1:1" x14ac:dyDescent="0.25">
      <c r="A1824" s="66"/>
    </row>
    <row r="1825" spans="1:1" x14ac:dyDescent="0.25">
      <c r="A1825" s="66"/>
    </row>
    <row r="1826" spans="1:1" x14ac:dyDescent="0.25">
      <c r="A1826" s="66"/>
    </row>
    <row r="1827" spans="1:1" x14ac:dyDescent="0.25">
      <c r="A1827" s="66"/>
    </row>
    <row r="1828" spans="1:1" x14ac:dyDescent="0.25">
      <c r="A1828" s="66"/>
    </row>
    <row r="1829" spans="1:1" x14ac:dyDescent="0.25">
      <c r="A1829" s="66"/>
    </row>
    <row r="1830" spans="1:1" x14ac:dyDescent="0.25">
      <c r="A1830" s="66"/>
    </row>
    <row r="1831" spans="1:1" x14ac:dyDescent="0.25">
      <c r="A1831" s="66"/>
    </row>
    <row r="1832" spans="1:1" x14ac:dyDescent="0.25">
      <c r="A1832" s="66"/>
    </row>
    <row r="1833" spans="1:1" x14ac:dyDescent="0.25">
      <c r="A1833" s="66"/>
    </row>
    <row r="1834" spans="1:1" x14ac:dyDescent="0.25">
      <c r="A1834" s="66"/>
    </row>
    <row r="1835" spans="1:1" x14ac:dyDescent="0.25">
      <c r="A1835" s="66"/>
    </row>
    <row r="1836" spans="1:1" x14ac:dyDescent="0.25">
      <c r="A1836" s="66"/>
    </row>
    <row r="1837" spans="1:1" x14ac:dyDescent="0.25">
      <c r="A1837" s="66"/>
    </row>
    <row r="1838" spans="1:1" x14ac:dyDescent="0.25">
      <c r="A1838" s="66"/>
    </row>
    <row r="1839" spans="1:1" x14ac:dyDescent="0.25">
      <c r="A1839" s="66"/>
    </row>
    <row r="1840" spans="1:1" x14ac:dyDescent="0.25">
      <c r="A1840" s="66"/>
    </row>
    <row r="1841" spans="1:1" x14ac:dyDescent="0.25">
      <c r="A1841" s="66"/>
    </row>
    <row r="1842" spans="1:1" x14ac:dyDescent="0.25">
      <c r="A1842" s="66"/>
    </row>
    <row r="1843" spans="1:1" x14ac:dyDescent="0.25">
      <c r="A1843" s="66"/>
    </row>
    <row r="1844" spans="1:1" x14ac:dyDescent="0.25">
      <c r="A1844" s="66"/>
    </row>
    <row r="1845" spans="1:1" x14ac:dyDescent="0.25">
      <c r="A1845" s="66"/>
    </row>
    <row r="1846" spans="1:1" x14ac:dyDescent="0.25">
      <c r="A1846" s="66"/>
    </row>
    <row r="1847" spans="1:1" x14ac:dyDescent="0.25">
      <c r="A1847" s="66"/>
    </row>
    <row r="1848" spans="1:1" x14ac:dyDescent="0.25">
      <c r="A1848" s="66"/>
    </row>
    <row r="1849" spans="1:1" x14ac:dyDescent="0.25">
      <c r="A1849" s="66"/>
    </row>
    <row r="1850" spans="1:1" x14ac:dyDescent="0.25">
      <c r="A1850" s="66"/>
    </row>
    <row r="1851" spans="1:1" x14ac:dyDescent="0.25">
      <c r="A1851" s="66"/>
    </row>
    <row r="1852" spans="1:1" x14ac:dyDescent="0.25">
      <c r="A1852" s="66"/>
    </row>
    <row r="1853" spans="1:1" x14ac:dyDescent="0.25">
      <c r="A1853" s="66"/>
    </row>
    <row r="1854" spans="1:1" x14ac:dyDescent="0.25">
      <c r="A1854" s="66"/>
    </row>
    <row r="1855" spans="1:1" x14ac:dyDescent="0.25">
      <c r="A1855" s="66"/>
    </row>
    <row r="1856" spans="1:1" x14ac:dyDescent="0.25">
      <c r="A1856" s="66"/>
    </row>
    <row r="1857" spans="1:1" x14ac:dyDescent="0.25">
      <c r="A1857" s="66"/>
    </row>
    <row r="1858" spans="1:1" x14ac:dyDescent="0.25">
      <c r="A1858" s="66"/>
    </row>
    <row r="1859" spans="1:1" x14ac:dyDescent="0.25">
      <c r="A1859" s="66"/>
    </row>
    <row r="1860" spans="1:1" x14ac:dyDescent="0.25">
      <c r="A1860" s="66"/>
    </row>
    <row r="1861" spans="1:1" x14ac:dyDescent="0.25">
      <c r="A1861" s="66"/>
    </row>
    <row r="1862" spans="1:1" x14ac:dyDescent="0.25">
      <c r="A1862" s="66"/>
    </row>
    <row r="1863" spans="1:1" x14ac:dyDescent="0.25">
      <c r="A1863" s="66"/>
    </row>
    <row r="1864" spans="1:1" x14ac:dyDescent="0.25">
      <c r="A1864" s="66"/>
    </row>
    <row r="1865" spans="1:1" x14ac:dyDescent="0.25">
      <c r="A1865" s="66"/>
    </row>
    <row r="1866" spans="1:1" x14ac:dyDescent="0.25">
      <c r="A1866" s="66"/>
    </row>
    <row r="1867" spans="1:1" x14ac:dyDescent="0.25">
      <c r="A1867" s="66"/>
    </row>
    <row r="1868" spans="1:1" x14ac:dyDescent="0.25">
      <c r="A1868" s="66"/>
    </row>
    <row r="1869" spans="1:1" x14ac:dyDescent="0.25">
      <c r="A1869" s="66"/>
    </row>
    <row r="1870" spans="1:1" x14ac:dyDescent="0.25">
      <c r="A1870" s="66"/>
    </row>
    <row r="1871" spans="1:1" x14ac:dyDescent="0.25">
      <c r="A1871" s="66"/>
    </row>
    <row r="1872" spans="1:1" x14ac:dyDescent="0.25">
      <c r="A1872" s="66"/>
    </row>
    <row r="1873" spans="1:1" x14ac:dyDescent="0.25">
      <c r="A1873" s="66"/>
    </row>
    <row r="1874" spans="1:1" x14ac:dyDescent="0.25">
      <c r="A1874" s="66"/>
    </row>
    <row r="1875" spans="1:1" x14ac:dyDescent="0.25">
      <c r="A1875" s="66"/>
    </row>
    <row r="1876" spans="1:1" x14ac:dyDescent="0.25">
      <c r="A1876" s="66"/>
    </row>
    <row r="1877" spans="1:1" x14ac:dyDescent="0.25">
      <c r="A1877" s="66"/>
    </row>
    <row r="1878" spans="1:1" x14ac:dyDescent="0.25">
      <c r="A1878" s="66"/>
    </row>
    <row r="1879" spans="1:1" x14ac:dyDescent="0.25">
      <c r="A1879" s="66"/>
    </row>
    <row r="1880" spans="1:1" x14ac:dyDescent="0.25">
      <c r="A1880" s="66"/>
    </row>
    <row r="1881" spans="1:1" x14ac:dyDescent="0.25">
      <c r="A1881" s="66"/>
    </row>
    <row r="1882" spans="1:1" x14ac:dyDescent="0.25">
      <c r="A1882" s="66"/>
    </row>
    <row r="1883" spans="1:1" x14ac:dyDescent="0.25">
      <c r="A1883" s="66"/>
    </row>
    <row r="1884" spans="1:1" x14ac:dyDescent="0.25">
      <c r="A1884" s="66"/>
    </row>
    <row r="1885" spans="1:1" x14ac:dyDescent="0.25">
      <c r="A1885" s="66"/>
    </row>
    <row r="1886" spans="1:1" x14ac:dyDescent="0.25">
      <c r="A1886" s="66"/>
    </row>
    <row r="1887" spans="1:1" x14ac:dyDescent="0.25">
      <c r="A1887" s="66"/>
    </row>
    <row r="1888" spans="1:1" x14ac:dyDescent="0.25">
      <c r="A1888" s="66"/>
    </row>
    <row r="1889" spans="1:1" x14ac:dyDescent="0.25">
      <c r="A1889" s="66"/>
    </row>
    <row r="1890" spans="1:1" x14ac:dyDescent="0.25">
      <c r="A1890" s="66"/>
    </row>
    <row r="1891" spans="1:1" x14ac:dyDescent="0.25">
      <c r="A1891" s="66"/>
    </row>
    <row r="1892" spans="1:1" x14ac:dyDescent="0.25">
      <c r="A1892" s="66"/>
    </row>
    <row r="1893" spans="1:1" x14ac:dyDescent="0.25">
      <c r="A1893" s="66"/>
    </row>
    <row r="1894" spans="1:1" x14ac:dyDescent="0.25">
      <c r="A1894" s="66"/>
    </row>
    <row r="1895" spans="1:1" x14ac:dyDescent="0.25">
      <c r="A1895" s="66"/>
    </row>
    <row r="1896" spans="1:1" x14ac:dyDescent="0.25">
      <c r="A1896" s="66"/>
    </row>
    <row r="1897" spans="1:1" x14ac:dyDescent="0.25">
      <c r="A1897" s="66"/>
    </row>
    <row r="1898" spans="1:1" x14ac:dyDescent="0.25">
      <c r="A1898" s="66"/>
    </row>
    <row r="1899" spans="1:1" x14ac:dyDescent="0.25">
      <c r="A1899" s="66"/>
    </row>
    <row r="1900" spans="1:1" x14ac:dyDescent="0.25">
      <c r="A1900" s="66"/>
    </row>
    <row r="1901" spans="1:1" x14ac:dyDescent="0.25">
      <c r="A1901" s="66"/>
    </row>
    <row r="1902" spans="1:1" x14ac:dyDescent="0.25">
      <c r="A1902" s="66"/>
    </row>
    <row r="1903" spans="1:1" x14ac:dyDescent="0.25">
      <c r="A1903" s="66"/>
    </row>
    <row r="1904" spans="1:1" x14ac:dyDescent="0.25">
      <c r="A1904" s="66"/>
    </row>
    <row r="1905" spans="1:1" x14ac:dyDescent="0.25">
      <c r="A1905" s="66"/>
    </row>
    <row r="1906" spans="1:1" x14ac:dyDescent="0.25">
      <c r="A1906" s="66"/>
    </row>
    <row r="1907" spans="1:1" x14ac:dyDescent="0.25">
      <c r="A1907" s="66"/>
    </row>
    <row r="1908" spans="1:1" x14ac:dyDescent="0.25">
      <c r="A1908" s="66"/>
    </row>
    <row r="1909" spans="1:1" x14ac:dyDescent="0.25">
      <c r="A1909" s="66"/>
    </row>
    <row r="1910" spans="1:1" x14ac:dyDescent="0.25">
      <c r="A1910" s="66"/>
    </row>
    <row r="1911" spans="1:1" x14ac:dyDescent="0.25">
      <c r="A1911" s="66"/>
    </row>
    <row r="1912" spans="1:1" x14ac:dyDescent="0.25">
      <c r="A1912" s="66"/>
    </row>
    <row r="1913" spans="1:1" x14ac:dyDescent="0.25">
      <c r="A1913" s="66"/>
    </row>
    <row r="1914" spans="1:1" x14ac:dyDescent="0.25">
      <c r="A1914" s="66"/>
    </row>
    <row r="1915" spans="1:1" x14ac:dyDescent="0.25">
      <c r="A1915" s="66"/>
    </row>
    <row r="1916" spans="1:1" x14ac:dyDescent="0.25">
      <c r="A1916" s="66"/>
    </row>
    <row r="1917" spans="1:1" x14ac:dyDescent="0.25">
      <c r="A1917" s="66"/>
    </row>
    <row r="1918" spans="1:1" x14ac:dyDescent="0.25">
      <c r="A1918" s="66"/>
    </row>
    <row r="1919" spans="1:1" x14ac:dyDescent="0.25">
      <c r="A1919" s="66"/>
    </row>
    <row r="1920" spans="1:1" x14ac:dyDescent="0.25">
      <c r="A1920" s="66"/>
    </row>
    <row r="1921" spans="1:1" x14ac:dyDescent="0.25">
      <c r="A1921" s="66"/>
    </row>
    <row r="1922" spans="1:1" x14ac:dyDescent="0.25">
      <c r="A1922" s="66"/>
    </row>
    <row r="1923" spans="1:1" x14ac:dyDescent="0.25">
      <c r="A1923" s="66"/>
    </row>
    <row r="1924" spans="1:1" x14ac:dyDescent="0.25">
      <c r="A1924" s="66"/>
    </row>
    <row r="1925" spans="1:1" x14ac:dyDescent="0.25">
      <c r="A1925" s="66"/>
    </row>
    <row r="1926" spans="1:1" x14ac:dyDescent="0.25">
      <c r="A1926" s="66"/>
    </row>
    <row r="1927" spans="1:1" x14ac:dyDescent="0.25">
      <c r="A1927" s="66"/>
    </row>
    <row r="1928" spans="1:1" x14ac:dyDescent="0.25">
      <c r="A1928" s="66"/>
    </row>
    <row r="1929" spans="1:1" x14ac:dyDescent="0.25">
      <c r="A1929" s="66"/>
    </row>
    <row r="1930" spans="1:1" x14ac:dyDescent="0.25">
      <c r="A1930" s="66"/>
    </row>
    <row r="1931" spans="1:1" x14ac:dyDescent="0.25">
      <c r="A1931" s="66"/>
    </row>
    <row r="1932" spans="1:1" x14ac:dyDescent="0.25">
      <c r="A1932" s="66"/>
    </row>
    <row r="1933" spans="1:1" x14ac:dyDescent="0.25">
      <c r="A1933" s="66"/>
    </row>
    <row r="1934" spans="1:1" x14ac:dyDescent="0.25">
      <c r="A1934" s="66"/>
    </row>
    <row r="1935" spans="1:1" x14ac:dyDescent="0.25">
      <c r="A1935" s="66"/>
    </row>
    <row r="1936" spans="1:1" x14ac:dyDescent="0.25">
      <c r="A1936" s="66"/>
    </row>
    <row r="1937" spans="1:1" x14ac:dyDescent="0.25">
      <c r="A1937" s="66"/>
    </row>
    <row r="1938" spans="1:1" x14ac:dyDescent="0.25">
      <c r="A1938" s="66"/>
    </row>
    <row r="1939" spans="1:1" x14ac:dyDescent="0.25">
      <c r="A1939" s="66"/>
    </row>
    <row r="1940" spans="1:1" x14ac:dyDescent="0.25">
      <c r="A1940" s="66"/>
    </row>
    <row r="1941" spans="1:1" x14ac:dyDescent="0.25">
      <c r="A1941" s="66"/>
    </row>
    <row r="1942" spans="1:1" x14ac:dyDescent="0.25">
      <c r="A1942" s="66"/>
    </row>
    <row r="1943" spans="1:1" x14ac:dyDescent="0.25">
      <c r="A1943" s="66"/>
    </row>
    <row r="1944" spans="1:1" x14ac:dyDescent="0.25">
      <c r="A1944" s="66"/>
    </row>
    <row r="1945" spans="1:1" x14ac:dyDescent="0.25">
      <c r="A1945" s="66"/>
    </row>
    <row r="1946" spans="1:1" x14ac:dyDescent="0.25">
      <c r="A1946" s="66"/>
    </row>
    <row r="1947" spans="1:1" x14ac:dyDescent="0.25">
      <c r="A1947" s="66"/>
    </row>
    <row r="1948" spans="1:1" x14ac:dyDescent="0.25">
      <c r="A1948" s="66"/>
    </row>
    <row r="1949" spans="1:1" x14ac:dyDescent="0.25">
      <c r="A1949" s="66"/>
    </row>
    <row r="1950" spans="1:1" x14ac:dyDescent="0.25">
      <c r="A1950" s="66"/>
    </row>
    <row r="1951" spans="1:1" x14ac:dyDescent="0.25">
      <c r="A1951" s="66"/>
    </row>
    <row r="1952" spans="1:1" x14ac:dyDescent="0.25">
      <c r="A1952" s="66"/>
    </row>
    <row r="1953" spans="1:1" x14ac:dyDescent="0.25">
      <c r="A1953" s="66"/>
    </row>
    <row r="1954" spans="1:1" x14ac:dyDescent="0.25">
      <c r="A1954" s="66"/>
    </row>
    <row r="1955" spans="1:1" x14ac:dyDescent="0.25">
      <c r="A1955" s="66"/>
    </row>
    <row r="1956" spans="1:1" x14ac:dyDescent="0.25">
      <c r="A1956" s="66"/>
    </row>
    <row r="1957" spans="1:1" x14ac:dyDescent="0.25">
      <c r="A1957" s="66"/>
    </row>
    <row r="1958" spans="1:1" x14ac:dyDescent="0.25">
      <c r="A1958" s="66"/>
    </row>
    <row r="1959" spans="1:1" x14ac:dyDescent="0.25">
      <c r="A1959" s="66"/>
    </row>
    <row r="1960" spans="1:1" x14ac:dyDescent="0.25">
      <c r="A1960" s="66"/>
    </row>
    <row r="1961" spans="1:1" x14ac:dyDescent="0.25">
      <c r="A1961" s="66"/>
    </row>
    <row r="1962" spans="1:1" x14ac:dyDescent="0.25">
      <c r="A1962" s="66"/>
    </row>
    <row r="1963" spans="1:1" x14ac:dyDescent="0.25">
      <c r="A1963" s="66"/>
    </row>
    <row r="1964" spans="1:1" x14ac:dyDescent="0.25">
      <c r="A1964" s="66"/>
    </row>
    <row r="1965" spans="1:1" x14ac:dyDescent="0.25">
      <c r="A1965" s="66"/>
    </row>
    <row r="1966" spans="1:1" x14ac:dyDescent="0.25">
      <c r="A1966" s="66"/>
    </row>
    <row r="1967" spans="1:1" x14ac:dyDescent="0.25">
      <c r="A1967" s="66"/>
    </row>
    <row r="1968" spans="1:1" x14ac:dyDescent="0.25">
      <c r="A1968" s="66"/>
    </row>
    <row r="1969" spans="1:1" x14ac:dyDescent="0.25">
      <c r="A1969" s="66"/>
    </row>
    <row r="1970" spans="1:1" x14ac:dyDescent="0.25">
      <c r="A1970" s="66"/>
    </row>
    <row r="1971" spans="1:1" x14ac:dyDescent="0.25">
      <c r="A1971" s="66"/>
    </row>
    <row r="1972" spans="1:1" x14ac:dyDescent="0.25">
      <c r="A1972" s="66"/>
    </row>
    <row r="1973" spans="1:1" x14ac:dyDescent="0.25">
      <c r="A1973" s="66"/>
    </row>
    <row r="1974" spans="1:1" x14ac:dyDescent="0.25">
      <c r="A1974" s="66"/>
    </row>
    <row r="1975" spans="1:1" x14ac:dyDescent="0.25">
      <c r="A1975" s="66"/>
    </row>
    <row r="1976" spans="1:1" x14ac:dyDescent="0.25">
      <c r="A1976" s="66"/>
    </row>
    <row r="1977" spans="1:1" x14ac:dyDescent="0.25">
      <c r="A1977" s="66"/>
    </row>
    <row r="1978" spans="1:1" x14ac:dyDescent="0.25">
      <c r="A1978" s="66"/>
    </row>
    <row r="1979" spans="1:1" x14ac:dyDescent="0.25">
      <c r="A1979" s="66"/>
    </row>
    <row r="1980" spans="1:1" x14ac:dyDescent="0.25">
      <c r="A1980" s="66"/>
    </row>
    <row r="1981" spans="1:1" x14ac:dyDescent="0.25">
      <c r="A1981" s="66"/>
    </row>
    <row r="1982" spans="1:1" x14ac:dyDescent="0.25">
      <c r="A1982" s="66"/>
    </row>
    <row r="1983" spans="1:1" x14ac:dyDescent="0.25">
      <c r="A1983" s="66"/>
    </row>
    <row r="1984" spans="1:1" x14ac:dyDescent="0.25">
      <c r="A1984" s="66"/>
    </row>
    <row r="1985" spans="1:1" x14ac:dyDescent="0.25">
      <c r="A1985" s="66"/>
    </row>
    <row r="1986" spans="1:1" x14ac:dyDescent="0.25">
      <c r="A1986" s="66"/>
    </row>
    <row r="1987" spans="1:1" x14ac:dyDescent="0.25">
      <c r="A1987" s="66"/>
    </row>
    <row r="1988" spans="1:1" x14ac:dyDescent="0.25">
      <c r="A1988" s="66"/>
    </row>
    <row r="1989" spans="1:1" x14ac:dyDescent="0.25">
      <c r="A1989" s="66"/>
    </row>
    <row r="1990" spans="1:1" x14ac:dyDescent="0.25">
      <c r="A1990" s="66"/>
    </row>
    <row r="1991" spans="1:1" x14ac:dyDescent="0.25">
      <c r="A1991" s="66"/>
    </row>
    <row r="1992" spans="1:1" x14ac:dyDescent="0.25">
      <c r="A1992" s="66"/>
    </row>
    <row r="1993" spans="1:1" x14ac:dyDescent="0.25">
      <c r="A1993" s="66"/>
    </row>
    <row r="1994" spans="1:1" x14ac:dyDescent="0.25">
      <c r="A1994" s="66"/>
    </row>
    <row r="1995" spans="1:1" x14ac:dyDescent="0.25">
      <c r="A1995" s="66"/>
    </row>
    <row r="1996" spans="1:1" x14ac:dyDescent="0.25">
      <c r="A1996" s="66"/>
    </row>
    <row r="1997" spans="1:1" x14ac:dyDescent="0.25">
      <c r="A1997" s="66"/>
    </row>
    <row r="1998" spans="1:1" x14ac:dyDescent="0.25">
      <c r="A1998" s="66"/>
    </row>
    <row r="1999" spans="1:1" x14ac:dyDescent="0.25">
      <c r="A1999" s="66"/>
    </row>
    <row r="2000" spans="1:1" x14ac:dyDescent="0.25">
      <c r="A2000" s="66"/>
    </row>
    <row r="2001" spans="1:1" x14ac:dyDescent="0.25">
      <c r="A2001" s="66"/>
    </row>
    <row r="2002" spans="1:1" x14ac:dyDescent="0.25">
      <c r="A2002" s="66"/>
    </row>
    <row r="2003" spans="1:1" x14ac:dyDescent="0.25">
      <c r="A2003" s="66"/>
    </row>
    <row r="2004" spans="1:1" x14ac:dyDescent="0.25">
      <c r="A2004" s="66"/>
    </row>
    <row r="2005" spans="1:1" x14ac:dyDescent="0.25">
      <c r="A2005" s="66"/>
    </row>
    <row r="2006" spans="1:1" x14ac:dyDescent="0.25">
      <c r="A2006" s="66"/>
    </row>
    <row r="2007" spans="1:1" x14ac:dyDescent="0.25">
      <c r="A2007" s="66"/>
    </row>
    <row r="2008" spans="1:1" x14ac:dyDescent="0.25">
      <c r="A2008" s="66"/>
    </row>
    <row r="2009" spans="1:1" x14ac:dyDescent="0.25">
      <c r="A2009" s="66"/>
    </row>
    <row r="2010" spans="1:1" x14ac:dyDescent="0.25">
      <c r="A2010" s="66"/>
    </row>
    <row r="2011" spans="1:1" x14ac:dyDescent="0.25">
      <c r="A2011" s="66"/>
    </row>
    <row r="2012" spans="1:1" x14ac:dyDescent="0.25">
      <c r="A2012" s="66"/>
    </row>
    <row r="2013" spans="1:1" x14ac:dyDescent="0.25">
      <c r="A2013" s="66"/>
    </row>
    <row r="2014" spans="1:1" x14ac:dyDescent="0.25">
      <c r="A2014" s="66"/>
    </row>
    <row r="2015" spans="1:1" x14ac:dyDescent="0.25">
      <c r="A2015" s="66"/>
    </row>
    <row r="2016" spans="1:1" x14ac:dyDescent="0.25">
      <c r="A2016" s="66"/>
    </row>
    <row r="2017" spans="1:1" x14ac:dyDescent="0.25">
      <c r="A2017" s="66"/>
    </row>
    <row r="2018" spans="1:1" x14ac:dyDescent="0.25">
      <c r="A2018" s="66"/>
    </row>
    <row r="2019" spans="1:1" x14ac:dyDescent="0.25">
      <c r="A2019" s="66"/>
    </row>
    <row r="2020" spans="1:1" x14ac:dyDescent="0.25">
      <c r="A2020" s="66"/>
    </row>
    <row r="2021" spans="1:1" x14ac:dyDescent="0.25">
      <c r="A2021" s="66"/>
    </row>
    <row r="2022" spans="1:1" x14ac:dyDescent="0.25">
      <c r="A2022" s="66"/>
    </row>
    <row r="2023" spans="1:1" x14ac:dyDescent="0.25">
      <c r="A2023" s="66"/>
    </row>
    <row r="2024" spans="1:1" x14ac:dyDescent="0.25">
      <c r="A2024" s="66"/>
    </row>
    <row r="2025" spans="1:1" x14ac:dyDescent="0.25">
      <c r="A2025" s="66"/>
    </row>
    <row r="2026" spans="1:1" x14ac:dyDescent="0.25">
      <c r="A2026" s="66"/>
    </row>
    <row r="2027" spans="1:1" x14ac:dyDescent="0.25">
      <c r="A2027" s="66"/>
    </row>
    <row r="2028" spans="1:1" x14ac:dyDescent="0.25">
      <c r="A2028" s="66"/>
    </row>
    <row r="2029" spans="1:1" x14ac:dyDescent="0.25">
      <c r="A2029" s="66"/>
    </row>
    <row r="2030" spans="1:1" x14ac:dyDescent="0.25">
      <c r="A2030" s="66"/>
    </row>
    <row r="2031" spans="1:1" x14ac:dyDescent="0.25">
      <c r="A2031" s="66"/>
    </row>
    <row r="2032" spans="1:1" x14ac:dyDescent="0.25">
      <c r="A2032" s="66"/>
    </row>
    <row r="2033" spans="1:1" x14ac:dyDescent="0.25">
      <c r="A2033" s="66"/>
    </row>
    <row r="2034" spans="1:1" x14ac:dyDescent="0.25">
      <c r="A2034" s="66"/>
    </row>
    <row r="2035" spans="1:1" x14ac:dyDescent="0.25">
      <c r="A2035" s="66"/>
    </row>
    <row r="2036" spans="1:1" x14ac:dyDescent="0.25">
      <c r="A2036" s="66"/>
    </row>
    <row r="2037" spans="1:1" x14ac:dyDescent="0.25">
      <c r="A2037" s="66"/>
    </row>
    <row r="2038" spans="1:1" x14ac:dyDescent="0.25">
      <c r="A2038" s="66"/>
    </row>
    <row r="2039" spans="1:1" x14ac:dyDescent="0.25">
      <c r="A2039" s="66"/>
    </row>
    <row r="2040" spans="1:1" x14ac:dyDescent="0.25">
      <c r="A2040" s="66"/>
    </row>
    <row r="2041" spans="1:1" x14ac:dyDescent="0.25">
      <c r="A2041" s="66"/>
    </row>
    <row r="2042" spans="1:1" x14ac:dyDescent="0.25">
      <c r="A2042" s="66"/>
    </row>
    <row r="2043" spans="1:1" x14ac:dyDescent="0.25">
      <c r="A2043" s="66"/>
    </row>
    <row r="2044" spans="1:1" x14ac:dyDescent="0.25">
      <c r="A2044" s="66"/>
    </row>
    <row r="2045" spans="1:1" x14ac:dyDescent="0.25">
      <c r="A2045" s="66"/>
    </row>
    <row r="2046" spans="1:1" x14ac:dyDescent="0.25">
      <c r="A2046" s="66"/>
    </row>
    <row r="2047" spans="1:1" x14ac:dyDescent="0.25">
      <c r="A2047" s="66"/>
    </row>
    <row r="2048" spans="1:1" x14ac:dyDescent="0.25">
      <c r="A2048" s="66"/>
    </row>
    <row r="2049" spans="1:1" x14ac:dyDescent="0.25">
      <c r="A2049" s="66"/>
    </row>
    <row r="2050" spans="1:1" x14ac:dyDescent="0.25">
      <c r="A2050" s="66"/>
    </row>
    <row r="2051" spans="1:1" x14ac:dyDescent="0.25">
      <c r="A2051" s="66"/>
    </row>
    <row r="2052" spans="1:1" x14ac:dyDescent="0.25">
      <c r="A2052" s="66"/>
    </row>
    <row r="2053" spans="1:1" x14ac:dyDescent="0.25">
      <c r="A2053" s="66"/>
    </row>
    <row r="2054" spans="1:1" x14ac:dyDescent="0.25">
      <c r="A2054" s="66"/>
    </row>
    <row r="2055" spans="1:1" x14ac:dyDescent="0.25">
      <c r="A2055" s="66"/>
    </row>
    <row r="2056" spans="1:1" x14ac:dyDescent="0.25">
      <c r="A2056" s="66"/>
    </row>
    <row r="2057" spans="1:1" x14ac:dyDescent="0.25">
      <c r="A2057" s="66"/>
    </row>
    <row r="2058" spans="1:1" x14ac:dyDescent="0.25">
      <c r="A2058" s="66"/>
    </row>
    <row r="2059" spans="1:1" x14ac:dyDescent="0.25">
      <c r="A2059" s="66"/>
    </row>
    <row r="2060" spans="1:1" x14ac:dyDescent="0.25">
      <c r="A2060" s="66"/>
    </row>
    <row r="2061" spans="1:1" x14ac:dyDescent="0.25">
      <c r="A2061" s="66"/>
    </row>
    <row r="2062" spans="1:1" x14ac:dyDescent="0.25">
      <c r="A2062" s="66"/>
    </row>
    <row r="2063" spans="1:1" x14ac:dyDescent="0.25">
      <c r="A2063" s="66"/>
    </row>
    <row r="2064" spans="1:1" x14ac:dyDescent="0.25">
      <c r="A2064" s="66"/>
    </row>
    <row r="2065" spans="1:1" x14ac:dyDescent="0.25">
      <c r="A2065" s="66"/>
    </row>
    <row r="2066" spans="1:1" x14ac:dyDescent="0.25">
      <c r="A2066" s="66"/>
    </row>
    <row r="2067" spans="1:1" x14ac:dyDescent="0.25">
      <c r="A2067" s="66"/>
    </row>
    <row r="2068" spans="1:1" x14ac:dyDescent="0.25">
      <c r="A2068" s="66"/>
    </row>
    <row r="2069" spans="1:1" x14ac:dyDescent="0.25">
      <c r="A2069" s="66"/>
    </row>
    <row r="2070" spans="1:1" x14ac:dyDescent="0.25">
      <c r="A2070" s="66"/>
    </row>
    <row r="2071" spans="1:1" x14ac:dyDescent="0.25">
      <c r="A2071" s="66"/>
    </row>
    <row r="2072" spans="1:1" x14ac:dyDescent="0.25">
      <c r="A2072" s="66"/>
    </row>
    <row r="2073" spans="1:1" x14ac:dyDescent="0.25">
      <c r="A2073" s="66"/>
    </row>
    <row r="2074" spans="1:1" x14ac:dyDescent="0.25">
      <c r="A2074" s="66"/>
    </row>
    <row r="2075" spans="1:1" x14ac:dyDescent="0.25">
      <c r="A2075" s="66"/>
    </row>
    <row r="2076" spans="1:1" x14ac:dyDescent="0.25">
      <c r="A2076" s="66"/>
    </row>
    <row r="2077" spans="1:1" x14ac:dyDescent="0.25">
      <c r="A2077" s="66"/>
    </row>
    <row r="2078" spans="1:1" x14ac:dyDescent="0.25">
      <c r="A2078" s="66"/>
    </row>
    <row r="2079" spans="1:1" x14ac:dyDescent="0.25">
      <c r="A2079" s="66"/>
    </row>
    <row r="2080" spans="1:1" x14ac:dyDescent="0.25">
      <c r="A2080" s="66"/>
    </row>
    <row r="2081" spans="1:1" x14ac:dyDescent="0.25">
      <c r="A2081" s="66"/>
    </row>
    <row r="2082" spans="1:1" x14ac:dyDescent="0.25">
      <c r="A2082" s="66"/>
    </row>
    <row r="2083" spans="1:1" x14ac:dyDescent="0.25">
      <c r="A2083" s="66"/>
    </row>
    <row r="2084" spans="1:1" x14ac:dyDescent="0.25">
      <c r="A2084" s="66"/>
    </row>
    <row r="2085" spans="1:1" x14ac:dyDescent="0.25">
      <c r="A2085" s="66"/>
    </row>
    <row r="2086" spans="1:1" x14ac:dyDescent="0.25">
      <c r="A2086" s="66"/>
    </row>
    <row r="2087" spans="1:1" x14ac:dyDescent="0.25">
      <c r="A2087" s="66"/>
    </row>
    <row r="2088" spans="1:1" x14ac:dyDescent="0.25">
      <c r="A2088" s="66"/>
    </row>
    <row r="2089" spans="1:1" x14ac:dyDescent="0.25">
      <c r="A2089" s="66"/>
    </row>
    <row r="2090" spans="1:1" x14ac:dyDescent="0.25">
      <c r="A2090" s="66"/>
    </row>
    <row r="2091" spans="1:1" x14ac:dyDescent="0.25">
      <c r="A2091" s="66"/>
    </row>
    <row r="2092" spans="1:1" x14ac:dyDescent="0.25">
      <c r="A2092" s="66"/>
    </row>
    <row r="2093" spans="1:1" x14ac:dyDescent="0.25">
      <c r="A2093" s="66"/>
    </row>
    <row r="2094" spans="1:1" x14ac:dyDescent="0.25">
      <c r="A2094" s="66"/>
    </row>
    <row r="2095" spans="1:1" x14ac:dyDescent="0.25">
      <c r="A2095" s="66"/>
    </row>
    <row r="2096" spans="1:1" x14ac:dyDescent="0.25">
      <c r="A2096" s="66"/>
    </row>
    <row r="2097" spans="1:1" x14ac:dyDescent="0.25">
      <c r="A2097" s="66"/>
    </row>
    <row r="2098" spans="1:1" x14ac:dyDescent="0.25">
      <c r="A2098" s="66"/>
    </row>
    <row r="2099" spans="1:1" x14ac:dyDescent="0.25">
      <c r="A2099" s="66"/>
    </row>
    <row r="2100" spans="1:1" x14ac:dyDescent="0.25">
      <c r="A2100" s="66"/>
    </row>
    <row r="2101" spans="1:1" x14ac:dyDescent="0.25">
      <c r="A2101" s="66"/>
    </row>
    <row r="2102" spans="1:1" x14ac:dyDescent="0.25">
      <c r="A2102" s="66"/>
    </row>
    <row r="2103" spans="1:1" x14ac:dyDescent="0.25">
      <c r="A2103" s="66"/>
    </row>
    <row r="2104" spans="1:1" x14ac:dyDescent="0.25">
      <c r="A2104" s="66"/>
    </row>
    <row r="2105" spans="1:1" x14ac:dyDescent="0.25">
      <c r="A2105" s="66"/>
    </row>
    <row r="2106" spans="1:1" x14ac:dyDescent="0.25">
      <c r="A2106" s="66"/>
    </row>
    <row r="2107" spans="1:1" x14ac:dyDescent="0.25">
      <c r="A2107" s="66"/>
    </row>
    <row r="2108" spans="1:1" x14ac:dyDescent="0.25">
      <c r="A2108" s="66"/>
    </row>
    <row r="2109" spans="1:1" x14ac:dyDescent="0.25">
      <c r="A2109" s="66"/>
    </row>
    <row r="2110" spans="1:1" x14ac:dyDescent="0.25">
      <c r="A2110" s="66"/>
    </row>
    <row r="2111" spans="1:1" x14ac:dyDescent="0.25">
      <c r="A2111" s="66"/>
    </row>
    <row r="2112" spans="1:1" x14ac:dyDescent="0.25">
      <c r="A2112" s="66"/>
    </row>
    <row r="2113" spans="1:1" x14ac:dyDescent="0.25">
      <c r="A2113" s="66"/>
    </row>
    <row r="2114" spans="1:1" x14ac:dyDescent="0.25">
      <c r="A2114" s="66"/>
    </row>
    <row r="2115" spans="1:1" x14ac:dyDescent="0.25">
      <c r="A2115" s="66"/>
    </row>
    <row r="2116" spans="1:1" x14ac:dyDescent="0.25">
      <c r="A2116" s="66"/>
    </row>
    <row r="2117" spans="1:1" x14ac:dyDescent="0.25">
      <c r="A2117" s="66"/>
    </row>
    <row r="2118" spans="1:1" x14ac:dyDescent="0.25">
      <c r="A2118" s="66"/>
    </row>
    <row r="2119" spans="1:1" x14ac:dyDescent="0.25">
      <c r="A2119" s="66"/>
    </row>
    <row r="2120" spans="1:1" x14ac:dyDescent="0.25">
      <c r="A2120" s="66"/>
    </row>
    <row r="2121" spans="1:1" x14ac:dyDescent="0.25">
      <c r="A2121" s="66"/>
    </row>
    <row r="2122" spans="1:1" x14ac:dyDescent="0.25">
      <c r="A2122" s="66"/>
    </row>
    <row r="2123" spans="1:1" x14ac:dyDescent="0.25">
      <c r="A2123" s="66"/>
    </row>
    <row r="2124" spans="1:1" x14ac:dyDescent="0.25">
      <c r="A2124" s="66"/>
    </row>
    <row r="2125" spans="1:1" x14ac:dyDescent="0.25">
      <c r="A2125" s="66"/>
    </row>
    <row r="2126" spans="1:1" x14ac:dyDescent="0.25">
      <c r="A2126" s="66"/>
    </row>
    <row r="2127" spans="1:1" x14ac:dyDescent="0.25">
      <c r="A2127" s="66"/>
    </row>
    <row r="2128" spans="1:1" x14ac:dyDescent="0.25">
      <c r="A2128" s="66"/>
    </row>
    <row r="2129" spans="1:1" x14ac:dyDescent="0.25">
      <c r="A2129" s="66"/>
    </row>
    <row r="2130" spans="1:1" x14ac:dyDescent="0.25">
      <c r="A2130" s="66"/>
    </row>
    <row r="2131" spans="1:1" x14ac:dyDescent="0.25">
      <c r="A2131" s="66"/>
    </row>
    <row r="2132" spans="1:1" x14ac:dyDescent="0.25">
      <c r="A2132" s="66"/>
    </row>
    <row r="2133" spans="1:1" x14ac:dyDescent="0.25">
      <c r="A2133" s="66"/>
    </row>
    <row r="2134" spans="1:1" x14ac:dyDescent="0.25">
      <c r="A2134" s="66"/>
    </row>
    <row r="2135" spans="1:1" x14ac:dyDescent="0.25">
      <c r="A2135" s="66"/>
    </row>
    <row r="2136" spans="1:1" x14ac:dyDescent="0.25">
      <c r="A2136" s="66"/>
    </row>
    <row r="2137" spans="1:1" x14ac:dyDescent="0.25">
      <c r="A2137" s="66"/>
    </row>
    <row r="2138" spans="1:1" x14ac:dyDescent="0.25">
      <c r="A2138" s="66"/>
    </row>
    <row r="2139" spans="1:1" x14ac:dyDescent="0.25">
      <c r="A2139" s="66"/>
    </row>
    <row r="2140" spans="1:1" x14ac:dyDescent="0.25">
      <c r="A2140" s="66"/>
    </row>
    <row r="2141" spans="1:1" x14ac:dyDescent="0.25">
      <c r="A2141" s="66"/>
    </row>
    <row r="2142" spans="1:1" x14ac:dyDescent="0.25">
      <c r="A2142" s="66"/>
    </row>
    <row r="2143" spans="1:1" x14ac:dyDescent="0.25">
      <c r="A2143" s="66"/>
    </row>
    <row r="2144" spans="1:1" x14ac:dyDescent="0.25">
      <c r="A2144" s="66"/>
    </row>
    <row r="2145" spans="1:1" x14ac:dyDescent="0.25">
      <c r="A2145" s="66"/>
    </row>
    <row r="2146" spans="1:1" x14ac:dyDescent="0.25">
      <c r="A2146" s="66"/>
    </row>
    <row r="2147" spans="1:1" x14ac:dyDescent="0.25">
      <c r="A2147" s="66"/>
    </row>
    <row r="2148" spans="1:1" x14ac:dyDescent="0.25">
      <c r="A2148" s="66"/>
    </row>
    <row r="2149" spans="1:1" x14ac:dyDescent="0.25">
      <c r="A2149" s="66"/>
    </row>
    <row r="2150" spans="1:1" x14ac:dyDescent="0.25">
      <c r="A2150" s="66"/>
    </row>
    <row r="2151" spans="1:1" x14ac:dyDescent="0.25">
      <c r="A2151" s="66"/>
    </row>
    <row r="2152" spans="1:1" x14ac:dyDescent="0.25">
      <c r="A2152" s="66"/>
    </row>
    <row r="2153" spans="1:1" x14ac:dyDescent="0.25">
      <c r="A2153" s="66"/>
    </row>
    <row r="2154" spans="1:1" x14ac:dyDescent="0.25">
      <c r="A2154" s="66"/>
    </row>
    <row r="2155" spans="1:1" x14ac:dyDescent="0.25">
      <c r="A2155" s="66"/>
    </row>
    <row r="2156" spans="1:1" x14ac:dyDescent="0.25">
      <c r="A2156" s="66"/>
    </row>
    <row r="2157" spans="1:1" x14ac:dyDescent="0.25">
      <c r="A2157" s="66"/>
    </row>
    <row r="2158" spans="1:1" x14ac:dyDescent="0.25">
      <c r="A2158" s="66"/>
    </row>
    <row r="2159" spans="1:1" x14ac:dyDescent="0.25">
      <c r="A2159" s="66"/>
    </row>
    <row r="2160" spans="1:1" x14ac:dyDescent="0.25">
      <c r="A2160" s="66"/>
    </row>
    <row r="2161" spans="1:1" x14ac:dyDescent="0.25">
      <c r="A2161" s="66"/>
    </row>
    <row r="2162" spans="1:1" x14ac:dyDescent="0.25">
      <c r="A2162" s="66"/>
    </row>
    <row r="2163" spans="1:1" x14ac:dyDescent="0.25">
      <c r="A2163" s="66"/>
    </row>
    <row r="2164" spans="1:1" x14ac:dyDescent="0.25">
      <c r="A2164" s="66"/>
    </row>
    <row r="2165" spans="1:1" x14ac:dyDescent="0.25">
      <c r="A2165" s="66"/>
    </row>
    <row r="2166" spans="1:1" x14ac:dyDescent="0.25">
      <c r="A2166" s="66"/>
    </row>
    <row r="2167" spans="1:1" x14ac:dyDescent="0.25">
      <c r="A2167" s="66"/>
    </row>
    <row r="2168" spans="1:1" x14ac:dyDescent="0.25">
      <c r="A2168" s="66"/>
    </row>
    <row r="2169" spans="1:1" x14ac:dyDescent="0.25">
      <c r="A2169" s="66"/>
    </row>
    <row r="2170" spans="1:1" x14ac:dyDescent="0.25">
      <c r="A2170" s="66"/>
    </row>
    <row r="2171" spans="1:1" x14ac:dyDescent="0.25">
      <c r="A2171" s="66"/>
    </row>
    <row r="2172" spans="1:1" x14ac:dyDescent="0.25">
      <c r="A2172" s="66"/>
    </row>
    <row r="2173" spans="1:1" x14ac:dyDescent="0.25">
      <c r="A2173" s="66"/>
    </row>
    <row r="2174" spans="1:1" x14ac:dyDescent="0.25">
      <c r="A2174" s="66"/>
    </row>
    <row r="2175" spans="1:1" x14ac:dyDescent="0.25">
      <c r="A2175" s="66"/>
    </row>
    <row r="2176" spans="1:1" x14ac:dyDescent="0.25">
      <c r="A2176" s="66"/>
    </row>
    <row r="2177" spans="1:1" x14ac:dyDescent="0.25">
      <c r="A2177" s="66"/>
    </row>
    <row r="2178" spans="1:1" x14ac:dyDescent="0.25">
      <c r="A2178" s="66"/>
    </row>
    <row r="2179" spans="1:1" x14ac:dyDescent="0.25">
      <c r="A2179" s="66"/>
    </row>
    <row r="2180" spans="1:1" x14ac:dyDescent="0.25">
      <c r="A2180" s="66"/>
    </row>
    <row r="2181" spans="1:1" x14ac:dyDescent="0.25">
      <c r="A2181" s="66"/>
    </row>
    <row r="2182" spans="1:1" x14ac:dyDescent="0.25">
      <c r="A2182" s="66"/>
    </row>
    <row r="2183" spans="1:1" x14ac:dyDescent="0.25">
      <c r="A2183" s="66"/>
    </row>
    <row r="2184" spans="1:1" x14ac:dyDescent="0.25">
      <c r="A2184" s="66"/>
    </row>
    <row r="2185" spans="1:1" x14ac:dyDescent="0.25">
      <c r="A2185" s="66"/>
    </row>
    <row r="2186" spans="1:1" x14ac:dyDescent="0.25">
      <c r="A2186" s="66"/>
    </row>
    <row r="2187" spans="1:1" x14ac:dyDescent="0.25">
      <c r="A2187" s="66"/>
    </row>
    <row r="2188" spans="1:1" x14ac:dyDescent="0.25">
      <c r="A2188" s="66"/>
    </row>
    <row r="2189" spans="1:1" x14ac:dyDescent="0.25">
      <c r="A2189" s="66"/>
    </row>
    <row r="2190" spans="1:1" x14ac:dyDescent="0.25">
      <c r="A2190" s="66"/>
    </row>
    <row r="2191" spans="1:1" x14ac:dyDescent="0.25">
      <c r="A2191" s="66"/>
    </row>
    <row r="2192" spans="1:1" x14ac:dyDescent="0.25">
      <c r="A2192" s="66"/>
    </row>
    <row r="2193" spans="1:1" x14ac:dyDescent="0.25">
      <c r="A2193" s="66"/>
    </row>
    <row r="2194" spans="1:1" x14ac:dyDescent="0.25">
      <c r="A2194" s="66"/>
    </row>
    <row r="2195" spans="1:1" x14ac:dyDescent="0.25">
      <c r="A2195" s="66"/>
    </row>
    <row r="2196" spans="1:1" x14ac:dyDescent="0.25">
      <c r="A2196" s="66"/>
    </row>
    <row r="2197" spans="1:1" x14ac:dyDescent="0.25">
      <c r="A2197" s="66"/>
    </row>
    <row r="2198" spans="1:1" x14ac:dyDescent="0.25">
      <c r="A2198" s="66"/>
    </row>
    <row r="2199" spans="1:1" x14ac:dyDescent="0.25">
      <c r="A2199" s="66"/>
    </row>
    <row r="2200" spans="1:1" x14ac:dyDescent="0.25">
      <c r="A2200" s="66"/>
    </row>
    <row r="2201" spans="1:1" x14ac:dyDescent="0.25">
      <c r="A2201" s="66"/>
    </row>
    <row r="2202" spans="1:1" x14ac:dyDescent="0.25">
      <c r="A2202" s="66"/>
    </row>
    <row r="2203" spans="1:1" x14ac:dyDescent="0.25">
      <c r="A2203" s="66"/>
    </row>
    <row r="2204" spans="1:1" x14ac:dyDescent="0.25">
      <c r="A2204" s="66"/>
    </row>
    <row r="2205" spans="1:1" x14ac:dyDescent="0.25">
      <c r="A2205" s="66"/>
    </row>
    <row r="2206" spans="1:1" x14ac:dyDescent="0.25">
      <c r="A2206" s="66"/>
    </row>
    <row r="2207" spans="1:1" x14ac:dyDescent="0.25">
      <c r="A2207" s="66"/>
    </row>
    <row r="2208" spans="1:1" x14ac:dyDescent="0.25">
      <c r="A2208" s="66"/>
    </row>
    <row r="2209" spans="1:1" x14ac:dyDescent="0.25">
      <c r="A2209" s="66"/>
    </row>
    <row r="2210" spans="1:1" x14ac:dyDescent="0.25">
      <c r="A2210" s="66"/>
    </row>
    <row r="2211" spans="1:1" x14ac:dyDescent="0.25">
      <c r="A2211" s="66"/>
    </row>
    <row r="2212" spans="1:1" x14ac:dyDescent="0.25">
      <c r="A2212" s="66"/>
    </row>
    <row r="2213" spans="1:1" x14ac:dyDescent="0.25">
      <c r="A2213" s="66"/>
    </row>
    <row r="2214" spans="1:1" x14ac:dyDescent="0.25">
      <c r="A2214" s="66"/>
    </row>
    <row r="2215" spans="1:1" x14ac:dyDescent="0.25">
      <c r="A2215" s="66"/>
    </row>
    <row r="2216" spans="1:1" x14ac:dyDescent="0.25">
      <c r="A2216" s="66"/>
    </row>
    <row r="2217" spans="1:1" x14ac:dyDescent="0.25">
      <c r="A2217" s="66"/>
    </row>
    <row r="2218" spans="1:1" x14ac:dyDescent="0.25">
      <c r="A2218" s="66"/>
    </row>
    <row r="2219" spans="1:1" x14ac:dyDescent="0.25">
      <c r="A2219" s="66"/>
    </row>
    <row r="2220" spans="1:1" x14ac:dyDescent="0.25">
      <c r="A2220" s="66"/>
    </row>
    <row r="2221" spans="1:1" x14ac:dyDescent="0.25">
      <c r="A2221" s="66"/>
    </row>
    <row r="2222" spans="1:1" x14ac:dyDescent="0.25">
      <c r="A2222" s="66"/>
    </row>
    <row r="2223" spans="1:1" x14ac:dyDescent="0.25">
      <c r="A2223" s="66"/>
    </row>
    <row r="2224" spans="1:1" x14ac:dyDescent="0.25">
      <c r="A2224" s="66"/>
    </row>
    <row r="2225" spans="1:1" x14ac:dyDescent="0.25">
      <c r="A2225" s="66"/>
    </row>
    <row r="2226" spans="1:1" x14ac:dyDescent="0.25">
      <c r="A2226" s="66"/>
    </row>
    <row r="2227" spans="1:1" x14ac:dyDescent="0.25">
      <c r="A2227" s="66"/>
    </row>
    <row r="2228" spans="1:1" x14ac:dyDescent="0.25">
      <c r="A2228" s="66"/>
    </row>
    <row r="2229" spans="1:1" x14ac:dyDescent="0.25">
      <c r="A2229" s="66"/>
    </row>
    <row r="2230" spans="1:1" x14ac:dyDescent="0.25">
      <c r="A2230" s="66"/>
    </row>
    <row r="2231" spans="1:1" x14ac:dyDescent="0.25">
      <c r="A2231" s="66"/>
    </row>
    <row r="2232" spans="1:1" x14ac:dyDescent="0.25">
      <c r="A2232" s="66"/>
    </row>
    <row r="2233" spans="1:1" x14ac:dyDescent="0.25">
      <c r="A2233" s="66"/>
    </row>
    <row r="2234" spans="1:1" x14ac:dyDescent="0.25">
      <c r="A2234" s="66"/>
    </row>
    <row r="2235" spans="1:1" x14ac:dyDescent="0.25">
      <c r="A2235" s="66"/>
    </row>
    <row r="2236" spans="1:1" x14ac:dyDescent="0.25">
      <c r="A2236" s="66"/>
    </row>
    <row r="2237" spans="1:1" x14ac:dyDescent="0.25">
      <c r="A2237" s="66"/>
    </row>
    <row r="2238" spans="1:1" x14ac:dyDescent="0.25">
      <c r="A2238" s="66"/>
    </row>
    <row r="2239" spans="1:1" x14ac:dyDescent="0.25">
      <c r="A2239" s="66"/>
    </row>
    <row r="2240" spans="1:1" x14ac:dyDescent="0.25">
      <c r="A2240" s="66"/>
    </row>
    <row r="2241" spans="1:1" x14ac:dyDescent="0.25">
      <c r="A2241" s="66"/>
    </row>
    <row r="2242" spans="1:1" x14ac:dyDescent="0.25">
      <c r="A2242" s="66"/>
    </row>
    <row r="2243" spans="1:1" x14ac:dyDescent="0.25">
      <c r="A2243" s="66"/>
    </row>
    <row r="2244" spans="1:1" x14ac:dyDescent="0.25">
      <c r="A2244" s="66"/>
    </row>
    <row r="2245" spans="1:1" x14ac:dyDescent="0.25">
      <c r="A2245" s="66"/>
    </row>
    <row r="2246" spans="1:1" x14ac:dyDescent="0.25">
      <c r="A2246" s="66"/>
    </row>
    <row r="2247" spans="1:1" x14ac:dyDescent="0.25">
      <c r="A2247" s="66"/>
    </row>
    <row r="2248" spans="1:1" x14ac:dyDescent="0.25">
      <c r="A2248" s="66"/>
    </row>
    <row r="2249" spans="1:1" x14ac:dyDescent="0.25">
      <c r="A2249" s="66"/>
    </row>
    <row r="2250" spans="1:1" x14ac:dyDescent="0.25">
      <c r="A2250" s="66"/>
    </row>
    <row r="2251" spans="1:1" x14ac:dyDescent="0.25">
      <c r="A2251" s="66"/>
    </row>
    <row r="2252" spans="1:1" x14ac:dyDescent="0.25">
      <c r="A2252" s="66"/>
    </row>
    <row r="2253" spans="1:1" x14ac:dyDescent="0.25">
      <c r="A2253" s="66"/>
    </row>
    <row r="2254" spans="1:1" x14ac:dyDescent="0.25">
      <c r="A2254" s="66"/>
    </row>
    <row r="2255" spans="1:1" x14ac:dyDescent="0.25">
      <c r="A2255" s="66"/>
    </row>
    <row r="2256" spans="1:1" x14ac:dyDescent="0.25">
      <c r="A2256" s="66"/>
    </row>
    <row r="2257" spans="1:1" x14ac:dyDescent="0.25">
      <c r="A2257" s="66"/>
    </row>
    <row r="2258" spans="1:1" x14ac:dyDescent="0.25">
      <c r="A2258" s="66"/>
    </row>
    <row r="2259" spans="1:1" x14ac:dyDescent="0.25">
      <c r="A2259" s="66"/>
    </row>
    <row r="2260" spans="1:1" x14ac:dyDescent="0.25">
      <c r="A2260" s="66"/>
    </row>
    <row r="2261" spans="1:1" x14ac:dyDescent="0.25">
      <c r="A2261" s="66"/>
    </row>
    <row r="2262" spans="1:1" x14ac:dyDescent="0.25">
      <c r="A2262" s="66"/>
    </row>
    <row r="2263" spans="1:1" x14ac:dyDescent="0.25">
      <c r="A2263" s="66"/>
    </row>
    <row r="2264" spans="1:1" x14ac:dyDescent="0.25">
      <c r="A2264" s="66"/>
    </row>
    <row r="2265" spans="1:1" x14ac:dyDescent="0.25">
      <c r="A2265" s="66"/>
    </row>
    <row r="2266" spans="1:1" x14ac:dyDescent="0.25">
      <c r="A2266" s="66"/>
    </row>
    <row r="2267" spans="1:1" x14ac:dyDescent="0.25">
      <c r="A2267" s="66"/>
    </row>
    <row r="2268" spans="1:1" x14ac:dyDescent="0.25">
      <c r="A2268" s="66"/>
    </row>
    <row r="2269" spans="1:1" x14ac:dyDescent="0.25">
      <c r="A2269" s="66"/>
    </row>
    <row r="2270" spans="1:1" x14ac:dyDescent="0.25">
      <c r="A2270" s="66"/>
    </row>
    <row r="2271" spans="1:1" x14ac:dyDescent="0.25">
      <c r="A2271" s="66"/>
    </row>
    <row r="2272" spans="1:1" x14ac:dyDescent="0.25">
      <c r="A2272" s="66"/>
    </row>
    <row r="2273" spans="1:1" x14ac:dyDescent="0.25">
      <c r="A2273" s="66"/>
    </row>
    <row r="2274" spans="1:1" x14ac:dyDescent="0.25">
      <c r="A2274" s="66"/>
    </row>
    <row r="2275" spans="1:1" x14ac:dyDescent="0.25">
      <c r="A2275" s="66"/>
    </row>
    <row r="2276" spans="1:1" x14ac:dyDescent="0.25">
      <c r="A2276" s="66"/>
    </row>
    <row r="2277" spans="1:1" x14ac:dyDescent="0.25">
      <c r="A2277" s="66"/>
    </row>
    <row r="2278" spans="1:1" x14ac:dyDescent="0.25">
      <c r="A2278" s="66"/>
    </row>
    <row r="2279" spans="1:1" x14ac:dyDescent="0.25">
      <c r="A2279" s="66"/>
    </row>
    <row r="2280" spans="1:1" x14ac:dyDescent="0.25">
      <c r="A2280" s="66"/>
    </row>
    <row r="2281" spans="1:1" x14ac:dyDescent="0.25">
      <c r="A2281" s="66"/>
    </row>
    <row r="2282" spans="1:1" x14ac:dyDescent="0.25">
      <c r="A2282" s="66"/>
    </row>
    <row r="2283" spans="1:1" x14ac:dyDescent="0.25">
      <c r="A2283" s="66"/>
    </row>
    <row r="2284" spans="1:1" x14ac:dyDescent="0.25">
      <c r="A2284" s="66"/>
    </row>
    <row r="2285" spans="1:1" x14ac:dyDescent="0.25">
      <c r="A2285" s="66"/>
    </row>
    <row r="2286" spans="1:1" x14ac:dyDescent="0.25">
      <c r="A2286" s="66"/>
    </row>
    <row r="2287" spans="1:1" x14ac:dyDescent="0.25">
      <c r="A2287" s="66"/>
    </row>
    <row r="2288" spans="1:1" x14ac:dyDescent="0.25">
      <c r="A2288" s="66"/>
    </row>
    <row r="2289" spans="1:1" x14ac:dyDescent="0.25">
      <c r="A2289" s="66"/>
    </row>
    <row r="2290" spans="1:1" x14ac:dyDescent="0.25">
      <c r="A2290" s="66"/>
    </row>
    <row r="2291" spans="1:1" x14ac:dyDescent="0.25">
      <c r="A2291" s="66"/>
    </row>
    <row r="2292" spans="1:1" x14ac:dyDescent="0.25">
      <c r="A2292" s="66"/>
    </row>
    <row r="2293" spans="1:1" x14ac:dyDescent="0.25">
      <c r="A2293" s="66"/>
    </row>
    <row r="2294" spans="1:1" x14ac:dyDescent="0.25">
      <c r="A2294" s="66"/>
    </row>
    <row r="2295" spans="1:1" x14ac:dyDescent="0.25">
      <c r="A2295" s="66"/>
    </row>
    <row r="2296" spans="1:1" x14ac:dyDescent="0.25">
      <c r="A2296" s="66"/>
    </row>
    <row r="2297" spans="1:1" x14ac:dyDescent="0.25">
      <c r="A2297" s="66"/>
    </row>
    <row r="2298" spans="1:1" x14ac:dyDescent="0.25">
      <c r="A2298" s="66"/>
    </row>
    <row r="2299" spans="1:1" x14ac:dyDescent="0.25">
      <c r="A2299" s="66"/>
    </row>
    <row r="2300" spans="1:1" x14ac:dyDescent="0.25">
      <c r="A2300" s="66"/>
    </row>
    <row r="2301" spans="1:1" x14ac:dyDescent="0.25">
      <c r="A2301" s="66"/>
    </row>
    <row r="2302" spans="1:1" x14ac:dyDescent="0.25">
      <c r="A2302" s="66"/>
    </row>
    <row r="2303" spans="1:1" x14ac:dyDescent="0.25">
      <c r="A2303" s="66"/>
    </row>
    <row r="2304" spans="1:1" x14ac:dyDescent="0.25">
      <c r="A2304" s="66"/>
    </row>
    <row r="2305" spans="1:1" x14ac:dyDescent="0.25">
      <c r="A2305" s="66"/>
    </row>
    <row r="2306" spans="1:1" x14ac:dyDescent="0.25">
      <c r="A2306" s="66"/>
    </row>
    <row r="2307" spans="1:1" x14ac:dyDescent="0.25">
      <c r="A2307" s="66"/>
    </row>
    <row r="2308" spans="1:1" x14ac:dyDescent="0.25">
      <c r="A2308" s="66"/>
    </row>
    <row r="2309" spans="1:1" x14ac:dyDescent="0.25">
      <c r="A2309" s="66"/>
    </row>
    <row r="2310" spans="1:1" x14ac:dyDescent="0.25">
      <c r="A2310" s="66"/>
    </row>
    <row r="2311" spans="1:1" x14ac:dyDescent="0.25">
      <c r="A2311" s="66"/>
    </row>
    <row r="2312" spans="1:1" x14ac:dyDescent="0.25">
      <c r="A2312" s="66"/>
    </row>
    <row r="2313" spans="1:1" x14ac:dyDescent="0.25">
      <c r="A2313" s="66"/>
    </row>
    <row r="2314" spans="1:1" x14ac:dyDescent="0.25">
      <c r="A2314" s="66"/>
    </row>
    <row r="2315" spans="1:1" x14ac:dyDescent="0.25">
      <c r="A2315" s="66"/>
    </row>
    <row r="2316" spans="1:1" x14ac:dyDescent="0.25">
      <c r="A2316" s="66"/>
    </row>
    <row r="2317" spans="1:1" x14ac:dyDescent="0.25">
      <c r="A2317" s="66"/>
    </row>
    <row r="2318" spans="1:1" x14ac:dyDescent="0.25">
      <c r="A2318" s="66"/>
    </row>
    <row r="2319" spans="1:1" x14ac:dyDescent="0.25">
      <c r="A2319" s="66"/>
    </row>
    <row r="2320" spans="1:1" x14ac:dyDescent="0.25">
      <c r="A2320" s="66"/>
    </row>
    <row r="2321" spans="1:1" x14ac:dyDescent="0.25">
      <c r="A2321" s="66"/>
    </row>
    <row r="2322" spans="1:1" x14ac:dyDescent="0.25">
      <c r="A2322" s="66"/>
    </row>
    <row r="2323" spans="1:1" x14ac:dyDescent="0.25">
      <c r="A2323" s="66"/>
    </row>
    <row r="2324" spans="1:1" x14ac:dyDescent="0.25">
      <c r="A2324" s="66"/>
    </row>
    <row r="2325" spans="1:1" x14ac:dyDescent="0.25">
      <c r="A2325" s="66"/>
    </row>
    <row r="2326" spans="1:1" x14ac:dyDescent="0.25">
      <c r="A2326" s="66"/>
    </row>
    <row r="2327" spans="1:1" x14ac:dyDescent="0.25">
      <c r="A2327" s="66"/>
    </row>
    <row r="2328" spans="1:1" x14ac:dyDescent="0.25">
      <c r="A2328" s="66"/>
    </row>
    <row r="2329" spans="1:1" x14ac:dyDescent="0.25">
      <c r="A2329" s="66"/>
    </row>
    <row r="2330" spans="1:1" x14ac:dyDescent="0.25">
      <c r="A2330" s="66"/>
    </row>
    <row r="2331" spans="1:1" x14ac:dyDescent="0.25">
      <c r="A2331" s="66"/>
    </row>
    <row r="2332" spans="1:1" x14ac:dyDescent="0.25">
      <c r="A2332" s="66"/>
    </row>
    <row r="2333" spans="1:1" x14ac:dyDescent="0.25">
      <c r="A2333" s="66"/>
    </row>
    <row r="2334" spans="1:1" x14ac:dyDescent="0.25">
      <c r="A2334" s="66"/>
    </row>
    <row r="2335" spans="1:1" x14ac:dyDescent="0.25">
      <c r="A2335" s="66"/>
    </row>
    <row r="2336" spans="1:1" x14ac:dyDescent="0.25">
      <c r="A2336" s="66"/>
    </row>
    <row r="2337" spans="1:1" x14ac:dyDescent="0.25">
      <c r="A2337" s="66"/>
    </row>
    <row r="2338" spans="1:1" x14ac:dyDescent="0.25">
      <c r="A2338" s="66"/>
    </row>
    <row r="2339" spans="1:1" x14ac:dyDescent="0.25">
      <c r="A2339" s="66"/>
    </row>
    <row r="2340" spans="1:1" x14ac:dyDescent="0.25">
      <c r="A2340" s="66"/>
    </row>
    <row r="2341" spans="1:1" x14ac:dyDescent="0.25">
      <c r="A2341" s="66"/>
    </row>
    <row r="2342" spans="1:1" x14ac:dyDescent="0.25">
      <c r="A2342" s="66"/>
    </row>
    <row r="2343" spans="1:1" x14ac:dyDescent="0.25">
      <c r="A2343" s="66"/>
    </row>
    <row r="2344" spans="1:1" x14ac:dyDescent="0.25">
      <c r="A2344" s="66"/>
    </row>
    <row r="2345" spans="1:1" x14ac:dyDescent="0.25">
      <c r="A2345" s="66"/>
    </row>
    <row r="2346" spans="1:1" x14ac:dyDescent="0.25">
      <c r="A2346" s="66"/>
    </row>
    <row r="2347" spans="1:1" x14ac:dyDescent="0.25">
      <c r="A2347" s="66"/>
    </row>
    <row r="2348" spans="1:1" x14ac:dyDescent="0.25">
      <c r="A2348" s="66"/>
    </row>
    <row r="2349" spans="1:1" x14ac:dyDescent="0.25">
      <c r="A2349" s="66"/>
    </row>
    <row r="2350" spans="1:1" x14ac:dyDescent="0.25">
      <c r="A2350" s="66"/>
    </row>
    <row r="2351" spans="1:1" x14ac:dyDescent="0.25">
      <c r="A2351" s="66"/>
    </row>
    <row r="2352" spans="1:1" x14ac:dyDescent="0.25">
      <c r="A2352" s="66"/>
    </row>
    <row r="2353" spans="1:1" x14ac:dyDescent="0.25">
      <c r="A2353" s="66"/>
    </row>
    <row r="2354" spans="1:1" x14ac:dyDescent="0.25">
      <c r="A2354" s="66"/>
    </row>
    <row r="2355" spans="1:1" x14ac:dyDescent="0.25">
      <c r="A2355" s="66"/>
    </row>
    <row r="2356" spans="1:1" x14ac:dyDescent="0.25">
      <c r="A2356" s="66"/>
    </row>
    <row r="2357" spans="1:1" x14ac:dyDescent="0.25">
      <c r="A2357" s="66"/>
    </row>
    <row r="2358" spans="1:1" x14ac:dyDescent="0.25">
      <c r="A2358" s="66"/>
    </row>
    <row r="2359" spans="1:1" x14ac:dyDescent="0.25">
      <c r="A2359" s="66"/>
    </row>
    <row r="2360" spans="1:1" x14ac:dyDescent="0.25">
      <c r="A2360" s="66"/>
    </row>
    <row r="2361" spans="1:1" x14ac:dyDescent="0.25">
      <c r="A2361" s="66"/>
    </row>
    <row r="2362" spans="1:1" x14ac:dyDescent="0.25">
      <c r="A2362" s="66"/>
    </row>
    <row r="2363" spans="1:1" x14ac:dyDescent="0.25">
      <c r="A2363" s="66"/>
    </row>
    <row r="2364" spans="1:1" x14ac:dyDescent="0.25">
      <c r="A2364" s="66"/>
    </row>
    <row r="2365" spans="1:1" x14ac:dyDescent="0.25">
      <c r="A2365" s="66"/>
    </row>
    <row r="2366" spans="1:1" x14ac:dyDescent="0.25">
      <c r="A2366" s="66"/>
    </row>
    <row r="2367" spans="1:1" x14ac:dyDescent="0.25">
      <c r="A2367" s="66"/>
    </row>
    <row r="2368" spans="1:1" x14ac:dyDescent="0.25">
      <c r="A2368" s="66"/>
    </row>
    <row r="2369" spans="1:1" x14ac:dyDescent="0.25">
      <c r="A2369" s="66"/>
    </row>
    <row r="2370" spans="1:1" x14ac:dyDescent="0.25">
      <c r="A2370" s="66"/>
    </row>
    <row r="2371" spans="1:1" x14ac:dyDescent="0.25">
      <c r="A2371" s="66"/>
    </row>
    <row r="2372" spans="1:1" x14ac:dyDescent="0.25">
      <c r="A2372" s="66"/>
    </row>
    <row r="2373" spans="1:1" x14ac:dyDescent="0.25">
      <c r="A2373" s="66"/>
    </row>
    <row r="2374" spans="1:1" x14ac:dyDescent="0.25">
      <c r="A2374" s="66"/>
    </row>
    <row r="2375" spans="1:1" x14ac:dyDescent="0.25">
      <c r="A2375" s="66"/>
    </row>
    <row r="2376" spans="1:1" x14ac:dyDescent="0.25">
      <c r="A2376" s="66"/>
    </row>
    <row r="2377" spans="1:1" x14ac:dyDescent="0.25">
      <c r="A2377" s="66"/>
    </row>
    <row r="2378" spans="1:1" x14ac:dyDescent="0.25">
      <c r="A2378" s="66"/>
    </row>
    <row r="2379" spans="1:1" x14ac:dyDescent="0.25">
      <c r="A2379" s="66"/>
    </row>
    <row r="2380" spans="1:1" x14ac:dyDescent="0.25">
      <c r="A2380" s="66"/>
    </row>
    <row r="2381" spans="1:1" x14ac:dyDescent="0.25">
      <c r="A2381" s="66"/>
    </row>
    <row r="2382" spans="1:1" x14ac:dyDescent="0.25">
      <c r="A2382" s="66"/>
    </row>
    <row r="2383" spans="1:1" x14ac:dyDescent="0.25">
      <c r="A2383" s="66"/>
    </row>
    <row r="2384" spans="1:1" x14ac:dyDescent="0.25">
      <c r="A2384" s="66"/>
    </row>
    <row r="2385" spans="1:1" x14ac:dyDescent="0.25">
      <c r="A2385" s="66"/>
    </row>
    <row r="2386" spans="1:1" x14ac:dyDescent="0.25">
      <c r="A2386" s="66"/>
    </row>
    <row r="2387" spans="1:1" x14ac:dyDescent="0.25">
      <c r="A2387" s="66"/>
    </row>
    <row r="2388" spans="1:1" x14ac:dyDescent="0.25">
      <c r="A2388" s="66"/>
    </row>
    <row r="2389" spans="1:1" x14ac:dyDescent="0.25">
      <c r="A2389" s="66"/>
    </row>
    <row r="2390" spans="1:1" x14ac:dyDescent="0.25">
      <c r="A2390" s="66"/>
    </row>
    <row r="2391" spans="1:1" x14ac:dyDescent="0.25">
      <c r="A2391" s="66"/>
    </row>
    <row r="2392" spans="1:1" x14ac:dyDescent="0.25">
      <c r="A2392" s="66"/>
    </row>
    <row r="2393" spans="1:1" x14ac:dyDescent="0.25">
      <c r="A2393" s="66"/>
    </row>
    <row r="2394" spans="1:1" x14ac:dyDescent="0.25">
      <c r="A2394" s="66"/>
    </row>
    <row r="2395" spans="1:1" x14ac:dyDescent="0.25">
      <c r="A2395" s="66"/>
    </row>
    <row r="2396" spans="1:1" x14ac:dyDescent="0.25">
      <c r="A2396" s="66"/>
    </row>
    <row r="2397" spans="1:1" x14ac:dyDescent="0.25">
      <c r="A2397" s="66"/>
    </row>
    <row r="2398" spans="1:1" x14ac:dyDescent="0.25">
      <c r="A2398" s="66"/>
    </row>
    <row r="2399" spans="1:1" x14ac:dyDescent="0.25">
      <c r="A2399" s="66"/>
    </row>
    <row r="2400" spans="1:1" x14ac:dyDescent="0.25">
      <c r="A2400" s="66"/>
    </row>
    <row r="2401" spans="1:1" x14ac:dyDescent="0.25">
      <c r="A2401" s="66"/>
    </row>
    <row r="2402" spans="1:1" x14ac:dyDescent="0.25">
      <c r="A2402" s="66"/>
    </row>
    <row r="2403" spans="1:1" x14ac:dyDescent="0.25">
      <c r="A2403" s="66"/>
    </row>
    <row r="2404" spans="1:1" x14ac:dyDescent="0.25">
      <c r="A2404" s="66"/>
    </row>
    <row r="2405" spans="1:1" x14ac:dyDescent="0.25">
      <c r="A2405" s="66"/>
    </row>
    <row r="2406" spans="1:1" x14ac:dyDescent="0.25">
      <c r="A2406" s="66"/>
    </row>
    <row r="2407" spans="1:1" x14ac:dyDescent="0.25">
      <c r="A2407" s="66"/>
    </row>
    <row r="2408" spans="1:1" x14ac:dyDescent="0.25">
      <c r="A2408" s="66"/>
    </row>
    <row r="2409" spans="1:1" x14ac:dyDescent="0.25">
      <c r="A2409" s="66"/>
    </row>
    <row r="2410" spans="1:1" x14ac:dyDescent="0.25">
      <c r="A2410" s="66"/>
    </row>
    <row r="2411" spans="1:1" x14ac:dyDescent="0.25">
      <c r="A2411" s="66"/>
    </row>
    <row r="2412" spans="1:1" x14ac:dyDescent="0.25">
      <c r="A2412" s="66"/>
    </row>
    <row r="2413" spans="1:1" x14ac:dyDescent="0.25">
      <c r="A2413" s="66"/>
    </row>
    <row r="2414" spans="1:1" x14ac:dyDescent="0.25">
      <c r="A2414" s="66"/>
    </row>
    <row r="2415" spans="1:1" x14ac:dyDescent="0.25">
      <c r="A2415" s="66"/>
    </row>
    <row r="2416" spans="1:1" x14ac:dyDescent="0.25">
      <c r="A2416" s="66"/>
    </row>
    <row r="2417" spans="1:1" x14ac:dyDescent="0.25">
      <c r="A2417" s="66"/>
    </row>
    <row r="2418" spans="1:1" x14ac:dyDescent="0.25">
      <c r="A2418" s="66"/>
    </row>
    <row r="2419" spans="1:1" x14ac:dyDescent="0.25">
      <c r="A2419" s="66"/>
    </row>
    <row r="2420" spans="1:1" x14ac:dyDescent="0.25">
      <c r="A2420" s="66"/>
    </row>
    <row r="2421" spans="1:1" x14ac:dyDescent="0.25">
      <c r="A2421" s="66"/>
    </row>
    <row r="2422" spans="1:1" x14ac:dyDescent="0.25">
      <c r="A2422" s="66"/>
    </row>
    <row r="2423" spans="1:1" x14ac:dyDescent="0.25">
      <c r="A2423" s="66"/>
    </row>
    <row r="2424" spans="1:1" x14ac:dyDescent="0.25">
      <c r="A2424" s="66"/>
    </row>
    <row r="2425" spans="1:1" x14ac:dyDescent="0.25">
      <c r="A2425" s="66"/>
    </row>
    <row r="2426" spans="1:1" x14ac:dyDescent="0.25">
      <c r="A2426" s="66"/>
    </row>
    <row r="2427" spans="1:1" x14ac:dyDescent="0.25">
      <c r="A2427" s="66"/>
    </row>
    <row r="2428" spans="1:1" x14ac:dyDescent="0.25">
      <c r="A2428" s="66"/>
    </row>
    <row r="2429" spans="1:1" x14ac:dyDescent="0.25">
      <c r="A2429" s="66"/>
    </row>
    <row r="2430" spans="1:1" x14ac:dyDescent="0.25">
      <c r="A2430" s="66"/>
    </row>
    <row r="2431" spans="1:1" x14ac:dyDescent="0.25">
      <c r="A2431" s="66"/>
    </row>
    <row r="2432" spans="1:1" x14ac:dyDescent="0.25">
      <c r="A2432" s="66"/>
    </row>
    <row r="2433" spans="1:1" x14ac:dyDescent="0.25">
      <c r="A2433" s="66"/>
    </row>
    <row r="2434" spans="1:1" x14ac:dyDescent="0.25">
      <c r="A2434" s="66"/>
    </row>
    <row r="2435" spans="1:1" x14ac:dyDescent="0.25">
      <c r="A2435" s="66"/>
    </row>
    <row r="2436" spans="1:1" x14ac:dyDescent="0.25">
      <c r="A2436" s="66"/>
    </row>
    <row r="2437" spans="1:1" x14ac:dyDescent="0.25">
      <c r="A2437" s="66"/>
    </row>
    <row r="2438" spans="1:1" x14ac:dyDescent="0.25">
      <c r="A2438" s="66"/>
    </row>
    <row r="2439" spans="1:1" x14ac:dyDescent="0.25">
      <c r="A2439" s="66"/>
    </row>
    <row r="2440" spans="1:1" x14ac:dyDescent="0.25">
      <c r="A2440" s="66"/>
    </row>
    <row r="2441" spans="1:1" x14ac:dyDescent="0.25">
      <c r="A2441" s="66"/>
    </row>
    <row r="2442" spans="1:1" x14ac:dyDescent="0.25">
      <c r="A2442" s="66"/>
    </row>
    <row r="2443" spans="1:1" x14ac:dyDescent="0.25">
      <c r="A2443" s="66"/>
    </row>
    <row r="2444" spans="1:1" x14ac:dyDescent="0.25">
      <c r="A2444" s="66"/>
    </row>
    <row r="2445" spans="1:1" x14ac:dyDescent="0.25">
      <c r="A2445" s="66"/>
    </row>
    <row r="2446" spans="1:1" x14ac:dyDescent="0.25">
      <c r="A2446" s="66"/>
    </row>
    <row r="2447" spans="1:1" x14ac:dyDescent="0.25">
      <c r="A2447" s="66"/>
    </row>
    <row r="2448" spans="1:1" x14ac:dyDescent="0.25">
      <c r="A2448" s="66"/>
    </row>
    <row r="2449" spans="1:1" x14ac:dyDescent="0.25">
      <c r="A2449" s="66"/>
    </row>
    <row r="2450" spans="1:1" x14ac:dyDescent="0.25">
      <c r="A2450" s="66"/>
    </row>
    <row r="2451" spans="1:1" x14ac:dyDescent="0.25">
      <c r="A2451" s="66"/>
    </row>
    <row r="2452" spans="1:1" x14ac:dyDescent="0.25">
      <c r="A2452" s="66"/>
    </row>
    <row r="2453" spans="1:1" x14ac:dyDescent="0.25">
      <c r="A2453" s="66"/>
    </row>
    <row r="2454" spans="1:1" x14ac:dyDescent="0.25">
      <c r="A2454" s="66"/>
    </row>
    <row r="2455" spans="1:1" x14ac:dyDescent="0.25">
      <c r="A2455" s="66"/>
    </row>
    <row r="2456" spans="1:1" x14ac:dyDescent="0.25">
      <c r="A2456" s="66"/>
    </row>
    <row r="2457" spans="1:1" x14ac:dyDescent="0.25">
      <c r="A2457" s="66"/>
    </row>
    <row r="2458" spans="1:1" x14ac:dyDescent="0.25">
      <c r="A2458" s="66"/>
    </row>
    <row r="2459" spans="1:1" x14ac:dyDescent="0.25">
      <c r="A2459" s="66"/>
    </row>
    <row r="2460" spans="1:1" x14ac:dyDescent="0.25">
      <c r="A2460" s="66"/>
    </row>
    <row r="2461" spans="1:1" x14ac:dyDescent="0.25">
      <c r="A2461" s="66"/>
    </row>
    <row r="2462" spans="1:1" x14ac:dyDescent="0.25">
      <c r="A2462" s="66"/>
    </row>
    <row r="2463" spans="1:1" x14ac:dyDescent="0.25">
      <c r="A2463" s="66"/>
    </row>
    <row r="2464" spans="1:1" x14ac:dyDescent="0.25">
      <c r="A2464" s="66"/>
    </row>
    <row r="2465" spans="1:1" x14ac:dyDescent="0.25">
      <c r="A2465" s="66"/>
    </row>
    <row r="2466" spans="1:1" x14ac:dyDescent="0.25">
      <c r="A2466" s="66"/>
    </row>
    <row r="2467" spans="1:1" x14ac:dyDescent="0.25">
      <c r="A2467" s="66"/>
    </row>
    <row r="2468" spans="1:1" x14ac:dyDescent="0.25">
      <c r="A2468" s="66"/>
    </row>
    <row r="2469" spans="1:1" x14ac:dyDescent="0.25">
      <c r="A2469" s="66"/>
    </row>
    <row r="2470" spans="1:1" x14ac:dyDescent="0.25">
      <c r="A2470" s="66"/>
    </row>
    <row r="2471" spans="1:1" x14ac:dyDescent="0.25">
      <c r="A2471" s="66"/>
    </row>
    <row r="2472" spans="1:1" x14ac:dyDescent="0.25">
      <c r="A2472" s="66"/>
    </row>
    <row r="2473" spans="1:1" x14ac:dyDescent="0.25">
      <c r="A2473" s="66"/>
    </row>
    <row r="2474" spans="1:1" x14ac:dyDescent="0.25">
      <c r="A2474" s="66"/>
    </row>
    <row r="2475" spans="1:1" x14ac:dyDescent="0.25">
      <c r="A2475" s="66"/>
    </row>
    <row r="2476" spans="1:1" x14ac:dyDescent="0.25">
      <c r="A2476" s="66"/>
    </row>
    <row r="2477" spans="1:1" x14ac:dyDescent="0.25">
      <c r="A2477" s="66"/>
    </row>
    <row r="2478" spans="1:1" x14ac:dyDescent="0.25">
      <c r="A2478" s="66"/>
    </row>
    <row r="2479" spans="1:1" x14ac:dyDescent="0.25">
      <c r="A2479" s="66"/>
    </row>
    <row r="2480" spans="1:1" x14ac:dyDescent="0.25">
      <c r="A2480" s="66"/>
    </row>
    <row r="2481" spans="1:1" x14ac:dyDescent="0.25">
      <c r="A2481" s="66"/>
    </row>
    <row r="2482" spans="1:1" x14ac:dyDescent="0.25">
      <c r="A2482" s="66"/>
    </row>
    <row r="2483" spans="1:1" x14ac:dyDescent="0.25">
      <c r="A2483" s="66"/>
    </row>
    <row r="2484" spans="1:1" x14ac:dyDescent="0.25">
      <c r="A2484" s="66"/>
    </row>
    <row r="2485" spans="1:1" x14ac:dyDescent="0.25">
      <c r="A2485" s="66"/>
    </row>
    <row r="2486" spans="1:1" x14ac:dyDescent="0.25">
      <c r="A2486" s="66"/>
    </row>
    <row r="2487" spans="1:1" x14ac:dyDescent="0.25">
      <c r="A2487" s="66"/>
    </row>
    <row r="2488" spans="1:1" x14ac:dyDescent="0.25">
      <c r="A2488" s="66"/>
    </row>
    <row r="2489" spans="1:1" x14ac:dyDescent="0.25">
      <c r="A2489" s="66"/>
    </row>
    <row r="2490" spans="1:1" x14ac:dyDescent="0.25">
      <c r="A2490" s="66"/>
    </row>
    <row r="2491" spans="1:1" x14ac:dyDescent="0.25">
      <c r="A2491" s="66"/>
    </row>
    <row r="2492" spans="1:1" x14ac:dyDescent="0.25">
      <c r="A2492" s="66"/>
    </row>
    <row r="2493" spans="1:1" x14ac:dyDescent="0.25">
      <c r="A2493" s="66"/>
    </row>
    <row r="2494" spans="1:1" x14ac:dyDescent="0.25">
      <c r="A2494" s="66"/>
    </row>
    <row r="2495" spans="1:1" x14ac:dyDescent="0.25">
      <c r="A2495" s="66"/>
    </row>
    <row r="2496" spans="1:1" x14ac:dyDescent="0.25">
      <c r="A2496" s="66"/>
    </row>
    <row r="2497" spans="1:1" x14ac:dyDescent="0.25">
      <c r="A2497" s="66"/>
    </row>
    <row r="2498" spans="1:1" x14ac:dyDescent="0.25">
      <c r="A2498" s="66"/>
    </row>
    <row r="2499" spans="1:1" x14ac:dyDescent="0.25">
      <c r="A2499" s="66"/>
    </row>
    <row r="2500" spans="1:1" x14ac:dyDescent="0.25">
      <c r="A2500" s="66"/>
    </row>
    <row r="2501" spans="1:1" x14ac:dyDescent="0.25">
      <c r="A2501" s="66"/>
    </row>
    <row r="2502" spans="1:1" x14ac:dyDescent="0.25">
      <c r="A2502" s="66"/>
    </row>
    <row r="2503" spans="1:1" x14ac:dyDescent="0.25">
      <c r="A2503" s="66"/>
    </row>
    <row r="2504" spans="1:1" x14ac:dyDescent="0.25">
      <c r="A2504" s="66"/>
    </row>
    <row r="2505" spans="1:1" x14ac:dyDescent="0.25">
      <c r="A2505" s="66"/>
    </row>
    <row r="2506" spans="1:1" x14ac:dyDescent="0.25">
      <c r="A2506" s="66"/>
    </row>
    <row r="2507" spans="1:1" x14ac:dyDescent="0.25">
      <c r="A2507" s="66"/>
    </row>
    <row r="2508" spans="1:1" x14ac:dyDescent="0.25">
      <c r="A2508" s="66"/>
    </row>
    <row r="2509" spans="1:1" x14ac:dyDescent="0.25">
      <c r="A2509" s="66"/>
    </row>
    <row r="2510" spans="1:1" x14ac:dyDescent="0.25">
      <c r="A2510" s="66"/>
    </row>
    <row r="2511" spans="1:1" x14ac:dyDescent="0.25">
      <c r="A2511" s="66"/>
    </row>
    <row r="2512" spans="1:1" x14ac:dyDescent="0.25">
      <c r="A2512" s="66"/>
    </row>
    <row r="2513" spans="1:1" x14ac:dyDescent="0.25">
      <c r="A2513" s="66"/>
    </row>
    <row r="2514" spans="1:1" x14ac:dyDescent="0.25">
      <c r="A2514" s="66"/>
    </row>
    <row r="2515" spans="1:1" x14ac:dyDescent="0.25">
      <c r="A2515" s="66"/>
    </row>
    <row r="2516" spans="1:1" x14ac:dyDescent="0.25">
      <c r="A2516" s="66"/>
    </row>
    <row r="2517" spans="1:1" x14ac:dyDescent="0.25">
      <c r="A2517" s="66"/>
    </row>
    <row r="2518" spans="1:1" x14ac:dyDescent="0.25">
      <c r="A2518" s="66"/>
    </row>
    <row r="2519" spans="1:1" x14ac:dyDescent="0.25">
      <c r="A2519" s="66"/>
    </row>
    <row r="2520" spans="1:1" x14ac:dyDescent="0.25">
      <c r="A2520" s="66"/>
    </row>
    <row r="2521" spans="1:1" x14ac:dyDescent="0.25">
      <c r="A2521" s="66"/>
    </row>
    <row r="2522" spans="1:1" x14ac:dyDescent="0.25">
      <c r="A2522" s="66"/>
    </row>
    <row r="2523" spans="1:1" x14ac:dyDescent="0.25">
      <c r="A2523" s="66"/>
    </row>
    <row r="2524" spans="1:1" x14ac:dyDescent="0.25">
      <c r="A2524" s="66"/>
    </row>
    <row r="2525" spans="1:1" x14ac:dyDescent="0.25">
      <c r="A2525" s="66"/>
    </row>
    <row r="2526" spans="1:1" x14ac:dyDescent="0.25">
      <c r="A2526" s="66"/>
    </row>
    <row r="2527" spans="1:1" x14ac:dyDescent="0.25">
      <c r="A2527" s="66"/>
    </row>
    <row r="2528" spans="1:1" x14ac:dyDescent="0.25">
      <c r="A2528" s="66"/>
    </row>
    <row r="2529" spans="1:1" x14ac:dyDescent="0.25">
      <c r="A2529" s="66"/>
    </row>
    <row r="2530" spans="1:1" x14ac:dyDescent="0.25">
      <c r="A2530" s="66"/>
    </row>
    <row r="2531" spans="1:1" x14ac:dyDescent="0.25">
      <c r="A2531" s="66"/>
    </row>
    <row r="2532" spans="1:1" x14ac:dyDescent="0.25">
      <c r="A2532" s="66"/>
    </row>
    <row r="2533" spans="1:1" x14ac:dyDescent="0.25">
      <c r="A2533" s="66"/>
    </row>
    <row r="2534" spans="1:1" x14ac:dyDescent="0.25">
      <c r="A2534" s="66"/>
    </row>
    <row r="2535" spans="1:1" x14ac:dyDescent="0.25">
      <c r="A2535" s="66"/>
    </row>
    <row r="2536" spans="1:1" x14ac:dyDescent="0.25">
      <c r="A2536" s="66"/>
    </row>
    <row r="2537" spans="1:1" x14ac:dyDescent="0.25">
      <c r="A2537" s="66"/>
    </row>
    <row r="2538" spans="1:1" x14ac:dyDescent="0.25">
      <c r="A2538" s="66"/>
    </row>
    <row r="2539" spans="1:1" x14ac:dyDescent="0.25">
      <c r="A2539" s="66"/>
    </row>
    <row r="2540" spans="1:1" x14ac:dyDescent="0.25">
      <c r="A2540" s="66"/>
    </row>
    <row r="2541" spans="1:1" x14ac:dyDescent="0.25">
      <c r="A2541" s="66"/>
    </row>
    <row r="2542" spans="1:1" x14ac:dyDescent="0.25">
      <c r="A2542" s="66"/>
    </row>
    <row r="2543" spans="1:1" x14ac:dyDescent="0.25">
      <c r="A2543" s="66"/>
    </row>
    <row r="2544" spans="1:1" x14ac:dyDescent="0.25">
      <c r="A2544" s="66"/>
    </row>
    <row r="2545" spans="1:1" x14ac:dyDescent="0.25">
      <c r="A2545" s="66"/>
    </row>
    <row r="2546" spans="1:1" x14ac:dyDescent="0.25">
      <c r="A2546" s="66"/>
    </row>
    <row r="2547" spans="1:1" x14ac:dyDescent="0.25">
      <c r="A2547" s="66"/>
    </row>
    <row r="2548" spans="1:1" x14ac:dyDescent="0.25">
      <c r="A2548" s="66"/>
    </row>
    <row r="2549" spans="1:1" x14ac:dyDescent="0.25">
      <c r="A2549" s="66"/>
    </row>
    <row r="2550" spans="1:1" x14ac:dyDescent="0.25">
      <c r="A2550" s="66"/>
    </row>
    <row r="2551" spans="1:1" x14ac:dyDescent="0.25">
      <c r="A2551" s="66"/>
    </row>
    <row r="2552" spans="1:1" x14ac:dyDescent="0.25">
      <c r="A2552" s="66"/>
    </row>
    <row r="2553" spans="1:1" x14ac:dyDescent="0.25">
      <c r="A2553" s="66"/>
    </row>
    <row r="2554" spans="1:1" x14ac:dyDescent="0.25">
      <c r="A2554" s="66"/>
    </row>
    <row r="2555" spans="1:1" x14ac:dyDescent="0.25">
      <c r="A2555" s="66"/>
    </row>
    <row r="2556" spans="1:1" x14ac:dyDescent="0.25">
      <c r="A2556" s="66"/>
    </row>
    <row r="2557" spans="1:1" x14ac:dyDescent="0.25">
      <c r="A2557" s="66"/>
    </row>
    <row r="2558" spans="1:1" x14ac:dyDescent="0.25">
      <c r="A2558" s="66"/>
    </row>
    <row r="2559" spans="1:1" x14ac:dyDescent="0.25">
      <c r="A2559" s="66"/>
    </row>
    <row r="2560" spans="1:1" x14ac:dyDescent="0.25">
      <c r="A2560" s="66"/>
    </row>
    <row r="2561" spans="1:1" x14ac:dyDescent="0.25">
      <c r="A2561" s="66"/>
    </row>
    <row r="2562" spans="1:1" x14ac:dyDescent="0.25">
      <c r="A2562" s="66"/>
    </row>
    <row r="2563" spans="1:1" x14ac:dyDescent="0.25">
      <c r="A2563" s="66"/>
    </row>
    <row r="2564" spans="1:1" x14ac:dyDescent="0.25">
      <c r="A2564" s="66"/>
    </row>
    <row r="2565" spans="1:1" x14ac:dyDescent="0.25">
      <c r="A2565" s="66"/>
    </row>
    <row r="2566" spans="1:1" x14ac:dyDescent="0.25">
      <c r="A2566" s="66"/>
    </row>
    <row r="2567" spans="1:1" x14ac:dyDescent="0.25">
      <c r="A2567" s="66"/>
    </row>
    <row r="2568" spans="1:1" x14ac:dyDescent="0.25">
      <c r="A2568" s="66"/>
    </row>
    <row r="2569" spans="1:1" x14ac:dyDescent="0.25">
      <c r="A2569" s="66"/>
    </row>
    <row r="2570" spans="1:1" x14ac:dyDescent="0.25">
      <c r="A2570" s="66"/>
    </row>
    <row r="2571" spans="1:1" x14ac:dyDescent="0.25">
      <c r="A2571" s="66"/>
    </row>
    <row r="2572" spans="1:1" x14ac:dyDescent="0.25">
      <c r="A2572" s="66"/>
    </row>
    <row r="2573" spans="1:1" x14ac:dyDescent="0.25">
      <c r="A2573" s="66"/>
    </row>
    <row r="2574" spans="1:1" x14ac:dyDescent="0.25">
      <c r="A2574" s="66"/>
    </row>
    <row r="2575" spans="1:1" x14ac:dyDescent="0.25">
      <c r="A2575" s="66"/>
    </row>
    <row r="2576" spans="1:1" x14ac:dyDescent="0.25">
      <c r="A2576" s="66"/>
    </row>
    <row r="2577" spans="1:1" x14ac:dyDescent="0.25">
      <c r="A2577" s="66"/>
    </row>
    <row r="2578" spans="1:1" x14ac:dyDescent="0.25">
      <c r="A2578" s="66"/>
    </row>
    <row r="2579" spans="1:1" x14ac:dyDescent="0.25">
      <c r="A2579" s="66"/>
    </row>
    <row r="2580" spans="1:1" x14ac:dyDescent="0.25">
      <c r="A2580" s="66"/>
    </row>
    <row r="2581" spans="1:1" x14ac:dyDescent="0.25">
      <c r="A2581" s="66"/>
    </row>
    <row r="2582" spans="1:1" x14ac:dyDescent="0.25">
      <c r="A2582" s="66"/>
    </row>
    <row r="2583" spans="1:1" x14ac:dyDescent="0.25">
      <c r="A2583" s="66"/>
    </row>
    <row r="2584" spans="1:1" x14ac:dyDescent="0.25">
      <c r="A2584" s="66"/>
    </row>
    <row r="2585" spans="1:1" x14ac:dyDescent="0.25">
      <c r="A2585" s="66"/>
    </row>
    <row r="2586" spans="1:1" x14ac:dyDescent="0.25">
      <c r="A2586" s="66"/>
    </row>
    <row r="2587" spans="1:1" x14ac:dyDescent="0.25">
      <c r="A2587" s="66"/>
    </row>
    <row r="2588" spans="1:1" x14ac:dyDescent="0.25">
      <c r="A2588" s="66"/>
    </row>
    <row r="2589" spans="1:1" x14ac:dyDescent="0.25">
      <c r="A2589" s="66"/>
    </row>
    <row r="2590" spans="1:1" x14ac:dyDescent="0.25">
      <c r="A2590" s="66"/>
    </row>
    <row r="2591" spans="1:1" x14ac:dyDescent="0.25">
      <c r="A2591" s="66"/>
    </row>
    <row r="2592" spans="1:1" x14ac:dyDescent="0.25">
      <c r="A2592" s="66"/>
    </row>
    <row r="2593" spans="1:1" x14ac:dyDescent="0.25">
      <c r="A2593" s="66"/>
    </row>
    <row r="2594" spans="1:1" x14ac:dyDescent="0.25">
      <c r="A2594" s="66"/>
    </row>
    <row r="2595" spans="1:1" x14ac:dyDescent="0.25">
      <c r="A2595" s="66"/>
    </row>
    <row r="2596" spans="1:1" x14ac:dyDescent="0.25">
      <c r="A2596" s="66"/>
    </row>
    <row r="2597" spans="1:1" x14ac:dyDescent="0.25">
      <c r="A2597" s="66"/>
    </row>
    <row r="2598" spans="1:1" x14ac:dyDescent="0.25">
      <c r="A2598" s="66"/>
    </row>
    <row r="2599" spans="1:1" x14ac:dyDescent="0.25">
      <c r="A2599" s="66"/>
    </row>
    <row r="2600" spans="1:1" x14ac:dyDescent="0.25">
      <c r="A2600" s="66"/>
    </row>
    <row r="2601" spans="1:1" x14ac:dyDescent="0.25">
      <c r="A2601" s="66"/>
    </row>
    <row r="2602" spans="1:1" x14ac:dyDescent="0.25">
      <c r="A2602" s="66"/>
    </row>
    <row r="2603" spans="1:1" x14ac:dyDescent="0.25">
      <c r="A2603" s="66"/>
    </row>
    <row r="2604" spans="1:1" x14ac:dyDescent="0.25">
      <c r="A2604" s="66"/>
    </row>
    <row r="2605" spans="1:1" x14ac:dyDescent="0.25">
      <c r="A2605" s="66"/>
    </row>
    <row r="2606" spans="1:1" x14ac:dyDescent="0.25">
      <c r="A2606" s="66"/>
    </row>
    <row r="2607" spans="1:1" x14ac:dyDescent="0.25">
      <c r="A2607" s="66"/>
    </row>
    <row r="2608" spans="1:1" x14ac:dyDescent="0.25">
      <c r="A2608" s="66"/>
    </row>
    <row r="2609" spans="1:1" x14ac:dyDescent="0.25">
      <c r="A2609" s="66"/>
    </row>
    <row r="2610" spans="1:1" x14ac:dyDescent="0.25">
      <c r="A2610" s="66"/>
    </row>
    <row r="2611" spans="1:1" x14ac:dyDescent="0.25">
      <c r="A2611" s="66"/>
    </row>
    <row r="2612" spans="1:1" x14ac:dyDescent="0.25">
      <c r="A2612" s="66"/>
    </row>
    <row r="2613" spans="1:1" x14ac:dyDescent="0.25">
      <c r="A2613" s="66"/>
    </row>
    <row r="2614" spans="1:1" x14ac:dyDescent="0.25">
      <c r="A2614" s="66"/>
    </row>
    <row r="2615" spans="1:1" x14ac:dyDescent="0.25">
      <c r="A2615" s="66"/>
    </row>
    <row r="2616" spans="1:1" x14ac:dyDescent="0.25">
      <c r="A2616" s="66"/>
    </row>
    <row r="2617" spans="1:1" x14ac:dyDescent="0.25">
      <c r="A2617" s="66"/>
    </row>
    <row r="2618" spans="1:1" x14ac:dyDescent="0.25">
      <c r="A2618" s="66"/>
    </row>
    <row r="2619" spans="1:1" x14ac:dyDescent="0.25">
      <c r="A2619" s="66"/>
    </row>
    <row r="2620" spans="1:1" x14ac:dyDescent="0.25">
      <c r="A2620" s="66"/>
    </row>
    <row r="2621" spans="1:1" x14ac:dyDescent="0.25">
      <c r="A2621" s="66"/>
    </row>
    <row r="2622" spans="1:1" x14ac:dyDescent="0.25">
      <c r="A2622" s="66"/>
    </row>
    <row r="2623" spans="1:1" x14ac:dyDescent="0.25">
      <c r="A2623" s="66"/>
    </row>
    <row r="2624" spans="1:1" x14ac:dyDescent="0.25">
      <c r="A2624" s="66"/>
    </row>
    <row r="2625" spans="1:1" x14ac:dyDescent="0.25">
      <c r="A2625" s="66"/>
    </row>
    <row r="2626" spans="1:1" x14ac:dyDescent="0.25">
      <c r="A2626" s="66"/>
    </row>
    <row r="2627" spans="1:1" x14ac:dyDescent="0.25">
      <c r="A2627" s="66"/>
    </row>
    <row r="2628" spans="1:1" x14ac:dyDescent="0.25">
      <c r="A2628" s="66"/>
    </row>
    <row r="2629" spans="1:1" x14ac:dyDescent="0.25">
      <c r="A2629" s="66"/>
    </row>
    <row r="2630" spans="1:1" x14ac:dyDescent="0.25">
      <c r="A2630" s="66"/>
    </row>
    <row r="2631" spans="1:1" x14ac:dyDescent="0.25">
      <c r="A2631" s="66"/>
    </row>
    <row r="2632" spans="1:1" x14ac:dyDescent="0.25">
      <c r="A2632" s="66"/>
    </row>
    <row r="2633" spans="1:1" x14ac:dyDescent="0.25">
      <c r="A2633" s="66"/>
    </row>
    <row r="2634" spans="1:1" x14ac:dyDescent="0.25">
      <c r="A2634" s="66"/>
    </row>
    <row r="2635" spans="1:1" x14ac:dyDescent="0.25">
      <c r="A2635" s="66"/>
    </row>
    <row r="2636" spans="1:1" x14ac:dyDescent="0.25">
      <c r="A2636" s="66"/>
    </row>
    <row r="2637" spans="1:1" x14ac:dyDescent="0.25">
      <c r="A2637" s="66"/>
    </row>
    <row r="2638" spans="1:1" x14ac:dyDescent="0.25">
      <c r="A2638" s="66"/>
    </row>
    <row r="2639" spans="1:1" x14ac:dyDescent="0.25">
      <c r="A2639" s="66"/>
    </row>
    <row r="2640" spans="1:1" x14ac:dyDescent="0.25">
      <c r="A2640" s="66"/>
    </row>
    <row r="2641" spans="1:1" x14ac:dyDescent="0.25">
      <c r="A2641" s="66"/>
    </row>
    <row r="2642" spans="1:1" x14ac:dyDescent="0.25">
      <c r="A2642" s="66"/>
    </row>
    <row r="2643" spans="1:1" x14ac:dyDescent="0.25">
      <c r="A2643" s="66"/>
    </row>
    <row r="2644" spans="1:1" x14ac:dyDescent="0.25">
      <c r="A2644" s="66"/>
    </row>
    <row r="2645" spans="1:1" x14ac:dyDescent="0.25">
      <c r="A2645" s="66"/>
    </row>
    <row r="2646" spans="1:1" x14ac:dyDescent="0.25">
      <c r="A2646" s="66"/>
    </row>
    <row r="2647" spans="1:1" x14ac:dyDescent="0.25">
      <c r="A2647" s="66"/>
    </row>
    <row r="2648" spans="1:1" x14ac:dyDescent="0.25">
      <c r="A2648" s="66"/>
    </row>
    <row r="2649" spans="1:1" x14ac:dyDescent="0.25">
      <c r="A2649" s="66"/>
    </row>
    <row r="2650" spans="1:1" x14ac:dyDescent="0.25">
      <c r="A2650" s="66"/>
    </row>
    <row r="2651" spans="1:1" x14ac:dyDescent="0.25">
      <c r="A2651" s="66"/>
    </row>
    <row r="2652" spans="1:1" x14ac:dyDescent="0.25">
      <c r="A2652" s="66"/>
    </row>
    <row r="2653" spans="1:1" x14ac:dyDescent="0.25">
      <c r="A2653" s="66"/>
    </row>
    <row r="2654" spans="1:1" x14ac:dyDescent="0.25">
      <c r="A2654" s="66"/>
    </row>
    <row r="2655" spans="1:1" x14ac:dyDescent="0.25">
      <c r="A2655" s="66"/>
    </row>
    <row r="2656" spans="1:1" x14ac:dyDescent="0.25">
      <c r="A2656" s="66"/>
    </row>
    <row r="2657" spans="1:1" x14ac:dyDescent="0.25">
      <c r="A2657" s="66"/>
    </row>
    <row r="2658" spans="1:1" x14ac:dyDescent="0.25">
      <c r="A2658" s="66"/>
    </row>
    <row r="2659" spans="1:1" x14ac:dyDescent="0.25">
      <c r="A2659" s="66"/>
    </row>
    <row r="2660" spans="1:1" x14ac:dyDescent="0.25">
      <c r="A2660" s="66"/>
    </row>
    <row r="2661" spans="1:1" x14ac:dyDescent="0.25">
      <c r="A2661" s="66"/>
    </row>
    <row r="2662" spans="1:1" x14ac:dyDescent="0.25">
      <c r="A2662" s="66"/>
    </row>
    <row r="2663" spans="1:1" x14ac:dyDescent="0.25">
      <c r="A2663" s="66"/>
    </row>
    <row r="2664" spans="1:1" x14ac:dyDescent="0.25">
      <c r="A2664" s="66"/>
    </row>
    <row r="2665" spans="1:1" x14ac:dyDescent="0.25">
      <c r="A2665" s="66"/>
    </row>
    <row r="2666" spans="1:1" x14ac:dyDescent="0.25">
      <c r="A2666" s="66"/>
    </row>
    <row r="2667" spans="1:1" x14ac:dyDescent="0.25">
      <c r="A2667" s="66"/>
    </row>
    <row r="2668" spans="1:1" x14ac:dyDescent="0.25">
      <c r="A2668" s="66"/>
    </row>
    <row r="2669" spans="1:1" x14ac:dyDescent="0.25">
      <c r="A2669" s="66"/>
    </row>
    <row r="2670" spans="1:1" x14ac:dyDescent="0.25">
      <c r="A2670" s="66"/>
    </row>
    <row r="2671" spans="1:1" x14ac:dyDescent="0.25">
      <c r="A2671" s="66"/>
    </row>
    <row r="2672" spans="1:1" x14ac:dyDescent="0.25">
      <c r="A2672" s="66"/>
    </row>
    <row r="2673" spans="1:1" x14ac:dyDescent="0.25">
      <c r="A2673" s="66"/>
    </row>
    <row r="2674" spans="1:1" x14ac:dyDescent="0.25">
      <c r="A2674" s="66"/>
    </row>
    <row r="2675" spans="1:1" x14ac:dyDescent="0.25">
      <c r="A2675" s="66"/>
    </row>
    <row r="2676" spans="1:1" x14ac:dyDescent="0.25">
      <c r="A2676" s="66"/>
    </row>
    <row r="2677" spans="1:1" x14ac:dyDescent="0.25">
      <c r="A2677" s="66"/>
    </row>
    <row r="2678" spans="1:1" x14ac:dyDescent="0.25">
      <c r="A2678" s="66"/>
    </row>
    <row r="2679" spans="1:1" x14ac:dyDescent="0.25">
      <c r="A2679" s="66"/>
    </row>
    <row r="2680" spans="1:1" x14ac:dyDescent="0.25">
      <c r="A2680" s="66"/>
    </row>
    <row r="2681" spans="1:1" x14ac:dyDescent="0.25">
      <c r="A2681" s="66"/>
    </row>
    <row r="2682" spans="1:1" x14ac:dyDescent="0.25">
      <c r="A2682" s="66"/>
    </row>
    <row r="2683" spans="1:1" x14ac:dyDescent="0.25">
      <c r="A2683" s="66"/>
    </row>
    <row r="2684" spans="1:1" x14ac:dyDescent="0.25">
      <c r="A2684" s="66"/>
    </row>
    <row r="2685" spans="1:1" x14ac:dyDescent="0.25">
      <c r="A2685" s="66"/>
    </row>
    <row r="2686" spans="1:1" x14ac:dyDescent="0.25">
      <c r="A2686" s="66"/>
    </row>
    <row r="2687" spans="1:1" x14ac:dyDescent="0.25">
      <c r="A2687" s="66"/>
    </row>
    <row r="2688" spans="1:1" x14ac:dyDescent="0.25">
      <c r="A2688" s="66"/>
    </row>
    <row r="2689" spans="1:1" x14ac:dyDescent="0.25">
      <c r="A2689" s="66"/>
    </row>
    <row r="2690" spans="1:1" x14ac:dyDescent="0.25">
      <c r="A2690" s="66"/>
    </row>
    <row r="2691" spans="1:1" x14ac:dyDescent="0.25">
      <c r="A2691" s="66"/>
    </row>
    <row r="2692" spans="1:1" x14ac:dyDescent="0.25">
      <c r="A2692" s="66"/>
    </row>
    <row r="2693" spans="1:1" x14ac:dyDescent="0.25">
      <c r="A2693" s="66"/>
    </row>
    <row r="2694" spans="1:1" x14ac:dyDescent="0.25">
      <c r="A2694" s="66"/>
    </row>
    <row r="2695" spans="1:1" x14ac:dyDescent="0.25">
      <c r="A2695" s="66"/>
    </row>
    <row r="2696" spans="1:1" x14ac:dyDescent="0.25">
      <c r="A2696" s="66"/>
    </row>
    <row r="2697" spans="1:1" x14ac:dyDescent="0.25">
      <c r="A2697" s="66"/>
    </row>
    <row r="2698" spans="1:1" x14ac:dyDescent="0.25">
      <c r="A2698" s="66"/>
    </row>
    <row r="2699" spans="1:1" x14ac:dyDescent="0.25">
      <c r="A2699" s="66"/>
    </row>
    <row r="2700" spans="1:1" x14ac:dyDescent="0.25">
      <c r="A2700" s="66"/>
    </row>
    <row r="2701" spans="1:1" x14ac:dyDescent="0.25">
      <c r="A2701" s="66"/>
    </row>
    <row r="2702" spans="1:1" x14ac:dyDescent="0.25">
      <c r="A2702" s="66"/>
    </row>
    <row r="2703" spans="1:1" x14ac:dyDescent="0.25">
      <c r="A2703" s="66"/>
    </row>
    <row r="2704" spans="1:1" x14ac:dyDescent="0.25">
      <c r="A2704" s="66"/>
    </row>
    <row r="2705" spans="1:1" x14ac:dyDescent="0.25">
      <c r="A2705" s="66"/>
    </row>
    <row r="2706" spans="1:1" x14ac:dyDescent="0.25">
      <c r="A2706" s="66"/>
    </row>
    <row r="2707" spans="1:1" x14ac:dyDescent="0.25">
      <c r="A2707" s="66"/>
    </row>
    <row r="2708" spans="1:1" x14ac:dyDescent="0.25">
      <c r="A2708" s="66"/>
    </row>
    <row r="2709" spans="1:1" x14ac:dyDescent="0.25">
      <c r="A2709" s="66"/>
    </row>
    <row r="2710" spans="1:1" x14ac:dyDescent="0.25">
      <c r="A2710" s="66"/>
    </row>
    <row r="2711" spans="1:1" x14ac:dyDescent="0.25">
      <c r="A2711" s="66"/>
    </row>
    <row r="2712" spans="1:1" x14ac:dyDescent="0.25">
      <c r="A2712" s="66"/>
    </row>
    <row r="2713" spans="1:1" x14ac:dyDescent="0.25">
      <c r="A2713" s="66"/>
    </row>
    <row r="2714" spans="1:1" x14ac:dyDescent="0.25">
      <c r="A2714" s="66"/>
    </row>
    <row r="2715" spans="1:1" x14ac:dyDescent="0.25">
      <c r="A2715" s="66"/>
    </row>
    <row r="2716" spans="1:1" x14ac:dyDescent="0.25">
      <c r="A2716" s="66"/>
    </row>
    <row r="2717" spans="1:1" x14ac:dyDescent="0.25">
      <c r="A2717" s="66"/>
    </row>
    <row r="2718" spans="1:1" x14ac:dyDescent="0.25">
      <c r="A2718" s="66"/>
    </row>
    <row r="2719" spans="1:1" x14ac:dyDescent="0.25">
      <c r="A2719" s="66"/>
    </row>
    <row r="2720" spans="1:1" x14ac:dyDescent="0.25">
      <c r="A2720" s="66"/>
    </row>
    <row r="2721" spans="1:1" x14ac:dyDescent="0.25">
      <c r="A2721" s="66"/>
    </row>
    <row r="2722" spans="1:1" x14ac:dyDescent="0.25">
      <c r="A2722" s="66"/>
    </row>
    <row r="2723" spans="1:1" x14ac:dyDescent="0.25">
      <c r="A2723" s="66"/>
    </row>
    <row r="2724" spans="1:1" x14ac:dyDescent="0.25">
      <c r="A2724" s="66"/>
    </row>
    <row r="2725" spans="1:1" x14ac:dyDescent="0.25">
      <c r="A2725" s="66"/>
    </row>
    <row r="2726" spans="1:1" x14ac:dyDescent="0.25">
      <c r="A2726" s="66"/>
    </row>
    <row r="2727" spans="1:1" x14ac:dyDescent="0.25">
      <c r="A2727" s="66"/>
    </row>
    <row r="2728" spans="1:1" x14ac:dyDescent="0.25">
      <c r="A2728" s="66"/>
    </row>
    <row r="2729" spans="1:1" x14ac:dyDescent="0.25">
      <c r="A2729" s="66"/>
    </row>
    <row r="2730" spans="1:1" x14ac:dyDescent="0.25">
      <c r="A2730" s="66"/>
    </row>
    <row r="2731" spans="1:1" x14ac:dyDescent="0.25">
      <c r="A2731" s="66"/>
    </row>
    <row r="2732" spans="1:1" x14ac:dyDescent="0.25">
      <c r="A2732" s="66"/>
    </row>
    <row r="2733" spans="1:1" x14ac:dyDescent="0.25">
      <c r="A2733" s="66"/>
    </row>
    <row r="2734" spans="1:1" x14ac:dyDescent="0.25">
      <c r="A2734" s="66"/>
    </row>
    <row r="2735" spans="1:1" x14ac:dyDescent="0.25">
      <c r="A2735" s="66"/>
    </row>
    <row r="2736" spans="1:1" x14ac:dyDescent="0.25">
      <c r="A2736" s="66"/>
    </row>
    <row r="2737" spans="1:1" x14ac:dyDescent="0.25">
      <c r="A2737" s="66"/>
    </row>
    <row r="2738" spans="1:1" x14ac:dyDescent="0.25">
      <c r="A2738" s="66"/>
    </row>
    <row r="2739" spans="1:1" x14ac:dyDescent="0.25">
      <c r="A2739" s="66"/>
    </row>
    <row r="2740" spans="1:1" x14ac:dyDescent="0.25">
      <c r="A2740" s="66"/>
    </row>
    <row r="2741" spans="1:1" x14ac:dyDescent="0.25">
      <c r="A2741" s="66"/>
    </row>
    <row r="2742" spans="1:1" x14ac:dyDescent="0.25">
      <c r="A2742" s="66"/>
    </row>
    <row r="2743" spans="1:1" x14ac:dyDescent="0.25">
      <c r="A2743" s="66"/>
    </row>
    <row r="2744" spans="1:1" x14ac:dyDescent="0.25">
      <c r="A2744" s="66"/>
    </row>
    <row r="2745" spans="1:1" x14ac:dyDescent="0.25">
      <c r="A2745" s="66"/>
    </row>
    <row r="2746" spans="1:1" x14ac:dyDescent="0.25">
      <c r="A2746" s="66"/>
    </row>
    <row r="2747" spans="1:1" x14ac:dyDescent="0.25">
      <c r="A2747" s="66"/>
    </row>
    <row r="2748" spans="1:1" x14ac:dyDescent="0.25">
      <c r="A2748" s="66"/>
    </row>
    <row r="2749" spans="1:1" x14ac:dyDescent="0.25">
      <c r="A2749" s="66"/>
    </row>
    <row r="2750" spans="1:1" x14ac:dyDescent="0.25">
      <c r="A2750" s="66"/>
    </row>
    <row r="2751" spans="1:1" x14ac:dyDescent="0.25">
      <c r="A2751" s="66"/>
    </row>
    <row r="2752" spans="1:1" x14ac:dyDescent="0.25">
      <c r="A2752" s="66"/>
    </row>
    <row r="2753" spans="1:1" x14ac:dyDescent="0.25">
      <c r="A2753" s="66"/>
    </row>
    <row r="2754" spans="1:1" x14ac:dyDescent="0.25">
      <c r="A2754" s="66"/>
    </row>
    <row r="2755" spans="1:1" x14ac:dyDescent="0.25">
      <c r="A2755" s="66"/>
    </row>
    <row r="2756" spans="1:1" x14ac:dyDescent="0.25">
      <c r="A2756" s="66"/>
    </row>
    <row r="2757" spans="1:1" x14ac:dyDescent="0.25">
      <c r="A2757" s="66"/>
    </row>
    <row r="2758" spans="1:1" x14ac:dyDescent="0.25">
      <c r="A2758" s="66"/>
    </row>
    <row r="2759" spans="1:1" x14ac:dyDescent="0.25">
      <c r="A2759" s="66"/>
    </row>
    <row r="2760" spans="1:1" x14ac:dyDescent="0.25">
      <c r="A2760" s="66"/>
    </row>
    <row r="2761" spans="1:1" x14ac:dyDescent="0.25">
      <c r="A2761" s="66"/>
    </row>
    <row r="2762" spans="1:1" x14ac:dyDescent="0.25">
      <c r="A2762" s="66"/>
    </row>
    <row r="2763" spans="1:1" x14ac:dyDescent="0.25">
      <c r="A2763" s="66"/>
    </row>
    <row r="2764" spans="1:1" x14ac:dyDescent="0.25">
      <c r="A2764" s="66"/>
    </row>
    <row r="2765" spans="1:1" x14ac:dyDescent="0.25">
      <c r="A2765" s="66"/>
    </row>
    <row r="2766" spans="1:1" x14ac:dyDescent="0.25">
      <c r="A2766" s="66"/>
    </row>
    <row r="2767" spans="1:1" x14ac:dyDescent="0.25">
      <c r="A2767" s="66"/>
    </row>
    <row r="2768" spans="1:1" x14ac:dyDescent="0.25">
      <c r="A2768" s="66"/>
    </row>
    <row r="2769" spans="1:1" x14ac:dyDescent="0.25">
      <c r="A2769" s="66"/>
    </row>
    <row r="2770" spans="1:1" x14ac:dyDescent="0.25">
      <c r="A2770" s="66"/>
    </row>
    <row r="2771" spans="1:1" x14ac:dyDescent="0.25">
      <c r="A2771" s="66"/>
    </row>
    <row r="2772" spans="1:1" x14ac:dyDescent="0.25">
      <c r="A2772" s="66"/>
    </row>
    <row r="2773" spans="1:1" x14ac:dyDescent="0.25">
      <c r="A2773" s="66"/>
    </row>
    <row r="2774" spans="1:1" x14ac:dyDescent="0.25">
      <c r="A2774" s="66"/>
    </row>
    <row r="2775" spans="1:1" x14ac:dyDescent="0.25">
      <c r="A2775" s="66"/>
    </row>
    <row r="2776" spans="1:1" x14ac:dyDescent="0.25">
      <c r="A2776" s="66"/>
    </row>
    <row r="2777" spans="1:1" x14ac:dyDescent="0.25">
      <c r="A2777" s="66"/>
    </row>
    <row r="2778" spans="1:1" x14ac:dyDescent="0.25">
      <c r="A2778" s="66"/>
    </row>
    <row r="2779" spans="1:1" x14ac:dyDescent="0.25">
      <c r="A2779" s="66"/>
    </row>
    <row r="2780" spans="1:1" x14ac:dyDescent="0.25">
      <c r="A2780" s="66"/>
    </row>
    <row r="2781" spans="1:1" x14ac:dyDescent="0.25">
      <c r="A2781" s="66"/>
    </row>
    <row r="2782" spans="1:1" x14ac:dyDescent="0.25">
      <c r="A2782" s="66"/>
    </row>
    <row r="2783" spans="1:1" x14ac:dyDescent="0.25">
      <c r="A2783" s="66"/>
    </row>
    <row r="2784" spans="1:1" x14ac:dyDescent="0.25">
      <c r="A2784" s="66"/>
    </row>
    <row r="2785" spans="1:1" x14ac:dyDescent="0.25">
      <c r="A2785" s="66"/>
    </row>
    <row r="2786" spans="1:1" x14ac:dyDescent="0.25">
      <c r="A2786" s="66"/>
    </row>
    <row r="2787" spans="1:1" x14ac:dyDescent="0.25">
      <c r="A2787" s="66"/>
    </row>
    <row r="2788" spans="1:1" x14ac:dyDescent="0.25">
      <c r="A2788" s="66"/>
    </row>
    <row r="2789" spans="1:1" x14ac:dyDescent="0.25">
      <c r="A2789" s="66"/>
    </row>
    <row r="2790" spans="1:1" x14ac:dyDescent="0.25">
      <c r="A2790" s="66"/>
    </row>
    <row r="2791" spans="1:1" x14ac:dyDescent="0.25">
      <c r="A2791" s="66"/>
    </row>
    <row r="2792" spans="1:1" x14ac:dyDescent="0.25">
      <c r="A2792" s="66"/>
    </row>
    <row r="2793" spans="1:1" x14ac:dyDescent="0.25">
      <c r="A2793" s="66"/>
    </row>
    <row r="2794" spans="1:1" x14ac:dyDescent="0.25">
      <c r="A2794" s="66"/>
    </row>
    <row r="2795" spans="1:1" x14ac:dyDescent="0.25">
      <c r="A2795" s="66"/>
    </row>
    <row r="2796" spans="1:1" x14ac:dyDescent="0.25">
      <c r="A2796" s="66"/>
    </row>
    <row r="2797" spans="1:1" x14ac:dyDescent="0.25">
      <c r="A2797" s="66"/>
    </row>
    <row r="2798" spans="1:1" x14ac:dyDescent="0.25">
      <c r="A2798" s="66"/>
    </row>
    <row r="2799" spans="1:1" x14ac:dyDescent="0.25">
      <c r="A2799" s="66"/>
    </row>
    <row r="2800" spans="1:1" x14ac:dyDescent="0.25">
      <c r="A2800" s="66"/>
    </row>
    <row r="2801" spans="1:1" x14ac:dyDescent="0.25">
      <c r="A2801" s="66"/>
    </row>
    <row r="2802" spans="1:1" x14ac:dyDescent="0.25">
      <c r="A2802" s="66"/>
    </row>
    <row r="2803" spans="1:1" x14ac:dyDescent="0.25">
      <c r="A2803" s="66"/>
    </row>
    <row r="2804" spans="1:1" x14ac:dyDescent="0.25">
      <c r="A2804" s="66"/>
    </row>
    <row r="2805" spans="1:1" x14ac:dyDescent="0.25">
      <c r="A2805" s="66"/>
    </row>
    <row r="2806" spans="1:1" x14ac:dyDescent="0.25">
      <c r="A2806" s="66"/>
    </row>
    <row r="2807" spans="1:1" x14ac:dyDescent="0.25">
      <c r="A2807" s="66"/>
    </row>
    <row r="2808" spans="1:1" x14ac:dyDescent="0.25">
      <c r="A2808" s="66"/>
    </row>
    <row r="2809" spans="1:1" x14ac:dyDescent="0.25">
      <c r="A2809" s="66"/>
    </row>
    <row r="2810" spans="1:1" x14ac:dyDescent="0.25">
      <c r="A2810" s="66"/>
    </row>
    <row r="2811" spans="1:1" x14ac:dyDescent="0.25">
      <c r="A2811" s="66"/>
    </row>
    <row r="2812" spans="1:1" x14ac:dyDescent="0.25">
      <c r="A2812" s="66"/>
    </row>
    <row r="2813" spans="1:1" x14ac:dyDescent="0.25">
      <c r="A2813" s="66"/>
    </row>
    <row r="2814" spans="1:1" x14ac:dyDescent="0.25">
      <c r="A2814" s="66"/>
    </row>
    <row r="2815" spans="1:1" x14ac:dyDescent="0.25">
      <c r="A2815" s="66"/>
    </row>
    <row r="2816" spans="1:1" x14ac:dyDescent="0.25">
      <c r="A2816" s="66"/>
    </row>
    <row r="2817" spans="1:1" x14ac:dyDescent="0.25">
      <c r="A2817" s="66"/>
    </row>
    <row r="2818" spans="1:1" x14ac:dyDescent="0.25">
      <c r="A2818" s="66"/>
    </row>
    <row r="2819" spans="1:1" x14ac:dyDescent="0.25">
      <c r="A2819" s="66"/>
    </row>
    <row r="2820" spans="1:1" x14ac:dyDescent="0.25">
      <c r="A2820" s="66"/>
    </row>
    <row r="2821" spans="1:1" x14ac:dyDescent="0.25">
      <c r="A2821" s="66"/>
    </row>
    <row r="2822" spans="1:1" x14ac:dyDescent="0.25">
      <c r="A2822" s="66"/>
    </row>
    <row r="2823" spans="1:1" x14ac:dyDescent="0.25">
      <c r="A2823" s="66"/>
    </row>
    <row r="2824" spans="1:1" x14ac:dyDescent="0.25">
      <c r="A2824" s="66"/>
    </row>
    <row r="2825" spans="1:1" x14ac:dyDescent="0.25">
      <c r="A2825" s="66"/>
    </row>
    <row r="2826" spans="1:1" x14ac:dyDescent="0.25">
      <c r="A2826" s="66"/>
    </row>
    <row r="2827" spans="1:1" x14ac:dyDescent="0.25">
      <c r="A2827" s="66"/>
    </row>
    <row r="2828" spans="1:1" x14ac:dyDescent="0.25">
      <c r="A2828" s="66"/>
    </row>
    <row r="2829" spans="1:1" x14ac:dyDescent="0.25">
      <c r="A2829" s="66"/>
    </row>
    <row r="2830" spans="1:1" x14ac:dyDescent="0.25">
      <c r="A2830" s="66"/>
    </row>
    <row r="2831" spans="1:1" x14ac:dyDescent="0.25">
      <c r="A2831" s="66"/>
    </row>
    <row r="2832" spans="1:1" x14ac:dyDescent="0.25">
      <c r="A2832" s="66"/>
    </row>
    <row r="2833" spans="1:1" x14ac:dyDescent="0.25">
      <c r="A2833" s="66"/>
    </row>
    <row r="2834" spans="1:1" x14ac:dyDescent="0.25">
      <c r="A2834" s="66"/>
    </row>
    <row r="2835" spans="1:1" x14ac:dyDescent="0.25">
      <c r="A2835" s="66"/>
    </row>
    <row r="2836" spans="1:1" x14ac:dyDescent="0.25">
      <c r="A2836" s="66"/>
    </row>
    <row r="2837" spans="1:1" x14ac:dyDescent="0.25">
      <c r="A2837" s="66"/>
    </row>
    <row r="2838" spans="1:1" x14ac:dyDescent="0.25">
      <c r="A2838" s="66"/>
    </row>
    <row r="2839" spans="1:1" x14ac:dyDescent="0.25">
      <c r="A2839" s="66"/>
    </row>
    <row r="2840" spans="1:1" x14ac:dyDescent="0.25">
      <c r="A2840" s="66"/>
    </row>
    <row r="2841" spans="1:1" x14ac:dyDescent="0.25">
      <c r="A2841" s="66"/>
    </row>
    <row r="2842" spans="1:1" x14ac:dyDescent="0.25">
      <c r="A2842" s="66"/>
    </row>
    <row r="2843" spans="1:1" x14ac:dyDescent="0.25">
      <c r="A2843" s="66"/>
    </row>
    <row r="2844" spans="1:1" x14ac:dyDescent="0.25">
      <c r="A2844" s="66"/>
    </row>
    <row r="2845" spans="1:1" x14ac:dyDescent="0.25">
      <c r="A2845" s="66"/>
    </row>
    <row r="2846" spans="1:1" x14ac:dyDescent="0.25">
      <c r="A2846" s="66"/>
    </row>
    <row r="2847" spans="1:1" x14ac:dyDescent="0.25">
      <c r="A2847" s="66"/>
    </row>
    <row r="2848" spans="1:1" x14ac:dyDescent="0.25">
      <c r="A2848" s="66"/>
    </row>
    <row r="2849" spans="1:1" x14ac:dyDescent="0.25">
      <c r="A2849" s="66"/>
    </row>
    <row r="2850" spans="1:1" x14ac:dyDescent="0.25">
      <c r="A2850" s="66"/>
    </row>
    <row r="2851" spans="1:1" x14ac:dyDescent="0.25">
      <c r="A2851" s="66"/>
    </row>
    <row r="2852" spans="1:1" x14ac:dyDescent="0.25">
      <c r="A2852" s="66"/>
    </row>
    <row r="2853" spans="1:1" x14ac:dyDescent="0.25">
      <c r="A2853" s="66"/>
    </row>
    <row r="2854" spans="1:1" x14ac:dyDescent="0.25">
      <c r="A2854" s="66"/>
    </row>
    <row r="2855" spans="1:1" x14ac:dyDescent="0.25">
      <c r="A2855" s="66"/>
    </row>
    <row r="2856" spans="1:1" x14ac:dyDescent="0.25">
      <c r="A2856" s="66"/>
    </row>
    <row r="2857" spans="1:1" x14ac:dyDescent="0.25">
      <c r="A2857" s="66"/>
    </row>
    <row r="2858" spans="1:1" x14ac:dyDescent="0.25">
      <c r="A2858" s="66"/>
    </row>
    <row r="2859" spans="1:1" x14ac:dyDescent="0.25">
      <c r="A2859" s="66"/>
    </row>
    <row r="2860" spans="1:1" x14ac:dyDescent="0.25">
      <c r="A2860" s="66"/>
    </row>
    <row r="2861" spans="1:1" x14ac:dyDescent="0.25">
      <c r="A2861" s="66"/>
    </row>
    <row r="2862" spans="1:1" x14ac:dyDescent="0.25">
      <c r="A2862" s="66"/>
    </row>
    <row r="2863" spans="1:1" x14ac:dyDescent="0.25">
      <c r="A2863" s="66"/>
    </row>
    <row r="2864" spans="1:1" x14ac:dyDescent="0.25">
      <c r="A2864" s="66"/>
    </row>
    <row r="2865" spans="1:1" x14ac:dyDescent="0.25">
      <c r="A2865" s="66"/>
    </row>
    <row r="2866" spans="1:1" x14ac:dyDescent="0.25">
      <c r="A2866" s="66"/>
    </row>
    <row r="2867" spans="1:1" x14ac:dyDescent="0.25">
      <c r="A2867" s="66"/>
    </row>
    <row r="2868" spans="1:1" x14ac:dyDescent="0.25">
      <c r="A2868" s="66"/>
    </row>
    <row r="2869" spans="1:1" x14ac:dyDescent="0.25">
      <c r="A2869" s="66"/>
    </row>
    <row r="2870" spans="1:1" x14ac:dyDescent="0.25">
      <c r="A2870" s="66"/>
    </row>
    <row r="2871" spans="1:1" x14ac:dyDescent="0.25">
      <c r="A2871" s="66"/>
    </row>
    <row r="2872" spans="1:1" x14ac:dyDescent="0.25">
      <c r="A2872" s="66"/>
    </row>
    <row r="2873" spans="1:1" x14ac:dyDescent="0.25">
      <c r="A2873" s="66"/>
    </row>
    <row r="2874" spans="1:1" x14ac:dyDescent="0.25">
      <c r="A2874" s="66"/>
    </row>
    <row r="2875" spans="1:1" x14ac:dyDescent="0.25">
      <c r="A2875" s="66"/>
    </row>
    <row r="2876" spans="1:1" x14ac:dyDescent="0.25">
      <c r="A2876" s="66"/>
    </row>
    <row r="2877" spans="1:1" x14ac:dyDescent="0.25">
      <c r="A2877" s="66"/>
    </row>
    <row r="2878" spans="1:1" x14ac:dyDescent="0.25">
      <c r="A2878" s="66"/>
    </row>
    <row r="2879" spans="1:1" x14ac:dyDescent="0.25">
      <c r="A2879" s="66"/>
    </row>
    <row r="2880" spans="1:1" x14ac:dyDescent="0.25">
      <c r="A2880" s="66"/>
    </row>
    <row r="2881" spans="1:1" x14ac:dyDescent="0.25">
      <c r="A2881" s="66"/>
    </row>
    <row r="2882" spans="1:1" x14ac:dyDescent="0.25">
      <c r="A2882" s="66"/>
    </row>
    <row r="2883" spans="1:1" x14ac:dyDescent="0.25">
      <c r="A2883" s="66"/>
    </row>
    <row r="2884" spans="1:1" x14ac:dyDescent="0.25">
      <c r="A2884" s="66"/>
    </row>
    <row r="2885" spans="1:1" x14ac:dyDescent="0.25">
      <c r="A2885" s="66"/>
    </row>
    <row r="2886" spans="1:1" x14ac:dyDescent="0.25">
      <c r="A2886" s="66"/>
    </row>
    <row r="2887" spans="1:1" x14ac:dyDescent="0.25">
      <c r="A2887" s="66"/>
    </row>
    <row r="2888" spans="1:1" x14ac:dyDescent="0.25">
      <c r="A2888" s="66"/>
    </row>
    <row r="2889" spans="1:1" x14ac:dyDescent="0.25">
      <c r="A2889" s="66"/>
    </row>
    <row r="2890" spans="1:1" x14ac:dyDescent="0.25">
      <c r="A2890" s="66"/>
    </row>
    <row r="2891" spans="1:1" x14ac:dyDescent="0.25">
      <c r="A2891" s="66"/>
    </row>
    <row r="2892" spans="1:1" x14ac:dyDescent="0.25">
      <c r="A2892" s="66"/>
    </row>
    <row r="2893" spans="1:1" x14ac:dyDescent="0.25">
      <c r="A2893" s="66"/>
    </row>
    <row r="2894" spans="1:1" x14ac:dyDescent="0.25">
      <c r="A2894" s="66"/>
    </row>
    <row r="2895" spans="1:1" x14ac:dyDescent="0.25">
      <c r="A2895" s="66"/>
    </row>
    <row r="2896" spans="1:1" x14ac:dyDescent="0.25">
      <c r="A2896" s="66"/>
    </row>
    <row r="2897" spans="1:1" x14ac:dyDescent="0.25">
      <c r="A2897" s="66"/>
    </row>
    <row r="2898" spans="1:1" x14ac:dyDescent="0.25">
      <c r="A2898" s="66"/>
    </row>
    <row r="2899" spans="1:1" x14ac:dyDescent="0.25">
      <c r="A2899" s="66"/>
    </row>
    <row r="2900" spans="1:1" x14ac:dyDescent="0.25">
      <c r="A2900" s="66"/>
    </row>
    <row r="2901" spans="1:1" x14ac:dyDescent="0.25">
      <c r="A2901" s="66"/>
    </row>
    <row r="2902" spans="1:1" x14ac:dyDescent="0.25">
      <c r="A2902" s="66"/>
    </row>
    <row r="2903" spans="1:1" x14ac:dyDescent="0.25">
      <c r="A2903" s="66"/>
    </row>
    <row r="2904" spans="1:1" x14ac:dyDescent="0.25">
      <c r="A2904" s="66"/>
    </row>
    <row r="2905" spans="1:1" x14ac:dyDescent="0.25">
      <c r="A2905" s="66"/>
    </row>
    <row r="2906" spans="1:1" x14ac:dyDescent="0.25">
      <c r="A2906" s="66"/>
    </row>
    <row r="2907" spans="1:1" x14ac:dyDescent="0.25">
      <c r="A2907" s="66"/>
    </row>
    <row r="2908" spans="1:1" x14ac:dyDescent="0.25">
      <c r="A2908" s="66"/>
    </row>
    <row r="2909" spans="1:1" x14ac:dyDescent="0.25">
      <c r="A2909" s="66"/>
    </row>
    <row r="2910" spans="1:1" x14ac:dyDescent="0.25">
      <c r="A2910" s="66"/>
    </row>
    <row r="2911" spans="1:1" x14ac:dyDescent="0.25">
      <c r="A2911" s="66"/>
    </row>
    <row r="2912" spans="1:1" x14ac:dyDescent="0.25">
      <c r="A2912" s="66"/>
    </row>
    <row r="2913" spans="1:1" x14ac:dyDescent="0.25">
      <c r="A2913" s="66"/>
    </row>
    <row r="2914" spans="1:1" x14ac:dyDescent="0.25">
      <c r="A2914" s="66"/>
    </row>
    <row r="2915" spans="1:1" x14ac:dyDescent="0.25">
      <c r="A2915" s="66"/>
    </row>
    <row r="2916" spans="1:1" x14ac:dyDescent="0.25">
      <c r="A2916" s="66"/>
    </row>
    <row r="2917" spans="1:1" x14ac:dyDescent="0.25">
      <c r="A2917" s="66"/>
    </row>
    <row r="2918" spans="1:1" x14ac:dyDescent="0.25">
      <c r="A2918" s="66"/>
    </row>
    <row r="2919" spans="1:1" x14ac:dyDescent="0.25">
      <c r="A2919" s="66"/>
    </row>
    <row r="2920" spans="1:1" x14ac:dyDescent="0.25">
      <c r="A2920" s="66"/>
    </row>
    <row r="2921" spans="1:1" x14ac:dyDescent="0.25">
      <c r="A2921" s="66"/>
    </row>
    <row r="2922" spans="1:1" x14ac:dyDescent="0.25">
      <c r="A2922" s="66"/>
    </row>
    <row r="2923" spans="1:1" x14ac:dyDescent="0.25">
      <c r="A2923" s="66"/>
    </row>
    <row r="2924" spans="1:1" x14ac:dyDescent="0.25">
      <c r="A2924" s="66"/>
    </row>
    <row r="2925" spans="1:1" x14ac:dyDescent="0.25">
      <c r="A2925" s="66"/>
    </row>
    <row r="2926" spans="1:1" x14ac:dyDescent="0.25">
      <c r="A2926" s="66"/>
    </row>
    <row r="2927" spans="1:1" x14ac:dyDescent="0.25">
      <c r="A2927" s="66"/>
    </row>
    <row r="2928" spans="1:1" x14ac:dyDescent="0.25">
      <c r="A2928" s="66"/>
    </row>
    <row r="2929" spans="1:1" x14ac:dyDescent="0.25">
      <c r="A2929" s="66"/>
    </row>
    <row r="2930" spans="1:1" x14ac:dyDescent="0.25">
      <c r="A2930" s="66"/>
    </row>
    <row r="2931" spans="1:1" x14ac:dyDescent="0.25">
      <c r="A2931" s="66"/>
    </row>
    <row r="2932" spans="1:1" x14ac:dyDescent="0.25">
      <c r="A2932" s="66"/>
    </row>
    <row r="2933" spans="1:1" x14ac:dyDescent="0.25">
      <c r="A2933" s="66"/>
    </row>
    <row r="2934" spans="1:1" x14ac:dyDescent="0.25">
      <c r="A2934" s="66"/>
    </row>
    <row r="2935" spans="1:1" x14ac:dyDescent="0.25">
      <c r="A2935" s="66"/>
    </row>
    <row r="2936" spans="1:1" x14ac:dyDescent="0.25">
      <c r="A2936" s="66"/>
    </row>
    <row r="2937" spans="1:1" x14ac:dyDescent="0.25">
      <c r="A2937" s="66"/>
    </row>
    <row r="2938" spans="1:1" x14ac:dyDescent="0.25">
      <c r="A2938" s="66"/>
    </row>
    <row r="2939" spans="1:1" x14ac:dyDescent="0.25">
      <c r="A2939" s="66"/>
    </row>
    <row r="2940" spans="1:1" x14ac:dyDescent="0.25">
      <c r="A2940" s="66"/>
    </row>
    <row r="2941" spans="1:1" x14ac:dyDescent="0.25">
      <c r="A2941" s="66"/>
    </row>
    <row r="2942" spans="1:1" x14ac:dyDescent="0.25">
      <c r="A2942" s="66"/>
    </row>
    <row r="2943" spans="1:1" x14ac:dyDescent="0.25">
      <c r="A2943" s="66"/>
    </row>
    <row r="2944" spans="1:1" x14ac:dyDescent="0.25">
      <c r="A2944" s="66"/>
    </row>
    <row r="2945" spans="1:1" x14ac:dyDescent="0.25">
      <c r="A2945" s="66"/>
    </row>
    <row r="2946" spans="1:1" x14ac:dyDescent="0.25">
      <c r="A2946" s="66"/>
    </row>
    <row r="2947" spans="1:1" x14ac:dyDescent="0.25">
      <c r="A2947" s="66"/>
    </row>
    <row r="2948" spans="1:1" x14ac:dyDescent="0.25">
      <c r="A2948" s="66"/>
    </row>
    <row r="2949" spans="1:1" x14ac:dyDescent="0.25">
      <c r="A2949" s="66"/>
    </row>
    <row r="2950" spans="1:1" x14ac:dyDescent="0.25">
      <c r="A2950" s="66"/>
    </row>
    <row r="2951" spans="1:1" x14ac:dyDescent="0.25">
      <c r="A2951" s="66"/>
    </row>
    <row r="2952" spans="1:1" x14ac:dyDescent="0.25">
      <c r="A2952" s="66"/>
    </row>
    <row r="2953" spans="1:1" x14ac:dyDescent="0.25">
      <c r="A2953" s="66"/>
    </row>
    <row r="2954" spans="1:1" x14ac:dyDescent="0.25">
      <c r="A2954" s="66"/>
    </row>
    <row r="2955" spans="1:1" x14ac:dyDescent="0.25">
      <c r="A2955" s="66"/>
    </row>
    <row r="2956" spans="1:1" x14ac:dyDescent="0.25">
      <c r="A2956" s="66"/>
    </row>
    <row r="2957" spans="1:1" x14ac:dyDescent="0.25">
      <c r="A2957" s="66"/>
    </row>
    <row r="2958" spans="1:1" x14ac:dyDescent="0.25">
      <c r="A2958" s="66"/>
    </row>
    <row r="2959" spans="1:1" x14ac:dyDescent="0.25">
      <c r="A2959" s="66"/>
    </row>
    <row r="2960" spans="1:1" x14ac:dyDescent="0.25">
      <c r="A2960" s="66"/>
    </row>
    <row r="2961" spans="1:1" x14ac:dyDescent="0.25">
      <c r="A2961" s="66"/>
    </row>
    <row r="2962" spans="1:1" x14ac:dyDescent="0.25">
      <c r="A2962" s="66"/>
    </row>
    <row r="2963" spans="1:1" x14ac:dyDescent="0.25">
      <c r="A2963" s="66"/>
    </row>
    <row r="2964" spans="1:1" x14ac:dyDescent="0.25">
      <c r="A2964" s="66"/>
    </row>
    <row r="2965" spans="1:1" x14ac:dyDescent="0.25">
      <c r="A2965" s="66"/>
    </row>
    <row r="2966" spans="1:1" x14ac:dyDescent="0.25">
      <c r="A2966" s="66"/>
    </row>
    <row r="2967" spans="1:1" x14ac:dyDescent="0.25">
      <c r="A2967" s="66"/>
    </row>
    <row r="2968" spans="1:1" x14ac:dyDescent="0.25">
      <c r="A2968" s="66"/>
    </row>
    <row r="2969" spans="1:1" x14ac:dyDescent="0.25">
      <c r="A2969" s="66"/>
    </row>
    <row r="2970" spans="1:1" x14ac:dyDescent="0.25">
      <c r="A2970" s="66"/>
    </row>
    <row r="2971" spans="1:1" x14ac:dyDescent="0.25">
      <c r="A2971" s="66"/>
    </row>
    <row r="2972" spans="1:1" x14ac:dyDescent="0.25">
      <c r="A2972" s="66"/>
    </row>
    <row r="2973" spans="1:1" x14ac:dyDescent="0.25">
      <c r="A2973" s="66"/>
    </row>
    <row r="2974" spans="1:1" x14ac:dyDescent="0.25">
      <c r="A2974" s="66"/>
    </row>
    <row r="2975" spans="1:1" x14ac:dyDescent="0.25">
      <c r="A2975" s="66"/>
    </row>
    <row r="2976" spans="1:1" x14ac:dyDescent="0.25">
      <c r="A2976" s="66"/>
    </row>
    <row r="2977" spans="1:1" x14ac:dyDescent="0.25">
      <c r="A2977" s="66"/>
    </row>
    <row r="2978" spans="1:1" x14ac:dyDescent="0.25">
      <c r="A2978" s="66"/>
    </row>
    <row r="2979" spans="1:1" x14ac:dyDescent="0.25">
      <c r="A2979" s="66"/>
    </row>
    <row r="2980" spans="1:1" x14ac:dyDescent="0.25">
      <c r="A2980" s="66"/>
    </row>
    <row r="2981" spans="1:1" x14ac:dyDescent="0.25">
      <c r="A2981" s="66"/>
    </row>
    <row r="2982" spans="1:1" x14ac:dyDescent="0.25">
      <c r="A2982" s="66"/>
    </row>
    <row r="2983" spans="1:1" x14ac:dyDescent="0.25">
      <c r="A2983" s="66"/>
    </row>
    <row r="2984" spans="1:1" x14ac:dyDescent="0.25">
      <c r="A2984" s="66"/>
    </row>
    <row r="2985" spans="1:1" x14ac:dyDescent="0.25">
      <c r="A2985" s="66"/>
    </row>
    <row r="2986" spans="1:1" x14ac:dyDescent="0.25">
      <c r="A2986" s="66"/>
    </row>
    <row r="2987" spans="1:1" x14ac:dyDescent="0.25">
      <c r="A2987" s="66"/>
    </row>
    <row r="2988" spans="1:1" x14ac:dyDescent="0.25">
      <c r="A2988" s="66"/>
    </row>
    <row r="2989" spans="1:1" x14ac:dyDescent="0.25">
      <c r="A2989" s="66"/>
    </row>
    <row r="2990" spans="1:1" x14ac:dyDescent="0.25">
      <c r="A2990" s="66"/>
    </row>
    <row r="2991" spans="1:1" x14ac:dyDescent="0.25">
      <c r="A2991" s="66"/>
    </row>
    <row r="2992" spans="1:1" x14ac:dyDescent="0.25">
      <c r="A2992" s="66"/>
    </row>
    <row r="2993" spans="1:1" x14ac:dyDescent="0.25">
      <c r="A2993" s="66"/>
    </row>
    <row r="2994" spans="1:1" x14ac:dyDescent="0.25">
      <c r="A2994" s="66"/>
    </row>
    <row r="2995" spans="1:1" x14ac:dyDescent="0.25">
      <c r="A2995" s="66"/>
    </row>
    <row r="2996" spans="1:1" x14ac:dyDescent="0.25">
      <c r="A2996" s="66"/>
    </row>
    <row r="2997" spans="1:1" x14ac:dyDescent="0.25">
      <c r="A2997" s="66"/>
    </row>
    <row r="2998" spans="1:1" x14ac:dyDescent="0.25">
      <c r="A2998" s="66"/>
    </row>
    <row r="2999" spans="1:1" x14ac:dyDescent="0.25">
      <c r="A2999" s="66"/>
    </row>
    <row r="3000" spans="1:1" x14ac:dyDescent="0.25">
      <c r="A3000" s="66"/>
    </row>
    <row r="3001" spans="1:1" x14ac:dyDescent="0.25">
      <c r="A3001" s="66"/>
    </row>
    <row r="3002" spans="1:1" x14ac:dyDescent="0.25">
      <c r="A3002" s="66"/>
    </row>
    <row r="3003" spans="1:1" x14ac:dyDescent="0.25">
      <c r="A3003" s="66"/>
    </row>
    <row r="3004" spans="1:1" x14ac:dyDescent="0.25">
      <c r="A3004" s="66"/>
    </row>
    <row r="3005" spans="1:1" x14ac:dyDescent="0.25">
      <c r="A3005" s="66"/>
    </row>
    <row r="3006" spans="1:1" x14ac:dyDescent="0.25">
      <c r="A3006" s="66"/>
    </row>
    <row r="3007" spans="1:1" x14ac:dyDescent="0.25">
      <c r="A3007" s="66"/>
    </row>
    <row r="3008" spans="1:1" x14ac:dyDescent="0.25">
      <c r="A3008" s="66"/>
    </row>
    <row r="3009" spans="1:1" x14ac:dyDescent="0.25">
      <c r="A3009" s="66"/>
    </row>
    <row r="3010" spans="1:1" x14ac:dyDescent="0.25">
      <c r="A3010" s="66"/>
    </row>
    <row r="3011" spans="1:1" x14ac:dyDescent="0.25">
      <c r="A3011" s="66"/>
    </row>
    <row r="3012" spans="1:1" x14ac:dyDescent="0.25">
      <c r="A3012" s="66"/>
    </row>
    <row r="3013" spans="1:1" x14ac:dyDescent="0.25">
      <c r="A3013" s="66"/>
    </row>
    <row r="3014" spans="1:1" x14ac:dyDescent="0.25">
      <c r="A3014" s="66"/>
    </row>
    <row r="3015" spans="1:1" x14ac:dyDescent="0.25">
      <c r="A3015" s="66"/>
    </row>
    <row r="3016" spans="1:1" x14ac:dyDescent="0.25">
      <c r="A3016" s="66"/>
    </row>
    <row r="3017" spans="1:1" x14ac:dyDescent="0.25">
      <c r="A3017" s="66"/>
    </row>
    <row r="3018" spans="1:1" x14ac:dyDescent="0.25">
      <c r="A3018" s="66"/>
    </row>
    <row r="3019" spans="1:1" x14ac:dyDescent="0.25">
      <c r="A3019" s="66"/>
    </row>
    <row r="3020" spans="1:1" x14ac:dyDescent="0.25">
      <c r="A3020" s="66"/>
    </row>
    <row r="3021" spans="1:1" x14ac:dyDescent="0.25">
      <c r="A3021" s="66"/>
    </row>
    <row r="3022" spans="1:1" x14ac:dyDescent="0.25">
      <c r="A3022" s="66"/>
    </row>
    <row r="3023" spans="1:1" x14ac:dyDescent="0.25">
      <c r="A3023" s="66"/>
    </row>
    <row r="3024" spans="1:1" x14ac:dyDescent="0.25">
      <c r="A3024" s="66"/>
    </row>
    <row r="3025" spans="1:1" x14ac:dyDescent="0.25">
      <c r="A3025" s="66"/>
    </row>
    <row r="3026" spans="1:1" x14ac:dyDescent="0.25">
      <c r="A3026" s="66"/>
    </row>
    <row r="3027" spans="1:1" x14ac:dyDescent="0.25">
      <c r="A3027" s="66"/>
    </row>
    <row r="3028" spans="1:1" x14ac:dyDescent="0.25">
      <c r="A3028" s="66"/>
    </row>
    <row r="3029" spans="1:1" x14ac:dyDescent="0.25">
      <c r="A3029" s="66"/>
    </row>
    <row r="3030" spans="1:1" x14ac:dyDescent="0.25">
      <c r="A3030" s="66"/>
    </row>
    <row r="3031" spans="1:1" x14ac:dyDescent="0.25">
      <c r="A3031" s="66"/>
    </row>
    <row r="3032" spans="1:1" x14ac:dyDescent="0.25">
      <c r="A3032" s="66"/>
    </row>
    <row r="3033" spans="1:1" x14ac:dyDescent="0.25">
      <c r="A3033" s="66"/>
    </row>
    <row r="3034" spans="1:1" x14ac:dyDescent="0.25">
      <c r="A3034" s="66"/>
    </row>
    <row r="3035" spans="1:1" x14ac:dyDescent="0.25">
      <c r="A3035" s="66"/>
    </row>
    <row r="3036" spans="1:1" x14ac:dyDescent="0.25">
      <c r="A3036" s="66"/>
    </row>
    <row r="3037" spans="1:1" x14ac:dyDescent="0.25">
      <c r="A3037" s="66"/>
    </row>
    <row r="3038" spans="1:1" x14ac:dyDescent="0.25">
      <c r="A3038" s="66"/>
    </row>
    <row r="3039" spans="1:1" x14ac:dyDescent="0.25">
      <c r="A3039" s="66"/>
    </row>
    <row r="3040" spans="1:1" x14ac:dyDescent="0.25">
      <c r="A3040" s="66"/>
    </row>
    <row r="3041" spans="1:1" x14ac:dyDescent="0.25">
      <c r="A3041" s="66"/>
    </row>
    <row r="3042" spans="1:1" x14ac:dyDescent="0.25">
      <c r="A3042" s="66"/>
    </row>
    <row r="3043" spans="1:1" x14ac:dyDescent="0.25">
      <c r="A3043" s="66"/>
    </row>
    <row r="3044" spans="1:1" x14ac:dyDescent="0.25">
      <c r="A3044" s="66"/>
    </row>
    <row r="3045" spans="1:1" x14ac:dyDescent="0.25">
      <c r="A3045" s="66"/>
    </row>
    <row r="3046" spans="1:1" x14ac:dyDescent="0.25">
      <c r="A3046" s="66"/>
    </row>
    <row r="3047" spans="1:1" x14ac:dyDescent="0.25">
      <c r="A3047" s="66"/>
    </row>
    <row r="3048" spans="1:1" x14ac:dyDescent="0.25">
      <c r="A3048" s="66"/>
    </row>
    <row r="3049" spans="1:1" x14ac:dyDescent="0.25">
      <c r="A3049" s="66"/>
    </row>
    <row r="3050" spans="1:1" x14ac:dyDescent="0.25">
      <c r="A3050" s="66"/>
    </row>
    <row r="3051" spans="1:1" x14ac:dyDescent="0.25">
      <c r="A3051" s="66"/>
    </row>
    <row r="3052" spans="1:1" x14ac:dyDescent="0.25">
      <c r="A3052" s="66"/>
    </row>
    <row r="3053" spans="1:1" x14ac:dyDescent="0.25">
      <c r="A3053" s="66"/>
    </row>
    <row r="3054" spans="1:1" x14ac:dyDescent="0.25">
      <c r="A3054" s="66"/>
    </row>
    <row r="3055" spans="1:1" x14ac:dyDescent="0.25">
      <c r="A3055" s="66"/>
    </row>
    <row r="3056" spans="1:1" x14ac:dyDescent="0.25">
      <c r="A3056" s="66"/>
    </row>
    <row r="3057" spans="1:1" x14ac:dyDescent="0.25">
      <c r="A3057" s="66"/>
    </row>
    <row r="3058" spans="1:1" x14ac:dyDescent="0.25">
      <c r="A3058" s="66"/>
    </row>
    <row r="3059" spans="1:1" x14ac:dyDescent="0.25">
      <c r="A3059" s="66"/>
    </row>
    <row r="3060" spans="1:1" x14ac:dyDescent="0.25">
      <c r="A3060" s="66"/>
    </row>
    <row r="3061" spans="1:1" x14ac:dyDescent="0.25">
      <c r="A3061" s="66"/>
    </row>
    <row r="3062" spans="1:1" x14ac:dyDescent="0.25">
      <c r="A3062" s="66"/>
    </row>
    <row r="3063" spans="1:1" x14ac:dyDescent="0.25">
      <c r="A3063" s="66"/>
    </row>
    <row r="3064" spans="1:1" x14ac:dyDescent="0.25">
      <c r="A3064" s="66"/>
    </row>
    <row r="3065" spans="1:1" x14ac:dyDescent="0.25">
      <c r="A3065" s="66"/>
    </row>
    <row r="3066" spans="1:1" x14ac:dyDescent="0.25">
      <c r="A3066" s="66"/>
    </row>
    <row r="3067" spans="1:1" x14ac:dyDescent="0.25">
      <c r="A3067" s="66"/>
    </row>
    <row r="3068" spans="1:1" x14ac:dyDescent="0.25">
      <c r="A3068" s="66"/>
    </row>
    <row r="3069" spans="1:1" x14ac:dyDescent="0.25">
      <c r="A3069" s="66"/>
    </row>
    <row r="3070" spans="1:1" x14ac:dyDescent="0.25">
      <c r="A3070" s="66"/>
    </row>
    <row r="3071" spans="1:1" x14ac:dyDescent="0.25">
      <c r="A3071" s="66"/>
    </row>
    <row r="3072" spans="1:1" x14ac:dyDescent="0.25">
      <c r="A3072" s="66"/>
    </row>
    <row r="3073" spans="1:1" x14ac:dyDescent="0.25">
      <c r="A3073" s="66"/>
    </row>
    <row r="3074" spans="1:1" x14ac:dyDescent="0.25">
      <c r="A3074" s="66"/>
    </row>
    <row r="3075" spans="1:1" x14ac:dyDescent="0.25">
      <c r="A3075" s="66"/>
    </row>
    <row r="3076" spans="1:1" x14ac:dyDescent="0.25">
      <c r="A3076" s="66"/>
    </row>
    <row r="3077" spans="1:1" x14ac:dyDescent="0.25">
      <c r="A3077" s="66"/>
    </row>
    <row r="3078" spans="1:1" x14ac:dyDescent="0.25">
      <c r="A3078" s="66"/>
    </row>
    <row r="3079" spans="1:1" x14ac:dyDescent="0.25">
      <c r="A3079" s="66"/>
    </row>
    <row r="3080" spans="1:1" x14ac:dyDescent="0.25">
      <c r="A3080" s="66"/>
    </row>
    <row r="3081" spans="1:1" x14ac:dyDescent="0.25">
      <c r="A3081" s="66"/>
    </row>
    <row r="3082" spans="1:1" x14ac:dyDescent="0.25">
      <c r="A3082" s="66"/>
    </row>
    <row r="3083" spans="1:1" x14ac:dyDescent="0.25">
      <c r="A3083" s="66"/>
    </row>
    <row r="3084" spans="1:1" x14ac:dyDescent="0.25">
      <c r="A3084" s="66"/>
    </row>
    <row r="3085" spans="1:1" x14ac:dyDescent="0.25">
      <c r="A3085" s="66"/>
    </row>
    <row r="3086" spans="1:1" x14ac:dyDescent="0.25">
      <c r="A3086" s="66"/>
    </row>
    <row r="3087" spans="1:1" x14ac:dyDescent="0.25">
      <c r="A3087" s="66"/>
    </row>
    <row r="3088" spans="1:1" x14ac:dyDescent="0.25">
      <c r="A3088" s="66"/>
    </row>
    <row r="3089" spans="1:1" x14ac:dyDescent="0.25">
      <c r="A3089" s="66"/>
    </row>
    <row r="3090" spans="1:1" x14ac:dyDescent="0.25">
      <c r="A3090" s="66"/>
    </row>
    <row r="3091" spans="1:1" x14ac:dyDescent="0.25">
      <c r="A3091" s="66"/>
    </row>
    <row r="3092" spans="1:1" x14ac:dyDescent="0.25">
      <c r="A3092" s="66"/>
    </row>
    <row r="3093" spans="1:1" x14ac:dyDescent="0.25">
      <c r="A3093" s="66"/>
    </row>
    <row r="3094" spans="1:1" x14ac:dyDescent="0.25">
      <c r="A3094" s="66"/>
    </row>
    <row r="3095" spans="1:1" x14ac:dyDescent="0.25">
      <c r="A3095" s="66"/>
    </row>
    <row r="3096" spans="1:1" x14ac:dyDescent="0.25">
      <c r="A3096" s="66"/>
    </row>
    <row r="3097" spans="1:1" x14ac:dyDescent="0.25">
      <c r="A3097" s="66"/>
    </row>
    <row r="3098" spans="1:1" x14ac:dyDescent="0.25">
      <c r="A3098" s="66"/>
    </row>
    <row r="3099" spans="1:1" x14ac:dyDescent="0.25">
      <c r="A3099" s="66"/>
    </row>
    <row r="3100" spans="1:1" x14ac:dyDescent="0.25">
      <c r="A3100" s="66"/>
    </row>
    <row r="3101" spans="1:1" x14ac:dyDescent="0.25">
      <c r="A3101" s="66"/>
    </row>
    <row r="3102" spans="1:1" x14ac:dyDescent="0.25">
      <c r="A3102" s="66"/>
    </row>
    <row r="3103" spans="1:1" x14ac:dyDescent="0.25">
      <c r="A3103" s="66"/>
    </row>
    <row r="3104" spans="1:1" x14ac:dyDescent="0.25">
      <c r="A3104" s="66"/>
    </row>
    <row r="3105" spans="1:1" x14ac:dyDescent="0.25">
      <c r="A3105" s="66"/>
    </row>
    <row r="3106" spans="1:1" x14ac:dyDescent="0.25">
      <c r="A3106" s="66"/>
    </row>
    <row r="3107" spans="1:1" x14ac:dyDescent="0.25">
      <c r="A3107" s="66"/>
    </row>
    <row r="3108" spans="1:1" x14ac:dyDescent="0.25">
      <c r="A3108" s="66"/>
    </row>
    <row r="3109" spans="1:1" x14ac:dyDescent="0.25">
      <c r="A3109" s="66"/>
    </row>
    <row r="3110" spans="1:1" x14ac:dyDescent="0.25">
      <c r="A3110" s="66"/>
    </row>
    <row r="3111" spans="1:1" x14ac:dyDescent="0.25">
      <c r="A3111" s="66"/>
    </row>
    <row r="3112" spans="1:1" x14ac:dyDescent="0.25">
      <c r="A3112" s="66"/>
    </row>
    <row r="3113" spans="1:1" x14ac:dyDescent="0.25">
      <c r="A3113" s="66"/>
    </row>
    <row r="3114" spans="1:1" x14ac:dyDescent="0.25">
      <c r="A3114" s="66"/>
    </row>
    <row r="3115" spans="1:1" x14ac:dyDescent="0.25">
      <c r="A3115" s="66"/>
    </row>
    <row r="3116" spans="1:1" x14ac:dyDescent="0.25">
      <c r="A3116" s="66"/>
    </row>
    <row r="3117" spans="1:1" x14ac:dyDescent="0.25">
      <c r="A3117" s="66"/>
    </row>
    <row r="3118" spans="1:1" x14ac:dyDescent="0.25">
      <c r="A3118" s="66"/>
    </row>
    <row r="3119" spans="1:1" x14ac:dyDescent="0.25">
      <c r="A3119" s="66"/>
    </row>
    <row r="3120" spans="1:1" x14ac:dyDescent="0.25">
      <c r="A3120" s="66"/>
    </row>
    <row r="3121" spans="1:1" x14ac:dyDescent="0.25">
      <c r="A3121" s="66"/>
    </row>
    <row r="3122" spans="1:1" x14ac:dyDescent="0.25">
      <c r="A3122" s="66"/>
    </row>
    <row r="3123" spans="1:1" x14ac:dyDescent="0.25">
      <c r="A3123" s="66"/>
    </row>
    <row r="3124" spans="1:1" x14ac:dyDescent="0.25">
      <c r="A3124" s="66"/>
    </row>
    <row r="3125" spans="1:1" x14ac:dyDescent="0.25">
      <c r="A3125" s="66"/>
    </row>
    <row r="3126" spans="1:1" x14ac:dyDescent="0.25">
      <c r="A3126" s="66"/>
    </row>
    <row r="3127" spans="1:1" x14ac:dyDescent="0.25">
      <c r="A3127" s="66"/>
    </row>
    <row r="3128" spans="1:1" x14ac:dyDescent="0.25">
      <c r="A3128" s="66"/>
    </row>
    <row r="3129" spans="1:1" x14ac:dyDescent="0.25">
      <c r="A3129" s="66"/>
    </row>
    <row r="3130" spans="1:1" x14ac:dyDescent="0.25">
      <c r="A3130" s="66"/>
    </row>
    <row r="3131" spans="1:1" x14ac:dyDescent="0.25">
      <c r="A3131" s="66"/>
    </row>
    <row r="3132" spans="1:1" x14ac:dyDescent="0.25">
      <c r="A3132" s="66"/>
    </row>
    <row r="3133" spans="1:1" x14ac:dyDescent="0.25">
      <c r="A3133" s="66"/>
    </row>
    <row r="3134" spans="1:1" x14ac:dyDescent="0.25">
      <c r="A3134" s="66"/>
    </row>
    <row r="3135" spans="1:1" x14ac:dyDescent="0.25">
      <c r="A3135" s="66"/>
    </row>
    <row r="3136" spans="1:1" x14ac:dyDescent="0.25">
      <c r="A3136" s="66"/>
    </row>
    <row r="3137" spans="1:1" x14ac:dyDescent="0.25">
      <c r="A3137" s="66"/>
    </row>
    <row r="3138" spans="1:1" x14ac:dyDescent="0.25">
      <c r="A3138" s="66"/>
    </row>
    <row r="3139" spans="1:1" x14ac:dyDescent="0.25">
      <c r="A3139" s="66"/>
    </row>
    <row r="3140" spans="1:1" x14ac:dyDescent="0.25">
      <c r="A3140" s="66"/>
    </row>
    <row r="3141" spans="1:1" x14ac:dyDescent="0.25">
      <c r="A3141" s="66"/>
    </row>
    <row r="3142" spans="1:1" x14ac:dyDescent="0.25">
      <c r="A3142" s="66"/>
    </row>
    <row r="3143" spans="1:1" x14ac:dyDescent="0.25">
      <c r="A3143" s="66"/>
    </row>
    <row r="3144" spans="1:1" x14ac:dyDescent="0.25">
      <c r="A3144" s="66"/>
    </row>
    <row r="3145" spans="1:1" x14ac:dyDescent="0.25">
      <c r="A3145" s="66"/>
    </row>
    <row r="3146" spans="1:1" x14ac:dyDescent="0.25">
      <c r="A3146" s="66"/>
    </row>
    <row r="3147" spans="1:1" x14ac:dyDescent="0.25">
      <c r="A3147" s="66"/>
    </row>
    <row r="3148" spans="1:1" x14ac:dyDescent="0.25">
      <c r="A3148" s="66"/>
    </row>
    <row r="3149" spans="1:1" x14ac:dyDescent="0.25">
      <c r="A3149" s="66"/>
    </row>
    <row r="3150" spans="1:1" x14ac:dyDescent="0.25">
      <c r="A3150" s="66"/>
    </row>
    <row r="3151" spans="1:1" x14ac:dyDescent="0.25">
      <c r="A3151" s="66"/>
    </row>
    <row r="3152" spans="1:1" x14ac:dyDescent="0.25">
      <c r="A3152" s="66"/>
    </row>
    <row r="3153" spans="1:1" x14ac:dyDescent="0.25">
      <c r="A3153" s="66"/>
    </row>
    <row r="3154" spans="1:1" x14ac:dyDescent="0.25">
      <c r="A3154" s="66"/>
    </row>
    <row r="3155" spans="1:1" x14ac:dyDescent="0.25">
      <c r="A3155" s="66"/>
    </row>
    <row r="3156" spans="1:1" x14ac:dyDescent="0.25">
      <c r="A3156" s="66"/>
    </row>
    <row r="3157" spans="1:1" x14ac:dyDescent="0.25">
      <c r="A3157" s="66"/>
    </row>
    <row r="3158" spans="1:1" x14ac:dyDescent="0.25">
      <c r="A3158" s="66"/>
    </row>
    <row r="3159" spans="1:1" x14ac:dyDescent="0.25">
      <c r="A3159" s="66"/>
    </row>
    <row r="3160" spans="1:1" x14ac:dyDescent="0.25">
      <c r="A3160" s="66"/>
    </row>
    <row r="3161" spans="1:1" x14ac:dyDescent="0.25">
      <c r="A3161" s="66"/>
    </row>
    <row r="3162" spans="1:1" x14ac:dyDescent="0.25">
      <c r="A3162" s="66"/>
    </row>
    <row r="3163" spans="1:1" x14ac:dyDescent="0.25">
      <c r="A3163" s="66"/>
    </row>
    <row r="3164" spans="1:1" x14ac:dyDescent="0.25">
      <c r="A3164" s="66"/>
    </row>
    <row r="3165" spans="1:1" x14ac:dyDescent="0.25">
      <c r="A3165" s="66"/>
    </row>
    <row r="3166" spans="1:1" x14ac:dyDescent="0.25">
      <c r="A3166" s="66"/>
    </row>
    <row r="3167" spans="1:1" x14ac:dyDescent="0.25">
      <c r="A3167" s="66"/>
    </row>
    <row r="3168" spans="1:1" x14ac:dyDescent="0.25">
      <c r="A3168" s="66"/>
    </row>
    <row r="3169" spans="1:1" x14ac:dyDescent="0.25">
      <c r="A3169" s="66"/>
    </row>
    <row r="3170" spans="1:1" x14ac:dyDescent="0.25">
      <c r="A3170" s="66"/>
    </row>
    <row r="3171" spans="1:1" x14ac:dyDescent="0.25">
      <c r="A3171" s="66"/>
    </row>
    <row r="3172" spans="1:1" x14ac:dyDescent="0.25">
      <c r="A3172" s="66"/>
    </row>
    <row r="3173" spans="1:1" x14ac:dyDescent="0.25">
      <c r="A3173" s="66"/>
    </row>
    <row r="3174" spans="1:1" x14ac:dyDescent="0.25">
      <c r="A3174" s="66"/>
    </row>
    <row r="3175" spans="1:1" x14ac:dyDescent="0.25">
      <c r="A3175" s="66"/>
    </row>
    <row r="3176" spans="1:1" x14ac:dyDescent="0.25">
      <c r="A3176" s="66"/>
    </row>
    <row r="3177" spans="1:1" x14ac:dyDescent="0.25">
      <c r="A3177" s="66"/>
    </row>
    <row r="3178" spans="1:1" x14ac:dyDescent="0.25">
      <c r="A3178" s="66"/>
    </row>
    <row r="3179" spans="1:1" x14ac:dyDescent="0.25">
      <c r="A3179" s="66"/>
    </row>
    <row r="3180" spans="1:1" x14ac:dyDescent="0.25">
      <c r="A3180" s="66"/>
    </row>
    <row r="3181" spans="1:1" x14ac:dyDescent="0.25">
      <c r="A3181" s="66"/>
    </row>
    <row r="3182" spans="1:1" x14ac:dyDescent="0.25">
      <c r="A3182" s="66"/>
    </row>
    <row r="3183" spans="1:1" x14ac:dyDescent="0.25">
      <c r="A3183" s="66"/>
    </row>
    <row r="3184" spans="1:1" x14ac:dyDescent="0.25">
      <c r="A3184" s="66"/>
    </row>
    <row r="3185" spans="1:1" x14ac:dyDescent="0.25">
      <c r="A3185" s="66"/>
    </row>
    <row r="3186" spans="1:1" x14ac:dyDescent="0.25">
      <c r="A3186" s="66"/>
    </row>
    <row r="3187" spans="1:1" x14ac:dyDescent="0.25">
      <c r="A3187" s="66"/>
    </row>
    <row r="3188" spans="1:1" x14ac:dyDescent="0.25">
      <c r="A3188" s="66"/>
    </row>
    <row r="3189" spans="1:1" x14ac:dyDescent="0.25">
      <c r="A3189" s="66"/>
    </row>
    <row r="3190" spans="1:1" x14ac:dyDescent="0.25">
      <c r="A3190" s="66"/>
    </row>
    <row r="3191" spans="1:1" x14ac:dyDescent="0.25">
      <c r="A3191" s="66"/>
    </row>
    <row r="3192" spans="1:1" x14ac:dyDescent="0.25">
      <c r="A3192" s="66"/>
    </row>
    <row r="3193" spans="1:1" x14ac:dyDescent="0.25">
      <c r="A3193" s="66"/>
    </row>
    <row r="3194" spans="1:1" x14ac:dyDescent="0.25">
      <c r="A3194" s="66"/>
    </row>
    <row r="3195" spans="1:1" x14ac:dyDescent="0.25">
      <c r="A3195" s="66"/>
    </row>
    <row r="3196" spans="1:1" x14ac:dyDescent="0.25">
      <c r="A3196" s="66"/>
    </row>
    <row r="3197" spans="1:1" x14ac:dyDescent="0.25">
      <c r="A3197" s="66"/>
    </row>
    <row r="3198" spans="1:1" x14ac:dyDescent="0.25">
      <c r="A3198" s="66"/>
    </row>
    <row r="3199" spans="1:1" x14ac:dyDescent="0.25">
      <c r="A3199" s="66"/>
    </row>
    <row r="3200" spans="1:1" x14ac:dyDescent="0.25">
      <c r="A3200" s="66"/>
    </row>
    <row r="3201" spans="1:1" x14ac:dyDescent="0.25">
      <c r="A3201" s="66"/>
    </row>
    <row r="3202" spans="1:1" x14ac:dyDescent="0.25">
      <c r="A3202" s="66"/>
    </row>
    <row r="3203" spans="1:1" x14ac:dyDescent="0.25">
      <c r="A3203" s="66"/>
    </row>
    <row r="3204" spans="1:1" x14ac:dyDescent="0.25">
      <c r="A3204" s="66"/>
    </row>
    <row r="3205" spans="1:1" x14ac:dyDescent="0.25">
      <c r="A3205" s="66"/>
    </row>
    <row r="3206" spans="1:1" x14ac:dyDescent="0.25">
      <c r="A3206" s="66"/>
    </row>
    <row r="3207" spans="1:1" x14ac:dyDescent="0.25">
      <c r="A3207" s="66"/>
    </row>
    <row r="3208" spans="1:1" x14ac:dyDescent="0.25">
      <c r="A3208" s="66"/>
    </row>
    <row r="3209" spans="1:1" x14ac:dyDescent="0.25">
      <c r="A3209" s="66"/>
    </row>
    <row r="3210" spans="1:1" x14ac:dyDescent="0.25">
      <c r="A3210" s="66"/>
    </row>
    <row r="3211" spans="1:1" x14ac:dyDescent="0.25">
      <c r="A3211" s="66"/>
    </row>
    <row r="3212" spans="1:1" x14ac:dyDescent="0.25">
      <c r="A3212" s="66"/>
    </row>
    <row r="3213" spans="1:1" x14ac:dyDescent="0.25">
      <c r="A3213" s="66"/>
    </row>
    <row r="3214" spans="1:1" x14ac:dyDescent="0.25">
      <c r="A3214" s="66"/>
    </row>
    <row r="3215" spans="1:1" x14ac:dyDescent="0.25">
      <c r="A3215" s="66"/>
    </row>
    <row r="3216" spans="1:1" x14ac:dyDescent="0.25">
      <c r="A3216" s="66"/>
    </row>
    <row r="3217" spans="1:1" x14ac:dyDescent="0.25">
      <c r="A3217" s="66"/>
    </row>
    <row r="3218" spans="1:1" x14ac:dyDescent="0.25">
      <c r="A3218" s="66"/>
    </row>
    <row r="3219" spans="1:1" x14ac:dyDescent="0.25">
      <c r="A3219" s="66"/>
    </row>
    <row r="3220" spans="1:1" x14ac:dyDescent="0.25">
      <c r="A3220" s="66"/>
    </row>
    <row r="3221" spans="1:1" x14ac:dyDescent="0.25">
      <c r="A3221" s="66"/>
    </row>
    <row r="3222" spans="1:1" x14ac:dyDescent="0.25">
      <c r="A3222" s="66"/>
    </row>
    <row r="3223" spans="1:1" x14ac:dyDescent="0.25">
      <c r="A3223" s="66"/>
    </row>
    <row r="3224" spans="1:1" x14ac:dyDescent="0.25">
      <c r="A3224" s="66"/>
    </row>
    <row r="3225" spans="1:1" x14ac:dyDescent="0.25">
      <c r="A3225" s="66"/>
    </row>
    <row r="3226" spans="1:1" x14ac:dyDescent="0.25">
      <c r="A3226" s="66"/>
    </row>
    <row r="3227" spans="1:1" x14ac:dyDescent="0.25">
      <c r="A3227" s="66"/>
    </row>
    <row r="3228" spans="1:1" x14ac:dyDescent="0.25">
      <c r="A3228" s="66"/>
    </row>
    <row r="3229" spans="1:1" x14ac:dyDescent="0.25">
      <c r="A3229" s="66"/>
    </row>
    <row r="3230" spans="1:1" x14ac:dyDescent="0.25">
      <c r="A3230" s="66"/>
    </row>
    <row r="3231" spans="1:1" x14ac:dyDescent="0.25">
      <c r="A3231" s="66"/>
    </row>
    <row r="3232" spans="1:1" x14ac:dyDescent="0.25">
      <c r="A3232" s="66"/>
    </row>
    <row r="3233" spans="1:1" x14ac:dyDescent="0.25">
      <c r="A3233" s="66"/>
    </row>
    <row r="3234" spans="1:1" x14ac:dyDescent="0.25">
      <c r="A3234" s="66"/>
    </row>
    <row r="3235" spans="1:1" x14ac:dyDescent="0.25">
      <c r="A3235" s="66"/>
    </row>
    <row r="3236" spans="1:1" x14ac:dyDescent="0.25">
      <c r="A3236" s="66"/>
    </row>
    <row r="3237" spans="1:1" x14ac:dyDescent="0.25">
      <c r="A3237" s="66"/>
    </row>
    <row r="3238" spans="1:1" x14ac:dyDescent="0.25">
      <c r="A3238" s="66"/>
    </row>
    <row r="3239" spans="1:1" x14ac:dyDescent="0.25">
      <c r="A3239" s="66"/>
    </row>
    <row r="3240" spans="1:1" x14ac:dyDescent="0.25">
      <c r="A3240" s="66"/>
    </row>
    <row r="3241" spans="1:1" x14ac:dyDescent="0.25">
      <c r="A3241" s="66"/>
    </row>
    <row r="3242" spans="1:1" x14ac:dyDescent="0.25">
      <c r="A3242" s="66"/>
    </row>
    <row r="3243" spans="1:1" x14ac:dyDescent="0.25">
      <c r="A3243" s="66"/>
    </row>
    <row r="3244" spans="1:1" x14ac:dyDescent="0.25">
      <c r="A3244" s="66"/>
    </row>
    <row r="3245" spans="1:1" x14ac:dyDescent="0.25">
      <c r="A3245" s="66"/>
    </row>
    <row r="3246" spans="1:1" x14ac:dyDescent="0.25">
      <c r="A3246" s="66"/>
    </row>
    <row r="3247" spans="1:1" x14ac:dyDescent="0.25">
      <c r="A3247" s="66"/>
    </row>
    <row r="3248" spans="1:1" x14ac:dyDescent="0.25">
      <c r="A3248" s="66"/>
    </row>
    <row r="3249" spans="1:1" x14ac:dyDescent="0.25">
      <c r="A3249" s="66"/>
    </row>
    <row r="3250" spans="1:1" x14ac:dyDescent="0.25">
      <c r="A3250" s="66"/>
    </row>
    <row r="3251" spans="1:1" x14ac:dyDescent="0.25">
      <c r="A3251" s="66"/>
    </row>
    <row r="3252" spans="1:1" x14ac:dyDescent="0.25">
      <c r="A3252" s="66"/>
    </row>
    <row r="3253" spans="1:1" x14ac:dyDescent="0.25">
      <c r="A3253" s="66"/>
    </row>
    <row r="3254" spans="1:1" x14ac:dyDescent="0.25">
      <c r="A3254" s="66"/>
    </row>
    <row r="3255" spans="1:1" x14ac:dyDescent="0.25">
      <c r="A3255" s="66"/>
    </row>
    <row r="3256" spans="1:1" x14ac:dyDescent="0.25">
      <c r="A3256" s="66"/>
    </row>
    <row r="3257" spans="1:1" x14ac:dyDescent="0.25">
      <c r="A3257" s="66"/>
    </row>
    <row r="3258" spans="1:1" x14ac:dyDescent="0.25">
      <c r="A3258" s="66"/>
    </row>
    <row r="3259" spans="1:1" x14ac:dyDescent="0.25">
      <c r="A3259" s="66"/>
    </row>
    <row r="3260" spans="1:1" x14ac:dyDescent="0.25">
      <c r="A3260" s="66"/>
    </row>
    <row r="3261" spans="1:1" x14ac:dyDescent="0.25">
      <c r="A3261" s="66"/>
    </row>
    <row r="3262" spans="1:1" x14ac:dyDescent="0.25">
      <c r="A3262" s="66"/>
    </row>
    <row r="3263" spans="1:1" x14ac:dyDescent="0.25">
      <c r="A3263" s="66"/>
    </row>
    <row r="3264" spans="1:1" x14ac:dyDescent="0.25">
      <c r="A3264" s="66"/>
    </row>
    <row r="3265" spans="1:1" x14ac:dyDescent="0.25">
      <c r="A3265" s="66"/>
    </row>
    <row r="3266" spans="1:1" x14ac:dyDescent="0.25">
      <c r="A3266" s="66"/>
    </row>
    <row r="3267" spans="1:1" x14ac:dyDescent="0.25">
      <c r="A3267" s="66"/>
    </row>
    <row r="3268" spans="1:1" x14ac:dyDescent="0.25">
      <c r="A3268" s="66"/>
    </row>
    <row r="3269" spans="1:1" x14ac:dyDescent="0.25">
      <c r="A3269" s="66"/>
    </row>
    <row r="3270" spans="1:1" x14ac:dyDescent="0.25">
      <c r="A3270" s="66"/>
    </row>
    <row r="3271" spans="1:1" x14ac:dyDescent="0.25">
      <c r="A3271" s="66"/>
    </row>
    <row r="3272" spans="1:1" x14ac:dyDescent="0.25">
      <c r="A3272" s="66"/>
    </row>
    <row r="3273" spans="1:1" x14ac:dyDescent="0.25">
      <c r="A3273" s="66"/>
    </row>
    <row r="3274" spans="1:1" x14ac:dyDescent="0.25">
      <c r="A3274" s="66"/>
    </row>
    <row r="3275" spans="1:1" x14ac:dyDescent="0.25">
      <c r="A3275" s="66"/>
    </row>
    <row r="3276" spans="1:1" x14ac:dyDescent="0.25">
      <c r="A3276" s="66"/>
    </row>
    <row r="3277" spans="1:1" x14ac:dyDescent="0.25">
      <c r="A3277" s="66"/>
    </row>
    <row r="3278" spans="1:1" x14ac:dyDescent="0.25">
      <c r="A3278" s="66"/>
    </row>
    <row r="3279" spans="1:1" x14ac:dyDescent="0.25">
      <c r="A3279" s="66"/>
    </row>
    <row r="3280" spans="1:1" x14ac:dyDescent="0.25">
      <c r="A3280" s="66"/>
    </row>
    <row r="3281" spans="1:1" x14ac:dyDescent="0.25">
      <c r="A3281" s="66"/>
    </row>
    <row r="3282" spans="1:1" x14ac:dyDescent="0.25">
      <c r="A3282" s="66"/>
    </row>
    <row r="3283" spans="1:1" x14ac:dyDescent="0.25">
      <c r="A3283" s="66"/>
    </row>
    <row r="3284" spans="1:1" x14ac:dyDescent="0.25">
      <c r="A3284" s="66"/>
    </row>
    <row r="3285" spans="1:1" x14ac:dyDescent="0.25">
      <c r="A3285" s="66"/>
    </row>
    <row r="3286" spans="1:1" x14ac:dyDescent="0.25">
      <c r="A3286" s="66"/>
    </row>
    <row r="3287" spans="1:1" x14ac:dyDescent="0.25">
      <c r="A3287" s="66"/>
    </row>
    <row r="3288" spans="1:1" x14ac:dyDescent="0.25">
      <c r="A3288" s="66"/>
    </row>
    <row r="3289" spans="1:1" x14ac:dyDescent="0.25">
      <c r="A3289" s="66"/>
    </row>
    <row r="3290" spans="1:1" x14ac:dyDescent="0.25">
      <c r="A3290" s="66"/>
    </row>
    <row r="3291" spans="1:1" x14ac:dyDescent="0.25">
      <c r="A3291" s="66"/>
    </row>
    <row r="3292" spans="1:1" x14ac:dyDescent="0.25">
      <c r="A3292" s="66"/>
    </row>
    <row r="3293" spans="1:1" x14ac:dyDescent="0.25">
      <c r="A3293" s="66"/>
    </row>
    <row r="3294" spans="1:1" x14ac:dyDescent="0.25">
      <c r="A3294" s="66"/>
    </row>
    <row r="3295" spans="1:1" x14ac:dyDescent="0.25">
      <c r="A3295" s="66"/>
    </row>
    <row r="3296" spans="1:1" x14ac:dyDescent="0.25">
      <c r="A3296" s="66"/>
    </row>
    <row r="3297" spans="1:1" x14ac:dyDescent="0.25">
      <c r="A3297" s="66"/>
    </row>
    <row r="3298" spans="1:1" x14ac:dyDescent="0.25">
      <c r="A3298" s="66"/>
    </row>
    <row r="3299" spans="1:1" x14ac:dyDescent="0.25">
      <c r="A3299" s="66"/>
    </row>
    <row r="3300" spans="1:1" x14ac:dyDescent="0.25">
      <c r="A3300" s="66"/>
    </row>
    <row r="3301" spans="1:1" x14ac:dyDescent="0.25">
      <c r="A3301" s="66"/>
    </row>
    <row r="3302" spans="1:1" x14ac:dyDescent="0.25">
      <c r="A3302" s="66"/>
    </row>
    <row r="3303" spans="1:1" x14ac:dyDescent="0.25">
      <c r="A3303" s="66"/>
    </row>
    <row r="3304" spans="1:1" x14ac:dyDescent="0.25">
      <c r="A3304" s="66"/>
    </row>
    <row r="3305" spans="1:1" x14ac:dyDescent="0.25">
      <c r="A3305" s="66"/>
    </row>
    <row r="3306" spans="1:1" x14ac:dyDescent="0.25">
      <c r="A3306" s="66"/>
    </row>
    <row r="3307" spans="1:1" x14ac:dyDescent="0.25">
      <c r="A3307" s="66"/>
    </row>
    <row r="3308" spans="1:1" x14ac:dyDescent="0.25">
      <c r="A3308" s="66"/>
    </row>
    <row r="3309" spans="1:1" x14ac:dyDescent="0.25">
      <c r="A3309" s="66"/>
    </row>
    <row r="3310" spans="1:1" x14ac:dyDescent="0.25">
      <c r="A3310" s="66"/>
    </row>
    <row r="3311" spans="1:1" x14ac:dyDescent="0.25">
      <c r="A3311" s="66"/>
    </row>
    <row r="3312" spans="1:1" x14ac:dyDescent="0.25">
      <c r="A3312" s="66"/>
    </row>
    <row r="3313" spans="1:1" x14ac:dyDescent="0.25">
      <c r="A3313" s="66"/>
    </row>
    <row r="3314" spans="1:1" x14ac:dyDescent="0.25">
      <c r="A3314" s="66"/>
    </row>
    <row r="3315" spans="1:1" x14ac:dyDescent="0.25">
      <c r="A3315" s="66"/>
    </row>
    <row r="3316" spans="1:1" x14ac:dyDescent="0.25">
      <c r="A3316" s="66"/>
    </row>
    <row r="3317" spans="1:1" x14ac:dyDescent="0.25">
      <c r="A3317" s="66"/>
    </row>
    <row r="3318" spans="1:1" x14ac:dyDescent="0.25">
      <c r="A3318" s="66"/>
    </row>
    <row r="3319" spans="1:1" x14ac:dyDescent="0.25">
      <c r="A3319" s="66"/>
    </row>
    <row r="3320" spans="1:1" x14ac:dyDescent="0.25">
      <c r="A3320" s="66"/>
    </row>
    <row r="3321" spans="1:1" x14ac:dyDescent="0.25">
      <c r="A3321" s="66"/>
    </row>
    <row r="3322" spans="1:1" x14ac:dyDescent="0.25">
      <c r="A3322" s="66"/>
    </row>
    <row r="3323" spans="1:1" x14ac:dyDescent="0.25">
      <c r="A3323" s="66"/>
    </row>
    <row r="3324" spans="1:1" x14ac:dyDescent="0.25">
      <c r="A3324" s="66"/>
    </row>
    <row r="3325" spans="1:1" x14ac:dyDescent="0.25">
      <c r="A3325" s="66"/>
    </row>
    <row r="3326" spans="1:1" x14ac:dyDescent="0.25">
      <c r="A3326" s="66"/>
    </row>
    <row r="3327" spans="1:1" x14ac:dyDescent="0.25">
      <c r="A3327" s="66"/>
    </row>
    <row r="3328" spans="1:1" x14ac:dyDescent="0.25">
      <c r="A3328" s="66"/>
    </row>
    <row r="3329" spans="1:1" x14ac:dyDescent="0.25">
      <c r="A3329" s="66"/>
    </row>
    <row r="3330" spans="1:1" x14ac:dyDescent="0.25">
      <c r="A3330" s="66"/>
    </row>
    <row r="3331" spans="1:1" x14ac:dyDescent="0.25">
      <c r="A3331" s="66"/>
    </row>
    <row r="3332" spans="1:1" x14ac:dyDescent="0.25">
      <c r="A3332" s="66"/>
    </row>
    <row r="3333" spans="1:1" x14ac:dyDescent="0.25">
      <c r="A3333" s="66"/>
    </row>
    <row r="3334" spans="1:1" x14ac:dyDescent="0.25">
      <c r="A3334" s="66"/>
    </row>
    <row r="3335" spans="1:1" x14ac:dyDescent="0.25">
      <c r="A3335" s="66"/>
    </row>
    <row r="3336" spans="1:1" x14ac:dyDescent="0.25">
      <c r="A3336" s="66"/>
    </row>
    <row r="3337" spans="1:1" x14ac:dyDescent="0.25">
      <c r="A3337" s="66"/>
    </row>
    <row r="3338" spans="1:1" x14ac:dyDescent="0.25">
      <c r="A3338" s="66"/>
    </row>
    <row r="3339" spans="1:1" x14ac:dyDescent="0.25">
      <c r="A3339" s="66"/>
    </row>
    <row r="3340" spans="1:1" x14ac:dyDescent="0.25">
      <c r="A3340" s="66"/>
    </row>
    <row r="3341" spans="1:1" x14ac:dyDescent="0.25">
      <c r="A3341" s="66"/>
    </row>
    <row r="3342" spans="1:1" x14ac:dyDescent="0.25">
      <c r="A3342" s="66"/>
    </row>
    <row r="3343" spans="1:1" x14ac:dyDescent="0.25">
      <c r="A3343" s="66"/>
    </row>
    <row r="3344" spans="1:1" x14ac:dyDescent="0.25">
      <c r="A3344" s="66"/>
    </row>
    <row r="3345" spans="1:1" x14ac:dyDescent="0.25">
      <c r="A3345" s="66"/>
    </row>
    <row r="3346" spans="1:1" x14ac:dyDescent="0.25">
      <c r="A3346" s="66"/>
    </row>
    <row r="3347" spans="1:1" x14ac:dyDescent="0.25">
      <c r="A3347" s="66"/>
    </row>
    <row r="3348" spans="1:1" x14ac:dyDescent="0.25">
      <c r="A3348" s="66"/>
    </row>
    <row r="3349" spans="1:1" x14ac:dyDescent="0.25">
      <c r="A3349" s="66"/>
    </row>
    <row r="3350" spans="1:1" x14ac:dyDescent="0.25">
      <c r="A3350" s="66"/>
    </row>
    <row r="3351" spans="1:1" x14ac:dyDescent="0.25">
      <c r="A3351" s="66"/>
    </row>
    <row r="3352" spans="1:1" x14ac:dyDescent="0.25">
      <c r="A3352" s="66"/>
    </row>
    <row r="3353" spans="1:1" x14ac:dyDescent="0.25">
      <c r="A3353" s="66"/>
    </row>
    <row r="3354" spans="1:1" x14ac:dyDescent="0.25">
      <c r="A3354" s="66"/>
    </row>
    <row r="3355" spans="1:1" x14ac:dyDescent="0.25">
      <c r="A3355" s="66"/>
    </row>
    <row r="3356" spans="1:1" x14ac:dyDescent="0.25">
      <c r="A3356" s="66"/>
    </row>
    <row r="3357" spans="1:1" x14ac:dyDescent="0.25">
      <c r="A3357" s="66"/>
    </row>
    <row r="3358" spans="1:1" x14ac:dyDescent="0.25">
      <c r="A3358" s="66"/>
    </row>
    <row r="3359" spans="1:1" x14ac:dyDescent="0.25">
      <c r="A3359" s="66"/>
    </row>
    <row r="3360" spans="1:1" x14ac:dyDescent="0.25">
      <c r="A3360" s="66"/>
    </row>
    <row r="3361" spans="1:1" x14ac:dyDescent="0.25">
      <c r="A3361" s="66"/>
    </row>
    <row r="3362" spans="1:1" x14ac:dyDescent="0.25">
      <c r="A3362" s="66"/>
    </row>
    <row r="3363" spans="1:1" x14ac:dyDescent="0.25">
      <c r="A3363" s="66"/>
    </row>
    <row r="3364" spans="1:1" x14ac:dyDescent="0.25">
      <c r="A3364" s="66"/>
    </row>
    <row r="3365" spans="1:1" x14ac:dyDescent="0.25">
      <c r="A3365" s="66"/>
    </row>
    <row r="3366" spans="1:1" x14ac:dyDescent="0.25">
      <c r="A3366" s="66"/>
    </row>
    <row r="3367" spans="1:1" x14ac:dyDescent="0.25">
      <c r="A3367" s="66"/>
    </row>
    <row r="3368" spans="1:1" x14ac:dyDescent="0.25">
      <c r="A3368" s="66"/>
    </row>
    <row r="3369" spans="1:1" x14ac:dyDescent="0.25">
      <c r="A3369" s="66"/>
    </row>
    <row r="3370" spans="1:1" x14ac:dyDescent="0.25">
      <c r="A3370" s="66"/>
    </row>
    <row r="3371" spans="1:1" x14ac:dyDescent="0.25">
      <c r="A3371" s="66"/>
    </row>
    <row r="3372" spans="1:1" x14ac:dyDescent="0.25">
      <c r="A3372" s="66"/>
    </row>
    <row r="3373" spans="1:1" x14ac:dyDescent="0.25">
      <c r="A3373" s="66"/>
    </row>
    <row r="3374" spans="1:1" x14ac:dyDescent="0.25">
      <c r="A3374" s="66"/>
    </row>
    <row r="3375" spans="1:1" x14ac:dyDescent="0.25">
      <c r="A3375" s="66"/>
    </row>
    <row r="3376" spans="1:1" x14ac:dyDescent="0.25">
      <c r="A3376" s="66"/>
    </row>
    <row r="3377" spans="1:1" x14ac:dyDescent="0.25">
      <c r="A3377" s="66"/>
    </row>
    <row r="3378" spans="1:1" x14ac:dyDescent="0.25">
      <c r="A3378" s="66"/>
    </row>
    <row r="3379" spans="1:1" x14ac:dyDescent="0.25">
      <c r="A3379" s="66"/>
    </row>
    <row r="3380" spans="1:1" x14ac:dyDescent="0.25">
      <c r="A3380" s="66"/>
    </row>
    <row r="3381" spans="1:1" x14ac:dyDescent="0.25">
      <c r="A3381" s="66"/>
    </row>
    <row r="3382" spans="1:1" x14ac:dyDescent="0.25">
      <c r="A3382" s="66"/>
    </row>
    <row r="3383" spans="1:1" x14ac:dyDescent="0.25">
      <c r="A3383" s="66"/>
    </row>
    <row r="3384" spans="1:1" x14ac:dyDescent="0.25">
      <c r="A3384" s="66"/>
    </row>
    <row r="3385" spans="1:1" x14ac:dyDescent="0.25">
      <c r="A3385" s="66"/>
    </row>
    <row r="3386" spans="1:1" x14ac:dyDescent="0.25">
      <c r="A3386" s="66"/>
    </row>
    <row r="3387" spans="1:1" x14ac:dyDescent="0.25">
      <c r="A3387" s="66"/>
    </row>
    <row r="3388" spans="1:1" x14ac:dyDescent="0.25">
      <c r="A3388" s="66"/>
    </row>
    <row r="3389" spans="1:1" x14ac:dyDescent="0.25">
      <c r="A3389" s="66"/>
    </row>
    <row r="3390" spans="1:1" x14ac:dyDescent="0.25">
      <c r="A3390" s="66"/>
    </row>
    <row r="3391" spans="1:1" x14ac:dyDescent="0.25">
      <c r="A3391" s="66"/>
    </row>
    <row r="3392" spans="1:1" x14ac:dyDescent="0.25">
      <c r="A3392" s="66"/>
    </row>
    <row r="3393" spans="1:1" x14ac:dyDescent="0.25">
      <c r="A3393" s="66"/>
    </row>
    <row r="3394" spans="1:1" x14ac:dyDescent="0.25">
      <c r="A3394" s="66"/>
    </row>
    <row r="3395" spans="1:1" x14ac:dyDescent="0.25">
      <c r="A3395" s="66"/>
    </row>
    <row r="3396" spans="1:1" x14ac:dyDescent="0.25">
      <c r="A3396" s="66"/>
    </row>
    <row r="3397" spans="1:1" x14ac:dyDescent="0.25">
      <c r="A3397" s="66"/>
    </row>
    <row r="3398" spans="1:1" x14ac:dyDescent="0.25">
      <c r="A3398" s="66"/>
    </row>
    <row r="3399" spans="1:1" x14ac:dyDescent="0.25">
      <c r="A3399" s="66"/>
    </row>
    <row r="3400" spans="1:1" x14ac:dyDescent="0.25">
      <c r="A3400" s="66"/>
    </row>
    <row r="3401" spans="1:1" x14ac:dyDescent="0.25">
      <c r="A3401" s="66"/>
    </row>
    <row r="3402" spans="1:1" x14ac:dyDescent="0.25">
      <c r="A3402" s="66"/>
    </row>
    <row r="3403" spans="1:1" x14ac:dyDescent="0.25">
      <c r="A3403" s="66"/>
    </row>
    <row r="3404" spans="1:1" x14ac:dyDescent="0.25">
      <c r="A3404" s="66"/>
    </row>
    <row r="3405" spans="1:1" x14ac:dyDescent="0.25">
      <c r="A3405" s="66"/>
    </row>
    <row r="3406" spans="1:1" x14ac:dyDescent="0.25">
      <c r="A3406" s="66"/>
    </row>
    <row r="3407" spans="1:1" x14ac:dyDescent="0.25">
      <c r="A3407" s="66"/>
    </row>
    <row r="3408" spans="1:1" x14ac:dyDescent="0.25">
      <c r="A3408" s="66"/>
    </row>
    <row r="3409" spans="1:1" x14ac:dyDescent="0.25">
      <c r="A3409" s="66"/>
    </row>
    <row r="3410" spans="1:1" x14ac:dyDescent="0.25">
      <c r="A3410" s="66"/>
    </row>
    <row r="3411" spans="1:1" x14ac:dyDescent="0.25">
      <c r="A3411" s="66"/>
    </row>
    <row r="3412" spans="1:1" x14ac:dyDescent="0.25">
      <c r="A3412" s="66"/>
    </row>
    <row r="3413" spans="1:1" x14ac:dyDescent="0.25">
      <c r="A3413" s="66"/>
    </row>
    <row r="3414" spans="1:1" x14ac:dyDescent="0.25">
      <c r="A3414" s="66"/>
    </row>
    <row r="3415" spans="1:1" x14ac:dyDescent="0.25">
      <c r="A3415" s="66"/>
    </row>
    <row r="3416" spans="1:1" x14ac:dyDescent="0.25">
      <c r="A3416" s="66"/>
    </row>
    <row r="3417" spans="1:1" x14ac:dyDescent="0.25">
      <c r="A3417" s="66"/>
    </row>
    <row r="3418" spans="1:1" x14ac:dyDescent="0.25">
      <c r="A3418" s="66"/>
    </row>
    <row r="3419" spans="1:1" x14ac:dyDescent="0.25">
      <c r="A3419" s="66"/>
    </row>
    <row r="3420" spans="1:1" x14ac:dyDescent="0.25">
      <c r="A3420" s="66"/>
    </row>
    <row r="3421" spans="1:1" x14ac:dyDescent="0.25">
      <c r="A3421" s="66"/>
    </row>
    <row r="3422" spans="1:1" x14ac:dyDescent="0.25">
      <c r="A3422" s="66"/>
    </row>
    <row r="3423" spans="1:1" x14ac:dyDescent="0.25">
      <c r="A3423" s="66"/>
    </row>
    <row r="3424" spans="1:1" x14ac:dyDescent="0.25">
      <c r="A3424" s="66"/>
    </row>
    <row r="3425" spans="1:1" x14ac:dyDescent="0.25">
      <c r="A3425" s="66"/>
    </row>
    <row r="3426" spans="1:1" x14ac:dyDescent="0.25">
      <c r="A3426" s="66"/>
    </row>
    <row r="3427" spans="1:1" x14ac:dyDescent="0.25">
      <c r="A3427" s="66"/>
    </row>
    <row r="3428" spans="1:1" x14ac:dyDescent="0.25">
      <c r="A3428" s="66"/>
    </row>
    <row r="3429" spans="1:1" x14ac:dyDescent="0.25">
      <c r="A3429" s="66"/>
    </row>
    <row r="3430" spans="1:1" x14ac:dyDescent="0.25">
      <c r="A3430" s="66"/>
    </row>
    <row r="3431" spans="1:1" x14ac:dyDescent="0.25">
      <c r="A3431" s="66"/>
    </row>
    <row r="3432" spans="1:1" x14ac:dyDescent="0.25">
      <c r="A3432" s="66"/>
    </row>
    <row r="3433" spans="1:1" x14ac:dyDescent="0.25">
      <c r="A3433" s="66"/>
    </row>
    <row r="3434" spans="1:1" x14ac:dyDescent="0.25">
      <c r="A3434" s="66"/>
    </row>
    <row r="3435" spans="1:1" x14ac:dyDescent="0.25">
      <c r="A3435" s="66"/>
    </row>
    <row r="3436" spans="1:1" x14ac:dyDescent="0.25">
      <c r="A3436" s="66"/>
    </row>
    <row r="3437" spans="1:1" x14ac:dyDescent="0.25">
      <c r="A3437" s="66"/>
    </row>
    <row r="3438" spans="1:1" x14ac:dyDescent="0.25">
      <c r="A3438" s="66"/>
    </row>
    <row r="3439" spans="1:1" x14ac:dyDescent="0.25">
      <c r="A3439" s="66"/>
    </row>
    <row r="3440" spans="1:1" x14ac:dyDescent="0.25">
      <c r="A3440" s="66"/>
    </row>
    <row r="3441" spans="1:1" x14ac:dyDescent="0.25">
      <c r="A3441" s="66"/>
    </row>
    <row r="3442" spans="1:1" x14ac:dyDescent="0.25">
      <c r="A3442" s="66"/>
    </row>
    <row r="3443" spans="1:1" x14ac:dyDescent="0.25">
      <c r="A3443" s="66"/>
    </row>
    <row r="3444" spans="1:1" x14ac:dyDescent="0.25">
      <c r="A3444" s="66"/>
    </row>
    <row r="3445" spans="1:1" x14ac:dyDescent="0.25">
      <c r="A3445" s="66"/>
    </row>
    <row r="3446" spans="1:1" x14ac:dyDescent="0.25">
      <c r="A3446" s="66"/>
    </row>
    <row r="3447" spans="1:1" x14ac:dyDescent="0.25">
      <c r="A3447" s="66"/>
    </row>
    <row r="3448" spans="1:1" x14ac:dyDescent="0.25">
      <c r="A3448" s="66"/>
    </row>
    <row r="3449" spans="1:1" x14ac:dyDescent="0.25">
      <c r="A3449" s="66"/>
    </row>
    <row r="3450" spans="1:1" x14ac:dyDescent="0.25">
      <c r="A3450" s="66"/>
    </row>
    <row r="3451" spans="1:1" x14ac:dyDescent="0.25">
      <c r="A3451" s="66"/>
    </row>
    <row r="3452" spans="1:1" x14ac:dyDescent="0.25">
      <c r="A3452" s="66"/>
    </row>
    <row r="3453" spans="1:1" x14ac:dyDescent="0.25">
      <c r="A3453" s="66"/>
    </row>
    <row r="3454" spans="1:1" x14ac:dyDescent="0.25">
      <c r="A3454" s="66"/>
    </row>
    <row r="3455" spans="1:1" x14ac:dyDescent="0.25">
      <c r="A3455" s="66"/>
    </row>
    <row r="3456" spans="1:1" x14ac:dyDescent="0.25">
      <c r="A3456" s="66"/>
    </row>
    <row r="3457" spans="1:1" x14ac:dyDescent="0.25">
      <c r="A3457" s="66"/>
    </row>
    <row r="3458" spans="1:1" x14ac:dyDescent="0.25">
      <c r="A3458" s="66"/>
    </row>
    <row r="3459" spans="1:1" x14ac:dyDescent="0.25">
      <c r="A3459" s="66"/>
    </row>
    <row r="3460" spans="1:1" x14ac:dyDescent="0.25">
      <c r="A3460" s="66"/>
    </row>
    <row r="3461" spans="1:1" x14ac:dyDescent="0.25">
      <c r="A3461" s="66"/>
    </row>
    <row r="3462" spans="1:1" x14ac:dyDescent="0.25">
      <c r="A3462" s="66"/>
    </row>
    <row r="3463" spans="1:1" x14ac:dyDescent="0.25">
      <c r="A3463" s="66"/>
    </row>
    <row r="3464" spans="1:1" x14ac:dyDescent="0.25">
      <c r="A3464" s="66"/>
    </row>
    <row r="3465" spans="1:1" x14ac:dyDescent="0.25">
      <c r="A3465" s="66"/>
    </row>
    <row r="3466" spans="1:1" x14ac:dyDescent="0.25">
      <c r="A3466" s="66"/>
    </row>
    <row r="3467" spans="1:1" x14ac:dyDescent="0.25">
      <c r="A3467" s="66"/>
    </row>
    <row r="3468" spans="1:1" x14ac:dyDescent="0.25">
      <c r="A3468" s="66"/>
    </row>
    <row r="3469" spans="1:1" x14ac:dyDescent="0.25">
      <c r="A3469" s="66"/>
    </row>
    <row r="3470" spans="1:1" x14ac:dyDescent="0.25">
      <c r="A3470" s="66"/>
    </row>
    <row r="3471" spans="1:1" x14ac:dyDescent="0.25">
      <c r="A3471" s="66"/>
    </row>
    <row r="3472" spans="1:1" x14ac:dyDescent="0.25">
      <c r="A3472" s="66"/>
    </row>
    <row r="3473" spans="1:1" x14ac:dyDescent="0.25">
      <c r="A3473" s="66"/>
    </row>
    <row r="3474" spans="1:1" x14ac:dyDescent="0.25">
      <c r="A3474" s="66"/>
    </row>
    <row r="3475" spans="1:1" x14ac:dyDescent="0.25">
      <c r="A3475" s="66"/>
    </row>
    <row r="3476" spans="1:1" x14ac:dyDescent="0.25">
      <c r="A3476" s="66"/>
    </row>
    <row r="3477" spans="1:1" x14ac:dyDescent="0.25">
      <c r="A3477" s="66"/>
    </row>
    <row r="3478" spans="1:1" x14ac:dyDescent="0.25">
      <c r="A3478" s="66"/>
    </row>
    <row r="3479" spans="1:1" x14ac:dyDescent="0.25">
      <c r="A3479" s="66"/>
    </row>
    <row r="3480" spans="1:1" x14ac:dyDescent="0.25">
      <c r="A3480" s="66"/>
    </row>
    <row r="3481" spans="1:1" x14ac:dyDescent="0.25">
      <c r="A3481" s="66"/>
    </row>
    <row r="3482" spans="1:1" x14ac:dyDescent="0.25">
      <c r="A3482" s="66"/>
    </row>
    <row r="3483" spans="1:1" x14ac:dyDescent="0.25">
      <c r="A3483" s="66"/>
    </row>
    <row r="3484" spans="1:1" x14ac:dyDescent="0.25">
      <c r="A3484" s="66"/>
    </row>
    <row r="3485" spans="1:1" x14ac:dyDescent="0.25">
      <c r="A3485" s="66"/>
    </row>
    <row r="3486" spans="1:1" x14ac:dyDescent="0.25">
      <c r="A3486" s="66"/>
    </row>
    <row r="3487" spans="1:1" x14ac:dyDescent="0.25">
      <c r="A3487" s="66"/>
    </row>
    <row r="3488" spans="1:1" x14ac:dyDescent="0.25">
      <c r="A3488" s="66"/>
    </row>
    <row r="3489" spans="1:1" x14ac:dyDescent="0.25">
      <c r="A3489" s="66"/>
    </row>
    <row r="3490" spans="1:1" x14ac:dyDescent="0.25">
      <c r="A3490" s="66"/>
    </row>
    <row r="3491" spans="1:1" x14ac:dyDescent="0.25">
      <c r="A3491" s="66"/>
    </row>
    <row r="3492" spans="1:1" x14ac:dyDescent="0.25">
      <c r="A3492" s="66"/>
    </row>
    <row r="3493" spans="1:1" x14ac:dyDescent="0.25">
      <c r="A3493" s="66"/>
    </row>
    <row r="3494" spans="1:1" x14ac:dyDescent="0.25">
      <c r="A3494" s="66"/>
    </row>
    <row r="3495" spans="1:1" x14ac:dyDescent="0.25">
      <c r="A3495" s="66"/>
    </row>
    <row r="3496" spans="1:1" x14ac:dyDescent="0.25">
      <c r="A3496" s="66"/>
    </row>
    <row r="3497" spans="1:1" x14ac:dyDescent="0.25">
      <c r="A3497" s="66"/>
    </row>
    <row r="3498" spans="1:1" x14ac:dyDescent="0.25">
      <c r="A3498" s="66"/>
    </row>
    <row r="3499" spans="1:1" x14ac:dyDescent="0.25">
      <c r="A3499" s="66"/>
    </row>
    <row r="3500" spans="1:1" x14ac:dyDescent="0.25">
      <c r="A3500" s="66"/>
    </row>
    <row r="3501" spans="1:1" x14ac:dyDescent="0.25">
      <c r="A3501" s="66"/>
    </row>
    <row r="3502" spans="1:1" x14ac:dyDescent="0.25">
      <c r="A3502" s="66"/>
    </row>
    <row r="3503" spans="1:1" x14ac:dyDescent="0.25">
      <c r="A3503" s="66"/>
    </row>
    <row r="3504" spans="1:1" x14ac:dyDescent="0.25">
      <c r="A3504" s="66"/>
    </row>
    <row r="3505" spans="1:1" x14ac:dyDescent="0.25">
      <c r="A3505" s="66"/>
    </row>
    <row r="3506" spans="1:1" x14ac:dyDescent="0.25">
      <c r="A3506" s="66"/>
    </row>
    <row r="3507" spans="1:1" x14ac:dyDescent="0.25">
      <c r="A3507" s="66"/>
    </row>
    <row r="3508" spans="1:1" x14ac:dyDescent="0.25">
      <c r="A3508" s="66"/>
    </row>
    <row r="3509" spans="1:1" x14ac:dyDescent="0.25">
      <c r="A3509" s="66"/>
    </row>
    <row r="3510" spans="1:1" x14ac:dyDescent="0.25">
      <c r="A3510" s="66"/>
    </row>
    <row r="3511" spans="1:1" x14ac:dyDescent="0.25">
      <c r="A3511" s="66"/>
    </row>
    <row r="3512" spans="1:1" x14ac:dyDescent="0.25">
      <c r="A3512" s="66"/>
    </row>
    <row r="3513" spans="1:1" x14ac:dyDescent="0.25">
      <c r="A3513" s="66"/>
    </row>
    <row r="3514" spans="1:1" x14ac:dyDescent="0.25">
      <c r="A3514" s="66"/>
    </row>
    <row r="3515" spans="1:1" x14ac:dyDescent="0.25">
      <c r="A3515" s="66"/>
    </row>
    <row r="3516" spans="1:1" x14ac:dyDescent="0.25">
      <c r="A3516" s="66"/>
    </row>
    <row r="3517" spans="1:1" x14ac:dyDescent="0.25">
      <c r="A3517" s="66"/>
    </row>
    <row r="3518" spans="1:1" x14ac:dyDescent="0.25">
      <c r="A3518" s="66"/>
    </row>
    <row r="3519" spans="1:1" x14ac:dyDescent="0.25">
      <c r="A3519" s="66"/>
    </row>
    <row r="3520" spans="1:1" x14ac:dyDescent="0.25">
      <c r="A3520" s="66"/>
    </row>
    <row r="3521" spans="1:1" x14ac:dyDescent="0.25">
      <c r="A3521" s="66"/>
    </row>
    <row r="3522" spans="1:1" x14ac:dyDescent="0.25">
      <c r="A3522" s="66"/>
    </row>
    <row r="3523" spans="1:1" x14ac:dyDescent="0.25">
      <c r="A3523" s="66"/>
    </row>
    <row r="3524" spans="1:1" x14ac:dyDescent="0.25">
      <c r="A3524" s="66"/>
    </row>
    <row r="3525" spans="1:1" x14ac:dyDescent="0.25">
      <c r="A3525" s="66"/>
    </row>
    <row r="3526" spans="1:1" x14ac:dyDescent="0.25">
      <c r="A3526" s="66"/>
    </row>
    <row r="3527" spans="1:1" x14ac:dyDescent="0.25">
      <c r="A3527" s="66"/>
    </row>
    <row r="3528" spans="1:1" x14ac:dyDescent="0.25">
      <c r="A3528" s="66"/>
    </row>
    <row r="3529" spans="1:1" x14ac:dyDescent="0.25">
      <c r="A3529" s="66"/>
    </row>
    <row r="3530" spans="1:1" x14ac:dyDescent="0.25">
      <c r="A3530" s="66"/>
    </row>
    <row r="3531" spans="1:1" x14ac:dyDescent="0.25">
      <c r="A3531" s="66"/>
    </row>
    <row r="3532" spans="1:1" x14ac:dyDescent="0.25">
      <c r="A3532" s="66"/>
    </row>
    <row r="3533" spans="1:1" x14ac:dyDescent="0.25">
      <c r="A3533" s="66"/>
    </row>
    <row r="3534" spans="1:1" x14ac:dyDescent="0.25">
      <c r="A3534" s="66"/>
    </row>
    <row r="3535" spans="1:1" x14ac:dyDescent="0.25">
      <c r="A3535" s="66"/>
    </row>
    <row r="3536" spans="1:1" x14ac:dyDescent="0.25">
      <c r="A3536" s="66"/>
    </row>
    <row r="3537" spans="1:1" x14ac:dyDescent="0.25">
      <c r="A3537" s="66"/>
    </row>
    <row r="3538" spans="1:1" x14ac:dyDescent="0.25">
      <c r="A3538" s="66"/>
    </row>
    <row r="3539" spans="1:1" x14ac:dyDescent="0.25">
      <c r="A3539" s="66"/>
    </row>
    <row r="3540" spans="1:1" x14ac:dyDescent="0.25">
      <c r="A3540" s="66"/>
    </row>
    <row r="3541" spans="1:1" x14ac:dyDescent="0.25">
      <c r="A3541" s="66"/>
    </row>
    <row r="3542" spans="1:1" x14ac:dyDescent="0.25">
      <c r="A3542" s="66"/>
    </row>
    <row r="3543" spans="1:1" x14ac:dyDescent="0.25">
      <c r="A3543" s="66"/>
    </row>
    <row r="3544" spans="1:1" x14ac:dyDescent="0.25">
      <c r="A3544" s="66"/>
    </row>
    <row r="3545" spans="1:1" x14ac:dyDescent="0.25">
      <c r="A3545" s="66"/>
    </row>
    <row r="3546" spans="1:1" x14ac:dyDescent="0.25">
      <c r="A3546" s="66"/>
    </row>
    <row r="3547" spans="1:1" x14ac:dyDescent="0.25">
      <c r="A3547" s="66"/>
    </row>
    <row r="3548" spans="1:1" x14ac:dyDescent="0.25">
      <c r="A3548" s="66"/>
    </row>
    <row r="3549" spans="1:1" x14ac:dyDescent="0.25">
      <c r="A3549" s="66"/>
    </row>
    <row r="3550" spans="1:1" x14ac:dyDescent="0.25">
      <c r="A3550" s="66"/>
    </row>
    <row r="3551" spans="1:1" x14ac:dyDescent="0.25">
      <c r="A3551" s="66"/>
    </row>
    <row r="3552" spans="1:1" x14ac:dyDescent="0.25">
      <c r="A3552" s="66"/>
    </row>
    <row r="3553" spans="1:1" x14ac:dyDescent="0.25">
      <c r="A3553" s="66"/>
    </row>
    <row r="3554" spans="1:1" x14ac:dyDescent="0.25">
      <c r="A3554" s="66"/>
    </row>
    <row r="3555" spans="1:1" x14ac:dyDescent="0.25">
      <c r="A3555" s="66"/>
    </row>
    <row r="3556" spans="1:1" x14ac:dyDescent="0.25">
      <c r="A3556" s="66"/>
    </row>
    <row r="3557" spans="1:1" x14ac:dyDescent="0.25">
      <c r="A3557" s="66"/>
    </row>
    <row r="3558" spans="1:1" x14ac:dyDescent="0.25">
      <c r="A3558" s="66"/>
    </row>
    <row r="3559" spans="1:1" x14ac:dyDescent="0.25">
      <c r="A3559" s="66"/>
    </row>
    <row r="3560" spans="1:1" x14ac:dyDescent="0.25">
      <c r="A3560" s="66"/>
    </row>
    <row r="3561" spans="1:1" x14ac:dyDescent="0.25">
      <c r="A3561" s="66"/>
    </row>
    <row r="3562" spans="1:1" x14ac:dyDescent="0.25">
      <c r="A3562" s="66"/>
    </row>
    <row r="3563" spans="1:1" x14ac:dyDescent="0.25">
      <c r="A3563" s="66"/>
    </row>
    <row r="3564" spans="1:1" x14ac:dyDescent="0.25">
      <c r="A3564" s="66"/>
    </row>
    <row r="3565" spans="1:1" x14ac:dyDescent="0.25">
      <c r="A3565" s="66"/>
    </row>
    <row r="3566" spans="1:1" x14ac:dyDescent="0.25">
      <c r="A3566" s="66"/>
    </row>
    <row r="3567" spans="1:1" x14ac:dyDescent="0.25">
      <c r="A3567" s="66"/>
    </row>
    <row r="3568" spans="1:1" x14ac:dyDescent="0.25">
      <c r="A3568" s="66"/>
    </row>
    <row r="3569" spans="1:1" x14ac:dyDescent="0.25">
      <c r="A3569" s="66"/>
    </row>
    <row r="3570" spans="1:1" x14ac:dyDescent="0.25">
      <c r="A3570" s="66"/>
    </row>
    <row r="3571" spans="1:1" x14ac:dyDescent="0.25">
      <c r="A3571" s="66"/>
    </row>
    <row r="3572" spans="1:1" x14ac:dyDescent="0.25">
      <c r="A3572" s="66"/>
    </row>
    <row r="3573" spans="1:1" x14ac:dyDescent="0.25">
      <c r="A3573" s="66"/>
    </row>
    <row r="3574" spans="1:1" x14ac:dyDescent="0.25">
      <c r="A3574" s="66"/>
    </row>
    <row r="3575" spans="1:1" x14ac:dyDescent="0.25">
      <c r="A3575" s="66"/>
    </row>
    <row r="3576" spans="1:1" x14ac:dyDescent="0.25">
      <c r="A3576" s="66"/>
    </row>
    <row r="3577" spans="1:1" x14ac:dyDescent="0.25">
      <c r="A3577" s="66"/>
    </row>
    <row r="3578" spans="1:1" x14ac:dyDescent="0.25">
      <c r="A3578" s="66"/>
    </row>
    <row r="3579" spans="1:1" x14ac:dyDescent="0.25">
      <c r="A3579" s="66"/>
    </row>
    <row r="3580" spans="1:1" x14ac:dyDescent="0.25">
      <c r="A3580" s="66"/>
    </row>
    <row r="3581" spans="1:1" x14ac:dyDescent="0.25">
      <c r="A3581" s="66"/>
    </row>
    <row r="3582" spans="1:1" x14ac:dyDescent="0.25">
      <c r="A3582" s="66"/>
    </row>
    <row r="3583" spans="1:1" x14ac:dyDescent="0.25">
      <c r="A3583" s="66"/>
    </row>
    <row r="3584" spans="1:1" x14ac:dyDescent="0.25">
      <c r="A3584" s="66"/>
    </row>
    <row r="3585" spans="1:1" x14ac:dyDescent="0.25">
      <c r="A3585" s="66"/>
    </row>
    <row r="3586" spans="1:1" x14ac:dyDescent="0.25">
      <c r="A3586" s="66"/>
    </row>
    <row r="3587" spans="1:1" x14ac:dyDescent="0.25">
      <c r="A3587" s="66"/>
    </row>
    <row r="3588" spans="1:1" x14ac:dyDescent="0.25">
      <c r="A3588" s="66"/>
    </row>
    <row r="3589" spans="1:1" x14ac:dyDescent="0.25">
      <c r="A3589" s="66"/>
    </row>
    <row r="3590" spans="1:1" x14ac:dyDescent="0.25">
      <c r="A3590" s="66"/>
    </row>
    <row r="3591" spans="1:1" x14ac:dyDescent="0.25">
      <c r="A3591" s="66"/>
    </row>
    <row r="3592" spans="1:1" x14ac:dyDescent="0.25">
      <c r="A3592" s="66"/>
    </row>
    <row r="3593" spans="1:1" x14ac:dyDescent="0.25">
      <c r="A3593" s="66"/>
    </row>
    <row r="3594" spans="1:1" x14ac:dyDescent="0.25">
      <c r="A3594" s="66"/>
    </row>
    <row r="3595" spans="1:1" x14ac:dyDescent="0.25">
      <c r="A3595" s="66"/>
    </row>
    <row r="3596" spans="1:1" x14ac:dyDescent="0.25">
      <c r="A3596" s="66"/>
    </row>
    <row r="3597" spans="1:1" x14ac:dyDescent="0.25">
      <c r="A3597" s="66"/>
    </row>
    <row r="3598" spans="1:1" x14ac:dyDescent="0.25">
      <c r="A3598" s="66"/>
    </row>
    <row r="3599" spans="1:1" x14ac:dyDescent="0.25">
      <c r="A3599" s="66"/>
    </row>
    <row r="3600" spans="1:1" x14ac:dyDescent="0.25">
      <c r="A3600" s="66"/>
    </row>
    <row r="3601" spans="1:1" x14ac:dyDescent="0.25">
      <c r="A3601" s="66"/>
    </row>
    <row r="3602" spans="1:1" x14ac:dyDescent="0.25">
      <c r="A3602" s="66"/>
    </row>
    <row r="3603" spans="1:1" x14ac:dyDescent="0.25">
      <c r="A3603" s="66"/>
    </row>
    <row r="3604" spans="1:1" x14ac:dyDescent="0.25">
      <c r="A3604" s="66"/>
    </row>
    <row r="3605" spans="1:1" x14ac:dyDescent="0.25">
      <c r="A3605" s="66"/>
    </row>
    <row r="3606" spans="1:1" x14ac:dyDescent="0.25">
      <c r="A3606" s="66"/>
    </row>
    <row r="3607" spans="1:1" x14ac:dyDescent="0.25">
      <c r="A3607" s="66"/>
    </row>
    <row r="3608" spans="1:1" x14ac:dyDescent="0.25">
      <c r="A3608" s="66"/>
    </row>
    <row r="3609" spans="1:1" x14ac:dyDescent="0.25">
      <c r="A3609" s="66"/>
    </row>
    <row r="3610" spans="1:1" x14ac:dyDescent="0.25">
      <c r="A3610" s="66"/>
    </row>
    <row r="3611" spans="1:1" x14ac:dyDescent="0.25">
      <c r="A3611" s="66"/>
    </row>
    <row r="3612" spans="1:1" x14ac:dyDescent="0.25">
      <c r="A3612" s="66"/>
    </row>
    <row r="3613" spans="1:1" x14ac:dyDescent="0.25">
      <c r="A3613" s="66"/>
    </row>
    <row r="3614" spans="1:1" x14ac:dyDescent="0.25">
      <c r="A3614" s="66"/>
    </row>
    <row r="3615" spans="1:1" x14ac:dyDescent="0.25">
      <c r="A3615" s="66"/>
    </row>
    <row r="3616" spans="1:1" x14ac:dyDescent="0.25">
      <c r="A3616" s="66"/>
    </row>
    <row r="3617" spans="1:1" x14ac:dyDescent="0.25">
      <c r="A3617" s="66"/>
    </row>
    <row r="3618" spans="1:1" x14ac:dyDescent="0.25">
      <c r="A3618" s="66"/>
    </row>
    <row r="3619" spans="1:1" x14ac:dyDescent="0.25">
      <c r="A3619" s="66"/>
    </row>
    <row r="3620" spans="1:1" x14ac:dyDescent="0.25">
      <c r="A3620" s="66"/>
    </row>
    <row r="3621" spans="1:1" x14ac:dyDescent="0.25">
      <c r="A3621" s="66"/>
    </row>
    <row r="3622" spans="1:1" x14ac:dyDescent="0.25">
      <c r="A3622" s="66"/>
    </row>
    <row r="3623" spans="1:1" x14ac:dyDescent="0.25">
      <c r="A3623" s="66"/>
    </row>
    <row r="3624" spans="1:1" x14ac:dyDescent="0.25">
      <c r="A3624" s="66"/>
    </row>
    <row r="3625" spans="1:1" x14ac:dyDescent="0.25">
      <c r="A3625" s="66"/>
    </row>
    <row r="3626" spans="1:1" x14ac:dyDescent="0.25">
      <c r="A3626" s="66"/>
    </row>
    <row r="3627" spans="1:1" x14ac:dyDescent="0.25">
      <c r="A3627" s="66"/>
    </row>
    <row r="3628" spans="1:1" x14ac:dyDescent="0.25">
      <c r="A3628" s="66"/>
    </row>
    <row r="3629" spans="1:1" x14ac:dyDescent="0.25">
      <c r="A3629" s="66"/>
    </row>
    <row r="3630" spans="1:1" x14ac:dyDescent="0.25">
      <c r="A3630" s="66"/>
    </row>
    <row r="3631" spans="1:1" x14ac:dyDescent="0.25">
      <c r="A3631" s="66"/>
    </row>
    <row r="3632" spans="1:1" x14ac:dyDescent="0.25">
      <c r="A3632" s="66"/>
    </row>
    <row r="3633" spans="1:1" x14ac:dyDescent="0.25">
      <c r="A3633" s="66"/>
    </row>
    <row r="3634" spans="1:1" x14ac:dyDescent="0.25">
      <c r="A3634" s="66"/>
    </row>
    <row r="3635" spans="1:1" x14ac:dyDescent="0.25">
      <c r="A3635" s="66"/>
    </row>
    <row r="3636" spans="1:1" x14ac:dyDescent="0.25">
      <c r="A3636" s="66"/>
    </row>
    <row r="3637" spans="1:1" x14ac:dyDescent="0.25">
      <c r="A3637" s="66"/>
    </row>
    <row r="3638" spans="1:1" x14ac:dyDescent="0.25">
      <c r="A3638" s="66"/>
    </row>
    <row r="3639" spans="1:1" x14ac:dyDescent="0.25">
      <c r="A3639" s="66"/>
    </row>
    <row r="3640" spans="1:1" x14ac:dyDescent="0.25">
      <c r="A3640" s="66"/>
    </row>
    <row r="3641" spans="1:1" x14ac:dyDescent="0.25">
      <c r="A3641" s="66"/>
    </row>
    <row r="3642" spans="1:1" x14ac:dyDescent="0.25">
      <c r="A3642" s="66"/>
    </row>
    <row r="3643" spans="1:1" x14ac:dyDescent="0.25">
      <c r="A3643" s="66"/>
    </row>
    <row r="3644" spans="1:1" x14ac:dyDescent="0.25">
      <c r="A3644" s="66"/>
    </row>
    <row r="3645" spans="1:1" x14ac:dyDescent="0.25">
      <c r="A3645" s="66"/>
    </row>
    <row r="3646" spans="1:1" x14ac:dyDescent="0.25">
      <c r="A3646" s="66"/>
    </row>
    <row r="3647" spans="1:1" x14ac:dyDescent="0.25">
      <c r="A3647" s="66"/>
    </row>
    <row r="3648" spans="1:1" x14ac:dyDescent="0.25">
      <c r="A3648" s="66"/>
    </row>
    <row r="3649" spans="1:1" x14ac:dyDescent="0.25">
      <c r="A3649" s="66"/>
    </row>
    <row r="3650" spans="1:1" x14ac:dyDescent="0.25">
      <c r="A3650" s="66"/>
    </row>
    <row r="3651" spans="1:1" x14ac:dyDescent="0.25">
      <c r="A3651" s="66"/>
    </row>
    <row r="3652" spans="1:1" x14ac:dyDescent="0.25">
      <c r="A3652" s="66"/>
    </row>
    <row r="3653" spans="1:1" x14ac:dyDescent="0.25">
      <c r="A3653" s="66"/>
    </row>
    <row r="3654" spans="1:1" x14ac:dyDescent="0.25">
      <c r="A3654" s="66"/>
    </row>
    <row r="3655" spans="1:1" x14ac:dyDescent="0.25">
      <c r="A3655" s="66"/>
    </row>
    <row r="3656" spans="1:1" x14ac:dyDescent="0.25">
      <c r="A3656" s="66"/>
    </row>
    <row r="3657" spans="1:1" x14ac:dyDescent="0.25">
      <c r="A3657" s="66"/>
    </row>
    <row r="3658" spans="1:1" x14ac:dyDescent="0.25">
      <c r="A3658" s="66"/>
    </row>
    <row r="3659" spans="1:1" x14ac:dyDescent="0.25">
      <c r="A3659" s="66"/>
    </row>
    <row r="3660" spans="1:1" x14ac:dyDescent="0.25">
      <c r="A3660" s="66"/>
    </row>
    <row r="3661" spans="1:1" x14ac:dyDescent="0.25">
      <c r="A3661" s="66"/>
    </row>
    <row r="3662" spans="1:1" x14ac:dyDescent="0.25">
      <c r="A3662" s="66"/>
    </row>
    <row r="3663" spans="1:1" x14ac:dyDescent="0.25">
      <c r="A3663" s="66"/>
    </row>
    <row r="3664" spans="1:1" x14ac:dyDescent="0.25">
      <c r="A3664" s="66"/>
    </row>
    <row r="3665" spans="1:1" x14ac:dyDescent="0.25">
      <c r="A3665" s="66"/>
    </row>
    <row r="3666" spans="1:1" x14ac:dyDescent="0.25">
      <c r="A3666" s="66"/>
    </row>
    <row r="3667" spans="1:1" x14ac:dyDescent="0.25">
      <c r="A3667" s="66"/>
    </row>
    <row r="3668" spans="1:1" x14ac:dyDescent="0.25">
      <c r="A3668" s="66"/>
    </row>
    <row r="3669" spans="1:1" x14ac:dyDescent="0.25">
      <c r="A3669" s="66"/>
    </row>
    <row r="3670" spans="1:1" x14ac:dyDescent="0.25">
      <c r="A3670" s="66"/>
    </row>
    <row r="3671" spans="1:1" x14ac:dyDescent="0.25">
      <c r="A3671" s="66"/>
    </row>
    <row r="3672" spans="1:1" x14ac:dyDescent="0.25">
      <c r="A3672" s="66"/>
    </row>
    <row r="3673" spans="1:1" x14ac:dyDescent="0.25">
      <c r="A3673" s="66"/>
    </row>
    <row r="3674" spans="1:1" x14ac:dyDescent="0.25">
      <c r="A3674" s="66"/>
    </row>
    <row r="3675" spans="1:1" x14ac:dyDescent="0.25">
      <c r="A3675" s="66"/>
    </row>
    <row r="3676" spans="1:1" x14ac:dyDescent="0.25">
      <c r="A3676" s="66"/>
    </row>
    <row r="3677" spans="1:1" x14ac:dyDescent="0.25">
      <c r="A3677" s="66"/>
    </row>
    <row r="3678" spans="1:1" x14ac:dyDescent="0.25">
      <c r="A3678" s="66"/>
    </row>
    <row r="3679" spans="1:1" x14ac:dyDescent="0.25">
      <c r="A3679" s="66"/>
    </row>
    <row r="3680" spans="1:1" x14ac:dyDescent="0.25">
      <c r="A3680" s="66"/>
    </row>
    <row r="3681" spans="1:1" x14ac:dyDescent="0.25">
      <c r="A3681" s="66"/>
    </row>
    <row r="3682" spans="1:1" x14ac:dyDescent="0.25">
      <c r="A3682" s="66"/>
    </row>
    <row r="3683" spans="1:1" x14ac:dyDescent="0.25">
      <c r="A3683" s="66"/>
    </row>
    <row r="3684" spans="1:1" x14ac:dyDescent="0.25">
      <c r="A3684" s="66"/>
    </row>
    <row r="3685" spans="1:1" x14ac:dyDescent="0.25">
      <c r="A3685" s="66"/>
    </row>
    <row r="3686" spans="1:1" x14ac:dyDescent="0.25">
      <c r="A3686" s="66"/>
    </row>
    <row r="3687" spans="1:1" x14ac:dyDescent="0.25">
      <c r="A3687" s="66"/>
    </row>
    <row r="3688" spans="1:1" x14ac:dyDescent="0.25">
      <c r="A3688" s="66"/>
    </row>
    <row r="3689" spans="1:1" x14ac:dyDescent="0.25">
      <c r="A3689" s="66"/>
    </row>
    <row r="3690" spans="1:1" x14ac:dyDescent="0.25">
      <c r="A3690" s="66"/>
    </row>
    <row r="3691" spans="1:1" x14ac:dyDescent="0.25">
      <c r="A3691" s="66"/>
    </row>
    <row r="3692" spans="1:1" x14ac:dyDescent="0.25">
      <c r="A3692" s="66"/>
    </row>
    <row r="3693" spans="1:1" x14ac:dyDescent="0.25">
      <c r="A3693" s="66"/>
    </row>
    <row r="3694" spans="1:1" x14ac:dyDescent="0.25">
      <c r="A3694" s="66"/>
    </row>
    <row r="3695" spans="1:1" x14ac:dyDescent="0.25">
      <c r="A3695" s="66"/>
    </row>
    <row r="3696" spans="1:1" x14ac:dyDescent="0.25">
      <c r="A3696" s="66"/>
    </row>
    <row r="3697" spans="1:1" x14ac:dyDescent="0.25">
      <c r="A3697" s="66"/>
    </row>
    <row r="3698" spans="1:1" x14ac:dyDescent="0.25">
      <c r="A3698" s="66"/>
    </row>
    <row r="3699" spans="1:1" x14ac:dyDescent="0.25">
      <c r="A3699" s="66"/>
    </row>
    <row r="3700" spans="1:1" x14ac:dyDescent="0.25">
      <c r="A3700" s="66"/>
    </row>
    <row r="3701" spans="1:1" x14ac:dyDescent="0.25">
      <c r="A3701" s="66"/>
    </row>
    <row r="3702" spans="1:1" x14ac:dyDescent="0.25">
      <c r="A3702" s="66"/>
    </row>
    <row r="3703" spans="1:1" x14ac:dyDescent="0.25">
      <c r="A3703" s="66"/>
    </row>
    <row r="3704" spans="1:1" x14ac:dyDescent="0.25">
      <c r="A3704" s="66"/>
    </row>
    <row r="3705" spans="1:1" x14ac:dyDescent="0.25">
      <c r="A3705" s="66"/>
    </row>
    <row r="3706" spans="1:1" x14ac:dyDescent="0.25">
      <c r="A3706" s="66"/>
    </row>
    <row r="3707" spans="1:1" x14ac:dyDescent="0.25">
      <c r="A3707" s="66"/>
    </row>
    <row r="3708" spans="1:1" x14ac:dyDescent="0.25">
      <c r="A3708" s="66"/>
    </row>
    <row r="3709" spans="1:1" x14ac:dyDescent="0.25">
      <c r="A3709" s="66"/>
    </row>
    <row r="3710" spans="1:1" x14ac:dyDescent="0.25">
      <c r="A3710" s="66"/>
    </row>
    <row r="3711" spans="1:1" x14ac:dyDescent="0.25">
      <c r="A3711" s="66"/>
    </row>
    <row r="3712" spans="1:1" x14ac:dyDescent="0.25">
      <c r="A3712" s="66"/>
    </row>
    <row r="3713" spans="1:1" x14ac:dyDescent="0.25">
      <c r="A3713" s="66"/>
    </row>
    <row r="3714" spans="1:1" x14ac:dyDescent="0.25">
      <c r="A3714" s="66"/>
    </row>
    <row r="3715" spans="1:1" x14ac:dyDescent="0.25">
      <c r="A3715" s="66"/>
    </row>
    <row r="3716" spans="1:1" x14ac:dyDescent="0.25">
      <c r="A3716" s="66"/>
    </row>
    <row r="3717" spans="1:1" x14ac:dyDescent="0.25">
      <c r="A3717" s="66"/>
    </row>
    <row r="3718" spans="1:1" x14ac:dyDescent="0.25">
      <c r="A3718" s="66"/>
    </row>
    <row r="3719" spans="1:1" x14ac:dyDescent="0.25">
      <c r="A3719" s="66"/>
    </row>
    <row r="3720" spans="1:1" x14ac:dyDescent="0.25">
      <c r="A3720" s="66"/>
    </row>
    <row r="3721" spans="1:1" x14ac:dyDescent="0.25">
      <c r="A3721" s="66"/>
    </row>
    <row r="3722" spans="1:1" x14ac:dyDescent="0.25">
      <c r="A3722" s="66"/>
    </row>
    <row r="3723" spans="1:1" x14ac:dyDescent="0.25">
      <c r="A3723" s="66"/>
    </row>
    <row r="3724" spans="1:1" x14ac:dyDescent="0.25">
      <c r="A3724" s="66"/>
    </row>
    <row r="3725" spans="1:1" x14ac:dyDescent="0.25">
      <c r="A3725" s="66"/>
    </row>
    <row r="3726" spans="1:1" x14ac:dyDescent="0.25">
      <c r="A3726" s="66"/>
    </row>
    <row r="3727" spans="1:1" x14ac:dyDescent="0.25">
      <c r="A3727" s="66"/>
    </row>
    <row r="3728" spans="1:1" x14ac:dyDescent="0.25">
      <c r="A3728" s="66"/>
    </row>
    <row r="3729" spans="1:1" x14ac:dyDescent="0.25">
      <c r="A3729" s="66"/>
    </row>
    <row r="3730" spans="1:1" x14ac:dyDescent="0.25">
      <c r="A3730" s="66"/>
    </row>
    <row r="3731" spans="1:1" x14ac:dyDescent="0.25">
      <c r="A3731" s="66"/>
    </row>
    <row r="3732" spans="1:1" x14ac:dyDescent="0.25">
      <c r="A3732" s="66"/>
    </row>
    <row r="3733" spans="1:1" x14ac:dyDescent="0.25">
      <c r="A3733" s="66"/>
    </row>
    <row r="3734" spans="1:1" x14ac:dyDescent="0.25">
      <c r="A3734" s="66"/>
    </row>
    <row r="3735" spans="1:1" x14ac:dyDescent="0.25">
      <c r="A3735" s="66"/>
    </row>
    <row r="3736" spans="1:1" x14ac:dyDescent="0.25">
      <c r="A3736" s="66"/>
    </row>
    <row r="3737" spans="1:1" x14ac:dyDescent="0.25">
      <c r="A3737" s="66"/>
    </row>
    <row r="3738" spans="1:1" x14ac:dyDescent="0.25">
      <c r="A3738" s="66"/>
    </row>
    <row r="3739" spans="1:1" x14ac:dyDescent="0.25">
      <c r="A3739" s="66"/>
    </row>
    <row r="3740" spans="1:1" x14ac:dyDescent="0.25">
      <c r="A3740" s="66"/>
    </row>
    <row r="3741" spans="1:1" x14ac:dyDescent="0.25">
      <c r="A3741" s="66"/>
    </row>
    <row r="3742" spans="1:1" x14ac:dyDescent="0.25">
      <c r="A3742" s="66"/>
    </row>
    <row r="3743" spans="1:1" x14ac:dyDescent="0.25">
      <c r="A3743" s="66"/>
    </row>
    <row r="3744" spans="1:1" x14ac:dyDescent="0.25">
      <c r="A3744" s="66"/>
    </row>
    <row r="3745" spans="1:1" x14ac:dyDescent="0.25">
      <c r="A3745" s="66"/>
    </row>
    <row r="3746" spans="1:1" x14ac:dyDescent="0.25">
      <c r="A3746" s="66"/>
    </row>
    <row r="3747" spans="1:1" x14ac:dyDescent="0.25">
      <c r="A3747" s="66"/>
    </row>
    <row r="3748" spans="1:1" x14ac:dyDescent="0.25">
      <c r="A3748" s="66"/>
    </row>
    <row r="3749" spans="1:1" x14ac:dyDescent="0.25">
      <c r="A3749" s="66"/>
    </row>
    <row r="3750" spans="1:1" x14ac:dyDescent="0.25">
      <c r="A3750" s="66"/>
    </row>
    <row r="3751" spans="1:1" x14ac:dyDescent="0.25">
      <c r="A3751" s="66"/>
    </row>
    <row r="3752" spans="1:1" x14ac:dyDescent="0.25">
      <c r="A3752" s="66"/>
    </row>
    <row r="3753" spans="1:1" x14ac:dyDescent="0.25">
      <c r="A3753" s="66"/>
    </row>
    <row r="3754" spans="1:1" x14ac:dyDescent="0.25">
      <c r="A3754" s="66"/>
    </row>
    <row r="3755" spans="1:1" x14ac:dyDescent="0.25">
      <c r="A3755" s="66"/>
    </row>
    <row r="3756" spans="1:1" x14ac:dyDescent="0.25">
      <c r="A3756" s="66"/>
    </row>
    <row r="3757" spans="1:1" x14ac:dyDescent="0.25">
      <c r="A3757" s="66"/>
    </row>
    <row r="3758" spans="1:1" x14ac:dyDescent="0.25">
      <c r="A3758" s="66"/>
    </row>
    <row r="3759" spans="1:1" x14ac:dyDescent="0.25">
      <c r="A3759" s="66"/>
    </row>
    <row r="3760" spans="1:1" x14ac:dyDescent="0.25">
      <c r="A3760" s="66"/>
    </row>
    <row r="3761" spans="1:1" x14ac:dyDescent="0.25">
      <c r="A3761" s="66"/>
    </row>
    <row r="3762" spans="1:1" x14ac:dyDescent="0.25">
      <c r="A3762" s="66"/>
    </row>
    <row r="3763" spans="1:1" x14ac:dyDescent="0.25">
      <c r="A3763" s="66"/>
    </row>
    <row r="3764" spans="1:1" x14ac:dyDescent="0.25">
      <c r="A3764" s="66"/>
    </row>
    <row r="3765" spans="1:1" x14ac:dyDescent="0.25">
      <c r="A3765" s="66"/>
    </row>
    <row r="3766" spans="1:1" x14ac:dyDescent="0.25">
      <c r="A3766" s="66"/>
    </row>
    <row r="3767" spans="1:1" x14ac:dyDescent="0.25">
      <c r="A3767" s="66"/>
    </row>
    <row r="3768" spans="1:1" x14ac:dyDescent="0.25">
      <c r="A3768" s="66"/>
    </row>
    <row r="3769" spans="1:1" x14ac:dyDescent="0.25">
      <c r="A3769" s="66"/>
    </row>
    <row r="3770" spans="1:1" x14ac:dyDescent="0.25">
      <c r="A3770" s="66"/>
    </row>
    <row r="3771" spans="1:1" x14ac:dyDescent="0.25">
      <c r="A3771" s="66"/>
    </row>
    <row r="3772" spans="1:1" x14ac:dyDescent="0.25">
      <c r="A3772" s="66"/>
    </row>
    <row r="3773" spans="1:1" x14ac:dyDescent="0.25">
      <c r="A3773" s="66"/>
    </row>
    <row r="3774" spans="1:1" x14ac:dyDescent="0.25">
      <c r="A3774" s="66"/>
    </row>
    <row r="3775" spans="1:1" x14ac:dyDescent="0.25">
      <c r="A3775" s="66"/>
    </row>
    <row r="3776" spans="1:1" x14ac:dyDescent="0.25">
      <c r="A3776" s="66"/>
    </row>
    <row r="3777" spans="1:1" x14ac:dyDescent="0.25">
      <c r="A3777" s="66"/>
    </row>
    <row r="3778" spans="1:1" x14ac:dyDescent="0.25">
      <c r="A3778" s="66"/>
    </row>
    <row r="3779" spans="1:1" x14ac:dyDescent="0.25">
      <c r="A3779" s="66"/>
    </row>
    <row r="3780" spans="1:1" x14ac:dyDescent="0.25">
      <c r="A3780" s="66"/>
    </row>
    <row r="3781" spans="1:1" x14ac:dyDescent="0.25">
      <c r="A3781" s="66"/>
    </row>
    <row r="3782" spans="1:1" x14ac:dyDescent="0.25">
      <c r="A3782" s="66"/>
    </row>
    <row r="3783" spans="1:1" x14ac:dyDescent="0.25">
      <c r="A3783" s="66"/>
    </row>
    <row r="3784" spans="1:1" x14ac:dyDescent="0.25">
      <c r="A3784" s="66"/>
    </row>
    <row r="3785" spans="1:1" x14ac:dyDescent="0.25">
      <c r="A3785" s="66"/>
    </row>
    <row r="3786" spans="1:1" x14ac:dyDescent="0.25">
      <c r="A3786" s="66"/>
    </row>
    <row r="3787" spans="1:1" x14ac:dyDescent="0.25">
      <c r="A3787" s="66"/>
    </row>
    <row r="3788" spans="1:1" x14ac:dyDescent="0.25">
      <c r="A3788" s="66"/>
    </row>
    <row r="3789" spans="1:1" x14ac:dyDescent="0.25">
      <c r="A3789" s="66"/>
    </row>
    <row r="3790" spans="1:1" x14ac:dyDescent="0.25">
      <c r="A3790" s="66"/>
    </row>
    <row r="3791" spans="1:1" x14ac:dyDescent="0.25">
      <c r="A3791" s="66"/>
    </row>
    <row r="3792" spans="1:1" x14ac:dyDescent="0.25">
      <c r="A3792" s="66"/>
    </row>
    <row r="3793" spans="1:1" x14ac:dyDescent="0.25">
      <c r="A3793" s="66"/>
    </row>
    <row r="3794" spans="1:1" x14ac:dyDescent="0.25">
      <c r="A3794" s="66"/>
    </row>
    <row r="3795" spans="1:1" x14ac:dyDescent="0.25">
      <c r="A3795" s="66"/>
    </row>
    <row r="3796" spans="1:1" x14ac:dyDescent="0.25">
      <c r="A3796" s="66"/>
    </row>
    <row r="3797" spans="1:1" x14ac:dyDescent="0.25">
      <c r="A3797" s="66"/>
    </row>
    <row r="3798" spans="1:1" x14ac:dyDescent="0.25">
      <c r="A3798" s="66"/>
    </row>
    <row r="3799" spans="1:1" x14ac:dyDescent="0.25">
      <c r="A3799" s="66"/>
    </row>
    <row r="3800" spans="1:1" x14ac:dyDescent="0.25">
      <c r="A3800" s="66"/>
    </row>
    <row r="3801" spans="1:1" x14ac:dyDescent="0.25">
      <c r="A3801" s="66"/>
    </row>
    <row r="3802" spans="1:1" x14ac:dyDescent="0.25">
      <c r="A3802" s="66"/>
    </row>
    <row r="3803" spans="1:1" x14ac:dyDescent="0.25">
      <c r="A3803" s="66"/>
    </row>
    <row r="3804" spans="1:1" x14ac:dyDescent="0.25">
      <c r="A3804" s="66"/>
    </row>
    <row r="3805" spans="1:1" x14ac:dyDescent="0.25">
      <c r="A3805" s="66"/>
    </row>
    <row r="3806" spans="1:1" x14ac:dyDescent="0.25">
      <c r="A3806" s="66"/>
    </row>
    <row r="3807" spans="1:1" x14ac:dyDescent="0.25">
      <c r="A3807" s="66"/>
    </row>
    <row r="3808" spans="1:1" x14ac:dyDescent="0.25">
      <c r="A3808" s="66"/>
    </row>
    <row r="3809" spans="1:1" x14ac:dyDescent="0.25">
      <c r="A3809" s="66"/>
    </row>
    <row r="3810" spans="1:1" x14ac:dyDescent="0.25">
      <c r="A3810" s="66"/>
    </row>
    <row r="3811" spans="1:1" x14ac:dyDescent="0.25">
      <c r="A3811" s="66"/>
    </row>
    <row r="3812" spans="1:1" x14ac:dyDescent="0.25">
      <c r="A3812" s="66"/>
    </row>
    <row r="3813" spans="1:1" x14ac:dyDescent="0.25">
      <c r="A3813" s="66"/>
    </row>
    <row r="3814" spans="1:1" x14ac:dyDescent="0.25">
      <c r="A3814" s="66"/>
    </row>
    <row r="3815" spans="1:1" x14ac:dyDescent="0.25">
      <c r="A3815" s="66"/>
    </row>
    <row r="3816" spans="1:1" x14ac:dyDescent="0.25">
      <c r="A3816" s="66"/>
    </row>
    <row r="3817" spans="1:1" x14ac:dyDescent="0.25">
      <c r="A3817" s="66"/>
    </row>
    <row r="3818" spans="1:1" x14ac:dyDescent="0.25">
      <c r="A3818" s="66"/>
    </row>
    <row r="3819" spans="1:1" x14ac:dyDescent="0.25">
      <c r="A3819" s="66"/>
    </row>
    <row r="3820" spans="1:1" x14ac:dyDescent="0.25">
      <c r="A3820" s="66"/>
    </row>
    <row r="3821" spans="1:1" x14ac:dyDescent="0.25">
      <c r="A3821" s="66"/>
    </row>
    <row r="3822" spans="1:1" x14ac:dyDescent="0.25">
      <c r="A3822" s="66"/>
    </row>
    <row r="3823" spans="1:1" x14ac:dyDescent="0.25">
      <c r="A3823" s="66"/>
    </row>
    <row r="3824" spans="1:1" x14ac:dyDescent="0.25">
      <c r="A3824" s="66"/>
    </row>
    <row r="3825" spans="1:1" x14ac:dyDescent="0.25">
      <c r="A3825" s="66"/>
    </row>
    <row r="3826" spans="1:1" x14ac:dyDescent="0.25">
      <c r="A3826" s="66"/>
    </row>
    <row r="3827" spans="1:1" x14ac:dyDescent="0.25">
      <c r="A3827" s="66"/>
    </row>
    <row r="3828" spans="1:1" x14ac:dyDescent="0.25">
      <c r="A3828" s="66"/>
    </row>
    <row r="3829" spans="1:1" x14ac:dyDescent="0.25">
      <c r="A3829" s="66"/>
    </row>
    <row r="3830" spans="1:1" x14ac:dyDescent="0.25">
      <c r="A3830" s="66"/>
    </row>
    <row r="3831" spans="1:1" x14ac:dyDescent="0.25">
      <c r="A3831" s="66"/>
    </row>
    <row r="3832" spans="1:1" x14ac:dyDescent="0.25">
      <c r="A3832" s="66"/>
    </row>
    <row r="3833" spans="1:1" x14ac:dyDescent="0.25">
      <c r="A3833" s="66"/>
    </row>
    <row r="3834" spans="1:1" x14ac:dyDescent="0.25">
      <c r="A3834" s="66"/>
    </row>
    <row r="3835" spans="1:1" x14ac:dyDescent="0.25">
      <c r="A3835" s="66"/>
    </row>
    <row r="3836" spans="1:1" x14ac:dyDescent="0.25">
      <c r="A3836" s="66"/>
    </row>
    <row r="3837" spans="1:1" x14ac:dyDescent="0.25">
      <c r="A3837" s="66"/>
    </row>
    <row r="3838" spans="1:1" x14ac:dyDescent="0.25">
      <c r="A3838" s="66"/>
    </row>
    <row r="3839" spans="1:1" x14ac:dyDescent="0.25">
      <c r="A3839" s="66"/>
    </row>
    <row r="3840" spans="1:1" x14ac:dyDescent="0.25">
      <c r="A3840" s="66"/>
    </row>
    <row r="3841" spans="1:1" x14ac:dyDescent="0.25">
      <c r="A3841" s="66"/>
    </row>
    <row r="3842" spans="1:1" x14ac:dyDescent="0.25">
      <c r="A3842" s="66"/>
    </row>
    <row r="3843" spans="1:1" x14ac:dyDescent="0.25">
      <c r="A3843" s="66"/>
    </row>
    <row r="3844" spans="1:1" x14ac:dyDescent="0.25">
      <c r="A3844" s="66"/>
    </row>
    <row r="3845" spans="1:1" x14ac:dyDescent="0.25">
      <c r="A3845" s="66"/>
    </row>
    <row r="3846" spans="1:1" x14ac:dyDescent="0.25">
      <c r="A3846" s="66"/>
    </row>
    <row r="3847" spans="1:1" x14ac:dyDescent="0.25">
      <c r="A3847" s="66"/>
    </row>
    <row r="3848" spans="1:1" x14ac:dyDescent="0.25">
      <c r="A3848" s="66"/>
    </row>
    <row r="3849" spans="1:1" x14ac:dyDescent="0.25">
      <c r="A3849" s="66"/>
    </row>
    <row r="3850" spans="1:1" x14ac:dyDescent="0.25">
      <c r="A3850" s="66"/>
    </row>
    <row r="3851" spans="1:1" x14ac:dyDescent="0.25">
      <c r="A3851" s="66"/>
    </row>
    <row r="3852" spans="1:1" x14ac:dyDescent="0.25">
      <c r="A3852" s="66"/>
    </row>
    <row r="3853" spans="1:1" x14ac:dyDescent="0.25">
      <c r="A3853" s="66"/>
    </row>
    <row r="3854" spans="1:1" x14ac:dyDescent="0.25">
      <c r="A3854" s="66"/>
    </row>
    <row r="3855" spans="1:1" x14ac:dyDescent="0.25">
      <c r="A3855" s="66"/>
    </row>
    <row r="3856" spans="1:1" x14ac:dyDescent="0.25">
      <c r="A3856" s="66"/>
    </row>
    <row r="3857" spans="1:1" x14ac:dyDescent="0.25">
      <c r="A3857" s="66"/>
    </row>
    <row r="3858" spans="1:1" x14ac:dyDescent="0.25">
      <c r="A3858" s="66"/>
    </row>
    <row r="3859" spans="1:1" x14ac:dyDescent="0.25">
      <c r="A3859" s="66"/>
    </row>
    <row r="3860" spans="1:1" x14ac:dyDescent="0.25">
      <c r="A3860" s="66"/>
    </row>
    <row r="3861" spans="1:1" x14ac:dyDescent="0.25">
      <c r="A3861" s="66"/>
    </row>
    <row r="3862" spans="1:1" x14ac:dyDescent="0.25">
      <c r="A3862" s="66"/>
    </row>
    <row r="3863" spans="1:1" x14ac:dyDescent="0.25">
      <c r="A3863" s="66"/>
    </row>
    <row r="3864" spans="1:1" x14ac:dyDescent="0.25">
      <c r="A3864" s="66"/>
    </row>
    <row r="3865" spans="1:1" x14ac:dyDescent="0.25">
      <c r="A3865" s="66"/>
    </row>
    <row r="3866" spans="1:1" x14ac:dyDescent="0.25">
      <c r="A3866" s="66"/>
    </row>
    <row r="3867" spans="1:1" x14ac:dyDescent="0.25">
      <c r="A3867" s="66"/>
    </row>
    <row r="3868" spans="1:1" x14ac:dyDescent="0.25">
      <c r="A3868" s="66"/>
    </row>
    <row r="3869" spans="1:1" x14ac:dyDescent="0.25">
      <c r="A3869" s="66"/>
    </row>
    <row r="3870" spans="1:1" x14ac:dyDescent="0.25">
      <c r="A3870" s="66"/>
    </row>
    <row r="3871" spans="1:1" x14ac:dyDescent="0.25">
      <c r="A3871" s="66"/>
    </row>
    <row r="3872" spans="1:1" x14ac:dyDescent="0.25">
      <c r="A3872" s="66"/>
    </row>
    <row r="3873" spans="1:1" x14ac:dyDescent="0.25">
      <c r="A3873" s="66"/>
    </row>
    <row r="3874" spans="1:1" x14ac:dyDescent="0.25">
      <c r="A3874" s="66"/>
    </row>
    <row r="3875" spans="1:1" x14ac:dyDescent="0.25">
      <c r="A3875" s="66"/>
    </row>
    <row r="3876" spans="1:1" x14ac:dyDescent="0.25">
      <c r="A3876" s="66"/>
    </row>
    <row r="3877" spans="1:1" x14ac:dyDescent="0.25">
      <c r="A3877" s="66"/>
    </row>
    <row r="3878" spans="1:1" x14ac:dyDescent="0.25">
      <c r="A3878" s="66"/>
    </row>
    <row r="3879" spans="1:1" x14ac:dyDescent="0.25">
      <c r="A3879" s="66"/>
    </row>
    <row r="3880" spans="1:1" x14ac:dyDescent="0.25">
      <c r="A3880" s="66"/>
    </row>
    <row r="3881" spans="1:1" x14ac:dyDescent="0.25">
      <c r="A3881" s="66"/>
    </row>
    <row r="3882" spans="1:1" x14ac:dyDescent="0.25">
      <c r="A3882" s="66"/>
    </row>
    <row r="3883" spans="1:1" x14ac:dyDescent="0.25">
      <c r="A3883" s="66"/>
    </row>
    <row r="3884" spans="1:1" x14ac:dyDescent="0.25">
      <c r="A3884" s="66"/>
    </row>
    <row r="3885" spans="1:1" x14ac:dyDescent="0.25">
      <c r="A3885" s="66"/>
    </row>
    <row r="3886" spans="1:1" x14ac:dyDescent="0.25">
      <c r="A3886" s="66"/>
    </row>
    <row r="3887" spans="1:1" x14ac:dyDescent="0.25">
      <c r="A3887" s="66"/>
    </row>
    <row r="3888" spans="1:1" x14ac:dyDescent="0.25">
      <c r="A3888" s="66"/>
    </row>
    <row r="3889" spans="1:1" x14ac:dyDescent="0.25">
      <c r="A3889" s="66"/>
    </row>
    <row r="3890" spans="1:1" x14ac:dyDescent="0.25">
      <c r="A3890" s="66"/>
    </row>
    <row r="3891" spans="1:1" x14ac:dyDescent="0.25">
      <c r="A3891" s="66"/>
    </row>
    <row r="3892" spans="1:1" x14ac:dyDescent="0.25">
      <c r="A3892" s="66"/>
    </row>
    <row r="3893" spans="1:1" x14ac:dyDescent="0.25">
      <c r="A3893" s="66"/>
    </row>
    <row r="3894" spans="1:1" x14ac:dyDescent="0.25">
      <c r="A3894" s="66"/>
    </row>
    <row r="3895" spans="1:1" x14ac:dyDescent="0.25">
      <c r="A3895" s="66"/>
    </row>
    <row r="3896" spans="1:1" x14ac:dyDescent="0.25">
      <c r="A3896" s="66"/>
    </row>
    <row r="3897" spans="1:1" x14ac:dyDescent="0.25">
      <c r="A3897" s="66"/>
    </row>
    <row r="3898" spans="1:1" x14ac:dyDescent="0.25">
      <c r="A3898" s="66"/>
    </row>
    <row r="3899" spans="1:1" x14ac:dyDescent="0.25">
      <c r="A3899" s="66"/>
    </row>
    <row r="3900" spans="1:1" x14ac:dyDescent="0.25">
      <c r="A3900" s="66"/>
    </row>
    <row r="3901" spans="1:1" x14ac:dyDescent="0.25">
      <c r="A3901" s="66"/>
    </row>
    <row r="3902" spans="1:1" x14ac:dyDescent="0.25">
      <c r="A3902" s="66"/>
    </row>
    <row r="3903" spans="1:1" x14ac:dyDescent="0.25">
      <c r="A3903" s="66"/>
    </row>
    <row r="3904" spans="1:1" x14ac:dyDescent="0.25">
      <c r="A3904" s="66"/>
    </row>
    <row r="3905" spans="1:1" x14ac:dyDescent="0.25">
      <c r="A3905" s="66"/>
    </row>
    <row r="3906" spans="1:1" x14ac:dyDescent="0.25">
      <c r="A3906" s="66"/>
    </row>
    <row r="3907" spans="1:1" x14ac:dyDescent="0.25">
      <c r="A3907" s="66"/>
    </row>
    <row r="3908" spans="1:1" x14ac:dyDescent="0.25">
      <c r="A3908" s="66"/>
    </row>
    <row r="3909" spans="1:1" x14ac:dyDescent="0.25">
      <c r="A3909" s="66"/>
    </row>
    <row r="3910" spans="1:1" x14ac:dyDescent="0.25">
      <c r="A3910" s="66"/>
    </row>
    <row r="3911" spans="1:1" x14ac:dyDescent="0.25">
      <c r="A3911" s="66"/>
    </row>
    <row r="3912" spans="1:1" x14ac:dyDescent="0.25">
      <c r="A3912" s="66"/>
    </row>
    <row r="3913" spans="1:1" x14ac:dyDescent="0.25">
      <c r="A3913" s="66"/>
    </row>
    <row r="3914" spans="1:1" x14ac:dyDescent="0.25">
      <c r="A3914" s="66"/>
    </row>
    <row r="3915" spans="1:1" x14ac:dyDescent="0.25">
      <c r="A3915" s="66"/>
    </row>
    <row r="3916" spans="1:1" x14ac:dyDescent="0.25">
      <c r="A3916" s="66"/>
    </row>
    <row r="3917" spans="1:1" x14ac:dyDescent="0.25">
      <c r="A3917" s="66"/>
    </row>
    <row r="3918" spans="1:1" x14ac:dyDescent="0.25">
      <c r="A3918" s="66"/>
    </row>
    <row r="3919" spans="1:1" x14ac:dyDescent="0.25">
      <c r="A3919" s="66"/>
    </row>
    <row r="3920" spans="1:1" x14ac:dyDescent="0.25">
      <c r="A3920" s="66"/>
    </row>
    <row r="3921" spans="1:1" x14ac:dyDescent="0.25">
      <c r="A3921" s="66"/>
    </row>
    <row r="3922" spans="1:1" x14ac:dyDescent="0.25">
      <c r="A3922" s="66"/>
    </row>
    <row r="3923" spans="1:1" x14ac:dyDescent="0.25">
      <c r="A3923" s="66"/>
    </row>
    <row r="3924" spans="1:1" x14ac:dyDescent="0.25">
      <c r="A3924" s="66"/>
    </row>
    <row r="3925" spans="1:1" x14ac:dyDescent="0.25">
      <c r="A3925" s="66"/>
    </row>
    <row r="3926" spans="1:1" x14ac:dyDescent="0.25">
      <c r="A3926" s="66"/>
    </row>
    <row r="3927" spans="1:1" x14ac:dyDescent="0.25">
      <c r="A3927" s="66"/>
    </row>
    <row r="3928" spans="1:1" x14ac:dyDescent="0.25">
      <c r="A3928" s="66"/>
    </row>
    <row r="3929" spans="1:1" x14ac:dyDescent="0.25">
      <c r="A3929" s="66"/>
    </row>
    <row r="3930" spans="1:1" x14ac:dyDescent="0.25">
      <c r="A3930" s="66"/>
    </row>
    <row r="3931" spans="1:1" x14ac:dyDescent="0.25">
      <c r="A3931" s="66"/>
    </row>
    <row r="3932" spans="1:1" x14ac:dyDescent="0.25">
      <c r="A3932" s="66"/>
    </row>
    <row r="3933" spans="1:1" x14ac:dyDescent="0.25">
      <c r="A3933" s="66"/>
    </row>
    <row r="3934" spans="1:1" x14ac:dyDescent="0.25">
      <c r="A3934" s="66"/>
    </row>
    <row r="3935" spans="1:1" x14ac:dyDescent="0.25">
      <c r="A3935" s="66"/>
    </row>
    <row r="3936" spans="1:1" x14ac:dyDescent="0.25">
      <c r="A3936" s="66"/>
    </row>
    <row r="3937" spans="1:1" x14ac:dyDescent="0.25">
      <c r="A3937" s="66"/>
    </row>
    <row r="3938" spans="1:1" x14ac:dyDescent="0.25">
      <c r="A3938" s="66"/>
    </row>
    <row r="3939" spans="1:1" x14ac:dyDescent="0.25">
      <c r="A3939" s="66"/>
    </row>
    <row r="3940" spans="1:1" x14ac:dyDescent="0.25">
      <c r="A3940" s="66"/>
    </row>
    <row r="3941" spans="1:1" x14ac:dyDescent="0.25">
      <c r="A3941" s="66"/>
    </row>
    <row r="3942" spans="1:1" x14ac:dyDescent="0.25">
      <c r="A3942" s="66"/>
    </row>
    <row r="3943" spans="1:1" x14ac:dyDescent="0.25">
      <c r="A3943" s="66"/>
    </row>
    <row r="3944" spans="1:1" x14ac:dyDescent="0.25">
      <c r="A3944" s="66"/>
    </row>
    <row r="3945" spans="1:1" x14ac:dyDescent="0.25">
      <c r="A3945" s="66"/>
    </row>
    <row r="3946" spans="1:1" x14ac:dyDescent="0.25">
      <c r="A3946" s="66"/>
    </row>
    <row r="3947" spans="1:1" x14ac:dyDescent="0.25">
      <c r="A3947" s="66"/>
    </row>
    <row r="3948" spans="1:1" x14ac:dyDescent="0.25">
      <c r="A3948" s="66"/>
    </row>
    <row r="3949" spans="1:1" x14ac:dyDescent="0.25">
      <c r="A3949" s="66"/>
    </row>
    <row r="3950" spans="1:1" x14ac:dyDescent="0.25">
      <c r="A3950" s="66"/>
    </row>
    <row r="3951" spans="1:1" x14ac:dyDescent="0.25">
      <c r="A3951" s="66"/>
    </row>
    <row r="3952" spans="1:1" x14ac:dyDescent="0.25">
      <c r="A3952" s="66"/>
    </row>
    <row r="3953" spans="1:1" x14ac:dyDescent="0.25">
      <c r="A3953" s="66"/>
    </row>
    <row r="3954" spans="1:1" x14ac:dyDescent="0.25">
      <c r="A3954" s="66"/>
    </row>
    <row r="3955" spans="1:1" x14ac:dyDescent="0.25">
      <c r="A3955" s="66"/>
    </row>
    <row r="3956" spans="1:1" x14ac:dyDescent="0.25">
      <c r="A3956" s="66"/>
    </row>
    <row r="3957" spans="1:1" x14ac:dyDescent="0.25">
      <c r="A3957" s="66"/>
    </row>
    <row r="3958" spans="1:1" x14ac:dyDescent="0.25">
      <c r="A3958" s="66"/>
    </row>
    <row r="3959" spans="1:1" x14ac:dyDescent="0.25">
      <c r="A3959" s="66"/>
    </row>
    <row r="3960" spans="1:1" x14ac:dyDescent="0.25">
      <c r="A3960" s="66"/>
    </row>
    <row r="3961" spans="1:1" x14ac:dyDescent="0.25">
      <c r="A3961" s="66"/>
    </row>
    <row r="3962" spans="1:1" x14ac:dyDescent="0.25">
      <c r="A3962" s="66"/>
    </row>
    <row r="3963" spans="1:1" x14ac:dyDescent="0.25">
      <c r="A3963" s="66"/>
    </row>
    <row r="3964" spans="1:1" x14ac:dyDescent="0.25">
      <c r="A3964" s="66"/>
    </row>
    <row r="3965" spans="1:1" x14ac:dyDescent="0.25">
      <c r="A3965" s="66"/>
    </row>
    <row r="3966" spans="1:1" x14ac:dyDescent="0.25">
      <c r="A3966" s="66"/>
    </row>
    <row r="3967" spans="1:1" x14ac:dyDescent="0.25">
      <c r="A3967" s="66"/>
    </row>
    <row r="3968" spans="1:1" x14ac:dyDescent="0.25">
      <c r="A3968" s="66"/>
    </row>
    <row r="3969" spans="1:1" x14ac:dyDescent="0.25">
      <c r="A3969" s="66"/>
    </row>
    <row r="3970" spans="1:1" x14ac:dyDescent="0.25">
      <c r="A3970" s="66"/>
    </row>
    <row r="3971" spans="1:1" x14ac:dyDescent="0.25">
      <c r="A3971" s="66"/>
    </row>
    <row r="3972" spans="1:1" x14ac:dyDescent="0.25">
      <c r="A3972" s="66"/>
    </row>
    <row r="3973" spans="1:1" x14ac:dyDescent="0.25">
      <c r="A3973" s="66"/>
    </row>
    <row r="3974" spans="1:1" x14ac:dyDescent="0.25">
      <c r="A3974" s="66"/>
    </row>
    <row r="3975" spans="1:1" x14ac:dyDescent="0.25">
      <c r="A3975" s="66"/>
    </row>
    <row r="3976" spans="1:1" x14ac:dyDescent="0.25">
      <c r="A3976" s="66"/>
    </row>
    <row r="3977" spans="1:1" x14ac:dyDescent="0.25">
      <c r="A3977" s="66"/>
    </row>
    <row r="3978" spans="1:1" x14ac:dyDescent="0.25">
      <c r="A3978" s="66"/>
    </row>
    <row r="3979" spans="1:1" x14ac:dyDescent="0.25">
      <c r="A3979" s="66"/>
    </row>
    <row r="3980" spans="1:1" x14ac:dyDescent="0.25">
      <c r="A3980" s="66"/>
    </row>
    <row r="3981" spans="1:1" x14ac:dyDescent="0.25">
      <c r="A3981" s="66"/>
    </row>
    <row r="3982" spans="1:1" x14ac:dyDescent="0.25">
      <c r="A3982" s="66"/>
    </row>
    <row r="3983" spans="1:1" x14ac:dyDescent="0.25">
      <c r="A3983" s="66"/>
    </row>
    <row r="3984" spans="1:1" x14ac:dyDescent="0.25">
      <c r="A3984" s="66"/>
    </row>
    <row r="3985" spans="1:1" x14ac:dyDescent="0.25">
      <c r="A3985" s="66"/>
    </row>
    <row r="3986" spans="1:1" x14ac:dyDescent="0.25">
      <c r="A3986" s="66"/>
    </row>
    <row r="3987" spans="1:1" x14ac:dyDescent="0.25">
      <c r="A3987" s="66"/>
    </row>
    <row r="3988" spans="1:1" x14ac:dyDescent="0.25">
      <c r="A3988" s="66"/>
    </row>
    <row r="3989" spans="1:1" x14ac:dyDescent="0.25">
      <c r="A3989" s="66"/>
    </row>
    <row r="3990" spans="1:1" x14ac:dyDescent="0.25">
      <c r="A3990" s="66"/>
    </row>
    <row r="3991" spans="1:1" x14ac:dyDescent="0.25">
      <c r="A3991" s="66"/>
    </row>
    <row r="3992" spans="1:1" x14ac:dyDescent="0.25">
      <c r="A3992" s="66"/>
    </row>
    <row r="3993" spans="1:1" x14ac:dyDescent="0.25">
      <c r="A3993" s="66"/>
    </row>
    <row r="3994" spans="1:1" x14ac:dyDescent="0.25">
      <c r="A3994" s="66"/>
    </row>
    <row r="3995" spans="1:1" x14ac:dyDescent="0.25">
      <c r="A3995" s="66"/>
    </row>
    <row r="3996" spans="1:1" x14ac:dyDescent="0.25">
      <c r="A3996" s="66"/>
    </row>
    <row r="3997" spans="1:1" x14ac:dyDescent="0.25">
      <c r="A3997" s="66"/>
    </row>
    <row r="3998" spans="1:1" x14ac:dyDescent="0.25">
      <c r="A3998" s="66"/>
    </row>
    <row r="3999" spans="1:1" x14ac:dyDescent="0.25">
      <c r="A3999" s="66"/>
    </row>
    <row r="4000" spans="1:1" x14ac:dyDescent="0.25">
      <c r="A4000" s="66"/>
    </row>
    <row r="4001" spans="1:1" x14ac:dyDescent="0.25">
      <c r="A4001" s="66"/>
    </row>
    <row r="4002" spans="1:1" x14ac:dyDescent="0.25">
      <c r="A4002" s="66"/>
    </row>
    <row r="4003" spans="1:1" x14ac:dyDescent="0.25">
      <c r="A4003" s="66"/>
    </row>
    <row r="4004" spans="1:1" x14ac:dyDescent="0.25">
      <c r="A4004" s="66"/>
    </row>
    <row r="4005" spans="1:1" x14ac:dyDescent="0.25">
      <c r="A4005" s="66"/>
    </row>
    <row r="4006" spans="1:1" x14ac:dyDescent="0.25">
      <c r="A4006" s="66"/>
    </row>
    <row r="4007" spans="1:1" x14ac:dyDescent="0.25">
      <c r="A4007" s="66"/>
    </row>
    <row r="4008" spans="1:1" x14ac:dyDescent="0.25">
      <c r="A4008" s="66"/>
    </row>
    <row r="4009" spans="1:1" x14ac:dyDescent="0.25">
      <c r="A4009" s="66"/>
    </row>
    <row r="4010" spans="1:1" x14ac:dyDescent="0.25">
      <c r="A4010" s="66"/>
    </row>
    <row r="4011" spans="1:1" x14ac:dyDescent="0.25">
      <c r="A4011" s="66"/>
    </row>
    <row r="4012" spans="1:1" x14ac:dyDescent="0.25">
      <c r="A4012" s="66"/>
    </row>
    <row r="4013" spans="1:1" x14ac:dyDescent="0.25">
      <c r="A4013" s="66"/>
    </row>
    <row r="4014" spans="1:1" x14ac:dyDescent="0.25">
      <c r="A4014" s="66"/>
    </row>
    <row r="4015" spans="1:1" x14ac:dyDescent="0.25">
      <c r="A4015" s="66"/>
    </row>
    <row r="4016" spans="1:1" x14ac:dyDescent="0.25">
      <c r="A4016" s="66"/>
    </row>
    <row r="4017" spans="1:1" x14ac:dyDescent="0.25">
      <c r="A4017" s="66"/>
    </row>
    <row r="4018" spans="1:1" x14ac:dyDescent="0.25">
      <c r="A4018" s="66"/>
    </row>
    <row r="4019" spans="1:1" x14ac:dyDescent="0.25">
      <c r="A4019" s="66"/>
    </row>
    <row r="4020" spans="1:1" x14ac:dyDescent="0.25">
      <c r="A4020" s="66"/>
    </row>
    <row r="4021" spans="1:1" x14ac:dyDescent="0.25">
      <c r="A4021" s="66"/>
    </row>
    <row r="4022" spans="1:1" x14ac:dyDescent="0.25">
      <c r="A4022" s="66"/>
    </row>
    <row r="4023" spans="1:1" x14ac:dyDescent="0.25">
      <c r="A4023" s="66"/>
    </row>
    <row r="4024" spans="1:1" x14ac:dyDescent="0.25">
      <c r="A4024" s="66"/>
    </row>
    <row r="4025" spans="1:1" x14ac:dyDescent="0.25">
      <c r="A4025" s="66"/>
    </row>
    <row r="4026" spans="1:1" x14ac:dyDescent="0.25">
      <c r="A4026" s="66"/>
    </row>
    <row r="4027" spans="1:1" x14ac:dyDescent="0.25">
      <c r="A4027" s="66"/>
    </row>
    <row r="4028" spans="1:1" x14ac:dyDescent="0.25">
      <c r="A4028" s="66"/>
    </row>
    <row r="4029" spans="1:1" x14ac:dyDescent="0.25">
      <c r="A4029" s="66"/>
    </row>
    <row r="4030" spans="1:1" x14ac:dyDescent="0.25">
      <c r="A4030" s="66"/>
    </row>
    <row r="4031" spans="1:1" x14ac:dyDescent="0.25">
      <c r="A4031" s="66"/>
    </row>
    <row r="4032" spans="1:1" x14ac:dyDescent="0.25">
      <c r="A4032" s="66"/>
    </row>
    <row r="4033" spans="1:1" x14ac:dyDescent="0.25">
      <c r="A4033" s="66"/>
    </row>
    <row r="4034" spans="1:1" x14ac:dyDescent="0.25">
      <c r="A4034" s="66"/>
    </row>
    <row r="4035" spans="1:1" x14ac:dyDescent="0.25">
      <c r="A4035" s="66"/>
    </row>
    <row r="4036" spans="1:1" x14ac:dyDescent="0.25">
      <c r="A4036" s="66"/>
    </row>
    <row r="4037" spans="1:1" x14ac:dyDescent="0.25">
      <c r="A4037" s="66"/>
    </row>
    <row r="4038" spans="1:1" x14ac:dyDescent="0.25">
      <c r="A4038" s="66"/>
    </row>
    <row r="4039" spans="1:1" x14ac:dyDescent="0.25">
      <c r="A4039" s="66"/>
    </row>
    <row r="4040" spans="1:1" x14ac:dyDescent="0.25">
      <c r="A4040" s="66"/>
    </row>
    <row r="4041" spans="1:1" x14ac:dyDescent="0.25">
      <c r="A4041" s="66"/>
    </row>
    <row r="4042" spans="1:1" x14ac:dyDescent="0.25">
      <c r="A4042" s="66"/>
    </row>
    <row r="4043" spans="1:1" x14ac:dyDescent="0.25">
      <c r="A4043" s="66"/>
    </row>
    <row r="4044" spans="1:1" x14ac:dyDescent="0.25">
      <c r="A4044" s="66"/>
    </row>
    <row r="4045" spans="1:1" x14ac:dyDescent="0.25">
      <c r="A4045" s="66"/>
    </row>
    <row r="4046" spans="1:1" x14ac:dyDescent="0.25">
      <c r="A4046" s="66"/>
    </row>
    <row r="4047" spans="1:1" x14ac:dyDescent="0.25">
      <c r="A4047" s="66"/>
    </row>
    <row r="4048" spans="1:1" x14ac:dyDescent="0.25">
      <c r="A4048" s="66"/>
    </row>
    <row r="4049" spans="1:1" x14ac:dyDescent="0.25">
      <c r="A4049" s="66"/>
    </row>
    <row r="4050" spans="1:1" x14ac:dyDescent="0.25">
      <c r="A4050" s="66"/>
    </row>
    <row r="4051" spans="1:1" x14ac:dyDescent="0.25">
      <c r="A4051" s="66"/>
    </row>
    <row r="4052" spans="1:1" x14ac:dyDescent="0.25">
      <c r="A4052" s="66"/>
    </row>
    <row r="4053" spans="1:1" x14ac:dyDescent="0.25">
      <c r="A4053" s="66"/>
    </row>
    <row r="4054" spans="1:1" x14ac:dyDescent="0.25">
      <c r="A4054" s="66"/>
    </row>
    <row r="4055" spans="1:1" x14ac:dyDescent="0.25">
      <c r="A4055" s="66"/>
    </row>
    <row r="4056" spans="1:1" x14ac:dyDescent="0.25">
      <c r="A4056" s="66"/>
    </row>
    <row r="4057" spans="1:1" x14ac:dyDescent="0.25">
      <c r="A4057" s="66"/>
    </row>
    <row r="4058" spans="1:1" x14ac:dyDescent="0.25">
      <c r="A4058" s="66"/>
    </row>
    <row r="4059" spans="1:1" x14ac:dyDescent="0.25">
      <c r="A4059" s="66"/>
    </row>
    <row r="4060" spans="1:1" x14ac:dyDescent="0.25">
      <c r="A4060" s="66"/>
    </row>
    <row r="4061" spans="1:1" x14ac:dyDescent="0.25">
      <c r="A4061" s="66"/>
    </row>
    <row r="4062" spans="1:1" x14ac:dyDescent="0.25">
      <c r="A4062" s="66"/>
    </row>
    <row r="4063" spans="1:1" x14ac:dyDescent="0.25">
      <c r="A4063" s="66"/>
    </row>
    <row r="4064" spans="1:1" x14ac:dyDescent="0.25">
      <c r="A4064" s="66"/>
    </row>
    <row r="4065" spans="1:1" x14ac:dyDescent="0.25">
      <c r="A4065" s="66"/>
    </row>
    <row r="4066" spans="1:1" x14ac:dyDescent="0.25">
      <c r="A4066" s="66"/>
    </row>
    <row r="4067" spans="1:1" x14ac:dyDescent="0.25">
      <c r="A4067" s="66"/>
    </row>
    <row r="4068" spans="1:1" x14ac:dyDescent="0.25">
      <c r="A4068" s="66"/>
    </row>
    <row r="4069" spans="1:1" x14ac:dyDescent="0.25">
      <c r="A4069" s="66"/>
    </row>
    <row r="4070" spans="1:1" x14ac:dyDescent="0.25">
      <c r="A4070" s="66"/>
    </row>
    <row r="4071" spans="1:1" x14ac:dyDescent="0.25">
      <c r="A4071" s="66"/>
    </row>
    <row r="4072" spans="1:1" x14ac:dyDescent="0.25">
      <c r="A4072" s="66"/>
    </row>
    <row r="4073" spans="1:1" x14ac:dyDescent="0.25">
      <c r="A4073" s="66"/>
    </row>
    <row r="4074" spans="1:1" x14ac:dyDescent="0.25">
      <c r="A4074" s="66"/>
    </row>
    <row r="4075" spans="1:1" x14ac:dyDescent="0.25">
      <c r="A4075" s="66"/>
    </row>
    <row r="4076" spans="1:1" x14ac:dyDescent="0.25">
      <c r="A4076" s="66"/>
    </row>
    <row r="4077" spans="1:1" x14ac:dyDescent="0.25">
      <c r="A4077" s="66"/>
    </row>
    <row r="4078" spans="1:1" x14ac:dyDescent="0.25">
      <c r="A4078" s="66"/>
    </row>
    <row r="4079" spans="1:1" x14ac:dyDescent="0.25">
      <c r="A4079" s="66"/>
    </row>
    <row r="4080" spans="1:1" x14ac:dyDescent="0.25">
      <c r="A4080" s="66"/>
    </row>
    <row r="4081" spans="1:1" x14ac:dyDescent="0.25">
      <c r="A4081" s="66"/>
    </row>
    <row r="4082" spans="1:1" x14ac:dyDescent="0.25">
      <c r="A4082" s="66"/>
    </row>
    <row r="4083" spans="1:1" x14ac:dyDescent="0.25">
      <c r="A4083" s="66"/>
    </row>
    <row r="4084" spans="1:1" x14ac:dyDescent="0.25">
      <c r="A4084" s="66"/>
    </row>
    <row r="4085" spans="1:1" x14ac:dyDescent="0.25">
      <c r="A4085" s="66"/>
    </row>
    <row r="4086" spans="1:1" x14ac:dyDescent="0.25">
      <c r="A4086" s="66"/>
    </row>
    <row r="4087" spans="1:1" x14ac:dyDescent="0.25">
      <c r="A4087" s="66"/>
    </row>
    <row r="4088" spans="1:1" x14ac:dyDescent="0.25">
      <c r="A4088" s="66"/>
    </row>
    <row r="4089" spans="1:1" x14ac:dyDescent="0.25">
      <c r="A4089" s="66"/>
    </row>
    <row r="4090" spans="1:1" x14ac:dyDescent="0.25">
      <c r="A4090" s="66"/>
    </row>
    <row r="4091" spans="1:1" x14ac:dyDescent="0.25">
      <c r="A4091" s="66"/>
    </row>
    <row r="4092" spans="1:1" x14ac:dyDescent="0.25">
      <c r="A4092" s="66"/>
    </row>
    <row r="4093" spans="1:1" x14ac:dyDescent="0.25">
      <c r="A4093" s="66"/>
    </row>
    <row r="4094" spans="1:1" x14ac:dyDescent="0.25">
      <c r="A4094" s="66"/>
    </row>
    <row r="4095" spans="1:1" x14ac:dyDescent="0.25">
      <c r="A4095" s="66"/>
    </row>
    <row r="4096" spans="1:1" x14ac:dyDescent="0.25">
      <c r="A4096" s="66"/>
    </row>
    <row r="4097" spans="1:1" x14ac:dyDescent="0.25">
      <c r="A4097" s="66"/>
    </row>
    <row r="4098" spans="1:1" x14ac:dyDescent="0.25">
      <c r="A4098" s="66"/>
    </row>
    <row r="4099" spans="1:1" x14ac:dyDescent="0.25">
      <c r="A4099" s="66"/>
    </row>
    <row r="4100" spans="1:1" x14ac:dyDescent="0.25">
      <c r="A4100" s="66"/>
    </row>
    <row r="4101" spans="1:1" x14ac:dyDescent="0.25">
      <c r="A4101" s="66"/>
    </row>
    <row r="4102" spans="1:1" x14ac:dyDescent="0.25">
      <c r="A4102" s="66"/>
    </row>
    <row r="4103" spans="1:1" x14ac:dyDescent="0.25">
      <c r="A4103" s="66"/>
    </row>
    <row r="4104" spans="1:1" x14ac:dyDescent="0.25">
      <c r="A4104" s="66"/>
    </row>
    <row r="4105" spans="1:1" x14ac:dyDescent="0.25">
      <c r="A4105" s="66"/>
    </row>
    <row r="4106" spans="1:1" x14ac:dyDescent="0.25">
      <c r="A4106" s="66"/>
    </row>
    <row r="4107" spans="1:1" x14ac:dyDescent="0.25">
      <c r="A4107" s="66"/>
    </row>
    <row r="4108" spans="1:1" x14ac:dyDescent="0.25">
      <c r="A4108" s="66"/>
    </row>
    <row r="4109" spans="1:1" x14ac:dyDescent="0.25">
      <c r="A4109" s="66"/>
    </row>
    <row r="4110" spans="1:1" x14ac:dyDescent="0.25">
      <c r="A4110" s="66"/>
    </row>
    <row r="4111" spans="1:1" x14ac:dyDescent="0.25">
      <c r="A4111" s="66"/>
    </row>
    <row r="4112" spans="1:1" x14ac:dyDescent="0.25">
      <c r="A4112" s="66"/>
    </row>
    <row r="4113" spans="1:1" x14ac:dyDescent="0.25">
      <c r="A4113" s="66"/>
    </row>
    <row r="4114" spans="1:1" x14ac:dyDescent="0.25">
      <c r="A4114" s="66"/>
    </row>
    <row r="4115" spans="1:1" x14ac:dyDescent="0.25">
      <c r="A4115" s="66"/>
    </row>
    <row r="4116" spans="1:1" x14ac:dyDescent="0.25">
      <c r="A4116" s="66"/>
    </row>
    <row r="4117" spans="1:1" x14ac:dyDescent="0.25">
      <c r="A4117" s="66"/>
    </row>
    <row r="4118" spans="1:1" x14ac:dyDescent="0.25">
      <c r="A4118" s="66"/>
    </row>
    <row r="4119" spans="1:1" x14ac:dyDescent="0.25">
      <c r="A4119" s="66"/>
    </row>
    <row r="4120" spans="1:1" x14ac:dyDescent="0.25">
      <c r="A4120" s="66"/>
    </row>
    <row r="4121" spans="1:1" x14ac:dyDescent="0.25">
      <c r="A4121" s="66"/>
    </row>
    <row r="4122" spans="1:1" x14ac:dyDescent="0.25">
      <c r="A4122" s="66"/>
    </row>
    <row r="4123" spans="1:1" x14ac:dyDescent="0.25">
      <c r="A4123" s="66"/>
    </row>
    <row r="4124" spans="1:1" x14ac:dyDescent="0.25">
      <c r="A4124" s="66"/>
    </row>
    <row r="4125" spans="1:1" x14ac:dyDescent="0.25">
      <c r="A4125" s="66"/>
    </row>
    <row r="4126" spans="1:1" x14ac:dyDescent="0.25">
      <c r="A4126" s="66"/>
    </row>
    <row r="4127" spans="1:1" x14ac:dyDescent="0.25">
      <c r="A4127" s="66"/>
    </row>
    <row r="4128" spans="1:1" x14ac:dyDescent="0.25">
      <c r="A4128" s="66"/>
    </row>
    <row r="4129" spans="1:1" x14ac:dyDescent="0.25">
      <c r="A4129" s="66"/>
    </row>
    <row r="4130" spans="1:1" x14ac:dyDescent="0.25">
      <c r="A4130" s="66"/>
    </row>
    <row r="4131" spans="1:1" x14ac:dyDescent="0.25">
      <c r="A4131" s="66"/>
    </row>
    <row r="4132" spans="1:1" x14ac:dyDescent="0.25">
      <c r="A4132" s="66"/>
    </row>
    <row r="4133" spans="1:1" x14ac:dyDescent="0.25">
      <c r="A4133" s="66"/>
    </row>
    <row r="4134" spans="1:1" x14ac:dyDescent="0.25">
      <c r="A4134" s="66"/>
    </row>
    <row r="4135" spans="1:1" x14ac:dyDescent="0.25">
      <c r="A4135" s="66"/>
    </row>
    <row r="4136" spans="1:1" x14ac:dyDescent="0.25">
      <c r="A4136" s="66"/>
    </row>
    <row r="4137" spans="1:1" x14ac:dyDescent="0.25">
      <c r="A4137" s="66"/>
    </row>
    <row r="4138" spans="1:1" x14ac:dyDescent="0.25">
      <c r="A4138" s="66"/>
    </row>
    <row r="4139" spans="1:1" x14ac:dyDescent="0.25">
      <c r="A4139" s="66"/>
    </row>
    <row r="4140" spans="1:1" x14ac:dyDescent="0.25">
      <c r="A4140" s="66"/>
    </row>
    <row r="4141" spans="1:1" x14ac:dyDescent="0.25">
      <c r="A4141" s="66"/>
    </row>
    <row r="4142" spans="1:1" x14ac:dyDescent="0.25">
      <c r="A4142" s="66"/>
    </row>
    <row r="4143" spans="1:1" x14ac:dyDescent="0.25">
      <c r="A4143" s="66"/>
    </row>
    <row r="4144" spans="1:1" x14ac:dyDescent="0.25">
      <c r="A4144" s="66"/>
    </row>
    <row r="4145" spans="1:1" x14ac:dyDescent="0.25">
      <c r="A4145" s="66"/>
    </row>
    <row r="4146" spans="1:1" x14ac:dyDescent="0.25">
      <c r="A4146" s="66"/>
    </row>
    <row r="4147" spans="1:1" x14ac:dyDescent="0.25">
      <c r="A4147" s="66"/>
    </row>
    <row r="4148" spans="1:1" x14ac:dyDescent="0.25">
      <c r="A4148" s="66"/>
    </row>
    <row r="4149" spans="1:1" x14ac:dyDescent="0.25">
      <c r="A4149" s="66"/>
    </row>
    <row r="4150" spans="1:1" x14ac:dyDescent="0.25">
      <c r="A4150" s="66"/>
    </row>
    <row r="4151" spans="1:1" x14ac:dyDescent="0.25">
      <c r="A4151" s="66"/>
    </row>
    <row r="4152" spans="1:1" x14ac:dyDescent="0.25">
      <c r="A4152" s="66"/>
    </row>
    <row r="4153" spans="1:1" x14ac:dyDescent="0.25">
      <c r="A4153" s="66"/>
    </row>
    <row r="4154" spans="1:1" x14ac:dyDescent="0.25">
      <c r="A4154" s="66"/>
    </row>
    <row r="4155" spans="1:1" x14ac:dyDescent="0.25">
      <c r="A4155" s="66"/>
    </row>
    <row r="4156" spans="1:1" x14ac:dyDescent="0.25">
      <c r="A4156" s="66"/>
    </row>
    <row r="4157" spans="1:1" x14ac:dyDescent="0.25">
      <c r="A4157" s="66"/>
    </row>
    <row r="4158" spans="1:1" x14ac:dyDescent="0.25">
      <c r="A4158" s="66"/>
    </row>
    <row r="4159" spans="1:1" x14ac:dyDescent="0.25">
      <c r="A4159" s="66"/>
    </row>
    <row r="4160" spans="1:1" x14ac:dyDescent="0.25">
      <c r="A4160" s="66"/>
    </row>
    <row r="4161" spans="1:1" x14ac:dyDescent="0.25">
      <c r="A4161" s="66"/>
    </row>
    <row r="4162" spans="1:1" x14ac:dyDescent="0.25">
      <c r="A4162" s="66"/>
    </row>
    <row r="4163" spans="1:1" x14ac:dyDescent="0.25">
      <c r="A4163" s="66"/>
    </row>
    <row r="4164" spans="1:1" x14ac:dyDescent="0.25">
      <c r="A4164" s="66"/>
    </row>
    <row r="4165" spans="1:1" x14ac:dyDescent="0.25">
      <c r="A4165" s="66"/>
    </row>
    <row r="4166" spans="1:1" x14ac:dyDescent="0.25">
      <c r="A4166" s="66"/>
    </row>
    <row r="4167" spans="1:1" x14ac:dyDescent="0.25">
      <c r="A4167" s="66"/>
    </row>
    <row r="4168" spans="1:1" x14ac:dyDescent="0.25">
      <c r="A4168" s="66"/>
    </row>
    <row r="4169" spans="1:1" x14ac:dyDescent="0.25">
      <c r="A4169" s="66"/>
    </row>
    <row r="4170" spans="1:1" x14ac:dyDescent="0.25">
      <c r="A4170" s="66"/>
    </row>
    <row r="4171" spans="1:1" x14ac:dyDescent="0.25">
      <c r="A4171" s="66"/>
    </row>
    <row r="4172" spans="1:1" x14ac:dyDescent="0.25">
      <c r="A4172" s="66"/>
    </row>
    <row r="4173" spans="1:1" x14ac:dyDescent="0.25">
      <c r="A4173" s="66"/>
    </row>
    <row r="4174" spans="1:1" x14ac:dyDescent="0.25">
      <c r="A4174" s="66"/>
    </row>
    <row r="4175" spans="1:1" x14ac:dyDescent="0.25">
      <c r="A4175" s="66"/>
    </row>
    <row r="4176" spans="1:1" x14ac:dyDescent="0.25">
      <c r="A4176" s="66"/>
    </row>
    <row r="4177" spans="1:1" x14ac:dyDescent="0.25">
      <c r="A4177" s="66"/>
    </row>
    <row r="4178" spans="1:1" x14ac:dyDescent="0.25">
      <c r="A4178" s="66"/>
    </row>
    <row r="4179" spans="1:1" x14ac:dyDescent="0.25">
      <c r="A4179" s="66"/>
    </row>
    <row r="4180" spans="1:1" x14ac:dyDescent="0.25">
      <c r="A4180" s="66"/>
    </row>
    <row r="4181" spans="1:1" x14ac:dyDescent="0.25">
      <c r="A4181" s="66"/>
    </row>
    <row r="4182" spans="1:1" x14ac:dyDescent="0.25">
      <c r="A4182" s="66"/>
    </row>
    <row r="4183" spans="1:1" x14ac:dyDescent="0.25">
      <c r="A4183" s="66"/>
    </row>
    <row r="4184" spans="1:1" x14ac:dyDescent="0.25">
      <c r="A4184" s="66"/>
    </row>
    <row r="4185" spans="1:1" x14ac:dyDescent="0.25">
      <c r="A4185" s="66"/>
    </row>
    <row r="4186" spans="1:1" x14ac:dyDescent="0.25">
      <c r="A4186" s="66"/>
    </row>
    <row r="4187" spans="1:1" x14ac:dyDescent="0.25">
      <c r="A4187" s="66"/>
    </row>
    <row r="4188" spans="1:1" x14ac:dyDescent="0.25">
      <c r="A4188" s="66"/>
    </row>
    <row r="4189" spans="1:1" x14ac:dyDescent="0.25">
      <c r="A4189" s="66"/>
    </row>
    <row r="4190" spans="1:1" x14ac:dyDescent="0.25">
      <c r="A4190" s="66"/>
    </row>
    <row r="4191" spans="1:1" x14ac:dyDescent="0.25">
      <c r="A4191" s="66"/>
    </row>
    <row r="4192" spans="1:1" x14ac:dyDescent="0.25">
      <c r="A4192" s="66"/>
    </row>
    <row r="4193" spans="1:1" x14ac:dyDescent="0.25">
      <c r="A4193" s="66"/>
    </row>
    <row r="4194" spans="1:1" x14ac:dyDescent="0.25">
      <c r="A4194" s="66"/>
    </row>
    <row r="4195" spans="1:1" x14ac:dyDescent="0.25">
      <c r="A4195" s="66"/>
    </row>
    <row r="4196" spans="1:1" x14ac:dyDescent="0.25">
      <c r="A4196" s="66"/>
    </row>
    <row r="4197" spans="1:1" x14ac:dyDescent="0.25">
      <c r="A4197" s="66"/>
    </row>
    <row r="4198" spans="1:1" x14ac:dyDescent="0.25">
      <c r="A4198" s="66"/>
    </row>
    <row r="4199" spans="1:1" x14ac:dyDescent="0.25">
      <c r="A4199" s="66"/>
    </row>
    <row r="4200" spans="1:1" x14ac:dyDescent="0.25">
      <c r="A4200" s="66"/>
    </row>
    <row r="4201" spans="1:1" x14ac:dyDescent="0.25">
      <c r="A4201" s="66"/>
    </row>
    <row r="4202" spans="1:1" x14ac:dyDescent="0.25">
      <c r="A4202" s="66"/>
    </row>
    <row r="4203" spans="1:1" x14ac:dyDescent="0.25">
      <c r="A4203" s="66"/>
    </row>
    <row r="4204" spans="1:1" x14ac:dyDescent="0.25">
      <c r="A4204" s="66"/>
    </row>
    <row r="4205" spans="1:1" x14ac:dyDescent="0.25">
      <c r="A4205" s="66"/>
    </row>
    <row r="4206" spans="1:1" x14ac:dyDescent="0.25">
      <c r="A4206" s="66"/>
    </row>
    <row r="4207" spans="1:1" x14ac:dyDescent="0.25">
      <c r="A4207" s="66"/>
    </row>
    <row r="4208" spans="1:1" x14ac:dyDescent="0.25">
      <c r="A4208" s="66"/>
    </row>
    <row r="4209" spans="1:1" x14ac:dyDescent="0.25">
      <c r="A4209" s="66"/>
    </row>
    <row r="4210" spans="1:1" x14ac:dyDescent="0.25">
      <c r="A4210" s="66"/>
    </row>
    <row r="4211" spans="1:1" x14ac:dyDescent="0.25">
      <c r="A4211" s="66"/>
    </row>
    <row r="4212" spans="1:1" x14ac:dyDescent="0.25">
      <c r="A4212" s="66"/>
    </row>
    <row r="4213" spans="1:1" x14ac:dyDescent="0.25">
      <c r="A4213" s="66"/>
    </row>
    <row r="4214" spans="1:1" x14ac:dyDescent="0.25">
      <c r="A4214" s="66"/>
    </row>
    <row r="4215" spans="1:1" x14ac:dyDescent="0.25">
      <c r="A4215" s="66"/>
    </row>
    <row r="4216" spans="1:1" x14ac:dyDescent="0.25">
      <c r="A4216" s="66"/>
    </row>
    <row r="4217" spans="1:1" x14ac:dyDescent="0.25">
      <c r="A4217" s="66"/>
    </row>
    <row r="4218" spans="1:1" x14ac:dyDescent="0.25">
      <c r="A4218" s="66"/>
    </row>
    <row r="4219" spans="1:1" x14ac:dyDescent="0.25">
      <c r="A4219" s="66"/>
    </row>
    <row r="4220" spans="1:1" x14ac:dyDescent="0.25">
      <c r="A4220" s="66"/>
    </row>
    <row r="4221" spans="1:1" x14ac:dyDescent="0.25">
      <c r="A4221" s="66"/>
    </row>
    <row r="4222" spans="1:1" x14ac:dyDescent="0.25">
      <c r="A4222" s="66"/>
    </row>
    <row r="4223" spans="1:1" x14ac:dyDescent="0.25">
      <c r="A4223" s="66"/>
    </row>
    <row r="4224" spans="1:1" x14ac:dyDescent="0.25">
      <c r="A4224" s="66"/>
    </row>
    <row r="4225" spans="1:1" x14ac:dyDescent="0.25">
      <c r="A4225" s="66"/>
    </row>
    <row r="4226" spans="1:1" x14ac:dyDescent="0.25">
      <c r="A4226" s="66"/>
    </row>
    <row r="4227" spans="1:1" x14ac:dyDescent="0.25">
      <c r="A4227" s="66"/>
    </row>
    <row r="4228" spans="1:1" x14ac:dyDescent="0.25">
      <c r="A4228" s="66"/>
    </row>
    <row r="4229" spans="1:1" x14ac:dyDescent="0.25">
      <c r="A4229" s="66"/>
    </row>
    <row r="4230" spans="1:1" x14ac:dyDescent="0.25">
      <c r="A4230" s="66"/>
    </row>
    <row r="4231" spans="1:1" x14ac:dyDescent="0.25">
      <c r="A4231" s="66"/>
    </row>
    <row r="4232" spans="1:1" x14ac:dyDescent="0.25">
      <c r="A4232" s="66"/>
    </row>
    <row r="4233" spans="1:1" x14ac:dyDescent="0.25">
      <c r="A4233" s="66"/>
    </row>
    <row r="4234" spans="1:1" x14ac:dyDescent="0.25">
      <c r="A4234" s="66"/>
    </row>
    <row r="4235" spans="1:1" x14ac:dyDescent="0.25">
      <c r="A4235" s="66"/>
    </row>
    <row r="4236" spans="1:1" x14ac:dyDescent="0.25">
      <c r="A4236" s="66"/>
    </row>
    <row r="4237" spans="1:1" x14ac:dyDescent="0.25">
      <c r="A4237" s="66"/>
    </row>
    <row r="4238" spans="1:1" x14ac:dyDescent="0.25">
      <c r="A4238" s="66"/>
    </row>
    <row r="4239" spans="1:1" x14ac:dyDescent="0.25">
      <c r="A4239" s="66"/>
    </row>
    <row r="4240" spans="1:1" x14ac:dyDescent="0.25">
      <c r="A4240" s="66"/>
    </row>
    <row r="4241" spans="1:1" x14ac:dyDescent="0.25">
      <c r="A4241" s="66"/>
    </row>
    <row r="4242" spans="1:1" x14ac:dyDescent="0.25">
      <c r="A4242" s="66"/>
    </row>
    <row r="4243" spans="1:1" x14ac:dyDescent="0.25">
      <c r="A4243" s="66"/>
    </row>
    <row r="4244" spans="1:1" x14ac:dyDescent="0.25">
      <c r="A4244" s="66"/>
    </row>
    <row r="4245" spans="1:1" x14ac:dyDescent="0.25">
      <c r="A4245" s="66"/>
    </row>
    <row r="4246" spans="1:1" x14ac:dyDescent="0.25">
      <c r="A4246" s="66"/>
    </row>
    <row r="4247" spans="1:1" x14ac:dyDescent="0.25">
      <c r="A4247" s="66"/>
    </row>
    <row r="4248" spans="1:1" x14ac:dyDescent="0.25">
      <c r="A4248" s="66"/>
    </row>
    <row r="4249" spans="1:1" x14ac:dyDescent="0.25">
      <c r="A4249" s="66"/>
    </row>
    <row r="4250" spans="1:1" x14ac:dyDescent="0.25">
      <c r="A4250" s="66"/>
    </row>
    <row r="4251" spans="1:1" x14ac:dyDescent="0.25">
      <c r="A4251" s="66"/>
    </row>
    <row r="4252" spans="1:1" x14ac:dyDescent="0.25">
      <c r="A4252" s="66"/>
    </row>
    <row r="4253" spans="1:1" x14ac:dyDescent="0.25">
      <c r="A4253" s="66"/>
    </row>
    <row r="4254" spans="1:1" x14ac:dyDescent="0.25">
      <c r="A4254" s="66"/>
    </row>
    <row r="4255" spans="1:1" x14ac:dyDescent="0.25">
      <c r="A4255" s="66"/>
    </row>
    <row r="4256" spans="1:1" x14ac:dyDescent="0.25">
      <c r="A4256" s="66"/>
    </row>
    <row r="4257" spans="1:1" x14ac:dyDescent="0.25">
      <c r="A4257" s="66"/>
    </row>
    <row r="4258" spans="1:1" x14ac:dyDescent="0.25">
      <c r="A4258" s="66"/>
    </row>
    <row r="4259" spans="1:1" x14ac:dyDescent="0.25">
      <c r="A4259" s="66"/>
    </row>
    <row r="4260" spans="1:1" x14ac:dyDescent="0.25">
      <c r="A4260" s="66"/>
    </row>
    <row r="4261" spans="1:1" x14ac:dyDescent="0.25">
      <c r="A4261" s="66"/>
    </row>
    <row r="4262" spans="1:1" x14ac:dyDescent="0.25">
      <c r="A4262" s="66"/>
    </row>
    <row r="4263" spans="1:1" x14ac:dyDescent="0.25">
      <c r="A4263" s="66"/>
    </row>
    <row r="4264" spans="1:1" x14ac:dyDescent="0.25">
      <c r="A4264" s="66"/>
    </row>
    <row r="4265" spans="1:1" x14ac:dyDescent="0.25">
      <c r="A4265" s="66"/>
    </row>
    <row r="4266" spans="1:1" x14ac:dyDescent="0.25">
      <c r="A4266" s="66"/>
    </row>
    <row r="4267" spans="1:1" x14ac:dyDescent="0.25">
      <c r="A4267" s="66"/>
    </row>
    <row r="4268" spans="1:1" x14ac:dyDescent="0.25">
      <c r="A4268" s="66"/>
    </row>
    <row r="4269" spans="1:1" x14ac:dyDescent="0.25">
      <c r="A4269" s="66"/>
    </row>
    <row r="4270" spans="1:1" x14ac:dyDescent="0.25">
      <c r="A4270" s="66"/>
    </row>
    <row r="4271" spans="1:1" x14ac:dyDescent="0.25">
      <c r="A4271" s="66"/>
    </row>
    <row r="4272" spans="1:1" x14ac:dyDescent="0.25">
      <c r="A4272" s="66"/>
    </row>
    <row r="4273" spans="1:1" x14ac:dyDescent="0.25">
      <c r="A4273" s="66"/>
    </row>
    <row r="4274" spans="1:1" x14ac:dyDescent="0.25">
      <c r="A4274" s="66"/>
    </row>
    <row r="4275" spans="1:1" x14ac:dyDescent="0.25">
      <c r="A4275" s="66"/>
    </row>
    <row r="4276" spans="1:1" x14ac:dyDescent="0.25">
      <c r="A4276" s="66"/>
    </row>
    <row r="4277" spans="1:1" x14ac:dyDescent="0.25">
      <c r="A4277" s="66"/>
    </row>
    <row r="4278" spans="1:1" x14ac:dyDescent="0.25">
      <c r="A4278" s="66"/>
    </row>
    <row r="4279" spans="1:1" x14ac:dyDescent="0.25">
      <c r="A4279" s="66"/>
    </row>
    <row r="4280" spans="1:1" x14ac:dyDescent="0.25">
      <c r="A4280" s="66"/>
    </row>
    <row r="4281" spans="1:1" x14ac:dyDescent="0.25">
      <c r="A4281" s="66"/>
    </row>
    <row r="4282" spans="1:1" x14ac:dyDescent="0.25">
      <c r="A4282" s="66"/>
    </row>
    <row r="4283" spans="1:1" x14ac:dyDescent="0.25">
      <c r="A4283" s="66"/>
    </row>
    <row r="4284" spans="1:1" x14ac:dyDescent="0.25">
      <c r="A4284" s="66"/>
    </row>
    <row r="4285" spans="1:1" x14ac:dyDescent="0.25">
      <c r="A4285" s="66"/>
    </row>
    <row r="4286" spans="1:1" x14ac:dyDescent="0.25">
      <c r="A4286" s="66"/>
    </row>
    <row r="4287" spans="1:1" x14ac:dyDescent="0.25">
      <c r="A4287" s="66"/>
    </row>
    <row r="4288" spans="1:1" x14ac:dyDescent="0.25">
      <c r="A4288" s="66"/>
    </row>
    <row r="4289" spans="1:1" x14ac:dyDescent="0.25">
      <c r="A4289" s="66"/>
    </row>
    <row r="4290" spans="1:1" x14ac:dyDescent="0.25">
      <c r="A4290" s="66"/>
    </row>
    <row r="4291" spans="1:1" x14ac:dyDescent="0.25">
      <c r="A4291" s="66"/>
    </row>
    <row r="4292" spans="1:1" x14ac:dyDescent="0.25">
      <c r="A4292" s="66"/>
    </row>
    <row r="4293" spans="1:1" x14ac:dyDescent="0.25">
      <c r="A4293" s="66"/>
    </row>
    <row r="4294" spans="1:1" x14ac:dyDescent="0.25">
      <c r="A4294" s="66"/>
    </row>
    <row r="4295" spans="1:1" x14ac:dyDescent="0.25">
      <c r="A4295" s="66"/>
    </row>
    <row r="4296" spans="1:1" x14ac:dyDescent="0.25">
      <c r="A4296" s="66"/>
    </row>
    <row r="4297" spans="1:1" x14ac:dyDescent="0.25">
      <c r="A4297" s="66"/>
    </row>
    <row r="4298" spans="1:1" x14ac:dyDescent="0.25">
      <c r="A4298" s="66"/>
    </row>
    <row r="4299" spans="1:1" x14ac:dyDescent="0.25">
      <c r="A4299" s="66"/>
    </row>
    <row r="4300" spans="1:1" x14ac:dyDescent="0.25">
      <c r="A4300" s="66"/>
    </row>
    <row r="4301" spans="1:1" x14ac:dyDescent="0.25">
      <c r="A4301" s="66"/>
    </row>
    <row r="4302" spans="1:1" x14ac:dyDescent="0.25">
      <c r="A4302" s="66"/>
    </row>
    <row r="4303" spans="1:1" x14ac:dyDescent="0.25">
      <c r="A4303" s="66"/>
    </row>
    <row r="4304" spans="1:1" x14ac:dyDescent="0.25">
      <c r="A4304" s="66"/>
    </row>
    <row r="4305" spans="1:1" x14ac:dyDescent="0.25">
      <c r="A4305" s="66"/>
    </row>
    <row r="4306" spans="1:1" x14ac:dyDescent="0.25">
      <c r="A4306" s="66"/>
    </row>
    <row r="4307" spans="1:1" x14ac:dyDescent="0.25">
      <c r="A4307" s="66"/>
    </row>
    <row r="4308" spans="1:1" x14ac:dyDescent="0.25">
      <c r="A4308" s="66"/>
    </row>
    <row r="4309" spans="1:1" x14ac:dyDescent="0.25">
      <c r="A4309" s="66"/>
    </row>
    <row r="4310" spans="1:1" x14ac:dyDescent="0.25">
      <c r="A4310" s="66"/>
    </row>
    <row r="4311" spans="1:1" x14ac:dyDescent="0.25">
      <c r="A4311" s="66"/>
    </row>
    <row r="4312" spans="1:1" x14ac:dyDescent="0.25">
      <c r="A4312" s="66"/>
    </row>
    <row r="4313" spans="1:1" x14ac:dyDescent="0.25">
      <c r="A4313" s="66"/>
    </row>
    <row r="4314" spans="1:1" x14ac:dyDescent="0.25">
      <c r="A4314" s="66"/>
    </row>
    <row r="4315" spans="1:1" x14ac:dyDescent="0.25">
      <c r="A4315" s="66"/>
    </row>
    <row r="4316" spans="1:1" x14ac:dyDescent="0.25">
      <c r="A4316" s="66"/>
    </row>
    <row r="4317" spans="1:1" x14ac:dyDescent="0.25">
      <c r="A4317" s="66"/>
    </row>
    <row r="4318" spans="1:1" x14ac:dyDescent="0.25">
      <c r="A4318" s="66"/>
    </row>
    <row r="4319" spans="1:1" x14ac:dyDescent="0.25">
      <c r="A4319" s="66"/>
    </row>
    <row r="4320" spans="1:1" x14ac:dyDescent="0.25">
      <c r="A4320" s="66"/>
    </row>
    <row r="4321" spans="1:1" x14ac:dyDescent="0.25">
      <c r="A4321" s="66"/>
    </row>
    <row r="4322" spans="1:1" x14ac:dyDescent="0.25">
      <c r="A4322" s="66"/>
    </row>
    <row r="4323" spans="1:1" x14ac:dyDescent="0.25">
      <c r="A4323" s="66"/>
    </row>
    <row r="4324" spans="1:1" x14ac:dyDescent="0.25">
      <c r="A4324" s="66"/>
    </row>
    <row r="4325" spans="1:1" x14ac:dyDescent="0.25">
      <c r="A4325" s="66"/>
    </row>
    <row r="4326" spans="1:1" x14ac:dyDescent="0.25">
      <c r="A4326" s="66"/>
    </row>
    <row r="4327" spans="1:1" x14ac:dyDescent="0.25">
      <c r="A4327" s="66"/>
    </row>
    <row r="4328" spans="1:1" x14ac:dyDescent="0.25">
      <c r="A4328" s="66"/>
    </row>
    <row r="4329" spans="1:1" x14ac:dyDescent="0.25">
      <c r="A4329" s="66"/>
    </row>
    <row r="4330" spans="1:1" x14ac:dyDescent="0.25">
      <c r="A4330" s="66"/>
    </row>
    <row r="4331" spans="1:1" x14ac:dyDescent="0.25">
      <c r="A4331" s="66"/>
    </row>
    <row r="4332" spans="1:1" x14ac:dyDescent="0.25">
      <c r="A4332" s="66"/>
    </row>
    <row r="4333" spans="1:1" x14ac:dyDescent="0.25">
      <c r="A4333" s="66"/>
    </row>
    <row r="4334" spans="1:1" x14ac:dyDescent="0.25">
      <c r="A4334" s="66"/>
    </row>
    <row r="4335" spans="1:1" x14ac:dyDescent="0.25">
      <c r="A4335" s="66"/>
    </row>
    <row r="4336" spans="1:1" x14ac:dyDescent="0.25">
      <c r="A4336" s="66"/>
    </row>
    <row r="4337" spans="1:1" x14ac:dyDescent="0.25">
      <c r="A4337" s="66"/>
    </row>
    <row r="4338" spans="1:1" x14ac:dyDescent="0.25">
      <c r="A4338" s="66"/>
    </row>
    <row r="4339" spans="1:1" x14ac:dyDescent="0.25">
      <c r="A4339" s="66"/>
    </row>
    <row r="4340" spans="1:1" x14ac:dyDescent="0.25">
      <c r="A4340" s="66"/>
    </row>
    <row r="4341" spans="1:1" x14ac:dyDescent="0.25">
      <c r="A4341" s="66"/>
    </row>
    <row r="4342" spans="1:1" x14ac:dyDescent="0.25">
      <c r="A4342" s="66"/>
    </row>
    <row r="4343" spans="1:1" x14ac:dyDescent="0.25">
      <c r="A4343" s="66"/>
    </row>
    <row r="4344" spans="1:1" x14ac:dyDescent="0.25">
      <c r="A4344" s="66"/>
    </row>
    <row r="4345" spans="1:1" x14ac:dyDescent="0.25">
      <c r="A4345" s="66"/>
    </row>
    <row r="4346" spans="1:1" x14ac:dyDescent="0.25">
      <c r="A4346" s="66"/>
    </row>
    <row r="4347" spans="1:1" x14ac:dyDescent="0.25">
      <c r="A4347" s="66"/>
    </row>
    <row r="4348" spans="1:1" x14ac:dyDescent="0.25">
      <c r="A4348" s="66"/>
    </row>
    <row r="4349" spans="1:1" x14ac:dyDescent="0.25">
      <c r="A4349" s="66"/>
    </row>
    <row r="4350" spans="1:1" x14ac:dyDescent="0.25">
      <c r="A4350" s="66"/>
    </row>
    <row r="4351" spans="1:1" x14ac:dyDescent="0.25">
      <c r="A4351" s="66"/>
    </row>
    <row r="4352" spans="1:1" x14ac:dyDescent="0.25">
      <c r="A4352" s="66"/>
    </row>
    <row r="4353" spans="1:1" x14ac:dyDescent="0.25">
      <c r="A4353" s="66"/>
    </row>
    <row r="4354" spans="1:1" x14ac:dyDescent="0.25">
      <c r="A4354" s="66"/>
    </row>
    <row r="4355" spans="1:1" x14ac:dyDescent="0.25">
      <c r="A4355" s="66"/>
    </row>
    <row r="4356" spans="1:1" x14ac:dyDescent="0.25">
      <c r="A4356" s="66"/>
    </row>
    <row r="4357" spans="1:1" x14ac:dyDescent="0.25">
      <c r="A4357" s="66"/>
    </row>
    <row r="4358" spans="1:1" x14ac:dyDescent="0.25">
      <c r="A4358" s="66"/>
    </row>
    <row r="4359" spans="1:1" x14ac:dyDescent="0.25">
      <c r="A4359" s="66"/>
    </row>
    <row r="4360" spans="1:1" x14ac:dyDescent="0.25">
      <c r="A4360" s="66"/>
    </row>
    <row r="4361" spans="1:1" x14ac:dyDescent="0.25">
      <c r="A4361" s="66"/>
    </row>
    <row r="4362" spans="1:1" x14ac:dyDescent="0.25">
      <c r="A4362" s="66"/>
    </row>
    <row r="4363" spans="1:1" x14ac:dyDescent="0.25">
      <c r="A4363" s="66"/>
    </row>
    <row r="4364" spans="1:1" x14ac:dyDescent="0.25">
      <c r="A4364" s="66"/>
    </row>
    <row r="4365" spans="1:1" x14ac:dyDescent="0.25">
      <c r="A4365" s="66"/>
    </row>
    <row r="4366" spans="1:1" x14ac:dyDescent="0.25">
      <c r="A4366" s="66"/>
    </row>
    <row r="4367" spans="1:1" x14ac:dyDescent="0.25">
      <c r="A4367" s="66"/>
    </row>
    <row r="4368" spans="1:1" x14ac:dyDescent="0.25">
      <c r="A4368" s="66"/>
    </row>
    <row r="4369" spans="1:1" x14ac:dyDescent="0.25">
      <c r="A4369" s="66"/>
    </row>
    <row r="4370" spans="1:1" x14ac:dyDescent="0.25">
      <c r="A4370" s="66"/>
    </row>
    <row r="4371" spans="1:1" x14ac:dyDescent="0.25">
      <c r="A4371" s="66"/>
    </row>
    <row r="4372" spans="1:1" x14ac:dyDescent="0.25">
      <c r="A4372" s="66"/>
    </row>
    <row r="4373" spans="1:1" x14ac:dyDescent="0.25">
      <c r="A4373" s="66"/>
    </row>
    <row r="4374" spans="1:1" x14ac:dyDescent="0.25">
      <c r="A4374" s="66"/>
    </row>
    <row r="4375" spans="1:1" x14ac:dyDescent="0.25">
      <c r="A4375" s="66"/>
    </row>
    <row r="4376" spans="1:1" x14ac:dyDescent="0.25">
      <c r="A4376" s="66"/>
    </row>
    <row r="4377" spans="1:1" x14ac:dyDescent="0.25">
      <c r="A4377" s="66"/>
    </row>
    <row r="4378" spans="1:1" x14ac:dyDescent="0.25">
      <c r="A4378" s="66"/>
    </row>
    <row r="4379" spans="1:1" x14ac:dyDescent="0.25">
      <c r="A4379" s="66"/>
    </row>
    <row r="4380" spans="1:1" x14ac:dyDescent="0.25">
      <c r="A4380" s="66"/>
    </row>
    <row r="4381" spans="1:1" x14ac:dyDescent="0.25">
      <c r="A4381" s="66"/>
    </row>
    <row r="4382" spans="1:1" x14ac:dyDescent="0.25">
      <c r="A4382" s="66"/>
    </row>
    <row r="4383" spans="1:1" x14ac:dyDescent="0.25">
      <c r="A4383" s="66"/>
    </row>
    <row r="4384" spans="1:1" x14ac:dyDescent="0.25">
      <c r="A4384" s="66"/>
    </row>
    <row r="4385" spans="1:1" x14ac:dyDescent="0.25">
      <c r="A4385" s="66"/>
    </row>
    <row r="4386" spans="1:1" x14ac:dyDescent="0.25">
      <c r="A4386" s="66"/>
    </row>
    <row r="4387" spans="1:1" x14ac:dyDescent="0.25">
      <c r="A4387" s="66"/>
    </row>
    <row r="4388" spans="1:1" x14ac:dyDescent="0.25">
      <c r="A4388" s="66"/>
    </row>
    <row r="4389" spans="1:1" x14ac:dyDescent="0.25">
      <c r="A4389" s="66"/>
    </row>
    <row r="4390" spans="1:1" x14ac:dyDescent="0.25">
      <c r="A4390" s="66"/>
    </row>
    <row r="4391" spans="1:1" x14ac:dyDescent="0.25">
      <c r="A4391" s="66"/>
    </row>
    <row r="4392" spans="1:1" x14ac:dyDescent="0.25">
      <c r="A4392" s="66"/>
    </row>
    <row r="4393" spans="1:1" x14ac:dyDescent="0.25">
      <c r="A4393" s="66"/>
    </row>
    <row r="4394" spans="1:1" x14ac:dyDescent="0.25">
      <c r="A4394" s="66"/>
    </row>
    <row r="4395" spans="1:1" x14ac:dyDescent="0.25">
      <c r="A4395" s="66"/>
    </row>
    <row r="4396" spans="1:1" x14ac:dyDescent="0.25">
      <c r="A4396" s="66"/>
    </row>
    <row r="4397" spans="1:1" x14ac:dyDescent="0.25">
      <c r="A4397" s="66"/>
    </row>
    <row r="4398" spans="1:1" x14ac:dyDescent="0.25">
      <c r="A4398" s="66"/>
    </row>
    <row r="4399" spans="1:1" x14ac:dyDescent="0.25">
      <c r="A4399" s="66"/>
    </row>
    <row r="4400" spans="1:1" x14ac:dyDescent="0.25">
      <c r="A4400" s="66"/>
    </row>
    <row r="4401" spans="1:1" x14ac:dyDescent="0.25">
      <c r="A4401" s="66"/>
    </row>
    <row r="4402" spans="1:1" x14ac:dyDescent="0.25">
      <c r="A4402" s="66"/>
    </row>
    <row r="4403" spans="1:1" x14ac:dyDescent="0.25">
      <c r="A4403" s="66"/>
    </row>
    <row r="4404" spans="1:1" x14ac:dyDescent="0.25">
      <c r="A4404" s="66"/>
    </row>
    <row r="4405" spans="1:1" x14ac:dyDescent="0.25">
      <c r="A4405" s="66"/>
    </row>
    <row r="4406" spans="1:1" x14ac:dyDescent="0.25">
      <c r="A4406" s="66"/>
    </row>
    <row r="4407" spans="1:1" x14ac:dyDescent="0.25">
      <c r="A4407" s="66"/>
    </row>
    <row r="4408" spans="1:1" x14ac:dyDescent="0.25">
      <c r="A4408" s="66"/>
    </row>
    <row r="4409" spans="1:1" x14ac:dyDescent="0.25">
      <c r="A4409" s="66"/>
    </row>
    <row r="4410" spans="1:1" x14ac:dyDescent="0.25">
      <c r="A4410" s="66"/>
    </row>
    <row r="4411" spans="1:1" x14ac:dyDescent="0.25">
      <c r="A4411" s="66"/>
    </row>
    <row r="4412" spans="1:1" x14ac:dyDescent="0.25">
      <c r="A4412" s="66"/>
    </row>
    <row r="4413" spans="1:1" x14ac:dyDescent="0.25">
      <c r="A4413" s="66"/>
    </row>
    <row r="4414" spans="1:1" x14ac:dyDescent="0.25">
      <c r="A4414" s="66"/>
    </row>
    <row r="4415" spans="1:1" x14ac:dyDescent="0.25">
      <c r="A4415" s="66"/>
    </row>
    <row r="4416" spans="1:1" x14ac:dyDescent="0.25">
      <c r="A4416" s="66"/>
    </row>
    <row r="4417" spans="1:1" x14ac:dyDescent="0.25">
      <c r="A4417" s="66"/>
    </row>
    <row r="4418" spans="1:1" x14ac:dyDescent="0.25">
      <c r="A4418" s="66"/>
    </row>
    <row r="4419" spans="1:1" x14ac:dyDescent="0.25">
      <c r="A4419" s="66"/>
    </row>
    <row r="4420" spans="1:1" x14ac:dyDescent="0.25">
      <c r="A4420" s="66"/>
    </row>
    <row r="4421" spans="1:1" x14ac:dyDescent="0.25">
      <c r="A4421" s="66"/>
    </row>
    <row r="4422" spans="1:1" x14ac:dyDescent="0.25">
      <c r="A4422" s="66"/>
    </row>
    <row r="4423" spans="1:1" x14ac:dyDescent="0.25">
      <c r="A4423" s="66"/>
    </row>
    <row r="4424" spans="1:1" x14ac:dyDescent="0.25">
      <c r="A4424" s="66"/>
    </row>
    <row r="4425" spans="1:1" x14ac:dyDescent="0.25">
      <c r="A4425" s="66"/>
    </row>
    <row r="4426" spans="1:1" x14ac:dyDescent="0.25">
      <c r="A4426" s="66"/>
    </row>
    <row r="4427" spans="1:1" x14ac:dyDescent="0.25">
      <c r="A4427" s="66"/>
    </row>
    <row r="4428" spans="1:1" x14ac:dyDescent="0.25">
      <c r="A4428" s="66"/>
    </row>
    <row r="4429" spans="1:1" x14ac:dyDescent="0.25">
      <c r="A4429" s="66"/>
    </row>
    <row r="4430" spans="1:1" x14ac:dyDescent="0.25">
      <c r="A4430" s="66"/>
    </row>
    <row r="4431" spans="1:1" x14ac:dyDescent="0.25">
      <c r="A4431" s="66"/>
    </row>
    <row r="4432" spans="1:1" x14ac:dyDescent="0.25">
      <c r="A4432" s="66"/>
    </row>
    <row r="4433" spans="1:1" x14ac:dyDescent="0.25">
      <c r="A4433" s="66"/>
    </row>
    <row r="4434" spans="1:1" x14ac:dyDescent="0.25">
      <c r="A4434" s="66"/>
    </row>
    <row r="4435" spans="1:1" x14ac:dyDescent="0.25">
      <c r="A4435" s="66"/>
    </row>
    <row r="4436" spans="1:1" x14ac:dyDescent="0.25">
      <c r="A4436" s="66"/>
    </row>
    <row r="4437" spans="1:1" x14ac:dyDescent="0.25">
      <c r="A4437" s="66"/>
    </row>
    <row r="4438" spans="1:1" x14ac:dyDescent="0.25">
      <c r="A4438" s="66"/>
    </row>
    <row r="4439" spans="1:1" x14ac:dyDescent="0.25">
      <c r="A4439" s="66"/>
    </row>
    <row r="4440" spans="1:1" x14ac:dyDescent="0.25">
      <c r="A4440" s="66"/>
    </row>
    <row r="4441" spans="1:1" x14ac:dyDescent="0.25">
      <c r="A4441" s="66"/>
    </row>
    <row r="4442" spans="1:1" x14ac:dyDescent="0.25">
      <c r="A4442" s="66"/>
    </row>
    <row r="4443" spans="1:1" x14ac:dyDescent="0.25">
      <c r="A4443" s="66"/>
    </row>
    <row r="4444" spans="1:1" x14ac:dyDescent="0.25">
      <c r="A4444" s="66"/>
    </row>
    <row r="4445" spans="1:1" x14ac:dyDescent="0.25">
      <c r="A4445" s="66"/>
    </row>
    <row r="4446" spans="1:1" x14ac:dyDescent="0.25">
      <c r="A4446" s="66"/>
    </row>
    <row r="4447" spans="1:1" x14ac:dyDescent="0.25">
      <c r="A4447" s="66"/>
    </row>
    <row r="4448" spans="1:1" x14ac:dyDescent="0.25">
      <c r="A4448" s="66"/>
    </row>
    <row r="4449" spans="1:1" x14ac:dyDescent="0.25">
      <c r="A4449" s="66"/>
    </row>
    <row r="4450" spans="1:1" x14ac:dyDescent="0.25">
      <c r="A4450" s="66"/>
    </row>
    <row r="4451" spans="1:1" x14ac:dyDescent="0.25">
      <c r="A4451" s="66"/>
    </row>
    <row r="4452" spans="1:1" x14ac:dyDescent="0.25">
      <c r="A4452" s="66"/>
    </row>
    <row r="4453" spans="1:1" x14ac:dyDescent="0.25">
      <c r="A4453" s="66"/>
    </row>
    <row r="4454" spans="1:1" x14ac:dyDescent="0.25">
      <c r="A4454" s="66"/>
    </row>
    <row r="4455" spans="1:1" x14ac:dyDescent="0.25">
      <c r="A4455" s="66"/>
    </row>
    <row r="4456" spans="1:1" x14ac:dyDescent="0.25">
      <c r="A4456" s="66"/>
    </row>
    <row r="4457" spans="1:1" x14ac:dyDescent="0.25">
      <c r="A4457" s="66"/>
    </row>
    <row r="4458" spans="1:1" x14ac:dyDescent="0.25">
      <c r="A4458" s="66"/>
    </row>
    <row r="4459" spans="1:1" x14ac:dyDescent="0.25">
      <c r="A4459" s="66"/>
    </row>
    <row r="4460" spans="1:1" x14ac:dyDescent="0.25">
      <c r="A4460" s="66"/>
    </row>
    <row r="4461" spans="1:1" x14ac:dyDescent="0.25">
      <c r="A4461" s="66"/>
    </row>
    <row r="4462" spans="1:1" x14ac:dyDescent="0.25">
      <c r="A4462" s="66"/>
    </row>
    <row r="4463" spans="1:1" x14ac:dyDescent="0.25">
      <c r="A4463" s="66"/>
    </row>
    <row r="4464" spans="1:1" x14ac:dyDescent="0.25">
      <c r="A4464" s="66"/>
    </row>
    <row r="4465" spans="1:1" x14ac:dyDescent="0.25">
      <c r="A4465" s="66"/>
    </row>
    <row r="4466" spans="1:1" x14ac:dyDescent="0.25">
      <c r="A4466" s="66"/>
    </row>
    <row r="4467" spans="1:1" x14ac:dyDescent="0.25">
      <c r="A4467" s="66"/>
    </row>
    <row r="4468" spans="1:1" x14ac:dyDescent="0.25">
      <c r="A4468" s="66"/>
    </row>
    <row r="4469" spans="1:1" x14ac:dyDescent="0.25">
      <c r="A4469" s="66"/>
    </row>
    <row r="4470" spans="1:1" x14ac:dyDescent="0.25">
      <c r="A4470" s="66"/>
    </row>
    <row r="4471" spans="1:1" x14ac:dyDescent="0.25">
      <c r="A4471" s="66"/>
    </row>
    <row r="4472" spans="1:1" x14ac:dyDescent="0.25">
      <c r="A4472" s="66"/>
    </row>
    <row r="4473" spans="1:1" x14ac:dyDescent="0.25">
      <c r="A4473" s="66"/>
    </row>
    <row r="4474" spans="1:1" x14ac:dyDescent="0.25">
      <c r="A4474" s="66"/>
    </row>
    <row r="4475" spans="1:1" x14ac:dyDescent="0.25">
      <c r="A4475" s="66"/>
    </row>
    <row r="4476" spans="1:1" x14ac:dyDescent="0.25">
      <c r="A4476" s="66"/>
    </row>
    <row r="4477" spans="1:1" x14ac:dyDescent="0.25">
      <c r="A4477" s="66"/>
    </row>
    <row r="4478" spans="1:1" x14ac:dyDescent="0.25">
      <c r="A4478" s="66"/>
    </row>
    <row r="4479" spans="1:1" x14ac:dyDescent="0.25">
      <c r="A4479" s="66"/>
    </row>
    <row r="4480" spans="1:1" x14ac:dyDescent="0.25">
      <c r="A4480" s="66"/>
    </row>
    <row r="4481" spans="1:1" x14ac:dyDescent="0.25">
      <c r="A4481" s="66"/>
    </row>
    <row r="4482" spans="1:1" x14ac:dyDescent="0.25">
      <c r="A4482" s="66"/>
    </row>
    <row r="4483" spans="1:1" x14ac:dyDescent="0.25">
      <c r="A4483" s="66"/>
    </row>
    <row r="4484" spans="1:1" x14ac:dyDescent="0.25">
      <c r="A4484" s="66"/>
    </row>
    <row r="4485" spans="1:1" x14ac:dyDescent="0.25">
      <c r="A4485" s="66"/>
    </row>
    <row r="4486" spans="1:1" x14ac:dyDescent="0.25">
      <c r="A4486" s="66"/>
    </row>
    <row r="4487" spans="1:1" x14ac:dyDescent="0.25">
      <c r="A4487" s="66"/>
    </row>
    <row r="4488" spans="1:1" x14ac:dyDescent="0.25">
      <c r="A4488" s="66"/>
    </row>
    <row r="4489" spans="1:1" x14ac:dyDescent="0.25">
      <c r="A4489" s="66"/>
    </row>
    <row r="4490" spans="1:1" x14ac:dyDescent="0.25">
      <c r="A4490" s="66"/>
    </row>
    <row r="4491" spans="1:1" x14ac:dyDescent="0.25">
      <c r="A4491" s="66"/>
    </row>
    <row r="4492" spans="1:1" x14ac:dyDescent="0.25">
      <c r="A4492" s="66"/>
    </row>
    <row r="4493" spans="1:1" x14ac:dyDescent="0.25">
      <c r="A4493" s="66"/>
    </row>
    <row r="4494" spans="1:1" x14ac:dyDescent="0.25">
      <c r="A4494" s="66"/>
    </row>
    <row r="4495" spans="1:1" x14ac:dyDescent="0.25">
      <c r="A4495" s="66"/>
    </row>
    <row r="4496" spans="1:1" x14ac:dyDescent="0.25">
      <c r="A4496" s="66"/>
    </row>
    <row r="4497" spans="1:1" x14ac:dyDescent="0.25">
      <c r="A4497" s="66"/>
    </row>
    <row r="4498" spans="1:1" x14ac:dyDescent="0.25">
      <c r="A4498" s="66"/>
    </row>
    <row r="4499" spans="1:1" x14ac:dyDescent="0.25">
      <c r="A4499" s="66"/>
    </row>
    <row r="4500" spans="1:1" x14ac:dyDescent="0.25">
      <c r="A4500" s="66"/>
    </row>
    <row r="4501" spans="1:1" x14ac:dyDescent="0.25">
      <c r="A4501" s="66"/>
    </row>
    <row r="4502" spans="1:1" x14ac:dyDescent="0.25">
      <c r="A4502" s="66"/>
    </row>
    <row r="4503" spans="1:1" x14ac:dyDescent="0.25">
      <c r="A4503" s="66"/>
    </row>
    <row r="4504" spans="1:1" x14ac:dyDescent="0.25">
      <c r="A4504" s="66"/>
    </row>
    <row r="4505" spans="1:1" x14ac:dyDescent="0.25">
      <c r="A4505" s="66"/>
    </row>
    <row r="4506" spans="1:1" x14ac:dyDescent="0.25">
      <c r="A4506" s="66"/>
    </row>
    <row r="4507" spans="1:1" x14ac:dyDescent="0.25">
      <c r="A4507" s="66"/>
    </row>
    <row r="4508" spans="1:1" x14ac:dyDescent="0.25">
      <c r="A4508" s="66"/>
    </row>
    <row r="4509" spans="1:1" x14ac:dyDescent="0.25">
      <c r="A4509" s="66"/>
    </row>
    <row r="4510" spans="1:1" x14ac:dyDescent="0.25">
      <c r="A4510" s="66"/>
    </row>
    <row r="4511" spans="1:1" x14ac:dyDescent="0.25">
      <c r="A4511" s="66"/>
    </row>
    <row r="4512" spans="1:1" x14ac:dyDescent="0.25">
      <c r="A4512" s="66"/>
    </row>
    <row r="4513" spans="1:1" x14ac:dyDescent="0.25">
      <c r="A4513" s="66"/>
    </row>
    <row r="4514" spans="1:1" x14ac:dyDescent="0.25">
      <c r="A4514" s="66"/>
    </row>
    <row r="4515" spans="1:1" x14ac:dyDescent="0.25">
      <c r="A4515" s="66"/>
    </row>
    <row r="4516" spans="1:1" x14ac:dyDescent="0.25">
      <c r="A4516" s="66"/>
    </row>
    <row r="4517" spans="1:1" x14ac:dyDescent="0.25">
      <c r="A4517" s="66"/>
    </row>
    <row r="4518" spans="1:1" x14ac:dyDescent="0.25">
      <c r="A4518" s="66"/>
    </row>
    <row r="4519" spans="1:1" x14ac:dyDescent="0.25">
      <c r="A4519" s="66"/>
    </row>
    <row r="4520" spans="1:1" x14ac:dyDescent="0.25">
      <c r="A4520" s="66"/>
    </row>
    <row r="4521" spans="1:1" x14ac:dyDescent="0.25">
      <c r="A4521" s="66"/>
    </row>
    <row r="4522" spans="1:1" x14ac:dyDescent="0.25">
      <c r="A4522" s="66"/>
    </row>
    <row r="4523" spans="1:1" x14ac:dyDescent="0.25">
      <c r="A4523" s="66"/>
    </row>
    <row r="4524" spans="1:1" x14ac:dyDescent="0.25">
      <c r="A4524" s="66"/>
    </row>
    <row r="4525" spans="1:1" x14ac:dyDescent="0.25">
      <c r="A4525" s="66"/>
    </row>
    <row r="4526" spans="1:1" x14ac:dyDescent="0.25">
      <c r="A4526" s="66"/>
    </row>
    <row r="4527" spans="1:1" x14ac:dyDescent="0.25">
      <c r="A4527" s="66"/>
    </row>
    <row r="4528" spans="1:1" x14ac:dyDescent="0.25">
      <c r="A4528" s="66"/>
    </row>
    <row r="4529" spans="1:1" x14ac:dyDescent="0.25">
      <c r="A4529" s="66"/>
    </row>
    <row r="4530" spans="1:1" x14ac:dyDescent="0.25">
      <c r="A4530" s="66"/>
    </row>
    <row r="4531" spans="1:1" x14ac:dyDescent="0.25">
      <c r="A4531" s="66"/>
    </row>
    <row r="4532" spans="1:1" x14ac:dyDescent="0.25">
      <c r="A4532" s="66"/>
    </row>
    <row r="4533" spans="1:1" x14ac:dyDescent="0.25">
      <c r="A4533" s="66"/>
    </row>
    <row r="4534" spans="1:1" x14ac:dyDescent="0.25">
      <c r="A4534" s="66"/>
    </row>
    <row r="4535" spans="1:1" x14ac:dyDescent="0.25">
      <c r="A4535" s="66"/>
    </row>
    <row r="4536" spans="1:1" x14ac:dyDescent="0.25">
      <c r="A4536" s="66"/>
    </row>
    <row r="4537" spans="1:1" x14ac:dyDescent="0.25">
      <c r="A4537" s="66"/>
    </row>
    <row r="4538" spans="1:1" x14ac:dyDescent="0.25">
      <c r="A4538" s="66"/>
    </row>
    <row r="4539" spans="1:1" x14ac:dyDescent="0.25">
      <c r="A4539" s="66"/>
    </row>
    <row r="4540" spans="1:1" x14ac:dyDescent="0.25">
      <c r="A4540" s="66"/>
    </row>
    <row r="4541" spans="1:1" x14ac:dyDescent="0.25">
      <c r="A4541" s="66"/>
    </row>
    <row r="4542" spans="1:1" x14ac:dyDescent="0.25">
      <c r="A4542" s="66"/>
    </row>
    <row r="4543" spans="1:1" x14ac:dyDescent="0.25">
      <c r="A4543" s="66"/>
    </row>
    <row r="4544" spans="1:1" x14ac:dyDescent="0.25">
      <c r="A4544" s="66"/>
    </row>
    <row r="4545" spans="1:1" x14ac:dyDescent="0.25">
      <c r="A4545" s="66"/>
    </row>
    <row r="4546" spans="1:1" x14ac:dyDescent="0.25">
      <c r="A4546" s="66"/>
    </row>
    <row r="4547" spans="1:1" x14ac:dyDescent="0.25">
      <c r="A4547" s="66"/>
    </row>
    <row r="4548" spans="1:1" x14ac:dyDescent="0.25">
      <c r="A4548" s="66"/>
    </row>
    <row r="4549" spans="1:1" x14ac:dyDescent="0.25">
      <c r="A4549" s="66"/>
    </row>
    <row r="4550" spans="1:1" x14ac:dyDescent="0.25">
      <c r="A4550" s="66"/>
    </row>
    <row r="4551" spans="1:1" x14ac:dyDescent="0.25">
      <c r="A4551" s="66"/>
    </row>
    <row r="4552" spans="1:1" x14ac:dyDescent="0.25">
      <c r="A4552" s="66"/>
    </row>
    <row r="4553" spans="1:1" x14ac:dyDescent="0.25">
      <c r="A4553" s="66"/>
    </row>
    <row r="4554" spans="1:1" x14ac:dyDescent="0.25">
      <c r="A4554" s="66"/>
    </row>
    <row r="4555" spans="1:1" x14ac:dyDescent="0.25">
      <c r="A4555" s="66"/>
    </row>
    <row r="4556" spans="1:1" x14ac:dyDescent="0.25">
      <c r="A4556" s="66"/>
    </row>
    <row r="4557" spans="1:1" x14ac:dyDescent="0.25">
      <c r="A4557" s="66"/>
    </row>
    <row r="4558" spans="1:1" x14ac:dyDescent="0.25">
      <c r="A4558" s="66"/>
    </row>
    <row r="4559" spans="1:1" x14ac:dyDescent="0.25">
      <c r="A4559" s="66"/>
    </row>
    <row r="4560" spans="1:1" x14ac:dyDescent="0.25">
      <c r="A4560" s="66"/>
    </row>
    <row r="4561" spans="1:1" x14ac:dyDescent="0.25">
      <c r="A4561" s="66"/>
    </row>
    <row r="4562" spans="1:1" x14ac:dyDescent="0.25">
      <c r="A4562" s="66"/>
    </row>
    <row r="4563" spans="1:1" x14ac:dyDescent="0.25">
      <c r="A4563" s="66"/>
    </row>
    <row r="4564" spans="1:1" x14ac:dyDescent="0.25">
      <c r="A4564" s="66"/>
    </row>
    <row r="4565" spans="1:1" x14ac:dyDescent="0.25">
      <c r="A4565" s="66"/>
    </row>
    <row r="4566" spans="1:1" x14ac:dyDescent="0.25">
      <c r="A4566" s="66"/>
    </row>
    <row r="4567" spans="1:1" x14ac:dyDescent="0.25">
      <c r="A4567" s="66"/>
    </row>
    <row r="4568" spans="1:1" x14ac:dyDescent="0.25">
      <c r="A4568" s="66"/>
    </row>
    <row r="4569" spans="1:1" x14ac:dyDescent="0.25">
      <c r="A4569" s="66"/>
    </row>
    <row r="4570" spans="1:1" x14ac:dyDescent="0.25">
      <c r="A4570" s="66"/>
    </row>
    <row r="4571" spans="1:1" x14ac:dyDescent="0.25">
      <c r="A4571" s="66"/>
    </row>
    <row r="4572" spans="1:1" x14ac:dyDescent="0.25">
      <c r="A4572" s="66"/>
    </row>
    <row r="4573" spans="1:1" x14ac:dyDescent="0.25">
      <c r="A4573" s="66"/>
    </row>
    <row r="4574" spans="1:1" x14ac:dyDescent="0.25">
      <c r="A4574" s="66"/>
    </row>
    <row r="4575" spans="1:1" x14ac:dyDescent="0.25">
      <c r="A4575" s="66"/>
    </row>
    <row r="4576" spans="1:1" x14ac:dyDescent="0.25">
      <c r="A4576" s="66"/>
    </row>
    <row r="4577" spans="1:1" x14ac:dyDescent="0.25">
      <c r="A4577" s="66"/>
    </row>
    <row r="4578" spans="1:1" x14ac:dyDescent="0.25">
      <c r="A4578" s="66"/>
    </row>
    <row r="4579" spans="1:1" x14ac:dyDescent="0.25">
      <c r="A4579" s="66"/>
    </row>
    <row r="4580" spans="1:1" x14ac:dyDescent="0.25">
      <c r="A4580" s="66"/>
    </row>
    <row r="4581" spans="1:1" x14ac:dyDescent="0.25">
      <c r="A4581" s="66"/>
    </row>
    <row r="4582" spans="1:1" x14ac:dyDescent="0.25">
      <c r="A4582" s="66"/>
    </row>
    <row r="4583" spans="1:1" x14ac:dyDescent="0.25">
      <c r="A4583" s="66"/>
    </row>
    <row r="4584" spans="1:1" x14ac:dyDescent="0.25">
      <c r="A4584" s="66"/>
    </row>
    <row r="4585" spans="1:1" x14ac:dyDescent="0.25">
      <c r="A4585" s="66"/>
    </row>
    <row r="4586" spans="1:1" x14ac:dyDescent="0.25">
      <c r="A4586" s="66"/>
    </row>
    <row r="4587" spans="1:1" x14ac:dyDescent="0.25">
      <c r="A4587" s="66"/>
    </row>
    <row r="4588" spans="1:1" x14ac:dyDescent="0.25">
      <c r="A4588" s="66"/>
    </row>
    <row r="4589" spans="1:1" x14ac:dyDescent="0.25">
      <c r="A4589" s="66"/>
    </row>
    <row r="4590" spans="1:1" x14ac:dyDescent="0.25">
      <c r="A4590" s="66"/>
    </row>
    <row r="4591" spans="1:1" x14ac:dyDescent="0.25">
      <c r="A4591" s="66"/>
    </row>
    <row r="4592" spans="1:1" x14ac:dyDescent="0.25">
      <c r="A4592" s="66"/>
    </row>
    <row r="4593" spans="1:1" x14ac:dyDescent="0.25">
      <c r="A4593" s="66"/>
    </row>
    <row r="4594" spans="1:1" x14ac:dyDescent="0.25">
      <c r="A4594" s="66"/>
    </row>
    <row r="4595" spans="1:1" x14ac:dyDescent="0.25">
      <c r="A4595" s="66"/>
    </row>
    <row r="4596" spans="1:1" x14ac:dyDescent="0.25">
      <c r="A4596" s="66"/>
    </row>
    <row r="4597" spans="1:1" x14ac:dyDescent="0.25">
      <c r="A4597" s="66"/>
    </row>
    <row r="4598" spans="1:1" x14ac:dyDescent="0.25">
      <c r="A4598" s="66"/>
    </row>
    <row r="4599" spans="1:1" x14ac:dyDescent="0.25">
      <c r="A4599" s="66"/>
    </row>
    <row r="4600" spans="1:1" x14ac:dyDescent="0.25">
      <c r="A4600" s="66"/>
    </row>
    <row r="4601" spans="1:1" x14ac:dyDescent="0.25">
      <c r="A4601" s="66"/>
    </row>
    <row r="4602" spans="1:1" x14ac:dyDescent="0.25">
      <c r="A4602" s="66"/>
    </row>
    <row r="4603" spans="1:1" x14ac:dyDescent="0.25">
      <c r="A4603" s="66"/>
    </row>
    <row r="4604" spans="1:1" x14ac:dyDescent="0.25">
      <c r="A4604" s="66"/>
    </row>
    <row r="4605" spans="1:1" x14ac:dyDescent="0.25">
      <c r="A4605" s="66"/>
    </row>
    <row r="4606" spans="1:1" x14ac:dyDescent="0.25">
      <c r="A4606" s="66"/>
    </row>
    <row r="4607" spans="1:1" x14ac:dyDescent="0.25">
      <c r="A4607" s="66"/>
    </row>
    <row r="4608" spans="1:1" x14ac:dyDescent="0.25">
      <c r="A4608" s="66"/>
    </row>
    <row r="4609" spans="1:1" x14ac:dyDescent="0.25">
      <c r="A4609" s="66"/>
    </row>
    <row r="4610" spans="1:1" x14ac:dyDescent="0.25">
      <c r="A4610" s="66"/>
    </row>
    <row r="4611" spans="1:1" x14ac:dyDescent="0.25">
      <c r="A4611" s="66"/>
    </row>
    <row r="4612" spans="1:1" x14ac:dyDescent="0.25">
      <c r="A4612" s="66"/>
    </row>
    <row r="4613" spans="1:1" x14ac:dyDescent="0.25">
      <c r="A4613" s="66"/>
    </row>
    <row r="4614" spans="1:1" x14ac:dyDescent="0.25">
      <c r="A4614" s="66"/>
    </row>
    <row r="4615" spans="1:1" x14ac:dyDescent="0.25">
      <c r="A4615" s="66"/>
    </row>
    <row r="4616" spans="1:1" x14ac:dyDescent="0.25">
      <c r="A4616" s="66"/>
    </row>
    <row r="4617" spans="1:1" x14ac:dyDescent="0.25">
      <c r="A4617" s="66"/>
    </row>
    <row r="4618" spans="1:1" x14ac:dyDescent="0.25">
      <c r="A4618" s="66"/>
    </row>
    <row r="4619" spans="1:1" x14ac:dyDescent="0.25">
      <c r="A4619" s="66"/>
    </row>
    <row r="4620" spans="1:1" x14ac:dyDescent="0.25">
      <c r="A4620" s="66"/>
    </row>
    <row r="4621" spans="1:1" x14ac:dyDescent="0.25">
      <c r="A4621" s="66"/>
    </row>
    <row r="4622" spans="1:1" x14ac:dyDescent="0.25">
      <c r="A4622" s="66"/>
    </row>
    <row r="4623" spans="1:1" x14ac:dyDescent="0.25">
      <c r="A4623" s="66"/>
    </row>
    <row r="4624" spans="1:1" x14ac:dyDescent="0.25">
      <c r="A4624" s="66"/>
    </row>
    <row r="4625" spans="1:1" x14ac:dyDescent="0.25">
      <c r="A4625" s="66"/>
    </row>
    <row r="4626" spans="1:1" x14ac:dyDescent="0.25">
      <c r="A4626" s="66"/>
    </row>
    <row r="4627" spans="1:1" x14ac:dyDescent="0.25">
      <c r="A4627" s="66"/>
    </row>
    <row r="4628" spans="1:1" x14ac:dyDescent="0.25">
      <c r="A4628" s="66"/>
    </row>
    <row r="4629" spans="1:1" x14ac:dyDescent="0.25">
      <c r="A4629" s="66"/>
    </row>
    <row r="4630" spans="1:1" x14ac:dyDescent="0.25">
      <c r="A4630" s="66"/>
    </row>
    <row r="4631" spans="1:1" x14ac:dyDescent="0.25">
      <c r="A4631" s="66"/>
    </row>
    <row r="4632" spans="1:1" x14ac:dyDescent="0.25">
      <c r="A4632" s="66"/>
    </row>
    <row r="4633" spans="1:1" x14ac:dyDescent="0.25">
      <c r="A4633" s="66"/>
    </row>
    <row r="4634" spans="1:1" x14ac:dyDescent="0.25">
      <c r="A4634" s="66"/>
    </row>
    <row r="4635" spans="1:1" x14ac:dyDescent="0.25">
      <c r="A4635" s="66"/>
    </row>
    <row r="4636" spans="1:1" x14ac:dyDescent="0.25">
      <c r="A4636" s="66"/>
    </row>
    <row r="4637" spans="1:1" x14ac:dyDescent="0.25">
      <c r="A4637" s="66"/>
    </row>
    <row r="4638" spans="1:1" x14ac:dyDescent="0.25">
      <c r="A4638" s="66"/>
    </row>
    <row r="4639" spans="1:1" x14ac:dyDescent="0.25">
      <c r="A4639" s="66"/>
    </row>
    <row r="4640" spans="1:1" x14ac:dyDescent="0.25">
      <c r="A4640" s="66"/>
    </row>
    <row r="4641" spans="1:1" x14ac:dyDescent="0.25">
      <c r="A4641" s="66"/>
    </row>
    <row r="4642" spans="1:1" x14ac:dyDescent="0.25">
      <c r="A4642" s="66"/>
    </row>
    <row r="4643" spans="1:1" x14ac:dyDescent="0.25">
      <c r="A4643" s="66"/>
    </row>
    <row r="4644" spans="1:1" x14ac:dyDescent="0.25">
      <c r="A4644" s="66"/>
    </row>
    <row r="4645" spans="1:1" x14ac:dyDescent="0.25">
      <c r="A4645" s="66"/>
    </row>
    <row r="4646" spans="1:1" x14ac:dyDescent="0.25">
      <c r="A4646" s="66"/>
    </row>
    <row r="4647" spans="1:1" x14ac:dyDescent="0.25">
      <c r="A4647" s="66"/>
    </row>
    <row r="4648" spans="1:1" x14ac:dyDescent="0.25">
      <c r="A4648" s="66"/>
    </row>
    <row r="4649" spans="1:1" x14ac:dyDescent="0.25">
      <c r="A4649" s="66"/>
    </row>
    <row r="4650" spans="1:1" x14ac:dyDescent="0.25">
      <c r="A4650" s="66"/>
    </row>
    <row r="4651" spans="1:1" x14ac:dyDescent="0.25">
      <c r="A4651" s="66"/>
    </row>
    <row r="4652" spans="1:1" x14ac:dyDescent="0.25">
      <c r="A4652" s="66"/>
    </row>
    <row r="4653" spans="1:1" x14ac:dyDescent="0.25">
      <c r="A4653" s="66"/>
    </row>
    <row r="4654" spans="1:1" x14ac:dyDescent="0.25">
      <c r="A4654" s="66"/>
    </row>
    <row r="4655" spans="1:1" x14ac:dyDescent="0.25">
      <c r="A4655" s="66"/>
    </row>
    <row r="4656" spans="1:1" x14ac:dyDescent="0.25">
      <c r="A4656" s="66"/>
    </row>
    <row r="4657" spans="1:1" x14ac:dyDescent="0.25">
      <c r="A4657" s="66"/>
    </row>
    <row r="4658" spans="1:1" x14ac:dyDescent="0.25">
      <c r="A4658" s="66"/>
    </row>
    <row r="4659" spans="1:1" x14ac:dyDescent="0.25">
      <c r="A4659" s="66"/>
    </row>
    <row r="4660" spans="1:1" x14ac:dyDescent="0.25">
      <c r="A4660" s="66"/>
    </row>
    <row r="4661" spans="1:1" x14ac:dyDescent="0.25">
      <c r="A4661" s="66"/>
    </row>
    <row r="4662" spans="1:1" x14ac:dyDescent="0.25">
      <c r="A4662" s="66"/>
    </row>
    <row r="4663" spans="1:1" x14ac:dyDescent="0.25">
      <c r="A4663" s="66"/>
    </row>
    <row r="4664" spans="1:1" x14ac:dyDescent="0.25">
      <c r="A4664" s="66"/>
    </row>
    <row r="4665" spans="1:1" x14ac:dyDescent="0.25">
      <c r="A4665" s="66"/>
    </row>
    <row r="4666" spans="1:1" x14ac:dyDescent="0.25">
      <c r="A4666" s="66"/>
    </row>
    <row r="4667" spans="1:1" x14ac:dyDescent="0.25">
      <c r="A4667" s="66"/>
    </row>
    <row r="4668" spans="1:1" x14ac:dyDescent="0.25">
      <c r="A4668" s="66"/>
    </row>
    <row r="4669" spans="1:1" x14ac:dyDescent="0.25">
      <c r="A4669" s="66"/>
    </row>
    <row r="4670" spans="1:1" x14ac:dyDescent="0.25">
      <c r="A4670" s="66"/>
    </row>
    <row r="4671" spans="1:1" x14ac:dyDescent="0.25">
      <c r="A4671" s="66"/>
    </row>
    <row r="4672" spans="1:1" x14ac:dyDescent="0.25">
      <c r="A4672" s="66"/>
    </row>
    <row r="4673" spans="1:1" x14ac:dyDescent="0.25">
      <c r="A4673" s="66"/>
    </row>
    <row r="4674" spans="1:1" x14ac:dyDescent="0.25">
      <c r="A4674" s="66"/>
    </row>
    <row r="4675" spans="1:1" x14ac:dyDescent="0.25">
      <c r="A4675" s="66"/>
    </row>
    <row r="4676" spans="1:1" x14ac:dyDescent="0.25">
      <c r="A4676" s="66"/>
    </row>
    <row r="4677" spans="1:1" x14ac:dyDescent="0.25">
      <c r="A4677" s="66"/>
    </row>
    <row r="4678" spans="1:1" x14ac:dyDescent="0.25">
      <c r="A4678" s="66"/>
    </row>
    <row r="4679" spans="1:1" x14ac:dyDescent="0.25">
      <c r="A4679" s="66"/>
    </row>
    <row r="4680" spans="1:1" x14ac:dyDescent="0.25">
      <c r="A4680" s="66"/>
    </row>
    <row r="4681" spans="1:1" x14ac:dyDescent="0.25">
      <c r="A4681" s="66"/>
    </row>
    <row r="4682" spans="1:1" x14ac:dyDescent="0.25">
      <c r="A4682" s="66"/>
    </row>
    <row r="4683" spans="1:1" x14ac:dyDescent="0.25">
      <c r="A4683" s="66"/>
    </row>
    <row r="4684" spans="1:1" x14ac:dyDescent="0.25">
      <c r="A4684" s="66"/>
    </row>
    <row r="4685" spans="1:1" x14ac:dyDescent="0.25">
      <c r="A4685" s="66"/>
    </row>
    <row r="4686" spans="1:1" x14ac:dyDescent="0.25">
      <c r="A4686" s="66"/>
    </row>
    <row r="4687" spans="1:1" x14ac:dyDescent="0.25">
      <c r="A4687" s="66"/>
    </row>
    <row r="4688" spans="1:1" x14ac:dyDescent="0.25">
      <c r="A4688" s="66"/>
    </row>
    <row r="4689" spans="1:1" x14ac:dyDescent="0.25">
      <c r="A4689" s="66"/>
    </row>
    <row r="4690" spans="1:1" x14ac:dyDescent="0.25">
      <c r="A4690" s="66"/>
    </row>
    <row r="4691" spans="1:1" x14ac:dyDescent="0.25">
      <c r="A4691" s="66"/>
    </row>
    <row r="4692" spans="1:1" x14ac:dyDescent="0.25">
      <c r="A4692" s="66"/>
    </row>
    <row r="4693" spans="1:1" x14ac:dyDescent="0.25">
      <c r="A4693" s="66"/>
    </row>
    <row r="4694" spans="1:1" x14ac:dyDescent="0.25">
      <c r="A4694" s="66"/>
    </row>
    <row r="4695" spans="1:1" x14ac:dyDescent="0.25">
      <c r="A4695" s="66"/>
    </row>
    <row r="4696" spans="1:1" x14ac:dyDescent="0.25">
      <c r="A4696" s="66"/>
    </row>
    <row r="4697" spans="1:1" x14ac:dyDescent="0.25">
      <c r="A4697" s="66"/>
    </row>
    <row r="4698" spans="1:1" x14ac:dyDescent="0.25">
      <c r="A4698" s="66"/>
    </row>
    <row r="4699" spans="1:1" x14ac:dyDescent="0.25">
      <c r="A4699" s="66"/>
    </row>
    <row r="4700" spans="1:1" x14ac:dyDescent="0.25">
      <c r="A4700" s="66"/>
    </row>
    <row r="4701" spans="1:1" x14ac:dyDescent="0.25">
      <c r="A4701" s="66"/>
    </row>
    <row r="4702" spans="1:1" x14ac:dyDescent="0.25">
      <c r="A4702" s="66"/>
    </row>
    <row r="4703" spans="1:1" x14ac:dyDescent="0.25">
      <c r="A4703" s="66"/>
    </row>
    <row r="4704" spans="1:1" x14ac:dyDescent="0.25">
      <c r="A4704" s="66"/>
    </row>
    <row r="4705" spans="1:1" x14ac:dyDescent="0.25">
      <c r="A4705" s="66"/>
    </row>
    <row r="4706" spans="1:1" x14ac:dyDescent="0.25">
      <c r="A4706" s="66"/>
    </row>
    <row r="4707" spans="1:1" x14ac:dyDescent="0.25">
      <c r="A4707" s="66"/>
    </row>
    <row r="4708" spans="1:1" x14ac:dyDescent="0.25">
      <c r="A4708" s="66"/>
    </row>
    <row r="4709" spans="1:1" x14ac:dyDescent="0.25">
      <c r="A4709" s="66"/>
    </row>
    <row r="4710" spans="1:1" x14ac:dyDescent="0.25">
      <c r="A4710" s="66"/>
    </row>
    <row r="4711" spans="1:1" x14ac:dyDescent="0.25">
      <c r="A4711" s="66"/>
    </row>
    <row r="4712" spans="1:1" x14ac:dyDescent="0.25">
      <c r="A4712" s="66"/>
    </row>
    <row r="4713" spans="1:1" x14ac:dyDescent="0.25">
      <c r="A4713" s="66"/>
    </row>
    <row r="4714" spans="1:1" x14ac:dyDescent="0.25">
      <c r="A4714" s="66"/>
    </row>
    <row r="4715" spans="1:1" x14ac:dyDescent="0.25">
      <c r="A4715" s="66"/>
    </row>
    <row r="4716" spans="1:1" x14ac:dyDescent="0.25">
      <c r="A4716" s="66"/>
    </row>
    <row r="4717" spans="1:1" x14ac:dyDescent="0.25">
      <c r="A4717" s="66"/>
    </row>
    <row r="4718" spans="1:1" x14ac:dyDescent="0.25">
      <c r="A4718" s="66"/>
    </row>
    <row r="4719" spans="1:1" x14ac:dyDescent="0.25">
      <c r="A4719" s="66"/>
    </row>
    <row r="4720" spans="1:1" x14ac:dyDescent="0.25">
      <c r="A4720" s="66"/>
    </row>
    <row r="4721" spans="1:1" x14ac:dyDescent="0.25">
      <c r="A4721" s="66"/>
    </row>
    <row r="4722" spans="1:1" x14ac:dyDescent="0.25">
      <c r="A4722" s="66"/>
    </row>
    <row r="4723" spans="1:1" x14ac:dyDescent="0.25">
      <c r="A4723" s="66"/>
    </row>
    <row r="4724" spans="1:1" x14ac:dyDescent="0.25">
      <c r="A4724" s="66"/>
    </row>
    <row r="4725" spans="1:1" x14ac:dyDescent="0.25">
      <c r="A4725" s="66"/>
    </row>
    <row r="4726" spans="1:1" x14ac:dyDescent="0.25">
      <c r="A4726" s="66"/>
    </row>
    <row r="4727" spans="1:1" x14ac:dyDescent="0.25">
      <c r="A4727" s="66"/>
    </row>
    <row r="4728" spans="1:1" x14ac:dyDescent="0.25">
      <c r="A4728" s="66"/>
    </row>
    <row r="4729" spans="1:1" x14ac:dyDescent="0.25">
      <c r="A4729" s="66"/>
    </row>
    <row r="4730" spans="1:1" x14ac:dyDescent="0.25">
      <c r="A4730" s="66"/>
    </row>
    <row r="4731" spans="1:1" x14ac:dyDescent="0.25">
      <c r="A4731" s="66"/>
    </row>
    <row r="4732" spans="1:1" x14ac:dyDescent="0.25">
      <c r="A4732" s="66"/>
    </row>
    <row r="4733" spans="1:1" x14ac:dyDescent="0.25">
      <c r="A4733" s="66"/>
    </row>
    <row r="4734" spans="1:1" x14ac:dyDescent="0.25">
      <c r="A4734" s="66"/>
    </row>
    <row r="4735" spans="1:1" x14ac:dyDescent="0.25">
      <c r="A4735" s="66"/>
    </row>
    <row r="4736" spans="1:1" x14ac:dyDescent="0.25">
      <c r="A4736" s="66"/>
    </row>
    <row r="4737" spans="1:1" x14ac:dyDescent="0.25">
      <c r="A4737" s="66"/>
    </row>
    <row r="4738" spans="1:1" x14ac:dyDescent="0.25">
      <c r="A4738" s="66"/>
    </row>
    <row r="4739" spans="1:1" x14ac:dyDescent="0.25">
      <c r="A4739" s="66"/>
    </row>
    <row r="4740" spans="1:1" x14ac:dyDescent="0.25">
      <c r="A4740" s="66"/>
    </row>
    <row r="4741" spans="1:1" x14ac:dyDescent="0.25">
      <c r="A4741" s="66"/>
    </row>
    <row r="4742" spans="1:1" x14ac:dyDescent="0.25">
      <c r="A4742" s="66"/>
    </row>
    <row r="4743" spans="1:1" x14ac:dyDescent="0.25">
      <c r="A4743" s="66"/>
    </row>
    <row r="4744" spans="1:1" x14ac:dyDescent="0.25">
      <c r="A4744" s="66"/>
    </row>
    <row r="4745" spans="1:1" x14ac:dyDescent="0.25">
      <c r="A4745" s="66"/>
    </row>
    <row r="4746" spans="1:1" x14ac:dyDescent="0.25">
      <c r="A4746" s="66"/>
    </row>
    <row r="4747" spans="1:1" x14ac:dyDescent="0.25">
      <c r="A4747" s="66"/>
    </row>
    <row r="4748" spans="1:1" x14ac:dyDescent="0.25">
      <c r="A4748" s="66"/>
    </row>
    <row r="4749" spans="1:1" x14ac:dyDescent="0.25">
      <c r="A4749" s="66"/>
    </row>
    <row r="4750" spans="1:1" x14ac:dyDescent="0.25">
      <c r="A4750" s="66"/>
    </row>
    <row r="4751" spans="1:1" x14ac:dyDescent="0.25">
      <c r="A4751" s="66"/>
    </row>
    <row r="4752" spans="1:1" x14ac:dyDescent="0.25">
      <c r="A4752" s="66"/>
    </row>
    <row r="4753" spans="1:1" x14ac:dyDescent="0.25">
      <c r="A4753" s="66"/>
    </row>
    <row r="4754" spans="1:1" x14ac:dyDescent="0.25">
      <c r="A4754" s="66"/>
    </row>
    <row r="4755" spans="1:1" x14ac:dyDescent="0.25">
      <c r="A4755" s="66"/>
    </row>
    <row r="4756" spans="1:1" x14ac:dyDescent="0.25">
      <c r="A4756" s="66"/>
    </row>
    <row r="4757" spans="1:1" x14ac:dyDescent="0.25">
      <c r="A4757" s="66"/>
    </row>
    <row r="4758" spans="1:1" x14ac:dyDescent="0.25">
      <c r="A4758" s="66"/>
    </row>
    <row r="4759" spans="1:1" x14ac:dyDescent="0.25">
      <c r="A4759" s="66"/>
    </row>
    <row r="4760" spans="1:1" x14ac:dyDescent="0.25">
      <c r="A4760" s="66"/>
    </row>
    <row r="4761" spans="1:1" x14ac:dyDescent="0.25">
      <c r="A4761" s="66"/>
    </row>
    <row r="4762" spans="1:1" x14ac:dyDescent="0.25">
      <c r="A4762" s="66"/>
    </row>
    <row r="4763" spans="1:1" x14ac:dyDescent="0.25">
      <c r="A4763" s="66"/>
    </row>
    <row r="4764" spans="1:1" x14ac:dyDescent="0.25">
      <c r="A4764" s="66"/>
    </row>
    <row r="4765" spans="1:1" x14ac:dyDescent="0.25">
      <c r="A4765" s="66"/>
    </row>
    <row r="4766" spans="1:1" x14ac:dyDescent="0.25">
      <c r="A4766" s="66"/>
    </row>
    <row r="4767" spans="1:1" x14ac:dyDescent="0.25">
      <c r="A4767" s="66"/>
    </row>
    <row r="4768" spans="1:1" x14ac:dyDescent="0.25">
      <c r="A4768" s="66"/>
    </row>
    <row r="4769" spans="1:1" x14ac:dyDescent="0.25">
      <c r="A4769" s="66"/>
    </row>
    <row r="4770" spans="1:1" x14ac:dyDescent="0.25">
      <c r="A4770" s="66"/>
    </row>
    <row r="4771" spans="1:1" x14ac:dyDescent="0.25">
      <c r="A4771" s="66"/>
    </row>
    <row r="4772" spans="1:1" x14ac:dyDescent="0.25">
      <c r="A4772" s="66"/>
    </row>
    <row r="4773" spans="1:1" x14ac:dyDescent="0.25">
      <c r="A4773" s="66"/>
    </row>
    <row r="4774" spans="1:1" x14ac:dyDescent="0.25">
      <c r="A4774" s="66"/>
    </row>
    <row r="4775" spans="1:1" x14ac:dyDescent="0.25">
      <c r="A4775" s="66"/>
    </row>
    <row r="4776" spans="1:1" x14ac:dyDescent="0.25">
      <c r="A4776" s="66"/>
    </row>
    <row r="4777" spans="1:1" x14ac:dyDescent="0.25">
      <c r="A4777" s="66"/>
    </row>
    <row r="4778" spans="1:1" x14ac:dyDescent="0.25">
      <c r="A4778" s="66"/>
    </row>
    <row r="4779" spans="1:1" x14ac:dyDescent="0.25">
      <c r="A4779" s="66"/>
    </row>
    <row r="4780" spans="1:1" x14ac:dyDescent="0.25">
      <c r="A4780" s="66"/>
    </row>
    <row r="4781" spans="1:1" x14ac:dyDescent="0.25">
      <c r="A4781" s="66"/>
    </row>
    <row r="4782" spans="1:1" x14ac:dyDescent="0.25">
      <c r="A4782" s="66"/>
    </row>
    <row r="4783" spans="1:1" x14ac:dyDescent="0.25">
      <c r="A4783" s="66"/>
    </row>
    <row r="4784" spans="1:1" x14ac:dyDescent="0.25">
      <c r="A4784" s="66"/>
    </row>
    <row r="4785" spans="1:1" x14ac:dyDescent="0.25">
      <c r="A4785" s="66"/>
    </row>
    <row r="4786" spans="1:1" x14ac:dyDescent="0.25">
      <c r="A4786" s="66"/>
    </row>
    <row r="4787" spans="1:1" x14ac:dyDescent="0.25">
      <c r="A4787" s="66"/>
    </row>
    <row r="4788" spans="1:1" x14ac:dyDescent="0.25">
      <c r="A4788" s="66"/>
    </row>
    <row r="4789" spans="1:1" x14ac:dyDescent="0.25">
      <c r="A4789" s="66"/>
    </row>
    <row r="4790" spans="1:1" x14ac:dyDescent="0.25">
      <c r="A4790" s="66"/>
    </row>
    <row r="4791" spans="1:1" x14ac:dyDescent="0.25">
      <c r="A4791" s="66"/>
    </row>
    <row r="4792" spans="1:1" x14ac:dyDescent="0.25">
      <c r="A4792" s="66"/>
    </row>
    <row r="4793" spans="1:1" x14ac:dyDescent="0.25">
      <c r="A4793" s="66"/>
    </row>
    <row r="4794" spans="1:1" x14ac:dyDescent="0.25">
      <c r="A4794" s="66"/>
    </row>
    <row r="4795" spans="1:1" x14ac:dyDescent="0.25">
      <c r="A4795" s="66"/>
    </row>
    <row r="4796" spans="1:1" x14ac:dyDescent="0.25">
      <c r="A4796" s="66"/>
    </row>
    <row r="4797" spans="1:1" x14ac:dyDescent="0.25">
      <c r="A4797" s="66"/>
    </row>
    <row r="4798" spans="1:1" x14ac:dyDescent="0.25">
      <c r="A4798" s="66"/>
    </row>
    <row r="4799" spans="1:1" x14ac:dyDescent="0.25">
      <c r="A4799" s="66"/>
    </row>
    <row r="4800" spans="1:1" x14ac:dyDescent="0.25">
      <c r="A4800" s="66"/>
    </row>
    <row r="4801" spans="1:1" x14ac:dyDescent="0.25">
      <c r="A4801" s="66"/>
    </row>
    <row r="4802" spans="1:1" x14ac:dyDescent="0.25">
      <c r="A4802" s="66"/>
    </row>
    <row r="4803" spans="1:1" x14ac:dyDescent="0.25">
      <c r="A4803" s="66"/>
    </row>
    <row r="4804" spans="1:1" x14ac:dyDescent="0.25">
      <c r="A4804" s="66"/>
    </row>
    <row r="4805" spans="1:1" x14ac:dyDescent="0.25">
      <c r="A4805" s="66"/>
    </row>
    <row r="4806" spans="1:1" x14ac:dyDescent="0.25">
      <c r="A4806" s="66"/>
    </row>
    <row r="4807" spans="1:1" x14ac:dyDescent="0.25">
      <c r="A4807" s="66"/>
    </row>
    <row r="4808" spans="1:1" x14ac:dyDescent="0.25">
      <c r="A4808" s="66"/>
    </row>
    <row r="4809" spans="1:1" x14ac:dyDescent="0.25">
      <c r="A4809" s="66"/>
    </row>
    <row r="4810" spans="1:1" x14ac:dyDescent="0.25">
      <c r="A4810" s="66"/>
    </row>
    <row r="4811" spans="1:1" x14ac:dyDescent="0.25">
      <c r="A4811" s="66"/>
    </row>
    <row r="4812" spans="1:1" x14ac:dyDescent="0.25">
      <c r="A4812" s="66"/>
    </row>
    <row r="4813" spans="1:1" x14ac:dyDescent="0.25">
      <c r="A4813" s="66"/>
    </row>
    <row r="4814" spans="1:1" x14ac:dyDescent="0.25">
      <c r="A4814" s="66"/>
    </row>
    <row r="4815" spans="1:1" x14ac:dyDescent="0.25">
      <c r="A4815" s="66"/>
    </row>
    <row r="4816" spans="1:1" x14ac:dyDescent="0.25">
      <c r="A4816" s="66"/>
    </row>
    <row r="4817" spans="1:1" x14ac:dyDescent="0.25">
      <c r="A4817" s="66"/>
    </row>
    <row r="4818" spans="1:1" x14ac:dyDescent="0.25">
      <c r="A4818" s="66"/>
    </row>
    <row r="4819" spans="1:1" x14ac:dyDescent="0.25">
      <c r="A4819" s="66"/>
    </row>
    <row r="4820" spans="1:1" x14ac:dyDescent="0.25">
      <c r="A4820" s="66"/>
    </row>
    <row r="4821" spans="1:1" x14ac:dyDescent="0.25">
      <c r="A4821" s="66"/>
    </row>
    <row r="4822" spans="1:1" x14ac:dyDescent="0.25">
      <c r="A4822" s="66"/>
    </row>
    <row r="4823" spans="1:1" x14ac:dyDescent="0.25">
      <c r="A4823" s="66"/>
    </row>
    <row r="4824" spans="1:1" x14ac:dyDescent="0.25">
      <c r="A4824" s="66"/>
    </row>
    <row r="4825" spans="1:1" x14ac:dyDescent="0.25">
      <c r="A4825" s="66"/>
    </row>
    <row r="4826" spans="1:1" x14ac:dyDescent="0.25">
      <c r="A4826" s="66"/>
    </row>
    <row r="4827" spans="1:1" x14ac:dyDescent="0.25">
      <c r="A4827" s="66"/>
    </row>
    <row r="4828" spans="1:1" x14ac:dyDescent="0.25">
      <c r="A4828" s="66"/>
    </row>
    <row r="4829" spans="1:1" x14ac:dyDescent="0.25">
      <c r="A4829" s="66"/>
    </row>
    <row r="4830" spans="1:1" x14ac:dyDescent="0.25">
      <c r="A4830" s="66"/>
    </row>
    <row r="4831" spans="1:1" x14ac:dyDescent="0.25">
      <c r="A4831" s="66"/>
    </row>
    <row r="4832" spans="1:1" x14ac:dyDescent="0.25">
      <c r="A4832" s="66"/>
    </row>
    <row r="4833" spans="1:1" x14ac:dyDescent="0.25">
      <c r="A4833" s="66"/>
    </row>
    <row r="4834" spans="1:1" x14ac:dyDescent="0.25">
      <c r="A4834" s="66"/>
    </row>
    <row r="4835" spans="1:1" x14ac:dyDescent="0.25">
      <c r="A4835" s="66"/>
    </row>
    <row r="4836" spans="1:1" x14ac:dyDescent="0.25">
      <c r="A4836" s="66"/>
    </row>
    <row r="4837" spans="1:1" x14ac:dyDescent="0.25">
      <c r="A4837" s="66"/>
    </row>
    <row r="4838" spans="1:1" x14ac:dyDescent="0.25">
      <c r="A4838" s="66"/>
    </row>
    <row r="4839" spans="1:1" x14ac:dyDescent="0.25">
      <c r="A4839" s="66"/>
    </row>
    <row r="4840" spans="1:1" x14ac:dyDescent="0.25">
      <c r="A4840" s="66"/>
    </row>
    <row r="4841" spans="1:1" x14ac:dyDescent="0.25">
      <c r="A4841" s="66"/>
    </row>
    <row r="4842" spans="1:1" x14ac:dyDescent="0.25">
      <c r="A4842" s="66"/>
    </row>
    <row r="4843" spans="1:1" x14ac:dyDescent="0.25">
      <c r="A4843" s="66"/>
    </row>
    <row r="4844" spans="1:1" x14ac:dyDescent="0.25">
      <c r="A4844" s="66"/>
    </row>
    <row r="4845" spans="1:1" x14ac:dyDescent="0.25">
      <c r="A4845" s="66"/>
    </row>
    <row r="4846" spans="1:1" x14ac:dyDescent="0.25">
      <c r="A4846" s="66"/>
    </row>
    <row r="4847" spans="1:1" x14ac:dyDescent="0.25">
      <c r="A4847" s="66"/>
    </row>
    <row r="4848" spans="1:1" x14ac:dyDescent="0.25">
      <c r="A4848" s="66"/>
    </row>
    <row r="4849" spans="1:1" x14ac:dyDescent="0.25">
      <c r="A4849" s="66"/>
    </row>
    <row r="4850" spans="1:1" x14ac:dyDescent="0.25">
      <c r="A4850" s="66"/>
    </row>
    <row r="4851" spans="1:1" x14ac:dyDescent="0.25">
      <c r="A4851" s="66"/>
    </row>
    <row r="4852" spans="1:1" x14ac:dyDescent="0.25">
      <c r="A4852" s="66"/>
    </row>
    <row r="4853" spans="1:1" x14ac:dyDescent="0.25">
      <c r="A4853" s="66"/>
    </row>
    <row r="4854" spans="1:1" x14ac:dyDescent="0.25">
      <c r="A4854" s="66"/>
    </row>
    <row r="4855" spans="1:1" x14ac:dyDescent="0.25">
      <c r="A4855" s="66"/>
    </row>
    <row r="4856" spans="1:1" x14ac:dyDescent="0.25">
      <c r="A4856" s="66"/>
    </row>
    <row r="4857" spans="1:1" x14ac:dyDescent="0.25">
      <c r="A4857" s="66"/>
    </row>
    <row r="4858" spans="1:1" x14ac:dyDescent="0.25">
      <c r="A4858" s="66"/>
    </row>
    <row r="4859" spans="1:1" x14ac:dyDescent="0.25">
      <c r="A4859" s="66"/>
    </row>
    <row r="4860" spans="1:1" x14ac:dyDescent="0.25">
      <c r="A4860" s="66"/>
    </row>
    <row r="4861" spans="1:1" x14ac:dyDescent="0.25">
      <c r="A4861" s="66"/>
    </row>
    <row r="4862" spans="1:1" x14ac:dyDescent="0.25">
      <c r="A4862" s="66"/>
    </row>
    <row r="4863" spans="1:1" x14ac:dyDescent="0.25">
      <c r="A4863" s="66"/>
    </row>
    <row r="4864" spans="1:1" x14ac:dyDescent="0.25">
      <c r="A4864" s="66"/>
    </row>
    <row r="4865" spans="1:1" x14ac:dyDescent="0.25">
      <c r="A4865" s="66"/>
    </row>
    <row r="4866" spans="1:1" x14ac:dyDescent="0.25">
      <c r="A4866" s="66"/>
    </row>
    <row r="4867" spans="1:1" x14ac:dyDescent="0.25">
      <c r="A4867" s="66"/>
    </row>
    <row r="4868" spans="1:1" x14ac:dyDescent="0.25">
      <c r="A4868" s="66"/>
    </row>
    <row r="4869" spans="1:1" x14ac:dyDescent="0.25">
      <c r="A4869" s="66"/>
    </row>
    <row r="4870" spans="1:1" x14ac:dyDescent="0.25">
      <c r="A4870" s="66"/>
    </row>
    <row r="4871" spans="1:1" x14ac:dyDescent="0.25">
      <c r="A4871" s="66"/>
    </row>
    <row r="4872" spans="1:1" x14ac:dyDescent="0.25">
      <c r="A4872" s="66"/>
    </row>
    <row r="4873" spans="1:1" x14ac:dyDescent="0.25">
      <c r="A4873" s="66"/>
    </row>
    <row r="4874" spans="1:1" x14ac:dyDescent="0.25">
      <c r="A4874" s="66"/>
    </row>
    <row r="4875" spans="1:1" x14ac:dyDescent="0.25">
      <c r="A4875" s="66"/>
    </row>
    <row r="4876" spans="1:1" x14ac:dyDescent="0.25">
      <c r="A4876" s="66"/>
    </row>
    <row r="4877" spans="1:1" x14ac:dyDescent="0.25">
      <c r="A4877" s="66"/>
    </row>
    <row r="4878" spans="1:1" x14ac:dyDescent="0.25">
      <c r="A4878" s="66"/>
    </row>
    <row r="4879" spans="1:1" x14ac:dyDescent="0.25">
      <c r="A4879" s="66"/>
    </row>
    <row r="4880" spans="1:1" x14ac:dyDescent="0.25">
      <c r="A4880" s="66"/>
    </row>
    <row r="4881" spans="1:1" x14ac:dyDescent="0.25">
      <c r="A4881" s="66"/>
    </row>
    <row r="4882" spans="1:1" x14ac:dyDescent="0.25">
      <c r="A4882" s="66"/>
    </row>
    <row r="4883" spans="1:1" x14ac:dyDescent="0.25">
      <c r="A4883" s="66"/>
    </row>
    <row r="4884" spans="1:1" x14ac:dyDescent="0.25">
      <c r="A4884" s="66"/>
    </row>
    <row r="4885" spans="1:1" x14ac:dyDescent="0.25">
      <c r="A4885" s="66"/>
    </row>
    <row r="4886" spans="1:1" x14ac:dyDescent="0.25">
      <c r="A4886" s="66"/>
    </row>
    <row r="4887" spans="1:1" x14ac:dyDescent="0.25">
      <c r="A4887" s="66"/>
    </row>
    <row r="4888" spans="1:1" x14ac:dyDescent="0.25">
      <c r="A4888" s="66"/>
    </row>
    <row r="4889" spans="1:1" x14ac:dyDescent="0.25">
      <c r="A4889" s="66"/>
    </row>
    <row r="4890" spans="1:1" x14ac:dyDescent="0.25">
      <c r="A4890" s="66"/>
    </row>
    <row r="4891" spans="1:1" x14ac:dyDescent="0.25">
      <c r="A4891" s="66"/>
    </row>
    <row r="4892" spans="1:1" x14ac:dyDescent="0.25">
      <c r="A4892" s="66"/>
    </row>
    <row r="4893" spans="1:1" x14ac:dyDescent="0.25">
      <c r="A4893" s="66"/>
    </row>
    <row r="4894" spans="1:1" x14ac:dyDescent="0.25">
      <c r="A4894" s="66"/>
    </row>
    <row r="4895" spans="1:1" x14ac:dyDescent="0.25">
      <c r="A4895" s="66"/>
    </row>
    <row r="4896" spans="1:1" x14ac:dyDescent="0.25">
      <c r="A4896" s="66"/>
    </row>
    <row r="4897" spans="1:1" x14ac:dyDescent="0.25">
      <c r="A4897" s="66"/>
    </row>
    <row r="4898" spans="1:1" x14ac:dyDescent="0.25">
      <c r="A4898" s="66"/>
    </row>
    <row r="4899" spans="1:1" x14ac:dyDescent="0.25">
      <c r="A4899" s="66"/>
    </row>
    <row r="4900" spans="1:1" x14ac:dyDescent="0.25">
      <c r="A4900" s="66"/>
    </row>
    <row r="4901" spans="1:1" x14ac:dyDescent="0.25">
      <c r="A4901" s="66"/>
    </row>
    <row r="4902" spans="1:1" x14ac:dyDescent="0.25">
      <c r="A4902" s="66"/>
    </row>
    <row r="4903" spans="1:1" x14ac:dyDescent="0.25">
      <c r="A4903" s="66"/>
    </row>
    <row r="4904" spans="1:1" x14ac:dyDescent="0.25">
      <c r="A4904" s="66"/>
    </row>
    <row r="4905" spans="1:1" x14ac:dyDescent="0.25">
      <c r="A4905" s="66"/>
    </row>
    <row r="4906" spans="1:1" x14ac:dyDescent="0.25">
      <c r="A4906" s="66"/>
    </row>
    <row r="4907" spans="1:1" x14ac:dyDescent="0.25">
      <c r="A4907" s="66"/>
    </row>
    <row r="4908" spans="1:1" x14ac:dyDescent="0.25">
      <c r="A4908" s="66"/>
    </row>
    <row r="4909" spans="1:1" x14ac:dyDescent="0.25">
      <c r="A4909" s="66"/>
    </row>
    <row r="4910" spans="1:1" x14ac:dyDescent="0.25">
      <c r="A4910" s="66"/>
    </row>
    <row r="4911" spans="1:1" x14ac:dyDescent="0.25">
      <c r="A4911" s="66"/>
    </row>
    <row r="4912" spans="1:1" x14ac:dyDescent="0.25">
      <c r="A4912" s="66"/>
    </row>
    <row r="4913" spans="1:1" x14ac:dyDescent="0.25">
      <c r="A4913" s="66"/>
    </row>
    <row r="4914" spans="1:1" x14ac:dyDescent="0.25">
      <c r="A4914" s="66"/>
    </row>
    <row r="4915" spans="1:1" x14ac:dyDescent="0.25">
      <c r="A4915" s="66"/>
    </row>
    <row r="4916" spans="1:1" x14ac:dyDescent="0.25">
      <c r="A4916" s="66"/>
    </row>
    <row r="4917" spans="1:1" x14ac:dyDescent="0.25">
      <c r="A4917" s="66"/>
    </row>
    <row r="4918" spans="1:1" x14ac:dyDescent="0.25">
      <c r="A4918" s="66"/>
    </row>
    <row r="4919" spans="1:1" x14ac:dyDescent="0.25">
      <c r="A4919" s="66"/>
    </row>
    <row r="4920" spans="1:1" x14ac:dyDescent="0.25">
      <c r="A4920" s="66"/>
    </row>
    <row r="4921" spans="1:1" x14ac:dyDescent="0.25">
      <c r="A4921" s="66"/>
    </row>
    <row r="4922" spans="1:1" x14ac:dyDescent="0.25">
      <c r="A4922" s="66"/>
    </row>
    <row r="4923" spans="1:1" x14ac:dyDescent="0.25">
      <c r="A4923" s="66"/>
    </row>
    <row r="4924" spans="1:1" x14ac:dyDescent="0.25">
      <c r="A4924" s="66"/>
    </row>
    <row r="4925" spans="1:1" x14ac:dyDescent="0.25">
      <c r="A4925" s="66"/>
    </row>
    <row r="4926" spans="1:1" x14ac:dyDescent="0.25">
      <c r="A4926" s="66"/>
    </row>
    <row r="4927" spans="1:1" x14ac:dyDescent="0.25">
      <c r="A4927" s="66"/>
    </row>
    <row r="4928" spans="1:1" x14ac:dyDescent="0.25">
      <c r="A4928" s="66"/>
    </row>
    <row r="4929" spans="1:1" x14ac:dyDescent="0.25">
      <c r="A4929" s="66"/>
    </row>
    <row r="4930" spans="1:1" x14ac:dyDescent="0.25">
      <c r="A4930" s="66"/>
    </row>
    <row r="4931" spans="1:1" x14ac:dyDescent="0.25">
      <c r="A4931" s="66"/>
    </row>
    <row r="4932" spans="1:1" x14ac:dyDescent="0.25">
      <c r="A4932" s="66"/>
    </row>
    <row r="4933" spans="1:1" x14ac:dyDescent="0.25">
      <c r="A4933" s="66"/>
    </row>
    <row r="4934" spans="1:1" x14ac:dyDescent="0.25">
      <c r="A4934" s="66"/>
    </row>
    <row r="4935" spans="1:1" x14ac:dyDescent="0.25">
      <c r="A4935" s="66"/>
    </row>
    <row r="4936" spans="1:1" x14ac:dyDescent="0.25">
      <c r="A4936" s="66"/>
    </row>
    <row r="4937" spans="1:1" x14ac:dyDescent="0.25">
      <c r="A4937" s="66"/>
    </row>
    <row r="4938" spans="1:1" x14ac:dyDescent="0.25">
      <c r="A4938" s="66"/>
    </row>
    <row r="4939" spans="1:1" x14ac:dyDescent="0.25">
      <c r="A4939" s="66"/>
    </row>
    <row r="4940" spans="1:1" x14ac:dyDescent="0.25">
      <c r="A4940" s="66"/>
    </row>
    <row r="4941" spans="1:1" x14ac:dyDescent="0.25">
      <c r="A4941" s="66"/>
    </row>
    <row r="4942" spans="1:1" x14ac:dyDescent="0.25">
      <c r="A4942" s="66"/>
    </row>
    <row r="4943" spans="1:1" x14ac:dyDescent="0.25">
      <c r="A4943" s="66"/>
    </row>
    <row r="4944" spans="1:1" x14ac:dyDescent="0.25">
      <c r="A4944" s="66"/>
    </row>
    <row r="4945" spans="1:1" x14ac:dyDescent="0.25">
      <c r="A4945" s="66"/>
    </row>
    <row r="4946" spans="1:1" x14ac:dyDescent="0.25">
      <c r="A4946" s="66"/>
    </row>
    <row r="4947" spans="1:1" x14ac:dyDescent="0.25">
      <c r="A4947" s="66"/>
    </row>
    <row r="4948" spans="1:1" x14ac:dyDescent="0.25">
      <c r="A4948" s="66"/>
    </row>
    <row r="4949" spans="1:1" x14ac:dyDescent="0.25">
      <c r="A4949" s="66"/>
    </row>
    <row r="4950" spans="1:1" x14ac:dyDescent="0.25">
      <c r="A4950" s="66"/>
    </row>
    <row r="4951" spans="1:1" x14ac:dyDescent="0.25">
      <c r="A4951" s="66"/>
    </row>
    <row r="4952" spans="1:1" x14ac:dyDescent="0.25">
      <c r="A4952" s="66"/>
    </row>
    <row r="4953" spans="1:1" x14ac:dyDescent="0.25">
      <c r="A4953" s="66"/>
    </row>
    <row r="4954" spans="1:1" x14ac:dyDescent="0.25">
      <c r="A4954" s="66"/>
    </row>
    <row r="4955" spans="1:1" x14ac:dyDescent="0.25">
      <c r="A4955" s="66"/>
    </row>
    <row r="4956" spans="1:1" x14ac:dyDescent="0.25">
      <c r="A4956" s="66"/>
    </row>
    <row r="4957" spans="1:1" x14ac:dyDescent="0.25">
      <c r="A4957" s="66"/>
    </row>
    <row r="4958" spans="1:1" x14ac:dyDescent="0.25">
      <c r="A4958" s="66"/>
    </row>
    <row r="4959" spans="1:1" x14ac:dyDescent="0.25">
      <c r="A4959" s="66"/>
    </row>
    <row r="4960" spans="1:1" x14ac:dyDescent="0.25">
      <c r="A4960" s="66"/>
    </row>
    <row r="4961" spans="1:1" x14ac:dyDescent="0.25">
      <c r="A4961" s="66"/>
    </row>
    <row r="4962" spans="1:1" x14ac:dyDescent="0.25">
      <c r="A4962" s="66"/>
    </row>
    <row r="4963" spans="1:1" x14ac:dyDescent="0.25">
      <c r="A4963" s="66"/>
    </row>
    <row r="4964" spans="1:1" x14ac:dyDescent="0.25">
      <c r="A4964" s="66"/>
    </row>
    <row r="4965" spans="1:1" x14ac:dyDescent="0.25">
      <c r="A4965" s="66"/>
    </row>
    <row r="4966" spans="1:1" x14ac:dyDescent="0.25">
      <c r="A4966" s="66"/>
    </row>
    <row r="4967" spans="1:1" x14ac:dyDescent="0.25">
      <c r="A4967" s="66"/>
    </row>
    <row r="4968" spans="1:1" x14ac:dyDescent="0.25">
      <c r="A4968" s="66"/>
    </row>
    <row r="4969" spans="1:1" x14ac:dyDescent="0.25">
      <c r="A4969" s="66"/>
    </row>
    <row r="4970" spans="1:1" x14ac:dyDescent="0.25">
      <c r="A4970" s="66"/>
    </row>
    <row r="4971" spans="1:1" x14ac:dyDescent="0.25">
      <c r="A4971" s="66"/>
    </row>
    <row r="4972" spans="1:1" x14ac:dyDescent="0.25">
      <c r="A4972" s="66"/>
    </row>
    <row r="4973" spans="1:1" x14ac:dyDescent="0.25">
      <c r="A4973" s="66"/>
    </row>
    <row r="4974" spans="1:1" x14ac:dyDescent="0.25">
      <c r="A4974" s="66"/>
    </row>
    <row r="4975" spans="1:1" x14ac:dyDescent="0.25">
      <c r="A4975" s="66"/>
    </row>
    <row r="4976" spans="1:1" x14ac:dyDescent="0.25">
      <c r="A4976" s="66"/>
    </row>
    <row r="4977" spans="1:1" x14ac:dyDescent="0.25">
      <c r="A4977" s="66"/>
    </row>
    <row r="4978" spans="1:1" x14ac:dyDescent="0.25">
      <c r="A4978" s="66"/>
    </row>
    <row r="4979" spans="1:1" x14ac:dyDescent="0.25">
      <c r="A4979" s="66"/>
    </row>
    <row r="4980" spans="1:1" x14ac:dyDescent="0.25">
      <c r="A4980" s="66"/>
    </row>
    <row r="4981" spans="1:1" x14ac:dyDescent="0.25">
      <c r="A4981" s="66"/>
    </row>
    <row r="4982" spans="1:1" x14ac:dyDescent="0.25">
      <c r="A4982" s="66"/>
    </row>
    <row r="4983" spans="1:1" x14ac:dyDescent="0.25">
      <c r="A4983" s="66"/>
    </row>
    <row r="4984" spans="1:1" x14ac:dyDescent="0.25">
      <c r="A4984" s="66"/>
    </row>
    <row r="4985" spans="1:1" x14ac:dyDescent="0.25">
      <c r="A4985" s="66"/>
    </row>
    <row r="4986" spans="1:1" x14ac:dyDescent="0.25">
      <c r="A4986" s="66"/>
    </row>
    <row r="4987" spans="1:1" x14ac:dyDescent="0.25">
      <c r="A4987" s="66"/>
    </row>
    <row r="4988" spans="1:1" x14ac:dyDescent="0.25">
      <c r="A4988" s="66"/>
    </row>
    <row r="4989" spans="1:1" x14ac:dyDescent="0.25">
      <c r="A4989" s="66"/>
    </row>
    <row r="4990" spans="1:1" x14ac:dyDescent="0.25">
      <c r="A4990" s="66"/>
    </row>
    <row r="4991" spans="1:1" x14ac:dyDescent="0.25">
      <c r="A4991" s="66"/>
    </row>
    <row r="4992" spans="1:1" x14ac:dyDescent="0.25">
      <c r="A4992" s="66"/>
    </row>
    <row r="4993" spans="1:1" x14ac:dyDescent="0.25">
      <c r="A4993" s="66"/>
    </row>
    <row r="4994" spans="1:1" x14ac:dyDescent="0.25">
      <c r="A4994" s="66"/>
    </row>
    <row r="4995" spans="1:1" x14ac:dyDescent="0.25">
      <c r="A4995" s="66"/>
    </row>
    <row r="4996" spans="1:1" x14ac:dyDescent="0.25">
      <c r="A4996" s="66"/>
    </row>
    <row r="4997" spans="1:1" x14ac:dyDescent="0.25">
      <c r="A4997" s="66"/>
    </row>
    <row r="4998" spans="1:1" x14ac:dyDescent="0.25">
      <c r="A4998" s="66"/>
    </row>
    <row r="4999" spans="1:1" x14ac:dyDescent="0.25">
      <c r="A4999" s="66"/>
    </row>
    <row r="5000" spans="1:1" x14ac:dyDescent="0.25">
      <c r="A5000" s="66"/>
    </row>
    <row r="5001" spans="1:1" x14ac:dyDescent="0.25">
      <c r="A5001" s="66"/>
    </row>
    <row r="5002" spans="1:1" x14ac:dyDescent="0.25">
      <c r="A5002" s="66"/>
    </row>
    <row r="5003" spans="1:1" x14ac:dyDescent="0.25">
      <c r="A5003" s="66"/>
    </row>
    <row r="5004" spans="1:1" x14ac:dyDescent="0.25">
      <c r="A5004" s="66"/>
    </row>
    <row r="5005" spans="1:1" x14ac:dyDescent="0.25">
      <c r="A5005" s="66"/>
    </row>
    <row r="5006" spans="1:1" x14ac:dyDescent="0.25">
      <c r="A5006" s="66"/>
    </row>
    <row r="5007" spans="1:1" x14ac:dyDescent="0.25">
      <c r="A5007" s="66"/>
    </row>
    <row r="5008" spans="1:1" x14ac:dyDescent="0.25">
      <c r="A5008" s="66"/>
    </row>
    <row r="5009" spans="1:1" x14ac:dyDescent="0.25">
      <c r="A5009" s="66"/>
    </row>
    <row r="5010" spans="1:1" x14ac:dyDescent="0.25">
      <c r="A5010" s="66"/>
    </row>
    <row r="5011" spans="1:1" x14ac:dyDescent="0.25">
      <c r="A5011" s="66"/>
    </row>
    <row r="5012" spans="1:1" x14ac:dyDescent="0.25">
      <c r="A5012" s="66"/>
    </row>
    <row r="5013" spans="1:1" x14ac:dyDescent="0.25">
      <c r="A5013" s="66"/>
    </row>
    <row r="5014" spans="1:1" x14ac:dyDescent="0.25">
      <c r="A5014" s="66"/>
    </row>
    <row r="5015" spans="1:1" x14ac:dyDescent="0.25">
      <c r="A5015" s="66"/>
    </row>
    <row r="5016" spans="1:1" x14ac:dyDescent="0.25">
      <c r="A5016" s="66"/>
    </row>
    <row r="5017" spans="1:1" x14ac:dyDescent="0.25">
      <c r="A5017" s="66"/>
    </row>
    <row r="5018" spans="1:1" x14ac:dyDescent="0.25">
      <c r="A5018" s="66"/>
    </row>
    <row r="5019" spans="1:1" x14ac:dyDescent="0.25">
      <c r="A5019" s="66"/>
    </row>
    <row r="5020" spans="1:1" x14ac:dyDescent="0.25">
      <c r="A5020" s="66"/>
    </row>
    <row r="5021" spans="1:1" x14ac:dyDescent="0.25">
      <c r="A5021" s="66"/>
    </row>
    <row r="5022" spans="1:1" x14ac:dyDescent="0.25">
      <c r="A5022" s="66"/>
    </row>
    <row r="5023" spans="1:1" x14ac:dyDescent="0.25">
      <c r="A5023" s="66"/>
    </row>
    <row r="5024" spans="1:1" x14ac:dyDescent="0.25">
      <c r="A5024" s="66"/>
    </row>
    <row r="5025" spans="1:1" x14ac:dyDescent="0.25">
      <c r="A5025" s="66"/>
    </row>
    <row r="5026" spans="1:1" x14ac:dyDescent="0.25">
      <c r="A5026" s="66"/>
    </row>
    <row r="5027" spans="1:1" x14ac:dyDescent="0.25">
      <c r="A5027" s="66"/>
    </row>
    <row r="5028" spans="1:1" x14ac:dyDescent="0.25">
      <c r="A5028" s="66"/>
    </row>
    <row r="5029" spans="1:1" x14ac:dyDescent="0.25">
      <c r="A5029" s="66"/>
    </row>
    <row r="5030" spans="1:1" x14ac:dyDescent="0.25">
      <c r="A5030" s="66"/>
    </row>
    <row r="5031" spans="1:1" x14ac:dyDescent="0.25">
      <c r="A5031" s="66"/>
    </row>
    <row r="5032" spans="1:1" x14ac:dyDescent="0.25">
      <c r="A5032" s="66"/>
    </row>
    <row r="5033" spans="1:1" x14ac:dyDescent="0.25">
      <c r="A5033" s="66"/>
    </row>
    <row r="5034" spans="1:1" x14ac:dyDescent="0.25">
      <c r="A5034" s="66"/>
    </row>
    <row r="5035" spans="1:1" x14ac:dyDescent="0.25">
      <c r="A5035" s="66"/>
    </row>
    <row r="5036" spans="1:1" x14ac:dyDescent="0.25">
      <c r="A5036" s="66"/>
    </row>
    <row r="5037" spans="1:1" x14ac:dyDescent="0.25">
      <c r="A5037" s="66"/>
    </row>
    <row r="5038" spans="1:1" x14ac:dyDescent="0.25">
      <c r="A5038" s="66"/>
    </row>
    <row r="5039" spans="1:1" x14ac:dyDescent="0.25">
      <c r="A5039" s="66"/>
    </row>
    <row r="5040" spans="1:1" x14ac:dyDescent="0.25">
      <c r="A5040" s="66"/>
    </row>
    <row r="5041" spans="1:1" x14ac:dyDescent="0.25">
      <c r="A5041" s="66"/>
    </row>
    <row r="5042" spans="1:1" x14ac:dyDescent="0.25">
      <c r="A5042" s="66"/>
    </row>
    <row r="5043" spans="1:1" x14ac:dyDescent="0.25">
      <c r="A5043" s="66"/>
    </row>
    <row r="5044" spans="1:1" x14ac:dyDescent="0.25">
      <c r="A5044" s="66"/>
    </row>
    <row r="5045" spans="1:1" x14ac:dyDescent="0.25">
      <c r="A5045" s="66"/>
    </row>
    <row r="5046" spans="1:1" x14ac:dyDescent="0.25">
      <c r="A5046" s="66"/>
    </row>
    <row r="5047" spans="1:1" x14ac:dyDescent="0.25">
      <c r="A5047" s="66"/>
    </row>
    <row r="5048" spans="1:1" x14ac:dyDescent="0.25">
      <c r="A5048" s="66"/>
    </row>
    <row r="5049" spans="1:1" x14ac:dyDescent="0.25">
      <c r="A5049" s="66"/>
    </row>
    <row r="5050" spans="1:1" x14ac:dyDescent="0.25">
      <c r="A5050" s="66"/>
    </row>
    <row r="5051" spans="1:1" x14ac:dyDescent="0.25">
      <c r="A5051" s="66"/>
    </row>
    <row r="5052" spans="1:1" x14ac:dyDescent="0.25">
      <c r="A5052" s="66"/>
    </row>
    <row r="5053" spans="1:1" x14ac:dyDescent="0.25">
      <c r="A5053" s="66"/>
    </row>
    <row r="5054" spans="1:1" x14ac:dyDescent="0.25">
      <c r="A5054" s="66"/>
    </row>
    <row r="5055" spans="1:1" x14ac:dyDescent="0.25">
      <c r="A5055" s="66"/>
    </row>
    <row r="5056" spans="1:1" x14ac:dyDescent="0.25">
      <c r="A5056" s="66"/>
    </row>
    <row r="5057" spans="1:1" x14ac:dyDescent="0.25">
      <c r="A5057" s="66"/>
    </row>
    <row r="5058" spans="1:1" x14ac:dyDescent="0.25">
      <c r="A5058" s="66"/>
    </row>
    <row r="5059" spans="1:1" x14ac:dyDescent="0.25">
      <c r="A5059" s="66"/>
    </row>
    <row r="5060" spans="1:1" x14ac:dyDescent="0.25">
      <c r="A5060" s="66"/>
    </row>
    <row r="5061" spans="1:1" x14ac:dyDescent="0.25">
      <c r="A5061" s="66"/>
    </row>
    <row r="5062" spans="1:1" x14ac:dyDescent="0.25">
      <c r="A5062" s="66"/>
    </row>
    <row r="5063" spans="1:1" x14ac:dyDescent="0.25">
      <c r="A5063" s="66"/>
    </row>
    <row r="5064" spans="1:1" x14ac:dyDescent="0.25">
      <c r="A5064" s="66"/>
    </row>
    <row r="5065" spans="1:1" x14ac:dyDescent="0.25">
      <c r="A5065" s="66"/>
    </row>
    <row r="5066" spans="1:1" x14ac:dyDescent="0.25">
      <c r="A5066" s="66"/>
    </row>
    <row r="5067" spans="1:1" x14ac:dyDescent="0.25">
      <c r="A5067" s="66"/>
    </row>
    <row r="5068" spans="1:1" x14ac:dyDescent="0.25">
      <c r="A5068" s="66"/>
    </row>
    <row r="5069" spans="1:1" x14ac:dyDescent="0.25">
      <c r="A5069" s="66"/>
    </row>
    <row r="5070" spans="1:1" x14ac:dyDescent="0.25">
      <c r="A5070" s="66"/>
    </row>
    <row r="5071" spans="1:1" x14ac:dyDescent="0.25">
      <c r="A5071" s="66"/>
    </row>
    <row r="5072" spans="1:1" x14ac:dyDescent="0.25">
      <c r="A5072" s="66"/>
    </row>
    <row r="5073" spans="1:1" x14ac:dyDescent="0.25">
      <c r="A5073" s="66"/>
    </row>
    <row r="5074" spans="1:1" x14ac:dyDescent="0.25">
      <c r="A5074" s="66"/>
    </row>
    <row r="5075" spans="1:1" x14ac:dyDescent="0.25">
      <c r="A5075" s="66"/>
    </row>
    <row r="5076" spans="1:1" x14ac:dyDescent="0.25">
      <c r="A5076" s="66"/>
    </row>
    <row r="5077" spans="1:1" x14ac:dyDescent="0.25">
      <c r="A5077" s="66"/>
    </row>
    <row r="5078" spans="1:1" x14ac:dyDescent="0.25">
      <c r="A5078" s="66"/>
    </row>
    <row r="5079" spans="1:1" x14ac:dyDescent="0.25">
      <c r="A5079" s="66"/>
    </row>
    <row r="5080" spans="1:1" x14ac:dyDescent="0.25">
      <c r="A5080" s="66"/>
    </row>
    <row r="5081" spans="1:1" x14ac:dyDescent="0.25">
      <c r="A5081" s="66"/>
    </row>
    <row r="5082" spans="1:1" x14ac:dyDescent="0.25">
      <c r="A5082" s="66"/>
    </row>
    <row r="5083" spans="1:1" x14ac:dyDescent="0.25">
      <c r="A5083" s="66"/>
    </row>
    <row r="5084" spans="1:1" x14ac:dyDescent="0.25">
      <c r="A5084" s="66"/>
    </row>
    <row r="5085" spans="1:1" x14ac:dyDescent="0.25">
      <c r="A5085" s="66"/>
    </row>
    <row r="5086" spans="1:1" x14ac:dyDescent="0.25">
      <c r="A5086" s="66"/>
    </row>
    <row r="5087" spans="1:1" x14ac:dyDescent="0.25">
      <c r="A5087" s="66"/>
    </row>
    <row r="5088" spans="1:1" x14ac:dyDescent="0.25">
      <c r="A5088" s="66"/>
    </row>
    <row r="5089" spans="1:1" x14ac:dyDescent="0.25">
      <c r="A5089" s="66"/>
    </row>
    <row r="5090" spans="1:1" x14ac:dyDescent="0.25">
      <c r="A5090" s="66"/>
    </row>
    <row r="5091" spans="1:1" x14ac:dyDescent="0.25">
      <c r="A5091" s="66"/>
    </row>
    <row r="5092" spans="1:1" x14ac:dyDescent="0.25">
      <c r="A5092" s="66"/>
    </row>
    <row r="5093" spans="1:1" x14ac:dyDescent="0.25">
      <c r="A5093" s="66"/>
    </row>
    <row r="5094" spans="1:1" x14ac:dyDescent="0.25">
      <c r="A5094" s="66"/>
    </row>
    <row r="5095" spans="1:1" x14ac:dyDescent="0.25">
      <c r="A5095" s="66"/>
    </row>
    <row r="5096" spans="1:1" x14ac:dyDescent="0.25">
      <c r="A5096" s="66"/>
    </row>
    <row r="5097" spans="1:1" x14ac:dyDescent="0.25">
      <c r="A5097" s="66"/>
    </row>
    <row r="5098" spans="1:1" x14ac:dyDescent="0.25">
      <c r="A5098" s="66"/>
    </row>
    <row r="5099" spans="1:1" x14ac:dyDescent="0.25">
      <c r="A5099" s="66"/>
    </row>
    <row r="5100" spans="1:1" x14ac:dyDescent="0.25">
      <c r="A5100" s="66"/>
    </row>
    <row r="5101" spans="1:1" x14ac:dyDescent="0.25">
      <c r="A5101" s="66"/>
    </row>
    <row r="5102" spans="1:1" x14ac:dyDescent="0.25">
      <c r="A5102" s="66"/>
    </row>
    <row r="5103" spans="1:1" x14ac:dyDescent="0.25">
      <c r="A5103" s="66"/>
    </row>
    <row r="5104" spans="1:1" x14ac:dyDescent="0.25">
      <c r="A5104" s="66"/>
    </row>
    <row r="5105" spans="1:1" x14ac:dyDescent="0.25">
      <c r="A5105" s="66"/>
    </row>
    <row r="5106" spans="1:1" x14ac:dyDescent="0.25">
      <c r="A5106" s="66"/>
    </row>
    <row r="5107" spans="1:1" x14ac:dyDescent="0.25">
      <c r="A5107" s="66"/>
    </row>
    <row r="5108" spans="1:1" x14ac:dyDescent="0.25">
      <c r="A5108" s="66"/>
    </row>
    <row r="5109" spans="1:1" x14ac:dyDescent="0.25">
      <c r="A5109" s="66"/>
    </row>
    <row r="5110" spans="1:1" x14ac:dyDescent="0.25">
      <c r="A5110" s="66"/>
    </row>
    <row r="5111" spans="1:1" x14ac:dyDescent="0.25">
      <c r="A5111" s="66"/>
    </row>
    <row r="5112" spans="1:1" x14ac:dyDescent="0.25">
      <c r="A5112" s="66"/>
    </row>
    <row r="5113" spans="1:1" x14ac:dyDescent="0.25">
      <c r="A5113" s="66"/>
    </row>
    <row r="5114" spans="1:1" x14ac:dyDescent="0.25">
      <c r="A5114" s="66"/>
    </row>
    <row r="5115" spans="1:1" x14ac:dyDescent="0.25">
      <c r="A5115" s="66"/>
    </row>
    <row r="5116" spans="1:1" x14ac:dyDescent="0.25">
      <c r="A5116" s="66"/>
    </row>
    <row r="5117" spans="1:1" x14ac:dyDescent="0.25">
      <c r="A5117" s="66"/>
    </row>
    <row r="5118" spans="1:1" x14ac:dyDescent="0.25">
      <c r="A5118" s="66"/>
    </row>
    <row r="5119" spans="1:1" x14ac:dyDescent="0.25">
      <c r="A5119" s="66"/>
    </row>
    <row r="5120" spans="1:1" x14ac:dyDescent="0.25">
      <c r="A5120" s="66"/>
    </row>
    <row r="5121" spans="1:1" x14ac:dyDescent="0.25">
      <c r="A5121" s="66"/>
    </row>
    <row r="5122" spans="1:1" x14ac:dyDescent="0.25">
      <c r="A5122" s="66"/>
    </row>
    <row r="5123" spans="1:1" x14ac:dyDescent="0.25">
      <c r="A5123" s="66"/>
    </row>
    <row r="5124" spans="1:1" x14ac:dyDescent="0.25">
      <c r="A5124" s="66"/>
    </row>
    <row r="5125" spans="1:1" x14ac:dyDescent="0.25">
      <c r="A5125" s="66"/>
    </row>
    <row r="5126" spans="1:1" x14ac:dyDescent="0.25">
      <c r="A5126" s="66"/>
    </row>
    <row r="5127" spans="1:1" x14ac:dyDescent="0.25">
      <c r="A5127" s="66"/>
    </row>
    <row r="5128" spans="1:1" x14ac:dyDescent="0.25">
      <c r="A5128" s="66"/>
    </row>
    <row r="5129" spans="1:1" x14ac:dyDescent="0.25">
      <c r="A5129" s="66"/>
    </row>
    <row r="5130" spans="1:1" x14ac:dyDescent="0.25">
      <c r="A5130" s="66"/>
    </row>
    <row r="5131" spans="1:1" x14ac:dyDescent="0.25">
      <c r="A5131" s="66"/>
    </row>
    <row r="5132" spans="1:1" x14ac:dyDescent="0.25">
      <c r="A5132" s="66"/>
    </row>
    <row r="5133" spans="1:1" x14ac:dyDescent="0.25">
      <c r="A5133" s="66"/>
    </row>
    <row r="5134" spans="1:1" x14ac:dyDescent="0.25">
      <c r="A5134" s="66"/>
    </row>
    <row r="5135" spans="1:1" x14ac:dyDescent="0.25">
      <c r="A5135" s="66"/>
    </row>
    <row r="5136" spans="1:1" x14ac:dyDescent="0.25">
      <c r="A5136" s="66"/>
    </row>
    <row r="5137" spans="1:1" x14ac:dyDescent="0.25">
      <c r="A5137" s="66"/>
    </row>
    <row r="5138" spans="1:1" x14ac:dyDescent="0.25">
      <c r="A5138" s="66"/>
    </row>
    <row r="5139" spans="1:1" x14ac:dyDescent="0.25">
      <c r="A5139" s="66"/>
    </row>
    <row r="5140" spans="1:1" x14ac:dyDescent="0.25">
      <c r="A5140" s="66"/>
    </row>
    <row r="5141" spans="1:1" x14ac:dyDescent="0.25">
      <c r="A5141" s="66"/>
    </row>
    <row r="5142" spans="1:1" x14ac:dyDescent="0.25">
      <c r="A5142" s="66"/>
    </row>
    <row r="5143" spans="1:1" x14ac:dyDescent="0.25">
      <c r="A5143" s="66"/>
    </row>
    <row r="5144" spans="1:1" x14ac:dyDescent="0.25">
      <c r="A5144" s="66"/>
    </row>
    <row r="5145" spans="1:1" x14ac:dyDescent="0.25">
      <c r="A5145" s="66"/>
    </row>
    <row r="5146" spans="1:1" x14ac:dyDescent="0.25">
      <c r="A5146" s="66"/>
    </row>
    <row r="5147" spans="1:1" x14ac:dyDescent="0.25">
      <c r="A5147" s="66"/>
    </row>
    <row r="5148" spans="1:1" x14ac:dyDescent="0.25">
      <c r="A5148" s="66"/>
    </row>
    <row r="5149" spans="1:1" x14ac:dyDescent="0.25">
      <c r="A5149" s="66"/>
    </row>
    <row r="5150" spans="1:1" x14ac:dyDescent="0.25">
      <c r="A5150" s="66"/>
    </row>
    <row r="5151" spans="1:1" x14ac:dyDescent="0.25">
      <c r="A5151" s="66"/>
    </row>
    <row r="5152" spans="1:1" x14ac:dyDescent="0.25">
      <c r="A5152" s="66"/>
    </row>
    <row r="5153" spans="1:1" x14ac:dyDescent="0.25">
      <c r="A5153" s="66"/>
    </row>
    <row r="5154" spans="1:1" x14ac:dyDescent="0.25">
      <c r="A5154" s="66"/>
    </row>
    <row r="5155" spans="1:1" x14ac:dyDescent="0.25">
      <c r="A5155" s="66"/>
    </row>
    <row r="5156" spans="1:1" x14ac:dyDescent="0.25">
      <c r="A5156" s="66"/>
    </row>
    <row r="5157" spans="1:1" x14ac:dyDescent="0.25">
      <c r="A5157" s="66"/>
    </row>
    <row r="5158" spans="1:1" x14ac:dyDescent="0.25">
      <c r="A5158" s="66"/>
    </row>
    <row r="5159" spans="1:1" x14ac:dyDescent="0.25">
      <c r="A5159" s="66"/>
    </row>
    <row r="5160" spans="1:1" x14ac:dyDescent="0.25">
      <c r="A5160" s="66"/>
    </row>
    <row r="5161" spans="1:1" x14ac:dyDescent="0.25">
      <c r="A5161" s="66"/>
    </row>
    <row r="5162" spans="1:1" x14ac:dyDescent="0.25">
      <c r="A5162" s="66"/>
    </row>
    <row r="5163" spans="1:1" x14ac:dyDescent="0.25">
      <c r="A5163" s="66"/>
    </row>
    <row r="5164" spans="1:1" x14ac:dyDescent="0.25">
      <c r="A5164" s="66"/>
    </row>
    <row r="5165" spans="1:1" x14ac:dyDescent="0.25">
      <c r="A5165" s="66"/>
    </row>
    <row r="5166" spans="1:1" x14ac:dyDescent="0.25">
      <c r="A5166" s="66"/>
    </row>
    <row r="5167" spans="1:1" x14ac:dyDescent="0.25">
      <c r="A5167" s="66"/>
    </row>
    <row r="5168" spans="1:1" x14ac:dyDescent="0.25">
      <c r="A5168" s="66"/>
    </row>
    <row r="5169" spans="1:1" x14ac:dyDescent="0.25">
      <c r="A5169" s="66"/>
    </row>
    <row r="5170" spans="1:1" x14ac:dyDescent="0.25">
      <c r="A5170" s="66"/>
    </row>
    <row r="5171" spans="1:1" x14ac:dyDescent="0.25">
      <c r="A5171" s="66"/>
    </row>
    <row r="5172" spans="1:1" x14ac:dyDescent="0.25">
      <c r="A5172" s="66"/>
    </row>
    <row r="5173" spans="1:1" x14ac:dyDescent="0.25">
      <c r="A5173" s="66"/>
    </row>
    <row r="5174" spans="1:1" x14ac:dyDescent="0.25">
      <c r="A5174" s="66"/>
    </row>
    <row r="5175" spans="1:1" x14ac:dyDescent="0.25">
      <c r="A5175" s="66"/>
    </row>
    <row r="5176" spans="1:1" x14ac:dyDescent="0.25">
      <c r="A5176" s="66"/>
    </row>
    <row r="5177" spans="1:1" x14ac:dyDescent="0.25">
      <c r="A5177" s="66"/>
    </row>
    <row r="5178" spans="1:1" x14ac:dyDescent="0.25">
      <c r="A5178" s="66"/>
    </row>
    <row r="5179" spans="1:1" x14ac:dyDescent="0.25">
      <c r="A5179" s="66"/>
    </row>
    <row r="5180" spans="1:1" x14ac:dyDescent="0.25">
      <c r="A5180" s="66"/>
    </row>
    <row r="5181" spans="1:1" x14ac:dyDescent="0.25">
      <c r="A5181" s="66"/>
    </row>
    <row r="5182" spans="1:1" x14ac:dyDescent="0.25">
      <c r="A5182" s="66"/>
    </row>
    <row r="5183" spans="1:1" x14ac:dyDescent="0.25">
      <c r="A5183" s="66"/>
    </row>
    <row r="5184" spans="1:1" x14ac:dyDescent="0.25">
      <c r="A5184" s="66"/>
    </row>
    <row r="5185" spans="1:1" x14ac:dyDescent="0.25">
      <c r="A5185" s="66"/>
    </row>
    <row r="5186" spans="1:1" x14ac:dyDescent="0.25">
      <c r="A5186" s="66"/>
    </row>
    <row r="5187" spans="1:1" x14ac:dyDescent="0.25">
      <c r="A5187" s="66"/>
    </row>
    <row r="5188" spans="1:1" x14ac:dyDescent="0.25">
      <c r="A5188" s="66"/>
    </row>
    <row r="5189" spans="1:1" x14ac:dyDescent="0.25">
      <c r="A5189" s="66"/>
    </row>
    <row r="5190" spans="1:1" x14ac:dyDescent="0.25">
      <c r="A5190" s="66"/>
    </row>
    <row r="5191" spans="1:1" x14ac:dyDescent="0.25">
      <c r="A5191" s="66"/>
    </row>
    <row r="5192" spans="1:1" x14ac:dyDescent="0.25">
      <c r="A5192" s="66"/>
    </row>
    <row r="5193" spans="1:1" x14ac:dyDescent="0.25">
      <c r="A5193" s="66"/>
    </row>
    <row r="5194" spans="1:1" x14ac:dyDescent="0.25">
      <c r="A5194" s="66"/>
    </row>
    <row r="5195" spans="1:1" x14ac:dyDescent="0.25">
      <c r="A5195" s="66"/>
    </row>
    <row r="5196" spans="1:1" x14ac:dyDescent="0.25">
      <c r="A5196" s="66"/>
    </row>
    <row r="5197" spans="1:1" x14ac:dyDescent="0.25">
      <c r="A5197" s="66"/>
    </row>
    <row r="5198" spans="1:1" x14ac:dyDescent="0.25">
      <c r="A5198" s="66"/>
    </row>
    <row r="5199" spans="1:1" x14ac:dyDescent="0.25">
      <c r="A5199" s="66"/>
    </row>
    <row r="5200" spans="1:1" x14ac:dyDescent="0.25">
      <c r="A5200" s="66"/>
    </row>
    <row r="5201" spans="1:1" x14ac:dyDescent="0.25">
      <c r="A5201" s="66"/>
    </row>
    <row r="5202" spans="1:1" x14ac:dyDescent="0.25">
      <c r="A5202" s="66"/>
    </row>
    <row r="5203" spans="1:1" x14ac:dyDescent="0.25">
      <c r="A5203" s="66"/>
    </row>
    <row r="5204" spans="1:1" x14ac:dyDescent="0.25">
      <c r="A5204" s="66"/>
    </row>
    <row r="5205" spans="1:1" x14ac:dyDescent="0.25">
      <c r="A5205" s="66"/>
    </row>
    <row r="5206" spans="1:1" x14ac:dyDescent="0.25">
      <c r="A5206" s="66"/>
    </row>
    <row r="5207" spans="1:1" x14ac:dyDescent="0.25">
      <c r="A5207" s="66"/>
    </row>
    <row r="5208" spans="1:1" x14ac:dyDescent="0.25">
      <c r="A5208" s="66"/>
    </row>
    <row r="5209" spans="1:1" x14ac:dyDescent="0.25">
      <c r="A5209" s="66"/>
    </row>
    <row r="5210" spans="1:1" x14ac:dyDescent="0.25">
      <c r="A5210" s="66"/>
    </row>
    <row r="5211" spans="1:1" x14ac:dyDescent="0.25">
      <c r="A5211" s="66"/>
    </row>
    <row r="5212" spans="1:1" x14ac:dyDescent="0.25">
      <c r="A5212" s="66"/>
    </row>
    <row r="5213" spans="1:1" x14ac:dyDescent="0.25">
      <c r="A5213" s="66"/>
    </row>
    <row r="5214" spans="1:1" x14ac:dyDescent="0.25">
      <c r="A5214" s="66"/>
    </row>
    <row r="5215" spans="1:1" x14ac:dyDescent="0.25">
      <c r="A5215" s="66"/>
    </row>
    <row r="5216" spans="1:1" x14ac:dyDescent="0.25">
      <c r="A5216" s="66"/>
    </row>
    <row r="5217" spans="1:1" x14ac:dyDescent="0.25">
      <c r="A5217" s="66"/>
    </row>
    <row r="5218" spans="1:1" x14ac:dyDescent="0.25">
      <c r="A5218" s="66"/>
    </row>
    <row r="5219" spans="1:1" x14ac:dyDescent="0.25">
      <c r="A5219" s="66"/>
    </row>
    <row r="5220" spans="1:1" x14ac:dyDescent="0.25">
      <c r="A5220" s="66"/>
    </row>
    <row r="5221" spans="1:1" x14ac:dyDescent="0.25">
      <c r="A5221" s="66"/>
    </row>
    <row r="5222" spans="1:1" x14ac:dyDescent="0.25">
      <c r="A5222" s="66"/>
    </row>
    <row r="5223" spans="1:1" x14ac:dyDescent="0.25">
      <c r="A5223" s="66"/>
    </row>
    <row r="5224" spans="1:1" x14ac:dyDescent="0.25">
      <c r="A5224" s="66"/>
    </row>
    <row r="5225" spans="1:1" x14ac:dyDescent="0.25">
      <c r="A5225" s="66"/>
    </row>
    <row r="5226" spans="1:1" x14ac:dyDescent="0.25">
      <c r="A5226" s="66"/>
    </row>
    <row r="5227" spans="1:1" x14ac:dyDescent="0.25">
      <c r="A5227" s="66"/>
    </row>
    <row r="5228" spans="1:1" x14ac:dyDescent="0.25">
      <c r="A5228" s="66"/>
    </row>
    <row r="5229" spans="1:1" x14ac:dyDescent="0.25">
      <c r="A5229" s="66"/>
    </row>
    <row r="5230" spans="1:1" x14ac:dyDescent="0.25">
      <c r="A5230" s="66"/>
    </row>
    <row r="5231" spans="1:1" x14ac:dyDescent="0.25">
      <c r="A5231" s="66"/>
    </row>
    <row r="5232" spans="1:1" x14ac:dyDescent="0.25">
      <c r="A5232" s="66"/>
    </row>
    <row r="5233" spans="1:1" x14ac:dyDescent="0.25">
      <c r="A5233" s="66"/>
    </row>
    <row r="5234" spans="1:1" x14ac:dyDescent="0.25">
      <c r="A5234" s="66"/>
    </row>
    <row r="5235" spans="1:1" x14ac:dyDescent="0.25">
      <c r="A5235" s="66"/>
    </row>
    <row r="5236" spans="1:1" x14ac:dyDescent="0.25">
      <c r="A5236" s="66"/>
    </row>
    <row r="5237" spans="1:1" x14ac:dyDescent="0.25">
      <c r="A5237" s="66"/>
    </row>
    <row r="5238" spans="1:1" x14ac:dyDescent="0.25">
      <c r="A5238" s="66"/>
    </row>
    <row r="5239" spans="1:1" x14ac:dyDescent="0.25">
      <c r="A5239" s="66"/>
    </row>
    <row r="5240" spans="1:1" x14ac:dyDescent="0.25">
      <c r="A5240" s="66"/>
    </row>
    <row r="5241" spans="1:1" x14ac:dyDescent="0.25">
      <c r="A5241" s="66"/>
    </row>
    <row r="5242" spans="1:1" x14ac:dyDescent="0.25">
      <c r="A5242" s="66"/>
    </row>
    <row r="5243" spans="1:1" x14ac:dyDescent="0.25">
      <c r="A5243" s="66"/>
    </row>
    <row r="5244" spans="1:1" x14ac:dyDescent="0.25">
      <c r="A5244" s="66"/>
    </row>
    <row r="5245" spans="1:1" x14ac:dyDescent="0.25">
      <c r="A5245" s="66"/>
    </row>
    <row r="5246" spans="1:1" x14ac:dyDescent="0.25">
      <c r="A5246" s="66"/>
    </row>
    <row r="5247" spans="1:1" x14ac:dyDescent="0.25">
      <c r="A5247" s="66"/>
    </row>
    <row r="5248" spans="1:1" x14ac:dyDescent="0.25">
      <c r="A5248" s="66"/>
    </row>
    <row r="5249" spans="1:1" x14ac:dyDescent="0.25">
      <c r="A5249" s="66"/>
    </row>
    <row r="5250" spans="1:1" x14ac:dyDescent="0.25">
      <c r="A5250" s="66"/>
    </row>
    <row r="5251" spans="1:1" x14ac:dyDescent="0.25">
      <c r="A5251" s="66"/>
    </row>
    <row r="5252" spans="1:1" x14ac:dyDescent="0.25">
      <c r="A5252" s="66"/>
    </row>
    <row r="5253" spans="1:1" x14ac:dyDescent="0.25">
      <c r="A5253" s="66"/>
    </row>
    <row r="5254" spans="1:1" x14ac:dyDescent="0.25">
      <c r="A5254" s="66"/>
    </row>
    <row r="5255" spans="1:1" x14ac:dyDescent="0.25">
      <c r="A5255" s="66"/>
    </row>
    <row r="5256" spans="1:1" x14ac:dyDescent="0.25">
      <c r="A5256" s="66"/>
    </row>
    <row r="5257" spans="1:1" x14ac:dyDescent="0.25">
      <c r="A5257" s="66"/>
    </row>
    <row r="5258" spans="1:1" x14ac:dyDescent="0.25">
      <c r="A5258" s="66"/>
    </row>
    <row r="5259" spans="1:1" x14ac:dyDescent="0.25">
      <c r="A5259" s="66"/>
    </row>
    <row r="5260" spans="1:1" x14ac:dyDescent="0.25">
      <c r="A5260" s="66"/>
    </row>
    <row r="5261" spans="1:1" x14ac:dyDescent="0.25">
      <c r="A5261" s="66"/>
    </row>
    <row r="5262" spans="1:1" x14ac:dyDescent="0.25">
      <c r="A5262" s="66"/>
    </row>
    <row r="5263" spans="1:1" x14ac:dyDescent="0.25">
      <c r="A5263" s="66"/>
    </row>
    <row r="5264" spans="1:1" x14ac:dyDescent="0.25">
      <c r="A5264" s="66"/>
    </row>
    <row r="5265" spans="1:1" x14ac:dyDescent="0.25">
      <c r="A5265" s="66"/>
    </row>
    <row r="5266" spans="1:1" x14ac:dyDescent="0.25">
      <c r="A5266" s="66"/>
    </row>
    <row r="5267" spans="1:1" x14ac:dyDescent="0.25">
      <c r="A5267" s="66"/>
    </row>
    <row r="5268" spans="1:1" x14ac:dyDescent="0.25">
      <c r="A5268" s="66"/>
    </row>
    <row r="5269" spans="1:1" x14ac:dyDescent="0.25">
      <c r="A5269" s="66"/>
    </row>
    <row r="5270" spans="1:1" x14ac:dyDescent="0.25">
      <c r="A5270" s="66"/>
    </row>
    <row r="5271" spans="1:1" x14ac:dyDescent="0.25">
      <c r="A5271" s="66"/>
    </row>
    <row r="5272" spans="1:1" x14ac:dyDescent="0.25">
      <c r="A5272" s="66"/>
    </row>
    <row r="5273" spans="1:1" x14ac:dyDescent="0.25">
      <c r="A5273" s="66"/>
    </row>
    <row r="5274" spans="1:1" x14ac:dyDescent="0.25">
      <c r="A5274" s="66"/>
    </row>
    <row r="5275" spans="1:1" x14ac:dyDescent="0.25">
      <c r="A5275" s="66"/>
    </row>
    <row r="5276" spans="1:1" x14ac:dyDescent="0.25">
      <c r="A5276" s="66"/>
    </row>
    <row r="5277" spans="1:1" x14ac:dyDescent="0.25">
      <c r="A5277" s="66"/>
    </row>
    <row r="5278" spans="1:1" x14ac:dyDescent="0.25">
      <c r="A5278" s="66"/>
    </row>
    <row r="5279" spans="1:1" x14ac:dyDescent="0.25">
      <c r="A5279" s="66"/>
    </row>
    <row r="5280" spans="1:1" x14ac:dyDescent="0.25">
      <c r="A5280" s="66"/>
    </row>
    <row r="5281" spans="1:1" x14ac:dyDescent="0.25">
      <c r="A5281" s="66"/>
    </row>
    <row r="5282" spans="1:1" x14ac:dyDescent="0.25">
      <c r="A5282" s="66"/>
    </row>
    <row r="5283" spans="1:1" x14ac:dyDescent="0.25">
      <c r="A5283" s="66"/>
    </row>
    <row r="5284" spans="1:1" x14ac:dyDescent="0.25">
      <c r="A5284" s="66"/>
    </row>
    <row r="5285" spans="1:1" x14ac:dyDescent="0.25">
      <c r="A5285" s="66"/>
    </row>
    <row r="5286" spans="1:1" x14ac:dyDescent="0.25">
      <c r="A5286" s="66"/>
    </row>
    <row r="5287" spans="1:1" x14ac:dyDescent="0.25">
      <c r="A5287" s="66"/>
    </row>
    <row r="5288" spans="1:1" x14ac:dyDescent="0.25">
      <c r="A5288" s="66"/>
    </row>
    <row r="5289" spans="1:1" x14ac:dyDescent="0.25">
      <c r="A5289" s="66"/>
    </row>
    <row r="5290" spans="1:1" x14ac:dyDescent="0.25">
      <c r="A5290" s="66"/>
    </row>
    <row r="5291" spans="1:1" x14ac:dyDescent="0.25">
      <c r="A5291" s="66"/>
    </row>
    <row r="5292" spans="1:1" x14ac:dyDescent="0.25">
      <c r="A5292" s="66"/>
    </row>
    <row r="5293" spans="1:1" x14ac:dyDescent="0.25">
      <c r="A5293" s="66"/>
    </row>
    <row r="5294" spans="1:1" x14ac:dyDescent="0.25">
      <c r="A5294" s="66"/>
    </row>
    <row r="5295" spans="1:1" x14ac:dyDescent="0.25">
      <c r="A5295" s="66"/>
    </row>
    <row r="5296" spans="1:1" x14ac:dyDescent="0.25">
      <c r="A5296" s="66"/>
    </row>
    <row r="5297" spans="1:1" x14ac:dyDescent="0.25">
      <c r="A5297" s="66"/>
    </row>
    <row r="5298" spans="1:1" x14ac:dyDescent="0.25">
      <c r="A5298" s="66"/>
    </row>
    <row r="5299" spans="1:1" x14ac:dyDescent="0.25">
      <c r="A5299" s="66"/>
    </row>
    <row r="5300" spans="1:1" x14ac:dyDescent="0.25">
      <c r="A5300" s="66"/>
    </row>
    <row r="5301" spans="1:1" x14ac:dyDescent="0.25">
      <c r="A5301" s="66"/>
    </row>
    <row r="5302" spans="1:1" x14ac:dyDescent="0.25">
      <c r="A5302" s="66"/>
    </row>
    <row r="5303" spans="1:1" x14ac:dyDescent="0.25">
      <c r="A5303" s="66"/>
    </row>
    <row r="5304" spans="1:1" x14ac:dyDescent="0.25">
      <c r="A5304" s="66"/>
    </row>
    <row r="5305" spans="1:1" x14ac:dyDescent="0.25">
      <c r="A5305" s="66"/>
    </row>
    <row r="5306" spans="1:1" x14ac:dyDescent="0.25">
      <c r="A5306" s="66"/>
    </row>
    <row r="5307" spans="1:1" x14ac:dyDescent="0.25">
      <c r="A5307" s="66"/>
    </row>
    <row r="5308" spans="1:1" x14ac:dyDescent="0.25">
      <c r="A5308" s="66"/>
    </row>
    <row r="5309" spans="1:1" x14ac:dyDescent="0.25">
      <c r="A5309" s="66"/>
    </row>
    <row r="5310" spans="1:1" x14ac:dyDescent="0.25">
      <c r="A5310" s="66"/>
    </row>
    <row r="5311" spans="1:1" x14ac:dyDescent="0.25">
      <c r="A5311" s="66"/>
    </row>
    <row r="5312" spans="1:1" x14ac:dyDescent="0.25">
      <c r="A5312" s="66"/>
    </row>
    <row r="5313" spans="1:1" x14ac:dyDescent="0.25">
      <c r="A5313" s="66"/>
    </row>
    <row r="5314" spans="1:1" x14ac:dyDescent="0.25">
      <c r="A5314" s="66"/>
    </row>
    <row r="5315" spans="1:1" x14ac:dyDescent="0.25">
      <c r="A5315" s="66"/>
    </row>
    <row r="5316" spans="1:1" x14ac:dyDescent="0.25">
      <c r="A5316" s="66"/>
    </row>
    <row r="5317" spans="1:1" x14ac:dyDescent="0.25">
      <c r="A5317" s="66"/>
    </row>
    <row r="5318" spans="1:1" x14ac:dyDescent="0.25">
      <c r="A5318" s="66"/>
    </row>
    <row r="5319" spans="1:1" x14ac:dyDescent="0.25">
      <c r="A5319" s="66"/>
    </row>
    <row r="5320" spans="1:1" x14ac:dyDescent="0.25">
      <c r="A5320" s="66"/>
    </row>
    <row r="5321" spans="1:1" x14ac:dyDescent="0.25">
      <c r="A5321" s="66"/>
    </row>
    <row r="5322" spans="1:1" x14ac:dyDescent="0.25">
      <c r="A5322" s="66"/>
    </row>
    <row r="5323" spans="1:1" x14ac:dyDescent="0.25">
      <c r="A5323" s="66"/>
    </row>
    <row r="5324" spans="1:1" x14ac:dyDescent="0.25">
      <c r="A5324" s="66"/>
    </row>
    <row r="5325" spans="1:1" x14ac:dyDescent="0.25">
      <c r="A5325" s="66"/>
    </row>
    <row r="5326" spans="1:1" x14ac:dyDescent="0.25">
      <c r="A5326" s="66"/>
    </row>
    <row r="5327" spans="1:1" x14ac:dyDescent="0.25">
      <c r="A5327" s="66"/>
    </row>
    <row r="5328" spans="1:1" x14ac:dyDescent="0.25">
      <c r="A5328" s="66"/>
    </row>
    <row r="5329" spans="1:1" x14ac:dyDescent="0.25">
      <c r="A5329" s="66"/>
    </row>
    <row r="5330" spans="1:1" x14ac:dyDescent="0.25">
      <c r="A5330" s="66"/>
    </row>
    <row r="5331" spans="1:1" x14ac:dyDescent="0.25">
      <c r="A5331" s="66"/>
    </row>
    <row r="5332" spans="1:1" x14ac:dyDescent="0.25">
      <c r="A5332" s="66"/>
    </row>
    <row r="5333" spans="1:1" x14ac:dyDescent="0.25">
      <c r="A5333" s="66"/>
    </row>
    <row r="5334" spans="1:1" x14ac:dyDescent="0.25">
      <c r="A5334" s="66"/>
    </row>
    <row r="5335" spans="1:1" x14ac:dyDescent="0.25">
      <c r="A5335" s="66"/>
    </row>
    <row r="5336" spans="1:1" x14ac:dyDescent="0.25">
      <c r="A5336" s="66"/>
    </row>
    <row r="5337" spans="1:1" x14ac:dyDescent="0.25">
      <c r="A5337" s="66"/>
    </row>
    <row r="5338" spans="1:1" x14ac:dyDescent="0.25">
      <c r="A5338" s="66"/>
    </row>
    <row r="5339" spans="1:1" x14ac:dyDescent="0.25">
      <c r="A5339" s="66"/>
    </row>
    <row r="5340" spans="1:1" x14ac:dyDescent="0.25">
      <c r="A5340" s="66"/>
    </row>
    <row r="5341" spans="1:1" x14ac:dyDescent="0.25">
      <c r="A5341" s="66"/>
    </row>
    <row r="5342" spans="1:1" x14ac:dyDescent="0.25">
      <c r="A5342" s="66"/>
    </row>
    <row r="5343" spans="1:1" x14ac:dyDescent="0.25">
      <c r="A5343" s="66"/>
    </row>
    <row r="5344" spans="1:1" x14ac:dyDescent="0.25">
      <c r="A5344" s="66"/>
    </row>
    <row r="5345" spans="1:1" x14ac:dyDescent="0.25">
      <c r="A5345" s="66"/>
    </row>
    <row r="5346" spans="1:1" x14ac:dyDescent="0.25">
      <c r="A5346" s="66"/>
    </row>
    <row r="5347" spans="1:1" x14ac:dyDescent="0.25">
      <c r="A5347" s="66"/>
    </row>
    <row r="5348" spans="1:1" x14ac:dyDescent="0.25">
      <c r="A5348" s="66"/>
    </row>
    <row r="5349" spans="1:1" x14ac:dyDescent="0.25">
      <c r="A5349" s="66"/>
    </row>
    <row r="5350" spans="1:1" x14ac:dyDescent="0.25">
      <c r="A5350" s="66"/>
    </row>
    <row r="5351" spans="1:1" x14ac:dyDescent="0.25">
      <c r="A5351" s="66"/>
    </row>
    <row r="5352" spans="1:1" x14ac:dyDescent="0.25">
      <c r="A5352" s="66"/>
    </row>
    <row r="5353" spans="1:1" x14ac:dyDescent="0.25">
      <c r="A5353" s="66"/>
    </row>
    <row r="5354" spans="1:1" x14ac:dyDescent="0.25">
      <c r="A5354" s="66"/>
    </row>
    <row r="5355" spans="1:1" x14ac:dyDescent="0.25">
      <c r="A5355" s="66"/>
    </row>
    <row r="5356" spans="1:1" x14ac:dyDescent="0.25">
      <c r="A5356" s="66"/>
    </row>
    <row r="5357" spans="1:1" x14ac:dyDescent="0.25">
      <c r="A5357" s="66"/>
    </row>
    <row r="5358" spans="1:1" x14ac:dyDescent="0.25">
      <c r="A5358" s="66"/>
    </row>
    <row r="5359" spans="1:1" x14ac:dyDescent="0.25">
      <c r="A5359" s="66"/>
    </row>
    <row r="5360" spans="1:1" x14ac:dyDescent="0.25">
      <c r="A5360" s="66"/>
    </row>
    <row r="5361" spans="1:1" x14ac:dyDescent="0.25">
      <c r="A5361" s="66"/>
    </row>
    <row r="5362" spans="1:1" x14ac:dyDescent="0.25">
      <c r="A5362" s="66"/>
    </row>
    <row r="5363" spans="1:1" x14ac:dyDescent="0.25">
      <c r="A5363" s="66"/>
    </row>
    <row r="5364" spans="1:1" x14ac:dyDescent="0.25">
      <c r="A5364" s="66"/>
    </row>
    <row r="5365" spans="1:1" x14ac:dyDescent="0.25">
      <c r="A5365" s="66"/>
    </row>
    <row r="5366" spans="1:1" x14ac:dyDescent="0.25">
      <c r="A5366" s="66"/>
    </row>
    <row r="5367" spans="1:1" x14ac:dyDescent="0.25">
      <c r="A5367" s="66"/>
    </row>
    <row r="5368" spans="1:1" x14ac:dyDescent="0.25">
      <c r="A5368" s="66"/>
    </row>
    <row r="5369" spans="1:1" x14ac:dyDescent="0.25">
      <c r="A5369" s="66"/>
    </row>
    <row r="5370" spans="1:1" x14ac:dyDescent="0.25">
      <c r="A5370" s="66"/>
    </row>
    <row r="5371" spans="1:1" x14ac:dyDescent="0.25">
      <c r="A5371" s="66"/>
    </row>
    <row r="5372" spans="1:1" x14ac:dyDescent="0.25">
      <c r="A5372" s="66"/>
    </row>
    <row r="5373" spans="1:1" x14ac:dyDescent="0.25">
      <c r="A5373" s="66"/>
    </row>
    <row r="5374" spans="1:1" x14ac:dyDescent="0.25">
      <c r="A5374" s="66"/>
    </row>
    <row r="5375" spans="1:1" x14ac:dyDescent="0.25">
      <c r="A5375" s="66"/>
    </row>
    <row r="5376" spans="1:1" x14ac:dyDescent="0.25">
      <c r="A5376" s="66"/>
    </row>
    <row r="5377" spans="1:1" x14ac:dyDescent="0.25">
      <c r="A5377" s="66"/>
    </row>
    <row r="5378" spans="1:1" x14ac:dyDescent="0.25">
      <c r="A5378" s="66"/>
    </row>
    <row r="5379" spans="1:1" x14ac:dyDescent="0.25">
      <c r="A5379" s="66"/>
    </row>
    <row r="5380" spans="1:1" x14ac:dyDescent="0.25">
      <c r="A5380" s="66"/>
    </row>
    <row r="5381" spans="1:1" x14ac:dyDescent="0.25">
      <c r="A5381" s="66"/>
    </row>
    <row r="5382" spans="1:1" x14ac:dyDescent="0.25">
      <c r="A5382" s="66"/>
    </row>
    <row r="5383" spans="1:1" x14ac:dyDescent="0.25">
      <c r="A5383" s="66"/>
    </row>
    <row r="5384" spans="1:1" x14ac:dyDescent="0.25">
      <c r="A5384" s="66"/>
    </row>
    <row r="5385" spans="1:1" x14ac:dyDescent="0.25">
      <c r="A5385" s="66"/>
    </row>
    <row r="5386" spans="1:1" x14ac:dyDescent="0.25">
      <c r="A5386" s="66"/>
    </row>
    <row r="5387" spans="1:1" x14ac:dyDescent="0.25">
      <c r="A5387" s="66"/>
    </row>
    <row r="5388" spans="1:1" x14ac:dyDescent="0.25">
      <c r="A5388" s="66"/>
    </row>
    <row r="5389" spans="1:1" x14ac:dyDescent="0.25">
      <c r="A5389" s="66"/>
    </row>
    <row r="5390" spans="1:1" x14ac:dyDescent="0.25">
      <c r="A5390" s="66"/>
    </row>
    <row r="5391" spans="1:1" x14ac:dyDescent="0.25">
      <c r="A5391" s="66"/>
    </row>
    <row r="5392" spans="1:1" x14ac:dyDescent="0.25">
      <c r="A5392" s="66"/>
    </row>
    <row r="5393" spans="1:1" x14ac:dyDescent="0.25">
      <c r="A5393" s="66"/>
    </row>
    <row r="5394" spans="1:1" x14ac:dyDescent="0.25">
      <c r="A5394" s="66"/>
    </row>
    <row r="5395" spans="1:1" x14ac:dyDescent="0.25">
      <c r="A5395" s="66"/>
    </row>
    <row r="5396" spans="1:1" x14ac:dyDescent="0.25">
      <c r="A5396" s="66"/>
    </row>
    <row r="5397" spans="1:1" x14ac:dyDescent="0.25">
      <c r="A5397" s="66"/>
    </row>
    <row r="5398" spans="1:1" x14ac:dyDescent="0.25">
      <c r="A5398" s="66"/>
    </row>
    <row r="5399" spans="1:1" x14ac:dyDescent="0.25">
      <c r="A5399" s="66"/>
    </row>
    <row r="5400" spans="1:1" x14ac:dyDescent="0.25">
      <c r="A5400" s="66"/>
    </row>
    <row r="5401" spans="1:1" x14ac:dyDescent="0.25">
      <c r="A5401" s="66"/>
    </row>
    <row r="5402" spans="1:1" x14ac:dyDescent="0.25">
      <c r="A5402" s="66"/>
    </row>
    <row r="5403" spans="1:1" x14ac:dyDescent="0.25">
      <c r="A5403" s="66"/>
    </row>
    <row r="5404" spans="1:1" x14ac:dyDescent="0.25">
      <c r="A5404" s="66"/>
    </row>
    <row r="5405" spans="1:1" x14ac:dyDescent="0.25">
      <c r="A5405" s="66"/>
    </row>
    <row r="5406" spans="1:1" x14ac:dyDescent="0.25">
      <c r="A5406" s="66"/>
    </row>
    <row r="5407" spans="1:1" x14ac:dyDescent="0.25">
      <c r="A5407" s="66"/>
    </row>
    <row r="5408" spans="1:1" x14ac:dyDescent="0.25">
      <c r="A5408" s="66"/>
    </row>
    <row r="5409" spans="1:1" x14ac:dyDescent="0.25">
      <c r="A5409" s="66"/>
    </row>
    <row r="5410" spans="1:1" x14ac:dyDescent="0.25">
      <c r="A5410" s="66"/>
    </row>
    <row r="5411" spans="1:1" x14ac:dyDescent="0.25">
      <c r="A5411" s="66"/>
    </row>
    <row r="5412" spans="1:1" x14ac:dyDescent="0.25">
      <c r="A5412" s="66"/>
    </row>
    <row r="5413" spans="1:1" x14ac:dyDescent="0.25">
      <c r="A5413" s="66"/>
    </row>
    <row r="5414" spans="1:1" x14ac:dyDescent="0.25">
      <c r="A5414" s="66"/>
    </row>
    <row r="5415" spans="1:1" x14ac:dyDescent="0.25">
      <c r="A5415" s="66"/>
    </row>
    <row r="5416" spans="1:1" x14ac:dyDescent="0.25">
      <c r="A5416" s="66"/>
    </row>
    <row r="5417" spans="1:1" x14ac:dyDescent="0.25">
      <c r="A5417" s="66"/>
    </row>
    <row r="5418" spans="1:1" x14ac:dyDescent="0.25">
      <c r="A5418" s="66"/>
    </row>
    <row r="5419" spans="1:1" x14ac:dyDescent="0.25">
      <c r="A5419" s="66"/>
    </row>
    <row r="5420" spans="1:1" x14ac:dyDescent="0.25">
      <c r="A5420" s="66"/>
    </row>
    <row r="5421" spans="1:1" x14ac:dyDescent="0.25">
      <c r="A5421" s="66"/>
    </row>
    <row r="5422" spans="1:1" x14ac:dyDescent="0.25">
      <c r="A5422" s="66"/>
    </row>
    <row r="5423" spans="1:1" x14ac:dyDescent="0.25">
      <c r="A5423" s="66"/>
    </row>
    <row r="5424" spans="1:1" x14ac:dyDescent="0.25">
      <c r="A5424" s="66"/>
    </row>
    <row r="5425" spans="1:1" x14ac:dyDescent="0.25">
      <c r="A5425" s="66"/>
    </row>
    <row r="5426" spans="1:1" x14ac:dyDescent="0.25">
      <c r="A5426" s="66"/>
    </row>
    <row r="5427" spans="1:1" x14ac:dyDescent="0.25">
      <c r="A5427" s="66"/>
    </row>
    <row r="5428" spans="1:1" x14ac:dyDescent="0.25">
      <c r="A5428" s="66"/>
    </row>
    <row r="5429" spans="1:1" x14ac:dyDescent="0.25">
      <c r="A5429" s="66"/>
    </row>
    <row r="5430" spans="1:1" x14ac:dyDescent="0.25">
      <c r="A5430" s="66"/>
    </row>
    <row r="5431" spans="1:1" x14ac:dyDescent="0.25">
      <c r="A5431" s="66"/>
    </row>
    <row r="5432" spans="1:1" x14ac:dyDescent="0.25">
      <c r="A5432" s="66"/>
    </row>
    <row r="5433" spans="1:1" x14ac:dyDescent="0.25">
      <c r="A5433" s="66"/>
    </row>
    <row r="5434" spans="1:1" x14ac:dyDescent="0.25">
      <c r="A5434" s="66"/>
    </row>
    <row r="5435" spans="1:1" x14ac:dyDescent="0.25">
      <c r="A5435" s="66"/>
    </row>
    <row r="5436" spans="1:1" x14ac:dyDescent="0.25">
      <c r="A5436" s="66"/>
    </row>
    <row r="5437" spans="1:1" x14ac:dyDescent="0.25">
      <c r="A5437" s="66"/>
    </row>
    <row r="5438" spans="1:1" x14ac:dyDescent="0.25">
      <c r="A5438" s="66"/>
    </row>
    <row r="5439" spans="1:1" x14ac:dyDescent="0.25">
      <c r="A5439" s="66"/>
    </row>
    <row r="5440" spans="1:1" x14ac:dyDescent="0.25">
      <c r="A5440" s="66"/>
    </row>
    <row r="5441" spans="1:1" x14ac:dyDescent="0.25">
      <c r="A5441" s="66"/>
    </row>
    <row r="5442" spans="1:1" x14ac:dyDescent="0.25">
      <c r="A5442" s="66"/>
    </row>
    <row r="5443" spans="1:1" x14ac:dyDescent="0.25">
      <c r="A5443" s="66"/>
    </row>
    <row r="5444" spans="1:1" x14ac:dyDescent="0.25">
      <c r="A5444" s="66"/>
    </row>
    <row r="5445" spans="1:1" x14ac:dyDescent="0.25">
      <c r="A5445" s="66"/>
    </row>
    <row r="5446" spans="1:1" x14ac:dyDescent="0.25">
      <c r="A5446" s="66"/>
    </row>
    <row r="5447" spans="1:1" x14ac:dyDescent="0.25">
      <c r="A5447" s="66"/>
    </row>
    <row r="5448" spans="1:1" x14ac:dyDescent="0.25">
      <c r="A5448" s="66"/>
    </row>
    <row r="5449" spans="1:1" x14ac:dyDescent="0.25">
      <c r="A5449" s="66"/>
    </row>
    <row r="5450" spans="1:1" x14ac:dyDescent="0.25">
      <c r="A5450" s="66"/>
    </row>
    <row r="5451" spans="1:1" x14ac:dyDescent="0.25">
      <c r="A5451" s="66"/>
    </row>
    <row r="5452" spans="1:1" x14ac:dyDescent="0.25">
      <c r="A5452" s="66"/>
    </row>
    <row r="5453" spans="1:1" x14ac:dyDescent="0.25">
      <c r="A5453" s="66"/>
    </row>
    <row r="5454" spans="1:1" x14ac:dyDescent="0.25">
      <c r="A5454" s="66"/>
    </row>
    <row r="5455" spans="1:1" x14ac:dyDescent="0.25">
      <c r="A5455" s="66"/>
    </row>
    <row r="5456" spans="1:1" x14ac:dyDescent="0.25">
      <c r="A5456" s="66"/>
    </row>
    <row r="5457" spans="1:1" x14ac:dyDescent="0.25">
      <c r="A5457" s="66"/>
    </row>
    <row r="5458" spans="1:1" x14ac:dyDescent="0.25">
      <c r="A5458" s="66"/>
    </row>
    <row r="5459" spans="1:1" x14ac:dyDescent="0.25">
      <c r="A5459" s="66"/>
    </row>
    <row r="5460" spans="1:1" x14ac:dyDescent="0.25">
      <c r="A5460" s="66"/>
    </row>
    <row r="5461" spans="1:1" x14ac:dyDescent="0.25">
      <c r="A5461" s="66"/>
    </row>
    <row r="5462" spans="1:1" x14ac:dyDescent="0.25">
      <c r="A5462" s="66"/>
    </row>
    <row r="5463" spans="1:1" x14ac:dyDescent="0.25">
      <c r="A5463" s="66"/>
    </row>
    <row r="5464" spans="1:1" x14ac:dyDescent="0.25">
      <c r="A5464" s="66"/>
    </row>
    <row r="5465" spans="1:1" x14ac:dyDescent="0.25">
      <c r="A5465" s="66"/>
    </row>
    <row r="5466" spans="1:1" x14ac:dyDescent="0.25">
      <c r="A5466" s="66"/>
    </row>
    <row r="5467" spans="1:1" x14ac:dyDescent="0.25">
      <c r="A5467" s="66"/>
    </row>
    <row r="5468" spans="1:1" x14ac:dyDescent="0.25">
      <c r="A5468" s="66"/>
    </row>
    <row r="5469" spans="1:1" x14ac:dyDescent="0.25">
      <c r="A5469" s="66"/>
    </row>
    <row r="5470" spans="1:1" x14ac:dyDescent="0.25">
      <c r="A5470" s="66"/>
    </row>
    <row r="5471" spans="1:1" x14ac:dyDescent="0.25">
      <c r="A5471" s="66"/>
    </row>
    <row r="5472" spans="1:1" x14ac:dyDescent="0.25">
      <c r="A5472" s="66"/>
    </row>
    <row r="5473" spans="1:1" x14ac:dyDescent="0.25">
      <c r="A5473" s="66"/>
    </row>
    <row r="5474" spans="1:1" x14ac:dyDescent="0.25">
      <c r="A5474" s="66"/>
    </row>
    <row r="5475" spans="1:1" x14ac:dyDescent="0.25">
      <c r="A5475" s="66"/>
    </row>
    <row r="5476" spans="1:1" x14ac:dyDescent="0.25">
      <c r="A5476" s="66"/>
    </row>
    <row r="5477" spans="1:1" x14ac:dyDescent="0.25">
      <c r="A5477" s="66"/>
    </row>
    <row r="5478" spans="1:1" x14ac:dyDescent="0.25">
      <c r="A5478" s="66"/>
    </row>
    <row r="5479" spans="1:1" x14ac:dyDescent="0.25">
      <c r="A5479" s="66"/>
    </row>
    <row r="5480" spans="1:1" x14ac:dyDescent="0.25">
      <c r="A5480" s="66"/>
    </row>
    <row r="5481" spans="1:1" x14ac:dyDescent="0.25">
      <c r="A5481" s="66"/>
    </row>
    <row r="5482" spans="1:1" x14ac:dyDescent="0.25">
      <c r="A5482" s="66"/>
    </row>
    <row r="5483" spans="1:1" x14ac:dyDescent="0.25">
      <c r="A5483" s="66"/>
    </row>
    <row r="5484" spans="1:1" x14ac:dyDescent="0.25">
      <c r="A5484" s="66"/>
    </row>
    <row r="5485" spans="1:1" x14ac:dyDescent="0.25">
      <c r="A5485" s="66"/>
    </row>
    <row r="5486" spans="1:1" x14ac:dyDescent="0.25">
      <c r="A5486" s="66"/>
    </row>
    <row r="5487" spans="1:1" x14ac:dyDescent="0.25">
      <c r="A5487" s="66"/>
    </row>
    <row r="5488" spans="1:1" x14ac:dyDescent="0.25">
      <c r="A5488" s="66"/>
    </row>
    <row r="5489" spans="1:1" x14ac:dyDescent="0.25">
      <c r="A5489" s="66"/>
    </row>
    <row r="5490" spans="1:1" x14ac:dyDescent="0.25">
      <c r="A5490" s="66"/>
    </row>
    <row r="5491" spans="1:1" x14ac:dyDescent="0.25">
      <c r="A5491" s="66"/>
    </row>
    <row r="5492" spans="1:1" x14ac:dyDescent="0.25">
      <c r="A5492" s="66"/>
    </row>
    <row r="5493" spans="1:1" x14ac:dyDescent="0.25">
      <c r="A5493" s="66"/>
    </row>
    <row r="5494" spans="1:1" x14ac:dyDescent="0.25">
      <c r="A5494" s="66"/>
    </row>
    <row r="5495" spans="1:1" x14ac:dyDescent="0.25">
      <c r="A5495" s="66"/>
    </row>
    <row r="5496" spans="1:1" x14ac:dyDescent="0.25">
      <c r="A5496" s="66"/>
    </row>
    <row r="5497" spans="1:1" x14ac:dyDescent="0.25">
      <c r="A5497" s="66"/>
    </row>
    <row r="5498" spans="1:1" x14ac:dyDescent="0.25">
      <c r="A5498" s="66"/>
    </row>
    <row r="5499" spans="1:1" x14ac:dyDescent="0.25">
      <c r="A5499" s="66"/>
    </row>
    <row r="5500" spans="1:1" x14ac:dyDescent="0.25">
      <c r="A5500" s="66"/>
    </row>
    <row r="5501" spans="1:1" x14ac:dyDescent="0.25">
      <c r="A5501" s="66"/>
    </row>
    <row r="5502" spans="1:1" x14ac:dyDescent="0.25">
      <c r="A5502" s="66"/>
    </row>
    <row r="5503" spans="1:1" x14ac:dyDescent="0.25">
      <c r="A5503" s="66"/>
    </row>
    <row r="5504" spans="1:1" x14ac:dyDescent="0.25">
      <c r="A5504" s="66"/>
    </row>
    <row r="5505" spans="1:1" x14ac:dyDescent="0.25">
      <c r="A5505" s="66"/>
    </row>
    <row r="5506" spans="1:1" x14ac:dyDescent="0.25">
      <c r="A5506" s="66"/>
    </row>
    <row r="5507" spans="1:1" x14ac:dyDescent="0.25">
      <c r="A5507" s="66"/>
    </row>
    <row r="5508" spans="1:1" x14ac:dyDescent="0.25">
      <c r="A5508" s="66"/>
    </row>
    <row r="5509" spans="1:1" x14ac:dyDescent="0.25">
      <c r="A5509" s="66"/>
    </row>
    <row r="5510" spans="1:1" x14ac:dyDescent="0.25">
      <c r="A5510" s="66"/>
    </row>
    <row r="5511" spans="1:1" x14ac:dyDescent="0.25">
      <c r="A5511" s="66"/>
    </row>
    <row r="5512" spans="1:1" x14ac:dyDescent="0.25">
      <c r="A5512" s="66"/>
    </row>
    <row r="5513" spans="1:1" x14ac:dyDescent="0.25">
      <c r="A5513" s="66"/>
    </row>
    <row r="5514" spans="1:1" x14ac:dyDescent="0.25">
      <c r="A5514" s="66"/>
    </row>
    <row r="5515" spans="1:1" x14ac:dyDescent="0.25">
      <c r="A5515" s="66"/>
    </row>
    <row r="5516" spans="1:1" x14ac:dyDescent="0.25">
      <c r="A5516" s="66"/>
    </row>
    <row r="5517" spans="1:1" x14ac:dyDescent="0.25">
      <c r="A5517" s="66"/>
    </row>
    <row r="5518" spans="1:1" x14ac:dyDescent="0.25">
      <c r="A5518" s="66"/>
    </row>
    <row r="5519" spans="1:1" x14ac:dyDescent="0.25">
      <c r="A5519" s="66"/>
    </row>
    <row r="5520" spans="1:1" x14ac:dyDescent="0.25">
      <c r="A5520" s="66"/>
    </row>
    <row r="5521" spans="1:1" x14ac:dyDescent="0.25">
      <c r="A5521" s="66"/>
    </row>
    <row r="5522" spans="1:1" x14ac:dyDescent="0.25">
      <c r="A5522" s="66"/>
    </row>
    <row r="5523" spans="1:1" x14ac:dyDescent="0.25">
      <c r="A5523" s="66"/>
    </row>
    <row r="5524" spans="1:1" x14ac:dyDescent="0.25">
      <c r="A5524" s="66"/>
    </row>
    <row r="5525" spans="1:1" x14ac:dyDescent="0.25">
      <c r="A5525" s="66"/>
    </row>
    <row r="5526" spans="1:1" x14ac:dyDescent="0.25">
      <c r="A5526" s="66"/>
    </row>
    <row r="5527" spans="1:1" x14ac:dyDescent="0.25">
      <c r="A5527" s="66"/>
    </row>
    <row r="5528" spans="1:1" x14ac:dyDescent="0.25">
      <c r="A5528" s="66"/>
    </row>
    <row r="5529" spans="1:1" x14ac:dyDescent="0.25">
      <c r="A5529" s="66"/>
    </row>
    <row r="5530" spans="1:1" x14ac:dyDescent="0.25">
      <c r="A5530" s="66"/>
    </row>
    <row r="5531" spans="1:1" x14ac:dyDescent="0.25">
      <c r="A5531" s="66"/>
    </row>
    <row r="5532" spans="1:1" x14ac:dyDescent="0.25">
      <c r="A5532" s="66"/>
    </row>
    <row r="5533" spans="1:1" x14ac:dyDescent="0.25">
      <c r="A5533" s="66"/>
    </row>
    <row r="5534" spans="1:1" x14ac:dyDescent="0.25">
      <c r="A5534" s="66"/>
    </row>
    <row r="5535" spans="1:1" x14ac:dyDescent="0.25">
      <c r="A5535" s="66"/>
    </row>
    <row r="5536" spans="1:1" x14ac:dyDescent="0.25">
      <c r="A5536" s="66"/>
    </row>
    <row r="5537" spans="1:1" x14ac:dyDescent="0.25">
      <c r="A5537" s="66"/>
    </row>
    <row r="5538" spans="1:1" x14ac:dyDescent="0.25">
      <c r="A5538" s="66"/>
    </row>
    <row r="5539" spans="1:1" x14ac:dyDescent="0.25">
      <c r="A5539" s="66"/>
    </row>
    <row r="5540" spans="1:1" x14ac:dyDescent="0.25">
      <c r="A5540" s="66"/>
    </row>
    <row r="5541" spans="1:1" x14ac:dyDescent="0.25">
      <c r="A5541" s="66"/>
    </row>
    <row r="5542" spans="1:1" x14ac:dyDescent="0.25">
      <c r="A5542" s="66"/>
    </row>
    <row r="5543" spans="1:1" x14ac:dyDescent="0.25">
      <c r="A5543" s="66"/>
    </row>
    <row r="5544" spans="1:1" x14ac:dyDescent="0.25">
      <c r="A5544" s="66"/>
    </row>
    <row r="5545" spans="1:1" x14ac:dyDescent="0.25">
      <c r="A5545" s="66"/>
    </row>
    <row r="5546" spans="1:1" x14ac:dyDescent="0.25">
      <c r="A5546" s="66"/>
    </row>
    <row r="5547" spans="1:1" x14ac:dyDescent="0.25">
      <c r="A5547" s="66"/>
    </row>
    <row r="5548" spans="1:1" x14ac:dyDescent="0.25">
      <c r="A5548" s="66"/>
    </row>
    <row r="5549" spans="1:1" x14ac:dyDescent="0.25">
      <c r="A5549" s="66"/>
    </row>
    <row r="5550" spans="1:1" x14ac:dyDescent="0.25">
      <c r="A5550" s="66"/>
    </row>
    <row r="5551" spans="1:1" x14ac:dyDescent="0.25">
      <c r="A5551" s="66"/>
    </row>
    <row r="5552" spans="1:1" x14ac:dyDescent="0.25">
      <c r="A5552" s="66"/>
    </row>
    <row r="5553" spans="1:1" x14ac:dyDescent="0.25">
      <c r="A5553" s="66"/>
    </row>
    <row r="5554" spans="1:1" x14ac:dyDescent="0.25">
      <c r="A5554" s="66"/>
    </row>
    <row r="5555" spans="1:1" x14ac:dyDescent="0.25">
      <c r="A5555" s="66"/>
    </row>
    <row r="5556" spans="1:1" x14ac:dyDescent="0.25">
      <c r="A5556" s="66"/>
    </row>
    <row r="5557" spans="1:1" x14ac:dyDescent="0.25">
      <c r="A5557" s="66"/>
    </row>
    <row r="5558" spans="1:1" x14ac:dyDescent="0.25">
      <c r="A5558" s="66"/>
    </row>
    <row r="5559" spans="1:1" x14ac:dyDescent="0.25">
      <c r="A5559" s="66"/>
    </row>
    <row r="5560" spans="1:1" x14ac:dyDescent="0.25">
      <c r="A5560" s="66"/>
    </row>
    <row r="5561" spans="1:1" x14ac:dyDescent="0.25">
      <c r="A5561" s="66"/>
    </row>
    <row r="5562" spans="1:1" x14ac:dyDescent="0.25">
      <c r="A5562" s="66"/>
    </row>
    <row r="5563" spans="1:1" x14ac:dyDescent="0.25">
      <c r="A5563" s="66"/>
    </row>
    <row r="5564" spans="1:1" x14ac:dyDescent="0.25">
      <c r="A5564" s="66"/>
    </row>
    <row r="5565" spans="1:1" x14ac:dyDescent="0.25">
      <c r="A5565" s="66"/>
    </row>
    <row r="5566" spans="1:1" x14ac:dyDescent="0.25">
      <c r="A5566" s="66"/>
    </row>
    <row r="5567" spans="1:1" x14ac:dyDescent="0.25">
      <c r="A5567" s="66"/>
    </row>
    <row r="5568" spans="1:1" x14ac:dyDescent="0.25">
      <c r="A5568" s="66"/>
    </row>
    <row r="5569" spans="1:1" x14ac:dyDescent="0.25">
      <c r="A5569" s="66"/>
    </row>
    <row r="5570" spans="1:1" x14ac:dyDescent="0.25">
      <c r="A5570" s="66"/>
    </row>
    <row r="5571" spans="1:1" x14ac:dyDescent="0.25">
      <c r="A5571" s="66"/>
    </row>
    <row r="5572" spans="1:1" x14ac:dyDescent="0.25">
      <c r="A5572" s="66"/>
    </row>
    <row r="5573" spans="1:1" x14ac:dyDescent="0.25">
      <c r="A5573" s="66"/>
    </row>
    <row r="5574" spans="1:1" x14ac:dyDescent="0.25">
      <c r="A5574" s="66"/>
    </row>
    <row r="5575" spans="1:1" x14ac:dyDescent="0.25">
      <c r="A5575" s="66"/>
    </row>
    <row r="5576" spans="1:1" x14ac:dyDescent="0.25">
      <c r="A5576" s="66"/>
    </row>
    <row r="5577" spans="1:1" x14ac:dyDescent="0.25">
      <c r="A5577" s="66"/>
    </row>
    <row r="5578" spans="1:1" x14ac:dyDescent="0.25">
      <c r="A5578" s="66"/>
    </row>
    <row r="5579" spans="1:1" x14ac:dyDescent="0.25">
      <c r="A5579" s="66"/>
    </row>
    <row r="5580" spans="1:1" x14ac:dyDescent="0.25">
      <c r="A5580" s="66"/>
    </row>
    <row r="5581" spans="1:1" x14ac:dyDescent="0.25">
      <c r="A5581" s="66"/>
    </row>
    <row r="5582" spans="1:1" x14ac:dyDescent="0.25">
      <c r="A5582" s="66"/>
    </row>
    <row r="5583" spans="1:1" x14ac:dyDescent="0.25">
      <c r="A5583" s="66"/>
    </row>
    <row r="5584" spans="1:1" x14ac:dyDescent="0.25">
      <c r="A5584" s="66"/>
    </row>
    <row r="5585" spans="1:1" x14ac:dyDescent="0.25">
      <c r="A5585" s="66"/>
    </row>
    <row r="5586" spans="1:1" x14ac:dyDescent="0.25">
      <c r="A5586" s="66"/>
    </row>
    <row r="5587" spans="1:1" x14ac:dyDescent="0.25">
      <c r="A5587" s="66"/>
    </row>
    <row r="5588" spans="1:1" x14ac:dyDescent="0.25">
      <c r="A5588" s="66"/>
    </row>
    <row r="5589" spans="1:1" x14ac:dyDescent="0.25">
      <c r="A5589" s="66"/>
    </row>
    <row r="5590" spans="1:1" x14ac:dyDescent="0.25">
      <c r="A5590" s="66"/>
    </row>
    <row r="5591" spans="1:1" x14ac:dyDescent="0.25">
      <c r="A5591" s="66"/>
    </row>
    <row r="5592" spans="1:1" x14ac:dyDescent="0.25">
      <c r="A5592" s="66"/>
    </row>
    <row r="5593" spans="1:1" x14ac:dyDescent="0.25">
      <c r="A5593" s="66"/>
    </row>
    <row r="5594" spans="1:1" x14ac:dyDescent="0.25">
      <c r="A5594" s="66"/>
    </row>
    <row r="5595" spans="1:1" x14ac:dyDescent="0.25">
      <c r="A5595" s="66"/>
    </row>
    <row r="5596" spans="1:1" x14ac:dyDescent="0.25">
      <c r="A5596" s="66"/>
    </row>
    <row r="5597" spans="1:1" x14ac:dyDescent="0.25">
      <c r="A5597" s="66"/>
    </row>
    <row r="5598" spans="1:1" x14ac:dyDescent="0.25">
      <c r="A5598" s="66"/>
    </row>
    <row r="5599" spans="1:1" x14ac:dyDescent="0.25">
      <c r="A5599" s="66"/>
    </row>
    <row r="5600" spans="1:1" x14ac:dyDescent="0.25">
      <c r="A5600" s="66"/>
    </row>
    <row r="5601" spans="1:1" x14ac:dyDescent="0.25">
      <c r="A5601" s="66"/>
    </row>
    <row r="5602" spans="1:1" x14ac:dyDescent="0.25">
      <c r="A5602" s="66"/>
    </row>
    <row r="5603" spans="1:1" x14ac:dyDescent="0.25">
      <c r="A5603" s="66"/>
    </row>
    <row r="5604" spans="1:1" x14ac:dyDescent="0.25">
      <c r="A5604" s="66"/>
    </row>
    <row r="5605" spans="1:1" x14ac:dyDescent="0.25">
      <c r="A5605" s="66"/>
    </row>
    <row r="5606" spans="1:1" x14ac:dyDescent="0.25">
      <c r="A5606" s="66"/>
    </row>
    <row r="5607" spans="1:1" x14ac:dyDescent="0.25">
      <c r="A5607" s="66"/>
    </row>
    <row r="5608" spans="1:1" x14ac:dyDescent="0.25">
      <c r="A5608" s="66"/>
    </row>
    <row r="5609" spans="1:1" x14ac:dyDescent="0.25">
      <c r="A5609" s="66"/>
    </row>
    <row r="5610" spans="1:1" x14ac:dyDescent="0.25">
      <c r="A5610" s="66"/>
    </row>
    <row r="5611" spans="1:1" x14ac:dyDescent="0.25">
      <c r="A5611" s="66"/>
    </row>
    <row r="5612" spans="1:1" x14ac:dyDescent="0.25">
      <c r="A5612" s="66"/>
    </row>
    <row r="5613" spans="1:1" x14ac:dyDescent="0.25">
      <c r="A5613" s="66"/>
    </row>
    <row r="5614" spans="1:1" x14ac:dyDescent="0.25">
      <c r="A5614" s="66"/>
    </row>
    <row r="5615" spans="1:1" x14ac:dyDescent="0.25">
      <c r="A5615" s="66"/>
    </row>
    <row r="5616" spans="1:1" x14ac:dyDescent="0.25">
      <c r="A5616" s="66"/>
    </row>
    <row r="5617" spans="1:1" x14ac:dyDescent="0.25">
      <c r="A5617" s="66"/>
    </row>
    <row r="5618" spans="1:1" x14ac:dyDescent="0.25">
      <c r="A5618" s="66"/>
    </row>
    <row r="5619" spans="1:1" x14ac:dyDescent="0.25">
      <c r="A5619" s="66"/>
    </row>
    <row r="5620" spans="1:1" x14ac:dyDescent="0.25">
      <c r="A5620" s="66"/>
    </row>
    <row r="5621" spans="1:1" x14ac:dyDescent="0.25">
      <c r="A5621" s="66"/>
    </row>
    <row r="5622" spans="1:1" x14ac:dyDescent="0.25">
      <c r="A5622" s="66"/>
    </row>
    <row r="5623" spans="1:1" x14ac:dyDescent="0.25">
      <c r="A5623" s="66"/>
    </row>
    <row r="5624" spans="1:1" x14ac:dyDescent="0.25">
      <c r="A5624" s="66"/>
    </row>
    <row r="5625" spans="1:1" x14ac:dyDescent="0.25">
      <c r="A5625" s="66"/>
    </row>
    <row r="5626" spans="1:1" x14ac:dyDescent="0.25">
      <c r="A5626" s="66"/>
    </row>
    <row r="5627" spans="1:1" x14ac:dyDescent="0.25">
      <c r="A5627" s="66"/>
    </row>
    <row r="5628" spans="1:1" x14ac:dyDescent="0.25">
      <c r="A5628" s="66"/>
    </row>
    <row r="5629" spans="1:1" x14ac:dyDescent="0.25">
      <c r="A5629" s="66"/>
    </row>
    <row r="5630" spans="1:1" x14ac:dyDescent="0.25">
      <c r="A5630" s="66"/>
    </row>
    <row r="5631" spans="1:1" x14ac:dyDescent="0.25">
      <c r="A5631" s="66"/>
    </row>
    <row r="5632" spans="1:1" x14ac:dyDescent="0.25">
      <c r="A5632" s="66"/>
    </row>
    <row r="5633" spans="1:1" x14ac:dyDescent="0.25">
      <c r="A5633" s="66"/>
    </row>
    <row r="5634" spans="1:1" x14ac:dyDescent="0.25">
      <c r="A5634" s="66"/>
    </row>
    <row r="5635" spans="1:1" x14ac:dyDescent="0.25">
      <c r="A5635" s="66"/>
    </row>
    <row r="5636" spans="1:1" x14ac:dyDescent="0.25">
      <c r="A5636" s="66"/>
    </row>
    <row r="5637" spans="1:1" x14ac:dyDescent="0.25">
      <c r="A5637" s="66"/>
    </row>
    <row r="5638" spans="1:1" x14ac:dyDescent="0.25">
      <c r="A5638" s="66"/>
    </row>
    <row r="5639" spans="1:1" x14ac:dyDescent="0.25">
      <c r="A5639" s="66"/>
    </row>
    <row r="5640" spans="1:1" x14ac:dyDescent="0.25">
      <c r="A5640" s="66"/>
    </row>
    <row r="5641" spans="1:1" x14ac:dyDescent="0.25">
      <c r="A5641" s="66"/>
    </row>
    <row r="5642" spans="1:1" x14ac:dyDescent="0.25">
      <c r="A5642" s="66"/>
    </row>
    <row r="5643" spans="1:1" x14ac:dyDescent="0.25">
      <c r="A5643" s="66"/>
    </row>
    <row r="5644" spans="1:1" x14ac:dyDescent="0.25">
      <c r="A5644" s="66"/>
    </row>
    <row r="5645" spans="1:1" x14ac:dyDescent="0.25">
      <c r="A5645" s="66"/>
    </row>
    <row r="5646" spans="1:1" x14ac:dyDescent="0.25">
      <c r="A5646" s="66"/>
    </row>
    <row r="5647" spans="1:1" x14ac:dyDescent="0.25">
      <c r="A5647" s="66"/>
    </row>
    <row r="5648" spans="1:1" x14ac:dyDescent="0.25">
      <c r="A5648" s="66"/>
    </row>
    <row r="5649" spans="1:1" x14ac:dyDescent="0.25">
      <c r="A5649" s="66"/>
    </row>
    <row r="5650" spans="1:1" x14ac:dyDescent="0.25">
      <c r="A5650" s="66"/>
    </row>
    <row r="5651" spans="1:1" x14ac:dyDescent="0.25">
      <c r="A5651" s="66"/>
    </row>
    <row r="5652" spans="1:1" x14ac:dyDescent="0.25">
      <c r="A5652" s="66"/>
    </row>
    <row r="5653" spans="1:1" x14ac:dyDescent="0.25">
      <c r="A5653" s="66"/>
    </row>
    <row r="5654" spans="1:1" x14ac:dyDescent="0.25">
      <c r="A5654" s="66"/>
    </row>
    <row r="5655" spans="1:1" x14ac:dyDescent="0.25">
      <c r="A5655" s="66"/>
    </row>
    <row r="5656" spans="1:1" x14ac:dyDescent="0.25">
      <c r="A5656" s="66"/>
    </row>
    <row r="5657" spans="1:1" x14ac:dyDescent="0.25">
      <c r="A5657" s="66"/>
    </row>
    <row r="5658" spans="1:1" x14ac:dyDescent="0.25">
      <c r="A5658" s="66"/>
    </row>
    <row r="5659" spans="1:1" x14ac:dyDescent="0.25">
      <c r="A5659" s="66"/>
    </row>
    <row r="5660" spans="1:1" x14ac:dyDescent="0.25">
      <c r="A5660" s="66"/>
    </row>
    <row r="5661" spans="1:1" x14ac:dyDescent="0.25">
      <c r="A5661" s="66"/>
    </row>
    <row r="5662" spans="1:1" x14ac:dyDescent="0.25">
      <c r="A5662" s="66"/>
    </row>
    <row r="5663" spans="1:1" x14ac:dyDescent="0.25">
      <c r="A5663" s="66"/>
    </row>
    <row r="5664" spans="1:1" x14ac:dyDescent="0.25">
      <c r="A5664" s="66"/>
    </row>
    <row r="5665" spans="1:1" x14ac:dyDescent="0.25">
      <c r="A5665" s="66"/>
    </row>
    <row r="5666" spans="1:1" x14ac:dyDescent="0.25">
      <c r="A5666" s="66"/>
    </row>
    <row r="5667" spans="1:1" x14ac:dyDescent="0.25">
      <c r="A5667" s="66"/>
    </row>
    <row r="5668" spans="1:1" x14ac:dyDescent="0.25">
      <c r="A5668" s="66"/>
    </row>
    <row r="5669" spans="1:1" x14ac:dyDescent="0.25">
      <c r="A5669" s="66"/>
    </row>
    <row r="5670" spans="1:1" x14ac:dyDescent="0.25">
      <c r="A5670" s="66"/>
    </row>
    <row r="5671" spans="1:1" x14ac:dyDescent="0.25">
      <c r="A5671" s="66"/>
    </row>
    <row r="5672" spans="1:1" x14ac:dyDescent="0.25">
      <c r="A5672" s="66"/>
    </row>
    <row r="5673" spans="1:1" x14ac:dyDescent="0.25">
      <c r="A5673" s="66"/>
    </row>
    <row r="5674" spans="1:1" x14ac:dyDescent="0.25">
      <c r="A5674" s="66"/>
    </row>
    <row r="5675" spans="1:1" x14ac:dyDescent="0.25">
      <c r="A5675" s="66"/>
    </row>
    <row r="5676" spans="1:1" x14ac:dyDescent="0.25">
      <c r="A5676" s="66"/>
    </row>
    <row r="5677" spans="1:1" x14ac:dyDescent="0.25">
      <c r="A5677" s="66"/>
    </row>
    <row r="5678" spans="1:1" x14ac:dyDescent="0.25">
      <c r="A5678" s="66"/>
    </row>
    <row r="5679" spans="1:1" x14ac:dyDescent="0.25">
      <c r="A5679" s="66"/>
    </row>
    <row r="5680" spans="1:1" x14ac:dyDescent="0.25">
      <c r="A5680" s="66"/>
    </row>
    <row r="5681" spans="1:1" x14ac:dyDescent="0.25">
      <c r="A5681" s="66"/>
    </row>
    <row r="5682" spans="1:1" x14ac:dyDescent="0.25">
      <c r="A5682" s="66"/>
    </row>
    <row r="5683" spans="1:1" x14ac:dyDescent="0.25">
      <c r="A5683" s="66"/>
    </row>
    <row r="5684" spans="1:1" x14ac:dyDescent="0.25">
      <c r="A5684" s="66"/>
    </row>
    <row r="5685" spans="1:1" x14ac:dyDescent="0.25">
      <c r="A5685" s="66"/>
    </row>
    <row r="5686" spans="1:1" x14ac:dyDescent="0.25">
      <c r="A5686" s="66"/>
    </row>
    <row r="5687" spans="1:1" x14ac:dyDescent="0.25">
      <c r="A5687" s="66"/>
    </row>
    <row r="5688" spans="1:1" x14ac:dyDescent="0.25">
      <c r="A5688" s="66"/>
    </row>
    <row r="5689" spans="1:1" x14ac:dyDescent="0.25">
      <c r="A5689" s="66"/>
    </row>
    <row r="5690" spans="1:1" x14ac:dyDescent="0.25">
      <c r="A5690" s="66"/>
    </row>
    <row r="5691" spans="1:1" x14ac:dyDescent="0.25">
      <c r="A5691" s="66"/>
    </row>
    <row r="5692" spans="1:1" x14ac:dyDescent="0.25">
      <c r="A5692" s="66"/>
    </row>
    <row r="5693" spans="1:1" x14ac:dyDescent="0.25">
      <c r="A5693" s="66"/>
    </row>
    <row r="5694" spans="1:1" x14ac:dyDescent="0.25">
      <c r="A5694" s="66"/>
    </row>
    <row r="5695" spans="1:1" x14ac:dyDescent="0.25">
      <c r="A5695" s="66"/>
    </row>
    <row r="5696" spans="1:1" x14ac:dyDescent="0.25">
      <c r="A5696" s="66"/>
    </row>
    <row r="5697" spans="1:1" x14ac:dyDescent="0.25">
      <c r="A5697" s="66"/>
    </row>
    <row r="5698" spans="1:1" x14ac:dyDescent="0.25">
      <c r="A5698" s="66"/>
    </row>
    <row r="5699" spans="1:1" x14ac:dyDescent="0.25">
      <c r="A5699" s="66"/>
    </row>
    <row r="5700" spans="1:1" x14ac:dyDescent="0.25">
      <c r="A5700" s="66"/>
    </row>
    <row r="5701" spans="1:1" x14ac:dyDescent="0.25">
      <c r="A5701" s="66"/>
    </row>
    <row r="5702" spans="1:1" x14ac:dyDescent="0.25">
      <c r="A5702" s="66"/>
    </row>
    <row r="5703" spans="1:1" x14ac:dyDescent="0.25">
      <c r="A5703" s="66"/>
    </row>
    <row r="5704" spans="1:1" x14ac:dyDescent="0.25">
      <c r="A5704" s="66"/>
    </row>
    <row r="5705" spans="1:1" x14ac:dyDescent="0.25">
      <c r="A5705" s="66"/>
    </row>
    <row r="5706" spans="1:1" x14ac:dyDescent="0.25">
      <c r="A5706" s="66"/>
    </row>
    <row r="5707" spans="1:1" x14ac:dyDescent="0.25">
      <c r="A5707" s="66"/>
    </row>
    <row r="5708" spans="1:1" x14ac:dyDescent="0.25">
      <c r="A5708" s="66"/>
    </row>
    <row r="5709" spans="1:1" x14ac:dyDescent="0.25">
      <c r="A5709" s="66"/>
    </row>
    <row r="5710" spans="1:1" x14ac:dyDescent="0.25">
      <c r="A5710" s="66"/>
    </row>
    <row r="5711" spans="1:1" x14ac:dyDescent="0.25">
      <c r="A5711" s="66"/>
    </row>
    <row r="5712" spans="1:1" x14ac:dyDescent="0.25">
      <c r="A5712" s="66"/>
    </row>
    <row r="5713" spans="1:1" x14ac:dyDescent="0.25">
      <c r="A5713" s="66"/>
    </row>
    <row r="5714" spans="1:1" x14ac:dyDescent="0.25">
      <c r="A5714" s="66"/>
    </row>
    <row r="5715" spans="1:1" x14ac:dyDescent="0.25">
      <c r="A5715" s="66"/>
    </row>
    <row r="5716" spans="1:1" x14ac:dyDescent="0.25">
      <c r="A5716" s="66"/>
    </row>
    <row r="5717" spans="1:1" x14ac:dyDescent="0.25">
      <c r="A5717" s="66"/>
    </row>
    <row r="5718" spans="1:1" x14ac:dyDescent="0.25">
      <c r="A5718" s="66"/>
    </row>
    <row r="5719" spans="1:1" x14ac:dyDescent="0.25">
      <c r="A5719" s="66"/>
    </row>
    <row r="5720" spans="1:1" x14ac:dyDescent="0.25">
      <c r="A5720" s="66"/>
    </row>
    <row r="5721" spans="1:1" x14ac:dyDescent="0.25">
      <c r="A5721" s="66"/>
    </row>
    <row r="5722" spans="1:1" x14ac:dyDescent="0.25">
      <c r="A5722" s="66"/>
    </row>
    <row r="5723" spans="1:1" x14ac:dyDescent="0.25">
      <c r="A5723" s="66"/>
    </row>
    <row r="5724" spans="1:1" x14ac:dyDescent="0.25">
      <c r="A5724" s="66"/>
    </row>
    <row r="5725" spans="1:1" x14ac:dyDescent="0.25">
      <c r="A5725" s="66"/>
    </row>
    <row r="5726" spans="1:1" x14ac:dyDescent="0.25">
      <c r="A5726" s="66"/>
    </row>
    <row r="5727" spans="1:1" x14ac:dyDescent="0.25">
      <c r="A5727" s="66"/>
    </row>
    <row r="5728" spans="1:1" x14ac:dyDescent="0.25">
      <c r="A5728" s="66"/>
    </row>
    <row r="5729" spans="1:1" x14ac:dyDescent="0.25">
      <c r="A5729" s="66"/>
    </row>
    <row r="5730" spans="1:1" x14ac:dyDescent="0.25">
      <c r="A5730" s="66"/>
    </row>
    <row r="5731" spans="1:1" x14ac:dyDescent="0.25">
      <c r="A5731" s="66"/>
    </row>
    <row r="5732" spans="1:1" x14ac:dyDescent="0.25">
      <c r="A5732" s="66"/>
    </row>
    <row r="5733" spans="1:1" x14ac:dyDescent="0.25">
      <c r="A5733" s="66"/>
    </row>
    <row r="5734" spans="1:1" x14ac:dyDescent="0.25">
      <c r="A5734" s="66"/>
    </row>
    <row r="5735" spans="1:1" x14ac:dyDescent="0.25">
      <c r="A5735" s="66"/>
    </row>
    <row r="5736" spans="1:1" x14ac:dyDescent="0.25">
      <c r="A5736" s="66"/>
    </row>
    <row r="5737" spans="1:1" x14ac:dyDescent="0.25">
      <c r="A5737" s="66"/>
    </row>
    <row r="5738" spans="1:1" x14ac:dyDescent="0.25">
      <c r="A5738" s="66"/>
    </row>
    <row r="5739" spans="1:1" x14ac:dyDescent="0.25">
      <c r="A5739" s="66"/>
    </row>
    <row r="5740" spans="1:1" x14ac:dyDescent="0.25">
      <c r="A5740" s="66"/>
    </row>
    <row r="5741" spans="1:1" x14ac:dyDescent="0.25">
      <c r="A5741" s="66"/>
    </row>
    <row r="5742" spans="1:1" x14ac:dyDescent="0.25">
      <c r="A5742" s="66"/>
    </row>
    <row r="5743" spans="1:1" x14ac:dyDescent="0.25">
      <c r="A5743" s="66"/>
    </row>
    <row r="5744" spans="1:1" x14ac:dyDescent="0.25">
      <c r="A5744" s="66"/>
    </row>
    <row r="5745" spans="1:1" x14ac:dyDescent="0.25">
      <c r="A5745" s="66"/>
    </row>
    <row r="5746" spans="1:1" x14ac:dyDescent="0.25">
      <c r="A5746" s="66"/>
    </row>
    <row r="5747" spans="1:1" x14ac:dyDescent="0.25">
      <c r="A5747" s="66"/>
    </row>
    <row r="5748" spans="1:1" x14ac:dyDescent="0.25">
      <c r="A5748" s="66"/>
    </row>
    <row r="5749" spans="1:1" x14ac:dyDescent="0.25">
      <c r="A5749" s="66"/>
    </row>
    <row r="5750" spans="1:1" x14ac:dyDescent="0.25">
      <c r="A5750" s="66"/>
    </row>
    <row r="5751" spans="1:1" x14ac:dyDescent="0.25">
      <c r="A5751" s="66"/>
    </row>
    <row r="5752" spans="1:1" x14ac:dyDescent="0.25">
      <c r="A5752" s="66"/>
    </row>
    <row r="5753" spans="1:1" x14ac:dyDescent="0.25">
      <c r="A5753" s="66"/>
    </row>
    <row r="5754" spans="1:1" x14ac:dyDescent="0.25">
      <c r="A5754" s="66"/>
    </row>
    <row r="5755" spans="1:1" x14ac:dyDescent="0.25">
      <c r="A5755" s="66"/>
    </row>
    <row r="5756" spans="1:1" x14ac:dyDescent="0.25">
      <c r="A5756" s="66"/>
    </row>
    <row r="5757" spans="1:1" x14ac:dyDescent="0.25">
      <c r="A5757" s="66"/>
    </row>
    <row r="5758" spans="1:1" x14ac:dyDescent="0.25">
      <c r="A5758" s="66"/>
    </row>
    <row r="5759" spans="1:1" x14ac:dyDescent="0.25">
      <c r="A5759" s="66"/>
    </row>
    <row r="5760" spans="1:1" x14ac:dyDescent="0.25">
      <c r="A5760" s="66"/>
    </row>
    <row r="5761" spans="1:1" x14ac:dyDescent="0.25">
      <c r="A5761" s="66"/>
    </row>
    <row r="5762" spans="1:1" x14ac:dyDescent="0.25">
      <c r="A5762" s="66"/>
    </row>
    <row r="5763" spans="1:1" x14ac:dyDescent="0.25">
      <c r="A5763" s="66"/>
    </row>
    <row r="5764" spans="1:1" x14ac:dyDescent="0.25">
      <c r="A5764" s="66"/>
    </row>
    <row r="5765" spans="1:1" x14ac:dyDescent="0.25">
      <c r="A5765" s="66"/>
    </row>
    <row r="5766" spans="1:1" x14ac:dyDescent="0.25">
      <c r="A5766" s="66"/>
    </row>
    <row r="5767" spans="1:1" x14ac:dyDescent="0.25">
      <c r="A5767" s="66"/>
    </row>
    <row r="5768" spans="1:1" x14ac:dyDescent="0.25">
      <c r="A5768" s="66"/>
    </row>
    <row r="5769" spans="1:1" x14ac:dyDescent="0.25">
      <c r="A5769" s="66"/>
    </row>
    <row r="5770" spans="1:1" x14ac:dyDescent="0.25">
      <c r="A5770" s="66"/>
    </row>
    <row r="5771" spans="1:1" x14ac:dyDescent="0.25">
      <c r="A5771" s="66"/>
    </row>
    <row r="5772" spans="1:1" x14ac:dyDescent="0.25">
      <c r="A5772" s="66"/>
    </row>
    <row r="5773" spans="1:1" x14ac:dyDescent="0.25">
      <c r="A5773" s="66"/>
    </row>
    <row r="5774" spans="1:1" x14ac:dyDescent="0.25">
      <c r="A5774" s="66"/>
    </row>
    <row r="5775" spans="1:1" x14ac:dyDescent="0.25">
      <c r="A5775" s="66"/>
    </row>
    <row r="5776" spans="1:1" x14ac:dyDescent="0.25">
      <c r="A5776" s="66"/>
    </row>
    <row r="5777" spans="1:1" x14ac:dyDescent="0.25">
      <c r="A5777" s="66"/>
    </row>
    <row r="5778" spans="1:1" x14ac:dyDescent="0.25">
      <c r="A5778" s="66"/>
    </row>
    <row r="5779" spans="1:1" x14ac:dyDescent="0.25">
      <c r="A5779" s="66"/>
    </row>
    <row r="5780" spans="1:1" x14ac:dyDescent="0.25">
      <c r="A5780" s="66"/>
    </row>
    <row r="5781" spans="1:1" x14ac:dyDescent="0.25">
      <c r="A5781" s="66"/>
    </row>
    <row r="5782" spans="1:1" x14ac:dyDescent="0.25">
      <c r="A5782" s="66"/>
    </row>
    <row r="5783" spans="1:1" x14ac:dyDescent="0.25">
      <c r="A5783" s="66"/>
    </row>
    <row r="5784" spans="1:1" x14ac:dyDescent="0.25">
      <c r="A5784" s="66"/>
    </row>
    <row r="5785" spans="1:1" x14ac:dyDescent="0.25">
      <c r="A5785" s="66"/>
    </row>
    <row r="5786" spans="1:1" x14ac:dyDescent="0.25">
      <c r="A5786" s="66"/>
    </row>
    <row r="5787" spans="1:1" x14ac:dyDescent="0.25">
      <c r="A5787" s="66"/>
    </row>
    <row r="5788" spans="1:1" x14ac:dyDescent="0.25">
      <c r="A5788" s="66"/>
    </row>
    <row r="5789" spans="1:1" x14ac:dyDescent="0.25">
      <c r="A5789" s="66"/>
    </row>
    <row r="5790" spans="1:1" x14ac:dyDescent="0.25">
      <c r="A5790" s="66"/>
    </row>
    <row r="5791" spans="1:1" x14ac:dyDescent="0.25">
      <c r="A5791" s="66"/>
    </row>
    <row r="5792" spans="1:1" x14ac:dyDescent="0.25">
      <c r="A5792" s="66"/>
    </row>
    <row r="5793" spans="1:1" x14ac:dyDescent="0.25">
      <c r="A5793" s="66"/>
    </row>
    <row r="5794" spans="1:1" x14ac:dyDescent="0.25">
      <c r="A5794" s="66"/>
    </row>
    <row r="5795" spans="1:1" x14ac:dyDescent="0.25">
      <c r="A5795" s="66"/>
    </row>
    <row r="5796" spans="1:1" x14ac:dyDescent="0.25">
      <c r="A5796" s="66"/>
    </row>
    <row r="5797" spans="1:1" x14ac:dyDescent="0.25">
      <c r="A5797" s="66"/>
    </row>
    <row r="5798" spans="1:1" x14ac:dyDescent="0.25">
      <c r="A5798" s="66"/>
    </row>
    <row r="5799" spans="1:1" x14ac:dyDescent="0.25">
      <c r="A5799" s="66"/>
    </row>
    <row r="5800" spans="1:1" x14ac:dyDescent="0.25">
      <c r="A5800" s="66"/>
    </row>
    <row r="5801" spans="1:1" x14ac:dyDescent="0.25">
      <c r="A5801" s="66"/>
    </row>
    <row r="5802" spans="1:1" x14ac:dyDescent="0.25">
      <c r="A5802" s="66"/>
    </row>
    <row r="5803" spans="1:1" x14ac:dyDescent="0.25">
      <c r="A5803" s="66"/>
    </row>
    <row r="5804" spans="1:1" x14ac:dyDescent="0.25">
      <c r="A5804" s="66"/>
    </row>
    <row r="5805" spans="1:1" x14ac:dyDescent="0.25">
      <c r="A5805" s="66"/>
    </row>
    <row r="5806" spans="1:1" x14ac:dyDescent="0.25">
      <c r="A5806" s="66"/>
    </row>
    <row r="5807" spans="1:1" x14ac:dyDescent="0.25">
      <c r="A5807" s="66"/>
    </row>
    <row r="5808" spans="1:1" x14ac:dyDescent="0.25">
      <c r="A5808" s="66"/>
    </row>
    <row r="5809" spans="1:1" x14ac:dyDescent="0.25">
      <c r="A5809" s="66"/>
    </row>
    <row r="5810" spans="1:1" x14ac:dyDescent="0.25">
      <c r="A5810" s="66"/>
    </row>
    <row r="5811" spans="1:1" x14ac:dyDescent="0.25">
      <c r="A5811" s="66"/>
    </row>
    <row r="5812" spans="1:1" x14ac:dyDescent="0.25">
      <c r="A5812" s="66"/>
    </row>
    <row r="5813" spans="1:1" x14ac:dyDescent="0.25">
      <c r="A5813" s="66"/>
    </row>
    <row r="5814" spans="1:1" x14ac:dyDescent="0.25">
      <c r="A5814" s="66"/>
    </row>
    <row r="5815" spans="1:1" x14ac:dyDescent="0.25">
      <c r="A5815" s="66"/>
    </row>
    <row r="5816" spans="1:1" x14ac:dyDescent="0.25">
      <c r="A5816" s="66"/>
    </row>
    <row r="5817" spans="1:1" x14ac:dyDescent="0.25">
      <c r="A5817" s="66"/>
    </row>
    <row r="5818" spans="1:1" x14ac:dyDescent="0.25">
      <c r="A5818" s="66"/>
    </row>
    <row r="5819" spans="1:1" x14ac:dyDescent="0.25">
      <c r="A5819" s="66"/>
    </row>
    <row r="5820" spans="1:1" x14ac:dyDescent="0.25">
      <c r="A5820" s="66"/>
    </row>
    <row r="5821" spans="1:1" x14ac:dyDescent="0.25">
      <c r="A5821" s="66"/>
    </row>
    <row r="5822" spans="1:1" x14ac:dyDescent="0.25">
      <c r="A5822" s="66"/>
    </row>
    <row r="5823" spans="1:1" x14ac:dyDescent="0.25">
      <c r="A5823" s="66"/>
    </row>
    <row r="5824" spans="1:1" x14ac:dyDescent="0.25">
      <c r="A5824" s="66"/>
    </row>
    <row r="5825" spans="1:1" x14ac:dyDescent="0.25">
      <c r="A5825" s="66"/>
    </row>
    <row r="5826" spans="1:1" x14ac:dyDescent="0.25">
      <c r="A5826" s="66"/>
    </row>
    <row r="5827" spans="1:1" x14ac:dyDescent="0.25">
      <c r="A5827" s="66"/>
    </row>
    <row r="5828" spans="1:1" x14ac:dyDescent="0.25">
      <c r="A5828" s="66"/>
    </row>
    <row r="5829" spans="1:1" x14ac:dyDescent="0.25">
      <c r="A5829" s="66"/>
    </row>
    <row r="5830" spans="1:1" x14ac:dyDescent="0.25">
      <c r="A5830" s="66"/>
    </row>
    <row r="5831" spans="1:1" x14ac:dyDescent="0.25">
      <c r="A5831" s="66"/>
    </row>
    <row r="5832" spans="1:1" x14ac:dyDescent="0.25">
      <c r="A5832" s="66"/>
    </row>
    <row r="5833" spans="1:1" x14ac:dyDescent="0.25">
      <c r="A5833" s="66"/>
    </row>
    <row r="5834" spans="1:1" x14ac:dyDescent="0.25">
      <c r="A5834" s="66"/>
    </row>
    <row r="5835" spans="1:1" x14ac:dyDescent="0.25">
      <c r="A5835" s="66"/>
    </row>
    <row r="5836" spans="1:1" x14ac:dyDescent="0.25">
      <c r="A5836" s="66"/>
    </row>
    <row r="5837" spans="1:1" x14ac:dyDescent="0.25">
      <c r="A5837" s="66"/>
    </row>
    <row r="5838" spans="1:1" x14ac:dyDescent="0.25">
      <c r="A5838" s="66"/>
    </row>
    <row r="5839" spans="1:1" x14ac:dyDescent="0.25">
      <c r="A5839" s="66"/>
    </row>
    <row r="5840" spans="1:1" x14ac:dyDescent="0.25">
      <c r="A5840" s="66"/>
    </row>
    <row r="5841" spans="1:1" x14ac:dyDescent="0.25">
      <c r="A5841" s="66"/>
    </row>
    <row r="5842" spans="1:1" x14ac:dyDescent="0.25">
      <c r="A5842" s="66"/>
    </row>
    <row r="5843" spans="1:1" x14ac:dyDescent="0.25">
      <c r="A5843" s="66"/>
    </row>
    <row r="5844" spans="1:1" x14ac:dyDescent="0.25">
      <c r="A5844" s="66"/>
    </row>
    <row r="5845" spans="1:1" x14ac:dyDescent="0.25">
      <c r="A5845" s="66"/>
    </row>
    <row r="5846" spans="1:1" x14ac:dyDescent="0.25">
      <c r="A5846" s="66"/>
    </row>
    <row r="5847" spans="1:1" x14ac:dyDescent="0.25">
      <c r="A5847" s="66"/>
    </row>
    <row r="5848" spans="1:1" x14ac:dyDescent="0.25">
      <c r="A5848" s="66"/>
    </row>
    <row r="5849" spans="1:1" x14ac:dyDescent="0.25">
      <c r="A5849" s="66"/>
    </row>
    <row r="5850" spans="1:1" x14ac:dyDescent="0.25">
      <c r="A5850" s="66"/>
    </row>
    <row r="5851" spans="1:1" x14ac:dyDescent="0.25">
      <c r="A5851" s="66"/>
    </row>
    <row r="5852" spans="1:1" x14ac:dyDescent="0.25">
      <c r="A5852" s="66"/>
    </row>
    <row r="5853" spans="1:1" x14ac:dyDescent="0.25">
      <c r="A5853" s="66"/>
    </row>
    <row r="5854" spans="1:1" x14ac:dyDescent="0.25">
      <c r="A5854" s="66"/>
    </row>
    <row r="5855" spans="1:1" x14ac:dyDescent="0.25">
      <c r="A5855" s="66"/>
    </row>
    <row r="5856" spans="1:1" x14ac:dyDescent="0.25">
      <c r="A5856" s="66"/>
    </row>
    <row r="5857" spans="1:1" x14ac:dyDescent="0.25">
      <c r="A5857" s="66"/>
    </row>
    <row r="5858" spans="1:1" x14ac:dyDescent="0.25">
      <c r="A5858" s="66"/>
    </row>
    <row r="5859" spans="1:1" x14ac:dyDescent="0.25">
      <c r="A5859" s="66"/>
    </row>
    <row r="5860" spans="1:1" x14ac:dyDescent="0.25">
      <c r="A5860" s="66"/>
    </row>
    <row r="5861" spans="1:1" x14ac:dyDescent="0.25">
      <c r="A5861" s="66"/>
    </row>
    <row r="5862" spans="1:1" x14ac:dyDescent="0.25">
      <c r="A5862" s="66"/>
    </row>
    <row r="5863" spans="1:1" x14ac:dyDescent="0.25">
      <c r="A5863" s="66"/>
    </row>
    <row r="5864" spans="1:1" x14ac:dyDescent="0.25">
      <c r="A5864" s="66"/>
    </row>
    <row r="5865" spans="1:1" x14ac:dyDescent="0.25">
      <c r="A5865" s="66"/>
    </row>
    <row r="5866" spans="1:1" x14ac:dyDescent="0.25">
      <c r="A5866" s="66"/>
    </row>
    <row r="5867" spans="1:1" x14ac:dyDescent="0.25">
      <c r="A5867" s="66"/>
    </row>
    <row r="5868" spans="1:1" x14ac:dyDescent="0.25">
      <c r="A5868" s="66"/>
    </row>
    <row r="5869" spans="1:1" x14ac:dyDescent="0.25">
      <c r="A5869" s="66"/>
    </row>
    <row r="5870" spans="1:1" x14ac:dyDescent="0.25">
      <c r="A5870" s="66"/>
    </row>
    <row r="5871" spans="1:1" x14ac:dyDescent="0.25">
      <c r="A5871" s="66"/>
    </row>
    <row r="5872" spans="1:1" x14ac:dyDescent="0.25">
      <c r="A5872" s="66"/>
    </row>
    <row r="5873" spans="1:1" x14ac:dyDescent="0.25">
      <c r="A5873" s="66"/>
    </row>
    <row r="5874" spans="1:1" x14ac:dyDescent="0.25">
      <c r="A5874" s="66"/>
    </row>
    <row r="5875" spans="1:1" x14ac:dyDescent="0.25">
      <c r="A5875" s="66"/>
    </row>
    <row r="5876" spans="1:1" x14ac:dyDescent="0.25">
      <c r="A5876" s="66"/>
    </row>
    <row r="5877" spans="1:1" x14ac:dyDescent="0.25">
      <c r="A5877" s="66"/>
    </row>
    <row r="5878" spans="1:1" x14ac:dyDescent="0.25">
      <c r="A5878" s="66"/>
    </row>
    <row r="5879" spans="1:1" x14ac:dyDescent="0.25">
      <c r="A5879" s="66"/>
    </row>
    <row r="5880" spans="1:1" x14ac:dyDescent="0.25">
      <c r="A5880" s="66"/>
    </row>
    <row r="5881" spans="1:1" x14ac:dyDescent="0.25">
      <c r="A5881" s="66"/>
    </row>
    <row r="5882" spans="1:1" x14ac:dyDescent="0.25">
      <c r="A5882" s="66"/>
    </row>
    <row r="5883" spans="1:1" x14ac:dyDescent="0.25">
      <c r="A5883" s="66"/>
    </row>
    <row r="5884" spans="1:1" x14ac:dyDescent="0.25">
      <c r="A5884" s="66"/>
    </row>
    <row r="5885" spans="1:1" x14ac:dyDescent="0.25">
      <c r="A5885" s="66"/>
    </row>
    <row r="5886" spans="1:1" x14ac:dyDescent="0.25">
      <c r="A5886" s="66"/>
    </row>
    <row r="5887" spans="1:1" x14ac:dyDescent="0.25">
      <c r="A5887" s="66"/>
    </row>
    <row r="5888" spans="1:1" x14ac:dyDescent="0.25">
      <c r="A5888" s="66"/>
    </row>
    <row r="5889" spans="1:1" x14ac:dyDescent="0.25">
      <c r="A5889" s="66"/>
    </row>
    <row r="5890" spans="1:1" x14ac:dyDescent="0.25">
      <c r="A5890" s="66"/>
    </row>
    <row r="5891" spans="1:1" x14ac:dyDescent="0.25">
      <c r="A5891" s="66"/>
    </row>
    <row r="5892" spans="1:1" x14ac:dyDescent="0.25">
      <c r="A5892" s="66"/>
    </row>
    <row r="5893" spans="1:1" x14ac:dyDescent="0.25">
      <c r="A5893" s="66"/>
    </row>
    <row r="5894" spans="1:1" x14ac:dyDescent="0.25">
      <c r="A5894" s="66"/>
    </row>
    <row r="5895" spans="1:1" x14ac:dyDescent="0.25">
      <c r="A5895" s="66"/>
    </row>
    <row r="5896" spans="1:1" x14ac:dyDescent="0.25">
      <c r="A5896" s="66"/>
    </row>
    <row r="5897" spans="1:1" x14ac:dyDescent="0.25">
      <c r="A5897" s="66"/>
    </row>
    <row r="5898" spans="1:1" x14ac:dyDescent="0.25">
      <c r="A5898" s="66"/>
    </row>
    <row r="5899" spans="1:1" x14ac:dyDescent="0.25">
      <c r="A5899" s="66"/>
    </row>
    <row r="5900" spans="1:1" x14ac:dyDescent="0.25">
      <c r="A5900" s="66"/>
    </row>
    <row r="5901" spans="1:1" x14ac:dyDescent="0.25">
      <c r="A5901" s="66"/>
    </row>
    <row r="5902" spans="1:1" x14ac:dyDescent="0.25">
      <c r="A5902" s="66"/>
    </row>
    <row r="5903" spans="1:1" x14ac:dyDescent="0.25">
      <c r="A5903" s="66"/>
    </row>
    <row r="5904" spans="1:1" x14ac:dyDescent="0.25">
      <c r="A5904" s="66"/>
    </row>
    <row r="5905" spans="1:1" x14ac:dyDescent="0.25">
      <c r="A5905" s="66"/>
    </row>
    <row r="5906" spans="1:1" x14ac:dyDescent="0.25">
      <c r="A5906" s="66"/>
    </row>
    <row r="5907" spans="1:1" x14ac:dyDescent="0.25">
      <c r="A5907" s="66"/>
    </row>
    <row r="5908" spans="1:1" x14ac:dyDescent="0.25">
      <c r="A5908" s="66"/>
    </row>
    <row r="5909" spans="1:1" x14ac:dyDescent="0.25">
      <c r="A5909" s="66"/>
    </row>
    <row r="5910" spans="1:1" x14ac:dyDescent="0.25">
      <c r="A5910" s="66"/>
    </row>
    <row r="5911" spans="1:1" x14ac:dyDescent="0.25">
      <c r="A5911" s="66"/>
    </row>
    <row r="5912" spans="1:1" x14ac:dyDescent="0.25">
      <c r="A5912" s="66"/>
    </row>
    <row r="5913" spans="1:1" x14ac:dyDescent="0.25">
      <c r="A5913" s="66"/>
    </row>
    <row r="5914" spans="1:1" x14ac:dyDescent="0.25">
      <c r="A5914" s="66"/>
    </row>
    <row r="5915" spans="1:1" x14ac:dyDescent="0.25">
      <c r="A5915" s="66"/>
    </row>
    <row r="5916" spans="1:1" x14ac:dyDescent="0.25">
      <c r="A5916" s="66"/>
    </row>
    <row r="5917" spans="1:1" x14ac:dyDescent="0.25">
      <c r="A5917" s="66"/>
    </row>
    <row r="5918" spans="1:1" x14ac:dyDescent="0.25">
      <c r="A5918" s="66"/>
    </row>
    <row r="5919" spans="1:1" x14ac:dyDescent="0.25">
      <c r="A5919" s="66"/>
    </row>
    <row r="5920" spans="1:1" x14ac:dyDescent="0.25">
      <c r="A5920" s="66"/>
    </row>
    <row r="5921" spans="1:1" x14ac:dyDescent="0.25">
      <c r="A5921" s="66"/>
    </row>
    <row r="5922" spans="1:1" x14ac:dyDescent="0.25">
      <c r="A5922" s="66"/>
    </row>
    <row r="5923" spans="1:1" x14ac:dyDescent="0.25">
      <c r="A5923" s="66"/>
    </row>
    <row r="5924" spans="1:1" x14ac:dyDescent="0.25">
      <c r="A5924" s="66"/>
    </row>
    <row r="5925" spans="1:1" x14ac:dyDescent="0.25">
      <c r="A5925" s="66"/>
    </row>
    <row r="5926" spans="1:1" x14ac:dyDescent="0.25">
      <c r="A5926" s="66"/>
    </row>
    <row r="5927" spans="1:1" x14ac:dyDescent="0.25">
      <c r="A5927" s="66"/>
    </row>
    <row r="5928" spans="1:1" x14ac:dyDescent="0.25">
      <c r="A5928" s="66"/>
    </row>
    <row r="5929" spans="1:1" x14ac:dyDescent="0.25">
      <c r="A5929" s="66"/>
    </row>
    <row r="5930" spans="1:1" x14ac:dyDescent="0.25">
      <c r="A5930" s="66"/>
    </row>
    <row r="5931" spans="1:1" x14ac:dyDescent="0.25">
      <c r="A5931" s="66"/>
    </row>
    <row r="5932" spans="1:1" x14ac:dyDescent="0.25">
      <c r="A5932" s="66"/>
    </row>
    <row r="5933" spans="1:1" x14ac:dyDescent="0.25">
      <c r="A5933" s="66"/>
    </row>
    <row r="5934" spans="1:1" x14ac:dyDescent="0.25">
      <c r="A5934" s="66"/>
    </row>
    <row r="5935" spans="1:1" x14ac:dyDescent="0.25">
      <c r="A5935" s="66"/>
    </row>
    <row r="5936" spans="1:1" x14ac:dyDescent="0.25">
      <c r="A5936" s="66"/>
    </row>
    <row r="5937" spans="1:1" x14ac:dyDescent="0.25">
      <c r="A5937" s="66"/>
    </row>
    <row r="5938" spans="1:1" x14ac:dyDescent="0.25">
      <c r="A5938" s="66"/>
    </row>
    <row r="5939" spans="1:1" x14ac:dyDescent="0.25">
      <c r="A5939" s="66"/>
    </row>
    <row r="5940" spans="1:1" x14ac:dyDescent="0.25">
      <c r="A5940" s="66"/>
    </row>
    <row r="5941" spans="1:1" x14ac:dyDescent="0.25">
      <c r="A5941" s="66"/>
    </row>
    <row r="5942" spans="1:1" x14ac:dyDescent="0.25">
      <c r="A5942" s="66"/>
    </row>
    <row r="5943" spans="1:1" x14ac:dyDescent="0.25">
      <c r="A5943" s="66"/>
    </row>
    <row r="5944" spans="1:1" x14ac:dyDescent="0.25">
      <c r="A5944" s="66"/>
    </row>
    <row r="5945" spans="1:1" x14ac:dyDescent="0.25">
      <c r="A5945" s="66"/>
    </row>
    <row r="5946" spans="1:1" x14ac:dyDescent="0.25">
      <c r="A5946" s="66"/>
    </row>
    <row r="5947" spans="1:1" x14ac:dyDescent="0.25">
      <c r="A5947" s="66"/>
    </row>
    <row r="5948" spans="1:1" x14ac:dyDescent="0.25">
      <c r="A5948" s="66"/>
    </row>
    <row r="5949" spans="1:1" x14ac:dyDescent="0.25">
      <c r="A5949" s="66"/>
    </row>
    <row r="5950" spans="1:1" x14ac:dyDescent="0.25">
      <c r="A5950" s="66"/>
    </row>
    <row r="5951" spans="1:1" x14ac:dyDescent="0.25">
      <c r="A5951" s="66"/>
    </row>
    <row r="5952" spans="1:1" x14ac:dyDescent="0.25">
      <c r="A5952" s="66"/>
    </row>
    <row r="5953" spans="1:1" x14ac:dyDescent="0.25">
      <c r="A5953" s="66"/>
    </row>
    <row r="5954" spans="1:1" x14ac:dyDescent="0.25">
      <c r="A5954" s="66"/>
    </row>
    <row r="5955" spans="1:1" x14ac:dyDescent="0.25">
      <c r="A5955" s="66"/>
    </row>
    <row r="5956" spans="1:1" x14ac:dyDescent="0.25">
      <c r="A5956" s="66"/>
    </row>
    <row r="5957" spans="1:1" x14ac:dyDescent="0.25">
      <c r="A5957" s="66"/>
    </row>
    <row r="5958" spans="1:1" x14ac:dyDescent="0.25">
      <c r="A5958" s="66"/>
    </row>
    <row r="5959" spans="1:1" x14ac:dyDescent="0.25">
      <c r="A5959" s="66"/>
    </row>
    <row r="5960" spans="1:1" x14ac:dyDescent="0.25">
      <c r="A5960" s="66"/>
    </row>
    <row r="5961" spans="1:1" x14ac:dyDescent="0.25">
      <c r="A5961" s="66"/>
    </row>
    <row r="5962" spans="1:1" x14ac:dyDescent="0.25">
      <c r="A5962" s="66"/>
    </row>
    <row r="5963" spans="1:1" x14ac:dyDescent="0.25">
      <c r="A5963" s="66"/>
    </row>
    <row r="5964" spans="1:1" x14ac:dyDescent="0.25">
      <c r="A5964" s="66"/>
    </row>
    <row r="5965" spans="1:1" x14ac:dyDescent="0.25">
      <c r="A5965" s="66"/>
    </row>
    <row r="5966" spans="1:1" x14ac:dyDescent="0.25">
      <c r="A5966" s="66"/>
    </row>
    <row r="5967" spans="1:1" x14ac:dyDescent="0.25">
      <c r="A5967" s="66"/>
    </row>
    <row r="5968" spans="1:1" x14ac:dyDescent="0.25">
      <c r="A5968" s="66"/>
    </row>
    <row r="5969" spans="1:1" x14ac:dyDescent="0.25">
      <c r="A5969" s="66"/>
    </row>
    <row r="5970" spans="1:1" x14ac:dyDescent="0.25">
      <c r="A5970" s="66"/>
    </row>
    <row r="5971" spans="1:1" x14ac:dyDescent="0.25">
      <c r="A5971" s="66"/>
    </row>
    <row r="5972" spans="1:1" x14ac:dyDescent="0.25">
      <c r="A5972" s="66"/>
    </row>
    <row r="5973" spans="1:1" x14ac:dyDescent="0.25">
      <c r="A5973" s="66"/>
    </row>
    <row r="5974" spans="1:1" x14ac:dyDescent="0.25">
      <c r="A5974" s="66"/>
    </row>
    <row r="5975" spans="1:1" x14ac:dyDescent="0.25">
      <c r="A5975" s="66"/>
    </row>
    <row r="5976" spans="1:1" x14ac:dyDescent="0.25">
      <c r="A5976" s="66"/>
    </row>
    <row r="5977" spans="1:1" x14ac:dyDescent="0.25">
      <c r="A5977" s="66"/>
    </row>
    <row r="5978" spans="1:1" x14ac:dyDescent="0.25">
      <c r="A5978" s="66"/>
    </row>
    <row r="5979" spans="1:1" x14ac:dyDescent="0.25">
      <c r="A5979" s="66"/>
    </row>
    <row r="5980" spans="1:1" x14ac:dyDescent="0.25">
      <c r="A5980" s="66"/>
    </row>
    <row r="5981" spans="1:1" x14ac:dyDescent="0.25">
      <c r="A5981" s="66"/>
    </row>
    <row r="5982" spans="1:1" x14ac:dyDescent="0.25">
      <c r="A5982" s="66"/>
    </row>
    <row r="5983" spans="1:1" x14ac:dyDescent="0.25">
      <c r="A5983" s="66"/>
    </row>
    <row r="5984" spans="1:1" x14ac:dyDescent="0.25">
      <c r="A5984" s="66"/>
    </row>
    <row r="5985" spans="1:1" x14ac:dyDescent="0.25">
      <c r="A5985" s="66"/>
    </row>
    <row r="5986" spans="1:1" x14ac:dyDescent="0.25">
      <c r="A5986" s="66"/>
    </row>
    <row r="5987" spans="1:1" x14ac:dyDescent="0.25">
      <c r="A5987" s="66"/>
    </row>
    <row r="5988" spans="1:1" x14ac:dyDescent="0.25">
      <c r="A5988" s="66"/>
    </row>
    <row r="5989" spans="1:1" x14ac:dyDescent="0.25">
      <c r="A5989" s="66"/>
    </row>
    <row r="5990" spans="1:1" x14ac:dyDescent="0.25">
      <c r="A5990" s="66"/>
    </row>
    <row r="5991" spans="1:1" x14ac:dyDescent="0.25">
      <c r="A5991" s="66"/>
    </row>
    <row r="5992" spans="1:1" x14ac:dyDescent="0.25">
      <c r="A5992" s="66"/>
    </row>
    <row r="5993" spans="1:1" x14ac:dyDescent="0.25">
      <c r="A5993" s="66"/>
    </row>
    <row r="5994" spans="1:1" x14ac:dyDescent="0.25">
      <c r="A5994" s="66"/>
    </row>
    <row r="5995" spans="1:1" x14ac:dyDescent="0.25">
      <c r="A5995" s="66"/>
    </row>
    <row r="5996" spans="1:1" x14ac:dyDescent="0.25">
      <c r="A5996" s="66"/>
    </row>
    <row r="5997" spans="1:1" x14ac:dyDescent="0.25">
      <c r="A5997" s="66"/>
    </row>
    <row r="5998" spans="1:1" x14ac:dyDescent="0.25">
      <c r="A5998" s="66"/>
    </row>
    <row r="5999" spans="1:1" x14ac:dyDescent="0.25">
      <c r="A5999" s="66"/>
    </row>
    <row r="6000" spans="1:1" x14ac:dyDescent="0.25">
      <c r="A6000" s="66"/>
    </row>
    <row r="6001" spans="1:1" x14ac:dyDescent="0.25">
      <c r="A6001" s="66"/>
    </row>
    <row r="6002" spans="1:1" x14ac:dyDescent="0.25">
      <c r="A6002" s="66"/>
    </row>
    <row r="6003" spans="1:1" x14ac:dyDescent="0.25">
      <c r="A6003" s="66"/>
    </row>
    <row r="6004" spans="1:1" x14ac:dyDescent="0.25">
      <c r="A6004" s="66"/>
    </row>
    <row r="6005" spans="1:1" x14ac:dyDescent="0.25">
      <c r="A6005" s="66"/>
    </row>
    <row r="6006" spans="1:1" x14ac:dyDescent="0.25">
      <c r="A6006" s="66"/>
    </row>
    <row r="6007" spans="1:1" x14ac:dyDescent="0.25">
      <c r="A6007" s="66"/>
    </row>
    <row r="6008" spans="1:1" x14ac:dyDescent="0.25">
      <c r="A6008" s="66"/>
    </row>
    <row r="6009" spans="1:1" x14ac:dyDescent="0.25">
      <c r="A6009" s="66"/>
    </row>
    <row r="6010" spans="1:1" x14ac:dyDescent="0.25">
      <c r="A6010" s="66"/>
    </row>
    <row r="6011" spans="1:1" x14ac:dyDescent="0.25">
      <c r="A6011" s="66"/>
    </row>
    <row r="6012" spans="1:1" x14ac:dyDescent="0.25">
      <c r="A6012" s="66"/>
    </row>
    <row r="6013" spans="1:1" x14ac:dyDescent="0.25">
      <c r="A6013" s="66"/>
    </row>
    <row r="6014" spans="1:1" x14ac:dyDescent="0.25">
      <c r="A6014" s="66"/>
    </row>
    <row r="6015" spans="1:1" x14ac:dyDescent="0.25">
      <c r="A6015" s="66"/>
    </row>
    <row r="6016" spans="1:1" x14ac:dyDescent="0.25">
      <c r="A6016" s="66"/>
    </row>
    <row r="6017" spans="1:1" x14ac:dyDescent="0.25">
      <c r="A6017" s="66"/>
    </row>
    <row r="6018" spans="1:1" x14ac:dyDescent="0.25">
      <c r="A6018" s="66"/>
    </row>
    <row r="6019" spans="1:1" x14ac:dyDescent="0.25">
      <c r="A6019" s="66"/>
    </row>
    <row r="6020" spans="1:1" x14ac:dyDescent="0.25">
      <c r="A6020" s="66"/>
    </row>
    <row r="6021" spans="1:1" x14ac:dyDescent="0.25">
      <c r="A6021" s="66"/>
    </row>
    <row r="6022" spans="1:1" x14ac:dyDescent="0.25">
      <c r="A6022" s="66"/>
    </row>
    <row r="6023" spans="1:1" x14ac:dyDescent="0.25">
      <c r="A6023" s="66"/>
    </row>
    <row r="6024" spans="1:1" x14ac:dyDescent="0.25">
      <c r="A6024" s="66"/>
    </row>
    <row r="6025" spans="1:1" x14ac:dyDescent="0.25">
      <c r="A6025" s="66"/>
    </row>
    <row r="6026" spans="1:1" x14ac:dyDescent="0.25">
      <c r="A6026" s="66"/>
    </row>
    <row r="6027" spans="1:1" x14ac:dyDescent="0.25">
      <c r="A6027" s="66"/>
    </row>
    <row r="6028" spans="1:1" x14ac:dyDescent="0.25">
      <c r="A6028" s="66"/>
    </row>
    <row r="6029" spans="1:1" x14ac:dyDescent="0.25">
      <c r="A6029" s="66"/>
    </row>
    <row r="6030" spans="1:1" x14ac:dyDescent="0.25">
      <c r="A6030" s="66"/>
    </row>
    <row r="6031" spans="1:1" x14ac:dyDescent="0.25">
      <c r="A6031" s="66"/>
    </row>
    <row r="6032" spans="1:1" x14ac:dyDescent="0.25">
      <c r="A6032" s="66"/>
    </row>
    <row r="6033" spans="1:1" x14ac:dyDescent="0.25">
      <c r="A6033" s="66"/>
    </row>
    <row r="6034" spans="1:1" x14ac:dyDescent="0.25">
      <c r="A6034" s="66"/>
    </row>
    <row r="6035" spans="1:1" x14ac:dyDescent="0.25">
      <c r="A6035" s="66"/>
    </row>
    <row r="6036" spans="1:1" x14ac:dyDescent="0.25">
      <c r="A6036" s="66"/>
    </row>
    <row r="6037" spans="1:1" x14ac:dyDescent="0.25">
      <c r="A6037" s="66"/>
    </row>
    <row r="6038" spans="1:1" x14ac:dyDescent="0.25">
      <c r="A6038" s="66"/>
    </row>
    <row r="6039" spans="1:1" x14ac:dyDescent="0.25">
      <c r="A6039" s="66"/>
    </row>
    <row r="6040" spans="1:1" x14ac:dyDescent="0.25">
      <c r="A6040" s="66"/>
    </row>
    <row r="6041" spans="1:1" x14ac:dyDescent="0.25">
      <c r="A6041" s="66"/>
    </row>
    <row r="6042" spans="1:1" x14ac:dyDescent="0.25">
      <c r="A6042" s="66"/>
    </row>
    <row r="6043" spans="1:1" x14ac:dyDescent="0.25">
      <c r="A6043" s="66"/>
    </row>
    <row r="6044" spans="1:1" x14ac:dyDescent="0.25">
      <c r="A6044" s="66"/>
    </row>
    <row r="6045" spans="1:1" x14ac:dyDescent="0.25">
      <c r="A6045" s="66"/>
    </row>
    <row r="6046" spans="1:1" x14ac:dyDescent="0.25">
      <c r="A6046" s="66"/>
    </row>
    <row r="6047" spans="1:1" x14ac:dyDescent="0.25">
      <c r="A6047" s="66"/>
    </row>
    <row r="6048" spans="1:1" x14ac:dyDescent="0.25">
      <c r="A6048" s="66"/>
    </row>
    <row r="6049" spans="1:1" x14ac:dyDescent="0.25">
      <c r="A6049" s="66"/>
    </row>
    <row r="6050" spans="1:1" x14ac:dyDescent="0.25">
      <c r="A6050" s="66"/>
    </row>
    <row r="6051" spans="1:1" x14ac:dyDescent="0.25">
      <c r="A6051" s="66"/>
    </row>
    <row r="6052" spans="1:1" x14ac:dyDescent="0.25">
      <c r="A6052" s="66"/>
    </row>
    <row r="6053" spans="1:1" x14ac:dyDescent="0.25">
      <c r="A6053" s="66"/>
    </row>
    <row r="6054" spans="1:1" x14ac:dyDescent="0.25">
      <c r="A6054" s="66"/>
    </row>
    <row r="6055" spans="1:1" x14ac:dyDescent="0.25">
      <c r="A6055" s="66"/>
    </row>
    <row r="6056" spans="1:1" x14ac:dyDescent="0.25">
      <c r="A6056" s="66"/>
    </row>
    <row r="6057" spans="1:1" x14ac:dyDescent="0.25">
      <c r="A6057" s="66"/>
    </row>
    <row r="6058" spans="1:1" x14ac:dyDescent="0.25">
      <c r="A6058" s="66"/>
    </row>
    <row r="6059" spans="1:1" x14ac:dyDescent="0.25">
      <c r="A6059" s="66"/>
    </row>
    <row r="6060" spans="1:1" x14ac:dyDescent="0.25">
      <c r="A6060" s="66"/>
    </row>
    <row r="6061" spans="1:1" x14ac:dyDescent="0.25">
      <c r="A6061" s="66"/>
    </row>
    <row r="6062" spans="1:1" x14ac:dyDescent="0.25">
      <c r="A6062" s="66"/>
    </row>
    <row r="6063" spans="1:1" x14ac:dyDescent="0.25">
      <c r="A6063" s="66"/>
    </row>
    <row r="6064" spans="1:1" x14ac:dyDescent="0.25">
      <c r="A6064" s="66"/>
    </row>
    <row r="6065" spans="1:1" x14ac:dyDescent="0.25">
      <c r="A6065" s="66"/>
    </row>
    <row r="6066" spans="1:1" x14ac:dyDescent="0.25">
      <c r="A6066" s="66"/>
    </row>
    <row r="6067" spans="1:1" x14ac:dyDescent="0.25">
      <c r="A6067" s="66"/>
    </row>
    <row r="6068" spans="1:1" x14ac:dyDescent="0.25">
      <c r="A6068" s="66"/>
    </row>
    <row r="6069" spans="1:1" x14ac:dyDescent="0.25">
      <c r="A6069" s="66"/>
    </row>
    <row r="6070" spans="1:1" x14ac:dyDescent="0.25">
      <c r="A6070" s="66"/>
    </row>
    <row r="6071" spans="1:1" x14ac:dyDescent="0.25">
      <c r="A6071" s="66"/>
    </row>
    <row r="6072" spans="1:1" x14ac:dyDescent="0.25">
      <c r="A6072" s="66"/>
    </row>
    <row r="6073" spans="1:1" x14ac:dyDescent="0.25">
      <c r="A6073" s="66"/>
    </row>
    <row r="6074" spans="1:1" x14ac:dyDescent="0.25">
      <c r="A6074" s="66"/>
    </row>
    <row r="6075" spans="1:1" x14ac:dyDescent="0.25">
      <c r="A6075" s="66"/>
    </row>
    <row r="6076" spans="1:1" x14ac:dyDescent="0.25">
      <c r="A6076" s="66"/>
    </row>
    <row r="6077" spans="1:1" x14ac:dyDescent="0.25">
      <c r="A6077" s="66"/>
    </row>
    <row r="6078" spans="1:1" x14ac:dyDescent="0.25">
      <c r="A6078" s="66"/>
    </row>
    <row r="6079" spans="1:1" x14ac:dyDescent="0.25">
      <c r="A6079" s="66"/>
    </row>
    <row r="6080" spans="1:1" x14ac:dyDescent="0.25">
      <c r="A6080" s="66"/>
    </row>
    <row r="6081" spans="1:1" x14ac:dyDescent="0.25">
      <c r="A6081" s="66"/>
    </row>
    <row r="6082" spans="1:1" x14ac:dyDescent="0.25">
      <c r="A6082" s="66"/>
    </row>
    <row r="6083" spans="1:1" x14ac:dyDescent="0.25">
      <c r="A6083" s="66"/>
    </row>
    <row r="6084" spans="1:1" x14ac:dyDescent="0.25">
      <c r="A6084" s="66"/>
    </row>
    <row r="6085" spans="1:1" x14ac:dyDescent="0.25">
      <c r="A6085" s="66"/>
    </row>
    <row r="6086" spans="1:1" x14ac:dyDescent="0.25">
      <c r="A6086" s="66"/>
    </row>
    <row r="6087" spans="1:1" x14ac:dyDescent="0.25">
      <c r="A6087" s="66"/>
    </row>
    <row r="6088" spans="1:1" x14ac:dyDescent="0.25">
      <c r="A6088" s="66"/>
    </row>
    <row r="6089" spans="1:1" x14ac:dyDescent="0.25">
      <c r="A6089" s="66"/>
    </row>
    <row r="6090" spans="1:1" x14ac:dyDescent="0.25">
      <c r="A6090" s="66"/>
    </row>
    <row r="6091" spans="1:1" x14ac:dyDescent="0.25">
      <c r="A6091" s="66"/>
    </row>
    <row r="6092" spans="1:1" x14ac:dyDescent="0.25">
      <c r="A6092" s="66"/>
    </row>
    <row r="6093" spans="1:1" x14ac:dyDescent="0.25">
      <c r="A6093" s="66"/>
    </row>
    <row r="6094" spans="1:1" x14ac:dyDescent="0.25">
      <c r="A6094" s="66"/>
    </row>
    <row r="6095" spans="1:1" x14ac:dyDescent="0.25">
      <c r="A6095" s="66"/>
    </row>
    <row r="6096" spans="1:1" x14ac:dyDescent="0.25">
      <c r="A6096" s="66"/>
    </row>
    <row r="6097" spans="1:1" x14ac:dyDescent="0.25">
      <c r="A6097" s="66"/>
    </row>
    <row r="6098" spans="1:1" x14ac:dyDescent="0.25">
      <c r="A6098" s="66"/>
    </row>
    <row r="6099" spans="1:1" x14ac:dyDescent="0.25">
      <c r="A6099" s="66"/>
    </row>
    <row r="6100" spans="1:1" x14ac:dyDescent="0.25">
      <c r="A6100" s="66"/>
    </row>
    <row r="6101" spans="1:1" x14ac:dyDescent="0.25">
      <c r="A6101" s="66"/>
    </row>
    <row r="6102" spans="1:1" x14ac:dyDescent="0.25">
      <c r="A6102" s="66"/>
    </row>
    <row r="6103" spans="1:1" x14ac:dyDescent="0.25">
      <c r="A6103" s="66"/>
    </row>
    <row r="6104" spans="1:1" x14ac:dyDescent="0.25">
      <c r="A6104" s="66"/>
    </row>
    <row r="6105" spans="1:1" x14ac:dyDescent="0.25">
      <c r="A6105" s="66"/>
    </row>
    <row r="6106" spans="1:1" x14ac:dyDescent="0.25">
      <c r="A6106" s="66"/>
    </row>
    <row r="6107" spans="1:1" x14ac:dyDescent="0.25">
      <c r="A6107" s="66"/>
    </row>
    <row r="6108" spans="1:1" x14ac:dyDescent="0.25">
      <c r="A6108" s="66"/>
    </row>
    <row r="6109" spans="1:1" x14ac:dyDescent="0.25">
      <c r="A6109" s="66"/>
    </row>
    <row r="6110" spans="1:1" x14ac:dyDescent="0.25">
      <c r="A6110" s="66"/>
    </row>
    <row r="6111" spans="1:1" x14ac:dyDescent="0.25">
      <c r="A6111" s="66"/>
    </row>
    <row r="6112" spans="1:1" x14ac:dyDescent="0.25">
      <c r="A6112" s="66"/>
    </row>
    <row r="6113" spans="1:1" x14ac:dyDescent="0.25">
      <c r="A6113" s="66"/>
    </row>
    <row r="6114" spans="1:1" x14ac:dyDescent="0.25">
      <c r="A6114" s="66"/>
    </row>
    <row r="6115" spans="1:1" x14ac:dyDescent="0.25">
      <c r="A6115" s="66"/>
    </row>
    <row r="6116" spans="1:1" x14ac:dyDescent="0.25">
      <c r="A6116" s="66"/>
    </row>
    <row r="6117" spans="1:1" x14ac:dyDescent="0.25">
      <c r="A6117" s="66"/>
    </row>
    <row r="6118" spans="1:1" x14ac:dyDescent="0.25">
      <c r="A6118" s="66"/>
    </row>
    <row r="6119" spans="1:1" x14ac:dyDescent="0.25">
      <c r="A6119" s="66"/>
    </row>
    <row r="6120" spans="1:1" x14ac:dyDescent="0.25">
      <c r="A6120" s="66"/>
    </row>
    <row r="6121" spans="1:1" x14ac:dyDescent="0.25">
      <c r="A6121" s="66"/>
    </row>
    <row r="6122" spans="1:1" x14ac:dyDescent="0.25">
      <c r="A6122" s="66"/>
    </row>
    <row r="6123" spans="1:1" x14ac:dyDescent="0.25">
      <c r="A6123" s="66"/>
    </row>
    <row r="6124" spans="1:1" x14ac:dyDescent="0.25">
      <c r="A6124" s="66"/>
    </row>
    <row r="6125" spans="1:1" x14ac:dyDescent="0.25">
      <c r="A6125" s="66"/>
    </row>
    <row r="6126" spans="1:1" x14ac:dyDescent="0.25">
      <c r="A6126" s="66"/>
    </row>
    <row r="6127" spans="1:1" x14ac:dyDescent="0.25">
      <c r="A6127" s="66"/>
    </row>
    <row r="6128" spans="1:1" x14ac:dyDescent="0.25">
      <c r="A6128" s="66"/>
    </row>
    <row r="6129" spans="1:1" x14ac:dyDescent="0.25">
      <c r="A6129" s="66"/>
    </row>
    <row r="6130" spans="1:1" x14ac:dyDescent="0.25">
      <c r="A6130" s="66"/>
    </row>
    <row r="6131" spans="1:1" x14ac:dyDescent="0.25">
      <c r="A6131" s="66"/>
    </row>
    <row r="6132" spans="1:1" x14ac:dyDescent="0.25">
      <c r="A6132" s="66"/>
    </row>
    <row r="6133" spans="1:1" x14ac:dyDescent="0.25">
      <c r="A6133" s="66"/>
    </row>
    <row r="6134" spans="1:1" x14ac:dyDescent="0.25">
      <c r="A6134" s="66"/>
    </row>
    <row r="6135" spans="1:1" x14ac:dyDescent="0.25">
      <c r="A6135" s="66"/>
    </row>
    <row r="6136" spans="1:1" x14ac:dyDescent="0.25">
      <c r="A6136" s="66"/>
    </row>
    <row r="6137" spans="1:1" x14ac:dyDescent="0.25">
      <c r="A6137" s="66"/>
    </row>
    <row r="6138" spans="1:1" x14ac:dyDescent="0.25">
      <c r="A6138" s="66"/>
    </row>
    <row r="6139" spans="1:1" x14ac:dyDescent="0.25">
      <c r="A6139" s="66"/>
    </row>
    <row r="6140" spans="1:1" x14ac:dyDescent="0.25">
      <c r="A6140" s="66"/>
    </row>
    <row r="6141" spans="1:1" x14ac:dyDescent="0.25">
      <c r="A6141" s="66"/>
    </row>
    <row r="6142" spans="1:1" x14ac:dyDescent="0.25">
      <c r="A6142" s="66"/>
    </row>
    <row r="6143" spans="1:1" x14ac:dyDescent="0.25">
      <c r="A6143" s="66"/>
    </row>
    <row r="6144" spans="1:1" x14ac:dyDescent="0.25">
      <c r="A6144" s="66"/>
    </row>
    <row r="6145" spans="1:1" x14ac:dyDescent="0.25">
      <c r="A6145" s="66"/>
    </row>
    <row r="6146" spans="1:1" x14ac:dyDescent="0.25">
      <c r="A6146" s="66"/>
    </row>
    <row r="6147" spans="1:1" x14ac:dyDescent="0.25">
      <c r="A6147" s="66"/>
    </row>
    <row r="6148" spans="1:1" x14ac:dyDescent="0.25">
      <c r="A6148" s="66"/>
    </row>
    <row r="6149" spans="1:1" x14ac:dyDescent="0.25">
      <c r="A6149" s="66"/>
    </row>
    <row r="6150" spans="1:1" x14ac:dyDescent="0.25">
      <c r="A6150" s="66"/>
    </row>
    <row r="6151" spans="1:1" x14ac:dyDescent="0.25">
      <c r="A6151" s="66"/>
    </row>
    <row r="6152" spans="1:1" x14ac:dyDescent="0.25">
      <c r="A6152" s="66"/>
    </row>
    <row r="6153" spans="1:1" x14ac:dyDescent="0.25">
      <c r="A6153" s="66"/>
    </row>
    <row r="6154" spans="1:1" x14ac:dyDescent="0.25">
      <c r="A6154" s="66"/>
    </row>
    <row r="6155" spans="1:1" x14ac:dyDescent="0.25">
      <c r="A6155" s="66"/>
    </row>
    <row r="6156" spans="1:1" x14ac:dyDescent="0.25">
      <c r="A6156" s="66"/>
    </row>
    <row r="6157" spans="1:1" x14ac:dyDescent="0.25">
      <c r="A6157" s="66"/>
    </row>
    <row r="6158" spans="1:1" x14ac:dyDescent="0.25">
      <c r="A6158" s="66"/>
    </row>
    <row r="6159" spans="1:1" x14ac:dyDescent="0.25">
      <c r="A6159" s="66"/>
    </row>
    <row r="6160" spans="1:1" x14ac:dyDescent="0.25">
      <c r="A6160" s="66"/>
    </row>
    <row r="6161" spans="1:1" x14ac:dyDescent="0.25">
      <c r="A6161" s="66"/>
    </row>
    <row r="6162" spans="1:1" x14ac:dyDescent="0.25">
      <c r="A6162" s="66"/>
    </row>
    <row r="6163" spans="1:1" x14ac:dyDescent="0.25">
      <c r="A6163" s="66"/>
    </row>
    <row r="6164" spans="1:1" x14ac:dyDescent="0.25">
      <c r="A6164" s="66"/>
    </row>
    <row r="6165" spans="1:1" x14ac:dyDescent="0.25">
      <c r="A6165" s="66"/>
    </row>
    <row r="6166" spans="1:1" x14ac:dyDescent="0.25">
      <c r="A6166" s="66"/>
    </row>
    <row r="6167" spans="1:1" x14ac:dyDescent="0.25">
      <c r="A6167" s="66"/>
    </row>
    <row r="6168" spans="1:1" x14ac:dyDescent="0.25">
      <c r="A6168" s="66"/>
    </row>
    <row r="6169" spans="1:1" x14ac:dyDescent="0.25">
      <c r="A6169" s="66"/>
    </row>
    <row r="6170" spans="1:1" x14ac:dyDescent="0.25">
      <c r="A6170" s="66"/>
    </row>
    <row r="6171" spans="1:1" x14ac:dyDescent="0.25">
      <c r="A6171" s="66"/>
    </row>
    <row r="6172" spans="1:1" x14ac:dyDescent="0.25">
      <c r="A6172" s="66"/>
    </row>
    <row r="6173" spans="1:1" x14ac:dyDescent="0.25">
      <c r="A6173" s="66"/>
    </row>
    <row r="6174" spans="1:1" x14ac:dyDescent="0.25">
      <c r="A6174" s="66"/>
    </row>
    <row r="6175" spans="1:1" x14ac:dyDescent="0.25">
      <c r="A6175" s="66"/>
    </row>
    <row r="6176" spans="1:1" x14ac:dyDescent="0.25">
      <c r="A6176" s="66"/>
    </row>
    <row r="6177" spans="1:1" x14ac:dyDescent="0.25">
      <c r="A6177" s="66"/>
    </row>
    <row r="6178" spans="1:1" x14ac:dyDescent="0.25">
      <c r="A6178" s="66"/>
    </row>
    <row r="6179" spans="1:1" x14ac:dyDescent="0.25">
      <c r="A6179" s="66"/>
    </row>
    <row r="6180" spans="1:1" x14ac:dyDescent="0.25">
      <c r="A6180" s="66"/>
    </row>
    <row r="6181" spans="1:1" x14ac:dyDescent="0.25">
      <c r="A6181" s="66"/>
    </row>
    <row r="6182" spans="1:1" x14ac:dyDescent="0.25">
      <c r="A6182" s="66"/>
    </row>
    <row r="6183" spans="1:1" x14ac:dyDescent="0.25">
      <c r="A6183" s="66"/>
    </row>
    <row r="6184" spans="1:1" x14ac:dyDescent="0.25">
      <c r="A6184" s="66"/>
    </row>
    <row r="6185" spans="1:1" x14ac:dyDescent="0.25">
      <c r="A6185" s="66"/>
    </row>
    <row r="6186" spans="1:1" x14ac:dyDescent="0.25">
      <c r="A6186" s="66"/>
    </row>
    <row r="6187" spans="1:1" x14ac:dyDescent="0.25">
      <c r="A6187" s="66"/>
    </row>
    <row r="6188" spans="1:1" x14ac:dyDescent="0.25">
      <c r="A6188" s="66"/>
    </row>
    <row r="6189" spans="1:1" x14ac:dyDescent="0.25">
      <c r="A6189" s="66"/>
    </row>
    <row r="6190" spans="1:1" x14ac:dyDescent="0.25">
      <c r="A6190" s="66"/>
    </row>
    <row r="6191" spans="1:1" x14ac:dyDescent="0.25">
      <c r="A6191" s="66"/>
    </row>
    <row r="6192" spans="1:1" x14ac:dyDescent="0.25">
      <c r="A6192" s="66"/>
    </row>
    <row r="6193" spans="1:1" x14ac:dyDescent="0.25">
      <c r="A6193" s="66"/>
    </row>
    <row r="6194" spans="1:1" x14ac:dyDescent="0.25">
      <c r="A6194" s="66"/>
    </row>
    <row r="6195" spans="1:1" x14ac:dyDescent="0.25">
      <c r="A6195" s="66"/>
    </row>
    <row r="6196" spans="1:1" x14ac:dyDescent="0.25">
      <c r="A6196" s="66"/>
    </row>
    <row r="6197" spans="1:1" x14ac:dyDescent="0.25">
      <c r="A6197" s="66"/>
    </row>
    <row r="6198" spans="1:1" x14ac:dyDescent="0.25">
      <c r="A6198" s="66"/>
    </row>
    <row r="6199" spans="1:1" x14ac:dyDescent="0.25">
      <c r="A6199" s="66"/>
    </row>
    <row r="6200" spans="1:1" x14ac:dyDescent="0.25">
      <c r="A6200" s="66"/>
    </row>
    <row r="6201" spans="1:1" x14ac:dyDescent="0.25">
      <c r="A6201" s="66"/>
    </row>
    <row r="6202" spans="1:1" x14ac:dyDescent="0.25">
      <c r="A6202" s="66"/>
    </row>
    <row r="6203" spans="1:1" x14ac:dyDescent="0.25">
      <c r="A6203" s="66"/>
    </row>
    <row r="6204" spans="1:1" x14ac:dyDescent="0.25">
      <c r="A6204" s="66"/>
    </row>
    <row r="6205" spans="1:1" x14ac:dyDescent="0.25">
      <c r="A6205" s="66"/>
    </row>
    <row r="6206" spans="1:1" x14ac:dyDescent="0.25">
      <c r="A6206" s="66"/>
    </row>
    <row r="6207" spans="1:1" x14ac:dyDescent="0.25">
      <c r="A6207" s="66"/>
    </row>
    <row r="6208" spans="1:1" x14ac:dyDescent="0.25">
      <c r="A6208" s="66"/>
    </row>
    <row r="6209" spans="1:1" x14ac:dyDescent="0.25">
      <c r="A6209" s="66"/>
    </row>
    <row r="6210" spans="1:1" x14ac:dyDescent="0.25">
      <c r="A6210" s="66"/>
    </row>
    <row r="6211" spans="1:1" x14ac:dyDescent="0.25">
      <c r="A6211" s="66"/>
    </row>
    <row r="6212" spans="1:1" x14ac:dyDescent="0.25">
      <c r="A6212" s="66"/>
    </row>
    <row r="6213" spans="1:1" x14ac:dyDescent="0.25">
      <c r="A6213" s="66"/>
    </row>
    <row r="6214" spans="1:1" x14ac:dyDescent="0.25">
      <c r="A6214" s="66"/>
    </row>
    <row r="6215" spans="1:1" x14ac:dyDescent="0.25">
      <c r="A6215" s="66"/>
    </row>
    <row r="6216" spans="1:1" x14ac:dyDescent="0.25">
      <c r="A6216" s="66"/>
    </row>
    <row r="6217" spans="1:1" x14ac:dyDescent="0.25">
      <c r="A6217" s="66"/>
    </row>
    <row r="6218" spans="1:1" x14ac:dyDescent="0.25">
      <c r="A6218" s="66"/>
    </row>
    <row r="6219" spans="1:1" x14ac:dyDescent="0.25">
      <c r="A6219" s="66"/>
    </row>
    <row r="6220" spans="1:1" x14ac:dyDescent="0.25">
      <c r="A6220" s="66"/>
    </row>
    <row r="6221" spans="1:1" x14ac:dyDescent="0.25">
      <c r="A6221" s="66"/>
    </row>
    <row r="6222" spans="1:1" x14ac:dyDescent="0.25">
      <c r="A6222" s="66"/>
    </row>
    <row r="6223" spans="1:1" x14ac:dyDescent="0.25">
      <c r="A6223" s="66"/>
    </row>
    <row r="6224" spans="1:1" x14ac:dyDescent="0.25">
      <c r="A6224" s="66"/>
    </row>
    <row r="6225" spans="1:1" x14ac:dyDescent="0.25">
      <c r="A6225" s="66"/>
    </row>
    <row r="6226" spans="1:1" x14ac:dyDescent="0.25">
      <c r="A6226" s="66"/>
    </row>
    <row r="6227" spans="1:1" x14ac:dyDescent="0.25">
      <c r="A6227" s="66"/>
    </row>
    <row r="6228" spans="1:1" x14ac:dyDescent="0.25">
      <c r="A6228" s="66"/>
    </row>
    <row r="6229" spans="1:1" x14ac:dyDescent="0.25">
      <c r="A6229" s="66"/>
    </row>
    <row r="6230" spans="1:1" x14ac:dyDescent="0.25">
      <c r="A6230" s="66"/>
    </row>
    <row r="6231" spans="1:1" x14ac:dyDescent="0.25">
      <c r="A6231" s="66"/>
    </row>
    <row r="6232" spans="1:1" x14ac:dyDescent="0.25">
      <c r="A6232" s="66"/>
    </row>
    <row r="6233" spans="1:1" x14ac:dyDescent="0.25">
      <c r="A6233" s="66"/>
    </row>
    <row r="6234" spans="1:1" x14ac:dyDescent="0.25">
      <c r="A6234" s="66"/>
    </row>
    <row r="6235" spans="1:1" x14ac:dyDescent="0.25">
      <c r="A6235" s="66"/>
    </row>
    <row r="6236" spans="1:1" x14ac:dyDescent="0.25">
      <c r="A6236" s="66"/>
    </row>
    <row r="6237" spans="1:1" x14ac:dyDescent="0.25">
      <c r="A6237" s="66"/>
    </row>
    <row r="6238" spans="1:1" x14ac:dyDescent="0.25">
      <c r="A6238" s="66"/>
    </row>
    <row r="6239" spans="1:1" x14ac:dyDescent="0.25">
      <c r="A6239" s="66"/>
    </row>
    <row r="6240" spans="1:1" x14ac:dyDescent="0.25">
      <c r="A6240" s="66"/>
    </row>
    <row r="6241" spans="1:1" x14ac:dyDescent="0.25">
      <c r="A6241" s="66"/>
    </row>
    <row r="6242" spans="1:1" x14ac:dyDescent="0.25">
      <c r="A6242" s="66"/>
    </row>
    <row r="6243" spans="1:1" x14ac:dyDescent="0.25">
      <c r="A6243" s="66"/>
    </row>
    <row r="6244" spans="1:1" x14ac:dyDescent="0.25">
      <c r="A6244" s="66"/>
    </row>
    <row r="6245" spans="1:1" x14ac:dyDescent="0.25">
      <c r="A6245" s="66"/>
    </row>
    <row r="6246" spans="1:1" x14ac:dyDescent="0.25">
      <c r="A6246" s="66"/>
    </row>
    <row r="6247" spans="1:1" x14ac:dyDescent="0.25">
      <c r="A6247" s="66"/>
    </row>
    <row r="6248" spans="1:1" x14ac:dyDescent="0.25">
      <c r="A6248" s="66"/>
    </row>
    <row r="6249" spans="1:1" x14ac:dyDescent="0.25">
      <c r="A6249" s="66"/>
    </row>
    <row r="6250" spans="1:1" x14ac:dyDescent="0.25">
      <c r="A6250" s="66"/>
    </row>
    <row r="6251" spans="1:1" x14ac:dyDescent="0.25">
      <c r="A6251" s="66"/>
    </row>
    <row r="6252" spans="1:1" x14ac:dyDescent="0.25">
      <c r="A6252" s="66"/>
    </row>
    <row r="6253" spans="1:1" x14ac:dyDescent="0.25">
      <c r="A6253" s="66"/>
    </row>
    <row r="6254" spans="1:1" x14ac:dyDescent="0.25">
      <c r="A6254" s="66"/>
    </row>
    <row r="6255" spans="1:1" x14ac:dyDescent="0.25">
      <c r="A6255" s="66"/>
    </row>
    <row r="6256" spans="1:1" x14ac:dyDescent="0.25">
      <c r="A6256" s="66"/>
    </row>
    <row r="6257" spans="1:1" x14ac:dyDescent="0.25">
      <c r="A6257" s="66"/>
    </row>
    <row r="6258" spans="1:1" x14ac:dyDescent="0.25">
      <c r="A6258" s="66"/>
    </row>
    <row r="6259" spans="1:1" x14ac:dyDescent="0.25">
      <c r="A6259" s="66"/>
    </row>
    <row r="6260" spans="1:1" x14ac:dyDescent="0.25">
      <c r="A6260" s="66"/>
    </row>
    <row r="6261" spans="1:1" x14ac:dyDescent="0.25">
      <c r="A6261" s="66"/>
    </row>
    <row r="6262" spans="1:1" x14ac:dyDescent="0.25">
      <c r="A6262" s="66"/>
    </row>
    <row r="6263" spans="1:1" x14ac:dyDescent="0.25">
      <c r="A6263" s="66"/>
    </row>
    <row r="6264" spans="1:1" x14ac:dyDescent="0.25">
      <c r="A6264" s="66"/>
    </row>
    <row r="6265" spans="1:1" x14ac:dyDescent="0.25">
      <c r="A6265" s="66"/>
    </row>
    <row r="6266" spans="1:1" x14ac:dyDescent="0.25">
      <c r="A6266" s="66"/>
    </row>
    <row r="6267" spans="1:1" x14ac:dyDescent="0.25">
      <c r="A6267" s="66"/>
    </row>
    <row r="6268" spans="1:1" x14ac:dyDescent="0.25">
      <c r="A6268" s="66"/>
    </row>
    <row r="6269" spans="1:1" x14ac:dyDescent="0.25">
      <c r="A6269" s="66"/>
    </row>
    <row r="6270" spans="1:1" x14ac:dyDescent="0.25">
      <c r="A6270" s="66"/>
    </row>
    <row r="6271" spans="1:1" x14ac:dyDescent="0.25">
      <c r="A6271" s="66"/>
    </row>
    <row r="6272" spans="1:1" x14ac:dyDescent="0.25">
      <c r="A6272" s="66"/>
    </row>
    <row r="6273" spans="1:1" x14ac:dyDescent="0.25">
      <c r="A6273" s="66"/>
    </row>
    <row r="6274" spans="1:1" x14ac:dyDescent="0.25">
      <c r="A6274" s="66"/>
    </row>
    <row r="6275" spans="1:1" x14ac:dyDescent="0.25">
      <c r="A6275" s="66"/>
    </row>
    <row r="6276" spans="1:1" x14ac:dyDescent="0.25">
      <c r="A6276" s="66"/>
    </row>
    <row r="6277" spans="1:1" x14ac:dyDescent="0.25">
      <c r="A6277" s="66"/>
    </row>
    <row r="6278" spans="1:1" x14ac:dyDescent="0.25">
      <c r="A6278" s="66"/>
    </row>
    <row r="6279" spans="1:1" x14ac:dyDescent="0.25">
      <c r="A6279" s="66"/>
    </row>
    <row r="6280" spans="1:1" x14ac:dyDescent="0.25">
      <c r="A6280" s="66"/>
    </row>
    <row r="6281" spans="1:1" x14ac:dyDescent="0.25">
      <c r="A6281" s="66"/>
    </row>
    <row r="6282" spans="1:1" x14ac:dyDescent="0.25">
      <c r="A6282" s="66"/>
    </row>
    <row r="6283" spans="1:1" x14ac:dyDescent="0.25">
      <c r="A6283" s="66"/>
    </row>
    <row r="6284" spans="1:1" x14ac:dyDescent="0.25">
      <c r="A6284" s="66"/>
    </row>
    <row r="6285" spans="1:1" x14ac:dyDescent="0.25">
      <c r="A6285" s="66"/>
    </row>
    <row r="6286" spans="1:1" x14ac:dyDescent="0.25">
      <c r="A6286" s="66"/>
    </row>
    <row r="6287" spans="1:1" x14ac:dyDescent="0.25">
      <c r="A6287" s="66"/>
    </row>
    <row r="6288" spans="1:1" x14ac:dyDescent="0.25">
      <c r="A6288" s="66"/>
    </row>
    <row r="6289" spans="1:1" x14ac:dyDescent="0.25">
      <c r="A6289" s="66"/>
    </row>
    <row r="6290" spans="1:1" x14ac:dyDescent="0.25">
      <c r="A6290" s="66"/>
    </row>
    <row r="6291" spans="1:1" x14ac:dyDescent="0.25">
      <c r="A6291" s="66"/>
    </row>
    <row r="6292" spans="1:1" x14ac:dyDescent="0.25">
      <c r="A6292" s="66"/>
    </row>
    <row r="6293" spans="1:1" x14ac:dyDescent="0.25">
      <c r="A6293" s="66"/>
    </row>
    <row r="6294" spans="1:1" x14ac:dyDescent="0.25">
      <c r="A6294" s="66"/>
    </row>
    <row r="6295" spans="1:1" x14ac:dyDescent="0.25">
      <c r="A6295" s="66"/>
    </row>
    <row r="6296" spans="1:1" x14ac:dyDescent="0.25">
      <c r="A6296" s="66"/>
    </row>
    <row r="6297" spans="1:1" x14ac:dyDescent="0.25">
      <c r="A6297" s="66"/>
    </row>
    <row r="6298" spans="1:1" x14ac:dyDescent="0.25">
      <c r="A6298" s="66"/>
    </row>
    <row r="6299" spans="1:1" x14ac:dyDescent="0.25">
      <c r="A6299" s="66"/>
    </row>
    <row r="6300" spans="1:1" x14ac:dyDescent="0.25">
      <c r="A6300" s="66"/>
    </row>
    <row r="6301" spans="1:1" x14ac:dyDescent="0.25">
      <c r="A6301" s="66"/>
    </row>
    <row r="6302" spans="1:1" x14ac:dyDescent="0.25">
      <c r="A6302" s="66"/>
    </row>
    <row r="6303" spans="1:1" x14ac:dyDescent="0.25">
      <c r="A6303" s="66"/>
    </row>
    <row r="6304" spans="1:1" x14ac:dyDescent="0.25">
      <c r="A6304" s="66"/>
    </row>
    <row r="6305" spans="1:1" x14ac:dyDescent="0.25">
      <c r="A6305" s="66"/>
    </row>
    <row r="6306" spans="1:1" x14ac:dyDescent="0.25">
      <c r="A6306" s="66"/>
    </row>
    <row r="6307" spans="1:1" x14ac:dyDescent="0.25">
      <c r="A6307" s="66"/>
    </row>
    <row r="6308" spans="1:1" x14ac:dyDescent="0.25">
      <c r="A6308" s="66"/>
    </row>
    <row r="6309" spans="1:1" x14ac:dyDescent="0.25">
      <c r="A6309" s="66"/>
    </row>
    <row r="6310" spans="1:1" x14ac:dyDescent="0.25">
      <c r="A6310" s="66"/>
    </row>
    <row r="6311" spans="1:1" x14ac:dyDescent="0.25">
      <c r="A6311" s="66"/>
    </row>
    <row r="6312" spans="1:1" x14ac:dyDescent="0.25">
      <c r="A6312" s="66"/>
    </row>
    <row r="6313" spans="1:1" x14ac:dyDescent="0.25">
      <c r="A6313" s="66"/>
    </row>
    <row r="6314" spans="1:1" x14ac:dyDescent="0.25">
      <c r="A6314" s="66"/>
    </row>
    <row r="6315" spans="1:1" x14ac:dyDescent="0.25">
      <c r="A6315" s="66"/>
    </row>
    <row r="6316" spans="1:1" x14ac:dyDescent="0.25">
      <c r="A6316" s="66"/>
    </row>
    <row r="6317" spans="1:1" x14ac:dyDescent="0.25">
      <c r="A6317" s="66"/>
    </row>
    <row r="6318" spans="1:1" x14ac:dyDescent="0.25">
      <c r="A6318" s="66"/>
    </row>
    <row r="6319" spans="1:1" x14ac:dyDescent="0.25">
      <c r="A6319" s="66"/>
    </row>
    <row r="6320" spans="1:1" x14ac:dyDescent="0.25">
      <c r="A6320" s="66"/>
    </row>
    <row r="6321" spans="1:1" x14ac:dyDescent="0.25">
      <c r="A6321" s="66"/>
    </row>
    <row r="6322" spans="1:1" x14ac:dyDescent="0.25">
      <c r="A6322" s="66"/>
    </row>
    <row r="6323" spans="1:1" x14ac:dyDescent="0.25">
      <c r="A6323" s="66"/>
    </row>
    <row r="6324" spans="1:1" x14ac:dyDescent="0.25">
      <c r="A6324" s="66"/>
    </row>
    <row r="6325" spans="1:1" x14ac:dyDescent="0.25">
      <c r="A6325" s="66"/>
    </row>
    <row r="6326" spans="1:1" x14ac:dyDescent="0.25">
      <c r="A6326" s="66"/>
    </row>
    <row r="6327" spans="1:1" x14ac:dyDescent="0.25">
      <c r="A6327" s="66"/>
    </row>
    <row r="6328" spans="1:1" x14ac:dyDescent="0.25">
      <c r="A6328" s="66"/>
    </row>
    <row r="6329" spans="1:1" x14ac:dyDescent="0.25">
      <c r="A6329" s="66"/>
    </row>
    <row r="6330" spans="1:1" x14ac:dyDescent="0.25">
      <c r="A6330" s="66"/>
    </row>
    <row r="6331" spans="1:1" x14ac:dyDescent="0.25">
      <c r="A6331" s="66"/>
    </row>
    <row r="6332" spans="1:1" x14ac:dyDescent="0.25">
      <c r="A6332" s="66"/>
    </row>
    <row r="6333" spans="1:1" x14ac:dyDescent="0.25">
      <c r="A6333" s="66"/>
    </row>
    <row r="6334" spans="1:1" x14ac:dyDescent="0.25">
      <c r="A6334" s="66"/>
    </row>
    <row r="6335" spans="1:1" x14ac:dyDescent="0.25">
      <c r="A6335" s="66"/>
    </row>
    <row r="6336" spans="1:1" x14ac:dyDescent="0.25">
      <c r="A6336" s="66"/>
    </row>
    <row r="6337" spans="1:1" x14ac:dyDescent="0.25">
      <c r="A6337" s="66"/>
    </row>
    <row r="6338" spans="1:1" x14ac:dyDescent="0.25">
      <c r="A6338" s="66"/>
    </row>
    <row r="6339" spans="1:1" x14ac:dyDescent="0.25">
      <c r="A6339" s="66"/>
    </row>
    <row r="6340" spans="1:1" x14ac:dyDescent="0.25">
      <c r="A6340" s="66"/>
    </row>
    <row r="6341" spans="1:1" x14ac:dyDescent="0.25">
      <c r="A6341" s="66"/>
    </row>
    <row r="6342" spans="1:1" x14ac:dyDescent="0.25">
      <c r="A6342" s="66"/>
    </row>
    <row r="6343" spans="1:1" x14ac:dyDescent="0.25">
      <c r="A6343" s="66"/>
    </row>
    <row r="6344" spans="1:1" x14ac:dyDescent="0.25">
      <c r="A6344" s="66"/>
    </row>
    <row r="6345" spans="1:1" x14ac:dyDescent="0.25">
      <c r="A6345" s="66"/>
    </row>
    <row r="6346" spans="1:1" x14ac:dyDescent="0.25">
      <c r="A6346" s="66"/>
    </row>
    <row r="6347" spans="1:1" x14ac:dyDescent="0.25">
      <c r="A6347" s="66"/>
    </row>
    <row r="6348" spans="1:1" x14ac:dyDescent="0.25">
      <c r="A6348" s="66"/>
    </row>
    <row r="6349" spans="1:1" x14ac:dyDescent="0.25">
      <c r="A6349" s="66"/>
    </row>
    <row r="6350" spans="1:1" x14ac:dyDescent="0.25">
      <c r="A6350" s="66"/>
    </row>
    <row r="6351" spans="1:1" x14ac:dyDescent="0.25">
      <c r="A6351" s="66"/>
    </row>
    <row r="6352" spans="1:1" x14ac:dyDescent="0.25">
      <c r="A6352" s="66"/>
    </row>
    <row r="6353" spans="1:1" x14ac:dyDescent="0.25">
      <c r="A6353" s="66"/>
    </row>
    <row r="6354" spans="1:1" x14ac:dyDescent="0.25">
      <c r="A6354" s="66"/>
    </row>
    <row r="6355" spans="1:1" x14ac:dyDescent="0.25">
      <c r="A6355" s="66"/>
    </row>
    <row r="6356" spans="1:1" x14ac:dyDescent="0.25">
      <c r="A6356" s="66"/>
    </row>
    <row r="6357" spans="1:1" x14ac:dyDescent="0.25">
      <c r="A6357" s="66"/>
    </row>
    <row r="6358" spans="1:1" x14ac:dyDescent="0.25">
      <c r="A6358" s="66"/>
    </row>
    <row r="6359" spans="1:1" x14ac:dyDescent="0.25">
      <c r="A6359" s="66"/>
    </row>
    <row r="6360" spans="1:1" x14ac:dyDescent="0.25">
      <c r="A6360" s="66"/>
    </row>
    <row r="6361" spans="1:1" x14ac:dyDescent="0.25">
      <c r="A6361" s="66"/>
    </row>
    <row r="6362" spans="1:1" x14ac:dyDescent="0.25">
      <c r="A6362" s="66"/>
    </row>
    <row r="6363" spans="1:1" x14ac:dyDescent="0.25">
      <c r="A6363" s="66"/>
    </row>
    <row r="6364" spans="1:1" x14ac:dyDescent="0.25">
      <c r="A6364" s="66"/>
    </row>
    <row r="6365" spans="1:1" x14ac:dyDescent="0.25">
      <c r="A6365" s="66"/>
    </row>
    <row r="6366" spans="1:1" x14ac:dyDescent="0.25">
      <c r="A6366" s="66"/>
    </row>
    <row r="6367" spans="1:1" x14ac:dyDescent="0.25">
      <c r="A6367" s="66"/>
    </row>
    <row r="6368" spans="1:1" x14ac:dyDescent="0.25">
      <c r="A6368" s="66"/>
    </row>
    <row r="6369" spans="1:1" x14ac:dyDescent="0.25">
      <c r="A6369" s="66"/>
    </row>
    <row r="6370" spans="1:1" x14ac:dyDescent="0.25">
      <c r="A6370" s="66"/>
    </row>
    <row r="6371" spans="1:1" x14ac:dyDescent="0.25">
      <c r="A6371" s="66"/>
    </row>
    <row r="6372" spans="1:1" x14ac:dyDescent="0.25">
      <c r="A6372" s="66"/>
    </row>
    <row r="6373" spans="1:1" x14ac:dyDescent="0.25">
      <c r="A6373" s="66"/>
    </row>
    <row r="6374" spans="1:1" x14ac:dyDescent="0.25">
      <c r="A6374" s="66"/>
    </row>
    <row r="6375" spans="1:1" x14ac:dyDescent="0.25">
      <c r="A6375" s="66"/>
    </row>
    <row r="6376" spans="1:1" x14ac:dyDescent="0.25">
      <c r="A6376" s="66"/>
    </row>
    <row r="6377" spans="1:1" x14ac:dyDescent="0.25">
      <c r="A6377" s="66"/>
    </row>
    <row r="6378" spans="1:1" x14ac:dyDescent="0.25">
      <c r="A6378" s="66"/>
    </row>
    <row r="6379" spans="1:1" x14ac:dyDescent="0.25">
      <c r="A6379" s="66"/>
    </row>
    <row r="6380" spans="1:1" x14ac:dyDescent="0.25">
      <c r="A6380" s="66"/>
    </row>
    <row r="6381" spans="1:1" x14ac:dyDescent="0.25">
      <c r="A6381" s="66"/>
    </row>
    <row r="6382" spans="1:1" x14ac:dyDescent="0.25">
      <c r="A6382" s="66"/>
    </row>
    <row r="6383" spans="1:1" x14ac:dyDescent="0.25">
      <c r="A6383" s="66"/>
    </row>
    <row r="6384" spans="1:1" x14ac:dyDescent="0.25">
      <c r="A6384" s="66"/>
    </row>
    <row r="6385" spans="1:1" x14ac:dyDescent="0.25">
      <c r="A6385" s="66"/>
    </row>
    <row r="6386" spans="1:1" x14ac:dyDescent="0.25">
      <c r="A6386" s="66"/>
    </row>
    <row r="6387" spans="1:1" x14ac:dyDescent="0.25">
      <c r="A6387" s="66"/>
    </row>
    <row r="6388" spans="1:1" x14ac:dyDescent="0.25">
      <c r="A6388" s="66"/>
    </row>
    <row r="6389" spans="1:1" x14ac:dyDescent="0.25">
      <c r="A6389" s="66"/>
    </row>
    <row r="6390" spans="1:1" x14ac:dyDescent="0.25">
      <c r="A6390" s="66"/>
    </row>
    <row r="6391" spans="1:1" x14ac:dyDescent="0.25">
      <c r="A6391" s="66"/>
    </row>
    <row r="6392" spans="1:1" x14ac:dyDescent="0.25">
      <c r="A6392" s="66"/>
    </row>
    <row r="6393" spans="1:1" x14ac:dyDescent="0.25">
      <c r="A6393" s="66"/>
    </row>
    <row r="6394" spans="1:1" x14ac:dyDescent="0.25">
      <c r="A6394" s="66"/>
    </row>
    <row r="6395" spans="1:1" x14ac:dyDescent="0.25">
      <c r="A6395" s="66"/>
    </row>
    <row r="6396" spans="1:1" x14ac:dyDescent="0.25">
      <c r="A6396" s="66"/>
    </row>
    <row r="6397" spans="1:1" x14ac:dyDescent="0.25">
      <c r="A6397" s="66"/>
    </row>
    <row r="6398" spans="1:1" x14ac:dyDescent="0.25">
      <c r="A6398" s="66"/>
    </row>
    <row r="6399" spans="1:1" x14ac:dyDescent="0.25">
      <c r="A6399" s="66"/>
    </row>
    <row r="6400" spans="1:1" x14ac:dyDescent="0.25">
      <c r="A6400" s="66"/>
    </row>
    <row r="6401" spans="1:1" x14ac:dyDescent="0.25">
      <c r="A6401" s="66"/>
    </row>
    <row r="6402" spans="1:1" x14ac:dyDescent="0.25">
      <c r="A6402" s="66"/>
    </row>
    <row r="6403" spans="1:1" x14ac:dyDescent="0.25">
      <c r="A6403" s="66"/>
    </row>
    <row r="6404" spans="1:1" x14ac:dyDescent="0.25">
      <c r="A6404" s="66"/>
    </row>
    <row r="6405" spans="1:1" x14ac:dyDescent="0.25">
      <c r="A6405" s="66"/>
    </row>
    <row r="6406" spans="1:1" x14ac:dyDescent="0.25">
      <c r="A6406" s="66"/>
    </row>
    <row r="6407" spans="1:1" x14ac:dyDescent="0.25">
      <c r="A6407" s="66"/>
    </row>
    <row r="6408" spans="1:1" x14ac:dyDescent="0.25">
      <c r="A6408" s="66"/>
    </row>
    <row r="6409" spans="1:1" x14ac:dyDescent="0.25">
      <c r="A6409" s="66"/>
    </row>
    <row r="6410" spans="1:1" x14ac:dyDescent="0.25">
      <c r="A6410" s="66"/>
    </row>
    <row r="6411" spans="1:1" x14ac:dyDescent="0.25">
      <c r="A6411" s="66"/>
    </row>
    <row r="6412" spans="1:1" x14ac:dyDescent="0.25">
      <c r="A6412" s="66"/>
    </row>
    <row r="6413" spans="1:1" x14ac:dyDescent="0.25">
      <c r="A6413" s="66"/>
    </row>
    <row r="6414" spans="1:1" x14ac:dyDescent="0.25">
      <c r="A6414" s="66"/>
    </row>
    <row r="6415" spans="1:1" x14ac:dyDescent="0.25">
      <c r="A6415" s="66"/>
    </row>
    <row r="6416" spans="1:1" x14ac:dyDescent="0.25">
      <c r="A6416" s="66"/>
    </row>
    <row r="6417" spans="1:1" x14ac:dyDescent="0.25">
      <c r="A6417" s="66"/>
    </row>
    <row r="6418" spans="1:1" x14ac:dyDescent="0.25">
      <c r="A6418" s="66"/>
    </row>
    <row r="6419" spans="1:1" x14ac:dyDescent="0.25">
      <c r="A6419" s="66"/>
    </row>
    <row r="6420" spans="1:1" x14ac:dyDescent="0.25">
      <c r="A6420" s="66"/>
    </row>
    <row r="6421" spans="1:1" x14ac:dyDescent="0.25">
      <c r="A6421" s="66"/>
    </row>
    <row r="6422" spans="1:1" x14ac:dyDescent="0.25">
      <c r="A6422" s="66"/>
    </row>
    <row r="6423" spans="1:1" x14ac:dyDescent="0.25">
      <c r="A6423" s="66"/>
    </row>
    <row r="6424" spans="1:1" x14ac:dyDescent="0.25">
      <c r="A6424" s="66"/>
    </row>
    <row r="6425" spans="1:1" x14ac:dyDescent="0.25">
      <c r="A6425" s="66"/>
    </row>
    <row r="6426" spans="1:1" x14ac:dyDescent="0.25">
      <c r="A6426" s="66"/>
    </row>
    <row r="6427" spans="1:1" x14ac:dyDescent="0.25">
      <c r="A6427" s="66"/>
    </row>
    <row r="6428" spans="1:1" x14ac:dyDescent="0.25">
      <c r="A6428" s="66"/>
    </row>
    <row r="6429" spans="1:1" x14ac:dyDescent="0.25">
      <c r="A6429" s="66"/>
    </row>
    <row r="6430" spans="1:1" x14ac:dyDescent="0.25">
      <c r="A6430" s="66"/>
    </row>
    <row r="6431" spans="1:1" x14ac:dyDescent="0.25">
      <c r="A6431" s="66"/>
    </row>
    <row r="6432" spans="1:1" x14ac:dyDescent="0.25">
      <c r="A6432" s="66"/>
    </row>
    <row r="6433" spans="1:1" x14ac:dyDescent="0.25">
      <c r="A6433" s="66"/>
    </row>
    <row r="6434" spans="1:1" x14ac:dyDescent="0.25">
      <c r="A6434" s="66"/>
    </row>
    <row r="6435" spans="1:1" x14ac:dyDescent="0.25">
      <c r="A6435" s="66"/>
    </row>
    <row r="6436" spans="1:1" x14ac:dyDescent="0.25">
      <c r="A6436" s="66"/>
    </row>
    <row r="6437" spans="1:1" x14ac:dyDescent="0.25">
      <c r="A6437" s="66"/>
    </row>
    <row r="6438" spans="1:1" x14ac:dyDescent="0.25">
      <c r="A6438" s="66"/>
    </row>
    <row r="6439" spans="1:1" x14ac:dyDescent="0.25">
      <c r="A6439" s="66"/>
    </row>
    <row r="6440" spans="1:1" x14ac:dyDescent="0.25">
      <c r="A6440" s="66"/>
    </row>
    <row r="6441" spans="1:1" x14ac:dyDescent="0.25">
      <c r="A6441" s="66"/>
    </row>
    <row r="6442" spans="1:1" x14ac:dyDescent="0.25">
      <c r="A6442" s="66"/>
    </row>
    <row r="6443" spans="1:1" x14ac:dyDescent="0.25">
      <c r="A6443" s="66"/>
    </row>
    <row r="6444" spans="1:1" x14ac:dyDescent="0.25">
      <c r="A6444" s="66"/>
    </row>
    <row r="6445" spans="1:1" x14ac:dyDescent="0.25">
      <c r="A6445" s="66"/>
    </row>
    <row r="6446" spans="1:1" x14ac:dyDescent="0.25">
      <c r="A6446" s="66"/>
    </row>
    <row r="6447" spans="1:1" x14ac:dyDescent="0.25">
      <c r="A6447" s="66"/>
    </row>
    <row r="6448" spans="1:1" x14ac:dyDescent="0.25">
      <c r="A6448" s="66"/>
    </row>
    <row r="6449" spans="1:1" x14ac:dyDescent="0.25">
      <c r="A6449" s="66"/>
    </row>
    <row r="6450" spans="1:1" x14ac:dyDescent="0.25">
      <c r="A6450" s="66"/>
    </row>
    <row r="6451" spans="1:1" x14ac:dyDescent="0.25">
      <c r="A6451" s="66"/>
    </row>
    <row r="6452" spans="1:1" x14ac:dyDescent="0.25">
      <c r="A6452" s="66"/>
    </row>
    <row r="6453" spans="1:1" x14ac:dyDescent="0.25">
      <c r="A6453" s="66"/>
    </row>
    <row r="6454" spans="1:1" x14ac:dyDescent="0.25">
      <c r="A6454" s="66"/>
    </row>
    <row r="6455" spans="1:1" x14ac:dyDescent="0.25">
      <c r="A6455" s="66"/>
    </row>
    <row r="6456" spans="1:1" x14ac:dyDescent="0.25">
      <c r="A6456" s="66"/>
    </row>
    <row r="6457" spans="1:1" x14ac:dyDescent="0.25">
      <c r="A6457" s="66"/>
    </row>
    <row r="6458" spans="1:1" x14ac:dyDescent="0.25">
      <c r="A6458" s="66"/>
    </row>
    <row r="6459" spans="1:1" x14ac:dyDescent="0.25">
      <c r="A6459" s="66"/>
    </row>
    <row r="6460" spans="1:1" x14ac:dyDescent="0.25">
      <c r="A6460" s="66"/>
    </row>
    <row r="6461" spans="1:1" x14ac:dyDescent="0.25">
      <c r="A6461" s="66"/>
    </row>
    <row r="6462" spans="1:1" x14ac:dyDescent="0.25">
      <c r="A6462" s="66"/>
    </row>
    <row r="6463" spans="1:1" x14ac:dyDescent="0.25">
      <c r="A6463" s="66"/>
    </row>
    <row r="6464" spans="1:1" x14ac:dyDescent="0.25">
      <c r="A6464" s="66"/>
    </row>
    <row r="6465" spans="1:1" x14ac:dyDescent="0.25">
      <c r="A6465" s="66"/>
    </row>
    <row r="6466" spans="1:1" x14ac:dyDescent="0.25">
      <c r="A6466" s="66"/>
    </row>
    <row r="6467" spans="1:1" x14ac:dyDescent="0.25">
      <c r="A6467" s="66"/>
    </row>
    <row r="6468" spans="1:1" x14ac:dyDescent="0.25">
      <c r="A6468" s="66"/>
    </row>
    <row r="6469" spans="1:1" x14ac:dyDescent="0.25">
      <c r="A6469" s="66"/>
    </row>
    <row r="6470" spans="1:1" x14ac:dyDescent="0.25">
      <c r="A6470" s="66"/>
    </row>
    <row r="6471" spans="1:1" x14ac:dyDescent="0.25">
      <c r="A6471" s="66"/>
    </row>
    <row r="6472" spans="1:1" x14ac:dyDescent="0.25">
      <c r="A6472" s="66"/>
    </row>
    <row r="6473" spans="1:1" x14ac:dyDescent="0.25">
      <c r="A6473" s="66"/>
    </row>
    <row r="6474" spans="1:1" x14ac:dyDescent="0.25">
      <c r="A6474" s="66"/>
    </row>
    <row r="6475" spans="1:1" x14ac:dyDescent="0.25">
      <c r="A6475" s="66"/>
    </row>
    <row r="6476" spans="1:1" x14ac:dyDescent="0.25">
      <c r="A6476" s="66"/>
    </row>
    <row r="6477" spans="1:1" x14ac:dyDescent="0.25">
      <c r="A6477" s="66"/>
    </row>
    <row r="6478" spans="1:1" x14ac:dyDescent="0.25">
      <c r="A6478" s="66"/>
    </row>
    <row r="6479" spans="1:1" x14ac:dyDescent="0.25">
      <c r="A6479" s="66"/>
    </row>
    <row r="6480" spans="1:1" x14ac:dyDescent="0.25">
      <c r="A6480" s="66"/>
    </row>
    <row r="6481" spans="1:1" x14ac:dyDescent="0.25">
      <c r="A6481" s="66"/>
    </row>
    <row r="6482" spans="1:1" x14ac:dyDescent="0.25">
      <c r="A6482" s="66"/>
    </row>
    <row r="6483" spans="1:1" x14ac:dyDescent="0.25">
      <c r="A6483" s="66"/>
    </row>
    <row r="6484" spans="1:1" x14ac:dyDescent="0.25">
      <c r="A6484" s="66"/>
    </row>
    <row r="6485" spans="1:1" x14ac:dyDescent="0.25">
      <c r="A6485" s="66"/>
    </row>
    <row r="6486" spans="1:1" x14ac:dyDescent="0.25">
      <c r="A6486" s="66"/>
    </row>
    <row r="6487" spans="1:1" x14ac:dyDescent="0.25">
      <c r="A6487" s="66"/>
    </row>
    <row r="6488" spans="1:1" x14ac:dyDescent="0.25">
      <c r="A6488" s="66"/>
    </row>
    <row r="6489" spans="1:1" x14ac:dyDescent="0.25">
      <c r="A6489" s="66"/>
    </row>
    <row r="6490" spans="1:1" x14ac:dyDescent="0.25">
      <c r="A6490" s="66"/>
    </row>
    <row r="6491" spans="1:1" x14ac:dyDescent="0.25">
      <c r="A6491" s="66"/>
    </row>
    <row r="6492" spans="1:1" x14ac:dyDescent="0.25">
      <c r="A6492" s="66"/>
    </row>
    <row r="6493" spans="1:1" x14ac:dyDescent="0.25">
      <c r="A6493" s="66"/>
    </row>
    <row r="6494" spans="1:1" x14ac:dyDescent="0.25">
      <c r="A6494" s="66"/>
    </row>
    <row r="6495" spans="1:1" x14ac:dyDescent="0.25">
      <c r="A6495" s="66"/>
    </row>
    <row r="6496" spans="1:1" x14ac:dyDescent="0.25">
      <c r="A6496" s="66"/>
    </row>
    <row r="6497" spans="1:1" x14ac:dyDescent="0.25">
      <c r="A6497" s="66"/>
    </row>
    <row r="6498" spans="1:1" x14ac:dyDescent="0.25">
      <c r="A6498" s="66"/>
    </row>
    <row r="6499" spans="1:1" x14ac:dyDescent="0.25">
      <c r="A6499" s="66"/>
    </row>
    <row r="6500" spans="1:1" x14ac:dyDescent="0.25">
      <c r="A6500" s="66"/>
    </row>
    <row r="6501" spans="1:1" x14ac:dyDescent="0.25">
      <c r="A6501" s="66"/>
    </row>
    <row r="6502" spans="1:1" x14ac:dyDescent="0.25">
      <c r="A6502" s="66"/>
    </row>
    <row r="6503" spans="1:1" x14ac:dyDescent="0.25">
      <c r="A6503" s="66"/>
    </row>
    <row r="6504" spans="1:1" x14ac:dyDescent="0.25">
      <c r="A6504" s="66"/>
    </row>
    <row r="6505" spans="1:1" x14ac:dyDescent="0.25">
      <c r="A6505" s="66"/>
    </row>
    <row r="6506" spans="1:1" x14ac:dyDescent="0.25">
      <c r="A6506" s="66"/>
    </row>
    <row r="6507" spans="1:1" x14ac:dyDescent="0.25">
      <c r="A6507" s="66"/>
    </row>
    <row r="6508" spans="1:1" x14ac:dyDescent="0.25">
      <c r="A6508" s="66"/>
    </row>
    <row r="6509" spans="1:1" x14ac:dyDescent="0.25">
      <c r="A6509" s="66"/>
    </row>
    <row r="6510" spans="1:1" x14ac:dyDescent="0.25">
      <c r="A6510" s="66"/>
    </row>
    <row r="6511" spans="1:1" x14ac:dyDescent="0.25">
      <c r="A6511" s="66"/>
    </row>
    <row r="6512" spans="1:1" x14ac:dyDescent="0.25">
      <c r="A6512" s="66"/>
    </row>
    <row r="6513" spans="1:1" x14ac:dyDescent="0.25">
      <c r="A6513" s="66"/>
    </row>
    <row r="6514" spans="1:1" x14ac:dyDescent="0.25">
      <c r="A6514" s="66"/>
    </row>
    <row r="6515" spans="1:1" x14ac:dyDescent="0.25">
      <c r="A6515" s="66"/>
    </row>
    <row r="6516" spans="1:1" x14ac:dyDescent="0.25">
      <c r="A6516" s="66"/>
    </row>
    <row r="6517" spans="1:1" x14ac:dyDescent="0.25">
      <c r="A6517" s="66"/>
    </row>
    <row r="6518" spans="1:1" x14ac:dyDescent="0.25">
      <c r="A6518" s="66"/>
    </row>
    <row r="6519" spans="1:1" x14ac:dyDescent="0.25">
      <c r="A6519" s="66"/>
    </row>
    <row r="6520" spans="1:1" x14ac:dyDescent="0.25">
      <c r="A6520" s="66"/>
    </row>
    <row r="6521" spans="1:1" x14ac:dyDescent="0.25">
      <c r="A6521" s="66"/>
    </row>
    <row r="6522" spans="1:1" x14ac:dyDescent="0.25">
      <c r="A6522" s="66"/>
    </row>
    <row r="6523" spans="1:1" x14ac:dyDescent="0.25">
      <c r="A6523" s="66"/>
    </row>
    <row r="6524" spans="1:1" x14ac:dyDescent="0.25">
      <c r="A6524" s="66"/>
    </row>
    <row r="6525" spans="1:1" x14ac:dyDescent="0.25">
      <c r="A6525" s="66"/>
    </row>
    <row r="6526" spans="1:1" x14ac:dyDescent="0.25">
      <c r="A6526" s="66"/>
    </row>
    <row r="6527" spans="1:1" x14ac:dyDescent="0.25">
      <c r="A6527" s="66"/>
    </row>
    <row r="6528" spans="1:1" x14ac:dyDescent="0.25">
      <c r="A6528" s="66"/>
    </row>
    <row r="6529" spans="1:1" x14ac:dyDescent="0.25">
      <c r="A6529" s="66"/>
    </row>
    <row r="6530" spans="1:1" x14ac:dyDescent="0.25">
      <c r="A6530" s="66"/>
    </row>
    <row r="6531" spans="1:1" x14ac:dyDescent="0.25">
      <c r="A6531" s="66"/>
    </row>
    <row r="6532" spans="1:1" x14ac:dyDescent="0.25">
      <c r="A6532" s="66"/>
    </row>
    <row r="6533" spans="1:1" x14ac:dyDescent="0.25">
      <c r="A6533" s="66"/>
    </row>
    <row r="6534" spans="1:1" x14ac:dyDescent="0.25">
      <c r="A6534" s="66"/>
    </row>
    <row r="6535" spans="1:1" x14ac:dyDescent="0.25">
      <c r="A6535" s="66"/>
    </row>
    <row r="6536" spans="1:1" x14ac:dyDescent="0.25">
      <c r="A6536" s="66"/>
    </row>
    <row r="6537" spans="1:1" x14ac:dyDescent="0.25">
      <c r="A6537" s="66"/>
    </row>
    <row r="6538" spans="1:1" x14ac:dyDescent="0.25">
      <c r="A6538" s="66"/>
    </row>
    <row r="6539" spans="1:1" x14ac:dyDescent="0.25">
      <c r="A6539" s="66"/>
    </row>
    <row r="6540" spans="1:1" x14ac:dyDescent="0.25">
      <c r="A6540" s="66"/>
    </row>
    <row r="6541" spans="1:1" x14ac:dyDescent="0.25">
      <c r="A6541" s="66"/>
    </row>
    <row r="6542" spans="1:1" x14ac:dyDescent="0.25">
      <c r="A6542" s="66"/>
    </row>
    <row r="6543" spans="1:1" x14ac:dyDescent="0.25">
      <c r="A6543" s="66"/>
    </row>
    <row r="6544" spans="1:1" x14ac:dyDescent="0.25">
      <c r="A6544" s="66"/>
    </row>
    <row r="6545" spans="1:1" x14ac:dyDescent="0.25">
      <c r="A6545" s="66"/>
    </row>
    <row r="6546" spans="1:1" x14ac:dyDescent="0.25">
      <c r="A6546" s="66"/>
    </row>
    <row r="6547" spans="1:1" x14ac:dyDescent="0.25">
      <c r="A6547" s="66"/>
    </row>
    <row r="6548" spans="1:1" x14ac:dyDescent="0.25">
      <c r="A6548" s="66"/>
    </row>
    <row r="6549" spans="1:1" x14ac:dyDescent="0.25">
      <c r="A6549" s="66"/>
    </row>
    <row r="6550" spans="1:1" x14ac:dyDescent="0.25">
      <c r="A6550" s="66"/>
    </row>
    <row r="6551" spans="1:1" x14ac:dyDescent="0.25">
      <c r="A6551" s="66"/>
    </row>
    <row r="6552" spans="1:1" x14ac:dyDescent="0.25">
      <c r="A6552" s="66"/>
    </row>
    <row r="6553" spans="1:1" x14ac:dyDescent="0.25">
      <c r="A6553" s="66"/>
    </row>
    <row r="6554" spans="1:1" x14ac:dyDescent="0.25">
      <c r="A6554" s="66"/>
    </row>
    <row r="6555" spans="1:1" x14ac:dyDescent="0.25">
      <c r="A6555" s="66"/>
    </row>
    <row r="6556" spans="1:1" x14ac:dyDescent="0.25">
      <c r="A6556" s="66"/>
    </row>
    <row r="6557" spans="1:1" x14ac:dyDescent="0.25">
      <c r="A6557" s="66"/>
    </row>
    <row r="6558" spans="1:1" x14ac:dyDescent="0.25">
      <c r="A6558" s="66"/>
    </row>
    <row r="6559" spans="1:1" x14ac:dyDescent="0.25">
      <c r="A6559" s="66"/>
    </row>
    <row r="6560" spans="1:1" x14ac:dyDescent="0.25">
      <c r="A6560" s="66"/>
    </row>
    <row r="6561" spans="1:1" x14ac:dyDescent="0.25">
      <c r="A6561" s="66"/>
    </row>
    <row r="6562" spans="1:1" x14ac:dyDescent="0.25">
      <c r="A6562" s="66"/>
    </row>
    <row r="6563" spans="1:1" x14ac:dyDescent="0.25">
      <c r="A6563" s="66"/>
    </row>
    <row r="6564" spans="1:1" x14ac:dyDescent="0.25">
      <c r="A6564" s="66"/>
    </row>
    <row r="6565" spans="1:1" x14ac:dyDescent="0.25">
      <c r="A6565" s="66"/>
    </row>
    <row r="6566" spans="1:1" x14ac:dyDescent="0.25">
      <c r="A6566" s="66"/>
    </row>
    <row r="6567" spans="1:1" x14ac:dyDescent="0.25">
      <c r="A6567" s="66"/>
    </row>
    <row r="6568" spans="1:1" x14ac:dyDescent="0.25">
      <c r="A6568" s="66"/>
    </row>
    <row r="6569" spans="1:1" x14ac:dyDescent="0.25">
      <c r="A6569" s="66"/>
    </row>
    <row r="6570" spans="1:1" x14ac:dyDescent="0.25">
      <c r="A6570" s="66"/>
    </row>
    <row r="6571" spans="1:1" x14ac:dyDescent="0.25">
      <c r="A6571" s="66"/>
    </row>
    <row r="6572" spans="1:1" x14ac:dyDescent="0.25">
      <c r="A6572" s="66"/>
    </row>
    <row r="6573" spans="1:1" x14ac:dyDescent="0.25">
      <c r="A6573" s="66"/>
    </row>
    <row r="6574" spans="1:1" x14ac:dyDescent="0.25">
      <c r="A6574" s="66"/>
    </row>
    <row r="6575" spans="1:1" x14ac:dyDescent="0.25">
      <c r="A6575" s="66"/>
    </row>
    <row r="6576" spans="1:1" x14ac:dyDescent="0.25">
      <c r="A6576" s="66"/>
    </row>
    <row r="6577" spans="1:1" x14ac:dyDescent="0.25">
      <c r="A6577" s="66"/>
    </row>
    <row r="6578" spans="1:1" x14ac:dyDescent="0.25">
      <c r="A6578" s="66"/>
    </row>
    <row r="6579" spans="1:1" x14ac:dyDescent="0.25">
      <c r="A6579" s="66"/>
    </row>
    <row r="6580" spans="1:1" x14ac:dyDescent="0.25">
      <c r="A6580" s="66"/>
    </row>
    <row r="6581" spans="1:1" x14ac:dyDescent="0.25">
      <c r="A6581" s="66"/>
    </row>
    <row r="6582" spans="1:1" x14ac:dyDescent="0.25">
      <c r="A6582" s="66"/>
    </row>
    <row r="6583" spans="1:1" x14ac:dyDescent="0.25">
      <c r="A6583" s="66"/>
    </row>
    <row r="6584" spans="1:1" x14ac:dyDescent="0.25">
      <c r="A6584" s="66"/>
    </row>
    <row r="6585" spans="1:1" x14ac:dyDescent="0.25">
      <c r="A6585" s="66"/>
    </row>
    <row r="6586" spans="1:1" x14ac:dyDescent="0.25">
      <c r="A6586" s="66"/>
    </row>
    <row r="6587" spans="1:1" x14ac:dyDescent="0.25">
      <c r="A6587" s="66"/>
    </row>
    <row r="6588" spans="1:1" x14ac:dyDescent="0.25">
      <c r="A6588" s="66"/>
    </row>
    <row r="6589" spans="1:1" x14ac:dyDescent="0.25">
      <c r="A6589" s="66"/>
    </row>
    <row r="6590" spans="1:1" x14ac:dyDescent="0.25">
      <c r="A6590" s="66"/>
    </row>
    <row r="6591" spans="1:1" x14ac:dyDescent="0.25">
      <c r="A6591" s="66"/>
    </row>
    <row r="6592" spans="1:1" x14ac:dyDescent="0.25">
      <c r="A6592" s="66"/>
    </row>
    <row r="6593" spans="1:1" x14ac:dyDescent="0.25">
      <c r="A6593" s="66"/>
    </row>
    <row r="6594" spans="1:1" x14ac:dyDescent="0.25">
      <c r="A6594" s="66"/>
    </row>
    <row r="6595" spans="1:1" x14ac:dyDescent="0.25">
      <c r="A6595" s="66"/>
    </row>
    <row r="6596" spans="1:1" x14ac:dyDescent="0.25">
      <c r="A6596" s="66"/>
    </row>
    <row r="6597" spans="1:1" x14ac:dyDescent="0.25">
      <c r="A6597" s="66"/>
    </row>
    <row r="6598" spans="1:1" x14ac:dyDescent="0.25">
      <c r="A6598" s="66"/>
    </row>
    <row r="6599" spans="1:1" x14ac:dyDescent="0.25">
      <c r="A6599" s="66"/>
    </row>
    <row r="6600" spans="1:1" x14ac:dyDescent="0.25">
      <c r="A6600" s="66"/>
    </row>
    <row r="6601" spans="1:1" x14ac:dyDescent="0.25">
      <c r="A6601" s="66"/>
    </row>
    <row r="6602" spans="1:1" x14ac:dyDescent="0.25">
      <c r="A6602" s="66"/>
    </row>
    <row r="6603" spans="1:1" x14ac:dyDescent="0.25">
      <c r="A6603" s="66"/>
    </row>
    <row r="6604" spans="1:1" x14ac:dyDescent="0.25">
      <c r="A6604" s="66"/>
    </row>
    <row r="6605" spans="1:1" x14ac:dyDescent="0.25">
      <c r="A6605" s="66"/>
    </row>
    <row r="6606" spans="1:1" x14ac:dyDescent="0.25">
      <c r="A6606" s="66"/>
    </row>
    <row r="6607" spans="1:1" x14ac:dyDescent="0.25">
      <c r="A6607" s="66"/>
    </row>
    <row r="6608" spans="1:1" x14ac:dyDescent="0.25">
      <c r="A6608" s="66"/>
    </row>
    <row r="6609" spans="1:1" x14ac:dyDescent="0.25">
      <c r="A6609" s="66"/>
    </row>
    <row r="6610" spans="1:1" x14ac:dyDescent="0.25">
      <c r="A6610" s="66"/>
    </row>
    <row r="6611" spans="1:1" x14ac:dyDescent="0.25">
      <c r="A6611" s="66"/>
    </row>
    <row r="6612" spans="1:1" x14ac:dyDescent="0.25">
      <c r="A6612" s="66"/>
    </row>
    <row r="6613" spans="1:1" x14ac:dyDescent="0.25">
      <c r="A6613" s="66"/>
    </row>
    <row r="6614" spans="1:1" x14ac:dyDescent="0.25">
      <c r="A6614" s="66"/>
    </row>
    <row r="6615" spans="1:1" x14ac:dyDescent="0.25">
      <c r="A6615" s="66"/>
    </row>
    <row r="6616" spans="1:1" x14ac:dyDescent="0.25">
      <c r="A6616" s="66"/>
    </row>
    <row r="6617" spans="1:1" x14ac:dyDescent="0.25">
      <c r="A6617" s="66"/>
    </row>
    <row r="6618" spans="1:1" x14ac:dyDescent="0.25">
      <c r="A6618" s="66"/>
    </row>
    <row r="6619" spans="1:1" x14ac:dyDescent="0.25">
      <c r="A6619" s="66"/>
    </row>
    <row r="6620" spans="1:1" x14ac:dyDescent="0.25">
      <c r="A6620" s="66"/>
    </row>
    <row r="6621" spans="1:1" x14ac:dyDescent="0.25">
      <c r="A6621" s="66"/>
    </row>
    <row r="6622" spans="1:1" x14ac:dyDescent="0.25">
      <c r="A6622" s="66"/>
    </row>
    <row r="6623" spans="1:1" x14ac:dyDescent="0.25">
      <c r="A6623" s="66"/>
    </row>
    <row r="6624" spans="1:1" x14ac:dyDescent="0.25">
      <c r="A6624" s="66"/>
    </row>
    <row r="6625" spans="1:1" x14ac:dyDescent="0.25">
      <c r="A6625" s="66"/>
    </row>
    <row r="6626" spans="1:1" x14ac:dyDescent="0.25">
      <c r="A6626" s="66"/>
    </row>
    <row r="6627" spans="1:1" x14ac:dyDescent="0.25">
      <c r="A6627" s="66"/>
    </row>
    <row r="6628" spans="1:1" x14ac:dyDescent="0.25">
      <c r="A6628" s="66"/>
    </row>
    <row r="6629" spans="1:1" x14ac:dyDescent="0.25">
      <c r="A6629" s="66"/>
    </row>
    <row r="6630" spans="1:1" x14ac:dyDescent="0.25">
      <c r="A6630" s="66"/>
    </row>
    <row r="6631" spans="1:1" x14ac:dyDescent="0.25">
      <c r="A6631" s="66"/>
    </row>
    <row r="6632" spans="1:1" x14ac:dyDescent="0.25">
      <c r="A6632" s="66"/>
    </row>
    <row r="6633" spans="1:1" x14ac:dyDescent="0.25">
      <c r="A6633" s="66"/>
    </row>
    <row r="6634" spans="1:1" x14ac:dyDescent="0.25">
      <c r="A6634" s="66"/>
    </row>
    <row r="6635" spans="1:1" x14ac:dyDescent="0.25">
      <c r="A6635" s="66"/>
    </row>
    <row r="6636" spans="1:1" x14ac:dyDescent="0.25">
      <c r="A6636" s="66"/>
    </row>
    <row r="6637" spans="1:1" x14ac:dyDescent="0.25">
      <c r="A6637" s="66"/>
    </row>
    <row r="6638" spans="1:1" x14ac:dyDescent="0.25">
      <c r="A6638" s="66"/>
    </row>
    <row r="6639" spans="1:1" x14ac:dyDescent="0.25">
      <c r="A6639" s="66"/>
    </row>
    <row r="6640" spans="1:1" x14ac:dyDescent="0.25">
      <c r="A6640" s="66"/>
    </row>
    <row r="6641" spans="1:1" x14ac:dyDescent="0.25">
      <c r="A6641" s="66"/>
    </row>
    <row r="6642" spans="1:1" x14ac:dyDescent="0.25">
      <c r="A6642" s="66"/>
    </row>
    <row r="6643" spans="1:1" x14ac:dyDescent="0.25">
      <c r="A6643" s="66"/>
    </row>
    <row r="6644" spans="1:1" x14ac:dyDescent="0.25">
      <c r="A6644" s="66"/>
    </row>
    <row r="6645" spans="1:1" x14ac:dyDescent="0.25">
      <c r="A6645" s="66"/>
    </row>
    <row r="6646" spans="1:1" x14ac:dyDescent="0.25">
      <c r="A6646" s="66"/>
    </row>
    <row r="6647" spans="1:1" x14ac:dyDescent="0.25">
      <c r="A6647" s="66"/>
    </row>
    <row r="6648" spans="1:1" x14ac:dyDescent="0.25">
      <c r="A6648" s="66"/>
    </row>
    <row r="6649" spans="1:1" x14ac:dyDescent="0.25">
      <c r="A6649" s="66"/>
    </row>
    <row r="6650" spans="1:1" x14ac:dyDescent="0.25">
      <c r="A6650" s="66"/>
    </row>
    <row r="6651" spans="1:1" x14ac:dyDescent="0.25">
      <c r="A6651" s="66"/>
    </row>
    <row r="6652" spans="1:1" x14ac:dyDescent="0.25">
      <c r="A6652" s="66"/>
    </row>
    <row r="6653" spans="1:1" x14ac:dyDescent="0.25">
      <c r="A6653" s="66"/>
    </row>
    <row r="6654" spans="1:1" x14ac:dyDescent="0.25">
      <c r="A6654" s="66"/>
    </row>
    <row r="6655" spans="1:1" x14ac:dyDescent="0.25">
      <c r="A6655" s="66"/>
    </row>
    <row r="6656" spans="1:1" x14ac:dyDescent="0.25">
      <c r="A6656" s="66"/>
    </row>
    <row r="6657" spans="1:1" x14ac:dyDescent="0.25">
      <c r="A6657" s="66"/>
    </row>
    <row r="6658" spans="1:1" x14ac:dyDescent="0.25">
      <c r="A6658" s="66"/>
    </row>
    <row r="6659" spans="1:1" x14ac:dyDescent="0.25">
      <c r="A6659" s="66"/>
    </row>
    <row r="6660" spans="1:1" x14ac:dyDescent="0.25">
      <c r="A6660" s="66"/>
    </row>
    <row r="6661" spans="1:1" x14ac:dyDescent="0.25">
      <c r="A6661" s="66"/>
    </row>
    <row r="6662" spans="1:1" x14ac:dyDescent="0.25">
      <c r="A6662" s="66"/>
    </row>
    <row r="6663" spans="1:1" x14ac:dyDescent="0.25">
      <c r="A6663" s="66"/>
    </row>
    <row r="6664" spans="1:1" x14ac:dyDescent="0.25">
      <c r="A6664" s="66"/>
    </row>
    <row r="6665" spans="1:1" x14ac:dyDescent="0.25">
      <c r="A6665" s="66"/>
    </row>
    <row r="6666" spans="1:1" x14ac:dyDescent="0.25">
      <c r="A6666" s="66"/>
    </row>
    <row r="6667" spans="1:1" x14ac:dyDescent="0.25">
      <c r="A6667" s="66"/>
    </row>
    <row r="6668" spans="1:1" x14ac:dyDescent="0.25">
      <c r="A6668" s="66"/>
    </row>
    <row r="6669" spans="1:1" x14ac:dyDescent="0.25">
      <c r="A6669" s="66"/>
    </row>
    <row r="6670" spans="1:1" x14ac:dyDescent="0.25">
      <c r="A6670" s="66"/>
    </row>
    <row r="6671" spans="1:1" x14ac:dyDescent="0.25">
      <c r="A6671" s="66"/>
    </row>
    <row r="6672" spans="1:1" x14ac:dyDescent="0.25">
      <c r="A6672" s="66"/>
    </row>
    <row r="6673" spans="1:1" x14ac:dyDescent="0.25">
      <c r="A6673" s="66"/>
    </row>
    <row r="6674" spans="1:1" x14ac:dyDescent="0.25">
      <c r="A6674" s="66"/>
    </row>
    <row r="6675" spans="1:1" x14ac:dyDescent="0.25">
      <c r="A6675" s="66"/>
    </row>
    <row r="6676" spans="1:1" x14ac:dyDescent="0.25">
      <c r="A6676" s="66"/>
    </row>
    <row r="6677" spans="1:1" x14ac:dyDescent="0.25">
      <c r="A6677" s="66"/>
    </row>
    <row r="6678" spans="1:1" x14ac:dyDescent="0.25">
      <c r="A6678" s="66"/>
    </row>
    <row r="6679" spans="1:1" x14ac:dyDescent="0.25">
      <c r="A6679" s="66"/>
    </row>
    <row r="6680" spans="1:1" x14ac:dyDescent="0.25">
      <c r="A6680" s="66"/>
    </row>
    <row r="6681" spans="1:1" x14ac:dyDescent="0.25">
      <c r="A6681" s="66"/>
    </row>
    <row r="6682" spans="1:1" x14ac:dyDescent="0.25">
      <c r="A6682" s="66"/>
    </row>
    <row r="6683" spans="1:1" x14ac:dyDescent="0.25">
      <c r="A6683" s="66"/>
    </row>
    <row r="6684" spans="1:1" x14ac:dyDescent="0.25">
      <c r="A6684" s="66"/>
    </row>
    <row r="6685" spans="1:1" x14ac:dyDescent="0.25">
      <c r="A6685" s="66"/>
    </row>
    <row r="6686" spans="1:1" x14ac:dyDescent="0.25">
      <c r="A6686" s="66"/>
    </row>
    <row r="6687" spans="1:1" x14ac:dyDescent="0.25">
      <c r="A6687" s="66"/>
    </row>
    <row r="6688" spans="1:1" x14ac:dyDescent="0.25">
      <c r="A6688" s="66"/>
    </row>
    <row r="6689" spans="1:1" x14ac:dyDescent="0.25">
      <c r="A6689" s="66"/>
    </row>
    <row r="6690" spans="1:1" x14ac:dyDescent="0.25">
      <c r="A6690" s="66"/>
    </row>
    <row r="6691" spans="1:1" x14ac:dyDescent="0.25">
      <c r="A6691" s="66"/>
    </row>
    <row r="6692" spans="1:1" x14ac:dyDescent="0.25">
      <c r="A6692" s="66"/>
    </row>
    <row r="6693" spans="1:1" x14ac:dyDescent="0.25">
      <c r="A6693" s="66"/>
    </row>
    <row r="6694" spans="1:1" x14ac:dyDescent="0.25">
      <c r="A6694" s="66"/>
    </row>
    <row r="6695" spans="1:1" x14ac:dyDescent="0.25">
      <c r="A6695" s="66"/>
    </row>
    <row r="6696" spans="1:1" x14ac:dyDescent="0.25">
      <c r="A6696" s="66"/>
    </row>
    <row r="6697" spans="1:1" x14ac:dyDescent="0.25">
      <c r="A6697" s="66"/>
    </row>
    <row r="6698" spans="1:1" x14ac:dyDescent="0.25">
      <c r="A6698" s="66"/>
    </row>
    <row r="6699" spans="1:1" x14ac:dyDescent="0.25">
      <c r="A6699" s="66"/>
    </row>
    <row r="6700" spans="1:1" x14ac:dyDescent="0.25">
      <c r="A6700" s="66"/>
    </row>
    <row r="6701" spans="1:1" x14ac:dyDescent="0.25">
      <c r="A6701" s="66"/>
    </row>
    <row r="6702" spans="1:1" x14ac:dyDescent="0.25">
      <c r="A6702" s="66"/>
    </row>
    <row r="6703" spans="1:1" x14ac:dyDescent="0.25">
      <c r="A6703" s="66"/>
    </row>
    <row r="6704" spans="1:1" x14ac:dyDescent="0.25">
      <c r="A6704" s="66"/>
    </row>
    <row r="6705" spans="1:1" x14ac:dyDescent="0.25">
      <c r="A6705" s="66"/>
    </row>
    <row r="6706" spans="1:1" x14ac:dyDescent="0.25">
      <c r="A6706" s="66"/>
    </row>
    <row r="6707" spans="1:1" x14ac:dyDescent="0.25">
      <c r="A6707" s="66"/>
    </row>
    <row r="6708" spans="1:1" x14ac:dyDescent="0.25">
      <c r="A6708" s="66"/>
    </row>
    <row r="6709" spans="1:1" x14ac:dyDescent="0.25">
      <c r="A6709" s="66"/>
    </row>
    <row r="6710" spans="1:1" x14ac:dyDescent="0.25">
      <c r="A6710" s="66"/>
    </row>
    <row r="6711" spans="1:1" x14ac:dyDescent="0.25">
      <c r="A6711" s="66"/>
    </row>
    <row r="6712" spans="1:1" x14ac:dyDescent="0.25">
      <c r="A6712" s="66"/>
    </row>
    <row r="6713" spans="1:1" x14ac:dyDescent="0.25">
      <c r="A6713" s="66"/>
    </row>
    <row r="6714" spans="1:1" x14ac:dyDescent="0.25">
      <c r="A6714" s="66"/>
    </row>
    <row r="6715" spans="1:1" x14ac:dyDescent="0.25">
      <c r="A6715" s="66"/>
    </row>
    <row r="6716" spans="1:1" x14ac:dyDescent="0.25">
      <c r="A6716" s="66"/>
    </row>
    <row r="6717" spans="1:1" x14ac:dyDescent="0.25">
      <c r="A6717" s="66"/>
    </row>
    <row r="6718" spans="1:1" x14ac:dyDescent="0.25">
      <c r="A6718" s="66"/>
    </row>
    <row r="6719" spans="1:1" x14ac:dyDescent="0.25">
      <c r="A6719" s="66"/>
    </row>
    <row r="6720" spans="1:1" x14ac:dyDescent="0.25">
      <c r="A6720" s="66"/>
    </row>
    <row r="6721" spans="1:1" x14ac:dyDescent="0.25">
      <c r="A6721" s="66"/>
    </row>
    <row r="6722" spans="1:1" x14ac:dyDescent="0.25">
      <c r="A6722" s="66"/>
    </row>
    <row r="6723" spans="1:1" x14ac:dyDescent="0.25">
      <c r="A6723" s="66"/>
    </row>
    <row r="6724" spans="1:1" x14ac:dyDescent="0.25">
      <c r="A6724" s="66"/>
    </row>
    <row r="6725" spans="1:1" x14ac:dyDescent="0.25">
      <c r="A6725" s="66"/>
    </row>
    <row r="6726" spans="1:1" x14ac:dyDescent="0.25">
      <c r="A6726" s="66"/>
    </row>
    <row r="6727" spans="1:1" x14ac:dyDescent="0.25">
      <c r="A6727" s="66"/>
    </row>
    <row r="6728" spans="1:1" x14ac:dyDescent="0.25">
      <c r="A6728" s="66"/>
    </row>
    <row r="6729" spans="1:1" x14ac:dyDescent="0.25">
      <c r="A6729" s="66"/>
    </row>
    <row r="6730" spans="1:1" x14ac:dyDescent="0.25">
      <c r="A6730" s="66"/>
    </row>
    <row r="6731" spans="1:1" x14ac:dyDescent="0.25">
      <c r="A6731" s="66"/>
    </row>
    <row r="6732" spans="1:1" x14ac:dyDescent="0.25">
      <c r="A6732" s="66"/>
    </row>
    <row r="6733" spans="1:1" x14ac:dyDescent="0.25">
      <c r="A6733" s="66"/>
    </row>
    <row r="6734" spans="1:1" x14ac:dyDescent="0.25">
      <c r="A6734" s="66"/>
    </row>
    <row r="6735" spans="1:1" x14ac:dyDescent="0.25">
      <c r="A6735" s="66"/>
    </row>
    <row r="6736" spans="1:1" x14ac:dyDescent="0.25">
      <c r="A6736" s="66"/>
    </row>
    <row r="6737" spans="1:1" x14ac:dyDescent="0.25">
      <c r="A6737" s="66"/>
    </row>
    <row r="6738" spans="1:1" x14ac:dyDescent="0.25">
      <c r="A6738" s="66"/>
    </row>
    <row r="6739" spans="1:1" x14ac:dyDescent="0.25">
      <c r="A6739" s="66"/>
    </row>
    <row r="6740" spans="1:1" x14ac:dyDescent="0.25">
      <c r="A6740" s="66"/>
    </row>
    <row r="6741" spans="1:1" x14ac:dyDescent="0.25">
      <c r="A6741" s="66"/>
    </row>
    <row r="6742" spans="1:1" x14ac:dyDescent="0.25">
      <c r="A6742" s="66"/>
    </row>
    <row r="6743" spans="1:1" x14ac:dyDescent="0.25">
      <c r="A6743" s="66"/>
    </row>
    <row r="6744" spans="1:1" x14ac:dyDescent="0.25">
      <c r="A6744" s="66"/>
    </row>
    <row r="6745" spans="1:1" x14ac:dyDescent="0.25">
      <c r="A6745" s="66"/>
    </row>
    <row r="6746" spans="1:1" x14ac:dyDescent="0.25">
      <c r="A6746" s="66"/>
    </row>
    <row r="6747" spans="1:1" x14ac:dyDescent="0.25">
      <c r="A6747" s="66"/>
    </row>
    <row r="6748" spans="1:1" x14ac:dyDescent="0.25">
      <c r="A6748" s="66"/>
    </row>
    <row r="6749" spans="1:1" x14ac:dyDescent="0.25">
      <c r="A6749" s="66"/>
    </row>
    <row r="6750" spans="1:1" x14ac:dyDescent="0.25">
      <c r="A6750" s="66"/>
    </row>
    <row r="6751" spans="1:1" x14ac:dyDescent="0.25">
      <c r="A6751" s="66"/>
    </row>
    <row r="6752" spans="1:1" x14ac:dyDescent="0.25">
      <c r="A6752" s="66"/>
    </row>
    <row r="6753" spans="1:1" x14ac:dyDescent="0.25">
      <c r="A6753" s="66"/>
    </row>
    <row r="6754" spans="1:1" x14ac:dyDescent="0.25">
      <c r="A6754" s="66"/>
    </row>
    <row r="6755" spans="1:1" x14ac:dyDescent="0.25">
      <c r="A6755" s="66"/>
    </row>
    <row r="6756" spans="1:1" x14ac:dyDescent="0.25">
      <c r="A6756" s="66"/>
    </row>
    <row r="6757" spans="1:1" x14ac:dyDescent="0.25">
      <c r="A6757" s="66"/>
    </row>
    <row r="6758" spans="1:1" x14ac:dyDescent="0.25">
      <c r="A6758" s="66"/>
    </row>
    <row r="6759" spans="1:1" x14ac:dyDescent="0.25">
      <c r="A6759" s="66"/>
    </row>
    <row r="6760" spans="1:1" x14ac:dyDescent="0.25">
      <c r="A6760" s="66"/>
    </row>
    <row r="6761" spans="1:1" x14ac:dyDescent="0.25">
      <c r="A6761" s="66"/>
    </row>
    <row r="6762" spans="1:1" x14ac:dyDescent="0.25">
      <c r="A6762" s="66"/>
    </row>
    <row r="6763" spans="1:1" x14ac:dyDescent="0.25">
      <c r="A6763" s="66"/>
    </row>
    <row r="6764" spans="1:1" x14ac:dyDescent="0.25">
      <c r="A6764" s="66"/>
    </row>
    <row r="6765" spans="1:1" x14ac:dyDescent="0.25">
      <c r="A6765" s="66"/>
    </row>
    <row r="6766" spans="1:1" x14ac:dyDescent="0.25">
      <c r="A6766" s="66"/>
    </row>
    <row r="6767" spans="1:1" x14ac:dyDescent="0.25">
      <c r="A6767" s="66"/>
    </row>
    <row r="6768" spans="1:1" x14ac:dyDescent="0.25">
      <c r="A6768" s="66"/>
    </row>
    <row r="6769" spans="1:1" x14ac:dyDescent="0.25">
      <c r="A6769" s="66"/>
    </row>
    <row r="6770" spans="1:1" x14ac:dyDescent="0.25">
      <c r="A6770" s="66"/>
    </row>
    <row r="6771" spans="1:1" x14ac:dyDescent="0.25">
      <c r="A6771" s="66"/>
    </row>
    <row r="6772" spans="1:1" x14ac:dyDescent="0.25">
      <c r="A6772" s="66"/>
    </row>
    <row r="6773" spans="1:1" x14ac:dyDescent="0.25">
      <c r="A6773" s="66"/>
    </row>
    <row r="6774" spans="1:1" x14ac:dyDescent="0.25">
      <c r="A6774" s="66"/>
    </row>
    <row r="6775" spans="1:1" x14ac:dyDescent="0.25">
      <c r="A6775" s="66"/>
    </row>
    <row r="6776" spans="1:1" x14ac:dyDescent="0.25">
      <c r="A6776" s="66"/>
    </row>
    <row r="6777" spans="1:1" x14ac:dyDescent="0.25">
      <c r="A6777" s="66"/>
    </row>
    <row r="6778" spans="1:1" x14ac:dyDescent="0.25">
      <c r="A6778" s="66"/>
    </row>
    <row r="6779" spans="1:1" x14ac:dyDescent="0.25">
      <c r="A6779" s="66"/>
    </row>
    <row r="6780" spans="1:1" x14ac:dyDescent="0.25">
      <c r="A6780" s="66"/>
    </row>
    <row r="6781" spans="1:1" x14ac:dyDescent="0.25">
      <c r="A6781" s="66"/>
    </row>
    <row r="6782" spans="1:1" x14ac:dyDescent="0.25">
      <c r="A6782" s="66"/>
    </row>
    <row r="6783" spans="1:1" x14ac:dyDescent="0.25">
      <c r="A6783" s="66"/>
    </row>
    <row r="6784" spans="1:1" x14ac:dyDescent="0.25">
      <c r="A6784" s="66"/>
    </row>
    <row r="6785" spans="1:1" x14ac:dyDescent="0.25">
      <c r="A6785" s="66"/>
    </row>
    <row r="6786" spans="1:1" x14ac:dyDescent="0.25">
      <c r="A6786" s="66"/>
    </row>
    <row r="6787" spans="1:1" x14ac:dyDescent="0.25">
      <c r="A6787" s="66"/>
    </row>
    <row r="6788" spans="1:1" x14ac:dyDescent="0.25">
      <c r="A6788" s="66"/>
    </row>
    <row r="6789" spans="1:1" x14ac:dyDescent="0.25">
      <c r="A6789" s="66"/>
    </row>
    <row r="6790" spans="1:1" x14ac:dyDescent="0.25">
      <c r="A6790" s="66"/>
    </row>
    <row r="6791" spans="1:1" x14ac:dyDescent="0.25">
      <c r="A6791" s="66"/>
    </row>
    <row r="6792" spans="1:1" x14ac:dyDescent="0.25">
      <c r="A6792" s="66"/>
    </row>
    <row r="6793" spans="1:1" x14ac:dyDescent="0.25">
      <c r="A6793" s="66"/>
    </row>
    <row r="6794" spans="1:1" x14ac:dyDescent="0.25">
      <c r="A6794" s="66"/>
    </row>
    <row r="6795" spans="1:1" x14ac:dyDescent="0.25">
      <c r="A6795" s="66"/>
    </row>
    <row r="6796" spans="1:1" x14ac:dyDescent="0.25">
      <c r="A6796" s="66"/>
    </row>
    <row r="6797" spans="1:1" x14ac:dyDescent="0.25">
      <c r="A6797" s="66"/>
    </row>
    <row r="6798" spans="1:1" x14ac:dyDescent="0.25">
      <c r="A6798" s="66"/>
    </row>
    <row r="6799" spans="1:1" x14ac:dyDescent="0.25">
      <c r="A6799" s="66"/>
    </row>
    <row r="6800" spans="1:1" x14ac:dyDescent="0.25">
      <c r="A6800" s="66"/>
    </row>
    <row r="6801" spans="1:1" x14ac:dyDescent="0.25">
      <c r="A6801" s="66"/>
    </row>
    <row r="6802" spans="1:1" x14ac:dyDescent="0.25">
      <c r="A6802" s="66"/>
    </row>
    <row r="6803" spans="1:1" x14ac:dyDescent="0.25">
      <c r="A6803" s="66"/>
    </row>
    <row r="6804" spans="1:1" x14ac:dyDescent="0.25">
      <c r="A6804" s="66"/>
    </row>
    <row r="6805" spans="1:1" x14ac:dyDescent="0.25">
      <c r="A6805" s="66"/>
    </row>
    <row r="6806" spans="1:1" x14ac:dyDescent="0.25">
      <c r="A6806" s="66"/>
    </row>
    <row r="6807" spans="1:1" x14ac:dyDescent="0.25">
      <c r="A6807" s="66"/>
    </row>
    <row r="6808" spans="1:1" x14ac:dyDescent="0.25">
      <c r="A6808" s="66"/>
    </row>
    <row r="6809" spans="1:1" x14ac:dyDescent="0.25">
      <c r="A6809" s="66"/>
    </row>
    <row r="6810" spans="1:1" x14ac:dyDescent="0.25">
      <c r="A6810" s="66"/>
    </row>
    <row r="6811" spans="1:1" x14ac:dyDescent="0.25">
      <c r="A6811" s="66"/>
    </row>
    <row r="6812" spans="1:1" x14ac:dyDescent="0.25">
      <c r="A6812" s="66"/>
    </row>
    <row r="6813" spans="1:1" x14ac:dyDescent="0.25">
      <c r="A6813" s="66"/>
    </row>
    <row r="6814" spans="1:1" x14ac:dyDescent="0.25">
      <c r="A6814" s="66"/>
    </row>
    <row r="6815" spans="1:1" x14ac:dyDescent="0.25">
      <c r="A6815" s="66"/>
    </row>
    <row r="6816" spans="1:1" x14ac:dyDescent="0.25">
      <c r="A6816" s="66"/>
    </row>
    <row r="6817" spans="1:1" x14ac:dyDescent="0.25">
      <c r="A6817" s="66"/>
    </row>
    <row r="6818" spans="1:1" x14ac:dyDescent="0.25">
      <c r="A6818" s="66"/>
    </row>
    <row r="6819" spans="1:1" x14ac:dyDescent="0.25">
      <c r="A6819" s="66"/>
    </row>
    <row r="6820" spans="1:1" x14ac:dyDescent="0.25">
      <c r="A6820" s="66"/>
    </row>
    <row r="6821" spans="1:1" x14ac:dyDescent="0.25">
      <c r="A6821" s="66"/>
    </row>
    <row r="6822" spans="1:1" x14ac:dyDescent="0.25">
      <c r="A6822" s="66"/>
    </row>
    <row r="6823" spans="1:1" x14ac:dyDescent="0.25">
      <c r="A6823" s="66"/>
    </row>
    <row r="6824" spans="1:1" x14ac:dyDescent="0.25">
      <c r="A6824" s="66"/>
    </row>
    <row r="6825" spans="1:1" x14ac:dyDescent="0.25">
      <c r="A6825" s="66"/>
    </row>
    <row r="6826" spans="1:1" x14ac:dyDescent="0.25">
      <c r="A6826" s="66"/>
    </row>
    <row r="6827" spans="1:1" x14ac:dyDescent="0.25">
      <c r="A6827" s="66"/>
    </row>
    <row r="6828" spans="1:1" x14ac:dyDescent="0.25">
      <c r="A6828" s="66"/>
    </row>
    <row r="6829" spans="1:1" x14ac:dyDescent="0.25">
      <c r="A6829" s="66"/>
    </row>
    <row r="6830" spans="1:1" x14ac:dyDescent="0.25">
      <c r="A6830" s="66"/>
    </row>
    <row r="6831" spans="1:1" x14ac:dyDescent="0.25">
      <c r="A6831" s="66"/>
    </row>
    <row r="6832" spans="1:1" x14ac:dyDescent="0.25">
      <c r="A6832" s="66"/>
    </row>
    <row r="6833" spans="1:1" x14ac:dyDescent="0.25">
      <c r="A6833" s="66"/>
    </row>
    <row r="6834" spans="1:1" x14ac:dyDescent="0.25">
      <c r="A6834" s="66"/>
    </row>
    <row r="6835" spans="1:1" x14ac:dyDescent="0.25">
      <c r="A6835" s="66"/>
    </row>
    <row r="6836" spans="1:1" x14ac:dyDescent="0.25">
      <c r="A6836" s="66"/>
    </row>
    <row r="6837" spans="1:1" x14ac:dyDescent="0.25">
      <c r="A6837" s="66"/>
    </row>
    <row r="6838" spans="1:1" x14ac:dyDescent="0.25">
      <c r="A6838" s="66"/>
    </row>
    <row r="6839" spans="1:1" x14ac:dyDescent="0.25">
      <c r="A6839" s="66"/>
    </row>
    <row r="6840" spans="1:1" x14ac:dyDescent="0.25">
      <c r="A6840" s="66"/>
    </row>
    <row r="6841" spans="1:1" x14ac:dyDescent="0.25">
      <c r="A6841" s="66"/>
    </row>
    <row r="6842" spans="1:1" x14ac:dyDescent="0.25">
      <c r="A6842" s="66"/>
    </row>
    <row r="6843" spans="1:1" x14ac:dyDescent="0.25">
      <c r="A6843" s="66"/>
    </row>
    <row r="6844" spans="1:1" x14ac:dyDescent="0.25">
      <c r="A6844" s="66"/>
    </row>
    <row r="6845" spans="1:1" x14ac:dyDescent="0.25">
      <c r="A6845" s="66"/>
    </row>
    <row r="6846" spans="1:1" x14ac:dyDescent="0.25">
      <c r="A6846" s="66"/>
    </row>
    <row r="6847" spans="1:1" x14ac:dyDescent="0.25">
      <c r="A6847" s="66"/>
    </row>
    <row r="6848" spans="1:1" x14ac:dyDescent="0.25">
      <c r="A6848" s="66"/>
    </row>
    <row r="6849" spans="1:1" x14ac:dyDescent="0.25">
      <c r="A6849" s="66"/>
    </row>
    <row r="6850" spans="1:1" x14ac:dyDescent="0.25">
      <c r="A6850" s="66"/>
    </row>
    <row r="6851" spans="1:1" x14ac:dyDescent="0.25">
      <c r="A6851" s="66"/>
    </row>
    <row r="6852" spans="1:1" x14ac:dyDescent="0.25">
      <c r="A6852" s="66"/>
    </row>
    <row r="6853" spans="1:1" x14ac:dyDescent="0.25">
      <c r="A6853" s="66"/>
    </row>
    <row r="6854" spans="1:1" x14ac:dyDescent="0.25">
      <c r="A6854" s="66"/>
    </row>
    <row r="6855" spans="1:1" x14ac:dyDescent="0.25">
      <c r="A6855" s="66"/>
    </row>
    <row r="6856" spans="1:1" x14ac:dyDescent="0.25">
      <c r="A6856" s="66"/>
    </row>
    <row r="6857" spans="1:1" x14ac:dyDescent="0.25">
      <c r="A6857" s="66"/>
    </row>
    <row r="6858" spans="1:1" x14ac:dyDescent="0.25">
      <c r="A6858" s="66"/>
    </row>
    <row r="6859" spans="1:1" x14ac:dyDescent="0.25">
      <c r="A6859" s="66"/>
    </row>
    <row r="6860" spans="1:1" x14ac:dyDescent="0.25">
      <c r="A6860" s="66"/>
    </row>
    <row r="6861" spans="1:1" x14ac:dyDescent="0.25">
      <c r="A6861" s="66"/>
    </row>
    <row r="6862" spans="1:1" x14ac:dyDescent="0.25">
      <c r="A6862" s="66"/>
    </row>
    <row r="6863" spans="1:1" x14ac:dyDescent="0.25">
      <c r="A6863" s="66"/>
    </row>
    <row r="6864" spans="1:1" x14ac:dyDescent="0.25">
      <c r="A6864" s="66"/>
    </row>
    <row r="6865" spans="1:1" x14ac:dyDescent="0.25">
      <c r="A6865" s="66"/>
    </row>
    <row r="6866" spans="1:1" x14ac:dyDescent="0.25">
      <c r="A6866" s="66"/>
    </row>
    <row r="6867" spans="1:1" x14ac:dyDescent="0.25">
      <c r="A6867" s="66"/>
    </row>
    <row r="6868" spans="1:1" x14ac:dyDescent="0.25">
      <c r="A6868" s="66"/>
    </row>
    <row r="6869" spans="1:1" x14ac:dyDescent="0.25">
      <c r="A6869" s="66"/>
    </row>
    <row r="6870" spans="1:1" x14ac:dyDescent="0.25">
      <c r="A6870" s="66"/>
    </row>
    <row r="6871" spans="1:1" x14ac:dyDescent="0.25">
      <c r="A6871" s="66"/>
    </row>
    <row r="6872" spans="1:1" x14ac:dyDescent="0.25">
      <c r="A6872" s="66"/>
    </row>
    <row r="6873" spans="1:1" x14ac:dyDescent="0.25">
      <c r="A6873" s="66"/>
    </row>
    <row r="6874" spans="1:1" x14ac:dyDescent="0.25">
      <c r="A6874" s="66"/>
    </row>
    <row r="6875" spans="1:1" x14ac:dyDescent="0.25">
      <c r="A6875" s="66"/>
    </row>
    <row r="6876" spans="1:1" x14ac:dyDescent="0.25">
      <c r="A6876" s="66"/>
    </row>
    <row r="6877" spans="1:1" x14ac:dyDescent="0.25">
      <c r="A6877" s="66"/>
    </row>
    <row r="6878" spans="1:1" x14ac:dyDescent="0.25">
      <c r="A6878" s="66"/>
    </row>
    <row r="6879" spans="1:1" x14ac:dyDescent="0.25">
      <c r="A6879" s="66"/>
    </row>
    <row r="6880" spans="1:1" x14ac:dyDescent="0.25">
      <c r="A6880" s="66"/>
    </row>
    <row r="6881" spans="1:1" x14ac:dyDescent="0.25">
      <c r="A6881" s="66"/>
    </row>
    <row r="6882" spans="1:1" x14ac:dyDescent="0.25">
      <c r="A6882" s="66"/>
    </row>
    <row r="6883" spans="1:1" x14ac:dyDescent="0.25">
      <c r="A6883" s="66"/>
    </row>
    <row r="6884" spans="1:1" x14ac:dyDescent="0.25">
      <c r="A6884" s="66"/>
    </row>
    <row r="6885" spans="1:1" x14ac:dyDescent="0.25">
      <c r="A6885" s="66"/>
    </row>
    <row r="6886" spans="1:1" x14ac:dyDescent="0.25">
      <c r="A6886" s="66"/>
    </row>
    <row r="6887" spans="1:1" x14ac:dyDescent="0.25">
      <c r="A6887" s="66"/>
    </row>
    <row r="6888" spans="1:1" x14ac:dyDescent="0.25">
      <c r="A6888" s="66"/>
    </row>
    <row r="6889" spans="1:1" x14ac:dyDescent="0.25">
      <c r="A6889" s="66"/>
    </row>
    <row r="6890" spans="1:1" x14ac:dyDescent="0.25">
      <c r="A6890" s="66"/>
    </row>
    <row r="6891" spans="1:1" x14ac:dyDescent="0.25">
      <c r="A6891" s="66"/>
    </row>
    <row r="6892" spans="1:1" x14ac:dyDescent="0.25">
      <c r="A6892" s="66"/>
    </row>
    <row r="6893" spans="1:1" x14ac:dyDescent="0.25">
      <c r="A6893" s="66"/>
    </row>
    <row r="6894" spans="1:1" x14ac:dyDescent="0.25">
      <c r="A6894" s="66"/>
    </row>
    <row r="6895" spans="1:1" x14ac:dyDescent="0.25">
      <c r="A6895" s="66"/>
    </row>
    <row r="6896" spans="1:1" x14ac:dyDescent="0.25">
      <c r="A6896" s="66"/>
    </row>
    <row r="6897" spans="1:1" x14ac:dyDescent="0.25">
      <c r="A6897" s="66"/>
    </row>
    <row r="6898" spans="1:1" x14ac:dyDescent="0.25">
      <c r="A6898" s="66"/>
    </row>
    <row r="6899" spans="1:1" x14ac:dyDescent="0.25">
      <c r="A6899" s="66"/>
    </row>
    <row r="6900" spans="1:1" x14ac:dyDescent="0.25">
      <c r="A6900" s="66"/>
    </row>
    <row r="6901" spans="1:1" x14ac:dyDescent="0.25">
      <c r="A6901" s="66"/>
    </row>
    <row r="6902" spans="1:1" x14ac:dyDescent="0.25">
      <c r="A6902" s="66"/>
    </row>
    <row r="6903" spans="1:1" x14ac:dyDescent="0.25">
      <c r="A6903" s="66"/>
    </row>
    <row r="6904" spans="1:1" x14ac:dyDescent="0.25">
      <c r="A6904" s="66"/>
    </row>
    <row r="6905" spans="1:1" x14ac:dyDescent="0.25">
      <c r="A6905" s="66"/>
    </row>
    <row r="6906" spans="1:1" x14ac:dyDescent="0.25">
      <c r="A6906" s="66"/>
    </row>
    <row r="6907" spans="1:1" x14ac:dyDescent="0.25">
      <c r="A6907" s="66"/>
    </row>
    <row r="6908" spans="1:1" x14ac:dyDescent="0.25">
      <c r="A6908" s="66"/>
    </row>
    <row r="6909" spans="1:1" x14ac:dyDescent="0.25">
      <c r="A6909" s="66"/>
    </row>
    <row r="6910" spans="1:1" x14ac:dyDescent="0.25">
      <c r="A6910" s="66"/>
    </row>
    <row r="6911" spans="1:1" x14ac:dyDescent="0.25">
      <c r="A6911" s="66"/>
    </row>
    <row r="6912" spans="1:1" x14ac:dyDescent="0.25">
      <c r="A6912" s="66"/>
    </row>
    <row r="6913" spans="1:1" x14ac:dyDescent="0.25">
      <c r="A6913" s="66"/>
    </row>
    <row r="6914" spans="1:1" x14ac:dyDescent="0.25">
      <c r="A6914" s="66"/>
    </row>
    <row r="6915" spans="1:1" x14ac:dyDescent="0.25">
      <c r="A6915" s="66"/>
    </row>
    <row r="6916" spans="1:1" x14ac:dyDescent="0.25">
      <c r="A6916" s="66"/>
    </row>
    <row r="6917" spans="1:1" x14ac:dyDescent="0.25">
      <c r="A6917" s="66"/>
    </row>
    <row r="6918" spans="1:1" x14ac:dyDescent="0.25">
      <c r="A6918" s="66"/>
    </row>
    <row r="6919" spans="1:1" x14ac:dyDescent="0.25">
      <c r="A6919" s="66"/>
    </row>
    <row r="6920" spans="1:1" x14ac:dyDescent="0.25">
      <c r="A6920" s="66"/>
    </row>
    <row r="6921" spans="1:1" x14ac:dyDescent="0.25">
      <c r="A6921" s="66"/>
    </row>
    <row r="6922" spans="1:1" x14ac:dyDescent="0.25">
      <c r="A6922" s="66"/>
    </row>
    <row r="6923" spans="1:1" x14ac:dyDescent="0.25">
      <c r="A6923" s="66"/>
    </row>
    <row r="6924" spans="1:1" x14ac:dyDescent="0.25">
      <c r="A6924" s="66"/>
    </row>
    <row r="6925" spans="1:1" x14ac:dyDescent="0.25">
      <c r="A6925" s="66"/>
    </row>
    <row r="6926" spans="1:1" x14ac:dyDescent="0.25">
      <c r="A6926" s="66"/>
    </row>
    <row r="6927" spans="1:1" x14ac:dyDescent="0.25">
      <c r="A6927" s="66"/>
    </row>
    <row r="6928" spans="1:1" x14ac:dyDescent="0.25">
      <c r="A6928" s="66"/>
    </row>
    <row r="6929" spans="1:1" x14ac:dyDescent="0.25">
      <c r="A6929" s="66"/>
    </row>
    <row r="6930" spans="1:1" x14ac:dyDescent="0.25">
      <c r="A6930" s="66"/>
    </row>
    <row r="6931" spans="1:1" x14ac:dyDescent="0.25">
      <c r="A6931" s="66"/>
    </row>
    <row r="6932" spans="1:1" x14ac:dyDescent="0.25">
      <c r="A6932" s="66"/>
    </row>
    <row r="6933" spans="1:1" x14ac:dyDescent="0.25">
      <c r="A6933" s="66"/>
    </row>
    <row r="6934" spans="1:1" x14ac:dyDescent="0.25">
      <c r="A6934" s="66"/>
    </row>
    <row r="6935" spans="1:1" x14ac:dyDescent="0.25">
      <c r="A6935" s="66"/>
    </row>
    <row r="6936" spans="1:1" x14ac:dyDescent="0.25">
      <c r="A6936" s="66"/>
    </row>
    <row r="6937" spans="1:1" x14ac:dyDescent="0.25">
      <c r="A6937" s="66"/>
    </row>
    <row r="6938" spans="1:1" x14ac:dyDescent="0.25">
      <c r="A6938" s="66"/>
    </row>
    <row r="6939" spans="1:1" x14ac:dyDescent="0.25">
      <c r="A6939" s="66"/>
    </row>
    <row r="6940" spans="1:1" x14ac:dyDescent="0.25">
      <c r="A6940" s="66"/>
    </row>
    <row r="6941" spans="1:1" x14ac:dyDescent="0.25">
      <c r="A6941" s="66"/>
    </row>
    <row r="6942" spans="1:1" x14ac:dyDescent="0.25">
      <c r="A6942" s="66"/>
    </row>
    <row r="6943" spans="1:1" x14ac:dyDescent="0.25">
      <c r="A6943" s="66"/>
    </row>
    <row r="6944" spans="1:1" x14ac:dyDescent="0.25">
      <c r="A6944" s="66"/>
    </row>
    <row r="6945" spans="1:1" x14ac:dyDescent="0.25">
      <c r="A6945" s="66"/>
    </row>
    <row r="6946" spans="1:1" x14ac:dyDescent="0.25">
      <c r="A6946" s="66"/>
    </row>
    <row r="6947" spans="1:1" x14ac:dyDescent="0.25">
      <c r="A6947" s="66"/>
    </row>
    <row r="6948" spans="1:1" x14ac:dyDescent="0.25">
      <c r="A6948" s="66"/>
    </row>
    <row r="6949" spans="1:1" x14ac:dyDescent="0.25">
      <c r="A6949" s="66"/>
    </row>
    <row r="6950" spans="1:1" x14ac:dyDescent="0.25">
      <c r="A6950" s="66"/>
    </row>
    <row r="6951" spans="1:1" x14ac:dyDescent="0.25">
      <c r="A6951" s="66"/>
    </row>
    <row r="6952" spans="1:1" x14ac:dyDescent="0.25">
      <c r="A6952" s="66"/>
    </row>
    <row r="6953" spans="1:1" x14ac:dyDescent="0.25">
      <c r="A6953" s="66"/>
    </row>
    <row r="6954" spans="1:1" x14ac:dyDescent="0.25">
      <c r="A6954" s="66"/>
    </row>
    <row r="6955" spans="1:1" x14ac:dyDescent="0.25">
      <c r="A6955" s="66"/>
    </row>
    <row r="6956" spans="1:1" x14ac:dyDescent="0.25">
      <c r="A6956" s="66"/>
    </row>
    <row r="6957" spans="1:1" x14ac:dyDescent="0.25">
      <c r="A6957" s="66"/>
    </row>
    <row r="6958" spans="1:1" x14ac:dyDescent="0.25">
      <c r="A6958" s="66"/>
    </row>
    <row r="6959" spans="1:1" x14ac:dyDescent="0.25">
      <c r="A6959" s="66"/>
    </row>
    <row r="6960" spans="1:1" x14ac:dyDescent="0.25">
      <c r="A6960" s="66"/>
    </row>
    <row r="6961" spans="1:1" x14ac:dyDescent="0.25">
      <c r="A6961" s="66"/>
    </row>
    <row r="6962" spans="1:1" x14ac:dyDescent="0.25">
      <c r="A6962" s="66"/>
    </row>
    <row r="6963" spans="1:1" x14ac:dyDescent="0.25">
      <c r="A6963" s="66"/>
    </row>
    <row r="6964" spans="1:1" x14ac:dyDescent="0.25">
      <c r="A6964" s="66"/>
    </row>
    <row r="6965" spans="1:1" x14ac:dyDescent="0.25">
      <c r="A6965" s="66"/>
    </row>
    <row r="6966" spans="1:1" x14ac:dyDescent="0.25">
      <c r="A6966" s="66"/>
    </row>
    <row r="6967" spans="1:1" x14ac:dyDescent="0.25">
      <c r="A6967" s="66"/>
    </row>
    <row r="6968" spans="1:1" x14ac:dyDescent="0.25">
      <c r="A6968" s="66"/>
    </row>
    <row r="6969" spans="1:1" x14ac:dyDescent="0.25">
      <c r="A6969" s="66"/>
    </row>
    <row r="6970" spans="1:1" x14ac:dyDescent="0.25">
      <c r="A6970" s="66"/>
    </row>
    <row r="6971" spans="1:1" x14ac:dyDescent="0.25">
      <c r="A6971" s="66"/>
    </row>
    <row r="6972" spans="1:1" x14ac:dyDescent="0.25">
      <c r="A6972" s="66"/>
    </row>
    <row r="6973" spans="1:1" x14ac:dyDescent="0.25">
      <c r="A6973" s="66"/>
    </row>
    <row r="6974" spans="1:1" x14ac:dyDescent="0.25">
      <c r="A6974" s="66"/>
    </row>
    <row r="6975" spans="1:1" x14ac:dyDescent="0.25">
      <c r="A6975" s="66"/>
    </row>
    <row r="6976" spans="1:1" x14ac:dyDescent="0.25">
      <c r="A6976" s="66"/>
    </row>
    <row r="6977" spans="1:1" x14ac:dyDescent="0.25">
      <c r="A6977" s="66"/>
    </row>
    <row r="6978" spans="1:1" x14ac:dyDescent="0.25">
      <c r="A6978" s="66"/>
    </row>
    <row r="6979" spans="1:1" x14ac:dyDescent="0.25">
      <c r="A6979" s="66"/>
    </row>
    <row r="6980" spans="1:1" x14ac:dyDescent="0.25">
      <c r="A6980" s="66"/>
    </row>
    <row r="6981" spans="1:1" x14ac:dyDescent="0.25">
      <c r="A6981" s="66"/>
    </row>
    <row r="6982" spans="1:1" x14ac:dyDescent="0.25">
      <c r="A6982" s="66"/>
    </row>
    <row r="6983" spans="1:1" x14ac:dyDescent="0.25">
      <c r="A6983" s="66"/>
    </row>
    <row r="6984" spans="1:1" x14ac:dyDescent="0.25">
      <c r="A6984" s="66"/>
    </row>
    <row r="6985" spans="1:1" x14ac:dyDescent="0.25">
      <c r="A6985" s="66"/>
    </row>
    <row r="6986" spans="1:1" x14ac:dyDescent="0.25">
      <c r="A6986" s="66"/>
    </row>
    <row r="6987" spans="1:1" x14ac:dyDescent="0.25">
      <c r="A6987" s="66"/>
    </row>
    <row r="6988" spans="1:1" x14ac:dyDescent="0.25">
      <c r="A6988" s="66"/>
    </row>
    <row r="6989" spans="1:1" x14ac:dyDescent="0.25">
      <c r="A6989" s="66"/>
    </row>
    <row r="6990" spans="1:1" x14ac:dyDescent="0.25">
      <c r="A6990" s="66"/>
    </row>
    <row r="6991" spans="1:1" x14ac:dyDescent="0.25">
      <c r="A6991" s="66"/>
    </row>
    <row r="6992" spans="1:1" x14ac:dyDescent="0.25">
      <c r="A6992" s="66"/>
    </row>
    <row r="6993" spans="1:1" x14ac:dyDescent="0.25">
      <c r="A6993" s="66"/>
    </row>
    <row r="6994" spans="1:1" x14ac:dyDescent="0.25">
      <c r="A6994" s="66"/>
    </row>
    <row r="6995" spans="1:1" x14ac:dyDescent="0.25">
      <c r="A6995" s="66"/>
    </row>
    <row r="6996" spans="1:1" x14ac:dyDescent="0.25">
      <c r="A6996" s="66"/>
    </row>
    <row r="6997" spans="1:1" x14ac:dyDescent="0.25">
      <c r="A6997" s="66"/>
    </row>
    <row r="6998" spans="1:1" x14ac:dyDescent="0.25">
      <c r="A6998" s="66"/>
    </row>
    <row r="6999" spans="1:1" x14ac:dyDescent="0.25">
      <c r="A6999" s="66"/>
    </row>
    <row r="7000" spans="1:1" x14ac:dyDescent="0.25">
      <c r="A7000" s="66"/>
    </row>
    <row r="7001" spans="1:1" x14ac:dyDescent="0.25">
      <c r="A7001" s="66"/>
    </row>
    <row r="7002" spans="1:1" x14ac:dyDescent="0.25">
      <c r="A7002" s="66"/>
    </row>
    <row r="7003" spans="1:1" x14ac:dyDescent="0.25">
      <c r="A7003" s="66"/>
    </row>
    <row r="7004" spans="1:1" x14ac:dyDescent="0.25">
      <c r="A7004" s="66"/>
    </row>
    <row r="7005" spans="1:1" x14ac:dyDescent="0.25">
      <c r="A7005" s="66"/>
    </row>
    <row r="7006" spans="1:1" x14ac:dyDescent="0.25">
      <c r="A7006" s="66"/>
    </row>
    <row r="7007" spans="1:1" x14ac:dyDescent="0.25">
      <c r="A7007" s="66"/>
    </row>
    <row r="7008" spans="1:1" x14ac:dyDescent="0.25">
      <c r="A7008" s="66"/>
    </row>
    <row r="7009" spans="1:1" x14ac:dyDescent="0.25">
      <c r="A7009" s="66"/>
    </row>
    <row r="7010" spans="1:1" x14ac:dyDescent="0.25">
      <c r="A7010" s="66"/>
    </row>
    <row r="7011" spans="1:1" x14ac:dyDescent="0.25">
      <c r="A7011" s="66"/>
    </row>
    <row r="7012" spans="1:1" x14ac:dyDescent="0.25">
      <c r="A7012" s="66"/>
    </row>
    <row r="7013" spans="1:1" x14ac:dyDescent="0.25">
      <c r="A7013" s="66"/>
    </row>
    <row r="7014" spans="1:1" x14ac:dyDescent="0.25">
      <c r="A7014" s="66"/>
    </row>
    <row r="7015" spans="1:1" x14ac:dyDescent="0.25">
      <c r="A7015" s="66"/>
    </row>
    <row r="7016" spans="1:1" x14ac:dyDescent="0.25">
      <c r="A7016" s="66"/>
    </row>
    <row r="7017" spans="1:1" x14ac:dyDescent="0.25">
      <c r="A7017" s="66"/>
    </row>
    <row r="7018" spans="1:1" x14ac:dyDescent="0.25">
      <c r="A7018" s="66"/>
    </row>
    <row r="7019" spans="1:1" x14ac:dyDescent="0.25">
      <c r="A7019" s="66"/>
    </row>
    <row r="7020" spans="1:1" x14ac:dyDescent="0.25">
      <c r="A7020" s="66"/>
    </row>
    <row r="7021" spans="1:1" x14ac:dyDescent="0.25">
      <c r="A7021" s="66"/>
    </row>
    <row r="7022" spans="1:1" x14ac:dyDescent="0.25">
      <c r="A7022" s="66"/>
    </row>
    <row r="7023" spans="1:1" x14ac:dyDescent="0.25">
      <c r="A7023" s="66"/>
    </row>
    <row r="7024" spans="1:1" x14ac:dyDescent="0.25">
      <c r="A7024" s="66"/>
    </row>
    <row r="7025" spans="1:1" x14ac:dyDescent="0.25">
      <c r="A7025" s="66"/>
    </row>
    <row r="7026" spans="1:1" x14ac:dyDescent="0.25">
      <c r="A7026" s="66"/>
    </row>
    <row r="7027" spans="1:1" x14ac:dyDescent="0.25">
      <c r="A7027" s="66"/>
    </row>
    <row r="7028" spans="1:1" x14ac:dyDescent="0.25">
      <c r="A7028" s="66"/>
    </row>
    <row r="7029" spans="1:1" x14ac:dyDescent="0.25">
      <c r="A7029" s="66"/>
    </row>
    <row r="7030" spans="1:1" x14ac:dyDescent="0.25">
      <c r="A7030" s="66"/>
    </row>
    <row r="7031" spans="1:1" x14ac:dyDescent="0.25">
      <c r="A7031" s="66"/>
    </row>
    <row r="7032" spans="1:1" x14ac:dyDescent="0.25">
      <c r="A7032" s="66"/>
    </row>
    <row r="7033" spans="1:1" x14ac:dyDescent="0.25">
      <c r="A7033" s="66"/>
    </row>
    <row r="7034" spans="1:1" x14ac:dyDescent="0.25">
      <c r="A7034" s="66"/>
    </row>
    <row r="7035" spans="1:1" x14ac:dyDescent="0.25">
      <c r="A7035" s="66"/>
    </row>
    <row r="7036" spans="1:1" x14ac:dyDescent="0.25">
      <c r="A7036" s="66"/>
    </row>
    <row r="7037" spans="1:1" x14ac:dyDescent="0.25">
      <c r="A7037" s="66"/>
    </row>
    <row r="7038" spans="1:1" x14ac:dyDescent="0.25">
      <c r="A7038" s="66"/>
    </row>
    <row r="7039" spans="1:1" x14ac:dyDescent="0.25">
      <c r="A7039" s="66"/>
    </row>
    <row r="7040" spans="1:1" x14ac:dyDescent="0.25">
      <c r="A7040" s="66"/>
    </row>
    <row r="7041" spans="1:1" x14ac:dyDescent="0.25">
      <c r="A7041" s="66"/>
    </row>
    <row r="7042" spans="1:1" x14ac:dyDescent="0.25">
      <c r="A7042" s="66"/>
    </row>
    <row r="7043" spans="1:1" x14ac:dyDescent="0.25">
      <c r="A7043" s="66"/>
    </row>
    <row r="7044" spans="1:1" x14ac:dyDescent="0.25">
      <c r="A7044" s="66"/>
    </row>
    <row r="7045" spans="1:1" x14ac:dyDescent="0.25">
      <c r="A7045" s="66"/>
    </row>
    <row r="7046" spans="1:1" x14ac:dyDescent="0.25">
      <c r="A7046" s="66"/>
    </row>
    <row r="7047" spans="1:1" x14ac:dyDescent="0.25">
      <c r="A7047" s="66"/>
    </row>
    <row r="7048" spans="1:1" x14ac:dyDescent="0.25">
      <c r="A7048" s="66"/>
    </row>
    <row r="7049" spans="1:1" x14ac:dyDescent="0.25">
      <c r="A7049" s="66"/>
    </row>
    <row r="7050" spans="1:1" x14ac:dyDescent="0.25">
      <c r="A7050" s="66"/>
    </row>
    <row r="7051" spans="1:1" x14ac:dyDescent="0.25">
      <c r="A7051" s="66"/>
    </row>
    <row r="7052" spans="1:1" x14ac:dyDescent="0.25">
      <c r="A7052" s="66"/>
    </row>
    <row r="7053" spans="1:1" x14ac:dyDescent="0.25">
      <c r="A7053" s="66"/>
    </row>
    <row r="7054" spans="1:1" x14ac:dyDescent="0.25">
      <c r="A7054" s="66"/>
    </row>
    <row r="7055" spans="1:1" x14ac:dyDescent="0.25">
      <c r="A7055" s="66"/>
    </row>
    <row r="7056" spans="1:1" x14ac:dyDescent="0.25">
      <c r="A7056" s="66"/>
    </row>
    <row r="7057" spans="1:1" x14ac:dyDescent="0.25">
      <c r="A7057" s="66"/>
    </row>
    <row r="7058" spans="1:1" x14ac:dyDescent="0.25">
      <c r="A7058" s="66"/>
    </row>
    <row r="7059" spans="1:1" x14ac:dyDescent="0.25">
      <c r="A7059" s="66"/>
    </row>
    <row r="7060" spans="1:1" x14ac:dyDescent="0.25">
      <c r="A7060" s="66"/>
    </row>
    <row r="7061" spans="1:1" x14ac:dyDescent="0.25">
      <c r="A7061" s="66"/>
    </row>
    <row r="7062" spans="1:1" x14ac:dyDescent="0.25">
      <c r="A7062" s="66"/>
    </row>
    <row r="7063" spans="1:1" x14ac:dyDescent="0.25">
      <c r="A7063" s="66"/>
    </row>
    <row r="7064" spans="1:1" x14ac:dyDescent="0.25">
      <c r="A7064" s="66"/>
    </row>
    <row r="7065" spans="1:1" x14ac:dyDescent="0.25">
      <c r="A7065" s="66"/>
    </row>
    <row r="7066" spans="1:1" x14ac:dyDescent="0.25">
      <c r="A7066" s="66"/>
    </row>
    <row r="7067" spans="1:1" x14ac:dyDescent="0.25">
      <c r="A7067" s="66"/>
    </row>
    <row r="7068" spans="1:1" x14ac:dyDescent="0.25">
      <c r="A7068" s="66"/>
    </row>
    <row r="7069" spans="1:1" x14ac:dyDescent="0.25">
      <c r="A7069" s="66"/>
    </row>
    <row r="7070" spans="1:1" x14ac:dyDescent="0.25">
      <c r="A7070" s="66"/>
    </row>
    <row r="7071" spans="1:1" x14ac:dyDescent="0.25">
      <c r="A7071" s="66"/>
    </row>
    <row r="7072" spans="1:1" x14ac:dyDescent="0.25">
      <c r="A7072" s="66"/>
    </row>
    <row r="7073" spans="1:1" x14ac:dyDescent="0.25">
      <c r="A7073" s="66"/>
    </row>
    <row r="7074" spans="1:1" x14ac:dyDescent="0.25">
      <c r="A7074" s="66"/>
    </row>
    <row r="7075" spans="1:1" x14ac:dyDescent="0.25">
      <c r="A7075" s="66"/>
    </row>
    <row r="7076" spans="1:1" x14ac:dyDescent="0.25">
      <c r="A7076" s="66"/>
    </row>
    <row r="7077" spans="1:1" x14ac:dyDescent="0.25">
      <c r="A7077" s="66"/>
    </row>
    <row r="7078" spans="1:1" x14ac:dyDescent="0.25">
      <c r="A7078" s="66"/>
    </row>
    <row r="7079" spans="1:1" x14ac:dyDescent="0.25">
      <c r="A7079" s="66"/>
    </row>
    <row r="7080" spans="1:1" x14ac:dyDescent="0.25">
      <c r="A7080" s="66"/>
    </row>
    <row r="7081" spans="1:1" x14ac:dyDescent="0.25">
      <c r="A7081" s="66"/>
    </row>
    <row r="7082" spans="1:1" x14ac:dyDescent="0.25">
      <c r="A7082" s="66"/>
    </row>
    <row r="7083" spans="1:1" x14ac:dyDescent="0.25">
      <c r="A7083" s="66"/>
    </row>
    <row r="7084" spans="1:1" x14ac:dyDescent="0.25">
      <c r="A7084" s="66"/>
    </row>
    <row r="7085" spans="1:1" x14ac:dyDescent="0.25">
      <c r="A7085" s="66"/>
    </row>
    <row r="7086" spans="1:1" x14ac:dyDescent="0.25">
      <c r="A7086" s="66"/>
    </row>
    <row r="7087" spans="1:1" x14ac:dyDescent="0.25">
      <c r="A7087" s="66"/>
    </row>
    <row r="7088" spans="1:1" x14ac:dyDescent="0.25">
      <c r="A7088" s="66"/>
    </row>
    <row r="7089" spans="1:1" x14ac:dyDescent="0.25">
      <c r="A7089" s="66"/>
    </row>
    <row r="7090" spans="1:1" x14ac:dyDescent="0.25">
      <c r="A7090" s="66"/>
    </row>
    <row r="7091" spans="1:1" x14ac:dyDescent="0.25">
      <c r="A7091" s="66"/>
    </row>
    <row r="7092" spans="1:1" x14ac:dyDescent="0.25">
      <c r="A7092" s="66"/>
    </row>
    <row r="7093" spans="1:1" x14ac:dyDescent="0.25">
      <c r="A7093" s="66"/>
    </row>
    <row r="7094" spans="1:1" x14ac:dyDescent="0.25">
      <c r="A7094" s="66"/>
    </row>
    <row r="7095" spans="1:1" x14ac:dyDescent="0.25">
      <c r="A7095" s="66"/>
    </row>
    <row r="7096" spans="1:1" x14ac:dyDescent="0.25">
      <c r="A7096" s="66"/>
    </row>
    <row r="7097" spans="1:1" x14ac:dyDescent="0.25">
      <c r="A7097" s="66"/>
    </row>
    <row r="7098" spans="1:1" x14ac:dyDescent="0.25">
      <c r="A7098" s="66"/>
    </row>
    <row r="7099" spans="1:1" x14ac:dyDescent="0.25">
      <c r="A7099" s="66"/>
    </row>
    <row r="7100" spans="1:1" x14ac:dyDescent="0.25">
      <c r="A7100" s="66"/>
    </row>
    <row r="7101" spans="1:1" x14ac:dyDescent="0.25">
      <c r="A7101" s="66"/>
    </row>
    <row r="7102" spans="1:1" x14ac:dyDescent="0.25">
      <c r="A7102" s="66"/>
    </row>
    <row r="7103" spans="1:1" x14ac:dyDescent="0.25">
      <c r="A7103" s="66"/>
    </row>
    <row r="7104" spans="1:1" x14ac:dyDescent="0.25">
      <c r="A7104" s="66"/>
    </row>
    <row r="7105" spans="1:1" x14ac:dyDescent="0.25">
      <c r="A7105" s="66"/>
    </row>
    <row r="7106" spans="1:1" x14ac:dyDescent="0.25">
      <c r="A7106" s="66"/>
    </row>
    <row r="7107" spans="1:1" x14ac:dyDescent="0.25">
      <c r="A7107" s="66"/>
    </row>
    <row r="7108" spans="1:1" x14ac:dyDescent="0.25">
      <c r="A7108" s="66"/>
    </row>
    <row r="7109" spans="1:1" x14ac:dyDescent="0.25">
      <c r="A7109" s="66"/>
    </row>
    <row r="7110" spans="1:1" x14ac:dyDescent="0.25">
      <c r="A7110" s="66"/>
    </row>
    <row r="7111" spans="1:1" x14ac:dyDescent="0.25">
      <c r="A7111" s="66"/>
    </row>
    <row r="7112" spans="1:1" x14ac:dyDescent="0.25">
      <c r="A7112" s="66"/>
    </row>
    <row r="7113" spans="1:1" x14ac:dyDescent="0.25">
      <c r="A7113" s="66"/>
    </row>
    <row r="7114" spans="1:1" x14ac:dyDescent="0.25">
      <c r="A7114" s="66"/>
    </row>
    <row r="7115" spans="1:1" x14ac:dyDescent="0.25">
      <c r="A7115" s="66"/>
    </row>
    <row r="7116" spans="1:1" x14ac:dyDescent="0.25">
      <c r="A7116" s="66"/>
    </row>
    <row r="7117" spans="1:1" x14ac:dyDescent="0.25">
      <c r="A7117" s="66"/>
    </row>
    <row r="7118" spans="1:1" x14ac:dyDescent="0.25">
      <c r="A7118" s="66"/>
    </row>
    <row r="7119" spans="1:1" x14ac:dyDescent="0.25">
      <c r="A7119" s="66"/>
    </row>
    <row r="7120" spans="1:1" x14ac:dyDescent="0.25">
      <c r="A7120" s="66"/>
    </row>
    <row r="7121" spans="1:1" x14ac:dyDescent="0.25">
      <c r="A7121" s="66"/>
    </row>
    <row r="7122" spans="1:1" x14ac:dyDescent="0.25">
      <c r="A7122" s="66"/>
    </row>
    <row r="7123" spans="1:1" x14ac:dyDescent="0.25">
      <c r="A7123" s="66"/>
    </row>
    <row r="7124" spans="1:1" x14ac:dyDescent="0.25">
      <c r="A7124" s="66"/>
    </row>
    <row r="7125" spans="1:1" x14ac:dyDescent="0.25">
      <c r="A7125" s="66"/>
    </row>
    <row r="7126" spans="1:1" x14ac:dyDescent="0.25">
      <c r="A7126" s="66"/>
    </row>
    <row r="7127" spans="1:1" x14ac:dyDescent="0.25">
      <c r="A7127" s="66"/>
    </row>
    <row r="7128" spans="1:1" x14ac:dyDescent="0.25">
      <c r="A7128" s="66"/>
    </row>
    <row r="7129" spans="1:1" x14ac:dyDescent="0.25">
      <c r="A7129" s="66"/>
    </row>
    <row r="7130" spans="1:1" x14ac:dyDescent="0.25">
      <c r="A7130" s="66"/>
    </row>
    <row r="7131" spans="1:1" x14ac:dyDescent="0.25">
      <c r="A7131" s="66"/>
    </row>
    <row r="7132" spans="1:1" x14ac:dyDescent="0.25">
      <c r="A7132" s="66"/>
    </row>
    <row r="7133" spans="1:1" x14ac:dyDescent="0.25">
      <c r="A7133" s="66"/>
    </row>
    <row r="7134" spans="1:1" x14ac:dyDescent="0.25">
      <c r="A7134" s="66"/>
    </row>
    <row r="7135" spans="1:1" x14ac:dyDescent="0.25">
      <c r="A7135" s="66"/>
    </row>
    <row r="7136" spans="1:1" x14ac:dyDescent="0.25">
      <c r="A7136" s="66"/>
    </row>
    <row r="7137" spans="1:1" x14ac:dyDescent="0.25">
      <c r="A7137" s="66"/>
    </row>
    <row r="7138" spans="1:1" x14ac:dyDescent="0.25">
      <c r="A7138" s="66"/>
    </row>
    <row r="7139" spans="1:1" x14ac:dyDescent="0.25">
      <c r="A7139" s="66"/>
    </row>
    <row r="7140" spans="1:1" x14ac:dyDescent="0.25">
      <c r="A7140" s="66"/>
    </row>
    <row r="7141" spans="1:1" x14ac:dyDescent="0.25">
      <c r="A7141" s="66"/>
    </row>
    <row r="7142" spans="1:1" x14ac:dyDescent="0.25">
      <c r="A7142" s="66"/>
    </row>
    <row r="7143" spans="1:1" x14ac:dyDescent="0.25">
      <c r="A7143" s="66"/>
    </row>
    <row r="7144" spans="1:1" x14ac:dyDescent="0.25">
      <c r="A7144" s="66"/>
    </row>
    <row r="7145" spans="1:1" x14ac:dyDescent="0.25">
      <c r="A7145" s="66"/>
    </row>
    <row r="7146" spans="1:1" x14ac:dyDescent="0.25">
      <c r="A7146" s="66"/>
    </row>
    <row r="7147" spans="1:1" x14ac:dyDescent="0.25">
      <c r="A7147" s="66"/>
    </row>
    <row r="7148" spans="1:1" x14ac:dyDescent="0.25">
      <c r="A7148" s="66"/>
    </row>
    <row r="7149" spans="1:1" x14ac:dyDescent="0.25">
      <c r="A7149" s="66"/>
    </row>
    <row r="7150" spans="1:1" x14ac:dyDescent="0.25">
      <c r="A7150" s="66"/>
    </row>
    <row r="7151" spans="1:1" x14ac:dyDescent="0.25">
      <c r="A7151" s="66"/>
    </row>
    <row r="7152" spans="1:1" x14ac:dyDescent="0.25">
      <c r="A7152" s="66"/>
    </row>
    <row r="7153" spans="1:1" x14ac:dyDescent="0.25">
      <c r="A7153" s="66"/>
    </row>
    <row r="7154" spans="1:1" x14ac:dyDescent="0.25">
      <c r="A7154" s="66"/>
    </row>
    <row r="7155" spans="1:1" x14ac:dyDescent="0.25">
      <c r="A7155" s="66"/>
    </row>
    <row r="7156" spans="1:1" x14ac:dyDescent="0.25">
      <c r="A7156" s="66"/>
    </row>
    <row r="7157" spans="1:1" x14ac:dyDescent="0.25">
      <c r="A7157" s="66"/>
    </row>
    <row r="7158" spans="1:1" x14ac:dyDescent="0.25">
      <c r="A7158" s="66"/>
    </row>
    <row r="7159" spans="1:1" x14ac:dyDescent="0.25">
      <c r="A7159" s="66"/>
    </row>
    <row r="7160" spans="1:1" x14ac:dyDescent="0.25">
      <c r="A7160" s="66"/>
    </row>
    <row r="7161" spans="1:1" x14ac:dyDescent="0.25">
      <c r="A7161" s="66"/>
    </row>
    <row r="7162" spans="1:1" x14ac:dyDescent="0.25">
      <c r="A7162" s="66"/>
    </row>
    <row r="7163" spans="1:1" x14ac:dyDescent="0.25">
      <c r="A7163" s="66"/>
    </row>
    <row r="7164" spans="1:1" x14ac:dyDescent="0.25">
      <c r="A7164" s="66"/>
    </row>
    <row r="7165" spans="1:1" x14ac:dyDescent="0.25">
      <c r="A7165" s="66"/>
    </row>
    <row r="7166" spans="1:1" x14ac:dyDescent="0.25">
      <c r="A7166" s="66"/>
    </row>
    <row r="7167" spans="1:1" x14ac:dyDescent="0.25">
      <c r="A7167" s="66"/>
    </row>
    <row r="7168" spans="1:1" x14ac:dyDescent="0.25">
      <c r="A7168" s="66"/>
    </row>
    <row r="7169" spans="1:1" x14ac:dyDescent="0.25">
      <c r="A7169" s="66"/>
    </row>
    <row r="7170" spans="1:1" x14ac:dyDescent="0.25">
      <c r="A7170" s="66"/>
    </row>
    <row r="7171" spans="1:1" x14ac:dyDescent="0.25">
      <c r="A7171" s="66"/>
    </row>
    <row r="7172" spans="1:1" x14ac:dyDescent="0.25">
      <c r="A7172" s="66"/>
    </row>
    <row r="7173" spans="1:1" x14ac:dyDescent="0.25">
      <c r="A7173" s="66"/>
    </row>
    <row r="7174" spans="1:1" x14ac:dyDescent="0.25">
      <c r="A7174" s="66"/>
    </row>
    <row r="7175" spans="1:1" x14ac:dyDescent="0.25">
      <c r="A7175" s="66"/>
    </row>
    <row r="7176" spans="1:1" x14ac:dyDescent="0.25">
      <c r="A7176" s="66"/>
    </row>
    <row r="7177" spans="1:1" x14ac:dyDescent="0.25">
      <c r="A7177" s="66"/>
    </row>
    <row r="7178" spans="1:1" x14ac:dyDescent="0.25">
      <c r="A7178" s="66"/>
    </row>
    <row r="7179" spans="1:1" x14ac:dyDescent="0.25">
      <c r="A7179" s="66"/>
    </row>
    <row r="7180" spans="1:1" x14ac:dyDescent="0.25">
      <c r="A7180" s="66"/>
    </row>
    <row r="7181" spans="1:1" x14ac:dyDescent="0.25">
      <c r="A7181" s="66"/>
    </row>
    <row r="7182" spans="1:1" x14ac:dyDescent="0.25">
      <c r="A7182" s="66"/>
    </row>
    <row r="7183" spans="1:1" x14ac:dyDescent="0.25">
      <c r="A7183" s="66"/>
    </row>
    <row r="7184" spans="1:1" x14ac:dyDescent="0.25">
      <c r="A7184" s="66"/>
    </row>
    <row r="7185" spans="1:1" x14ac:dyDescent="0.25">
      <c r="A7185" s="66"/>
    </row>
    <row r="7186" spans="1:1" x14ac:dyDescent="0.25">
      <c r="A7186" s="66"/>
    </row>
    <row r="7187" spans="1:1" x14ac:dyDescent="0.25">
      <c r="A7187" s="66"/>
    </row>
    <row r="7188" spans="1:1" x14ac:dyDescent="0.25">
      <c r="A7188" s="66"/>
    </row>
    <row r="7189" spans="1:1" x14ac:dyDescent="0.25">
      <c r="A7189" s="66"/>
    </row>
    <row r="7190" spans="1:1" x14ac:dyDescent="0.25">
      <c r="A7190" s="66"/>
    </row>
    <row r="7191" spans="1:1" x14ac:dyDescent="0.25">
      <c r="A7191" s="66"/>
    </row>
    <row r="7192" spans="1:1" x14ac:dyDescent="0.25">
      <c r="A7192" s="66"/>
    </row>
    <row r="7193" spans="1:1" x14ac:dyDescent="0.25">
      <c r="A7193" s="66"/>
    </row>
    <row r="7194" spans="1:1" x14ac:dyDescent="0.25">
      <c r="A7194" s="66"/>
    </row>
    <row r="7195" spans="1:1" x14ac:dyDescent="0.25">
      <c r="A7195" s="66"/>
    </row>
    <row r="7196" spans="1:1" x14ac:dyDescent="0.25">
      <c r="A7196" s="66"/>
    </row>
    <row r="7197" spans="1:1" x14ac:dyDescent="0.25">
      <c r="A7197" s="66"/>
    </row>
    <row r="7198" spans="1:1" x14ac:dyDescent="0.25">
      <c r="A7198" s="66"/>
    </row>
    <row r="7199" spans="1:1" x14ac:dyDescent="0.25">
      <c r="A7199" s="66"/>
    </row>
    <row r="7200" spans="1:1" x14ac:dyDescent="0.25">
      <c r="A7200" s="66"/>
    </row>
    <row r="7201" spans="1:1" x14ac:dyDescent="0.25">
      <c r="A7201" s="66"/>
    </row>
    <row r="7202" spans="1:1" x14ac:dyDescent="0.25">
      <c r="A7202" s="66"/>
    </row>
    <row r="7203" spans="1:1" x14ac:dyDescent="0.25">
      <c r="A7203" s="66"/>
    </row>
    <row r="7204" spans="1:1" x14ac:dyDescent="0.25">
      <c r="A7204" s="66"/>
    </row>
    <row r="7205" spans="1:1" x14ac:dyDescent="0.25">
      <c r="A7205" s="66"/>
    </row>
    <row r="7206" spans="1:1" x14ac:dyDescent="0.25">
      <c r="A7206" s="66"/>
    </row>
    <row r="7207" spans="1:1" x14ac:dyDescent="0.25">
      <c r="A7207" s="66"/>
    </row>
    <row r="7208" spans="1:1" x14ac:dyDescent="0.25">
      <c r="A7208" s="66"/>
    </row>
    <row r="7209" spans="1:1" x14ac:dyDescent="0.25">
      <c r="A7209" s="66"/>
    </row>
    <row r="7210" spans="1:1" x14ac:dyDescent="0.25">
      <c r="A7210" s="66"/>
    </row>
    <row r="7211" spans="1:1" x14ac:dyDescent="0.25">
      <c r="A7211" s="66"/>
    </row>
    <row r="7212" spans="1:1" x14ac:dyDescent="0.25">
      <c r="A7212" s="66"/>
    </row>
    <row r="7213" spans="1:1" x14ac:dyDescent="0.25">
      <c r="A7213" s="66"/>
    </row>
    <row r="7214" spans="1:1" x14ac:dyDescent="0.25">
      <c r="A7214" s="66"/>
    </row>
    <row r="7215" spans="1:1" x14ac:dyDescent="0.25">
      <c r="A7215" s="66"/>
    </row>
    <row r="7216" spans="1:1" x14ac:dyDescent="0.25">
      <c r="A7216" s="66"/>
    </row>
    <row r="7217" spans="1:1" x14ac:dyDescent="0.25">
      <c r="A7217" s="66"/>
    </row>
    <row r="7218" spans="1:1" x14ac:dyDescent="0.25">
      <c r="A7218" s="66"/>
    </row>
    <row r="7219" spans="1:1" x14ac:dyDescent="0.25">
      <c r="A7219" s="66"/>
    </row>
    <row r="7220" spans="1:1" x14ac:dyDescent="0.25">
      <c r="A7220" s="66"/>
    </row>
    <row r="7221" spans="1:1" x14ac:dyDescent="0.25">
      <c r="A7221" s="66"/>
    </row>
    <row r="7222" spans="1:1" x14ac:dyDescent="0.25">
      <c r="A7222" s="66"/>
    </row>
    <row r="7223" spans="1:1" x14ac:dyDescent="0.25">
      <c r="A7223" s="66"/>
    </row>
    <row r="7224" spans="1:1" x14ac:dyDescent="0.25">
      <c r="A7224" s="66"/>
    </row>
    <row r="7225" spans="1:1" x14ac:dyDescent="0.25">
      <c r="A7225" s="66"/>
    </row>
    <row r="7226" spans="1:1" x14ac:dyDescent="0.25">
      <c r="A7226" s="66"/>
    </row>
    <row r="7227" spans="1:1" x14ac:dyDescent="0.25">
      <c r="A7227" s="66"/>
    </row>
    <row r="7228" spans="1:1" x14ac:dyDescent="0.25">
      <c r="A7228" s="66"/>
    </row>
    <row r="7229" spans="1:1" x14ac:dyDescent="0.25">
      <c r="A7229" s="66"/>
    </row>
    <row r="7230" spans="1:1" x14ac:dyDescent="0.25">
      <c r="A7230" s="66"/>
    </row>
    <row r="7231" spans="1:1" x14ac:dyDescent="0.25">
      <c r="A7231" s="66"/>
    </row>
    <row r="7232" spans="1:1" x14ac:dyDescent="0.25">
      <c r="A7232" s="66"/>
    </row>
    <row r="7233" spans="1:1" x14ac:dyDescent="0.25">
      <c r="A7233" s="66"/>
    </row>
    <row r="7234" spans="1:1" x14ac:dyDescent="0.25">
      <c r="A7234" s="66"/>
    </row>
    <row r="7235" spans="1:1" x14ac:dyDescent="0.25">
      <c r="A7235" s="66"/>
    </row>
    <row r="7236" spans="1:1" x14ac:dyDescent="0.25">
      <c r="A7236" s="66"/>
    </row>
    <row r="7237" spans="1:1" x14ac:dyDescent="0.25">
      <c r="A7237" s="66"/>
    </row>
    <row r="7238" spans="1:1" x14ac:dyDescent="0.25">
      <c r="A7238" s="66"/>
    </row>
    <row r="7239" spans="1:1" x14ac:dyDescent="0.25">
      <c r="A7239" s="66"/>
    </row>
    <row r="7240" spans="1:1" x14ac:dyDescent="0.25">
      <c r="A7240" s="66"/>
    </row>
    <row r="7241" spans="1:1" x14ac:dyDescent="0.25">
      <c r="A7241" s="66"/>
    </row>
    <row r="7242" spans="1:1" x14ac:dyDescent="0.25">
      <c r="A7242" s="66"/>
    </row>
    <row r="7243" spans="1:1" x14ac:dyDescent="0.25">
      <c r="A7243" s="66"/>
    </row>
    <row r="7244" spans="1:1" x14ac:dyDescent="0.25">
      <c r="A7244" s="66"/>
    </row>
    <row r="7245" spans="1:1" x14ac:dyDescent="0.25">
      <c r="A7245" s="66"/>
    </row>
    <row r="7246" spans="1:1" x14ac:dyDescent="0.25">
      <c r="A7246" s="66"/>
    </row>
    <row r="7247" spans="1:1" x14ac:dyDescent="0.25">
      <c r="A7247" s="66"/>
    </row>
    <row r="7248" spans="1:1" x14ac:dyDescent="0.25">
      <c r="A7248" s="66"/>
    </row>
    <row r="7249" spans="1:1" x14ac:dyDescent="0.25">
      <c r="A7249" s="66"/>
    </row>
    <row r="7250" spans="1:1" x14ac:dyDescent="0.25">
      <c r="A7250" s="66"/>
    </row>
    <row r="7251" spans="1:1" x14ac:dyDescent="0.25">
      <c r="A7251" s="66"/>
    </row>
    <row r="7252" spans="1:1" x14ac:dyDescent="0.25">
      <c r="A7252" s="66"/>
    </row>
    <row r="7253" spans="1:1" x14ac:dyDescent="0.25">
      <c r="A7253" s="66"/>
    </row>
    <row r="7254" spans="1:1" x14ac:dyDescent="0.25">
      <c r="A7254" s="66"/>
    </row>
    <row r="7255" spans="1:1" x14ac:dyDescent="0.25">
      <c r="A7255" s="66"/>
    </row>
    <row r="7256" spans="1:1" x14ac:dyDescent="0.25">
      <c r="A7256" s="66"/>
    </row>
    <row r="7257" spans="1:1" x14ac:dyDescent="0.25">
      <c r="A7257" s="66"/>
    </row>
    <row r="7258" spans="1:1" x14ac:dyDescent="0.25">
      <c r="A7258" s="66"/>
    </row>
    <row r="7259" spans="1:1" x14ac:dyDescent="0.25">
      <c r="A7259" s="66"/>
    </row>
    <row r="7260" spans="1:1" x14ac:dyDescent="0.25">
      <c r="A7260" s="66"/>
    </row>
    <row r="7261" spans="1:1" x14ac:dyDescent="0.25">
      <c r="A7261" s="66"/>
    </row>
    <row r="7262" spans="1:1" x14ac:dyDescent="0.25">
      <c r="A7262" s="66"/>
    </row>
    <row r="7263" spans="1:1" x14ac:dyDescent="0.25">
      <c r="A7263" s="66"/>
    </row>
    <row r="7264" spans="1:1" x14ac:dyDescent="0.25">
      <c r="A7264" s="66"/>
    </row>
    <row r="7265" spans="1:1" x14ac:dyDescent="0.25">
      <c r="A7265" s="66"/>
    </row>
    <row r="7266" spans="1:1" x14ac:dyDescent="0.25">
      <c r="A7266" s="66"/>
    </row>
    <row r="7267" spans="1:1" x14ac:dyDescent="0.25">
      <c r="A7267" s="66"/>
    </row>
    <row r="7268" spans="1:1" x14ac:dyDescent="0.25">
      <c r="A7268" s="66"/>
    </row>
    <row r="7269" spans="1:1" x14ac:dyDescent="0.25">
      <c r="A7269" s="66"/>
    </row>
    <row r="7270" spans="1:1" x14ac:dyDescent="0.25">
      <c r="A7270" s="66"/>
    </row>
    <row r="7271" spans="1:1" x14ac:dyDescent="0.25">
      <c r="A7271" s="66"/>
    </row>
    <row r="7272" spans="1:1" x14ac:dyDescent="0.25">
      <c r="A7272" s="66"/>
    </row>
    <row r="7273" spans="1:1" x14ac:dyDescent="0.25">
      <c r="A7273" s="66"/>
    </row>
    <row r="7274" spans="1:1" x14ac:dyDescent="0.25">
      <c r="A7274" s="66"/>
    </row>
    <row r="7275" spans="1:1" x14ac:dyDescent="0.25">
      <c r="A7275" s="66"/>
    </row>
    <row r="7276" spans="1:1" x14ac:dyDescent="0.25">
      <c r="A7276" s="66"/>
    </row>
    <row r="7277" spans="1:1" x14ac:dyDescent="0.25">
      <c r="A7277" s="66"/>
    </row>
    <row r="7278" spans="1:1" x14ac:dyDescent="0.25">
      <c r="A7278" s="66"/>
    </row>
    <row r="7279" spans="1:1" x14ac:dyDescent="0.25">
      <c r="A7279" s="66"/>
    </row>
    <row r="7280" spans="1:1" x14ac:dyDescent="0.25">
      <c r="A7280" s="66"/>
    </row>
    <row r="7281" spans="1:1" x14ac:dyDescent="0.25">
      <c r="A7281" s="66"/>
    </row>
    <row r="7282" spans="1:1" x14ac:dyDescent="0.25">
      <c r="A7282" s="66"/>
    </row>
    <row r="7283" spans="1:1" x14ac:dyDescent="0.25">
      <c r="A7283" s="66"/>
    </row>
    <row r="7284" spans="1:1" x14ac:dyDescent="0.25">
      <c r="A7284" s="66"/>
    </row>
    <row r="7285" spans="1:1" x14ac:dyDescent="0.25">
      <c r="A7285" s="66"/>
    </row>
    <row r="7286" spans="1:1" x14ac:dyDescent="0.25">
      <c r="A7286" s="66"/>
    </row>
    <row r="7287" spans="1:1" x14ac:dyDescent="0.25">
      <c r="A7287" s="66"/>
    </row>
    <row r="7288" spans="1:1" x14ac:dyDescent="0.25">
      <c r="A7288" s="66"/>
    </row>
    <row r="7289" spans="1:1" x14ac:dyDescent="0.25">
      <c r="A7289" s="66"/>
    </row>
    <row r="7290" spans="1:1" x14ac:dyDescent="0.25">
      <c r="A7290" s="66"/>
    </row>
    <row r="7291" spans="1:1" x14ac:dyDescent="0.25">
      <c r="A7291" s="66"/>
    </row>
    <row r="7292" spans="1:1" x14ac:dyDescent="0.25">
      <c r="A7292" s="66"/>
    </row>
    <row r="7293" spans="1:1" x14ac:dyDescent="0.25">
      <c r="A7293" s="66"/>
    </row>
    <row r="7294" spans="1:1" x14ac:dyDescent="0.25">
      <c r="A7294" s="66"/>
    </row>
    <row r="7295" spans="1:1" x14ac:dyDescent="0.25">
      <c r="A7295" s="66"/>
    </row>
    <row r="7296" spans="1:1" x14ac:dyDescent="0.25">
      <c r="A7296" s="66"/>
    </row>
    <row r="7297" spans="1:1" x14ac:dyDescent="0.25">
      <c r="A7297" s="66"/>
    </row>
    <row r="7298" spans="1:1" x14ac:dyDescent="0.25">
      <c r="A7298" s="66"/>
    </row>
    <row r="7299" spans="1:1" x14ac:dyDescent="0.25">
      <c r="A7299" s="66"/>
    </row>
    <row r="7300" spans="1:1" x14ac:dyDescent="0.25">
      <c r="A7300" s="66"/>
    </row>
    <row r="7301" spans="1:1" x14ac:dyDescent="0.25">
      <c r="A7301" s="66"/>
    </row>
    <row r="7302" spans="1:1" x14ac:dyDescent="0.25">
      <c r="A7302" s="66"/>
    </row>
    <row r="7303" spans="1:1" x14ac:dyDescent="0.25">
      <c r="A7303" s="66"/>
    </row>
    <row r="7304" spans="1:1" x14ac:dyDescent="0.25">
      <c r="A7304" s="66"/>
    </row>
    <row r="7305" spans="1:1" x14ac:dyDescent="0.25">
      <c r="A7305" s="66"/>
    </row>
    <row r="7306" spans="1:1" x14ac:dyDescent="0.25">
      <c r="A7306" s="66"/>
    </row>
    <row r="7307" spans="1:1" x14ac:dyDescent="0.25">
      <c r="A7307" s="66"/>
    </row>
    <row r="7308" spans="1:1" x14ac:dyDescent="0.25">
      <c r="A7308" s="66"/>
    </row>
    <row r="7309" spans="1:1" x14ac:dyDescent="0.25">
      <c r="A7309" s="66"/>
    </row>
    <row r="7310" spans="1:1" x14ac:dyDescent="0.25">
      <c r="A7310" s="66"/>
    </row>
    <row r="7311" spans="1:1" x14ac:dyDescent="0.25">
      <c r="A7311" s="66"/>
    </row>
    <row r="7312" spans="1:1" x14ac:dyDescent="0.25">
      <c r="A7312" s="66"/>
    </row>
    <row r="7313" spans="1:1" x14ac:dyDescent="0.25">
      <c r="A7313" s="66"/>
    </row>
    <row r="7314" spans="1:1" x14ac:dyDescent="0.25">
      <c r="A7314" s="66"/>
    </row>
    <row r="7315" spans="1:1" x14ac:dyDescent="0.25">
      <c r="A7315" s="66"/>
    </row>
    <row r="7316" spans="1:1" x14ac:dyDescent="0.25">
      <c r="A7316" s="66"/>
    </row>
    <row r="7317" spans="1:1" x14ac:dyDescent="0.25">
      <c r="A7317" s="66"/>
    </row>
    <row r="7318" spans="1:1" x14ac:dyDescent="0.25">
      <c r="A7318" s="66"/>
    </row>
    <row r="7319" spans="1:1" x14ac:dyDescent="0.25">
      <c r="A7319" s="66"/>
    </row>
    <row r="7320" spans="1:1" x14ac:dyDescent="0.25">
      <c r="A7320" s="66"/>
    </row>
    <row r="7321" spans="1:1" x14ac:dyDescent="0.25">
      <c r="A7321" s="66"/>
    </row>
    <row r="7322" spans="1:1" x14ac:dyDescent="0.25">
      <c r="A7322" s="66"/>
    </row>
    <row r="7323" spans="1:1" x14ac:dyDescent="0.25">
      <c r="A7323" s="66"/>
    </row>
    <row r="7324" spans="1:1" x14ac:dyDescent="0.25">
      <c r="A7324" s="66"/>
    </row>
    <row r="7325" spans="1:1" x14ac:dyDescent="0.25">
      <c r="A7325" s="66"/>
    </row>
    <row r="7326" spans="1:1" x14ac:dyDescent="0.25">
      <c r="A7326" s="66"/>
    </row>
    <row r="7327" spans="1:1" x14ac:dyDescent="0.25">
      <c r="A7327" s="66"/>
    </row>
    <row r="7328" spans="1:1" x14ac:dyDescent="0.25">
      <c r="A7328" s="66"/>
    </row>
    <row r="7329" spans="1:1" x14ac:dyDescent="0.25">
      <c r="A7329" s="66"/>
    </row>
    <row r="7330" spans="1:1" x14ac:dyDescent="0.25">
      <c r="A7330" s="66"/>
    </row>
    <row r="7331" spans="1:1" x14ac:dyDescent="0.25">
      <c r="A7331" s="66"/>
    </row>
    <row r="7332" spans="1:1" x14ac:dyDescent="0.25">
      <c r="A7332" s="66"/>
    </row>
    <row r="7333" spans="1:1" x14ac:dyDescent="0.25">
      <c r="A7333" s="66"/>
    </row>
    <row r="7334" spans="1:1" x14ac:dyDescent="0.25">
      <c r="A7334" s="66"/>
    </row>
    <row r="7335" spans="1:1" x14ac:dyDescent="0.25">
      <c r="A7335" s="66"/>
    </row>
    <row r="7336" spans="1:1" x14ac:dyDescent="0.25">
      <c r="A7336" s="66"/>
    </row>
    <row r="7337" spans="1:1" x14ac:dyDescent="0.25">
      <c r="A7337" s="66"/>
    </row>
    <row r="7338" spans="1:1" x14ac:dyDescent="0.25">
      <c r="A7338" s="66"/>
    </row>
    <row r="7339" spans="1:1" x14ac:dyDescent="0.25">
      <c r="A7339" s="66"/>
    </row>
    <row r="7340" spans="1:1" x14ac:dyDescent="0.25">
      <c r="A7340" s="66"/>
    </row>
    <row r="7341" spans="1:1" x14ac:dyDescent="0.25">
      <c r="A7341" s="66"/>
    </row>
    <row r="7342" spans="1:1" x14ac:dyDescent="0.25">
      <c r="A7342" s="66"/>
    </row>
    <row r="7343" spans="1:1" x14ac:dyDescent="0.25">
      <c r="A7343" s="66"/>
    </row>
    <row r="7344" spans="1:1" x14ac:dyDescent="0.25">
      <c r="A7344" s="66"/>
    </row>
    <row r="7345" spans="1:1" x14ac:dyDescent="0.25">
      <c r="A7345" s="66"/>
    </row>
    <row r="7346" spans="1:1" x14ac:dyDescent="0.25">
      <c r="A7346" s="66"/>
    </row>
    <row r="7347" spans="1:1" x14ac:dyDescent="0.25">
      <c r="A7347" s="66"/>
    </row>
    <row r="7348" spans="1:1" x14ac:dyDescent="0.25">
      <c r="A7348" s="66"/>
    </row>
    <row r="7349" spans="1:1" x14ac:dyDescent="0.25">
      <c r="A7349" s="66"/>
    </row>
    <row r="7350" spans="1:1" x14ac:dyDescent="0.25">
      <c r="A7350" s="66"/>
    </row>
    <row r="7351" spans="1:1" x14ac:dyDescent="0.25">
      <c r="A7351" s="66"/>
    </row>
    <row r="7352" spans="1:1" x14ac:dyDescent="0.25">
      <c r="A7352" s="66"/>
    </row>
    <row r="7353" spans="1:1" x14ac:dyDescent="0.25">
      <c r="A7353" s="66"/>
    </row>
    <row r="7354" spans="1:1" x14ac:dyDescent="0.25">
      <c r="A7354" s="66"/>
    </row>
    <row r="7355" spans="1:1" x14ac:dyDescent="0.25">
      <c r="A7355" s="66"/>
    </row>
    <row r="7356" spans="1:1" x14ac:dyDescent="0.25">
      <c r="A7356" s="66"/>
    </row>
    <row r="7357" spans="1:1" x14ac:dyDescent="0.25">
      <c r="A7357" s="66"/>
    </row>
    <row r="7358" spans="1:1" x14ac:dyDescent="0.25">
      <c r="A7358" s="66"/>
    </row>
    <row r="7359" spans="1:1" x14ac:dyDescent="0.25">
      <c r="A7359" s="66"/>
    </row>
    <row r="7360" spans="1:1" x14ac:dyDescent="0.25">
      <c r="A7360" s="66"/>
    </row>
    <row r="7361" spans="1:1" x14ac:dyDescent="0.25">
      <c r="A7361" s="66"/>
    </row>
    <row r="7362" spans="1:1" x14ac:dyDescent="0.25">
      <c r="A7362" s="66"/>
    </row>
    <row r="7363" spans="1:1" x14ac:dyDescent="0.25">
      <c r="A7363" s="66"/>
    </row>
    <row r="7364" spans="1:1" x14ac:dyDescent="0.25">
      <c r="A7364" s="66"/>
    </row>
    <row r="7365" spans="1:1" x14ac:dyDescent="0.25">
      <c r="A7365" s="66"/>
    </row>
    <row r="7366" spans="1:1" x14ac:dyDescent="0.25">
      <c r="A7366" s="66"/>
    </row>
    <row r="7367" spans="1:1" x14ac:dyDescent="0.25">
      <c r="A7367" s="66"/>
    </row>
    <row r="7368" spans="1:1" x14ac:dyDescent="0.25">
      <c r="A7368" s="66"/>
    </row>
    <row r="7369" spans="1:1" x14ac:dyDescent="0.25">
      <c r="A7369" s="66"/>
    </row>
    <row r="7370" spans="1:1" x14ac:dyDescent="0.25">
      <c r="A7370" s="66"/>
    </row>
    <row r="7371" spans="1:1" x14ac:dyDescent="0.25">
      <c r="A7371" s="66"/>
    </row>
    <row r="7372" spans="1:1" x14ac:dyDescent="0.25">
      <c r="A7372" s="66"/>
    </row>
    <row r="7373" spans="1:1" x14ac:dyDescent="0.25">
      <c r="A7373" s="66"/>
    </row>
    <row r="7374" spans="1:1" x14ac:dyDescent="0.25">
      <c r="A7374" s="66"/>
    </row>
    <row r="7375" spans="1:1" x14ac:dyDescent="0.25">
      <c r="A7375" s="66"/>
    </row>
    <row r="7376" spans="1:1" x14ac:dyDescent="0.25">
      <c r="A7376" s="66"/>
    </row>
    <row r="7377" spans="1:1" x14ac:dyDescent="0.25">
      <c r="A7377" s="66"/>
    </row>
    <row r="7378" spans="1:1" x14ac:dyDescent="0.25">
      <c r="A7378" s="66"/>
    </row>
    <row r="7379" spans="1:1" x14ac:dyDescent="0.25">
      <c r="A7379" s="66"/>
    </row>
    <row r="7380" spans="1:1" x14ac:dyDescent="0.25">
      <c r="A7380" s="66"/>
    </row>
    <row r="7381" spans="1:1" x14ac:dyDescent="0.25">
      <c r="A7381" s="66"/>
    </row>
    <row r="7382" spans="1:1" x14ac:dyDescent="0.25">
      <c r="A7382" s="66"/>
    </row>
    <row r="7383" spans="1:1" x14ac:dyDescent="0.25">
      <c r="A7383" s="66"/>
    </row>
    <row r="7384" spans="1:1" x14ac:dyDescent="0.25">
      <c r="A7384" s="66"/>
    </row>
    <row r="7385" spans="1:1" x14ac:dyDescent="0.25">
      <c r="A7385" s="66"/>
    </row>
    <row r="7386" spans="1:1" x14ac:dyDescent="0.25">
      <c r="A7386" s="66"/>
    </row>
    <row r="7387" spans="1:1" x14ac:dyDescent="0.25">
      <c r="A7387" s="66"/>
    </row>
    <row r="7388" spans="1:1" x14ac:dyDescent="0.25">
      <c r="A7388" s="66"/>
    </row>
    <row r="7389" spans="1:1" x14ac:dyDescent="0.25">
      <c r="A7389" s="66"/>
    </row>
    <row r="7390" spans="1:1" x14ac:dyDescent="0.25">
      <c r="A7390" s="66"/>
    </row>
    <row r="7391" spans="1:1" x14ac:dyDescent="0.25">
      <c r="A7391" s="66"/>
    </row>
    <row r="7392" spans="1:1" x14ac:dyDescent="0.25">
      <c r="A7392" s="66"/>
    </row>
    <row r="7393" spans="1:1" x14ac:dyDescent="0.25">
      <c r="A7393" s="66"/>
    </row>
    <row r="7394" spans="1:1" x14ac:dyDescent="0.25">
      <c r="A7394" s="66"/>
    </row>
    <row r="7395" spans="1:1" x14ac:dyDescent="0.25">
      <c r="A7395" s="66"/>
    </row>
    <row r="7396" spans="1:1" x14ac:dyDescent="0.25">
      <c r="A7396" s="66"/>
    </row>
    <row r="7397" spans="1:1" x14ac:dyDescent="0.25">
      <c r="A7397" s="66"/>
    </row>
    <row r="7398" spans="1:1" x14ac:dyDescent="0.25">
      <c r="A7398" s="66"/>
    </row>
    <row r="7399" spans="1:1" x14ac:dyDescent="0.25">
      <c r="A7399" s="66"/>
    </row>
    <row r="7400" spans="1:1" x14ac:dyDescent="0.25">
      <c r="A7400" s="66"/>
    </row>
    <row r="7401" spans="1:1" x14ac:dyDescent="0.25">
      <c r="A7401" s="66"/>
    </row>
    <row r="7402" spans="1:1" x14ac:dyDescent="0.25">
      <c r="A7402" s="66"/>
    </row>
    <row r="7403" spans="1:1" x14ac:dyDescent="0.25">
      <c r="A7403" s="66"/>
    </row>
    <row r="7404" spans="1:1" x14ac:dyDescent="0.25">
      <c r="A7404" s="66"/>
    </row>
    <row r="7405" spans="1:1" x14ac:dyDescent="0.25">
      <c r="A7405" s="66"/>
    </row>
    <row r="7406" spans="1:1" x14ac:dyDescent="0.25">
      <c r="A7406" s="66"/>
    </row>
    <row r="7407" spans="1:1" x14ac:dyDescent="0.25">
      <c r="A7407" s="66"/>
    </row>
    <row r="7408" spans="1:1" x14ac:dyDescent="0.25">
      <c r="A7408" s="66"/>
    </row>
    <row r="7409" spans="1:1" x14ac:dyDescent="0.25">
      <c r="A7409" s="66"/>
    </row>
    <row r="7410" spans="1:1" x14ac:dyDescent="0.25">
      <c r="A7410" s="66"/>
    </row>
    <row r="7411" spans="1:1" x14ac:dyDescent="0.25">
      <c r="A7411" s="66"/>
    </row>
    <row r="7412" spans="1:1" x14ac:dyDescent="0.25">
      <c r="A7412" s="66"/>
    </row>
    <row r="7413" spans="1:1" x14ac:dyDescent="0.25">
      <c r="A7413" s="66"/>
    </row>
    <row r="7414" spans="1:1" x14ac:dyDescent="0.25">
      <c r="A7414" s="66"/>
    </row>
    <row r="7415" spans="1:1" x14ac:dyDescent="0.25">
      <c r="A7415" s="66"/>
    </row>
    <row r="7416" spans="1:1" x14ac:dyDescent="0.25">
      <c r="A7416" s="66"/>
    </row>
    <row r="7417" spans="1:1" x14ac:dyDescent="0.25">
      <c r="A7417" s="66"/>
    </row>
    <row r="7418" spans="1:1" x14ac:dyDescent="0.25">
      <c r="A7418" s="66"/>
    </row>
    <row r="7419" spans="1:1" x14ac:dyDescent="0.25">
      <c r="A7419" s="66"/>
    </row>
    <row r="7420" spans="1:1" x14ac:dyDescent="0.25">
      <c r="A7420" s="66"/>
    </row>
    <row r="7421" spans="1:1" x14ac:dyDescent="0.25">
      <c r="A7421" s="66"/>
    </row>
    <row r="7422" spans="1:1" x14ac:dyDescent="0.25">
      <c r="A7422" s="66"/>
    </row>
    <row r="7423" spans="1:1" x14ac:dyDescent="0.25">
      <c r="A7423" s="66"/>
    </row>
    <row r="7424" spans="1:1" x14ac:dyDescent="0.25">
      <c r="A7424" s="66"/>
    </row>
    <row r="7425" spans="1:1" x14ac:dyDescent="0.25">
      <c r="A7425" s="66"/>
    </row>
    <row r="7426" spans="1:1" x14ac:dyDescent="0.25">
      <c r="A7426" s="66"/>
    </row>
    <row r="7427" spans="1:1" x14ac:dyDescent="0.25">
      <c r="A7427" s="66"/>
    </row>
    <row r="7428" spans="1:1" x14ac:dyDescent="0.25">
      <c r="A7428" s="66"/>
    </row>
    <row r="7429" spans="1:1" x14ac:dyDescent="0.25">
      <c r="A7429" s="66"/>
    </row>
    <row r="7430" spans="1:1" x14ac:dyDescent="0.25">
      <c r="A7430" s="66"/>
    </row>
    <row r="7431" spans="1:1" x14ac:dyDescent="0.25">
      <c r="A7431" s="66"/>
    </row>
    <row r="7432" spans="1:1" x14ac:dyDescent="0.25">
      <c r="A7432" s="66"/>
    </row>
    <row r="7433" spans="1:1" x14ac:dyDescent="0.25">
      <c r="A7433" s="66"/>
    </row>
    <row r="7434" spans="1:1" x14ac:dyDescent="0.25">
      <c r="A7434" s="66"/>
    </row>
    <row r="7435" spans="1:1" x14ac:dyDescent="0.25">
      <c r="A7435" s="66"/>
    </row>
    <row r="7436" spans="1:1" x14ac:dyDescent="0.25">
      <c r="A7436" s="66"/>
    </row>
    <row r="7437" spans="1:1" x14ac:dyDescent="0.25">
      <c r="A7437" s="66"/>
    </row>
    <row r="7438" spans="1:1" x14ac:dyDescent="0.25">
      <c r="A7438" s="66"/>
    </row>
    <row r="7439" spans="1:1" x14ac:dyDescent="0.25">
      <c r="A7439" s="66"/>
    </row>
    <row r="7440" spans="1:1" x14ac:dyDescent="0.25">
      <c r="A7440" s="66"/>
    </row>
    <row r="7441" spans="1:1" x14ac:dyDescent="0.25">
      <c r="A7441" s="66"/>
    </row>
    <row r="7442" spans="1:1" x14ac:dyDescent="0.25">
      <c r="A7442" s="66"/>
    </row>
    <row r="7443" spans="1:1" x14ac:dyDescent="0.25">
      <c r="A7443" s="66"/>
    </row>
    <row r="7444" spans="1:1" x14ac:dyDescent="0.25">
      <c r="A7444" s="66"/>
    </row>
    <row r="7445" spans="1:1" x14ac:dyDescent="0.25">
      <c r="A7445" s="66"/>
    </row>
    <row r="7446" spans="1:1" x14ac:dyDescent="0.25">
      <c r="A7446" s="66"/>
    </row>
    <row r="7447" spans="1:1" x14ac:dyDescent="0.25">
      <c r="A7447" s="66"/>
    </row>
    <row r="7448" spans="1:1" x14ac:dyDescent="0.25">
      <c r="A7448" s="66"/>
    </row>
    <row r="7449" spans="1:1" x14ac:dyDescent="0.25">
      <c r="A7449" s="66"/>
    </row>
    <row r="7450" spans="1:1" x14ac:dyDescent="0.25">
      <c r="A7450" s="66"/>
    </row>
    <row r="7451" spans="1:1" x14ac:dyDescent="0.25">
      <c r="A7451" s="66"/>
    </row>
    <row r="7452" spans="1:1" x14ac:dyDescent="0.25">
      <c r="A7452" s="66"/>
    </row>
    <row r="7453" spans="1:1" x14ac:dyDescent="0.25">
      <c r="A7453" s="66"/>
    </row>
    <row r="7454" spans="1:1" x14ac:dyDescent="0.25">
      <c r="A7454" s="66"/>
    </row>
    <row r="7455" spans="1:1" x14ac:dyDescent="0.25">
      <c r="A7455" s="66"/>
    </row>
    <row r="7456" spans="1:1" x14ac:dyDescent="0.25">
      <c r="A7456" s="66"/>
    </row>
    <row r="7457" spans="1:1" x14ac:dyDescent="0.25">
      <c r="A7457" s="66"/>
    </row>
    <row r="7458" spans="1:1" x14ac:dyDescent="0.25">
      <c r="A7458" s="66"/>
    </row>
    <row r="7459" spans="1:1" x14ac:dyDescent="0.25">
      <c r="A7459" s="66"/>
    </row>
    <row r="7460" spans="1:1" x14ac:dyDescent="0.25">
      <c r="A7460" s="66"/>
    </row>
    <row r="7461" spans="1:1" x14ac:dyDescent="0.25">
      <c r="A7461" s="66"/>
    </row>
    <row r="7462" spans="1:1" x14ac:dyDescent="0.25">
      <c r="A7462" s="66"/>
    </row>
    <row r="7463" spans="1:1" x14ac:dyDescent="0.25">
      <c r="A7463" s="66"/>
    </row>
    <row r="7464" spans="1:1" x14ac:dyDescent="0.25">
      <c r="A7464" s="66"/>
    </row>
    <row r="7465" spans="1:1" x14ac:dyDescent="0.25">
      <c r="A7465" s="66"/>
    </row>
    <row r="7466" spans="1:1" x14ac:dyDescent="0.25">
      <c r="A7466" s="66"/>
    </row>
    <row r="7467" spans="1:1" x14ac:dyDescent="0.25">
      <c r="A7467" s="66"/>
    </row>
    <row r="7468" spans="1:1" x14ac:dyDescent="0.25">
      <c r="A7468" s="66"/>
    </row>
    <row r="7469" spans="1:1" x14ac:dyDescent="0.25">
      <c r="A7469" s="66"/>
    </row>
    <row r="7470" spans="1:1" x14ac:dyDescent="0.25">
      <c r="A7470" s="66"/>
    </row>
    <row r="7471" spans="1:1" x14ac:dyDescent="0.25">
      <c r="A7471" s="66"/>
    </row>
    <row r="7472" spans="1:1" x14ac:dyDescent="0.25">
      <c r="A7472" s="66"/>
    </row>
    <row r="7473" spans="1:1" x14ac:dyDescent="0.25">
      <c r="A7473" s="66"/>
    </row>
    <row r="7474" spans="1:1" x14ac:dyDescent="0.25">
      <c r="A7474" s="66"/>
    </row>
    <row r="7475" spans="1:1" x14ac:dyDescent="0.25">
      <c r="A7475" s="66"/>
    </row>
    <row r="7476" spans="1:1" x14ac:dyDescent="0.25">
      <c r="A7476" s="66"/>
    </row>
    <row r="7477" spans="1:1" x14ac:dyDescent="0.25">
      <c r="A7477" s="66"/>
    </row>
    <row r="7478" spans="1:1" x14ac:dyDescent="0.25">
      <c r="A7478" s="66"/>
    </row>
    <row r="7479" spans="1:1" x14ac:dyDescent="0.25">
      <c r="A7479" s="66"/>
    </row>
    <row r="7480" spans="1:1" x14ac:dyDescent="0.25">
      <c r="A7480" s="66"/>
    </row>
    <row r="7481" spans="1:1" x14ac:dyDescent="0.25">
      <c r="A7481" s="66"/>
    </row>
    <row r="7482" spans="1:1" x14ac:dyDescent="0.25">
      <c r="A7482" s="66"/>
    </row>
    <row r="7483" spans="1:1" x14ac:dyDescent="0.25">
      <c r="A7483" s="66"/>
    </row>
    <row r="7484" spans="1:1" x14ac:dyDescent="0.25">
      <c r="A7484" s="66"/>
    </row>
    <row r="7485" spans="1:1" x14ac:dyDescent="0.25">
      <c r="A7485" s="66"/>
    </row>
    <row r="7486" spans="1:1" x14ac:dyDescent="0.25">
      <c r="A7486" s="66"/>
    </row>
    <row r="7487" spans="1:1" x14ac:dyDescent="0.25">
      <c r="A7487" s="66"/>
    </row>
    <row r="7488" spans="1:1" x14ac:dyDescent="0.25">
      <c r="A7488" s="66"/>
    </row>
    <row r="7489" spans="1:1" x14ac:dyDescent="0.25">
      <c r="A7489" s="66"/>
    </row>
    <row r="7490" spans="1:1" x14ac:dyDescent="0.25">
      <c r="A7490" s="66"/>
    </row>
    <row r="7491" spans="1:1" x14ac:dyDescent="0.25">
      <c r="A7491" s="66"/>
    </row>
    <row r="7492" spans="1:1" x14ac:dyDescent="0.25">
      <c r="A7492" s="66"/>
    </row>
    <row r="7493" spans="1:1" x14ac:dyDescent="0.25">
      <c r="A7493" s="66"/>
    </row>
    <row r="7494" spans="1:1" x14ac:dyDescent="0.25">
      <c r="A7494" s="66"/>
    </row>
    <row r="7495" spans="1:1" x14ac:dyDescent="0.25">
      <c r="A7495" s="66"/>
    </row>
    <row r="7496" spans="1:1" x14ac:dyDescent="0.25">
      <c r="A7496" s="66"/>
    </row>
    <row r="7497" spans="1:1" x14ac:dyDescent="0.25">
      <c r="A7497" s="66"/>
    </row>
    <row r="7498" spans="1:1" x14ac:dyDescent="0.25">
      <c r="A7498" s="66"/>
    </row>
    <row r="7499" spans="1:1" x14ac:dyDescent="0.25">
      <c r="A7499" s="66"/>
    </row>
    <row r="7500" spans="1:1" x14ac:dyDescent="0.25">
      <c r="A7500" s="66"/>
    </row>
    <row r="7501" spans="1:1" x14ac:dyDescent="0.25">
      <c r="A7501" s="66"/>
    </row>
    <row r="7502" spans="1:1" x14ac:dyDescent="0.25">
      <c r="A7502" s="66"/>
    </row>
    <row r="7503" spans="1:1" x14ac:dyDescent="0.25">
      <c r="A7503" s="66"/>
    </row>
    <row r="7504" spans="1:1" x14ac:dyDescent="0.25">
      <c r="A7504" s="66"/>
    </row>
    <row r="7505" spans="1:1" x14ac:dyDescent="0.25">
      <c r="A7505" s="66"/>
    </row>
    <row r="7506" spans="1:1" x14ac:dyDescent="0.25">
      <c r="A7506" s="66"/>
    </row>
    <row r="7507" spans="1:1" x14ac:dyDescent="0.25">
      <c r="A7507" s="66"/>
    </row>
    <row r="7508" spans="1:1" x14ac:dyDescent="0.25">
      <c r="A7508" s="66"/>
    </row>
    <row r="7509" spans="1:1" x14ac:dyDescent="0.25">
      <c r="A7509" s="66"/>
    </row>
    <row r="7510" spans="1:1" x14ac:dyDescent="0.25">
      <c r="A7510" s="66"/>
    </row>
    <row r="7511" spans="1:1" x14ac:dyDescent="0.25">
      <c r="A7511" s="66"/>
    </row>
    <row r="7512" spans="1:1" x14ac:dyDescent="0.25">
      <c r="A7512" s="66"/>
    </row>
    <row r="7513" spans="1:1" x14ac:dyDescent="0.25">
      <c r="A7513" s="66"/>
    </row>
    <row r="7514" spans="1:1" x14ac:dyDescent="0.25">
      <c r="A7514" s="66"/>
    </row>
    <row r="7515" spans="1:1" x14ac:dyDescent="0.25">
      <c r="A7515" s="66"/>
    </row>
    <row r="7516" spans="1:1" x14ac:dyDescent="0.25">
      <c r="A7516" s="66"/>
    </row>
    <row r="7517" spans="1:1" x14ac:dyDescent="0.25">
      <c r="A7517" s="66"/>
    </row>
    <row r="7518" spans="1:1" x14ac:dyDescent="0.25">
      <c r="A7518" s="66"/>
    </row>
    <row r="7519" spans="1:1" x14ac:dyDescent="0.25">
      <c r="A7519" s="66"/>
    </row>
    <row r="7520" spans="1:1" x14ac:dyDescent="0.25">
      <c r="A7520" s="66"/>
    </row>
    <row r="7521" spans="1:1" x14ac:dyDescent="0.25">
      <c r="A7521" s="66"/>
    </row>
    <row r="7522" spans="1:1" x14ac:dyDescent="0.25">
      <c r="A7522" s="66"/>
    </row>
    <row r="7523" spans="1:1" x14ac:dyDescent="0.25">
      <c r="A7523" s="66"/>
    </row>
    <row r="7524" spans="1:1" x14ac:dyDescent="0.25">
      <c r="A7524" s="66"/>
    </row>
    <row r="7525" spans="1:1" x14ac:dyDescent="0.25">
      <c r="A7525" s="66"/>
    </row>
    <row r="7526" spans="1:1" x14ac:dyDescent="0.25">
      <c r="A7526" s="66"/>
    </row>
    <row r="7527" spans="1:1" x14ac:dyDescent="0.25">
      <c r="A7527" s="66"/>
    </row>
    <row r="7528" spans="1:1" x14ac:dyDescent="0.25">
      <c r="A7528" s="66"/>
    </row>
    <row r="7529" spans="1:1" x14ac:dyDescent="0.25">
      <c r="A7529" s="66"/>
    </row>
    <row r="7530" spans="1:1" x14ac:dyDescent="0.25">
      <c r="A7530" s="66"/>
    </row>
    <row r="7531" spans="1:1" x14ac:dyDescent="0.25">
      <c r="A7531" s="66"/>
    </row>
    <row r="7532" spans="1:1" x14ac:dyDescent="0.25">
      <c r="A7532" s="66"/>
    </row>
    <row r="7533" spans="1:1" x14ac:dyDescent="0.25">
      <c r="A7533" s="66"/>
    </row>
    <row r="7534" spans="1:1" x14ac:dyDescent="0.25">
      <c r="A7534" s="66"/>
    </row>
    <row r="7535" spans="1:1" x14ac:dyDescent="0.25">
      <c r="A7535" s="66"/>
    </row>
    <row r="7536" spans="1:1" x14ac:dyDescent="0.25">
      <c r="A7536" s="66"/>
    </row>
    <row r="7537" spans="1:1" x14ac:dyDescent="0.25">
      <c r="A7537" s="66"/>
    </row>
    <row r="7538" spans="1:1" x14ac:dyDescent="0.25">
      <c r="A7538" s="66"/>
    </row>
    <row r="7539" spans="1:1" x14ac:dyDescent="0.25">
      <c r="A7539" s="66"/>
    </row>
    <row r="7540" spans="1:1" x14ac:dyDescent="0.25">
      <c r="A7540" s="66"/>
    </row>
    <row r="7541" spans="1:1" x14ac:dyDescent="0.25">
      <c r="A7541" s="66"/>
    </row>
    <row r="7542" spans="1:1" x14ac:dyDescent="0.25">
      <c r="A7542" s="66"/>
    </row>
    <row r="7543" spans="1:1" x14ac:dyDescent="0.25">
      <c r="A7543" s="66"/>
    </row>
    <row r="7544" spans="1:1" x14ac:dyDescent="0.25">
      <c r="A7544" s="66"/>
    </row>
    <row r="7545" spans="1:1" x14ac:dyDescent="0.25">
      <c r="A7545" s="66"/>
    </row>
    <row r="7546" spans="1:1" x14ac:dyDescent="0.25">
      <c r="A7546" s="66"/>
    </row>
    <row r="7547" spans="1:1" x14ac:dyDescent="0.25">
      <c r="A7547" s="66"/>
    </row>
    <row r="7548" spans="1:1" x14ac:dyDescent="0.25">
      <c r="A7548" s="66"/>
    </row>
    <row r="7549" spans="1:1" x14ac:dyDescent="0.25">
      <c r="A7549" s="66"/>
    </row>
    <row r="7550" spans="1:1" x14ac:dyDescent="0.25">
      <c r="A7550" s="66"/>
    </row>
    <row r="7551" spans="1:1" x14ac:dyDescent="0.25">
      <c r="A7551" s="66"/>
    </row>
    <row r="7552" spans="1:1" x14ac:dyDescent="0.25">
      <c r="A7552" s="66"/>
    </row>
    <row r="7553" spans="1:1" x14ac:dyDescent="0.25">
      <c r="A7553" s="66"/>
    </row>
    <row r="7554" spans="1:1" x14ac:dyDescent="0.25">
      <c r="A7554" s="66"/>
    </row>
    <row r="7555" spans="1:1" x14ac:dyDescent="0.25">
      <c r="A7555" s="66"/>
    </row>
    <row r="7556" spans="1:1" x14ac:dyDescent="0.25">
      <c r="A7556" s="66"/>
    </row>
    <row r="7557" spans="1:1" x14ac:dyDescent="0.25">
      <c r="A7557" s="66"/>
    </row>
    <row r="7558" spans="1:1" x14ac:dyDescent="0.25">
      <c r="A7558" s="66"/>
    </row>
    <row r="7559" spans="1:1" x14ac:dyDescent="0.25">
      <c r="A7559" s="66"/>
    </row>
    <row r="7560" spans="1:1" x14ac:dyDescent="0.25">
      <c r="A7560" s="66"/>
    </row>
    <row r="7561" spans="1:1" x14ac:dyDescent="0.25">
      <c r="A7561" s="66"/>
    </row>
    <row r="7562" spans="1:1" x14ac:dyDescent="0.25">
      <c r="A7562" s="66"/>
    </row>
    <row r="7563" spans="1:1" x14ac:dyDescent="0.25">
      <c r="A7563" s="66"/>
    </row>
    <row r="7564" spans="1:1" x14ac:dyDescent="0.25">
      <c r="A7564" s="66"/>
    </row>
    <row r="7565" spans="1:1" x14ac:dyDescent="0.25">
      <c r="A7565" s="66"/>
    </row>
    <row r="7566" spans="1:1" x14ac:dyDescent="0.25">
      <c r="A7566" s="66"/>
    </row>
    <row r="7567" spans="1:1" x14ac:dyDescent="0.25">
      <c r="A7567" s="66"/>
    </row>
    <row r="7568" spans="1:1" x14ac:dyDescent="0.25">
      <c r="A7568" s="66"/>
    </row>
    <row r="7569" spans="1:1" x14ac:dyDescent="0.25">
      <c r="A7569" s="66"/>
    </row>
    <row r="7570" spans="1:1" x14ac:dyDescent="0.25">
      <c r="A7570" s="66"/>
    </row>
    <row r="7571" spans="1:1" x14ac:dyDescent="0.25">
      <c r="A7571" s="66"/>
    </row>
    <row r="7572" spans="1:1" x14ac:dyDescent="0.25">
      <c r="A7572" s="66"/>
    </row>
    <row r="7573" spans="1:1" x14ac:dyDescent="0.25">
      <c r="A7573" s="66"/>
    </row>
    <row r="7574" spans="1:1" x14ac:dyDescent="0.25">
      <c r="A7574" s="66"/>
    </row>
    <row r="7575" spans="1:1" x14ac:dyDescent="0.25">
      <c r="A7575" s="66"/>
    </row>
    <row r="7576" spans="1:1" x14ac:dyDescent="0.25">
      <c r="A7576" s="66"/>
    </row>
    <row r="7577" spans="1:1" x14ac:dyDescent="0.25">
      <c r="A7577" s="66"/>
    </row>
    <row r="7578" spans="1:1" x14ac:dyDescent="0.25">
      <c r="A7578" s="66"/>
    </row>
    <row r="7579" spans="1:1" x14ac:dyDescent="0.25">
      <c r="A7579" s="66"/>
    </row>
    <row r="7580" spans="1:1" x14ac:dyDescent="0.25">
      <c r="A7580" s="66"/>
    </row>
    <row r="7581" spans="1:1" x14ac:dyDescent="0.25">
      <c r="A7581" s="66"/>
    </row>
    <row r="7582" spans="1:1" x14ac:dyDescent="0.25">
      <c r="A7582" s="66"/>
    </row>
    <row r="7583" spans="1:1" x14ac:dyDescent="0.25">
      <c r="A7583" s="66"/>
    </row>
    <row r="7584" spans="1:1" x14ac:dyDescent="0.25">
      <c r="A7584" s="66"/>
    </row>
    <row r="7585" spans="1:1" x14ac:dyDescent="0.25">
      <c r="A7585" s="66"/>
    </row>
    <row r="7586" spans="1:1" x14ac:dyDescent="0.25">
      <c r="A7586" s="66"/>
    </row>
    <row r="7587" spans="1:1" x14ac:dyDescent="0.25">
      <c r="A7587" s="66"/>
    </row>
    <row r="7588" spans="1:1" x14ac:dyDescent="0.25">
      <c r="A7588" s="66"/>
    </row>
    <row r="7589" spans="1:1" x14ac:dyDescent="0.25">
      <c r="A7589" s="66"/>
    </row>
    <row r="7590" spans="1:1" x14ac:dyDescent="0.25">
      <c r="A7590" s="66"/>
    </row>
    <row r="7591" spans="1:1" x14ac:dyDescent="0.25">
      <c r="A7591" s="66"/>
    </row>
    <row r="7592" spans="1:1" x14ac:dyDescent="0.25">
      <c r="A7592" s="66"/>
    </row>
    <row r="7593" spans="1:1" x14ac:dyDescent="0.25">
      <c r="A7593" s="66"/>
    </row>
    <row r="7594" spans="1:1" x14ac:dyDescent="0.25">
      <c r="A7594" s="66"/>
    </row>
    <row r="7595" spans="1:1" x14ac:dyDescent="0.25">
      <c r="A7595" s="66"/>
    </row>
    <row r="7596" spans="1:1" x14ac:dyDescent="0.25">
      <c r="A7596" s="66"/>
    </row>
    <row r="7597" spans="1:1" x14ac:dyDescent="0.25">
      <c r="A7597" s="66"/>
    </row>
    <row r="7598" spans="1:1" x14ac:dyDescent="0.25">
      <c r="A7598" s="66"/>
    </row>
    <row r="7599" spans="1:1" x14ac:dyDescent="0.25">
      <c r="A7599" s="66"/>
    </row>
    <row r="7600" spans="1:1" x14ac:dyDescent="0.25">
      <c r="A7600" s="66"/>
    </row>
    <row r="7601" spans="1:1" x14ac:dyDescent="0.25">
      <c r="A7601" s="66"/>
    </row>
    <row r="7602" spans="1:1" x14ac:dyDescent="0.25">
      <c r="A7602" s="66"/>
    </row>
    <row r="7603" spans="1:1" x14ac:dyDescent="0.25">
      <c r="A7603" s="66"/>
    </row>
    <row r="7604" spans="1:1" x14ac:dyDescent="0.25">
      <c r="A7604" s="66"/>
    </row>
    <row r="7605" spans="1:1" x14ac:dyDescent="0.25">
      <c r="A7605" s="66"/>
    </row>
    <row r="7606" spans="1:1" x14ac:dyDescent="0.25">
      <c r="A7606" s="66"/>
    </row>
    <row r="7607" spans="1:1" x14ac:dyDescent="0.25">
      <c r="A7607" s="66"/>
    </row>
    <row r="7608" spans="1:1" x14ac:dyDescent="0.25">
      <c r="A7608" s="66"/>
    </row>
    <row r="7609" spans="1:1" x14ac:dyDescent="0.25">
      <c r="A7609" s="66"/>
    </row>
    <row r="7610" spans="1:1" x14ac:dyDescent="0.25">
      <c r="A7610" s="66"/>
    </row>
    <row r="7611" spans="1:1" x14ac:dyDescent="0.25">
      <c r="A7611" s="66"/>
    </row>
    <row r="7612" spans="1:1" x14ac:dyDescent="0.25">
      <c r="A7612" s="66"/>
    </row>
    <row r="7613" spans="1:1" x14ac:dyDescent="0.25">
      <c r="A7613" s="66"/>
    </row>
    <row r="7614" spans="1:1" x14ac:dyDescent="0.25">
      <c r="A7614" s="66"/>
    </row>
    <row r="7615" spans="1:1" x14ac:dyDescent="0.25">
      <c r="A7615" s="66"/>
    </row>
    <row r="7616" spans="1:1" x14ac:dyDescent="0.25">
      <c r="A7616" s="66"/>
    </row>
    <row r="7617" spans="1:1" x14ac:dyDescent="0.25">
      <c r="A7617" s="66"/>
    </row>
    <row r="7618" spans="1:1" x14ac:dyDescent="0.25">
      <c r="A7618" s="66"/>
    </row>
    <row r="7619" spans="1:1" x14ac:dyDescent="0.25">
      <c r="A7619" s="66"/>
    </row>
    <row r="7620" spans="1:1" x14ac:dyDescent="0.25">
      <c r="A7620" s="66"/>
    </row>
    <row r="7621" spans="1:1" x14ac:dyDescent="0.25">
      <c r="A7621" s="66"/>
    </row>
    <row r="7622" spans="1:1" x14ac:dyDescent="0.25">
      <c r="A7622" s="66"/>
    </row>
    <row r="7623" spans="1:1" x14ac:dyDescent="0.25">
      <c r="A7623" s="66"/>
    </row>
    <row r="7624" spans="1:1" x14ac:dyDescent="0.25">
      <c r="A7624" s="66"/>
    </row>
    <row r="7625" spans="1:1" x14ac:dyDescent="0.25">
      <c r="A7625" s="66"/>
    </row>
    <row r="7626" spans="1:1" x14ac:dyDescent="0.25">
      <c r="A7626" s="66"/>
    </row>
    <row r="7627" spans="1:1" x14ac:dyDescent="0.25">
      <c r="A7627" s="66"/>
    </row>
    <row r="7628" spans="1:1" x14ac:dyDescent="0.25">
      <c r="A7628" s="66"/>
    </row>
    <row r="7629" spans="1:1" x14ac:dyDescent="0.25">
      <c r="A7629" s="66"/>
    </row>
    <row r="7630" spans="1:1" x14ac:dyDescent="0.25">
      <c r="A7630" s="66"/>
    </row>
    <row r="7631" spans="1:1" x14ac:dyDescent="0.25">
      <c r="A7631" s="66"/>
    </row>
    <row r="7632" spans="1:1" x14ac:dyDescent="0.25">
      <c r="A7632" s="66"/>
    </row>
    <row r="7633" spans="1:1" x14ac:dyDescent="0.25">
      <c r="A7633" s="66"/>
    </row>
    <row r="7634" spans="1:1" x14ac:dyDescent="0.25">
      <c r="A7634" s="66"/>
    </row>
    <row r="7635" spans="1:1" x14ac:dyDescent="0.25">
      <c r="A7635" s="66"/>
    </row>
    <row r="7636" spans="1:1" x14ac:dyDescent="0.25">
      <c r="A7636" s="66"/>
    </row>
    <row r="7637" spans="1:1" x14ac:dyDescent="0.25">
      <c r="A7637" s="66"/>
    </row>
    <row r="7638" spans="1:1" x14ac:dyDescent="0.25">
      <c r="A7638" s="66"/>
    </row>
    <row r="7639" spans="1:1" x14ac:dyDescent="0.25">
      <c r="A7639" s="66"/>
    </row>
    <row r="7640" spans="1:1" x14ac:dyDescent="0.25">
      <c r="A7640" s="66"/>
    </row>
    <row r="7641" spans="1:1" x14ac:dyDescent="0.25">
      <c r="A7641" s="66"/>
    </row>
    <row r="7642" spans="1:1" x14ac:dyDescent="0.25">
      <c r="A7642" s="66"/>
    </row>
    <row r="7643" spans="1:1" x14ac:dyDescent="0.25">
      <c r="A7643" s="66"/>
    </row>
    <row r="7644" spans="1:1" x14ac:dyDescent="0.25">
      <c r="A7644" s="66"/>
    </row>
    <row r="7645" spans="1:1" x14ac:dyDescent="0.25">
      <c r="A7645" s="66"/>
    </row>
    <row r="7646" spans="1:1" x14ac:dyDescent="0.25">
      <c r="A7646" s="66"/>
    </row>
    <row r="7647" spans="1:1" x14ac:dyDescent="0.25">
      <c r="A7647" s="66"/>
    </row>
    <row r="7648" spans="1:1" x14ac:dyDescent="0.25">
      <c r="A7648" s="66"/>
    </row>
    <row r="7649" spans="1:1" x14ac:dyDescent="0.25">
      <c r="A7649" s="66"/>
    </row>
    <row r="7650" spans="1:1" x14ac:dyDescent="0.25">
      <c r="A7650" s="66"/>
    </row>
    <row r="7651" spans="1:1" x14ac:dyDescent="0.25">
      <c r="A7651" s="66"/>
    </row>
    <row r="7652" spans="1:1" x14ac:dyDescent="0.25">
      <c r="A7652" s="66"/>
    </row>
    <row r="7653" spans="1:1" x14ac:dyDescent="0.25">
      <c r="A7653" s="66"/>
    </row>
    <row r="7654" spans="1:1" x14ac:dyDescent="0.25">
      <c r="A7654" s="66"/>
    </row>
    <row r="7655" spans="1:1" x14ac:dyDescent="0.25">
      <c r="A7655" s="66"/>
    </row>
    <row r="7656" spans="1:1" x14ac:dyDescent="0.25">
      <c r="A7656" s="66"/>
    </row>
    <row r="7657" spans="1:1" x14ac:dyDescent="0.25">
      <c r="A7657" s="66"/>
    </row>
    <row r="7658" spans="1:1" x14ac:dyDescent="0.25">
      <c r="A7658" s="66"/>
    </row>
    <row r="7659" spans="1:1" x14ac:dyDescent="0.25">
      <c r="A7659" s="66"/>
    </row>
    <row r="7660" spans="1:1" x14ac:dyDescent="0.25">
      <c r="A7660" s="66"/>
    </row>
    <row r="7661" spans="1:1" x14ac:dyDescent="0.25">
      <c r="A7661" s="66"/>
    </row>
    <row r="7662" spans="1:1" x14ac:dyDescent="0.25">
      <c r="A7662" s="66"/>
    </row>
    <row r="7663" spans="1:1" x14ac:dyDescent="0.25">
      <c r="A7663" s="66"/>
    </row>
    <row r="7664" spans="1:1" x14ac:dyDescent="0.25">
      <c r="A7664" s="66"/>
    </row>
    <row r="7665" spans="1:1" x14ac:dyDescent="0.25">
      <c r="A7665" s="66"/>
    </row>
    <row r="7666" spans="1:1" x14ac:dyDescent="0.25">
      <c r="A7666" s="66"/>
    </row>
    <row r="7667" spans="1:1" x14ac:dyDescent="0.25">
      <c r="A7667" s="66"/>
    </row>
    <row r="7668" spans="1:1" x14ac:dyDescent="0.25">
      <c r="A7668" s="66"/>
    </row>
    <row r="7669" spans="1:1" x14ac:dyDescent="0.25">
      <c r="A7669" s="66"/>
    </row>
    <row r="7670" spans="1:1" x14ac:dyDescent="0.25">
      <c r="A7670" s="66"/>
    </row>
    <row r="7671" spans="1:1" x14ac:dyDescent="0.25">
      <c r="A7671" s="66"/>
    </row>
    <row r="7672" spans="1:1" x14ac:dyDescent="0.25">
      <c r="A7672" s="66"/>
    </row>
    <row r="7673" spans="1:1" x14ac:dyDescent="0.25">
      <c r="A7673" s="66"/>
    </row>
    <row r="7674" spans="1:1" x14ac:dyDescent="0.25">
      <c r="A7674" s="66"/>
    </row>
    <row r="7675" spans="1:1" x14ac:dyDescent="0.25">
      <c r="A7675" s="66"/>
    </row>
    <row r="7676" spans="1:1" x14ac:dyDescent="0.25">
      <c r="A7676" s="66"/>
    </row>
    <row r="7677" spans="1:1" x14ac:dyDescent="0.25">
      <c r="A7677" s="66"/>
    </row>
    <row r="7678" spans="1:1" x14ac:dyDescent="0.25">
      <c r="A7678" s="66"/>
    </row>
    <row r="7679" spans="1:1" x14ac:dyDescent="0.25">
      <c r="A7679" s="66"/>
    </row>
    <row r="7680" spans="1:1" x14ac:dyDescent="0.25">
      <c r="A7680" s="66"/>
    </row>
    <row r="7681" spans="1:1" x14ac:dyDescent="0.25">
      <c r="A7681" s="66"/>
    </row>
    <row r="7682" spans="1:1" x14ac:dyDescent="0.25">
      <c r="A7682" s="66"/>
    </row>
    <row r="7683" spans="1:1" x14ac:dyDescent="0.25">
      <c r="A7683" s="66"/>
    </row>
    <row r="7684" spans="1:1" x14ac:dyDescent="0.25">
      <c r="A7684" s="66"/>
    </row>
    <row r="7685" spans="1:1" x14ac:dyDescent="0.25">
      <c r="A7685" s="66"/>
    </row>
    <row r="7686" spans="1:1" x14ac:dyDescent="0.25">
      <c r="A7686" s="66"/>
    </row>
    <row r="7687" spans="1:1" x14ac:dyDescent="0.25">
      <c r="A7687" s="66"/>
    </row>
    <row r="7688" spans="1:1" x14ac:dyDescent="0.25">
      <c r="A7688" s="66"/>
    </row>
    <row r="7689" spans="1:1" x14ac:dyDescent="0.25">
      <c r="A7689" s="66"/>
    </row>
    <row r="7690" spans="1:1" x14ac:dyDescent="0.25">
      <c r="A7690" s="66"/>
    </row>
    <row r="7691" spans="1:1" x14ac:dyDescent="0.25">
      <c r="A7691" s="66"/>
    </row>
    <row r="7692" spans="1:1" x14ac:dyDescent="0.25">
      <c r="A7692" s="66"/>
    </row>
    <row r="7693" spans="1:1" x14ac:dyDescent="0.25">
      <c r="A7693" s="66"/>
    </row>
    <row r="7694" spans="1:1" x14ac:dyDescent="0.25">
      <c r="A7694" s="66"/>
    </row>
    <row r="7695" spans="1:1" x14ac:dyDescent="0.25">
      <c r="A7695" s="66"/>
    </row>
    <row r="7696" spans="1:1" x14ac:dyDescent="0.25">
      <c r="A7696" s="66"/>
    </row>
    <row r="7697" spans="1:1" x14ac:dyDescent="0.25">
      <c r="A7697" s="66"/>
    </row>
    <row r="7698" spans="1:1" x14ac:dyDescent="0.25">
      <c r="A7698" s="66"/>
    </row>
    <row r="7699" spans="1:1" x14ac:dyDescent="0.25">
      <c r="A7699" s="66"/>
    </row>
    <row r="7700" spans="1:1" x14ac:dyDescent="0.25">
      <c r="A7700" s="66"/>
    </row>
    <row r="7701" spans="1:1" x14ac:dyDescent="0.25">
      <c r="A7701" s="66"/>
    </row>
    <row r="7702" spans="1:1" x14ac:dyDescent="0.25">
      <c r="A7702" s="66"/>
    </row>
    <row r="7703" spans="1:1" x14ac:dyDescent="0.25">
      <c r="A7703" s="66"/>
    </row>
    <row r="7704" spans="1:1" x14ac:dyDescent="0.25">
      <c r="A7704" s="66"/>
    </row>
    <row r="7705" spans="1:1" x14ac:dyDescent="0.25">
      <c r="A7705" s="66"/>
    </row>
    <row r="7706" spans="1:1" x14ac:dyDescent="0.25">
      <c r="A7706" s="66"/>
    </row>
    <row r="7707" spans="1:1" x14ac:dyDescent="0.25">
      <c r="A7707" s="66"/>
    </row>
    <row r="7708" spans="1:1" x14ac:dyDescent="0.25">
      <c r="A7708" s="66"/>
    </row>
    <row r="7709" spans="1:1" x14ac:dyDescent="0.25">
      <c r="A7709" s="66"/>
    </row>
    <row r="7710" spans="1:1" x14ac:dyDescent="0.25">
      <c r="A7710" s="66"/>
    </row>
    <row r="7711" spans="1:1" x14ac:dyDescent="0.25">
      <c r="A7711" s="66"/>
    </row>
    <row r="7712" spans="1:1" x14ac:dyDescent="0.25">
      <c r="A7712" s="66"/>
    </row>
    <row r="7713" spans="1:1" x14ac:dyDescent="0.25">
      <c r="A7713" s="66"/>
    </row>
    <row r="7714" spans="1:1" x14ac:dyDescent="0.25">
      <c r="A7714" s="66"/>
    </row>
    <row r="7715" spans="1:1" x14ac:dyDescent="0.25">
      <c r="A7715" s="66"/>
    </row>
    <row r="7716" spans="1:1" x14ac:dyDescent="0.25">
      <c r="A7716" s="66"/>
    </row>
    <row r="7717" spans="1:1" x14ac:dyDescent="0.25">
      <c r="A7717" s="66"/>
    </row>
    <row r="7718" spans="1:1" x14ac:dyDescent="0.25">
      <c r="A7718" s="66"/>
    </row>
    <row r="7719" spans="1:1" x14ac:dyDescent="0.25">
      <c r="A7719" s="66"/>
    </row>
    <row r="7720" spans="1:1" x14ac:dyDescent="0.25">
      <c r="A7720" s="66"/>
    </row>
    <row r="7721" spans="1:1" x14ac:dyDescent="0.25">
      <c r="A7721" s="66"/>
    </row>
    <row r="7722" spans="1:1" x14ac:dyDescent="0.25">
      <c r="A7722" s="66"/>
    </row>
    <row r="7723" spans="1:1" x14ac:dyDescent="0.25">
      <c r="A7723" s="66"/>
    </row>
    <row r="7724" spans="1:1" x14ac:dyDescent="0.25">
      <c r="A7724" s="66"/>
    </row>
    <row r="7725" spans="1:1" x14ac:dyDescent="0.25">
      <c r="A7725" s="66"/>
    </row>
    <row r="7726" spans="1:1" x14ac:dyDescent="0.25">
      <c r="A7726" s="66"/>
    </row>
    <row r="7727" spans="1:1" x14ac:dyDescent="0.25">
      <c r="A7727" s="66"/>
    </row>
    <row r="7728" spans="1:1" x14ac:dyDescent="0.25">
      <c r="A7728" s="66"/>
    </row>
    <row r="7729" spans="1:1" x14ac:dyDescent="0.25">
      <c r="A7729" s="66"/>
    </row>
    <row r="7730" spans="1:1" x14ac:dyDescent="0.25">
      <c r="A7730" s="66"/>
    </row>
    <row r="7731" spans="1:1" x14ac:dyDescent="0.25">
      <c r="A7731" s="66"/>
    </row>
    <row r="7732" spans="1:1" x14ac:dyDescent="0.25">
      <c r="A7732" s="66"/>
    </row>
    <row r="7733" spans="1:1" x14ac:dyDescent="0.25">
      <c r="A7733" s="66"/>
    </row>
    <row r="7734" spans="1:1" x14ac:dyDescent="0.25">
      <c r="A7734" s="66"/>
    </row>
    <row r="7735" spans="1:1" x14ac:dyDescent="0.25">
      <c r="A7735" s="66"/>
    </row>
    <row r="7736" spans="1:1" x14ac:dyDescent="0.25">
      <c r="A7736" s="66"/>
    </row>
    <row r="7737" spans="1:1" x14ac:dyDescent="0.25">
      <c r="A7737" s="66"/>
    </row>
    <row r="7738" spans="1:1" x14ac:dyDescent="0.25">
      <c r="A7738" s="66"/>
    </row>
    <row r="7739" spans="1:1" x14ac:dyDescent="0.25">
      <c r="A7739" s="66"/>
    </row>
    <row r="7740" spans="1:1" x14ac:dyDescent="0.25">
      <c r="A7740" s="66"/>
    </row>
    <row r="7741" spans="1:1" x14ac:dyDescent="0.25">
      <c r="A7741" s="66"/>
    </row>
    <row r="7742" spans="1:1" x14ac:dyDescent="0.25">
      <c r="A7742" s="66"/>
    </row>
    <row r="7743" spans="1:1" x14ac:dyDescent="0.25">
      <c r="A7743" s="66"/>
    </row>
    <row r="7744" spans="1:1" x14ac:dyDescent="0.25">
      <c r="A7744" s="66"/>
    </row>
    <row r="7745" spans="1:1" x14ac:dyDescent="0.25">
      <c r="A7745" s="66"/>
    </row>
    <row r="7746" spans="1:1" x14ac:dyDescent="0.25">
      <c r="A7746" s="66"/>
    </row>
    <row r="7747" spans="1:1" x14ac:dyDescent="0.25">
      <c r="A7747" s="66"/>
    </row>
    <row r="7748" spans="1:1" x14ac:dyDescent="0.25">
      <c r="A7748" s="66"/>
    </row>
    <row r="7749" spans="1:1" x14ac:dyDescent="0.25">
      <c r="A7749" s="66"/>
    </row>
    <row r="7750" spans="1:1" x14ac:dyDescent="0.25">
      <c r="A7750" s="66"/>
    </row>
    <row r="7751" spans="1:1" x14ac:dyDescent="0.25">
      <c r="A7751" s="66"/>
    </row>
    <row r="7752" spans="1:1" x14ac:dyDescent="0.25">
      <c r="A7752" s="66"/>
    </row>
    <row r="7753" spans="1:1" x14ac:dyDescent="0.25">
      <c r="A7753" s="66"/>
    </row>
    <row r="7754" spans="1:1" x14ac:dyDescent="0.25">
      <c r="A7754" s="66"/>
    </row>
    <row r="7755" spans="1:1" x14ac:dyDescent="0.25">
      <c r="A7755" s="66"/>
    </row>
    <row r="7756" spans="1:1" x14ac:dyDescent="0.25">
      <c r="A7756" s="66"/>
    </row>
    <row r="7757" spans="1:1" x14ac:dyDescent="0.25">
      <c r="A7757" s="66"/>
    </row>
    <row r="7758" spans="1:1" x14ac:dyDescent="0.25">
      <c r="A7758" s="66"/>
    </row>
    <row r="7759" spans="1:1" x14ac:dyDescent="0.25">
      <c r="A7759" s="66"/>
    </row>
    <row r="7760" spans="1:1" x14ac:dyDescent="0.25">
      <c r="A7760" s="66"/>
    </row>
    <row r="7761" spans="1:1" x14ac:dyDescent="0.25">
      <c r="A7761" s="66"/>
    </row>
    <row r="7762" spans="1:1" x14ac:dyDescent="0.25">
      <c r="A7762" s="66"/>
    </row>
    <row r="7763" spans="1:1" x14ac:dyDescent="0.25">
      <c r="A7763" s="66"/>
    </row>
    <row r="7764" spans="1:1" x14ac:dyDescent="0.25">
      <c r="A7764" s="66"/>
    </row>
    <row r="7765" spans="1:1" x14ac:dyDescent="0.25">
      <c r="A7765" s="66"/>
    </row>
    <row r="7766" spans="1:1" x14ac:dyDescent="0.25">
      <c r="A7766" s="66"/>
    </row>
    <row r="7767" spans="1:1" x14ac:dyDescent="0.25">
      <c r="A7767" s="66"/>
    </row>
    <row r="7768" spans="1:1" x14ac:dyDescent="0.25">
      <c r="A7768" s="66"/>
    </row>
    <row r="7769" spans="1:1" x14ac:dyDescent="0.25">
      <c r="A7769" s="66"/>
    </row>
    <row r="7770" spans="1:1" x14ac:dyDescent="0.25">
      <c r="A7770" s="66"/>
    </row>
    <row r="7771" spans="1:1" x14ac:dyDescent="0.25">
      <c r="A7771" s="66"/>
    </row>
    <row r="7772" spans="1:1" x14ac:dyDescent="0.25">
      <c r="A7772" s="66"/>
    </row>
    <row r="7773" spans="1:1" x14ac:dyDescent="0.25">
      <c r="A7773" s="66"/>
    </row>
    <row r="7774" spans="1:1" x14ac:dyDescent="0.25">
      <c r="A7774" s="66"/>
    </row>
    <row r="7775" spans="1:1" x14ac:dyDescent="0.25">
      <c r="A7775" s="66"/>
    </row>
    <row r="7776" spans="1:1" x14ac:dyDescent="0.25">
      <c r="A7776" s="66"/>
    </row>
    <row r="7777" spans="1:1" x14ac:dyDescent="0.25">
      <c r="A7777" s="66"/>
    </row>
    <row r="7778" spans="1:1" x14ac:dyDescent="0.25">
      <c r="A7778" s="66"/>
    </row>
    <row r="7779" spans="1:1" x14ac:dyDescent="0.25">
      <c r="A7779" s="66"/>
    </row>
    <row r="7780" spans="1:1" x14ac:dyDescent="0.25">
      <c r="A7780" s="66"/>
    </row>
    <row r="7781" spans="1:1" x14ac:dyDescent="0.25">
      <c r="A7781" s="66"/>
    </row>
    <row r="7782" spans="1:1" x14ac:dyDescent="0.25">
      <c r="A7782" s="66"/>
    </row>
    <row r="7783" spans="1:1" x14ac:dyDescent="0.25">
      <c r="A7783" s="66"/>
    </row>
    <row r="7784" spans="1:1" x14ac:dyDescent="0.25">
      <c r="A7784" s="66"/>
    </row>
    <row r="7785" spans="1:1" x14ac:dyDescent="0.25">
      <c r="A7785" s="66"/>
    </row>
    <row r="7786" spans="1:1" x14ac:dyDescent="0.25">
      <c r="A7786" s="66"/>
    </row>
    <row r="7787" spans="1:1" x14ac:dyDescent="0.25">
      <c r="A7787" s="66"/>
    </row>
    <row r="7788" spans="1:1" x14ac:dyDescent="0.25">
      <c r="A7788" s="66"/>
    </row>
    <row r="7789" spans="1:1" x14ac:dyDescent="0.25">
      <c r="A7789" s="66"/>
    </row>
    <row r="7790" spans="1:1" x14ac:dyDescent="0.25">
      <c r="A7790" s="66"/>
    </row>
    <row r="7791" spans="1:1" x14ac:dyDescent="0.25">
      <c r="A7791" s="66"/>
    </row>
    <row r="7792" spans="1:1" x14ac:dyDescent="0.25">
      <c r="A7792" s="66"/>
    </row>
    <row r="7793" spans="1:1" x14ac:dyDescent="0.25">
      <c r="A7793" s="66"/>
    </row>
    <row r="7794" spans="1:1" x14ac:dyDescent="0.25">
      <c r="A7794" s="66"/>
    </row>
    <row r="7795" spans="1:1" x14ac:dyDescent="0.25">
      <c r="A7795" s="66"/>
    </row>
    <row r="7796" spans="1:1" x14ac:dyDescent="0.25">
      <c r="A7796" s="66"/>
    </row>
    <row r="7797" spans="1:1" x14ac:dyDescent="0.25">
      <c r="A7797" s="66"/>
    </row>
    <row r="7798" spans="1:1" x14ac:dyDescent="0.25">
      <c r="A7798" s="66"/>
    </row>
    <row r="7799" spans="1:1" x14ac:dyDescent="0.25">
      <c r="A7799" s="66"/>
    </row>
    <row r="7800" spans="1:1" x14ac:dyDescent="0.25">
      <c r="A7800" s="66"/>
    </row>
    <row r="7801" spans="1:1" x14ac:dyDescent="0.25">
      <c r="A7801" s="66"/>
    </row>
    <row r="7802" spans="1:1" x14ac:dyDescent="0.25">
      <c r="A7802" s="66"/>
    </row>
    <row r="7803" spans="1:1" x14ac:dyDescent="0.25">
      <c r="A7803" s="66"/>
    </row>
    <row r="7804" spans="1:1" x14ac:dyDescent="0.25">
      <c r="A7804" s="66"/>
    </row>
    <row r="7805" spans="1:1" x14ac:dyDescent="0.25">
      <c r="A7805" s="66"/>
    </row>
    <row r="7806" spans="1:1" x14ac:dyDescent="0.25">
      <c r="A7806" s="66"/>
    </row>
    <row r="7807" spans="1:1" x14ac:dyDescent="0.25">
      <c r="A7807" s="66"/>
    </row>
    <row r="7808" spans="1:1" x14ac:dyDescent="0.25">
      <c r="A7808" s="66"/>
    </row>
    <row r="7809" spans="1:1" x14ac:dyDescent="0.25">
      <c r="A7809" s="66"/>
    </row>
    <row r="7810" spans="1:1" x14ac:dyDescent="0.25">
      <c r="A7810" s="66"/>
    </row>
    <row r="7811" spans="1:1" x14ac:dyDescent="0.25">
      <c r="A7811" s="66"/>
    </row>
    <row r="7812" spans="1:1" x14ac:dyDescent="0.25">
      <c r="A7812" s="66"/>
    </row>
    <row r="7813" spans="1:1" x14ac:dyDescent="0.25">
      <c r="A7813" s="66"/>
    </row>
    <row r="7814" spans="1:1" x14ac:dyDescent="0.25">
      <c r="A7814" s="66"/>
    </row>
    <row r="7815" spans="1:1" x14ac:dyDescent="0.25">
      <c r="A7815" s="66"/>
    </row>
    <row r="7816" spans="1:1" x14ac:dyDescent="0.25">
      <c r="A7816" s="66"/>
    </row>
    <row r="7817" spans="1:1" x14ac:dyDescent="0.25">
      <c r="A7817" s="66"/>
    </row>
    <row r="7818" spans="1:1" x14ac:dyDescent="0.25">
      <c r="A7818" s="66"/>
    </row>
    <row r="7819" spans="1:1" x14ac:dyDescent="0.25">
      <c r="A7819" s="66"/>
    </row>
    <row r="7820" spans="1:1" x14ac:dyDescent="0.25">
      <c r="A7820" s="66"/>
    </row>
    <row r="7821" spans="1:1" x14ac:dyDescent="0.25">
      <c r="A7821" s="66"/>
    </row>
    <row r="7822" spans="1:1" x14ac:dyDescent="0.25">
      <c r="A7822" s="66"/>
    </row>
    <row r="7823" spans="1:1" x14ac:dyDescent="0.25">
      <c r="A7823" s="66"/>
    </row>
    <row r="7824" spans="1:1" x14ac:dyDescent="0.25">
      <c r="A7824" s="66"/>
    </row>
    <row r="7825" spans="1:1" x14ac:dyDescent="0.25">
      <c r="A7825" s="66"/>
    </row>
    <row r="7826" spans="1:1" x14ac:dyDescent="0.25">
      <c r="A7826" s="66"/>
    </row>
    <row r="7827" spans="1:1" x14ac:dyDescent="0.25">
      <c r="A7827" s="66"/>
    </row>
    <row r="7828" spans="1:1" x14ac:dyDescent="0.25">
      <c r="A7828" s="66"/>
    </row>
    <row r="7829" spans="1:1" x14ac:dyDescent="0.25">
      <c r="A7829" s="66"/>
    </row>
    <row r="7830" spans="1:1" x14ac:dyDescent="0.25">
      <c r="A7830" s="66"/>
    </row>
    <row r="7831" spans="1:1" x14ac:dyDescent="0.25">
      <c r="A7831" s="66"/>
    </row>
    <row r="7832" spans="1:1" x14ac:dyDescent="0.25">
      <c r="A7832" s="66"/>
    </row>
    <row r="7833" spans="1:1" x14ac:dyDescent="0.25">
      <c r="A7833" s="66"/>
    </row>
    <row r="7834" spans="1:1" x14ac:dyDescent="0.25">
      <c r="A7834" s="66"/>
    </row>
    <row r="7835" spans="1:1" x14ac:dyDescent="0.25">
      <c r="A7835" s="66"/>
    </row>
    <row r="7836" spans="1:1" x14ac:dyDescent="0.25">
      <c r="A7836" s="66"/>
    </row>
    <row r="7837" spans="1:1" x14ac:dyDescent="0.25">
      <c r="A7837" s="66"/>
    </row>
    <row r="7838" spans="1:1" x14ac:dyDescent="0.25">
      <c r="A7838" s="66"/>
    </row>
    <row r="7839" spans="1:1" x14ac:dyDescent="0.25">
      <c r="A7839" s="66"/>
    </row>
    <row r="7840" spans="1:1" x14ac:dyDescent="0.25">
      <c r="A7840" s="66"/>
    </row>
    <row r="7841" spans="1:1" x14ac:dyDescent="0.25">
      <c r="A7841" s="66"/>
    </row>
    <row r="7842" spans="1:1" x14ac:dyDescent="0.25">
      <c r="A7842" s="66"/>
    </row>
    <row r="7843" spans="1:1" x14ac:dyDescent="0.25">
      <c r="A7843" s="66"/>
    </row>
    <row r="7844" spans="1:1" x14ac:dyDescent="0.25">
      <c r="A7844" s="66"/>
    </row>
    <row r="7845" spans="1:1" x14ac:dyDescent="0.25">
      <c r="A7845" s="66"/>
    </row>
    <row r="7846" spans="1:1" x14ac:dyDescent="0.25">
      <c r="A7846" s="66"/>
    </row>
    <row r="7847" spans="1:1" x14ac:dyDescent="0.25">
      <c r="A7847" s="66"/>
    </row>
    <row r="7848" spans="1:1" x14ac:dyDescent="0.25">
      <c r="A7848" s="66"/>
    </row>
    <row r="7849" spans="1:1" x14ac:dyDescent="0.25">
      <c r="A7849" s="66"/>
    </row>
    <row r="7850" spans="1:1" x14ac:dyDescent="0.25">
      <c r="A7850" s="66"/>
    </row>
    <row r="7851" spans="1:1" x14ac:dyDescent="0.25">
      <c r="A7851" s="66"/>
    </row>
    <row r="7852" spans="1:1" x14ac:dyDescent="0.25">
      <c r="A7852" s="66"/>
    </row>
    <row r="7853" spans="1:1" x14ac:dyDescent="0.25">
      <c r="A7853" s="66"/>
    </row>
    <row r="7854" spans="1:1" x14ac:dyDescent="0.25">
      <c r="A7854" s="66"/>
    </row>
    <row r="7855" spans="1:1" x14ac:dyDescent="0.25">
      <c r="A7855" s="66"/>
    </row>
    <row r="7856" spans="1:1" x14ac:dyDescent="0.25">
      <c r="A7856" s="66"/>
    </row>
    <row r="7857" spans="1:1" x14ac:dyDescent="0.25">
      <c r="A7857" s="66"/>
    </row>
    <row r="7858" spans="1:1" x14ac:dyDescent="0.25">
      <c r="A7858" s="66"/>
    </row>
    <row r="7859" spans="1:1" x14ac:dyDescent="0.25">
      <c r="A7859" s="66"/>
    </row>
    <row r="7860" spans="1:1" x14ac:dyDescent="0.25">
      <c r="A7860" s="66"/>
    </row>
    <row r="7861" spans="1:1" x14ac:dyDescent="0.25">
      <c r="A7861" s="66"/>
    </row>
    <row r="7862" spans="1:1" x14ac:dyDescent="0.25">
      <c r="A7862" s="66"/>
    </row>
    <row r="7863" spans="1:1" x14ac:dyDescent="0.25">
      <c r="A7863" s="66"/>
    </row>
    <row r="7864" spans="1:1" x14ac:dyDescent="0.25">
      <c r="A7864" s="66"/>
    </row>
    <row r="7865" spans="1:1" x14ac:dyDescent="0.25">
      <c r="A7865" s="66"/>
    </row>
    <row r="7866" spans="1:1" x14ac:dyDescent="0.25">
      <c r="A7866" s="66"/>
    </row>
    <row r="7867" spans="1:1" x14ac:dyDescent="0.25">
      <c r="A7867" s="66"/>
    </row>
    <row r="7868" spans="1:1" x14ac:dyDescent="0.25">
      <c r="A7868" s="66"/>
    </row>
    <row r="7869" spans="1:1" x14ac:dyDescent="0.25">
      <c r="A7869" s="66"/>
    </row>
    <row r="7870" spans="1:1" x14ac:dyDescent="0.25">
      <c r="A7870" s="66"/>
    </row>
    <row r="7871" spans="1:1" x14ac:dyDescent="0.25">
      <c r="A7871" s="66"/>
    </row>
    <row r="7872" spans="1:1" x14ac:dyDescent="0.25">
      <c r="A7872" s="66"/>
    </row>
    <row r="7873" spans="1:1" x14ac:dyDescent="0.25">
      <c r="A7873" s="66"/>
    </row>
    <row r="7874" spans="1:1" x14ac:dyDescent="0.25">
      <c r="A7874" s="66"/>
    </row>
    <row r="7875" spans="1:1" x14ac:dyDescent="0.25">
      <c r="A7875" s="66"/>
    </row>
    <row r="7876" spans="1:1" x14ac:dyDescent="0.25">
      <c r="A7876" s="66"/>
    </row>
    <row r="7877" spans="1:1" x14ac:dyDescent="0.25">
      <c r="A7877" s="66"/>
    </row>
    <row r="7878" spans="1:1" x14ac:dyDescent="0.25">
      <c r="A7878" s="66"/>
    </row>
    <row r="7879" spans="1:1" x14ac:dyDescent="0.25">
      <c r="A7879" s="66"/>
    </row>
    <row r="7880" spans="1:1" x14ac:dyDescent="0.25">
      <c r="A7880" s="66"/>
    </row>
    <row r="7881" spans="1:1" x14ac:dyDescent="0.25">
      <c r="A7881" s="66"/>
    </row>
    <row r="7882" spans="1:1" x14ac:dyDescent="0.25">
      <c r="A7882" s="66"/>
    </row>
    <row r="7883" spans="1:1" x14ac:dyDescent="0.25">
      <c r="A7883" s="66"/>
    </row>
    <row r="7884" spans="1:1" x14ac:dyDescent="0.25">
      <c r="A7884" s="66"/>
    </row>
    <row r="7885" spans="1:1" x14ac:dyDescent="0.25">
      <c r="A7885" s="66"/>
    </row>
    <row r="7886" spans="1:1" x14ac:dyDescent="0.25">
      <c r="A7886" s="66"/>
    </row>
    <row r="7887" spans="1:1" x14ac:dyDescent="0.25">
      <c r="A7887" s="66"/>
    </row>
    <row r="7888" spans="1:1" x14ac:dyDescent="0.25">
      <c r="A7888" s="66"/>
    </row>
    <row r="7889" spans="1:1" x14ac:dyDescent="0.25">
      <c r="A7889" s="66"/>
    </row>
    <row r="7890" spans="1:1" x14ac:dyDescent="0.25">
      <c r="A7890" s="66"/>
    </row>
    <row r="7891" spans="1:1" x14ac:dyDescent="0.25">
      <c r="A7891" s="66"/>
    </row>
    <row r="7892" spans="1:1" x14ac:dyDescent="0.25">
      <c r="A7892" s="66"/>
    </row>
    <row r="7893" spans="1:1" x14ac:dyDescent="0.25">
      <c r="A7893" s="66"/>
    </row>
    <row r="7894" spans="1:1" x14ac:dyDescent="0.25">
      <c r="A7894" s="66"/>
    </row>
    <row r="7895" spans="1:1" x14ac:dyDescent="0.25">
      <c r="A7895" s="66"/>
    </row>
    <row r="7896" spans="1:1" x14ac:dyDescent="0.25">
      <c r="A7896" s="66"/>
    </row>
    <row r="7897" spans="1:1" x14ac:dyDescent="0.25">
      <c r="A7897" s="66"/>
    </row>
    <row r="7898" spans="1:1" x14ac:dyDescent="0.25">
      <c r="A7898" s="66"/>
    </row>
    <row r="7899" spans="1:1" x14ac:dyDescent="0.25">
      <c r="A7899" s="66"/>
    </row>
    <row r="7900" spans="1:1" x14ac:dyDescent="0.25">
      <c r="A7900" s="66"/>
    </row>
    <row r="7901" spans="1:1" x14ac:dyDescent="0.25">
      <c r="A7901" s="66"/>
    </row>
    <row r="7902" spans="1:1" x14ac:dyDescent="0.25">
      <c r="A7902" s="66"/>
    </row>
    <row r="7903" spans="1:1" x14ac:dyDescent="0.25">
      <c r="A7903" s="66"/>
    </row>
    <row r="7904" spans="1:1" x14ac:dyDescent="0.25">
      <c r="A7904" s="66"/>
    </row>
    <row r="7905" spans="1:1" x14ac:dyDescent="0.25">
      <c r="A7905" s="66"/>
    </row>
    <row r="7906" spans="1:1" x14ac:dyDescent="0.25">
      <c r="A7906" s="66"/>
    </row>
    <row r="7907" spans="1:1" x14ac:dyDescent="0.25">
      <c r="A7907" s="66"/>
    </row>
    <row r="7908" spans="1:1" x14ac:dyDescent="0.25">
      <c r="A7908" s="66"/>
    </row>
    <row r="7909" spans="1:1" x14ac:dyDescent="0.25">
      <c r="A7909" s="66"/>
    </row>
    <row r="7910" spans="1:1" x14ac:dyDescent="0.25">
      <c r="A7910" s="66"/>
    </row>
    <row r="7911" spans="1:1" x14ac:dyDescent="0.25">
      <c r="A7911" s="66"/>
    </row>
    <row r="7912" spans="1:1" x14ac:dyDescent="0.25">
      <c r="A7912" s="66"/>
    </row>
    <row r="7913" spans="1:1" x14ac:dyDescent="0.25">
      <c r="A7913" s="66"/>
    </row>
    <row r="7914" spans="1:1" x14ac:dyDescent="0.25">
      <c r="A7914" s="66"/>
    </row>
    <row r="7915" spans="1:1" x14ac:dyDescent="0.25">
      <c r="A7915" s="66"/>
    </row>
    <row r="7916" spans="1:1" x14ac:dyDescent="0.25">
      <c r="A7916" s="66"/>
    </row>
    <row r="7917" spans="1:1" x14ac:dyDescent="0.25">
      <c r="A7917" s="66"/>
    </row>
    <row r="7918" spans="1:1" x14ac:dyDescent="0.25">
      <c r="A7918" s="66"/>
    </row>
    <row r="7919" spans="1:1" x14ac:dyDescent="0.25">
      <c r="A7919" s="66"/>
    </row>
    <row r="7920" spans="1:1" x14ac:dyDescent="0.25">
      <c r="A7920" s="66"/>
    </row>
    <row r="7921" spans="1:1" x14ac:dyDescent="0.25">
      <c r="A7921" s="66"/>
    </row>
    <row r="7922" spans="1:1" x14ac:dyDescent="0.25">
      <c r="A7922" s="66"/>
    </row>
    <row r="7923" spans="1:1" x14ac:dyDescent="0.25">
      <c r="A7923" s="66"/>
    </row>
    <row r="7924" spans="1:1" x14ac:dyDescent="0.25">
      <c r="A7924" s="66"/>
    </row>
    <row r="7925" spans="1:1" x14ac:dyDescent="0.25">
      <c r="A7925" s="66"/>
    </row>
    <row r="7926" spans="1:1" x14ac:dyDescent="0.25">
      <c r="A7926" s="66"/>
    </row>
    <row r="7927" spans="1:1" x14ac:dyDescent="0.25">
      <c r="A7927" s="66"/>
    </row>
    <row r="7928" spans="1:1" x14ac:dyDescent="0.25">
      <c r="A7928" s="66"/>
    </row>
    <row r="7929" spans="1:1" x14ac:dyDescent="0.25">
      <c r="A7929" s="66"/>
    </row>
    <row r="7930" spans="1:1" x14ac:dyDescent="0.25">
      <c r="A7930" s="66"/>
    </row>
    <row r="7931" spans="1:1" x14ac:dyDescent="0.25">
      <c r="A7931" s="66"/>
    </row>
    <row r="7932" spans="1:1" x14ac:dyDescent="0.25">
      <c r="A7932" s="66"/>
    </row>
    <row r="7933" spans="1:1" x14ac:dyDescent="0.25">
      <c r="A7933" s="66"/>
    </row>
    <row r="7934" spans="1:1" x14ac:dyDescent="0.25">
      <c r="A7934" s="66"/>
    </row>
    <row r="7935" spans="1:1" x14ac:dyDescent="0.25">
      <c r="A7935" s="66"/>
    </row>
    <row r="7936" spans="1:1" x14ac:dyDescent="0.25">
      <c r="A7936" s="66"/>
    </row>
    <row r="7937" spans="1:1" x14ac:dyDescent="0.25">
      <c r="A7937" s="66"/>
    </row>
    <row r="7938" spans="1:1" x14ac:dyDescent="0.25">
      <c r="A7938" s="66"/>
    </row>
    <row r="7939" spans="1:1" x14ac:dyDescent="0.25">
      <c r="A7939" s="66"/>
    </row>
    <row r="7940" spans="1:1" x14ac:dyDescent="0.25">
      <c r="A7940" s="66"/>
    </row>
    <row r="7941" spans="1:1" x14ac:dyDescent="0.25">
      <c r="A7941" s="66"/>
    </row>
    <row r="7942" spans="1:1" x14ac:dyDescent="0.25">
      <c r="A7942" s="66"/>
    </row>
    <row r="7943" spans="1:1" x14ac:dyDescent="0.25">
      <c r="A7943" s="66"/>
    </row>
    <row r="7944" spans="1:1" x14ac:dyDescent="0.25">
      <c r="A7944" s="66"/>
    </row>
    <row r="7945" spans="1:1" x14ac:dyDescent="0.25">
      <c r="A7945" s="66"/>
    </row>
    <row r="7946" spans="1:1" x14ac:dyDescent="0.25">
      <c r="A7946" s="66"/>
    </row>
    <row r="7947" spans="1:1" x14ac:dyDescent="0.25">
      <c r="A7947" s="66"/>
    </row>
    <row r="7948" spans="1:1" x14ac:dyDescent="0.25">
      <c r="A7948" s="66"/>
    </row>
    <row r="7949" spans="1:1" x14ac:dyDescent="0.25">
      <c r="A7949" s="66"/>
    </row>
    <row r="7950" spans="1:1" x14ac:dyDescent="0.25">
      <c r="A7950" s="66"/>
    </row>
    <row r="7951" spans="1:1" x14ac:dyDescent="0.25">
      <c r="A7951" s="66"/>
    </row>
    <row r="7952" spans="1:1" x14ac:dyDescent="0.25">
      <c r="A7952" s="66"/>
    </row>
    <row r="7953" spans="1:1" x14ac:dyDescent="0.25">
      <c r="A7953" s="66"/>
    </row>
    <row r="7954" spans="1:1" x14ac:dyDescent="0.25">
      <c r="A7954" s="66"/>
    </row>
    <row r="7955" spans="1:1" x14ac:dyDescent="0.25">
      <c r="A7955" s="66"/>
    </row>
    <row r="7956" spans="1:1" x14ac:dyDescent="0.25">
      <c r="A7956" s="66"/>
    </row>
    <row r="7957" spans="1:1" x14ac:dyDescent="0.25">
      <c r="A7957" s="66"/>
    </row>
    <row r="7958" spans="1:1" x14ac:dyDescent="0.25">
      <c r="A7958" s="66"/>
    </row>
    <row r="7959" spans="1:1" x14ac:dyDescent="0.25">
      <c r="A7959" s="66"/>
    </row>
    <row r="7960" spans="1:1" x14ac:dyDescent="0.25">
      <c r="A7960" s="66"/>
    </row>
    <row r="7961" spans="1:1" x14ac:dyDescent="0.25">
      <c r="A7961" s="66"/>
    </row>
    <row r="7962" spans="1:1" x14ac:dyDescent="0.25">
      <c r="A7962" s="66"/>
    </row>
    <row r="7963" spans="1:1" x14ac:dyDescent="0.25">
      <c r="A7963" s="66"/>
    </row>
    <row r="7964" spans="1:1" x14ac:dyDescent="0.25">
      <c r="A7964" s="66"/>
    </row>
    <row r="7965" spans="1:1" x14ac:dyDescent="0.25">
      <c r="A7965" s="66"/>
    </row>
    <row r="7966" spans="1:1" x14ac:dyDescent="0.25">
      <c r="A7966" s="66"/>
    </row>
    <row r="7967" spans="1:1" x14ac:dyDescent="0.25">
      <c r="A7967" s="66"/>
    </row>
    <row r="7968" spans="1:1" x14ac:dyDescent="0.25">
      <c r="A7968" s="66"/>
    </row>
    <row r="7969" spans="1:1" x14ac:dyDescent="0.25">
      <c r="A7969" s="66"/>
    </row>
    <row r="7970" spans="1:1" x14ac:dyDescent="0.25">
      <c r="A7970" s="66"/>
    </row>
    <row r="7971" spans="1:1" x14ac:dyDescent="0.25">
      <c r="A7971" s="66"/>
    </row>
    <row r="7972" spans="1:1" x14ac:dyDescent="0.25">
      <c r="A7972" s="66"/>
    </row>
    <row r="7973" spans="1:1" x14ac:dyDescent="0.25">
      <c r="A7973" s="66"/>
    </row>
    <row r="7974" spans="1:1" x14ac:dyDescent="0.25">
      <c r="A7974" s="66"/>
    </row>
    <row r="7975" spans="1:1" x14ac:dyDescent="0.25">
      <c r="A7975" s="66"/>
    </row>
    <row r="7976" spans="1:1" x14ac:dyDescent="0.25">
      <c r="A7976" s="66"/>
    </row>
    <row r="7977" spans="1:1" x14ac:dyDescent="0.25">
      <c r="A7977" s="66"/>
    </row>
    <row r="7978" spans="1:1" x14ac:dyDescent="0.25">
      <c r="A7978" s="66"/>
    </row>
    <row r="7979" spans="1:1" x14ac:dyDescent="0.25">
      <c r="A7979" s="66"/>
    </row>
    <row r="7980" spans="1:1" x14ac:dyDescent="0.25">
      <c r="A7980" s="66"/>
    </row>
    <row r="7981" spans="1:1" x14ac:dyDescent="0.25">
      <c r="A7981" s="66"/>
    </row>
    <row r="7982" spans="1:1" x14ac:dyDescent="0.25">
      <c r="A7982" s="66"/>
    </row>
    <row r="7983" spans="1:1" x14ac:dyDescent="0.25">
      <c r="A7983" s="66"/>
    </row>
    <row r="7984" spans="1:1" x14ac:dyDescent="0.25">
      <c r="A7984" s="66"/>
    </row>
    <row r="7985" spans="1:1" x14ac:dyDescent="0.25">
      <c r="A7985" s="66"/>
    </row>
    <row r="7986" spans="1:1" x14ac:dyDescent="0.25">
      <c r="A7986" s="66"/>
    </row>
    <row r="7987" spans="1:1" x14ac:dyDescent="0.25">
      <c r="A7987" s="66"/>
    </row>
    <row r="7988" spans="1:1" x14ac:dyDescent="0.25">
      <c r="A7988" s="66"/>
    </row>
    <row r="7989" spans="1:1" x14ac:dyDescent="0.25">
      <c r="A7989" s="66"/>
    </row>
    <row r="7990" spans="1:1" x14ac:dyDescent="0.25">
      <c r="A7990" s="66"/>
    </row>
    <row r="7991" spans="1:1" x14ac:dyDescent="0.25">
      <c r="A7991" s="66"/>
    </row>
    <row r="7992" spans="1:1" x14ac:dyDescent="0.25">
      <c r="A7992" s="66"/>
    </row>
    <row r="7993" spans="1:1" x14ac:dyDescent="0.25">
      <c r="A7993" s="66"/>
    </row>
    <row r="7994" spans="1:1" x14ac:dyDescent="0.25">
      <c r="A7994" s="66"/>
    </row>
    <row r="7995" spans="1:1" x14ac:dyDescent="0.25">
      <c r="A7995" s="66"/>
    </row>
    <row r="7996" spans="1:1" x14ac:dyDescent="0.25">
      <c r="A7996" s="66"/>
    </row>
    <row r="7997" spans="1:1" x14ac:dyDescent="0.25">
      <c r="A7997" s="66"/>
    </row>
    <row r="7998" spans="1:1" x14ac:dyDescent="0.25">
      <c r="A7998" s="66"/>
    </row>
    <row r="7999" spans="1:1" x14ac:dyDescent="0.25">
      <c r="A7999" s="66"/>
    </row>
    <row r="8000" spans="1:1" x14ac:dyDescent="0.25">
      <c r="A8000" s="66"/>
    </row>
    <row r="8001" spans="1:1" x14ac:dyDescent="0.25">
      <c r="A8001" s="66"/>
    </row>
    <row r="8002" spans="1:1" x14ac:dyDescent="0.25">
      <c r="A8002" s="66"/>
    </row>
    <row r="8003" spans="1:1" x14ac:dyDescent="0.25">
      <c r="A8003" s="66"/>
    </row>
    <row r="8004" spans="1:1" x14ac:dyDescent="0.25">
      <c r="A8004" s="66"/>
    </row>
    <row r="8005" spans="1:1" x14ac:dyDescent="0.25">
      <c r="A8005" s="66"/>
    </row>
    <row r="8006" spans="1:1" x14ac:dyDescent="0.25">
      <c r="A8006" s="66"/>
    </row>
    <row r="8007" spans="1:1" x14ac:dyDescent="0.25">
      <c r="A8007" s="66"/>
    </row>
    <row r="8008" spans="1:1" x14ac:dyDescent="0.25">
      <c r="A8008" s="66"/>
    </row>
    <row r="8009" spans="1:1" x14ac:dyDescent="0.25">
      <c r="A8009" s="66"/>
    </row>
    <row r="8010" spans="1:1" x14ac:dyDescent="0.25">
      <c r="A8010" s="66"/>
    </row>
    <row r="8011" spans="1:1" x14ac:dyDescent="0.25">
      <c r="A8011" s="66"/>
    </row>
    <row r="8012" spans="1:1" x14ac:dyDescent="0.25">
      <c r="A8012" s="66"/>
    </row>
    <row r="8013" spans="1:1" x14ac:dyDescent="0.25">
      <c r="A8013" s="66"/>
    </row>
    <row r="8014" spans="1:1" x14ac:dyDescent="0.25">
      <c r="A8014" s="66"/>
    </row>
    <row r="8015" spans="1:1" x14ac:dyDescent="0.25">
      <c r="A8015" s="66"/>
    </row>
    <row r="8016" spans="1:1" x14ac:dyDescent="0.25">
      <c r="A8016" s="66"/>
    </row>
    <row r="8017" spans="1:1" x14ac:dyDescent="0.25">
      <c r="A8017" s="66"/>
    </row>
    <row r="8018" spans="1:1" x14ac:dyDescent="0.25">
      <c r="A8018" s="66"/>
    </row>
    <row r="8019" spans="1:1" x14ac:dyDescent="0.25">
      <c r="A8019" s="66"/>
    </row>
    <row r="8020" spans="1:1" x14ac:dyDescent="0.25">
      <c r="A8020" s="66"/>
    </row>
    <row r="8021" spans="1:1" x14ac:dyDescent="0.25">
      <c r="A8021" s="66"/>
    </row>
    <row r="8022" spans="1:1" x14ac:dyDescent="0.25">
      <c r="A8022" s="66"/>
    </row>
    <row r="8023" spans="1:1" x14ac:dyDescent="0.25">
      <c r="A8023" s="66"/>
    </row>
    <row r="8024" spans="1:1" x14ac:dyDescent="0.25">
      <c r="A8024" s="66"/>
    </row>
    <row r="8025" spans="1:1" x14ac:dyDescent="0.25">
      <c r="A8025" s="66"/>
    </row>
    <row r="8026" spans="1:1" x14ac:dyDescent="0.25">
      <c r="A8026" s="66"/>
    </row>
    <row r="8027" spans="1:1" x14ac:dyDescent="0.25">
      <c r="A8027" s="66"/>
    </row>
    <row r="8028" spans="1:1" x14ac:dyDescent="0.25">
      <c r="A8028" s="66"/>
    </row>
    <row r="8029" spans="1:1" x14ac:dyDescent="0.25">
      <c r="A8029" s="66"/>
    </row>
    <row r="8030" spans="1:1" x14ac:dyDescent="0.25">
      <c r="A8030" s="66"/>
    </row>
    <row r="8031" spans="1:1" x14ac:dyDescent="0.25">
      <c r="A8031" s="66"/>
    </row>
    <row r="8032" spans="1:1" x14ac:dyDescent="0.25">
      <c r="A8032" s="66"/>
    </row>
    <row r="8033" spans="1:1" x14ac:dyDescent="0.25">
      <c r="A8033" s="66"/>
    </row>
    <row r="8034" spans="1:1" x14ac:dyDescent="0.25">
      <c r="A8034" s="66"/>
    </row>
    <row r="8035" spans="1:1" x14ac:dyDescent="0.25">
      <c r="A8035" s="66"/>
    </row>
    <row r="8036" spans="1:1" x14ac:dyDescent="0.25">
      <c r="A8036" s="66"/>
    </row>
    <row r="8037" spans="1:1" x14ac:dyDescent="0.25">
      <c r="A8037" s="66"/>
    </row>
    <row r="8038" spans="1:1" x14ac:dyDescent="0.25">
      <c r="A8038" s="66"/>
    </row>
    <row r="8039" spans="1:1" x14ac:dyDescent="0.25">
      <c r="A8039" s="66"/>
    </row>
    <row r="8040" spans="1:1" x14ac:dyDescent="0.25">
      <c r="A8040" s="66"/>
    </row>
    <row r="8041" spans="1:1" x14ac:dyDescent="0.25">
      <c r="A8041" s="66"/>
    </row>
    <row r="8042" spans="1:1" x14ac:dyDescent="0.25">
      <c r="A8042" s="66"/>
    </row>
    <row r="8043" spans="1:1" x14ac:dyDescent="0.25">
      <c r="A8043" s="66"/>
    </row>
    <row r="8044" spans="1:1" x14ac:dyDescent="0.25">
      <c r="A8044" s="66"/>
    </row>
    <row r="8045" spans="1:1" x14ac:dyDescent="0.25">
      <c r="A8045" s="66"/>
    </row>
    <row r="8046" spans="1:1" x14ac:dyDescent="0.25">
      <c r="A8046" s="66"/>
    </row>
    <row r="8047" spans="1:1" x14ac:dyDescent="0.25">
      <c r="A8047" s="66"/>
    </row>
    <row r="8048" spans="1:1" x14ac:dyDescent="0.25">
      <c r="A8048" s="66"/>
    </row>
    <row r="8049" spans="1:1" x14ac:dyDescent="0.25">
      <c r="A8049" s="66"/>
    </row>
    <row r="8050" spans="1:1" x14ac:dyDescent="0.25">
      <c r="A8050" s="66"/>
    </row>
    <row r="8051" spans="1:1" x14ac:dyDescent="0.25">
      <c r="A8051" s="66"/>
    </row>
    <row r="8052" spans="1:1" x14ac:dyDescent="0.25">
      <c r="A8052" s="66"/>
    </row>
    <row r="8053" spans="1:1" x14ac:dyDescent="0.25">
      <c r="A8053" s="66"/>
    </row>
    <row r="8054" spans="1:1" x14ac:dyDescent="0.25">
      <c r="A8054" s="66"/>
    </row>
    <row r="8055" spans="1:1" x14ac:dyDescent="0.25">
      <c r="A8055" s="66"/>
    </row>
    <row r="8056" spans="1:1" x14ac:dyDescent="0.25">
      <c r="A8056" s="66"/>
    </row>
    <row r="8057" spans="1:1" x14ac:dyDescent="0.25">
      <c r="A8057" s="66"/>
    </row>
    <row r="8058" spans="1:1" x14ac:dyDescent="0.25">
      <c r="A8058" s="66"/>
    </row>
    <row r="8059" spans="1:1" x14ac:dyDescent="0.25">
      <c r="A8059" s="66"/>
    </row>
    <row r="8060" spans="1:1" x14ac:dyDescent="0.25">
      <c r="A8060" s="66"/>
    </row>
    <row r="8061" spans="1:1" x14ac:dyDescent="0.25">
      <c r="A8061" s="66"/>
    </row>
    <row r="8062" spans="1:1" x14ac:dyDescent="0.25">
      <c r="A8062" s="66"/>
    </row>
    <row r="8063" spans="1:1" x14ac:dyDescent="0.25">
      <c r="A8063" s="66"/>
    </row>
    <row r="8064" spans="1:1" x14ac:dyDescent="0.25">
      <c r="A8064" s="66"/>
    </row>
    <row r="8065" spans="1:1" x14ac:dyDescent="0.25">
      <c r="A8065" s="66"/>
    </row>
    <row r="8066" spans="1:1" x14ac:dyDescent="0.25">
      <c r="A8066" s="66"/>
    </row>
    <row r="8067" spans="1:1" x14ac:dyDescent="0.25">
      <c r="A8067" s="66"/>
    </row>
    <row r="8068" spans="1:1" x14ac:dyDescent="0.25">
      <c r="A8068" s="66"/>
    </row>
    <row r="8069" spans="1:1" x14ac:dyDescent="0.25">
      <c r="A8069" s="66"/>
    </row>
    <row r="8070" spans="1:1" x14ac:dyDescent="0.25">
      <c r="A8070" s="66"/>
    </row>
    <row r="8071" spans="1:1" x14ac:dyDescent="0.25">
      <c r="A8071" s="66"/>
    </row>
    <row r="8072" spans="1:1" x14ac:dyDescent="0.25">
      <c r="A8072" s="66"/>
    </row>
    <row r="8073" spans="1:1" x14ac:dyDescent="0.25">
      <c r="A8073" s="66"/>
    </row>
    <row r="8074" spans="1:1" x14ac:dyDescent="0.25">
      <c r="A8074" s="66"/>
    </row>
    <row r="8075" spans="1:1" x14ac:dyDescent="0.25">
      <c r="A8075" s="66"/>
    </row>
    <row r="8076" spans="1:1" x14ac:dyDescent="0.25">
      <c r="A8076" s="66"/>
    </row>
    <row r="8077" spans="1:1" x14ac:dyDescent="0.25">
      <c r="A8077" s="66"/>
    </row>
    <row r="8078" spans="1:1" x14ac:dyDescent="0.25">
      <c r="A8078" s="66"/>
    </row>
    <row r="8079" spans="1:1" x14ac:dyDescent="0.25">
      <c r="A8079" s="66"/>
    </row>
    <row r="8080" spans="1:1" x14ac:dyDescent="0.25">
      <c r="A8080" s="66"/>
    </row>
    <row r="8081" spans="1:1" x14ac:dyDescent="0.25">
      <c r="A8081" s="66"/>
    </row>
    <row r="8082" spans="1:1" x14ac:dyDescent="0.25">
      <c r="A8082" s="66"/>
    </row>
    <row r="8083" spans="1:1" x14ac:dyDescent="0.25">
      <c r="A8083" s="66"/>
    </row>
    <row r="8084" spans="1:1" x14ac:dyDescent="0.25">
      <c r="A8084" s="66"/>
    </row>
    <row r="8085" spans="1:1" x14ac:dyDescent="0.25">
      <c r="A8085" s="66"/>
    </row>
    <row r="8086" spans="1:1" x14ac:dyDescent="0.25">
      <c r="A8086" s="66"/>
    </row>
    <row r="8087" spans="1:1" x14ac:dyDescent="0.25">
      <c r="A8087" s="66"/>
    </row>
    <row r="8088" spans="1:1" x14ac:dyDescent="0.25">
      <c r="A8088" s="66"/>
    </row>
    <row r="8089" spans="1:1" x14ac:dyDescent="0.25">
      <c r="A8089" s="66"/>
    </row>
    <row r="8090" spans="1:1" x14ac:dyDescent="0.25">
      <c r="A8090" s="66"/>
    </row>
    <row r="8091" spans="1:1" x14ac:dyDescent="0.25">
      <c r="A8091" s="66"/>
    </row>
    <row r="8092" spans="1:1" x14ac:dyDescent="0.25">
      <c r="A8092" s="66"/>
    </row>
    <row r="8093" spans="1:1" x14ac:dyDescent="0.25">
      <c r="A8093" s="66"/>
    </row>
    <row r="8094" spans="1:1" x14ac:dyDescent="0.25">
      <c r="A8094" s="66"/>
    </row>
    <row r="8095" spans="1:1" x14ac:dyDescent="0.25">
      <c r="A8095" s="66"/>
    </row>
    <row r="8096" spans="1:1" x14ac:dyDescent="0.25">
      <c r="A8096" s="66"/>
    </row>
    <row r="8097" spans="1:1" x14ac:dyDescent="0.25">
      <c r="A8097" s="66"/>
    </row>
    <row r="8098" spans="1:1" x14ac:dyDescent="0.25">
      <c r="A8098" s="66"/>
    </row>
    <row r="8099" spans="1:1" x14ac:dyDescent="0.25">
      <c r="A8099" s="66"/>
    </row>
    <row r="8100" spans="1:1" x14ac:dyDescent="0.25">
      <c r="A8100" s="66"/>
    </row>
    <row r="8101" spans="1:1" x14ac:dyDescent="0.25">
      <c r="A8101" s="66"/>
    </row>
    <row r="8102" spans="1:1" x14ac:dyDescent="0.25">
      <c r="A8102" s="66"/>
    </row>
    <row r="8103" spans="1:1" x14ac:dyDescent="0.25">
      <c r="A8103" s="66"/>
    </row>
    <row r="8104" spans="1:1" x14ac:dyDescent="0.25">
      <c r="A8104" s="66"/>
    </row>
    <row r="8105" spans="1:1" x14ac:dyDescent="0.25">
      <c r="A8105" s="66"/>
    </row>
    <row r="8106" spans="1:1" x14ac:dyDescent="0.25">
      <c r="A8106" s="66"/>
    </row>
    <row r="8107" spans="1:1" x14ac:dyDescent="0.25">
      <c r="A8107" s="66"/>
    </row>
    <row r="8108" spans="1:1" x14ac:dyDescent="0.25">
      <c r="A8108" s="66"/>
    </row>
    <row r="8109" spans="1:1" x14ac:dyDescent="0.25">
      <c r="A8109" s="66"/>
    </row>
    <row r="8110" spans="1:1" x14ac:dyDescent="0.25">
      <c r="A8110" s="66"/>
    </row>
    <row r="8111" spans="1:1" x14ac:dyDescent="0.25">
      <c r="A8111" s="66"/>
    </row>
    <row r="8112" spans="1:1" x14ac:dyDescent="0.25">
      <c r="A8112" s="66"/>
    </row>
    <row r="8113" spans="1:1" x14ac:dyDescent="0.25">
      <c r="A8113" s="66"/>
    </row>
    <row r="8114" spans="1:1" x14ac:dyDescent="0.25">
      <c r="A8114" s="66"/>
    </row>
    <row r="8115" spans="1:1" x14ac:dyDescent="0.25">
      <c r="A8115" s="66"/>
    </row>
    <row r="8116" spans="1:1" x14ac:dyDescent="0.25">
      <c r="A8116" s="66"/>
    </row>
    <row r="8117" spans="1:1" x14ac:dyDescent="0.25">
      <c r="A8117" s="66"/>
    </row>
    <row r="8118" spans="1:1" x14ac:dyDescent="0.25">
      <c r="A8118" s="66"/>
    </row>
    <row r="8119" spans="1:1" x14ac:dyDescent="0.25">
      <c r="A8119" s="66"/>
    </row>
    <row r="8120" spans="1:1" x14ac:dyDescent="0.25">
      <c r="A8120" s="66"/>
    </row>
    <row r="8121" spans="1:1" x14ac:dyDescent="0.25">
      <c r="A8121" s="66"/>
    </row>
    <row r="8122" spans="1:1" x14ac:dyDescent="0.25">
      <c r="A8122" s="66"/>
    </row>
    <row r="8123" spans="1:1" x14ac:dyDescent="0.25">
      <c r="A8123" s="66"/>
    </row>
    <row r="8124" spans="1:1" x14ac:dyDescent="0.25">
      <c r="A8124" s="66"/>
    </row>
    <row r="8125" spans="1:1" x14ac:dyDescent="0.25">
      <c r="A8125" s="66"/>
    </row>
    <row r="8126" spans="1:1" x14ac:dyDescent="0.25">
      <c r="A8126" s="66"/>
    </row>
    <row r="8127" spans="1:1" x14ac:dyDescent="0.25">
      <c r="A8127" s="66"/>
    </row>
    <row r="8128" spans="1:1" x14ac:dyDescent="0.25">
      <c r="A8128" s="66"/>
    </row>
    <row r="8129" spans="1:1" x14ac:dyDescent="0.25">
      <c r="A8129" s="66"/>
    </row>
    <row r="8130" spans="1:1" x14ac:dyDescent="0.25">
      <c r="A8130" s="66"/>
    </row>
    <row r="8131" spans="1:1" x14ac:dyDescent="0.25">
      <c r="A8131" s="66"/>
    </row>
    <row r="8132" spans="1:1" x14ac:dyDescent="0.25">
      <c r="A8132" s="66"/>
    </row>
    <row r="8133" spans="1:1" x14ac:dyDescent="0.25">
      <c r="A8133" s="66"/>
    </row>
    <row r="8134" spans="1:1" x14ac:dyDescent="0.25">
      <c r="A8134" s="66"/>
    </row>
    <row r="8135" spans="1:1" x14ac:dyDescent="0.25">
      <c r="A8135" s="66"/>
    </row>
    <row r="8136" spans="1:1" x14ac:dyDescent="0.25">
      <c r="A8136" s="66"/>
    </row>
    <row r="8137" spans="1:1" x14ac:dyDescent="0.25">
      <c r="A8137" s="66"/>
    </row>
    <row r="8138" spans="1:1" x14ac:dyDescent="0.25">
      <c r="A8138" s="66"/>
    </row>
    <row r="8139" spans="1:1" x14ac:dyDescent="0.25">
      <c r="A8139" s="66"/>
    </row>
    <row r="8140" spans="1:1" x14ac:dyDescent="0.25">
      <c r="A8140" s="66"/>
    </row>
    <row r="8141" spans="1:1" x14ac:dyDescent="0.25">
      <c r="A8141" s="66"/>
    </row>
    <row r="8142" spans="1:1" x14ac:dyDescent="0.25">
      <c r="A8142" s="66"/>
    </row>
    <row r="8143" spans="1:1" x14ac:dyDescent="0.25">
      <c r="A8143" s="66"/>
    </row>
    <row r="8144" spans="1:1" x14ac:dyDescent="0.25">
      <c r="A8144" s="66"/>
    </row>
    <row r="8145" spans="1:1" x14ac:dyDescent="0.25">
      <c r="A8145" s="66"/>
    </row>
    <row r="8146" spans="1:1" x14ac:dyDescent="0.25">
      <c r="A8146" s="66"/>
    </row>
    <row r="8147" spans="1:1" x14ac:dyDescent="0.25">
      <c r="A8147" s="66"/>
    </row>
    <row r="8148" spans="1:1" x14ac:dyDescent="0.25">
      <c r="A8148" s="66"/>
    </row>
    <row r="8149" spans="1:1" x14ac:dyDescent="0.25">
      <c r="A8149" s="66"/>
    </row>
    <row r="8150" spans="1:1" x14ac:dyDescent="0.25">
      <c r="A8150" s="66"/>
    </row>
    <row r="8151" spans="1:1" x14ac:dyDescent="0.25">
      <c r="A8151" s="66"/>
    </row>
    <row r="8152" spans="1:1" x14ac:dyDescent="0.25">
      <c r="A8152" s="66"/>
    </row>
    <row r="8153" spans="1:1" x14ac:dyDescent="0.25">
      <c r="A8153" s="66"/>
    </row>
    <row r="8154" spans="1:1" x14ac:dyDescent="0.25">
      <c r="A8154" s="66"/>
    </row>
    <row r="8155" spans="1:1" x14ac:dyDescent="0.25">
      <c r="A8155" s="66"/>
    </row>
    <row r="8156" spans="1:1" x14ac:dyDescent="0.25">
      <c r="A8156" s="66"/>
    </row>
    <row r="8157" spans="1:1" x14ac:dyDescent="0.25">
      <c r="A8157" s="66"/>
    </row>
    <row r="8158" spans="1:1" x14ac:dyDescent="0.25">
      <c r="A8158" s="66"/>
    </row>
    <row r="8159" spans="1:1" x14ac:dyDescent="0.25">
      <c r="A8159" s="66"/>
    </row>
    <row r="8160" spans="1:1" x14ac:dyDescent="0.25">
      <c r="A8160" s="66"/>
    </row>
    <row r="8161" spans="1:1" x14ac:dyDescent="0.25">
      <c r="A8161" s="66"/>
    </row>
    <row r="8162" spans="1:1" x14ac:dyDescent="0.25">
      <c r="A8162" s="66"/>
    </row>
    <row r="8163" spans="1:1" x14ac:dyDescent="0.25">
      <c r="A8163" s="66"/>
    </row>
    <row r="8164" spans="1:1" x14ac:dyDescent="0.25">
      <c r="A8164" s="66"/>
    </row>
    <row r="8165" spans="1:1" x14ac:dyDescent="0.25">
      <c r="A8165" s="66"/>
    </row>
    <row r="8166" spans="1:1" x14ac:dyDescent="0.25">
      <c r="A8166" s="66"/>
    </row>
    <row r="8167" spans="1:1" x14ac:dyDescent="0.25">
      <c r="A8167" s="66"/>
    </row>
    <row r="8168" spans="1:1" x14ac:dyDescent="0.25">
      <c r="A8168" s="66"/>
    </row>
    <row r="8169" spans="1:1" x14ac:dyDescent="0.25">
      <c r="A8169" s="66"/>
    </row>
    <row r="8170" spans="1:1" x14ac:dyDescent="0.25">
      <c r="A8170" s="66"/>
    </row>
    <row r="8171" spans="1:1" x14ac:dyDescent="0.25">
      <c r="A8171" s="66"/>
    </row>
    <row r="8172" spans="1:1" x14ac:dyDescent="0.25">
      <c r="A8172" s="66"/>
    </row>
    <row r="8173" spans="1:1" x14ac:dyDescent="0.25">
      <c r="A8173" s="66"/>
    </row>
    <row r="8174" spans="1:1" x14ac:dyDescent="0.25">
      <c r="A8174" s="66"/>
    </row>
    <row r="8175" spans="1:1" x14ac:dyDescent="0.25">
      <c r="A8175" s="66"/>
    </row>
    <row r="8176" spans="1:1" x14ac:dyDescent="0.25">
      <c r="A8176" s="66"/>
    </row>
    <row r="8177" spans="1:1" x14ac:dyDescent="0.25">
      <c r="A8177" s="66"/>
    </row>
    <row r="8178" spans="1:1" x14ac:dyDescent="0.25">
      <c r="A8178" s="66"/>
    </row>
    <row r="8179" spans="1:1" x14ac:dyDescent="0.25">
      <c r="A8179" s="66"/>
    </row>
    <row r="8180" spans="1:1" x14ac:dyDescent="0.25">
      <c r="A8180" s="66"/>
    </row>
    <row r="8181" spans="1:1" x14ac:dyDescent="0.25">
      <c r="A8181" s="66"/>
    </row>
    <row r="8182" spans="1:1" x14ac:dyDescent="0.25">
      <c r="A8182" s="66"/>
    </row>
    <row r="8183" spans="1:1" x14ac:dyDescent="0.25">
      <c r="A8183" s="66"/>
    </row>
    <row r="8184" spans="1:1" x14ac:dyDescent="0.25">
      <c r="A8184" s="66"/>
    </row>
    <row r="8185" spans="1:1" x14ac:dyDescent="0.25">
      <c r="A8185" s="66"/>
    </row>
    <row r="8186" spans="1:1" x14ac:dyDescent="0.25">
      <c r="A8186" s="66"/>
    </row>
    <row r="8187" spans="1:1" x14ac:dyDescent="0.25">
      <c r="A8187" s="66"/>
    </row>
    <row r="8188" spans="1:1" x14ac:dyDescent="0.25">
      <c r="A8188" s="66"/>
    </row>
    <row r="8189" spans="1:1" x14ac:dyDescent="0.25">
      <c r="A8189" s="66"/>
    </row>
    <row r="8190" spans="1:1" x14ac:dyDescent="0.25">
      <c r="A8190" s="66"/>
    </row>
    <row r="8191" spans="1:1" x14ac:dyDescent="0.25">
      <c r="A8191" s="66"/>
    </row>
    <row r="8192" spans="1:1" x14ac:dyDescent="0.25">
      <c r="A8192" s="66"/>
    </row>
    <row r="8193" spans="1:1" x14ac:dyDescent="0.25">
      <c r="A8193" s="66"/>
    </row>
    <row r="8194" spans="1:1" x14ac:dyDescent="0.25">
      <c r="A8194" s="66"/>
    </row>
    <row r="8195" spans="1:1" x14ac:dyDescent="0.25">
      <c r="A8195" s="66"/>
    </row>
    <row r="8196" spans="1:1" x14ac:dyDescent="0.25">
      <c r="A8196" s="66"/>
    </row>
    <row r="8197" spans="1:1" x14ac:dyDescent="0.25">
      <c r="A8197" s="66"/>
    </row>
    <row r="8198" spans="1:1" x14ac:dyDescent="0.25">
      <c r="A8198" s="66"/>
    </row>
    <row r="8199" spans="1:1" x14ac:dyDescent="0.25">
      <c r="A8199" s="66"/>
    </row>
    <row r="8200" spans="1:1" x14ac:dyDescent="0.25">
      <c r="A8200" s="66"/>
    </row>
    <row r="8201" spans="1:1" x14ac:dyDescent="0.25">
      <c r="A8201" s="66"/>
    </row>
    <row r="8202" spans="1:1" x14ac:dyDescent="0.25">
      <c r="A8202" s="66"/>
    </row>
    <row r="8203" spans="1:1" x14ac:dyDescent="0.25">
      <c r="A8203" s="66"/>
    </row>
    <row r="8204" spans="1:1" x14ac:dyDescent="0.25">
      <c r="A8204" s="66"/>
    </row>
    <row r="8205" spans="1:1" x14ac:dyDescent="0.25">
      <c r="A8205" s="66"/>
    </row>
    <row r="8206" spans="1:1" x14ac:dyDescent="0.25">
      <c r="A8206" s="66"/>
    </row>
    <row r="8207" spans="1:1" x14ac:dyDescent="0.25">
      <c r="A8207" s="66"/>
    </row>
    <row r="8208" spans="1:1" x14ac:dyDescent="0.25">
      <c r="A8208" s="66"/>
    </row>
    <row r="8209" spans="1:1" x14ac:dyDescent="0.25">
      <c r="A8209" s="66"/>
    </row>
    <row r="8210" spans="1:1" x14ac:dyDescent="0.25">
      <c r="A8210" s="66"/>
    </row>
    <row r="8211" spans="1:1" x14ac:dyDescent="0.25">
      <c r="A8211" s="66"/>
    </row>
    <row r="8212" spans="1:1" x14ac:dyDescent="0.25">
      <c r="A8212" s="66"/>
    </row>
    <row r="8213" spans="1:1" x14ac:dyDescent="0.25">
      <c r="A8213" s="66"/>
    </row>
    <row r="8214" spans="1:1" x14ac:dyDescent="0.25">
      <c r="A8214" s="66"/>
    </row>
    <row r="8215" spans="1:1" x14ac:dyDescent="0.25">
      <c r="A8215" s="66"/>
    </row>
    <row r="8216" spans="1:1" x14ac:dyDescent="0.25">
      <c r="A8216" s="66"/>
    </row>
    <row r="8217" spans="1:1" x14ac:dyDescent="0.25">
      <c r="A8217" s="66"/>
    </row>
    <row r="8218" spans="1:1" x14ac:dyDescent="0.25">
      <c r="A8218" s="66"/>
    </row>
    <row r="8219" spans="1:1" x14ac:dyDescent="0.25">
      <c r="A8219" s="66"/>
    </row>
    <row r="8220" spans="1:1" x14ac:dyDescent="0.25">
      <c r="A8220" s="66"/>
    </row>
    <row r="8221" spans="1:1" x14ac:dyDescent="0.25">
      <c r="A8221" s="66"/>
    </row>
    <row r="8222" spans="1:1" x14ac:dyDescent="0.25">
      <c r="A8222" s="66"/>
    </row>
    <row r="8223" spans="1:1" x14ac:dyDescent="0.25">
      <c r="A8223" s="66"/>
    </row>
    <row r="8224" spans="1:1" x14ac:dyDescent="0.25">
      <c r="A8224" s="66"/>
    </row>
    <row r="8225" spans="1:1" x14ac:dyDescent="0.25">
      <c r="A8225" s="66"/>
    </row>
    <row r="8226" spans="1:1" x14ac:dyDescent="0.25">
      <c r="A8226" s="66"/>
    </row>
    <row r="8227" spans="1:1" x14ac:dyDescent="0.25">
      <c r="A8227" s="66"/>
    </row>
    <row r="8228" spans="1:1" x14ac:dyDescent="0.25">
      <c r="A8228" s="66"/>
    </row>
    <row r="8229" spans="1:1" x14ac:dyDescent="0.25">
      <c r="A8229" s="66"/>
    </row>
    <row r="8230" spans="1:1" x14ac:dyDescent="0.25">
      <c r="A8230" s="66"/>
    </row>
    <row r="8231" spans="1:1" x14ac:dyDescent="0.25">
      <c r="A8231" s="66"/>
    </row>
    <row r="8232" spans="1:1" x14ac:dyDescent="0.25">
      <c r="A8232" s="66"/>
    </row>
    <row r="8233" spans="1:1" x14ac:dyDescent="0.25">
      <c r="A8233" s="66"/>
    </row>
    <row r="8234" spans="1:1" x14ac:dyDescent="0.25">
      <c r="A8234" s="66"/>
    </row>
    <row r="8235" spans="1:1" x14ac:dyDescent="0.25">
      <c r="A8235" s="66"/>
    </row>
    <row r="8236" spans="1:1" x14ac:dyDescent="0.25">
      <c r="A8236" s="66"/>
    </row>
    <row r="8237" spans="1:1" x14ac:dyDescent="0.25">
      <c r="A8237" s="66"/>
    </row>
    <row r="8238" spans="1:1" x14ac:dyDescent="0.25">
      <c r="A8238" s="66"/>
    </row>
    <row r="8239" spans="1:1" x14ac:dyDescent="0.25">
      <c r="A8239" s="66"/>
    </row>
    <row r="8240" spans="1:1" x14ac:dyDescent="0.25">
      <c r="A8240" s="66"/>
    </row>
    <row r="8241" spans="1:1" x14ac:dyDescent="0.25">
      <c r="A8241" s="66"/>
    </row>
    <row r="8242" spans="1:1" x14ac:dyDescent="0.25">
      <c r="A8242" s="66"/>
    </row>
    <row r="8243" spans="1:1" x14ac:dyDescent="0.25">
      <c r="A8243" s="66"/>
    </row>
    <row r="8244" spans="1:1" x14ac:dyDescent="0.25">
      <c r="A8244" s="66"/>
    </row>
    <row r="8245" spans="1:1" x14ac:dyDescent="0.25">
      <c r="A8245" s="66"/>
    </row>
    <row r="8246" spans="1:1" x14ac:dyDescent="0.25">
      <c r="A8246" s="66"/>
    </row>
    <row r="8247" spans="1:1" x14ac:dyDescent="0.25">
      <c r="A8247" s="66"/>
    </row>
    <row r="8248" spans="1:1" x14ac:dyDescent="0.25">
      <c r="A8248" s="66"/>
    </row>
    <row r="8249" spans="1:1" x14ac:dyDescent="0.25">
      <c r="A8249" s="66"/>
    </row>
    <row r="8250" spans="1:1" x14ac:dyDescent="0.25">
      <c r="A8250" s="66"/>
    </row>
    <row r="8251" spans="1:1" x14ac:dyDescent="0.25">
      <c r="A8251" s="66"/>
    </row>
    <row r="8252" spans="1:1" x14ac:dyDescent="0.25">
      <c r="A8252" s="66"/>
    </row>
    <row r="8253" spans="1:1" x14ac:dyDescent="0.25">
      <c r="A8253" s="66"/>
    </row>
    <row r="8254" spans="1:1" x14ac:dyDescent="0.25">
      <c r="A8254" s="66"/>
    </row>
    <row r="8255" spans="1:1" x14ac:dyDescent="0.25">
      <c r="A8255" s="66"/>
    </row>
    <row r="8256" spans="1:1" x14ac:dyDescent="0.25">
      <c r="A8256" s="66"/>
    </row>
    <row r="8257" spans="1:1" x14ac:dyDescent="0.25">
      <c r="A8257" s="66"/>
    </row>
    <row r="8258" spans="1:1" x14ac:dyDescent="0.25">
      <c r="A8258" s="66"/>
    </row>
    <row r="8259" spans="1:1" x14ac:dyDescent="0.25">
      <c r="A8259" s="66"/>
    </row>
    <row r="8260" spans="1:1" x14ac:dyDescent="0.25">
      <c r="A8260" s="66"/>
    </row>
    <row r="8261" spans="1:1" x14ac:dyDescent="0.25">
      <c r="A8261" s="66"/>
    </row>
    <row r="8262" spans="1:1" x14ac:dyDescent="0.25">
      <c r="A8262" s="66"/>
    </row>
    <row r="8263" spans="1:1" x14ac:dyDescent="0.25">
      <c r="A8263" s="66"/>
    </row>
    <row r="8264" spans="1:1" x14ac:dyDescent="0.25">
      <c r="A8264" s="66"/>
    </row>
    <row r="8265" spans="1:1" x14ac:dyDescent="0.25">
      <c r="A8265" s="66"/>
    </row>
    <row r="8266" spans="1:1" x14ac:dyDescent="0.25">
      <c r="A8266" s="66"/>
    </row>
    <row r="8267" spans="1:1" x14ac:dyDescent="0.25">
      <c r="A8267" s="66"/>
    </row>
    <row r="8268" spans="1:1" x14ac:dyDescent="0.25">
      <c r="A8268" s="66"/>
    </row>
    <row r="8269" spans="1:1" x14ac:dyDescent="0.25">
      <c r="A8269" s="66"/>
    </row>
    <row r="8270" spans="1:1" x14ac:dyDescent="0.25">
      <c r="A8270" s="66"/>
    </row>
    <row r="8271" spans="1:1" x14ac:dyDescent="0.25">
      <c r="A8271" s="66"/>
    </row>
    <row r="8272" spans="1:1" x14ac:dyDescent="0.25">
      <c r="A8272" s="66"/>
    </row>
    <row r="8273" spans="1:1" x14ac:dyDescent="0.25">
      <c r="A8273" s="66"/>
    </row>
    <row r="8274" spans="1:1" x14ac:dyDescent="0.25">
      <c r="A8274" s="66"/>
    </row>
    <row r="8275" spans="1:1" x14ac:dyDescent="0.25">
      <c r="A8275" s="66"/>
    </row>
    <row r="8276" spans="1:1" x14ac:dyDescent="0.25">
      <c r="A8276" s="66"/>
    </row>
    <row r="8277" spans="1:1" x14ac:dyDescent="0.25">
      <c r="A8277" s="66"/>
    </row>
    <row r="8278" spans="1:1" x14ac:dyDescent="0.25">
      <c r="A8278" s="66"/>
    </row>
    <row r="8279" spans="1:1" x14ac:dyDescent="0.25">
      <c r="A8279" s="66"/>
    </row>
    <row r="8280" spans="1:1" x14ac:dyDescent="0.25">
      <c r="A8280" s="66"/>
    </row>
    <row r="8281" spans="1:1" x14ac:dyDescent="0.25">
      <c r="A8281" s="66"/>
    </row>
    <row r="8282" spans="1:1" x14ac:dyDescent="0.25">
      <c r="A8282" s="66"/>
    </row>
    <row r="8283" spans="1:1" x14ac:dyDescent="0.25">
      <c r="A8283" s="66"/>
    </row>
    <row r="8284" spans="1:1" x14ac:dyDescent="0.25">
      <c r="A8284" s="66"/>
    </row>
    <row r="8285" spans="1:1" x14ac:dyDescent="0.25">
      <c r="A8285" s="66"/>
    </row>
    <row r="8286" spans="1:1" x14ac:dyDescent="0.25">
      <c r="A8286" s="66"/>
    </row>
    <row r="8287" spans="1:1" x14ac:dyDescent="0.25">
      <c r="A8287" s="66"/>
    </row>
    <row r="8288" spans="1:1" x14ac:dyDescent="0.25">
      <c r="A8288" s="66"/>
    </row>
    <row r="8289" spans="1:1" x14ac:dyDescent="0.25">
      <c r="A8289" s="66"/>
    </row>
    <row r="8290" spans="1:1" x14ac:dyDescent="0.25">
      <c r="A8290" s="66"/>
    </row>
    <row r="8291" spans="1:1" x14ac:dyDescent="0.25">
      <c r="A8291" s="66"/>
    </row>
    <row r="8292" spans="1:1" x14ac:dyDescent="0.25">
      <c r="A8292" s="66"/>
    </row>
    <row r="8293" spans="1:1" x14ac:dyDescent="0.25">
      <c r="A8293" s="66"/>
    </row>
    <row r="8294" spans="1:1" x14ac:dyDescent="0.25">
      <c r="A8294" s="66"/>
    </row>
    <row r="8295" spans="1:1" x14ac:dyDescent="0.25">
      <c r="A8295" s="66"/>
    </row>
    <row r="8296" spans="1:1" x14ac:dyDescent="0.25">
      <c r="A8296" s="66"/>
    </row>
    <row r="8297" spans="1:1" x14ac:dyDescent="0.25">
      <c r="A8297" s="66"/>
    </row>
    <row r="8298" spans="1:1" x14ac:dyDescent="0.25">
      <c r="A8298" s="66"/>
    </row>
    <row r="8299" spans="1:1" x14ac:dyDescent="0.25">
      <c r="A8299" s="66"/>
    </row>
    <row r="8300" spans="1:1" x14ac:dyDescent="0.25">
      <c r="A8300" s="66"/>
    </row>
    <row r="8301" spans="1:1" x14ac:dyDescent="0.25">
      <c r="A8301" s="66"/>
    </row>
    <row r="8302" spans="1:1" x14ac:dyDescent="0.25">
      <c r="A8302" s="66"/>
    </row>
    <row r="8303" spans="1:1" x14ac:dyDescent="0.25">
      <c r="A8303" s="66"/>
    </row>
    <row r="8304" spans="1:1" x14ac:dyDescent="0.25">
      <c r="A8304" s="66"/>
    </row>
    <row r="8305" spans="1:1" x14ac:dyDescent="0.25">
      <c r="A8305" s="66"/>
    </row>
    <row r="8306" spans="1:1" x14ac:dyDescent="0.25">
      <c r="A8306" s="66"/>
    </row>
    <row r="8307" spans="1:1" x14ac:dyDescent="0.25">
      <c r="A8307" s="66"/>
    </row>
    <row r="8308" spans="1:1" x14ac:dyDescent="0.25">
      <c r="A8308" s="66"/>
    </row>
    <row r="8309" spans="1:1" x14ac:dyDescent="0.25">
      <c r="A8309" s="66"/>
    </row>
    <row r="8310" spans="1:1" x14ac:dyDescent="0.25">
      <c r="A8310" s="66"/>
    </row>
    <row r="8311" spans="1:1" x14ac:dyDescent="0.25">
      <c r="A8311" s="66"/>
    </row>
    <row r="8312" spans="1:1" x14ac:dyDescent="0.25">
      <c r="A8312" s="66"/>
    </row>
    <row r="8313" spans="1:1" x14ac:dyDescent="0.25">
      <c r="A8313" s="66"/>
    </row>
    <row r="8314" spans="1:1" x14ac:dyDescent="0.25">
      <c r="A8314" s="66"/>
    </row>
    <row r="8315" spans="1:1" x14ac:dyDescent="0.25">
      <c r="A8315" s="66"/>
    </row>
    <row r="8316" spans="1:1" x14ac:dyDescent="0.25">
      <c r="A8316" s="66"/>
    </row>
    <row r="8317" spans="1:1" x14ac:dyDescent="0.25">
      <c r="A8317" s="66"/>
    </row>
    <row r="8318" spans="1:1" x14ac:dyDescent="0.25">
      <c r="A8318" s="66"/>
    </row>
    <row r="8319" spans="1:1" x14ac:dyDescent="0.25">
      <c r="A8319" s="66"/>
    </row>
    <row r="8320" spans="1:1" x14ac:dyDescent="0.25">
      <c r="A8320" s="66"/>
    </row>
    <row r="8321" spans="1:1" x14ac:dyDescent="0.25">
      <c r="A8321" s="66"/>
    </row>
    <row r="8322" spans="1:1" x14ac:dyDescent="0.25">
      <c r="A8322" s="66"/>
    </row>
    <row r="8323" spans="1:1" x14ac:dyDescent="0.25">
      <c r="A8323" s="66"/>
    </row>
    <row r="8324" spans="1:1" x14ac:dyDescent="0.25">
      <c r="A8324" s="66"/>
    </row>
    <row r="8325" spans="1:1" x14ac:dyDescent="0.25">
      <c r="A8325" s="66"/>
    </row>
    <row r="8326" spans="1:1" x14ac:dyDescent="0.25">
      <c r="A8326" s="66"/>
    </row>
    <row r="8327" spans="1:1" x14ac:dyDescent="0.25">
      <c r="A8327" s="66"/>
    </row>
    <row r="8328" spans="1:1" x14ac:dyDescent="0.25">
      <c r="A8328" s="66"/>
    </row>
    <row r="8329" spans="1:1" x14ac:dyDescent="0.25">
      <c r="A8329" s="66"/>
    </row>
    <row r="8330" spans="1:1" x14ac:dyDescent="0.25">
      <c r="A8330" s="66"/>
    </row>
    <row r="8331" spans="1:1" x14ac:dyDescent="0.25">
      <c r="A8331" s="66"/>
    </row>
    <row r="8332" spans="1:1" x14ac:dyDescent="0.25">
      <c r="A8332" s="66"/>
    </row>
    <row r="8333" spans="1:1" x14ac:dyDescent="0.25">
      <c r="A8333" s="66"/>
    </row>
    <row r="8334" spans="1:1" x14ac:dyDescent="0.25">
      <c r="A8334" s="66"/>
    </row>
    <row r="8335" spans="1:1" x14ac:dyDescent="0.25">
      <c r="A8335" s="66"/>
    </row>
    <row r="8336" spans="1:1" x14ac:dyDescent="0.25">
      <c r="A8336" s="66"/>
    </row>
    <row r="8337" spans="1:1" x14ac:dyDescent="0.25">
      <c r="A8337" s="66"/>
    </row>
    <row r="8338" spans="1:1" x14ac:dyDescent="0.25">
      <c r="A8338" s="66"/>
    </row>
    <row r="8339" spans="1:1" x14ac:dyDescent="0.25">
      <c r="A8339" s="66"/>
    </row>
    <row r="8340" spans="1:1" x14ac:dyDescent="0.25">
      <c r="A8340" s="66"/>
    </row>
    <row r="8341" spans="1:1" x14ac:dyDescent="0.25">
      <c r="A8341" s="66"/>
    </row>
    <row r="8342" spans="1:1" x14ac:dyDescent="0.25">
      <c r="A8342" s="66"/>
    </row>
    <row r="8343" spans="1:1" x14ac:dyDescent="0.25">
      <c r="A8343" s="66"/>
    </row>
    <row r="8344" spans="1:1" x14ac:dyDescent="0.25">
      <c r="A8344" s="66"/>
    </row>
    <row r="8345" spans="1:1" x14ac:dyDescent="0.25">
      <c r="A8345" s="66"/>
    </row>
    <row r="8346" spans="1:1" x14ac:dyDescent="0.25">
      <c r="A8346" s="66"/>
    </row>
    <row r="8347" spans="1:1" x14ac:dyDescent="0.25">
      <c r="A8347" s="66"/>
    </row>
    <row r="8348" spans="1:1" x14ac:dyDescent="0.25">
      <c r="A8348" s="66"/>
    </row>
    <row r="8349" spans="1:1" x14ac:dyDescent="0.25">
      <c r="A8349" s="66"/>
    </row>
    <row r="8350" spans="1:1" x14ac:dyDescent="0.25">
      <c r="A8350" s="66"/>
    </row>
    <row r="8351" spans="1:1" x14ac:dyDescent="0.25">
      <c r="A8351" s="66"/>
    </row>
    <row r="8352" spans="1:1" x14ac:dyDescent="0.25">
      <c r="A8352" s="66"/>
    </row>
    <row r="8353" spans="1:1" x14ac:dyDescent="0.25">
      <c r="A8353" s="66"/>
    </row>
    <row r="8354" spans="1:1" x14ac:dyDescent="0.25">
      <c r="A8354" s="66"/>
    </row>
    <row r="8355" spans="1:1" x14ac:dyDescent="0.25">
      <c r="A8355" s="66"/>
    </row>
    <row r="8356" spans="1:1" x14ac:dyDescent="0.25">
      <c r="A8356" s="66"/>
    </row>
    <row r="8357" spans="1:1" x14ac:dyDescent="0.25">
      <c r="A8357" s="66"/>
    </row>
    <row r="8358" spans="1:1" x14ac:dyDescent="0.25">
      <c r="A8358" s="66"/>
    </row>
    <row r="8359" spans="1:1" x14ac:dyDescent="0.25">
      <c r="A8359" s="66"/>
    </row>
    <row r="8360" spans="1:1" x14ac:dyDescent="0.25">
      <c r="A8360" s="66"/>
    </row>
    <row r="8361" spans="1:1" x14ac:dyDescent="0.25">
      <c r="A8361" s="66"/>
    </row>
    <row r="8362" spans="1:1" x14ac:dyDescent="0.25">
      <c r="A8362" s="66"/>
    </row>
    <row r="8363" spans="1:1" x14ac:dyDescent="0.25">
      <c r="A8363" s="66"/>
    </row>
    <row r="8364" spans="1:1" x14ac:dyDescent="0.25">
      <c r="A8364" s="66"/>
    </row>
    <row r="8365" spans="1:1" x14ac:dyDescent="0.25">
      <c r="A8365" s="66"/>
    </row>
    <row r="8366" spans="1:1" x14ac:dyDescent="0.25">
      <c r="A8366" s="66"/>
    </row>
    <row r="8367" spans="1:1" x14ac:dyDescent="0.25">
      <c r="A8367" s="66"/>
    </row>
    <row r="8368" spans="1:1" x14ac:dyDescent="0.25">
      <c r="A8368" s="66"/>
    </row>
    <row r="8369" spans="1:1" x14ac:dyDescent="0.25">
      <c r="A8369" s="66"/>
    </row>
    <row r="8370" spans="1:1" x14ac:dyDescent="0.25">
      <c r="A8370" s="66"/>
    </row>
    <row r="8371" spans="1:1" x14ac:dyDescent="0.25">
      <c r="A8371" s="66"/>
    </row>
    <row r="8372" spans="1:1" x14ac:dyDescent="0.25">
      <c r="A8372" s="66"/>
    </row>
    <row r="8373" spans="1:1" x14ac:dyDescent="0.25">
      <c r="A8373" s="66"/>
    </row>
    <row r="8374" spans="1:1" x14ac:dyDescent="0.25">
      <c r="A8374" s="66"/>
    </row>
    <row r="8375" spans="1:1" x14ac:dyDescent="0.25">
      <c r="A8375" s="66"/>
    </row>
    <row r="8376" spans="1:1" x14ac:dyDescent="0.25">
      <c r="A8376" s="66"/>
    </row>
    <row r="8377" spans="1:1" x14ac:dyDescent="0.25">
      <c r="A8377" s="66"/>
    </row>
    <row r="8378" spans="1:1" x14ac:dyDescent="0.25">
      <c r="A8378" s="66"/>
    </row>
    <row r="8379" spans="1:1" x14ac:dyDescent="0.25">
      <c r="A8379" s="66"/>
    </row>
    <row r="8380" spans="1:1" x14ac:dyDescent="0.25">
      <c r="A8380" s="66"/>
    </row>
    <row r="8381" spans="1:1" x14ac:dyDescent="0.25">
      <c r="A8381" s="66"/>
    </row>
    <row r="8382" spans="1:1" x14ac:dyDescent="0.25">
      <c r="A8382" s="66"/>
    </row>
    <row r="8383" spans="1:1" x14ac:dyDescent="0.25">
      <c r="A8383" s="66"/>
    </row>
    <row r="8384" spans="1:1" x14ac:dyDescent="0.25">
      <c r="A8384" s="66"/>
    </row>
    <row r="8385" spans="1:1" x14ac:dyDescent="0.25">
      <c r="A8385" s="66"/>
    </row>
    <row r="8386" spans="1:1" x14ac:dyDescent="0.25">
      <c r="A8386" s="66"/>
    </row>
    <row r="8387" spans="1:1" x14ac:dyDescent="0.25">
      <c r="A8387" s="66"/>
    </row>
    <row r="8388" spans="1:1" x14ac:dyDescent="0.25">
      <c r="A8388" s="66"/>
    </row>
    <row r="8389" spans="1:1" x14ac:dyDescent="0.25">
      <c r="A8389" s="66"/>
    </row>
    <row r="8390" spans="1:1" x14ac:dyDescent="0.25">
      <c r="A8390" s="66"/>
    </row>
    <row r="8391" spans="1:1" x14ac:dyDescent="0.25">
      <c r="A8391" s="66"/>
    </row>
    <row r="8392" spans="1:1" x14ac:dyDescent="0.25">
      <c r="A8392" s="66"/>
    </row>
    <row r="8393" spans="1:1" x14ac:dyDescent="0.25">
      <c r="A8393" s="66"/>
    </row>
    <row r="8394" spans="1:1" x14ac:dyDescent="0.25">
      <c r="A8394" s="66"/>
    </row>
    <row r="8395" spans="1:1" x14ac:dyDescent="0.25">
      <c r="A8395" s="66"/>
    </row>
    <row r="8396" spans="1:1" x14ac:dyDescent="0.25">
      <c r="A8396" s="66"/>
    </row>
    <row r="8397" spans="1:1" x14ac:dyDescent="0.25">
      <c r="A8397" s="66"/>
    </row>
    <row r="8398" spans="1:1" x14ac:dyDescent="0.25">
      <c r="A8398" s="66"/>
    </row>
    <row r="8399" spans="1:1" x14ac:dyDescent="0.25">
      <c r="A8399" s="66"/>
    </row>
    <row r="8400" spans="1:1" x14ac:dyDescent="0.25">
      <c r="A8400" s="66"/>
    </row>
    <row r="8401" spans="1:1" x14ac:dyDescent="0.25">
      <c r="A8401" s="66"/>
    </row>
    <row r="8402" spans="1:1" x14ac:dyDescent="0.25">
      <c r="A8402" s="66"/>
    </row>
    <row r="8403" spans="1:1" x14ac:dyDescent="0.25">
      <c r="A8403" s="66"/>
    </row>
    <row r="8404" spans="1:1" x14ac:dyDescent="0.25">
      <c r="A8404" s="66"/>
    </row>
    <row r="8405" spans="1:1" x14ac:dyDescent="0.25">
      <c r="A8405" s="66"/>
    </row>
    <row r="8406" spans="1:1" x14ac:dyDescent="0.25">
      <c r="A8406" s="66"/>
    </row>
    <row r="8407" spans="1:1" x14ac:dyDescent="0.25">
      <c r="A8407" s="66"/>
    </row>
    <row r="8408" spans="1:1" x14ac:dyDescent="0.25">
      <c r="A8408" s="66"/>
    </row>
    <row r="8409" spans="1:1" x14ac:dyDescent="0.25">
      <c r="A8409" s="66"/>
    </row>
    <row r="8410" spans="1:1" x14ac:dyDescent="0.25">
      <c r="A8410" s="66"/>
    </row>
    <row r="8411" spans="1:1" x14ac:dyDescent="0.25">
      <c r="A8411" s="66"/>
    </row>
    <row r="8412" spans="1:1" x14ac:dyDescent="0.25">
      <c r="A8412" s="66"/>
    </row>
    <row r="8413" spans="1:1" x14ac:dyDescent="0.25">
      <c r="A8413" s="66"/>
    </row>
    <row r="8414" spans="1:1" x14ac:dyDescent="0.25">
      <c r="A8414" s="66"/>
    </row>
    <row r="8415" spans="1:1" x14ac:dyDescent="0.25">
      <c r="A8415" s="66"/>
    </row>
    <row r="8416" spans="1:1" x14ac:dyDescent="0.25">
      <c r="A8416" s="66"/>
    </row>
    <row r="8417" spans="1:1" x14ac:dyDescent="0.25">
      <c r="A8417" s="66"/>
    </row>
    <row r="8418" spans="1:1" x14ac:dyDescent="0.25">
      <c r="A8418" s="66"/>
    </row>
    <row r="8419" spans="1:1" x14ac:dyDescent="0.25">
      <c r="A8419" s="66"/>
    </row>
    <row r="8420" spans="1:1" x14ac:dyDescent="0.25">
      <c r="A8420" s="66"/>
    </row>
    <row r="8421" spans="1:1" x14ac:dyDescent="0.25">
      <c r="A8421" s="66"/>
    </row>
    <row r="8422" spans="1:1" x14ac:dyDescent="0.25">
      <c r="A8422" s="66"/>
    </row>
    <row r="8423" spans="1:1" x14ac:dyDescent="0.25">
      <c r="A8423" s="66"/>
    </row>
    <row r="8424" spans="1:1" x14ac:dyDescent="0.25">
      <c r="A8424" s="66"/>
    </row>
    <row r="8425" spans="1:1" x14ac:dyDescent="0.25">
      <c r="A8425" s="66"/>
    </row>
    <row r="8426" spans="1:1" x14ac:dyDescent="0.25">
      <c r="A8426" s="66"/>
    </row>
    <row r="8427" spans="1:1" x14ac:dyDescent="0.25">
      <c r="A8427" s="66"/>
    </row>
    <row r="8428" spans="1:1" x14ac:dyDescent="0.25">
      <c r="A8428" s="66"/>
    </row>
    <row r="8429" spans="1:1" x14ac:dyDescent="0.25">
      <c r="A8429" s="66"/>
    </row>
    <row r="8430" spans="1:1" x14ac:dyDescent="0.25">
      <c r="A8430" s="66"/>
    </row>
    <row r="8431" spans="1:1" x14ac:dyDescent="0.25">
      <c r="A8431" s="66"/>
    </row>
    <row r="8432" spans="1:1" x14ac:dyDescent="0.25">
      <c r="A8432" s="66"/>
    </row>
    <row r="8433" spans="1:1" x14ac:dyDescent="0.25">
      <c r="A8433" s="66"/>
    </row>
    <row r="8434" spans="1:1" x14ac:dyDescent="0.25">
      <c r="A8434" s="66"/>
    </row>
    <row r="8435" spans="1:1" x14ac:dyDescent="0.25">
      <c r="A8435" s="66"/>
    </row>
    <row r="8436" spans="1:1" x14ac:dyDescent="0.25">
      <c r="A8436" s="66"/>
    </row>
    <row r="8437" spans="1:1" x14ac:dyDescent="0.25">
      <c r="A8437" s="66"/>
    </row>
    <row r="8438" spans="1:1" x14ac:dyDescent="0.25">
      <c r="A8438" s="66"/>
    </row>
    <row r="8439" spans="1:1" x14ac:dyDescent="0.25">
      <c r="A8439" s="66"/>
    </row>
    <row r="8440" spans="1:1" x14ac:dyDescent="0.25">
      <c r="A8440" s="66"/>
    </row>
    <row r="8441" spans="1:1" x14ac:dyDescent="0.25">
      <c r="A8441" s="66"/>
    </row>
    <row r="8442" spans="1:1" x14ac:dyDescent="0.25">
      <c r="A8442" s="66"/>
    </row>
    <row r="8443" spans="1:1" x14ac:dyDescent="0.25">
      <c r="A8443" s="66"/>
    </row>
    <row r="8444" spans="1:1" x14ac:dyDescent="0.25">
      <c r="A8444" s="66"/>
    </row>
    <row r="8445" spans="1:1" x14ac:dyDescent="0.25">
      <c r="A8445" s="66"/>
    </row>
    <row r="8446" spans="1:1" x14ac:dyDescent="0.25">
      <c r="A8446" s="66"/>
    </row>
    <row r="8447" spans="1:1" x14ac:dyDescent="0.25">
      <c r="A8447" s="66"/>
    </row>
    <row r="8448" spans="1:1" x14ac:dyDescent="0.25">
      <c r="A8448" s="66"/>
    </row>
    <row r="8449" spans="1:1" x14ac:dyDescent="0.25">
      <c r="A8449" s="66"/>
    </row>
    <row r="8450" spans="1:1" x14ac:dyDescent="0.25">
      <c r="A8450" s="66"/>
    </row>
    <row r="8451" spans="1:1" x14ac:dyDescent="0.25">
      <c r="A8451" s="66"/>
    </row>
    <row r="8452" spans="1:1" x14ac:dyDescent="0.25">
      <c r="A8452" s="66"/>
    </row>
    <row r="8453" spans="1:1" x14ac:dyDescent="0.25">
      <c r="A8453" s="66"/>
    </row>
    <row r="8454" spans="1:1" x14ac:dyDescent="0.25">
      <c r="A8454" s="66"/>
    </row>
    <row r="8455" spans="1:1" x14ac:dyDescent="0.25">
      <c r="A8455" s="66"/>
    </row>
    <row r="8456" spans="1:1" x14ac:dyDescent="0.25">
      <c r="A8456" s="66"/>
    </row>
    <row r="8457" spans="1:1" x14ac:dyDescent="0.25">
      <c r="A8457" s="66"/>
    </row>
    <row r="8458" spans="1:1" x14ac:dyDescent="0.25">
      <c r="A8458" s="66"/>
    </row>
    <row r="8459" spans="1:1" x14ac:dyDescent="0.25">
      <c r="A8459" s="66"/>
    </row>
    <row r="8460" spans="1:1" x14ac:dyDescent="0.25">
      <c r="A8460" s="66"/>
    </row>
    <row r="8461" spans="1:1" x14ac:dyDescent="0.25">
      <c r="A8461" s="66"/>
    </row>
    <row r="8462" spans="1:1" x14ac:dyDescent="0.25">
      <c r="A8462" s="66"/>
    </row>
    <row r="8463" spans="1:1" x14ac:dyDescent="0.25">
      <c r="A8463" s="66"/>
    </row>
    <row r="8464" spans="1:1" x14ac:dyDescent="0.25">
      <c r="A8464" s="66"/>
    </row>
    <row r="8465" spans="1:1" x14ac:dyDescent="0.25">
      <c r="A8465" s="66"/>
    </row>
    <row r="8466" spans="1:1" x14ac:dyDescent="0.25">
      <c r="A8466" s="66"/>
    </row>
    <row r="8467" spans="1:1" x14ac:dyDescent="0.25">
      <c r="A8467" s="66"/>
    </row>
    <row r="8468" spans="1:1" x14ac:dyDescent="0.25">
      <c r="A8468" s="66"/>
    </row>
    <row r="8469" spans="1:1" x14ac:dyDescent="0.25">
      <c r="A8469" s="66"/>
    </row>
    <row r="8470" spans="1:1" x14ac:dyDescent="0.25">
      <c r="A8470" s="66"/>
    </row>
    <row r="8471" spans="1:1" x14ac:dyDescent="0.25">
      <c r="A8471" s="66"/>
    </row>
    <row r="8472" spans="1:1" x14ac:dyDescent="0.25">
      <c r="A8472" s="66"/>
    </row>
    <row r="8473" spans="1:1" x14ac:dyDescent="0.25">
      <c r="A8473" s="66"/>
    </row>
    <row r="8474" spans="1:1" x14ac:dyDescent="0.25">
      <c r="A8474" s="66"/>
    </row>
    <row r="8475" spans="1:1" x14ac:dyDescent="0.25">
      <c r="A8475" s="66"/>
    </row>
    <row r="8476" spans="1:1" x14ac:dyDescent="0.25">
      <c r="A8476" s="66"/>
    </row>
    <row r="8477" spans="1:1" x14ac:dyDescent="0.25">
      <c r="A8477" s="66"/>
    </row>
    <row r="8478" spans="1:1" x14ac:dyDescent="0.25">
      <c r="A8478" s="66"/>
    </row>
    <row r="8479" spans="1:1" x14ac:dyDescent="0.25">
      <c r="A8479" s="66"/>
    </row>
    <row r="8480" spans="1:1" x14ac:dyDescent="0.25">
      <c r="A8480" s="66"/>
    </row>
    <row r="8481" spans="1:1" x14ac:dyDescent="0.25">
      <c r="A8481" s="66"/>
    </row>
    <row r="8482" spans="1:1" x14ac:dyDescent="0.25">
      <c r="A8482" s="66"/>
    </row>
    <row r="8483" spans="1:1" x14ac:dyDescent="0.25">
      <c r="A8483" s="66"/>
    </row>
    <row r="8484" spans="1:1" x14ac:dyDescent="0.25">
      <c r="A8484" s="66"/>
    </row>
    <row r="8485" spans="1:1" x14ac:dyDescent="0.25">
      <c r="A8485" s="66"/>
    </row>
    <row r="8486" spans="1:1" x14ac:dyDescent="0.25">
      <c r="A8486" s="66"/>
    </row>
    <row r="8487" spans="1:1" x14ac:dyDescent="0.25">
      <c r="A8487" s="66"/>
    </row>
    <row r="8488" spans="1:1" x14ac:dyDescent="0.25">
      <c r="A8488" s="66"/>
    </row>
    <row r="8489" spans="1:1" x14ac:dyDescent="0.25">
      <c r="A8489" s="66"/>
    </row>
    <row r="8490" spans="1:1" x14ac:dyDescent="0.25">
      <c r="A8490" s="66"/>
    </row>
    <row r="8491" spans="1:1" x14ac:dyDescent="0.25">
      <c r="A8491" s="66"/>
    </row>
    <row r="8492" spans="1:1" x14ac:dyDescent="0.25">
      <c r="A8492" s="66"/>
    </row>
    <row r="8493" spans="1:1" x14ac:dyDescent="0.25">
      <c r="A8493" s="66"/>
    </row>
    <row r="8494" spans="1:1" x14ac:dyDescent="0.25">
      <c r="A8494" s="66"/>
    </row>
    <row r="8495" spans="1:1" x14ac:dyDescent="0.25">
      <c r="A8495" s="66"/>
    </row>
    <row r="8496" spans="1:1" x14ac:dyDescent="0.25">
      <c r="A8496" s="66"/>
    </row>
    <row r="8497" spans="1:1" x14ac:dyDescent="0.25">
      <c r="A8497" s="66"/>
    </row>
    <row r="8498" spans="1:1" x14ac:dyDescent="0.25">
      <c r="A8498" s="66"/>
    </row>
    <row r="8499" spans="1:1" x14ac:dyDescent="0.25">
      <c r="A8499" s="66"/>
    </row>
    <row r="8500" spans="1:1" x14ac:dyDescent="0.25">
      <c r="A8500" s="66"/>
    </row>
    <row r="8501" spans="1:1" x14ac:dyDescent="0.25">
      <c r="A8501" s="66"/>
    </row>
    <row r="8502" spans="1:1" x14ac:dyDescent="0.25">
      <c r="A8502" s="66"/>
    </row>
    <row r="8503" spans="1:1" x14ac:dyDescent="0.25">
      <c r="A8503" s="66"/>
    </row>
    <row r="8504" spans="1:1" x14ac:dyDescent="0.25">
      <c r="A8504" s="66"/>
    </row>
    <row r="8505" spans="1:1" x14ac:dyDescent="0.25">
      <c r="A8505" s="66"/>
    </row>
    <row r="8506" spans="1:1" x14ac:dyDescent="0.25">
      <c r="A8506" s="66"/>
    </row>
    <row r="8507" spans="1:1" x14ac:dyDescent="0.25">
      <c r="A8507" s="66"/>
    </row>
    <row r="8508" spans="1:1" x14ac:dyDescent="0.25">
      <c r="A8508" s="66"/>
    </row>
    <row r="8509" spans="1:1" x14ac:dyDescent="0.25">
      <c r="A8509" s="66"/>
    </row>
    <row r="8510" spans="1:1" x14ac:dyDescent="0.25">
      <c r="A8510" s="66"/>
    </row>
    <row r="8511" spans="1:1" x14ac:dyDescent="0.25">
      <c r="A8511" s="66"/>
    </row>
    <row r="8512" spans="1:1" x14ac:dyDescent="0.25">
      <c r="A8512" s="66"/>
    </row>
    <row r="8513" spans="1:1" x14ac:dyDescent="0.25">
      <c r="A8513" s="66"/>
    </row>
    <row r="8514" spans="1:1" x14ac:dyDescent="0.25">
      <c r="A8514" s="66"/>
    </row>
    <row r="8515" spans="1:1" x14ac:dyDescent="0.25">
      <c r="A8515" s="66"/>
    </row>
    <row r="8516" spans="1:1" x14ac:dyDescent="0.25">
      <c r="A8516" s="66"/>
    </row>
    <row r="8517" spans="1:1" x14ac:dyDescent="0.25">
      <c r="A8517" s="66"/>
    </row>
    <row r="8518" spans="1:1" x14ac:dyDescent="0.25">
      <c r="A8518" s="66"/>
    </row>
    <row r="8519" spans="1:1" x14ac:dyDescent="0.25">
      <c r="A8519" s="66"/>
    </row>
    <row r="8520" spans="1:1" x14ac:dyDescent="0.25">
      <c r="A8520" s="66"/>
    </row>
    <row r="8521" spans="1:1" x14ac:dyDescent="0.25">
      <c r="A8521" s="66"/>
    </row>
    <row r="8522" spans="1:1" x14ac:dyDescent="0.25">
      <c r="A8522" s="66"/>
    </row>
    <row r="8523" spans="1:1" x14ac:dyDescent="0.25">
      <c r="A8523" s="66"/>
    </row>
    <row r="8524" spans="1:1" x14ac:dyDescent="0.25">
      <c r="A8524" s="66"/>
    </row>
    <row r="8525" spans="1:1" x14ac:dyDescent="0.25">
      <c r="A8525" s="66"/>
    </row>
    <row r="8526" spans="1:1" x14ac:dyDescent="0.25">
      <c r="A8526" s="66"/>
    </row>
    <row r="8527" spans="1:1" x14ac:dyDescent="0.25">
      <c r="A8527" s="66"/>
    </row>
    <row r="8528" spans="1:1" x14ac:dyDescent="0.25">
      <c r="A8528" s="66"/>
    </row>
    <row r="8529" spans="1:1" x14ac:dyDescent="0.25">
      <c r="A8529" s="66"/>
    </row>
    <row r="8530" spans="1:1" x14ac:dyDescent="0.25">
      <c r="A8530" s="66"/>
    </row>
    <row r="8531" spans="1:1" x14ac:dyDescent="0.25">
      <c r="A8531" s="66"/>
    </row>
    <row r="8532" spans="1:1" x14ac:dyDescent="0.25">
      <c r="A8532" s="66"/>
    </row>
    <row r="8533" spans="1:1" x14ac:dyDescent="0.25">
      <c r="A8533" s="66"/>
    </row>
    <row r="8534" spans="1:1" x14ac:dyDescent="0.25">
      <c r="A8534" s="66"/>
    </row>
    <row r="8535" spans="1:1" x14ac:dyDescent="0.25">
      <c r="A8535" s="66"/>
    </row>
    <row r="8536" spans="1:1" x14ac:dyDescent="0.25">
      <c r="A8536" s="66"/>
    </row>
    <row r="8537" spans="1:1" x14ac:dyDescent="0.25">
      <c r="A8537" s="66"/>
    </row>
    <row r="8538" spans="1:1" x14ac:dyDescent="0.25">
      <c r="A8538" s="66"/>
    </row>
    <row r="8539" spans="1:1" x14ac:dyDescent="0.25">
      <c r="A8539" s="66"/>
    </row>
    <row r="8540" spans="1:1" x14ac:dyDescent="0.25">
      <c r="A8540" s="66"/>
    </row>
    <row r="8541" spans="1:1" x14ac:dyDescent="0.25">
      <c r="A8541" s="66"/>
    </row>
    <row r="8542" spans="1:1" x14ac:dyDescent="0.25">
      <c r="A8542" s="66"/>
    </row>
    <row r="8543" spans="1:1" x14ac:dyDescent="0.25">
      <c r="A8543" s="66"/>
    </row>
    <row r="8544" spans="1:1" x14ac:dyDescent="0.25">
      <c r="A8544" s="66"/>
    </row>
    <row r="8545" spans="1:1" x14ac:dyDescent="0.25">
      <c r="A8545" s="66"/>
    </row>
    <row r="8546" spans="1:1" x14ac:dyDescent="0.25">
      <c r="A8546" s="66"/>
    </row>
    <row r="8547" spans="1:1" x14ac:dyDescent="0.25">
      <c r="A8547" s="66"/>
    </row>
    <row r="8548" spans="1:1" x14ac:dyDescent="0.25">
      <c r="A8548" s="66"/>
    </row>
    <row r="8549" spans="1:1" x14ac:dyDescent="0.25">
      <c r="A8549" s="66"/>
    </row>
    <row r="8550" spans="1:1" x14ac:dyDescent="0.25">
      <c r="A8550" s="66"/>
    </row>
    <row r="8551" spans="1:1" x14ac:dyDescent="0.25">
      <c r="A8551" s="66"/>
    </row>
    <row r="8552" spans="1:1" x14ac:dyDescent="0.25">
      <c r="A8552" s="66"/>
    </row>
    <row r="8553" spans="1:1" x14ac:dyDescent="0.25">
      <c r="A8553" s="66"/>
    </row>
    <row r="8554" spans="1:1" x14ac:dyDescent="0.25">
      <c r="A8554" s="66"/>
    </row>
    <row r="8555" spans="1:1" x14ac:dyDescent="0.25">
      <c r="A8555" s="66"/>
    </row>
    <row r="8556" spans="1:1" x14ac:dyDescent="0.25">
      <c r="A8556" s="66"/>
    </row>
    <row r="8557" spans="1:1" x14ac:dyDescent="0.25">
      <c r="A8557" s="66"/>
    </row>
    <row r="8558" spans="1:1" x14ac:dyDescent="0.25">
      <c r="A8558" s="66"/>
    </row>
    <row r="8559" spans="1:1" x14ac:dyDescent="0.25">
      <c r="A8559" s="66"/>
    </row>
    <row r="8560" spans="1:1" x14ac:dyDescent="0.25">
      <c r="A8560" s="66"/>
    </row>
    <row r="8561" spans="1:1" x14ac:dyDescent="0.25">
      <c r="A8561" s="66"/>
    </row>
    <row r="8562" spans="1:1" x14ac:dyDescent="0.25">
      <c r="A8562" s="66"/>
    </row>
    <row r="8563" spans="1:1" x14ac:dyDescent="0.25">
      <c r="A8563" s="66"/>
    </row>
    <row r="8564" spans="1:1" x14ac:dyDescent="0.25">
      <c r="A8564" s="66"/>
    </row>
    <row r="8565" spans="1:1" x14ac:dyDescent="0.25">
      <c r="A8565" s="66"/>
    </row>
    <row r="8566" spans="1:1" x14ac:dyDescent="0.25">
      <c r="A8566" s="66"/>
    </row>
    <row r="8567" spans="1:1" x14ac:dyDescent="0.25">
      <c r="A8567" s="66"/>
    </row>
    <row r="8568" spans="1:1" x14ac:dyDescent="0.25">
      <c r="A8568" s="66"/>
    </row>
    <row r="8569" spans="1:1" x14ac:dyDescent="0.25">
      <c r="A8569" s="66"/>
    </row>
    <row r="8570" spans="1:1" x14ac:dyDescent="0.25">
      <c r="A8570" s="66"/>
    </row>
    <row r="8571" spans="1:1" x14ac:dyDescent="0.25">
      <c r="A8571" s="66"/>
    </row>
    <row r="8572" spans="1:1" x14ac:dyDescent="0.25">
      <c r="A8572" s="66"/>
    </row>
    <row r="8573" spans="1:1" x14ac:dyDescent="0.25">
      <c r="A8573" s="66"/>
    </row>
    <row r="8574" spans="1:1" x14ac:dyDescent="0.25">
      <c r="A8574" s="66"/>
    </row>
    <row r="8575" spans="1:1" x14ac:dyDescent="0.25">
      <c r="A8575" s="66"/>
    </row>
    <row r="8576" spans="1:1" x14ac:dyDescent="0.25">
      <c r="A8576" s="66"/>
    </row>
    <row r="8577" spans="1:1" x14ac:dyDescent="0.25">
      <c r="A8577" s="66"/>
    </row>
    <row r="8578" spans="1:1" x14ac:dyDescent="0.25">
      <c r="A8578" s="66"/>
    </row>
    <row r="8579" spans="1:1" x14ac:dyDescent="0.25">
      <c r="A8579" s="66"/>
    </row>
    <row r="8580" spans="1:1" x14ac:dyDescent="0.25">
      <c r="A8580" s="66"/>
    </row>
    <row r="8581" spans="1:1" x14ac:dyDescent="0.25">
      <c r="A8581" s="66"/>
    </row>
    <row r="8582" spans="1:1" x14ac:dyDescent="0.25">
      <c r="A8582" s="66"/>
    </row>
    <row r="8583" spans="1:1" x14ac:dyDescent="0.25">
      <c r="A8583" s="66"/>
    </row>
    <row r="8584" spans="1:1" x14ac:dyDescent="0.25">
      <c r="A8584" s="66"/>
    </row>
    <row r="8585" spans="1:1" x14ac:dyDescent="0.25">
      <c r="A8585" s="66"/>
    </row>
    <row r="8586" spans="1:1" x14ac:dyDescent="0.25">
      <c r="A8586" s="66"/>
    </row>
    <row r="8587" spans="1:1" x14ac:dyDescent="0.25">
      <c r="A8587" s="66"/>
    </row>
    <row r="8588" spans="1:1" x14ac:dyDescent="0.25">
      <c r="A8588" s="66"/>
    </row>
    <row r="8589" spans="1:1" x14ac:dyDescent="0.25">
      <c r="A8589" s="66"/>
    </row>
    <row r="8590" spans="1:1" x14ac:dyDescent="0.25">
      <c r="A8590" s="66"/>
    </row>
    <row r="8591" spans="1:1" x14ac:dyDescent="0.25">
      <c r="A8591" s="66"/>
    </row>
    <row r="8592" spans="1:1" x14ac:dyDescent="0.25">
      <c r="A8592" s="66"/>
    </row>
    <row r="8593" spans="1:1" x14ac:dyDescent="0.25">
      <c r="A8593" s="66"/>
    </row>
    <row r="8594" spans="1:1" x14ac:dyDescent="0.25">
      <c r="A8594" s="66"/>
    </row>
    <row r="8595" spans="1:1" x14ac:dyDescent="0.25">
      <c r="A8595" s="66"/>
    </row>
    <row r="8596" spans="1:1" x14ac:dyDescent="0.25">
      <c r="A8596" s="66"/>
    </row>
    <row r="8597" spans="1:1" x14ac:dyDescent="0.25">
      <c r="A8597" s="66"/>
    </row>
    <row r="8598" spans="1:1" x14ac:dyDescent="0.25">
      <c r="A8598" s="66"/>
    </row>
    <row r="8599" spans="1:1" x14ac:dyDescent="0.25">
      <c r="A8599" s="66"/>
    </row>
    <row r="8600" spans="1:1" x14ac:dyDescent="0.25">
      <c r="A8600" s="66"/>
    </row>
    <row r="8601" spans="1:1" x14ac:dyDescent="0.25">
      <c r="A8601" s="66"/>
    </row>
    <row r="8602" spans="1:1" x14ac:dyDescent="0.25">
      <c r="A8602" s="66"/>
    </row>
    <row r="8603" spans="1:1" x14ac:dyDescent="0.25">
      <c r="A8603" s="66"/>
    </row>
    <row r="8604" spans="1:1" x14ac:dyDescent="0.25">
      <c r="A8604" s="66"/>
    </row>
    <row r="8605" spans="1:1" x14ac:dyDescent="0.25">
      <c r="A8605" s="66"/>
    </row>
    <row r="8606" spans="1:1" x14ac:dyDescent="0.25">
      <c r="A8606" s="66"/>
    </row>
    <row r="8607" spans="1:1" x14ac:dyDescent="0.25">
      <c r="A8607" s="66"/>
    </row>
    <row r="8608" spans="1:1" x14ac:dyDescent="0.25">
      <c r="A8608" s="66"/>
    </row>
    <row r="8609" spans="1:1" x14ac:dyDescent="0.25">
      <c r="A8609" s="66"/>
    </row>
    <row r="8610" spans="1:1" x14ac:dyDescent="0.25">
      <c r="A8610" s="66"/>
    </row>
    <row r="8611" spans="1:1" x14ac:dyDescent="0.25">
      <c r="A8611" s="66"/>
    </row>
    <row r="8612" spans="1:1" x14ac:dyDescent="0.25">
      <c r="A8612" s="66"/>
    </row>
    <row r="8613" spans="1:1" x14ac:dyDescent="0.25">
      <c r="A8613" s="66"/>
    </row>
    <row r="8614" spans="1:1" x14ac:dyDescent="0.25">
      <c r="A8614" s="66"/>
    </row>
    <row r="8615" spans="1:1" x14ac:dyDescent="0.25">
      <c r="A8615" s="66"/>
    </row>
    <row r="8616" spans="1:1" x14ac:dyDescent="0.25">
      <c r="A8616" s="66"/>
    </row>
    <row r="8617" spans="1:1" x14ac:dyDescent="0.25">
      <c r="A8617" s="66"/>
    </row>
    <row r="8618" spans="1:1" x14ac:dyDescent="0.25">
      <c r="A8618" s="66"/>
    </row>
    <row r="8619" spans="1:1" x14ac:dyDescent="0.25">
      <c r="A8619" s="66"/>
    </row>
    <row r="8620" spans="1:1" x14ac:dyDescent="0.25">
      <c r="A8620" s="66"/>
    </row>
    <row r="8621" spans="1:1" x14ac:dyDescent="0.25">
      <c r="A8621" s="66"/>
    </row>
    <row r="8622" spans="1:1" x14ac:dyDescent="0.25">
      <c r="A8622" s="66"/>
    </row>
    <row r="8623" spans="1:1" x14ac:dyDescent="0.25">
      <c r="A8623" s="66"/>
    </row>
    <row r="8624" spans="1:1" x14ac:dyDescent="0.25">
      <c r="A8624" s="66"/>
    </row>
    <row r="8625" spans="1:1" x14ac:dyDescent="0.25">
      <c r="A8625" s="66"/>
    </row>
    <row r="8626" spans="1:1" x14ac:dyDescent="0.25">
      <c r="A8626" s="66"/>
    </row>
    <row r="8627" spans="1:1" x14ac:dyDescent="0.25">
      <c r="A8627" s="66"/>
    </row>
    <row r="8628" spans="1:1" x14ac:dyDescent="0.25">
      <c r="A8628" s="66"/>
    </row>
    <row r="8629" spans="1:1" x14ac:dyDescent="0.25">
      <c r="A8629" s="66"/>
    </row>
    <row r="8630" spans="1:1" x14ac:dyDescent="0.25">
      <c r="A8630" s="66"/>
    </row>
    <row r="8631" spans="1:1" x14ac:dyDescent="0.25">
      <c r="A8631" s="66"/>
    </row>
    <row r="8632" spans="1:1" x14ac:dyDescent="0.25">
      <c r="A8632" s="66"/>
    </row>
    <row r="8633" spans="1:1" x14ac:dyDescent="0.25">
      <c r="A8633" s="66"/>
    </row>
    <row r="8634" spans="1:1" x14ac:dyDescent="0.25">
      <c r="A8634" s="66"/>
    </row>
    <row r="8635" spans="1:1" x14ac:dyDescent="0.25">
      <c r="A8635" s="66"/>
    </row>
    <row r="8636" spans="1:1" x14ac:dyDescent="0.25">
      <c r="A8636" s="66"/>
    </row>
    <row r="8637" spans="1:1" x14ac:dyDescent="0.25">
      <c r="A8637" s="66"/>
    </row>
    <row r="8638" spans="1:1" x14ac:dyDescent="0.25">
      <c r="A8638" s="66"/>
    </row>
    <row r="8639" spans="1:1" x14ac:dyDescent="0.25">
      <c r="A8639" s="66"/>
    </row>
    <row r="8640" spans="1:1" x14ac:dyDescent="0.25">
      <c r="A8640" s="66"/>
    </row>
    <row r="8641" spans="1:1" x14ac:dyDescent="0.25">
      <c r="A8641" s="66"/>
    </row>
    <row r="8642" spans="1:1" x14ac:dyDescent="0.25">
      <c r="A8642" s="66"/>
    </row>
    <row r="8643" spans="1:1" x14ac:dyDescent="0.25">
      <c r="A8643" s="66"/>
    </row>
    <row r="8644" spans="1:1" x14ac:dyDescent="0.25">
      <c r="A8644" s="66"/>
    </row>
    <row r="8645" spans="1:1" x14ac:dyDescent="0.25">
      <c r="A8645" s="66"/>
    </row>
    <row r="8646" spans="1:1" x14ac:dyDescent="0.25">
      <c r="A8646" s="66"/>
    </row>
    <row r="8647" spans="1:1" x14ac:dyDescent="0.25">
      <c r="A8647" s="66"/>
    </row>
    <row r="8648" spans="1:1" x14ac:dyDescent="0.25">
      <c r="A8648" s="66"/>
    </row>
    <row r="8649" spans="1:1" x14ac:dyDescent="0.25">
      <c r="A8649" s="66"/>
    </row>
    <row r="8650" spans="1:1" x14ac:dyDescent="0.25">
      <c r="A8650" s="66"/>
    </row>
    <row r="8651" spans="1:1" x14ac:dyDescent="0.25">
      <c r="A8651" s="66"/>
    </row>
    <row r="8652" spans="1:1" x14ac:dyDescent="0.25">
      <c r="A8652" s="66"/>
    </row>
    <row r="8653" spans="1:1" x14ac:dyDescent="0.25">
      <c r="A8653" s="66"/>
    </row>
    <row r="8654" spans="1:1" x14ac:dyDescent="0.25">
      <c r="A8654" s="66"/>
    </row>
    <row r="8655" spans="1:1" x14ac:dyDescent="0.25">
      <c r="A8655" s="66"/>
    </row>
    <row r="8656" spans="1:1" x14ac:dyDescent="0.25">
      <c r="A8656" s="66"/>
    </row>
    <row r="8657" spans="1:1" x14ac:dyDescent="0.25">
      <c r="A8657" s="66"/>
    </row>
    <row r="8658" spans="1:1" x14ac:dyDescent="0.25">
      <c r="A8658" s="66"/>
    </row>
    <row r="8659" spans="1:1" x14ac:dyDescent="0.25">
      <c r="A8659" s="66"/>
    </row>
    <row r="8660" spans="1:1" x14ac:dyDescent="0.25">
      <c r="A8660" s="66"/>
    </row>
    <row r="8661" spans="1:1" x14ac:dyDescent="0.25">
      <c r="A8661" s="66"/>
    </row>
    <row r="8662" spans="1:1" x14ac:dyDescent="0.25">
      <c r="A8662" s="66"/>
    </row>
    <row r="8663" spans="1:1" x14ac:dyDescent="0.25">
      <c r="A8663" s="66"/>
    </row>
    <row r="8664" spans="1:1" x14ac:dyDescent="0.25">
      <c r="A8664" s="66"/>
    </row>
    <row r="8665" spans="1:1" x14ac:dyDescent="0.25">
      <c r="A8665" s="66"/>
    </row>
    <row r="8666" spans="1:1" x14ac:dyDescent="0.25">
      <c r="A8666" s="66"/>
    </row>
    <row r="8667" spans="1:1" x14ac:dyDescent="0.25">
      <c r="A8667" s="66"/>
    </row>
    <row r="8668" spans="1:1" x14ac:dyDescent="0.25">
      <c r="A8668" s="66"/>
    </row>
    <row r="8669" spans="1:1" x14ac:dyDescent="0.25">
      <c r="A8669" s="66"/>
    </row>
    <row r="8670" spans="1:1" x14ac:dyDescent="0.25">
      <c r="A8670" s="66"/>
    </row>
    <row r="8671" spans="1:1" x14ac:dyDescent="0.25">
      <c r="A8671" s="66"/>
    </row>
    <row r="8672" spans="1:1" x14ac:dyDescent="0.25">
      <c r="A8672" s="66"/>
    </row>
    <row r="8673" spans="1:1" x14ac:dyDescent="0.25">
      <c r="A8673" s="66"/>
    </row>
    <row r="8674" spans="1:1" x14ac:dyDescent="0.25">
      <c r="A8674" s="66"/>
    </row>
    <row r="8675" spans="1:1" x14ac:dyDescent="0.25">
      <c r="A8675" s="66"/>
    </row>
    <row r="8676" spans="1:1" x14ac:dyDescent="0.25">
      <c r="A8676" s="66"/>
    </row>
    <row r="8677" spans="1:1" x14ac:dyDescent="0.25">
      <c r="A8677" s="66"/>
    </row>
    <row r="8678" spans="1:1" x14ac:dyDescent="0.25">
      <c r="A8678" s="66"/>
    </row>
    <row r="8679" spans="1:1" x14ac:dyDescent="0.25">
      <c r="A8679" s="66"/>
    </row>
    <row r="8680" spans="1:1" x14ac:dyDescent="0.25">
      <c r="A8680" s="66"/>
    </row>
    <row r="8681" spans="1:1" x14ac:dyDescent="0.25">
      <c r="A8681" s="66"/>
    </row>
    <row r="8682" spans="1:1" x14ac:dyDescent="0.25">
      <c r="A8682" s="66"/>
    </row>
    <row r="8683" spans="1:1" x14ac:dyDescent="0.25">
      <c r="A8683" s="66"/>
    </row>
    <row r="8684" spans="1:1" x14ac:dyDescent="0.25">
      <c r="A8684" s="66"/>
    </row>
    <row r="8685" spans="1:1" x14ac:dyDescent="0.25">
      <c r="A8685" s="66"/>
    </row>
    <row r="8686" spans="1:1" x14ac:dyDescent="0.25">
      <c r="A8686" s="66"/>
    </row>
    <row r="8687" spans="1:1" x14ac:dyDescent="0.25">
      <c r="A8687" s="66"/>
    </row>
    <row r="8688" spans="1:1" x14ac:dyDescent="0.25">
      <c r="A8688" s="66"/>
    </row>
    <row r="8689" spans="1:1" x14ac:dyDescent="0.25">
      <c r="A8689" s="66"/>
    </row>
    <row r="8690" spans="1:1" x14ac:dyDescent="0.25">
      <c r="A8690" s="66"/>
    </row>
    <row r="8691" spans="1:1" x14ac:dyDescent="0.25">
      <c r="A8691" s="66"/>
    </row>
    <row r="8692" spans="1:1" x14ac:dyDescent="0.25">
      <c r="A8692" s="66"/>
    </row>
    <row r="8693" spans="1:1" x14ac:dyDescent="0.25">
      <c r="A8693" s="66"/>
    </row>
    <row r="8694" spans="1:1" x14ac:dyDescent="0.25">
      <c r="A8694" s="66"/>
    </row>
    <row r="8695" spans="1:1" x14ac:dyDescent="0.25">
      <c r="A8695" s="66"/>
    </row>
    <row r="8696" spans="1:1" x14ac:dyDescent="0.25">
      <c r="A8696" s="66"/>
    </row>
    <row r="8697" spans="1:1" x14ac:dyDescent="0.25">
      <c r="A8697" s="66"/>
    </row>
    <row r="8698" spans="1:1" x14ac:dyDescent="0.25">
      <c r="A8698" s="66"/>
    </row>
    <row r="8699" spans="1:1" x14ac:dyDescent="0.25">
      <c r="A8699" s="66"/>
    </row>
    <row r="8700" spans="1:1" x14ac:dyDescent="0.25">
      <c r="A8700" s="66"/>
    </row>
    <row r="8701" spans="1:1" x14ac:dyDescent="0.25">
      <c r="A8701" s="66"/>
    </row>
    <row r="8702" spans="1:1" x14ac:dyDescent="0.25">
      <c r="A8702" s="66"/>
    </row>
    <row r="8703" spans="1:1" x14ac:dyDescent="0.25">
      <c r="A8703" s="66"/>
    </row>
    <row r="8704" spans="1:1" x14ac:dyDescent="0.25">
      <c r="A8704" s="66"/>
    </row>
    <row r="8705" spans="1:1" x14ac:dyDescent="0.25">
      <c r="A8705" s="66"/>
    </row>
    <row r="8706" spans="1:1" x14ac:dyDescent="0.25">
      <c r="A8706" s="66"/>
    </row>
    <row r="8707" spans="1:1" x14ac:dyDescent="0.25">
      <c r="A8707" s="66"/>
    </row>
    <row r="8708" spans="1:1" x14ac:dyDescent="0.25">
      <c r="A8708" s="66"/>
    </row>
    <row r="8709" spans="1:1" x14ac:dyDescent="0.25">
      <c r="A8709" s="66"/>
    </row>
    <row r="8710" spans="1:1" x14ac:dyDescent="0.25">
      <c r="A8710" s="66"/>
    </row>
    <row r="8711" spans="1:1" x14ac:dyDescent="0.25">
      <c r="A8711" s="66"/>
    </row>
    <row r="8712" spans="1:1" x14ac:dyDescent="0.25">
      <c r="A8712" s="66"/>
    </row>
    <row r="8713" spans="1:1" x14ac:dyDescent="0.25">
      <c r="A8713" s="66"/>
    </row>
    <row r="8714" spans="1:1" x14ac:dyDescent="0.25">
      <c r="A8714" s="66"/>
    </row>
    <row r="8715" spans="1:1" x14ac:dyDescent="0.25">
      <c r="A8715" s="66"/>
    </row>
    <row r="8716" spans="1:1" x14ac:dyDescent="0.25">
      <c r="A8716" s="66"/>
    </row>
    <row r="8717" spans="1:1" x14ac:dyDescent="0.25">
      <c r="A8717" s="66"/>
    </row>
    <row r="8718" spans="1:1" x14ac:dyDescent="0.25">
      <c r="A8718" s="66"/>
    </row>
    <row r="8719" spans="1:1" x14ac:dyDescent="0.25">
      <c r="A8719" s="66"/>
    </row>
    <row r="8720" spans="1:1" x14ac:dyDescent="0.25">
      <c r="A8720" s="66"/>
    </row>
    <row r="8721" spans="1:1" x14ac:dyDescent="0.25">
      <c r="A8721" s="66"/>
    </row>
    <row r="8722" spans="1:1" x14ac:dyDescent="0.25">
      <c r="A8722" s="66"/>
    </row>
    <row r="8723" spans="1:1" x14ac:dyDescent="0.25">
      <c r="A8723" s="66"/>
    </row>
    <row r="8724" spans="1:1" x14ac:dyDescent="0.25">
      <c r="A8724" s="66"/>
    </row>
    <row r="8725" spans="1:1" x14ac:dyDescent="0.25">
      <c r="A8725" s="66"/>
    </row>
    <row r="8726" spans="1:1" x14ac:dyDescent="0.25">
      <c r="A8726" s="66"/>
    </row>
    <row r="8727" spans="1:1" x14ac:dyDescent="0.25">
      <c r="A8727" s="66"/>
    </row>
    <row r="8728" spans="1:1" x14ac:dyDescent="0.25">
      <c r="A8728" s="66"/>
    </row>
    <row r="8729" spans="1:1" x14ac:dyDescent="0.25">
      <c r="A8729" s="66"/>
    </row>
    <row r="8730" spans="1:1" x14ac:dyDescent="0.25">
      <c r="A8730" s="66"/>
    </row>
    <row r="8731" spans="1:1" x14ac:dyDescent="0.25">
      <c r="A8731" s="66"/>
    </row>
    <row r="8732" spans="1:1" x14ac:dyDescent="0.25">
      <c r="A8732" s="66"/>
    </row>
    <row r="8733" spans="1:1" x14ac:dyDescent="0.25">
      <c r="A8733" s="66"/>
    </row>
    <row r="8734" spans="1:1" x14ac:dyDescent="0.25">
      <c r="A8734" s="66"/>
    </row>
    <row r="8735" spans="1:1" x14ac:dyDescent="0.25">
      <c r="A8735" s="66"/>
    </row>
    <row r="8736" spans="1:1" x14ac:dyDescent="0.25">
      <c r="A8736" s="66"/>
    </row>
    <row r="8737" spans="1:1" x14ac:dyDescent="0.25">
      <c r="A8737" s="66"/>
    </row>
    <row r="8738" spans="1:1" x14ac:dyDescent="0.25">
      <c r="A8738" s="66"/>
    </row>
    <row r="8739" spans="1:1" x14ac:dyDescent="0.25">
      <c r="A8739" s="66"/>
    </row>
    <row r="8740" spans="1:1" x14ac:dyDescent="0.25">
      <c r="A8740" s="66"/>
    </row>
    <row r="8741" spans="1:1" x14ac:dyDescent="0.25">
      <c r="A8741" s="66"/>
    </row>
    <row r="8742" spans="1:1" x14ac:dyDescent="0.25">
      <c r="A8742" s="66"/>
    </row>
    <row r="8743" spans="1:1" x14ac:dyDescent="0.25">
      <c r="A8743" s="66"/>
    </row>
    <row r="8744" spans="1:1" x14ac:dyDescent="0.25">
      <c r="A8744" s="66"/>
    </row>
    <row r="8745" spans="1:1" x14ac:dyDescent="0.25">
      <c r="A8745" s="66"/>
    </row>
    <row r="8746" spans="1:1" x14ac:dyDescent="0.25">
      <c r="A8746" s="66"/>
    </row>
    <row r="8747" spans="1:1" x14ac:dyDescent="0.25">
      <c r="A8747" s="66"/>
    </row>
    <row r="8748" spans="1:1" x14ac:dyDescent="0.25">
      <c r="A8748" s="66"/>
    </row>
    <row r="8749" spans="1:1" x14ac:dyDescent="0.25">
      <c r="A8749" s="66"/>
    </row>
    <row r="8750" spans="1:1" x14ac:dyDescent="0.25">
      <c r="A8750" s="66"/>
    </row>
    <row r="8751" spans="1:1" x14ac:dyDescent="0.25">
      <c r="A8751" s="66"/>
    </row>
    <row r="8752" spans="1:1" x14ac:dyDescent="0.25">
      <c r="A8752" s="66"/>
    </row>
    <row r="8753" spans="1:1" x14ac:dyDescent="0.25">
      <c r="A8753" s="66"/>
    </row>
    <row r="8754" spans="1:1" x14ac:dyDescent="0.25">
      <c r="A8754" s="66"/>
    </row>
    <row r="8755" spans="1:1" x14ac:dyDescent="0.25">
      <c r="A8755" s="66"/>
    </row>
    <row r="8756" spans="1:1" x14ac:dyDescent="0.25">
      <c r="A8756" s="66"/>
    </row>
    <row r="8757" spans="1:1" x14ac:dyDescent="0.25">
      <c r="A8757" s="66"/>
    </row>
    <row r="8758" spans="1:1" x14ac:dyDescent="0.25">
      <c r="A8758" s="66"/>
    </row>
    <row r="8759" spans="1:1" x14ac:dyDescent="0.25">
      <c r="A8759" s="66"/>
    </row>
    <row r="8760" spans="1:1" x14ac:dyDescent="0.25">
      <c r="A8760" s="66"/>
    </row>
    <row r="8761" spans="1:1" x14ac:dyDescent="0.25">
      <c r="A8761" s="66"/>
    </row>
    <row r="8762" spans="1:1" x14ac:dyDescent="0.25">
      <c r="A8762" s="66"/>
    </row>
    <row r="8763" spans="1:1" x14ac:dyDescent="0.25">
      <c r="A8763" s="66"/>
    </row>
    <row r="8764" spans="1:1" x14ac:dyDescent="0.25">
      <c r="A8764" s="66"/>
    </row>
    <row r="8765" spans="1:1" x14ac:dyDescent="0.25">
      <c r="A8765" s="66"/>
    </row>
    <row r="8766" spans="1:1" x14ac:dyDescent="0.25">
      <c r="A8766" s="66"/>
    </row>
    <row r="8767" spans="1:1" x14ac:dyDescent="0.25">
      <c r="A8767" s="66"/>
    </row>
    <row r="8768" spans="1:1" x14ac:dyDescent="0.25">
      <c r="A8768" s="66"/>
    </row>
    <row r="8769" spans="1:1" x14ac:dyDescent="0.25">
      <c r="A8769" s="66"/>
    </row>
    <row r="8770" spans="1:1" x14ac:dyDescent="0.25">
      <c r="A8770" s="66"/>
    </row>
    <row r="8771" spans="1:1" x14ac:dyDescent="0.25">
      <c r="A8771" s="66"/>
    </row>
    <row r="8772" spans="1:1" x14ac:dyDescent="0.25">
      <c r="A8772" s="66"/>
    </row>
    <row r="8773" spans="1:1" x14ac:dyDescent="0.25">
      <c r="A8773" s="66"/>
    </row>
    <row r="8774" spans="1:1" x14ac:dyDescent="0.25">
      <c r="A8774" s="66"/>
    </row>
    <row r="8775" spans="1:1" x14ac:dyDescent="0.25">
      <c r="A8775" s="66"/>
    </row>
    <row r="8776" spans="1:1" x14ac:dyDescent="0.25">
      <c r="A8776" s="66"/>
    </row>
    <row r="8777" spans="1:1" x14ac:dyDescent="0.25">
      <c r="A8777" s="66"/>
    </row>
    <row r="8778" spans="1:1" x14ac:dyDescent="0.25">
      <c r="A8778" s="66"/>
    </row>
    <row r="8779" spans="1:1" x14ac:dyDescent="0.25">
      <c r="A8779" s="66"/>
    </row>
    <row r="8780" spans="1:1" x14ac:dyDescent="0.25">
      <c r="A8780" s="66"/>
    </row>
    <row r="8781" spans="1:1" x14ac:dyDescent="0.25">
      <c r="A8781" s="66"/>
    </row>
    <row r="8782" spans="1:1" x14ac:dyDescent="0.25">
      <c r="A8782" s="66"/>
    </row>
    <row r="8783" spans="1:1" x14ac:dyDescent="0.25">
      <c r="A8783" s="66"/>
    </row>
    <row r="8784" spans="1:1" x14ac:dyDescent="0.25">
      <c r="A8784" s="66"/>
    </row>
    <row r="8785" spans="1:1" x14ac:dyDescent="0.25">
      <c r="A8785" s="66"/>
    </row>
    <row r="8786" spans="1:1" x14ac:dyDescent="0.25">
      <c r="A8786" s="66"/>
    </row>
    <row r="8787" spans="1:1" x14ac:dyDescent="0.25">
      <c r="A8787" s="66"/>
    </row>
    <row r="8788" spans="1:1" x14ac:dyDescent="0.25">
      <c r="A8788" s="66"/>
    </row>
    <row r="8789" spans="1:1" x14ac:dyDescent="0.25">
      <c r="A8789" s="66"/>
    </row>
    <row r="8790" spans="1:1" x14ac:dyDescent="0.25">
      <c r="A8790" s="66"/>
    </row>
    <row r="8791" spans="1:1" x14ac:dyDescent="0.25">
      <c r="A8791" s="66"/>
    </row>
    <row r="8792" spans="1:1" x14ac:dyDescent="0.25">
      <c r="A8792" s="66"/>
    </row>
    <row r="8793" spans="1:1" x14ac:dyDescent="0.25">
      <c r="A8793" s="66"/>
    </row>
    <row r="8794" spans="1:1" x14ac:dyDescent="0.25">
      <c r="A8794" s="66"/>
    </row>
    <row r="8795" spans="1:1" x14ac:dyDescent="0.25">
      <c r="A8795" s="66"/>
    </row>
    <row r="8796" spans="1:1" x14ac:dyDescent="0.25">
      <c r="A8796" s="66"/>
    </row>
    <row r="8797" spans="1:1" x14ac:dyDescent="0.25">
      <c r="A8797" s="66"/>
    </row>
    <row r="8798" spans="1:1" x14ac:dyDescent="0.25">
      <c r="A8798" s="66"/>
    </row>
    <row r="8799" spans="1:1" x14ac:dyDescent="0.25">
      <c r="A8799" s="66"/>
    </row>
    <row r="8800" spans="1:1" x14ac:dyDescent="0.25">
      <c r="A8800" s="66"/>
    </row>
    <row r="8801" spans="1:1" x14ac:dyDescent="0.25">
      <c r="A8801" s="66"/>
    </row>
    <row r="8802" spans="1:1" x14ac:dyDescent="0.25">
      <c r="A8802" s="66"/>
    </row>
    <row r="8803" spans="1:1" x14ac:dyDescent="0.25">
      <c r="A8803" s="66"/>
    </row>
    <row r="8804" spans="1:1" x14ac:dyDescent="0.25">
      <c r="A8804" s="66"/>
    </row>
    <row r="8805" spans="1:1" x14ac:dyDescent="0.25">
      <c r="A8805" s="66"/>
    </row>
    <row r="8806" spans="1:1" x14ac:dyDescent="0.25">
      <c r="A8806" s="66"/>
    </row>
    <row r="8807" spans="1:1" x14ac:dyDescent="0.25">
      <c r="A8807" s="66"/>
    </row>
    <row r="8808" spans="1:1" x14ac:dyDescent="0.25">
      <c r="A8808" s="66"/>
    </row>
    <row r="8809" spans="1:1" x14ac:dyDescent="0.25">
      <c r="A8809" s="66"/>
    </row>
    <row r="8810" spans="1:1" x14ac:dyDescent="0.25">
      <c r="A8810" s="66"/>
    </row>
    <row r="8811" spans="1:1" x14ac:dyDescent="0.25">
      <c r="A8811" s="66"/>
    </row>
    <row r="8812" spans="1:1" x14ac:dyDescent="0.25">
      <c r="A8812" s="66"/>
    </row>
    <row r="8813" spans="1:1" x14ac:dyDescent="0.25">
      <c r="A8813" s="66"/>
    </row>
    <row r="8814" spans="1:1" x14ac:dyDescent="0.25">
      <c r="A8814" s="66"/>
    </row>
    <row r="8815" spans="1:1" x14ac:dyDescent="0.25">
      <c r="A8815" s="66"/>
    </row>
    <row r="8816" spans="1:1" x14ac:dyDescent="0.25">
      <c r="A8816" s="66"/>
    </row>
    <row r="8817" spans="1:1" x14ac:dyDescent="0.25">
      <c r="A8817" s="66"/>
    </row>
    <row r="8818" spans="1:1" x14ac:dyDescent="0.25">
      <c r="A8818" s="66"/>
    </row>
    <row r="8819" spans="1:1" x14ac:dyDescent="0.25">
      <c r="A8819" s="66"/>
    </row>
    <row r="8820" spans="1:1" x14ac:dyDescent="0.25">
      <c r="A8820" s="66"/>
    </row>
    <row r="8821" spans="1:1" x14ac:dyDescent="0.25">
      <c r="A8821" s="66"/>
    </row>
    <row r="8822" spans="1:1" x14ac:dyDescent="0.25">
      <c r="A8822" s="66"/>
    </row>
    <row r="8823" spans="1:1" x14ac:dyDescent="0.25">
      <c r="A8823" s="66"/>
    </row>
    <row r="8824" spans="1:1" x14ac:dyDescent="0.25">
      <c r="A8824" s="66"/>
    </row>
    <row r="8825" spans="1:1" x14ac:dyDescent="0.25">
      <c r="A8825" s="66"/>
    </row>
    <row r="8826" spans="1:1" x14ac:dyDescent="0.25">
      <c r="A8826" s="66"/>
    </row>
    <row r="8827" spans="1:1" x14ac:dyDescent="0.25">
      <c r="A8827" s="66"/>
    </row>
    <row r="8828" spans="1:1" x14ac:dyDescent="0.25">
      <c r="A8828" s="66"/>
    </row>
    <row r="8829" spans="1:1" x14ac:dyDescent="0.25">
      <c r="A8829" s="66"/>
    </row>
    <row r="8830" spans="1:1" x14ac:dyDescent="0.25">
      <c r="A8830" s="66"/>
    </row>
    <row r="8831" spans="1:1" x14ac:dyDescent="0.25">
      <c r="A8831" s="66"/>
    </row>
    <row r="8832" spans="1:1" x14ac:dyDescent="0.25">
      <c r="A8832" s="66"/>
    </row>
    <row r="8833" spans="1:1" x14ac:dyDescent="0.25">
      <c r="A8833" s="66"/>
    </row>
    <row r="8834" spans="1:1" x14ac:dyDescent="0.25">
      <c r="A8834" s="66"/>
    </row>
    <row r="8835" spans="1:1" x14ac:dyDescent="0.25">
      <c r="A8835" s="66"/>
    </row>
    <row r="8836" spans="1:1" x14ac:dyDescent="0.25">
      <c r="A8836" s="66"/>
    </row>
    <row r="8837" spans="1:1" x14ac:dyDescent="0.25">
      <c r="A8837" s="66"/>
    </row>
    <row r="8838" spans="1:1" x14ac:dyDescent="0.25">
      <c r="A8838" s="66"/>
    </row>
    <row r="8839" spans="1:1" x14ac:dyDescent="0.25">
      <c r="A8839" s="66"/>
    </row>
    <row r="8840" spans="1:1" x14ac:dyDescent="0.25">
      <c r="A8840" s="66"/>
    </row>
    <row r="8841" spans="1:1" x14ac:dyDescent="0.25">
      <c r="A8841" s="66"/>
    </row>
    <row r="8842" spans="1:1" x14ac:dyDescent="0.25">
      <c r="A8842" s="66"/>
    </row>
    <row r="8843" spans="1:1" x14ac:dyDescent="0.25">
      <c r="A8843" s="66"/>
    </row>
    <row r="8844" spans="1:1" x14ac:dyDescent="0.25">
      <c r="A8844" s="66"/>
    </row>
    <row r="8845" spans="1:1" x14ac:dyDescent="0.25">
      <c r="A8845" s="66"/>
    </row>
    <row r="8846" spans="1:1" x14ac:dyDescent="0.25">
      <c r="A8846" s="66"/>
    </row>
    <row r="8847" spans="1:1" x14ac:dyDescent="0.25">
      <c r="A8847" s="66"/>
    </row>
    <row r="8848" spans="1:1" x14ac:dyDescent="0.25">
      <c r="A8848" s="66"/>
    </row>
    <row r="8849" spans="1:1" x14ac:dyDescent="0.25">
      <c r="A8849" s="66"/>
    </row>
    <row r="8850" spans="1:1" x14ac:dyDescent="0.25">
      <c r="A8850" s="66"/>
    </row>
    <row r="8851" spans="1:1" x14ac:dyDescent="0.25">
      <c r="A8851" s="66"/>
    </row>
    <row r="8852" spans="1:1" x14ac:dyDescent="0.25">
      <c r="A8852" s="66"/>
    </row>
    <row r="8853" spans="1:1" x14ac:dyDescent="0.25">
      <c r="A8853" s="66"/>
    </row>
    <row r="8854" spans="1:1" x14ac:dyDescent="0.25">
      <c r="A8854" s="66"/>
    </row>
    <row r="8855" spans="1:1" x14ac:dyDescent="0.25">
      <c r="A8855" s="66"/>
    </row>
    <row r="8856" spans="1:1" x14ac:dyDescent="0.25">
      <c r="A8856" s="66"/>
    </row>
    <row r="8857" spans="1:1" x14ac:dyDescent="0.25">
      <c r="A8857" s="66"/>
    </row>
    <row r="8858" spans="1:1" x14ac:dyDescent="0.25">
      <c r="A8858" s="66"/>
    </row>
    <row r="8859" spans="1:1" x14ac:dyDescent="0.25">
      <c r="A8859" s="66"/>
    </row>
    <row r="8860" spans="1:1" x14ac:dyDescent="0.25">
      <c r="A8860" s="66"/>
    </row>
    <row r="8861" spans="1:1" x14ac:dyDescent="0.25">
      <c r="A8861" s="66"/>
    </row>
    <row r="8862" spans="1:1" x14ac:dyDescent="0.25">
      <c r="A8862" s="66"/>
    </row>
    <row r="8863" spans="1:1" x14ac:dyDescent="0.25">
      <c r="A8863" s="66"/>
    </row>
    <row r="8864" spans="1:1" x14ac:dyDescent="0.25">
      <c r="A8864" s="66"/>
    </row>
    <row r="8865" spans="1:1" x14ac:dyDescent="0.25">
      <c r="A8865" s="66"/>
    </row>
    <row r="8866" spans="1:1" x14ac:dyDescent="0.25">
      <c r="A8866" s="66"/>
    </row>
    <row r="8867" spans="1:1" x14ac:dyDescent="0.25">
      <c r="A8867" s="66"/>
    </row>
    <row r="8868" spans="1:1" x14ac:dyDescent="0.25">
      <c r="A8868" s="66"/>
    </row>
    <row r="8869" spans="1:1" x14ac:dyDescent="0.25">
      <c r="A8869" s="66"/>
    </row>
    <row r="8870" spans="1:1" x14ac:dyDescent="0.25">
      <c r="A8870" s="66"/>
    </row>
    <row r="8871" spans="1:1" x14ac:dyDescent="0.25">
      <c r="A8871" s="66"/>
    </row>
    <row r="8872" spans="1:1" x14ac:dyDescent="0.25">
      <c r="A8872" s="66"/>
    </row>
    <row r="8873" spans="1:1" x14ac:dyDescent="0.25">
      <c r="A8873" s="66"/>
    </row>
    <row r="8874" spans="1:1" x14ac:dyDescent="0.25">
      <c r="A8874" s="66"/>
    </row>
    <row r="8875" spans="1:1" x14ac:dyDescent="0.25">
      <c r="A8875" s="66"/>
    </row>
    <row r="8876" spans="1:1" x14ac:dyDescent="0.25">
      <c r="A8876" s="66"/>
    </row>
    <row r="8877" spans="1:1" x14ac:dyDescent="0.25">
      <c r="A8877" s="66"/>
    </row>
    <row r="8878" spans="1:1" x14ac:dyDescent="0.25">
      <c r="A8878" s="66"/>
    </row>
    <row r="8879" spans="1:1" x14ac:dyDescent="0.25">
      <c r="A8879" s="66"/>
    </row>
    <row r="8880" spans="1:1" x14ac:dyDescent="0.25">
      <c r="A8880" s="66"/>
    </row>
    <row r="8881" spans="1:1" x14ac:dyDescent="0.25">
      <c r="A8881" s="66"/>
    </row>
    <row r="8882" spans="1:1" x14ac:dyDescent="0.25">
      <c r="A8882" s="66"/>
    </row>
    <row r="8883" spans="1:1" x14ac:dyDescent="0.25">
      <c r="A8883" s="66"/>
    </row>
    <row r="8884" spans="1:1" x14ac:dyDescent="0.25">
      <c r="A8884" s="66"/>
    </row>
    <row r="8885" spans="1:1" x14ac:dyDescent="0.25">
      <c r="A8885" s="66"/>
    </row>
    <row r="8886" spans="1:1" x14ac:dyDescent="0.25">
      <c r="A8886" s="66"/>
    </row>
    <row r="8887" spans="1:1" x14ac:dyDescent="0.25">
      <c r="A8887" s="66"/>
    </row>
    <row r="8888" spans="1:1" x14ac:dyDescent="0.25">
      <c r="A8888" s="66"/>
    </row>
    <row r="8889" spans="1:1" x14ac:dyDescent="0.25">
      <c r="A8889" s="66"/>
    </row>
    <row r="8890" spans="1:1" x14ac:dyDescent="0.25">
      <c r="A8890" s="66"/>
    </row>
    <row r="8891" spans="1:1" x14ac:dyDescent="0.25">
      <c r="A8891" s="66"/>
    </row>
    <row r="8892" spans="1:1" x14ac:dyDescent="0.25">
      <c r="A8892" s="66"/>
    </row>
    <row r="8893" spans="1:1" x14ac:dyDescent="0.25">
      <c r="A8893" s="66"/>
    </row>
    <row r="8894" spans="1:1" x14ac:dyDescent="0.25">
      <c r="A8894" s="66"/>
    </row>
    <row r="8895" spans="1:1" x14ac:dyDescent="0.25">
      <c r="A8895" s="66"/>
    </row>
    <row r="8896" spans="1:1" x14ac:dyDescent="0.25">
      <c r="A8896" s="66"/>
    </row>
    <row r="8897" spans="1:1" x14ac:dyDescent="0.25">
      <c r="A8897" s="66"/>
    </row>
    <row r="8898" spans="1:1" x14ac:dyDescent="0.25">
      <c r="A8898" s="66"/>
    </row>
    <row r="8899" spans="1:1" x14ac:dyDescent="0.25">
      <c r="A8899" s="66"/>
    </row>
    <row r="8900" spans="1:1" x14ac:dyDescent="0.25">
      <c r="A8900" s="66"/>
    </row>
    <row r="8901" spans="1:1" x14ac:dyDescent="0.25">
      <c r="A8901" s="66"/>
    </row>
    <row r="8902" spans="1:1" x14ac:dyDescent="0.25">
      <c r="A8902" s="66"/>
    </row>
    <row r="8903" spans="1:1" x14ac:dyDescent="0.25">
      <c r="A8903" s="66"/>
    </row>
    <row r="8904" spans="1:1" x14ac:dyDescent="0.25">
      <c r="A8904" s="66"/>
    </row>
    <row r="8905" spans="1:1" x14ac:dyDescent="0.25">
      <c r="A8905" s="66"/>
    </row>
    <row r="8906" spans="1:1" x14ac:dyDescent="0.25">
      <c r="A8906" s="66"/>
    </row>
    <row r="8907" spans="1:1" x14ac:dyDescent="0.25">
      <c r="A8907" s="66"/>
    </row>
    <row r="8908" spans="1:1" x14ac:dyDescent="0.25">
      <c r="A8908" s="66"/>
    </row>
    <row r="8909" spans="1:1" x14ac:dyDescent="0.25">
      <c r="A8909" s="66"/>
    </row>
    <row r="8910" spans="1:1" x14ac:dyDescent="0.25">
      <c r="A8910" s="66"/>
    </row>
    <row r="8911" spans="1:1" x14ac:dyDescent="0.25">
      <c r="A8911" s="66"/>
    </row>
    <row r="8912" spans="1:1" x14ac:dyDescent="0.25">
      <c r="A8912" s="66"/>
    </row>
    <row r="8913" spans="1:1" x14ac:dyDescent="0.25">
      <c r="A8913" s="66"/>
    </row>
    <row r="8914" spans="1:1" x14ac:dyDescent="0.25">
      <c r="A8914" s="66"/>
    </row>
    <row r="8915" spans="1:1" x14ac:dyDescent="0.25">
      <c r="A8915" s="66"/>
    </row>
    <row r="8916" spans="1:1" x14ac:dyDescent="0.25">
      <c r="A8916" s="66"/>
    </row>
    <row r="8917" spans="1:1" x14ac:dyDescent="0.25">
      <c r="A8917" s="66"/>
    </row>
    <row r="8918" spans="1:1" x14ac:dyDescent="0.25">
      <c r="A8918" s="66"/>
    </row>
    <row r="8919" spans="1:1" x14ac:dyDescent="0.25">
      <c r="A8919" s="66"/>
    </row>
    <row r="8920" spans="1:1" x14ac:dyDescent="0.25">
      <c r="A8920" s="66"/>
    </row>
    <row r="8921" spans="1:1" x14ac:dyDescent="0.25">
      <c r="A8921" s="66"/>
    </row>
    <row r="8922" spans="1:1" x14ac:dyDescent="0.25">
      <c r="A8922" s="66"/>
    </row>
    <row r="8923" spans="1:1" x14ac:dyDescent="0.25">
      <c r="A8923" s="66"/>
    </row>
    <row r="8924" spans="1:1" x14ac:dyDescent="0.25">
      <c r="A8924" s="66"/>
    </row>
    <row r="8925" spans="1:1" x14ac:dyDescent="0.25">
      <c r="A8925" s="66"/>
    </row>
    <row r="8926" spans="1:1" x14ac:dyDescent="0.25">
      <c r="A8926" s="66"/>
    </row>
    <row r="8927" spans="1:1" x14ac:dyDescent="0.25">
      <c r="A8927" s="66"/>
    </row>
    <row r="8928" spans="1:1" x14ac:dyDescent="0.25">
      <c r="A8928" s="66"/>
    </row>
    <row r="8929" spans="1:1" x14ac:dyDescent="0.25">
      <c r="A8929" s="66"/>
    </row>
    <row r="8930" spans="1:1" x14ac:dyDescent="0.25">
      <c r="A8930" s="66"/>
    </row>
    <row r="8931" spans="1:1" x14ac:dyDescent="0.25">
      <c r="A8931" s="66"/>
    </row>
    <row r="8932" spans="1:1" x14ac:dyDescent="0.25">
      <c r="A8932" s="66"/>
    </row>
    <row r="8933" spans="1:1" x14ac:dyDescent="0.25">
      <c r="A8933" s="66"/>
    </row>
    <row r="8934" spans="1:1" x14ac:dyDescent="0.25">
      <c r="A8934" s="66"/>
    </row>
    <row r="8935" spans="1:1" x14ac:dyDescent="0.25">
      <c r="A8935" s="66"/>
    </row>
    <row r="8936" spans="1:1" x14ac:dyDescent="0.25">
      <c r="A8936" s="66"/>
    </row>
    <row r="8937" spans="1:1" x14ac:dyDescent="0.25">
      <c r="A8937" s="66"/>
    </row>
    <row r="8938" spans="1:1" x14ac:dyDescent="0.25">
      <c r="A8938" s="66"/>
    </row>
    <row r="8939" spans="1:1" x14ac:dyDescent="0.25">
      <c r="A8939" s="66"/>
    </row>
    <row r="8940" spans="1:1" x14ac:dyDescent="0.25">
      <c r="A8940" s="66"/>
    </row>
    <row r="8941" spans="1:1" x14ac:dyDescent="0.25">
      <c r="A8941" s="66"/>
    </row>
    <row r="8942" spans="1:1" x14ac:dyDescent="0.25">
      <c r="A8942" s="66"/>
    </row>
    <row r="8943" spans="1:1" x14ac:dyDescent="0.25">
      <c r="A8943" s="66"/>
    </row>
    <row r="8944" spans="1:1" x14ac:dyDescent="0.25">
      <c r="A8944" s="66"/>
    </row>
    <row r="8945" spans="1:1" x14ac:dyDescent="0.25">
      <c r="A8945" s="66"/>
    </row>
    <row r="8946" spans="1:1" x14ac:dyDescent="0.25">
      <c r="A8946" s="66"/>
    </row>
    <row r="8947" spans="1:1" x14ac:dyDescent="0.25">
      <c r="A8947" s="66"/>
    </row>
    <row r="8948" spans="1:1" x14ac:dyDescent="0.25">
      <c r="A8948" s="66"/>
    </row>
    <row r="8949" spans="1:1" x14ac:dyDescent="0.25">
      <c r="A8949" s="66"/>
    </row>
    <row r="8950" spans="1:1" x14ac:dyDescent="0.25">
      <c r="A8950" s="66"/>
    </row>
    <row r="8951" spans="1:1" x14ac:dyDescent="0.25">
      <c r="A8951" s="66"/>
    </row>
    <row r="8952" spans="1:1" x14ac:dyDescent="0.25">
      <c r="A8952" s="66"/>
    </row>
    <row r="8953" spans="1:1" x14ac:dyDescent="0.25">
      <c r="A8953" s="66"/>
    </row>
    <row r="8954" spans="1:1" x14ac:dyDescent="0.25">
      <c r="A8954" s="66"/>
    </row>
    <row r="8955" spans="1:1" x14ac:dyDescent="0.25">
      <c r="A8955" s="66"/>
    </row>
    <row r="8956" spans="1:1" x14ac:dyDescent="0.25">
      <c r="A8956" s="66"/>
    </row>
    <row r="8957" spans="1:1" x14ac:dyDescent="0.25">
      <c r="A8957" s="66"/>
    </row>
    <row r="8958" spans="1:1" x14ac:dyDescent="0.25">
      <c r="A8958" s="66"/>
    </row>
    <row r="8959" spans="1:1" x14ac:dyDescent="0.25">
      <c r="A8959" s="66"/>
    </row>
    <row r="8960" spans="1:1" x14ac:dyDescent="0.25">
      <c r="A8960" s="66"/>
    </row>
    <row r="8961" spans="1:1" x14ac:dyDescent="0.25">
      <c r="A8961" s="66"/>
    </row>
    <row r="8962" spans="1:1" x14ac:dyDescent="0.25">
      <c r="A8962" s="66"/>
    </row>
    <row r="8963" spans="1:1" x14ac:dyDescent="0.25">
      <c r="A8963" s="66"/>
    </row>
    <row r="8964" spans="1:1" x14ac:dyDescent="0.25">
      <c r="A8964" s="66"/>
    </row>
    <row r="8965" spans="1:1" x14ac:dyDescent="0.25">
      <c r="A8965" s="66"/>
    </row>
    <row r="8966" spans="1:1" x14ac:dyDescent="0.25">
      <c r="A8966" s="66"/>
    </row>
    <row r="8967" spans="1:1" x14ac:dyDescent="0.25">
      <c r="A8967" s="66"/>
    </row>
    <row r="8968" spans="1:1" x14ac:dyDescent="0.25">
      <c r="A8968" s="66"/>
    </row>
    <row r="8969" spans="1:1" x14ac:dyDescent="0.25">
      <c r="A8969" s="66"/>
    </row>
    <row r="8970" spans="1:1" x14ac:dyDescent="0.25">
      <c r="A8970" s="66"/>
    </row>
    <row r="8971" spans="1:1" x14ac:dyDescent="0.25">
      <c r="A8971" s="66"/>
    </row>
    <row r="8972" spans="1:1" x14ac:dyDescent="0.25">
      <c r="A8972" s="66"/>
    </row>
    <row r="8973" spans="1:1" x14ac:dyDescent="0.25">
      <c r="A8973" s="66"/>
    </row>
    <row r="8974" spans="1:1" x14ac:dyDescent="0.25">
      <c r="A8974" s="66"/>
    </row>
    <row r="8975" spans="1:1" x14ac:dyDescent="0.25">
      <c r="A8975" s="66"/>
    </row>
    <row r="8976" spans="1:1" x14ac:dyDescent="0.25">
      <c r="A8976" s="66"/>
    </row>
    <row r="8977" spans="1:1" x14ac:dyDescent="0.25">
      <c r="A8977" s="66"/>
    </row>
    <row r="8978" spans="1:1" x14ac:dyDescent="0.25">
      <c r="A8978" s="66"/>
    </row>
    <row r="8979" spans="1:1" x14ac:dyDescent="0.25">
      <c r="A8979" s="66"/>
    </row>
    <row r="8980" spans="1:1" x14ac:dyDescent="0.25">
      <c r="A8980" s="66"/>
    </row>
    <row r="8981" spans="1:1" x14ac:dyDescent="0.25">
      <c r="A8981" s="66"/>
    </row>
    <row r="8982" spans="1:1" x14ac:dyDescent="0.25">
      <c r="A8982" s="66"/>
    </row>
    <row r="8983" spans="1:1" x14ac:dyDescent="0.25">
      <c r="A8983" s="66"/>
    </row>
    <row r="8984" spans="1:1" x14ac:dyDescent="0.25">
      <c r="A8984" s="66"/>
    </row>
    <row r="8985" spans="1:1" x14ac:dyDescent="0.25">
      <c r="A8985" s="66"/>
    </row>
    <row r="8986" spans="1:1" x14ac:dyDescent="0.25">
      <c r="A8986" s="66"/>
    </row>
    <row r="8987" spans="1:1" x14ac:dyDescent="0.25">
      <c r="A8987" s="66"/>
    </row>
    <row r="8988" spans="1:1" x14ac:dyDescent="0.25">
      <c r="A8988" s="66"/>
    </row>
    <row r="8989" spans="1:1" x14ac:dyDescent="0.25">
      <c r="A8989" s="66"/>
    </row>
    <row r="8990" spans="1:1" x14ac:dyDescent="0.25">
      <c r="A8990" s="66"/>
    </row>
    <row r="8991" spans="1:1" x14ac:dyDescent="0.25">
      <c r="A8991" s="66"/>
    </row>
    <row r="8992" spans="1:1" x14ac:dyDescent="0.25">
      <c r="A8992" s="66"/>
    </row>
    <row r="8993" spans="1:1" x14ac:dyDescent="0.25">
      <c r="A8993" s="66"/>
    </row>
    <row r="8994" spans="1:1" x14ac:dyDescent="0.25">
      <c r="A8994" s="66"/>
    </row>
    <row r="8995" spans="1:1" x14ac:dyDescent="0.25">
      <c r="A8995" s="66"/>
    </row>
    <row r="8996" spans="1:1" x14ac:dyDescent="0.25">
      <c r="A8996" s="66"/>
    </row>
    <row r="8997" spans="1:1" x14ac:dyDescent="0.25">
      <c r="A8997" s="66"/>
    </row>
    <row r="8998" spans="1:1" x14ac:dyDescent="0.25">
      <c r="A8998" s="66"/>
    </row>
    <row r="8999" spans="1:1" x14ac:dyDescent="0.25">
      <c r="A8999" s="66"/>
    </row>
    <row r="9000" spans="1:1" x14ac:dyDescent="0.25">
      <c r="A9000" s="66"/>
    </row>
    <row r="9001" spans="1:1" x14ac:dyDescent="0.25">
      <c r="A9001" s="66"/>
    </row>
    <row r="9002" spans="1:1" x14ac:dyDescent="0.25">
      <c r="A9002" s="66"/>
    </row>
    <row r="9003" spans="1:1" x14ac:dyDescent="0.25">
      <c r="A9003" s="66"/>
    </row>
    <row r="9004" spans="1:1" x14ac:dyDescent="0.25">
      <c r="A9004" s="66"/>
    </row>
    <row r="9005" spans="1:1" x14ac:dyDescent="0.25">
      <c r="A9005" s="66"/>
    </row>
    <row r="9006" spans="1:1" x14ac:dyDescent="0.25">
      <c r="A9006" s="66"/>
    </row>
    <row r="9007" spans="1:1" x14ac:dyDescent="0.25">
      <c r="A9007" s="66"/>
    </row>
    <row r="9008" spans="1:1" x14ac:dyDescent="0.25">
      <c r="A9008" s="66"/>
    </row>
    <row r="9009" spans="1:1" x14ac:dyDescent="0.25">
      <c r="A9009" s="66"/>
    </row>
    <row r="9010" spans="1:1" x14ac:dyDescent="0.25">
      <c r="A9010" s="66"/>
    </row>
    <row r="9011" spans="1:1" x14ac:dyDescent="0.25">
      <c r="A9011" s="66"/>
    </row>
    <row r="9012" spans="1:1" x14ac:dyDescent="0.25">
      <c r="A9012" s="66"/>
    </row>
    <row r="9013" spans="1:1" x14ac:dyDescent="0.25">
      <c r="A9013" s="66"/>
    </row>
    <row r="9014" spans="1:1" x14ac:dyDescent="0.25">
      <c r="A9014" s="66"/>
    </row>
    <row r="9015" spans="1:1" x14ac:dyDescent="0.25">
      <c r="A9015" s="66"/>
    </row>
    <row r="9016" spans="1:1" x14ac:dyDescent="0.25">
      <c r="A9016" s="66"/>
    </row>
    <row r="9017" spans="1:1" x14ac:dyDescent="0.25">
      <c r="A9017" s="66"/>
    </row>
    <row r="9018" spans="1:1" x14ac:dyDescent="0.25">
      <c r="A9018" s="66"/>
    </row>
    <row r="9019" spans="1:1" x14ac:dyDescent="0.25">
      <c r="A9019" s="66"/>
    </row>
    <row r="9020" spans="1:1" x14ac:dyDescent="0.25">
      <c r="A9020" s="66"/>
    </row>
    <row r="9021" spans="1:1" x14ac:dyDescent="0.25">
      <c r="A9021" s="66"/>
    </row>
    <row r="9022" spans="1:1" x14ac:dyDescent="0.25">
      <c r="A9022" s="66"/>
    </row>
    <row r="9023" spans="1:1" x14ac:dyDescent="0.25">
      <c r="A9023" s="66"/>
    </row>
    <row r="9024" spans="1:1" x14ac:dyDescent="0.25">
      <c r="A9024" s="66"/>
    </row>
    <row r="9025" spans="1:1" x14ac:dyDescent="0.25">
      <c r="A9025" s="66"/>
    </row>
    <row r="9026" spans="1:1" x14ac:dyDescent="0.25">
      <c r="A9026" s="66"/>
    </row>
    <row r="9027" spans="1:1" x14ac:dyDescent="0.25">
      <c r="A9027" s="66"/>
    </row>
    <row r="9028" spans="1:1" x14ac:dyDescent="0.25">
      <c r="A9028" s="66"/>
    </row>
    <row r="9029" spans="1:1" x14ac:dyDescent="0.25">
      <c r="A9029" s="66"/>
    </row>
    <row r="9030" spans="1:1" x14ac:dyDescent="0.25">
      <c r="A9030" s="66"/>
    </row>
    <row r="9031" spans="1:1" x14ac:dyDescent="0.25">
      <c r="A9031" s="66"/>
    </row>
    <row r="9032" spans="1:1" x14ac:dyDescent="0.25">
      <c r="A9032" s="66"/>
    </row>
    <row r="9033" spans="1:1" x14ac:dyDescent="0.25">
      <c r="A9033" s="66"/>
    </row>
    <row r="9034" spans="1:1" x14ac:dyDescent="0.25">
      <c r="A9034" s="66"/>
    </row>
    <row r="9035" spans="1:1" x14ac:dyDescent="0.25">
      <c r="A9035" s="66"/>
    </row>
    <row r="9036" spans="1:1" x14ac:dyDescent="0.25">
      <c r="A9036" s="66"/>
    </row>
    <row r="9037" spans="1:1" x14ac:dyDescent="0.25">
      <c r="A9037" s="66"/>
    </row>
    <row r="9038" spans="1:1" x14ac:dyDescent="0.25">
      <c r="A9038" s="66"/>
    </row>
    <row r="9039" spans="1:1" x14ac:dyDescent="0.25">
      <c r="A9039" s="66"/>
    </row>
    <row r="9040" spans="1:1" x14ac:dyDescent="0.25">
      <c r="A9040" s="66"/>
    </row>
    <row r="9041" spans="1:1" x14ac:dyDescent="0.25">
      <c r="A9041" s="66"/>
    </row>
    <row r="9042" spans="1:1" x14ac:dyDescent="0.25">
      <c r="A9042" s="66"/>
    </row>
    <row r="9043" spans="1:1" x14ac:dyDescent="0.25">
      <c r="A9043" s="66"/>
    </row>
    <row r="9044" spans="1:1" x14ac:dyDescent="0.25">
      <c r="A9044" s="66"/>
    </row>
    <row r="9045" spans="1:1" x14ac:dyDescent="0.25">
      <c r="A9045" s="66"/>
    </row>
    <row r="9046" spans="1:1" x14ac:dyDescent="0.25">
      <c r="A9046" s="66"/>
    </row>
    <row r="9047" spans="1:1" x14ac:dyDescent="0.25">
      <c r="A9047" s="66"/>
    </row>
    <row r="9048" spans="1:1" x14ac:dyDescent="0.25">
      <c r="A9048" s="66"/>
    </row>
    <row r="9049" spans="1:1" x14ac:dyDescent="0.25">
      <c r="A9049" s="66"/>
    </row>
    <row r="9050" spans="1:1" x14ac:dyDescent="0.25">
      <c r="A9050" s="66"/>
    </row>
    <row r="9051" spans="1:1" x14ac:dyDescent="0.25">
      <c r="A9051" s="66"/>
    </row>
    <row r="9052" spans="1:1" x14ac:dyDescent="0.25">
      <c r="A9052" s="66"/>
    </row>
    <row r="9053" spans="1:1" x14ac:dyDescent="0.25">
      <c r="A9053" s="66"/>
    </row>
    <row r="9054" spans="1:1" x14ac:dyDescent="0.25">
      <c r="A9054" s="66"/>
    </row>
    <row r="9055" spans="1:1" x14ac:dyDescent="0.25">
      <c r="A9055" s="66"/>
    </row>
    <row r="9056" spans="1:1" x14ac:dyDescent="0.25">
      <c r="A9056" s="66"/>
    </row>
    <row r="9057" spans="1:1" x14ac:dyDescent="0.25">
      <c r="A9057" s="66"/>
    </row>
    <row r="9058" spans="1:1" x14ac:dyDescent="0.25">
      <c r="A9058" s="66"/>
    </row>
    <row r="9059" spans="1:1" x14ac:dyDescent="0.25">
      <c r="A9059" s="66"/>
    </row>
    <row r="9060" spans="1:1" x14ac:dyDescent="0.25">
      <c r="A9060" s="66"/>
    </row>
    <row r="9061" spans="1:1" x14ac:dyDescent="0.25">
      <c r="A9061" s="66"/>
    </row>
    <row r="9062" spans="1:1" x14ac:dyDescent="0.25">
      <c r="A9062" s="66"/>
    </row>
    <row r="9063" spans="1:1" x14ac:dyDescent="0.25">
      <c r="A9063" s="66"/>
    </row>
    <row r="9064" spans="1:1" x14ac:dyDescent="0.25">
      <c r="A9064" s="66"/>
    </row>
    <row r="9065" spans="1:1" x14ac:dyDescent="0.25">
      <c r="A9065" s="66"/>
    </row>
    <row r="9066" spans="1:1" x14ac:dyDescent="0.25">
      <c r="A9066" s="66"/>
    </row>
    <row r="9067" spans="1:1" x14ac:dyDescent="0.25">
      <c r="A9067" s="66"/>
    </row>
    <row r="9068" spans="1:1" x14ac:dyDescent="0.25">
      <c r="A9068" s="66"/>
    </row>
    <row r="9069" spans="1:1" x14ac:dyDescent="0.25">
      <c r="A9069" s="66"/>
    </row>
    <row r="9070" spans="1:1" x14ac:dyDescent="0.25">
      <c r="A9070" s="66"/>
    </row>
    <row r="9071" spans="1:1" x14ac:dyDescent="0.25">
      <c r="A9071" s="66"/>
    </row>
    <row r="9072" spans="1:1" x14ac:dyDescent="0.25">
      <c r="A9072" s="66"/>
    </row>
    <row r="9073" spans="1:1" x14ac:dyDescent="0.25">
      <c r="A9073" s="66"/>
    </row>
    <row r="9074" spans="1:1" x14ac:dyDescent="0.25">
      <c r="A9074" s="66"/>
    </row>
    <row r="9075" spans="1:1" x14ac:dyDescent="0.25">
      <c r="A9075" s="66"/>
    </row>
    <row r="9076" spans="1:1" x14ac:dyDescent="0.25">
      <c r="A9076" s="66"/>
    </row>
    <row r="9077" spans="1:1" x14ac:dyDescent="0.25">
      <c r="A9077" s="66"/>
    </row>
    <row r="9078" spans="1:1" x14ac:dyDescent="0.25">
      <c r="A9078" s="66"/>
    </row>
    <row r="9079" spans="1:1" x14ac:dyDescent="0.25">
      <c r="A9079" s="66"/>
    </row>
    <row r="9080" spans="1:1" x14ac:dyDescent="0.25">
      <c r="A9080" s="66"/>
    </row>
    <row r="9081" spans="1:1" x14ac:dyDescent="0.25">
      <c r="A9081" s="66"/>
    </row>
    <row r="9082" spans="1:1" x14ac:dyDescent="0.25">
      <c r="A9082" s="66"/>
    </row>
    <row r="9083" spans="1:1" x14ac:dyDescent="0.25">
      <c r="A9083" s="66"/>
    </row>
    <row r="9084" spans="1:1" x14ac:dyDescent="0.25">
      <c r="A9084" s="66"/>
    </row>
    <row r="9085" spans="1:1" x14ac:dyDescent="0.25">
      <c r="A9085" s="66"/>
    </row>
    <row r="9086" spans="1:1" x14ac:dyDescent="0.25">
      <c r="A9086" s="66"/>
    </row>
    <row r="9087" spans="1:1" x14ac:dyDescent="0.25">
      <c r="A9087" s="66"/>
    </row>
    <row r="9088" spans="1:1" x14ac:dyDescent="0.25">
      <c r="A9088" s="66"/>
    </row>
    <row r="9089" spans="1:1" x14ac:dyDescent="0.25">
      <c r="A9089" s="66"/>
    </row>
    <row r="9090" spans="1:1" x14ac:dyDescent="0.25">
      <c r="A9090" s="66"/>
    </row>
    <row r="9091" spans="1:1" x14ac:dyDescent="0.25">
      <c r="A9091" s="66"/>
    </row>
    <row r="9092" spans="1:1" x14ac:dyDescent="0.25">
      <c r="A9092" s="66"/>
    </row>
    <row r="9093" spans="1:1" x14ac:dyDescent="0.25">
      <c r="A9093" s="66"/>
    </row>
    <row r="9094" spans="1:1" x14ac:dyDescent="0.25">
      <c r="A9094" s="66"/>
    </row>
    <row r="9095" spans="1:1" x14ac:dyDescent="0.25">
      <c r="A9095" s="66"/>
    </row>
    <row r="9096" spans="1:1" x14ac:dyDescent="0.25">
      <c r="A9096" s="66"/>
    </row>
    <row r="9097" spans="1:1" x14ac:dyDescent="0.25">
      <c r="A9097" s="66"/>
    </row>
    <row r="9098" spans="1:1" x14ac:dyDescent="0.25">
      <c r="A9098" s="66"/>
    </row>
    <row r="9099" spans="1:1" x14ac:dyDescent="0.25">
      <c r="A9099" s="66"/>
    </row>
    <row r="9100" spans="1:1" x14ac:dyDescent="0.25">
      <c r="A9100" s="66"/>
    </row>
    <row r="9101" spans="1:1" x14ac:dyDescent="0.25">
      <c r="A9101" s="66"/>
    </row>
    <row r="9102" spans="1:1" x14ac:dyDescent="0.25">
      <c r="A9102" s="66"/>
    </row>
    <row r="9103" spans="1:1" x14ac:dyDescent="0.25">
      <c r="A9103" s="66"/>
    </row>
    <row r="9104" spans="1:1" x14ac:dyDescent="0.25">
      <c r="A9104" s="66"/>
    </row>
    <row r="9105" spans="1:1" x14ac:dyDescent="0.25">
      <c r="A9105" s="66"/>
    </row>
    <row r="9106" spans="1:1" x14ac:dyDescent="0.25">
      <c r="A9106" s="66"/>
    </row>
    <row r="9107" spans="1:1" x14ac:dyDescent="0.25">
      <c r="A9107" s="66"/>
    </row>
    <row r="9108" spans="1:1" x14ac:dyDescent="0.25">
      <c r="A9108" s="66"/>
    </row>
    <row r="9109" spans="1:1" x14ac:dyDescent="0.25">
      <c r="A9109" s="66"/>
    </row>
    <row r="9110" spans="1:1" x14ac:dyDescent="0.25">
      <c r="A9110" s="66"/>
    </row>
    <row r="9111" spans="1:1" x14ac:dyDescent="0.25">
      <c r="A9111" s="66"/>
    </row>
    <row r="9112" spans="1:1" x14ac:dyDescent="0.25">
      <c r="A9112" s="66"/>
    </row>
    <row r="9113" spans="1:1" x14ac:dyDescent="0.25">
      <c r="A9113" s="66"/>
    </row>
    <row r="9114" spans="1:1" x14ac:dyDescent="0.25">
      <c r="A9114" s="66"/>
    </row>
    <row r="9115" spans="1:1" x14ac:dyDescent="0.25">
      <c r="A9115" s="66"/>
    </row>
    <row r="9116" spans="1:1" x14ac:dyDescent="0.25">
      <c r="A9116" s="66"/>
    </row>
    <row r="9117" spans="1:1" x14ac:dyDescent="0.25">
      <c r="A9117" s="66"/>
    </row>
    <row r="9118" spans="1:1" x14ac:dyDescent="0.25">
      <c r="A9118" s="66"/>
    </row>
    <row r="9119" spans="1:1" x14ac:dyDescent="0.25">
      <c r="A9119" s="66"/>
    </row>
    <row r="9120" spans="1:1" x14ac:dyDescent="0.25">
      <c r="A9120" s="66"/>
    </row>
    <row r="9121" spans="1:1" x14ac:dyDescent="0.25">
      <c r="A9121" s="66"/>
    </row>
    <row r="9122" spans="1:1" x14ac:dyDescent="0.25">
      <c r="A9122" s="66"/>
    </row>
    <row r="9123" spans="1:1" x14ac:dyDescent="0.25">
      <c r="A9123" s="66"/>
    </row>
    <row r="9124" spans="1:1" x14ac:dyDescent="0.25">
      <c r="A9124" s="66"/>
    </row>
    <row r="9125" spans="1:1" x14ac:dyDescent="0.25">
      <c r="A9125" s="66"/>
    </row>
    <row r="9126" spans="1:1" x14ac:dyDescent="0.25">
      <c r="A9126" s="66"/>
    </row>
    <row r="9127" spans="1:1" x14ac:dyDescent="0.25">
      <c r="A9127" s="66"/>
    </row>
    <row r="9128" spans="1:1" x14ac:dyDescent="0.25">
      <c r="A9128" s="66"/>
    </row>
    <row r="9129" spans="1:1" x14ac:dyDescent="0.25">
      <c r="A9129" s="66"/>
    </row>
    <row r="9130" spans="1:1" x14ac:dyDescent="0.25">
      <c r="A9130" s="66"/>
    </row>
    <row r="9131" spans="1:1" x14ac:dyDescent="0.25">
      <c r="A9131" s="66"/>
    </row>
    <row r="9132" spans="1:1" x14ac:dyDescent="0.25">
      <c r="A9132" s="66"/>
    </row>
    <row r="9133" spans="1:1" x14ac:dyDescent="0.25">
      <c r="A9133" s="66"/>
    </row>
    <row r="9134" spans="1:1" x14ac:dyDescent="0.25">
      <c r="A9134" s="66"/>
    </row>
    <row r="9135" spans="1:1" x14ac:dyDescent="0.25">
      <c r="A9135" s="66"/>
    </row>
    <row r="9136" spans="1:1" x14ac:dyDescent="0.25">
      <c r="A9136" s="66"/>
    </row>
    <row r="9137" spans="1:1" x14ac:dyDescent="0.25">
      <c r="A9137" s="66"/>
    </row>
    <row r="9138" spans="1:1" x14ac:dyDescent="0.25">
      <c r="A9138" s="66"/>
    </row>
    <row r="9139" spans="1:1" x14ac:dyDescent="0.25">
      <c r="A9139" s="66"/>
    </row>
    <row r="9140" spans="1:1" x14ac:dyDescent="0.25">
      <c r="A9140" s="66"/>
    </row>
    <row r="9141" spans="1:1" x14ac:dyDescent="0.25">
      <c r="A9141" s="66"/>
    </row>
    <row r="9142" spans="1:1" x14ac:dyDescent="0.25">
      <c r="A9142" s="66"/>
    </row>
    <row r="9143" spans="1:1" x14ac:dyDescent="0.25">
      <c r="A9143" s="66"/>
    </row>
    <row r="9144" spans="1:1" x14ac:dyDescent="0.25">
      <c r="A9144" s="66"/>
    </row>
    <row r="9145" spans="1:1" x14ac:dyDescent="0.25">
      <c r="A9145" s="66"/>
    </row>
    <row r="9146" spans="1:1" x14ac:dyDescent="0.25">
      <c r="A9146" s="66"/>
    </row>
    <row r="9147" spans="1:1" x14ac:dyDescent="0.25">
      <c r="A9147" s="66"/>
    </row>
    <row r="9148" spans="1:1" x14ac:dyDescent="0.25">
      <c r="A9148" s="66"/>
    </row>
    <row r="9149" spans="1:1" x14ac:dyDescent="0.25">
      <c r="A9149" s="66"/>
    </row>
    <row r="9150" spans="1:1" x14ac:dyDescent="0.25">
      <c r="A9150" s="66"/>
    </row>
    <row r="9151" spans="1:1" x14ac:dyDescent="0.25">
      <c r="A9151" s="66"/>
    </row>
    <row r="9152" spans="1:1" x14ac:dyDescent="0.25">
      <c r="A9152" s="66"/>
    </row>
    <row r="9153" spans="1:1" x14ac:dyDescent="0.25">
      <c r="A9153" s="66"/>
    </row>
    <row r="9154" spans="1:1" x14ac:dyDescent="0.25">
      <c r="A9154" s="66"/>
    </row>
    <row r="9155" spans="1:1" x14ac:dyDescent="0.25">
      <c r="A9155" s="66"/>
    </row>
    <row r="9156" spans="1:1" x14ac:dyDescent="0.25">
      <c r="A9156" s="66"/>
    </row>
    <row r="9157" spans="1:1" x14ac:dyDescent="0.25">
      <c r="A9157" s="66"/>
    </row>
    <row r="9158" spans="1:1" x14ac:dyDescent="0.25">
      <c r="A9158" s="66"/>
    </row>
    <row r="9159" spans="1:1" x14ac:dyDescent="0.25">
      <c r="A9159" s="66"/>
    </row>
    <row r="9160" spans="1:1" x14ac:dyDescent="0.25">
      <c r="A9160" s="66"/>
    </row>
    <row r="9161" spans="1:1" x14ac:dyDescent="0.25">
      <c r="A9161" s="66"/>
    </row>
    <row r="9162" spans="1:1" x14ac:dyDescent="0.25">
      <c r="A9162" s="66"/>
    </row>
    <row r="9163" spans="1:1" x14ac:dyDescent="0.25">
      <c r="A9163" s="66"/>
    </row>
    <row r="9164" spans="1:1" x14ac:dyDescent="0.25">
      <c r="A9164" s="66"/>
    </row>
    <row r="9165" spans="1:1" x14ac:dyDescent="0.25">
      <c r="A9165" s="66"/>
    </row>
    <row r="9166" spans="1:1" x14ac:dyDescent="0.25">
      <c r="A9166" s="66"/>
    </row>
    <row r="9167" spans="1:1" x14ac:dyDescent="0.25">
      <c r="A9167" s="66"/>
    </row>
    <row r="9168" spans="1:1" x14ac:dyDescent="0.25">
      <c r="A9168" s="66"/>
    </row>
    <row r="9169" spans="1:1" x14ac:dyDescent="0.25">
      <c r="A9169" s="66"/>
    </row>
    <row r="9170" spans="1:1" x14ac:dyDescent="0.25">
      <c r="A9170" s="66"/>
    </row>
    <row r="9171" spans="1:1" x14ac:dyDescent="0.25">
      <c r="A9171" s="66"/>
    </row>
    <row r="9172" spans="1:1" x14ac:dyDescent="0.25">
      <c r="A9172" s="66"/>
    </row>
    <row r="9173" spans="1:1" x14ac:dyDescent="0.25">
      <c r="A9173" s="66"/>
    </row>
    <row r="9174" spans="1:1" x14ac:dyDescent="0.25">
      <c r="A9174" s="66"/>
    </row>
    <row r="9175" spans="1:1" x14ac:dyDescent="0.25">
      <c r="A9175" s="66"/>
    </row>
    <row r="9176" spans="1:1" x14ac:dyDescent="0.25">
      <c r="A9176" s="66"/>
    </row>
    <row r="9177" spans="1:1" x14ac:dyDescent="0.25">
      <c r="A9177" s="66"/>
    </row>
    <row r="9178" spans="1:1" x14ac:dyDescent="0.25">
      <c r="A9178" s="66"/>
    </row>
    <row r="9179" spans="1:1" x14ac:dyDescent="0.25">
      <c r="A9179" s="66"/>
    </row>
    <row r="9180" spans="1:1" x14ac:dyDescent="0.25">
      <c r="A9180" s="66"/>
    </row>
    <row r="9181" spans="1:1" x14ac:dyDescent="0.25">
      <c r="A9181" s="66"/>
    </row>
    <row r="9182" spans="1:1" x14ac:dyDescent="0.25">
      <c r="A9182" s="66"/>
    </row>
    <row r="9183" spans="1:1" x14ac:dyDescent="0.25">
      <c r="A9183" s="66"/>
    </row>
    <row r="9184" spans="1:1" x14ac:dyDescent="0.25">
      <c r="A9184" s="66"/>
    </row>
    <row r="9185" spans="1:1" x14ac:dyDescent="0.25">
      <c r="A9185" s="66"/>
    </row>
    <row r="9186" spans="1:1" x14ac:dyDescent="0.25">
      <c r="A9186" s="66"/>
    </row>
    <row r="9187" spans="1:1" x14ac:dyDescent="0.25">
      <c r="A9187" s="66"/>
    </row>
    <row r="9188" spans="1:1" x14ac:dyDescent="0.25">
      <c r="A9188" s="66"/>
    </row>
    <row r="9189" spans="1:1" x14ac:dyDescent="0.25">
      <c r="A9189" s="66"/>
    </row>
    <row r="9190" spans="1:1" x14ac:dyDescent="0.25">
      <c r="A9190" s="66"/>
    </row>
    <row r="9191" spans="1:1" x14ac:dyDescent="0.25">
      <c r="A9191" s="66"/>
    </row>
    <row r="9192" spans="1:1" x14ac:dyDescent="0.25">
      <c r="A9192" s="66"/>
    </row>
    <row r="9193" spans="1:1" x14ac:dyDescent="0.25">
      <c r="A9193" s="66"/>
    </row>
    <row r="9194" spans="1:1" x14ac:dyDescent="0.25">
      <c r="A9194" s="66"/>
    </row>
    <row r="9195" spans="1:1" x14ac:dyDescent="0.25">
      <c r="A9195" s="66"/>
    </row>
    <row r="9196" spans="1:1" x14ac:dyDescent="0.25">
      <c r="A9196" s="66"/>
    </row>
    <row r="9197" spans="1:1" x14ac:dyDescent="0.25">
      <c r="A9197" s="66"/>
    </row>
    <row r="9198" spans="1:1" x14ac:dyDescent="0.25">
      <c r="A9198" s="66"/>
    </row>
    <row r="9199" spans="1:1" x14ac:dyDescent="0.25">
      <c r="A9199" s="66"/>
    </row>
    <row r="9200" spans="1:1" x14ac:dyDescent="0.25">
      <c r="A9200" s="66"/>
    </row>
    <row r="9201" spans="1:1" x14ac:dyDescent="0.25">
      <c r="A9201" s="66"/>
    </row>
    <row r="9202" spans="1:1" x14ac:dyDescent="0.25">
      <c r="A9202" s="66"/>
    </row>
    <row r="9203" spans="1:1" x14ac:dyDescent="0.25">
      <c r="A9203" s="66"/>
    </row>
    <row r="9204" spans="1:1" x14ac:dyDescent="0.25">
      <c r="A9204" s="66"/>
    </row>
    <row r="9205" spans="1:1" x14ac:dyDescent="0.25">
      <c r="A9205" s="66"/>
    </row>
    <row r="9206" spans="1:1" x14ac:dyDescent="0.25">
      <c r="A9206" s="66"/>
    </row>
    <row r="9207" spans="1:1" x14ac:dyDescent="0.25">
      <c r="A9207" s="66"/>
    </row>
    <row r="9208" spans="1:1" x14ac:dyDescent="0.25">
      <c r="A9208" s="66"/>
    </row>
    <row r="9209" spans="1:1" x14ac:dyDescent="0.25">
      <c r="A9209" s="66"/>
    </row>
    <row r="9210" spans="1:1" x14ac:dyDescent="0.25">
      <c r="A9210" s="66"/>
    </row>
    <row r="9211" spans="1:1" x14ac:dyDescent="0.25">
      <c r="A9211" s="66"/>
    </row>
    <row r="9212" spans="1:1" x14ac:dyDescent="0.25">
      <c r="A9212" s="66"/>
    </row>
    <row r="9213" spans="1:1" x14ac:dyDescent="0.25">
      <c r="A9213" s="66"/>
    </row>
    <row r="9214" spans="1:1" x14ac:dyDescent="0.25">
      <c r="A9214" s="66"/>
    </row>
    <row r="9215" spans="1:1" x14ac:dyDescent="0.25">
      <c r="A9215" s="66"/>
    </row>
    <row r="9216" spans="1:1" x14ac:dyDescent="0.25">
      <c r="A9216" s="66"/>
    </row>
    <row r="9217" spans="1:1" x14ac:dyDescent="0.25">
      <c r="A9217" s="66"/>
    </row>
    <row r="9218" spans="1:1" x14ac:dyDescent="0.25">
      <c r="A9218" s="66"/>
    </row>
    <row r="9219" spans="1:1" x14ac:dyDescent="0.25">
      <c r="A9219" s="66"/>
    </row>
    <row r="9220" spans="1:1" x14ac:dyDescent="0.25">
      <c r="A9220" s="66"/>
    </row>
    <row r="9221" spans="1:1" x14ac:dyDescent="0.25">
      <c r="A9221" s="66"/>
    </row>
    <row r="9222" spans="1:1" x14ac:dyDescent="0.25">
      <c r="A9222" s="66"/>
    </row>
    <row r="9223" spans="1:1" x14ac:dyDescent="0.25">
      <c r="A9223" s="66"/>
    </row>
    <row r="9224" spans="1:1" x14ac:dyDescent="0.25">
      <c r="A9224" s="66"/>
    </row>
    <row r="9225" spans="1:1" x14ac:dyDescent="0.25">
      <c r="A9225" s="66"/>
    </row>
    <row r="9226" spans="1:1" x14ac:dyDescent="0.25">
      <c r="A9226" s="66"/>
    </row>
    <row r="9227" spans="1:1" x14ac:dyDescent="0.25">
      <c r="A9227" s="66"/>
    </row>
    <row r="9228" spans="1:1" x14ac:dyDescent="0.25">
      <c r="A9228" s="66"/>
    </row>
    <row r="9229" spans="1:1" x14ac:dyDescent="0.25">
      <c r="A9229" s="66"/>
    </row>
    <row r="9230" spans="1:1" x14ac:dyDescent="0.25">
      <c r="A9230" s="66"/>
    </row>
    <row r="9231" spans="1:1" x14ac:dyDescent="0.25">
      <c r="A9231" s="66"/>
    </row>
    <row r="9232" spans="1:1" x14ac:dyDescent="0.25">
      <c r="A9232" s="66"/>
    </row>
    <row r="9233" spans="1:1" x14ac:dyDescent="0.25">
      <c r="A9233" s="66"/>
    </row>
    <row r="9234" spans="1:1" x14ac:dyDescent="0.25">
      <c r="A9234" s="66"/>
    </row>
    <row r="9235" spans="1:1" x14ac:dyDescent="0.25">
      <c r="A9235" s="66"/>
    </row>
    <row r="9236" spans="1:1" x14ac:dyDescent="0.25">
      <c r="A9236" s="66"/>
    </row>
    <row r="9237" spans="1:1" x14ac:dyDescent="0.25">
      <c r="A9237" s="66"/>
    </row>
    <row r="9238" spans="1:1" x14ac:dyDescent="0.25">
      <c r="A9238" s="66"/>
    </row>
    <row r="9239" spans="1:1" x14ac:dyDescent="0.25">
      <c r="A9239" s="66"/>
    </row>
    <row r="9240" spans="1:1" x14ac:dyDescent="0.25">
      <c r="A9240" s="66"/>
    </row>
    <row r="9241" spans="1:1" x14ac:dyDescent="0.25">
      <c r="A9241" s="66"/>
    </row>
    <row r="9242" spans="1:1" x14ac:dyDescent="0.25">
      <c r="A9242" s="66"/>
    </row>
    <row r="9243" spans="1:1" x14ac:dyDescent="0.25">
      <c r="A9243" s="66"/>
    </row>
    <row r="9244" spans="1:1" x14ac:dyDescent="0.25">
      <c r="A9244" s="66"/>
    </row>
    <row r="9245" spans="1:1" x14ac:dyDescent="0.25">
      <c r="A9245" s="66"/>
    </row>
    <row r="9246" spans="1:1" x14ac:dyDescent="0.25">
      <c r="A9246" s="66"/>
    </row>
    <row r="9247" spans="1:1" x14ac:dyDescent="0.25">
      <c r="A9247" s="66"/>
    </row>
    <row r="9248" spans="1:1" x14ac:dyDescent="0.25">
      <c r="A9248" s="66"/>
    </row>
    <row r="9249" spans="1:1" x14ac:dyDescent="0.25">
      <c r="A9249" s="66"/>
    </row>
    <row r="9250" spans="1:1" x14ac:dyDescent="0.25">
      <c r="A9250" s="66"/>
    </row>
    <row r="9251" spans="1:1" x14ac:dyDescent="0.25">
      <c r="A9251" s="66"/>
    </row>
    <row r="9252" spans="1:1" x14ac:dyDescent="0.25">
      <c r="A9252" s="66"/>
    </row>
    <row r="9253" spans="1:1" x14ac:dyDescent="0.25">
      <c r="A9253" s="66"/>
    </row>
    <row r="9254" spans="1:1" x14ac:dyDescent="0.25">
      <c r="A9254" s="66"/>
    </row>
    <row r="9255" spans="1:1" x14ac:dyDescent="0.25">
      <c r="A9255" s="66"/>
    </row>
    <row r="9256" spans="1:1" x14ac:dyDescent="0.25">
      <c r="A9256" s="66"/>
    </row>
    <row r="9257" spans="1:1" x14ac:dyDescent="0.25">
      <c r="A9257" s="66"/>
    </row>
    <row r="9258" spans="1:1" x14ac:dyDescent="0.25">
      <c r="A9258" s="66"/>
    </row>
    <row r="9259" spans="1:1" x14ac:dyDescent="0.25">
      <c r="A9259" s="66"/>
    </row>
    <row r="9260" spans="1:1" x14ac:dyDescent="0.25">
      <c r="A9260" s="66"/>
    </row>
    <row r="9261" spans="1:1" x14ac:dyDescent="0.25">
      <c r="A9261" s="66"/>
    </row>
    <row r="9262" spans="1:1" x14ac:dyDescent="0.25">
      <c r="A9262" s="66"/>
    </row>
    <row r="9263" spans="1:1" x14ac:dyDescent="0.25">
      <c r="A9263" s="66"/>
    </row>
    <row r="9264" spans="1:1" x14ac:dyDescent="0.25">
      <c r="A9264" s="66"/>
    </row>
    <row r="9265" spans="1:1" x14ac:dyDescent="0.25">
      <c r="A9265" s="66"/>
    </row>
    <row r="9266" spans="1:1" x14ac:dyDescent="0.25">
      <c r="A9266" s="66"/>
    </row>
    <row r="9267" spans="1:1" x14ac:dyDescent="0.25">
      <c r="A9267" s="66"/>
    </row>
    <row r="9268" spans="1:1" x14ac:dyDescent="0.25">
      <c r="A9268" s="66"/>
    </row>
    <row r="9269" spans="1:1" x14ac:dyDescent="0.25">
      <c r="A9269" s="66"/>
    </row>
    <row r="9270" spans="1:1" x14ac:dyDescent="0.25">
      <c r="A9270" s="66"/>
    </row>
    <row r="9271" spans="1:1" x14ac:dyDescent="0.25">
      <c r="A9271" s="66"/>
    </row>
    <row r="9272" spans="1:1" x14ac:dyDescent="0.25">
      <c r="A9272" s="66"/>
    </row>
    <row r="9273" spans="1:1" x14ac:dyDescent="0.25">
      <c r="A9273" s="66"/>
    </row>
    <row r="9274" spans="1:1" x14ac:dyDescent="0.25">
      <c r="A9274" s="66"/>
    </row>
    <row r="9275" spans="1:1" x14ac:dyDescent="0.25">
      <c r="A9275" s="66"/>
    </row>
    <row r="9276" spans="1:1" x14ac:dyDescent="0.25">
      <c r="A9276" s="66"/>
    </row>
    <row r="9277" spans="1:1" x14ac:dyDescent="0.25">
      <c r="A9277" s="66"/>
    </row>
    <row r="9278" spans="1:1" x14ac:dyDescent="0.25">
      <c r="A9278" s="66"/>
    </row>
    <row r="9279" spans="1:1" x14ac:dyDescent="0.25">
      <c r="A9279" s="66"/>
    </row>
    <row r="9280" spans="1:1" x14ac:dyDescent="0.25">
      <c r="A9280" s="66"/>
    </row>
    <row r="9281" spans="1:1" x14ac:dyDescent="0.25">
      <c r="A9281" s="66"/>
    </row>
    <row r="9282" spans="1:1" x14ac:dyDescent="0.25">
      <c r="A9282" s="66"/>
    </row>
    <row r="9283" spans="1:1" x14ac:dyDescent="0.25">
      <c r="A9283" s="66"/>
    </row>
    <row r="9284" spans="1:1" x14ac:dyDescent="0.25">
      <c r="A9284" s="66"/>
    </row>
    <row r="9285" spans="1:1" x14ac:dyDescent="0.25">
      <c r="A9285" s="66"/>
    </row>
    <row r="9286" spans="1:1" x14ac:dyDescent="0.25">
      <c r="A9286" s="66"/>
    </row>
    <row r="9287" spans="1:1" x14ac:dyDescent="0.25">
      <c r="A9287" s="66"/>
    </row>
    <row r="9288" spans="1:1" x14ac:dyDescent="0.25">
      <c r="A9288" s="66"/>
    </row>
    <row r="9289" spans="1:1" x14ac:dyDescent="0.25">
      <c r="A9289" s="66"/>
    </row>
    <row r="9290" spans="1:1" x14ac:dyDescent="0.25">
      <c r="A9290" s="66"/>
    </row>
    <row r="9291" spans="1:1" x14ac:dyDescent="0.25">
      <c r="A9291" s="66"/>
    </row>
    <row r="9292" spans="1:1" x14ac:dyDescent="0.25">
      <c r="A9292" s="66"/>
    </row>
    <row r="9293" spans="1:1" x14ac:dyDescent="0.25">
      <c r="A9293" s="66"/>
    </row>
    <row r="9294" spans="1:1" x14ac:dyDescent="0.25">
      <c r="A9294" s="66"/>
    </row>
    <row r="9295" spans="1:1" x14ac:dyDescent="0.25">
      <c r="A9295" s="66"/>
    </row>
    <row r="9296" spans="1:1" x14ac:dyDescent="0.25">
      <c r="A9296" s="66"/>
    </row>
    <row r="9297" spans="1:1" x14ac:dyDescent="0.25">
      <c r="A9297" s="66"/>
    </row>
    <row r="9298" spans="1:1" x14ac:dyDescent="0.25">
      <c r="A9298" s="66"/>
    </row>
    <row r="9299" spans="1:1" x14ac:dyDescent="0.25">
      <c r="A9299" s="66"/>
    </row>
    <row r="9300" spans="1:1" x14ac:dyDescent="0.25">
      <c r="A9300" s="66"/>
    </row>
    <row r="9301" spans="1:1" x14ac:dyDescent="0.25">
      <c r="A9301" s="66"/>
    </row>
    <row r="9302" spans="1:1" x14ac:dyDescent="0.25">
      <c r="A9302" s="66"/>
    </row>
    <row r="9303" spans="1:1" x14ac:dyDescent="0.25">
      <c r="A9303" s="66"/>
    </row>
    <row r="9304" spans="1:1" x14ac:dyDescent="0.25">
      <c r="A9304" s="66"/>
    </row>
    <row r="9305" spans="1:1" x14ac:dyDescent="0.25">
      <c r="A9305" s="66"/>
    </row>
    <row r="9306" spans="1:1" x14ac:dyDescent="0.25">
      <c r="A9306" s="66"/>
    </row>
    <row r="9307" spans="1:1" x14ac:dyDescent="0.25">
      <c r="A9307" s="66"/>
    </row>
    <row r="9308" spans="1:1" x14ac:dyDescent="0.25">
      <c r="A9308" s="66"/>
    </row>
    <row r="9309" spans="1:1" x14ac:dyDescent="0.25">
      <c r="A9309" s="66"/>
    </row>
    <row r="9310" spans="1:1" x14ac:dyDescent="0.25">
      <c r="A9310" s="66"/>
    </row>
    <row r="9311" spans="1:1" x14ac:dyDescent="0.25">
      <c r="A9311" s="66"/>
    </row>
    <row r="9312" spans="1:1" x14ac:dyDescent="0.25">
      <c r="A9312" s="66"/>
    </row>
    <row r="9313" spans="1:1" x14ac:dyDescent="0.25">
      <c r="A9313" s="66"/>
    </row>
    <row r="9314" spans="1:1" x14ac:dyDescent="0.25">
      <c r="A9314" s="66"/>
    </row>
    <row r="9315" spans="1:1" x14ac:dyDescent="0.25">
      <c r="A9315" s="66"/>
    </row>
    <row r="9316" spans="1:1" x14ac:dyDescent="0.25">
      <c r="A9316" s="66"/>
    </row>
    <row r="9317" spans="1:1" x14ac:dyDescent="0.25">
      <c r="A9317" s="66"/>
    </row>
    <row r="9318" spans="1:1" x14ac:dyDescent="0.25">
      <c r="A9318" s="66"/>
    </row>
    <row r="9319" spans="1:1" x14ac:dyDescent="0.25">
      <c r="A9319" s="66"/>
    </row>
    <row r="9320" spans="1:1" x14ac:dyDescent="0.25">
      <c r="A9320" s="66"/>
    </row>
    <row r="9321" spans="1:1" x14ac:dyDescent="0.25">
      <c r="A9321" s="66"/>
    </row>
    <row r="9322" spans="1:1" x14ac:dyDescent="0.25">
      <c r="A9322" s="66"/>
    </row>
    <row r="9323" spans="1:1" x14ac:dyDescent="0.25">
      <c r="A9323" s="66"/>
    </row>
    <row r="9324" spans="1:1" x14ac:dyDescent="0.25">
      <c r="A9324" s="66"/>
    </row>
    <row r="9325" spans="1:1" x14ac:dyDescent="0.25">
      <c r="A9325" s="66"/>
    </row>
    <row r="9326" spans="1:1" x14ac:dyDescent="0.25">
      <c r="A9326" s="66"/>
    </row>
    <row r="9327" spans="1:1" x14ac:dyDescent="0.25">
      <c r="A9327" s="66"/>
    </row>
    <row r="9328" spans="1:1" x14ac:dyDescent="0.25">
      <c r="A9328" s="66"/>
    </row>
    <row r="9329" spans="1:1" x14ac:dyDescent="0.25">
      <c r="A9329" s="66"/>
    </row>
    <row r="9330" spans="1:1" x14ac:dyDescent="0.25">
      <c r="A9330" s="66"/>
    </row>
    <row r="9331" spans="1:1" x14ac:dyDescent="0.25">
      <c r="A9331" s="66"/>
    </row>
    <row r="9332" spans="1:1" x14ac:dyDescent="0.25">
      <c r="A9332" s="66"/>
    </row>
    <row r="9333" spans="1:1" x14ac:dyDescent="0.25">
      <c r="A9333" s="66"/>
    </row>
    <row r="9334" spans="1:1" x14ac:dyDescent="0.25">
      <c r="A9334" s="66"/>
    </row>
    <row r="9335" spans="1:1" x14ac:dyDescent="0.25">
      <c r="A9335" s="66"/>
    </row>
    <row r="9336" spans="1:1" x14ac:dyDescent="0.25">
      <c r="A9336" s="66"/>
    </row>
    <row r="9337" spans="1:1" x14ac:dyDescent="0.25">
      <c r="A9337" s="66"/>
    </row>
    <row r="9338" spans="1:1" x14ac:dyDescent="0.25">
      <c r="A9338" s="66"/>
    </row>
    <row r="9339" spans="1:1" x14ac:dyDescent="0.25">
      <c r="A9339" s="66"/>
    </row>
    <row r="9340" spans="1:1" x14ac:dyDescent="0.25">
      <c r="A9340" s="66"/>
    </row>
    <row r="9341" spans="1:1" x14ac:dyDescent="0.25">
      <c r="A9341" s="66"/>
    </row>
    <row r="9342" spans="1:1" x14ac:dyDescent="0.25">
      <c r="A9342" s="66"/>
    </row>
    <row r="9343" spans="1:1" x14ac:dyDescent="0.25">
      <c r="A9343" s="66"/>
    </row>
    <row r="9344" spans="1:1" x14ac:dyDescent="0.25">
      <c r="A9344" s="66"/>
    </row>
    <row r="9345" spans="1:1" x14ac:dyDescent="0.25">
      <c r="A9345" s="66"/>
    </row>
    <row r="9346" spans="1:1" x14ac:dyDescent="0.25">
      <c r="A9346" s="66"/>
    </row>
    <row r="9347" spans="1:1" x14ac:dyDescent="0.25">
      <c r="A9347" s="66"/>
    </row>
    <row r="9348" spans="1:1" x14ac:dyDescent="0.25">
      <c r="A9348" s="66"/>
    </row>
    <row r="9349" spans="1:1" x14ac:dyDescent="0.25">
      <c r="A9349" s="66"/>
    </row>
    <row r="9350" spans="1:1" x14ac:dyDescent="0.25">
      <c r="A9350" s="66"/>
    </row>
    <row r="9351" spans="1:1" x14ac:dyDescent="0.25">
      <c r="A9351" s="66"/>
    </row>
    <row r="9352" spans="1:1" x14ac:dyDescent="0.25">
      <c r="A9352" s="66"/>
    </row>
    <row r="9353" spans="1:1" x14ac:dyDescent="0.25">
      <c r="A9353" s="66"/>
    </row>
    <row r="9354" spans="1:1" x14ac:dyDescent="0.25">
      <c r="A9354" s="66"/>
    </row>
    <row r="9355" spans="1:1" x14ac:dyDescent="0.25">
      <c r="A9355" s="66"/>
    </row>
    <row r="9356" spans="1:1" x14ac:dyDescent="0.25">
      <c r="A9356" s="66"/>
    </row>
    <row r="9357" spans="1:1" x14ac:dyDescent="0.25">
      <c r="A9357" s="66"/>
    </row>
    <row r="9358" spans="1:1" x14ac:dyDescent="0.25">
      <c r="A9358" s="66"/>
    </row>
    <row r="9359" spans="1:1" x14ac:dyDescent="0.25">
      <c r="A9359" s="66"/>
    </row>
    <row r="9360" spans="1:1" x14ac:dyDescent="0.25">
      <c r="A9360" s="66"/>
    </row>
    <row r="9361" spans="1:1" x14ac:dyDescent="0.25">
      <c r="A9361" s="66"/>
    </row>
    <row r="9362" spans="1:1" x14ac:dyDescent="0.25">
      <c r="A9362" s="66"/>
    </row>
    <row r="9363" spans="1:1" x14ac:dyDescent="0.25">
      <c r="A9363" s="66"/>
    </row>
    <row r="9364" spans="1:1" x14ac:dyDescent="0.25">
      <c r="A9364" s="66"/>
    </row>
    <row r="9365" spans="1:1" x14ac:dyDescent="0.25">
      <c r="A9365" s="66"/>
    </row>
    <row r="9366" spans="1:1" x14ac:dyDescent="0.25">
      <c r="A9366" s="66"/>
    </row>
    <row r="9367" spans="1:1" x14ac:dyDescent="0.25">
      <c r="A9367" s="66"/>
    </row>
    <row r="9368" spans="1:1" x14ac:dyDescent="0.25">
      <c r="A9368" s="66"/>
    </row>
    <row r="9369" spans="1:1" x14ac:dyDescent="0.25">
      <c r="A9369" s="66"/>
    </row>
    <row r="9370" spans="1:1" x14ac:dyDescent="0.25">
      <c r="A9370" s="66"/>
    </row>
    <row r="9371" spans="1:1" x14ac:dyDescent="0.25">
      <c r="A9371" s="66"/>
    </row>
    <row r="9372" spans="1:1" x14ac:dyDescent="0.25">
      <c r="A9372" s="66"/>
    </row>
    <row r="9373" spans="1:1" x14ac:dyDescent="0.25">
      <c r="A9373" s="66"/>
    </row>
    <row r="9374" spans="1:1" x14ac:dyDescent="0.25">
      <c r="A9374" s="66"/>
    </row>
    <row r="9375" spans="1:1" x14ac:dyDescent="0.25">
      <c r="A9375" s="66"/>
    </row>
    <row r="9376" spans="1:1" x14ac:dyDescent="0.25">
      <c r="A9376" s="66"/>
    </row>
    <row r="9377" spans="1:1" x14ac:dyDescent="0.25">
      <c r="A9377" s="66"/>
    </row>
    <row r="9378" spans="1:1" x14ac:dyDescent="0.25">
      <c r="A9378" s="66"/>
    </row>
    <row r="9379" spans="1:1" x14ac:dyDescent="0.25">
      <c r="A9379" s="66"/>
    </row>
    <row r="9380" spans="1:1" x14ac:dyDescent="0.25">
      <c r="A9380" s="66"/>
    </row>
    <row r="9381" spans="1:1" x14ac:dyDescent="0.25">
      <c r="A9381" s="66"/>
    </row>
    <row r="9382" spans="1:1" x14ac:dyDescent="0.25">
      <c r="A9382" s="66"/>
    </row>
    <row r="9383" spans="1:1" x14ac:dyDescent="0.25">
      <c r="A9383" s="66"/>
    </row>
    <row r="9384" spans="1:1" x14ac:dyDescent="0.25">
      <c r="A9384" s="66"/>
    </row>
    <row r="9385" spans="1:1" x14ac:dyDescent="0.25">
      <c r="A9385" s="66"/>
    </row>
    <row r="9386" spans="1:1" x14ac:dyDescent="0.25">
      <c r="A9386" s="66"/>
    </row>
    <row r="9387" spans="1:1" x14ac:dyDescent="0.25">
      <c r="A9387" s="66"/>
    </row>
    <row r="9388" spans="1:1" x14ac:dyDescent="0.25">
      <c r="A9388" s="66"/>
    </row>
    <row r="9389" spans="1:1" x14ac:dyDescent="0.25">
      <c r="A9389" s="66"/>
    </row>
    <row r="9390" spans="1:1" x14ac:dyDescent="0.25">
      <c r="A9390" s="66"/>
    </row>
    <row r="9391" spans="1:1" x14ac:dyDescent="0.25">
      <c r="A9391" s="66"/>
    </row>
    <row r="9392" spans="1:1" x14ac:dyDescent="0.25">
      <c r="A9392" s="66"/>
    </row>
    <row r="9393" spans="1:1" x14ac:dyDescent="0.25">
      <c r="A9393" s="66"/>
    </row>
    <row r="9394" spans="1:1" x14ac:dyDescent="0.25">
      <c r="A9394" s="66"/>
    </row>
    <row r="9395" spans="1:1" x14ac:dyDescent="0.25">
      <c r="A9395" s="66"/>
    </row>
    <row r="9396" spans="1:1" x14ac:dyDescent="0.25">
      <c r="A9396" s="66"/>
    </row>
    <row r="9397" spans="1:1" x14ac:dyDescent="0.25">
      <c r="A9397" s="66"/>
    </row>
    <row r="9398" spans="1:1" x14ac:dyDescent="0.25">
      <c r="A9398" s="66"/>
    </row>
    <row r="9399" spans="1:1" x14ac:dyDescent="0.25">
      <c r="A9399" s="66"/>
    </row>
    <row r="9400" spans="1:1" x14ac:dyDescent="0.25">
      <c r="A9400" s="66"/>
    </row>
    <row r="9401" spans="1:1" x14ac:dyDescent="0.25">
      <c r="A9401" s="66"/>
    </row>
    <row r="9402" spans="1:1" x14ac:dyDescent="0.25">
      <c r="A9402" s="66"/>
    </row>
    <row r="9403" spans="1:1" x14ac:dyDescent="0.25">
      <c r="A9403" s="66"/>
    </row>
    <row r="9404" spans="1:1" x14ac:dyDescent="0.25">
      <c r="A9404" s="66"/>
    </row>
    <row r="9405" spans="1:1" x14ac:dyDescent="0.25">
      <c r="A9405" s="66"/>
    </row>
    <row r="9406" spans="1:1" x14ac:dyDescent="0.25">
      <c r="A9406" s="66"/>
    </row>
    <row r="9407" spans="1:1" x14ac:dyDescent="0.25">
      <c r="A9407" s="66"/>
    </row>
    <row r="9408" spans="1:1" x14ac:dyDescent="0.25">
      <c r="A9408" s="66"/>
    </row>
    <row r="9409" spans="1:1" x14ac:dyDescent="0.25">
      <c r="A9409" s="66"/>
    </row>
    <row r="9410" spans="1:1" x14ac:dyDescent="0.25">
      <c r="A9410" s="66"/>
    </row>
    <row r="9411" spans="1:1" x14ac:dyDescent="0.25">
      <c r="A9411" s="66"/>
    </row>
    <row r="9412" spans="1:1" x14ac:dyDescent="0.25">
      <c r="A9412" s="66"/>
    </row>
    <row r="9413" spans="1:1" x14ac:dyDescent="0.25">
      <c r="A9413" s="66"/>
    </row>
    <row r="9414" spans="1:1" x14ac:dyDescent="0.25">
      <c r="A9414" s="66"/>
    </row>
    <row r="9415" spans="1:1" x14ac:dyDescent="0.25">
      <c r="A9415" s="66"/>
    </row>
    <row r="9416" spans="1:1" x14ac:dyDescent="0.25">
      <c r="A9416" s="66"/>
    </row>
    <row r="9417" spans="1:1" x14ac:dyDescent="0.25">
      <c r="A9417" s="66"/>
    </row>
    <row r="9418" spans="1:1" x14ac:dyDescent="0.25">
      <c r="A9418" s="66"/>
    </row>
    <row r="9419" spans="1:1" x14ac:dyDescent="0.25">
      <c r="A9419" s="66"/>
    </row>
    <row r="9420" spans="1:1" x14ac:dyDescent="0.25">
      <c r="A9420" s="66"/>
    </row>
    <row r="9421" spans="1:1" x14ac:dyDescent="0.25">
      <c r="A9421" s="66"/>
    </row>
    <row r="9422" spans="1:1" x14ac:dyDescent="0.25">
      <c r="A9422" s="66"/>
    </row>
    <row r="9423" spans="1:1" x14ac:dyDescent="0.25">
      <c r="A9423" s="66"/>
    </row>
    <row r="9424" spans="1:1" x14ac:dyDescent="0.25">
      <c r="A9424" s="66"/>
    </row>
    <row r="9425" spans="1:1" x14ac:dyDescent="0.25">
      <c r="A9425" s="66"/>
    </row>
    <row r="9426" spans="1:1" x14ac:dyDescent="0.25">
      <c r="A9426" s="66"/>
    </row>
    <row r="9427" spans="1:1" x14ac:dyDescent="0.25">
      <c r="A9427" s="66"/>
    </row>
    <row r="9428" spans="1:1" x14ac:dyDescent="0.25">
      <c r="A9428" s="66"/>
    </row>
    <row r="9429" spans="1:1" x14ac:dyDescent="0.25">
      <c r="A9429" s="66"/>
    </row>
    <row r="9430" spans="1:1" x14ac:dyDescent="0.25">
      <c r="A9430" s="66"/>
    </row>
    <row r="9431" spans="1:1" x14ac:dyDescent="0.25">
      <c r="A9431" s="66"/>
    </row>
    <row r="9432" spans="1:1" x14ac:dyDescent="0.25">
      <c r="A9432" s="66"/>
    </row>
    <row r="9433" spans="1:1" x14ac:dyDescent="0.25">
      <c r="A9433" s="66"/>
    </row>
    <row r="9434" spans="1:1" x14ac:dyDescent="0.25">
      <c r="A9434" s="66"/>
    </row>
    <row r="9435" spans="1:1" x14ac:dyDescent="0.25">
      <c r="A9435" s="66"/>
    </row>
    <row r="9436" spans="1:1" x14ac:dyDescent="0.25">
      <c r="A9436" s="66"/>
    </row>
    <row r="9437" spans="1:1" x14ac:dyDescent="0.25">
      <c r="A9437" s="66"/>
    </row>
    <row r="9438" spans="1:1" x14ac:dyDescent="0.25">
      <c r="A9438" s="66"/>
    </row>
    <row r="9439" spans="1:1" x14ac:dyDescent="0.25">
      <c r="A9439" s="66"/>
    </row>
    <row r="9440" spans="1:1" x14ac:dyDescent="0.25">
      <c r="A9440" s="66"/>
    </row>
    <row r="9441" spans="1:1" x14ac:dyDescent="0.25">
      <c r="A9441" s="66"/>
    </row>
    <row r="9442" spans="1:1" x14ac:dyDescent="0.25">
      <c r="A9442" s="66"/>
    </row>
    <row r="9443" spans="1:1" x14ac:dyDescent="0.25">
      <c r="A9443" s="66"/>
    </row>
    <row r="9444" spans="1:1" x14ac:dyDescent="0.25">
      <c r="A9444" s="66"/>
    </row>
    <row r="9445" spans="1:1" x14ac:dyDescent="0.25">
      <c r="A9445" s="66"/>
    </row>
    <row r="9446" spans="1:1" x14ac:dyDescent="0.25">
      <c r="A9446" s="66"/>
    </row>
    <row r="9447" spans="1:1" x14ac:dyDescent="0.25">
      <c r="A9447" s="66"/>
    </row>
    <row r="9448" spans="1:1" x14ac:dyDescent="0.25">
      <c r="A9448" s="66"/>
    </row>
    <row r="9449" spans="1:1" x14ac:dyDescent="0.25">
      <c r="A9449" s="66"/>
    </row>
    <row r="9450" spans="1:1" x14ac:dyDescent="0.25">
      <c r="A9450" s="66"/>
    </row>
    <row r="9451" spans="1:1" x14ac:dyDescent="0.25">
      <c r="A9451" s="66"/>
    </row>
    <row r="9452" spans="1:1" x14ac:dyDescent="0.25">
      <c r="A9452" s="66"/>
    </row>
    <row r="9453" spans="1:1" x14ac:dyDescent="0.25">
      <c r="A9453" s="66"/>
    </row>
    <row r="9454" spans="1:1" x14ac:dyDescent="0.25">
      <c r="A9454" s="66"/>
    </row>
    <row r="9455" spans="1:1" x14ac:dyDescent="0.25">
      <c r="A9455" s="66"/>
    </row>
    <row r="9456" spans="1:1" x14ac:dyDescent="0.25">
      <c r="A9456" s="66"/>
    </row>
    <row r="9457" spans="1:1" x14ac:dyDescent="0.25">
      <c r="A9457" s="66"/>
    </row>
    <row r="9458" spans="1:1" x14ac:dyDescent="0.25">
      <c r="A9458" s="66"/>
    </row>
    <row r="9459" spans="1:1" x14ac:dyDescent="0.25">
      <c r="A9459" s="66"/>
    </row>
    <row r="9460" spans="1:1" x14ac:dyDescent="0.25">
      <c r="A9460" s="66"/>
    </row>
    <row r="9461" spans="1:1" x14ac:dyDescent="0.25">
      <c r="A9461" s="66"/>
    </row>
    <row r="9462" spans="1:1" x14ac:dyDescent="0.25">
      <c r="A9462" s="66"/>
    </row>
    <row r="9463" spans="1:1" x14ac:dyDescent="0.25">
      <c r="A9463" s="66"/>
    </row>
    <row r="9464" spans="1:1" x14ac:dyDescent="0.25">
      <c r="A9464" s="66"/>
    </row>
    <row r="9465" spans="1:1" x14ac:dyDescent="0.25">
      <c r="A9465" s="66"/>
    </row>
    <row r="9466" spans="1:1" x14ac:dyDescent="0.25">
      <c r="A9466" s="66"/>
    </row>
    <row r="9467" spans="1:1" x14ac:dyDescent="0.25">
      <c r="A9467" s="66"/>
    </row>
    <row r="9468" spans="1:1" x14ac:dyDescent="0.25">
      <c r="A9468" s="66"/>
    </row>
    <row r="9469" spans="1:1" x14ac:dyDescent="0.25">
      <c r="A9469" s="66"/>
    </row>
    <row r="9470" spans="1:1" x14ac:dyDescent="0.25">
      <c r="A9470" s="66"/>
    </row>
    <row r="9471" spans="1:1" x14ac:dyDescent="0.25">
      <c r="A9471" s="66"/>
    </row>
    <row r="9472" spans="1:1" x14ac:dyDescent="0.25">
      <c r="A9472" s="66"/>
    </row>
    <row r="9473" spans="1:1" x14ac:dyDescent="0.25">
      <c r="A9473" s="66"/>
    </row>
    <row r="9474" spans="1:1" x14ac:dyDescent="0.25">
      <c r="A9474" s="66"/>
    </row>
    <row r="9475" spans="1:1" x14ac:dyDescent="0.25">
      <c r="A9475" s="66"/>
    </row>
    <row r="9476" spans="1:1" x14ac:dyDescent="0.25">
      <c r="A9476" s="66"/>
    </row>
    <row r="9477" spans="1:1" x14ac:dyDescent="0.25">
      <c r="A9477" s="66"/>
    </row>
    <row r="9478" spans="1:1" x14ac:dyDescent="0.25">
      <c r="A9478" s="66"/>
    </row>
    <row r="9479" spans="1:1" x14ac:dyDescent="0.25">
      <c r="A9479" s="66"/>
    </row>
    <row r="9480" spans="1:1" x14ac:dyDescent="0.25">
      <c r="A9480" s="66"/>
    </row>
    <row r="9481" spans="1:1" x14ac:dyDescent="0.25">
      <c r="A9481" s="66"/>
    </row>
    <row r="9482" spans="1:1" x14ac:dyDescent="0.25">
      <c r="A9482" s="66"/>
    </row>
    <row r="9483" spans="1:1" x14ac:dyDescent="0.25">
      <c r="A9483" s="66"/>
    </row>
    <row r="9484" spans="1:1" x14ac:dyDescent="0.25">
      <c r="A9484" s="66"/>
    </row>
    <row r="9485" spans="1:1" x14ac:dyDescent="0.25">
      <c r="A9485" s="66"/>
    </row>
    <row r="9486" spans="1:1" x14ac:dyDescent="0.25">
      <c r="A9486" s="66"/>
    </row>
    <row r="9487" spans="1:1" x14ac:dyDescent="0.25">
      <c r="A9487" s="66"/>
    </row>
    <row r="9488" spans="1:1" x14ac:dyDescent="0.25">
      <c r="A9488" s="66"/>
    </row>
    <row r="9489" spans="1:1" x14ac:dyDescent="0.25">
      <c r="A9489" s="66"/>
    </row>
    <row r="9490" spans="1:1" x14ac:dyDescent="0.25">
      <c r="A9490" s="66"/>
    </row>
    <row r="9491" spans="1:1" x14ac:dyDescent="0.25">
      <c r="A9491" s="66"/>
    </row>
    <row r="9492" spans="1:1" x14ac:dyDescent="0.25">
      <c r="A9492" s="66"/>
    </row>
    <row r="9493" spans="1:1" x14ac:dyDescent="0.25">
      <c r="A9493" s="66"/>
    </row>
    <row r="9494" spans="1:1" x14ac:dyDescent="0.25">
      <c r="A9494" s="66"/>
    </row>
    <row r="9495" spans="1:1" x14ac:dyDescent="0.25">
      <c r="A9495" s="66"/>
    </row>
    <row r="9496" spans="1:1" x14ac:dyDescent="0.25">
      <c r="A9496" s="66"/>
    </row>
    <row r="9497" spans="1:1" x14ac:dyDescent="0.25">
      <c r="A9497" s="66"/>
    </row>
    <row r="9498" spans="1:1" x14ac:dyDescent="0.25">
      <c r="A9498" s="66"/>
    </row>
    <row r="9499" spans="1:1" x14ac:dyDescent="0.25">
      <c r="A9499" s="66"/>
    </row>
    <row r="9500" spans="1:1" x14ac:dyDescent="0.25">
      <c r="A9500" s="66"/>
    </row>
    <row r="9501" spans="1:1" x14ac:dyDescent="0.25">
      <c r="A9501" s="66"/>
    </row>
    <row r="9502" spans="1:1" x14ac:dyDescent="0.25">
      <c r="A9502" s="66"/>
    </row>
    <row r="9503" spans="1:1" x14ac:dyDescent="0.25">
      <c r="A9503" s="66"/>
    </row>
    <row r="9504" spans="1:1" x14ac:dyDescent="0.25">
      <c r="A9504" s="66"/>
    </row>
    <row r="9505" spans="1:1" x14ac:dyDescent="0.25">
      <c r="A9505" s="66"/>
    </row>
    <row r="9506" spans="1:1" x14ac:dyDescent="0.25">
      <c r="A9506" s="66"/>
    </row>
    <row r="9507" spans="1:1" x14ac:dyDescent="0.25">
      <c r="A9507" s="66"/>
    </row>
    <row r="9508" spans="1:1" x14ac:dyDescent="0.25">
      <c r="A9508" s="66"/>
    </row>
    <row r="9509" spans="1:1" x14ac:dyDescent="0.25">
      <c r="A9509" s="66"/>
    </row>
    <row r="9510" spans="1:1" x14ac:dyDescent="0.25">
      <c r="A9510" s="66"/>
    </row>
    <row r="9511" spans="1:1" x14ac:dyDescent="0.25">
      <c r="A9511" s="66"/>
    </row>
    <row r="9512" spans="1:1" x14ac:dyDescent="0.25">
      <c r="A9512" s="66"/>
    </row>
    <row r="9513" spans="1:1" x14ac:dyDescent="0.25">
      <c r="A9513" s="66"/>
    </row>
    <row r="9514" spans="1:1" x14ac:dyDescent="0.25">
      <c r="A9514" s="66"/>
    </row>
    <row r="9515" spans="1:1" x14ac:dyDescent="0.25">
      <c r="A9515" s="66"/>
    </row>
    <row r="9516" spans="1:1" x14ac:dyDescent="0.25">
      <c r="A9516" s="66"/>
    </row>
    <row r="9517" spans="1:1" x14ac:dyDescent="0.25">
      <c r="A9517" s="66"/>
    </row>
    <row r="9518" spans="1:1" x14ac:dyDescent="0.25">
      <c r="A9518" s="66"/>
    </row>
    <row r="9519" spans="1:1" x14ac:dyDescent="0.25">
      <c r="A9519" s="66"/>
    </row>
    <row r="9520" spans="1:1" x14ac:dyDescent="0.25">
      <c r="A9520" s="66"/>
    </row>
    <row r="9521" spans="1:1" x14ac:dyDescent="0.25">
      <c r="A9521" s="66"/>
    </row>
    <row r="9522" spans="1:1" x14ac:dyDescent="0.25">
      <c r="A9522" s="66"/>
    </row>
    <row r="9523" spans="1:1" x14ac:dyDescent="0.25">
      <c r="A9523" s="66"/>
    </row>
    <row r="9524" spans="1:1" x14ac:dyDescent="0.25">
      <c r="A9524" s="66"/>
    </row>
    <row r="9525" spans="1:1" x14ac:dyDescent="0.25">
      <c r="A9525" s="66"/>
    </row>
    <row r="9526" spans="1:1" x14ac:dyDescent="0.25">
      <c r="A9526" s="66"/>
    </row>
    <row r="9527" spans="1:1" x14ac:dyDescent="0.25">
      <c r="A9527" s="66"/>
    </row>
    <row r="9528" spans="1:1" x14ac:dyDescent="0.25">
      <c r="A9528" s="66"/>
    </row>
    <row r="9529" spans="1:1" x14ac:dyDescent="0.25">
      <c r="A9529" s="66"/>
    </row>
    <row r="9530" spans="1:1" x14ac:dyDescent="0.25">
      <c r="A9530" s="66"/>
    </row>
    <row r="9531" spans="1:1" x14ac:dyDescent="0.25">
      <c r="A9531" s="66"/>
    </row>
    <row r="9532" spans="1:1" x14ac:dyDescent="0.25">
      <c r="A9532" s="66"/>
    </row>
    <row r="9533" spans="1:1" x14ac:dyDescent="0.25">
      <c r="A9533" s="66"/>
    </row>
    <row r="9534" spans="1:1" x14ac:dyDescent="0.25">
      <c r="A9534" s="66"/>
    </row>
    <row r="9535" spans="1:1" x14ac:dyDescent="0.25">
      <c r="A9535" s="66"/>
    </row>
    <row r="9536" spans="1:1" x14ac:dyDescent="0.25">
      <c r="A9536" s="66"/>
    </row>
    <row r="9537" spans="1:1" x14ac:dyDescent="0.25">
      <c r="A9537" s="66"/>
    </row>
    <row r="9538" spans="1:1" x14ac:dyDescent="0.25">
      <c r="A9538" s="66"/>
    </row>
    <row r="9539" spans="1:1" x14ac:dyDescent="0.25">
      <c r="A9539" s="66"/>
    </row>
    <row r="9540" spans="1:1" x14ac:dyDescent="0.25">
      <c r="A9540" s="66"/>
    </row>
    <row r="9541" spans="1:1" x14ac:dyDescent="0.25">
      <c r="A9541" s="66"/>
    </row>
    <row r="9542" spans="1:1" x14ac:dyDescent="0.25">
      <c r="A9542" s="66"/>
    </row>
    <row r="9543" spans="1:1" x14ac:dyDescent="0.25">
      <c r="A9543" s="66"/>
    </row>
    <row r="9544" spans="1:1" x14ac:dyDescent="0.25">
      <c r="A9544" s="66"/>
    </row>
    <row r="9545" spans="1:1" x14ac:dyDescent="0.25">
      <c r="A9545" s="66"/>
    </row>
    <row r="9546" spans="1:1" x14ac:dyDescent="0.25">
      <c r="A9546" s="66"/>
    </row>
    <row r="9547" spans="1:1" x14ac:dyDescent="0.25">
      <c r="A9547" s="66"/>
    </row>
    <row r="9548" spans="1:1" x14ac:dyDescent="0.25">
      <c r="A9548" s="66"/>
    </row>
    <row r="9549" spans="1:1" x14ac:dyDescent="0.25">
      <c r="A9549" s="66"/>
    </row>
    <row r="9550" spans="1:1" x14ac:dyDescent="0.25">
      <c r="A9550" s="66"/>
    </row>
    <row r="9551" spans="1:1" x14ac:dyDescent="0.25">
      <c r="A9551" s="66"/>
    </row>
    <row r="9552" spans="1:1" x14ac:dyDescent="0.25">
      <c r="A9552" s="66"/>
    </row>
    <row r="9553" spans="1:1" x14ac:dyDescent="0.25">
      <c r="A9553" s="66"/>
    </row>
    <row r="9554" spans="1:1" x14ac:dyDescent="0.25">
      <c r="A9554" s="66"/>
    </row>
    <row r="9555" spans="1:1" x14ac:dyDescent="0.25">
      <c r="A9555" s="66"/>
    </row>
    <row r="9556" spans="1:1" x14ac:dyDescent="0.25">
      <c r="A9556" s="66"/>
    </row>
    <row r="9557" spans="1:1" x14ac:dyDescent="0.25">
      <c r="A9557" s="66"/>
    </row>
    <row r="9558" spans="1:1" x14ac:dyDescent="0.25">
      <c r="A9558" s="66"/>
    </row>
    <row r="9559" spans="1:1" x14ac:dyDescent="0.25">
      <c r="A9559" s="66"/>
    </row>
    <row r="9560" spans="1:1" x14ac:dyDescent="0.25">
      <c r="A9560" s="66"/>
    </row>
    <row r="9561" spans="1:1" x14ac:dyDescent="0.25">
      <c r="A9561" s="66"/>
    </row>
    <row r="9562" spans="1:1" x14ac:dyDescent="0.25">
      <c r="A9562" s="66"/>
    </row>
    <row r="9563" spans="1:1" x14ac:dyDescent="0.25">
      <c r="A9563" s="66"/>
    </row>
    <row r="9564" spans="1:1" x14ac:dyDescent="0.25">
      <c r="A9564" s="66"/>
    </row>
    <row r="9565" spans="1:1" x14ac:dyDescent="0.25">
      <c r="A9565" s="66"/>
    </row>
    <row r="9566" spans="1:1" x14ac:dyDescent="0.25">
      <c r="A9566" s="66"/>
    </row>
    <row r="9567" spans="1:1" x14ac:dyDescent="0.25">
      <c r="A9567" s="66"/>
    </row>
    <row r="9568" spans="1:1" x14ac:dyDescent="0.25">
      <c r="A9568" s="66"/>
    </row>
    <row r="9569" spans="1:1" x14ac:dyDescent="0.25">
      <c r="A9569" s="66"/>
    </row>
    <row r="9570" spans="1:1" x14ac:dyDescent="0.25">
      <c r="A9570" s="66"/>
    </row>
    <row r="9571" spans="1:1" x14ac:dyDescent="0.25">
      <c r="A9571" s="66"/>
    </row>
    <row r="9572" spans="1:1" x14ac:dyDescent="0.25">
      <c r="A9572" s="66"/>
    </row>
    <row r="9573" spans="1:1" x14ac:dyDescent="0.25">
      <c r="A9573" s="66"/>
    </row>
    <row r="9574" spans="1:1" x14ac:dyDescent="0.25">
      <c r="A9574" s="66"/>
    </row>
    <row r="9575" spans="1:1" x14ac:dyDescent="0.25">
      <c r="A9575" s="66"/>
    </row>
    <row r="9576" spans="1:1" x14ac:dyDescent="0.25">
      <c r="A9576" s="66"/>
    </row>
    <row r="9577" spans="1:1" x14ac:dyDescent="0.25">
      <c r="A9577" s="66"/>
    </row>
    <row r="9578" spans="1:1" x14ac:dyDescent="0.25">
      <c r="A9578" s="66"/>
    </row>
    <row r="9579" spans="1:1" x14ac:dyDescent="0.25">
      <c r="A9579" s="66"/>
    </row>
    <row r="9580" spans="1:1" x14ac:dyDescent="0.25">
      <c r="A9580" s="66"/>
    </row>
    <row r="9581" spans="1:1" x14ac:dyDescent="0.25">
      <c r="A9581" s="66"/>
    </row>
    <row r="9582" spans="1:1" x14ac:dyDescent="0.25">
      <c r="A9582" s="66"/>
    </row>
    <row r="9583" spans="1:1" x14ac:dyDescent="0.25">
      <c r="A9583" s="66"/>
    </row>
    <row r="9584" spans="1:1" x14ac:dyDescent="0.25">
      <c r="A9584" s="66"/>
    </row>
    <row r="9585" spans="1:1" x14ac:dyDescent="0.25">
      <c r="A9585" s="66"/>
    </row>
    <row r="9586" spans="1:1" x14ac:dyDescent="0.25">
      <c r="A9586" s="66"/>
    </row>
    <row r="9587" spans="1:1" x14ac:dyDescent="0.25">
      <c r="A9587" s="66"/>
    </row>
    <row r="9588" spans="1:1" x14ac:dyDescent="0.25">
      <c r="A9588" s="66"/>
    </row>
    <row r="9589" spans="1:1" x14ac:dyDescent="0.25">
      <c r="A9589" s="66"/>
    </row>
    <row r="9590" spans="1:1" x14ac:dyDescent="0.25">
      <c r="A9590" s="66"/>
    </row>
    <row r="9591" spans="1:1" x14ac:dyDescent="0.25">
      <c r="A9591" s="66"/>
    </row>
    <row r="9592" spans="1:1" x14ac:dyDescent="0.25">
      <c r="A9592" s="66"/>
    </row>
    <row r="9593" spans="1:1" x14ac:dyDescent="0.25">
      <c r="A9593" s="66"/>
    </row>
    <row r="9594" spans="1:1" x14ac:dyDescent="0.25">
      <c r="A9594" s="66"/>
    </row>
    <row r="9595" spans="1:1" x14ac:dyDescent="0.25">
      <c r="A9595" s="66"/>
    </row>
    <row r="9596" spans="1:1" x14ac:dyDescent="0.25">
      <c r="A9596" s="66"/>
    </row>
    <row r="9597" spans="1:1" x14ac:dyDescent="0.25">
      <c r="A9597" s="66"/>
    </row>
    <row r="9598" spans="1:1" x14ac:dyDescent="0.25">
      <c r="A9598" s="66"/>
    </row>
    <row r="9599" spans="1:1" x14ac:dyDescent="0.25">
      <c r="A9599" s="66"/>
    </row>
    <row r="9600" spans="1:1" x14ac:dyDescent="0.25">
      <c r="A9600" s="66"/>
    </row>
    <row r="9601" spans="1:1" x14ac:dyDescent="0.25">
      <c r="A9601" s="66"/>
    </row>
    <row r="9602" spans="1:1" x14ac:dyDescent="0.25">
      <c r="A9602" s="66"/>
    </row>
    <row r="9603" spans="1:1" x14ac:dyDescent="0.25">
      <c r="A9603" s="66"/>
    </row>
    <row r="9604" spans="1:1" x14ac:dyDescent="0.25">
      <c r="A9604" s="66"/>
    </row>
    <row r="9605" spans="1:1" x14ac:dyDescent="0.25">
      <c r="A9605" s="66"/>
    </row>
    <row r="9606" spans="1:1" x14ac:dyDescent="0.25">
      <c r="A9606" s="66"/>
    </row>
    <row r="9607" spans="1:1" x14ac:dyDescent="0.25">
      <c r="A9607" s="66"/>
    </row>
    <row r="9608" spans="1:1" x14ac:dyDescent="0.25">
      <c r="A9608" s="66"/>
    </row>
    <row r="9609" spans="1:1" x14ac:dyDescent="0.25">
      <c r="A9609" s="66"/>
    </row>
    <row r="9610" spans="1:1" x14ac:dyDescent="0.25">
      <c r="A9610" s="66"/>
    </row>
    <row r="9611" spans="1:1" x14ac:dyDescent="0.25">
      <c r="A9611" s="66"/>
    </row>
    <row r="9612" spans="1:1" x14ac:dyDescent="0.25">
      <c r="A9612" s="66"/>
    </row>
    <row r="9613" spans="1:1" x14ac:dyDescent="0.25">
      <c r="A9613" s="66"/>
    </row>
    <row r="9614" spans="1:1" x14ac:dyDescent="0.25">
      <c r="A9614" s="66"/>
    </row>
    <row r="9615" spans="1:1" x14ac:dyDescent="0.25">
      <c r="A9615" s="66"/>
    </row>
    <row r="9616" spans="1:1" x14ac:dyDescent="0.25">
      <c r="A9616" s="66"/>
    </row>
    <row r="9617" spans="1:1" x14ac:dyDescent="0.25">
      <c r="A9617" s="66"/>
    </row>
    <row r="9618" spans="1:1" x14ac:dyDescent="0.25">
      <c r="A9618" s="66"/>
    </row>
    <row r="9619" spans="1:1" x14ac:dyDescent="0.25">
      <c r="A9619" s="66"/>
    </row>
    <row r="9620" spans="1:1" x14ac:dyDescent="0.25">
      <c r="A9620" s="66"/>
    </row>
    <row r="9621" spans="1:1" x14ac:dyDescent="0.25">
      <c r="A9621" s="66"/>
    </row>
    <row r="9622" spans="1:1" x14ac:dyDescent="0.25">
      <c r="A9622" s="66"/>
    </row>
    <row r="9623" spans="1:1" x14ac:dyDescent="0.25">
      <c r="A9623" s="66"/>
    </row>
    <row r="9624" spans="1:1" x14ac:dyDescent="0.25">
      <c r="A9624" s="66"/>
    </row>
    <row r="9625" spans="1:1" x14ac:dyDescent="0.25">
      <c r="A9625" s="66"/>
    </row>
    <row r="9626" spans="1:1" x14ac:dyDescent="0.25">
      <c r="A9626" s="66"/>
    </row>
    <row r="9627" spans="1:1" x14ac:dyDescent="0.25">
      <c r="A9627" s="66"/>
    </row>
    <row r="9628" spans="1:1" x14ac:dyDescent="0.25">
      <c r="A9628" s="66"/>
    </row>
    <row r="9629" spans="1:1" x14ac:dyDescent="0.25">
      <c r="A9629" s="66"/>
    </row>
    <row r="9630" spans="1:1" x14ac:dyDescent="0.25">
      <c r="A9630" s="66"/>
    </row>
    <row r="9631" spans="1:1" x14ac:dyDescent="0.25">
      <c r="A9631" s="66"/>
    </row>
    <row r="9632" spans="1:1" x14ac:dyDescent="0.25">
      <c r="A9632" s="66"/>
    </row>
    <row r="9633" spans="1:1" x14ac:dyDescent="0.25">
      <c r="A9633" s="66"/>
    </row>
    <row r="9634" spans="1:1" x14ac:dyDescent="0.25">
      <c r="A9634" s="66"/>
    </row>
    <row r="9635" spans="1:1" x14ac:dyDescent="0.25">
      <c r="A9635" s="66"/>
    </row>
    <row r="9636" spans="1:1" x14ac:dyDescent="0.25">
      <c r="A9636" s="66"/>
    </row>
    <row r="9637" spans="1:1" x14ac:dyDescent="0.25">
      <c r="A9637" s="66"/>
    </row>
    <row r="9638" spans="1:1" x14ac:dyDescent="0.25">
      <c r="A9638" s="66"/>
    </row>
    <row r="9639" spans="1:1" x14ac:dyDescent="0.25">
      <c r="A9639" s="66"/>
    </row>
    <row r="9640" spans="1:1" x14ac:dyDescent="0.25">
      <c r="A9640" s="66"/>
    </row>
    <row r="9641" spans="1:1" x14ac:dyDescent="0.25">
      <c r="A9641" s="66"/>
    </row>
    <row r="9642" spans="1:1" x14ac:dyDescent="0.25">
      <c r="A9642" s="66"/>
    </row>
    <row r="9643" spans="1:1" x14ac:dyDescent="0.25">
      <c r="A9643" s="66"/>
    </row>
    <row r="9644" spans="1:1" x14ac:dyDescent="0.25">
      <c r="A9644" s="66"/>
    </row>
    <row r="9645" spans="1:1" x14ac:dyDescent="0.25">
      <c r="A9645" s="66"/>
    </row>
    <row r="9646" spans="1:1" x14ac:dyDescent="0.25">
      <c r="A9646" s="66"/>
    </row>
    <row r="9647" spans="1:1" x14ac:dyDescent="0.25">
      <c r="A9647" s="66"/>
    </row>
    <row r="9648" spans="1:1" x14ac:dyDescent="0.25">
      <c r="A9648" s="66"/>
    </row>
    <row r="9649" spans="1:1" x14ac:dyDescent="0.25">
      <c r="A9649" s="66"/>
    </row>
    <row r="9650" spans="1:1" x14ac:dyDescent="0.25">
      <c r="A9650" s="66"/>
    </row>
    <row r="9651" spans="1:1" x14ac:dyDescent="0.25">
      <c r="A9651" s="66"/>
    </row>
    <row r="9652" spans="1:1" x14ac:dyDescent="0.25">
      <c r="A9652" s="66"/>
    </row>
    <row r="9653" spans="1:1" x14ac:dyDescent="0.25">
      <c r="A9653" s="66"/>
    </row>
    <row r="9654" spans="1:1" x14ac:dyDescent="0.25">
      <c r="A9654" s="66"/>
    </row>
    <row r="9655" spans="1:1" x14ac:dyDescent="0.25">
      <c r="A9655" s="66"/>
    </row>
    <row r="9656" spans="1:1" x14ac:dyDescent="0.25">
      <c r="A9656" s="66"/>
    </row>
    <row r="9657" spans="1:1" x14ac:dyDescent="0.25">
      <c r="A9657" s="66"/>
    </row>
    <row r="9658" spans="1:1" x14ac:dyDescent="0.25">
      <c r="A9658" s="66"/>
    </row>
    <row r="9659" spans="1:1" x14ac:dyDescent="0.25">
      <c r="A9659" s="66"/>
    </row>
    <row r="9660" spans="1:1" x14ac:dyDescent="0.25">
      <c r="A9660" s="66"/>
    </row>
    <row r="9661" spans="1:1" x14ac:dyDescent="0.25">
      <c r="A9661" s="66"/>
    </row>
    <row r="9662" spans="1:1" x14ac:dyDescent="0.25">
      <c r="A9662" s="66"/>
    </row>
    <row r="9663" spans="1:1" x14ac:dyDescent="0.25">
      <c r="A9663" s="66"/>
    </row>
    <row r="9664" spans="1:1" x14ac:dyDescent="0.25">
      <c r="A9664" s="66"/>
    </row>
    <row r="9665" spans="1:1" x14ac:dyDescent="0.25">
      <c r="A9665" s="66"/>
    </row>
    <row r="9666" spans="1:1" x14ac:dyDescent="0.25">
      <c r="A9666" s="66"/>
    </row>
    <row r="9667" spans="1:1" x14ac:dyDescent="0.25">
      <c r="A9667" s="66"/>
    </row>
    <row r="9668" spans="1:1" x14ac:dyDescent="0.25">
      <c r="A9668" s="66"/>
    </row>
    <row r="9669" spans="1:1" x14ac:dyDescent="0.25">
      <c r="A9669" s="66"/>
    </row>
    <row r="9670" spans="1:1" x14ac:dyDescent="0.25">
      <c r="A9670" s="66"/>
    </row>
    <row r="9671" spans="1:1" x14ac:dyDescent="0.25">
      <c r="A9671" s="66"/>
    </row>
    <row r="9672" spans="1:1" x14ac:dyDescent="0.25">
      <c r="A9672" s="66"/>
    </row>
    <row r="9673" spans="1:1" x14ac:dyDescent="0.25">
      <c r="A9673" s="66"/>
    </row>
    <row r="9674" spans="1:1" x14ac:dyDescent="0.25">
      <c r="A9674" s="66"/>
    </row>
    <row r="9675" spans="1:1" x14ac:dyDescent="0.25">
      <c r="A9675" s="66"/>
    </row>
    <row r="9676" spans="1:1" x14ac:dyDescent="0.25">
      <c r="A9676" s="66"/>
    </row>
    <row r="9677" spans="1:1" x14ac:dyDescent="0.25">
      <c r="A9677" s="66"/>
    </row>
    <row r="9678" spans="1:1" x14ac:dyDescent="0.25">
      <c r="A9678" s="66"/>
    </row>
    <row r="9679" spans="1:1" x14ac:dyDescent="0.25">
      <c r="A9679" s="66"/>
    </row>
    <row r="9680" spans="1:1" x14ac:dyDescent="0.25">
      <c r="A9680" s="66"/>
    </row>
    <row r="9681" spans="1:1" x14ac:dyDescent="0.25">
      <c r="A9681" s="66"/>
    </row>
    <row r="9682" spans="1:1" x14ac:dyDescent="0.25">
      <c r="A9682" s="66"/>
    </row>
    <row r="9683" spans="1:1" x14ac:dyDescent="0.25">
      <c r="A9683" s="66"/>
    </row>
    <row r="9684" spans="1:1" x14ac:dyDescent="0.25">
      <c r="A9684" s="66"/>
    </row>
    <row r="9685" spans="1:1" x14ac:dyDescent="0.25">
      <c r="A9685" s="66"/>
    </row>
    <row r="9686" spans="1:1" x14ac:dyDescent="0.25">
      <c r="A9686" s="66"/>
    </row>
    <row r="9687" spans="1:1" x14ac:dyDescent="0.25">
      <c r="A9687" s="66"/>
    </row>
    <row r="9688" spans="1:1" x14ac:dyDescent="0.25">
      <c r="A9688" s="66"/>
    </row>
    <row r="9689" spans="1:1" x14ac:dyDescent="0.25">
      <c r="A9689" s="66"/>
    </row>
    <row r="9690" spans="1:1" x14ac:dyDescent="0.25">
      <c r="A9690" s="66"/>
    </row>
    <row r="9691" spans="1:1" x14ac:dyDescent="0.25">
      <c r="A9691" s="66"/>
    </row>
    <row r="9692" spans="1:1" x14ac:dyDescent="0.25">
      <c r="A9692" s="66"/>
    </row>
    <row r="9693" spans="1:1" x14ac:dyDescent="0.25">
      <c r="A9693" s="66"/>
    </row>
    <row r="9694" spans="1:1" x14ac:dyDescent="0.25">
      <c r="A9694" s="66"/>
    </row>
    <row r="9695" spans="1:1" x14ac:dyDescent="0.25">
      <c r="A9695" s="66"/>
    </row>
    <row r="9696" spans="1:1" x14ac:dyDescent="0.25">
      <c r="A9696" s="66"/>
    </row>
    <row r="9697" spans="1:1" x14ac:dyDescent="0.25">
      <c r="A9697" s="66"/>
    </row>
    <row r="9698" spans="1:1" x14ac:dyDescent="0.25">
      <c r="A9698" s="66"/>
    </row>
    <row r="9699" spans="1:1" x14ac:dyDescent="0.25">
      <c r="A9699" s="66"/>
    </row>
    <row r="9700" spans="1:1" x14ac:dyDescent="0.25">
      <c r="A9700" s="66"/>
    </row>
    <row r="9701" spans="1:1" x14ac:dyDescent="0.25">
      <c r="A9701" s="66"/>
    </row>
    <row r="9702" spans="1:1" x14ac:dyDescent="0.25">
      <c r="A9702" s="66"/>
    </row>
    <row r="9703" spans="1:1" x14ac:dyDescent="0.25">
      <c r="A9703" s="66"/>
    </row>
    <row r="9704" spans="1:1" x14ac:dyDescent="0.25">
      <c r="A9704" s="66"/>
    </row>
    <row r="9705" spans="1:1" x14ac:dyDescent="0.25">
      <c r="A9705" s="66"/>
    </row>
    <row r="9706" spans="1:1" x14ac:dyDescent="0.25">
      <c r="A9706" s="66"/>
    </row>
    <row r="9707" spans="1:1" x14ac:dyDescent="0.25">
      <c r="A9707" s="66"/>
    </row>
    <row r="9708" spans="1:1" x14ac:dyDescent="0.25">
      <c r="A9708" s="66"/>
    </row>
    <row r="9709" spans="1:1" x14ac:dyDescent="0.25">
      <c r="A9709" s="66"/>
    </row>
    <row r="9710" spans="1:1" x14ac:dyDescent="0.25">
      <c r="A9710" s="66"/>
    </row>
    <row r="9711" spans="1:1" x14ac:dyDescent="0.25">
      <c r="A9711" s="66"/>
    </row>
    <row r="9712" spans="1:1" x14ac:dyDescent="0.25">
      <c r="A9712" s="66"/>
    </row>
    <row r="9713" spans="1:1" x14ac:dyDescent="0.25">
      <c r="A9713" s="66"/>
    </row>
    <row r="9714" spans="1:1" x14ac:dyDescent="0.25">
      <c r="A9714" s="66"/>
    </row>
    <row r="9715" spans="1:1" x14ac:dyDescent="0.25">
      <c r="A9715" s="66"/>
    </row>
    <row r="9716" spans="1:1" x14ac:dyDescent="0.25">
      <c r="A9716" s="66"/>
    </row>
    <row r="9717" spans="1:1" x14ac:dyDescent="0.25">
      <c r="A9717" s="66"/>
    </row>
    <row r="9718" spans="1:1" x14ac:dyDescent="0.25">
      <c r="A9718" s="66"/>
    </row>
    <row r="9719" spans="1:1" x14ac:dyDescent="0.25">
      <c r="A9719" s="66"/>
    </row>
    <row r="9720" spans="1:1" x14ac:dyDescent="0.25">
      <c r="A9720" s="66"/>
    </row>
    <row r="9721" spans="1:1" x14ac:dyDescent="0.25">
      <c r="A9721" s="66"/>
    </row>
    <row r="9722" spans="1:1" x14ac:dyDescent="0.25">
      <c r="A9722" s="66"/>
    </row>
    <row r="9723" spans="1:1" x14ac:dyDescent="0.25">
      <c r="A9723" s="66"/>
    </row>
    <row r="9724" spans="1:1" x14ac:dyDescent="0.25">
      <c r="A9724" s="66"/>
    </row>
    <row r="9725" spans="1:1" x14ac:dyDescent="0.25">
      <c r="A9725" s="66"/>
    </row>
    <row r="9726" spans="1:1" x14ac:dyDescent="0.25">
      <c r="A9726" s="66"/>
    </row>
    <row r="9727" spans="1:1" x14ac:dyDescent="0.25">
      <c r="A9727" s="66"/>
    </row>
    <row r="9728" spans="1:1" x14ac:dyDescent="0.25">
      <c r="A9728" s="66"/>
    </row>
    <row r="9729" spans="1:1" x14ac:dyDescent="0.25">
      <c r="A9729" s="66"/>
    </row>
    <row r="9730" spans="1:1" x14ac:dyDescent="0.25">
      <c r="A9730" s="66"/>
    </row>
    <row r="9731" spans="1:1" x14ac:dyDescent="0.25">
      <c r="A9731" s="66"/>
    </row>
    <row r="9732" spans="1:1" x14ac:dyDescent="0.25">
      <c r="A9732" s="66"/>
    </row>
    <row r="9733" spans="1:1" x14ac:dyDescent="0.25">
      <c r="A9733" s="66"/>
    </row>
    <row r="9734" spans="1:1" x14ac:dyDescent="0.25">
      <c r="A9734" s="66"/>
    </row>
    <row r="9735" spans="1:1" x14ac:dyDescent="0.25">
      <c r="A9735" s="66"/>
    </row>
    <row r="9736" spans="1:1" x14ac:dyDescent="0.25">
      <c r="A9736" s="66"/>
    </row>
    <row r="9737" spans="1:1" x14ac:dyDescent="0.25">
      <c r="A9737" s="66"/>
    </row>
    <row r="9738" spans="1:1" x14ac:dyDescent="0.25">
      <c r="A9738" s="66"/>
    </row>
    <row r="9739" spans="1:1" x14ac:dyDescent="0.25">
      <c r="A9739" s="66"/>
    </row>
    <row r="9740" spans="1:1" x14ac:dyDescent="0.25">
      <c r="A9740" s="66"/>
    </row>
    <row r="9741" spans="1:1" x14ac:dyDescent="0.25">
      <c r="A9741" s="66"/>
    </row>
    <row r="9742" spans="1:1" x14ac:dyDescent="0.25">
      <c r="A9742" s="66"/>
    </row>
    <row r="9743" spans="1:1" x14ac:dyDescent="0.25">
      <c r="A9743" s="66"/>
    </row>
    <row r="9744" spans="1:1" x14ac:dyDescent="0.25">
      <c r="A9744" s="66"/>
    </row>
    <row r="9745" spans="1:1" x14ac:dyDescent="0.25">
      <c r="A9745" s="66"/>
    </row>
    <row r="9746" spans="1:1" x14ac:dyDescent="0.25">
      <c r="A9746" s="66"/>
    </row>
    <row r="9747" spans="1:1" x14ac:dyDescent="0.25">
      <c r="A9747" s="66"/>
    </row>
    <row r="9748" spans="1:1" x14ac:dyDescent="0.25">
      <c r="A9748" s="66"/>
    </row>
    <row r="9749" spans="1:1" x14ac:dyDescent="0.25">
      <c r="A9749" s="66"/>
    </row>
    <row r="9750" spans="1:1" x14ac:dyDescent="0.25">
      <c r="A9750" s="66"/>
    </row>
    <row r="9751" spans="1:1" x14ac:dyDescent="0.25">
      <c r="A9751" s="66"/>
    </row>
    <row r="9752" spans="1:1" x14ac:dyDescent="0.25">
      <c r="A9752" s="66"/>
    </row>
    <row r="9753" spans="1:1" x14ac:dyDescent="0.25">
      <c r="A9753" s="66"/>
    </row>
    <row r="9754" spans="1:1" x14ac:dyDescent="0.25">
      <c r="A9754" s="66"/>
    </row>
    <row r="9755" spans="1:1" x14ac:dyDescent="0.25">
      <c r="A9755" s="66"/>
    </row>
    <row r="9756" spans="1:1" x14ac:dyDescent="0.25">
      <c r="A9756" s="66"/>
    </row>
    <row r="9757" spans="1:1" x14ac:dyDescent="0.25">
      <c r="A9757" s="66"/>
    </row>
    <row r="9758" spans="1:1" x14ac:dyDescent="0.25">
      <c r="A9758" s="66"/>
    </row>
    <row r="9759" spans="1:1" x14ac:dyDescent="0.25">
      <c r="A9759" s="66"/>
    </row>
    <row r="9760" spans="1:1" x14ac:dyDescent="0.25">
      <c r="A9760" s="66"/>
    </row>
    <row r="9761" spans="1:1" x14ac:dyDescent="0.25">
      <c r="A9761" s="66"/>
    </row>
    <row r="9762" spans="1:1" x14ac:dyDescent="0.25">
      <c r="A9762" s="66"/>
    </row>
    <row r="9763" spans="1:1" x14ac:dyDescent="0.25">
      <c r="A9763" s="66"/>
    </row>
    <row r="9764" spans="1:1" x14ac:dyDescent="0.25">
      <c r="A9764" s="66"/>
    </row>
    <row r="9765" spans="1:1" x14ac:dyDescent="0.25">
      <c r="A9765" s="66"/>
    </row>
    <row r="9766" spans="1:1" x14ac:dyDescent="0.25">
      <c r="A9766" s="66"/>
    </row>
    <row r="9767" spans="1:1" x14ac:dyDescent="0.25">
      <c r="A9767" s="66"/>
    </row>
    <row r="9768" spans="1:1" x14ac:dyDescent="0.25">
      <c r="A9768" s="66"/>
    </row>
    <row r="9769" spans="1:1" x14ac:dyDescent="0.25">
      <c r="A9769" s="66"/>
    </row>
    <row r="9770" spans="1:1" x14ac:dyDescent="0.25">
      <c r="A9770" s="66"/>
    </row>
    <row r="9771" spans="1:1" x14ac:dyDescent="0.25">
      <c r="A9771" s="66"/>
    </row>
    <row r="9772" spans="1:1" x14ac:dyDescent="0.25">
      <c r="A9772" s="66"/>
    </row>
    <row r="9773" spans="1:1" x14ac:dyDescent="0.25">
      <c r="A9773" s="66"/>
    </row>
    <row r="9774" spans="1:1" x14ac:dyDescent="0.25">
      <c r="A9774" s="66"/>
    </row>
    <row r="9775" spans="1:1" x14ac:dyDescent="0.25">
      <c r="A9775" s="66"/>
    </row>
    <row r="9776" spans="1:1" x14ac:dyDescent="0.25">
      <c r="A9776" s="66"/>
    </row>
    <row r="9777" spans="1:1" x14ac:dyDescent="0.25">
      <c r="A9777" s="66"/>
    </row>
    <row r="9778" spans="1:1" x14ac:dyDescent="0.25">
      <c r="A9778" s="66"/>
    </row>
    <row r="9779" spans="1:1" x14ac:dyDescent="0.25">
      <c r="A9779" s="66"/>
    </row>
    <row r="9780" spans="1:1" x14ac:dyDescent="0.25">
      <c r="A9780" s="66"/>
    </row>
    <row r="9781" spans="1:1" x14ac:dyDescent="0.25">
      <c r="A9781" s="66"/>
    </row>
    <row r="9782" spans="1:1" x14ac:dyDescent="0.25">
      <c r="A9782" s="66"/>
    </row>
    <row r="9783" spans="1:1" x14ac:dyDescent="0.25">
      <c r="A9783" s="66"/>
    </row>
    <row r="9784" spans="1:1" x14ac:dyDescent="0.25">
      <c r="A9784" s="66"/>
    </row>
    <row r="9785" spans="1:1" x14ac:dyDescent="0.25">
      <c r="A9785" s="66"/>
    </row>
    <row r="9786" spans="1:1" x14ac:dyDescent="0.25">
      <c r="A9786" s="66"/>
    </row>
    <row r="9787" spans="1:1" x14ac:dyDescent="0.25">
      <c r="A9787" s="66"/>
    </row>
    <row r="9788" spans="1:1" x14ac:dyDescent="0.25">
      <c r="A9788" s="66"/>
    </row>
    <row r="9789" spans="1:1" x14ac:dyDescent="0.25">
      <c r="A9789" s="66"/>
    </row>
    <row r="9790" spans="1:1" x14ac:dyDescent="0.25">
      <c r="A9790" s="66"/>
    </row>
    <row r="9791" spans="1:1" x14ac:dyDescent="0.25">
      <c r="A9791" s="66"/>
    </row>
    <row r="9792" spans="1:1" x14ac:dyDescent="0.25">
      <c r="A9792" s="66"/>
    </row>
    <row r="9793" spans="1:1" x14ac:dyDescent="0.25">
      <c r="A9793" s="66"/>
    </row>
    <row r="9794" spans="1:1" x14ac:dyDescent="0.25">
      <c r="A9794" s="66"/>
    </row>
    <row r="9795" spans="1:1" x14ac:dyDescent="0.25">
      <c r="A9795" s="66"/>
    </row>
    <row r="9796" spans="1:1" x14ac:dyDescent="0.25">
      <c r="A9796" s="66"/>
    </row>
    <row r="9797" spans="1:1" x14ac:dyDescent="0.25">
      <c r="A9797" s="66"/>
    </row>
    <row r="9798" spans="1:1" x14ac:dyDescent="0.25">
      <c r="A9798" s="66"/>
    </row>
    <row r="9799" spans="1:1" x14ac:dyDescent="0.25">
      <c r="A9799" s="66"/>
    </row>
    <row r="9800" spans="1:1" x14ac:dyDescent="0.25">
      <c r="A9800" s="66"/>
    </row>
    <row r="9801" spans="1:1" x14ac:dyDescent="0.25">
      <c r="A9801" s="66"/>
    </row>
    <row r="9802" spans="1:1" x14ac:dyDescent="0.25">
      <c r="A9802" s="66"/>
    </row>
    <row r="9803" spans="1:1" x14ac:dyDescent="0.25">
      <c r="A9803" s="66"/>
    </row>
    <row r="9804" spans="1:1" x14ac:dyDescent="0.25">
      <c r="A9804" s="66"/>
    </row>
    <row r="9805" spans="1:1" x14ac:dyDescent="0.25">
      <c r="A9805" s="66"/>
    </row>
    <row r="9806" spans="1:1" x14ac:dyDescent="0.25">
      <c r="A9806" s="66"/>
    </row>
    <row r="9807" spans="1:1" x14ac:dyDescent="0.25">
      <c r="A9807" s="66"/>
    </row>
    <row r="9808" spans="1:1" x14ac:dyDescent="0.25">
      <c r="A9808" s="66"/>
    </row>
    <row r="9809" spans="1:1" x14ac:dyDescent="0.25">
      <c r="A9809" s="66"/>
    </row>
    <row r="9810" spans="1:1" x14ac:dyDescent="0.25">
      <c r="A9810" s="66"/>
    </row>
    <row r="9811" spans="1:1" x14ac:dyDescent="0.25">
      <c r="A9811" s="66"/>
    </row>
    <row r="9812" spans="1:1" x14ac:dyDescent="0.25">
      <c r="A9812" s="66"/>
    </row>
    <row r="9813" spans="1:1" x14ac:dyDescent="0.25">
      <c r="A9813" s="66"/>
    </row>
    <row r="9814" spans="1:1" x14ac:dyDescent="0.25">
      <c r="A9814" s="66"/>
    </row>
    <row r="9815" spans="1:1" x14ac:dyDescent="0.25">
      <c r="A9815" s="66"/>
    </row>
    <row r="9816" spans="1:1" x14ac:dyDescent="0.25">
      <c r="A9816" s="66"/>
    </row>
    <row r="9817" spans="1:1" x14ac:dyDescent="0.25">
      <c r="A9817" s="66"/>
    </row>
    <row r="9818" spans="1:1" x14ac:dyDescent="0.25">
      <c r="A9818" s="66"/>
    </row>
    <row r="9819" spans="1:1" x14ac:dyDescent="0.25">
      <c r="A9819" s="66"/>
    </row>
    <row r="9820" spans="1:1" x14ac:dyDescent="0.25">
      <c r="A9820" s="66"/>
    </row>
    <row r="9821" spans="1:1" x14ac:dyDescent="0.25">
      <c r="A9821" s="66"/>
    </row>
    <row r="9822" spans="1:1" x14ac:dyDescent="0.25">
      <c r="A9822" s="66"/>
    </row>
    <row r="9823" spans="1:1" x14ac:dyDescent="0.25">
      <c r="A9823" s="66"/>
    </row>
    <row r="9824" spans="1:1" x14ac:dyDescent="0.25">
      <c r="A9824" s="66"/>
    </row>
    <row r="9825" spans="1:1" x14ac:dyDescent="0.25">
      <c r="A9825" s="66"/>
    </row>
    <row r="9826" spans="1:1" x14ac:dyDescent="0.25">
      <c r="A9826" s="66"/>
    </row>
    <row r="9827" spans="1:1" x14ac:dyDescent="0.25">
      <c r="A9827" s="66"/>
    </row>
    <row r="9828" spans="1:1" x14ac:dyDescent="0.25">
      <c r="A9828" s="66"/>
    </row>
    <row r="9829" spans="1:1" x14ac:dyDescent="0.25">
      <c r="A9829" s="66"/>
    </row>
    <row r="9830" spans="1:1" x14ac:dyDescent="0.25">
      <c r="A9830" s="66"/>
    </row>
    <row r="9831" spans="1:1" x14ac:dyDescent="0.25">
      <c r="A9831" s="66"/>
    </row>
    <row r="9832" spans="1:1" x14ac:dyDescent="0.25">
      <c r="A9832" s="66"/>
    </row>
    <row r="9833" spans="1:1" x14ac:dyDescent="0.25">
      <c r="A9833" s="66"/>
    </row>
    <row r="9834" spans="1:1" x14ac:dyDescent="0.25">
      <c r="A9834" s="66"/>
    </row>
    <row r="9835" spans="1:1" x14ac:dyDescent="0.25">
      <c r="A9835" s="66"/>
    </row>
    <row r="9836" spans="1:1" x14ac:dyDescent="0.25">
      <c r="A9836" s="66"/>
    </row>
    <row r="9837" spans="1:1" x14ac:dyDescent="0.25">
      <c r="A9837" s="66"/>
    </row>
    <row r="9838" spans="1:1" x14ac:dyDescent="0.25">
      <c r="A9838" s="66"/>
    </row>
    <row r="9839" spans="1:1" x14ac:dyDescent="0.25">
      <c r="A9839" s="66"/>
    </row>
    <row r="9840" spans="1:1" x14ac:dyDescent="0.25">
      <c r="A9840" s="66"/>
    </row>
    <row r="9841" spans="1:1" x14ac:dyDescent="0.25">
      <c r="A9841" s="66"/>
    </row>
    <row r="9842" spans="1:1" x14ac:dyDescent="0.25">
      <c r="A9842" s="66"/>
    </row>
    <row r="9843" spans="1:1" x14ac:dyDescent="0.25">
      <c r="A9843" s="66"/>
    </row>
    <row r="9844" spans="1:1" x14ac:dyDescent="0.25">
      <c r="A9844" s="66"/>
    </row>
    <row r="9845" spans="1:1" x14ac:dyDescent="0.25">
      <c r="A9845" s="66"/>
    </row>
    <row r="9846" spans="1:1" x14ac:dyDescent="0.25">
      <c r="A9846" s="66"/>
    </row>
    <row r="9847" spans="1:1" x14ac:dyDescent="0.25">
      <c r="A9847" s="66"/>
    </row>
    <row r="9848" spans="1:1" x14ac:dyDescent="0.25">
      <c r="A9848" s="66"/>
    </row>
    <row r="9849" spans="1:1" x14ac:dyDescent="0.25">
      <c r="A9849" s="66"/>
    </row>
    <row r="9850" spans="1:1" x14ac:dyDescent="0.25">
      <c r="A9850" s="66"/>
    </row>
    <row r="9851" spans="1:1" x14ac:dyDescent="0.25">
      <c r="A9851" s="66"/>
    </row>
    <row r="9852" spans="1:1" x14ac:dyDescent="0.25">
      <c r="A9852" s="66"/>
    </row>
    <row r="9853" spans="1:1" x14ac:dyDescent="0.25">
      <c r="A9853" s="66"/>
    </row>
    <row r="9854" spans="1:1" x14ac:dyDescent="0.25">
      <c r="A9854" s="66"/>
    </row>
    <row r="9855" spans="1:1" x14ac:dyDescent="0.25">
      <c r="A9855" s="66"/>
    </row>
    <row r="9856" spans="1:1" x14ac:dyDescent="0.25">
      <c r="A9856" s="66"/>
    </row>
    <row r="9857" spans="1:1" x14ac:dyDescent="0.25">
      <c r="A9857" s="66"/>
    </row>
    <row r="9858" spans="1:1" x14ac:dyDescent="0.25">
      <c r="A9858" s="66"/>
    </row>
    <row r="9859" spans="1:1" x14ac:dyDescent="0.25">
      <c r="A9859" s="66"/>
    </row>
    <row r="9860" spans="1:1" x14ac:dyDescent="0.25">
      <c r="A9860" s="66"/>
    </row>
    <row r="9861" spans="1:1" x14ac:dyDescent="0.25">
      <c r="A9861" s="66"/>
    </row>
    <row r="9862" spans="1:1" x14ac:dyDescent="0.25">
      <c r="A9862" s="66"/>
    </row>
    <row r="9863" spans="1:1" x14ac:dyDescent="0.25">
      <c r="A9863" s="66"/>
    </row>
    <row r="9864" spans="1:1" x14ac:dyDescent="0.25">
      <c r="A9864" s="66"/>
    </row>
    <row r="9865" spans="1:1" x14ac:dyDescent="0.25">
      <c r="A9865" s="66"/>
    </row>
    <row r="9866" spans="1:1" x14ac:dyDescent="0.25">
      <c r="A9866" s="66"/>
    </row>
    <row r="9867" spans="1:1" x14ac:dyDescent="0.25">
      <c r="A9867" s="66"/>
    </row>
    <row r="9868" spans="1:1" x14ac:dyDescent="0.25">
      <c r="A9868" s="66"/>
    </row>
    <row r="9869" spans="1:1" x14ac:dyDescent="0.25">
      <c r="A9869" s="66"/>
    </row>
    <row r="9870" spans="1:1" x14ac:dyDescent="0.25">
      <c r="A9870" s="66"/>
    </row>
    <row r="9871" spans="1:1" x14ac:dyDescent="0.25">
      <c r="A9871" s="66"/>
    </row>
    <row r="9872" spans="1:1" x14ac:dyDescent="0.25">
      <c r="A9872" s="66"/>
    </row>
    <row r="9873" spans="1:1" x14ac:dyDescent="0.25">
      <c r="A9873" s="66"/>
    </row>
    <row r="9874" spans="1:1" x14ac:dyDescent="0.25">
      <c r="A9874" s="66"/>
    </row>
    <row r="9875" spans="1:1" x14ac:dyDescent="0.25">
      <c r="A9875" s="66"/>
    </row>
    <row r="9876" spans="1:1" x14ac:dyDescent="0.25">
      <c r="A9876" s="66"/>
    </row>
    <row r="9877" spans="1:1" x14ac:dyDescent="0.25">
      <c r="A9877" s="66"/>
    </row>
    <row r="9878" spans="1:1" x14ac:dyDescent="0.25">
      <c r="A9878" s="66"/>
    </row>
    <row r="9879" spans="1:1" x14ac:dyDescent="0.25">
      <c r="A9879" s="66"/>
    </row>
    <row r="9880" spans="1:1" x14ac:dyDescent="0.25">
      <c r="A9880" s="66"/>
    </row>
    <row r="9881" spans="1:1" x14ac:dyDescent="0.25">
      <c r="A9881" s="66"/>
    </row>
    <row r="9882" spans="1:1" x14ac:dyDescent="0.25">
      <c r="A9882" s="66"/>
    </row>
    <row r="9883" spans="1:1" x14ac:dyDescent="0.25">
      <c r="A9883" s="66"/>
    </row>
    <row r="9884" spans="1:1" x14ac:dyDescent="0.25">
      <c r="A9884" s="66"/>
    </row>
    <row r="9885" spans="1:1" x14ac:dyDescent="0.25">
      <c r="A9885" s="66"/>
    </row>
    <row r="9886" spans="1:1" x14ac:dyDescent="0.25">
      <c r="A9886" s="66"/>
    </row>
    <row r="9887" spans="1:1" x14ac:dyDescent="0.25">
      <c r="A9887" s="66"/>
    </row>
    <row r="9888" spans="1:1" x14ac:dyDescent="0.25">
      <c r="A9888" s="66"/>
    </row>
    <row r="9889" spans="1:1" x14ac:dyDescent="0.25">
      <c r="A9889" s="66"/>
    </row>
    <row r="9890" spans="1:1" x14ac:dyDescent="0.25">
      <c r="A9890" s="66"/>
    </row>
    <row r="9891" spans="1:1" x14ac:dyDescent="0.25">
      <c r="A9891" s="66"/>
    </row>
    <row r="9892" spans="1:1" x14ac:dyDescent="0.25">
      <c r="A9892" s="66"/>
    </row>
    <row r="9893" spans="1:1" x14ac:dyDescent="0.25">
      <c r="A9893" s="66"/>
    </row>
    <row r="9894" spans="1:1" x14ac:dyDescent="0.25">
      <c r="A9894" s="66"/>
    </row>
    <row r="9895" spans="1:1" x14ac:dyDescent="0.25">
      <c r="A9895" s="66"/>
    </row>
    <row r="9896" spans="1:1" x14ac:dyDescent="0.25">
      <c r="A9896" s="66"/>
    </row>
    <row r="9897" spans="1:1" x14ac:dyDescent="0.25">
      <c r="A9897" s="66"/>
    </row>
    <row r="9898" spans="1:1" x14ac:dyDescent="0.25">
      <c r="A9898" s="66"/>
    </row>
    <row r="9899" spans="1:1" x14ac:dyDescent="0.25">
      <c r="A9899" s="66"/>
    </row>
    <row r="9900" spans="1:1" x14ac:dyDescent="0.25">
      <c r="A9900" s="66"/>
    </row>
    <row r="9901" spans="1:1" x14ac:dyDescent="0.25">
      <c r="A9901" s="66"/>
    </row>
    <row r="9902" spans="1:1" x14ac:dyDescent="0.25">
      <c r="A9902" s="66"/>
    </row>
    <row r="9903" spans="1:1" x14ac:dyDescent="0.25">
      <c r="A9903" s="66"/>
    </row>
    <row r="9904" spans="1:1" x14ac:dyDescent="0.25">
      <c r="A9904" s="66"/>
    </row>
    <row r="9905" spans="1:1" x14ac:dyDescent="0.25">
      <c r="A9905" s="66"/>
    </row>
    <row r="9906" spans="1:1" x14ac:dyDescent="0.25">
      <c r="A9906" s="66"/>
    </row>
    <row r="9907" spans="1:1" x14ac:dyDescent="0.25">
      <c r="A9907" s="66"/>
    </row>
    <row r="9908" spans="1:1" x14ac:dyDescent="0.25">
      <c r="A9908" s="66"/>
    </row>
    <row r="9909" spans="1:1" x14ac:dyDescent="0.25">
      <c r="A9909" s="66"/>
    </row>
    <row r="9910" spans="1:1" x14ac:dyDescent="0.25">
      <c r="A9910" s="66"/>
    </row>
    <row r="9911" spans="1:1" x14ac:dyDescent="0.25">
      <c r="A9911" s="66"/>
    </row>
    <row r="9912" spans="1:1" x14ac:dyDescent="0.25">
      <c r="A9912" s="66"/>
    </row>
    <row r="9913" spans="1:1" x14ac:dyDescent="0.25">
      <c r="A9913" s="66"/>
    </row>
    <row r="9914" spans="1:1" x14ac:dyDescent="0.25">
      <c r="A9914" s="66"/>
    </row>
    <row r="9915" spans="1:1" x14ac:dyDescent="0.25">
      <c r="A9915" s="66"/>
    </row>
    <row r="9916" spans="1:1" x14ac:dyDescent="0.25">
      <c r="A9916" s="66"/>
    </row>
    <row r="9917" spans="1:1" x14ac:dyDescent="0.25">
      <c r="A9917" s="66"/>
    </row>
    <row r="9918" spans="1:1" x14ac:dyDescent="0.25">
      <c r="A9918" s="66"/>
    </row>
    <row r="9919" spans="1:1" x14ac:dyDescent="0.25">
      <c r="A9919" s="66"/>
    </row>
    <row r="9920" spans="1:1" x14ac:dyDescent="0.25">
      <c r="A9920" s="66"/>
    </row>
    <row r="9921" spans="1:1" x14ac:dyDescent="0.25">
      <c r="A9921" s="66"/>
    </row>
    <row r="9922" spans="1:1" x14ac:dyDescent="0.25">
      <c r="A9922" s="66"/>
    </row>
    <row r="9923" spans="1:1" x14ac:dyDescent="0.25">
      <c r="A9923" s="66"/>
    </row>
    <row r="9924" spans="1:1" x14ac:dyDescent="0.25">
      <c r="A9924" s="66"/>
    </row>
    <row r="9925" spans="1:1" x14ac:dyDescent="0.25">
      <c r="A9925" s="66"/>
    </row>
    <row r="9926" spans="1:1" x14ac:dyDescent="0.25">
      <c r="A9926" s="66"/>
    </row>
    <row r="9927" spans="1:1" x14ac:dyDescent="0.25">
      <c r="A9927" s="66"/>
    </row>
    <row r="9928" spans="1:1" x14ac:dyDescent="0.25">
      <c r="A9928" s="66"/>
    </row>
    <row r="9929" spans="1:1" x14ac:dyDescent="0.25">
      <c r="A9929" s="66"/>
    </row>
    <row r="9930" spans="1:1" x14ac:dyDescent="0.25">
      <c r="A9930" s="66"/>
    </row>
    <row r="9931" spans="1:1" x14ac:dyDescent="0.25">
      <c r="A9931" s="66"/>
    </row>
    <row r="9932" spans="1:1" x14ac:dyDescent="0.25">
      <c r="A9932" s="66"/>
    </row>
    <row r="9933" spans="1:1" x14ac:dyDescent="0.25">
      <c r="A9933" s="66"/>
    </row>
    <row r="9934" spans="1:1" x14ac:dyDescent="0.25">
      <c r="A9934" s="66"/>
    </row>
    <row r="9935" spans="1:1" x14ac:dyDescent="0.25">
      <c r="A9935" s="66"/>
    </row>
    <row r="9936" spans="1:1" x14ac:dyDescent="0.25">
      <c r="A9936" s="66"/>
    </row>
    <row r="9937" spans="1:1" x14ac:dyDescent="0.25">
      <c r="A9937" s="66"/>
    </row>
    <row r="9938" spans="1:1" x14ac:dyDescent="0.25">
      <c r="A9938" s="66"/>
    </row>
    <row r="9939" spans="1:1" x14ac:dyDescent="0.25">
      <c r="A9939" s="66"/>
    </row>
    <row r="9940" spans="1:1" x14ac:dyDescent="0.25">
      <c r="A9940" s="66"/>
    </row>
    <row r="9941" spans="1:1" x14ac:dyDescent="0.25">
      <c r="A9941" s="66"/>
    </row>
    <row r="9942" spans="1:1" x14ac:dyDescent="0.25">
      <c r="A9942" s="66"/>
    </row>
    <row r="9943" spans="1:1" x14ac:dyDescent="0.25">
      <c r="A9943" s="66"/>
    </row>
    <row r="9944" spans="1:1" x14ac:dyDescent="0.25">
      <c r="A9944" s="66"/>
    </row>
    <row r="9945" spans="1:1" x14ac:dyDescent="0.25">
      <c r="A9945" s="66"/>
    </row>
    <row r="9946" spans="1:1" x14ac:dyDescent="0.25">
      <c r="A9946" s="66"/>
    </row>
    <row r="9947" spans="1:1" x14ac:dyDescent="0.25">
      <c r="A9947" s="66"/>
    </row>
    <row r="9948" spans="1:1" x14ac:dyDescent="0.25">
      <c r="A9948" s="66"/>
    </row>
    <row r="9949" spans="1:1" x14ac:dyDescent="0.25">
      <c r="A9949" s="66"/>
    </row>
    <row r="9950" spans="1:1" x14ac:dyDescent="0.25">
      <c r="A9950" s="66"/>
    </row>
    <row r="9951" spans="1:1" x14ac:dyDescent="0.25">
      <c r="A9951" s="66"/>
    </row>
    <row r="9952" spans="1:1" x14ac:dyDescent="0.25">
      <c r="A9952" s="66"/>
    </row>
    <row r="9953" spans="1:1" x14ac:dyDescent="0.25">
      <c r="A9953" s="66"/>
    </row>
    <row r="9954" spans="1:1" x14ac:dyDescent="0.25">
      <c r="A9954" s="66"/>
    </row>
    <row r="9955" spans="1:1" x14ac:dyDescent="0.25">
      <c r="A9955" s="66"/>
    </row>
    <row r="9956" spans="1:1" x14ac:dyDescent="0.25">
      <c r="A9956" s="66"/>
    </row>
    <row r="9957" spans="1:1" x14ac:dyDescent="0.25">
      <c r="A9957" s="66"/>
    </row>
    <row r="9958" spans="1:1" x14ac:dyDescent="0.25">
      <c r="A9958" s="66"/>
    </row>
    <row r="9959" spans="1:1" x14ac:dyDescent="0.25">
      <c r="A9959" s="66"/>
    </row>
    <row r="9960" spans="1:1" x14ac:dyDescent="0.25">
      <c r="A9960" s="66"/>
    </row>
    <row r="9961" spans="1:1" x14ac:dyDescent="0.25">
      <c r="A9961" s="66"/>
    </row>
    <row r="9962" spans="1:1" x14ac:dyDescent="0.25">
      <c r="A9962" s="66"/>
    </row>
    <row r="9963" spans="1:1" x14ac:dyDescent="0.25">
      <c r="A9963" s="66"/>
    </row>
    <row r="9964" spans="1:1" x14ac:dyDescent="0.25">
      <c r="A9964" s="66"/>
    </row>
    <row r="9965" spans="1:1" x14ac:dyDescent="0.25">
      <c r="A9965" s="66"/>
    </row>
    <row r="9966" spans="1:1" x14ac:dyDescent="0.25">
      <c r="A9966" s="66"/>
    </row>
    <row r="9967" spans="1:1" x14ac:dyDescent="0.25">
      <c r="A9967" s="66"/>
    </row>
    <row r="9968" spans="1:1" x14ac:dyDescent="0.25">
      <c r="A9968" s="66"/>
    </row>
    <row r="9969" spans="1:1" x14ac:dyDescent="0.25">
      <c r="A9969" s="66"/>
    </row>
    <row r="9970" spans="1:1" x14ac:dyDescent="0.25">
      <c r="A9970" s="66"/>
    </row>
    <row r="9971" spans="1:1" x14ac:dyDescent="0.25">
      <c r="A9971" s="66"/>
    </row>
    <row r="9972" spans="1:1" x14ac:dyDescent="0.25">
      <c r="A9972" s="66"/>
    </row>
    <row r="9973" spans="1:1" x14ac:dyDescent="0.25">
      <c r="A9973" s="66"/>
    </row>
    <row r="9974" spans="1:1" x14ac:dyDescent="0.25">
      <c r="A9974" s="66"/>
    </row>
    <row r="9975" spans="1:1" x14ac:dyDescent="0.25">
      <c r="A9975" s="66"/>
    </row>
    <row r="9976" spans="1:1" x14ac:dyDescent="0.25">
      <c r="A9976" s="66"/>
    </row>
    <row r="9977" spans="1:1" x14ac:dyDescent="0.25">
      <c r="A9977" s="66"/>
    </row>
    <row r="9978" spans="1:1" x14ac:dyDescent="0.25">
      <c r="A9978" s="66"/>
    </row>
    <row r="9979" spans="1:1" x14ac:dyDescent="0.25">
      <c r="A9979" s="66"/>
    </row>
    <row r="9980" spans="1:1" x14ac:dyDescent="0.25">
      <c r="A9980" s="66"/>
    </row>
    <row r="9981" spans="1:1" x14ac:dyDescent="0.25">
      <c r="A9981" s="66"/>
    </row>
    <row r="9982" spans="1:1" x14ac:dyDescent="0.25">
      <c r="A9982" s="66"/>
    </row>
    <row r="9983" spans="1:1" x14ac:dyDescent="0.25">
      <c r="A9983" s="66"/>
    </row>
    <row r="9984" spans="1:1" x14ac:dyDescent="0.25">
      <c r="A9984" s="66"/>
    </row>
    <row r="9985" spans="1:1" x14ac:dyDescent="0.25">
      <c r="A9985" s="66"/>
    </row>
    <row r="9986" spans="1:1" x14ac:dyDescent="0.25">
      <c r="A9986" s="66"/>
    </row>
    <row r="9987" spans="1:1" x14ac:dyDescent="0.25">
      <c r="A9987" s="66"/>
    </row>
    <row r="9988" spans="1:1" x14ac:dyDescent="0.25">
      <c r="A9988" s="66"/>
    </row>
    <row r="9989" spans="1:1" x14ac:dyDescent="0.25">
      <c r="A9989" s="66"/>
    </row>
    <row r="9990" spans="1:1" x14ac:dyDescent="0.25">
      <c r="A9990" s="66"/>
    </row>
    <row r="9991" spans="1:1" x14ac:dyDescent="0.25">
      <c r="A9991" s="66"/>
    </row>
    <row r="9992" spans="1:1" x14ac:dyDescent="0.25">
      <c r="A9992" s="66"/>
    </row>
    <row r="9993" spans="1:1" x14ac:dyDescent="0.25">
      <c r="A9993" s="66"/>
    </row>
    <row r="9994" spans="1:1" x14ac:dyDescent="0.25">
      <c r="A9994" s="66"/>
    </row>
    <row r="9995" spans="1:1" x14ac:dyDescent="0.25">
      <c r="A9995" s="66"/>
    </row>
    <row r="9996" spans="1:1" x14ac:dyDescent="0.25">
      <c r="A9996" s="66"/>
    </row>
    <row r="9997" spans="1:1" x14ac:dyDescent="0.25">
      <c r="A9997" s="66"/>
    </row>
    <row r="9998" spans="1:1" x14ac:dyDescent="0.25">
      <c r="A9998" s="66"/>
    </row>
    <row r="9999" spans="1:1" x14ac:dyDescent="0.25">
      <c r="A9999" s="66"/>
    </row>
    <row r="10000" spans="1:1" x14ac:dyDescent="0.25">
      <c r="A10000" s="66"/>
    </row>
  </sheetData>
  <autoFilter ref="A19:J10000"/>
  <dataValidations count="1">
    <dataValidation type="list" allowBlank="1" showInputMessage="1" showErrorMessage="1" sqref="D20:D10000">
      <formula1>UpdateType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5BF8234-798F-460D-819E-287CD352747C}">
            <xm:f>COUNTIF('Update Allocation'!$A$20:$A$2792,$B20)&gt;0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B26:B10000 B20:B24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L10000"/>
  <sheetViews>
    <sheetView workbookViewId="0">
      <pane ySplit="19" topLeftCell="A20" activePane="bottomLeft" state="frozen"/>
      <selection pane="bottomLeft" activeCell="J30" sqref="J30"/>
    </sheetView>
  </sheetViews>
  <sheetFormatPr defaultColWidth="0" defaultRowHeight="15" zeroHeight="1" x14ac:dyDescent="0.25"/>
  <cols>
    <col min="1" max="1" width="11.42578125" customWidth="1"/>
    <col min="2" max="2" width="12.42578125" bestFit="1" customWidth="1"/>
    <col min="3" max="3" width="10.5703125" customWidth="1"/>
    <col min="4" max="4" width="44.5703125" customWidth="1"/>
    <col min="5" max="5" width="16.7109375" customWidth="1"/>
    <col min="6" max="9" width="10.7109375" customWidth="1"/>
    <col min="10" max="10" width="23.140625" customWidth="1"/>
    <col min="11" max="11" width="9.140625" customWidth="1"/>
    <col min="12" max="12" width="25.140625" customWidth="1"/>
    <col min="13" max="16384" width="9.140625" hidden="1"/>
  </cols>
  <sheetData>
    <row r="1" spans="1:12" x14ac:dyDescent="0.25">
      <c r="A1" s="56"/>
      <c r="B1" s="56"/>
      <c r="C1" s="56"/>
      <c r="D1" s="7"/>
      <c r="E1" s="7"/>
      <c r="F1" s="7"/>
      <c r="G1" s="7"/>
      <c r="H1" s="7"/>
      <c r="I1" s="7"/>
      <c r="J1" s="7"/>
      <c r="K1" s="7"/>
      <c r="L1" s="7"/>
    </row>
    <row r="2" spans="1:12" x14ac:dyDescent="0.25">
      <c r="A2" s="56"/>
      <c r="B2" s="56"/>
      <c r="C2" s="56"/>
      <c r="D2" s="7"/>
      <c r="E2" s="7"/>
      <c r="F2" s="7"/>
      <c r="G2" s="7"/>
      <c r="H2" s="7"/>
      <c r="I2" s="7"/>
      <c r="J2" s="7"/>
      <c r="K2" s="7"/>
      <c r="L2" s="7"/>
    </row>
    <row r="3" spans="1:12" x14ac:dyDescent="0.25">
      <c r="A3" s="56"/>
      <c r="B3" s="56"/>
      <c r="C3" s="56"/>
      <c r="D3" s="7"/>
      <c r="E3" s="7"/>
      <c r="F3" s="7"/>
      <c r="G3" s="7"/>
      <c r="H3" s="7"/>
      <c r="I3" s="7"/>
      <c r="J3" s="7"/>
      <c r="K3" s="7"/>
      <c r="L3" s="7"/>
    </row>
    <row r="4" spans="1:12" x14ac:dyDescent="0.25">
      <c r="A4" s="56"/>
      <c r="B4" s="56"/>
      <c r="C4" s="56"/>
      <c r="D4" s="7"/>
      <c r="E4" s="7"/>
      <c r="F4" s="7"/>
      <c r="G4" s="7"/>
      <c r="H4" s="7"/>
      <c r="I4" s="7"/>
      <c r="J4" s="7"/>
      <c r="K4" s="7"/>
      <c r="L4" s="7"/>
    </row>
    <row r="5" spans="1:12" x14ac:dyDescent="0.25">
      <c r="A5" s="56"/>
      <c r="B5" s="56"/>
      <c r="C5" s="56"/>
      <c r="D5" s="7"/>
      <c r="E5" s="7"/>
      <c r="F5" s="7"/>
      <c r="G5" s="7"/>
      <c r="H5" s="7"/>
      <c r="I5" s="7"/>
      <c r="J5" s="7"/>
      <c r="K5" s="7"/>
      <c r="L5" s="7"/>
    </row>
    <row r="6" spans="1:12" x14ac:dyDescent="0.25">
      <c r="A6" s="56"/>
      <c r="B6" s="56"/>
      <c r="C6" s="56"/>
      <c r="D6" s="7"/>
      <c r="E6" s="7"/>
      <c r="F6" s="7"/>
      <c r="G6" s="7"/>
      <c r="H6" s="7"/>
      <c r="I6" s="7"/>
      <c r="J6" s="7"/>
      <c r="K6" s="7"/>
      <c r="L6" s="7"/>
    </row>
    <row r="7" spans="1:12" x14ac:dyDescent="0.25">
      <c r="A7" s="56"/>
      <c r="B7" s="56"/>
      <c r="C7" s="56"/>
      <c r="D7" s="7"/>
      <c r="E7" s="7"/>
      <c r="F7" s="7"/>
      <c r="G7" s="7"/>
      <c r="H7" s="7"/>
      <c r="I7" s="7"/>
      <c r="J7" s="7"/>
      <c r="K7" s="7"/>
      <c r="L7" s="7"/>
    </row>
    <row r="8" spans="1:12" x14ac:dyDescent="0.25">
      <c r="A8" s="56"/>
      <c r="B8" s="56"/>
      <c r="C8" s="56"/>
      <c r="D8" s="7"/>
      <c r="E8" s="7"/>
      <c r="F8" s="7"/>
      <c r="G8" s="7"/>
      <c r="H8" s="7"/>
      <c r="I8" s="7"/>
      <c r="J8" s="7"/>
      <c r="K8" s="7"/>
      <c r="L8" s="7"/>
    </row>
    <row r="9" spans="1:12" hidden="1" x14ac:dyDescent="0.25"/>
    <row r="10" spans="1:12" hidden="1" x14ac:dyDescent="0.25"/>
    <row r="11" spans="1:12" hidden="1" x14ac:dyDescent="0.25"/>
    <row r="12" spans="1:12" hidden="1" x14ac:dyDescent="0.25"/>
    <row r="13" spans="1:12" hidden="1" x14ac:dyDescent="0.25"/>
    <row r="14" spans="1:12" hidden="1" x14ac:dyDescent="0.25"/>
    <row r="15" spans="1:12" hidden="1" x14ac:dyDescent="0.25"/>
    <row r="16" spans="1:12" hidden="1" x14ac:dyDescent="0.25"/>
    <row r="17" spans="1:12" hidden="1" x14ac:dyDescent="0.25"/>
    <row r="18" spans="1:12" hidden="1" x14ac:dyDescent="0.25"/>
    <row r="19" spans="1:12" ht="25.5" x14ac:dyDescent="0.25">
      <c r="A19" s="57" t="s">
        <v>55</v>
      </c>
      <c r="B19" s="57" t="s">
        <v>79</v>
      </c>
      <c r="C19" s="57" t="s">
        <v>0</v>
      </c>
      <c r="D19" s="57" t="s">
        <v>2</v>
      </c>
      <c r="E19" s="58" t="s">
        <v>80</v>
      </c>
      <c r="F19" s="58" t="s">
        <v>81</v>
      </c>
      <c r="G19" s="58" t="s">
        <v>82</v>
      </c>
      <c r="H19" s="58" t="s">
        <v>83</v>
      </c>
      <c r="I19" s="58" t="s">
        <v>96</v>
      </c>
      <c r="J19" s="57" t="s">
        <v>84</v>
      </c>
      <c r="K19" s="57" t="s">
        <v>56</v>
      </c>
      <c r="L19" s="57" t="s">
        <v>57</v>
      </c>
    </row>
    <row r="20" spans="1:12" x14ac:dyDescent="0.25">
      <c r="A20" s="66"/>
    </row>
    <row r="21" spans="1:12" x14ac:dyDescent="0.25">
      <c r="A21" s="66"/>
    </row>
    <row r="22" spans="1:12" x14ac:dyDescent="0.25">
      <c r="A22" s="66"/>
    </row>
    <row r="23" spans="1:12" x14ac:dyDescent="0.25">
      <c r="A23" s="66"/>
    </row>
    <row r="24" spans="1:12" x14ac:dyDescent="0.25">
      <c r="A24" s="66"/>
    </row>
    <row r="25" spans="1:12" x14ac:dyDescent="0.25">
      <c r="A25" s="66"/>
    </row>
    <row r="26" spans="1:12" x14ac:dyDescent="0.25">
      <c r="A26" s="66"/>
    </row>
    <row r="27" spans="1:12" x14ac:dyDescent="0.25">
      <c r="A27" s="66"/>
    </row>
    <row r="28" spans="1:12" x14ac:dyDescent="0.25">
      <c r="A28" s="66"/>
    </row>
    <row r="29" spans="1:12" x14ac:dyDescent="0.25">
      <c r="A29" s="66"/>
    </row>
    <row r="30" spans="1:12" x14ac:dyDescent="0.25">
      <c r="A30" s="66"/>
    </row>
    <row r="31" spans="1:12" x14ac:dyDescent="0.25">
      <c r="A31" s="66"/>
    </row>
    <row r="32" spans="1:12" x14ac:dyDescent="0.25">
      <c r="A32" s="66"/>
    </row>
    <row r="33" spans="1:1" x14ac:dyDescent="0.25">
      <c r="A33" s="66"/>
    </row>
    <row r="34" spans="1:1" x14ac:dyDescent="0.25">
      <c r="A34" s="66"/>
    </row>
    <row r="35" spans="1:1" x14ac:dyDescent="0.25">
      <c r="A35" s="66"/>
    </row>
    <row r="36" spans="1:1" x14ac:dyDescent="0.25">
      <c r="A36" s="66"/>
    </row>
    <row r="37" spans="1:1" x14ac:dyDescent="0.25">
      <c r="A37" s="66"/>
    </row>
    <row r="38" spans="1:1" x14ac:dyDescent="0.25">
      <c r="A38" s="66"/>
    </row>
    <row r="39" spans="1:1" x14ac:dyDescent="0.25">
      <c r="A39" s="66"/>
    </row>
    <row r="40" spans="1:1" x14ac:dyDescent="0.25">
      <c r="A40" s="66"/>
    </row>
    <row r="41" spans="1:1" x14ac:dyDescent="0.25">
      <c r="A41" s="66"/>
    </row>
    <row r="42" spans="1:1" x14ac:dyDescent="0.25">
      <c r="A42" s="66"/>
    </row>
    <row r="43" spans="1:1" x14ac:dyDescent="0.25">
      <c r="A43" s="66"/>
    </row>
    <row r="44" spans="1:1" x14ac:dyDescent="0.25">
      <c r="A44" s="66"/>
    </row>
    <row r="45" spans="1:1" x14ac:dyDescent="0.25">
      <c r="A45" s="66"/>
    </row>
    <row r="46" spans="1:1" x14ac:dyDescent="0.25">
      <c r="A46" s="66"/>
    </row>
    <row r="47" spans="1:1" x14ac:dyDescent="0.25">
      <c r="A47" s="66"/>
    </row>
    <row r="48" spans="1:1" x14ac:dyDescent="0.25">
      <c r="A48" s="66"/>
    </row>
    <row r="49" spans="1:1" x14ac:dyDescent="0.25">
      <c r="A49" s="66"/>
    </row>
    <row r="50" spans="1:1" x14ac:dyDescent="0.25">
      <c r="A50" s="66"/>
    </row>
    <row r="51" spans="1:1" x14ac:dyDescent="0.25">
      <c r="A51" s="66"/>
    </row>
    <row r="52" spans="1:1" x14ac:dyDescent="0.25">
      <c r="A52" s="66"/>
    </row>
    <row r="53" spans="1:1" x14ac:dyDescent="0.25">
      <c r="A53" s="66"/>
    </row>
    <row r="54" spans="1:1" x14ac:dyDescent="0.25">
      <c r="A54" s="66"/>
    </row>
    <row r="55" spans="1:1" x14ac:dyDescent="0.25">
      <c r="A55" s="66"/>
    </row>
    <row r="56" spans="1:1" x14ac:dyDescent="0.25">
      <c r="A56" s="66"/>
    </row>
    <row r="57" spans="1:1" x14ac:dyDescent="0.25">
      <c r="A57" s="66"/>
    </row>
    <row r="58" spans="1:1" x14ac:dyDescent="0.25">
      <c r="A58" s="66"/>
    </row>
    <row r="59" spans="1:1" x14ac:dyDescent="0.25">
      <c r="A59" s="66"/>
    </row>
    <row r="60" spans="1:1" x14ac:dyDescent="0.25">
      <c r="A60" s="66"/>
    </row>
    <row r="61" spans="1:1" x14ac:dyDescent="0.25">
      <c r="A61" s="66"/>
    </row>
    <row r="62" spans="1:1" x14ac:dyDescent="0.25">
      <c r="A62" s="66"/>
    </row>
    <row r="63" spans="1:1" x14ac:dyDescent="0.25">
      <c r="A63" s="66"/>
    </row>
    <row r="64" spans="1:1" x14ac:dyDescent="0.25">
      <c r="A64" s="66"/>
    </row>
    <row r="65" spans="1:1" x14ac:dyDescent="0.25">
      <c r="A65" s="66"/>
    </row>
    <row r="66" spans="1:1" x14ac:dyDescent="0.25">
      <c r="A66" s="66"/>
    </row>
    <row r="67" spans="1:1" x14ac:dyDescent="0.25">
      <c r="A67" s="66"/>
    </row>
    <row r="68" spans="1:1" x14ac:dyDescent="0.25">
      <c r="A68" s="66"/>
    </row>
    <row r="69" spans="1:1" x14ac:dyDescent="0.25">
      <c r="A69" s="66"/>
    </row>
    <row r="70" spans="1:1" x14ac:dyDescent="0.25">
      <c r="A70" s="66"/>
    </row>
    <row r="71" spans="1:1" x14ac:dyDescent="0.25">
      <c r="A71" s="66"/>
    </row>
    <row r="72" spans="1:1" x14ac:dyDescent="0.25">
      <c r="A72" s="66"/>
    </row>
    <row r="73" spans="1:1" x14ac:dyDescent="0.25">
      <c r="A73" s="66"/>
    </row>
    <row r="74" spans="1:1" x14ac:dyDescent="0.25">
      <c r="A74" s="66"/>
    </row>
    <row r="75" spans="1:1" x14ac:dyDescent="0.25">
      <c r="A75" s="66"/>
    </row>
    <row r="76" spans="1:1" x14ac:dyDescent="0.25">
      <c r="A76" s="66"/>
    </row>
    <row r="77" spans="1:1" x14ac:dyDescent="0.25">
      <c r="A77" s="66"/>
    </row>
    <row r="78" spans="1:1" x14ac:dyDescent="0.25">
      <c r="A78" s="66"/>
    </row>
    <row r="79" spans="1:1" x14ac:dyDescent="0.25">
      <c r="A79" s="66"/>
    </row>
    <row r="80" spans="1:1" x14ac:dyDescent="0.25">
      <c r="A80" s="66"/>
    </row>
    <row r="81" spans="1:1" x14ac:dyDescent="0.25">
      <c r="A81" s="66"/>
    </row>
    <row r="82" spans="1:1" x14ac:dyDescent="0.25">
      <c r="A82" s="66"/>
    </row>
    <row r="83" spans="1:1" x14ac:dyDescent="0.25">
      <c r="A83" s="66"/>
    </row>
    <row r="84" spans="1:1" x14ac:dyDescent="0.25">
      <c r="A84" s="66"/>
    </row>
    <row r="85" spans="1:1" x14ac:dyDescent="0.25">
      <c r="A85" s="66"/>
    </row>
    <row r="86" spans="1:1" x14ac:dyDescent="0.25">
      <c r="A86" s="66"/>
    </row>
    <row r="87" spans="1:1" x14ac:dyDescent="0.25">
      <c r="A87" s="66"/>
    </row>
    <row r="88" spans="1:1" x14ac:dyDescent="0.25">
      <c r="A88" s="66"/>
    </row>
    <row r="89" spans="1:1" x14ac:dyDescent="0.25">
      <c r="A89" s="66"/>
    </row>
    <row r="90" spans="1:1" x14ac:dyDescent="0.25">
      <c r="A90" s="66"/>
    </row>
    <row r="91" spans="1:1" x14ac:dyDescent="0.25">
      <c r="A91" s="66"/>
    </row>
    <row r="92" spans="1:1" x14ac:dyDescent="0.25">
      <c r="A92" s="66"/>
    </row>
    <row r="93" spans="1:1" x14ac:dyDescent="0.25">
      <c r="A93" s="66"/>
    </row>
    <row r="94" spans="1:1" x14ac:dyDescent="0.25">
      <c r="A94" s="66"/>
    </row>
    <row r="95" spans="1:1" x14ac:dyDescent="0.25">
      <c r="A95" s="66"/>
    </row>
    <row r="96" spans="1:1" x14ac:dyDescent="0.25">
      <c r="A96" s="66"/>
    </row>
    <row r="97" spans="1:1" x14ac:dyDescent="0.25">
      <c r="A97" s="66"/>
    </row>
    <row r="98" spans="1:1" x14ac:dyDescent="0.25">
      <c r="A98" s="66"/>
    </row>
    <row r="99" spans="1:1" x14ac:dyDescent="0.25">
      <c r="A99" s="66"/>
    </row>
    <row r="100" spans="1:1" x14ac:dyDescent="0.25">
      <c r="A100" s="66"/>
    </row>
    <row r="101" spans="1:1" x14ac:dyDescent="0.25">
      <c r="A101" s="66"/>
    </row>
    <row r="102" spans="1:1" x14ac:dyDescent="0.25">
      <c r="A102" s="66"/>
    </row>
    <row r="103" spans="1:1" x14ac:dyDescent="0.25">
      <c r="A103" s="66"/>
    </row>
    <row r="104" spans="1:1" x14ac:dyDescent="0.25">
      <c r="A104" s="66"/>
    </row>
    <row r="105" spans="1:1" x14ac:dyDescent="0.25">
      <c r="A105" s="66"/>
    </row>
    <row r="106" spans="1:1" x14ac:dyDescent="0.25">
      <c r="A106" s="66"/>
    </row>
    <row r="107" spans="1:1" x14ac:dyDescent="0.25">
      <c r="A107" s="66"/>
    </row>
    <row r="108" spans="1:1" x14ac:dyDescent="0.25">
      <c r="A108" s="66"/>
    </row>
    <row r="109" spans="1:1" x14ac:dyDescent="0.25">
      <c r="A109" s="66"/>
    </row>
    <row r="110" spans="1:1" x14ac:dyDescent="0.25">
      <c r="A110" s="66"/>
    </row>
    <row r="111" spans="1:1" x14ac:dyDescent="0.25">
      <c r="A111" s="66"/>
    </row>
    <row r="112" spans="1:1" x14ac:dyDescent="0.25">
      <c r="A112" s="66"/>
    </row>
    <row r="113" spans="1:1" x14ac:dyDescent="0.25">
      <c r="A113" s="66"/>
    </row>
    <row r="114" spans="1:1" x14ac:dyDescent="0.25">
      <c r="A114" s="66"/>
    </row>
    <row r="115" spans="1:1" x14ac:dyDescent="0.25">
      <c r="A115" s="66"/>
    </row>
    <row r="116" spans="1:1" x14ac:dyDescent="0.25">
      <c r="A116" s="66"/>
    </row>
    <row r="117" spans="1:1" x14ac:dyDescent="0.25">
      <c r="A117" s="66"/>
    </row>
    <row r="118" spans="1:1" x14ac:dyDescent="0.25">
      <c r="A118" s="66"/>
    </row>
    <row r="119" spans="1:1" x14ac:dyDescent="0.25">
      <c r="A119" s="66"/>
    </row>
    <row r="120" spans="1:1" x14ac:dyDescent="0.25">
      <c r="A120" s="66"/>
    </row>
    <row r="121" spans="1:1" x14ac:dyDescent="0.25">
      <c r="A121" s="66"/>
    </row>
    <row r="122" spans="1:1" x14ac:dyDescent="0.25">
      <c r="A122" s="66"/>
    </row>
    <row r="123" spans="1:1" x14ac:dyDescent="0.25">
      <c r="A123" s="66"/>
    </row>
    <row r="124" spans="1:1" x14ac:dyDescent="0.25">
      <c r="A124" s="66"/>
    </row>
    <row r="125" spans="1:1" x14ac:dyDescent="0.25">
      <c r="A125" s="66"/>
    </row>
    <row r="126" spans="1:1" x14ac:dyDescent="0.25">
      <c r="A126" s="66"/>
    </row>
    <row r="127" spans="1:1" x14ac:dyDescent="0.25">
      <c r="A127" s="66"/>
    </row>
    <row r="128" spans="1:1" x14ac:dyDescent="0.25">
      <c r="A128" s="66"/>
    </row>
    <row r="129" spans="1:1" x14ac:dyDescent="0.25">
      <c r="A129" s="66"/>
    </row>
    <row r="130" spans="1:1" x14ac:dyDescent="0.25">
      <c r="A130" s="66"/>
    </row>
    <row r="131" spans="1:1" x14ac:dyDescent="0.25">
      <c r="A131" s="66"/>
    </row>
    <row r="132" spans="1:1" x14ac:dyDescent="0.25">
      <c r="A132" s="66"/>
    </row>
    <row r="133" spans="1:1" x14ac:dyDescent="0.25">
      <c r="A133" s="66"/>
    </row>
    <row r="134" spans="1:1" x14ac:dyDescent="0.25">
      <c r="A134" s="66"/>
    </row>
    <row r="135" spans="1:1" x14ac:dyDescent="0.25">
      <c r="A135" s="66"/>
    </row>
    <row r="136" spans="1:1" x14ac:dyDescent="0.25">
      <c r="A136" s="66"/>
    </row>
    <row r="137" spans="1:1" x14ac:dyDescent="0.25">
      <c r="A137" s="66"/>
    </row>
    <row r="138" spans="1:1" x14ac:dyDescent="0.25">
      <c r="A138" s="66"/>
    </row>
    <row r="139" spans="1:1" x14ac:dyDescent="0.25">
      <c r="A139" s="66"/>
    </row>
    <row r="140" spans="1:1" x14ac:dyDescent="0.25">
      <c r="A140" s="66"/>
    </row>
    <row r="141" spans="1:1" x14ac:dyDescent="0.25">
      <c r="A141" s="66"/>
    </row>
    <row r="142" spans="1:1" x14ac:dyDescent="0.25">
      <c r="A142" s="66"/>
    </row>
    <row r="143" spans="1:1" x14ac:dyDescent="0.25">
      <c r="A143" s="66"/>
    </row>
    <row r="144" spans="1:1" x14ac:dyDescent="0.25">
      <c r="A144" s="66"/>
    </row>
    <row r="145" spans="1:1" x14ac:dyDescent="0.25">
      <c r="A145" s="66"/>
    </row>
    <row r="146" spans="1:1" x14ac:dyDescent="0.25">
      <c r="A146" s="66"/>
    </row>
    <row r="147" spans="1:1" x14ac:dyDescent="0.25">
      <c r="A147" s="66"/>
    </row>
    <row r="148" spans="1:1" x14ac:dyDescent="0.25">
      <c r="A148" s="66"/>
    </row>
    <row r="149" spans="1:1" x14ac:dyDescent="0.25">
      <c r="A149" s="66"/>
    </row>
    <row r="150" spans="1:1" x14ac:dyDescent="0.25">
      <c r="A150" s="66"/>
    </row>
    <row r="151" spans="1:1" x14ac:dyDescent="0.25">
      <c r="A151" s="66"/>
    </row>
    <row r="152" spans="1:1" x14ac:dyDescent="0.25">
      <c r="A152" s="66"/>
    </row>
    <row r="153" spans="1:1" x14ac:dyDescent="0.25">
      <c r="A153" s="66"/>
    </row>
    <row r="154" spans="1:1" x14ac:dyDescent="0.25">
      <c r="A154" s="66"/>
    </row>
    <row r="155" spans="1:1" x14ac:dyDescent="0.25">
      <c r="A155" s="66"/>
    </row>
    <row r="156" spans="1:1" x14ac:dyDescent="0.25">
      <c r="A156" s="66"/>
    </row>
    <row r="157" spans="1:1" x14ac:dyDescent="0.25">
      <c r="A157" s="66"/>
    </row>
    <row r="158" spans="1:1" x14ac:dyDescent="0.25">
      <c r="A158" s="66"/>
    </row>
    <row r="159" spans="1:1" x14ac:dyDescent="0.25">
      <c r="A159" s="66"/>
    </row>
    <row r="160" spans="1:1" x14ac:dyDescent="0.25">
      <c r="A160" s="66"/>
    </row>
    <row r="161" spans="1:1" x14ac:dyDescent="0.25">
      <c r="A161" s="66"/>
    </row>
    <row r="162" spans="1:1" x14ac:dyDescent="0.25">
      <c r="A162" s="66"/>
    </row>
    <row r="163" spans="1:1" x14ac:dyDescent="0.25">
      <c r="A163" s="66"/>
    </row>
    <row r="164" spans="1:1" x14ac:dyDescent="0.25">
      <c r="A164" s="66"/>
    </row>
    <row r="165" spans="1:1" x14ac:dyDescent="0.25">
      <c r="A165" s="66"/>
    </row>
    <row r="166" spans="1:1" x14ac:dyDescent="0.25">
      <c r="A166" s="66"/>
    </row>
    <row r="167" spans="1:1" x14ac:dyDescent="0.25">
      <c r="A167" s="66"/>
    </row>
    <row r="168" spans="1:1" x14ac:dyDescent="0.25">
      <c r="A168" s="66"/>
    </row>
    <row r="169" spans="1:1" x14ac:dyDescent="0.25">
      <c r="A169" s="66"/>
    </row>
    <row r="170" spans="1:1" x14ac:dyDescent="0.25">
      <c r="A170" s="66"/>
    </row>
    <row r="171" spans="1:1" x14ac:dyDescent="0.25">
      <c r="A171" s="66"/>
    </row>
    <row r="172" spans="1:1" x14ac:dyDescent="0.25">
      <c r="A172" s="66"/>
    </row>
    <row r="173" spans="1:1" x14ac:dyDescent="0.25">
      <c r="A173" s="66"/>
    </row>
    <row r="174" spans="1:1" x14ac:dyDescent="0.25">
      <c r="A174" s="66"/>
    </row>
    <row r="175" spans="1:1" x14ac:dyDescent="0.25">
      <c r="A175" s="66"/>
    </row>
    <row r="176" spans="1:1" x14ac:dyDescent="0.25">
      <c r="A176" s="66"/>
    </row>
    <row r="177" spans="1:1" x14ac:dyDescent="0.25">
      <c r="A177" s="66"/>
    </row>
    <row r="178" spans="1:1" x14ac:dyDescent="0.25">
      <c r="A178" s="66"/>
    </row>
    <row r="179" spans="1:1" x14ac:dyDescent="0.25">
      <c r="A179" s="66"/>
    </row>
    <row r="180" spans="1:1" x14ac:dyDescent="0.25">
      <c r="A180" s="66"/>
    </row>
    <row r="181" spans="1:1" x14ac:dyDescent="0.25">
      <c r="A181" s="66"/>
    </row>
    <row r="182" spans="1:1" x14ac:dyDescent="0.25">
      <c r="A182" s="66"/>
    </row>
    <row r="183" spans="1:1" x14ac:dyDescent="0.25">
      <c r="A183" s="66"/>
    </row>
    <row r="184" spans="1:1" x14ac:dyDescent="0.25">
      <c r="A184" s="66"/>
    </row>
    <row r="185" spans="1:1" x14ac:dyDescent="0.25">
      <c r="A185" s="66"/>
    </row>
    <row r="186" spans="1:1" x14ac:dyDescent="0.25">
      <c r="A186" s="66"/>
    </row>
    <row r="187" spans="1:1" x14ac:dyDescent="0.25">
      <c r="A187" s="66"/>
    </row>
    <row r="188" spans="1:1" x14ac:dyDescent="0.25">
      <c r="A188" s="66"/>
    </row>
    <row r="189" spans="1:1" x14ac:dyDescent="0.25">
      <c r="A189" s="66"/>
    </row>
    <row r="190" spans="1:1" x14ac:dyDescent="0.25">
      <c r="A190" s="66"/>
    </row>
    <row r="191" spans="1:1" x14ac:dyDescent="0.25">
      <c r="A191" s="66"/>
    </row>
    <row r="192" spans="1:1" x14ac:dyDescent="0.25">
      <c r="A192" s="66"/>
    </row>
    <row r="193" spans="1:1" x14ac:dyDescent="0.25">
      <c r="A193" s="66"/>
    </row>
    <row r="194" spans="1:1" x14ac:dyDescent="0.25">
      <c r="A194" s="66"/>
    </row>
    <row r="195" spans="1:1" x14ac:dyDescent="0.25">
      <c r="A195" s="66"/>
    </row>
    <row r="196" spans="1:1" x14ac:dyDescent="0.25">
      <c r="A196" s="66"/>
    </row>
    <row r="197" spans="1:1" x14ac:dyDescent="0.25">
      <c r="A197" s="66"/>
    </row>
    <row r="198" spans="1:1" x14ac:dyDescent="0.25">
      <c r="A198" s="66"/>
    </row>
    <row r="199" spans="1:1" x14ac:dyDescent="0.25">
      <c r="A199" s="66"/>
    </row>
    <row r="200" spans="1:1" x14ac:dyDescent="0.25">
      <c r="A200" s="66"/>
    </row>
    <row r="201" spans="1:1" x14ac:dyDescent="0.25">
      <c r="A201" s="66"/>
    </row>
    <row r="202" spans="1:1" x14ac:dyDescent="0.25">
      <c r="A202" s="66"/>
    </row>
    <row r="203" spans="1:1" x14ac:dyDescent="0.25">
      <c r="A203" s="66"/>
    </row>
    <row r="204" spans="1:1" x14ac:dyDescent="0.25">
      <c r="A204" s="66"/>
    </row>
    <row r="205" spans="1:1" x14ac:dyDescent="0.25">
      <c r="A205" s="66"/>
    </row>
    <row r="206" spans="1:1" x14ac:dyDescent="0.25">
      <c r="A206" s="66"/>
    </row>
    <row r="207" spans="1:1" x14ac:dyDescent="0.25">
      <c r="A207" s="66"/>
    </row>
    <row r="208" spans="1:1" x14ac:dyDescent="0.25">
      <c r="A208" s="66"/>
    </row>
    <row r="209" spans="1:1" x14ac:dyDescent="0.25">
      <c r="A209" s="66"/>
    </row>
    <row r="210" spans="1:1" x14ac:dyDescent="0.25">
      <c r="A210" s="66"/>
    </row>
    <row r="211" spans="1:1" x14ac:dyDescent="0.25">
      <c r="A211" s="66"/>
    </row>
    <row r="212" spans="1:1" x14ac:dyDescent="0.25">
      <c r="A212" s="66"/>
    </row>
    <row r="213" spans="1:1" x14ac:dyDescent="0.25">
      <c r="A213" s="66"/>
    </row>
    <row r="214" spans="1:1" x14ac:dyDescent="0.25">
      <c r="A214" s="66"/>
    </row>
    <row r="215" spans="1:1" x14ac:dyDescent="0.25">
      <c r="A215" s="66"/>
    </row>
    <row r="216" spans="1:1" x14ac:dyDescent="0.25">
      <c r="A216" s="66"/>
    </row>
    <row r="217" spans="1:1" x14ac:dyDescent="0.25">
      <c r="A217" s="66"/>
    </row>
    <row r="218" spans="1:1" x14ac:dyDescent="0.25">
      <c r="A218" s="66"/>
    </row>
    <row r="219" spans="1:1" x14ac:dyDescent="0.25">
      <c r="A219" s="66"/>
    </row>
    <row r="220" spans="1:1" x14ac:dyDescent="0.25">
      <c r="A220" s="66"/>
    </row>
    <row r="221" spans="1:1" x14ac:dyDescent="0.25">
      <c r="A221" s="66"/>
    </row>
    <row r="222" spans="1:1" x14ac:dyDescent="0.25">
      <c r="A222" s="66"/>
    </row>
    <row r="223" spans="1:1" x14ac:dyDescent="0.25">
      <c r="A223" s="66"/>
    </row>
    <row r="224" spans="1:1" x14ac:dyDescent="0.25">
      <c r="A224" s="66"/>
    </row>
    <row r="225" spans="1:1" x14ac:dyDescent="0.25">
      <c r="A225" s="66"/>
    </row>
    <row r="226" spans="1:1" x14ac:dyDescent="0.25">
      <c r="A226" s="66"/>
    </row>
    <row r="227" spans="1:1" x14ac:dyDescent="0.25">
      <c r="A227" s="66"/>
    </row>
    <row r="228" spans="1:1" x14ac:dyDescent="0.25">
      <c r="A228" s="66"/>
    </row>
    <row r="229" spans="1:1" x14ac:dyDescent="0.25">
      <c r="A229" s="66"/>
    </row>
    <row r="230" spans="1:1" x14ac:dyDescent="0.25">
      <c r="A230" s="66"/>
    </row>
    <row r="231" spans="1:1" x14ac:dyDescent="0.25">
      <c r="A231" s="66"/>
    </row>
    <row r="232" spans="1:1" x14ac:dyDescent="0.25">
      <c r="A232" s="66"/>
    </row>
    <row r="233" spans="1:1" x14ac:dyDescent="0.25">
      <c r="A233" s="66"/>
    </row>
    <row r="234" spans="1:1" x14ac:dyDescent="0.25">
      <c r="A234" s="66"/>
    </row>
    <row r="235" spans="1:1" x14ac:dyDescent="0.25">
      <c r="A235" s="66"/>
    </row>
    <row r="236" spans="1:1" x14ac:dyDescent="0.25">
      <c r="A236" s="66"/>
    </row>
    <row r="237" spans="1:1" x14ac:dyDescent="0.25">
      <c r="A237" s="66"/>
    </row>
    <row r="238" spans="1:1" x14ac:dyDescent="0.25">
      <c r="A238" s="66"/>
    </row>
    <row r="239" spans="1:1" x14ac:dyDescent="0.25">
      <c r="A239" s="66"/>
    </row>
    <row r="240" spans="1:1" x14ac:dyDescent="0.25">
      <c r="A240" s="66"/>
    </row>
    <row r="241" spans="1:1" x14ac:dyDescent="0.25">
      <c r="A241" s="66"/>
    </row>
    <row r="242" spans="1:1" x14ac:dyDescent="0.25">
      <c r="A242" s="66"/>
    </row>
    <row r="243" spans="1:1" x14ac:dyDescent="0.25">
      <c r="A243" s="66"/>
    </row>
    <row r="244" spans="1:1" x14ac:dyDescent="0.25">
      <c r="A244" s="66"/>
    </row>
    <row r="245" spans="1:1" x14ac:dyDescent="0.25">
      <c r="A245" s="66"/>
    </row>
    <row r="246" spans="1:1" x14ac:dyDescent="0.25">
      <c r="A246" s="66"/>
    </row>
    <row r="247" spans="1:1" x14ac:dyDescent="0.25">
      <c r="A247" s="66"/>
    </row>
    <row r="248" spans="1:1" x14ac:dyDescent="0.25">
      <c r="A248" s="66"/>
    </row>
    <row r="249" spans="1:1" x14ac:dyDescent="0.25">
      <c r="A249" s="66"/>
    </row>
    <row r="250" spans="1:1" x14ac:dyDescent="0.25">
      <c r="A250" s="66"/>
    </row>
    <row r="251" spans="1:1" x14ac:dyDescent="0.25">
      <c r="A251" s="66"/>
    </row>
    <row r="252" spans="1:1" x14ac:dyDescent="0.25">
      <c r="A252" s="66"/>
    </row>
    <row r="253" spans="1:1" x14ac:dyDescent="0.25">
      <c r="A253" s="66"/>
    </row>
    <row r="254" spans="1:1" x14ac:dyDescent="0.25">
      <c r="A254" s="66"/>
    </row>
    <row r="255" spans="1:1" x14ac:dyDescent="0.25">
      <c r="A255" s="66"/>
    </row>
    <row r="256" spans="1:1" x14ac:dyDescent="0.25">
      <c r="A256" s="66"/>
    </row>
    <row r="257" spans="1:1" x14ac:dyDescent="0.25">
      <c r="A257" s="66"/>
    </row>
    <row r="258" spans="1:1" x14ac:dyDescent="0.25">
      <c r="A258" s="66"/>
    </row>
    <row r="259" spans="1:1" x14ac:dyDescent="0.25">
      <c r="A259" s="66"/>
    </row>
    <row r="260" spans="1:1" x14ac:dyDescent="0.25">
      <c r="A260" s="66"/>
    </row>
    <row r="261" spans="1:1" x14ac:dyDescent="0.25">
      <c r="A261" s="66"/>
    </row>
    <row r="262" spans="1:1" x14ac:dyDescent="0.25">
      <c r="A262" s="66"/>
    </row>
    <row r="263" spans="1:1" x14ac:dyDescent="0.25">
      <c r="A263" s="66"/>
    </row>
    <row r="264" spans="1:1" x14ac:dyDescent="0.25">
      <c r="A264" s="66"/>
    </row>
    <row r="265" spans="1:1" x14ac:dyDescent="0.25">
      <c r="A265" s="66"/>
    </row>
    <row r="266" spans="1:1" x14ac:dyDescent="0.25">
      <c r="A266" s="66"/>
    </row>
    <row r="267" spans="1:1" x14ac:dyDescent="0.25">
      <c r="A267" s="66"/>
    </row>
    <row r="268" spans="1:1" x14ac:dyDescent="0.25">
      <c r="A268" s="66"/>
    </row>
    <row r="269" spans="1:1" x14ac:dyDescent="0.25">
      <c r="A269" s="66"/>
    </row>
    <row r="270" spans="1:1" x14ac:dyDescent="0.25">
      <c r="A270" s="66"/>
    </row>
    <row r="271" spans="1:1" x14ac:dyDescent="0.25">
      <c r="A271" s="66"/>
    </row>
    <row r="272" spans="1:1" x14ac:dyDescent="0.25">
      <c r="A272" s="66"/>
    </row>
    <row r="273" spans="1:1" x14ac:dyDescent="0.25">
      <c r="A273" s="66"/>
    </row>
    <row r="274" spans="1:1" x14ac:dyDescent="0.25">
      <c r="A274" s="66"/>
    </row>
    <row r="275" spans="1:1" x14ac:dyDescent="0.25">
      <c r="A275" s="66"/>
    </row>
    <row r="276" spans="1:1" x14ac:dyDescent="0.25">
      <c r="A276" s="66"/>
    </row>
    <row r="277" spans="1:1" x14ac:dyDescent="0.25">
      <c r="A277" s="66"/>
    </row>
    <row r="278" spans="1:1" x14ac:dyDescent="0.25">
      <c r="A278" s="66"/>
    </row>
    <row r="279" spans="1:1" x14ac:dyDescent="0.25">
      <c r="A279" s="66"/>
    </row>
    <row r="280" spans="1:1" x14ac:dyDescent="0.25">
      <c r="A280" s="66"/>
    </row>
    <row r="281" spans="1:1" x14ac:dyDescent="0.25">
      <c r="A281" s="66"/>
    </row>
    <row r="282" spans="1:1" x14ac:dyDescent="0.25">
      <c r="A282" s="66"/>
    </row>
    <row r="283" spans="1:1" x14ac:dyDescent="0.25">
      <c r="A283" s="66"/>
    </row>
    <row r="284" spans="1:1" x14ac:dyDescent="0.25">
      <c r="A284" s="66"/>
    </row>
    <row r="285" spans="1:1" x14ac:dyDescent="0.25">
      <c r="A285" s="66"/>
    </row>
    <row r="286" spans="1:1" x14ac:dyDescent="0.25">
      <c r="A286" s="66"/>
    </row>
    <row r="287" spans="1:1" x14ac:dyDescent="0.25">
      <c r="A287" s="66"/>
    </row>
    <row r="288" spans="1:1" x14ac:dyDescent="0.25">
      <c r="A288" s="66"/>
    </row>
    <row r="289" spans="1:1" x14ac:dyDescent="0.25">
      <c r="A289" s="66"/>
    </row>
    <row r="290" spans="1:1" x14ac:dyDescent="0.25">
      <c r="A290" s="66"/>
    </row>
    <row r="291" spans="1:1" x14ac:dyDescent="0.25">
      <c r="A291" s="66"/>
    </row>
    <row r="292" spans="1:1" x14ac:dyDescent="0.25">
      <c r="A292" s="66"/>
    </row>
    <row r="293" spans="1:1" x14ac:dyDescent="0.25">
      <c r="A293" s="66"/>
    </row>
    <row r="294" spans="1:1" x14ac:dyDescent="0.25">
      <c r="A294" s="66"/>
    </row>
    <row r="295" spans="1:1" x14ac:dyDescent="0.25">
      <c r="A295" s="66"/>
    </row>
    <row r="296" spans="1:1" x14ac:dyDescent="0.25">
      <c r="A296" s="66"/>
    </row>
    <row r="297" spans="1:1" x14ac:dyDescent="0.25">
      <c r="A297" s="66"/>
    </row>
    <row r="298" spans="1:1" x14ac:dyDescent="0.25">
      <c r="A298" s="66"/>
    </row>
    <row r="299" spans="1:1" x14ac:dyDescent="0.25">
      <c r="A299" s="66"/>
    </row>
    <row r="300" spans="1:1" x14ac:dyDescent="0.25">
      <c r="A300" s="66"/>
    </row>
    <row r="301" spans="1:1" x14ac:dyDescent="0.25">
      <c r="A301" s="66"/>
    </row>
    <row r="302" spans="1:1" x14ac:dyDescent="0.25">
      <c r="A302" s="66"/>
    </row>
    <row r="303" spans="1:1" x14ac:dyDescent="0.25">
      <c r="A303" s="66"/>
    </row>
    <row r="304" spans="1:1" x14ac:dyDescent="0.25">
      <c r="A304" s="66"/>
    </row>
    <row r="305" spans="1:1" x14ac:dyDescent="0.25">
      <c r="A305" s="66"/>
    </row>
    <row r="306" spans="1:1" x14ac:dyDescent="0.25">
      <c r="A306" s="66"/>
    </row>
    <row r="307" spans="1:1" x14ac:dyDescent="0.25">
      <c r="A307" s="66"/>
    </row>
    <row r="308" spans="1:1" x14ac:dyDescent="0.25">
      <c r="A308" s="66"/>
    </row>
    <row r="309" spans="1:1" x14ac:dyDescent="0.25">
      <c r="A309" s="66"/>
    </row>
    <row r="310" spans="1:1" x14ac:dyDescent="0.25">
      <c r="A310" s="66"/>
    </row>
    <row r="311" spans="1:1" x14ac:dyDescent="0.25">
      <c r="A311" s="66"/>
    </row>
    <row r="312" spans="1:1" x14ac:dyDescent="0.25">
      <c r="A312" s="66"/>
    </row>
    <row r="313" spans="1:1" x14ac:dyDescent="0.25">
      <c r="A313" s="66"/>
    </row>
    <row r="314" spans="1:1" x14ac:dyDescent="0.25">
      <c r="A314" s="66"/>
    </row>
    <row r="315" spans="1:1" x14ac:dyDescent="0.25">
      <c r="A315" s="66"/>
    </row>
    <row r="316" spans="1:1" x14ac:dyDescent="0.25">
      <c r="A316" s="66"/>
    </row>
    <row r="317" spans="1:1" x14ac:dyDescent="0.25">
      <c r="A317" s="66"/>
    </row>
    <row r="318" spans="1:1" x14ac:dyDescent="0.25">
      <c r="A318" s="66"/>
    </row>
    <row r="319" spans="1:1" x14ac:dyDescent="0.25">
      <c r="A319" s="66"/>
    </row>
    <row r="320" spans="1:1" x14ac:dyDescent="0.25">
      <c r="A320" s="66"/>
    </row>
    <row r="321" spans="1:1" x14ac:dyDescent="0.25">
      <c r="A321" s="66"/>
    </row>
    <row r="322" spans="1:1" x14ac:dyDescent="0.25">
      <c r="A322" s="66"/>
    </row>
    <row r="323" spans="1:1" x14ac:dyDescent="0.25">
      <c r="A323" s="66"/>
    </row>
    <row r="324" spans="1:1" x14ac:dyDescent="0.25">
      <c r="A324" s="66"/>
    </row>
    <row r="325" spans="1:1" x14ac:dyDescent="0.25">
      <c r="A325" s="66"/>
    </row>
    <row r="326" spans="1:1" x14ac:dyDescent="0.25">
      <c r="A326" s="66"/>
    </row>
    <row r="327" spans="1:1" x14ac:dyDescent="0.25">
      <c r="A327" s="66"/>
    </row>
    <row r="328" spans="1:1" x14ac:dyDescent="0.25">
      <c r="A328" s="66"/>
    </row>
    <row r="329" spans="1:1" x14ac:dyDescent="0.25">
      <c r="A329" s="66"/>
    </row>
    <row r="330" spans="1:1" x14ac:dyDescent="0.25">
      <c r="A330" s="66"/>
    </row>
    <row r="331" spans="1:1" x14ac:dyDescent="0.25">
      <c r="A331" s="66"/>
    </row>
    <row r="332" spans="1:1" x14ac:dyDescent="0.25">
      <c r="A332" s="66"/>
    </row>
    <row r="333" spans="1:1" x14ac:dyDescent="0.25">
      <c r="A333" s="66"/>
    </row>
    <row r="334" spans="1:1" x14ac:dyDescent="0.25">
      <c r="A334" s="66"/>
    </row>
    <row r="335" spans="1:1" x14ac:dyDescent="0.25">
      <c r="A335" s="66"/>
    </row>
    <row r="336" spans="1:1" x14ac:dyDescent="0.25">
      <c r="A336" s="66"/>
    </row>
    <row r="337" spans="1:1" x14ac:dyDescent="0.25">
      <c r="A337" s="66"/>
    </row>
    <row r="338" spans="1:1" x14ac:dyDescent="0.25">
      <c r="A338" s="66"/>
    </row>
    <row r="339" spans="1:1" x14ac:dyDescent="0.25">
      <c r="A339" s="66"/>
    </row>
    <row r="340" spans="1:1" x14ac:dyDescent="0.25">
      <c r="A340" s="66"/>
    </row>
    <row r="341" spans="1:1" x14ac:dyDescent="0.25">
      <c r="A341" s="66"/>
    </row>
    <row r="342" spans="1:1" x14ac:dyDescent="0.25">
      <c r="A342" s="66"/>
    </row>
    <row r="343" spans="1:1" x14ac:dyDescent="0.25">
      <c r="A343" s="66"/>
    </row>
    <row r="344" spans="1:1" x14ac:dyDescent="0.25">
      <c r="A344" s="66"/>
    </row>
    <row r="345" spans="1:1" x14ac:dyDescent="0.25">
      <c r="A345" s="66"/>
    </row>
    <row r="346" spans="1:1" x14ac:dyDescent="0.25">
      <c r="A346" s="66"/>
    </row>
    <row r="347" spans="1:1" x14ac:dyDescent="0.25">
      <c r="A347" s="66"/>
    </row>
    <row r="348" spans="1:1" x14ac:dyDescent="0.25">
      <c r="A348" s="66"/>
    </row>
    <row r="349" spans="1:1" x14ac:dyDescent="0.25">
      <c r="A349" s="66"/>
    </row>
    <row r="350" spans="1:1" x14ac:dyDescent="0.25">
      <c r="A350" s="66"/>
    </row>
    <row r="351" spans="1:1" x14ac:dyDescent="0.25">
      <c r="A351" s="66"/>
    </row>
    <row r="352" spans="1:1" x14ac:dyDescent="0.25">
      <c r="A352" s="66"/>
    </row>
    <row r="353" spans="1:1" x14ac:dyDescent="0.25">
      <c r="A353" s="66"/>
    </row>
    <row r="354" spans="1:1" x14ac:dyDescent="0.25">
      <c r="A354" s="66"/>
    </row>
    <row r="355" spans="1:1" x14ac:dyDescent="0.25">
      <c r="A355" s="66"/>
    </row>
    <row r="356" spans="1:1" x14ac:dyDescent="0.25">
      <c r="A356" s="66"/>
    </row>
    <row r="357" spans="1:1" x14ac:dyDescent="0.25">
      <c r="A357" s="66"/>
    </row>
    <row r="358" spans="1:1" x14ac:dyDescent="0.25">
      <c r="A358" s="66"/>
    </row>
    <row r="359" spans="1:1" x14ac:dyDescent="0.25">
      <c r="A359" s="66"/>
    </row>
    <row r="360" spans="1:1" x14ac:dyDescent="0.25">
      <c r="A360" s="66"/>
    </row>
    <row r="361" spans="1:1" x14ac:dyDescent="0.25">
      <c r="A361" s="66"/>
    </row>
    <row r="362" spans="1:1" x14ac:dyDescent="0.25">
      <c r="A362" s="66"/>
    </row>
    <row r="363" spans="1:1" x14ac:dyDescent="0.25">
      <c r="A363" s="66"/>
    </row>
    <row r="364" spans="1:1" x14ac:dyDescent="0.25">
      <c r="A364" s="66"/>
    </row>
    <row r="365" spans="1:1" x14ac:dyDescent="0.25">
      <c r="A365" s="66"/>
    </row>
    <row r="366" spans="1:1" x14ac:dyDescent="0.25">
      <c r="A366" s="66"/>
    </row>
    <row r="367" spans="1:1" x14ac:dyDescent="0.25">
      <c r="A367" s="66"/>
    </row>
    <row r="368" spans="1:1" x14ac:dyDescent="0.25">
      <c r="A368" s="66"/>
    </row>
    <row r="369" spans="1:1" x14ac:dyDescent="0.25">
      <c r="A369" s="66"/>
    </row>
    <row r="370" spans="1:1" x14ac:dyDescent="0.25">
      <c r="A370" s="66"/>
    </row>
    <row r="371" spans="1:1" x14ac:dyDescent="0.25">
      <c r="A371" s="66"/>
    </row>
    <row r="372" spans="1:1" x14ac:dyDescent="0.25">
      <c r="A372" s="66"/>
    </row>
    <row r="373" spans="1:1" x14ac:dyDescent="0.25">
      <c r="A373" s="66"/>
    </row>
    <row r="374" spans="1:1" x14ac:dyDescent="0.25">
      <c r="A374" s="66"/>
    </row>
    <row r="375" spans="1:1" x14ac:dyDescent="0.25">
      <c r="A375" s="66"/>
    </row>
    <row r="376" spans="1:1" x14ac:dyDescent="0.25">
      <c r="A376" s="66"/>
    </row>
    <row r="377" spans="1:1" x14ac:dyDescent="0.25">
      <c r="A377" s="66"/>
    </row>
    <row r="378" spans="1:1" x14ac:dyDescent="0.25">
      <c r="A378" s="66"/>
    </row>
    <row r="379" spans="1:1" x14ac:dyDescent="0.25">
      <c r="A379" s="66"/>
    </row>
    <row r="380" spans="1:1" x14ac:dyDescent="0.25">
      <c r="A380" s="66"/>
    </row>
    <row r="381" spans="1:1" x14ac:dyDescent="0.25">
      <c r="A381" s="66"/>
    </row>
    <row r="382" spans="1:1" x14ac:dyDescent="0.25">
      <c r="A382" s="66"/>
    </row>
    <row r="383" spans="1:1" x14ac:dyDescent="0.25">
      <c r="A383" s="66"/>
    </row>
    <row r="384" spans="1:1" x14ac:dyDescent="0.25">
      <c r="A384" s="66"/>
    </row>
    <row r="385" spans="1:1" x14ac:dyDescent="0.25">
      <c r="A385" s="66"/>
    </row>
    <row r="386" spans="1:1" x14ac:dyDescent="0.25">
      <c r="A386" s="66"/>
    </row>
    <row r="387" spans="1:1" x14ac:dyDescent="0.25">
      <c r="A387" s="66"/>
    </row>
    <row r="388" spans="1:1" x14ac:dyDescent="0.25">
      <c r="A388" s="66"/>
    </row>
    <row r="389" spans="1:1" x14ac:dyDescent="0.25">
      <c r="A389" s="66"/>
    </row>
    <row r="390" spans="1:1" x14ac:dyDescent="0.25">
      <c r="A390" s="66"/>
    </row>
    <row r="391" spans="1:1" x14ac:dyDescent="0.25">
      <c r="A391" s="66"/>
    </row>
    <row r="392" spans="1:1" x14ac:dyDescent="0.25">
      <c r="A392" s="66"/>
    </row>
    <row r="393" spans="1:1" x14ac:dyDescent="0.25">
      <c r="A393" s="66"/>
    </row>
    <row r="394" spans="1:1" x14ac:dyDescent="0.25">
      <c r="A394" s="66"/>
    </row>
    <row r="395" spans="1:1" x14ac:dyDescent="0.25">
      <c r="A395" s="66"/>
    </row>
    <row r="396" spans="1:1" x14ac:dyDescent="0.25">
      <c r="A396" s="66"/>
    </row>
    <row r="397" spans="1:1" x14ac:dyDescent="0.25">
      <c r="A397" s="66"/>
    </row>
    <row r="398" spans="1:1" x14ac:dyDescent="0.25">
      <c r="A398" s="66"/>
    </row>
    <row r="399" spans="1:1" x14ac:dyDescent="0.25">
      <c r="A399" s="66"/>
    </row>
    <row r="400" spans="1:1" x14ac:dyDescent="0.25">
      <c r="A400" s="66"/>
    </row>
    <row r="401" spans="1:1" x14ac:dyDescent="0.25">
      <c r="A401" s="66"/>
    </row>
    <row r="402" spans="1:1" x14ac:dyDescent="0.25">
      <c r="A402" s="66"/>
    </row>
    <row r="403" spans="1:1" x14ac:dyDescent="0.25">
      <c r="A403" s="66"/>
    </row>
    <row r="404" spans="1:1" x14ac:dyDescent="0.25">
      <c r="A404" s="66"/>
    </row>
    <row r="405" spans="1:1" x14ac:dyDescent="0.25">
      <c r="A405" s="66"/>
    </row>
    <row r="406" spans="1:1" x14ac:dyDescent="0.25">
      <c r="A406" s="66"/>
    </row>
    <row r="407" spans="1:1" x14ac:dyDescent="0.25">
      <c r="A407" s="66"/>
    </row>
    <row r="408" spans="1:1" x14ac:dyDescent="0.25">
      <c r="A408" s="66"/>
    </row>
    <row r="409" spans="1:1" x14ac:dyDescent="0.25">
      <c r="A409" s="66"/>
    </row>
    <row r="410" spans="1:1" x14ac:dyDescent="0.25">
      <c r="A410" s="66"/>
    </row>
    <row r="411" spans="1:1" x14ac:dyDescent="0.25">
      <c r="A411" s="66"/>
    </row>
    <row r="412" spans="1:1" x14ac:dyDescent="0.25">
      <c r="A412" s="66"/>
    </row>
    <row r="413" spans="1:1" x14ac:dyDescent="0.25">
      <c r="A413" s="66"/>
    </row>
    <row r="414" spans="1:1" x14ac:dyDescent="0.25">
      <c r="A414" s="66"/>
    </row>
    <row r="415" spans="1:1" x14ac:dyDescent="0.25">
      <c r="A415" s="66"/>
    </row>
    <row r="416" spans="1:1" x14ac:dyDescent="0.25">
      <c r="A416" s="66"/>
    </row>
    <row r="417" spans="1:1" x14ac:dyDescent="0.25">
      <c r="A417" s="66"/>
    </row>
    <row r="418" spans="1:1" x14ac:dyDescent="0.25">
      <c r="A418" s="66"/>
    </row>
    <row r="419" spans="1:1" x14ac:dyDescent="0.25">
      <c r="A419" s="66"/>
    </row>
    <row r="420" spans="1:1" x14ac:dyDescent="0.25">
      <c r="A420" s="66"/>
    </row>
    <row r="421" spans="1:1" x14ac:dyDescent="0.25">
      <c r="A421" s="66"/>
    </row>
    <row r="422" spans="1:1" x14ac:dyDescent="0.25">
      <c r="A422" s="66"/>
    </row>
    <row r="423" spans="1:1" x14ac:dyDescent="0.25">
      <c r="A423" s="66"/>
    </row>
    <row r="424" spans="1:1" x14ac:dyDescent="0.25">
      <c r="A424" s="66"/>
    </row>
    <row r="425" spans="1:1" x14ac:dyDescent="0.25">
      <c r="A425" s="66"/>
    </row>
    <row r="426" spans="1:1" x14ac:dyDescent="0.25">
      <c r="A426" s="66"/>
    </row>
    <row r="427" spans="1:1" x14ac:dyDescent="0.25">
      <c r="A427" s="66"/>
    </row>
    <row r="428" spans="1:1" x14ac:dyDescent="0.25">
      <c r="A428" s="66"/>
    </row>
    <row r="429" spans="1:1" x14ac:dyDescent="0.25">
      <c r="A429" s="66"/>
    </row>
    <row r="430" spans="1:1" x14ac:dyDescent="0.25">
      <c r="A430" s="66"/>
    </row>
    <row r="431" spans="1:1" x14ac:dyDescent="0.25">
      <c r="A431" s="66"/>
    </row>
    <row r="432" spans="1:1" x14ac:dyDescent="0.25">
      <c r="A432" s="66"/>
    </row>
    <row r="433" spans="1:1" x14ac:dyDescent="0.25">
      <c r="A433" s="66"/>
    </row>
    <row r="434" spans="1:1" x14ac:dyDescent="0.25">
      <c r="A434" s="66"/>
    </row>
    <row r="435" spans="1:1" x14ac:dyDescent="0.25">
      <c r="A435" s="66"/>
    </row>
    <row r="436" spans="1:1" x14ac:dyDescent="0.25">
      <c r="A436" s="66"/>
    </row>
    <row r="437" spans="1:1" x14ac:dyDescent="0.25">
      <c r="A437" s="66"/>
    </row>
    <row r="438" spans="1:1" x14ac:dyDescent="0.25">
      <c r="A438" s="66"/>
    </row>
    <row r="439" spans="1:1" x14ac:dyDescent="0.25">
      <c r="A439" s="66"/>
    </row>
    <row r="440" spans="1:1" x14ac:dyDescent="0.25">
      <c r="A440" s="66"/>
    </row>
    <row r="441" spans="1:1" x14ac:dyDescent="0.25">
      <c r="A441" s="66"/>
    </row>
    <row r="442" spans="1:1" x14ac:dyDescent="0.25">
      <c r="A442" s="66"/>
    </row>
    <row r="443" spans="1:1" x14ac:dyDescent="0.25">
      <c r="A443" s="66"/>
    </row>
    <row r="444" spans="1:1" x14ac:dyDescent="0.25">
      <c r="A444" s="66"/>
    </row>
    <row r="445" spans="1:1" x14ac:dyDescent="0.25">
      <c r="A445" s="66"/>
    </row>
    <row r="446" spans="1:1" x14ac:dyDescent="0.25">
      <c r="A446" s="66"/>
    </row>
    <row r="447" spans="1:1" x14ac:dyDescent="0.25">
      <c r="A447" s="66"/>
    </row>
    <row r="448" spans="1:1" x14ac:dyDescent="0.25">
      <c r="A448" s="66"/>
    </row>
    <row r="449" spans="1:1" x14ac:dyDescent="0.25">
      <c r="A449" s="66"/>
    </row>
    <row r="450" spans="1:1" x14ac:dyDescent="0.25">
      <c r="A450" s="66"/>
    </row>
    <row r="451" spans="1:1" x14ac:dyDescent="0.25">
      <c r="A451" s="66"/>
    </row>
    <row r="452" spans="1:1" x14ac:dyDescent="0.25">
      <c r="A452" s="66"/>
    </row>
    <row r="453" spans="1:1" x14ac:dyDescent="0.25">
      <c r="A453" s="66"/>
    </row>
    <row r="454" spans="1:1" x14ac:dyDescent="0.25">
      <c r="A454" s="66"/>
    </row>
    <row r="455" spans="1:1" x14ac:dyDescent="0.25">
      <c r="A455" s="66"/>
    </row>
    <row r="456" spans="1:1" x14ac:dyDescent="0.25">
      <c r="A456" s="66"/>
    </row>
    <row r="457" spans="1:1" x14ac:dyDescent="0.25">
      <c r="A457" s="66"/>
    </row>
    <row r="458" spans="1:1" x14ac:dyDescent="0.25">
      <c r="A458" s="66"/>
    </row>
    <row r="459" spans="1:1" x14ac:dyDescent="0.25">
      <c r="A459" s="66"/>
    </row>
    <row r="460" spans="1:1" x14ac:dyDescent="0.25">
      <c r="A460" s="66"/>
    </row>
    <row r="461" spans="1:1" x14ac:dyDescent="0.25">
      <c r="A461" s="66"/>
    </row>
    <row r="462" spans="1:1" x14ac:dyDescent="0.25">
      <c r="A462" s="66"/>
    </row>
    <row r="463" spans="1:1" x14ac:dyDescent="0.25">
      <c r="A463" s="66"/>
    </row>
    <row r="464" spans="1:1" x14ac:dyDescent="0.25">
      <c r="A464" s="66"/>
    </row>
    <row r="465" spans="1:1" x14ac:dyDescent="0.25">
      <c r="A465" s="66"/>
    </row>
    <row r="466" spans="1:1" x14ac:dyDescent="0.25">
      <c r="A466" s="66"/>
    </row>
    <row r="467" spans="1:1" x14ac:dyDescent="0.25">
      <c r="A467" s="66"/>
    </row>
    <row r="468" spans="1:1" x14ac:dyDescent="0.25">
      <c r="A468" s="66"/>
    </row>
    <row r="469" spans="1:1" x14ac:dyDescent="0.25">
      <c r="A469" s="66"/>
    </row>
    <row r="470" spans="1:1" x14ac:dyDescent="0.25">
      <c r="A470" s="66"/>
    </row>
    <row r="471" spans="1:1" x14ac:dyDescent="0.25">
      <c r="A471" s="66"/>
    </row>
    <row r="472" spans="1:1" x14ac:dyDescent="0.25">
      <c r="A472" s="66"/>
    </row>
    <row r="473" spans="1:1" x14ac:dyDescent="0.25">
      <c r="A473" s="66"/>
    </row>
    <row r="474" spans="1:1" x14ac:dyDescent="0.25">
      <c r="A474" s="66"/>
    </row>
    <row r="475" spans="1:1" x14ac:dyDescent="0.25">
      <c r="A475" s="66"/>
    </row>
    <row r="476" spans="1:1" x14ac:dyDescent="0.25">
      <c r="A476" s="66"/>
    </row>
    <row r="477" spans="1:1" x14ac:dyDescent="0.25">
      <c r="A477" s="66"/>
    </row>
    <row r="478" spans="1:1" x14ac:dyDescent="0.25">
      <c r="A478" s="66"/>
    </row>
    <row r="479" spans="1:1" x14ac:dyDescent="0.25">
      <c r="A479" s="66"/>
    </row>
    <row r="480" spans="1:1" x14ac:dyDescent="0.25">
      <c r="A480" s="66"/>
    </row>
    <row r="481" spans="1:1" x14ac:dyDescent="0.25">
      <c r="A481" s="66"/>
    </row>
    <row r="482" spans="1:1" x14ac:dyDescent="0.25">
      <c r="A482" s="66"/>
    </row>
    <row r="483" spans="1:1" x14ac:dyDescent="0.25">
      <c r="A483" s="66"/>
    </row>
    <row r="484" spans="1:1" x14ac:dyDescent="0.25">
      <c r="A484" s="66"/>
    </row>
    <row r="485" spans="1:1" x14ac:dyDescent="0.25">
      <c r="A485" s="66"/>
    </row>
    <row r="486" spans="1:1" x14ac:dyDescent="0.25">
      <c r="A486" s="66"/>
    </row>
    <row r="487" spans="1:1" x14ac:dyDescent="0.25">
      <c r="A487" s="66"/>
    </row>
    <row r="488" spans="1:1" x14ac:dyDescent="0.25">
      <c r="A488" s="66"/>
    </row>
    <row r="489" spans="1:1" x14ac:dyDescent="0.25">
      <c r="A489" s="66"/>
    </row>
    <row r="490" spans="1:1" x14ac:dyDescent="0.25">
      <c r="A490" s="66"/>
    </row>
    <row r="491" spans="1:1" x14ac:dyDescent="0.25">
      <c r="A491" s="66"/>
    </row>
    <row r="492" spans="1:1" x14ac:dyDescent="0.25">
      <c r="A492" s="66"/>
    </row>
    <row r="493" spans="1:1" x14ac:dyDescent="0.25">
      <c r="A493" s="66"/>
    </row>
    <row r="494" spans="1:1" x14ac:dyDescent="0.25">
      <c r="A494" s="66"/>
    </row>
    <row r="495" spans="1:1" x14ac:dyDescent="0.25">
      <c r="A495" s="66"/>
    </row>
    <row r="496" spans="1:1" x14ac:dyDescent="0.25">
      <c r="A496" s="66"/>
    </row>
    <row r="497" spans="1:1" x14ac:dyDescent="0.25">
      <c r="A497" s="66"/>
    </row>
    <row r="498" spans="1:1" x14ac:dyDescent="0.25">
      <c r="A498" s="66"/>
    </row>
    <row r="499" spans="1:1" x14ac:dyDescent="0.25">
      <c r="A499" s="66"/>
    </row>
    <row r="500" spans="1:1" x14ac:dyDescent="0.25">
      <c r="A500" s="66"/>
    </row>
    <row r="501" spans="1:1" x14ac:dyDescent="0.25">
      <c r="A501" s="66"/>
    </row>
    <row r="502" spans="1:1" x14ac:dyDescent="0.25">
      <c r="A502" s="66"/>
    </row>
    <row r="503" spans="1:1" x14ac:dyDescent="0.25">
      <c r="A503" s="66"/>
    </row>
    <row r="504" spans="1:1" x14ac:dyDescent="0.25">
      <c r="A504" s="66"/>
    </row>
    <row r="505" spans="1:1" x14ac:dyDescent="0.25">
      <c r="A505" s="66"/>
    </row>
    <row r="506" spans="1:1" x14ac:dyDescent="0.25">
      <c r="A506" s="66"/>
    </row>
    <row r="507" spans="1:1" x14ac:dyDescent="0.25">
      <c r="A507" s="66"/>
    </row>
    <row r="508" spans="1:1" x14ac:dyDescent="0.25">
      <c r="A508" s="66"/>
    </row>
    <row r="509" spans="1:1" x14ac:dyDescent="0.25">
      <c r="A509" s="66"/>
    </row>
    <row r="510" spans="1:1" x14ac:dyDescent="0.25">
      <c r="A510" s="66"/>
    </row>
    <row r="511" spans="1:1" x14ac:dyDescent="0.25">
      <c r="A511" s="66"/>
    </row>
    <row r="512" spans="1:1" x14ac:dyDescent="0.25">
      <c r="A512" s="66"/>
    </row>
    <row r="513" spans="1:1" x14ac:dyDescent="0.25">
      <c r="A513" s="66"/>
    </row>
    <row r="514" spans="1:1" x14ac:dyDescent="0.25">
      <c r="A514" s="66"/>
    </row>
    <row r="515" spans="1:1" x14ac:dyDescent="0.25">
      <c r="A515" s="66"/>
    </row>
    <row r="516" spans="1:1" x14ac:dyDescent="0.25">
      <c r="A516" s="66"/>
    </row>
    <row r="517" spans="1:1" x14ac:dyDescent="0.25">
      <c r="A517" s="66"/>
    </row>
    <row r="518" spans="1:1" x14ac:dyDescent="0.25">
      <c r="A518" s="66"/>
    </row>
    <row r="519" spans="1:1" x14ac:dyDescent="0.25">
      <c r="A519" s="66"/>
    </row>
    <row r="520" spans="1:1" x14ac:dyDescent="0.25">
      <c r="A520" s="66"/>
    </row>
    <row r="521" spans="1:1" x14ac:dyDescent="0.25">
      <c r="A521" s="66"/>
    </row>
    <row r="522" spans="1:1" x14ac:dyDescent="0.25">
      <c r="A522" s="66"/>
    </row>
    <row r="523" spans="1:1" x14ac:dyDescent="0.25">
      <c r="A523" s="66"/>
    </row>
    <row r="524" spans="1:1" x14ac:dyDescent="0.25">
      <c r="A524" s="66"/>
    </row>
    <row r="525" spans="1:1" x14ac:dyDescent="0.25">
      <c r="A525" s="66"/>
    </row>
    <row r="526" spans="1:1" x14ac:dyDescent="0.25">
      <c r="A526" s="66"/>
    </row>
    <row r="527" spans="1:1" x14ac:dyDescent="0.25">
      <c r="A527" s="66"/>
    </row>
    <row r="528" spans="1:1" x14ac:dyDescent="0.25">
      <c r="A528" s="66"/>
    </row>
    <row r="529" spans="1:1" x14ac:dyDescent="0.25">
      <c r="A529" s="66"/>
    </row>
    <row r="530" spans="1:1" x14ac:dyDescent="0.25">
      <c r="A530" s="66"/>
    </row>
    <row r="531" spans="1:1" x14ac:dyDescent="0.25">
      <c r="A531" s="66"/>
    </row>
    <row r="532" spans="1:1" x14ac:dyDescent="0.25">
      <c r="A532" s="66"/>
    </row>
    <row r="533" spans="1:1" x14ac:dyDescent="0.25">
      <c r="A533" s="66"/>
    </row>
    <row r="534" spans="1:1" x14ac:dyDescent="0.25">
      <c r="A534" s="66"/>
    </row>
    <row r="535" spans="1:1" x14ac:dyDescent="0.25">
      <c r="A535" s="66"/>
    </row>
    <row r="536" spans="1:1" x14ac:dyDescent="0.25">
      <c r="A536" s="66"/>
    </row>
    <row r="537" spans="1:1" x14ac:dyDescent="0.25">
      <c r="A537" s="66"/>
    </row>
    <row r="538" spans="1:1" x14ac:dyDescent="0.25">
      <c r="A538" s="66"/>
    </row>
    <row r="539" spans="1:1" x14ac:dyDescent="0.25">
      <c r="A539" s="66"/>
    </row>
    <row r="540" spans="1:1" x14ac:dyDescent="0.25">
      <c r="A540" s="66"/>
    </row>
    <row r="541" spans="1:1" x14ac:dyDescent="0.25">
      <c r="A541" s="66"/>
    </row>
    <row r="542" spans="1:1" x14ac:dyDescent="0.25">
      <c r="A542" s="66"/>
    </row>
    <row r="543" spans="1:1" x14ac:dyDescent="0.25">
      <c r="A543" s="66"/>
    </row>
    <row r="544" spans="1:1" x14ac:dyDescent="0.25">
      <c r="A544" s="66"/>
    </row>
    <row r="545" spans="1:1" x14ac:dyDescent="0.25">
      <c r="A545" s="66"/>
    </row>
    <row r="546" spans="1:1" x14ac:dyDescent="0.25">
      <c r="A546" s="66"/>
    </row>
    <row r="547" spans="1:1" x14ac:dyDescent="0.25">
      <c r="A547" s="66"/>
    </row>
    <row r="548" spans="1:1" x14ac:dyDescent="0.25">
      <c r="A548" s="66"/>
    </row>
    <row r="549" spans="1:1" x14ac:dyDescent="0.25">
      <c r="A549" s="66"/>
    </row>
    <row r="550" spans="1:1" x14ac:dyDescent="0.25">
      <c r="A550" s="66"/>
    </row>
    <row r="551" spans="1:1" x14ac:dyDescent="0.25">
      <c r="A551" s="66"/>
    </row>
    <row r="552" spans="1:1" x14ac:dyDescent="0.25">
      <c r="A552" s="66"/>
    </row>
    <row r="553" spans="1:1" x14ac:dyDescent="0.25">
      <c r="A553" s="66"/>
    </row>
    <row r="554" spans="1:1" x14ac:dyDescent="0.25">
      <c r="A554" s="66"/>
    </row>
    <row r="555" spans="1:1" x14ac:dyDescent="0.25">
      <c r="A555" s="66"/>
    </row>
    <row r="556" spans="1:1" x14ac:dyDescent="0.25">
      <c r="A556" s="66"/>
    </row>
    <row r="557" spans="1:1" x14ac:dyDescent="0.25">
      <c r="A557" s="66"/>
    </row>
    <row r="558" spans="1:1" x14ac:dyDescent="0.25">
      <c r="A558" s="66"/>
    </row>
    <row r="559" spans="1:1" x14ac:dyDescent="0.25">
      <c r="A559" s="66"/>
    </row>
    <row r="560" spans="1:1" x14ac:dyDescent="0.25">
      <c r="A560" s="66"/>
    </row>
    <row r="561" spans="1:1" x14ac:dyDescent="0.25">
      <c r="A561" s="66"/>
    </row>
    <row r="562" spans="1:1" x14ac:dyDescent="0.25">
      <c r="A562" s="66"/>
    </row>
    <row r="563" spans="1:1" x14ac:dyDescent="0.25">
      <c r="A563" s="66"/>
    </row>
    <row r="564" spans="1:1" x14ac:dyDescent="0.25">
      <c r="A564" s="66"/>
    </row>
    <row r="565" spans="1:1" x14ac:dyDescent="0.25">
      <c r="A565" s="66"/>
    </row>
    <row r="566" spans="1:1" x14ac:dyDescent="0.25">
      <c r="A566" s="66"/>
    </row>
    <row r="567" spans="1:1" x14ac:dyDescent="0.25">
      <c r="A567" s="66"/>
    </row>
    <row r="568" spans="1:1" x14ac:dyDescent="0.25">
      <c r="A568" s="66"/>
    </row>
    <row r="569" spans="1:1" x14ac:dyDescent="0.25">
      <c r="A569" s="66"/>
    </row>
    <row r="570" spans="1:1" x14ac:dyDescent="0.25">
      <c r="A570" s="66"/>
    </row>
    <row r="571" spans="1:1" x14ac:dyDescent="0.25">
      <c r="A571" s="66"/>
    </row>
    <row r="572" spans="1:1" x14ac:dyDescent="0.25">
      <c r="A572" s="66"/>
    </row>
    <row r="573" spans="1:1" x14ac:dyDescent="0.25">
      <c r="A573" s="66"/>
    </row>
    <row r="574" spans="1:1" x14ac:dyDescent="0.25">
      <c r="A574" s="66"/>
    </row>
    <row r="575" spans="1:1" x14ac:dyDescent="0.25">
      <c r="A575" s="66"/>
    </row>
    <row r="576" spans="1:1" x14ac:dyDescent="0.25">
      <c r="A576" s="66"/>
    </row>
    <row r="577" spans="1:1" x14ac:dyDescent="0.25">
      <c r="A577" s="66"/>
    </row>
    <row r="578" spans="1:1" x14ac:dyDescent="0.25">
      <c r="A578" s="66"/>
    </row>
    <row r="579" spans="1:1" x14ac:dyDescent="0.25">
      <c r="A579" s="66"/>
    </row>
    <row r="580" spans="1:1" x14ac:dyDescent="0.25">
      <c r="A580" s="66"/>
    </row>
    <row r="581" spans="1:1" x14ac:dyDescent="0.25">
      <c r="A581" s="66"/>
    </row>
    <row r="582" spans="1:1" x14ac:dyDescent="0.25">
      <c r="A582" s="66"/>
    </row>
    <row r="583" spans="1:1" x14ac:dyDescent="0.25">
      <c r="A583" s="66"/>
    </row>
    <row r="584" spans="1:1" x14ac:dyDescent="0.25">
      <c r="A584" s="66"/>
    </row>
    <row r="585" spans="1:1" x14ac:dyDescent="0.25">
      <c r="A585" s="66"/>
    </row>
    <row r="586" spans="1:1" x14ac:dyDescent="0.25">
      <c r="A586" s="66"/>
    </row>
    <row r="587" spans="1:1" x14ac:dyDescent="0.25">
      <c r="A587" s="66"/>
    </row>
    <row r="588" spans="1:1" x14ac:dyDescent="0.25">
      <c r="A588" s="66"/>
    </row>
    <row r="589" spans="1:1" x14ac:dyDescent="0.25">
      <c r="A589" s="66"/>
    </row>
    <row r="590" spans="1:1" x14ac:dyDescent="0.25">
      <c r="A590" s="66"/>
    </row>
    <row r="591" spans="1:1" x14ac:dyDescent="0.25">
      <c r="A591" s="66"/>
    </row>
    <row r="592" spans="1:1" x14ac:dyDescent="0.25">
      <c r="A592" s="66"/>
    </row>
    <row r="593" spans="1:1" x14ac:dyDescent="0.25">
      <c r="A593" s="66"/>
    </row>
    <row r="594" spans="1:1" x14ac:dyDescent="0.25">
      <c r="A594" s="66"/>
    </row>
    <row r="595" spans="1:1" x14ac:dyDescent="0.25">
      <c r="A595" s="66"/>
    </row>
    <row r="596" spans="1:1" x14ac:dyDescent="0.25">
      <c r="A596" s="66"/>
    </row>
    <row r="597" spans="1:1" x14ac:dyDescent="0.25">
      <c r="A597" s="66"/>
    </row>
    <row r="598" spans="1:1" x14ac:dyDescent="0.25">
      <c r="A598" s="66"/>
    </row>
    <row r="599" spans="1:1" x14ac:dyDescent="0.25">
      <c r="A599" s="66"/>
    </row>
    <row r="600" spans="1:1" x14ac:dyDescent="0.25">
      <c r="A600" s="66"/>
    </row>
    <row r="601" spans="1:1" x14ac:dyDescent="0.25">
      <c r="A601" s="66"/>
    </row>
    <row r="602" spans="1:1" x14ac:dyDescent="0.25">
      <c r="A602" s="66"/>
    </row>
    <row r="603" spans="1:1" x14ac:dyDescent="0.25">
      <c r="A603" s="66"/>
    </row>
    <row r="604" spans="1:1" x14ac:dyDescent="0.25">
      <c r="A604" s="66"/>
    </row>
    <row r="605" spans="1:1" x14ac:dyDescent="0.25">
      <c r="A605" s="66"/>
    </row>
    <row r="606" spans="1:1" x14ac:dyDescent="0.25">
      <c r="A606" s="66"/>
    </row>
    <row r="607" spans="1:1" x14ac:dyDescent="0.25">
      <c r="A607" s="66"/>
    </row>
    <row r="608" spans="1:1" x14ac:dyDescent="0.25">
      <c r="A608" s="66"/>
    </row>
    <row r="609" spans="1:1" x14ac:dyDescent="0.25">
      <c r="A609" s="66"/>
    </row>
    <row r="610" spans="1:1" x14ac:dyDescent="0.25">
      <c r="A610" s="66"/>
    </row>
    <row r="611" spans="1:1" x14ac:dyDescent="0.25">
      <c r="A611" s="66"/>
    </row>
    <row r="612" spans="1:1" x14ac:dyDescent="0.25">
      <c r="A612" s="66"/>
    </row>
    <row r="613" spans="1:1" x14ac:dyDescent="0.25">
      <c r="A613" s="66"/>
    </row>
    <row r="614" spans="1:1" x14ac:dyDescent="0.25">
      <c r="A614" s="66"/>
    </row>
    <row r="615" spans="1:1" x14ac:dyDescent="0.25">
      <c r="A615" s="66"/>
    </row>
    <row r="616" spans="1:1" x14ac:dyDescent="0.25">
      <c r="A616" s="66"/>
    </row>
    <row r="617" spans="1:1" x14ac:dyDescent="0.25">
      <c r="A617" s="66"/>
    </row>
    <row r="618" spans="1:1" x14ac:dyDescent="0.25">
      <c r="A618" s="66"/>
    </row>
    <row r="619" spans="1:1" x14ac:dyDescent="0.25">
      <c r="A619" s="66"/>
    </row>
    <row r="620" spans="1:1" x14ac:dyDescent="0.25">
      <c r="A620" s="66"/>
    </row>
    <row r="621" spans="1:1" x14ac:dyDescent="0.25">
      <c r="A621" s="66"/>
    </row>
    <row r="622" spans="1:1" x14ac:dyDescent="0.25">
      <c r="A622" s="66"/>
    </row>
    <row r="623" spans="1:1" x14ac:dyDescent="0.25">
      <c r="A623" s="66"/>
    </row>
    <row r="624" spans="1:1" x14ac:dyDescent="0.25">
      <c r="A624" s="66"/>
    </row>
    <row r="625" spans="1:1" x14ac:dyDescent="0.25">
      <c r="A625" s="66"/>
    </row>
    <row r="626" spans="1:1" x14ac:dyDescent="0.25">
      <c r="A626" s="66"/>
    </row>
    <row r="627" spans="1:1" x14ac:dyDescent="0.25">
      <c r="A627" s="66"/>
    </row>
    <row r="628" spans="1:1" x14ac:dyDescent="0.25">
      <c r="A628" s="66"/>
    </row>
    <row r="629" spans="1:1" x14ac:dyDescent="0.25">
      <c r="A629" s="66"/>
    </row>
    <row r="630" spans="1:1" x14ac:dyDescent="0.25">
      <c r="A630" s="66"/>
    </row>
    <row r="631" spans="1:1" x14ac:dyDescent="0.25">
      <c r="A631" s="66"/>
    </row>
    <row r="632" spans="1:1" x14ac:dyDescent="0.25">
      <c r="A632" s="66"/>
    </row>
    <row r="633" spans="1:1" x14ac:dyDescent="0.25">
      <c r="A633" s="66"/>
    </row>
    <row r="634" spans="1:1" x14ac:dyDescent="0.25">
      <c r="A634" s="66"/>
    </row>
    <row r="635" spans="1:1" x14ac:dyDescent="0.25">
      <c r="A635" s="66"/>
    </row>
    <row r="636" spans="1:1" x14ac:dyDescent="0.25">
      <c r="A636" s="66"/>
    </row>
    <row r="637" spans="1:1" x14ac:dyDescent="0.25">
      <c r="A637" s="66"/>
    </row>
    <row r="638" spans="1:1" x14ac:dyDescent="0.25">
      <c r="A638" s="66"/>
    </row>
    <row r="639" spans="1:1" x14ac:dyDescent="0.25">
      <c r="A639" s="66"/>
    </row>
    <row r="640" spans="1:1" x14ac:dyDescent="0.25">
      <c r="A640" s="66"/>
    </row>
    <row r="641" spans="1:1" x14ac:dyDescent="0.25">
      <c r="A641" s="66"/>
    </row>
    <row r="642" spans="1:1" x14ac:dyDescent="0.25">
      <c r="A642" s="66"/>
    </row>
    <row r="643" spans="1:1" x14ac:dyDescent="0.25">
      <c r="A643" s="66"/>
    </row>
    <row r="644" spans="1:1" x14ac:dyDescent="0.25">
      <c r="A644" s="66"/>
    </row>
    <row r="645" spans="1:1" x14ac:dyDescent="0.25">
      <c r="A645" s="66"/>
    </row>
    <row r="646" spans="1:1" x14ac:dyDescent="0.25">
      <c r="A646" s="66"/>
    </row>
    <row r="647" spans="1:1" x14ac:dyDescent="0.25">
      <c r="A647" s="66"/>
    </row>
    <row r="648" spans="1:1" x14ac:dyDescent="0.25">
      <c r="A648" s="66"/>
    </row>
    <row r="649" spans="1:1" x14ac:dyDescent="0.25">
      <c r="A649" s="66"/>
    </row>
    <row r="650" spans="1:1" x14ac:dyDescent="0.25">
      <c r="A650" s="66"/>
    </row>
    <row r="651" spans="1:1" x14ac:dyDescent="0.25">
      <c r="A651" s="66"/>
    </row>
    <row r="652" spans="1:1" x14ac:dyDescent="0.25">
      <c r="A652" s="66"/>
    </row>
    <row r="653" spans="1:1" x14ac:dyDescent="0.25">
      <c r="A653" s="66"/>
    </row>
    <row r="654" spans="1:1" x14ac:dyDescent="0.25">
      <c r="A654" s="66"/>
    </row>
    <row r="655" spans="1:1" x14ac:dyDescent="0.25">
      <c r="A655" s="66"/>
    </row>
    <row r="656" spans="1:1" x14ac:dyDescent="0.25">
      <c r="A656" s="66"/>
    </row>
    <row r="657" spans="1:1" x14ac:dyDescent="0.25">
      <c r="A657" s="66"/>
    </row>
    <row r="658" spans="1:1" x14ac:dyDescent="0.25">
      <c r="A658" s="66"/>
    </row>
    <row r="659" spans="1:1" x14ac:dyDescent="0.25">
      <c r="A659" s="66"/>
    </row>
    <row r="660" spans="1:1" x14ac:dyDescent="0.25">
      <c r="A660" s="66"/>
    </row>
    <row r="661" spans="1:1" x14ac:dyDescent="0.25">
      <c r="A661" s="66"/>
    </row>
    <row r="662" spans="1:1" x14ac:dyDescent="0.25">
      <c r="A662" s="66"/>
    </row>
    <row r="663" spans="1:1" x14ac:dyDescent="0.25">
      <c r="A663" s="66"/>
    </row>
    <row r="664" spans="1:1" x14ac:dyDescent="0.25">
      <c r="A664" s="66"/>
    </row>
    <row r="665" spans="1:1" x14ac:dyDescent="0.25">
      <c r="A665" s="66"/>
    </row>
    <row r="666" spans="1:1" x14ac:dyDescent="0.25">
      <c r="A666" s="66"/>
    </row>
    <row r="667" spans="1:1" x14ac:dyDescent="0.25">
      <c r="A667" s="66"/>
    </row>
    <row r="668" spans="1:1" x14ac:dyDescent="0.25">
      <c r="A668" s="66"/>
    </row>
    <row r="669" spans="1:1" x14ac:dyDescent="0.25">
      <c r="A669" s="66"/>
    </row>
    <row r="670" spans="1:1" x14ac:dyDescent="0.25">
      <c r="A670" s="66"/>
    </row>
    <row r="671" spans="1:1" x14ac:dyDescent="0.25">
      <c r="A671" s="66"/>
    </row>
    <row r="672" spans="1:1" x14ac:dyDescent="0.25">
      <c r="A672" s="66"/>
    </row>
    <row r="673" spans="1:1" x14ac:dyDescent="0.25">
      <c r="A673" s="66"/>
    </row>
    <row r="674" spans="1:1" x14ac:dyDescent="0.25">
      <c r="A674" s="66"/>
    </row>
    <row r="675" spans="1:1" x14ac:dyDescent="0.25">
      <c r="A675" s="66"/>
    </row>
    <row r="676" spans="1:1" x14ac:dyDescent="0.25">
      <c r="A676" s="66"/>
    </row>
    <row r="677" spans="1:1" x14ac:dyDescent="0.25">
      <c r="A677" s="66"/>
    </row>
    <row r="678" spans="1:1" x14ac:dyDescent="0.25">
      <c r="A678" s="66"/>
    </row>
    <row r="679" spans="1:1" x14ac:dyDescent="0.25">
      <c r="A679" s="66"/>
    </row>
    <row r="680" spans="1:1" x14ac:dyDescent="0.25">
      <c r="A680" s="66"/>
    </row>
    <row r="681" spans="1:1" x14ac:dyDescent="0.25">
      <c r="A681" s="66"/>
    </row>
    <row r="682" spans="1:1" x14ac:dyDescent="0.25">
      <c r="A682" s="66"/>
    </row>
    <row r="683" spans="1:1" x14ac:dyDescent="0.25">
      <c r="A683" s="66"/>
    </row>
    <row r="684" spans="1:1" x14ac:dyDescent="0.25">
      <c r="A684" s="66"/>
    </row>
    <row r="685" spans="1:1" x14ac:dyDescent="0.25">
      <c r="A685" s="66"/>
    </row>
    <row r="686" spans="1:1" x14ac:dyDescent="0.25">
      <c r="A686" s="66"/>
    </row>
    <row r="687" spans="1:1" x14ac:dyDescent="0.25">
      <c r="A687" s="66"/>
    </row>
    <row r="688" spans="1:1" x14ac:dyDescent="0.25">
      <c r="A688" s="66"/>
    </row>
    <row r="689" spans="1:1" x14ac:dyDescent="0.25">
      <c r="A689" s="66"/>
    </row>
    <row r="690" spans="1:1" x14ac:dyDescent="0.25">
      <c r="A690" s="66"/>
    </row>
    <row r="691" spans="1:1" x14ac:dyDescent="0.25">
      <c r="A691" s="66"/>
    </row>
    <row r="692" spans="1:1" x14ac:dyDescent="0.25">
      <c r="A692" s="66"/>
    </row>
    <row r="693" spans="1:1" x14ac:dyDescent="0.25">
      <c r="A693" s="66"/>
    </row>
    <row r="694" spans="1:1" x14ac:dyDescent="0.25">
      <c r="A694" s="66"/>
    </row>
    <row r="695" spans="1:1" x14ac:dyDescent="0.25">
      <c r="A695" s="66"/>
    </row>
    <row r="696" spans="1:1" x14ac:dyDescent="0.25">
      <c r="A696" s="66"/>
    </row>
    <row r="697" spans="1:1" x14ac:dyDescent="0.25">
      <c r="A697" s="66"/>
    </row>
    <row r="698" spans="1:1" x14ac:dyDescent="0.25">
      <c r="A698" s="66"/>
    </row>
    <row r="699" spans="1:1" x14ac:dyDescent="0.25">
      <c r="A699" s="66"/>
    </row>
    <row r="700" spans="1:1" x14ac:dyDescent="0.25">
      <c r="A700" s="66"/>
    </row>
    <row r="701" spans="1:1" x14ac:dyDescent="0.25">
      <c r="A701" s="66"/>
    </row>
    <row r="702" spans="1:1" x14ac:dyDescent="0.25">
      <c r="A702" s="66"/>
    </row>
    <row r="703" spans="1:1" x14ac:dyDescent="0.25">
      <c r="A703" s="66"/>
    </row>
    <row r="704" spans="1:1" x14ac:dyDescent="0.25">
      <c r="A704" s="66"/>
    </row>
    <row r="705" spans="1:1" x14ac:dyDescent="0.25">
      <c r="A705" s="66"/>
    </row>
    <row r="706" spans="1:1" x14ac:dyDescent="0.25">
      <c r="A706" s="66"/>
    </row>
    <row r="707" spans="1:1" x14ac:dyDescent="0.25">
      <c r="A707" s="66"/>
    </row>
    <row r="708" spans="1:1" x14ac:dyDescent="0.25">
      <c r="A708" s="66"/>
    </row>
    <row r="709" spans="1:1" x14ac:dyDescent="0.25">
      <c r="A709" s="66"/>
    </row>
    <row r="710" spans="1:1" x14ac:dyDescent="0.25">
      <c r="A710" s="66"/>
    </row>
    <row r="711" spans="1:1" x14ac:dyDescent="0.25">
      <c r="A711" s="66"/>
    </row>
    <row r="712" spans="1:1" x14ac:dyDescent="0.25">
      <c r="A712" s="66"/>
    </row>
    <row r="713" spans="1:1" x14ac:dyDescent="0.25">
      <c r="A713" s="66"/>
    </row>
    <row r="714" spans="1:1" x14ac:dyDescent="0.25">
      <c r="A714" s="66"/>
    </row>
    <row r="715" spans="1:1" x14ac:dyDescent="0.25">
      <c r="A715" s="66"/>
    </row>
    <row r="716" spans="1:1" x14ac:dyDescent="0.25">
      <c r="A716" s="66"/>
    </row>
    <row r="717" spans="1:1" x14ac:dyDescent="0.25">
      <c r="A717" s="66"/>
    </row>
    <row r="718" spans="1:1" x14ac:dyDescent="0.25">
      <c r="A718" s="66"/>
    </row>
    <row r="719" spans="1:1" x14ac:dyDescent="0.25">
      <c r="A719" s="66"/>
    </row>
    <row r="720" spans="1:1" x14ac:dyDescent="0.25">
      <c r="A720" s="66"/>
    </row>
    <row r="721" spans="1:1" x14ac:dyDescent="0.25">
      <c r="A721" s="66"/>
    </row>
    <row r="722" spans="1:1" x14ac:dyDescent="0.25">
      <c r="A722" s="66"/>
    </row>
    <row r="723" spans="1:1" x14ac:dyDescent="0.25">
      <c r="A723" s="66"/>
    </row>
    <row r="724" spans="1:1" x14ac:dyDescent="0.25">
      <c r="A724" s="66"/>
    </row>
    <row r="725" spans="1:1" x14ac:dyDescent="0.25">
      <c r="A725" s="66"/>
    </row>
    <row r="726" spans="1:1" x14ac:dyDescent="0.25">
      <c r="A726" s="66"/>
    </row>
    <row r="727" spans="1:1" x14ac:dyDescent="0.25">
      <c r="A727" s="66"/>
    </row>
    <row r="728" spans="1:1" x14ac:dyDescent="0.25">
      <c r="A728" s="66"/>
    </row>
    <row r="729" spans="1:1" x14ac:dyDescent="0.25">
      <c r="A729" s="66"/>
    </row>
    <row r="730" spans="1:1" x14ac:dyDescent="0.25">
      <c r="A730" s="66"/>
    </row>
    <row r="731" spans="1:1" x14ac:dyDescent="0.25">
      <c r="A731" s="66"/>
    </row>
    <row r="732" spans="1:1" x14ac:dyDescent="0.25">
      <c r="A732" s="66"/>
    </row>
    <row r="733" spans="1:1" x14ac:dyDescent="0.25">
      <c r="A733" s="66"/>
    </row>
    <row r="734" spans="1:1" x14ac:dyDescent="0.25">
      <c r="A734" s="66"/>
    </row>
    <row r="735" spans="1:1" x14ac:dyDescent="0.25">
      <c r="A735" s="66"/>
    </row>
    <row r="736" spans="1:1" x14ac:dyDescent="0.25">
      <c r="A736" s="66"/>
    </row>
    <row r="737" spans="1:1" x14ac:dyDescent="0.25">
      <c r="A737" s="66"/>
    </row>
    <row r="738" spans="1:1" x14ac:dyDescent="0.25">
      <c r="A738" s="66"/>
    </row>
    <row r="739" spans="1:1" x14ac:dyDescent="0.25">
      <c r="A739" s="66"/>
    </row>
    <row r="740" spans="1:1" x14ac:dyDescent="0.25">
      <c r="A740" s="66"/>
    </row>
    <row r="741" spans="1:1" x14ac:dyDescent="0.25">
      <c r="A741" s="66"/>
    </row>
    <row r="742" spans="1:1" x14ac:dyDescent="0.25">
      <c r="A742" s="66"/>
    </row>
    <row r="743" spans="1:1" x14ac:dyDescent="0.25">
      <c r="A743" s="66"/>
    </row>
    <row r="744" spans="1:1" x14ac:dyDescent="0.25">
      <c r="A744" s="66"/>
    </row>
    <row r="745" spans="1:1" x14ac:dyDescent="0.25">
      <c r="A745" s="66"/>
    </row>
    <row r="746" spans="1:1" x14ac:dyDescent="0.25">
      <c r="A746" s="66"/>
    </row>
    <row r="747" spans="1:1" x14ac:dyDescent="0.25">
      <c r="A747" s="66"/>
    </row>
    <row r="748" spans="1:1" x14ac:dyDescent="0.25">
      <c r="A748" s="66"/>
    </row>
    <row r="749" spans="1:1" x14ac:dyDescent="0.25">
      <c r="A749" s="66"/>
    </row>
    <row r="750" spans="1:1" x14ac:dyDescent="0.25">
      <c r="A750" s="66"/>
    </row>
    <row r="751" spans="1:1" x14ac:dyDescent="0.25">
      <c r="A751" s="66"/>
    </row>
    <row r="752" spans="1:1" x14ac:dyDescent="0.25">
      <c r="A752" s="66"/>
    </row>
    <row r="753" spans="1:1" x14ac:dyDescent="0.25">
      <c r="A753" s="66"/>
    </row>
    <row r="754" spans="1:1" x14ac:dyDescent="0.25">
      <c r="A754" s="66"/>
    </row>
    <row r="755" spans="1:1" x14ac:dyDescent="0.25">
      <c r="A755" s="66"/>
    </row>
    <row r="756" spans="1:1" x14ac:dyDescent="0.25">
      <c r="A756" s="66"/>
    </row>
    <row r="757" spans="1:1" x14ac:dyDescent="0.25">
      <c r="A757" s="66"/>
    </row>
    <row r="758" spans="1:1" x14ac:dyDescent="0.25">
      <c r="A758" s="66"/>
    </row>
    <row r="759" spans="1:1" x14ac:dyDescent="0.25">
      <c r="A759" s="66"/>
    </row>
    <row r="760" spans="1:1" x14ac:dyDescent="0.25">
      <c r="A760" s="66"/>
    </row>
    <row r="761" spans="1:1" x14ac:dyDescent="0.25">
      <c r="A761" s="66"/>
    </row>
    <row r="762" spans="1:1" x14ac:dyDescent="0.25">
      <c r="A762" s="66"/>
    </row>
    <row r="763" spans="1:1" x14ac:dyDescent="0.25">
      <c r="A763" s="66"/>
    </row>
    <row r="764" spans="1:1" x14ac:dyDescent="0.25">
      <c r="A764" s="66"/>
    </row>
    <row r="765" spans="1:1" x14ac:dyDescent="0.25">
      <c r="A765" s="66"/>
    </row>
    <row r="766" spans="1:1" x14ac:dyDescent="0.25">
      <c r="A766" s="66"/>
    </row>
    <row r="767" spans="1:1" x14ac:dyDescent="0.25">
      <c r="A767" s="66"/>
    </row>
    <row r="768" spans="1:1" x14ac:dyDescent="0.25">
      <c r="A768" s="66"/>
    </row>
    <row r="769" spans="1:1" x14ac:dyDescent="0.25">
      <c r="A769" s="66"/>
    </row>
    <row r="770" spans="1:1" x14ac:dyDescent="0.25">
      <c r="A770" s="66"/>
    </row>
    <row r="771" spans="1:1" x14ac:dyDescent="0.25">
      <c r="A771" s="66"/>
    </row>
    <row r="772" spans="1:1" x14ac:dyDescent="0.25">
      <c r="A772" s="66"/>
    </row>
    <row r="773" spans="1:1" x14ac:dyDescent="0.25">
      <c r="A773" s="66"/>
    </row>
    <row r="774" spans="1:1" x14ac:dyDescent="0.25">
      <c r="A774" s="66"/>
    </row>
    <row r="775" spans="1:1" x14ac:dyDescent="0.25">
      <c r="A775" s="66"/>
    </row>
    <row r="776" spans="1:1" x14ac:dyDescent="0.25">
      <c r="A776" s="66"/>
    </row>
    <row r="777" spans="1:1" x14ac:dyDescent="0.25">
      <c r="A777" s="66"/>
    </row>
    <row r="778" spans="1:1" x14ac:dyDescent="0.25">
      <c r="A778" s="66"/>
    </row>
    <row r="779" spans="1:1" x14ac:dyDescent="0.25">
      <c r="A779" s="66"/>
    </row>
    <row r="780" spans="1:1" x14ac:dyDescent="0.25">
      <c r="A780" s="66"/>
    </row>
    <row r="781" spans="1:1" x14ac:dyDescent="0.25">
      <c r="A781" s="66"/>
    </row>
    <row r="782" spans="1:1" x14ac:dyDescent="0.25">
      <c r="A782" s="66"/>
    </row>
    <row r="783" spans="1:1" x14ac:dyDescent="0.25">
      <c r="A783" s="66"/>
    </row>
    <row r="784" spans="1:1" x14ac:dyDescent="0.25">
      <c r="A784" s="66"/>
    </row>
    <row r="785" spans="1:1" x14ac:dyDescent="0.25">
      <c r="A785" s="66"/>
    </row>
    <row r="786" spans="1:1" x14ac:dyDescent="0.25">
      <c r="A786" s="66"/>
    </row>
    <row r="787" spans="1:1" x14ac:dyDescent="0.25">
      <c r="A787" s="66"/>
    </row>
    <row r="788" spans="1:1" x14ac:dyDescent="0.25">
      <c r="A788" s="66"/>
    </row>
    <row r="789" spans="1:1" x14ac:dyDescent="0.25">
      <c r="A789" s="66"/>
    </row>
    <row r="790" spans="1:1" x14ac:dyDescent="0.25">
      <c r="A790" s="66"/>
    </row>
    <row r="791" spans="1:1" x14ac:dyDescent="0.25">
      <c r="A791" s="66"/>
    </row>
    <row r="792" spans="1:1" x14ac:dyDescent="0.25">
      <c r="A792" s="66"/>
    </row>
    <row r="793" spans="1:1" x14ac:dyDescent="0.25">
      <c r="A793" s="66"/>
    </row>
    <row r="794" spans="1:1" x14ac:dyDescent="0.25">
      <c r="A794" s="66"/>
    </row>
    <row r="795" spans="1:1" x14ac:dyDescent="0.25">
      <c r="A795" s="66"/>
    </row>
    <row r="796" spans="1:1" x14ac:dyDescent="0.25">
      <c r="A796" s="66"/>
    </row>
    <row r="797" spans="1:1" x14ac:dyDescent="0.25">
      <c r="A797" s="66"/>
    </row>
    <row r="798" spans="1:1" x14ac:dyDescent="0.25">
      <c r="A798" s="66"/>
    </row>
    <row r="799" spans="1:1" x14ac:dyDescent="0.25">
      <c r="A799" s="66"/>
    </row>
    <row r="800" spans="1:1" x14ac:dyDescent="0.25">
      <c r="A800" s="66"/>
    </row>
    <row r="801" spans="1:1" x14ac:dyDescent="0.25">
      <c r="A801" s="66"/>
    </row>
    <row r="802" spans="1:1" x14ac:dyDescent="0.25">
      <c r="A802" s="66"/>
    </row>
    <row r="803" spans="1:1" x14ac:dyDescent="0.25">
      <c r="A803" s="66"/>
    </row>
    <row r="804" spans="1:1" x14ac:dyDescent="0.25">
      <c r="A804" s="66"/>
    </row>
    <row r="805" spans="1:1" x14ac:dyDescent="0.25">
      <c r="A805" s="66"/>
    </row>
    <row r="806" spans="1:1" x14ac:dyDescent="0.25">
      <c r="A806" s="66"/>
    </row>
    <row r="807" spans="1:1" x14ac:dyDescent="0.25">
      <c r="A807" s="66"/>
    </row>
    <row r="808" spans="1:1" x14ac:dyDescent="0.25">
      <c r="A808" s="66"/>
    </row>
    <row r="809" spans="1:1" x14ac:dyDescent="0.25">
      <c r="A809" s="66"/>
    </row>
    <row r="810" spans="1:1" x14ac:dyDescent="0.25">
      <c r="A810" s="66"/>
    </row>
    <row r="811" spans="1:1" x14ac:dyDescent="0.25">
      <c r="A811" s="66"/>
    </row>
    <row r="812" spans="1:1" x14ac:dyDescent="0.25">
      <c r="A812" s="66"/>
    </row>
    <row r="813" spans="1:1" x14ac:dyDescent="0.25">
      <c r="A813" s="66"/>
    </row>
    <row r="814" spans="1:1" x14ac:dyDescent="0.25">
      <c r="A814" s="66"/>
    </row>
    <row r="815" spans="1:1" x14ac:dyDescent="0.25">
      <c r="A815" s="66"/>
    </row>
    <row r="816" spans="1:1" x14ac:dyDescent="0.25">
      <c r="A816" s="66"/>
    </row>
    <row r="817" spans="1:1" x14ac:dyDescent="0.25">
      <c r="A817" s="66"/>
    </row>
    <row r="818" spans="1:1" x14ac:dyDescent="0.25">
      <c r="A818" s="66"/>
    </row>
    <row r="819" spans="1:1" x14ac:dyDescent="0.25">
      <c r="A819" s="66"/>
    </row>
    <row r="820" spans="1:1" x14ac:dyDescent="0.25">
      <c r="A820" s="66"/>
    </row>
    <row r="821" spans="1:1" x14ac:dyDescent="0.25">
      <c r="A821" s="66"/>
    </row>
    <row r="822" spans="1:1" x14ac:dyDescent="0.25">
      <c r="A822" s="66"/>
    </row>
    <row r="823" spans="1:1" x14ac:dyDescent="0.25">
      <c r="A823" s="66"/>
    </row>
    <row r="824" spans="1:1" x14ac:dyDescent="0.25">
      <c r="A824" s="66"/>
    </row>
    <row r="825" spans="1:1" x14ac:dyDescent="0.25">
      <c r="A825" s="66"/>
    </row>
    <row r="826" spans="1:1" x14ac:dyDescent="0.25">
      <c r="A826" s="66"/>
    </row>
    <row r="827" spans="1:1" x14ac:dyDescent="0.25">
      <c r="A827" s="66"/>
    </row>
    <row r="828" spans="1:1" x14ac:dyDescent="0.25">
      <c r="A828" s="66"/>
    </row>
    <row r="829" spans="1:1" x14ac:dyDescent="0.25">
      <c r="A829" s="66"/>
    </row>
    <row r="830" spans="1:1" x14ac:dyDescent="0.25">
      <c r="A830" s="66"/>
    </row>
    <row r="831" spans="1:1" x14ac:dyDescent="0.25">
      <c r="A831" s="66"/>
    </row>
    <row r="832" spans="1:1" x14ac:dyDescent="0.25">
      <c r="A832" s="66"/>
    </row>
    <row r="833" spans="1:1" x14ac:dyDescent="0.25">
      <c r="A833" s="66"/>
    </row>
    <row r="834" spans="1:1" x14ac:dyDescent="0.25">
      <c r="A834" s="66"/>
    </row>
    <row r="835" spans="1:1" x14ac:dyDescent="0.25">
      <c r="A835" s="66"/>
    </row>
    <row r="836" spans="1:1" x14ac:dyDescent="0.25">
      <c r="A836" s="66"/>
    </row>
    <row r="837" spans="1:1" x14ac:dyDescent="0.25">
      <c r="A837" s="66"/>
    </row>
    <row r="838" spans="1:1" x14ac:dyDescent="0.25">
      <c r="A838" s="66"/>
    </row>
    <row r="839" spans="1:1" x14ac:dyDescent="0.25">
      <c r="A839" s="66"/>
    </row>
    <row r="840" spans="1:1" x14ac:dyDescent="0.25">
      <c r="A840" s="66"/>
    </row>
    <row r="841" spans="1:1" x14ac:dyDescent="0.25">
      <c r="A841" s="66"/>
    </row>
    <row r="842" spans="1:1" x14ac:dyDescent="0.25">
      <c r="A842" s="66"/>
    </row>
    <row r="843" spans="1:1" x14ac:dyDescent="0.25">
      <c r="A843" s="66"/>
    </row>
    <row r="844" spans="1:1" x14ac:dyDescent="0.25">
      <c r="A844" s="66"/>
    </row>
    <row r="845" spans="1:1" x14ac:dyDescent="0.25">
      <c r="A845" s="66"/>
    </row>
    <row r="846" spans="1:1" x14ac:dyDescent="0.25">
      <c r="A846" s="66"/>
    </row>
    <row r="847" spans="1:1" x14ac:dyDescent="0.25">
      <c r="A847" s="66"/>
    </row>
    <row r="848" spans="1:1" x14ac:dyDescent="0.25">
      <c r="A848" s="66"/>
    </row>
    <row r="849" spans="1:1" x14ac:dyDescent="0.25">
      <c r="A849" s="66"/>
    </row>
    <row r="850" spans="1:1" x14ac:dyDescent="0.25">
      <c r="A850" s="66"/>
    </row>
    <row r="851" spans="1:1" x14ac:dyDescent="0.25">
      <c r="A851" s="66"/>
    </row>
    <row r="852" spans="1:1" x14ac:dyDescent="0.25">
      <c r="A852" s="66"/>
    </row>
    <row r="853" spans="1:1" x14ac:dyDescent="0.25">
      <c r="A853" s="66"/>
    </row>
    <row r="854" spans="1:1" x14ac:dyDescent="0.25">
      <c r="A854" s="66"/>
    </row>
    <row r="855" spans="1:1" x14ac:dyDescent="0.25">
      <c r="A855" s="66"/>
    </row>
    <row r="856" spans="1:1" x14ac:dyDescent="0.25">
      <c r="A856" s="66"/>
    </row>
    <row r="857" spans="1:1" x14ac:dyDescent="0.25">
      <c r="A857" s="66"/>
    </row>
    <row r="858" spans="1:1" x14ac:dyDescent="0.25">
      <c r="A858" s="66"/>
    </row>
    <row r="859" spans="1:1" x14ac:dyDescent="0.25">
      <c r="A859" s="66"/>
    </row>
    <row r="860" spans="1:1" x14ac:dyDescent="0.25">
      <c r="A860" s="66"/>
    </row>
    <row r="861" spans="1:1" x14ac:dyDescent="0.25">
      <c r="A861" s="66"/>
    </row>
    <row r="862" spans="1:1" x14ac:dyDescent="0.25">
      <c r="A862" s="66"/>
    </row>
    <row r="863" spans="1:1" x14ac:dyDescent="0.25">
      <c r="A863" s="66"/>
    </row>
    <row r="864" spans="1:1" x14ac:dyDescent="0.25">
      <c r="A864" s="66"/>
    </row>
    <row r="865" spans="1:1" x14ac:dyDescent="0.25">
      <c r="A865" s="66"/>
    </row>
    <row r="866" spans="1:1" x14ac:dyDescent="0.25">
      <c r="A866" s="66"/>
    </row>
    <row r="867" spans="1:1" x14ac:dyDescent="0.25">
      <c r="A867" s="66"/>
    </row>
    <row r="868" spans="1:1" x14ac:dyDescent="0.25">
      <c r="A868" s="66"/>
    </row>
    <row r="869" spans="1:1" x14ac:dyDescent="0.25">
      <c r="A869" s="66"/>
    </row>
    <row r="870" spans="1:1" x14ac:dyDescent="0.25">
      <c r="A870" s="66"/>
    </row>
    <row r="871" spans="1:1" x14ac:dyDescent="0.25">
      <c r="A871" s="66"/>
    </row>
    <row r="872" spans="1:1" x14ac:dyDescent="0.25">
      <c r="A872" s="66"/>
    </row>
    <row r="873" spans="1:1" x14ac:dyDescent="0.25">
      <c r="A873" s="66"/>
    </row>
    <row r="874" spans="1:1" x14ac:dyDescent="0.25">
      <c r="A874" s="66"/>
    </row>
    <row r="875" spans="1:1" x14ac:dyDescent="0.25">
      <c r="A875" s="66"/>
    </row>
    <row r="876" spans="1:1" x14ac:dyDescent="0.25">
      <c r="A876" s="66"/>
    </row>
    <row r="877" spans="1:1" x14ac:dyDescent="0.25">
      <c r="A877" s="66"/>
    </row>
    <row r="878" spans="1:1" x14ac:dyDescent="0.25">
      <c r="A878" s="66"/>
    </row>
    <row r="879" spans="1:1" x14ac:dyDescent="0.25">
      <c r="A879" s="66"/>
    </row>
    <row r="880" spans="1:1" x14ac:dyDescent="0.25">
      <c r="A880" s="66"/>
    </row>
    <row r="881" spans="1:1" x14ac:dyDescent="0.25">
      <c r="A881" s="66"/>
    </row>
    <row r="882" spans="1:1" x14ac:dyDescent="0.25">
      <c r="A882" s="66"/>
    </row>
    <row r="883" spans="1:1" x14ac:dyDescent="0.25">
      <c r="A883" s="66"/>
    </row>
    <row r="884" spans="1:1" x14ac:dyDescent="0.25">
      <c r="A884" s="66"/>
    </row>
    <row r="885" spans="1:1" x14ac:dyDescent="0.25">
      <c r="A885" s="66"/>
    </row>
    <row r="886" spans="1:1" x14ac:dyDescent="0.25">
      <c r="A886" s="66"/>
    </row>
    <row r="887" spans="1:1" x14ac:dyDescent="0.25">
      <c r="A887" s="66"/>
    </row>
    <row r="888" spans="1:1" x14ac:dyDescent="0.25">
      <c r="A888" s="66"/>
    </row>
    <row r="889" spans="1:1" x14ac:dyDescent="0.25">
      <c r="A889" s="66"/>
    </row>
    <row r="890" spans="1:1" x14ac:dyDescent="0.25">
      <c r="A890" s="66"/>
    </row>
    <row r="891" spans="1:1" x14ac:dyDescent="0.25">
      <c r="A891" s="66"/>
    </row>
    <row r="892" spans="1:1" x14ac:dyDescent="0.25">
      <c r="A892" s="66"/>
    </row>
    <row r="893" spans="1:1" x14ac:dyDescent="0.25">
      <c r="A893" s="66"/>
    </row>
    <row r="894" spans="1:1" x14ac:dyDescent="0.25">
      <c r="A894" s="66"/>
    </row>
    <row r="895" spans="1:1" x14ac:dyDescent="0.25">
      <c r="A895" s="66"/>
    </row>
    <row r="896" spans="1:1" x14ac:dyDescent="0.25">
      <c r="A896" s="66"/>
    </row>
    <row r="897" spans="1:1" x14ac:dyDescent="0.25">
      <c r="A897" s="66"/>
    </row>
    <row r="898" spans="1:1" x14ac:dyDescent="0.25">
      <c r="A898" s="66"/>
    </row>
    <row r="899" spans="1:1" x14ac:dyDescent="0.25">
      <c r="A899" s="66"/>
    </row>
    <row r="900" spans="1:1" x14ac:dyDescent="0.25">
      <c r="A900" s="66"/>
    </row>
    <row r="901" spans="1:1" x14ac:dyDescent="0.25">
      <c r="A901" s="66"/>
    </row>
    <row r="902" spans="1:1" x14ac:dyDescent="0.25">
      <c r="A902" s="66"/>
    </row>
    <row r="903" spans="1:1" x14ac:dyDescent="0.25">
      <c r="A903" s="66"/>
    </row>
    <row r="904" spans="1:1" x14ac:dyDescent="0.25">
      <c r="A904" s="66"/>
    </row>
    <row r="905" spans="1:1" x14ac:dyDescent="0.25">
      <c r="A905" s="66"/>
    </row>
    <row r="906" spans="1:1" x14ac:dyDescent="0.25">
      <c r="A906" s="66"/>
    </row>
    <row r="907" spans="1:1" x14ac:dyDescent="0.25">
      <c r="A907" s="66"/>
    </row>
    <row r="908" spans="1:1" x14ac:dyDescent="0.25">
      <c r="A908" s="66"/>
    </row>
    <row r="909" spans="1:1" x14ac:dyDescent="0.25">
      <c r="A909" s="66"/>
    </row>
    <row r="910" spans="1:1" x14ac:dyDescent="0.25">
      <c r="A910" s="66"/>
    </row>
    <row r="911" spans="1:1" x14ac:dyDescent="0.25">
      <c r="A911" s="66"/>
    </row>
    <row r="912" spans="1:1" x14ac:dyDescent="0.25">
      <c r="A912" s="66"/>
    </row>
    <row r="913" spans="1:1" x14ac:dyDescent="0.25">
      <c r="A913" s="66"/>
    </row>
    <row r="914" spans="1:1" x14ac:dyDescent="0.25">
      <c r="A914" s="66"/>
    </row>
    <row r="915" spans="1:1" x14ac:dyDescent="0.25">
      <c r="A915" s="66"/>
    </row>
    <row r="916" spans="1:1" x14ac:dyDescent="0.25">
      <c r="A916" s="66"/>
    </row>
    <row r="917" spans="1:1" x14ac:dyDescent="0.25">
      <c r="A917" s="66"/>
    </row>
    <row r="918" spans="1:1" x14ac:dyDescent="0.25">
      <c r="A918" s="66"/>
    </row>
    <row r="919" spans="1:1" x14ac:dyDescent="0.25">
      <c r="A919" s="66"/>
    </row>
    <row r="920" spans="1:1" x14ac:dyDescent="0.25">
      <c r="A920" s="66"/>
    </row>
    <row r="921" spans="1:1" x14ac:dyDescent="0.25">
      <c r="A921" s="66"/>
    </row>
    <row r="922" spans="1:1" x14ac:dyDescent="0.25">
      <c r="A922" s="66"/>
    </row>
    <row r="923" spans="1:1" x14ac:dyDescent="0.25">
      <c r="A923" s="66"/>
    </row>
    <row r="924" spans="1:1" x14ac:dyDescent="0.25">
      <c r="A924" s="66"/>
    </row>
    <row r="925" spans="1:1" x14ac:dyDescent="0.25">
      <c r="A925" s="66"/>
    </row>
    <row r="926" spans="1:1" x14ac:dyDescent="0.25">
      <c r="A926" s="66"/>
    </row>
    <row r="927" spans="1:1" x14ac:dyDescent="0.25">
      <c r="A927" s="66"/>
    </row>
    <row r="928" spans="1:1" x14ac:dyDescent="0.25">
      <c r="A928" s="66"/>
    </row>
    <row r="929" spans="1:1" x14ac:dyDescent="0.25">
      <c r="A929" s="66"/>
    </row>
    <row r="930" spans="1:1" x14ac:dyDescent="0.25">
      <c r="A930" s="66"/>
    </row>
    <row r="931" spans="1:1" x14ac:dyDescent="0.25">
      <c r="A931" s="66"/>
    </row>
    <row r="932" spans="1:1" x14ac:dyDescent="0.25">
      <c r="A932" s="66"/>
    </row>
    <row r="933" spans="1:1" x14ac:dyDescent="0.25">
      <c r="A933" s="66"/>
    </row>
    <row r="934" spans="1:1" x14ac:dyDescent="0.25">
      <c r="A934" s="66"/>
    </row>
    <row r="935" spans="1:1" x14ac:dyDescent="0.25">
      <c r="A935" s="66"/>
    </row>
    <row r="936" spans="1:1" x14ac:dyDescent="0.25">
      <c r="A936" s="66"/>
    </row>
    <row r="937" spans="1:1" x14ac:dyDescent="0.25">
      <c r="A937" s="66"/>
    </row>
    <row r="938" spans="1:1" x14ac:dyDescent="0.25">
      <c r="A938" s="66"/>
    </row>
    <row r="939" spans="1:1" x14ac:dyDescent="0.25">
      <c r="A939" s="66"/>
    </row>
    <row r="940" spans="1:1" x14ac:dyDescent="0.25">
      <c r="A940" s="66"/>
    </row>
    <row r="941" spans="1:1" x14ac:dyDescent="0.25">
      <c r="A941" s="66"/>
    </row>
    <row r="942" spans="1:1" x14ac:dyDescent="0.25">
      <c r="A942" s="66"/>
    </row>
    <row r="943" spans="1:1" x14ac:dyDescent="0.25">
      <c r="A943" s="66"/>
    </row>
    <row r="944" spans="1:1" x14ac:dyDescent="0.25">
      <c r="A944" s="66"/>
    </row>
    <row r="945" spans="1:1" x14ac:dyDescent="0.25">
      <c r="A945" s="66"/>
    </row>
    <row r="946" spans="1:1" x14ac:dyDescent="0.25">
      <c r="A946" s="66"/>
    </row>
    <row r="947" spans="1:1" x14ac:dyDescent="0.25">
      <c r="A947" s="66"/>
    </row>
    <row r="948" spans="1:1" x14ac:dyDescent="0.25">
      <c r="A948" s="66"/>
    </row>
    <row r="949" spans="1:1" x14ac:dyDescent="0.25">
      <c r="A949" s="66"/>
    </row>
    <row r="950" spans="1:1" x14ac:dyDescent="0.25">
      <c r="A950" s="66"/>
    </row>
    <row r="951" spans="1:1" x14ac:dyDescent="0.25">
      <c r="A951" s="66"/>
    </row>
    <row r="952" spans="1:1" x14ac:dyDescent="0.25">
      <c r="A952" s="66"/>
    </row>
    <row r="953" spans="1:1" x14ac:dyDescent="0.25">
      <c r="A953" s="66"/>
    </row>
    <row r="954" spans="1:1" x14ac:dyDescent="0.25">
      <c r="A954" s="66"/>
    </row>
    <row r="955" spans="1:1" x14ac:dyDescent="0.25">
      <c r="A955" s="66"/>
    </row>
    <row r="956" spans="1:1" x14ac:dyDescent="0.25">
      <c r="A956" s="66"/>
    </row>
    <row r="957" spans="1:1" x14ac:dyDescent="0.25">
      <c r="A957" s="66"/>
    </row>
    <row r="958" spans="1:1" x14ac:dyDescent="0.25">
      <c r="A958" s="66"/>
    </row>
    <row r="959" spans="1:1" x14ac:dyDescent="0.25">
      <c r="A959" s="66"/>
    </row>
    <row r="960" spans="1:1" x14ac:dyDescent="0.25">
      <c r="A960" s="66"/>
    </row>
    <row r="961" spans="1:1" x14ac:dyDescent="0.25">
      <c r="A961" s="66"/>
    </row>
    <row r="962" spans="1:1" x14ac:dyDescent="0.25">
      <c r="A962" s="66"/>
    </row>
    <row r="963" spans="1:1" x14ac:dyDescent="0.25">
      <c r="A963" s="66"/>
    </row>
    <row r="964" spans="1:1" x14ac:dyDescent="0.25">
      <c r="A964" s="66"/>
    </row>
    <row r="965" spans="1:1" x14ac:dyDescent="0.25">
      <c r="A965" s="66"/>
    </row>
    <row r="966" spans="1:1" x14ac:dyDescent="0.25">
      <c r="A966" s="66"/>
    </row>
    <row r="967" spans="1:1" x14ac:dyDescent="0.25">
      <c r="A967" s="66"/>
    </row>
    <row r="968" spans="1:1" x14ac:dyDescent="0.25">
      <c r="A968" s="66"/>
    </row>
    <row r="969" spans="1:1" x14ac:dyDescent="0.25">
      <c r="A969" s="66"/>
    </row>
    <row r="970" spans="1:1" x14ac:dyDescent="0.25">
      <c r="A970" s="66"/>
    </row>
    <row r="971" spans="1:1" x14ac:dyDescent="0.25">
      <c r="A971" s="66"/>
    </row>
    <row r="972" spans="1:1" x14ac:dyDescent="0.25">
      <c r="A972" s="66"/>
    </row>
    <row r="973" spans="1:1" x14ac:dyDescent="0.25">
      <c r="A973" s="66"/>
    </row>
    <row r="974" spans="1:1" x14ac:dyDescent="0.25">
      <c r="A974" s="66"/>
    </row>
    <row r="975" spans="1:1" x14ac:dyDescent="0.25">
      <c r="A975" s="66"/>
    </row>
    <row r="976" spans="1:1" x14ac:dyDescent="0.25">
      <c r="A976" s="66"/>
    </row>
    <row r="977" spans="1:1" x14ac:dyDescent="0.25">
      <c r="A977" s="66"/>
    </row>
    <row r="978" spans="1:1" x14ac:dyDescent="0.25">
      <c r="A978" s="66"/>
    </row>
    <row r="979" spans="1:1" x14ac:dyDescent="0.25">
      <c r="A979" s="66"/>
    </row>
    <row r="980" spans="1:1" x14ac:dyDescent="0.25">
      <c r="A980" s="66"/>
    </row>
    <row r="981" spans="1:1" x14ac:dyDescent="0.25">
      <c r="A981" s="66"/>
    </row>
    <row r="982" spans="1:1" x14ac:dyDescent="0.25">
      <c r="A982" s="66"/>
    </row>
    <row r="983" spans="1:1" x14ac:dyDescent="0.25">
      <c r="A983" s="66"/>
    </row>
    <row r="984" spans="1:1" x14ac:dyDescent="0.25">
      <c r="A984" s="66"/>
    </row>
    <row r="985" spans="1:1" x14ac:dyDescent="0.25">
      <c r="A985" s="66"/>
    </row>
    <row r="986" spans="1:1" x14ac:dyDescent="0.25">
      <c r="A986" s="66"/>
    </row>
    <row r="987" spans="1:1" x14ac:dyDescent="0.25">
      <c r="A987" s="66"/>
    </row>
    <row r="988" spans="1:1" x14ac:dyDescent="0.25">
      <c r="A988" s="66"/>
    </row>
    <row r="989" spans="1:1" x14ac:dyDescent="0.25">
      <c r="A989" s="66"/>
    </row>
    <row r="990" spans="1:1" x14ac:dyDescent="0.25">
      <c r="A990" s="66"/>
    </row>
    <row r="991" spans="1:1" x14ac:dyDescent="0.25">
      <c r="A991" s="66"/>
    </row>
    <row r="992" spans="1:1" x14ac:dyDescent="0.25">
      <c r="A992" s="66"/>
    </row>
    <row r="993" spans="1:1" x14ac:dyDescent="0.25">
      <c r="A993" s="66"/>
    </row>
    <row r="994" spans="1:1" x14ac:dyDescent="0.25">
      <c r="A994" s="66"/>
    </row>
    <row r="995" spans="1:1" x14ac:dyDescent="0.25">
      <c r="A995" s="66"/>
    </row>
    <row r="996" spans="1:1" x14ac:dyDescent="0.25">
      <c r="A996" s="66"/>
    </row>
    <row r="997" spans="1:1" x14ac:dyDescent="0.25">
      <c r="A997" s="66"/>
    </row>
    <row r="998" spans="1:1" x14ac:dyDescent="0.25">
      <c r="A998" s="66"/>
    </row>
    <row r="999" spans="1:1" x14ac:dyDescent="0.25">
      <c r="A999" s="66"/>
    </row>
    <row r="1000" spans="1:1" x14ac:dyDescent="0.25">
      <c r="A1000" s="66"/>
    </row>
    <row r="1001" spans="1:1" x14ac:dyDescent="0.25">
      <c r="A1001" s="66"/>
    </row>
    <row r="1002" spans="1:1" x14ac:dyDescent="0.25">
      <c r="A1002" s="66"/>
    </row>
    <row r="1003" spans="1:1" x14ac:dyDescent="0.25">
      <c r="A1003" s="66"/>
    </row>
    <row r="1004" spans="1:1" x14ac:dyDescent="0.25">
      <c r="A1004" s="66"/>
    </row>
    <row r="1005" spans="1:1" x14ac:dyDescent="0.25">
      <c r="A1005" s="66"/>
    </row>
    <row r="1006" spans="1:1" x14ac:dyDescent="0.25">
      <c r="A1006" s="66"/>
    </row>
    <row r="1007" spans="1:1" x14ac:dyDescent="0.25">
      <c r="A1007" s="66"/>
    </row>
    <row r="1008" spans="1:1" x14ac:dyDescent="0.25">
      <c r="A1008" s="66"/>
    </row>
    <row r="1009" spans="1:1" x14ac:dyDescent="0.25">
      <c r="A1009" s="66"/>
    </row>
    <row r="1010" spans="1:1" x14ac:dyDescent="0.25">
      <c r="A1010" s="66"/>
    </row>
    <row r="1011" spans="1:1" x14ac:dyDescent="0.25">
      <c r="A1011" s="66"/>
    </row>
    <row r="1012" spans="1:1" x14ac:dyDescent="0.25">
      <c r="A1012" s="66"/>
    </row>
    <row r="1013" spans="1:1" x14ac:dyDescent="0.25">
      <c r="A1013" s="66"/>
    </row>
    <row r="1014" spans="1:1" x14ac:dyDescent="0.25">
      <c r="A1014" s="66"/>
    </row>
    <row r="1015" spans="1:1" x14ac:dyDescent="0.25">
      <c r="A1015" s="66"/>
    </row>
    <row r="1016" spans="1:1" x14ac:dyDescent="0.25">
      <c r="A1016" s="66"/>
    </row>
    <row r="1017" spans="1:1" x14ac:dyDescent="0.25">
      <c r="A1017" s="66"/>
    </row>
    <row r="1018" spans="1:1" x14ac:dyDescent="0.25">
      <c r="A1018" s="66"/>
    </row>
    <row r="1019" spans="1:1" x14ac:dyDescent="0.25">
      <c r="A1019" s="66"/>
    </row>
    <row r="1020" spans="1:1" x14ac:dyDescent="0.25">
      <c r="A1020" s="66"/>
    </row>
    <row r="1021" spans="1:1" x14ac:dyDescent="0.25">
      <c r="A1021" s="66"/>
    </row>
    <row r="1022" spans="1:1" x14ac:dyDescent="0.25">
      <c r="A1022" s="66"/>
    </row>
    <row r="1023" spans="1:1" x14ac:dyDescent="0.25">
      <c r="A1023" s="66"/>
    </row>
    <row r="1024" spans="1:1" x14ac:dyDescent="0.25">
      <c r="A1024" s="66"/>
    </row>
    <row r="1025" spans="1:1" x14ac:dyDescent="0.25">
      <c r="A1025" s="66"/>
    </row>
    <row r="1026" spans="1:1" x14ac:dyDescent="0.25">
      <c r="A1026" s="66"/>
    </row>
    <row r="1027" spans="1:1" x14ac:dyDescent="0.25">
      <c r="A1027" s="66"/>
    </row>
    <row r="1028" spans="1:1" x14ac:dyDescent="0.25">
      <c r="A1028" s="66"/>
    </row>
    <row r="1029" spans="1:1" x14ac:dyDescent="0.25">
      <c r="A1029" s="66"/>
    </row>
    <row r="1030" spans="1:1" x14ac:dyDescent="0.25">
      <c r="A1030" s="66"/>
    </row>
    <row r="1031" spans="1:1" x14ac:dyDescent="0.25">
      <c r="A1031" s="66"/>
    </row>
    <row r="1032" spans="1:1" x14ac:dyDescent="0.25">
      <c r="A1032" s="66"/>
    </row>
    <row r="1033" spans="1:1" x14ac:dyDescent="0.25">
      <c r="A1033" s="66"/>
    </row>
    <row r="1034" spans="1:1" x14ac:dyDescent="0.25">
      <c r="A1034" s="66"/>
    </row>
    <row r="1035" spans="1:1" x14ac:dyDescent="0.25">
      <c r="A1035" s="66"/>
    </row>
    <row r="1036" spans="1:1" x14ac:dyDescent="0.25">
      <c r="A1036" s="66"/>
    </row>
    <row r="1037" spans="1:1" x14ac:dyDescent="0.25">
      <c r="A1037" s="66"/>
    </row>
    <row r="1038" spans="1:1" x14ac:dyDescent="0.25">
      <c r="A1038" s="66"/>
    </row>
    <row r="1039" spans="1:1" x14ac:dyDescent="0.25">
      <c r="A1039" s="66"/>
    </row>
    <row r="1040" spans="1:1" x14ac:dyDescent="0.25">
      <c r="A1040" s="66"/>
    </row>
    <row r="1041" spans="1:1" x14ac:dyDescent="0.25">
      <c r="A1041" s="66"/>
    </row>
    <row r="1042" spans="1:1" x14ac:dyDescent="0.25">
      <c r="A1042" s="66"/>
    </row>
    <row r="1043" spans="1:1" x14ac:dyDescent="0.25">
      <c r="A1043" s="66"/>
    </row>
    <row r="1044" spans="1:1" x14ac:dyDescent="0.25">
      <c r="A1044" s="66"/>
    </row>
    <row r="1045" spans="1:1" x14ac:dyDescent="0.25">
      <c r="A1045" s="66"/>
    </row>
    <row r="1046" spans="1:1" x14ac:dyDescent="0.25">
      <c r="A1046" s="66"/>
    </row>
    <row r="1047" spans="1:1" x14ac:dyDescent="0.25">
      <c r="A1047" s="66"/>
    </row>
    <row r="1048" spans="1:1" x14ac:dyDescent="0.25">
      <c r="A1048" s="66"/>
    </row>
    <row r="1049" spans="1:1" x14ac:dyDescent="0.25">
      <c r="A1049" s="66"/>
    </row>
    <row r="1050" spans="1:1" x14ac:dyDescent="0.25">
      <c r="A1050" s="66"/>
    </row>
    <row r="1051" spans="1:1" x14ac:dyDescent="0.25">
      <c r="A1051" s="66"/>
    </row>
    <row r="1052" spans="1:1" x14ac:dyDescent="0.25">
      <c r="A1052" s="66"/>
    </row>
    <row r="1053" spans="1:1" x14ac:dyDescent="0.25">
      <c r="A1053" s="66"/>
    </row>
    <row r="1054" spans="1:1" x14ac:dyDescent="0.25">
      <c r="A1054" s="66"/>
    </row>
    <row r="1055" spans="1:1" x14ac:dyDescent="0.25">
      <c r="A1055" s="66"/>
    </row>
    <row r="1056" spans="1:1" x14ac:dyDescent="0.25">
      <c r="A1056" s="66"/>
    </row>
    <row r="1057" spans="1:1" x14ac:dyDescent="0.25">
      <c r="A1057" s="66"/>
    </row>
    <row r="1058" spans="1:1" x14ac:dyDescent="0.25">
      <c r="A1058" s="66"/>
    </row>
    <row r="1059" spans="1:1" x14ac:dyDescent="0.25">
      <c r="A1059" s="66"/>
    </row>
    <row r="1060" spans="1:1" x14ac:dyDescent="0.25">
      <c r="A1060" s="66"/>
    </row>
    <row r="1061" spans="1:1" x14ac:dyDescent="0.25">
      <c r="A1061" s="66"/>
    </row>
    <row r="1062" spans="1:1" x14ac:dyDescent="0.25">
      <c r="A1062" s="66"/>
    </row>
    <row r="1063" spans="1:1" x14ac:dyDescent="0.25">
      <c r="A1063" s="66"/>
    </row>
    <row r="1064" spans="1:1" x14ac:dyDescent="0.25">
      <c r="A1064" s="66"/>
    </row>
    <row r="1065" spans="1:1" x14ac:dyDescent="0.25">
      <c r="A1065" s="66"/>
    </row>
    <row r="1066" spans="1:1" x14ac:dyDescent="0.25">
      <c r="A1066" s="66"/>
    </row>
    <row r="1067" spans="1:1" x14ac:dyDescent="0.25">
      <c r="A1067" s="66"/>
    </row>
    <row r="1068" spans="1:1" x14ac:dyDescent="0.25">
      <c r="A1068" s="66"/>
    </row>
    <row r="1069" spans="1:1" x14ac:dyDescent="0.25">
      <c r="A1069" s="66"/>
    </row>
    <row r="1070" spans="1:1" x14ac:dyDescent="0.25">
      <c r="A1070" s="66"/>
    </row>
    <row r="1071" spans="1:1" x14ac:dyDescent="0.25">
      <c r="A1071" s="66"/>
    </row>
    <row r="1072" spans="1:1" x14ac:dyDescent="0.25">
      <c r="A1072" s="66"/>
    </row>
    <row r="1073" spans="1:1" x14ac:dyDescent="0.25">
      <c r="A1073" s="66"/>
    </row>
    <row r="1074" spans="1:1" x14ac:dyDescent="0.25">
      <c r="A1074" s="66"/>
    </row>
    <row r="1075" spans="1:1" x14ac:dyDescent="0.25">
      <c r="A1075" s="66"/>
    </row>
    <row r="1076" spans="1:1" x14ac:dyDescent="0.25">
      <c r="A1076" s="66"/>
    </row>
    <row r="1077" spans="1:1" x14ac:dyDescent="0.25">
      <c r="A1077" s="66"/>
    </row>
    <row r="1078" spans="1:1" x14ac:dyDescent="0.25">
      <c r="A1078" s="66"/>
    </row>
    <row r="1079" spans="1:1" x14ac:dyDescent="0.25">
      <c r="A1079" s="66"/>
    </row>
    <row r="1080" spans="1:1" x14ac:dyDescent="0.25">
      <c r="A1080" s="66"/>
    </row>
    <row r="1081" spans="1:1" x14ac:dyDescent="0.25">
      <c r="A1081" s="66"/>
    </row>
    <row r="1082" spans="1:1" x14ac:dyDescent="0.25">
      <c r="A1082" s="66"/>
    </row>
    <row r="1083" spans="1:1" x14ac:dyDescent="0.25">
      <c r="A1083" s="66"/>
    </row>
    <row r="1084" spans="1:1" x14ac:dyDescent="0.25">
      <c r="A1084" s="66"/>
    </row>
    <row r="1085" spans="1:1" x14ac:dyDescent="0.25">
      <c r="A1085" s="66"/>
    </row>
    <row r="1086" spans="1:1" x14ac:dyDescent="0.25">
      <c r="A1086" s="66"/>
    </row>
    <row r="1087" spans="1:1" x14ac:dyDescent="0.25">
      <c r="A1087" s="66"/>
    </row>
    <row r="1088" spans="1:1" x14ac:dyDescent="0.25">
      <c r="A1088" s="66"/>
    </row>
    <row r="1089" spans="1:1" x14ac:dyDescent="0.25">
      <c r="A1089" s="66"/>
    </row>
    <row r="1090" spans="1:1" x14ac:dyDescent="0.25">
      <c r="A1090" s="66"/>
    </row>
    <row r="1091" spans="1:1" x14ac:dyDescent="0.25">
      <c r="A1091" s="66"/>
    </row>
    <row r="1092" spans="1:1" x14ac:dyDescent="0.25">
      <c r="A1092" s="66"/>
    </row>
    <row r="1093" spans="1:1" x14ac:dyDescent="0.25">
      <c r="A1093" s="66"/>
    </row>
    <row r="1094" spans="1:1" x14ac:dyDescent="0.25">
      <c r="A1094" s="66"/>
    </row>
    <row r="1095" spans="1:1" x14ac:dyDescent="0.25">
      <c r="A1095" s="66"/>
    </row>
    <row r="1096" spans="1:1" x14ac:dyDescent="0.25">
      <c r="A1096" s="66"/>
    </row>
    <row r="1097" spans="1:1" x14ac:dyDescent="0.25">
      <c r="A1097" s="66"/>
    </row>
    <row r="1098" spans="1:1" x14ac:dyDescent="0.25">
      <c r="A1098" s="66"/>
    </row>
    <row r="1099" spans="1:1" x14ac:dyDescent="0.25">
      <c r="A1099" s="66"/>
    </row>
    <row r="1100" spans="1:1" x14ac:dyDescent="0.25">
      <c r="A1100" s="66"/>
    </row>
    <row r="1101" spans="1:1" x14ac:dyDescent="0.25">
      <c r="A1101" s="66"/>
    </row>
    <row r="1102" spans="1:1" x14ac:dyDescent="0.25">
      <c r="A1102" s="66"/>
    </row>
    <row r="1103" spans="1:1" x14ac:dyDescent="0.25">
      <c r="A1103" s="66"/>
    </row>
    <row r="1104" spans="1:1" x14ac:dyDescent="0.25">
      <c r="A1104" s="66"/>
    </row>
    <row r="1105" spans="1:1" x14ac:dyDescent="0.25">
      <c r="A1105" s="66"/>
    </row>
    <row r="1106" spans="1:1" x14ac:dyDescent="0.25">
      <c r="A1106" s="66"/>
    </row>
    <row r="1107" spans="1:1" x14ac:dyDescent="0.25">
      <c r="A1107" s="66"/>
    </row>
    <row r="1108" spans="1:1" x14ac:dyDescent="0.25">
      <c r="A1108" s="66"/>
    </row>
    <row r="1109" spans="1:1" x14ac:dyDescent="0.25">
      <c r="A1109" s="66"/>
    </row>
    <row r="1110" spans="1:1" x14ac:dyDescent="0.25">
      <c r="A1110" s="66"/>
    </row>
    <row r="1111" spans="1:1" x14ac:dyDescent="0.25">
      <c r="A1111" s="66"/>
    </row>
    <row r="1112" spans="1:1" x14ac:dyDescent="0.25">
      <c r="A1112" s="66"/>
    </row>
    <row r="1113" spans="1:1" x14ac:dyDescent="0.25">
      <c r="A1113" s="66"/>
    </row>
    <row r="1114" spans="1:1" x14ac:dyDescent="0.25">
      <c r="A1114" s="66"/>
    </row>
    <row r="1115" spans="1:1" x14ac:dyDescent="0.25">
      <c r="A1115" s="66"/>
    </row>
    <row r="1116" spans="1:1" x14ac:dyDescent="0.25">
      <c r="A1116" s="66"/>
    </row>
    <row r="1117" spans="1:1" x14ac:dyDescent="0.25">
      <c r="A1117" s="66"/>
    </row>
    <row r="1118" spans="1:1" x14ac:dyDescent="0.25">
      <c r="A1118" s="66"/>
    </row>
    <row r="1119" spans="1:1" x14ac:dyDescent="0.25">
      <c r="A1119" s="66"/>
    </row>
    <row r="1120" spans="1:1" x14ac:dyDescent="0.25">
      <c r="A1120" s="66"/>
    </row>
    <row r="1121" spans="1:1" x14ac:dyDescent="0.25">
      <c r="A1121" s="66"/>
    </row>
    <row r="1122" spans="1:1" x14ac:dyDescent="0.25">
      <c r="A1122" s="66"/>
    </row>
    <row r="1123" spans="1:1" x14ac:dyDescent="0.25">
      <c r="A1123" s="66"/>
    </row>
    <row r="1124" spans="1:1" x14ac:dyDescent="0.25">
      <c r="A1124" s="66"/>
    </row>
    <row r="1125" spans="1:1" x14ac:dyDescent="0.25">
      <c r="A1125" s="66"/>
    </row>
    <row r="1126" spans="1:1" x14ac:dyDescent="0.25">
      <c r="A1126" s="66"/>
    </row>
    <row r="1127" spans="1:1" x14ac:dyDescent="0.25">
      <c r="A1127" s="66"/>
    </row>
    <row r="1128" spans="1:1" x14ac:dyDescent="0.25">
      <c r="A1128" s="66"/>
    </row>
    <row r="1129" spans="1:1" x14ac:dyDescent="0.25">
      <c r="A1129" s="66"/>
    </row>
    <row r="1130" spans="1:1" x14ac:dyDescent="0.25">
      <c r="A1130" s="66"/>
    </row>
    <row r="1131" spans="1:1" x14ac:dyDescent="0.25">
      <c r="A1131" s="66"/>
    </row>
    <row r="1132" spans="1:1" x14ac:dyDescent="0.25">
      <c r="A1132" s="66"/>
    </row>
    <row r="1133" spans="1:1" x14ac:dyDescent="0.25">
      <c r="A1133" s="66"/>
    </row>
    <row r="1134" spans="1:1" x14ac:dyDescent="0.25">
      <c r="A1134" s="66"/>
    </row>
    <row r="1135" spans="1:1" x14ac:dyDescent="0.25">
      <c r="A1135" s="66"/>
    </row>
    <row r="1136" spans="1:1" x14ac:dyDescent="0.25">
      <c r="A1136" s="66"/>
    </row>
    <row r="1137" spans="1:1" x14ac:dyDescent="0.25">
      <c r="A1137" s="66"/>
    </row>
    <row r="1138" spans="1:1" x14ac:dyDescent="0.25">
      <c r="A1138" s="66"/>
    </row>
    <row r="1139" spans="1:1" x14ac:dyDescent="0.25">
      <c r="A1139" s="66"/>
    </row>
    <row r="1140" spans="1:1" x14ac:dyDescent="0.25">
      <c r="A1140" s="66"/>
    </row>
    <row r="1141" spans="1:1" x14ac:dyDescent="0.25">
      <c r="A1141" s="66"/>
    </row>
    <row r="1142" spans="1:1" x14ac:dyDescent="0.25">
      <c r="A1142" s="66"/>
    </row>
    <row r="1143" spans="1:1" x14ac:dyDescent="0.25">
      <c r="A1143" s="66"/>
    </row>
    <row r="1144" spans="1:1" x14ac:dyDescent="0.25">
      <c r="A1144" s="66"/>
    </row>
    <row r="1145" spans="1:1" x14ac:dyDescent="0.25">
      <c r="A1145" s="66"/>
    </row>
    <row r="1146" spans="1:1" x14ac:dyDescent="0.25">
      <c r="A1146" s="66"/>
    </row>
    <row r="1147" spans="1:1" x14ac:dyDescent="0.25">
      <c r="A1147" s="66"/>
    </row>
    <row r="1148" spans="1:1" x14ac:dyDescent="0.25">
      <c r="A1148" s="66"/>
    </row>
    <row r="1149" spans="1:1" x14ac:dyDescent="0.25">
      <c r="A1149" s="66"/>
    </row>
    <row r="1150" spans="1:1" x14ac:dyDescent="0.25">
      <c r="A1150" s="66"/>
    </row>
    <row r="1151" spans="1:1" x14ac:dyDescent="0.25">
      <c r="A1151" s="66"/>
    </row>
    <row r="1152" spans="1:1" x14ac:dyDescent="0.25">
      <c r="A1152" s="66"/>
    </row>
    <row r="1153" spans="1:1" x14ac:dyDescent="0.25">
      <c r="A1153" s="66"/>
    </row>
    <row r="1154" spans="1:1" x14ac:dyDescent="0.25">
      <c r="A1154" s="66"/>
    </row>
    <row r="1155" spans="1:1" x14ac:dyDescent="0.25">
      <c r="A1155" s="66"/>
    </row>
    <row r="1156" spans="1:1" x14ac:dyDescent="0.25">
      <c r="A1156" s="66"/>
    </row>
    <row r="1157" spans="1:1" x14ac:dyDescent="0.25">
      <c r="A1157" s="66"/>
    </row>
    <row r="1158" spans="1:1" x14ac:dyDescent="0.25">
      <c r="A1158" s="66"/>
    </row>
    <row r="1159" spans="1:1" x14ac:dyDescent="0.25">
      <c r="A1159" s="66"/>
    </row>
    <row r="1160" spans="1:1" x14ac:dyDescent="0.25">
      <c r="A1160" s="66"/>
    </row>
    <row r="1161" spans="1:1" x14ac:dyDescent="0.25">
      <c r="A1161" s="66"/>
    </row>
    <row r="1162" spans="1:1" x14ac:dyDescent="0.25">
      <c r="A1162" s="66"/>
    </row>
    <row r="1163" spans="1:1" x14ac:dyDescent="0.25">
      <c r="A1163" s="66"/>
    </row>
    <row r="1164" spans="1:1" x14ac:dyDescent="0.25">
      <c r="A1164" s="66"/>
    </row>
    <row r="1165" spans="1:1" x14ac:dyDescent="0.25">
      <c r="A1165" s="66"/>
    </row>
    <row r="1166" spans="1:1" x14ac:dyDescent="0.25">
      <c r="A1166" s="66"/>
    </row>
    <row r="1167" spans="1:1" x14ac:dyDescent="0.25">
      <c r="A1167" s="66"/>
    </row>
    <row r="1168" spans="1:1" x14ac:dyDescent="0.25">
      <c r="A1168" s="66"/>
    </row>
    <row r="1169" spans="1:1" x14ac:dyDescent="0.25">
      <c r="A1169" s="66"/>
    </row>
    <row r="1170" spans="1:1" x14ac:dyDescent="0.25">
      <c r="A1170" s="66"/>
    </row>
    <row r="1171" spans="1:1" x14ac:dyDescent="0.25">
      <c r="A1171" s="66"/>
    </row>
    <row r="1172" spans="1:1" x14ac:dyDescent="0.25">
      <c r="A1172" s="66"/>
    </row>
    <row r="1173" spans="1:1" x14ac:dyDescent="0.25">
      <c r="A1173" s="66"/>
    </row>
    <row r="1174" spans="1:1" x14ac:dyDescent="0.25">
      <c r="A1174" s="66"/>
    </row>
    <row r="1175" spans="1:1" x14ac:dyDescent="0.25">
      <c r="A1175" s="66"/>
    </row>
    <row r="1176" spans="1:1" x14ac:dyDescent="0.25">
      <c r="A1176" s="66"/>
    </row>
    <row r="1177" spans="1:1" x14ac:dyDescent="0.25">
      <c r="A1177" s="66"/>
    </row>
    <row r="1178" spans="1:1" x14ac:dyDescent="0.25">
      <c r="A1178" s="66"/>
    </row>
    <row r="1179" spans="1:1" x14ac:dyDescent="0.25">
      <c r="A1179" s="66"/>
    </row>
    <row r="1180" spans="1:1" x14ac:dyDescent="0.25">
      <c r="A1180" s="66"/>
    </row>
    <row r="1181" spans="1:1" x14ac:dyDescent="0.25">
      <c r="A1181" s="66"/>
    </row>
    <row r="1182" spans="1:1" x14ac:dyDescent="0.25">
      <c r="A1182" s="66"/>
    </row>
    <row r="1183" spans="1:1" x14ac:dyDescent="0.25">
      <c r="A1183" s="66"/>
    </row>
    <row r="1184" spans="1:1" x14ac:dyDescent="0.25">
      <c r="A1184" s="66"/>
    </row>
    <row r="1185" spans="1:1" x14ac:dyDescent="0.25">
      <c r="A1185" s="66"/>
    </row>
    <row r="1186" spans="1:1" x14ac:dyDescent="0.25">
      <c r="A1186" s="66"/>
    </row>
    <row r="1187" spans="1:1" x14ac:dyDescent="0.25">
      <c r="A1187" s="66"/>
    </row>
    <row r="1188" spans="1:1" x14ac:dyDescent="0.25">
      <c r="A1188" s="66"/>
    </row>
    <row r="1189" spans="1:1" x14ac:dyDescent="0.25">
      <c r="A1189" s="66"/>
    </row>
    <row r="1190" spans="1:1" x14ac:dyDescent="0.25">
      <c r="A1190" s="66"/>
    </row>
    <row r="1191" spans="1:1" x14ac:dyDescent="0.25">
      <c r="A1191" s="66"/>
    </row>
    <row r="1192" spans="1:1" x14ac:dyDescent="0.25">
      <c r="A1192" s="66"/>
    </row>
    <row r="1193" spans="1:1" x14ac:dyDescent="0.25">
      <c r="A1193" s="66"/>
    </row>
    <row r="1194" spans="1:1" x14ac:dyDescent="0.25">
      <c r="A1194" s="66"/>
    </row>
    <row r="1195" spans="1:1" x14ac:dyDescent="0.25">
      <c r="A1195" s="66"/>
    </row>
    <row r="1196" spans="1:1" x14ac:dyDescent="0.25">
      <c r="A1196" s="66"/>
    </row>
    <row r="1197" spans="1:1" x14ac:dyDescent="0.25">
      <c r="A1197" s="66"/>
    </row>
    <row r="1198" spans="1:1" x14ac:dyDescent="0.25">
      <c r="A1198" s="66"/>
    </row>
    <row r="1199" spans="1:1" x14ac:dyDescent="0.25">
      <c r="A1199" s="66"/>
    </row>
    <row r="1200" spans="1:1" x14ac:dyDescent="0.25">
      <c r="A1200" s="66"/>
    </row>
    <row r="1201" spans="1:1" x14ac:dyDescent="0.25">
      <c r="A1201" s="66"/>
    </row>
    <row r="1202" spans="1:1" x14ac:dyDescent="0.25">
      <c r="A1202" s="66"/>
    </row>
    <row r="1203" spans="1:1" x14ac:dyDescent="0.25">
      <c r="A1203" s="66"/>
    </row>
    <row r="1204" spans="1:1" x14ac:dyDescent="0.25">
      <c r="A1204" s="66"/>
    </row>
    <row r="1205" spans="1:1" x14ac:dyDescent="0.25">
      <c r="A1205" s="66"/>
    </row>
    <row r="1206" spans="1:1" x14ac:dyDescent="0.25">
      <c r="A1206" s="66"/>
    </row>
    <row r="1207" spans="1:1" x14ac:dyDescent="0.25">
      <c r="A1207" s="66"/>
    </row>
    <row r="1208" spans="1:1" x14ac:dyDescent="0.25">
      <c r="A1208" s="66"/>
    </row>
    <row r="1209" spans="1:1" x14ac:dyDescent="0.25">
      <c r="A1209" s="66"/>
    </row>
    <row r="1210" spans="1:1" x14ac:dyDescent="0.25">
      <c r="A1210" s="66"/>
    </row>
    <row r="1211" spans="1:1" x14ac:dyDescent="0.25">
      <c r="A1211" s="66"/>
    </row>
    <row r="1212" spans="1:1" x14ac:dyDescent="0.25">
      <c r="A1212" s="66"/>
    </row>
    <row r="1213" spans="1:1" x14ac:dyDescent="0.25">
      <c r="A1213" s="66"/>
    </row>
    <row r="1214" spans="1:1" x14ac:dyDescent="0.25">
      <c r="A1214" s="66"/>
    </row>
    <row r="1215" spans="1:1" x14ac:dyDescent="0.25">
      <c r="A1215" s="66"/>
    </row>
    <row r="1216" spans="1:1" x14ac:dyDescent="0.25">
      <c r="A1216" s="66"/>
    </row>
    <row r="1217" spans="1:1" x14ac:dyDescent="0.25">
      <c r="A1217" s="66"/>
    </row>
    <row r="1218" spans="1:1" x14ac:dyDescent="0.25">
      <c r="A1218" s="66"/>
    </row>
    <row r="1219" spans="1:1" x14ac:dyDescent="0.25">
      <c r="A1219" s="66"/>
    </row>
    <row r="1220" spans="1:1" x14ac:dyDescent="0.25">
      <c r="A1220" s="66"/>
    </row>
    <row r="1221" spans="1:1" x14ac:dyDescent="0.25">
      <c r="A1221" s="66"/>
    </row>
    <row r="1222" spans="1:1" x14ac:dyDescent="0.25">
      <c r="A1222" s="66"/>
    </row>
    <row r="1223" spans="1:1" x14ac:dyDescent="0.25">
      <c r="A1223" s="66"/>
    </row>
    <row r="1224" spans="1:1" x14ac:dyDescent="0.25">
      <c r="A1224" s="66"/>
    </row>
    <row r="1225" spans="1:1" x14ac:dyDescent="0.25">
      <c r="A1225" s="66"/>
    </row>
    <row r="1226" spans="1:1" x14ac:dyDescent="0.25">
      <c r="A1226" s="66"/>
    </row>
    <row r="1227" spans="1:1" x14ac:dyDescent="0.25">
      <c r="A1227" s="66"/>
    </row>
    <row r="1228" spans="1:1" x14ac:dyDescent="0.25">
      <c r="A1228" s="66"/>
    </row>
    <row r="1229" spans="1:1" x14ac:dyDescent="0.25">
      <c r="A1229" s="66"/>
    </row>
    <row r="1230" spans="1:1" x14ac:dyDescent="0.25">
      <c r="A1230" s="66"/>
    </row>
    <row r="1231" spans="1:1" x14ac:dyDescent="0.25">
      <c r="A1231" s="66"/>
    </row>
    <row r="1232" spans="1:1" x14ac:dyDescent="0.25">
      <c r="A1232" s="66"/>
    </row>
    <row r="1233" spans="1:1" x14ac:dyDescent="0.25">
      <c r="A1233" s="66"/>
    </row>
    <row r="1234" spans="1:1" x14ac:dyDescent="0.25">
      <c r="A1234" s="66"/>
    </row>
    <row r="1235" spans="1:1" x14ac:dyDescent="0.25">
      <c r="A1235" s="66"/>
    </row>
    <row r="1236" spans="1:1" x14ac:dyDescent="0.25">
      <c r="A1236" s="66"/>
    </row>
    <row r="1237" spans="1:1" x14ac:dyDescent="0.25">
      <c r="A1237" s="66"/>
    </row>
    <row r="1238" spans="1:1" x14ac:dyDescent="0.25">
      <c r="A1238" s="66"/>
    </row>
    <row r="1239" spans="1:1" x14ac:dyDescent="0.25">
      <c r="A1239" s="66"/>
    </row>
    <row r="1240" spans="1:1" x14ac:dyDescent="0.25">
      <c r="A1240" s="66"/>
    </row>
    <row r="1241" spans="1:1" x14ac:dyDescent="0.25">
      <c r="A1241" s="66"/>
    </row>
    <row r="1242" spans="1:1" x14ac:dyDescent="0.25">
      <c r="A1242" s="66"/>
    </row>
    <row r="1243" spans="1:1" x14ac:dyDescent="0.25">
      <c r="A1243" s="66"/>
    </row>
    <row r="1244" spans="1:1" x14ac:dyDescent="0.25">
      <c r="A1244" s="66"/>
    </row>
    <row r="1245" spans="1:1" x14ac:dyDescent="0.25">
      <c r="A1245" s="66"/>
    </row>
    <row r="1246" spans="1:1" x14ac:dyDescent="0.25">
      <c r="A1246" s="66"/>
    </row>
    <row r="1247" spans="1:1" x14ac:dyDescent="0.25">
      <c r="A1247" s="66"/>
    </row>
    <row r="1248" spans="1:1" x14ac:dyDescent="0.25">
      <c r="A1248" s="66"/>
    </row>
    <row r="1249" spans="1:1" x14ac:dyDescent="0.25">
      <c r="A1249" s="66"/>
    </row>
    <row r="1250" spans="1:1" x14ac:dyDescent="0.25">
      <c r="A1250" s="66"/>
    </row>
    <row r="1251" spans="1:1" x14ac:dyDescent="0.25">
      <c r="A1251" s="66"/>
    </row>
    <row r="1252" spans="1:1" x14ac:dyDescent="0.25">
      <c r="A1252" s="66"/>
    </row>
    <row r="1253" spans="1:1" x14ac:dyDescent="0.25">
      <c r="A1253" s="66"/>
    </row>
    <row r="1254" spans="1:1" x14ac:dyDescent="0.25">
      <c r="A1254" s="66"/>
    </row>
    <row r="1255" spans="1:1" x14ac:dyDescent="0.25">
      <c r="A1255" s="66"/>
    </row>
    <row r="1256" spans="1:1" x14ac:dyDescent="0.25">
      <c r="A1256" s="66"/>
    </row>
    <row r="1257" spans="1:1" x14ac:dyDescent="0.25">
      <c r="A1257" s="66"/>
    </row>
    <row r="1258" spans="1:1" x14ac:dyDescent="0.25">
      <c r="A1258" s="66"/>
    </row>
    <row r="1259" spans="1:1" x14ac:dyDescent="0.25">
      <c r="A1259" s="66"/>
    </row>
    <row r="1260" spans="1:1" x14ac:dyDescent="0.25">
      <c r="A1260" s="66"/>
    </row>
    <row r="1261" spans="1:1" x14ac:dyDescent="0.25">
      <c r="A1261" s="66"/>
    </row>
    <row r="1262" spans="1:1" x14ac:dyDescent="0.25">
      <c r="A1262" s="66"/>
    </row>
    <row r="1263" spans="1:1" x14ac:dyDescent="0.25">
      <c r="A1263" s="66"/>
    </row>
    <row r="1264" spans="1:1" x14ac:dyDescent="0.25">
      <c r="A1264" s="66"/>
    </row>
    <row r="1265" spans="1:1" x14ac:dyDescent="0.25">
      <c r="A1265" s="66"/>
    </row>
    <row r="1266" spans="1:1" x14ac:dyDescent="0.25">
      <c r="A1266" s="66"/>
    </row>
    <row r="1267" spans="1:1" x14ac:dyDescent="0.25">
      <c r="A1267" s="66"/>
    </row>
    <row r="1268" spans="1:1" x14ac:dyDescent="0.25">
      <c r="A1268" s="66"/>
    </row>
    <row r="1269" spans="1:1" x14ac:dyDescent="0.25">
      <c r="A1269" s="66"/>
    </row>
    <row r="1270" spans="1:1" x14ac:dyDescent="0.25">
      <c r="A1270" s="66"/>
    </row>
    <row r="1271" spans="1:1" x14ac:dyDescent="0.25">
      <c r="A1271" s="66"/>
    </row>
    <row r="1272" spans="1:1" x14ac:dyDescent="0.25">
      <c r="A1272" s="66"/>
    </row>
    <row r="1273" spans="1:1" x14ac:dyDescent="0.25">
      <c r="A1273" s="66"/>
    </row>
    <row r="1274" spans="1:1" x14ac:dyDescent="0.25">
      <c r="A1274" s="66"/>
    </row>
    <row r="1275" spans="1:1" x14ac:dyDescent="0.25">
      <c r="A1275" s="66"/>
    </row>
    <row r="1276" spans="1:1" x14ac:dyDescent="0.25">
      <c r="A1276" s="66"/>
    </row>
    <row r="1277" spans="1:1" x14ac:dyDescent="0.25">
      <c r="A1277" s="66"/>
    </row>
    <row r="1278" spans="1:1" x14ac:dyDescent="0.25">
      <c r="A1278" s="66"/>
    </row>
    <row r="1279" spans="1:1" x14ac:dyDescent="0.25">
      <c r="A1279" s="66"/>
    </row>
    <row r="1280" spans="1:1" x14ac:dyDescent="0.25">
      <c r="A1280" s="66"/>
    </row>
    <row r="1281" spans="1:1" x14ac:dyDescent="0.25">
      <c r="A1281" s="66"/>
    </row>
    <row r="1282" spans="1:1" x14ac:dyDescent="0.25">
      <c r="A1282" s="66"/>
    </row>
    <row r="1283" spans="1:1" x14ac:dyDescent="0.25">
      <c r="A1283" s="66"/>
    </row>
    <row r="1284" spans="1:1" x14ac:dyDescent="0.25">
      <c r="A1284" s="66"/>
    </row>
    <row r="1285" spans="1:1" x14ac:dyDescent="0.25">
      <c r="A1285" s="66"/>
    </row>
    <row r="1286" spans="1:1" x14ac:dyDescent="0.25">
      <c r="A1286" s="66"/>
    </row>
    <row r="1287" spans="1:1" x14ac:dyDescent="0.25">
      <c r="A1287" s="66"/>
    </row>
    <row r="1288" spans="1:1" x14ac:dyDescent="0.25">
      <c r="A1288" s="66"/>
    </row>
    <row r="1289" spans="1:1" x14ac:dyDescent="0.25">
      <c r="A1289" s="66"/>
    </row>
    <row r="1290" spans="1:1" x14ac:dyDescent="0.25">
      <c r="A1290" s="66"/>
    </row>
    <row r="1291" spans="1:1" x14ac:dyDescent="0.25">
      <c r="A1291" s="66"/>
    </row>
    <row r="1292" spans="1:1" x14ac:dyDescent="0.25">
      <c r="A1292" s="66"/>
    </row>
    <row r="1293" spans="1:1" x14ac:dyDescent="0.25">
      <c r="A1293" s="66"/>
    </row>
    <row r="1294" spans="1:1" x14ac:dyDescent="0.25">
      <c r="A1294" s="66"/>
    </row>
    <row r="1295" spans="1:1" x14ac:dyDescent="0.25">
      <c r="A1295" s="66"/>
    </row>
    <row r="1296" spans="1:1" x14ac:dyDescent="0.25">
      <c r="A1296" s="66"/>
    </row>
    <row r="1297" spans="1:1" x14ac:dyDescent="0.25">
      <c r="A1297" s="66"/>
    </row>
    <row r="1298" spans="1:1" x14ac:dyDescent="0.25">
      <c r="A1298" s="66"/>
    </row>
    <row r="1299" spans="1:1" x14ac:dyDescent="0.25">
      <c r="A1299" s="66"/>
    </row>
    <row r="1300" spans="1:1" x14ac:dyDescent="0.25">
      <c r="A1300" s="66"/>
    </row>
    <row r="1301" spans="1:1" x14ac:dyDescent="0.25">
      <c r="A1301" s="66"/>
    </row>
    <row r="1302" spans="1:1" x14ac:dyDescent="0.25">
      <c r="A1302" s="66"/>
    </row>
    <row r="1303" spans="1:1" x14ac:dyDescent="0.25">
      <c r="A1303" s="66"/>
    </row>
    <row r="1304" spans="1:1" x14ac:dyDescent="0.25">
      <c r="A1304" s="66"/>
    </row>
    <row r="1305" spans="1:1" x14ac:dyDescent="0.25">
      <c r="A1305" s="66"/>
    </row>
    <row r="1306" spans="1:1" x14ac:dyDescent="0.25">
      <c r="A1306" s="66"/>
    </row>
    <row r="1307" spans="1:1" x14ac:dyDescent="0.25">
      <c r="A1307" s="66"/>
    </row>
    <row r="1308" spans="1:1" x14ac:dyDescent="0.25">
      <c r="A1308" s="66"/>
    </row>
    <row r="1309" spans="1:1" x14ac:dyDescent="0.25">
      <c r="A1309" s="66"/>
    </row>
    <row r="1310" spans="1:1" x14ac:dyDescent="0.25">
      <c r="A1310" s="66"/>
    </row>
    <row r="1311" spans="1:1" x14ac:dyDescent="0.25">
      <c r="A1311" s="66"/>
    </row>
    <row r="1312" spans="1:1" x14ac:dyDescent="0.25">
      <c r="A1312" s="66"/>
    </row>
    <row r="1313" spans="1:1" x14ac:dyDescent="0.25">
      <c r="A1313" s="66"/>
    </row>
    <row r="1314" spans="1:1" x14ac:dyDescent="0.25">
      <c r="A1314" s="66"/>
    </row>
    <row r="1315" spans="1:1" x14ac:dyDescent="0.25">
      <c r="A1315" s="66"/>
    </row>
    <row r="1316" spans="1:1" x14ac:dyDescent="0.25">
      <c r="A1316" s="66"/>
    </row>
    <row r="1317" spans="1:1" x14ac:dyDescent="0.25">
      <c r="A1317" s="66"/>
    </row>
    <row r="1318" spans="1:1" x14ac:dyDescent="0.25">
      <c r="A1318" s="66"/>
    </row>
    <row r="1319" spans="1:1" x14ac:dyDescent="0.25">
      <c r="A1319" s="66"/>
    </row>
    <row r="1320" spans="1:1" x14ac:dyDescent="0.25">
      <c r="A1320" s="66"/>
    </row>
    <row r="1321" spans="1:1" x14ac:dyDescent="0.25">
      <c r="A1321" s="66"/>
    </row>
    <row r="1322" spans="1:1" x14ac:dyDescent="0.25">
      <c r="A1322" s="66"/>
    </row>
    <row r="1323" spans="1:1" x14ac:dyDescent="0.25">
      <c r="A1323" s="66"/>
    </row>
    <row r="1324" spans="1:1" x14ac:dyDescent="0.25">
      <c r="A1324" s="66"/>
    </row>
    <row r="1325" spans="1:1" x14ac:dyDescent="0.25">
      <c r="A1325" s="66"/>
    </row>
    <row r="1326" spans="1:1" x14ac:dyDescent="0.25">
      <c r="A1326" s="66"/>
    </row>
    <row r="1327" spans="1:1" x14ac:dyDescent="0.25">
      <c r="A1327" s="66"/>
    </row>
    <row r="1328" spans="1:1" x14ac:dyDescent="0.25">
      <c r="A1328" s="66"/>
    </row>
    <row r="1329" spans="1:1" x14ac:dyDescent="0.25">
      <c r="A1329" s="66"/>
    </row>
    <row r="1330" spans="1:1" x14ac:dyDescent="0.25">
      <c r="A1330" s="66"/>
    </row>
    <row r="1331" spans="1:1" x14ac:dyDescent="0.25">
      <c r="A1331" s="66"/>
    </row>
    <row r="1332" spans="1:1" x14ac:dyDescent="0.25">
      <c r="A1332" s="66"/>
    </row>
    <row r="1333" spans="1:1" x14ac:dyDescent="0.25">
      <c r="A1333" s="66"/>
    </row>
    <row r="1334" spans="1:1" x14ac:dyDescent="0.25">
      <c r="A1334" s="66"/>
    </row>
    <row r="1335" spans="1:1" x14ac:dyDescent="0.25">
      <c r="A1335" s="66"/>
    </row>
    <row r="1336" spans="1:1" x14ac:dyDescent="0.25">
      <c r="A1336" s="66"/>
    </row>
    <row r="1337" spans="1:1" x14ac:dyDescent="0.25">
      <c r="A1337" s="66"/>
    </row>
    <row r="1338" spans="1:1" x14ac:dyDescent="0.25">
      <c r="A1338" s="66"/>
    </row>
    <row r="1339" spans="1:1" x14ac:dyDescent="0.25">
      <c r="A1339" s="66"/>
    </row>
    <row r="1340" spans="1:1" x14ac:dyDescent="0.25">
      <c r="A1340" s="66"/>
    </row>
    <row r="1341" spans="1:1" x14ac:dyDescent="0.25">
      <c r="A1341" s="66"/>
    </row>
    <row r="1342" spans="1:1" x14ac:dyDescent="0.25">
      <c r="A1342" s="66"/>
    </row>
    <row r="1343" spans="1:1" x14ac:dyDescent="0.25">
      <c r="A1343" s="66"/>
    </row>
    <row r="1344" spans="1:1" x14ac:dyDescent="0.25">
      <c r="A1344" s="66"/>
    </row>
    <row r="1345" spans="1:1" x14ac:dyDescent="0.25">
      <c r="A1345" s="66"/>
    </row>
    <row r="1346" spans="1:1" x14ac:dyDescent="0.25">
      <c r="A1346" s="66"/>
    </row>
    <row r="1347" spans="1:1" x14ac:dyDescent="0.25">
      <c r="A1347" s="66"/>
    </row>
    <row r="1348" spans="1:1" x14ac:dyDescent="0.25">
      <c r="A1348" s="66"/>
    </row>
    <row r="1349" spans="1:1" x14ac:dyDescent="0.25">
      <c r="A1349" s="66"/>
    </row>
    <row r="1350" spans="1:1" x14ac:dyDescent="0.25">
      <c r="A1350" s="66"/>
    </row>
    <row r="1351" spans="1:1" x14ac:dyDescent="0.25">
      <c r="A1351" s="66"/>
    </row>
    <row r="1352" spans="1:1" x14ac:dyDescent="0.25">
      <c r="A1352" s="66"/>
    </row>
    <row r="1353" spans="1:1" x14ac:dyDescent="0.25">
      <c r="A1353" s="66"/>
    </row>
    <row r="1354" spans="1:1" x14ac:dyDescent="0.25">
      <c r="A1354" s="66"/>
    </row>
    <row r="1355" spans="1:1" x14ac:dyDescent="0.25">
      <c r="A1355" s="66"/>
    </row>
    <row r="1356" spans="1:1" x14ac:dyDescent="0.25">
      <c r="A1356" s="66"/>
    </row>
    <row r="1357" spans="1:1" x14ac:dyDescent="0.25">
      <c r="A1357" s="66"/>
    </row>
    <row r="1358" spans="1:1" x14ac:dyDescent="0.25">
      <c r="A1358" s="66"/>
    </row>
    <row r="1359" spans="1:1" x14ac:dyDescent="0.25">
      <c r="A1359" s="66"/>
    </row>
    <row r="1360" spans="1:1" x14ac:dyDescent="0.25">
      <c r="A1360" s="66"/>
    </row>
    <row r="1361" spans="1:1" x14ac:dyDescent="0.25">
      <c r="A1361" s="66"/>
    </row>
    <row r="1362" spans="1:1" x14ac:dyDescent="0.25">
      <c r="A1362" s="66"/>
    </row>
    <row r="1363" spans="1:1" x14ac:dyDescent="0.25">
      <c r="A1363" s="66"/>
    </row>
    <row r="1364" spans="1:1" x14ac:dyDescent="0.25">
      <c r="A1364" s="66"/>
    </row>
    <row r="1365" spans="1:1" x14ac:dyDescent="0.25">
      <c r="A1365" s="66"/>
    </row>
    <row r="1366" spans="1:1" x14ac:dyDescent="0.25">
      <c r="A1366" s="66"/>
    </row>
    <row r="1367" spans="1:1" x14ac:dyDescent="0.25">
      <c r="A1367" s="66"/>
    </row>
    <row r="1368" spans="1:1" x14ac:dyDescent="0.25">
      <c r="A1368" s="66"/>
    </row>
    <row r="1369" spans="1:1" x14ac:dyDescent="0.25">
      <c r="A1369" s="66"/>
    </row>
    <row r="1370" spans="1:1" x14ac:dyDescent="0.25">
      <c r="A1370" s="66"/>
    </row>
    <row r="1371" spans="1:1" x14ac:dyDescent="0.25">
      <c r="A1371" s="66"/>
    </row>
    <row r="1372" spans="1:1" x14ac:dyDescent="0.25">
      <c r="A1372" s="66"/>
    </row>
    <row r="1373" spans="1:1" x14ac:dyDescent="0.25">
      <c r="A1373" s="66"/>
    </row>
    <row r="1374" spans="1:1" x14ac:dyDescent="0.25">
      <c r="A1374" s="66"/>
    </row>
    <row r="1375" spans="1:1" x14ac:dyDescent="0.25">
      <c r="A1375" s="66"/>
    </row>
    <row r="1376" spans="1:1" x14ac:dyDescent="0.25">
      <c r="A1376" s="66"/>
    </row>
    <row r="1377" spans="1:1" x14ac:dyDescent="0.25">
      <c r="A1377" s="66"/>
    </row>
    <row r="1378" spans="1:1" x14ac:dyDescent="0.25">
      <c r="A1378" s="66"/>
    </row>
    <row r="1379" spans="1:1" x14ac:dyDescent="0.25">
      <c r="A1379" s="66"/>
    </row>
    <row r="1380" spans="1:1" x14ac:dyDescent="0.25">
      <c r="A1380" s="66"/>
    </row>
    <row r="1381" spans="1:1" x14ac:dyDescent="0.25">
      <c r="A1381" s="66"/>
    </row>
    <row r="1382" spans="1:1" x14ac:dyDescent="0.25">
      <c r="A1382" s="66"/>
    </row>
    <row r="1383" spans="1:1" x14ac:dyDescent="0.25">
      <c r="A1383" s="66"/>
    </row>
    <row r="1384" spans="1:1" x14ac:dyDescent="0.25">
      <c r="A1384" s="66"/>
    </row>
    <row r="1385" spans="1:1" x14ac:dyDescent="0.25">
      <c r="A1385" s="66"/>
    </row>
    <row r="1386" spans="1:1" x14ac:dyDescent="0.25">
      <c r="A1386" s="66"/>
    </row>
    <row r="1387" spans="1:1" x14ac:dyDescent="0.25">
      <c r="A1387" s="66"/>
    </row>
    <row r="1388" spans="1:1" x14ac:dyDescent="0.25">
      <c r="A1388" s="66"/>
    </row>
    <row r="1389" spans="1:1" x14ac:dyDescent="0.25">
      <c r="A1389" s="66"/>
    </row>
    <row r="1390" spans="1:1" x14ac:dyDescent="0.25">
      <c r="A1390" s="66"/>
    </row>
    <row r="1391" spans="1:1" x14ac:dyDescent="0.25">
      <c r="A1391" s="66"/>
    </row>
    <row r="1392" spans="1:1" x14ac:dyDescent="0.25">
      <c r="A1392" s="66"/>
    </row>
    <row r="1393" spans="1:1" x14ac:dyDescent="0.25">
      <c r="A1393" s="66"/>
    </row>
    <row r="1394" spans="1:1" x14ac:dyDescent="0.25">
      <c r="A1394" s="66"/>
    </row>
    <row r="1395" spans="1:1" x14ac:dyDescent="0.25">
      <c r="A1395" s="66"/>
    </row>
    <row r="1396" spans="1:1" x14ac:dyDescent="0.25">
      <c r="A1396" s="66"/>
    </row>
    <row r="1397" spans="1:1" x14ac:dyDescent="0.25">
      <c r="A1397" s="66"/>
    </row>
    <row r="1398" spans="1:1" x14ac:dyDescent="0.25">
      <c r="A1398" s="66"/>
    </row>
    <row r="1399" spans="1:1" x14ac:dyDescent="0.25">
      <c r="A1399" s="66"/>
    </row>
    <row r="1400" spans="1:1" x14ac:dyDescent="0.25">
      <c r="A1400" s="66"/>
    </row>
    <row r="1401" spans="1:1" x14ac:dyDescent="0.25">
      <c r="A1401" s="66"/>
    </row>
    <row r="1402" spans="1:1" x14ac:dyDescent="0.25">
      <c r="A1402" s="66"/>
    </row>
    <row r="1403" spans="1:1" x14ac:dyDescent="0.25">
      <c r="A1403" s="66"/>
    </row>
    <row r="1404" spans="1:1" x14ac:dyDescent="0.25">
      <c r="A1404" s="66"/>
    </row>
    <row r="1405" spans="1:1" x14ac:dyDescent="0.25">
      <c r="A1405" s="66"/>
    </row>
    <row r="1406" spans="1:1" x14ac:dyDescent="0.25">
      <c r="A1406" s="66"/>
    </row>
    <row r="1407" spans="1:1" x14ac:dyDescent="0.25">
      <c r="A1407" s="66"/>
    </row>
    <row r="1408" spans="1:1" x14ac:dyDescent="0.25">
      <c r="A1408" s="66"/>
    </row>
    <row r="1409" spans="1:1" x14ac:dyDescent="0.25">
      <c r="A1409" s="66"/>
    </row>
    <row r="1410" spans="1:1" x14ac:dyDescent="0.25">
      <c r="A1410" s="66"/>
    </row>
    <row r="1411" spans="1:1" x14ac:dyDescent="0.25">
      <c r="A1411" s="66"/>
    </row>
    <row r="1412" spans="1:1" x14ac:dyDescent="0.25">
      <c r="A1412" s="66"/>
    </row>
    <row r="1413" spans="1:1" x14ac:dyDescent="0.25">
      <c r="A1413" s="66"/>
    </row>
    <row r="1414" spans="1:1" x14ac:dyDescent="0.25">
      <c r="A1414" s="66"/>
    </row>
    <row r="1415" spans="1:1" x14ac:dyDescent="0.25">
      <c r="A1415" s="66"/>
    </row>
    <row r="1416" spans="1:1" x14ac:dyDescent="0.25">
      <c r="A1416" s="66"/>
    </row>
    <row r="1417" spans="1:1" x14ac:dyDescent="0.25">
      <c r="A1417" s="66"/>
    </row>
    <row r="1418" spans="1:1" x14ac:dyDescent="0.25">
      <c r="A1418" s="66"/>
    </row>
    <row r="1419" spans="1:1" x14ac:dyDescent="0.25">
      <c r="A1419" s="66"/>
    </row>
    <row r="1420" spans="1:1" x14ac:dyDescent="0.25">
      <c r="A1420" s="66"/>
    </row>
    <row r="1421" spans="1:1" x14ac:dyDescent="0.25">
      <c r="A1421" s="66"/>
    </row>
    <row r="1422" spans="1:1" x14ac:dyDescent="0.25">
      <c r="A1422" s="66"/>
    </row>
    <row r="1423" spans="1:1" x14ac:dyDescent="0.25">
      <c r="A1423" s="66"/>
    </row>
    <row r="1424" spans="1:1" x14ac:dyDescent="0.25">
      <c r="A1424" s="66"/>
    </row>
    <row r="1425" spans="1:1" x14ac:dyDescent="0.25">
      <c r="A1425" s="66"/>
    </row>
    <row r="1426" spans="1:1" x14ac:dyDescent="0.25">
      <c r="A1426" s="66"/>
    </row>
    <row r="1427" spans="1:1" x14ac:dyDescent="0.25">
      <c r="A1427" s="66"/>
    </row>
    <row r="1428" spans="1:1" x14ac:dyDescent="0.25">
      <c r="A1428" s="66"/>
    </row>
    <row r="1429" spans="1:1" x14ac:dyDescent="0.25">
      <c r="A1429" s="66"/>
    </row>
    <row r="1430" spans="1:1" x14ac:dyDescent="0.25">
      <c r="A1430" s="66"/>
    </row>
    <row r="1431" spans="1:1" x14ac:dyDescent="0.25">
      <c r="A1431" s="66"/>
    </row>
    <row r="1432" spans="1:1" x14ac:dyDescent="0.25">
      <c r="A1432" s="66"/>
    </row>
    <row r="1433" spans="1:1" x14ac:dyDescent="0.25">
      <c r="A1433" s="66"/>
    </row>
    <row r="1434" spans="1:1" x14ac:dyDescent="0.25">
      <c r="A1434" s="66"/>
    </row>
    <row r="1435" spans="1:1" x14ac:dyDescent="0.25">
      <c r="A1435" s="66"/>
    </row>
    <row r="1436" spans="1:1" x14ac:dyDescent="0.25">
      <c r="A1436" s="66"/>
    </row>
    <row r="1437" spans="1:1" x14ac:dyDescent="0.25">
      <c r="A1437" s="66"/>
    </row>
    <row r="1438" spans="1:1" x14ac:dyDescent="0.25">
      <c r="A1438" s="66"/>
    </row>
    <row r="1439" spans="1:1" x14ac:dyDescent="0.25">
      <c r="A1439" s="66"/>
    </row>
    <row r="1440" spans="1:1" x14ac:dyDescent="0.25">
      <c r="A1440" s="66"/>
    </row>
    <row r="1441" spans="1:1" x14ac:dyDescent="0.25">
      <c r="A1441" s="66"/>
    </row>
    <row r="1442" spans="1:1" x14ac:dyDescent="0.25">
      <c r="A1442" s="66"/>
    </row>
    <row r="1443" spans="1:1" x14ac:dyDescent="0.25">
      <c r="A1443" s="66"/>
    </row>
    <row r="1444" spans="1:1" x14ac:dyDescent="0.25">
      <c r="A1444" s="66"/>
    </row>
    <row r="1445" spans="1:1" x14ac:dyDescent="0.25">
      <c r="A1445" s="66"/>
    </row>
    <row r="1446" spans="1:1" x14ac:dyDescent="0.25">
      <c r="A1446" s="66"/>
    </row>
    <row r="1447" spans="1:1" x14ac:dyDescent="0.25">
      <c r="A1447" s="66"/>
    </row>
    <row r="1448" spans="1:1" x14ac:dyDescent="0.25">
      <c r="A1448" s="66"/>
    </row>
    <row r="1449" spans="1:1" x14ac:dyDescent="0.25">
      <c r="A1449" s="66"/>
    </row>
    <row r="1450" spans="1:1" x14ac:dyDescent="0.25">
      <c r="A1450" s="66"/>
    </row>
    <row r="1451" spans="1:1" x14ac:dyDescent="0.25">
      <c r="A1451" s="66"/>
    </row>
    <row r="1452" spans="1:1" x14ac:dyDescent="0.25">
      <c r="A1452" s="66"/>
    </row>
    <row r="1453" spans="1:1" x14ac:dyDescent="0.25">
      <c r="A1453" s="66"/>
    </row>
    <row r="1454" spans="1:1" x14ac:dyDescent="0.25">
      <c r="A1454" s="66"/>
    </row>
    <row r="1455" spans="1:1" x14ac:dyDescent="0.25">
      <c r="A1455" s="66"/>
    </row>
    <row r="1456" spans="1:1" x14ac:dyDescent="0.25">
      <c r="A1456" s="66"/>
    </row>
    <row r="1457" spans="1:1" x14ac:dyDescent="0.25">
      <c r="A1457" s="66"/>
    </row>
    <row r="1458" spans="1:1" x14ac:dyDescent="0.25">
      <c r="A1458" s="66"/>
    </row>
    <row r="1459" spans="1:1" x14ac:dyDescent="0.25">
      <c r="A1459" s="66"/>
    </row>
    <row r="1460" spans="1:1" x14ac:dyDescent="0.25">
      <c r="A1460" s="66"/>
    </row>
    <row r="1461" spans="1:1" x14ac:dyDescent="0.25">
      <c r="A1461" s="66"/>
    </row>
    <row r="1462" spans="1:1" x14ac:dyDescent="0.25">
      <c r="A1462" s="66"/>
    </row>
    <row r="1463" spans="1:1" x14ac:dyDescent="0.25">
      <c r="A1463" s="66"/>
    </row>
    <row r="1464" spans="1:1" x14ac:dyDescent="0.25">
      <c r="A1464" s="66"/>
    </row>
    <row r="1465" spans="1:1" x14ac:dyDescent="0.25">
      <c r="A1465" s="66"/>
    </row>
    <row r="1466" spans="1:1" x14ac:dyDescent="0.25">
      <c r="A1466" s="66"/>
    </row>
    <row r="1467" spans="1:1" x14ac:dyDescent="0.25">
      <c r="A1467" s="66"/>
    </row>
    <row r="1468" spans="1:1" x14ac:dyDescent="0.25">
      <c r="A1468" s="66"/>
    </row>
    <row r="1469" spans="1:1" x14ac:dyDescent="0.25">
      <c r="A1469" s="66"/>
    </row>
    <row r="1470" spans="1:1" x14ac:dyDescent="0.25">
      <c r="A1470" s="66"/>
    </row>
    <row r="1471" spans="1:1" x14ac:dyDescent="0.25">
      <c r="A1471" s="66"/>
    </row>
    <row r="1472" spans="1:1" x14ac:dyDescent="0.25">
      <c r="A1472" s="66"/>
    </row>
    <row r="1473" spans="1:1" x14ac:dyDescent="0.25">
      <c r="A1473" s="66"/>
    </row>
    <row r="1474" spans="1:1" x14ac:dyDescent="0.25">
      <c r="A1474" s="66"/>
    </row>
    <row r="1475" spans="1:1" x14ac:dyDescent="0.25">
      <c r="A1475" s="66"/>
    </row>
    <row r="1476" spans="1:1" x14ac:dyDescent="0.25">
      <c r="A1476" s="66"/>
    </row>
    <row r="1477" spans="1:1" x14ac:dyDescent="0.25">
      <c r="A1477" s="66"/>
    </row>
    <row r="1478" spans="1:1" x14ac:dyDescent="0.25">
      <c r="A1478" s="66"/>
    </row>
    <row r="1479" spans="1:1" x14ac:dyDescent="0.25">
      <c r="A1479" s="66"/>
    </row>
    <row r="1480" spans="1:1" x14ac:dyDescent="0.25">
      <c r="A1480" s="66"/>
    </row>
    <row r="1481" spans="1:1" x14ac:dyDescent="0.25">
      <c r="A1481" s="66"/>
    </row>
    <row r="1482" spans="1:1" x14ac:dyDescent="0.25">
      <c r="A1482" s="66"/>
    </row>
    <row r="1483" spans="1:1" x14ac:dyDescent="0.25">
      <c r="A1483" s="66"/>
    </row>
    <row r="1484" spans="1:1" x14ac:dyDescent="0.25">
      <c r="A1484" s="66"/>
    </row>
    <row r="1485" spans="1:1" x14ac:dyDescent="0.25">
      <c r="A1485" s="66"/>
    </row>
    <row r="1486" spans="1:1" x14ac:dyDescent="0.25">
      <c r="A1486" s="66"/>
    </row>
    <row r="1487" spans="1:1" x14ac:dyDescent="0.25">
      <c r="A1487" s="66"/>
    </row>
    <row r="1488" spans="1:1" x14ac:dyDescent="0.25">
      <c r="A1488" s="66"/>
    </row>
    <row r="1489" spans="1:1" x14ac:dyDescent="0.25">
      <c r="A1489" s="66"/>
    </row>
    <row r="1490" spans="1:1" x14ac:dyDescent="0.25">
      <c r="A1490" s="66"/>
    </row>
    <row r="1491" spans="1:1" x14ac:dyDescent="0.25">
      <c r="A1491" s="66"/>
    </row>
    <row r="1492" spans="1:1" x14ac:dyDescent="0.25">
      <c r="A1492" s="66"/>
    </row>
    <row r="1493" spans="1:1" x14ac:dyDescent="0.25">
      <c r="A1493" s="66"/>
    </row>
    <row r="1494" spans="1:1" x14ac:dyDescent="0.25">
      <c r="A1494" s="66"/>
    </row>
    <row r="1495" spans="1:1" x14ac:dyDescent="0.25">
      <c r="A1495" s="66"/>
    </row>
    <row r="1496" spans="1:1" x14ac:dyDescent="0.25">
      <c r="A1496" s="66"/>
    </row>
    <row r="1497" spans="1:1" x14ac:dyDescent="0.25">
      <c r="A1497" s="66"/>
    </row>
    <row r="1498" spans="1:1" x14ac:dyDescent="0.25">
      <c r="A1498" s="66"/>
    </row>
    <row r="1499" spans="1:1" x14ac:dyDescent="0.25">
      <c r="A1499" s="66"/>
    </row>
    <row r="1500" spans="1:1" x14ac:dyDescent="0.25">
      <c r="A1500" s="66"/>
    </row>
    <row r="1501" spans="1:1" x14ac:dyDescent="0.25">
      <c r="A1501" s="66"/>
    </row>
    <row r="1502" spans="1:1" x14ac:dyDescent="0.25">
      <c r="A1502" s="66"/>
    </row>
    <row r="1503" spans="1:1" x14ac:dyDescent="0.25">
      <c r="A1503" s="66"/>
    </row>
    <row r="1504" spans="1:1" x14ac:dyDescent="0.25">
      <c r="A1504" s="66"/>
    </row>
    <row r="1505" spans="1:1" x14ac:dyDescent="0.25">
      <c r="A1505" s="66"/>
    </row>
    <row r="1506" spans="1:1" x14ac:dyDescent="0.25">
      <c r="A1506" s="66"/>
    </row>
    <row r="1507" spans="1:1" x14ac:dyDescent="0.25">
      <c r="A1507" s="66"/>
    </row>
    <row r="1508" spans="1:1" x14ac:dyDescent="0.25">
      <c r="A1508" s="66"/>
    </row>
    <row r="1509" spans="1:1" x14ac:dyDescent="0.25">
      <c r="A1509" s="66"/>
    </row>
    <row r="1510" spans="1:1" x14ac:dyDescent="0.25">
      <c r="A1510" s="66"/>
    </row>
    <row r="1511" spans="1:1" x14ac:dyDescent="0.25">
      <c r="A1511" s="66"/>
    </row>
    <row r="1512" spans="1:1" x14ac:dyDescent="0.25">
      <c r="A1512" s="66"/>
    </row>
    <row r="1513" spans="1:1" x14ac:dyDescent="0.25">
      <c r="A1513" s="66"/>
    </row>
    <row r="1514" spans="1:1" x14ac:dyDescent="0.25">
      <c r="A1514" s="66"/>
    </row>
    <row r="1515" spans="1:1" x14ac:dyDescent="0.25">
      <c r="A1515" s="66"/>
    </row>
    <row r="1516" spans="1:1" x14ac:dyDescent="0.25">
      <c r="A1516" s="66"/>
    </row>
    <row r="1517" spans="1:1" x14ac:dyDescent="0.25">
      <c r="A1517" s="66"/>
    </row>
    <row r="1518" spans="1:1" x14ac:dyDescent="0.25">
      <c r="A1518" s="66"/>
    </row>
    <row r="1519" spans="1:1" x14ac:dyDescent="0.25">
      <c r="A1519" s="66"/>
    </row>
    <row r="1520" spans="1:1" x14ac:dyDescent="0.25">
      <c r="A1520" s="66"/>
    </row>
    <row r="1521" spans="1:1" x14ac:dyDescent="0.25">
      <c r="A1521" s="66"/>
    </row>
    <row r="1522" spans="1:1" x14ac:dyDescent="0.25">
      <c r="A1522" s="66"/>
    </row>
    <row r="1523" spans="1:1" x14ac:dyDescent="0.25">
      <c r="A1523" s="66"/>
    </row>
    <row r="1524" spans="1:1" x14ac:dyDescent="0.25">
      <c r="A1524" s="66"/>
    </row>
    <row r="1525" spans="1:1" x14ac:dyDescent="0.25">
      <c r="A1525" s="66"/>
    </row>
    <row r="1526" spans="1:1" x14ac:dyDescent="0.25">
      <c r="A1526" s="66"/>
    </row>
    <row r="1527" spans="1:1" x14ac:dyDescent="0.25">
      <c r="A1527" s="66"/>
    </row>
    <row r="1528" spans="1:1" x14ac:dyDescent="0.25">
      <c r="A1528" s="66"/>
    </row>
    <row r="1529" spans="1:1" x14ac:dyDescent="0.25">
      <c r="A1529" s="66"/>
    </row>
    <row r="1530" spans="1:1" x14ac:dyDescent="0.25">
      <c r="A1530" s="66"/>
    </row>
    <row r="1531" spans="1:1" x14ac:dyDescent="0.25">
      <c r="A1531" s="66"/>
    </row>
    <row r="1532" spans="1:1" x14ac:dyDescent="0.25">
      <c r="A1532" s="66"/>
    </row>
    <row r="1533" spans="1:1" x14ac:dyDescent="0.25">
      <c r="A1533" s="66"/>
    </row>
    <row r="1534" spans="1:1" x14ac:dyDescent="0.25">
      <c r="A1534" s="66"/>
    </row>
    <row r="1535" spans="1:1" x14ac:dyDescent="0.25">
      <c r="A1535" s="66"/>
    </row>
    <row r="1536" spans="1:1" x14ac:dyDescent="0.25">
      <c r="A1536" s="66"/>
    </row>
    <row r="1537" spans="1:1" x14ac:dyDescent="0.25">
      <c r="A1537" s="66"/>
    </row>
    <row r="1538" spans="1:1" x14ac:dyDescent="0.25">
      <c r="A1538" s="66"/>
    </row>
    <row r="1539" spans="1:1" x14ac:dyDescent="0.25">
      <c r="A1539" s="66"/>
    </row>
    <row r="1540" spans="1:1" x14ac:dyDescent="0.25">
      <c r="A1540" s="66"/>
    </row>
    <row r="1541" spans="1:1" x14ac:dyDescent="0.25">
      <c r="A1541" s="66"/>
    </row>
    <row r="1542" spans="1:1" x14ac:dyDescent="0.25">
      <c r="A1542" s="66"/>
    </row>
    <row r="1543" spans="1:1" x14ac:dyDescent="0.25">
      <c r="A1543" s="66"/>
    </row>
    <row r="1544" spans="1:1" x14ac:dyDescent="0.25">
      <c r="A1544" s="66"/>
    </row>
    <row r="1545" spans="1:1" x14ac:dyDescent="0.25">
      <c r="A1545" s="66"/>
    </row>
    <row r="1546" spans="1:1" x14ac:dyDescent="0.25">
      <c r="A1546" s="66"/>
    </row>
    <row r="1547" spans="1:1" x14ac:dyDescent="0.25">
      <c r="A1547" s="66"/>
    </row>
    <row r="1548" spans="1:1" x14ac:dyDescent="0.25">
      <c r="A1548" s="66"/>
    </row>
    <row r="1549" spans="1:1" x14ac:dyDescent="0.25">
      <c r="A1549" s="66"/>
    </row>
    <row r="1550" spans="1:1" x14ac:dyDescent="0.25">
      <c r="A1550" s="66"/>
    </row>
    <row r="1551" spans="1:1" x14ac:dyDescent="0.25">
      <c r="A1551" s="66"/>
    </row>
    <row r="1552" spans="1:1" x14ac:dyDescent="0.25">
      <c r="A1552" s="66"/>
    </row>
    <row r="1553" spans="1:1" x14ac:dyDescent="0.25">
      <c r="A1553" s="66"/>
    </row>
    <row r="1554" spans="1:1" x14ac:dyDescent="0.25">
      <c r="A1554" s="66"/>
    </row>
    <row r="1555" spans="1:1" x14ac:dyDescent="0.25">
      <c r="A1555" s="66"/>
    </row>
    <row r="1556" spans="1:1" x14ac:dyDescent="0.25">
      <c r="A1556" s="66"/>
    </row>
    <row r="1557" spans="1:1" x14ac:dyDescent="0.25">
      <c r="A1557" s="66"/>
    </row>
    <row r="1558" spans="1:1" x14ac:dyDescent="0.25">
      <c r="A1558" s="66"/>
    </row>
    <row r="1559" spans="1:1" x14ac:dyDescent="0.25">
      <c r="A1559" s="66"/>
    </row>
    <row r="1560" spans="1:1" x14ac:dyDescent="0.25">
      <c r="A1560" s="66"/>
    </row>
    <row r="1561" spans="1:1" x14ac:dyDescent="0.25">
      <c r="A1561" s="66"/>
    </row>
    <row r="1562" spans="1:1" x14ac:dyDescent="0.25">
      <c r="A1562" s="66"/>
    </row>
    <row r="1563" spans="1:1" x14ac:dyDescent="0.25">
      <c r="A1563" s="66"/>
    </row>
    <row r="1564" spans="1:1" x14ac:dyDescent="0.25">
      <c r="A1564" s="66"/>
    </row>
    <row r="1565" spans="1:1" x14ac:dyDescent="0.25">
      <c r="A1565" s="66"/>
    </row>
    <row r="1566" spans="1:1" x14ac:dyDescent="0.25">
      <c r="A1566" s="66"/>
    </row>
    <row r="1567" spans="1:1" x14ac:dyDescent="0.25">
      <c r="A1567" s="66"/>
    </row>
    <row r="1568" spans="1:1" x14ac:dyDescent="0.25">
      <c r="A1568" s="66"/>
    </row>
    <row r="1569" spans="1:1" x14ac:dyDescent="0.25">
      <c r="A1569" s="66"/>
    </row>
    <row r="1570" spans="1:1" x14ac:dyDescent="0.25">
      <c r="A1570" s="66"/>
    </row>
    <row r="1571" spans="1:1" x14ac:dyDescent="0.25">
      <c r="A1571" s="66"/>
    </row>
    <row r="1572" spans="1:1" x14ac:dyDescent="0.25">
      <c r="A1572" s="66"/>
    </row>
    <row r="1573" spans="1:1" x14ac:dyDescent="0.25">
      <c r="A1573" s="66"/>
    </row>
    <row r="1574" spans="1:1" x14ac:dyDescent="0.25">
      <c r="A1574" s="66"/>
    </row>
    <row r="1575" spans="1:1" x14ac:dyDescent="0.25">
      <c r="A1575" s="66"/>
    </row>
    <row r="1576" spans="1:1" x14ac:dyDescent="0.25">
      <c r="A1576" s="66"/>
    </row>
    <row r="1577" spans="1:1" x14ac:dyDescent="0.25">
      <c r="A1577" s="66"/>
    </row>
    <row r="1578" spans="1:1" x14ac:dyDescent="0.25">
      <c r="A1578" s="66"/>
    </row>
    <row r="1579" spans="1:1" x14ac:dyDescent="0.25">
      <c r="A1579" s="66"/>
    </row>
    <row r="1580" spans="1:1" x14ac:dyDescent="0.25">
      <c r="A1580" s="66"/>
    </row>
    <row r="1581" spans="1:1" x14ac:dyDescent="0.25">
      <c r="A1581" s="66"/>
    </row>
    <row r="1582" spans="1:1" x14ac:dyDescent="0.25">
      <c r="A1582" s="66"/>
    </row>
    <row r="1583" spans="1:1" x14ac:dyDescent="0.25">
      <c r="A1583" s="66"/>
    </row>
    <row r="1584" spans="1:1" x14ac:dyDescent="0.25">
      <c r="A1584" s="66"/>
    </row>
    <row r="1585" spans="1:1" x14ac:dyDescent="0.25">
      <c r="A1585" s="66"/>
    </row>
    <row r="1586" spans="1:1" x14ac:dyDescent="0.25">
      <c r="A1586" s="66"/>
    </row>
    <row r="1587" spans="1:1" x14ac:dyDescent="0.25">
      <c r="A1587" s="66"/>
    </row>
    <row r="1588" spans="1:1" x14ac:dyDescent="0.25">
      <c r="A1588" s="66"/>
    </row>
    <row r="1589" spans="1:1" x14ac:dyDescent="0.25">
      <c r="A1589" s="66"/>
    </row>
    <row r="1590" spans="1:1" x14ac:dyDescent="0.25">
      <c r="A1590" s="66"/>
    </row>
    <row r="1591" spans="1:1" x14ac:dyDescent="0.25">
      <c r="A1591" s="66"/>
    </row>
    <row r="1592" spans="1:1" x14ac:dyDescent="0.25">
      <c r="A1592" s="66"/>
    </row>
    <row r="1593" spans="1:1" x14ac:dyDescent="0.25">
      <c r="A1593" s="66"/>
    </row>
    <row r="1594" spans="1:1" x14ac:dyDescent="0.25">
      <c r="A1594" s="66"/>
    </row>
    <row r="1595" spans="1:1" x14ac:dyDescent="0.25">
      <c r="A1595" s="66"/>
    </row>
    <row r="1596" spans="1:1" x14ac:dyDescent="0.25">
      <c r="A1596" s="66"/>
    </row>
    <row r="1597" spans="1:1" x14ac:dyDescent="0.25">
      <c r="A1597" s="66"/>
    </row>
    <row r="1598" spans="1:1" x14ac:dyDescent="0.25">
      <c r="A1598" s="66"/>
    </row>
    <row r="1599" spans="1:1" x14ac:dyDescent="0.25">
      <c r="A1599" s="66"/>
    </row>
    <row r="1600" spans="1:1" x14ac:dyDescent="0.25">
      <c r="A1600" s="66"/>
    </row>
    <row r="1601" spans="1:1" x14ac:dyDescent="0.25">
      <c r="A1601" s="66"/>
    </row>
    <row r="1602" spans="1:1" x14ac:dyDescent="0.25">
      <c r="A1602" s="66"/>
    </row>
    <row r="1603" spans="1:1" x14ac:dyDescent="0.25">
      <c r="A1603" s="66"/>
    </row>
    <row r="1604" spans="1:1" x14ac:dyDescent="0.25">
      <c r="A1604" s="66"/>
    </row>
    <row r="1605" spans="1:1" x14ac:dyDescent="0.25">
      <c r="A1605" s="66"/>
    </row>
    <row r="1606" spans="1:1" x14ac:dyDescent="0.25">
      <c r="A1606" s="66"/>
    </row>
    <row r="1607" spans="1:1" x14ac:dyDescent="0.25">
      <c r="A1607" s="66"/>
    </row>
    <row r="1608" spans="1:1" x14ac:dyDescent="0.25">
      <c r="A1608" s="66"/>
    </row>
    <row r="1609" spans="1:1" x14ac:dyDescent="0.25">
      <c r="A1609" s="66"/>
    </row>
    <row r="1610" spans="1:1" x14ac:dyDescent="0.25">
      <c r="A1610" s="66"/>
    </row>
    <row r="1611" spans="1:1" x14ac:dyDescent="0.25">
      <c r="A1611" s="66"/>
    </row>
    <row r="1612" spans="1:1" x14ac:dyDescent="0.25">
      <c r="A1612" s="66"/>
    </row>
    <row r="1613" spans="1:1" x14ac:dyDescent="0.25">
      <c r="A1613" s="66"/>
    </row>
    <row r="1614" spans="1:1" x14ac:dyDescent="0.25">
      <c r="A1614" s="66"/>
    </row>
    <row r="1615" spans="1:1" x14ac:dyDescent="0.25">
      <c r="A1615" s="66"/>
    </row>
    <row r="1616" spans="1:1" x14ac:dyDescent="0.25">
      <c r="A1616" s="66"/>
    </row>
    <row r="1617" spans="1:1" x14ac:dyDescent="0.25">
      <c r="A1617" s="66"/>
    </row>
    <row r="1618" spans="1:1" x14ac:dyDescent="0.25">
      <c r="A1618" s="66"/>
    </row>
    <row r="1619" spans="1:1" x14ac:dyDescent="0.25">
      <c r="A1619" s="66"/>
    </row>
    <row r="1620" spans="1:1" x14ac:dyDescent="0.25">
      <c r="A1620" s="66"/>
    </row>
    <row r="1621" spans="1:1" x14ac:dyDescent="0.25">
      <c r="A1621" s="66"/>
    </row>
    <row r="1622" spans="1:1" x14ac:dyDescent="0.25">
      <c r="A1622" s="66"/>
    </row>
    <row r="1623" spans="1:1" x14ac:dyDescent="0.25">
      <c r="A1623" s="66"/>
    </row>
    <row r="1624" spans="1:1" x14ac:dyDescent="0.25">
      <c r="A1624" s="66"/>
    </row>
    <row r="1625" spans="1:1" x14ac:dyDescent="0.25">
      <c r="A1625" s="66"/>
    </row>
    <row r="1626" spans="1:1" x14ac:dyDescent="0.25">
      <c r="A1626" s="66"/>
    </row>
    <row r="1627" spans="1:1" x14ac:dyDescent="0.25">
      <c r="A1627" s="66"/>
    </row>
    <row r="1628" spans="1:1" x14ac:dyDescent="0.25">
      <c r="A1628" s="66"/>
    </row>
    <row r="1629" spans="1:1" x14ac:dyDescent="0.25">
      <c r="A1629" s="66"/>
    </row>
    <row r="1630" spans="1:1" x14ac:dyDescent="0.25">
      <c r="A1630" s="66"/>
    </row>
    <row r="1631" spans="1:1" x14ac:dyDescent="0.25">
      <c r="A1631" s="66"/>
    </row>
    <row r="1632" spans="1:1" x14ac:dyDescent="0.25">
      <c r="A1632" s="66"/>
    </row>
    <row r="1633" spans="1:1" x14ac:dyDescent="0.25">
      <c r="A1633" s="66"/>
    </row>
    <row r="1634" spans="1:1" x14ac:dyDescent="0.25">
      <c r="A1634" s="66"/>
    </row>
    <row r="1635" spans="1:1" x14ac:dyDescent="0.25">
      <c r="A1635" s="66"/>
    </row>
    <row r="1636" spans="1:1" x14ac:dyDescent="0.25">
      <c r="A1636" s="66"/>
    </row>
    <row r="1637" spans="1:1" x14ac:dyDescent="0.25">
      <c r="A1637" s="66"/>
    </row>
    <row r="1638" spans="1:1" x14ac:dyDescent="0.25">
      <c r="A1638" s="66"/>
    </row>
    <row r="1639" spans="1:1" x14ac:dyDescent="0.25">
      <c r="A1639" s="66"/>
    </row>
    <row r="1640" spans="1:1" x14ac:dyDescent="0.25">
      <c r="A1640" s="66"/>
    </row>
    <row r="1641" spans="1:1" x14ac:dyDescent="0.25">
      <c r="A1641" s="66"/>
    </row>
    <row r="1642" spans="1:1" x14ac:dyDescent="0.25">
      <c r="A1642" s="66"/>
    </row>
    <row r="1643" spans="1:1" x14ac:dyDescent="0.25">
      <c r="A1643" s="66"/>
    </row>
    <row r="1644" spans="1:1" x14ac:dyDescent="0.25">
      <c r="A1644" s="66"/>
    </row>
    <row r="1645" spans="1:1" x14ac:dyDescent="0.25">
      <c r="A1645" s="66"/>
    </row>
    <row r="1646" spans="1:1" x14ac:dyDescent="0.25">
      <c r="A1646" s="66"/>
    </row>
    <row r="1647" spans="1:1" x14ac:dyDescent="0.25">
      <c r="A1647" s="66"/>
    </row>
    <row r="1648" spans="1:1" x14ac:dyDescent="0.25">
      <c r="A1648" s="66"/>
    </row>
    <row r="1649" spans="1:1" x14ac:dyDescent="0.25">
      <c r="A1649" s="66"/>
    </row>
    <row r="1650" spans="1:1" x14ac:dyDescent="0.25">
      <c r="A1650" s="66"/>
    </row>
    <row r="1651" spans="1:1" x14ac:dyDescent="0.25">
      <c r="A1651" s="66"/>
    </row>
    <row r="1652" spans="1:1" x14ac:dyDescent="0.25">
      <c r="A1652" s="66"/>
    </row>
    <row r="1653" spans="1:1" x14ac:dyDescent="0.25">
      <c r="A1653" s="66"/>
    </row>
    <row r="1654" spans="1:1" x14ac:dyDescent="0.25">
      <c r="A1654" s="66"/>
    </row>
    <row r="1655" spans="1:1" x14ac:dyDescent="0.25">
      <c r="A1655" s="66"/>
    </row>
    <row r="1656" spans="1:1" x14ac:dyDescent="0.25">
      <c r="A1656" s="66"/>
    </row>
    <row r="1657" spans="1:1" x14ac:dyDescent="0.25">
      <c r="A1657" s="66"/>
    </row>
    <row r="1658" spans="1:1" x14ac:dyDescent="0.25">
      <c r="A1658" s="66"/>
    </row>
    <row r="1659" spans="1:1" x14ac:dyDescent="0.25">
      <c r="A1659" s="66"/>
    </row>
    <row r="1660" spans="1:1" x14ac:dyDescent="0.25">
      <c r="A1660" s="66"/>
    </row>
    <row r="1661" spans="1:1" x14ac:dyDescent="0.25">
      <c r="A1661" s="66"/>
    </row>
    <row r="1662" spans="1:1" x14ac:dyDescent="0.25">
      <c r="A1662" s="66"/>
    </row>
    <row r="1663" spans="1:1" x14ac:dyDescent="0.25">
      <c r="A1663" s="66"/>
    </row>
    <row r="1664" spans="1:1" x14ac:dyDescent="0.25">
      <c r="A1664" s="66"/>
    </row>
    <row r="1665" spans="1:1" x14ac:dyDescent="0.25">
      <c r="A1665" s="66"/>
    </row>
    <row r="1666" spans="1:1" x14ac:dyDescent="0.25">
      <c r="A1666" s="66"/>
    </row>
    <row r="1667" spans="1:1" x14ac:dyDescent="0.25">
      <c r="A1667" s="66"/>
    </row>
    <row r="1668" spans="1:1" x14ac:dyDescent="0.25">
      <c r="A1668" s="66"/>
    </row>
    <row r="1669" spans="1:1" x14ac:dyDescent="0.25">
      <c r="A1669" s="66"/>
    </row>
    <row r="1670" spans="1:1" x14ac:dyDescent="0.25">
      <c r="A1670" s="66"/>
    </row>
    <row r="1671" spans="1:1" x14ac:dyDescent="0.25">
      <c r="A1671" s="66"/>
    </row>
    <row r="1672" spans="1:1" x14ac:dyDescent="0.25">
      <c r="A1672" s="66"/>
    </row>
    <row r="1673" spans="1:1" x14ac:dyDescent="0.25">
      <c r="A1673" s="66"/>
    </row>
    <row r="1674" spans="1:1" x14ac:dyDescent="0.25">
      <c r="A1674" s="66"/>
    </row>
    <row r="1675" spans="1:1" x14ac:dyDescent="0.25">
      <c r="A1675" s="66"/>
    </row>
    <row r="1676" spans="1:1" x14ac:dyDescent="0.25">
      <c r="A1676" s="66"/>
    </row>
    <row r="1677" spans="1:1" x14ac:dyDescent="0.25">
      <c r="A1677" s="66"/>
    </row>
    <row r="1678" spans="1:1" x14ac:dyDescent="0.25">
      <c r="A1678" s="66"/>
    </row>
    <row r="1679" spans="1:1" x14ac:dyDescent="0.25">
      <c r="A1679" s="66"/>
    </row>
    <row r="1680" spans="1:1" x14ac:dyDescent="0.25">
      <c r="A1680" s="66"/>
    </row>
    <row r="1681" spans="1:1" x14ac:dyDescent="0.25">
      <c r="A1681" s="66"/>
    </row>
    <row r="1682" spans="1:1" x14ac:dyDescent="0.25">
      <c r="A1682" s="66"/>
    </row>
    <row r="1683" spans="1:1" x14ac:dyDescent="0.25">
      <c r="A1683" s="66"/>
    </row>
    <row r="1684" spans="1:1" x14ac:dyDescent="0.25">
      <c r="A1684" s="66"/>
    </row>
    <row r="1685" spans="1:1" x14ac:dyDescent="0.25">
      <c r="A1685" s="66"/>
    </row>
    <row r="1686" spans="1:1" x14ac:dyDescent="0.25">
      <c r="A1686" s="66"/>
    </row>
    <row r="1687" spans="1:1" x14ac:dyDescent="0.25">
      <c r="A1687" s="66"/>
    </row>
    <row r="1688" spans="1:1" x14ac:dyDescent="0.25">
      <c r="A1688" s="66"/>
    </row>
    <row r="1689" spans="1:1" x14ac:dyDescent="0.25">
      <c r="A1689" s="66"/>
    </row>
    <row r="1690" spans="1:1" x14ac:dyDescent="0.25">
      <c r="A1690" s="66"/>
    </row>
    <row r="1691" spans="1:1" x14ac:dyDescent="0.25">
      <c r="A1691" s="66"/>
    </row>
    <row r="1692" spans="1:1" x14ac:dyDescent="0.25">
      <c r="A1692" s="66"/>
    </row>
    <row r="1693" spans="1:1" x14ac:dyDescent="0.25">
      <c r="A1693" s="66"/>
    </row>
    <row r="1694" spans="1:1" x14ac:dyDescent="0.25">
      <c r="A1694" s="66"/>
    </row>
    <row r="1695" spans="1:1" x14ac:dyDescent="0.25">
      <c r="A1695" s="66"/>
    </row>
    <row r="1696" spans="1:1" x14ac:dyDescent="0.25">
      <c r="A1696" s="66"/>
    </row>
    <row r="1697" spans="1:1" x14ac:dyDescent="0.25">
      <c r="A1697" s="66"/>
    </row>
    <row r="1698" spans="1:1" x14ac:dyDescent="0.25">
      <c r="A1698" s="66"/>
    </row>
    <row r="1699" spans="1:1" x14ac:dyDescent="0.25">
      <c r="A1699" s="66"/>
    </row>
    <row r="1700" spans="1:1" x14ac:dyDescent="0.25">
      <c r="A1700" s="66"/>
    </row>
    <row r="1701" spans="1:1" x14ac:dyDescent="0.25">
      <c r="A1701" s="66"/>
    </row>
    <row r="1702" spans="1:1" x14ac:dyDescent="0.25">
      <c r="A1702" s="66"/>
    </row>
    <row r="1703" spans="1:1" x14ac:dyDescent="0.25">
      <c r="A1703" s="66"/>
    </row>
    <row r="1704" spans="1:1" x14ac:dyDescent="0.25">
      <c r="A1704" s="66"/>
    </row>
    <row r="1705" spans="1:1" x14ac:dyDescent="0.25">
      <c r="A1705" s="66"/>
    </row>
    <row r="1706" spans="1:1" x14ac:dyDescent="0.25">
      <c r="A1706" s="66"/>
    </row>
    <row r="1707" spans="1:1" x14ac:dyDescent="0.25">
      <c r="A1707" s="66"/>
    </row>
    <row r="1708" spans="1:1" x14ac:dyDescent="0.25">
      <c r="A1708" s="66"/>
    </row>
    <row r="1709" spans="1:1" x14ac:dyDescent="0.25">
      <c r="A1709" s="66"/>
    </row>
    <row r="1710" spans="1:1" x14ac:dyDescent="0.25">
      <c r="A1710" s="66"/>
    </row>
    <row r="1711" spans="1:1" x14ac:dyDescent="0.25">
      <c r="A1711" s="66"/>
    </row>
    <row r="1712" spans="1:1" x14ac:dyDescent="0.25">
      <c r="A1712" s="66"/>
    </row>
    <row r="1713" spans="1:1" x14ac:dyDescent="0.25">
      <c r="A1713" s="66"/>
    </row>
    <row r="1714" spans="1:1" x14ac:dyDescent="0.25">
      <c r="A1714" s="66"/>
    </row>
    <row r="1715" spans="1:1" x14ac:dyDescent="0.25">
      <c r="A1715" s="66"/>
    </row>
    <row r="1716" spans="1:1" x14ac:dyDescent="0.25">
      <c r="A1716" s="66"/>
    </row>
    <row r="1717" spans="1:1" x14ac:dyDescent="0.25">
      <c r="A1717" s="66"/>
    </row>
    <row r="1718" spans="1:1" x14ac:dyDescent="0.25">
      <c r="A1718" s="66"/>
    </row>
    <row r="1719" spans="1:1" x14ac:dyDescent="0.25">
      <c r="A1719" s="66"/>
    </row>
    <row r="1720" spans="1:1" x14ac:dyDescent="0.25">
      <c r="A1720" s="66"/>
    </row>
    <row r="1721" spans="1:1" x14ac:dyDescent="0.25">
      <c r="A1721" s="66"/>
    </row>
    <row r="1722" spans="1:1" x14ac:dyDescent="0.25">
      <c r="A1722" s="66"/>
    </row>
    <row r="1723" spans="1:1" x14ac:dyDescent="0.25">
      <c r="A1723" s="66"/>
    </row>
    <row r="1724" spans="1:1" x14ac:dyDescent="0.25">
      <c r="A1724" s="66"/>
    </row>
    <row r="1725" spans="1:1" x14ac:dyDescent="0.25">
      <c r="A1725" s="66"/>
    </row>
    <row r="1726" spans="1:1" x14ac:dyDescent="0.25">
      <c r="A1726" s="66"/>
    </row>
    <row r="1727" spans="1:1" x14ac:dyDescent="0.25">
      <c r="A1727" s="66"/>
    </row>
    <row r="1728" spans="1:1" x14ac:dyDescent="0.25">
      <c r="A1728" s="66"/>
    </row>
    <row r="1729" spans="1:1" x14ac:dyDescent="0.25">
      <c r="A1729" s="66"/>
    </row>
    <row r="1730" spans="1:1" x14ac:dyDescent="0.25">
      <c r="A1730" s="66"/>
    </row>
    <row r="1731" spans="1:1" x14ac:dyDescent="0.25">
      <c r="A1731" s="66"/>
    </row>
    <row r="1732" spans="1:1" x14ac:dyDescent="0.25">
      <c r="A1732" s="66"/>
    </row>
    <row r="1733" spans="1:1" x14ac:dyDescent="0.25">
      <c r="A1733" s="66"/>
    </row>
    <row r="1734" spans="1:1" x14ac:dyDescent="0.25">
      <c r="A1734" s="66"/>
    </row>
    <row r="1735" spans="1:1" x14ac:dyDescent="0.25">
      <c r="A1735" s="66"/>
    </row>
    <row r="1736" spans="1:1" x14ac:dyDescent="0.25">
      <c r="A1736" s="66"/>
    </row>
    <row r="1737" spans="1:1" x14ac:dyDescent="0.25">
      <c r="A1737" s="66"/>
    </row>
    <row r="1738" spans="1:1" x14ac:dyDescent="0.25">
      <c r="A1738" s="66"/>
    </row>
    <row r="1739" spans="1:1" x14ac:dyDescent="0.25">
      <c r="A1739" s="66"/>
    </row>
    <row r="1740" spans="1:1" x14ac:dyDescent="0.25">
      <c r="A1740" s="66"/>
    </row>
    <row r="1741" spans="1:1" x14ac:dyDescent="0.25">
      <c r="A1741" s="66"/>
    </row>
    <row r="1742" spans="1:1" x14ac:dyDescent="0.25">
      <c r="A1742" s="66"/>
    </row>
    <row r="1743" spans="1:1" x14ac:dyDescent="0.25">
      <c r="A1743" s="66"/>
    </row>
    <row r="1744" spans="1:1" x14ac:dyDescent="0.25">
      <c r="A1744" s="66"/>
    </row>
    <row r="1745" spans="1:1" x14ac:dyDescent="0.25">
      <c r="A1745" s="66"/>
    </row>
    <row r="1746" spans="1:1" x14ac:dyDescent="0.25">
      <c r="A1746" s="66"/>
    </row>
    <row r="1747" spans="1:1" x14ac:dyDescent="0.25">
      <c r="A1747" s="66"/>
    </row>
    <row r="1748" spans="1:1" x14ac:dyDescent="0.25">
      <c r="A1748" s="66"/>
    </row>
    <row r="1749" spans="1:1" x14ac:dyDescent="0.25">
      <c r="A1749" s="66"/>
    </row>
    <row r="1750" spans="1:1" x14ac:dyDescent="0.25">
      <c r="A1750" s="66"/>
    </row>
    <row r="1751" spans="1:1" x14ac:dyDescent="0.25">
      <c r="A1751" s="66"/>
    </row>
    <row r="1752" spans="1:1" x14ac:dyDescent="0.25">
      <c r="A1752" s="66"/>
    </row>
    <row r="1753" spans="1:1" x14ac:dyDescent="0.25">
      <c r="A1753" s="66"/>
    </row>
    <row r="1754" spans="1:1" x14ac:dyDescent="0.25">
      <c r="A1754" s="66"/>
    </row>
    <row r="1755" spans="1:1" x14ac:dyDescent="0.25">
      <c r="A1755" s="66"/>
    </row>
    <row r="1756" spans="1:1" x14ac:dyDescent="0.25">
      <c r="A1756" s="66"/>
    </row>
    <row r="1757" spans="1:1" x14ac:dyDescent="0.25">
      <c r="A1757" s="66"/>
    </row>
    <row r="1758" spans="1:1" x14ac:dyDescent="0.25">
      <c r="A1758" s="66"/>
    </row>
    <row r="1759" spans="1:1" x14ac:dyDescent="0.25">
      <c r="A1759" s="66"/>
    </row>
    <row r="1760" spans="1:1" x14ac:dyDescent="0.25">
      <c r="A1760" s="66"/>
    </row>
    <row r="1761" spans="1:1" x14ac:dyDescent="0.25">
      <c r="A1761" s="66"/>
    </row>
    <row r="1762" spans="1:1" x14ac:dyDescent="0.25">
      <c r="A1762" s="66"/>
    </row>
    <row r="1763" spans="1:1" x14ac:dyDescent="0.25">
      <c r="A1763" s="66"/>
    </row>
    <row r="1764" spans="1:1" x14ac:dyDescent="0.25">
      <c r="A1764" s="66"/>
    </row>
    <row r="1765" spans="1:1" x14ac:dyDescent="0.25">
      <c r="A1765" s="66"/>
    </row>
    <row r="1766" spans="1:1" x14ac:dyDescent="0.25">
      <c r="A1766" s="66"/>
    </row>
    <row r="1767" spans="1:1" x14ac:dyDescent="0.25">
      <c r="A1767" s="66"/>
    </row>
    <row r="1768" spans="1:1" x14ac:dyDescent="0.25">
      <c r="A1768" s="66"/>
    </row>
    <row r="1769" spans="1:1" x14ac:dyDescent="0.25">
      <c r="A1769" s="66"/>
    </row>
    <row r="1770" spans="1:1" x14ac:dyDescent="0.25">
      <c r="A1770" s="66"/>
    </row>
    <row r="1771" spans="1:1" x14ac:dyDescent="0.25">
      <c r="A1771" s="66"/>
    </row>
    <row r="1772" spans="1:1" x14ac:dyDescent="0.25">
      <c r="A1772" s="66"/>
    </row>
    <row r="1773" spans="1:1" x14ac:dyDescent="0.25">
      <c r="A1773" s="66"/>
    </row>
    <row r="1774" spans="1:1" x14ac:dyDescent="0.25">
      <c r="A1774" s="66"/>
    </row>
    <row r="1775" spans="1:1" x14ac:dyDescent="0.25">
      <c r="A1775" s="66"/>
    </row>
    <row r="1776" spans="1:1" x14ac:dyDescent="0.25">
      <c r="A1776" s="66"/>
    </row>
    <row r="1777" spans="1:1" x14ac:dyDescent="0.25">
      <c r="A1777" s="66"/>
    </row>
    <row r="1778" spans="1:1" x14ac:dyDescent="0.25">
      <c r="A1778" s="66"/>
    </row>
    <row r="1779" spans="1:1" x14ac:dyDescent="0.25">
      <c r="A1779" s="66"/>
    </row>
    <row r="1780" spans="1:1" x14ac:dyDescent="0.25">
      <c r="A1780" s="66"/>
    </row>
    <row r="1781" spans="1:1" x14ac:dyDescent="0.25">
      <c r="A1781" s="66"/>
    </row>
    <row r="1782" spans="1:1" x14ac:dyDescent="0.25">
      <c r="A1782" s="66"/>
    </row>
    <row r="1783" spans="1:1" x14ac:dyDescent="0.25">
      <c r="A1783" s="66"/>
    </row>
    <row r="1784" spans="1:1" x14ac:dyDescent="0.25">
      <c r="A1784" s="66"/>
    </row>
    <row r="1785" spans="1:1" x14ac:dyDescent="0.25">
      <c r="A1785" s="66"/>
    </row>
    <row r="1786" spans="1:1" x14ac:dyDescent="0.25">
      <c r="A1786" s="66"/>
    </row>
    <row r="1787" spans="1:1" x14ac:dyDescent="0.25">
      <c r="A1787" s="66"/>
    </row>
    <row r="1788" spans="1:1" x14ac:dyDescent="0.25">
      <c r="A1788" s="66"/>
    </row>
    <row r="1789" spans="1:1" x14ac:dyDescent="0.25">
      <c r="A1789" s="66"/>
    </row>
    <row r="1790" spans="1:1" x14ac:dyDescent="0.25">
      <c r="A1790" s="66"/>
    </row>
    <row r="1791" spans="1:1" x14ac:dyDescent="0.25">
      <c r="A1791" s="66"/>
    </row>
    <row r="1792" spans="1:1" x14ac:dyDescent="0.25">
      <c r="A1792" s="66"/>
    </row>
    <row r="1793" spans="1:1" x14ac:dyDescent="0.25">
      <c r="A1793" s="66"/>
    </row>
    <row r="1794" spans="1:1" x14ac:dyDescent="0.25">
      <c r="A1794" s="66"/>
    </row>
    <row r="1795" spans="1:1" x14ac:dyDescent="0.25">
      <c r="A1795" s="66"/>
    </row>
    <row r="1796" spans="1:1" x14ac:dyDescent="0.25">
      <c r="A1796" s="66"/>
    </row>
    <row r="1797" spans="1:1" x14ac:dyDescent="0.25">
      <c r="A1797" s="66"/>
    </row>
    <row r="1798" spans="1:1" x14ac:dyDescent="0.25">
      <c r="A1798" s="66"/>
    </row>
    <row r="1799" spans="1:1" x14ac:dyDescent="0.25">
      <c r="A1799" s="66"/>
    </row>
    <row r="1800" spans="1:1" x14ac:dyDescent="0.25">
      <c r="A1800" s="66"/>
    </row>
    <row r="1801" spans="1:1" x14ac:dyDescent="0.25">
      <c r="A1801" s="66"/>
    </row>
    <row r="1802" spans="1:1" x14ac:dyDescent="0.25">
      <c r="A1802" s="66"/>
    </row>
    <row r="1803" spans="1:1" x14ac:dyDescent="0.25">
      <c r="A1803" s="66"/>
    </row>
    <row r="1804" spans="1:1" x14ac:dyDescent="0.25">
      <c r="A1804" s="66"/>
    </row>
    <row r="1805" spans="1:1" x14ac:dyDescent="0.25">
      <c r="A1805" s="66"/>
    </row>
    <row r="1806" spans="1:1" x14ac:dyDescent="0.25">
      <c r="A1806" s="66"/>
    </row>
    <row r="1807" spans="1:1" x14ac:dyDescent="0.25">
      <c r="A1807" s="66"/>
    </row>
    <row r="1808" spans="1:1" x14ac:dyDescent="0.25">
      <c r="A1808" s="66"/>
    </row>
    <row r="1809" spans="1:1" x14ac:dyDescent="0.25">
      <c r="A1809" s="66"/>
    </row>
    <row r="1810" spans="1:1" x14ac:dyDescent="0.25">
      <c r="A1810" s="66"/>
    </row>
    <row r="1811" spans="1:1" x14ac:dyDescent="0.25">
      <c r="A1811" s="66"/>
    </row>
    <row r="1812" spans="1:1" x14ac:dyDescent="0.25">
      <c r="A1812" s="66"/>
    </row>
    <row r="1813" spans="1:1" x14ac:dyDescent="0.25">
      <c r="A1813" s="66"/>
    </row>
    <row r="1814" spans="1:1" x14ac:dyDescent="0.25">
      <c r="A1814" s="66"/>
    </row>
    <row r="1815" spans="1:1" x14ac:dyDescent="0.25">
      <c r="A1815" s="66"/>
    </row>
    <row r="1816" spans="1:1" x14ac:dyDescent="0.25">
      <c r="A1816" s="66"/>
    </row>
    <row r="1817" spans="1:1" x14ac:dyDescent="0.25">
      <c r="A1817" s="66"/>
    </row>
    <row r="1818" spans="1:1" x14ac:dyDescent="0.25">
      <c r="A1818" s="66"/>
    </row>
    <row r="1819" spans="1:1" x14ac:dyDescent="0.25">
      <c r="A1819" s="66"/>
    </row>
    <row r="1820" spans="1:1" x14ac:dyDescent="0.25">
      <c r="A1820" s="66"/>
    </row>
    <row r="1821" spans="1:1" x14ac:dyDescent="0.25">
      <c r="A1821" s="66"/>
    </row>
    <row r="1822" spans="1:1" x14ac:dyDescent="0.25">
      <c r="A1822" s="66"/>
    </row>
    <row r="1823" spans="1:1" x14ac:dyDescent="0.25">
      <c r="A1823" s="66"/>
    </row>
    <row r="1824" spans="1:1" x14ac:dyDescent="0.25">
      <c r="A1824" s="66"/>
    </row>
    <row r="1825" spans="1:1" x14ac:dyDescent="0.25">
      <c r="A1825" s="66"/>
    </row>
    <row r="1826" spans="1:1" x14ac:dyDescent="0.25">
      <c r="A1826" s="66"/>
    </row>
    <row r="1827" spans="1:1" x14ac:dyDescent="0.25">
      <c r="A1827" s="66"/>
    </row>
    <row r="1828" spans="1:1" x14ac:dyDescent="0.25">
      <c r="A1828" s="66"/>
    </row>
    <row r="1829" spans="1:1" x14ac:dyDescent="0.25">
      <c r="A1829" s="66"/>
    </row>
    <row r="1830" spans="1:1" x14ac:dyDescent="0.25">
      <c r="A1830" s="66"/>
    </row>
    <row r="1831" spans="1:1" x14ac:dyDescent="0.25">
      <c r="A1831" s="66"/>
    </row>
    <row r="1832" spans="1:1" x14ac:dyDescent="0.25">
      <c r="A1832" s="66"/>
    </row>
    <row r="1833" spans="1:1" x14ac:dyDescent="0.25">
      <c r="A1833" s="66"/>
    </row>
    <row r="1834" spans="1:1" x14ac:dyDescent="0.25">
      <c r="A1834" s="66"/>
    </row>
    <row r="1835" spans="1:1" x14ac:dyDescent="0.25">
      <c r="A1835" s="66"/>
    </row>
    <row r="1836" spans="1:1" x14ac:dyDescent="0.25">
      <c r="A1836" s="66"/>
    </row>
    <row r="1837" spans="1:1" x14ac:dyDescent="0.25">
      <c r="A1837" s="66"/>
    </row>
    <row r="1838" spans="1:1" x14ac:dyDescent="0.25">
      <c r="A1838" s="66"/>
    </row>
    <row r="1839" spans="1:1" x14ac:dyDescent="0.25">
      <c r="A1839" s="66"/>
    </row>
    <row r="1840" spans="1:1" x14ac:dyDescent="0.25">
      <c r="A1840" s="66"/>
    </row>
    <row r="1841" spans="1:1" x14ac:dyDescent="0.25">
      <c r="A1841" s="66"/>
    </row>
    <row r="1842" spans="1:1" x14ac:dyDescent="0.25">
      <c r="A1842" s="66"/>
    </row>
    <row r="1843" spans="1:1" x14ac:dyDescent="0.25">
      <c r="A1843" s="66"/>
    </row>
    <row r="1844" spans="1:1" x14ac:dyDescent="0.25">
      <c r="A1844" s="66"/>
    </row>
    <row r="1845" spans="1:1" x14ac:dyDescent="0.25">
      <c r="A1845" s="66"/>
    </row>
    <row r="1846" spans="1:1" x14ac:dyDescent="0.25">
      <c r="A1846" s="66"/>
    </row>
    <row r="1847" spans="1:1" x14ac:dyDescent="0.25">
      <c r="A1847" s="66"/>
    </row>
    <row r="1848" spans="1:1" x14ac:dyDescent="0.25">
      <c r="A1848" s="66"/>
    </row>
    <row r="1849" spans="1:1" x14ac:dyDescent="0.25">
      <c r="A1849" s="66"/>
    </row>
    <row r="1850" spans="1:1" x14ac:dyDescent="0.25">
      <c r="A1850" s="66"/>
    </row>
    <row r="1851" spans="1:1" x14ac:dyDescent="0.25">
      <c r="A1851" s="66"/>
    </row>
    <row r="1852" spans="1:1" x14ac:dyDescent="0.25">
      <c r="A1852" s="66"/>
    </row>
    <row r="1853" spans="1:1" x14ac:dyDescent="0.25">
      <c r="A1853" s="66"/>
    </row>
    <row r="1854" spans="1:1" x14ac:dyDescent="0.25">
      <c r="A1854" s="66"/>
    </row>
    <row r="1855" spans="1:1" x14ac:dyDescent="0.25">
      <c r="A1855" s="66"/>
    </row>
    <row r="1856" spans="1:1" x14ac:dyDescent="0.25">
      <c r="A1856" s="66"/>
    </row>
    <row r="1857" spans="1:1" x14ac:dyDescent="0.25">
      <c r="A1857" s="66"/>
    </row>
    <row r="1858" spans="1:1" x14ac:dyDescent="0.25">
      <c r="A1858" s="66"/>
    </row>
    <row r="1859" spans="1:1" x14ac:dyDescent="0.25">
      <c r="A1859" s="66"/>
    </row>
    <row r="1860" spans="1:1" x14ac:dyDescent="0.25">
      <c r="A1860" s="66"/>
    </row>
    <row r="1861" spans="1:1" x14ac:dyDescent="0.25">
      <c r="A1861" s="66"/>
    </row>
    <row r="1862" spans="1:1" x14ac:dyDescent="0.25">
      <c r="A1862" s="66"/>
    </row>
    <row r="1863" spans="1:1" x14ac:dyDescent="0.25">
      <c r="A1863" s="66"/>
    </row>
    <row r="1864" spans="1:1" x14ac:dyDescent="0.25">
      <c r="A1864" s="66"/>
    </row>
    <row r="1865" spans="1:1" x14ac:dyDescent="0.25">
      <c r="A1865" s="66"/>
    </row>
    <row r="1866" spans="1:1" x14ac:dyDescent="0.25">
      <c r="A1866" s="66"/>
    </row>
    <row r="1867" spans="1:1" x14ac:dyDescent="0.25">
      <c r="A1867" s="66"/>
    </row>
    <row r="1868" spans="1:1" x14ac:dyDescent="0.25">
      <c r="A1868" s="66"/>
    </row>
    <row r="1869" spans="1:1" x14ac:dyDescent="0.25">
      <c r="A1869" s="66"/>
    </row>
    <row r="1870" spans="1:1" x14ac:dyDescent="0.25">
      <c r="A1870" s="66"/>
    </row>
    <row r="1871" spans="1:1" x14ac:dyDescent="0.25">
      <c r="A1871" s="66"/>
    </row>
    <row r="1872" spans="1:1" x14ac:dyDescent="0.25">
      <c r="A1872" s="66"/>
    </row>
    <row r="1873" spans="1:1" x14ac:dyDescent="0.25">
      <c r="A1873" s="66"/>
    </row>
    <row r="1874" spans="1:1" x14ac:dyDescent="0.25">
      <c r="A1874" s="66"/>
    </row>
    <row r="1875" spans="1:1" x14ac:dyDescent="0.25">
      <c r="A1875" s="66"/>
    </row>
    <row r="1876" spans="1:1" x14ac:dyDescent="0.25">
      <c r="A1876" s="66"/>
    </row>
    <row r="1877" spans="1:1" x14ac:dyDescent="0.25">
      <c r="A1877" s="66"/>
    </row>
    <row r="1878" spans="1:1" x14ac:dyDescent="0.25">
      <c r="A1878" s="66"/>
    </row>
    <row r="1879" spans="1:1" x14ac:dyDescent="0.25">
      <c r="A1879" s="66"/>
    </row>
    <row r="1880" spans="1:1" x14ac:dyDescent="0.25">
      <c r="A1880" s="66"/>
    </row>
    <row r="1881" spans="1:1" x14ac:dyDescent="0.25">
      <c r="A1881" s="66"/>
    </row>
    <row r="1882" spans="1:1" x14ac:dyDescent="0.25">
      <c r="A1882" s="66"/>
    </row>
    <row r="1883" spans="1:1" x14ac:dyDescent="0.25">
      <c r="A1883" s="66"/>
    </row>
    <row r="1884" spans="1:1" x14ac:dyDescent="0.25">
      <c r="A1884" s="66"/>
    </row>
    <row r="1885" spans="1:1" x14ac:dyDescent="0.25">
      <c r="A1885" s="66"/>
    </row>
    <row r="1886" spans="1:1" x14ac:dyDescent="0.25">
      <c r="A1886" s="66"/>
    </row>
    <row r="1887" spans="1:1" x14ac:dyDescent="0.25">
      <c r="A1887" s="66"/>
    </row>
    <row r="1888" spans="1:1" x14ac:dyDescent="0.25">
      <c r="A1888" s="66"/>
    </row>
    <row r="1889" spans="1:1" x14ac:dyDescent="0.25">
      <c r="A1889" s="66"/>
    </row>
    <row r="1890" spans="1:1" x14ac:dyDescent="0.25">
      <c r="A1890" s="66"/>
    </row>
    <row r="1891" spans="1:1" x14ac:dyDescent="0.25">
      <c r="A1891" s="66"/>
    </row>
    <row r="1892" spans="1:1" x14ac:dyDescent="0.25">
      <c r="A1892" s="66"/>
    </row>
    <row r="1893" spans="1:1" x14ac:dyDescent="0.25">
      <c r="A1893" s="66"/>
    </row>
    <row r="1894" spans="1:1" x14ac:dyDescent="0.25">
      <c r="A1894" s="66"/>
    </row>
    <row r="1895" spans="1:1" x14ac:dyDescent="0.25">
      <c r="A1895" s="66"/>
    </row>
    <row r="1896" spans="1:1" x14ac:dyDescent="0.25">
      <c r="A1896" s="66"/>
    </row>
    <row r="1897" spans="1:1" x14ac:dyDescent="0.25">
      <c r="A1897" s="66"/>
    </row>
    <row r="1898" spans="1:1" x14ac:dyDescent="0.25">
      <c r="A1898" s="66"/>
    </row>
    <row r="1899" spans="1:1" x14ac:dyDescent="0.25">
      <c r="A1899" s="66"/>
    </row>
    <row r="1900" spans="1:1" x14ac:dyDescent="0.25">
      <c r="A1900" s="66"/>
    </row>
    <row r="1901" spans="1:1" x14ac:dyDescent="0.25">
      <c r="A1901" s="66"/>
    </row>
    <row r="1902" spans="1:1" x14ac:dyDescent="0.25">
      <c r="A1902" s="66"/>
    </row>
    <row r="1903" spans="1:1" x14ac:dyDescent="0.25">
      <c r="A1903" s="66"/>
    </row>
    <row r="1904" spans="1:1" x14ac:dyDescent="0.25">
      <c r="A1904" s="66"/>
    </row>
    <row r="1905" spans="1:1" x14ac:dyDescent="0.25">
      <c r="A1905" s="66"/>
    </row>
    <row r="1906" spans="1:1" x14ac:dyDescent="0.25">
      <c r="A1906" s="66"/>
    </row>
    <row r="1907" spans="1:1" x14ac:dyDescent="0.25">
      <c r="A1907" s="66"/>
    </row>
    <row r="1908" spans="1:1" x14ac:dyDescent="0.25">
      <c r="A1908" s="66"/>
    </row>
    <row r="1909" spans="1:1" x14ac:dyDescent="0.25">
      <c r="A1909" s="66"/>
    </row>
    <row r="1910" spans="1:1" x14ac:dyDescent="0.25">
      <c r="A1910" s="66"/>
    </row>
    <row r="1911" spans="1:1" x14ac:dyDescent="0.25">
      <c r="A1911" s="66"/>
    </row>
    <row r="1912" spans="1:1" x14ac:dyDescent="0.25">
      <c r="A1912" s="66"/>
    </row>
    <row r="1913" spans="1:1" x14ac:dyDescent="0.25">
      <c r="A1913" s="66"/>
    </row>
    <row r="1914" spans="1:1" x14ac:dyDescent="0.25">
      <c r="A1914" s="66"/>
    </row>
    <row r="1915" spans="1:1" x14ac:dyDescent="0.25">
      <c r="A1915" s="66"/>
    </row>
    <row r="1916" spans="1:1" x14ac:dyDescent="0.25">
      <c r="A1916" s="66"/>
    </row>
    <row r="1917" spans="1:1" x14ac:dyDescent="0.25">
      <c r="A1917" s="66"/>
    </row>
    <row r="1918" spans="1:1" x14ac:dyDescent="0.25">
      <c r="A1918" s="66"/>
    </row>
    <row r="1919" spans="1:1" x14ac:dyDescent="0.25">
      <c r="A1919" s="66"/>
    </row>
    <row r="1920" spans="1:1" x14ac:dyDescent="0.25">
      <c r="A1920" s="66"/>
    </row>
    <row r="1921" spans="1:1" x14ac:dyDescent="0.25">
      <c r="A1921" s="66"/>
    </row>
    <row r="1922" spans="1:1" x14ac:dyDescent="0.25">
      <c r="A1922" s="66"/>
    </row>
    <row r="1923" spans="1:1" x14ac:dyDescent="0.25">
      <c r="A1923" s="66"/>
    </row>
    <row r="1924" spans="1:1" x14ac:dyDescent="0.25">
      <c r="A1924" s="66"/>
    </row>
    <row r="1925" spans="1:1" x14ac:dyDescent="0.25">
      <c r="A1925" s="66"/>
    </row>
    <row r="1926" spans="1:1" x14ac:dyDescent="0.25">
      <c r="A1926" s="66"/>
    </row>
    <row r="1927" spans="1:1" x14ac:dyDescent="0.25">
      <c r="A1927" s="66"/>
    </row>
    <row r="1928" spans="1:1" x14ac:dyDescent="0.25">
      <c r="A1928" s="66"/>
    </row>
    <row r="1929" spans="1:1" x14ac:dyDescent="0.25">
      <c r="A1929" s="66"/>
    </row>
    <row r="1930" spans="1:1" x14ac:dyDescent="0.25">
      <c r="A1930" s="66"/>
    </row>
    <row r="1931" spans="1:1" x14ac:dyDescent="0.25">
      <c r="A1931" s="66"/>
    </row>
    <row r="1932" spans="1:1" x14ac:dyDescent="0.25">
      <c r="A1932" s="66"/>
    </row>
    <row r="1933" spans="1:1" x14ac:dyDescent="0.25">
      <c r="A1933" s="66"/>
    </row>
    <row r="1934" spans="1:1" x14ac:dyDescent="0.25">
      <c r="A1934" s="66"/>
    </row>
    <row r="1935" spans="1:1" x14ac:dyDescent="0.25">
      <c r="A1935" s="66"/>
    </row>
    <row r="1936" spans="1:1" x14ac:dyDescent="0.25">
      <c r="A1936" s="66"/>
    </row>
    <row r="1937" spans="1:1" x14ac:dyDescent="0.25">
      <c r="A1937" s="66"/>
    </row>
    <row r="1938" spans="1:1" x14ac:dyDescent="0.25">
      <c r="A1938" s="66"/>
    </row>
    <row r="1939" spans="1:1" x14ac:dyDescent="0.25">
      <c r="A1939" s="66"/>
    </row>
    <row r="1940" spans="1:1" x14ac:dyDescent="0.25">
      <c r="A1940" s="66"/>
    </row>
    <row r="1941" spans="1:1" x14ac:dyDescent="0.25">
      <c r="A1941" s="66"/>
    </row>
    <row r="1942" spans="1:1" x14ac:dyDescent="0.25">
      <c r="A1942" s="66"/>
    </row>
    <row r="1943" spans="1:1" x14ac:dyDescent="0.25">
      <c r="A1943" s="66"/>
    </row>
    <row r="1944" spans="1:1" x14ac:dyDescent="0.25">
      <c r="A1944" s="66"/>
    </row>
    <row r="1945" spans="1:1" x14ac:dyDescent="0.25">
      <c r="A1945" s="66"/>
    </row>
    <row r="1946" spans="1:1" x14ac:dyDescent="0.25">
      <c r="A1946" s="66"/>
    </row>
    <row r="1947" spans="1:1" x14ac:dyDescent="0.25">
      <c r="A1947" s="66"/>
    </row>
    <row r="1948" spans="1:1" x14ac:dyDescent="0.25">
      <c r="A1948" s="66"/>
    </row>
    <row r="1949" spans="1:1" x14ac:dyDescent="0.25">
      <c r="A1949" s="66"/>
    </row>
    <row r="1950" spans="1:1" x14ac:dyDescent="0.25">
      <c r="A1950" s="66"/>
    </row>
    <row r="1951" spans="1:1" x14ac:dyDescent="0.25">
      <c r="A1951" s="66"/>
    </row>
    <row r="1952" spans="1:1" x14ac:dyDescent="0.25">
      <c r="A1952" s="66"/>
    </row>
    <row r="1953" spans="1:1" x14ac:dyDescent="0.25">
      <c r="A1953" s="66"/>
    </row>
    <row r="1954" spans="1:1" x14ac:dyDescent="0.25">
      <c r="A1954" s="66"/>
    </row>
    <row r="1955" spans="1:1" x14ac:dyDescent="0.25">
      <c r="A1955" s="66"/>
    </row>
    <row r="1956" spans="1:1" x14ac:dyDescent="0.25">
      <c r="A1956" s="66"/>
    </row>
    <row r="1957" spans="1:1" x14ac:dyDescent="0.25">
      <c r="A1957" s="66"/>
    </row>
    <row r="1958" spans="1:1" x14ac:dyDescent="0.25">
      <c r="A1958" s="66"/>
    </row>
    <row r="1959" spans="1:1" x14ac:dyDescent="0.25">
      <c r="A1959" s="66"/>
    </row>
    <row r="1960" spans="1:1" x14ac:dyDescent="0.25">
      <c r="A1960" s="66"/>
    </row>
    <row r="1961" spans="1:1" x14ac:dyDescent="0.25">
      <c r="A1961" s="66"/>
    </row>
    <row r="1962" spans="1:1" x14ac:dyDescent="0.25">
      <c r="A1962" s="66"/>
    </row>
    <row r="1963" spans="1:1" x14ac:dyDescent="0.25">
      <c r="A1963" s="66"/>
    </row>
    <row r="1964" spans="1:1" x14ac:dyDescent="0.25">
      <c r="A1964" s="66"/>
    </row>
    <row r="1965" spans="1:1" x14ac:dyDescent="0.25">
      <c r="A1965" s="66"/>
    </row>
    <row r="1966" spans="1:1" x14ac:dyDescent="0.25">
      <c r="A1966" s="66"/>
    </row>
    <row r="1967" spans="1:1" x14ac:dyDescent="0.25">
      <c r="A1967" s="66"/>
    </row>
    <row r="1968" spans="1:1" x14ac:dyDescent="0.25">
      <c r="A1968" s="66"/>
    </row>
    <row r="1969" spans="1:1" x14ac:dyDescent="0.25">
      <c r="A1969" s="66"/>
    </row>
    <row r="1970" spans="1:1" x14ac:dyDescent="0.25">
      <c r="A1970" s="66"/>
    </row>
    <row r="1971" spans="1:1" x14ac:dyDescent="0.25">
      <c r="A1971" s="66"/>
    </row>
    <row r="1972" spans="1:1" x14ac:dyDescent="0.25">
      <c r="A1972" s="66"/>
    </row>
    <row r="1973" spans="1:1" x14ac:dyDescent="0.25">
      <c r="A1973" s="66"/>
    </row>
    <row r="1974" spans="1:1" x14ac:dyDescent="0.25">
      <c r="A1974" s="66"/>
    </row>
    <row r="1975" spans="1:1" x14ac:dyDescent="0.25">
      <c r="A1975" s="66"/>
    </row>
    <row r="1976" spans="1:1" x14ac:dyDescent="0.25">
      <c r="A1976" s="66"/>
    </row>
    <row r="1977" spans="1:1" x14ac:dyDescent="0.25">
      <c r="A1977" s="66"/>
    </row>
    <row r="1978" spans="1:1" x14ac:dyDescent="0.25">
      <c r="A1978" s="66"/>
    </row>
    <row r="1979" spans="1:1" x14ac:dyDescent="0.25">
      <c r="A1979" s="66"/>
    </row>
    <row r="1980" spans="1:1" x14ac:dyDescent="0.25">
      <c r="A1980" s="66"/>
    </row>
    <row r="1981" spans="1:1" x14ac:dyDescent="0.25">
      <c r="A1981" s="66"/>
    </row>
    <row r="1982" spans="1:1" x14ac:dyDescent="0.25">
      <c r="A1982" s="66"/>
    </row>
    <row r="1983" spans="1:1" x14ac:dyDescent="0.25">
      <c r="A1983" s="66"/>
    </row>
    <row r="1984" spans="1:1" x14ac:dyDescent="0.25">
      <c r="A1984" s="66"/>
    </row>
    <row r="1985" spans="1:1" x14ac:dyDescent="0.25">
      <c r="A1985" s="66"/>
    </row>
    <row r="1986" spans="1:1" x14ac:dyDescent="0.25">
      <c r="A1986" s="66"/>
    </row>
    <row r="1987" spans="1:1" x14ac:dyDescent="0.25">
      <c r="A1987" s="66"/>
    </row>
    <row r="1988" spans="1:1" x14ac:dyDescent="0.25">
      <c r="A1988" s="66"/>
    </row>
    <row r="1989" spans="1:1" x14ac:dyDescent="0.25">
      <c r="A1989" s="66"/>
    </row>
    <row r="1990" spans="1:1" x14ac:dyDescent="0.25">
      <c r="A1990" s="66"/>
    </row>
    <row r="1991" spans="1:1" x14ac:dyDescent="0.25">
      <c r="A1991" s="66"/>
    </row>
    <row r="1992" spans="1:1" x14ac:dyDescent="0.25">
      <c r="A1992" s="66"/>
    </row>
    <row r="1993" spans="1:1" x14ac:dyDescent="0.25">
      <c r="A1993" s="66"/>
    </row>
    <row r="1994" spans="1:1" x14ac:dyDescent="0.25">
      <c r="A1994" s="66"/>
    </row>
    <row r="1995" spans="1:1" x14ac:dyDescent="0.25">
      <c r="A1995" s="66"/>
    </row>
    <row r="1996" spans="1:1" x14ac:dyDescent="0.25">
      <c r="A1996" s="66"/>
    </row>
    <row r="1997" spans="1:1" x14ac:dyDescent="0.25">
      <c r="A1997" s="66"/>
    </row>
    <row r="1998" spans="1:1" x14ac:dyDescent="0.25">
      <c r="A1998" s="66"/>
    </row>
    <row r="1999" spans="1:1" x14ac:dyDescent="0.25">
      <c r="A1999" s="66"/>
    </row>
    <row r="2000" spans="1:1" x14ac:dyDescent="0.25">
      <c r="A2000" s="66"/>
    </row>
    <row r="2001" spans="1:1" x14ac:dyDescent="0.25">
      <c r="A2001" s="66"/>
    </row>
    <row r="2002" spans="1:1" x14ac:dyDescent="0.25">
      <c r="A2002" s="66"/>
    </row>
    <row r="2003" spans="1:1" x14ac:dyDescent="0.25">
      <c r="A2003" s="66"/>
    </row>
    <row r="2004" spans="1:1" x14ac:dyDescent="0.25">
      <c r="A2004" s="66"/>
    </row>
    <row r="2005" spans="1:1" x14ac:dyDescent="0.25">
      <c r="A2005" s="66"/>
    </row>
    <row r="2006" spans="1:1" x14ac:dyDescent="0.25">
      <c r="A2006" s="66"/>
    </row>
    <row r="2007" spans="1:1" x14ac:dyDescent="0.25">
      <c r="A2007" s="66"/>
    </row>
    <row r="2008" spans="1:1" x14ac:dyDescent="0.25">
      <c r="A2008" s="66"/>
    </row>
    <row r="2009" spans="1:1" x14ac:dyDescent="0.25">
      <c r="A2009" s="66"/>
    </row>
    <row r="2010" spans="1:1" x14ac:dyDescent="0.25">
      <c r="A2010" s="66"/>
    </row>
    <row r="2011" spans="1:1" x14ac:dyDescent="0.25">
      <c r="A2011" s="66"/>
    </row>
    <row r="2012" spans="1:1" x14ac:dyDescent="0.25">
      <c r="A2012" s="66"/>
    </row>
    <row r="2013" spans="1:1" x14ac:dyDescent="0.25">
      <c r="A2013" s="66"/>
    </row>
    <row r="2014" spans="1:1" x14ac:dyDescent="0.25">
      <c r="A2014" s="66"/>
    </row>
    <row r="2015" spans="1:1" x14ac:dyDescent="0.25">
      <c r="A2015" s="66"/>
    </row>
    <row r="2016" spans="1:1" x14ac:dyDescent="0.25">
      <c r="A2016" s="66"/>
    </row>
    <row r="2017" spans="1:1" x14ac:dyDescent="0.25">
      <c r="A2017" s="66"/>
    </row>
    <row r="2018" spans="1:1" x14ac:dyDescent="0.25">
      <c r="A2018" s="66"/>
    </row>
    <row r="2019" spans="1:1" x14ac:dyDescent="0.25">
      <c r="A2019" s="66"/>
    </row>
    <row r="2020" spans="1:1" x14ac:dyDescent="0.25">
      <c r="A2020" s="66"/>
    </row>
    <row r="2021" spans="1:1" x14ac:dyDescent="0.25">
      <c r="A2021" s="66"/>
    </row>
    <row r="2022" spans="1:1" x14ac:dyDescent="0.25">
      <c r="A2022" s="66"/>
    </row>
    <row r="2023" spans="1:1" x14ac:dyDescent="0.25">
      <c r="A2023" s="66"/>
    </row>
    <row r="2024" spans="1:1" x14ac:dyDescent="0.25">
      <c r="A2024" s="66"/>
    </row>
    <row r="2025" spans="1:1" x14ac:dyDescent="0.25">
      <c r="A2025" s="66"/>
    </row>
    <row r="2026" spans="1:1" x14ac:dyDescent="0.25">
      <c r="A2026" s="66"/>
    </row>
    <row r="2027" spans="1:1" x14ac:dyDescent="0.25">
      <c r="A2027" s="66"/>
    </row>
    <row r="2028" spans="1:1" x14ac:dyDescent="0.25">
      <c r="A2028" s="66"/>
    </row>
    <row r="2029" spans="1:1" x14ac:dyDescent="0.25">
      <c r="A2029" s="66"/>
    </row>
    <row r="2030" spans="1:1" x14ac:dyDescent="0.25">
      <c r="A2030" s="66"/>
    </row>
    <row r="2031" spans="1:1" x14ac:dyDescent="0.25">
      <c r="A2031" s="66"/>
    </row>
    <row r="2032" spans="1:1" x14ac:dyDescent="0.25">
      <c r="A2032" s="66"/>
    </row>
    <row r="2033" spans="1:1" x14ac:dyDescent="0.25">
      <c r="A2033" s="66"/>
    </row>
    <row r="2034" spans="1:1" x14ac:dyDescent="0.25">
      <c r="A2034" s="66"/>
    </row>
    <row r="2035" spans="1:1" x14ac:dyDescent="0.25">
      <c r="A2035" s="66"/>
    </row>
    <row r="2036" spans="1:1" x14ac:dyDescent="0.25">
      <c r="A2036" s="66"/>
    </row>
    <row r="2037" spans="1:1" x14ac:dyDescent="0.25">
      <c r="A2037" s="66"/>
    </row>
    <row r="2038" spans="1:1" x14ac:dyDescent="0.25">
      <c r="A2038" s="66"/>
    </row>
    <row r="2039" spans="1:1" x14ac:dyDescent="0.25">
      <c r="A2039" s="66"/>
    </row>
    <row r="2040" spans="1:1" x14ac:dyDescent="0.25">
      <c r="A2040" s="66"/>
    </row>
    <row r="2041" spans="1:1" x14ac:dyDescent="0.25">
      <c r="A2041" s="66"/>
    </row>
    <row r="2042" spans="1:1" x14ac:dyDescent="0.25">
      <c r="A2042" s="66"/>
    </row>
    <row r="2043" spans="1:1" x14ac:dyDescent="0.25">
      <c r="A2043" s="66"/>
    </row>
    <row r="2044" spans="1:1" x14ac:dyDescent="0.25">
      <c r="A2044" s="66"/>
    </row>
    <row r="2045" spans="1:1" x14ac:dyDescent="0.25">
      <c r="A2045" s="66"/>
    </row>
    <row r="2046" spans="1:1" x14ac:dyDescent="0.25">
      <c r="A2046" s="66"/>
    </row>
    <row r="2047" spans="1:1" x14ac:dyDescent="0.25">
      <c r="A2047" s="66"/>
    </row>
    <row r="2048" spans="1:1" x14ac:dyDescent="0.25">
      <c r="A2048" s="66"/>
    </row>
    <row r="2049" spans="1:1" x14ac:dyDescent="0.25">
      <c r="A2049" s="66"/>
    </row>
    <row r="2050" spans="1:1" x14ac:dyDescent="0.25">
      <c r="A2050" s="66"/>
    </row>
    <row r="2051" spans="1:1" x14ac:dyDescent="0.25">
      <c r="A2051" s="66"/>
    </row>
    <row r="2052" spans="1:1" x14ac:dyDescent="0.25">
      <c r="A2052" s="66"/>
    </row>
    <row r="2053" spans="1:1" x14ac:dyDescent="0.25">
      <c r="A2053" s="66"/>
    </row>
    <row r="2054" spans="1:1" x14ac:dyDescent="0.25">
      <c r="A2054" s="66"/>
    </row>
    <row r="2055" spans="1:1" x14ac:dyDescent="0.25">
      <c r="A2055" s="66"/>
    </row>
    <row r="2056" spans="1:1" x14ac:dyDescent="0.25">
      <c r="A2056" s="66"/>
    </row>
    <row r="2057" spans="1:1" x14ac:dyDescent="0.25">
      <c r="A2057" s="66"/>
    </row>
    <row r="2058" spans="1:1" x14ac:dyDescent="0.25">
      <c r="A2058" s="66"/>
    </row>
    <row r="2059" spans="1:1" x14ac:dyDescent="0.25">
      <c r="A2059" s="66"/>
    </row>
    <row r="2060" spans="1:1" x14ac:dyDescent="0.25">
      <c r="A2060" s="66"/>
    </row>
    <row r="2061" spans="1:1" x14ac:dyDescent="0.25">
      <c r="A2061" s="66"/>
    </row>
    <row r="2062" spans="1:1" x14ac:dyDescent="0.25">
      <c r="A2062" s="66"/>
    </row>
    <row r="2063" spans="1:1" x14ac:dyDescent="0.25">
      <c r="A2063" s="66"/>
    </row>
    <row r="2064" spans="1:1" x14ac:dyDescent="0.25">
      <c r="A2064" s="66"/>
    </row>
    <row r="2065" spans="1:1" x14ac:dyDescent="0.25">
      <c r="A2065" s="66"/>
    </row>
    <row r="2066" spans="1:1" x14ac:dyDescent="0.25">
      <c r="A2066" s="66"/>
    </row>
    <row r="2067" spans="1:1" x14ac:dyDescent="0.25">
      <c r="A2067" s="66"/>
    </row>
    <row r="2068" spans="1:1" x14ac:dyDescent="0.25">
      <c r="A2068" s="66"/>
    </row>
    <row r="2069" spans="1:1" x14ac:dyDescent="0.25">
      <c r="A2069" s="66"/>
    </row>
    <row r="2070" spans="1:1" x14ac:dyDescent="0.25">
      <c r="A2070" s="66"/>
    </row>
    <row r="2071" spans="1:1" x14ac:dyDescent="0.25">
      <c r="A2071" s="66"/>
    </row>
    <row r="2072" spans="1:1" x14ac:dyDescent="0.25">
      <c r="A2072" s="66"/>
    </row>
    <row r="2073" spans="1:1" x14ac:dyDescent="0.25">
      <c r="A2073" s="66"/>
    </row>
    <row r="2074" spans="1:1" x14ac:dyDescent="0.25">
      <c r="A2074" s="66"/>
    </row>
    <row r="2075" spans="1:1" x14ac:dyDescent="0.25">
      <c r="A2075" s="66"/>
    </row>
    <row r="2076" spans="1:1" x14ac:dyDescent="0.25">
      <c r="A2076" s="66"/>
    </row>
    <row r="2077" spans="1:1" x14ac:dyDescent="0.25">
      <c r="A2077" s="66"/>
    </row>
    <row r="2078" spans="1:1" x14ac:dyDescent="0.25">
      <c r="A2078" s="66"/>
    </row>
    <row r="2079" spans="1:1" x14ac:dyDescent="0.25">
      <c r="A2079" s="66"/>
    </row>
    <row r="2080" spans="1:1" x14ac:dyDescent="0.25">
      <c r="A2080" s="66"/>
    </row>
    <row r="2081" spans="1:1" x14ac:dyDescent="0.25">
      <c r="A2081" s="66"/>
    </row>
    <row r="2082" spans="1:1" x14ac:dyDescent="0.25">
      <c r="A2082" s="66"/>
    </row>
    <row r="2083" spans="1:1" x14ac:dyDescent="0.25">
      <c r="A2083" s="66"/>
    </row>
    <row r="2084" spans="1:1" x14ac:dyDescent="0.25">
      <c r="A2084" s="66"/>
    </row>
    <row r="2085" spans="1:1" x14ac:dyDescent="0.25">
      <c r="A2085" s="66"/>
    </row>
    <row r="2086" spans="1:1" x14ac:dyDescent="0.25">
      <c r="A2086" s="66"/>
    </row>
    <row r="2087" spans="1:1" x14ac:dyDescent="0.25">
      <c r="A2087" s="66"/>
    </row>
    <row r="2088" spans="1:1" x14ac:dyDescent="0.25">
      <c r="A2088" s="66"/>
    </row>
    <row r="2089" spans="1:1" x14ac:dyDescent="0.25">
      <c r="A2089" s="66"/>
    </row>
    <row r="2090" spans="1:1" x14ac:dyDescent="0.25">
      <c r="A2090" s="66"/>
    </row>
    <row r="2091" spans="1:1" x14ac:dyDescent="0.25">
      <c r="A2091" s="66"/>
    </row>
    <row r="2092" spans="1:1" x14ac:dyDescent="0.25">
      <c r="A2092" s="66"/>
    </row>
    <row r="2093" spans="1:1" x14ac:dyDescent="0.25">
      <c r="A2093" s="66"/>
    </row>
    <row r="2094" spans="1:1" x14ac:dyDescent="0.25">
      <c r="A2094" s="66"/>
    </row>
    <row r="2095" spans="1:1" x14ac:dyDescent="0.25">
      <c r="A2095" s="66"/>
    </row>
    <row r="2096" spans="1:1" x14ac:dyDescent="0.25">
      <c r="A2096" s="66"/>
    </row>
    <row r="2097" spans="1:1" x14ac:dyDescent="0.25">
      <c r="A2097" s="66"/>
    </row>
    <row r="2098" spans="1:1" x14ac:dyDescent="0.25">
      <c r="A2098" s="66"/>
    </row>
    <row r="2099" spans="1:1" x14ac:dyDescent="0.25">
      <c r="A2099" s="66"/>
    </row>
    <row r="2100" spans="1:1" x14ac:dyDescent="0.25">
      <c r="A2100" s="66"/>
    </row>
    <row r="2101" spans="1:1" x14ac:dyDescent="0.25">
      <c r="A2101" s="66"/>
    </row>
    <row r="2102" spans="1:1" x14ac:dyDescent="0.25">
      <c r="A2102" s="66"/>
    </row>
    <row r="2103" spans="1:1" x14ac:dyDescent="0.25">
      <c r="A2103" s="66"/>
    </row>
    <row r="2104" spans="1:1" x14ac:dyDescent="0.25">
      <c r="A2104" s="66"/>
    </row>
    <row r="2105" spans="1:1" x14ac:dyDescent="0.25">
      <c r="A2105" s="66"/>
    </row>
    <row r="2106" spans="1:1" x14ac:dyDescent="0.25">
      <c r="A2106" s="66"/>
    </row>
    <row r="2107" spans="1:1" x14ac:dyDescent="0.25">
      <c r="A2107" s="66"/>
    </row>
    <row r="2108" spans="1:1" x14ac:dyDescent="0.25">
      <c r="A2108" s="66"/>
    </row>
    <row r="2109" spans="1:1" x14ac:dyDescent="0.25">
      <c r="A2109" s="66"/>
    </row>
    <row r="2110" spans="1:1" x14ac:dyDescent="0.25">
      <c r="A2110" s="66"/>
    </row>
    <row r="2111" spans="1:1" x14ac:dyDescent="0.25">
      <c r="A2111" s="66"/>
    </row>
    <row r="2112" spans="1:1" x14ac:dyDescent="0.25">
      <c r="A2112" s="66"/>
    </row>
    <row r="2113" spans="1:1" x14ac:dyDescent="0.25">
      <c r="A2113" s="66"/>
    </row>
    <row r="2114" spans="1:1" x14ac:dyDescent="0.25">
      <c r="A2114" s="66"/>
    </row>
    <row r="2115" spans="1:1" x14ac:dyDescent="0.25">
      <c r="A2115" s="66"/>
    </row>
    <row r="2116" spans="1:1" x14ac:dyDescent="0.25">
      <c r="A2116" s="66"/>
    </row>
    <row r="2117" spans="1:1" x14ac:dyDescent="0.25">
      <c r="A2117" s="66"/>
    </row>
    <row r="2118" spans="1:1" x14ac:dyDescent="0.25">
      <c r="A2118" s="66"/>
    </row>
    <row r="2119" spans="1:1" x14ac:dyDescent="0.25">
      <c r="A2119" s="66"/>
    </row>
    <row r="2120" spans="1:1" x14ac:dyDescent="0.25">
      <c r="A2120" s="66"/>
    </row>
    <row r="2121" spans="1:1" x14ac:dyDescent="0.25">
      <c r="A2121" s="66"/>
    </row>
    <row r="2122" spans="1:1" x14ac:dyDescent="0.25">
      <c r="A2122" s="66"/>
    </row>
    <row r="2123" spans="1:1" x14ac:dyDescent="0.25">
      <c r="A2123" s="66"/>
    </row>
    <row r="2124" spans="1:1" x14ac:dyDescent="0.25">
      <c r="A2124" s="66"/>
    </row>
    <row r="2125" spans="1:1" x14ac:dyDescent="0.25">
      <c r="A2125" s="66"/>
    </row>
    <row r="2126" spans="1:1" x14ac:dyDescent="0.25">
      <c r="A2126" s="66"/>
    </row>
    <row r="2127" spans="1:1" x14ac:dyDescent="0.25">
      <c r="A2127" s="66"/>
    </row>
    <row r="2128" spans="1:1" x14ac:dyDescent="0.25">
      <c r="A2128" s="66"/>
    </row>
    <row r="2129" spans="1:1" x14ac:dyDescent="0.25">
      <c r="A2129" s="66"/>
    </row>
    <row r="2130" spans="1:1" x14ac:dyDescent="0.25">
      <c r="A2130" s="66"/>
    </row>
    <row r="2131" spans="1:1" x14ac:dyDescent="0.25">
      <c r="A2131" s="66"/>
    </row>
    <row r="2132" spans="1:1" x14ac:dyDescent="0.25">
      <c r="A2132" s="66"/>
    </row>
    <row r="2133" spans="1:1" x14ac:dyDescent="0.25">
      <c r="A2133" s="66"/>
    </row>
    <row r="2134" spans="1:1" x14ac:dyDescent="0.25">
      <c r="A2134" s="66"/>
    </row>
    <row r="2135" spans="1:1" x14ac:dyDescent="0.25">
      <c r="A2135" s="66"/>
    </row>
    <row r="2136" spans="1:1" x14ac:dyDescent="0.25">
      <c r="A2136" s="66"/>
    </row>
    <row r="2137" spans="1:1" x14ac:dyDescent="0.25">
      <c r="A2137" s="66"/>
    </row>
    <row r="2138" spans="1:1" x14ac:dyDescent="0.25">
      <c r="A2138" s="66"/>
    </row>
    <row r="2139" spans="1:1" x14ac:dyDescent="0.25">
      <c r="A2139" s="66"/>
    </row>
    <row r="2140" spans="1:1" x14ac:dyDescent="0.25">
      <c r="A2140" s="66"/>
    </row>
    <row r="2141" spans="1:1" x14ac:dyDescent="0.25">
      <c r="A2141" s="66"/>
    </row>
    <row r="2142" spans="1:1" x14ac:dyDescent="0.25">
      <c r="A2142" s="66"/>
    </row>
    <row r="2143" spans="1:1" x14ac:dyDescent="0.25">
      <c r="A2143" s="66"/>
    </row>
    <row r="2144" spans="1:1" x14ac:dyDescent="0.25">
      <c r="A2144" s="66"/>
    </row>
    <row r="2145" spans="1:1" x14ac:dyDescent="0.25">
      <c r="A2145" s="66"/>
    </row>
    <row r="2146" spans="1:1" x14ac:dyDescent="0.25">
      <c r="A2146" s="66"/>
    </row>
    <row r="2147" spans="1:1" x14ac:dyDescent="0.25">
      <c r="A2147" s="66"/>
    </row>
    <row r="2148" spans="1:1" x14ac:dyDescent="0.25">
      <c r="A2148" s="66"/>
    </row>
    <row r="2149" spans="1:1" x14ac:dyDescent="0.25">
      <c r="A2149" s="66"/>
    </row>
    <row r="2150" spans="1:1" x14ac:dyDescent="0.25">
      <c r="A2150" s="66"/>
    </row>
    <row r="2151" spans="1:1" x14ac:dyDescent="0.25">
      <c r="A2151" s="66"/>
    </row>
    <row r="2152" spans="1:1" x14ac:dyDescent="0.25">
      <c r="A2152" s="66"/>
    </row>
    <row r="2153" spans="1:1" x14ac:dyDescent="0.25">
      <c r="A2153" s="66"/>
    </row>
    <row r="2154" spans="1:1" x14ac:dyDescent="0.25">
      <c r="A2154" s="66"/>
    </row>
    <row r="2155" spans="1:1" x14ac:dyDescent="0.25">
      <c r="A2155" s="66"/>
    </row>
    <row r="2156" spans="1:1" x14ac:dyDescent="0.25">
      <c r="A2156" s="66"/>
    </row>
    <row r="2157" spans="1:1" x14ac:dyDescent="0.25">
      <c r="A2157" s="66"/>
    </row>
    <row r="2158" spans="1:1" x14ac:dyDescent="0.25">
      <c r="A2158" s="66"/>
    </row>
    <row r="2159" spans="1:1" x14ac:dyDescent="0.25">
      <c r="A2159" s="66"/>
    </row>
    <row r="2160" spans="1:1" x14ac:dyDescent="0.25">
      <c r="A2160" s="66"/>
    </row>
    <row r="2161" spans="1:1" x14ac:dyDescent="0.25">
      <c r="A2161" s="66"/>
    </row>
    <row r="2162" spans="1:1" x14ac:dyDescent="0.25">
      <c r="A2162" s="66"/>
    </row>
    <row r="2163" spans="1:1" x14ac:dyDescent="0.25">
      <c r="A2163" s="66"/>
    </row>
    <row r="2164" spans="1:1" x14ac:dyDescent="0.25">
      <c r="A2164" s="66"/>
    </row>
    <row r="2165" spans="1:1" x14ac:dyDescent="0.25">
      <c r="A2165" s="66"/>
    </row>
    <row r="2166" spans="1:1" x14ac:dyDescent="0.25">
      <c r="A2166" s="66"/>
    </row>
    <row r="2167" spans="1:1" x14ac:dyDescent="0.25">
      <c r="A2167" s="66"/>
    </row>
    <row r="2168" spans="1:1" x14ac:dyDescent="0.25">
      <c r="A2168" s="66"/>
    </row>
    <row r="2169" spans="1:1" x14ac:dyDescent="0.25">
      <c r="A2169" s="66"/>
    </row>
    <row r="2170" spans="1:1" x14ac:dyDescent="0.25">
      <c r="A2170" s="66"/>
    </row>
    <row r="2171" spans="1:1" x14ac:dyDescent="0.25">
      <c r="A2171" s="66"/>
    </row>
    <row r="2172" spans="1:1" x14ac:dyDescent="0.25">
      <c r="A2172" s="66"/>
    </row>
    <row r="2173" spans="1:1" x14ac:dyDescent="0.25">
      <c r="A2173" s="66"/>
    </row>
    <row r="2174" spans="1:1" x14ac:dyDescent="0.25">
      <c r="A2174" s="66"/>
    </row>
    <row r="2175" spans="1:1" x14ac:dyDescent="0.25">
      <c r="A2175" s="66"/>
    </row>
    <row r="2176" spans="1:1" x14ac:dyDescent="0.25">
      <c r="A2176" s="66"/>
    </row>
    <row r="2177" spans="1:1" x14ac:dyDescent="0.25">
      <c r="A2177" s="66"/>
    </row>
    <row r="2178" spans="1:1" x14ac:dyDescent="0.25">
      <c r="A2178" s="66"/>
    </row>
    <row r="2179" spans="1:1" x14ac:dyDescent="0.25">
      <c r="A2179" s="66"/>
    </row>
    <row r="2180" spans="1:1" x14ac:dyDescent="0.25">
      <c r="A2180" s="66"/>
    </row>
    <row r="2181" spans="1:1" x14ac:dyDescent="0.25">
      <c r="A2181" s="66"/>
    </row>
    <row r="2182" spans="1:1" x14ac:dyDescent="0.25">
      <c r="A2182" s="66"/>
    </row>
    <row r="2183" spans="1:1" x14ac:dyDescent="0.25">
      <c r="A2183" s="66"/>
    </row>
    <row r="2184" spans="1:1" x14ac:dyDescent="0.25">
      <c r="A2184" s="66"/>
    </row>
    <row r="2185" spans="1:1" x14ac:dyDescent="0.25">
      <c r="A2185" s="66"/>
    </row>
    <row r="2186" spans="1:1" x14ac:dyDescent="0.25">
      <c r="A2186" s="66"/>
    </row>
    <row r="2187" spans="1:1" x14ac:dyDescent="0.25">
      <c r="A2187" s="66"/>
    </row>
    <row r="2188" spans="1:1" x14ac:dyDescent="0.25">
      <c r="A2188" s="66"/>
    </row>
    <row r="2189" spans="1:1" x14ac:dyDescent="0.25">
      <c r="A2189" s="66"/>
    </row>
    <row r="2190" spans="1:1" x14ac:dyDescent="0.25">
      <c r="A2190" s="66"/>
    </row>
    <row r="2191" spans="1:1" x14ac:dyDescent="0.25">
      <c r="A2191" s="66"/>
    </row>
    <row r="2192" spans="1:1" x14ac:dyDescent="0.25">
      <c r="A2192" s="66"/>
    </row>
    <row r="2193" spans="1:1" x14ac:dyDescent="0.25">
      <c r="A2193" s="66"/>
    </row>
    <row r="2194" spans="1:1" x14ac:dyDescent="0.25">
      <c r="A2194" s="66"/>
    </row>
    <row r="2195" spans="1:1" x14ac:dyDescent="0.25">
      <c r="A2195" s="66"/>
    </row>
    <row r="2196" spans="1:1" x14ac:dyDescent="0.25">
      <c r="A2196" s="66"/>
    </row>
    <row r="2197" spans="1:1" x14ac:dyDescent="0.25">
      <c r="A2197" s="66"/>
    </row>
    <row r="2198" spans="1:1" x14ac:dyDescent="0.25">
      <c r="A2198" s="66"/>
    </row>
    <row r="2199" spans="1:1" x14ac:dyDescent="0.25">
      <c r="A2199" s="66"/>
    </row>
    <row r="2200" spans="1:1" x14ac:dyDescent="0.25">
      <c r="A2200" s="66"/>
    </row>
    <row r="2201" spans="1:1" x14ac:dyDescent="0.25">
      <c r="A2201" s="66"/>
    </row>
    <row r="2202" spans="1:1" x14ac:dyDescent="0.25">
      <c r="A2202" s="66"/>
    </row>
    <row r="2203" spans="1:1" x14ac:dyDescent="0.25">
      <c r="A2203" s="66"/>
    </row>
    <row r="2204" spans="1:1" x14ac:dyDescent="0.25">
      <c r="A2204" s="66"/>
    </row>
    <row r="2205" spans="1:1" x14ac:dyDescent="0.25">
      <c r="A2205" s="66"/>
    </row>
    <row r="2206" spans="1:1" x14ac:dyDescent="0.25">
      <c r="A2206" s="66"/>
    </row>
    <row r="2207" spans="1:1" x14ac:dyDescent="0.25">
      <c r="A2207" s="66"/>
    </row>
    <row r="2208" spans="1:1" x14ac:dyDescent="0.25">
      <c r="A2208" s="66"/>
    </row>
    <row r="2209" spans="1:1" x14ac:dyDescent="0.25">
      <c r="A2209" s="66"/>
    </row>
    <row r="2210" spans="1:1" x14ac:dyDescent="0.25">
      <c r="A2210" s="66"/>
    </row>
    <row r="2211" spans="1:1" x14ac:dyDescent="0.25">
      <c r="A2211" s="66"/>
    </row>
    <row r="2212" spans="1:1" x14ac:dyDescent="0.25">
      <c r="A2212" s="66"/>
    </row>
    <row r="2213" spans="1:1" x14ac:dyDescent="0.25">
      <c r="A2213" s="66"/>
    </row>
    <row r="2214" spans="1:1" x14ac:dyDescent="0.25">
      <c r="A2214" s="66"/>
    </row>
    <row r="2215" spans="1:1" x14ac:dyDescent="0.25">
      <c r="A2215" s="66"/>
    </row>
    <row r="2216" spans="1:1" x14ac:dyDescent="0.25">
      <c r="A2216" s="66"/>
    </row>
    <row r="2217" spans="1:1" x14ac:dyDescent="0.25">
      <c r="A2217" s="66"/>
    </row>
    <row r="2218" spans="1:1" x14ac:dyDescent="0.25">
      <c r="A2218" s="66"/>
    </row>
    <row r="2219" spans="1:1" x14ac:dyDescent="0.25">
      <c r="A2219" s="66"/>
    </row>
    <row r="2220" spans="1:1" x14ac:dyDescent="0.25">
      <c r="A2220" s="66"/>
    </row>
    <row r="2221" spans="1:1" x14ac:dyDescent="0.25">
      <c r="A2221" s="66"/>
    </row>
    <row r="2222" spans="1:1" x14ac:dyDescent="0.25">
      <c r="A2222" s="66"/>
    </row>
    <row r="2223" spans="1:1" x14ac:dyDescent="0.25">
      <c r="A2223" s="66"/>
    </row>
    <row r="2224" spans="1:1" x14ac:dyDescent="0.25">
      <c r="A2224" s="66"/>
    </row>
    <row r="2225" spans="1:1" x14ac:dyDescent="0.25">
      <c r="A2225" s="66"/>
    </row>
    <row r="2226" spans="1:1" x14ac:dyDescent="0.25">
      <c r="A2226" s="66"/>
    </row>
    <row r="2227" spans="1:1" x14ac:dyDescent="0.25">
      <c r="A2227" s="66"/>
    </row>
    <row r="2228" spans="1:1" x14ac:dyDescent="0.25">
      <c r="A2228" s="66"/>
    </row>
    <row r="2229" spans="1:1" x14ac:dyDescent="0.25">
      <c r="A2229" s="66"/>
    </row>
    <row r="2230" spans="1:1" x14ac:dyDescent="0.25">
      <c r="A2230" s="66"/>
    </row>
    <row r="2231" spans="1:1" x14ac:dyDescent="0.25">
      <c r="A2231" s="66"/>
    </row>
    <row r="2232" spans="1:1" x14ac:dyDescent="0.25">
      <c r="A2232" s="66"/>
    </row>
    <row r="2233" spans="1:1" x14ac:dyDescent="0.25">
      <c r="A2233" s="66"/>
    </row>
    <row r="2234" spans="1:1" x14ac:dyDescent="0.25">
      <c r="A2234" s="66"/>
    </row>
    <row r="2235" spans="1:1" x14ac:dyDescent="0.25">
      <c r="A2235" s="66"/>
    </row>
    <row r="2236" spans="1:1" x14ac:dyDescent="0.25">
      <c r="A2236" s="66"/>
    </row>
    <row r="2237" spans="1:1" x14ac:dyDescent="0.25">
      <c r="A2237" s="66"/>
    </row>
    <row r="2238" spans="1:1" x14ac:dyDescent="0.25">
      <c r="A2238" s="66"/>
    </row>
    <row r="2239" spans="1:1" x14ac:dyDescent="0.25">
      <c r="A2239" s="66"/>
    </row>
    <row r="2240" spans="1:1" x14ac:dyDescent="0.25">
      <c r="A2240" s="66"/>
    </row>
    <row r="2241" spans="1:1" x14ac:dyDescent="0.25">
      <c r="A2241" s="66"/>
    </row>
    <row r="2242" spans="1:1" x14ac:dyDescent="0.25">
      <c r="A2242" s="66"/>
    </row>
    <row r="2243" spans="1:1" x14ac:dyDescent="0.25">
      <c r="A2243" s="66"/>
    </row>
    <row r="2244" spans="1:1" x14ac:dyDescent="0.25">
      <c r="A2244" s="66"/>
    </row>
    <row r="2245" spans="1:1" x14ac:dyDescent="0.25">
      <c r="A2245" s="66"/>
    </row>
    <row r="2246" spans="1:1" x14ac:dyDescent="0.25">
      <c r="A2246" s="66"/>
    </row>
    <row r="2247" spans="1:1" x14ac:dyDescent="0.25">
      <c r="A2247" s="66"/>
    </row>
    <row r="2248" spans="1:1" x14ac:dyDescent="0.25">
      <c r="A2248" s="66"/>
    </row>
    <row r="2249" spans="1:1" x14ac:dyDescent="0.25">
      <c r="A2249" s="66"/>
    </row>
    <row r="2250" spans="1:1" x14ac:dyDescent="0.25">
      <c r="A2250" s="66"/>
    </row>
    <row r="2251" spans="1:1" x14ac:dyDescent="0.25">
      <c r="A2251" s="66"/>
    </row>
    <row r="2252" spans="1:1" x14ac:dyDescent="0.25">
      <c r="A2252" s="66"/>
    </row>
    <row r="2253" spans="1:1" x14ac:dyDescent="0.25">
      <c r="A2253" s="66"/>
    </row>
    <row r="2254" spans="1:1" x14ac:dyDescent="0.25">
      <c r="A2254" s="66"/>
    </row>
    <row r="2255" spans="1:1" x14ac:dyDescent="0.25">
      <c r="A2255" s="66"/>
    </row>
    <row r="2256" spans="1:1" x14ac:dyDescent="0.25">
      <c r="A2256" s="66"/>
    </row>
    <row r="2257" spans="1:1" x14ac:dyDescent="0.25">
      <c r="A2257" s="66"/>
    </row>
    <row r="2258" spans="1:1" x14ac:dyDescent="0.25">
      <c r="A2258" s="66"/>
    </row>
    <row r="2259" spans="1:1" x14ac:dyDescent="0.25">
      <c r="A2259" s="66"/>
    </row>
    <row r="2260" spans="1:1" x14ac:dyDescent="0.25">
      <c r="A2260" s="66"/>
    </row>
    <row r="2261" spans="1:1" x14ac:dyDescent="0.25">
      <c r="A2261" s="66"/>
    </row>
    <row r="2262" spans="1:1" x14ac:dyDescent="0.25">
      <c r="A2262" s="66"/>
    </row>
    <row r="2263" spans="1:1" x14ac:dyDescent="0.25">
      <c r="A2263" s="66"/>
    </row>
    <row r="2264" spans="1:1" x14ac:dyDescent="0.25">
      <c r="A2264" s="66"/>
    </row>
    <row r="2265" spans="1:1" x14ac:dyDescent="0.25">
      <c r="A2265" s="66"/>
    </row>
    <row r="2266" spans="1:1" x14ac:dyDescent="0.25">
      <c r="A2266" s="66"/>
    </row>
    <row r="2267" spans="1:1" x14ac:dyDescent="0.25">
      <c r="A2267" s="66"/>
    </row>
    <row r="2268" spans="1:1" x14ac:dyDescent="0.25">
      <c r="A2268" s="66"/>
    </row>
    <row r="2269" spans="1:1" x14ac:dyDescent="0.25">
      <c r="A2269" s="66"/>
    </row>
    <row r="2270" spans="1:1" x14ac:dyDescent="0.25">
      <c r="A2270" s="66"/>
    </row>
    <row r="2271" spans="1:1" x14ac:dyDescent="0.25">
      <c r="A2271" s="66"/>
    </row>
    <row r="2272" spans="1:1" x14ac:dyDescent="0.25">
      <c r="A2272" s="66"/>
    </row>
    <row r="2273" spans="1:1" x14ac:dyDescent="0.25">
      <c r="A2273" s="66"/>
    </row>
    <row r="2274" spans="1:1" x14ac:dyDescent="0.25">
      <c r="A2274" s="66"/>
    </row>
    <row r="2275" spans="1:1" x14ac:dyDescent="0.25">
      <c r="A2275" s="66"/>
    </row>
    <row r="2276" spans="1:1" x14ac:dyDescent="0.25">
      <c r="A2276" s="66"/>
    </row>
    <row r="2277" spans="1:1" x14ac:dyDescent="0.25">
      <c r="A2277" s="66"/>
    </row>
    <row r="2278" spans="1:1" x14ac:dyDescent="0.25">
      <c r="A2278" s="66"/>
    </row>
    <row r="2279" spans="1:1" x14ac:dyDescent="0.25">
      <c r="A2279" s="66"/>
    </row>
    <row r="2280" spans="1:1" x14ac:dyDescent="0.25">
      <c r="A2280" s="66"/>
    </row>
    <row r="2281" spans="1:1" x14ac:dyDescent="0.25">
      <c r="A2281" s="66"/>
    </row>
    <row r="2282" spans="1:1" x14ac:dyDescent="0.25">
      <c r="A2282" s="66"/>
    </row>
    <row r="2283" spans="1:1" x14ac:dyDescent="0.25">
      <c r="A2283" s="66"/>
    </row>
    <row r="2284" spans="1:1" x14ac:dyDescent="0.25">
      <c r="A2284" s="66"/>
    </row>
    <row r="2285" spans="1:1" x14ac:dyDescent="0.25">
      <c r="A2285" s="66"/>
    </row>
    <row r="2286" spans="1:1" x14ac:dyDescent="0.25">
      <c r="A2286" s="66"/>
    </row>
    <row r="2287" spans="1:1" x14ac:dyDescent="0.25">
      <c r="A2287" s="66"/>
    </row>
    <row r="2288" spans="1:1" x14ac:dyDescent="0.25">
      <c r="A2288" s="66"/>
    </row>
    <row r="2289" spans="1:1" x14ac:dyDescent="0.25">
      <c r="A2289" s="66"/>
    </row>
    <row r="2290" spans="1:1" x14ac:dyDescent="0.25">
      <c r="A2290" s="66"/>
    </row>
    <row r="2291" spans="1:1" x14ac:dyDescent="0.25">
      <c r="A2291" s="66"/>
    </row>
    <row r="2292" spans="1:1" x14ac:dyDescent="0.25">
      <c r="A2292" s="66"/>
    </row>
    <row r="2293" spans="1:1" x14ac:dyDescent="0.25">
      <c r="A2293" s="66"/>
    </row>
    <row r="2294" spans="1:1" x14ac:dyDescent="0.25">
      <c r="A2294" s="66"/>
    </row>
    <row r="2295" spans="1:1" x14ac:dyDescent="0.25">
      <c r="A2295" s="66"/>
    </row>
    <row r="2296" spans="1:1" x14ac:dyDescent="0.25">
      <c r="A2296" s="66"/>
    </row>
    <row r="2297" spans="1:1" x14ac:dyDescent="0.25">
      <c r="A2297" s="66"/>
    </row>
    <row r="2298" spans="1:1" x14ac:dyDescent="0.25">
      <c r="A2298" s="66"/>
    </row>
    <row r="2299" spans="1:1" x14ac:dyDescent="0.25">
      <c r="A2299" s="66"/>
    </row>
    <row r="2300" spans="1:1" x14ac:dyDescent="0.25">
      <c r="A2300" s="66"/>
    </row>
    <row r="2301" spans="1:1" x14ac:dyDescent="0.25">
      <c r="A2301" s="66"/>
    </row>
    <row r="2302" spans="1:1" x14ac:dyDescent="0.25">
      <c r="A2302" s="66"/>
    </row>
    <row r="2303" spans="1:1" x14ac:dyDescent="0.25">
      <c r="A2303" s="66"/>
    </row>
    <row r="2304" spans="1:1" x14ac:dyDescent="0.25">
      <c r="A2304" s="66"/>
    </row>
    <row r="2305" spans="1:1" x14ac:dyDescent="0.25">
      <c r="A2305" s="66"/>
    </row>
    <row r="2306" spans="1:1" x14ac:dyDescent="0.25">
      <c r="A2306" s="66"/>
    </row>
    <row r="2307" spans="1:1" x14ac:dyDescent="0.25">
      <c r="A2307" s="66"/>
    </row>
    <row r="2308" spans="1:1" x14ac:dyDescent="0.25">
      <c r="A2308" s="66"/>
    </row>
    <row r="2309" spans="1:1" x14ac:dyDescent="0.25">
      <c r="A2309" s="66"/>
    </row>
    <row r="2310" spans="1:1" x14ac:dyDescent="0.25">
      <c r="A2310" s="66"/>
    </row>
    <row r="2311" spans="1:1" x14ac:dyDescent="0.25">
      <c r="A2311" s="66"/>
    </row>
    <row r="2312" spans="1:1" x14ac:dyDescent="0.25">
      <c r="A2312" s="66"/>
    </row>
    <row r="2313" spans="1:1" x14ac:dyDescent="0.25">
      <c r="A2313" s="66"/>
    </row>
    <row r="2314" spans="1:1" x14ac:dyDescent="0.25">
      <c r="A2314" s="66"/>
    </row>
    <row r="2315" spans="1:1" x14ac:dyDescent="0.25">
      <c r="A2315" s="66"/>
    </row>
    <row r="2316" spans="1:1" x14ac:dyDescent="0.25">
      <c r="A2316" s="66"/>
    </row>
    <row r="2317" spans="1:1" x14ac:dyDescent="0.25">
      <c r="A2317" s="66"/>
    </row>
    <row r="2318" spans="1:1" x14ac:dyDescent="0.25">
      <c r="A2318" s="66"/>
    </row>
    <row r="2319" spans="1:1" x14ac:dyDescent="0.25">
      <c r="A2319" s="66"/>
    </row>
    <row r="2320" spans="1:1" x14ac:dyDescent="0.25">
      <c r="A2320" s="66"/>
    </row>
    <row r="2321" spans="1:1" x14ac:dyDescent="0.25">
      <c r="A2321" s="66"/>
    </row>
    <row r="2322" spans="1:1" x14ac:dyDescent="0.25">
      <c r="A2322" s="66"/>
    </row>
    <row r="2323" spans="1:1" x14ac:dyDescent="0.25">
      <c r="A2323" s="66"/>
    </row>
    <row r="2324" spans="1:1" x14ac:dyDescent="0.25">
      <c r="A2324" s="66"/>
    </row>
    <row r="2325" spans="1:1" x14ac:dyDescent="0.25">
      <c r="A2325" s="66"/>
    </row>
    <row r="2326" spans="1:1" x14ac:dyDescent="0.25">
      <c r="A2326" s="66"/>
    </row>
    <row r="2327" spans="1:1" x14ac:dyDescent="0.25">
      <c r="A2327" s="66"/>
    </row>
    <row r="2328" spans="1:1" x14ac:dyDescent="0.25">
      <c r="A2328" s="66"/>
    </row>
    <row r="2329" spans="1:1" x14ac:dyDescent="0.25">
      <c r="A2329" s="66"/>
    </row>
    <row r="2330" spans="1:1" x14ac:dyDescent="0.25">
      <c r="A2330" s="66"/>
    </row>
    <row r="2331" spans="1:1" x14ac:dyDescent="0.25">
      <c r="A2331" s="66"/>
    </row>
    <row r="2332" spans="1:1" x14ac:dyDescent="0.25">
      <c r="A2332" s="66"/>
    </row>
    <row r="2333" spans="1:1" x14ac:dyDescent="0.25">
      <c r="A2333" s="66"/>
    </row>
    <row r="2334" spans="1:1" x14ac:dyDescent="0.25">
      <c r="A2334" s="66"/>
    </row>
    <row r="2335" spans="1:1" x14ac:dyDescent="0.25">
      <c r="A2335" s="66"/>
    </row>
    <row r="2336" spans="1:1" x14ac:dyDescent="0.25">
      <c r="A2336" s="66"/>
    </row>
    <row r="2337" spans="1:1" x14ac:dyDescent="0.25">
      <c r="A2337" s="66"/>
    </row>
    <row r="2338" spans="1:1" x14ac:dyDescent="0.25">
      <c r="A2338" s="66"/>
    </row>
    <row r="2339" spans="1:1" x14ac:dyDescent="0.25">
      <c r="A2339" s="66"/>
    </row>
    <row r="2340" spans="1:1" x14ac:dyDescent="0.25">
      <c r="A2340" s="66"/>
    </row>
    <row r="2341" spans="1:1" x14ac:dyDescent="0.25">
      <c r="A2341" s="66"/>
    </row>
    <row r="2342" spans="1:1" x14ac:dyDescent="0.25">
      <c r="A2342" s="66"/>
    </row>
    <row r="2343" spans="1:1" x14ac:dyDescent="0.25">
      <c r="A2343" s="66"/>
    </row>
    <row r="2344" spans="1:1" x14ac:dyDescent="0.25">
      <c r="A2344" s="66"/>
    </row>
    <row r="2345" spans="1:1" x14ac:dyDescent="0.25">
      <c r="A2345" s="66"/>
    </row>
    <row r="2346" spans="1:1" x14ac:dyDescent="0.25">
      <c r="A2346" s="66"/>
    </row>
    <row r="2347" spans="1:1" x14ac:dyDescent="0.25">
      <c r="A2347" s="66"/>
    </row>
    <row r="2348" spans="1:1" x14ac:dyDescent="0.25">
      <c r="A2348" s="66"/>
    </row>
    <row r="2349" spans="1:1" x14ac:dyDescent="0.25">
      <c r="A2349" s="66"/>
    </row>
    <row r="2350" spans="1:1" x14ac:dyDescent="0.25">
      <c r="A2350" s="66"/>
    </row>
    <row r="2351" spans="1:1" x14ac:dyDescent="0.25">
      <c r="A2351" s="66"/>
    </row>
    <row r="2352" spans="1:1" x14ac:dyDescent="0.25">
      <c r="A2352" s="66"/>
    </row>
    <row r="2353" spans="1:1" x14ac:dyDescent="0.25">
      <c r="A2353" s="66"/>
    </row>
    <row r="2354" spans="1:1" x14ac:dyDescent="0.25">
      <c r="A2354" s="66"/>
    </row>
    <row r="2355" spans="1:1" x14ac:dyDescent="0.25">
      <c r="A2355" s="66"/>
    </row>
    <row r="2356" spans="1:1" x14ac:dyDescent="0.25">
      <c r="A2356" s="66"/>
    </row>
    <row r="2357" spans="1:1" x14ac:dyDescent="0.25">
      <c r="A2357" s="66"/>
    </row>
    <row r="2358" spans="1:1" x14ac:dyDescent="0.25">
      <c r="A2358" s="66"/>
    </row>
    <row r="2359" spans="1:1" x14ac:dyDescent="0.25">
      <c r="A2359" s="66"/>
    </row>
    <row r="2360" spans="1:1" x14ac:dyDescent="0.25">
      <c r="A2360" s="66"/>
    </row>
    <row r="2361" spans="1:1" x14ac:dyDescent="0.25">
      <c r="A2361" s="66"/>
    </row>
    <row r="2362" spans="1:1" x14ac:dyDescent="0.25">
      <c r="A2362" s="66"/>
    </row>
    <row r="2363" spans="1:1" x14ac:dyDescent="0.25">
      <c r="A2363" s="66"/>
    </row>
    <row r="2364" spans="1:1" x14ac:dyDescent="0.25">
      <c r="A2364" s="66"/>
    </row>
    <row r="2365" spans="1:1" x14ac:dyDescent="0.25">
      <c r="A2365" s="66"/>
    </row>
    <row r="2366" spans="1:1" x14ac:dyDescent="0.25">
      <c r="A2366" s="66"/>
    </row>
    <row r="2367" spans="1:1" x14ac:dyDescent="0.25">
      <c r="A2367" s="66"/>
    </row>
    <row r="2368" spans="1:1" x14ac:dyDescent="0.25">
      <c r="A2368" s="66"/>
    </row>
    <row r="2369" spans="1:1" x14ac:dyDescent="0.25">
      <c r="A2369" s="66"/>
    </row>
    <row r="2370" spans="1:1" x14ac:dyDescent="0.25">
      <c r="A2370" s="66"/>
    </row>
    <row r="2371" spans="1:1" x14ac:dyDescent="0.25">
      <c r="A2371" s="66"/>
    </row>
    <row r="2372" spans="1:1" x14ac:dyDescent="0.25">
      <c r="A2372" s="66"/>
    </row>
    <row r="2373" spans="1:1" x14ac:dyDescent="0.25">
      <c r="A2373" s="66"/>
    </row>
    <row r="2374" spans="1:1" x14ac:dyDescent="0.25">
      <c r="A2374" s="66"/>
    </row>
    <row r="2375" spans="1:1" x14ac:dyDescent="0.25">
      <c r="A2375" s="66"/>
    </row>
    <row r="2376" spans="1:1" x14ac:dyDescent="0.25">
      <c r="A2376" s="66"/>
    </row>
    <row r="2377" spans="1:1" x14ac:dyDescent="0.25">
      <c r="A2377" s="66"/>
    </row>
    <row r="2378" spans="1:1" x14ac:dyDescent="0.25">
      <c r="A2378" s="66"/>
    </row>
    <row r="2379" spans="1:1" x14ac:dyDescent="0.25">
      <c r="A2379" s="66"/>
    </row>
    <row r="2380" spans="1:1" x14ac:dyDescent="0.25">
      <c r="A2380" s="66"/>
    </row>
    <row r="2381" spans="1:1" x14ac:dyDescent="0.25">
      <c r="A2381" s="66"/>
    </row>
    <row r="2382" spans="1:1" x14ac:dyDescent="0.25">
      <c r="A2382" s="66"/>
    </row>
    <row r="2383" spans="1:1" x14ac:dyDescent="0.25">
      <c r="A2383" s="66"/>
    </row>
    <row r="2384" spans="1:1" x14ac:dyDescent="0.25">
      <c r="A2384" s="66"/>
    </row>
    <row r="2385" spans="1:1" x14ac:dyDescent="0.25">
      <c r="A2385" s="66"/>
    </row>
    <row r="2386" spans="1:1" x14ac:dyDescent="0.25">
      <c r="A2386" s="66"/>
    </row>
    <row r="2387" spans="1:1" x14ac:dyDescent="0.25">
      <c r="A2387" s="66"/>
    </row>
    <row r="2388" spans="1:1" x14ac:dyDescent="0.25">
      <c r="A2388" s="66"/>
    </row>
    <row r="2389" spans="1:1" x14ac:dyDescent="0.25">
      <c r="A2389" s="66"/>
    </row>
    <row r="2390" spans="1:1" x14ac:dyDescent="0.25">
      <c r="A2390" s="66"/>
    </row>
    <row r="2391" spans="1:1" x14ac:dyDescent="0.25">
      <c r="A2391" s="66"/>
    </row>
    <row r="2392" spans="1:1" x14ac:dyDescent="0.25">
      <c r="A2392" s="66"/>
    </row>
    <row r="2393" spans="1:1" x14ac:dyDescent="0.25">
      <c r="A2393" s="66"/>
    </row>
    <row r="2394" spans="1:1" x14ac:dyDescent="0.25">
      <c r="A2394" s="66"/>
    </row>
    <row r="2395" spans="1:1" x14ac:dyDescent="0.25">
      <c r="A2395" s="66"/>
    </row>
    <row r="2396" spans="1:1" x14ac:dyDescent="0.25">
      <c r="A2396" s="66"/>
    </row>
    <row r="2397" spans="1:1" x14ac:dyDescent="0.25">
      <c r="A2397" s="66"/>
    </row>
    <row r="2398" spans="1:1" x14ac:dyDescent="0.25">
      <c r="A2398" s="66"/>
    </row>
    <row r="2399" spans="1:1" x14ac:dyDescent="0.25">
      <c r="A2399" s="66"/>
    </row>
    <row r="2400" spans="1:1" x14ac:dyDescent="0.25">
      <c r="A2400" s="66"/>
    </row>
    <row r="2401" spans="1:1" x14ac:dyDescent="0.25">
      <c r="A2401" s="66"/>
    </row>
    <row r="2402" spans="1:1" x14ac:dyDescent="0.25">
      <c r="A2402" s="66"/>
    </row>
    <row r="2403" spans="1:1" x14ac:dyDescent="0.25">
      <c r="A2403" s="66"/>
    </row>
    <row r="2404" spans="1:1" x14ac:dyDescent="0.25">
      <c r="A2404" s="66"/>
    </row>
    <row r="2405" spans="1:1" x14ac:dyDescent="0.25">
      <c r="A2405" s="66"/>
    </row>
    <row r="2406" spans="1:1" x14ac:dyDescent="0.25">
      <c r="A2406" s="66"/>
    </row>
    <row r="2407" spans="1:1" x14ac:dyDescent="0.25">
      <c r="A2407" s="66"/>
    </row>
    <row r="2408" spans="1:1" x14ac:dyDescent="0.25">
      <c r="A2408" s="66"/>
    </row>
    <row r="2409" spans="1:1" x14ac:dyDescent="0.25">
      <c r="A2409" s="66"/>
    </row>
    <row r="2410" spans="1:1" x14ac:dyDescent="0.25">
      <c r="A2410" s="66"/>
    </row>
    <row r="2411" spans="1:1" x14ac:dyDescent="0.25">
      <c r="A2411" s="66"/>
    </row>
    <row r="2412" spans="1:1" x14ac:dyDescent="0.25">
      <c r="A2412" s="66"/>
    </row>
    <row r="2413" spans="1:1" x14ac:dyDescent="0.25">
      <c r="A2413" s="66"/>
    </row>
    <row r="2414" spans="1:1" x14ac:dyDescent="0.25">
      <c r="A2414" s="66"/>
    </row>
    <row r="2415" spans="1:1" x14ac:dyDescent="0.25">
      <c r="A2415" s="66"/>
    </row>
    <row r="2416" spans="1:1" x14ac:dyDescent="0.25">
      <c r="A2416" s="66"/>
    </row>
    <row r="2417" spans="1:1" x14ac:dyDescent="0.25">
      <c r="A2417" s="66"/>
    </row>
    <row r="2418" spans="1:1" x14ac:dyDescent="0.25">
      <c r="A2418" s="66"/>
    </row>
    <row r="2419" spans="1:1" x14ac:dyDescent="0.25">
      <c r="A2419" s="66"/>
    </row>
    <row r="2420" spans="1:1" x14ac:dyDescent="0.25">
      <c r="A2420" s="66"/>
    </row>
    <row r="2421" spans="1:1" x14ac:dyDescent="0.25">
      <c r="A2421" s="66"/>
    </row>
    <row r="2422" spans="1:1" x14ac:dyDescent="0.25">
      <c r="A2422" s="66"/>
    </row>
    <row r="2423" spans="1:1" x14ac:dyDescent="0.25">
      <c r="A2423" s="66"/>
    </row>
    <row r="2424" spans="1:1" x14ac:dyDescent="0.25">
      <c r="A2424" s="66"/>
    </row>
    <row r="2425" spans="1:1" x14ac:dyDescent="0.25">
      <c r="A2425" s="66"/>
    </row>
    <row r="2426" spans="1:1" x14ac:dyDescent="0.25">
      <c r="A2426" s="66"/>
    </row>
    <row r="2427" spans="1:1" x14ac:dyDescent="0.25">
      <c r="A2427" s="66"/>
    </row>
    <row r="2428" spans="1:1" x14ac:dyDescent="0.25">
      <c r="A2428" s="66"/>
    </row>
    <row r="2429" spans="1:1" x14ac:dyDescent="0.25">
      <c r="A2429" s="66"/>
    </row>
    <row r="2430" spans="1:1" x14ac:dyDescent="0.25">
      <c r="A2430" s="66"/>
    </row>
    <row r="2431" spans="1:1" x14ac:dyDescent="0.25">
      <c r="A2431" s="66"/>
    </row>
    <row r="2432" spans="1:1" x14ac:dyDescent="0.25">
      <c r="A2432" s="66"/>
    </row>
    <row r="2433" spans="1:1" x14ac:dyDescent="0.25">
      <c r="A2433" s="66"/>
    </row>
    <row r="2434" spans="1:1" x14ac:dyDescent="0.25">
      <c r="A2434" s="66"/>
    </row>
    <row r="2435" spans="1:1" x14ac:dyDescent="0.25">
      <c r="A2435" s="66"/>
    </row>
    <row r="2436" spans="1:1" x14ac:dyDescent="0.25">
      <c r="A2436" s="66"/>
    </row>
    <row r="2437" spans="1:1" x14ac:dyDescent="0.25">
      <c r="A2437" s="66"/>
    </row>
    <row r="2438" spans="1:1" x14ac:dyDescent="0.25">
      <c r="A2438" s="66"/>
    </row>
    <row r="2439" spans="1:1" x14ac:dyDescent="0.25">
      <c r="A2439" s="66"/>
    </row>
    <row r="2440" spans="1:1" x14ac:dyDescent="0.25">
      <c r="A2440" s="66"/>
    </row>
    <row r="2441" spans="1:1" x14ac:dyDescent="0.25">
      <c r="A2441" s="66"/>
    </row>
    <row r="2442" spans="1:1" x14ac:dyDescent="0.25">
      <c r="A2442" s="66"/>
    </row>
    <row r="2443" spans="1:1" x14ac:dyDescent="0.25">
      <c r="A2443" s="66"/>
    </row>
    <row r="2444" spans="1:1" x14ac:dyDescent="0.25">
      <c r="A2444" s="66"/>
    </row>
    <row r="2445" spans="1:1" x14ac:dyDescent="0.25">
      <c r="A2445" s="66"/>
    </row>
    <row r="2446" spans="1:1" x14ac:dyDescent="0.25">
      <c r="A2446" s="66"/>
    </row>
    <row r="2447" spans="1:1" x14ac:dyDescent="0.25">
      <c r="A2447" s="66"/>
    </row>
    <row r="2448" spans="1:1" x14ac:dyDescent="0.25">
      <c r="A2448" s="66"/>
    </row>
    <row r="2449" spans="1:1" x14ac:dyDescent="0.25">
      <c r="A2449" s="66"/>
    </row>
    <row r="2450" spans="1:1" x14ac:dyDescent="0.25">
      <c r="A2450" s="66"/>
    </row>
    <row r="2451" spans="1:1" x14ac:dyDescent="0.25">
      <c r="A2451" s="66"/>
    </row>
    <row r="2452" spans="1:1" x14ac:dyDescent="0.25">
      <c r="A2452" s="66"/>
    </row>
    <row r="2453" spans="1:1" x14ac:dyDescent="0.25">
      <c r="A2453" s="66"/>
    </row>
    <row r="2454" spans="1:1" x14ac:dyDescent="0.25">
      <c r="A2454" s="66"/>
    </row>
    <row r="2455" spans="1:1" x14ac:dyDescent="0.25">
      <c r="A2455" s="66"/>
    </row>
    <row r="2456" spans="1:1" x14ac:dyDescent="0.25">
      <c r="A2456" s="66"/>
    </row>
    <row r="2457" spans="1:1" x14ac:dyDescent="0.25">
      <c r="A2457" s="66"/>
    </row>
    <row r="2458" spans="1:1" x14ac:dyDescent="0.25">
      <c r="A2458" s="66"/>
    </row>
    <row r="2459" spans="1:1" x14ac:dyDescent="0.25">
      <c r="A2459" s="66"/>
    </row>
    <row r="2460" spans="1:1" x14ac:dyDescent="0.25">
      <c r="A2460" s="66"/>
    </row>
    <row r="2461" spans="1:1" x14ac:dyDescent="0.25">
      <c r="A2461" s="66"/>
    </row>
    <row r="2462" spans="1:1" x14ac:dyDescent="0.25">
      <c r="A2462" s="66"/>
    </row>
    <row r="2463" spans="1:1" x14ac:dyDescent="0.25">
      <c r="A2463" s="66"/>
    </row>
    <row r="2464" spans="1:1" x14ac:dyDescent="0.25">
      <c r="A2464" s="66"/>
    </row>
    <row r="2465" spans="1:1" x14ac:dyDescent="0.25">
      <c r="A2465" s="66"/>
    </row>
    <row r="2466" spans="1:1" x14ac:dyDescent="0.25">
      <c r="A2466" s="66"/>
    </row>
    <row r="2467" spans="1:1" x14ac:dyDescent="0.25">
      <c r="A2467" s="66"/>
    </row>
    <row r="2468" spans="1:1" x14ac:dyDescent="0.25">
      <c r="A2468" s="66"/>
    </row>
    <row r="2469" spans="1:1" x14ac:dyDescent="0.25">
      <c r="A2469" s="66"/>
    </row>
    <row r="2470" spans="1:1" x14ac:dyDescent="0.25">
      <c r="A2470" s="66"/>
    </row>
    <row r="2471" spans="1:1" x14ac:dyDescent="0.25">
      <c r="A2471" s="66"/>
    </row>
    <row r="2472" spans="1:1" x14ac:dyDescent="0.25">
      <c r="A2472" s="66"/>
    </row>
    <row r="2473" spans="1:1" x14ac:dyDescent="0.25">
      <c r="A2473" s="66"/>
    </row>
    <row r="2474" spans="1:1" x14ac:dyDescent="0.25">
      <c r="A2474" s="66"/>
    </row>
    <row r="2475" spans="1:1" x14ac:dyDescent="0.25">
      <c r="A2475" s="66"/>
    </row>
    <row r="2476" spans="1:1" x14ac:dyDescent="0.25">
      <c r="A2476" s="66"/>
    </row>
    <row r="2477" spans="1:1" x14ac:dyDescent="0.25">
      <c r="A2477" s="66"/>
    </row>
    <row r="2478" spans="1:1" x14ac:dyDescent="0.25">
      <c r="A2478" s="66"/>
    </row>
    <row r="2479" spans="1:1" x14ac:dyDescent="0.25">
      <c r="A2479" s="66"/>
    </row>
    <row r="2480" spans="1:1" x14ac:dyDescent="0.25">
      <c r="A2480" s="66"/>
    </row>
    <row r="2481" spans="1:1" x14ac:dyDescent="0.25">
      <c r="A2481" s="66"/>
    </row>
    <row r="2482" spans="1:1" x14ac:dyDescent="0.25">
      <c r="A2482" s="66"/>
    </row>
    <row r="2483" spans="1:1" x14ac:dyDescent="0.25">
      <c r="A2483" s="66"/>
    </row>
    <row r="2484" spans="1:1" x14ac:dyDescent="0.25">
      <c r="A2484" s="66"/>
    </row>
    <row r="2485" spans="1:1" x14ac:dyDescent="0.25">
      <c r="A2485" s="66"/>
    </row>
    <row r="2486" spans="1:1" x14ac:dyDescent="0.25">
      <c r="A2486" s="66"/>
    </row>
    <row r="2487" spans="1:1" x14ac:dyDescent="0.25">
      <c r="A2487" s="66"/>
    </row>
    <row r="2488" spans="1:1" x14ac:dyDescent="0.25">
      <c r="A2488" s="66"/>
    </row>
    <row r="2489" spans="1:1" x14ac:dyDescent="0.25">
      <c r="A2489" s="66"/>
    </row>
    <row r="2490" spans="1:1" x14ac:dyDescent="0.25">
      <c r="A2490" s="66"/>
    </row>
    <row r="2491" spans="1:1" x14ac:dyDescent="0.25">
      <c r="A2491" s="66"/>
    </row>
    <row r="2492" spans="1:1" x14ac:dyDescent="0.25">
      <c r="A2492" s="66"/>
    </row>
    <row r="2493" spans="1:1" x14ac:dyDescent="0.25">
      <c r="A2493" s="66"/>
    </row>
    <row r="2494" spans="1:1" x14ac:dyDescent="0.25">
      <c r="A2494" s="66"/>
    </row>
    <row r="2495" spans="1:1" x14ac:dyDescent="0.25">
      <c r="A2495" s="66"/>
    </row>
    <row r="2496" spans="1:1" x14ac:dyDescent="0.25">
      <c r="A2496" s="66"/>
    </row>
    <row r="2497" spans="1:1" x14ac:dyDescent="0.25">
      <c r="A2497" s="66"/>
    </row>
    <row r="2498" spans="1:1" x14ac:dyDescent="0.25">
      <c r="A2498" s="66"/>
    </row>
    <row r="2499" spans="1:1" x14ac:dyDescent="0.25">
      <c r="A2499" s="66"/>
    </row>
    <row r="2500" spans="1:1" x14ac:dyDescent="0.25">
      <c r="A2500" s="66"/>
    </row>
    <row r="2501" spans="1:1" x14ac:dyDescent="0.25">
      <c r="A2501" s="66"/>
    </row>
    <row r="2502" spans="1:1" x14ac:dyDescent="0.25">
      <c r="A2502" s="66"/>
    </row>
    <row r="2503" spans="1:1" x14ac:dyDescent="0.25">
      <c r="A2503" s="66"/>
    </row>
    <row r="2504" spans="1:1" x14ac:dyDescent="0.25">
      <c r="A2504" s="66"/>
    </row>
    <row r="2505" spans="1:1" x14ac:dyDescent="0.25">
      <c r="A2505" s="66"/>
    </row>
    <row r="2506" spans="1:1" x14ac:dyDescent="0.25">
      <c r="A2506" s="66"/>
    </row>
    <row r="2507" spans="1:1" x14ac:dyDescent="0.25">
      <c r="A2507" s="66"/>
    </row>
    <row r="2508" spans="1:1" x14ac:dyDescent="0.25">
      <c r="A2508" s="66"/>
    </row>
    <row r="2509" spans="1:1" x14ac:dyDescent="0.25">
      <c r="A2509" s="66"/>
    </row>
    <row r="2510" spans="1:1" x14ac:dyDescent="0.25">
      <c r="A2510" s="66"/>
    </row>
    <row r="2511" spans="1:1" x14ac:dyDescent="0.25">
      <c r="A2511" s="66"/>
    </row>
    <row r="2512" spans="1:1" x14ac:dyDescent="0.25">
      <c r="A2512" s="66"/>
    </row>
    <row r="2513" spans="1:1" x14ac:dyDescent="0.25">
      <c r="A2513" s="66"/>
    </row>
    <row r="2514" spans="1:1" x14ac:dyDescent="0.25">
      <c r="A2514" s="66"/>
    </row>
    <row r="2515" spans="1:1" x14ac:dyDescent="0.25">
      <c r="A2515" s="66"/>
    </row>
    <row r="2516" spans="1:1" x14ac:dyDescent="0.25">
      <c r="A2516" s="66"/>
    </row>
    <row r="2517" spans="1:1" x14ac:dyDescent="0.25">
      <c r="A2517" s="66"/>
    </row>
    <row r="2518" spans="1:1" x14ac:dyDescent="0.25">
      <c r="A2518" s="66"/>
    </row>
    <row r="2519" spans="1:1" x14ac:dyDescent="0.25">
      <c r="A2519" s="66"/>
    </row>
    <row r="2520" spans="1:1" x14ac:dyDescent="0.25">
      <c r="A2520" s="66"/>
    </row>
    <row r="2521" spans="1:1" x14ac:dyDescent="0.25">
      <c r="A2521" s="66"/>
    </row>
    <row r="2522" spans="1:1" x14ac:dyDescent="0.25">
      <c r="A2522" s="66"/>
    </row>
    <row r="2523" spans="1:1" x14ac:dyDescent="0.25">
      <c r="A2523" s="66"/>
    </row>
    <row r="2524" spans="1:1" x14ac:dyDescent="0.25">
      <c r="A2524" s="66"/>
    </row>
    <row r="2525" spans="1:1" x14ac:dyDescent="0.25">
      <c r="A2525" s="66"/>
    </row>
    <row r="2526" spans="1:1" x14ac:dyDescent="0.25">
      <c r="A2526" s="66"/>
    </row>
    <row r="2527" spans="1:1" x14ac:dyDescent="0.25">
      <c r="A2527" s="66"/>
    </row>
    <row r="2528" spans="1:1" x14ac:dyDescent="0.25">
      <c r="A2528" s="66"/>
    </row>
    <row r="2529" spans="1:1" x14ac:dyDescent="0.25">
      <c r="A2529" s="66"/>
    </row>
    <row r="2530" spans="1:1" x14ac:dyDescent="0.25">
      <c r="A2530" s="66"/>
    </row>
    <row r="2531" spans="1:1" x14ac:dyDescent="0.25">
      <c r="A2531" s="66"/>
    </row>
    <row r="2532" spans="1:1" x14ac:dyDescent="0.25">
      <c r="A2532" s="66"/>
    </row>
    <row r="2533" spans="1:1" x14ac:dyDescent="0.25">
      <c r="A2533" s="66"/>
    </row>
    <row r="2534" spans="1:1" x14ac:dyDescent="0.25">
      <c r="A2534" s="66"/>
    </row>
    <row r="2535" spans="1:1" x14ac:dyDescent="0.25">
      <c r="A2535" s="66"/>
    </row>
    <row r="2536" spans="1:1" x14ac:dyDescent="0.25">
      <c r="A2536" s="66"/>
    </row>
    <row r="2537" spans="1:1" x14ac:dyDescent="0.25">
      <c r="A2537" s="66"/>
    </row>
    <row r="2538" spans="1:1" x14ac:dyDescent="0.25">
      <c r="A2538" s="66"/>
    </row>
    <row r="2539" spans="1:1" x14ac:dyDescent="0.25">
      <c r="A2539" s="66"/>
    </row>
    <row r="2540" spans="1:1" x14ac:dyDescent="0.25">
      <c r="A2540" s="66"/>
    </row>
    <row r="2541" spans="1:1" x14ac:dyDescent="0.25">
      <c r="A2541" s="66"/>
    </row>
    <row r="2542" spans="1:1" x14ac:dyDescent="0.25">
      <c r="A2542" s="66"/>
    </row>
    <row r="2543" spans="1:1" x14ac:dyDescent="0.25">
      <c r="A2543" s="66"/>
    </row>
    <row r="2544" spans="1:1" x14ac:dyDescent="0.25">
      <c r="A2544" s="66"/>
    </row>
    <row r="2545" spans="1:1" x14ac:dyDescent="0.25">
      <c r="A2545" s="66"/>
    </row>
    <row r="2546" spans="1:1" x14ac:dyDescent="0.25">
      <c r="A2546" s="66"/>
    </row>
    <row r="2547" spans="1:1" x14ac:dyDescent="0.25">
      <c r="A2547" s="66"/>
    </row>
    <row r="2548" spans="1:1" x14ac:dyDescent="0.25">
      <c r="A2548" s="66"/>
    </row>
    <row r="2549" spans="1:1" x14ac:dyDescent="0.25">
      <c r="A2549" s="66"/>
    </row>
    <row r="2550" spans="1:1" x14ac:dyDescent="0.25">
      <c r="A2550" s="66"/>
    </row>
    <row r="2551" spans="1:1" x14ac:dyDescent="0.25">
      <c r="A2551" s="66"/>
    </row>
    <row r="2552" spans="1:1" x14ac:dyDescent="0.25">
      <c r="A2552" s="66"/>
    </row>
    <row r="2553" spans="1:1" x14ac:dyDescent="0.25">
      <c r="A2553" s="66"/>
    </row>
    <row r="2554" spans="1:1" x14ac:dyDescent="0.25">
      <c r="A2554" s="66"/>
    </row>
    <row r="2555" spans="1:1" x14ac:dyDescent="0.25">
      <c r="A2555" s="66"/>
    </row>
    <row r="2556" spans="1:1" x14ac:dyDescent="0.25">
      <c r="A2556" s="66"/>
    </row>
    <row r="2557" spans="1:1" x14ac:dyDescent="0.25">
      <c r="A2557" s="66"/>
    </row>
    <row r="2558" spans="1:1" x14ac:dyDescent="0.25">
      <c r="A2558" s="66"/>
    </row>
    <row r="2559" spans="1:1" x14ac:dyDescent="0.25">
      <c r="A2559" s="66"/>
    </row>
    <row r="2560" spans="1:1" x14ac:dyDescent="0.25">
      <c r="A2560" s="66"/>
    </row>
    <row r="2561" spans="1:1" x14ac:dyDescent="0.25">
      <c r="A2561" s="66"/>
    </row>
    <row r="2562" spans="1:1" x14ac:dyDescent="0.25">
      <c r="A2562" s="66"/>
    </row>
    <row r="2563" spans="1:1" x14ac:dyDescent="0.25">
      <c r="A2563" s="66"/>
    </row>
    <row r="2564" spans="1:1" x14ac:dyDescent="0.25">
      <c r="A2564" s="66"/>
    </row>
    <row r="2565" spans="1:1" x14ac:dyDescent="0.25">
      <c r="A2565" s="66"/>
    </row>
    <row r="2566" spans="1:1" x14ac:dyDescent="0.25">
      <c r="A2566" s="66"/>
    </row>
    <row r="2567" spans="1:1" x14ac:dyDescent="0.25">
      <c r="A2567" s="66"/>
    </row>
    <row r="2568" spans="1:1" x14ac:dyDescent="0.25">
      <c r="A2568" s="66"/>
    </row>
    <row r="2569" spans="1:1" x14ac:dyDescent="0.25">
      <c r="A2569" s="66"/>
    </row>
    <row r="2570" spans="1:1" x14ac:dyDescent="0.25">
      <c r="A2570" s="66"/>
    </row>
    <row r="2571" spans="1:1" x14ac:dyDescent="0.25">
      <c r="A2571" s="66"/>
    </row>
    <row r="2572" spans="1:1" x14ac:dyDescent="0.25">
      <c r="A2572" s="66"/>
    </row>
    <row r="2573" spans="1:1" x14ac:dyDescent="0.25">
      <c r="A2573" s="66"/>
    </row>
    <row r="2574" spans="1:1" x14ac:dyDescent="0.25">
      <c r="A2574" s="66"/>
    </row>
    <row r="2575" spans="1:1" x14ac:dyDescent="0.25">
      <c r="A2575" s="66"/>
    </row>
    <row r="2576" spans="1:1" x14ac:dyDescent="0.25">
      <c r="A2576" s="66"/>
    </row>
    <row r="2577" spans="1:1" x14ac:dyDescent="0.25">
      <c r="A2577" s="66"/>
    </row>
    <row r="2578" spans="1:1" x14ac:dyDescent="0.25">
      <c r="A2578" s="66"/>
    </row>
    <row r="2579" spans="1:1" x14ac:dyDescent="0.25">
      <c r="A2579" s="66"/>
    </row>
    <row r="2580" spans="1:1" x14ac:dyDescent="0.25">
      <c r="A2580" s="66"/>
    </row>
    <row r="2581" spans="1:1" x14ac:dyDescent="0.25">
      <c r="A2581" s="66"/>
    </row>
    <row r="2582" spans="1:1" x14ac:dyDescent="0.25">
      <c r="A2582" s="66"/>
    </row>
    <row r="2583" spans="1:1" x14ac:dyDescent="0.25">
      <c r="A2583" s="66"/>
    </row>
    <row r="2584" spans="1:1" x14ac:dyDescent="0.25">
      <c r="A2584" s="66"/>
    </row>
    <row r="2585" spans="1:1" x14ac:dyDescent="0.25">
      <c r="A2585" s="66"/>
    </row>
    <row r="2586" spans="1:1" x14ac:dyDescent="0.25">
      <c r="A2586" s="66"/>
    </row>
    <row r="2587" spans="1:1" x14ac:dyDescent="0.25">
      <c r="A2587" s="66"/>
    </row>
    <row r="2588" spans="1:1" x14ac:dyDescent="0.25">
      <c r="A2588" s="66"/>
    </row>
    <row r="2589" spans="1:1" x14ac:dyDescent="0.25">
      <c r="A2589" s="66"/>
    </row>
    <row r="2590" spans="1:1" x14ac:dyDescent="0.25">
      <c r="A2590" s="66"/>
    </row>
    <row r="2591" spans="1:1" x14ac:dyDescent="0.25">
      <c r="A2591" s="66"/>
    </row>
    <row r="2592" spans="1:1" x14ac:dyDescent="0.25">
      <c r="A2592" s="66"/>
    </row>
    <row r="2593" spans="1:1" x14ac:dyDescent="0.25">
      <c r="A2593" s="66"/>
    </row>
    <row r="2594" spans="1:1" x14ac:dyDescent="0.25">
      <c r="A2594" s="66"/>
    </row>
    <row r="2595" spans="1:1" x14ac:dyDescent="0.25">
      <c r="A2595" s="66"/>
    </row>
    <row r="2596" spans="1:1" x14ac:dyDescent="0.25">
      <c r="A2596" s="66"/>
    </row>
    <row r="2597" spans="1:1" x14ac:dyDescent="0.25">
      <c r="A2597" s="66"/>
    </row>
    <row r="2598" spans="1:1" x14ac:dyDescent="0.25">
      <c r="A2598" s="66"/>
    </row>
    <row r="2599" spans="1:1" x14ac:dyDescent="0.25">
      <c r="A2599" s="66"/>
    </row>
    <row r="2600" spans="1:1" x14ac:dyDescent="0.25">
      <c r="A2600" s="66"/>
    </row>
    <row r="2601" spans="1:1" x14ac:dyDescent="0.25">
      <c r="A2601" s="66"/>
    </row>
    <row r="2602" spans="1:1" x14ac:dyDescent="0.25">
      <c r="A2602" s="66"/>
    </row>
    <row r="2603" spans="1:1" x14ac:dyDescent="0.25">
      <c r="A2603" s="66"/>
    </row>
    <row r="2604" spans="1:1" x14ac:dyDescent="0.25">
      <c r="A2604" s="66"/>
    </row>
    <row r="2605" spans="1:1" x14ac:dyDescent="0.25">
      <c r="A2605" s="66"/>
    </row>
    <row r="2606" spans="1:1" x14ac:dyDescent="0.25">
      <c r="A2606" s="66"/>
    </row>
    <row r="2607" spans="1:1" x14ac:dyDescent="0.25">
      <c r="A2607" s="66"/>
    </row>
    <row r="2608" spans="1:1" x14ac:dyDescent="0.25">
      <c r="A2608" s="66"/>
    </row>
    <row r="2609" spans="1:1" x14ac:dyDescent="0.25">
      <c r="A2609" s="66"/>
    </row>
    <row r="2610" spans="1:1" x14ac:dyDescent="0.25">
      <c r="A2610" s="66"/>
    </row>
    <row r="2611" spans="1:1" x14ac:dyDescent="0.25">
      <c r="A2611" s="66"/>
    </row>
    <row r="2612" spans="1:1" x14ac:dyDescent="0.25">
      <c r="A2612" s="66"/>
    </row>
    <row r="2613" spans="1:1" x14ac:dyDescent="0.25">
      <c r="A2613" s="66"/>
    </row>
    <row r="2614" spans="1:1" x14ac:dyDescent="0.25">
      <c r="A2614" s="66"/>
    </row>
    <row r="2615" spans="1:1" x14ac:dyDescent="0.25">
      <c r="A2615" s="66"/>
    </row>
    <row r="2616" spans="1:1" x14ac:dyDescent="0.25">
      <c r="A2616" s="66"/>
    </row>
    <row r="2617" spans="1:1" x14ac:dyDescent="0.25">
      <c r="A2617" s="66"/>
    </row>
    <row r="2618" spans="1:1" x14ac:dyDescent="0.25">
      <c r="A2618" s="66"/>
    </row>
    <row r="2619" spans="1:1" x14ac:dyDescent="0.25">
      <c r="A2619" s="66"/>
    </row>
    <row r="2620" spans="1:1" x14ac:dyDescent="0.25">
      <c r="A2620" s="66"/>
    </row>
    <row r="2621" spans="1:1" x14ac:dyDescent="0.25">
      <c r="A2621" s="66"/>
    </row>
    <row r="2622" spans="1:1" x14ac:dyDescent="0.25">
      <c r="A2622" s="66"/>
    </row>
    <row r="2623" spans="1:1" x14ac:dyDescent="0.25">
      <c r="A2623" s="66"/>
    </row>
    <row r="2624" spans="1:1" x14ac:dyDescent="0.25">
      <c r="A2624" s="66"/>
    </row>
    <row r="2625" spans="1:1" x14ac:dyDescent="0.25">
      <c r="A2625" s="66"/>
    </row>
    <row r="2626" spans="1:1" x14ac:dyDescent="0.25">
      <c r="A2626" s="66"/>
    </row>
    <row r="2627" spans="1:1" x14ac:dyDescent="0.25">
      <c r="A2627" s="66"/>
    </row>
    <row r="2628" spans="1:1" x14ac:dyDescent="0.25">
      <c r="A2628" s="66"/>
    </row>
    <row r="2629" spans="1:1" x14ac:dyDescent="0.25">
      <c r="A2629" s="66"/>
    </row>
    <row r="2630" spans="1:1" x14ac:dyDescent="0.25">
      <c r="A2630" s="66"/>
    </row>
    <row r="2631" spans="1:1" x14ac:dyDescent="0.25">
      <c r="A2631" s="66"/>
    </row>
    <row r="2632" spans="1:1" x14ac:dyDescent="0.25">
      <c r="A2632" s="66"/>
    </row>
    <row r="2633" spans="1:1" x14ac:dyDescent="0.25">
      <c r="A2633" s="66"/>
    </row>
    <row r="2634" spans="1:1" x14ac:dyDescent="0.25">
      <c r="A2634" s="66"/>
    </row>
    <row r="2635" spans="1:1" x14ac:dyDescent="0.25">
      <c r="A2635" s="66"/>
    </row>
    <row r="2636" spans="1:1" x14ac:dyDescent="0.25">
      <c r="A2636" s="66"/>
    </row>
    <row r="2637" spans="1:1" x14ac:dyDescent="0.25">
      <c r="A2637" s="66"/>
    </row>
    <row r="2638" spans="1:1" x14ac:dyDescent="0.25">
      <c r="A2638" s="66"/>
    </row>
    <row r="2639" spans="1:1" x14ac:dyDescent="0.25">
      <c r="A2639" s="66"/>
    </row>
    <row r="2640" spans="1:1" x14ac:dyDescent="0.25">
      <c r="A2640" s="66"/>
    </row>
    <row r="2641" spans="1:1" x14ac:dyDescent="0.25">
      <c r="A2641" s="66"/>
    </row>
    <row r="2642" spans="1:1" x14ac:dyDescent="0.25">
      <c r="A2642" s="66"/>
    </row>
    <row r="2643" spans="1:1" x14ac:dyDescent="0.25">
      <c r="A2643" s="66"/>
    </row>
    <row r="2644" spans="1:1" x14ac:dyDescent="0.25">
      <c r="A2644" s="66"/>
    </row>
    <row r="2645" spans="1:1" x14ac:dyDescent="0.25">
      <c r="A2645" s="66"/>
    </row>
    <row r="2646" spans="1:1" x14ac:dyDescent="0.25">
      <c r="A2646" s="66"/>
    </row>
    <row r="2647" spans="1:1" x14ac:dyDescent="0.25">
      <c r="A2647" s="66"/>
    </row>
    <row r="2648" spans="1:1" x14ac:dyDescent="0.25">
      <c r="A2648" s="66"/>
    </row>
    <row r="2649" spans="1:1" x14ac:dyDescent="0.25">
      <c r="A2649" s="66"/>
    </row>
    <row r="2650" spans="1:1" x14ac:dyDescent="0.25">
      <c r="A2650" s="66"/>
    </row>
    <row r="2651" spans="1:1" x14ac:dyDescent="0.25">
      <c r="A2651" s="66"/>
    </row>
    <row r="2652" spans="1:1" x14ac:dyDescent="0.25">
      <c r="A2652" s="66"/>
    </row>
    <row r="2653" spans="1:1" x14ac:dyDescent="0.25">
      <c r="A2653" s="66"/>
    </row>
    <row r="2654" spans="1:1" x14ac:dyDescent="0.25">
      <c r="A2654" s="66"/>
    </row>
    <row r="2655" spans="1:1" x14ac:dyDescent="0.25">
      <c r="A2655" s="66"/>
    </row>
    <row r="2656" spans="1:1" x14ac:dyDescent="0.25">
      <c r="A2656" s="66"/>
    </row>
    <row r="2657" spans="1:1" x14ac:dyDescent="0.25">
      <c r="A2657" s="66"/>
    </row>
    <row r="2658" spans="1:1" x14ac:dyDescent="0.25">
      <c r="A2658" s="66"/>
    </row>
    <row r="2659" spans="1:1" x14ac:dyDescent="0.25">
      <c r="A2659" s="66"/>
    </row>
    <row r="2660" spans="1:1" x14ac:dyDescent="0.25">
      <c r="A2660" s="66"/>
    </row>
    <row r="2661" spans="1:1" x14ac:dyDescent="0.25">
      <c r="A2661" s="66"/>
    </row>
    <row r="2662" spans="1:1" x14ac:dyDescent="0.25">
      <c r="A2662" s="66"/>
    </row>
    <row r="2663" spans="1:1" x14ac:dyDescent="0.25">
      <c r="A2663" s="66"/>
    </row>
    <row r="2664" spans="1:1" x14ac:dyDescent="0.25">
      <c r="A2664" s="66"/>
    </row>
    <row r="2665" spans="1:1" x14ac:dyDescent="0.25">
      <c r="A2665" s="66"/>
    </row>
    <row r="2666" spans="1:1" x14ac:dyDescent="0.25">
      <c r="A2666" s="66"/>
    </row>
    <row r="2667" spans="1:1" x14ac:dyDescent="0.25">
      <c r="A2667" s="66"/>
    </row>
    <row r="2668" spans="1:1" x14ac:dyDescent="0.25">
      <c r="A2668" s="66"/>
    </row>
    <row r="2669" spans="1:1" x14ac:dyDescent="0.25">
      <c r="A2669" s="66"/>
    </row>
    <row r="2670" spans="1:1" x14ac:dyDescent="0.25">
      <c r="A2670" s="66"/>
    </row>
    <row r="2671" spans="1:1" x14ac:dyDescent="0.25">
      <c r="A2671" s="66"/>
    </row>
    <row r="2672" spans="1:1" x14ac:dyDescent="0.25">
      <c r="A2672" s="66"/>
    </row>
    <row r="2673" spans="1:1" x14ac:dyDescent="0.25">
      <c r="A2673" s="66"/>
    </row>
    <row r="2674" spans="1:1" x14ac:dyDescent="0.25">
      <c r="A2674" s="66"/>
    </row>
    <row r="2675" spans="1:1" x14ac:dyDescent="0.25">
      <c r="A2675" s="66"/>
    </row>
    <row r="2676" spans="1:1" x14ac:dyDescent="0.25">
      <c r="A2676" s="66"/>
    </row>
    <row r="2677" spans="1:1" x14ac:dyDescent="0.25">
      <c r="A2677" s="66"/>
    </row>
    <row r="2678" spans="1:1" x14ac:dyDescent="0.25">
      <c r="A2678" s="66"/>
    </row>
    <row r="2679" spans="1:1" x14ac:dyDescent="0.25">
      <c r="A2679" s="66"/>
    </row>
    <row r="2680" spans="1:1" x14ac:dyDescent="0.25">
      <c r="A2680" s="66"/>
    </row>
    <row r="2681" spans="1:1" x14ac:dyDescent="0.25">
      <c r="A2681" s="66"/>
    </row>
    <row r="2682" spans="1:1" x14ac:dyDescent="0.25">
      <c r="A2682" s="66"/>
    </row>
    <row r="2683" spans="1:1" x14ac:dyDescent="0.25">
      <c r="A2683" s="66"/>
    </row>
    <row r="2684" spans="1:1" x14ac:dyDescent="0.25">
      <c r="A2684" s="66"/>
    </row>
    <row r="2685" spans="1:1" x14ac:dyDescent="0.25">
      <c r="A2685" s="66"/>
    </row>
    <row r="2686" spans="1:1" x14ac:dyDescent="0.25">
      <c r="A2686" s="66"/>
    </row>
    <row r="2687" spans="1:1" x14ac:dyDescent="0.25">
      <c r="A2687" s="66"/>
    </row>
    <row r="2688" spans="1:1" x14ac:dyDescent="0.25">
      <c r="A2688" s="66"/>
    </row>
    <row r="2689" spans="1:1" x14ac:dyDescent="0.25">
      <c r="A2689" s="66"/>
    </row>
    <row r="2690" spans="1:1" x14ac:dyDescent="0.25">
      <c r="A2690" s="66"/>
    </row>
    <row r="2691" spans="1:1" x14ac:dyDescent="0.25">
      <c r="A2691" s="66"/>
    </row>
    <row r="2692" spans="1:1" x14ac:dyDescent="0.25">
      <c r="A2692" s="66"/>
    </row>
    <row r="2693" spans="1:1" x14ac:dyDescent="0.25">
      <c r="A2693" s="66"/>
    </row>
    <row r="2694" spans="1:1" x14ac:dyDescent="0.25">
      <c r="A2694" s="66"/>
    </row>
    <row r="2695" spans="1:1" x14ac:dyDescent="0.25">
      <c r="A2695" s="66"/>
    </row>
    <row r="2696" spans="1:1" x14ac:dyDescent="0.25">
      <c r="A2696" s="66"/>
    </row>
    <row r="2697" spans="1:1" x14ac:dyDescent="0.25">
      <c r="A2697" s="66"/>
    </row>
    <row r="2698" spans="1:1" x14ac:dyDescent="0.25">
      <c r="A2698" s="66"/>
    </row>
    <row r="2699" spans="1:1" x14ac:dyDescent="0.25">
      <c r="A2699" s="66"/>
    </row>
    <row r="2700" spans="1:1" x14ac:dyDescent="0.25">
      <c r="A2700" s="66"/>
    </row>
    <row r="2701" spans="1:1" x14ac:dyDescent="0.25">
      <c r="A2701" s="66"/>
    </row>
    <row r="2702" spans="1:1" x14ac:dyDescent="0.25">
      <c r="A2702" s="66"/>
    </row>
    <row r="2703" spans="1:1" x14ac:dyDescent="0.25">
      <c r="A2703" s="66"/>
    </row>
    <row r="2704" spans="1:1" x14ac:dyDescent="0.25">
      <c r="A2704" s="66"/>
    </row>
    <row r="2705" spans="1:1" x14ac:dyDescent="0.25">
      <c r="A2705" s="66"/>
    </row>
    <row r="2706" spans="1:1" x14ac:dyDescent="0.25">
      <c r="A2706" s="66"/>
    </row>
    <row r="2707" spans="1:1" x14ac:dyDescent="0.25">
      <c r="A2707" s="66"/>
    </row>
    <row r="2708" spans="1:1" x14ac:dyDescent="0.25">
      <c r="A2708" s="66"/>
    </row>
    <row r="2709" spans="1:1" x14ac:dyDescent="0.25">
      <c r="A2709" s="66"/>
    </row>
    <row r="2710" spans="1:1" x14ac:dyDescent="0.25">
      <c r="A2710" s="66"/>
    </row>
    <row r="2711" spans="1:1" x14ac:dyDescent="0.25">
      <c r="A2711" s="66"/>
    </row>
    <row r="2712" spans="1:1" x14ac:dyDescent="0.25">
      <c r="A2712" s="66"/>
    </row>
    <row r="2713" spans="1:1" x14ac:dyDescent="0.25">
      <c r="A2713" s="66"/>
    </row>
    <row r="2714" spans="1:1" x14ac:dyDescent="0.25">
      <c r="A2714" s="66"/>
    </row>
    <row r="2715" spans="1:1" x14ac:dyDescent="0.25">
      <c r="A2715" s="66"/>
    </row>
    <row r="2716" spans="1:1" x14ac:dyDescent="0.25">
      <c r="A2716" s="66"/>
    </row>
    <row r="2717" spans="1:1" x14ac:dyDescent="0.25">
      <c r="A2717" s="66"/>
    </row>
    <row r="2718" spans="1:1" x14ac:dyDescent="0.25">
      <c r="A2718" s="66"/>
    </row>
    <row r="2719" spans="1:1" x14ac:dyDescent="0.25">
      <c r="A2719" s="66"/>
    </row>
    <row r="2720" spans="1:1" x14ac:dyDescent="0.25">
      <c r="A2720" s="66"/>
    </row>
    <row r="2721" spans="1:1" x14ac:dyDescent="0.25">
      <c r="A2721" s="66"/>
    </row>
    <row r="2722" spans="1:1" x14ac:dyDescent="0.25">
      <c r="A2722" s="66"/>
    </row>
    <row r="2723" spans="1:1" x14ac:dyDescent="0.25">
      <c r="A2723" s="66"/>
    </row>
    <row r="2724" spans="1:1" x14ac:dyDescent="0.25">
      <c r="A2724" s="66"/>
    </row>
    <row r="2725" spans="1:1" x14ac:dyDescent="0.25">
      <c r="A2725" s="66"/>
    </row>
    <row r="2726" spans="1:1" x14ac:dyDescent="0.25">
      <c r="A2726" s="66"/>
    </row>
    <row r="2727" spans="1:1" x14ac:dyDescent="0.25">
      <c r="A2727" s="66"/>
    </row>
    <row r="2728" spans="1:1" x14ac:dyDescent="0.25">
      <c r="A2728" s="66"/>
    </row>
    <row r="2729" spans="1:1" x14ac:dyDescent="0.25">
      <c r="A2729" s="66"/>
    </row>
    <row r="2730" spans="1:1" x14ac:dyDescent="0.25">
      <c r="A2730" s="66"/>
    </row>
    <row r="2731" spans="1:1" x14ac:dyDescent="0.25">
      <c r="A2731" s="66"/>
    </row>
    <row r="2732" spans="1:1" x14ac:dyDescent="0.25">
      <c r="A2732" s="66"/>
    </row>
    <row r="2733" spans="1:1" x14ac:dyDescent="0.25">
      <c r="A2733" s="66"/>
    </row>
    <row r="2734" spans="1:1" x14ac:dyDescent="0.25">
      <c r="A2734" s="66"/>
    </row>
    <row r="2735" spans="1:1" x14ac:dyDescent="0.25">
      <c r="A2735" s="66"/>
    </row>
    <row r="2736" spans="1:1" x14ac:dyDescent="0.25">
      <c r="A2736" s="66"/>
    </row>
    <row r="2737" spans="1:1" x14ac:dyDescent="0.25">
      <c r="A2737" s="66"/>
    </row>
    <row r="2738" spans="1:1" x14ac:dyDescent="0.25">
      <c r="A2738" s="66"/>
    </row>
    <row r="2739" spans="1:1" x14ac:dyDescent="0.25">
      <c r="A2739" s="66"/>
    </row>
    <row r="2740" spans="1:1" x14ac:dyDescent="0.25">
      <c r="A2740" s="66"/>
    </row>
    <row r="2741" spans="1:1" x14ac:dyDescent="0.25">
      <c r="A2741" s="66"/>
    </row>
    <row r="2742" spans="1:1" x14ac:dyDescent="0.25">
      <c r="A2742" s="66"/>
    </row>
    <row r="2743" spans="1:1" x14ac:dyDescent="0.25">
      <c r="A2743" s="66"/>
    </row>
    <row r="2744" spans="1:1" x14ac:dyDescent="0.25">
      <c r="A2744" s="66"/>
    </row>
    <row r="2745" spans="1:1" x14ac:dyDescent="0.25">
      <c r="A2745" s="66"/>
    </row>
    <row r="2746" spans="1:1" x14ac:dyDescent="0.25">
      <c r="A2746" s="66"/>
    </row>
    <row r="2747" spans="1:1" x14ac:dyDescent="0.25">
      <c r="A2747" s="66"/>
    </row>
    <row r="2748" spans="1:1" x14ac:dyDescent="0.25">
      <c r="A2748" s="66"/>
    </row>
    <row r="2749" spans="1:1" x14ac:dyDescent="0.25">
      <c r="A2749" s="66"/>
    </row>
    <row r="2750" spans="1:1" x14ac:dyDescent="0.25">
      <c r="A2750" s="66"/>
    </row>
    <row r="2751" spans="1:1" x14ac:dyDescent="0.25">
      <c r="A2751" s="66"/>
    </row>
    <row r="2752" spans="1:1" x14ac:dyDescent="0.25">
      <c r="A2752" s="66"/>
    </row>
    <row r="2753" spans="1:1" x14ac:dyDescent="0.25">
      <c r="A2753" s="66"/>
    </row>
    <row r="2754" spans="1:1" x14ac:dyDescent="0.25">
      <c r="A2754" s="66"/>
    </row>
    <row r="2755" spans="1:1" x14ac:dyDescent="0.25">
      <c r="A2755" s="66"/>
    </row>
    <row r="2756" spans="1:1" x14ac:dyDescent="0.25">
      <c r="A2756" s="66"/>
    </row>
    <row r="2757" spans="1:1" x14ac:dyDescent="0.25">
      <c r="A2757" s="66"/>
    </row>
    <row r="2758" spans="1:1" x14ac:dyDescent="0.25">
      <c r="A2758" s="66"/>
    </row>
    <row r="2759" spans="1:1" x14ac:dyDescent="0.25">
      <c r="A2759" s="66"/>
    </row>
    <row r="2760" spans="1:1" x14ac:dyDescent="0.25">
      <c r="A2760" s="66"/>
    </row>
    <row r="2761" spans="1:1" x14ac:dyDescent="0.25">
      <c r="A2761" s="66"/>
    </row>
    <row r="2762" spans="1:1" x14ac:dyDescent="0.25">
      <c r="A2762" s="66"/>
    </row>
    <row r="2763" spans="1:1" x14ac:dyDescent="0.25">
      <c r="A2763" s="66"/>
    </row>
    <row r="2764" spans="1:1" x14ac:dyDescent="0.25">
      <c r="A2764" s="66"/>
    </row>
    <row r="2765" spans="1:1" x14ac:dyDescent="0.25">
      <c r="A2765" s="66"/>
    </row>
    <row r="2766" spans="1:1" x14ac:dyDescent="0.25">
      <c r="A2766" s="66"/>
    </row>
    <row r="2767" spans="1:1" x14ac:dyDescent="0.25">
      <c r="A2767" s="66"/>
    </row>
    <row r="2768" spans="1:1" x14ac:dyDescent="0.25">
      <c r="A2768" s="66"/>
    </row>
    <row r="2769" spans="1:1" x14ac:dyDescent="0.25">
      <c r="A2769" s="66"/>
    </row>
    <row r="2770" spans="1:1" x14ac:dyDescent="0.25">
      <c r="A2770" s="66"/>
    </row>
    <row r="2771" spans="1:1" x14ac:dyDescent="0.25">
      <c r="A2771" s="66"/>
    </row>
    <row r="2772" spans="1:1" x14ac:dyDescent="0.25">
      <c r="A2772" s="66"/>
    </row>
    <row r="2773" spans="1:1" x14ac:dyDescent="0.25">
      <c r="A2773" s="66"/>
    </row>
    <row r="2774" spans="1:1" x14ac:dyDescent="0.25">
      <c r="A2774" s="66"/>
    </row>
    <row r="2775" spans="1:1" x14ac:dyDescent="0.25">
      <c r="A2775" s="66"/>
    </row>
    <row r="2776" spans="1:1" x14ac:dyDescent="0.25">
      <c r="A2776" s="66"/>
    </row>
    <row r="2777" spans="1:1" x14ac:dyDescent="0.25">
      <c r="A2777" s="66"/>
    </row>
    <row r="2778" spans="1:1" x14ac:dyDescent="0.25">
      <c r="A2778" s="66"/>
    </row>
    <row r="2779" spans="1:1" x14ac:dyDescent="0.25">
      <c r="A2779" s="66"/>
    </row>
    <row r="2780" spans="1:1" x14ac:dyDescent="0.25">
      <c r="A2780" s="66"/>
    </row>
    <row r="2781" spans="1:1" x14ac:dyDescent="0.25">
      <c r="A2781" s="66"/>
    </row>
    <row r="2782" spans="1:1" x14ac:dyDescent="0.25">
      <c r="A2782" s="66"/>
    </row>
    <row r="2783" spans="1:1" x14ac:dyDescent="0.25">
      <c r="A2783" s="66"/>
    </row>
    <row r="2784" spans="1:1" x14ac:dyDescent="0.25">
      <c r="A2784" s="66"/>
    </row>
    <row r="2785" spans="1:1" x14ac:dyDescent="0.25">
      <c r="A2785" s="66"/>
    </row>
    <row r="2786" spans="1:1" x14ac:dyDescent="0.25">
      <c r="A2786" s="66"/>
    </row>
    <row r="2787" spans="1:1" x14ac:dyDescent="0.25">
      <c r="A2787" s="66"/>
    </row>
    <row r="2788" spans="1:1" x14ac:dyDescent="0.25">
      <c r="A2788" s="66"/>
    </row>
    <row r="2789" spans="1:1" x14ac:dyDescent="0.25">
      <c r="A2789" s="66"/>
    </row>
    <row r="2790" spans="1:1" x14ac:dyDescent="0.25">
      <c r="A2790" s="66"/>
    </row>
    <row r="2791" spans="1:1" x14ac:dyDescent="0.25">
      <c r="A2791" s="66"/>
    </row>
    <row r="2792" spans="1:1" x14ac:dyDescent="0.25">
      <c r="A2792" s="66"/>
    </row>
    <row r="2793" spans="1:1" x14ac:dyDescent="0.25">
      <c r="A2793" s="66"/>
    </row>
    <row r="2794" spans="1:1" x14ac:dyDescent="0.25">
      <c r="A2794" s="66"/>
    </row>
    <row r="2795" spans="1:1" x14ac:dyDescent="0.25">
      <c r="A2795" s="66"/>
    </row>
    <row r="2796" spans="1:1" x14ac:dyDescent="0.25">
      <c r="A2796" s="66"/>
    </row>
    <row r="2797" spans="1:1" x14ac:dyDescent="0.25">
      <c r="A2797" s="66"/>
    </row>
    <row r="2798" spans="1:1" x14ac:dyDescent="0.25">
      <c r="A2798" s="66"/>
    </row>
    <row r="2799" spans="1:1" x14ac:dyDescent="0.25">
      <c r="A2799" s="66"/>
    </row>
    <row r="2800" spans="1:1" x14ac:dyDescent="0.25">
      <c r="A2800" s="66"/>
    </row>
    <row r="2801" spans="1:1" x14ac:dyDescent="0.25">
      <c r="A2801" s="66"/>
    </row>
    <row r="2802" spans="1:1" x14ac:dyDescent="0.25">
      <c r="A2802" s="66"/>
    </row>
    <row r="2803" spans="1:1" x14ac:dyDescent="0.25">
      <c r="A2803" s="66"/>
    </row>
    <row r="2804" spans="1:1" x14ac:dyDescent="0.25">
      <c r="A2804" s="66"/>
    </row>
    <row r="2805" spans="1:1" x14ac:dyDescent="0.25">
      <c r="A2805" s="66"/>
    </row>
    <row r="2806" spans="1:1" x14ac:dyDescent="0.25">
      <c r="A2806" s="66"/>
    </row>
    <row r="2807" spans="1:1" x14ac:dyDescent="0.25">
      <c r="A2807" s="66"/>
    </row>
    <row r="2808" spans="1:1" x14ac:dyDescent="0.25">
      <c r="A2808" s="66"/>
    </row>
    <row r="2809" spans="1:1" x14ac:dyDescent="0.25">
      <c r="A2809" s="66"/>
    </row>
    <row r="2810" spans="1:1" x14ac:dyDescent="0.25">
      <c r="A2810" s="66"/>
    </row>
    <row r="2811" spans="1:1" x14ac:dyDescent="0.25">
      <c r="A2811" s="66"/>
    </row>
    <row r="2812" spans="1:1" x14ac:dyDescent="0.25">
      <c r="A2812" s="66"/>
    </row>
    <row r="2813" spans="1:1" x14ac:dyDescent="0.25">
      <c r="A2813" s="66"/>
    </row>
    <row r="2814" spans="1:1" x14ac:dyDescent="0.25">
      <c r="A2814" s="66"/>
    </row>
    <row r="2815" spans="1:1" x14ac:dyDescent="0.25">
      <c r="A2815" s="66"/>
    </row>
    <row r="2816" spans="1:1" x14ac:dyDescent="0.25">
      <c r="A2816" s="66"/>
    </row>
    <row r="2817" spans="1:1" x14ac:dyDescent="0.25">
      <c r="A2817" s="66"/>
    </row>
    <row r="2818" spans="1:1" x14ac:dyDescent="0.25">
      <c r="A2818" s="66"/>
    </row>
    <row r="2819" spans="1:1" x14ac:dyDescent="0.25">
      <c r="A2819" s="66"/>
    </row>
    <row r="2820" spans="1:1" x14ac:dyDescent="0.25">
      <c r="A2820" s="66"/>
    </row>
    <row r="2821" spans="1:1" x14ac:dyDescent="0.25">
      <c r="A2821" s="66"/>
    </row>
    <row r="2822" spans="1:1" x14ac:dyDescent="0.25">
      <c r="A2822" s="66"/>
    </row>
    <row r="2823" spans="1:1" x14ac:dyDescent="0.25">
      <c r="A2823" s="66"/>
    </row>
    <row r="2824" spans="1:1" x14ac:dyDescent="0.25">
      <c r="A2824" s="66"/>
    </row>
    <row r="2825" spans="1:1" x14ac:dyDescent="0.25">
      <c r="A2825" s="66"/>
    </row>
    <row r="2826" spans="1:1" x14ac:dyDescent="0.25">
      <c r="A2826" s="66"/>
    </row>
    <row r="2827" spans="1:1" x14ac:dyDescent="0.25">
      <c r="A2827" s="66"/>
    </row>
    <row r="2828" spans="1:1" x14ac:dyDescent="0.25">
      <c r="A2828" s="66"/>
    </row>
    <row r="2829" spans="1:1" x14ac:dyDescent="0.25">
      <c r="A2829" s="66"/>
    </row>
    <row r="2830" spans="1:1" x14ac:dyDescent="0.25">
      <c r="A2830" s="66"/>
    </row>
    <row r="2831" spans="1:1" x14ac:dyDescent="0.25">
      <c r="A2831" s="66"/>
    </row>
    <row r="2832" spans="1:1" x14ac:dyDescent="0.25">
      <c r="A2832" s="66"/>
    </row>
    <row r="2833" spans="1:1" x14ac:dyDescent="0.25">
      <c r="A2833" s="66"/>
    </row>
    <row r="2834" spans="1:1" x14ac:dyDescent="0.25">
      <c r="A2834" s="66"/>
    </row>
    <row r="2835" spans="1:1" x14ac:dyDescent="0.25">
      <c r="A2835" s="66"/>
    </row>
    <row r="2836" spans="1:1" x14ac:dyDescent="0.25">
      <c r="A2836" s="66"/>
    </row>
    <row r="2837" spans="1:1" x14ac:dyDescent="0.25">
      <c r="A2837" s="66"/>
    </row>
    <row r="2838" spans="1:1" x14ac:dyDescent="0.25">
      <c r="A2838" s="66"/>
    </row>
    <row r="2839" spans="1:1" x14ac:dyDescent="0.25">
      <c r="A2839" s="66"/>
    </row>
    <row r="2840" spans="1:1" x14ac:dyDescent="0.25">
      <c r="A2840" s="66"/>
    </row>
    <row r="2841" spans="1:1" x14ac:dyDescent="0.25">
      <c r="A2841" s="66"/>
    </row>
    <row r="2842" spans="1:1" x14ac:dyDescent="0.25">
      <c r="A2842" s="66"/>
    </row>
    <row r="2843" spans="1:1" x14ac:dyDescent="0.25">
      <c r="A2843" s="66"/>
    </row>
    <row r="2844" spans="1:1" x14ac:dyDescent="0.25">
      <c r="A2844" s="66"/>
    </row>
    <row r="2845" spans="1:1" x14ac:dyDescent="0.25">
      <c r="A2845" s="66"/>
    </row>
    <row r="2846" spans="1:1" x14ac:dyDescent="0.25">
      <c r="A2846" s="66"/>
    </row>
    <row r="2847" spans="1:1" x14ac:dyDescent="0.25">
      <c r="A2847" s="66"/>
    </row>
    <row r="2848" spans="1:1" x14ac:dyDescent="0.25">
      <c r="A2848" s="66"/>
    </row>
    <row r="2849" spans="1:1" x14ac:dyDescent="0.25">
      <c r="A2849" s="66"/>
    </row>
    <row r="2850" spans="1:1" x14ac:dyDescent="0.25">
      <c r="A2850" s="66"/>
    </row>
    <row r="2851" spans="1:1" x14ac:dyDescent="0.25">
      <c r="A2851" s="66"/>
    </row>
    <row r="2852" spans="1:1" x14ac:dyDescent="0.25">
      <c r="A2852" s="66"/>
    </row>
    <row r="2853" spans="1:1" x14ac:dyDescent="0.25">
      <c r="A2853" s="66"/>
    </row>
    <row r="2854" spans="1:1" x14ac:dyDescent="0.25">
      <c r="A2854" s="66"/>
    </row>
    <row r="2855" spans="1:1" x14ac:dyDescent="0.25">
      <c r="A2855" s="66"/>
    </row>
    <row r="2856" spans="1:1" x14ac:dyDescent="0.25">
      <c r="A2856" s="66"/>
    </row>
    <row r="2857" spans="1:1" x14ac:dyDescent="0.25">
      <c r="A2857" s="66"/>
    </row>
    <row r="2858" spans="1:1" x14ac:dyDescent="0.25">
      <c r="A2858" s="66"/>
    </row>
    <row r="2859" spans="1:1" x14ac:dyDescent="0.25">
      <c r="A2859" s="66"/>
    </row>
    <row r="2860" spans="1:1" x14ac:dyDescent="0.25">
      <c r="A2860" s="66"/>
    </row>
    <row r="2861" spans="1:1" x14ac:dyDescent="0.25">
      <c r="A2861" s="66"/>
    </row>
    <row r="2862" spans="1:1" x14ac:dyDescent="0.25">
      <c r="A2862" s="66"/>
    </row>
    <row r="2863" spans="1:1" x14ac:dyDescent="0.25">
      <c r="A2863" s="66"/>
    </row>
    <row r="2864" spans="1:1" x14ac:dyDescent="0.25">
      <c r="A2864" s="66"/>
    </row>
    <row r="2865" spans="1:1" x14ac:dyDescent="0.25">
      <c r="A2865" s="66"/>
    </row>
    <row r="2866" spans="1:1" x14ac:dyDescent="0.25">
      <c r="A2866" s="66"/>
    </row>
    <row r="2867" spans="1:1" x14ac:dyDescent="0.25">
      <c r="A2867" s="66"/>
    </row>
    <row r="2868" spans="1:1" x14ac:dyDescent="0.25">
      <c r="A2868" s="66"/>
    </row>
    <row r="2869" spans="1:1" x14ac:dyDescent="0.25">
      <c r="A2869" s="66"/>
    </row>
    <row r="2870" spans="1:1" x14ac:dyDescent="0.25">
      <c r="A2870" s="66"/>
    </row>
    <row r="2871" spans="1:1" x14ac:dyDescent="0.25">
      <c r="A2871" s="66"/>
    </row>
    <row r="2872" spans="1:1" x14ac:dyDescent="0.25">
      <c r="A2872" s="66"/>
    </row>
    <row r="2873" spans="1:1" x14ac:dyDescent="0.25">
      <c r="A2873" s="66"/>
    </row>
    <row r="2874" spans="1:1" x14ac:dyDescent="0.25">
      <c r="A2874" s="66"/>
    </row>
    <row r="2875" spans="1:1" x14ac:dyDescent="0.25">
      <c r="A2875" s="66"/>
    </row>
    <row r="2876" spans="1:1" x14ac:dyDescent="0.25">
      <c r="A2876" s="66"/>
    </row>
    <row r="2877" spans="1:1" x14ac:dyDescent="0.25">
      <c r="A2877" s="66"/>
    </row>
    <row r="2878" spans="1:1" x14ac:dyDescent="0.25">
      <c r="A2878" s="66"/>
    </row>
    <row r="2879" spans="1:1" x14ac:dyDescent="0.25">
      <c r="A2879" s="66"/>
    </row>
    <row r="2880" spans="1:1" x14ac:dyDescent="0.25">
      <c r="A2880" s="66"/>
    </row>
    <row r="2881" spans="1:1" x14ac:dyDescent="0.25">
      <c r="A2881" s="66"/>
    </row>
    <row r="2882" spans="1:1" x14ac:dyDescent="0.25">
      <c r="A2882" s="66"/>
    </row>
    <row r="2883" spans="1:1" x14ac:dyDescent="0.25">
      <c r="A2883" s="66"/>
    </row>
    <row r="2884" spans="1:1" x14ac:dyDescent="0.25">
      <c r="A2884" s="66"/>
    </row>
    <row r="2885" spans="1:1" x14ac:dyDescent="0.25">
      <c r="A2885" s="66"/>
    </row>
    <row r="2886" spans="1:1" x14ac:dyDescent="0.25">
      <c r="A2886" s="66"/>
    </row>
    <row r="2887" spans="1:1" x14ac:dyDescent="0.25">
      <c r="A2887" s="66"/>
    </row>
    <row r="2888" spans="1:1" x14ac:dyDescent="0.25">
      <c r="A2888" s="66"/>
    </row>
    <row r="2889" spans="1:1" x14ac:dyDescent="0.25">
      <c r="A2889" s="66"/>
    </row>
    <row r="2890" spans="1:1" x14ac:dyDescent="0.25">
      <c r="A2890" s="66"/>
    </row>
    <row r="2891" spans="1:1" x14ac:dyDescent="0.25">
      <c r="A2891" s="66"/>
    </row>
    <row r="2892" spans="1:1" x14ac:dyDescent="0.25">
      <c r="A2892" s="66"/>
    </row>
    <row r="2893" spans="1:1" x14ac:dyDescent="0.25">
      <c r="A2893" s="66"/>
    </row>
    <row r="2894" spans="1:1" x14ac:dyDescent="0.25">
      <c r="A2894" s="66"/>
    </row>
    <row r="2895" spans="1:1" x14ac:dyDescent="0.25">
      <c r="A2895" s="66"/>
    </row>
    <row r="2896" spans="1:1" x14ac:dyDescent="0.25">
      <c r="A2896" s="66"/>
    </row>
    <row r="2897" spans="1:1" x14ac:dyDescent="0.25">
      <c r="A2897" s="66"/>
    </row>
    <row r="2898" spans="1:1" x14ac:dyDescent="0.25">
      <c r="A2898" s="66"/>
    </row>
    <row r="2899" spans="1:1" x14ac:dyDescent="0.25">
      <c r="A2899" s="66"/>
    </row>
    <row r="2900" spans="1:1" x14ac:dyDescent="0.25">
      <c r="A2900" s="66"/>
    </row>
    <row r="2901" spans="1:1" x14ac:dyDescent="0.25">
      <c r="A2901" s="66"/>
    </row>
    <row r="2902" spans="1:1" x14ac:dyDescent="0.25">
      <c r="A2902" s="66"/>
    </row>
    <row r="2903" spans="1:1" x14ac:dyDescent="0.25">
      <c r="A2903" s="66"/>
    </row>
    <row r="2904" spans="1:1" x14ac:dyDescent="0.25">
      <c r="A2904" s="66"/>
    </row>
    <row r="2905" spans="1:1" x14ac:dyDescent="0.25">
      <c r="A2905" s="66"/>
    </row>
    <row r="2906" spans="1:1" x14ac:dyDescent="0.25">
      <c r="A2906" s="66"/>
    </row>
    <row r="2907" spans="1:1" x14ac:dyDescent="0.25">
      <c r="A2907" s="66"/>
    </row>
    <row r="2908" spans="1:1" x14ac:dyDescent="0.25">
      <c r="A2908" s="66"/>
    </row>
    <row r="2909" spans="1:1" x14ac:dyDescent="0.25">
      <c r="A2909" s="66"/>
    </row>
    <row r="2910" spans="1:1" x14ac:dyDescent="0.25">
      <c r="A2910" s="66"/>
    </row>
    <row r="2911" spans="1:1" x14ac:dyDescent="0.25">
      <c r="A2911" s="66"/>
    </row>
    <row r="2912" spans="1:1" x14ac:dyDescent="0.25">
      <c r="A2912" s="66"/>
    </row>
    <row r="2913" spans="1:1" x14ac:dyDescent="0.25">
      <c r="A2913" s="66"/>
    </row>
    <row r="2914" spans="1:1" x14ac:dyDescent="0.25">
      <c r="A2914" s="66"/>
    </row>
    <row r="2915" spans="1:1" x14ac:dyDescent="0.25">
      <c r="A2915" s="66"/>
    </row>
    <row r="2916" spans="1:1" x14ac:dyDescent="0.25">
      <c r="A2916" s="66"/>
    </row>
    <row r="2917" spans="1:1" x14ac:dyDescent="0.25">
      <c r="A2917" s="66"/>
    </row>
    <row r="2918" spans="1:1" x14ac:dyDescent="0.25">
      <c r="A2918" s="66"/>
    </row>
    <row r="2919" spans="1:1" x14ac:dyDescent="0.25">
      <c r="A2919" s="66"/>
    </row>
    <row r="2920" spans="1:1" x14ac:dyDescent="0.25">
      <c r="A2920" s="66"/>
    </row>
    <row r="2921" spans="1:1" x14ac:dyDescent="0.25">
      <c r="A2921" s="66"/>
    </row>
    <row r="2922" spans="1:1" x14ac:dyDescent="0.25">
      <c r="A2922" s="66"/>
    </row>
    <row r="2923" spans="1:1" x14ac:dyDescent="0.25">
      <c r="A2923" s="66"/>
    </row>
    <row r="2924" spans="1:1" x14ac:dyDescent="0.25">
      <c r="A2924" s="66"/>
    </row>
    <row r="2925" spans="1:1" x14ac:dyDescent="0.25">
      <c r="A2925" s="66"/>
    </row>
    <row r="2926" spans="1:1" x14ac:dyDescent="0.25">
      <c r="A2926" s="66"/>
    </row>
    <row r="2927" spans="1:1" x14ac:dyDescent="0.25">
      <c r="A2927" s="66"/>
    </row>
    <row r="2928" spans="1:1" x14ac:dyDescent="0.25">
      <c r="A2928" s="66"/>
    </row>
    <row r="2929" spans="1:1" x14ac:dyDescent="0.25">
      <c r="A2929" s="66"/>
    </row>
    <row r="2930" spans="1:1" x14ac:dyDescent="0.25">
      <c r="A2930" s="66"/>
    </row>
    <row r="2931" spans="1:1" x14ac:dyDescent="0.25">
      <c r="A2931" s="66"/>
    </row>
    <row r="2932" spans="1:1" x14ac:dyDescent="0.25">
      <c r="A2932" s="66"/>
    </row>
    <row r="2933" spans="1:1" x14ac:dyDescent="0.25">
      <c r="A2933" s="66"/>
    </row>
    <row r="2934" spans="1:1" x14ac:dyDescent="0.25">
      <c r="A2934" s="66"/>
    </row>
    <row r="2935" spans="1:1" x14ac:dyDescent="0.25">
      <c r="A2935" s="66"/>
    </row>
    <row r="2936" spans="1:1" x14ac:dyDescent="0.25">
      <c r="A2936" s="66"/>
    </row>
    <row r="2937" spans="1:1" x14ac:dyDescent="0.25">
      <c r="A2937" s="66"/>
    </row>
    <row r="2938" spans="1:1" x14ac:dyDescent="0.25">
      <c r="A2938" s="66"/>
    </row>
    <row r="2939" spans="1:1" x14ac:dyDescent="0.25">
      <c r="A2939" s="66"/>
    </row>
    <row r="2940" spans="1:1" x14ac:dyDescent="0.25">
      <c r="A2940" s="66"/>
    </row>
    <row r="2941" spans="1:1" x14ac:dyDescent="0.25">
      <c r="A2941" s="66"/>
    </row>
    <row r="2942" spans="1:1" x14ac:dyDescent="0.25">
      <c r="A2942" s="66"/>
    </row>
    <row r="2943" spans="1:1" x14ac:dyDescent="0.25">
      <c r="A2943" s="66"/>
    </row>
    <row r="2944" spans="1:1" x14ac:dyDescent="0.25">
      <c r="A2944" s="66"/>
    </row>
    <row r="2945" spans="1:1" x14ac:dyDescent="0.25">
      <c r="A2945" s="66"/>
    </row>
    <row r="2946" spans="1:1" x14ac:dyDescent="0.25">
      <c r="A2946" s="66"/>
    </row>
    <row r="2947" spans="1:1" x14ac:dyDescent="0.25">
      <c r="A2947" s="66"/>
    </row>
    <row r="2948" spans="1:1" x14ac:dyDescent="0.25">
      <c r="A2948" s="66"/>
    </row>
    <row r="2949" spans="1:1" x14ac:dyDescent="0.25">
      <c r="A2949" s="66"/>
    </row>
    <row r="2950" spans="1:1" x14ac:dyDescent="0.25">
      <c r="A2950" s="66"/>
    </row>
    <row r="2951" spans="1:1" x14ac:dyDescent="0.25">
      <c r="A2951" s="66"/>
    </row>
    <row r="2952" spans="1:1" x14ac:dyDescent="0.25">
      <c r="A2952" s="66"/>
    </row>
    <row r="2953" spans="1:1" x14ac:dyDescent="0.25">
      <c r="A2953" s="66"/>
    </row>
    <row r="2954" spans="1:1" x14ac:dyDescent="0.25">
      <c r="A2954" s="66"/>
    </row>
    <row r="2955" spans="1:1" x14ac:dyDescent="0.25">
      <c r="A2955" s="66"/>
    </row>
    <row r="2956" spans="1:1" x14ac:dyDescent="0.25">
      <c r="A2956" s="66"/>
    </row>
    <row r="2957" spans="1:1" x14ac:dyDescent="0.25">
      <c r="A2957" s="66"/>
    </row>
    <row r="2958" spans="1:1" x14ac:dyDescent="0.25">
      <c r="A2958" s="66"/>
    </row>
    <row r="2959" spans="1:1" x14ac:dyDescent="0.25">
      <c r="A2959" s="66"/>
    </row>
    <row r="2960" spans="1:1" x14ac:dyDescent="0.25">
      <c r="A2960" s="66"/>
    </row>
    <row r="2961" spans="1:1" x14ac:dyDescent="0.25">
      <c r="A2961" s="66"/>
    </row>
    <row r="2962" spans="1:1" x14ac:dyDescent="0.25">
      <c r="A2962" s="66"/>
    </row>
    <row r="2963" spans="1:1" x14ac:dyDescent="0.25">
      <c r="A2963" s="66"/>
    </row>
    <row r="2964" spans="1:1" x14ac:dyDescent="0.25">
      <c r="A2964" s="66"/>
    </row>
    <row r="2965" spans="1:1" x14ac:dyDescent="0.25">
      <c r="A2965" s="66"/>
    </row>
    <row r="2966" spans="1:1" x14ac:dyDescent="0.25">
      <c r="A2966" s="66"/>
    </row>
    <row r="2967" spans="1:1" x14ac:dyDescent="0.25">
      <c r="A2967" s="66"/>
    </row>
    <row r="2968" spans="1:1" x14ac:dyDescent="0.25">
      <c r="A2968" s="66"/>
    </row>
    <row r="2969" spans="1:1" x14ac:dyDescent="0.25">
      <c r="A2969" s="66"/>
    </row>
    <row r="2970" spans="1:1" x14ac:dyDescent="0.25">
      <c r="A2970" s="66"/>
    </row>
    <row r="2971" spans="1:1" x14ac:dyDescent="0.25">
      <c r="A2971" s="66"/>
    </row>
    <row r="2972" spans="1:1" x14ac:dyDescent="0.25">
      <c r="A2972" s="66"/>
    </row>
    <row r="2973" spans="1:1" x14ac:dyDescent="0.25">
      <c r="A2973" s="66"/>
    </row>
    <row r="2974" spans="1:1" x14ac:dyDescent="0.25">
      <c r="A2974" s="66"/>
    </row>
    <row r="2975" spans="1:1" x14ac:dyDescent="0.25">
      <c r="A2975" s="66"/>
    </row>
    <row r="2976" spans="1:1" x14ac:dyDescent="0.25">
      <c r="A2976" s="66"/>
    </row>
    <row r="2977" spans="1:1" x14ac:dyDescent="0.25">
      <c r="A2977" s="66"/>
    </row>
    <row r="2978" spans="1:1" x14ac:dyDescent="0.25">
      <c r="A2978" s="66"/>
    </row>
    <row r="2979" spans="1:1" x14ac:dyDescent="0.25">
      <c r="A2979" s="66"/>
    </row>
    <row r="2980" spans="1:1" x14ac:dyDescent="0.25">
      <c r="A2980" s="66"/>
    </row>
    <row r="2981" spans="1:1" x14ac:dyDescent="0.25">
      <c r="A2981" s="66"/>
    </row>
    <row r="2982" spans="1:1" x14ac:dyDescent="0.25">
      <c r="A2982" s="66"/>
    </row>
    <row r="2983" spans="1:1" x14ac:dyDescent="0.25">
      <c r="A2983" s="66"/>
    </row>
    <row r="2984" spans="1:1" x14ac:dyDescent="0.25">
      <c r="A2984" s="66"/>
    </row>
    <row r="2985" spans="1:1" x14ac:dyDescent="0.25">
      <c r="A2985" s="66"/>
    </row>
    <row r="2986" spans="1:1" x14ac:dyDescent="0.25">
      <c r="A2986" s="66"/>
    </row>
    <row r="2987" spans="1:1" x14ac:dyDescent="0.25">
      <c r="A2987" s="66"/>
    </row>
    <row r="2988" spans="1:1" x14ac:dyDescent="0.25">
      <c r="A2988" s="66"/>
    </row>
    <row r="2989" spans="1:1" x14ac:dyDescent="0.25">
      <c r="A2989" s="66"/>
    </row>
    <row r="2990" spans="1:1" x14ac:dyDescent="0.25">
      <c r="A2990" s="66"/>
    </row>
    <row r="2991" spans="1:1" x14ac:dyDescent="0.25">
      <c r="A2991" s="66"/>
    </row>
    <row r="2992" spans="1:1" x14ac:dyDescent="0.25">
      <c r="A2992" s="66"/>
    </row>
    <row r="2993" spans="1:1" x14ac:dyDescent="0.25">
      <c r="A2993" s="66"/>
    </row>
    <row r="2994" spans="1:1" x14ac:dyDescent="0.25">
      <c r="A2994" s="66"/>
    </row>
    <row r="2995" spans="1:1" x14ac:dyDescent="0.25">
      <c r="A2995" s="66"/>
    </row>
    <row r="2996" spans="1:1" x14ac:dyDescent="0.25">
      <c r="A2996" s="66"/>
    </row>
    <row r="2997" spans="1:1" x14ac:dyDescent="0.25">
      <c r="A2997" s="66"/>
    </row>
    <row r="2998" spans="1:1" x14ac:dyDescent="0.25">
      <c r="A2998" s="66"/>
    </row>
    <row r="2999" spans="1:1" x14ac:dyDescent="0.25">
      <c r="A2999" s="66"/>
    </row>
    <row r="3000" spans="1:1" x14ac:dyDescent="0.25">
      <c r="A3000" s="66"/>
    </row>
    <row r="3001" spans="1:1" x14ac:dyDescent="0.25">
      <c r="A3001" s="66"/>
    </row>
    <row r="3002" spans="1:1" x14ac:dyDescent="0.25">
      <c r="A3002" s="66"/>
    </row>
    <row r="3003" spans="1:1" x14ac:dyDescent="0.25">
      <c r="A3003" s="66"/>
    </row>
    <row r="3004" spans="1:1" x14ac:dyDescent="0.25">
      <c r="A3004" s="66"/>
    </row>
    <row r="3005" spans="1:1" x14ac:dyDescent="0.25">
      <c r="A3005" s="66"/>
    </row>
    <row r="3006" spans="1:1" x14ac:dyDescent="0.25">
      <c r="A3006" s="66"/>
    </row>
    <row r="3007" spans="1:1" x14ac:dyDescent="0.25">
      <c r="A3007" s="66"/>
    </row>
    <row r="3008" spans="1:1" x14ac:dyDescent="0.25">
      <c r="A3008" s="66"/>
    </row>
    <row r="3009" spans="1:1" x14ac:dyDescent="0.25">
      <c r="A3009" s="66"/>
    </row>
    <row r="3010" spans="1:1" x14ac:dyDescent="0.25">
      <c r="A3010" s="66"/>
    </row>
    <row r="3011" spans="1:1" x14ac:dyDescent="0.25">
      <c r="A3011" s="66"/>
    </row>
    <row r="3012" spans="1:1" x14ac:dyDescent="0.25">
      <c r="A3012" s="66"/>
    </row>
    <row r="3013" spans="1:1" x14ac:dyDescent="0.25">
      <c r="A3013" s="66"/>
    </row>
    <row r="3014" spans="1:1" x14ac:dyDescent="0.25">
      <c r="A3014" s="66"/>
    </row>
    <row r="3015" spans="1:1" x14ac:dyDescent="0.25">
      <c r="A3015" s="66"/>
    </row>
    <row r="3016" spans="1:1" x14ac:dyDescent="0.25">
      <c r="A3016" s="66"/>
    </row>
    <row r="3017" spans="1:1" x14ac:dyDescent="0.25">
      <c r="A3017" s="66"/>
    </row>
    <row r="3018" spans="1:1" x14ac:dyDescent="0.25">
      <c r="A3018" s="66"/>
    </row>
    <row r="3019" spans="1:1" x14ac:dyDescent="0.25">
      <c r="A3019" s="66"/>
    </row>
    <row r="3020" spans="1:1" x14ac:dyDescent="0.25">
      <c r="A3020" s="66"/>
    </row>
    <row r="3021" spans="1:1" x14ac:dyDescent="0.25">
      <c r="A3021" s="66"/>
    </row>
    <row r="3022" spans="1:1" x14ac:dyDescent="0.25">
      <c r="A3022" s="66"/>
    </row>
    <row r="3023" spans="1:1" x14ac:dyDescent="0.25">
      <c r="A3023" s="66"/>
    </row>
    <row r="3024" spans="1:1" x14ac:dyDescent="0.25">
      <c r="A3024" s="66"/>
    </row>
    <row r="3025" spans="1:1" x14ac:dyDescent="0.25">
      <c r="A3025" s="66"/>
    </row>
    <row r="3026" spans="1:1" x14ac:dyDescent="0.25">
      <c r="A3026" s="66"/>
    </row>
    <row r="3027" spans="1:1" x14ac:dyDescent="0.25">
      <c r="A3027" s="66"/>
    </row>
    <row r="3028" spans="1:1" x14ac:dyDescent="0.25">
      <c r="A3028" s="66"/>
    </row>
    <row r="3029" spans="1:1" x14ac:dyDescent="0.25">
      <c r="A3029" s="66"/>
    </row>
    <row r="3030" spans="1:1" x14ac:dyDescent="0.25">
      <c r="A3030" s="66"/>
    </row>
    <row r="3031" spans="1:1" x14ac:dyDescent="0.25">
      <c r="A3031" s="66"/>
    </row>
    <row r="3032" spans="1:1" x14ac:dyDescent="0.25">
      <c r="A3032" s="66"/>
    </row>
    <row r="3033" spans="1:1" x14ac:dyDescent="0.25">
      <c r="A3033" s="66"/>
    </row>
    <row r="3034" spans="1:1" x14ac:dyDescent="0.25">
      <c r="A3034" s="66"/>
    </row>
    <row r="3035" spans="1:1" x14ac:dyDescent="0.25">
      <c r="A3035" s="66"/>
    </row>
    <row r="3036" spans="1:1" x14ac:dyDescent="0.25">
      <c r="A3036" s="66"/>
    </row>
    <row r="3037" spans="1:1" x14ac:dyDescent="0.25">
      <c r="A3037" s="66"/>
    </row>
    <row r="3038" spans="1:1" x14ac:dyDescent="0.25">
      <c r="A3038" s="66"/>
    </row>
    <row r="3039" spans="1:1" x14ac:dyDescent="0.25">
      <c r="A3039" s="66"/>
    </row>
    <row r="3040" spans="1:1" x14ac:dyDescent="0.25">
      <c r="A3040" s="66"/>
    </row>
    <row r="3041" spans="1:1" x14ac:dyDescent="0.25">
      <c r="A3041" s="66"/>
    </row>
    <row r="3042" spans="1:1" x14ac:dyDescent="0.25">
      <c r="A3042" s="66"/>
    </row>
    <row r="3043" spans="1:1" x14ac:dyDescent="0.25">
      <c r="A3043" s="66"/>
    </row>
    <row r="3044" spans="1:1" x14ac:dyDescent="0.25">
      <c r="A3044" s="66"/>
    </row>
    <row r="3045" spans="1:1" x14ac:dyDescent="0.25">
      <c r="A3045" s="66"/>
    </row>
    <row r="3046" spans="1:1" x14ac:dyDescent="0.25">
      <c r="A3046" s="66"/>
    </row>
    <row r="3047" spans="1:1" x14ac:dyDescent="0.25">
      <c r="A3047" s="66"/>
    </row>
    <row r="3048" spans="1:1" x14ac:dyDescent="0.25">
      <c r="A3048" s="66"/>
    </row>
    <row r="3049" spans="1:1" x14ac:dyDescent="0.25">
      <c r="A3049" s="66"/>
    </row>
    <row r="3050" spans="1:1" x14ac:dyDescent="0.25">
      <c r="A3050" s="66"/>
    </row>
    <row r="3051" spans="1:1" x14ac:dyDescent="0.25">
      <c r="A3051" s="66"/>
    </row>
    <row r="3052" spans="1:1" x14ac:dyDescent="0.25">
      <c r="A3052" s="66"/>
    </row>
    <row r="3053" spans="1:1" x14ac:dyDescent="0.25">
      <c r="A3053" s="66"/>
    </row>
    <row r="3054" spans="1:1" x14ac:dyDescent="0.25">
      <c r="A3054" s="66"/>
    </row>
    <row r="3055" spans="1:1" x14ac:dyDescent="0.25">
      <c r="A3055" s="66"/>
    </row>
    <row r="3056" spans="1:1" x14ac:dyDescent="0.25">
      <c r="A3056" s="66"/>
    </row>
    <row r="3057" spans="1:1" x14ac:dyDescent="0.25">
      <c r="A3057" s="66"/>
    </row>
    <row r="3058" spans="1:1" x14ac:dyDescent="0.25">
      <c r="A3058" s="66"/>
    </row>
    <row r="3059" spans="1:1" x14ac:dyDescent="0.25">
      <c r="A3059" s="66"/>
    </row>
    <row r="3060" spans="1:1" x14ac:dyDescent="0.25">
      <c r="A3060" s="66"/>
    </row>
    <row r="3061" spans="1:1" x14ac:dyDescent="0.25">
      <c r="A3061" s="66"/>
    </row>
    <row r="3062" spans="1:1" x14ac:dyDescent="0.25">
      <c r="A3062" s="66"/>
    </row>
    <row r="3063" spans="1:1" x14ac:dyDescent="0.25">
      <c r="A3063" s="66"/>
    </row>
    <row r="3064" spans="1:1" x14ac:dyDescent="0.25">
      <c r="A3064" s="66"/>
    </row>
    <row r="3065" spans="1:1" x14ac:dyDescent="0.25">
      <c r="A3065" s="66"/>
    </row>
    <row r="3066" spans="1:1" x14ac:dyDescent="0.25">
      <c r="A3066" s="66"/>
    </row>
    <row r="3067" spans="1:1" x14ac:dyDescent="0.25">
      <c r="A3067" s="66"/>
    </row>
    <row r="3068" spans="1:1" x14ac:dyDescent="0.25">
      <c r="A3068" s="66"/>
    </row>
    <row r="3069" spans="1:1" x14ac:dyDescent="0.25">
      <c r="A3069" s="66"/>
    </row>
    <row r="3070" spans="1:1" x14ac:dyDescent="0.25">
      <c r="A3070" s="66"/>
    </row>
    <row r="3071" spans="1:1" x14ac:dyDescent="0.25">
      <c r="A3071" s="66"/>
    </row>
    <row r="3072" spans="1:1" x14ac:dyDescent="0.25">
      <c r="A3072" s="66"/>
    </row>
    <row r="3073" spans="1:1" x14ac:dyDescent="0.25">
      <c r="A3073" s="66"/>
    </row>
    <row r="3074" spans="1:1" x14ac:dyDescent="0.25">
      <c r="A3074" s="66"/>
    </row>
    <row r="3075" spans="1:1" x14ac:dyDescent="0.25">
      <c r="A3075" s="66"/>
    </row>
    <row r="3076" spans="1:1" x14ac:dyDescent="0.25">
      <c r="A3076" s="66"/>
    </row>
    <row r="3077" spans="1:1" x14ac:dyDescent="0.25">
      <c r="A3077" s="66"/>
    </row>
    <row r="3078" spans="1:1" x14ac:dyDescent="0.25">
      <c r="A3078" s="66"/>
    </row>
    <row r="3079" spans="1:1" x14ac:dyDescent="0.25">
      <c r="A3079" s="66"/>
    </row>
    <row r="3080" spans="1:1" x14ac:dyDescent="0.25">
      <c r="A3080" s="66"/>
    </row>
    <row r="3081" spans="1:1" x14ac:dyDescent="0.25">
      <c r="A3081" s="66"/>
    </row>
    <row r="3082" spans="1:1" x14ac:dyDescent="0.25">
      <c r="A3082" s="66"/>
    </row>
    <row r="3083" spans="1:1" x14ac:dyDescent="0.25">
      <c r="A3083" s="66"/>
    </row>
    <row r="3084" spans="1:1" x14ac:dyDescent="0.25">
      <c r="A3084" s="66"/>
    </row>
    <row r="3085" spans="1:1" x14ac:dyDescent="0.25">
      <c r="A3085" s="66"/>
    </row>
    <row r="3086" spans="1:1" x14ac:dyDescent="0.25">
      <c r="A3086" s="66"/>
    </row>
    <row r="3087" spans="1:1" x14ac:dyDescent="0.25">
      <c r="A3087" s="66"/>
    </row>
    <row r="3088" spans="1:1" x14ac:dyDescent="0.25">
      <c r="A3088" s="66"/>
    </row>
    <row r="3089" spans="1:1" x14ac:dyDescent="0.25">
      <c r="A3089" s="66"/>
    </row>
    <row r="3090" spans="1:1" x14ac:dyDescent="0.25">
      <c r="A3090" s="66"/>
    </row>
    <row r="3091" spans="1:1" x14ac:dyDescent="0.25">
      <c r="A3091" s="66"/>
    </row>
    <row r="3092" spans="1:1" x14ac:dyDescent="0.25">
      <c r="A3092" s="66"/>
    </row>
    <row r="3093" spans="1:1" x14ac:dyDescent="0.25">
      <c r="A3093" s="66"/>
    </row>
    <row r="3094" spans="1:1" x14ac:dyDescent="0.25">
      <c r="A3094" s="66"/>
    </row>
    <row r="3095" spans="1:1" x14ac:dyDescent="0.25">
      <c r="A3095" s="66"/>
    </row>
    <row r="3096" spans="1:1" x14ac:dyDescent="0.25">
      <c r="A3096" s="66"/>
    </row>
    <row r="3097" spans="1:1" x14ac:dyDescent="0.25">
      <c r="A3097" s="66"/>
    </row>
    <row r="3098" spans="1:1" x14ac:dyDescent="0.25">
      <c r="A3098" s="66"/>
    </row>
    <row r="3099" spans="1:1" x14ac:dyDescent="0.25">
      <c r="A3099" s="66"/>
    </row>
    <row r="3100" spans="1:1" x14ac:dyDescent="0.25">
      <c r="A3100" s="66"/>
    </row>
    <row r="3101" spans="1:1" x14ac:dyDescent="0.25">
      <c r="A3101" s="66"/>
    </row>
    <row r="3102" spans="1:1" x14ac:dyDescent="0.25">
      <c r="A3102" s="66"/>
    </row>
    <row r="3103" spans="1:1" x14ac:dyDescent="0.25">
      <c r="A3103" s="66"/>
    </row>
    <row r="3104" spans="1:1" x14ac:dyDescent="0.25">
      <c r="A3104" s="66"/>
    </row>
    <row r="3105" spans="1:1" x14ac:dyDescent="0.25">
      <c r="A3105" s="66"/>
    </row>
    <row r="3106" spans="1:1" x14ac:dyDescent="0.25">
      <c r="A3106" s="66"/>
    </row>
    <row r="3107" spans="1:1" x14ac:dyDescent="0.25">
      <c r="A3107" s="66"/>
    </row>
    <row r="3108" spans="1:1" x14ac:dyDescent="0.25">
      <c r="A3108" s="66"/>
    </row>
    <row r="3109" spans="1:1" x14ac:dyDescent="0.25">
      <c r="A3109" s="66"/>
    </row>
    <row r="3110" spans="1:1" x14ac:dyDescent="0.25">
      <c r="A3110" s="66"/>
    </row>
    <row r="3111" spans="1:1" x14ac:dyDescent="0.25">
      <c r="A3111" s="66"/>
    </row>
    <row r="3112" spans="1:1" x14ac:dyDescent="0.25">
      <c r="A3112" s="66"/>
    </row>
    <row r="3113" spans="1:1" x14ac:dyDescent="0.25">
      <c r="A3113" s="66"/>
    </row>
    <row r="3114" spans="1:1" x14ac:dyDescent="0.25">
      <c r="A3114" s="66"/>
    </row>
    <row r="3115" spans="1:1" x14ac:dyDescent="0.25">
      <c r="A3115" s="66"/>
    </row>
    <row r="3116" spans="1:1" x14ac:dyDescent="0.25">
      <c r="A3116" s="66"/>
    </row>
    <row r="3117" spans="1:1" x14ac:dyDescent="0.25">
      <c r="A3117" s="66"/>
    </row>
    <row r="3118" spans="1:1" x14ac:dyDescent="0.25">
      <c r="A3118" s="66"/>
    </row>
    <row r="3119" spans="1:1" x14ac:dyDescent="0.25">
      <c r="A3119" s="66"/>
    </row>
    <row r="3120" spans="1:1" x14ac:dyDescent="0.25">
      <c r="A3120" s="66"/>
    </row>
    <row r="3121" spans="1:1" x14ac:dyDescent="0.25">
      <c r="A3121" s="66"/>
    </row>
    <row r="3122" spans="1:1" x14ac:dyDescent="0.25">
      <c r="A3122" s="66"/>
    </row>
    <row r="3123" spans="1:1" x14ac:dyDescent="0.25">
      <c r="A3123" s="66"/>
    </row>
    <row r="3124" spans="1:1" x14ac:dyDescent="0.25">
      <c r="A3124" s="66"/>
    </row>
    <row r="3125" spans="1:1" x14ac:dyDescent="0.25">
      <c r="A3125" s="66"/>
    </row>
    <row r="3126" spans="1:1" x14ac:dyDescent="0.25">
      <c r="A3126" s="66"/>
    </row>
    <row r="3127" spans="1:1" x14ac:dyDescent="0.25">
      <c r="A3127" s="66"/>
    </row>
    <row r="3128" spans="1:1" x14ac:dyDescent="0.25">
      <c r="A3128" s="66"/>
    </row>
    <row r="3129" spans="1:1" x14ac:dyDescent="0.25">
      <c r="A3129" s="66"/>
    </row>
    <row r="3130" spans="1:1" x14ac:dyDescent="0.25">
      <c r="A3130" s="66"/>
    </row>
    <row r="3131" spans="1:1" x14ac:dyDescent="0.25">
      <c r="A3131" s="66"/>
    </row>
    <row r="3132" spans="1:1" x14ac:dyDescent="0.25">
      <c r="A3132" s="66"/>
    </row>
    <row r="3133" spans="1:1" x14ac:dyDescent="0.25">
      <c r="A3133" s="66"/>
    </row>
    <row r="3134" spans="1:1" x14ac:dyDescent="0.25">
      <c r="A3134" s="66"/>
    </row>
    <row r="3135" spans="1:1" x14ac:dyDescent="0.25">
      <c r="A3135" s="66"/>
    </row>
    <row r="3136" spans="1:1" x14ac:dyDescent="0.25">
      <c r="A3136" s="66"/>
    </row>
    <row r="3137" spans="1:1" x14ac:dyDescent="0.25">
      <c r="A3137" s="66"/>
    </row>
    <row r="3138" spans="1:1" x14ac:dyDescent="0.25">
      <c r="A3138" s="66"/>
    </row>
    <row r="3139" spans="1:1" x14ac:dyDescent="0.25">
      <c r="A3139" s="66"/>
    </row>
    <row r="3140" spans="1:1" x14ac:dyDescent="0.25">
      <c r="A3140" s="66"/>
    </row>
    <row r="3141" spans="1:1" x14ac:dyDescent="0.25">
      <c r="A3141" s="66"/>
    </row>
    <row r="3142" spans="1:1" x14ac:dyDescent="0.25">
      <c r="A3142" s="66"/>
    </row>
    <row r="3143" spans="1:1" x14ac:dyDescent="0.25">
      <c r="A3143" s="66"/>
    </row>
    <row r="3144" spans="1:1" x14ac:dyDescent="0.25">
      <c r="A3144" s="66"/>
    </row>
    <row r="3145" spans="1:1" x14ac:dyDescent="0.25">
      <c r="A3145" s="66"/>
    </row>
    <row r="3146" spans="1:1" x14ac:dyDescent="0.25">
      <c r="A3146" s="66"/>
    </row>
    <row r="3147" spans="1:1" x14ac:dyDescent="0.25">
      <c r="A3147" s="66"/>
    </row>
    <row r="3148" spans="1:1" x14ac:dyDescent="0.25">
      <c r="A3148" s="66"/>
    </row>
    <row r="3149" spans="1:1" x14ac:dyDescent="0.25">
      <c r="A3149" s="66"/>
    </row>
    <row r="3150" spans="1:1" x14ac:dyDescent="0.25">
      <c r="A3150" s="66"/>
    </row>
    <row r="3151" spans="1:1" x14ac:dyDescent="0.25">
      <c r="A3151" s="66"/>
    </row>
    <row r="3152" spans="1:1" x14ac:dyDescent="0.25">
      <c r="A3152" s="66"/>
    </row>
    <row r="3153" spans="1:1" x14ac:dyDescent="0.25">
      <c r="A3153" s="66"/>
    </row>
    <row r="3154" spans="1:1" x14ac:dyDescent="0.25">
      <c r="A3154" s="66"/>
    </row>
    <row r="3155" spans="1:1" x14ac:dyDescent="0.25">
      <c r="A3155" s="66"/>
    </row>
    <row r="3156" spans="1:1" x14ac:dyDescent="0.25">
      <c r="A3156" s="66"/>
    </row>
    <row r="3157" spans="1:1" x14ac:dyDescent="0.25">
      <c r="A3157" s="66"/>
    </row>
    <row r="3158" spans="1:1" x14ac:dyDescent="0.25">
      <c r="A3158" s="66"/>
    </row>
    <row r="3159" spans="1:1" x14ac:dyDescent="0.25">
      <c r="A3159" s="66"/>
    </row>
    <row r="3160" spans="1:1" x14ac:dyDescent="0.25">
      <c r="A3160" s="66"/>
    </row>
    <row r="3161" spans="1:1" x14ac:dyDescent="0.25">
      <c r="A3161" s="66"/>
    </row>
    <row r="3162" spans="1:1" x14ac:dyDescent="0.25">
      <c r="A3162" s="66"/>
    </row>
    <row r="3163" spans="1:1" x14ac:dyDescent="0.25">
      <c r="A3163" s="66"/>
    </row>
    <row r="3164" spans="1:1" x14ac:dyDescent="0.25">
      <c r="A3164" s="66"/>
    </row>
    <row r="3165" spans="1:1" x14ac:dyDescent="0.25">
      <c r="A3165" s="66"/>
    </row>
    <row r="3166" spans="1:1" x14ac:dyDescent="0.25">
      <c r="A3166" s="66"/>
    </row>
    <row r="3167" spans="1:1" x14ac:dyDescent="0.25">
      <c r="A3167" s="66"/>
    </row>
    <row r="3168" spans="1:1" x14ac:dyDescent="0.25">
      <c r="A3168" s="66"/>
    </row>
    <row r="3169" spans="1:1" x14ac:dyDescent="0.25">
      <c r="A3169" s="66"/>
    </row>
    <row r="3170" spans="1:1" x14ac:dyDescent="0.25">
      <c r="A3170" s="66"/>
    </row>
    <row r="3171" spans="1:1" x14ac:dyDescent="0.25">
      <c r="A3171" s="66"/>
    </row>
    <row r="3172" spans="1:1" x14ac:dyDescent="0.25">
      <c r="A3172" s="66"/>
    </row>
    <row r="3173" spans="1:1" x14ac:dyDescent="0.25">
      <c r="A3173" s="66"/>
    </row>
    <row r="3174" spans="1:1" x14ac:dyDescent="0.25">
      <c r="A3174" s="66"/>
    </row>
    <row r="3175" spans="1:1" x14ac:dyDescent="0.25">
      <c r="A3175" s="66"/>
    </row>
    <row r="3176" spans="1:1" x14ac:dyDescent="0.25">
      <c r="A3176" s="66"/>
    </row>
    <row r="3177" spans="1:1" x14ac:dyDescent="0.25">
      <c r="A3177" s="66"/>
    </row>
    <row r="3178" spans="1:1" x14ac:dyDescent="0.25">
      <c r="A3178" s="66"/>
    </row>
    <row r="3179" spans="1:1" x14ac:dyDescent="0.25">
      <c r="A3179" s="66"/>
    </row>
    <row r="3180" spans="1:1" x14ac:dyDescent="0.25">
      <c r="A3180" s="66"/>
    </row>
    <row r="3181" spans="1:1" x14ac:dyDescent="0.25">
      <c r="A3181" s="66"/>
    </row>
    <row r="3182" spans="1:1" x14ac:dyDescent="0.25">
      <c r="A3182" s="66"/>
    </row>
    <row r="3183" spans="1:1" x14ac:dyDescent="0.25">
      <c r="A3183" s="66"/>
    </row>
    <row r="3184" spans="1:1" x14ac:dyDescent="0.25">
      <c r="A3184" s="66"/>
    </row>
    <row r="3185" spans="1:1" x14ac:dyDescent="0.25">
      <c r="A3185" s="66"/>
    </row>
    <row r="3186" spans="1:1" x14ac:dyDescent="0.25">
      <c r="A3186" s="66"/>
    </row>
    <row r="3187" spans="1:1" x14ac:dyDescent="0.25">
      <c r="A3187" s="66"/>
    </row>
    <row r="3188" spans="1:1" x14ac:dyDescent="0.25">
      <c r="A3188" s="66"/>
    </row>
    <row r="3189" spans="1:1" x14ac:dyDescent="0.25">
      <c r="A3189" s="66"/>
    </row>
    <row r="3190" spans="1:1" x14ac:dyDescent="0.25">
      <c r="A3190" s="66"/>
    </row>
    <row r="3191" spans="1:1" x14ac:dyDescent="0.25">
      <c r="A3191" s="66"/>
    </row>
    <row r="3192" spans="1:1" x14ac:dyDescent="0.25">
      <c r="A3192" s="66"/>
    </row>
    <row r="3193" spans="1:1" x14ac:dyDescent="0.25">
      <c r="A3193" s="66"/>
    </row>
    <row r="3194" spans="1:1" x14ac:dyDescent="0.25">
      <c r="A3194" s="66"/>
    </row>
    <row r="3195" spans="1:1" x14ac:dyDescent="0.25">
      <c r="A3195" s="66"/>
    </row>
    <row r="3196" spans="1:1" x14ac:dyDescent="0.25">
      <c r="A3196" s="66"/>
    </row>
    <row r="3197" spans="1:1" x14ac:dyDescent="0.25">
      <c r="A3197" s="66"/>
    </row>
    <row r="3198" spans="1:1" x14ac:dyDescent="0.25">
      <c r="A3198" s="66"/>
    </row>
    <row r="3199" spans="1:1" x14ac:dyDescent="0.25">
      <c r="A3199" s="66"/>
    </row>
    <row r="3200" spans="1:1" x14ac:dyDescent="0.25">
      <c r="A3200" s="66"/>
    </row>
    <row r="3201" spans="1:1" x14ac:dyDescent="0.25">
      <c r="A3201" s="66"/>
    </row>
    <row r="3202" spans="1:1" x14ac:dyDescent="0.25">
      <c r="A3202" s="66"/>
    </row>
    <row r="3203" spans="1:1" x14ac:dyDescent="0.25">
      <c r="A3203" s="66"/>
    </row>
    <row r="3204" spans="1:1" x14ac:dyDescent="0.25">
      <c r="A3204" s="66"/>
    </row>
    <row r="3205" spans="1:1" x14ac:dyDescent="0.25">
      <c r="A3205" s="66"/>
    </row>
    <row r="3206" spans="1:1" x14ac:dyDescent="0.25">
      <c r="A3206" s="66"/>
    </row>
    <row r="3207" spans="1:1" x14ac:dyDescent="0.25">
      <c r="A3207" s="66"/>
    </row>
    <row r="3208" spans="1:1" x14ac:dyDescent="0.25">
      <c r="A3208" s="66"/>
    </row>
    <row r="3209" spans="1:1" x14ac:dyDescent="0.25">
      <c r="A3209" s="66"/>
    </row>
    <row r="3210" spans="1:1" x14ac:dyDescent="0.25">
      <c r="A3210" s="66"/>
    </row>
    <row r="3211" spans="1:1" x14ac:dyDescent="0.25">
      <c r="A3211" s="66"/>
    </row>
    <row r="3212" spans="1:1" x14ac:dyDescent="0.25">
      <c r="A3212" s="66"/>
    </row>
    <row r="3213" spans="1:1" x14ac:dyDescent="0.25">
      <c r="A3213" s="66"/>
    </row>
    <row r="3214" spans="1:1" x14ac:dyDescent="0.25">
      <c r="A3214" s="66"/>
    </row>
    <row r="3215" spans="1:1" x14ac:dyDescent="0.25">
      <c r="A3215" s="66"/>
    </row>
    <row r="3216" spans="1:1" x14ac:dyDescent="0.25">
      <c r="A3216" s="66"/>
    </row>
    <row r="3217" spans="1:1" x14ac:dyDescent="0.25">
      <c r="A3217" s="66"/>
    </row>
    <row r="3218" spans="1:1" x14ac:dyDescent="0.25">
      <c r="A3218" s="66"/>
    </row>
    <row r="3219" spans="1:1" x14ac:dyDescent="0.25">
      <c r="A3219" s="66"/>
    </row>
    <row r="3220" spans="1:1" x14ac:dyDescent="0.25">
      <c r="A3220" s="66"/>
    </row>
    <row r="3221" spans="1:1" x14ac:dyDescent="0.25">
      <c r="A3221" s="66"/>
    </row>
    <row r="3222" spans="1:1" x14ac:dyDescent="0.25">
      <c r="A3222" s="66"/>
    </row>
    <row r="3223" spans="1:1" x14ac:dyDescent="0.25">
      <c r="A3223" s="66"/>
    </row>
    <row r="3224" spans="1:1" x14ac:dyDescent="0.25">
      <c r="A3224" s="66"/>
    </row>
    <row r="3225" spans="1:1" x14ac:dyDescent="0.25">
      <c r="A3225" s="66"/>
    </row>
    <row r="3226" spans="1:1" x14ac:dyDescent="0.25">
      <c r="A3226" s="66"/>
    </row>
    <row r="3227" spans="1:1" x14ac:dyDescent="0.25">
      <c r="A3227" s="66"/>
    </row>
    <row r="3228" spans="1:1" x14ac:dyDescent="0.25">
      <c r="A3228" s="66"/>
    </row>
    <row r="3229" spans="1:1" x14ac:dyDescent="0.25">
      <c r="A3229" s="66"/>
    </row>
    <row r="3230" spans="1:1" x14ac:dyDescent="0.25">
      <c r="A3230" s="66"/>
    </row>
    <row r="3231" spans="1:1" x14ac:dyDescent="0.25">
      <c r="A3231" s="66"/>
    </row>
    <row r="3232" spans="1:1" x14ac:dyDescent="0.25">
      <c r="A3232" s="66"/>
    </row>
    <row r="3233" spans="1:1" x14ac:dyDescent="0.25">
      <c r="A3233" s="66"/>
    </row>
    <row r="3234" spans="1:1" x14ac:dyDescent="0.25">
      <c r="A3234" s="66"/>
    </row>
    <row r="3235" spans="1:1" x14ac:dyDescent="0.25">
      <c r="A3235" s="66"/>
    </row>
    <row r="3236" spans="1:1" x14ac:dyDescent="0.25">
      <c r="A3236" s="66"/>
    </row>
    <row r="3237" spans="1:1" x14ac:dyDescent="0.25">
      <c r="A3237" s="66"/>
    </row>
    <row r="3238" spans="1:1" x14ac:dyDescent="0.25">
      <c r="A3238" s="66"/>
    </row>
    <row r="3239" spans="1:1" x14ac:dyDescent="0.25">
      <c r="A3239" s="66"/>
    </row>
    <row r="3240" spans="1:1" x14ac:dyDescent="0.25">
      <c r="A3240" s="66"/>
    </row>
    <row r="3241" spans="1:1" x14ac:dyDescent="0.25">
      <c r="A3241" s="66"/>
    </row>
    <row r="3242" spans="1:1" x14ac:dyDescent="0.25">
      <c r="A3242" s="66"/>
    </row>
    <row r="3243" spans="1:1" x14ac:dyDescent="0.25">
      <c r="A3243" s="66"/>
    </row>
    <row r="3244" spans="1:1" x14ac:dyDescent="0.25">
      <c r="A3244" s="66"/>
    </row>
    <row r="3245" spans="1:1" x14ac:dyDescent="0.25">
      <c r="A3245" s="66"/>
    </row>
    <row r="3246" spans="1:1" x14ac:dyDescent="0.25">
      <c r="A3246" s="66"/>
    </row>
    <row r="3247" spans="1:1" x14ac:dyDescent="0.25">
      <c r="A3247" s="66"/>
    </row>
    <row r="3248" spans="1:1" x14ac:dyDescent="0.25">
      <c r="A3248" s="66"/>
    </row>
    <row r="3249" spans="1:1" x14ac:dyDescent="0.25">
      <c r="A3249" s="66"/>
    </row>
    <row r="3250" spans="1:1" x14ac:dyDescent="0.25">
      <c r="A3250" s="66"/>
    </row>
    <row r="3251" spans="1:1" x14ac:dyDescent="0.25">
      <c r="A3251" s="66"/>
    </row>
    <row r="3252" spans="1:1" x14ac:dyDescent="0.25">
      <c r="A3252" s="66"/>
    </row>
    <row r="3253" spans="1:1" x14ac:dyDescent="0.25">
      <c r="A3253" s="66"/>
    </row>
    <row r="3254" spans="1:1" x14ac:dyDescent="0.25">
      <c r="A3254" s="66"/>
    </row>
    <row r="3255" spans="1:1" x14ac:dyDescent="0.25">
      <c r="A3255" s="66"/>
    </row>
    <row r="3256" spans="1:1" x14ac:dyDescent="0.25">
      <c r="A3256" s="66"/>
    </row>
    <row r="3257" spans="1:1" x14ac:dyDescent="0.25">
      <c r="A3257" s="66"/>
    </row>
    <row r="3258" spans="1:1" x14ac:dyDescent="0.25">
      <c r="A3258" s="66"/>
    </row>
    <row r="3259" spans="1:1" x14ac:dyDescent="0.25">
      <c r="A3259" s="66"/>
    </row>
    <row r="3260" spans="1:1" x14ac:dyDescent="0.25">
      <c r="A3260" s="66"/>
    </row>
    <row r="3261" spans="1:1" x14ac:dyDescent="0.25">
      <c r="A3261" s="66"/>
    </row>
    <row r="3262" spans="1:1" x14ac:dyDescent="0.25">
      <c r="A3262" s="66"/>
    </row>
    <row r="3263" spans="1:1" x14ac:dyDescent="0.25">
      <c r="A3263" s="66"/>
    </row>
    <row r="3264" spans="1:1" x14ac:dyDescent="0.25">
      <c r="A3264" s="66"/>
    </row>
    <row r="3265" spans="1:1" x14ac:dyDescent="0.25">
      <c r="A3265" s="66"/>
    </row>
    <row r="3266" spans="1:1" x14ac:dyDescent="0.25">
      <c r="A3266" s="66"/>
    </row>
    <row r="3267" spans="1:1" x14ac:dyDescent="0.25">
      <c r="A3267" s="66"/>
    </row>
    <row r="3268" spans="1:1" x14ac:dyDescent="0.25">
      <c r="A3268" s="66"/>
    </row>
    <row r="3269" spans="1:1" x14ac:dyDescent="0.25">
      <c r="A3269" s="66"/>
    </row>
    <row r="3270" spans="1:1" x14ac:dyDescent="0.25">
      <c r="A3270" s="66"/>
    </row>
    <row r="3271" spans="1:1" x14ac:dyDescent="0.25">
      <c r="A3271" s="66"/>
    </row>
    <row r="3272" spans="1:1" x14ac:dyDescent="0.25">
      <c r="A3272" s="66"/>
    </row>
    <row r="3273" spans="1:1" x14ac:dyDescent="0.25">
      <c r="A3273" s="66"/>
    </row>
    <row r="3274" spans="1:1" x14ac:dyDescent="0.25">
      <c r="A3274" s="66"/>
    </row>
    <row r="3275" spans="1:1" x14ac:dyDescent="0.25">
      <c r="A3275" s="66"/>
    </row>
    <row r="3276" spans="1:1" x14ac:dyDescent="0.25">
      <c r="A3276" s="66"/>
    </row>
    <row r="3277" spans="1:1" x14ac:dyDescent="0.25">
      <c r="A3277" s="66"/>
    </row>
    <row r="3278" spans="1:1" x14ac:dyDescent="0.25">
      <c r="A3278" s="66"/>
    </row>
    <row r="3279" spans="1:1" x14ac:dyDescent="0.25">
      <c r="A3279" s="66"/>
    </row>
    <row r="3280" spans="1:1" x14ac:dyDescent="0.25">
      <c r="A3280" s="66"/>
    </row>
    <row r="3281" spans="1:1" x14ac:dyDescent="0.25">
      <c r="A3281" s="66"/>
    </row>
    <row r="3282" spans="1:1" x14ac:dyDescent="0.25">
      <c r="A3282" s="66"/>
    </row>
    <row r="3283" spans="1:1" x14ac:dyDescent="0.25">
      <c r="A3283" s="66"/>
    </row>
    <row r="3284" spans="1:1" x14ac:dyDescent="0.25">
      <c r="A3284" s="66"/>
    </row>
    <row r="3285" spans="1:1" x14ac:dyDescent="0.25">
      <c r="A3285" s="66"/>
    </row>
    <row r="3286" spans="1:1" x14ac:dyDescent="0.25">
      <c r="A3286" s="66"/>
    </row>
    <row r="3287" spans="1:1" x14ac:dyDescent="0.25">
      <c r="A3287" s="66"/>
    </row>
    <row r="3288" spans="1:1" x14ac:dyDescent="0.25">
      <c r="A3288" s="66"/>
    </row>
    <row r="3289" spans="1:1" x14ac:dyDescent="0.25">
      <c r="A3289" s="66"/>
    </row>
    <row r="3290" spans="1:1" x14ac:dyDescent="0.25">
      <c r="A3290" s="66"/>
    </row>
    <row r="3291" spans="1:1" x14ac:dyDescent="0.25">
      <c r="A3291" s="66"/>
    </row>
    <row r="3292" spans="1:1" x14ac:dyDescent="0.25">
      <c r="A3292" s="66"/>
    </row>
    <row r="3293" spans="1:1" x14ac:dyDescent="0.25">
      <c r="A3293" s="66"/>
    </row>
    <row r="3294" spans="1:1" x14ac:dyDescent="0.25">
      <c r="A3294" s="66"/>
    </row>
    <row r="3295" spans="1:1" x14ac:dyDescent="0.25">
      <c r="A3295" s="66"/>
    </row>
    <row r="3296" spans="1:1" x14ac:dyDescent="0.25">
      <c r="A3296" s="66"/>
    </row>
    <row r="3297" spans="1:1" x14ac:dyDescent="0.25">
      <c r="A3297" s="66"/>
    </row>
    <row r="3298" spans="1:1" x14ac:dyDescent="0.25">
      <c r="A3298" s="66"/>
    </row>
    <row r="3299" spans="1:1" x14ac:dyDescent="0.25">
      <c r="A3299" s="66"/>
    </row>
    <row r="3300" spans="1:1" x14ac:dyDescent="0.25">
      <c r="A3300" s="66"/>
    </row>
    <row r="3301" spans="1:1" x14ac:dyDescent="0.25">
      <c r="A3301" s="66"/>
    </row>
    <row r="3302" spans="1:1" x14ac:dyDescent="0.25">
      <c r="A3302" s="66"/>
    </row>
    <row r="3303" spans="1:1" x14ac:dyDescent="0.25">
      <c r="A3303" s="66"/>
    </row>
    <row r="3304" spans="1:1" x14ac:dyDescent="0.25">
      <c r="A3304" s="66"/>
    </row>
    <row r="3305" spans="1:1" x14ac:dyDescent="0.25">
      <c r="A3305" s="66"/>
    </row>
    <row r="3306" spans="1:1" x14ac:dyDescent="0.25">
      <c r="A3306" s="66"/>
    </row>
    <row r="3307" spans="1:1" x14ac:dyDescent="0.25">
      <c r="A3307" s="66"/>
    </row>
    <row r="3308" spans="1:1" x14ac:dyDescent="0.25">
      <c r="A3308" s="66"/>
    </row>
    <row r="3309" spans="1:1" x14ac:dyDescent="0.25">
      <c r="A3309" s="66"/>
    </row>
    <row r="3310" spans="1:1" x14ac:dyDescent="0.25">
      <c r="A3310" s="66"/>
    </row>
    <row r="3311" spans="1:1" x14ac:dyDescent="0.25">
      <c r="A3311" s="66"/>
    </row>
    <row r="3312" spans="1:1" x14ac:dyDescent="0.25">
      <c r="A3312" s="66"/>
    </row>
    <row r="3313" spans="1:1" x14ac:dyDescent="0.25">
      <c r="A3313" s="66"/>
    </row>
    <row r="3314" spans="1:1" x14ac:dyDescent="0.25">
      <c r="A3314" s="66"/>
    </row>
    <row r="3315" spans="1:1" x14ac:dyDescent="0.25">
      <c r="A3315" s="66"/>
    </row>
    <row r="3316" spans="1:1" x14ac:dyDescent="0.25">
      <c r="A3316" s="66"/>
    </row>
    <row r="3317" spans="1:1" x14ac:dyDescent="0.25">
      <c r="A3317" s="66"/>
    </row>
    <row r="3318" spans="1:1" x14ac:dyDescent="0.25">
      <c r="A3318" s="66"/>
    </row>
    <row r="3319" spans="1:1" x14ac:dyDescent="0.25">
      <c r="A3319" s="66"/>
    </row>
    <row r="3320" spans="1:1" x14ac:dyDescent="0.25">
      <c r="A3320" s="66"/>
    </row>
    <row r="3321" spans="1:1" x14ac:dyDescent="0.25">
      <c r="A3321" s="66"/>
    </row>
    <row r="3322" spans="1:1" x14ac:dyDescent="0.25">
      <c r="A3322" s="66"/>
    </row>
    <row r="3323" spans="1:1" x14ac:dyDescent="0.25">
      <c r="A3323" s="66"/>
    </row>
    <row r="3324" spans="1:1" x14ac:dyDescent="0.25">
      <c r="A3324" s="66"/>
    </row>
    <row r="3325" spans="1:1" x14ac:dyDescent="0.25">
      <c r="A3325" s="66"/>
    </row>
    <row r="3326" spans="1:1" x14ac:dyDescent="0.25">
      <c r="A3326" s="66"/>
    </row>
    <row r="3327" spans="1:1" x14ac:dyDescent="0.25">
      <c r="A3327" s="66"/>
    </row>
    <row r="3328" spans="1:1" x14ac:dyDescent="0.25">
      <c r="A3328" s="66"/>
    </row>
    <row r="3329" spans="1:1" x14ac:dyDescent="0.25">
      <c r="A3329" s="66"/>
    </row>
    <row r="3330" spans="1:1" x14ac:dyDescent="0.25">
      <c r="A3330" s="66"/>
    </row>
    <row r="3331" spans="1:1" x14ac:dyDescent="0.25">
      <c r="A3331" s="66"/>
    </row>
    <row r="3332" spans="1:1" x14ac:dyDescent="0.25">
      <c r="A3332" s="66"/>
    </row>
    <row r="3333" spans="1:1" x14ac:dyDescent="0.25">
      <c r="A3333" s="66"/>
    </row>
    <row r="3334" spans="1:1" x14ac:dyDescent="0.25">
      <c r="A3334" s="66"/>
    </row>
    <row r="3335" spans="1:1" x14ac:dyDescent="0.25">
      <c r="A3335" s="66"/>
    </row>
    <row r="3336" spans="1:1" x14ac:dyDescent="0.25">
      <c r="A3336" s="66"/>
    </row>
    <row r="3337" spans="1:1" x14ac:dyDescent="0.25">
      <c r="A3337" s="66"/>
    </row>
    <row r="3338" spans="1:1" x14ac:dyDescent="0.25">
      <c r="A3338" s="66"/>
    </row>
    <row r="3339" spans="1:1" x14ac:dyDescent="0.25">
      <c r="A3339" s="66"/>
    </row>
    <row r="3340" spans="1:1" x14ac:dyDescent="0.25">
      <c r="A3340" s="66"/>
    </row>
    <row r="3341" spans="1:1" x14ac:dyDescent="0.25">
      <c r="A3341" s="66"/>
    </row>
    <row r="3342" spans="1:1" x14ac:dyDescent="0.25">
      <c r="A3342" s="66"/>
    </row>
    <row r="3343" spans="1:1" x14ac:dyDescent="0.25">
      <c r="A3343" s="66"/>
    </row>
    <row r="3344" spans="1:1" x14ac:dyDescent="0.25">
      <c r="A3344" s="66"/>
    </row>
    <row r="3345" spans="1:1" x14ac:dyDescent="0.25">
      <c r="A3345" s="66"/>
    </row>
    <row r="3346" spans="1:1" x14ac:dyDescent="0.25">
      <c r="A3346" s="66"/>
    </row>
    <row r="3347" spans="1:1" x14ac:dyDescent="0.25">
      <c r="A3347" s="66"/>
    </row>
    <row r="3348" spans="1:1" x14ac:dyDescent="0.25">
      <c r="A3348" s="66"/>
    </row>
    <row r="3349" spans="1:1" x14ac:dyDescent="0.25">
      <c r="A3349" s="66"/>
    </row>
    <row r="3350" spans="1:1" x14ac:dyDescent="0.25">
      <c r="A3350" s="66"/>
    </row>
    <row r="3351" spans="1:1" x14ac:dyDescent="0.25">
      <c r="A3351" s="66"/>
    </row>
    <row r="3352" spans="1:1" x14ac:dyDescent="0.25">
      <c r="A3352" s="66"/>
    </row>
    <row r="3353" spans="1:1" x14ac:dyDescent="0.25">
      <c r="A3353" s="66"/>
    </row>
    <row r="3354" spans="1:1" x14ac:dyDescent="0.25">
      <c r="A3354" s="66"/>
    </row>
    <row r="3355" spans="1:1" x14ac:dyDescent="0.25">
      <c r="A3355" s="66"/>
    </row>
    <row r="3356" spans="1:1" x14ac:dyDescent="0.25">
      <c r="A3356" s="66"/>
    </row>
    <row r="3357" spans="1:1" x14ac:dyDescent="0.25">
      <c r="A3357" s="66"/>
    </row>
    <row r="3358" spans="1:1" x14ac:dyDescent="0.25">
      <c r="A3358" s="66"/>
    </row>
    <row r="3359" spans="1:1" x14ac:dyDescent="0.25">
      <c r="A3359" s="66"/>
    </row>
    <row r="3360" spans="1:1" x14ac:dyDescent="0.25">
      <c r="A3360" s="66"/>
    </row>
    <row r="3361" spans="1:1" x14ac:dyDescent="0.25">
      <c r="A3361" s="66"/>
    </row>
    <row r="3362" spans="1:1" x14ac:dyDescent="0.25">
      <c r="A3362" s="66"/>
    </row>
    <row r="3363" spans="1:1" x14ac:dyDescent="0.25">
      <c r="A3363" s="66"/>
    </row>
    <row r="3364" spans="1:1" x14ac:dyDescent="0.25">
      <c r="A3364" s="66"/>
    </row>
    <row r="3365" spans="1:1" x14ac:dyDescent="0.25">
      <c r="A3365" s="66"/>
    </row>
    <row r="3366" spans="1:1" x14ac:dyDescent="0.25">
      <c r="A3366" s="66"/>
    </row>
    <row r="3367" spans="1:1" x14ac:dyDescent="0.25">
      <c r="A3367" s="66"/>
    </row>
    <row r="3368" spans="1:1" x14ac:dyDescent="0.25">
      <c r="A3368" s="66"/>
    </row>
    <row r="3369" spans="1:1" x14ac:dyDescent="0.25">
      <c r="A3369" s="66"/>
    </row>
    <row r="3370" spans="1:1" x14ac:dyDescent="0.25">
      <c r="A3370" s="66"/>
    </row>
    <row r="3371" spans="1:1" x14ac:dyDescent="0.25">
      <c r="A3371" s="66"/>
    </row>
    <row r="3372" spans="1:1" x14ac:dyDescent="0.25">
      <c r="A3372" s="66"/>
    </row>
    <row r="3373" spans="1:1" x14ac:dyDescent="0.25">
      <c r="A3373" s="66"/>
    </row>
    <row r="3374" spans="1:1" x14ac:dyDescent="0.25">
      <c r="A3374" s="66"/>
    </row>
    <row r="3375" spans="1:1" x14ac:dyDescent="0.25">
      <c r="A3375" s="66"/>
    </row>
    <row r="3376" spans="1:1" x14ac:dyDescent="0.25">
      <c r="A3376" s="66"/>
    </row>
    <row r="3377" spans="1:1" x14ac:dyDescent="0.25">
      <c r="A3377" s="66"/>
    </row>
    <row r="3378" spans="1:1" x14ac:dyDescent="0.25">
      <c r="A3378" s="66"/>
    </row>
    <row r="3379" spans="1:1" x14ac:dyDescent="0.25">
      <c r="A3379" s="66"/>
    </row>
    <row r="3380" spans="1:1" x14ac:dyDescent="0.25">
      <c r="A3380" s="66"/>
    </row>
    <row r="3381" spans="1:1" x14ac:dyDescent="0.25">
      <c r="A3381" s="66"/>
    </row>
    <row r="3382" spans="1:1" x14ac:dyDescent="0.25">
      <c r="A3382" s="66"/>
    </row>
    <row r="3383" spans="1:1" x14ac:dyDescent="0.25">
      <c r="A3383" s="66"/>
    </row>
    <row r="3384" spans="1:1" x14ac:dyDescent="0.25">
      <c r="A3384" s="66"/>
    </row>
    <row r="3385" spans="1:1" x14ac:dyDescent="0.25">
      <c r="A3385" s="66"/>
    </row>
    <row r="3386" spans="1:1" x14ac:dyDescent="0.25">
      <c r="A3386" s="66"/>
    </row>
    <row r="3387" spans="1:1" x14ac:dyDescent="0.25">
      <c r="A3387" s="66"/>
    </row>
    <row r="3388" spans="1:1" x14ac:dyDescent="0.25">
      <c r="A3388" s="66"/>
    </row>
    <row r="3389" spans="1:1" x14ac:dyDescent="0.25">
      <c r="A3389" s="66"/>
    </row>
    <row r="3390" spans="1:1" x14ac:dyDescent="0.25">
      <c r="A3390" s="66"/>
    </row>
    <row r="3391" spans="1:1" x14ac:dyDescent="0.25">
      <c r="A3391" s="66"/>
    </row>
    <row r="3392" spans="1:1" x14ac:dyDescent="0.25">
      <c r="A3392" s="66"/>
    </row>
    <row r="3393" spans="1:1" x14ac:dyDescent="0.25">
      <c r="A3393" s="66"/>
    </row>
    <row r="3394" spans="1:1" x14ac:dyDescent="0.25">
      <c r="A3394" s="66"/>
    </row>
    <row r="3395" spans="1:1" x14ac:dyDescent="0.25">
      <c r="A3395" s="66"/>
    </row>
    <row r="3396" spans="1:1" x14ac:dyDescent="0.25">
      <c r="A3396" s="66"/>
    </row>
    <row r="3397" spans="1:1" x14ac:dyDescent="0.25">
      <c r="A3397" s="66"/>
    </row>
    <row r="3398" spans="1:1" x14ac:dyDescent="0.25">
      <c r="A3398" s="66"/>
    </row>
    <row r="3399" spans="1:1" x14ac:dyDescent="0.25">
      <c r="A3399" s="66"/>
    </row>
    <row r="3400" spans="1:1" x14ac:dyDescent="0.25">
      <c r="A3400" s="66"/>
    </row>
    <row r="3401" spans="1:1" x14ac:dyDescent="0.25">
      <c r="A3401" s="66"/>
    </row>
    <row r="3402" spans="1:1" x14ac:dyDescent="0.25">
      <c r="A3402" s="66"/>
    </row>
    <row r="3403" spans="1:1" x14ac:dyDescent="0.25">
      <c r="A3403" s="66"/>
    </row>
    <row r="3404" spans="1:1" x14ac:dyDescent="0.25">
      <c r="A3404" s="66"/>
    </row>
    <row r="3405" spans="1:1" x14ac:dyDescent="0.25">
      <c r="A3405" s="66"/>
    </row>
    <row r="3406" spans="1:1" x14ac:dyDescent="0.25">
      <c r="A3406" s="66"/>
    </row>
    <row r="3407" spans="1:1" x14ac:dyDescent="0.25">
      <c r="A3407" s="66"/>
    </row>
    <row r="3408" spans="1:1" x14ac:dyDescent="0.25">
      <c r="A3408" s="66"/>
    </row>
    <row r="3409" spans="1:1" x14ac:dyDescent="0.25">
      <c r="A3409" s="66"/>
    </row>
    <row r="3410" spans="1:1" x14ac:dyDescent="0.25">
      <c r="A3410" s="66"/>
    </row>
    <row r="3411" spans="1:1" x14ac:dyDescent="0.25">
      <c r="A3411" s="66"/>
    </row>
    <row r="3412" spans="1:1" x14ac:dyDescent="0.25">
      <c r="A3412" s="66"/>
    </row>
    <row r="3413" spans="1:1" x14ac:dyDescent="0.25">
      <c r="A3413" s="66"/>
    </row>
    <row r="3414" spans="1:1" x14ac:dyDescent="0.25">
      <c r="A3414" s="66"/>
    </row>
    <row r="3415" spans="1:1" x14ac:dyDescent="0.25">
      <c r="A3415" s="66"/>
    </row>
    <row r="3416" spans="1:1" x14ac:dyDescent="0.25">
      <c r="A3416" s="66"/>
    </row>
    <row r="3417" spans="1:1" x14ac:dyDescent="0.25">
      <c r="A3417" s="66"/>
    </row>
    <row r="3418" spans="1:1" x14ac:dyDescent="0.25">
      <c r="A3418" s="66"/>
    </row>
    <row r="3419" spans="1:1" x14ac:dyDescent="0.25">
      <c r="A3419" s="66"/>
    </row>
    <row r="3420" spans="1:1" x14ac:dyDescent="0.25">
      <c r="A3420" s="66"/>
    </row>
    <row r="3421" spans="1:1" x14ac:dyDescent="0.25">
      <c r="A3421" s="66"/>
    </row>
    <row r="3422" spans="1:1" x14ac:dyDescent="0.25">
      <c r="A3422" s="66"/>
    </row>
    <row r="3423" spans="1:1" x14ac:dyDescent="0.25">
      <c r="A3423" s="66"/>
    </row>
    <row r="3424" spans="1:1" x14ac:dyDescent="0.25">
      <c r="A3424" s="66"/>
    </row>
    <row r="3425" spans="1:1" x14ac:dyDescent="0.25">
      <c r="A3425" s="66"/>
    </row>
    <row r="3426" spans="1:1" x14ac:dyDescent="0.25">
      <c r="A3426" s="66"/>
    </row>
    <row r="3427" spans="1:1" x14ac:dyDescent="0.25">
      <c r="A3427" s="66"/>
    </row>
    <row r="3428" spans="1:1" x14ac:dyDescent="0.25">
      <c r="A3428" s="66"/>
    </row>
    <row r="3429" spans="1:1" x14ac:dyDescent="0.25">
      <c r="A3429" s="66"/>
    </row>
    <row r="3430" spans="1:1" x14ac:dyDescent="0.25">
      <c r="A3430" s="66"/>
    </row>
    <row r="3431" spans="1:1" x14ac:dyDescent="0.25">
      <c r="A3431" s="66"/>
    </row>
    <row r="3432" spans="1:1" x14ac:dyDescent="0.25">
      <c r="A3432" s="66"/>
    </row>
    <row r="3433" spans="1:1" x14ac:dyDescent="0.25">
      <c r="A3433" s="66"/>
    </row>
    <row r="3434" spans="1:1" x14ac:dyDescent="0.25">
      <c r="A3434" s="66"/>
    </row>
    <row r="3435" spans="1:1" x14ac:dyDescent="0.25">
      <c r="A3435" s="66"/>
    </row>
    <row r="3436" spans="1:1" x14ac:dyDescent="0.25">
      <c r="A3436" s="66"/>
    </row>
    <row r="3437" spans="1:1" x14ac:dyDescent="0.25">
      <c r="A3437" s="66"/>
    </row>
    <row r="3438" spans="1:1" x14ac:dyDescent="0.25">
      <c r="A3438" s="66"/>
    </row>
    <row r="3439" spans="1:1" x14ac:dyDescent="0.25">
      <c r="A3439" s="66"/>
    </row>
    <row r="3440" spans="1:1" x14ac:dyDescent="0.25">
      <c r="A3440" s="66"/>
    </row>
    <row r="3441" spans="1:1" x14ac:dyDescent="0.25">
      <c r="A3441" s="66"/>
    </row>
    <row r="3442" spans="1:1" x14ac:dyDescent="0.25">
      <c r="A3442" s="66"/>
    </row>
    <row r="3443" spans="1:1" x14ac:dyDescent="0.25">
      <c r="A3443" s="66"/>
    </row>
    <row r="3444" spans="1:1" x14ac:dyDescent="0.25">
      <c r="A3444" s="66"/>
    </row>
    <row r="3445" spans="1:1" x14ac:dyDescent="0.25">
      <c r="A3445" s="66"/>
    </row>
    <row r="3446" spans="1:1" x14ac:dyDescent="0.25">
      <c r="A3446" s="66"/>
    </row>
    <row r="3447" spans="1:1" x14ac:dyDescent="0.25">
      <c r="A3447" s="66"/>
    </row>
    <row r="3448" spans="1:1" x14ac:dyDescent="0.25">
      <c r="A3448" s="66"/>
    </row>
    <row r="3449" spans="1:1" x14ac:dyDescent="0.25">
      <c r="A3449" s="66"/>
    </row>
    <row r="3450" spans="1:1" x14ac:dyDescent="0.25">
      <c r="A3450" s="66"/>
    </row>
    <row r="3451" spans="1:1" x14ac:dyDescent="0.25">
      <c r="A3451" s="66"/>
    </row>
    <row r="3452" spans="1:1" x14ac:dyDescent="0.25">
      <c r="A3452" s="66"/>
    </row>
    <row r="3453" spans="1:1" x14ac:dyDescent="0.25">
      <c r="A3453" s="66"/>
    </row>
    <row r="3454" spans="1:1" x14ac:dyDescent="0.25">
      <c r="A3454" s="66"/>
    </row>
    <row r="3455" spans="1:1" x14ac:dyDescent="0.25">
      <c r="A3455" s="66"/>
    </row>
    <row r="3456" spans="1:1" x14ac:dyDescent="0.25">
      <c r="A3456" s="66"/>
    </row>
    <row r="3457" spans="1:1" x14ac:dyDescent="0.25">
      <c r="A3457" s="66"/>
    </row>
    <row r="3458" spans="1:1" x14ac:dyDescent="0.25">
      <c r="A3458" s="66"/>
    </row>
    <row r="3459" spans="1:1" x14ac:dyDescent="0.25">
      <c r="A3459" s="66"/>
    </row>
    <row r="3460" spans="1:1" x14ac:dyDescent="0.25">
      <c r="A3460" s="66"/>
    </row>
    <row r="3461" spans="1:1" x14ac:dyDescent="0.25">
      <c r="A3461" s="66"/>
    </row>
    <row r="3462" spans="1:1" x14ac:dyDescent="0.25">
      <c r="A3462" s="66"/>
    </row>
    <row r="3463" spans="1:1" x14ac:dyDescent="0.25">
      <c r="A3463" s="66"/>
    </row>
    <row r="3464" spans="1:1" x14ac:dyDescent="0.25">
      <c r="A3464" s="66"/>
    </row>
    <row r="3465" spans="1:1" x14ac:dyDescent="0.25">
      <c r="A3465" s="66"/>
    </row>
    <row r="3466" spans="1:1" x14ac:dyDescent="0.25">
      <c r="A3466" s="66"/>
    </row>
    <row r="3467" spans="1:1" x14ac:dyDescent="0.25">
      <c r="A3467" s="66"/>
    </row>
    <row r="3468" spans="1:1" x14ac:dyDescent="0.25">
      <c r="A3468" s="66"/>
    </row>
    <row r="3469" spans="1:1" x14ac:dyDescent="0.25">
      <c r="A3469" s="66"/>
    </row>
    <row r="3470" spans="1:1" x14ac:dyDescent="0.25">
      <c r="A3470" s="66"/>
    </row>
    <row r="3471" spans="1:1" x14ac:dyDescent="0.25">
      <c r="A3471" s="66"/>
    </row>
    <row r="3472" spans="1:1" x14ac:dyDescent="0.25">
      <c r="A3472" s="66"/>
    </row>
    <row r="3473" spans="1:1" x14ac:dyDescent="0.25">
      <c r="A3473" s="66"/>
    </row>
    <row r="3474" spans="1:1" x14ac:dyDescent="0.25">
      <c r="A3474" s="66"/>
    </row>
    <row r="3475" spans="1:1" x14ac:dyDescent="0.25">
      <c r="A3475" s="66"/>
    </row>
    <row r="3476" spans="1:1" x14ac:dyDescent="0.25">
      <c r="A3476" s="66"/>
    </row>
    <row r="3477" spans="1:1" x14ac:dyDescent="0.25">
      <c r="A3477" s="66"/>
    </row>
    <row r="3478" spans="1:1" x14ac:dyDescent="0.25">
      <c r="A3478" s="66"/>
    </row>
    <row r="3479" spans="1:1" x14ac:dyDescent="0.25">
      <c r="A3479" s="66"/>
    </row>
    <row r="3480" spans="1:1" x14ac:dyDescent="0.25">
      <c r="A3480" s="66"/>
    </row>
    <row r="3481" spans="1:1" x14ac:dyDescent="0.25">
      <c r="A3481" s="66"/>
    </row>
    <row r="3482" spans="1:1" x14ac:dyDescent="0.25">
      <c r="A3482" s="66"/>
    </row>
    <row r="3483" spans="1:1" x14ac:dyDescent="0.25">
      <c r="A3483" s="66"/>
    </row>
    <row r="3484" spans="1:1" x14ac:dyDescent="0.25">
      <c r="A3484" s="66"/>
    </row>
    <row r="3485" spans="1:1" x14ac:dyDescent="0.25">
      <c r="A3485" s="66"/>
    </row>
    <row r="3486" spans="1:1" x14ac:dyDescent="0.25">
      <c r="A3486" s="66"/>
    </row>
    <row r="3487" spans="1:1" x14ac:dyDescent="0.25">
      <c r="A3487" s="66"/>
    </row>
    <row r="3488" spans="1:1" x14ac:dyDescent="0.25">
      <c r="A3488" s="66"/>
    </row>
    <row r="3489" spans="1:1" x14ac:dyDescent="0.25">
      <c r="A3489" s="66"/>
    </row>
    <row r="3490" spans="1:1" x14ac:dyDescent="0.25">
      <c r="A3490" s="66"/>
    </row>
    <row r="3491" spans="1:1" x14ac:dyDescent="0.25">
      <c r="A3491" s="66"/>
    </row>
    <row r="3492" spans="1:1" x14ac:dyDescent="0.25">
      <c r="A3492" s="66"/>
    </row>
    <row r="3493" spans="1:1" x14ac:dyDescent="0.25">
      <c r="A3493" s="66"/>
    </row>
    <row r="3494" spans="1:1" x14ac:dyDescent="0.25">
      <c r="A3494" s="66"/>
    </row>
    <row r="3495" spans="1:1" x14ac:dyDescent="0.25">
      <c r="A3495" s="66"/>
    </row>
    <row r="3496" spans="1:1" x14ac:dyDescent="0.25">
      <c r="A3496" s="66"/>
    </row>
    <row r="3497" spans="1:1" x14ac:dyDescent="0.25">
      <c r="A3497" s="66"/>
    </row>
    <row r="3498" spans="1:1" x14ac:dyDescent="0.25">
      <c r="A3498" s="66"/>
    </row>
    <row r="3499" spans="1:1" x14ac:dyDescent="0.25">
      <c r="A3499" s="66"/>
    </row>
    <row r="3500" spans="1:1" x14ac:dyDescent="0.25">
      <c r="A3500" s="66"/>
    </row>
    <row r="3501" spans="1:1" x14ac:dyDescent="0.25">
      <c r="A3501" s="66"/>
    </row>
    <row r="3502" spans="1:1" x14ac:dyDescent="0.25">
      <c r="A3502" s="66"/>
    </row>
    <row r="3503" spans="1:1" x14ac:dyDescent="0.25">
      <c r="A3503" s="66"/>
    </row>
    <row r="3504" spans="1:1" x14ac:dyDescent="0.25">
      <c r="A3504" s="66"/>
    </row>
    <row r="3505" spans="1:1" x14ac:dyDescent="0.25">
      <c r="A3505" s="66"/>
    </row>
    <row r="3506" spans="1:1" x14ac:dyDescent="0.25">
      <c r="A3506" s="66"/>
    </row>
    <row r="3507" spans="1:1" x14ac:dyDescent="0.25">
      <c r="A3507" s="66"/>
    </row>
    <row r="3508" spans="1:1" x14ac:dyDescent="0.25">
      <c r="A3508" s="66"/>
    </row>
    <row r="3509" spans="1:1" x14ac:dyDescent="0.25">
      <c r="A3509" s="66"/>
    </row>
    <row r="3510" spans="1:1" x14ac:dyDescent="0.25">
      <c r="A3510" s="66"/>
    </row>
    <row r="3511" spans="1:1" x14ac:dyDescent="0.25">
      <c r="A3511" s="66"/>
    </row>
    <row r="3512" spans="1:1" x14ac:dyDescent="0.25">
      <c r="A3512" s="66"/>
    </row>
    <row r="3513" spans="1:1" x14ac:dyDescent="0.25">
      <c r="A3513" s="66"/>
    </row>
    <row r="3514" spans="1:1" x14ac:dyDescent="0.25">
      <c r="A3514" s="66"/>
    </row>
    <row r="3515" spans="1:1" x14ac:dyDescent="0.25">
      <c r="A3515" s="66"/>
    </row>
    <row r="3516" spans="1:1" x14ac:dyDescent="0.25">
      <c r="A3516" s="66"/>
    </row>
    <row r="3517" spans="1:1" x14ac:dyDescent="0.25">
      <c r="A3517" s="66"/>
    </row>
    <row r="3518" spans="1:1" x14ac:dyDescent="0.25">
      <c r="A3518" s="66"/>
    </row>
    <row r="3519" spans="1:1" x14ac:dyDescent="0.25">
      <c r="A3519" s="66"/>
    </row>
    <row r="3520" spans="1:1" x14ac:dyDescent="0.25">
      <c r="A3520" s="66"/>
    </row>
    <row r="3521" spans="1:1" x14ac:dyDescent="0.25">
      <c r="A3521" s="66"/>
    </row>
    <row r="3522" spans="1:1" x14ac:dyDescent="0.25">
      <c r="A3522" s="66"/>
    </row>
    <row r="3523" spans="1:1" x14ac:dyDescent="0.25">
      <c r="A3523" s="66"/>
    </row>
    <row r="3524" spans="1:1" x14ac:dyDescent="0.25">
      <c r="A3524" s="66"/>
    </row>
    <row r="3525" spans="1:1" x14ac:dyDescent="0.25">
      <c r="A3525" s="66"/>
    </row>
    <row r="3526" spans="1:1" x14ac:dyDescent="0.25">
      <c r="A3526" s="66"/>
    </row>
    <row r="3527" spans="1:1" x14ac:dyDescent="0.25">
      <c r="A3527" s="66"/>
    </row>
    <row r="3528" spans="1:1" x14ac:dyDescent="0.25">
      <c r="A3528" s="66"/>
    </row>
    <row r="3529" spans="1:1" x14ac:dyDescent="0.25">
      <c r="A3529" s="66"/>
    </row>
    <row r="3530" spans="1:1" x14ac:dyDescent="0.25">
      <c r="A3530" s="66"/>
    </row>
    <row r="3531" spans="1:1" x14ac:dyDescent="0.25">
      <c r="A3531" s="66"/>
    </row>
    <row r="3532" spans="1:1" x14ac:dyDescent="0.25">
      <c r="A3532" s="66"/>
    </row>
    <row r="3533" spans="1:1" x14ac:dyDescent="0.25">
      <c r="A3533" s="66"/>
    </row>
    <row r="3534" spans="1:1" x14ac:dyDescent="0.25">
      <c r="A3534" s="66"/>
    </row>
    <row r="3535" spans="1:1" x14ac:dyDescent="0.25">
      <c r="A3535" s="66"/>
    </row>
    <row r="3536" spans="1:1" x14ac:dyDescent="0.25">
      <c r="A3536" s="66"/>
    </row>
    <row r="3537" spans="1:1" x14ac:dyDescent="0.25">
      <c r="A3537" s="66"/>
    </row>
    <row r="3538" spans="1:1" x14ac:dyDescent="0.25">
      <c r="A3538" s="66"/>
    </row>
    <row r="3539" spans="1:1" x14ac:dyDescent="0.25">
      <c r="A3539" s="66"/>
    </row>
    <row r="3540" spans="1:1" x14ac:dyDescent="0.25">
      <c r="A3540" s="66"/>
    </row>
    <row r="3541" spans="1:1" x14ac:dyDescent="0.25">
      <c r="A3541" s="66"/>
    </row>
    <row r="3542" spans="1:1" x14ac:dyDescent="0.25">
      <c r="A3542" s="66"/>
    </row>
    <row r="3543" spans="1:1" x14ac:dyDescent="0.25">
      <c r="A3543" s="66"/>
    </row>
    <row r="3544" spans="1:1" x14ac:dyDescent="0.25">
      <c r="A3544" s="66"/>
    </row>
    <row r="3545" spans="1:1" x14ac:dyDescent="0.25">
      <c r="A3545" s="66"/>
    </row>
    <row r="3546" spans="1:1" x14ac:dyDescent="0.25">
      <c r="A3546" s="66"/>
    </row>
    <row r="3547" spans="1:1" x14ac:dyDescent="0.25">
      <c r="A3547" s="66"/>
    </row>
    <row r="3548" spans="1:1" x14ac:dyDescent="0.25">
      <c r="A3548" s="66"/>
    </row>
    <row r="3549" spans="1:1" x14ac:dyDescent="0.25">
      <c r="A3549" s="66"/>
    </row>
    <row r="3550" spans="1:1" x14ac:dyDescent="0.25">
      <c r="A3550" s="66"/>
    </row>
    <row r="3551" spans="1:1" x14ac:dyDescent="0.25">
      <c r="A3551" s="66"/>
    </row>
    <row r="3552" spans="1:1" x14ac:dyDescent="0.25">
      <c r="A3552" s="66"/>
    </row>
    <row r="3553" spans="1:1" x14ac:dyDescent="0.25">
      <c r="A3553" s="66"/>
    </row>
    <row r="3554" spans="1:1" x14ac:dyDescent="0.25">
      <c r="A3554" s="66"/>
    </row>
    <row r="3555" spans="1:1" x14ac:dyDescent="0.25">
      <c r="A3555" s="66"/>
    </row>
    <row r="3556" spans="1:1" x14ac:dyDescent="0.25">
      <c r="A3556" s="66"/>
    </row>
    <row r="3557" spans="1:1" x14ac:dyDescent="0.25">
      <c r="A3557" s="66"/>
    </row>
    <row r="3558" spans="1:1" x14ac:dyDescent="0.25">
      <c r="A3558" s="66"/>
    </row>
    <row r="3559" spans="1:1" x14ac:dyDescent="0.25">
      <c r="A3559" s="66"/>
    </row>
    <row r="3560" spans="1:1" x14ac:dyDescent="0.25">
      <c r="A3560" s="66"/>
    </row>
    <row r="3561" spans="1:1" x14ac:dyDescent="0.25">
      <c r="A3561" s="66"/>
    </row>
    <row r="3562" spans="1:1" x14ac:dyDescent="0.25">
      <c r="A3562" s="66"/>
    </row>
    <row r="3563" spans="1:1" x14ac:dyDescent="0.25">
      <c r="A3563" s="66"/>
    </row>
    <row r="3564" spans="1:1" x14ac:dyDescent="0.25">
      <c r="A3564" s="66"/>
    </row>
    <row r="3565" spans="1:1" x14ac:dyDescent="0.25">
      <c r="A3565" s="66"/>
    </row>
    <row r="3566" spans="1:1" x14ac:dyDescent="0.25">
      <c r="A3566" s="66"/>
    </row>
    <row r="3567" spans="1:1" x14ac:dyDescent="0.25">
      <c r="A3567" s="66"/>
    </row>
    <row r="3568" spans="1:1" x14ac:dyDescent="0.25">
      <c r="A3568" s="66"/>
    </row>
    <row r="3569" spans="1:1" x14ac:dyDescent="0.25">
      <c r="A3569" s="66"/>
    </row>
    <row r="3570" spans="1:1" x14ac:dyDescent="0.25">
      <c r="A3570" s="66"/>
    </row>
    <row r="3571" spans="1:1" x14ac:dyDescent="0.25">
      <c r="A3571" s="66"/>
    </row>
    <row r="3572" spans="1:1" x14ac:dyDescent="0.25">
      <c r="A3572" s="66"/>
    </row>
    <row r="3573" spans="1:1" x14ac:dyDescent="0.25">
      <c r="A3573" s="66"/>
    </row>
    <row r="3574" spans="1:1" x14ac:dyDescent="0.25">
      <c r="A3574" s="66"/>
    </row>
    <row r="3575" spans="1:1" x14ac:dyDescent="0.25">
      <c r="A3575" s="66"/>
    </row>
    <row r="3576" spans="1:1" x14ac:dyDescent="0.25">
      <c r="A3576" s="66"/>
    </row>
    <row r="3577" spans="1:1" x14ac:dyDescent="0.25">
      <c r="A3577" s="66"/>
    </row>
    <row r="3578" spans="1:1" x14ac:dyDescent="0.25">
      <c r="A3578" s="66"/>
    </row>
    <row r="3579" spans="1:1" x14ac:dyDescent="0.25">
      <c r="A3579" s="66"/>
    </row>
    <row r="3580" spans="1:1" x14ac:dyDescent="0.25">
      <c r="A3580" s="66"/>
    </row>
    <row r="3581" spans="1:1" x14ac:dyDescent="0.25">
      <c r="A3581" s="66"/>
    </row>
    <row r="3582" spans="1:1" x14ac:dyDescent="0.25">
      <c r="A3582" s="66"/>
    </row>
    <row r="3583" spans="1:1" x14ac:dyDescent="0.25">
      <c r="A3583" s="66"/>
    </row>
    <row r="3584" spans="1:1" x14ac:dyDescent="0.25">
      <c r="A3584" s="66"/>
    </row>
    <row r="3585" spans="1:1" x14ac:dyDescent="0.25">
      <c r="A3585" s="66"/>
    </row>
    <row r="3586" spans="1:1" x14ac:dyDescent="0.25">
      <c r="A3586" s="66"/>
    </row>
    <row r="3587" spans="1:1" x14ac:dyDescent="0.25">
      <c r="A3587" s="66"/>
    </row>
    <row r="3588" spans="1:1" x14ac:dyDescent="0.25">
      <c r="A3588" s="66"/>
    </row>
    <row r="3589" spans="1:1" x14ac:dyDescent="0.25">
      <c r="A3589" s="66"/>
    </row>
    <row r="3590" spans="1:1" x14ac:dyDescent="0.25">
      <c r="A3590" s="66"/>
    </row>
    <row r="3591" spans="1:1" x14ac:dyDescent="0.25">
      <c r="A3591" s="66"/>
    </row>
    <row r="3592" spans="1:1" x14ac:dyDescent="0.25">
      <c r="A3592" s="66"/>
    </row>
    <row r="3593" spans="1:1" x14ac:dyDescent="0.25">
      <c r="A3593" s="66"/>
    </row>
    <row r="3594" spans="1:1" x14ac:dyDescent="0.25">
      <c r="A3594" s="66"/>
    </row>
    <row r="3595" spans="1:1" x14ac:dyDescent="0.25">
      <c r="A3595" s="66"/>
    </row>
    <row r="3596" spans="1:1" x14ac:dyDescent="0.25">
      <c r="A3596" s="66"/>
    </row>
    <row r="3597" spans="1:1" x14ac:dyDescent="0.25">
      <c r="A3597" s="66"/>
    </row>
    <row r="3598" spans="1:1" x14ac:dyDescent="0.25">
      <c r="A3598" s="66"/>
    </row>
    <row r="3599" spans="1:1" x14ac:dyDescent="0.25">
      <c r="A3599" s="66"/>
    </row>
    <row r="3600" spans="1:1" x14ac:dyDescent="0.25">
      <c r="A3600" s="66"/>
    </row>
    <row r="3601" spans="1:1" x14ac:dyDescent="0.25">
      <c r="A3601" s="66"/>
    </row>
    <row r="3602" spans="1:1" x14ac:dyDescent="0.25">
      <c r="A3602" s="66"/>
    </row>
    <row r="3603" spans="1:1" x14ac:dyDescent="0.25">
      <c r="A3603" s="66"/>
    </row>
    <row r="3604" spans="1:1" x14ac:dyDescent="0.25">
      <c r="A3604" s="66"/>
    </row>
    <row r="3605" spans="1:1" x14ac:dyDescent="0.25">
      <c r="A3605" s="66"/>
    </row>
    <row r="3606" spans="1:1" x14ac:dyDescent="0.25">
      <c r="A3606" s="66"/>
    </row>
    <row r="3607" spans="1:1" x14ac:dyDescent="0.25">
      <c r="A3607" s="66"/>
    </row>
    <row r="3608" spans="1:1" x14ac:dyDescent="0.25">
      <c r="A3608" s="66"/>
    </row>
    <row r="3609" spans="1:1" x14ac:dyDescent="0.25">
      <c r="A3609" s="66"/>
    </row>
    <row r="3610" spans="1:1" x14ac:dyDescent="0.25">
      <c r="A3610" s="66"/>
    </row>
    <row r="3611" spans="1:1" x14ac:dyDescent="0.25">
      <c r="A3611" s="66"/>
    </row>
    <row r="3612" spans="1:1" x14ac:dyDescent="0.25">
      <c r="A3612" s="66"/>
    </row>
    <row r="3613" spans="1:1" x14ac:dyDescent="0.25">
      <c r="A3613" s="66"/>
    </row>
    <row r="3614" spans="1:1" x14ac:dyDescent="0.25">
      <c r="A3614" s="66"/>
    </row>
    <row r="3615" spans="1:1" x14ac:dyDescent="0.25">
      <c r="A3615" s="66"/>
    </row>
    <row r="3616" spans="1:1" x14ac:dyDescent="0.25">
      <c r="A3616" s="66"/>
    </row>
    <row r="3617" spans="1:1" x14ac:dyDescent="0.25">
      <c r="A3617" s="66"/>
    </row>
    <row r="3618" spans="1:1" x14ac:dyDescent="0.25">
      <c r="A3618" s="66"/>
    </row>
    <row r="3619" spans="1:1" x14ac:dyDescent="0.25">
      <c r="A3619" s="66"/>
    </row>
    <row r="3620" spans="1:1" x14ac:dyDescent="0.25">
      <c r="A3620" s="66"/>
    </row>
    <row r="3621" spans="1:1" x14ac:dyDescent="0.25">
      <c r="A3621" s="66"/>
    </row>
    <row r="3622" spans="1:1" x14ac:dyDescent="0.25">
      <c r="A3622" s="66"/>
    </row>
    <row r="3623" spans="1:1" x14ac:dyDescent="0.25">
      <c r="A3623" s="66"/>
    </row>
    <row r="3624" spans="1:1" x14ac:dyDescent="0.25">
      <c r="A3624" s="66"/>
    </row>
    <row r="3625" spans="1:1" x14ac:dyDescent="0.25">
      <c r="A3625" s="66"/>
    </row>
    <row r="3626" spans="1:1" x14ac:dyDescent="0.25">
      <c r="A3626" s="66"/>
    </row>
    <row r="3627" spans="1:1" x14ac:dyDescent="0.25">
      <c r="A3627" s="66"/>
    </row>
    <row r="3628" spans="1:1" x14ac:dyDescent="0.25">
      <c r="A3628" s="66"/>
    </row>
    <row r="3629" spans="1:1" x14ac:dyDescent="0.25">
      <c r="A3629" s="66"/>
    </row>
    <row r="3630" spans="1:1" x14ac:dyDescent="0.25">
      <c r="A3630" s="66"/>
    </row>
    <row r="3631" spans="1:1" x14ac:dyDescent="0.25">
      <c r="A3631" s="66"/>
    </row>
    <row r="3632" spans="1:1" x14ac:dyDescent="0.25">
      <c r="A3632" s="66"/>
    </row>
    <row r="3633" spans="1:1" x14ac:dyDescent="0.25">
      <c r="A3633" s="66"/>
    </row>
    <row r="3634" spans="1:1" x14ac:dyDescent="0.25">
      <c r="A3634" s="66"/>
    </row>
    <row r="3635" spans="1:1" x14ac:dyDescent="0.25">
      <c r="A3635" s="66"/>
    </row>
    <row r="3636" spans="1:1" x14ac:dyDescent="0.25">
      <c r="A3636" s="66"/>
    </row>
    <row r="3637" spans="1:1" x14ac:dyDescent="0.25">
      <c r="A3637" s="66"/>
    </row>
    <row r="3638" spans="1:1" x14ac:dyDescent="0.25">
      <c r="A3638" s="66"/>
    </row>
    <row r="3639" spans="1:1" x14ac:dyDescent="0.25">
      <c r="A3639" s="66"/>
    </row>
    <row r="3640" spans="1:1" x14ac:dyDescent="0.25">
      <c r="A3640" s="66"/>
    </row>
    <row r="3641" spans="1:1" x14ac:dyDescent="0.25">
      <c r="A3641" s="66"/>
    </row>
    <row r="3642" spans="1:1" x14ac:dyDescent="0.25">
      <c r="A3642" s="66"/>
    </row>
    <row r="3643" spans="1:1" x14ac:dyDescent="0.25">
      <c r="A3643" s="66"/>
    </row>
    <row r="3644" spans="1:1" x14ac:dyDescent="0.25">
      <c r="A3644" s="66"/>
    </row>
    <row r="3645" spans="1:1" x14ac:dyDescent="0.25">
      <c r="A3645" s="66"/>
    </row>
    <row r="3646" spans="1:1" x14ac:dyDescent="0.25">
      <c r="A3646" s="66"/>
    </row>
    <row r="3647" spans="1:1" x14ac:dyDescent="0.25">
      <c r="A3647" s="66"/>
    </row>
    <row r="3648" spans="1:1" x14ac:dyDescent="0.25">
      <c r="A3648" s="66"/>
    </row>
    <row r="3649" spans="1:1" x14ac:dyDescent="0.25">
      <c r="A3649" s="66"/>
    </row>
    <row r="3650" spans="1:1" x14ac:dyDescent="0.25">
      <c r="A3650" s="66"/>
    </row>
    <row r="3651" spans="1:1" x14ac:dyDescent="0.25">
      <c r="A3651" s="66"/>
    </row>
    <row r="3652" spans="1:1" x14ac:dyDescent="0.25">
      <c r="A3652" s="66"/>
    </row>
    <row r="3653" spans="1:1" x14ac:dyDescent="0.25">
      <c r="A3653" s="66"/>
    </row>
    <row r="3654" spans="1:1" x14ac:dyDescent="0.25">
      <c r="A3654" s="66"/>
    </row>
    <row r="3655" spans="1:1" x14ac:dyDescent="0.25">
      <c r="A3655" s="66"/>
    </row>
    <row r="3656" spans="1:1" x14ac:dyDescent="0.25">
      <c r="A3656" s="66"/>
    </row>
    <row r="3657" spans="1:1" x14ac:dyDescent="0.25">
      <c r="A3657" s="66"/>
    </row>
    <row r="3658" spans="1:1" x14ac:dyDescent="0.25">
      <c r="A3658" s="66"/>
    </row>
    <row r="3659" spans="1:1" x14ac:dyDescent="0.25">
      <c r="A3659" s="66"/>
    </row>
    <row r="3660" spans="1:1" x14ac:dyDescent="0.25">
      <c r="A3660" s="66"/>
    </row>
    <row r="3661" spans="1:1" x14ac:dyDescent="0.25">
      <c r="A3661" s="66"/>
    </row>
    <row r="3662" spans="1:1" x14ac:dyDescent="0.25">
      <c r="A3662" s="66"/>
    </row>
    <row r="3663" spans="1:1" x14ac:dyDescent="0.25">
      <c r="A3663" s="66"/>
    </row>
    <row r="3664" spans="1:1" x14ac:dyDescent="0.25">
      <c r="A3664" s="66"/>
    </row>
    <row r="3665" spans="1:1" x14ac:dyDescent="0.25">
      <c r="A3665" s="66"/>
    </row>
    <row r="3666" spans="1:1" x14ac:dyDescent="0.25">
      <c r="A3666" s="66"/>
    </row>
    <row r="3667" spans="1:1" x14ac:dyDescent="0.25">
      <c r="A3667" s="66"/>
    </row>
    <row r="3668" spans="1:1" x14ac:dyDescent="0.25">
      <c r="A3668" s="66"/>
    </row>
    <row r="3669" spans="1:1" x14ac:dyDescent="0.25">
      <c r="A3669" s="66"/>
    </row>
    <row r="3670" spans="1:1" x14ac:dyDescent="0.25">
      <c r="A3670" s="66"/>
    </row>
    <row r="3671" spans="1:1" x14ac:dyDescent="0.25">
      <c r="A3671" s="66"/>
    </row>
    <row r="3672" spans="1:1" x14ac:dyDescent="0.25">
      <c r="A3672" s="66"/>
    </row>
    <row r="3673" spans="1:1" x14ac:dyDescent="0.25">
      <c r="A3673" s="66"/>
    </row>
    <row r="3674" spans="1:1" x14ac:dyDescent="0.25">
      <c r="A3674" s="66"/>
    </row>
    <row r="3675" spans="1:1" x14ac:dyDescent="0.25">
      <c r="A3675" s="66"/>
    </row>
    <row r="3676" spans="1:1" x14ac:dyDescent="0.25">
      <c r="A3676" s="66"/>
    </row>
    <row r="3677" spans="1:1" x14ac:dyDescent="0.25">
      <c r="A3677" s="66"/>
    </row>
    <row r="3678" spans="1:1" x14ac:dyDescent="0.25">
      <c r="A3678" s="66"/>
    </row>
    <row r="3679" spans="1:1" x14ac:dyDescent="0.25">
      <c r="A3679" s="66"/>
    </row>
    <row r="3680" spans="1:1" x14ac:dyDescent="0.25">
      <c r="A3680" s="66"/>
    </row>
    <row r="3681" spans="1:1" x14ac:dyDescent="0.25">
      <c r="A3681" s="66"/>
    </row>
    <row r="3682" spans="1:1" x14ac:dyDescent="0.25">
      <c r="A3682" s="66"/>
    </row>
    <row r="3683" spans="1:1" x14ac:dyDescent="0.25">
      <c r="A3683" s="66"/>
    </row>
    <row r="3684" spans="1:1" x14ac:dyDescent="0.25">
      <c r="A3684" s="66"/>
    </row>
    <row r="3685" spans="1:1" x14ac:dyDescent="0.25">
      <c r="A3685" s="66"/>
    </row>
    <row r="3686" spans="1:1" x14ac:dyDescent="0.25">
      <c r="A3686" s="66"/>
    </row>
    <row r="3687" spans="1:1" x14ac:dyDescent="0.25">
      <c r="A3687" s="66"/>
    </row>
    <row r="3688" spans="1:1" x14ac:dyDescent="0.25">
      <c r="A3688" s="66"/>
    </row>
    <row r="3689" spans="1:1" x14ac:dyDescent="0.25">
      <c r="A3689" s="66"/>
    </row>
    <row r="3690" spans="1:1" x14ac:dyDescent="0.25">
      <c r="A3690" s="66"/>
    </row>
    <row r="3691" spans="1:1" x14ac:dyDescent="0.25">
      <c r="A3691" s="66"/>
    </row>
    <row r="3692" spans="1:1" x14ac:dyDescent="0.25">
      <c r="A3692" s="66"/>
    </row>
    <row r="3693" spans="1:1" x14ac:dyDescent="0.25">
      <c r="A3693" s="66"/>
    </row>
    <row r="3694" spans="1:1" x14ac:dyDescent="0.25">
      <c r="A3694" s="66"/>
    </row>
    <row r="3695" spans="1:1" x14ac:dyDescent="0.25">
      <c r="A3695" s="66"/>
    </row>
    <row r="3696" spans="1:1" x14ac:dyDescent="0.25">
      <c r="A3696" s="66"/>
    </row>
    <row r="3697" spans="1:1" x14ac:dyDescent="0.25">
      <c r="A3697" s="66"/>
    </row>
    <row r="3698" spans="1:1" x14ac:dyDescent="0.25">
      <c r="A3698" s="66"/>
    </row>
    <row r="3699" spans="1:1" x14ac:dyDescent="0.25">
      <c r="A3699" s="66"/>
    </row>
    <row r="3700" spans="1:1" x14ac:dyDescent="0.25">
      <c r="A3700" s="66"/>
    </row>
    <row r="3701" spans="1:1" x14ac:dyDescent="0.25">
      <c r="A3701" s="66"/>
    </row>
    <row r="3702" spans="1:1" x14ac:dyDescent="0.25">
      <c r="A3702" s="66"/>
    </row>
    <row r="3703" spans="1:1" x14ac:dyDescent="0.25">
      <c r="A3703" s="66"/>
    </row>
    <row r="3704" spans="1:1" x14ac:dyDescent="0.25">
      <c r="A3704" s="66"/>
    </row>
    <row r="3705" spans="1:1" x14ac:dyDescent="0.25">
      <c r="A3705" s="66"/>
    </row>
    <row r="3706" spans="1:1" x14ac:dyDescent="0.25">
      <c r="A3706" s="66"/>
    </row>
    <row r="3707" spans="1:1" x14ac:dyDescent="0.25">
      <c r="A3707" s="66"/>
    </row>
    <row r="3708" spans="1:1" x14ac:dyDescent="0.25">
      <c r="A3708" s="66"/>
    </row>
    <row r="3709" spans="1:1" x14ac:dyDescent="0.25">
      <c r="A3709" s="66"/>
    </row>
    <row r="3710" spans="1:1" x14ac:dyDescent="0.25">
      <c r="A3710" s="66"/>
    </row>
    <row r="3711" spans="1:1" x14ac:dyDescent="0.25">
      <c r="A3711" s="66"/>
    </row>
    <row r="3712" spans="1:1" x14ac:dyDescent="0.25">
      <c r="A3712" s="66"/>
    </row>
    <row r="3713" spans="1:1" x14ac:dyDescent="0.25">
      <c r="A3713" s="66"/>
    </row>
    <row r="3714" spans="1:1" x14ac:dyDescent="0.25">
      <c r="A3714" s="66"/>
    </row>
    <row r="3715" spans="1:1" x14ac:dyDescent="0.25">
      <c r="A3715" s="66"/>
    </row>
    <row r="3716" spans="1:1" x14ac:dyDescent="0.25">
      <c r="A3716" s="66"/>
    </row>
    <row r="3717" spans="1:1" x14ac:dyDescent="0.25">
      <c r="A3717" s="66"/>
    </row>
    <row r="3718" spans="1:1" x14ac:dyDescent="0.25">
      <c r="A3718" s="66"/>
    </row>
    <row r="3719" spans="1:1" x14ac:dyDescent="0.25">
      <c r="A3719" s="66"/>
    </row>
    <row r="3720" spans="1:1" x14ac:dyDescent="0.25">
      <c r="A3720" s="66"/>
    </row>
    <row r="3721" spans="1:1" x14ac:dyDescent="0.25">
      <c r="A3721" s="66"/>
    </row>
    <row r="3722" spans="1:1" x14ac:dyDescent="0.25">
      <c r="A3722" s="66"/>
    </row>
    <row r="3723" spans="1:1" x14ac:dyDescent="0.25">
      <c r="A3723" s="66"/>
    </row>
    <row r="3724" spans="1:1" x14ac:dyDescent="0.25">
      <c r="A3724" s="66"/>
    </row>
    <row r="3725" spans="1:1" x14ac:dyDescent="0.25">
      <c r="A3725" s="66"/>
    </row>
    <row r="3726" spans="1:1" x14ac:dyDescent="0.25">
      <c r="A3726" s="66"/>
    </row>
    <row r="3727" spans="1:1" x14ac:dyDescent="0.25">
      <c r="A3727" s="66"/>
    </row>
    <row r="3728" spans="1:1" x14ac:dyDescent="0.25">
      <c r="A3728" s="66"/>
    </row>
    <row r="3729" spans="1:1" x14ac:dyDescent="0.25">
      <c r="A3729" s="66"/>
    </row>
    <row r="3730" spans="1:1" x14ac:dyDescent="0.25">
      <c r="A3730" s="66"/>
    </row>
    <row r="3731" spans="1:1" x14ac:dyDescent="0.25">
      <c r="A3731" s="66"/>
    </row>
    <row r="3732" spans="1:1" x14ac:dyDescent="0.25">
      <c r="A3732" s="66"/>
    </row>
    <row r="3733" spans="1:1" x14ac:dyDescent="0.25">
      <c r="A3733" s="66"/>
    </row>
    <row r="3734" spans="1:1" x14ac:dyDescent="0.25">
      <c r="A3734" s="66"/>
    </row>
    <row r="3735" spans="1:1" x14ac:dyDescent="0.25">
      <c r="A3735" s="66"/>
    </row>
    <row r="3736" spans="1:1" x14ac:dyDescent="0.25">
      <c r="A3736" s="66"/>
    </row>
    <row r="3737" spans="1:1" x14ac:dyDescent="0.25">
      <c r="A3737" s="66"/>
    </row>
    <row r="3738" spans="1:1" x14ac:dyDescent="0.25">
      <c r="A3738" s="66"/>
    </row>
    <row r="3739" spans="1:1" x14ac:dyDescent="0.25">
      <c r="A3739" s="66"/>
    </row>
    <row r="3740" spans="1:1" x14ac:dyDescent="0.25">
      <c r="A3740" s="66"/>
    </row>
    <row r="3741" spans="1:1" x14ac:dyDescent="0.25">
      <c r="A3741" s="66"/>
    </row>
    <row r="3742" spans="1:1" x14ac:dyDescent="0.25">
      <c r="A3742" s="66"/>
    </row>
    <row r="3743" spans="1:1" x14ac:dyDescent="0.25">
      <c r="A3743" s="66"/>
    </row>
    <row r="3744" spans="1:1" x14ac:dyDescent="0.25">
      <c r="A3744" s="66"/>
    </row>
    <row r="3745" spans="1:1" x14ac:dyDescent="0.25">
      <c r="A3745" s="66"/>
    </row>
    <row r="3746" spans="1:1" x14ac:dyDescent="0.25">
      <c r="A3746" s="66"/>
    </row>
    <row r="3747" spans="1:1" x14ac:dyDescent="0.25">
      <c r="A3747" s="66"/>
    </row>
    <row r="3748" spans="1:1" x14ac:dyDescent="0.25">
      <c r="A3748" s="66"/>
    </row>
    <row r="3749" spans="1:1" x14ac:dyDescent="0.25">
      <c r="A3749" s="66"/>
    </row>
    <row r="3750" spans="1:1" x14ac:dyDescent="0.25">
      <c r="A3750" s="66"/>
    </row>
    <row r="3751" spans="1:1" x14ac:dyDescent="0.25">
      <c r="A3751" s="66"/>
    </row>
    <row r="3752" spans="1:1" x14ac:dyDescent="0.25">
      <c r="A3752" s="66"/>
    </row>
    <row r="3753" spans="1:1" x14ac:dyDescent="0.25">
      <c r="A3753" s="66"/>
    </row>
    <row r="3754" spans="1:1" x14ac:dyDescent="0.25">
      <c r="A3754" s="66"/>
    </row>
    <row r="3755" spans="1:1" x14ac:dyDescent="0.25">
      <c r="A3755" s="66"/>
    </row>
    <row r="3756" spans="1:1" x14ac:dyDescent="0.25">
      <c r="A3756" s="66"/>
    </row>
    <row r="3757" spans="1:1" x14ac:dyDescent="0.25">
      <c r="A3757" s="66"/>
    </row>
    <row r="3758" spans="1:1" x14ac:dyDescent="0.25">
      <c r="A3758" s="66"/>
    </row>
    <row r="3759" spans="1:1" x14ac:dyDescent="0.25">
      <c r="A3759" s="66"/>
    </row>
    <row r="3760" spans="1:1" x14ac:dyDescent="0.25">
      <c r="A3760" s="66"/>
    </row>
    <row r="3761" spans="1:1" x14ac:dyDescent="0.25">
      <c r="A3761" s="66"/>
    </row>
    <row r="3762" spans="1:1" x14ac:dyDescent="0.25">
      <c r="A3762" s="66"/>
    </row>
    <row r="3763" spans="1:1" x14ac:dyDescent="0.25">
      <c r="A3763" s="66"/>
    </row>
    <row r="3764" spans="1:1" x14ac:dyDescent="0.25">
      <c r="A3764" s="66"/>
    </row>
    <row r="3765" spans="1:1" x14ac:dyDescent="0.25">
      <c r="A3765" s="66"/>
    </row>
    <row r="3766" spans="1:1" x14ac:dyDescent="0.25">
      <c r="A3766" s="66"/>
    </row>
    <row r="3767" spans="1:1" x14ac:dyDescent="0.25">
      <c r="A3767" s="66"/>
    </row>
    <row r="3768" spans="1:1" x14ac:dyDescent="0.25">
      <c r="A3768" s="66"/>
    </row>
    <row r="3769" spans="1:1" x14ac:dyDescent="0.25">
      <c r="A3769" s="66"/>
    </row>
    <row r="3770" spans="1:1" x14ac:dyDescent="0.25">
      <c r="A3770" s="66"/>
    </row>
    <row r="3771" spans="1:1" x14ac:dyDescent="0.25">
      <c r="A3771" s="66"/>
    </row>
    <row r="3772" spans="1:1" x14ac:dyDescent="0.25">
      <c r="A3772" s="66"/>
    </row>
    <row r="3773" spans="1:1" x14ac:dyDescent="0.25">
      <c r="A3773" s="66"/>
    </row>
    <row r="3774" spans="1:1" x14ac:dyDescent="0.25">
      <c r="A3774" s="66"/>
    </row>
    <row r="3775" spans="1:1" x14ac:dyDescent="0.25">
      <c r="A3775" s="66"/>
    </row>
    <row r="3776" spans="1:1" x14ac:dyDescent="0.25">
      <c r="A3776" s="66"/>
    </row>
    <row r="3777" spans="1:1" x14ac:dyDescent="0.25">
      <c r="A3777" s="66"/>
    </row>
    <row r="3778" spans="1:1" x14ac:dyDescent="0.25">
      <c r="A3778" s="66"/>
    </row>
    <row r="3779" spans="1:1" x14ac:dyDescent="0.25">
      <c r="A3779" s="66"/>
    </row>
    <row r="3780" spans="1:1" x14ac:dyDescent="0.25">
      <c r="A3780" s="66"/>
    </row>
    <row r="3781" spans="1:1" x14ac:dyDescent="0.25">
      <c r="A3781" s="66"/>
    </row>
    <row r="3782" spans="1:1" x14ac:dyDescent="0.25">
      <c r="A3782" s="66"/>
    </row>
    <row r="3783" spans="1:1" x14ac:dyDescent="0.25">
      <c r="A3783" s="66"/>
    </row>
    <row r="3784" spans="1:1" x14ac:dyDescent="0.25">
      <c r="A3784" s="66"/>
    </row>
    <row r="3785" spans="1:1" x14ac:dyDescent="0.25">
      <c r="A3785" s="66"/>
    </row>
    <row r="3786" spans="1:1" x14ac:dyDescent="0.25">
      <c r="A3786" s="66"/>
    </row>
    <row r="3787" spans="1:1" x14ac:dyDescent="0.25">
      <c r="A3787" s="66"/>
    </row>
    <row r="3788" spans="1:1" x14ac:dyDescent="0.25">
      <c r="A3788" s="66"/>
    </row>
    <row r="3789" spans="1:1" x14ac:dyDescent="0.25">
      <c r="A3789" s="66"/>
    </row>
    <row r="3790" spans="1:1" x14ac:dyDescent="0.25">
      <c r="A3790" s="66"/>
    </row>
    <row r="3791" spans="1:1" x14ac:dyDescent="0.25">
      <c r="A3791" s="66"/>
    </row>
    <row r="3792" spans="1:1" x14ac:dyDescent="0.25">
      <c r="A3792" s="66"/>
    </row>
    <row r="3793" spans="1:1" x14ac:dyDescent="0.25">
      <c r="A3793" s="66"/>
    </row>
    <row r="3794" spans="1:1" x14ac:dyDescent="0.25">
      <c r="A3794" s="66"/>
    </row>
    <row r="3795" spans="1:1" x14ac:dyDescent="0.25">
      <c r="A3795" s="66"/>
    </row>
    <row r="3796" spans="1:1" x14ac:dyDescent="0.25">
      <c r="A3796" s="66"/>
    </row>
    <row r="3797" spans="1:1" x14ac:dyDescent="0.25">
      <c r="A3797" s="66"/>
    </row>
    <row r="3798" spans="1:1" x14ac:dyDescent="0.25">
      <c r="A3798" s="66"/>
    </row>
    <row r="3799" spans="1:1" x14ac:dyDescent="0.25">
      <c r="A3799" s="66"/>
    </row>
    <row r="3800" spans="1:1" x14ac:dyDescent="0.25">
      <c r="A3800" s="66"/>
    </row>
    <row r="3801" spans="1:1" x14ac:dyDescent="0.25">
      <c r="A3801" s="66"/>
    </row>
    <row r="3802" spans="1:1" x14ac:dyDescent="0.25">
      <c r="A3802" s="66"/>
    </row>
    <row r="3803" spans="1:1" x14ac:dyDescent="0.25">
      <c r="A3803" s="66"/>
    </row>
    <row r="3804" spans="1:1" x14ac:dyDescent="0.25">
      <c r="A3804" s="66"/>
    </row>
    <row r="3805" spans="1:1" x14ac:dyDescent="0.25">
      <c r="A3805" s="66"/>
    </row>
    <row r="3806" spans="1:1" x14ac:dyDescent="0.25">
      <c r="A3806" s="66"/>
    </row>
    <row r="3807" spans="1:1" x14ac:dyDescent="0.25">
      <c r="A3807" s="66"/>
    </row>
    <row r="3808" spans="1:1" x14ac:dyDescent="0.25">
      <c r="A3808" s="66"/>
    </row>
    <row r="3809" spans="1:1" x14ac:dyDescent="0.25">
      <c r="A3809" s="66"/>
    </row>
    <row r="3810" spans="1:1" x14ac:dyDescent="0.25">
      <c r="A3810" s="66"/>
    </row>
    <row r="3811" spans="1:1" x14ac:dyDescent="0.25">
      <c r="A3811" s="66"/>
    </row>
    <row r="3812" spans="1:1" x14ac:dyDescent="0.25">
      <c r="A3812" s="66"/>
    </row>
    <row r="3813" spans="1:1" x14ac:dyDescent="0.25">
      <c r="A3813" s="66"/>
    </row>
    <row r="3814" spans="1:1" x14ac:dyDescent="0.25">
      <c r="A3814" s="66"/>
    </row>
    <row r="3815" spans="1:1" x14ac:dyDescent="0.25">
      <c r="A3815" s="66"/>
    </row>
    <row r="3816" spans="1:1" x14ac:dyDescent="0.25">
      <c r="A3816" s="66"/>
    </row>
    <row r="3817" spans="1:1" x14ac:dyDescent="0.25">
      <c r="A3817" s="66"/>
    </row>
    <row r="3818" spans="1:1" x14ac:dyDescent="0.25">
      <c r="A3818" s="66"/>
    </row>
    <row r="3819" spans="1:1" x14ac:dyDescent="0.25">
      <c r="A3819" s="66"/>
    </row>
    <row r="3820" spans="1:1" x14ac:dyDescent="0.25">
      <c r="A3820" s="66"/>
    </row>
    <row r="3821" spans="1:1" x14ac:dyDescent="0.25">
      <c r="A3821" s="66"/>
    </row>
    <row r="3822" spans="1:1" x14ac:dyDescent="0.25">
      <c r="A3822" s="66"/>
    </row>
    <row r="3823" spans="1:1" x14ac:dyDescent="0.25">
      <c r="A3823" s="66"/>
    </row>
    <row r="3824" spans="1:1" x14ac:dyDescent="0.25">
      <c r="A3824" s="66"/>
    </row>
    <row r="3825" spans="1:1" x14ac:dyDescent="0.25">
      <c r="A3825" s="66"/>
    </row>
    <row r="3826" spans="1:1" x14ac:dyDescent="0.25">
      <c r="A3826" s="66"/>
    </row>
    <row r="3827" spans="1:1" x14ac:dyDescent="0.25">
      <c r="A3827" s="66"/>
    </row>
    <row r="3828" spans="1:1" x14ac:dyDescent="0.25">
      <c r="A3828" s="66"/>
    </row>
    <row r="3829" spans="1:1" x14ac:dyDescent="0.25">
      <c r="A3829" s="66"/>
    </row>
    <row r="3830" spans="1:1" x14ac:dyDescent="0.25">
      <c r="A3830" s="66"/>
    </row>
    <row r="3831" spans="1:1" x14ac:dyDescent="0.25">
      <c r="A3831" s="66"/>
    </row>
    <row r="3832" spans="1:1" x14ac:dyDescent="0.25">
      <c r="A3832" s="66"/>
    </row>
    <row r="3833" spans="1:1" x14ac:dyDescent="0.25">
      <c r="A3833" s="66"/>
    </row>
    <row r="3834" spans="1:1" x14ac:dyDescent="0.25">
      <c r="A3834" s="66"/>
    </row>
    <row r="3835" spans="1:1" x14ac:dyDescent="0.25">
      <c r="A3835" s="66"/>
    </row>
    <row r="3836" spans="1:1" x14ac:dyDescent="0.25">
      <c r="A3836" s="66"/>
    </row>
    <row r="3837" spans="1:1" x14ac:dyDescent="0.25">
      <c r="A3837" s="66"/>
    </row>
    <row r="3838" spans="1:1" x14ac:dyDescent="0.25">
      <c r="A3838" s="66"/>
    </row>
    <row r="3839" spans="1:1" x14ac:dyDescent="0.25">
      <c r="A3839" s="66"/>
    </row>
    <row r="3840" spans="1:1" x14ac:dyDescent="0.25">
      <c r="A3840" s="66"/>
    </row>
    <row r="3841" spans="1:1" x14ac:dyDescent="0.25">
      <c r="A3841" s="66"/>
    </row>
    <row r="3842" spans="1:1" x14ac:dyDescent="0.25">
      <c r="A3842" s="66"/>
    </row>
    <row r="3843" spans="1:1" x14ac:dyDescent="0.25">
      <c r="A3843" s="66"/>
    </row>
    <row r="3844" spans="1:1" x14ac:dyDescent="0.25">
      <c r="A3844" s="66"/>
    </row>
    <row r="3845" spans="1:1" x14ac:dyDescent="0.25">
      <c r="A3845" s="66"/>
    </row>
    <row r="3846" spans="1:1" x14ac:dyDescent="0.25">
      <c r="A3846" s="66"/>
    </row>
    <row r="3847" spans="1:1" x14ac:dyDescent="0.25">
      <c r="A3847" s="66"/>
    </row>
    <row r="3848" spans="1:1" x14ac:dyDescent="0.25">
      <c r="A3848" s="66"/>
    </row>
    <row r="3849" spans="1:1" x14ac:dyDescent="0.25">
      <c r="A3849" s="66"/>
    </row>
    <row r="3850" spans="1:1" x14ac:dyDescent="0.25">
      <c r="A3850" s="66"/>
    </row>
    <row r="3851" spans="1:1" x14ac:dyDescent="0.25">
      <c r="A3851" s="66"/>
    </row>
    <row r="3852" spans="1:1" x14ac:dyDescent="0.25">
      <c r="A3852" s="66"/>
    </row>
    <row r="3853" spans="1:1" x14ac:dyDescent="0.25">
      <c r="A3853" s="66"/>
    </row>
    <row r="3854" spans="1:1" x14ac:dyDescent="0.25">
      <c r="A3854" s="66"/>
    </row>
    <row r="3855" spans="1:1" x14ac:dyDescent="0.25">
      <c r="A3855" s="66"/>
    </row>
    <row r="3856" spans="1:1" x14ac:dyDescent="0.25">
      <c r="A3856" s="66"/>
    </row>
    <row r="3857" spans="1:1" x14ac:dyDescent="0.25">
      <c r="A3857" s="66"/>
    </row>
    <row r="3858" spans="1:1" x14ac:dyDescent="0.25">
      <c r="A3858" s="66"/>
    </row>
    <row r="3859" spans="1:1" x14ac:dyDescent="0.25">
      <c r="A3859" s="66"/>
    </row>
    <row r="3860" spans="1:1" x14ac:dyDescent="0.25">
      <c r="A3860" s="66"/>
    </row>
    <row r="3861" spans="1:1" x14ac:dyDescent="0.25">
      <c r="A3861" s="66"/>
    </row>
    <row r="3862" spans="1:1" x14ac:dyDescent="0.25">
      <c r="A3862" s="66"/>
    </row>
    <row r="3863" spans="1:1" x14ac:dyDescent="0.25">
      <c r="A3863" s="66"/>
    </row>
    <row r="3864" spans="1:1" x14ac:dyDescent="0.25">
      <c r="A3864" s="66"/>
    </row>
    <row r="3865" spans="1:1" x14ac:dyDescent="0.25">
      <c r="A3865" s="66"/>
    </row>
    <row r="3866" spans="1:1" x14ac:dyDescent="0.25">
      <c r="A3866" s="66"/>
    </row>
    <row r="3867" spans="1:1" x14ac:dyDescent="0.25">
      <c r="A3867" s="66"/>
    </row>
    <row r="3868" spans="1:1" x14ac:dyDescent="0.25">
      <c r="A3868" s="66"/>
    </row>
    <row r="3869" spans="1:1" x14ac:dyDescent="0.25">
      <c r="A3869" s="66"/>
    </row>
    <row r="3870" spans="1:1" x14ac:dyDescent="0.25">
      <c r="A3870" s="66"/>
    </row>
    <row r="3871" spans="1:1" x14ac:dyDescent="0.25">
      <c r="A3871" s="66"/>
    </row>
    <row r="3872" spans="1:1" x14ac:dyDescent="0.25">
      <c r="A3872" s="66"/>
    </row>
    <row r="3873" spans="1:1" x14ac:dyDescent="0.25">
      <c r="A3873" s="66"/>
    </row>
    <row r="3874" spans="1:1" x14ac:dyDescent="0.25">
      <c r="A3874" s="66"/>
    </row>
    <row r="3875" spans="1:1" x14ac:dyDescent="0.25">
      <c r="A3875" s="66"/>
    </row>
    <row r="3876" spans="1:1" x14ac:dyDescent="0.25">
      <c r="A3876" s="66"/>
    </row>
    <row r="3877" spans="1:1" x14ac:dyDescent="0.25">
      <c r="A3877" s="66"/>
    </row>
    <row r="3878" spans="1:1" x14ac:dyDescent="0.25">
      <c r="A3878" s="66"/>
    </row>
    <row r="3879" spans="1:1" x14ac:dyDescent="0.25">
      <c r="A3879" s="66"/>
    </row>
    <row r="3880" spans="1:1" x14ac:dyDescent="0.25">
      <c r="A3880" s="66"/>
    </row>
    <row r="3881" spans="1:1" x14ac:dyDescent="0.25">
      <c r="A3881" s="66"/>
    </row>
    <row r="3882" spans="1:1" x14ac:dyDescent="0.25">
      <c r="A3882" s="66"/>
    </row>
    <row r="3883" spans="1:1" x14ac:dyDescent="0.25">
      <c r="A3883" s="66"/>
    </row>
    <row r="3884" spans="1:1" x14ac:dyDescent="0.25">
      <c r="A3884" s="66"/>
    </row>
    <row r="3885" spans="1:1" x14ac:dyDescent="0.25">
      <c r="A3885" s="66"/>
    </row>
    <row r="3886" spans="1:1" x14ac:dyDescent="0.25">
      <c r="A3886" s="66"/>
    </row>
    <row r="3887" spans="1:1" x14ac:dyDescent="0.25">
      <c r="A3887" s="66"/>
    </row>
    <row r="3888" spans="1:1" x14ac:dyDescent="0.25">
      <c r="A3888" s="66"/>
    </row>
    <row r="3889" spans="1:1" x14ac:dyDescent="0.25">
      <c r="A3889" s="66"/>
    </row>
    <row r="3890" spans="1:1" x14ac:dyDescent="0.25">
      <c r="A3890" s="66"/>
    </row>
    <row r="3891" spans="1:1" x14ac:dyDescent="0.25">
      <c r="A3891" s="66"/>
    </row>
    <row r="3892" spans="1:1" x14ac:dyDescent="0.25">
      <c r="A3892" s="66"/>
    </row>
    <row r="3893" spans="1:1" x14ac:dyDescent="0.25">
      <c r="A3893" s="66"/>
    </row>
    <row r="3894" spans="1:1" x14ac:dyDescent="0.25">
      <c r="A3894" s="66"/>
    </row>
    <row r="3895" spans="1:1" x14ac:dyDescent="0.25">
      <c r="A3895" s="66"/>
    </row>
    <row r="3896" spans="1:1" x14ac:dyDescent="0.25">
      <c r="A3896" s="66"/>
    </row>
    <row r="3897" spans="1:1" x14ac:dyDescent="0.25">
      <c r="A3897" s="66"/>
    </row>
    <row r="3898" spans="1:1" x14ac:dyDescent="0.25">
      <c r="A3898" s="66"/>
    </row>
    <row r="3899" spans="1:1" x14ac:dyDescent="0.25">
      <c r="A3899" s="66"/>
    </row>
    <row r="3900" spans="1:1" x14ac:dyDescent="0.25">
      <c r="A3900" s="66"/>
    </row>
    <row r="3901" spans="1:1" x14ac:dyDescent="0.25">
      <c r="A3901" s="66"/>
    </row>
    <row r="3902" spans="1:1" x14ac:dyDescent="0.25">
      <c r="A3902" s="66"/>
    </row>
    <row r="3903" spans="1:1" x14ac:dyDescent="0.25">
      <c r="A3903" s="66"/>
    </row>
    <row r="3904" spans="1:1" x14ac:dyDescent="0.25">
      <c r="A3904" s="66"/>
    </row>
    <row r="3905" spans="1:1" x14ac:dyDescent="0.25">
      <c r="A3905" s="66"/>
    </row>
    <row r="3906" spans="1:1" x14ac:dyDescent="0.25">
      <c r="A3906" s="66"/>
    </row>
    <row r="3907" spans="1:1" x14ac:dyDescent="0.25">
      <c r="A3907" s="66"/>
    </row>
    <row r="3908" spans="1:1" x14ac:dyDescent="0.25">
      <c r="A3908" s="66"/>
    </row>
    <row r="3909" spans="1:1" x14ac:dyDescent="0.25">
      <c r="A3909" s="66"/>
    </row>
    <row r="3910" spans="1:1" x14ac:dyDescent="0.25">
      <c r="A3910" s="66"/>
    </row>
    <row r="3911" spans="1:1" x14ac:dyDescent="0.25">
      <c r="A3911" s="66"/>
    </row>
    <row r="3912" spans="1:1" x14ac:dyDescent="0.25">
      <c r="A3912" s="66"/>
    </row>
    <row r="3913" spans="1:1" x14ac:dyDescent="0.25">
      <c r="A3913" s="66"/>
    </row>
    <row r="3914" spans="1:1" x14ac:dyDescent="0.25">
      <c r="A3914" s="66"/>
    </row>
    <row r="3915" spans="1:1" x14ac:dyDescent="0.25">
      <c r="A3915" s="66"/>
    </row>
    <row r="3916" spans="1:1" x14ac:dyDescent="0.25">
      <c r="A3916" s="66"/>
    </row>
    <row r="3917" spans="1:1" x14ac:dyDescent="0.25">
      <c r="A3917" s="66"/>
    </row>
    <row r="3918" spans="1:1" x14ac:dyDescent="0.25">
      <c r="A3918" s="66"/>
    </row>
    <row r="3919" spans="1:1" x14ac:dyDescent="0.25">
      <c r="A3919" s="66"/>
    </row>
    <row r="3920" spans="1:1" x14ac:dyDescent="0.25">
      <c r="A3920" s="66"/>
    </row>
    <row r="3921" spans="1:1" x14ac:dyDescent="0.25">
      <c r="A3921" s="66"/>
    </row>
    <row r="3922" spans="1:1" x14ac:dyDescent="0.25">
      <c r="A3922" s="66"/>
    </row>
    <row r="3923" spans="1:1" x14ac:dyDescent="0.25">
      <c r="A3923" s="66"/>
    </row>
    <row r="3924" spans="1:1" x14ac:dyDescent="0.25">
      <c r="A3924" s="66"/>
    </row>
    <row r="3925" spans="1:1" x14ac:dyDescent="0.25">
      <c r="A3925" s="66"/>
    </row>
    <row r="3926" spans="1:1" x14ac:dyDescent="0.25">
      <c r="A3926" s="66"/>
    </row>
    <row r="3927" spans="1:1" x14ac:dyDescent="0.25">
      <c r="A3927" s="66"/>
    </row>
    <row r="3928" spans="1:1" x14ac:dyDescent="0.25">
      <c r="A3928" s="66"/>
    </row>
    <row r="3929" spans="1:1" x14ac:dyDescent="0.25">
      <c r="A3929" s="66"/>
    </row>
    <row r="3930" spans="1:1" x14ac:dyDescent="0.25">
      <c r="A3930" s="66"/>
    </row>
    <row r="3931" spans="1:1" x14ac:dyDescent="0.25">
      <c r="A3931" s="66"/>
    </row>
    <row r="3932" spans="1:1" x14ac:dyDescent="0.25">
      <c r="A3932" s="66"/>
    </row>
    <row r="3933" spans="1:1" x14ac:dyDescent="0.25">
      <c r="A3933" s="66"/>
    </row>
    <row r="3934" spans="1:1" x14ac:dyDescent="0.25">
      <c r="A3934" s="66"/>
    </row>
    <row r="3935" spans="1:1" x14ac:dyDescent="0.25">
      <c r="A3935" s="66"/>
    </row>
    <row r="3936" spans="1:1" x14ac:dyDescent="0.25">
      <c r="A3936" s="66"/>
    </row>
    <row r="3937" spans="1:1" x14ac:dyDescent="0.25">
      <c r="A3937" s="66"/>
    </row>
    <row r="3938" spans="1:1" x14ac:dyDescent="0.25">
      <c r="A3938" s="66"/>
    </row>
    <row r="3939" spans="1:1" x14ac:dyDescent="0.25">
      <c r="A3939" s="66"/>
    </row>
    <row r="3940" spans="1:1" x14ac:dyDescent="0.25">
      <c r="A3940" s="66"/>
    </row>
    <row r="3941" spans="1:1" x14ac:dyDescent="0.25">
      <c r="A3941" s="66"/>
    </row>
    <row r="3942" spans="1:1" x14ac:dyDescent="0.25">
      <c r="A3942" s="66"/>
    </row>
    <row r="3943" spans="1:1" x14ac:dyDescent="0.25">
      <c r="A3943" s="66"/>
    </row>
    <row r="3944" spans="1:1" x14ac:dyDescent="0.25">
      <c r="A3944" s="66"/>
    </row>
    <row r="3945" spans="1:1" x14ac:dyDescent="0.25">
      <c r="A3945" s="66"/>
    </row>
    <row r="3946" spans="1:1" x14ac:dyDescent="0.25">
      <c r="A3946" s="66"/>
    </row>
    <row r="3947" spans="1:1" x14ac:dyDescent="0.25">
      <c r="A3947" s="66"/>
    </row>
    <row r="3948" spans="1:1" x14ac:dyDescent="0.25">
      <c r="A3948" s="66"/>
    </row>
    <row r="3949" spans="1:1" x14ac:dyDescent="0.25">
      <c r="A3949" s="66"/>
    </row>
    <row r="3950" spans="1:1" x14ac:dyDescent="0.25">
      <c r="A3950" s="66"/>
    </row>
    <row r="3951" spans="1:1" x14ac:dyDescent="0.25">
      <c r="A3951" s="66"/>
    </row>
    <row r="3952" spans="1:1" x14ac:dyDescent="0.25">
      <c r="A3952" s="66"/>
    </row>
    <row r="3953" spans="1:1" x14ac:dyDescent="0.25">
      <c r="A3953" s="66"/>
    </row>
    <row r="3954" spans="1:1" x14ac:dyDescent="0.25">
      <c r="A3954" s="66"/>
    </row>
    <row r="3955" spans="1:1" x14ac:dyDescent="0.25">
      <c r="A3955" s="66"/>
    </row>
    <row r="3956" spans="1:1" x14ac:dyDescent="0.25">
      <c r="A3956" s="66"/>
    </row>
    <row r="3957" spans="1:1" x14ac:dyDescent="0.25">
      <c r="A3957" s="66"/>
    </row>
    <row r="3958" spans="1:1" x14ac:dyDescent="0.25">
      <c r="A3958" s="66"/>
    </row>
    <row r="3959" spans="1:1" x14ac:dyDescent="0.25">
      <c r="A3959" s="66"/>
    </row>
    <row r="3960" spans="1:1" x14ac:dyDescent="0.25">
      <c r="A3960" s="66"/>
    </row>
    <row r="3961" spans="1:1" x14ac:dyDescent="0.25">
      <c r="A3961" s="66"/>
    </row>
    <row r="3962" spans="1:1" x14ac:dyDescent="0.25">
      <c r="A3962" s="66"/>
    </row>
    <row r="3963" spans="1:1" x14ac:dyDescent="0.25">
      <c r="A3963" s="66"/>
    </row>
    <row r="3964" spans="1:1" x14ac:dyDescent="0.25">
      <c r="A3964" s="66"/>
    </row>
    <row r="3965" spans="1:1" x14ac:dyDescent="0.25">
      <c r="A3965" s="66"/>
    </row>
    <row r="3966" spans="1:1" x14ac:dyDescent="0.25">
      <c r="A3966" s="66"/>
    </row>
    <row r="3967" spans="1:1" x14ac:dyDescent="0.25">
      <c r="A3967" s="66"/>
    </row>
    <row r="3968" spans="1:1" x14ac:dyDescent="0.25">
      <c r="A3968" s="66"/>
    </row>
    <row r="3969" spans="1:1" x14ac:dyDescent="0.25">
      <c r="A3969" s="66"/>
    </row>
    <row r="3970" spans="1:1" x14ac:dyDescent="0.25">
      <c r="A3970" s="66"/>
    </row>
    <row r="3971" spans="1:1" x14ac:dyDescent="0.25">
      <c r="A3971" s="66"/>
    </row>
    <row r="3972" spans="1:1" x14ac:dyDescent="0.25">
      <c r="A3972" s="66"/>
    </row>
    <row r="3973" spans="1:1" x14ac:dyDescent="0.25">
      <c r="A3973" s="66"/>
    </row>
    <row r="3974" spans="1:1" x14ac:dyDescent="0.25">
      <c r="A3974" s="66"/>
    </row>
    <row r="3975" spans="1:1" x14ac:dyDescent="0.25">
      <c r="A3975" s="66"/>
    </row>
    <row r="3976" spans="1:1" x14ac:dyDescent="0.25">
      <c r="A3976" s="66"/>
    </row>
    <row r="3977" spans="1:1" x14ac:dyDescent="0.25">
      <c r="A3977" s="66"/>
    </row>
    <row r="3978" spans="1:1" x14ac:dyDescent="0.25">
      <c r="A3978" s="66"/>
    </row>
    <row r="3979" spans="1:1" x14ac:dyDescent="0.25">
      <c r="A3979" s="66"/>
    </row>
    <row r="3980" spans="1:1" x14ac:dyDescent="0.25">
      <c r="A3980" s="66"/>
    </row>
    <row r="3981" spans="1:1" x14ac:dyDescent="0.25">
      <c r="A3981" s="66"/>
    </row>
    <row r="3982" spans="1:1" x14ac:dyDescent="0.25">
      <c r="A3982" s="66"/>
    </row>
    <row r="3983" spans="1:1" x14ac:dyDescent="0.25">
      <c r="A3983" s="66"/>
    </row>
    <row r="3984" spans="1:1" x14ac:dyDescent="0.25">
      <c r="A3984" s="66"/>
    </row>
    <row r="3985" spans="1:1" x14ac:dyDescent="0.25">
      <c r="A3985" s="66"/>
    </row>
    <row r="3986" spans="1:1" x14ac:dyDescent="0.25">
      <c r="A3986" s="66"/>
    </row>
    <row r="3987" spans="1:1" x14ac:dyDescent="0.25">
      <c r="A3987" s="66"/>
    </row>
    <row r="3988" spans="1:1" x14ac:dyDescent="0.25">
      <c r="A3988" s="66"/>
    </row>
    <row r="3989" spans="1:1" x14ac:dyDescent="0.25">
      <c r="A3989" s="66"/>
    </row>
    <row r="3990" spans="1:1" x14ac:dyDescent="0.25">
      <c r="A3990" s="66"/>
    </row>
    <row r="3991" spans="1:1" x14ac:dyDescent="0.25">
      <c r="A3991" s="66"/>
    </row>
    <row r="3992" spans="1:1" x14ac:dyDescent="0.25">
      <c r="A3992" s="66"/>
    </row>
    <row r="3993" spans="1:1" x14ac:dyDescent="0.25">
      <c r="A3993" s="66"/>
    </row>
    <row r="3994" spans="1:1" x14ac:dyDescent="0.25">
      <c r="A3994" s="66"/>
    </row>
    <row r="3995" spans="1:1" x14ac:dyDescent="0.25">
      <c r="A3995" s="66"/>
    </row>
    <row r="3996" spans="1:1" x14ac:dyDescent="0.25">
      <c r="A3996" s="66"/>
    </row>
    <row r="3997" spans="1:1" x14ac:dyDescent="0.25">
      <c r="A3997" s="66"/>
    </row>
    <row r="3998" spans="1:1" x14ac:dyDescent="0.25">
      <c r="A3998" s="66"/>
    </row>
    <row r="3999" spans="1:1" x14ac:dyDescent="0.25">
      <c r="A3999" s="66"/>
    </row>
    <row r="4000" spans="1:1" x14ac:dyDescent="0.25">
      <c r="A4000" s="66"/>
    </row>
    <row r="4001" spans="1:1" x14ac:dyDescent="0.25">
      <c r="A4001" s="66"/>
    </row>
    <row r="4002" spans="1:1" x14ac:dyDescent="0.25">
      <c r="A4002" s="66"/>
    </row>
    <row r="4003" spans="1:1" x14ac:dyDescent="0.25">
      <c r="A4003" s="66"/>
    </row>
    <row r="4004" spans="1:1" x14ac:dyDescent="0.25">
      <c r="A4004" s="66"/>
    </row>
    <row r="4005" spans="1:1" x14ac:dyDescent="0.25">
      <c r="A4005" s="66"/>
    </row>
    <row r="4006" spans="1:1" x14ac:dyDescent="0.25">
      <c r="A4006" s="66"/>
    </row>
    <row r="4007" spans="1:1" x14ac:dyDescent="0.25">
      <c r="A4007" s="66"/>
    </row>
    <row r="4008" spans="1:1" x14ac:dyDescent="0.25">
      <c r="A4008" s="66"/>
    </row>
    <row r="4009" spans="1:1" x14ac:dyDescent="0.25">
      <c r="A4009" s="66"/>
    </row>
    <row r="4010" spans="1:1" x14ac:dyDescent="0.25">
      <c r="A4010" s="66"/>
    </row>
    <row r="4011" spans="1:1" x14ac:dyDescent="0.25">
      <c r="A4011" s="66"/>
    </row>
    <row r="4012" spans="1:1" x14ac:dyDescent="0.25">
      <c r="A4012" s="66"/>
    </row>
    <row r="4013" spans="1:1" x14ac:dyDescent="0.25">
      <c r="A4013" s="66"/>
    </row>
    <row r="4014" spans="1:1" x14ac:dyDescent="0.25">
      <c r="A4014" s="66"/>
    </row>
    <row r="4015" spans="1:1" x14ac:dyDescent="0.25">
      <c r="A4015" s="66"/>
    </row>
    <row r="4016" spans="1:1" x14ac:dyDescent="0.25">
      <c r="A4016" s="66"/>
    </row>
    <row r="4017" spans="1:1" x14ac:dyDescent="0.25">
      <c r="A4017" s="66"/>
    </row>
    <row r="4018" spans="1:1" x14ac:dyDescent="0.25">
      <c r="A4018" s="66"/>
    </row>
    <row r="4019" spans="1:1" x14ac:dyDescent="0.25">
      <c r="A4019" s="66"/>
    </row>
    <row r="4020" spans="1:1" x14ac:dyDescent="0.25">
      <c r="A4020" s="66"/>
    </row>
    <row r="4021" spans="1:1" x14ac:dyDescent="0.25">
      <c r="A4021" s="66"/>
    </row>
    <row r="4022" spans="1:1" x14ac:dyDescent="0.25">
      <c r="A4022" s="66"/>
    </row>
    <row r="4023" spans="1:1" x14ac:dyDescent="0.25">
      <c r="A4023" s="66"/>
    </row>
    <row r="4024" spans="1:1" x14ac:dyDescent="0.25">
      <c r="A4024" s="66"/>
    </row>
    <row r="4025" spans="1:1" x14ac:dyDescent="0.25">
      <c r="A4025" s="66"/>
    </row>
    <row r="4026" spans="1:1" x14ac:dyDescent="0.25">
      <c r="A4026" s="66"/>
    </row>
    <row r="4027" spans="1:1" x14ac:dyDescent="0.25">
      <c r="A4027" s="66"/>
    </row>
    <row r="4028" spans="1:1" x14ac:dyDescent="0.25">
      <c r="A4028" s="66"/>
    </row>
    <row r="4029" spans="1:1" x14ac:dyDescent="0.25">
      <c r="A4029" s="66"/>
    </row>
    <row r="4030" spans="1:1" x14ac:dyDescent="0.25">
      <c r="A4030" s="66"/>
    </row>
    <row r="4031" spans="1:1" x14ac:dyDescent="0.25">
      <c r="A4031" s="66"/>
    </row>
    <row r="4032" spans="1:1" x14ac:dyDescent="0.25">
      <c r="A4032" s="66"/>
    </row>
    <row r="4033" spans="1:1" x14ac:dyDescent="0.25">
      <c r="A4033" s="66"/>
    </row>
    <row r="4034" spans="1:1" x14ac:dyDescent="0.25">
      <c r="A4034" s="66"/>
    </row>
    <row r="4035" spans="1:1" x14ac:dyDescent="0.25">
      <c r="A4035" s="66"/>
    </row>
    <row r="4036" spans="1:1" x14ac:dyDescent="0.25">
      <c r="A4036" s="66"/>
    </row>
    <row r="4037" spans="1:1" x14ac:dyDescent="0.25">
      <c r="A4037" s="66"/>
    </row>
    <row r="4038" spans="1:1" x14ac:dyDescent="0.25">
      <c r="A4038" s="66"/>
    </row>
    <row r="4039" spans="1:1" x14ac:dyDescent="0.25">
      <c r="A4039" s="66"/>
    </row>
    <row r="4040" spans="1:1" x14ac:dyDescent="0.25">
      <c r="A4040" s="66"/>
    </row>
    <row r="4041" spans="1:1" x14ac:dyDescent="0.25">
      <c r="A4041" s="66"/>
    </row>
    <row r="4042" spans="1:1" x14ac:dyDescent="0.25">
      <c r="A4042" s="66"/>
    </row>
    <row r="4043" spans="1:1" x14ac:dyDescent="0.25">
      <c r="A4043" s="66"/>
    </row>
    <row r="4044" spans="1:1" x14ac:dyDescent="0.25">
      <c r="A4044" s="66"/>
    </row>
    <row r="4045" spans="1:1" x14ac:dyDescent="0.25">
      <c r="A4045" s="66"/>
    </row>
    <row r="4046" spans="1:1" x14ac:dyDescent="0.25">
      <c r="A4046" s="66"/>
    </row>
    <row r="4047" spans="1:1" x14ac:dyDescent="0.25">
      <c r="A4047" s="66"/>
    </row>
    <row r="4048" spans="1:1" x14ac:dyDescent="0.25">
      <c r="A4048" s="66"/>
    </row>
    <row r="4049" spans="1:1" x14ac:dyDescent="0.25">
      <c r="A4049" s="66"/>
    </row>
    <row r="4050" spans="1:1" x14ac:dyDescent="0.25">
      <c r="A4050" s="66"/>
    </row>
    <row r="4051" spans="1:1" x14ac:dyDescent="0.25">
      <c r="A4051" s="66"/>
    </row>
    <row r="4052" spans="1:1" x14ac:dyDescent="0.25">
      <c r="A4052" s="66"/>
    </row>
    <row r="4053" spans="1:1" x14ac:dyDescent="0.25">
      <c r="A4053" s="66"/>
    </row>
    <row r="4054" spans="1:1" x14ac:dyDescent="0.25">
      <c r="A4054" s="66"/>
    </row>
    <row r="4055" spans="1:1" x14ac:dyDescent="0.25">
      <c r="A4055" s="66"/>
    </row>
    <row r="4056" spans="1:1" x14ac:dyDescent="0.25">
      <c r="A4056" s="66"/>
    </row>
    <row r="4057" spans="1:1" x14ac:dyDescent="0.25">
      <c r="A4057" s="66"/>
    </row>
    <row r="4058" spans="1:1" x14ac:dyDescent="0.25">
      <c r="A4058" s="66"/>
    </row>
    <row r="4059" spans="1:1" x14ac:dyDescent="0.25">
      <c r="A4059" s="66"/>
    </row>
    <row r="4060" spans="1:1" x14ac:dyDescent="0.25">
      <c r="A4060" s="66"/>
    </row>
    <row r="4061" spans="1:1" x14ac:dyDescent="0.25">
      <c r="A4061" s="66"/>
    </row>
    <row r="4062" spans="1:1" x14ac:dyDescent="0.25">
      <c r="A4062" s="66"/>
    </row>
    <row r="4063" spans="1:1" x14ac:dyDescent="0.25">
      <c r="A4063" s="66"/>
    </row>
    <row r="4064" spans="1:1" x14ac:dyDescent="0.25">
      <c r="A4064" s="66"/>
    </row>
    <row r="4065" spans="1:1" x14ac:dyDescent="0.25">
      <c r="A4065" s="66"/>
    </row>
    <row r="4066" spans="1:1" x14ac:dyDescent="0.25">
      <c r="A4066" s="66"/>
    </row>
    <row r="4067" spans="1:1" x14ac:dyDescent="0.25">
      <c r="A4067" s="66"/>
    </row>
    <row r="4068" spans="1:1" x14ac:dyDescent="0.25">
      <c r="A4068" s="66"/>
    </row>
    <row r="4069" spans="1:1" x14ac:dyDescent="0.25">
      <c r="A4069" s="66"/>
    </row>
    <row r="4070" spans="1:1" x14ac:dyDescent="0.25">
      <c r="A4070" s="66"/>
    </row>
    <row r="4071" spans="1:1" x14ac:dyDescent="0.25">
      <c r="A4071" s="66"/>
    </row>
    <row r="4072" spans="1:1" x14ac:dyDescent="0.25">
      <c r="A4072" s="66"/>
    </row>
    <row r="4073" spans="1:1" x14ac:dyDescent="0.25">
      <c r="A4073" s="66"/>
    </row>
    <row r="4074" spans="1:1" x14ac:dyDescent="0.25">
      <c r="A4074" s="66"/>
    </row>
    <row r="4075" spans="1:1" x14ac:dyDescent="0.25">
      <c r="A4075" s="66"/>
    </row>
    <row r="4076" spans="1:1" x14ac:dyDescent="0.25">
      <c r="A4076" s="66"/>
    </row>
    <row r="4077" spans="1:1" x14ac:dyDescent="0.25">
      <c r="A4077" s="66"/>
    </row>
    <row r="4078" spans="1:1" x14ac:dyDescent="0.25">
      <c r="A4078" s="66"/>
    </row>
    <row r="4079" spans="1:1" x14ac:dyDescent="0.25">
      <c r="A4079" s="66"/>
    </row>
    <row r="4080" spans="1:1" x14ac:dyDescent="0.25">
      <c r="A4080" s="66"/>
    </row>
    <row r="4081" spans="1:1" x14ac:dyDescent="0.25">
      <c r="A4081" s="66"/>
    </row>
    <row r="4082" spans="1:1" x14ac:dyDescent="0.25">
      <c r="A4082" s="66"/>
    </row>
    <row r="4083" spans="1:1" x14ac:dyDescent="0.25">
      <c r="A4083" s="66"/>
    </row>
    <row r="4084" spans="1:1" x14ac:dyDescent="0.25">
      <c r="A4084" s="66"/>
    </row>
    <row r="4085" spans="1:1" x14ac:dyDescent="0.25">
      <c r="A4085" s="66"/>
    </row>
    <row r="4086" spans="1:1" x14ac:dyDescent="0.25">
      <c r="A4086" s="66"/>
    </row>
    <row r="4087" spans="1:1" x14ac:dyDescent="0.25">
      <c r="A4087" s="66"/>
    </row>
    <row r="4088" spans="1:1" x14ac:dyDescent="0.25">
      <c r="A4088" s="66"/>
    </row>
    <row r="4089" spans="1:1" x14ac:dyDescent="0.25">
      <c r="A4089" s="66"/>
    </row>
    <row r="4090" spans="1:1" x14ac:dyDescent="0.25">
      <c r="A4090" s="66"/>
    </row>
    <row r="4091" spans="1:1" x14ac:dyDescent="0.25">
      <c r="A4091" s="66"/>
    </row>
    <row r="4092" spans="1:1" x14ac:dyDescent="0.25">
      <c r="A4092" s="66"/>
    </row>
    <row r="4093" spans="1:1" x14ac:dyDescent="0.25">
      <c r="A4093" s="66"/>
    </row>
    <row r="4094" spans="1:1" x14ac:dyDescent="0.25">
      <c r="A4094" s="66"/>
    </row>
    <row r="4095" spans="1:1" x14ac:dyDescent="0.25">
      <c r="A4095" s="66"/>
    </row>
    <row r="4096" spans="1:1" x14ac:dyDescent="0.25">
      <c r="A4096" s="66"/>
    </row>
    <row r="4097" spans="1:1" x14ac:dyDescent="0.25">
      <c r="A4097" s="66"/>
    </row>
    <row r="4098" spans="1:1" x14ac:dyDescent="0.25">
      <c r="A4098" s="66"/>
    </row>
    <row r="4099" spans="1:1" x14ac:dyDescent="0.25">
      <c r="A4099" s="66"/>
    </row>
    <row r="4100" spans="1:1" x14ac:dyDescent="0.25">
      <c r="A4100" s="66"/>
    </row>
    <row r="4101" spans="1:1" x14ac:dyDescent="0.25">
      <c r="A4101" s="66"/>
    </row>
    <row r="4102" spans="1:1" x14ac:dyDescent="0.25">
      <c r="A4102" s="66"/>
    </row>
    <row r="4103" spans="1:1" x14ac:dyDescent="0.25">
      <c r="A4103" s="66"/>
    </row>
    <row r="4104" spans="1:1" x14ac:dyDescent="0.25">
      <c r="A4104" s="66"/>
    </row>
    <row r="4105" spans="1:1" x14ac:dyDescent="0.25">
      <c r="A4105" s="66"/>
    </row>
    <row r="4106" spans="1:1" x14ac:dyDescent="0.25">
      <c r="A4106" s="66"/>
    </row>
    <row r="4107" spans="1:1" x14ac:dyDescent="0.25">
      <c r="A4107" s="66"/>
    </row>
    <row r="4108" spans="1:1" x14ac:dyDescent="0.25">
      <c r="A4108" s="66"/>
    </row>
    <row r="4109" spans="1:1" x14ac:dyDescent="0.25">
      <c r="A4109" s="66"/>
    </row>
    <row r="4110" spans="1:1" x14ac:dyDescent="0.25">
      <c r="A4110" s="66"/>
    </row>
    <row r="4111" spans="1:1" x14ac:dyDescent="0.25">
      <c r="A4111" s="66"/>
    </row>
    <row r="4112" spans="1:1" x14ac:dyDescent="0.25">
      <c r="A4112" s="66"/>
    </row>
    <row r="4113" spans="1:1" x14ac:dyDescent="0.25">
      <c r="A4113" s="66"/>
    </row>
    <row r="4114" spans="1:1" x14ac:dyDescent="0.25">
      <c r="A4114" s="66"/>
    </row>
    <row r="4115" spans="1:1" x14ac:dyDescent="0.25">
      <c r="A4115" s="66"/>
    </row>
    <row r="4116" spans="1:1" x14ac:dyDescent="0.25">
      <c r="A4116" s="66"/>
    </row>
    <row r="4117" spans="1:1" x14ac:dyDescent="0.25">
      <c r="A4117" s="66"/>
    </row>
    <row r="4118" spans="1:1" x14ac:dyDescent="0.25">
      <c r="A4118" s="66"/>
    </row>
    <row r="4119" spans="1:1" x14ac:dyDescent="0.25">
      <c r="A4119" s="66"/>
    </row>
    <row r="4120" spans="1:1" x14ac:dyDescent="0.25">
      <c r="A4120" s="66"/>
    </row>
    <row r="4121" spans="1:1" x14ac:dyDescent="0.25">
      <c r="A4121" s="66"/>
    </row>
    <row r="4122" spans="1:1" x14ac:dyDescent="0.25">
      <c r="A4122" s="66"/>
    </row>
    <row r="4123" spans="1:1" x14ac:dyDescent="0.25">
      <c r="A4123" s="66"/>
    </row>
    <row r="4124" spans="1:1" x14ac:dyDescent="0.25">
      <c r="A4124" s="66"/>
    </row>
    <row r="4125" spans="1:1" x14ac:dyDescent="0.25">
      <c r="A4125" s="66"/>
    </row>
    <row r="4126" spans="1:1" x14ac:dyDescent="0.25">
      <c r="A4126" s="66"/>
    </row>
    <row r="4127" spans="1:1" x14ac:dyDescent="0.25">
      <c r="A4127" s="66"/>
    </row>
    <row r="4128" spans="1:1" x14ac:dyDescent="0.25">
      <c r="A4128" s="66"/>
    </row>
    <row r="4129" spans="1:1" x14ac:dyDescent="0.25">
      <c r="A4129" s="66"/>
    </row>
    <row r="4130" spans="1:1" x14ac:dyDescent="0.25">
      <c r="A4130" s="66"/>
    </row>
    <row r="4131" spans="1:1" x14ac:dyDescent="0.25">
      <c r="A4131" s="66"/>
    </row>
    <row r="4132" spans="1:1" x14ac:dyDescent="0.25">
      <c r="A4132" s="66"/>
    </row>
    <row r="4133" spans="1:1" x14ac:dyDescent="0.25">
      <c r="A4133" s="66"/>
    </row>
    <row r="4134" spans="1:1" x14ac:dyDescent="0.25">
      <c r="A4134" s="66"/>
    </row>
    <row r="4135" spans="1:1" x14ac:dyDescent="0.25">
      <c r="A4135" s="66"/>
    </row>
    <row r="4136" spans="1:1" x14ac:dyDescent="0.25">
      <c r="A4136" s="66"/>
    </row>
    <row r="4137" spans="1:1" x14ac:dyDescent="0.25">
      <c r="A4137" s="66"/>
    </row>
    <row r="4138" spans="1:1" x14ac:dyDescent="0.25">
      <c r="A4138" s="66"/>
    </row>
    <row r="4139" spans="1:1" x14ac:dyDescent="0.25">
      <c r="A4139" s="66"/>
    </row>
    <row r="4140" spans="1:1" x14ac:dyDescent="0.25">
      <c r="A4140" s="66"/>
    </row>
    <row r="4141" spans="1:1" x14ac:dyDescent="0.25">
      <c r="A4141" s="66"/>
    </row>
    <row r="4142" spans="1:1" x14ac:dyDescent="0.25">
      <c r="A4142" s="66"/>
    </row>
    <row r="4143" spans="1:1" x14ac:dyDescent="0.25">
      <c r="A4143" s="66"/>
    </row>
    <row r="4144" spans="1:1" x14ac:dyDescent="0.25">
      <c r="A4144" s="66"/>
    </row>
    <row r="4145" spans="1:1" x14ac:dyDescent="0.25">
      <c r="A4145" s="66"/>
    </row>
    <row r="4146" spans="1:1" x14ac:dyDescent="0.25">
      <c r="A4146" s="66"/>
    </row>
    <row r="4147" spans="1:1" x14ac:dyDescent="0.25">
      <c r="A4147" s="66"/>
    </row>
    <row r="4148" spans="1:1" x14ac:dyDescent="0.25">
      <c r="A4148" s="66"/>
    </row>
    <row r="4149" spans="1:1" x14ac:dyDescent="0.25">
      <c r="A4149" s="66"/>
    </row>
    <row r="4150" spans="1:1" x14ac:dyDescent="0.25">
      <c r="A4150" s="66"/>
    </row>
    <row r="4151" spans="1:1" x14ac:dyDescent="0.25">
      <c r="A4151" s="66"/>
    </row>
    <row r="4152" spans="1:1" x14ac:dyDescent="0.25">
      <c r="A4152" s="66"/>
    </row>
    <row r="4153" spans="1:1" x14ac:dyDescent="0.25">
      <c r="A4153" s="66"/>
    </row>
    <row r="4154" spans="1:1" x14ac:dyDescent="0.25">
      <c r="A4154" s="66"/>
    </row>
    <row r="4155" spans="1:1" x14ac:dyDescent="0.25">
      <c r="A4155" s="66"/>
    </row>
    <row r="4156" spans="1:1" x14ac:dyDescent="0.25">
      <c r="A4156" s="66"/>
    </row>
    <row r="4157" spans="1:1" x14ac:dyDescent="0.25">
      <c r="A4157" s="66"/>
    </row>
    <row r="4158" spans="1:1" x14ac:dyDescent="0.25">
      <c r="A4158" s="66"/>
    </row>
    <row r="4159" spans="1:1" x14ac:dyDescent="0.25">
      <c r="A4159" s="66"/>
    </row>
    <row r="4160" spans="1:1" x14ac:dyDescent="0.25">
      <c r="A4160" s="66"/>
    </row>
    <row r="4161" spans="1:1" x14ac:dyDescent="0.25">
      <c r="A4161" s="66"/>
    </row>
    <row r="4162" spans="1:1" x14ac:dyDescent="0.25">
      <c r="A4162" s="66"/>
    </row>
    <row r="4163" spans="1:1" x14ac:dyDescent="0.25">
      <c r="A4163" s="66"/>
    </row>
    <row r="4164" spans="1:1" x14ac:dyDescent="0.25">
      <c r="A4164" s="66"/>
    </row>
    <row r="4165" spans="1:1" x14ac:dyDescent="0.25">
      <c r="A4165" s="66"/>
    </row>
    <row r="4166" spans="1:1" x14ac:dyDescent="0.25">
      <c r="A4166" s="66"/>
    </row>
    <row r="4167" spans="1:1" x14ac:dyDescent="0.25">
      <c r="A4167" s="66"/>
    </row>
    <row r="4168" spans="1:1" x14ac:dyDescent="0.25">
      <c r="A4168" s="66"/>
    </row>
    <row r="4169" spans="1:1" x14ac:dyDescent="0.25">
      <c r="A4169" s="66"/>
    </row>
    <row r="4170" spans="1:1" x14ac:dyDescent="0.25">
      <c r="A4170" s="66"/>
    </row>
    <row r="4171" spans="1:1" x14ac:dyDescent="0.25">
      <c r="A4171" s="66"/>
    </row>
    <row r="4172" spans="1:1" x14ac:dyDescent="0.25">
      <c r="A4172" s="66"/>
    </row>
    <row r="4173" spans="1:1" x14ac:dyDescent="0.25">
      <c r="A4173" s="66"/>
    </row>
    <row r="4174" spans="1:1" x14ac:dyDescent="0.25">
      <c r="A4174" s="66"/>
    </row>
    <row r="4175" spans="1:1" x14ac:dyDescent="0.25">
      <c r="A4175" s="66"/>
    </row>
    <row r="4176" spans="1:1" x14ac:dyDescent="0.25">
      <c r="A4176" s="66"/>
    </row>
    <row r="4177" spans="1:1" x14ac:dyDescent="0.25">
      <c r="A4177" s="66"/>
    </row>
    <row r="4178" spans="1:1" x14ac:dyDescent="0.25">
      <c r="A4178" s="66"/>
    </row>
    <row r="4179" spans="1:1" x14ac:dyDescent="0.25">
      <c r="A4179" s="66"/>
    </row>
    <row r="4180" spans="1:1" x14ac:dyDescent="0.25">
      <c r="A4180" s="66"/>
    </row>
    <row r="4181" spans="1:1" x14ac:dyDescent="0.25">
      <c r="A4181" s="66"/>
    </row>
    <row r="4182" spans="1:1" x14ac:dyDescent="0.25">
      <c r="A4182" s="66"/>
    </row>
    <row r="4183" spans="1:1" x14ac:dyDescent="0.25">
      <c r="A4183" s="66"/>
    </row>
    <row r="4184" spans="1:1" x14ac:dyDescent="0.25">
      <c r="A4184" s="66"/>
    </row>
    <row r="4185" spans="1:1" x14ac:dyDescent="0.25">
      <c r="A4185" s="66"/>
    </row>
    <row r="4186" spans="1:1" x14ac:dyDescent="0.25">
      <c r="A4186" s="66"/>
    </row>
    <row r="4187" spans="1:1" x14ac:dyDescent="0.25">
      <c r="A4187" s="66"/>
    </row>
    <row r="4188" spans="1:1" x14ac:dyDescent="0.25">
      <c r="A4188" s="66"/>
    </row>
    <row r="4189" spans="1:1" x14ac:dyDescent="0.25">
      <c r="A4189" s="66"/>
    </row>
    <row r="4190" spans="1:1" x14ac:dyDescent="0.25">
      <c r="A4190" s="66"/>
    </row>
    <row r="4191" spans="1:1" x14ac:dyDescent="0.25">
      <c r="A4191" s="66"/>
    </row>
    <row r="4192" spans="1:1" x14ac:dyDescent="0.25">
      <c r="A4192" s="66"/>
    </row>
    <row r="4193" spans="1:1" x14ac:dyDescent="0.25">
      <c r="A4193" s="66"/>
    </row>
    <row r="4194" spans="1:1" x14ac:dyDescent="0.25">
      <c r="A4194" s="66"/>
    </row>
    <row r="4195" spans="1:1" x14ac:dyDescent="0.25">
      <c r="A4195" s="66"/>
    </row>
    <row r="4196" spans="1:1" x14ac:dyDescent="0.25">
      <c r="A4196" s="66"/>
    </row>
    <row r="4197" spans="1:1" x14ac:dyDescent="0.25">
      <c r="A4197" s="66"/>
    </row>
    <row r="4198" spans="1:1" x14ac:dyDescent="0.25">
      <c r="A4198" s="66"/>
    </row>
    <row r="4199" spans="1:1" x14ac:dyDescent="0.25">
      <c r="A4199" s="66"/>
    </row>
    <row r="4200" spans="1:1" x14ac:dyDescent="0.25">
      <c r="A4200" s="66"/>
    </row>
    <row r="4201" spans="1:1" x14ac:dyDescent="0.25">
      <c r="A4201" s="66"/>
    </row>
    <row r="4202" spans="1:1" x14ac:dyDescent="0.25">
      <c r="A4202" s="66"/>
    </row>
    <row r="4203" spans="1:1" x14ac:dyDescent="0.25">
      <c r="A4203" s="66"/>
    </row>
    <row r="4204" spans="1:1" x14ac:dyDescent="0.25">
      <c r="A4204" s="66"/>
    </row>
    <row r="4205" spans="1:1" x14ac:dyDescent="0.25">
      <c r="A4205" s="66"/>
    </row>
    <row r="4206" spans="1:1" x14ac:dyDescent="0.25">
      <c r="A4206" s="66"/>
    </row>
    <row r="4207" spans="1:1" x14ac:dyDescent="0.25">
      <c r="A4207" s="66"/>
    </row>
    <row r="4208" spans="1:1" x14ac:dyDescent="0.25">
      <c r="A4208" s="66"/>
    </row>
    <row r="4209" spans="1:1" x14ac:dyDescent="0.25">
      <c r="A4209" s="66"/>
    </row>
    <row r="4210" spans="1:1" x14ac:dyDescent="0.25">
      <c r="A4210" s="66"/>
    </row>
    <row r="4211" spans="1:1" x14ac:dyDescent="0.25">
      <c r="A4211" s="66"/>
    </row>
    <row r="4212" spans="1:1" x14ac:dyDescent="0.25">
      <c r="A4212" s="66"/>
    </row>
    <row r="4213" spans="1:1" x14ac:dyDescent="0.25">
      <c r="A4213" s="66"/>
    </row>
    <row r="4214" spans="1:1" x14ac:dyDescent="0.25">
      <c r="A4214" s="66"/>
    </row>
    <row r="4215" spans="1:1" x14ac:dyDescent="0.25">
      <c r="A4215" s="66"/>
    </row>
    <row r="4216" spans="1:1" x14ac:dyDescent="0.25">
      <c r="A4216" s="66"/>
    </row>
    <row r="4217" spans="1:1" x14ac:dyDescent="0.25">
      <c r="A4217" s="66"/>
    </row>
    <row r="4218" spans="1:1" x14ac:dyDescent="0.25">
      <c r="A4218" s="66"/>
    </row>
    <row r="4219" spans="1:1" x14ac:dyDescent="0.25">
      <c r="A4219" s="66"/>
    </row>
    <row r="4220" spans="1:1" x14ac:dyDescent="0.25">
      <c r="A4220" s="66"/>
    </row>
    <row r="4221" spans="1:1" x14ac:dyDescent="0.25">
      <c r="A4221" s="66"/>
    </row>
    <row r="4222" spans="1:1" x14ac:dyDescent="0.25">
      <c r="A4222" s="66"/>
    </row>
    <row r="4223" spans="1:1" x14ac:dyDescent="0.25">
      <c r="A4223" s="66"/>
    </row>
    <row r="4224" spans="1:1" x14ac:dyDescent="0.25">
      <c r="A4224" s="66"/>
    </row>
    <row r="4225" spans="1:1" x14ac:dyDescent="0.25">
      <c r="A4225" s="66"/>
    </row>
    <row r="4226" spans="1:1" x14ac:dyDescent="0.25">
      <c r="A4226" s="66"/>
    </row>
    <row r="4227" spans="1:1" x14ac:dyDescent="0.25">
      <c r="A4227" s="66"/>
    </row>
    <row r="4228" spans="1:1" x14ac:dyDescent="0.25">
      <c r="A4228" s="66"/>
    </row>
    <row r="4229" spans="1:1" x14ac:dyDescent="0.25">
      <c r="A4229" s="66"/>
    </row>
    <row r="4230" spans="1:1" x14ac:dyDescent="0.25">
      <c r="A4230" s="66"/>
    </row>
    <row r="4231" spans="1:1" x14ac:dyDescent="0.25">
      <c r="A4231" s="66"/>
    </row>
    <row r="4232" spans="1:1" x14ac:dyDescent="0.25">
      <c r="A4232" s="66"/>
    </row>
    <row r="4233" spans="1:1" x14ac:dyDescent="0.25">
      <c r="A4233" s="66"/>
    </row>
    <row r="4234" spans="1:1" x14ac:dyDescent="0.25">
      <c r="A4234" s="66"/>
    </row>
    <row r="4235" spans="1:1" x14ac:dyDescent="0.25">
      <c r="A4235" s="66"/>
    </row>
    <row r="4236" spans="1:1" x14ac:dyDescent="0.25">
      <c r="A4236" s="66"/>
    </row>
    <row r="4237" spans="1:1" x14ac:dyDescent="0.25">
      <c r="A4237" s="66"/>
    </row>
    <row r="4238" spans="1:1" x14ac:dyDescent="0.25">
      <c r="A4238" s="66"/>
    </row>
    <row r="4239" spans="1:1" x14ac:dyDescent="0.25">
      <c r="A4239" s="66"/>
    </row>
    <row r="4240" spans="1:1" x14ac:dyDescent="0.25">
      <c r="A4240" s="66"/>
    </row>
    <row r="4241" spans="1:1" x14ac:dyDescent="0.25">
      <c r="A4241" s="66"/>
    </row>
    <row r="4242" spans="1:1" x14ac:dyDescent="0.25">
      <c r="A4242" s="66"/>
    </row>
    <row r="4243" spans="1:1" x14ac:dyDescent="0.25">
      <c r="A4243" s="66"/>
    </row>
    <row r="4244" spans="1:1" x14ac:dyDescent="0.25">
      <c r="A4244" s="66"/>
    </row>
    <row r="4245" spans="1:1" x14ac:dyDescent="0.25">
      <c r="A4245" s="66"/>
    </row>
    <row r="4246" spans="1:1" x14ac:dyDescent="0.25">
      <c r="A4246" s="66"/>
    </row>
    <row r="4247" spans="1:1" x14ac:dyDescent="0.25">
      <c r="A4247" s="66"/>
    </row>
    <row r="4248" spans="1:1" x14ac:dyDescent="0.25">
      <c r="A4248" s="66"/>
    </row>
    <row r="4249" spans="1:1" x14ac:dyDescent="0.25">
      <c r="A4249" s="66"/>
    </row>
    <row r="4250" spans="1:1" x14ac:dyDescent="0.25">
      <c r="A4250" s="66"/>
    </row>
    <row r="4251" spans="1:1" x14ac:dyDescent="0.25">
      <c r="A4251" s="66"/>
    </row>
    <row r="4252" spans="1:1" x14ac:dyDescent="0.25">
      <c r="A4252" s="66"/>
    </row>
    <row r="4253" spans="1:1" x14ac:dyDescent="0.25">
      <c r="A4253" s="66"/>
    </row>
    <row r="4254" spans="1:1" x14ac:dyDescent="0.25">
      <c r="A4254" s="66"/>
    </row>
    <row r="4255" spans="1:1" x14ac:dyDescent="0.25">
      <c r="A4255" s="66"/>
    </row>
    <row r="4256" spans="1:1" x14ac:dyDescent="0.25">
      <c r="A4256" s="66"/>
    </row>
    <row r="4257" spans="1:1" x14ac:dyDescent="0.25">
      <c r="A4257" s="66"/>
    </row>
    <row r="4258" spans="1:1" x14ac:dyDescent="0.25">
      <c r="A4258" s="66"/>
    </row>
    <row r="4259" spans="1:1" x14ac:dyDescent="0.25">
      <c r="A4259" s="66"/>
    </row>
    <row r="4260" spans="1:1" x14ac:dyDescent="0.25">
      <c r="A4260" s="66"/>
    </row>
    <row r="4261" spans="1:1" x14ac:dyDescent="0.25">
      <c r="A4261" s="66"/>
    </row>
    <row r="4262" spans="1:1" x14ac:dyDescent="0.25">
      <c r="A4262" s="66"/>
    </row>
    <row r="4263" spans="1:1" x14ac:dyDescent="0.25">
      <c r="A4263" s="66"/>
    </row>
    <row r="4264" spans="1:1" x14ac:dyDescent="0.25">
      <c r="A4264" s="66"/>
    </row>
    <row r="4265" spans="1:1" x14ac:dyDescent="0.25">
      <c r="A4265" s="66"/>
    </row>
    <row r="4266" spans="1:1" x14ac:dyDescent="0.25">
      <c r="A4266" s="66"/>
    </row>
    <row r="4267" spans="1:1" x14ac:dyDescent="0.25">
      <c r="A4267" s="66"/>
    </row>
    <row r="4268" spans="1:1" x14ac:dyDescent="0.25">
      <c r="A4268" s="66"/>
    </row>
    <row r="4269" spans="1:1" x14ac:dyDescent="0.25">
      <c r="A4269" s="66"/>
    </row>
    <row r="4270" spans="1:1" x14ac:dyDescent="0.25">
      <c r="A4270" s="66"/>
    </row>
    <row r="4271" spans="1:1" x14ac:dyDescent="0.25">
      <c r="A4271" s="66"/>
    </row>
    <row r="4272" spans="1:1" x14ac:dyDescent="0.25">
      <c r="A4272" s="66"/>
    </row>
    <row r="4273" spans="1:1" x14ac:dyDescent="0.25">
      <c r="A4273" s="66"/>
    </row>
    <row r="4274" spans="1:1" x14ac:dyDescent="0.25">
      <c r="A4274" s="66"/>
    </row>
    <row r="4275" spans="1:1" x14ac:dyDescent="0.25">
      <c r="A4275" s="66"/>
    </row>
    <row r="4276" spans="1:1" x14ac:dyDescent="0.25">
      <c r="A4276" s="66"/>
    </row>
    <row r="4277" spans="1:1" x14ac:dyDescent="0.25">
      <c r="A4277" s="66"/>
    </row>
    <row r="4278" spans="1:1" x14ac:dyDescent="0.25">
      <c r="A4278" s="66"/>
    </row>
    <row r="4279" spans="1:1" x14ac:dyDescent="0.25">
      <c r="A4279" s="66"/>
    </row>
    <row r="4280" spans="1:1" x14ac:dyDescent="0.25">
      <c r="A4280" s="66"/>
    </row>
    <row r="4281" spans="1:1" x14ac:dyDescent="0.25">
      <c r="A4281" s="66"/>
    </row>
    <row r="4282" spans="1:1" x14ac:dyDescent="0.25">
      <c r="A4282" s="66"/>
    </row>
    <row r="4283" spans="1:1" x14ac:dyDescent="0.25">
      <c r="A4283" s="66"/>
    </row>
    <row r="4284" spans="1:1" x14ac:dyDescent="0.25">
      <c r="A4284" s="66"/>
    </row>
    <row r="4285" spans="1:1" x14ac:dyDescent="0.25">
      <c r="A4285" s="66"/>
    </row>
    <row r="4286" spans="1:1" x14ac:dyDescent="0.25">
      <c r="A4286" s="66"/>
    </row>
    <row r="4287" spans="1:1" x14ac:dyDescent="0.25">
      <c r="A4287" s="66"/>
    </row>
    <row r="4288" spans="1:1" x14ac:dyDescent="0.25">
      <c r="A4288" s="66"/>
    </row>
    <row r="4289" spans="1:1" x14ac:dyDescent="0.25">
      <c r="A4289" s="66"/>
    </row>
    <row r="4290" spans="1:1" x14ac:dyDescent="0.25">
      <c r="A4290" s="66"/>
    </row>
    <row r="4291" spans="1:1" x14ac:dyDescent="0.25">
      <c r="A4291" s="66"/>
    </row>
    <row r="4292" spans="1:1" x14ac:dyDescent="0.25">
      <c r="A4292" s="66"/>
    </row>
    <row r="4293" spans="1:1" x14ac:dyDescent="0.25">
      <c r="A4293" s="66"/>
    </row>
    <row r="4294" spans="1:1" x14ac:dyDescent="0.25">
      <c r="A4294" s="66"/>
    </row>
    <row r="4295" spans="1:1" x14ac:dyDescent="0.25">
      <c r="A4295" s="66"/>
    </row>
    <row r="4296" spans="1:1" x14ac:dyDescent="0.25">
      <c r="A4296" s="66"/>
    </row>
    <row r="4297" spans="1:1" x14ac:dyDescent="0.25">
      <c r="A4297" s="66"/>
    </row>
    <row r="4298" spans="1:1" x14ac:dyDescent="0.25">
      <c r="A4298" s="66"/>
    </row>
    <row r="4299" spans="1:1" x14ac:dyDescent="0.25">
      <c r="A4299" s="66"/>
    </row>
    <row r="4300" spans="1:1" x14ac:dyDescent="0.25">
      <c r="A4300" s="66"/>
    </row>
    <row r="4301" spans="1:1" x14ac:dyDescent="0.25">
      <c r="A4301" s="66"/>
    </row>
    <row r="4302" spans="1:1" x14ac:dyDescent="0.25">
      <c r="A4302" s="66"/>
    </row>
    <row r="4303" spans="1:1" x14ac:dyDescent="0.25">
      <c r="A4303" s="66"/>
    </row>
    <row r="4304" spans="1:1" x14ac:dyDescent="0.25">
      <c r="A4304" s="66"/>
    </row>
    <row r="4305" spans="1:1" x14ac:dyDescent="0.25">
      <c r="A4305" s="66"/>
    </row>
    <row r="4306" spans="1:1" x14ac:dyDescent="0.25">
      <c r="A4306" s="66"/>
    </row>
    <row r="4307" spans="1:1" x14ac:dyDescent="0.25">
      <c r="A4307" s="66"/>
    </row>
    <row r="4308" spans="1:1" x14ac:dyDescent="0.25">
      <c r="A4308" s="66"/>
    </row>
    <row r="4309" spans="1:1" x14ac:dyDescent="0.25">
      <c r="A4309" s="66"/>
    </row>
    <row r="4310" spans="1:1" x14ac:dyDescent="0.25">
      <c r="A4310" s="66"/>
    </row>
    <row r="4311" spans="1:1" x14ac:dyDescent="0.25">
      <c r="A4311" s="66"/>
    </row>
    <row r="4312" spans="1:1" x14ac:dyDescent="0.25">
      <c r="A4312" s="66"/>
    </row>
    <row r="4313" spans="1:1" x14ac:dyDescent="0.25">
      <c r="A4313" s="66"/>
    </row>
    <row r="4314" spans="1:1" x14ac:dyDescent="0.25">
      <c r="A4314" s="66"/>
    </row>
    <row r="4315" spans="1:1" x14ac:dyDescent="0.25">
      <c r="A4315" s="66"/>
    </row>
    <row r="4316" spans="1:1" x14ac:dyDescent="0.25">
      <c r="A4316" s="66"/>
    </row>
    <row r="4317" spans="1:1" x14ac:dyDescent="0.25">
      <c r="A4317" s="66"/>
    </row>
    <row r="4318" spans="1:1" x14ac:dyDescent="0.25">
      <c r="A4318" s="66"/>
    </row>
    <row r="4319" spans="1:1" x14ac:dyDescent="0.25">
      <c r="A4319" s="66"/>
    </row>
    <row r="4320" spans="1:1" x14ac:dyDescent="0.25">
      <c r="A4320" s="66"/>
    </row>
    <row r="4321" spans="1:1" x14ac:dyDescent="0.25">
      <c r="A4321" s="66"/>
    </row>
    <row r="4322" spans="1:1" x14ac:dyDescent="0.25">
      <c r="A4322" s="66"/>
    </row>
    <row r="4323" spans="1:1" x14ac:dyDescent="0.25">
      <c r="A4323" s="66"/>
    </row>
    <row r="4324" spans="1:1" x14ac:dyDescent="0.25">
      <c r="A4324" s="66"/>
    </row>
    <row r="4325" spans="1:1" x14ac:dyDescent="0.25">
      <c r="A4325" s="66"/>
    </row>
    <row r="4326" spans="1:1" x14ac:dyDescent="0.25">
      <c r="A4326" s="66"/>
    </row>
    <row r="4327" spans="1:1" x14ac:dyDescent="0.25">
      <c r="A4327" s="66"/>
    </row>
    <row r="4328" spans="1:1" x14ac:dyDescent="0.25">
      <c r="A4328" s="66"/>
    </row>
    <row r="4329" spans="1:1" x14ac:dyDescent="0.25">
      <c r="A4329" s="66"/>
    </row>
    <row r="4330" spans="1:1" x14ac:dyDescent="0.25">
      <c r="A4330" s="66"/>
    </row>
    <row r="4331" spans="1:1" x14ac:dyDescent="0.25">
      <c r="A4331" s="66"/>
    </row>
    <row r="4332" spans="1:1" x14ac:dyDescent="0.25">
      <c r="A4332" s="66"/>
    </row>
    <row r="4333" spans="1:1" x14ac:dyDescent="0.25">
      <c r="A4333" s="66"/>
    </row>
    <row r="4334" spans="1:1" x14ac:dyDescent="0.25">
      <c r="A4334" s="66"/>
    </row>
    <row r="4335" spans="1:1" x14ac:dyDescent="0.25">
      <c r="A4335" s="66"/>
    </row>
    <row r="4336" spans="1:1" x14ac:dyDescent="0.25">
      <c r="A4336" s="66"/>
    </row>
    <row r="4337" spans="1:1" x14ac:dyDescent="0.25">
      <c r="A4337" s="66"/>
    </row>
    <row r="4338" spans="1:1" x14ac:dyDescent="0.25">
      <c r="A4338" s="66"/>
    </row>
    <row r="4339" spans="1:1" x14ac:dyDescent="0.25">
      <c r="A4339" s="66"/>
    </row>
    <row r="4340" spans="1:1" x14ac:dyDescent="0.25">
      <c r="A4340" s="66"/>
    </row>
    <row r="4341" spans="1:1" x14ac:dyDescent="0.25">
      <c r="A4341" s="66"/>
    </row>
    <row r="4342" spans="1:1" x14ac:dyDescent="0.25">
      <c r="A4342" s="66"/>
    </row>
    <row r="4343" spans="1:1" x14ac:dyDescent="0.25">
      <c r="A4343" s="66"/>
    </row>
    <row r="4344" spans="1:1" x14ac:dyDescent="0.25">
      <c r="A4344" s="66"/>
    </row>
    <row r="4345" spans="1:1" x14ac:dyDescent="0.25">
      <c r="A4345" s="66"/>
    </row>
    <row r="4346" spans="1:1" x14ac:dyDescent="0.25">
      <c r="A4346" s="66"/>
    </row>
    <row r="4347" spans="1:1" x14ac:dyDescent="0.25">
      <c r="A4347" s="66"/>
    </row>
    <row r="4348" spans="1:1" x14ac:dyDescent="0.25">
      <c r="A4348" s="66"/>
    </row>
    <row r="4349" spans="1:1" x14ac:dyDescent="0.25">
      <c r="A4349" s="66"/>
    </row>
    <row r="4350" spans="1:1" x14ac:dyDescent="0.25">
      <c r="A4350" s="66"/>
    </row>
    <row r="4351" spans="1:1" x14ac:dyDescent="0.25">
      <c r="A4351" s="66"/>
    </row>
    <row r="4352" spans="1:1" x14ac:dyDescent="0.25">
      <c r="A4352" s="66"/>
    </row>
    <row r="4353" spans="1:1" x14ac:dyDescent="0.25">
      <c r="A4353" s="66"/>
    </row>
    <row r="4354" spans="1:1" x14ac:dyDescent="0.25">
      <c r="A4354" s="66"/>
    </row>
    <row r="4355" spans="1:1" x14ac:dyDescent="0.25">
      <c r="A4355" s="66"/>
    </row>
    <row r="4356" spans="1:1" x14ac:dyDescent="0.25">
      <c r="A4356" s="66"/>
    </row>
    <row r="4357" spans="1:1" x14ac:dyDescent="0.25">
      <c r="A4357" s="66"/>
    </row>
    <row r="4358" spans="1:1" x14ac:dyDescent="0.25">
      <c r="A4358" s="66"/>
    </row>
    <row r="4359" spans="1:1" x14ac:dyDescent="0.25">
      <c r="A4359" s="66"/>
    </row>
    <row r="4360" spans="1:1" x14ac:dyDescent="0.25">
      <c r="A4360" s="66"/>
    </row>
    <row r="4361" spans="1:1" x14ac:dyDescent="0.25">
      <c r="A4361" s="66"/>
    </row>
    <row r="4362" spans="1:1" x14ac:dyDescent="0.25">
      <c r="A4362" s="66"/>
    </row>
    <row r="4363" spans="1:1" x14ac:dyDescent="0.25">
      <c r="A4363" s="66"/>
    </row>
    <row r="4364" spans="1:1" x14ac:dyDescent="0.25">
      <c r="A4364" s="66"/>
    </row>
    <row r="4365" spans="1:1" x14ac:dyDescent="0.25">
      <c r="A4365" s="66"/>
    </row>
    <row r="4366" spans="1:1" x14ac:dyDescent="0.25">
      <c r="A4366" s="66"/>
    </row>
    <row r="4367" spans="1:1" x14ac:dyDescent="0.25">
      <c r="A4367" s="66"/>
    </row>
    <row r="4368" spans="1:1" x14ac:dyDescent="0.25">
      <c r="A4368" s="66"/>
    </row>
    <row r="4369" spans="1:1" x14ac:dyDescent="0.25">
      <c r="A4369" s="66"/>
    </row>
    <row r="4370" spans="1:1" x14ac:dyDescent="0.25">
      <c r="A4370" s="66"/>
    </row>
    <row r="4371" spans="1:1" x14ac:dyDescent="0.25">
      <c r="A4371" s="66"/>
    </row>
    <row r="4372" spans="1:1" x14ac:dyDescent="0.25">
      <c r="A4372" s="66"/>
    </row>
    <row r="4373" spans="1:1" x14ac:dyDescent="0.25">
      <c r="A4373" s="66"/>
    </row>
    <row r="4374" spans="1:1" x14ac:dyDescent="0.25">
      <c r="A4374" s="66"/>
    </row>
    <row r="4375" spans="1:1" x14ac:dyDescent="0.25">
      <c r="A4375" s="66"/>
    </row>
    <row r="4376" spans="1:1" x14ac:dyDescent="0.25">
      <c r="A4376" s="66"/>
    </row>
    <row r="4377" spans="1:1" x14ac:dyDescent="0.25">
      <c r="A4377" s="66"/>
    </row>
    <row r="4378" spans="1:1" x14ac:dyDescent="0.25">
      <c r="A4378" s="66"/>
    </row>
    <row r="4379" spans="1:1" x14ac:dyDescent="0.25">
      <c r="A4379" s="66"/>
    </row>
    <row r="4380" spans="1:1" x14ac:dyDescent="0.25">
      <c r="A4380" s="66"/>
    </row>
    <row r="4381" spans="1:1" x14ac:dyDescent="0.25">
      <c r="A4381" s="66"/>
    </row>
    <row r="4382" spans="1:1" x14ac:dyDescent="0.25">
      <c r="A4382" s="66"/>
    </row>
    <row r="4383" spans="1:1" x14ac:dyDescent="0.25">
      <c r="A4383" s="66"/>
    </row>
    <row r="4384" spans="1:1" x14ac:dyDescent="0.25">
      <c r="A4384" s="66"/>
    </row>
    <row r="4385" spans="1:1" x14ac:dyDescent="0.25">
      <c r="A4385" s="66"/>
    </row>
    <row r="4386" spans="1:1" x14ac:dyDescent="0.25">
      <c r="A4386" s="66"/>
    </row>
    <row r="4387" spans="1:1" x14ac:dyDescent="0.25">
      <c r="A4387" s="66"/>
    </row>
    <row r="4388" spans="1:1" x14ac:dyDescent="0.25">
      <c r="A4388" s="66"/>
    </row>
    <row r="4389" spans="1:1" x14ac:dyDescent="0.25">
      <c r="A4389" s="66"/>
    </row>
    <row r="4390" spans="1:1" x14ac:dyDescent="0.25">
      <c r="A4390" s="66"/>
    </row>
    <row r="4391" spans="1:1" x14ac:dyDescent="0.25">
      <c r="A4391" s="66"/>
    </row>
    <row r="4392" spans="1:1" x14ac:dyDescent="0.25">
      <c r="A4392" s="66"/>
    </row>
    <row r="4393" spans="1:1" x14ac:dyDescent="0.25">
      <c r="A4393" s="66"/>
    </row>
    <row r="4394" spans="1:1" x14ac:dyDescent="0.25">
      <c r="A4394" s="66"/>
    </row>
    <row r="4395" spans="1:1" x14ac:dyDescent="0.25">
      <c r="A4395" s="66"/>
    </row>
    <row r="4396" spans="1:1" x14ac:dyDescent="0.25">
      <c r="A4396" s="66"/>
    </row>
    <row r="4397" spans="1:1" x14ac:dyDescent="0.25">
      <c r="A4397" s="66"/>
    </row>
    <row r="4398" spans="1:1" x14ac:dyDescent="0.25">
      <c r="A4398" s="66"/>
    </row>
    <row r="4399" spans="1:1" x14ac:dyDescent="0.25">
      <c r="A4399" s="66"/>
    </row>
    <row r="4400" spans="1:1" x14ac:dyDescent="0.25">
      <c r="A4400" s="66"/>
    </row>
    <row r="4401" spans="1:1" x14ac:dyDescent="0.25">
      <c r="A4401" s="66"/>
    </row>
    <row r="4402" spans="1:1" x14ac:dyDescent="0.25">
      <c r="A4402" s="66"/>
    </row>
    <row r="4403" spans="1:1" x14ac:dyDescent="0.25">
      <c r="A4403" s="66"/>
    </row>
    <row r="4404" spans="1:1" x14ac:dyDescent="0.25">
      <c r="A4404" s="66"/>
    </row>
    <row r="4405" spans="1:1" x14ac:dyDescent="0.25">
      <c r="A4405" s="66"/>
    </row>
    <row r="4406" spans="1:1" x14ac:dyDescent="0.25">
      <c r="A4406" s="66"/>
    </row>
    <row r="4407" spans="1:1" x14ac:dyDescent="0.25">
      <c r="A4407" s="66"/>
    </row>
    <row r="4408" spans="1:1" x14ac:dyDescent="0.25">
      <c r="A4408" s="66"/>
    </row>
    <row r="4409" spans="1:1" x14ac:dyDescent="0.25">
      <c r="A4409" s="66"/>
    </row>
    <row r="4410" spans="1:1" x14ac:dyDescent="0.25">
      <c r="A4410" s="66"/>
    </row>
    <row r="4411" spans="1:1" x14ac:dyDescent="0.25">
      <c r="A4411" s="66"/>
    </row>
    <row r="4412" spans="1:1" x14ac:dyDescent="0.25">
      <c r="A4412" s="66"/>
    </row>
    <row r="4413" spans="1:1" x14ac:dyDescent="0.25">
      <c r="A4413" s="66"/>
    </row>
    <row r="4414" spans="1:1" x14ac:dyDescent="0.25">
      <c r="A4414" s="66"/>
    </row>
    <row r="4415" spans="1:1" x14ac:dyDescent="0.25">
      <c r="A4415" s="66"/>
    </row>
    <row r="4416" spans="1:1" x14ac:dyDescent="0.25">
      <c r="A4416" s="66"/>
    </row>
    <row r="4417" spans="1:1" x14ac:dyDescent="0.25">
      <c r="A4417" s="66"/>
    </row>
    <row r="4418" spans="1:1" x14ac:dyDescent="0.25">
      <c r="A4418" s="66"/>
    </row>
    <row r="4419" spans="1:1" x14ac:dyDescent="0.25">
      <c r="A4419" s="66"/>
    </row>
    <row r="4420" spans="1:1" x14ac:dyDescent="0.25">
      <c r="A4420" s="66"/>
    </row>
    <row r="4421" spans="1:1" x14ac:dyDescent="0.25">
      <c r="A4421" s="66"/>
    </row>
    <row r="4422" spans="1:1" x14ac:dyDescent="0.25">
      <c r="A4422" s="66"/>
    </row>
    <row r="4423" spans="1:1" x14ac:dyDescent="0.25">
      <c r="A4423" s="66"/>
    </row>
    <row r="4424" spans="1:1" x14ac:dyDescent="0.25">
      <c r="A4424" s="66"/>
    </row>
    <row r="4425" spans="1:1" x14ac:dyDescent="0.25">
      <c r="A4425" s="66"/>
    </row>
    <row r="4426" spans="1:1" x14ac:dyDescent="0.25">
      <c r="A4426" s="66"/>
    </row>
    <row r="4427" spans="1:1" x14ac:dyDescent="0.25">
      <c r="A4427" s="66"/>
    </row>
    <row r="4428" spans="1:1" x14ac:dyDescent="0.25">
      <c r="A4428" s="66"/>
    </row>
    <row r="4429" spans="1:1" x14ac:dyDescent="0.25">
      <c r="A4429" s="66"/>
    </row>
    <row r="4430" spans="1:1" x14ac:dyDescent="0.25">
      <c r="A4430" s="66"/>
    </row>
    <row r="4431" spans="1:1" x14ac:dyDescent="0.25">
      <c r="A4431" s="66"/>
    </row>
    <row r="4432" spans="1:1" x14ac:dyDescent="0.25">
      <c r="A4432" s="66"/>
    </row>
    <row r="4433" spans="1:1" x14ac:dyDescent="0.25">
      <c r="A4433" s="66"/>
    </row>
    <row r="4434" spans="1:1" x14ac:dyDescent="0.25">
      <c r="A4434" s="66"/>
    </row>
    <row r="4435" spans="1:1" x14ac:dyDescent="0.25">
      <c r="A4435" s="66"/>
    </row>
    <row r="4436" spans="1:1" x14ac:dyDescent="0.25">
      <c r="A4436" s="66"/>
    </row>
    <row r="4437" spans="1:1" x14ac:dyDescent="0.25">
      <c r="A4437" s="66"/>
    </row>
    <row r="4438" spans="1:1" x14ac:dyDescent="0.25">
      <c r="A4438" s="66"/>
    </row>
    <row r="4439" spans="1:1" x14ac:dyDescent="0.25">
      <c r="A4439" s="66"/>
    </row>
    <row r="4440" spans="1:1" x14ac:dyDescent="0.25">
      <c r="A4440" s="66"/>
    </row>
    <row r="4441" spans="1:1" x14ac:dyDescent="0.25">
      <c r="A4441" s="66"/>
    </row>
    <row r="4442" spans="1:1" x14ac:dyDescent="0.25">
      <c r="A4442" s="66"/>
    </row>
    <row r="4443" spans="1:1" x14ac:dyDescent="0.25">
      <c r="A4443" s="66"/>
    </row>
    <row r="4444" spans="1:1" x14ac:dyDescent="0.25">
      <c r="A4444" s="66"/>
    </row>
    <row r="4445" spans="1:1" x14ac:dyDescent="0.25">
      <c r="A4445" s="66"/>
    </row>
    <row r="4446" spans="1:1" x14ac:dyDescent="0.25">
      <c r="A4446" s="66"/>
    </row>
    <row r="4447" spans="1:1" x14ac:dyDescent="0.25">
      <c r="A4447" s="66"/>
    </row>
    <row r="4448" spans="1:1" x14ac:dyDescent="0.25">
      <c r="A4448" s="66"/>
    </row>
    <row r="4449" spans="1:1" x14ac:dyDescent="0.25">
      <c r="A4449" s="66"/>
    </row>
    <row r="4450" spans="1:1" x14ac:dyDescent="0.25">
      <c r="A4450" s="66"/>
    </row>
    <row r="4451" spans="1:1" x14ac:dyDescent="0.25">
      <c r="A4451" s="66"/>
    </row>
    <row r="4452" spans="1:1" x14ac:dyDescent="0.25">
      <c r="A4452" s="66"/>
    </row>
    <row r="4453" spans="1:1" x14ac:dyDescent="0.25">
      <c r="A4453" s="66"/>
    </row>
    <row r="4454" spans="1:1" x14ac:dyDescent="0.25">
      <c r="A4454" s="66"/>
    </row>
    <row r="4455" spans="1:1" x14ac:dyDescent="0.25">
      <c r="A4455" s="66"/>
    </row>
    <row r="4456" spans="1:1" x14ac:dyDescent="0.25">
      <c r="A4456" s="66"/>
    </row>
    <row r="4457" spans="1:1" x14ac:dyDescent="0.25">
      <c r="A4457" s="66"/>
    </row>
    <row r="4458" spans="1:1" x14ac:dyDescent="0.25">
      <c r="A4458" s="66"/>
    </row>
    <row r="4459" spans="1:1" x14ac:dyDescent="0.25">
      <c r="A4459" s="66"/>
    </row>
    <row r="4460" spans="1:1" x14ac:dyDescent="0.25">
      <c r="A4460" s="66"/>
    </row>
    <row r="4461" spans="1:1" x14ac:dyDescent="0.25">
      <c r="A4461" s="66"/>
    </row>
    <row r="4462" spans="1:1" x14ac:dyDescent="0.25">
      <c r="A4462" s="66"/>
    </row>
    <row r="4463" spans="1:1" x14ac:dyDescent="0.25">
      <c r="A4463" s="66"/>
    </row>
    <row r="4464" spans="1:1" x14ac:dyDescent="0.25">
      <c r="A4464" s="66"/>
    </row>
    <row r="4465" spans="1:1" x14ac:dyDescent="0.25">
      <c r="A4465" s="66"/>
    </row>
    <row r="4466" spans="1:1" x14ac:dyDescent="0.25">
      <c r="A4466" s="66"/>
    </row>
    <row r="4467" spans="1:1" x14ac:dyDescent="0.25">
      <c r="A4467" s="66"/>
    </row>
    <row r="4468" spans="1:1" x14ac:dyDescent="0.25">
      <c r="A4468" s="66"/>
    </row>
    <row r="4469" spans="1:1" x14ac:dyDescent="0.25">
      <c r="A4469" s="66"/>
    </row>
    <row r="4470" spans="1:1" x14ac:dyDescent="0.25">
      <c r="A4470" s="66"/>
    </row>
    <row r="4471" spans="1:1" x14ac:dyDescent="0.25">
      <c r="A4471" s="66"/>
    </row>
    <row r="4472" spans="1:1" x14ac:dyDescent="0.25">
      <c r="A4472" s="66"/>
    </row>
    <row r="4473" spans="1:1" x14ac:dyDescent="0.25">
      <c r="A4473" s="66"/>
    </row>
    <row r="4474" spans="1:1" x14ac:dyDescent="0.25">
      <c r="A4474" s="66"/>
    </row>
    <row r="4475" spans="1:1" x14ac:dyDescent="0.25">
      <c r="A4475" s="66"/>
    </row>
    <row r="4476" spans="1:1" x14ac:dyDescent="0.25">
      <c r="A4476" s="66"/>
    </row>
    <row r="4477" spans="1:1" x14ac:dyDescent="0.25">
      <c r="A4477" s="66"/>
    </row>
    <row r="4478" spans="1:1" x14ac:dyDescent="0.25">
      <c r="A4478" s="66"/>
    </row>
    <row r="4479" spans="1:1" x14ac:dyDescent="0.25">
      <c r="A4479" s="66"/>
    </row>
    <row r="4480" spans="1:1" x14ac:dyDescent="0.25">
      <c r="A4480" s="66"/>
    </row>
    <row r="4481" spans="1:1" x14ac:dyDescent="0.25">
      <c r="A4481" s="66"/>
    </row>
    <row r="4482" spans="1:1" x14ac:dyDescent="0.25">
      <c r="A4482" s="66"/>
    </row>
    <row r="4483" spans="1:1" x14ac:dyDescent="0.25">
      <c r="A4483" s="66"/>
    </row>
    <row r="4484" spans="1:1" x14ac:dyDescent="0.25">
      <c r="A4484" s="66"/>
    </row>
    <row r="4485" spans="1:1" x14ac:dyDescent="0.25">
      <c r="A4485" s="66"/>
    </row>
    <row r="4486" spans="1:1" x14ac:dyDescent="0.25">
      <c r="A4486" s="66"/>
    </row>
    <row r="4487" spans="1:1" x14ac:dyDescent="0.25">
      <c r="A4487" s="66"/>
    </row>
    <row r="4488" spans="1:1" x14ac:dyDescent="0.25">
      <c r="A4488" s="66"/>
    </row>
    <row r="4489" spans="1:1" x14ac:dyDescent="0.25">
      <c r="A4489" s="66"/>
    </row>
    <row r="4490" spans="1:1" x14ac:dyDescent="0.25">
      <c r="A4490" s="66"/>
    </row>
    <row r="4491" spans="1:1" x14ac:dyDescent="0.25">
      <c r="A4491" s="66"/>
    </row>
    <row r="4492" spans="1:1" x14ac:dyDescent="0.25">
      <c r="A4492" s="66"/>
    </row>
    <row r="4493" spans="1:1" x14ac:dyDescent="0.25">
      <c r="A4493" s="66"/>
    </row>
    <row r="4494" spans="1:1" x14ac:dyDescent="0.25">
      <c r="A4494" s="66"/>
    </row>
    <row r="4495" spans="1:1" x14ac:dyDescent="0.25">
      <c r="A4495" s="66"/>
    </row>
    <row r="4496" spans="1:1" x14ac:dyDescent="0.25">
      <c r="A4496" s="66"/>
    </row>
    <row r="4497" spans="1:1" x14ac:dyDescent="0.25">
      <c r="A4497" s="66"/>
    </row>
    <row r="4498" spans="1:1" x14ac:dyDescent="0.25">
      <c r="A4498" s="66"/>
    </row>
    <row r="4499" spans="1:1" x14ac:dyDescent="0.25">
      <c r="A4499" s="66"/>
    </row>
    <row r="4500" spans="1:1" x14ac:dyDescent="0.25">
      <c r="A4500" s="66"/>
    </row>
    <row r="4501" spans="1:1" x14ac:dyDescent="0.25">
      <c r="A4501" s="66"/>
    </row>
    <row r="4502" spans="1:1" x14ac:dyDescent="0.25">
      <c r="A4502" s="66"/>
    </row>
    <row r="4503" spans="1:1" x14ac:dyDescent="0.25">
      <c r="A4503" s="66"/>
    </row>
    <row r="4504" spans="1:1" x14ac:dyDescent="0.25">
      <c r="A4504" s="66"/>
    </row>
    <row r="4505" spans="1:1" x14ac:dyDescent="0.25">
      <c r="A4505" s="66"/>
    </row>
    <row r="4506" spans="1:1" x14ac:dyDescent="0.25">
      <c r="A4506" s="66"/>
    </row>
    <row r="4507" spans="1:1" x14ac:dyDescent="0.25">
      <c r="A4507" s="66"/>
    </row>
    <row r="4508" spans="1:1" x14ac:dyDescent="0.25">
      <c r="A4508" s="66"/>
    </row>
    <row r="4509" spans="1:1" x14ac:dyDescent="0.25">
      <c r="A4509" s="66"/>
    </row>
    <row r="4510" spans="1:1" x14ac:dyDescent="0.25">
      <c r="A4510" s="66"/>
    </row>
    <row r="4511" spans="1:1" x14ac:dyDescent="0.25">
      <c r="A4511" s="66"/>
    </row>
    <row r="4512" spans="1:1" x14ac:dyDescent="0.25">
      <c r="A4512" s="66"/>
    </row>
    <row r="4513" spans="1:1" x14ac:dyDescent="0.25">
      <c r="A4513" s="66"/>
    </row>
    <row r="4514" spans="1:1" x14ac:dyDescent="0.25">
      <c r="A4514" s="66"/>
    </row>
    <row r="4515" spans="1:1" x14ac:dyDescent="0.25">
      <c r="A4515" s="66"/>
    </row>
    <row r="4516" spans="1:1" x14ac:dyDescent="0.25">
      <c r="A4516" s="66"/>
    </row>
    <row r="4517" spans="1:1" x14ac:dyDescent="0.25">
      <c r="A4517" s="66"/>
    </row>
    <row r="4518" spans="1:1" x14ac:dyDescent="0.25">
      <c r="A4518" s="66"/>
    </row>
    <row r="4519" spans="1:1" x14ac:dyDescent="0.25">
      <c r="A4519" s="66"/>
    </row>
    <row r="4520" spans="1:1" x14ac:dyDescent="0.25">
      <c r="A4520" s="66"/>
    </row>
    <row r="4521" spans="1:1" x14ac:dyDescent="0.25">
      <c r="A4521" s="66"/>
    </row>
    <row r="4522" spans="1:1" x14ac:dyDescent="0.25">
      <c r="A4522" s="66"/>
    </row>
    <row r="4523" spans="1:1" x14ac:dyDescent="0.25">
      <c r="A4523" s="66"/>
    </row>
    <row r="4524" spans="1:1" x14ac:dyDescent="0.25">
      <c r="A4524" s="66"/>
    </row>
    <row r="4525" spans="1:1" x14ac:dyDescent="0.25">
      <c r="A4525" s="66"/>
    </row>
    <row r="4526" spans="1:1" x14ac:dyDescent="0.25">
      <c r="A4526" s="66"/>
    </row>
    <row r="4527" spans="1:1" x14ac:dyDescent="0.25">
      <c r="A4527" s="66"/>
    </row>
    <row r="4528" spans="1:1" x14ac:dyDescent="0.25">
      <c r="A4528" s="66"/>
    </row>
    <row r="4529" spans="1:1" x14ac:dyDescent="0.25">
      <c r="A4529" s="66"/>
    </row>
    <row r="4530" spans="1:1" x14ac:dyDescent="0.25">
      <c r="A4530" s="66"/>
    </row>
    <row r="4531" spans="1:1" x14ac:dyDescent="0.25">
      <c r="A4531" s="66"/>
    </row>
    <row r="4532" spans="1:1" x14ac:dyDescent="0.25">
      <c r="A4532" s="66"/>
    </row>
    <row r="4533" spans="1:1" x14ac:dyDescent="0.25">
      <c r="A4533" s="66"/>
    </row>
    <row r="4534" spans="1:1" x14ac:dyDescent="0.25">
      <c r="A4534" s="66"/>
    </row>
    <row r="4535" spans="1:1" x14ac:dyDescent="0.25">
      <c r="A4535" s="66"/>
    </row>
    <row r="4536" spans="1:1" x14ac:dyDescent="0.25">
      <c r="A4536" s="66"/>
    </row>
    <row r="4537" spans="1:1" x14ac:dyDescent="0.25">
      <c r="A4537" s="66"/>
    </row>
    <row r="4538" spans="1:1" x14ac:dyDescent="0.25">
      <c r="A4538" s="66"/>
    </row>
    <row r="4539" spans="1:1" x14ac:dyDescent="0.25">
      <c r="A4539" s="66"/>
    </row>
    <row r="4540" spans="1:1" x14ac:dyDescent="0.25">
      <c r="A4540" s="66"/>
    </row>
    <row r="4541" spans="1:1" x14ac:dyDescent="0.25">
      <c r="A4541" s="66"/>
    </row>
    <row r="4542" spans="1:1" x14ac:dyDescent="0.25">
      <c r="A4542" s="66"/>
    </row>
    <row r="4543" spans="1:1" x14ac:dyDescent="0.25">
      <c r="A4543" s="66"/>
    </row>
    <row r="4544" spans="1:1" x14ac:dyDescent="0.25">
      <c r="A4544" s="66"/>
    </row>
    <row r="4545" spans="1:1" x14ac:dyDescent="0.25">
      <c r="A4545" s="66"/>
    </row>
    <row r="4546" spans="1:1" x14ac:dyDescent="0.25">
      <c r="A4546" s="66"/>
    </row>
    <row r="4547" spans="1:1" x14ac:dyDescent="0.25">
      <c r="A4547" s="66"/>
    </row>
    <row r="4548" spans="1:1" x14ac:dyDescent="0.25">
      <c r="A4548" s="66"/>
    </row>
    <row r="4549" spans="1:1" x14ac:dyDescent="0.25">
      <c r="A4549" s="66"/>
    </row>
    <row r="4550" spans="1:1" x14ac:dyDescent="0.25">
      <c r="A4550" s="66"/>
    </row>
    <row r="4551" spans="1:1" x14ac:dyDescent="0.25">
      <c r="A4551" s="66"/>
    </row>
    <row r="4552" spans="1:1" x14ac:dyDescent="0.25">
      <c r="A4552" s="66"/>
    </row>
    <row r="4553" spans="1:1" x14ac:dyDescent="0.25">
      <c r="A4553" s="66"/>
    </row>
    <row r="4554" spans="1:1" x14ac:dyDescent="0.25">
      <c r="A4554" s="66"/>
    </row>
    <row r="4555" spans="1:1" x14ac:dyDescent="0.25">
      <c r="A4555" s="66"/>
    </row>
    <row r="4556" spans="1:1" x14ac:dyDescent="0.25">
      <c r="A4556" s="66"/>
    </row>
    <row r="4557" spans="1:1" x14ac:dyDescent="0.25">
      <c r="A4557" s="66"/>
    </row>
    <row r="4558" spans="1:1" x14ac:dyDescent="0.25">
      <c r="A4558" s="66"/>
    </row>
    <row r="4559" spans="1:1" x14ac:dyDescent="0.25">
      <c r="A4559" s="66"/>
    </row>
    <row r="4560" spans="1:1" x14ac:dyDescent="0.25">
      <c r="A4560" s="66"/>
    </row>
    <row r="4561" spans="1:1" x14ac:dyDescent="0.25">
      <c r="A4561" s="66"/>
    </row>
    <row r="4562" spans="1:1" x14ac:dyDescent="0.25">
      <c r="A4562" s="66"/>
    </row>
    <row r="4563" spans="1:1" x14ac:dyDescent="0.25">
      <c r="A4563" s="66"/>
    </row>
    <row r="4564" spans="1:1" x14ac:dyDescent="0.25">
      <c r="A4564" s="66"/>
    </row>
    <row r="4565" spans="1:1" x14ac:dyDescent="0.25">
      <c r="A4565" s="66"/>
    </row>
    <row r="4566" spans="1:1" x14ac:dyDescent="0.25">
      <c r="A4566" s="66"/>
    </row>
    <row r="4567" spans="1:1" x14ac:dyDescent="0.25">
      <c r="A4567" s="66"/>
    </row>
    <row r="4568" spans="1:1" x14ac:dyDescent="0.25">
      <c r="A4568" s="66"/>
    </row>
    <row r="4569" spans="1:1" x14ac:dyDescent="0.25">
      <c r="A4569" s="66"/>
    </row>
    <row r="4570" spans="1:1" x14ac:dyDescent="0.25">
      <c r="A4570" s="66"/>
    </row>
    <row r="4571" spans="1:1" x14ac:dyDescent="0.25">
      <c r="A4571" s="66"/>
    </row>
    <row r="4572" spans="1:1" x14ac:dyDescent="0.25">
      <c r="A4572" s="66"/>
    </row>
    <row r="4573" spans="1:1" x14ac:dyDescent="0.25">
      <c r="A4573" s="66"/>
    </row>
    <row r="4574" spans="1:1" x14ac:dyDescent="0.25">
      <c r="A4574" s="66"/>
    </row>
    <row r="4575" spans="1:1" x14ac:dyDescent="0.25">
      <c r="A4575" s="66"/>
    </row>
    <row r="4576" spans="1:1" x14ac:dyDescent="0.25">
      <c r="A4576" s="66"/>
    </row>
    <row r="4577" spans="1:1" x14ac:dyDescent="0.25">
      <c r="A4577" s="66"/>
    </row>
    <row r="4578" spans="1:1" x14ac:dyDescent="0.25">
      <c r="A4578" s="66"/>
    </row>
    <row r="4579" spans="1:1" x14ac:dyDescent="0.25">
      <c r="A4579" s="66"/>
    </row>
    <row r="4580" spans="1:1" x14ac:dyDescent="0.25">
      <c r="A4580" s="66"/>
    </row>
    <row r="4581" spans="1:1" x14ac:dyDescent="0.25">
      <c r="A4581" s="66"/>
    </row>
    <row r="4582" spans="1:1" x14ac:dyDescent="0.25">
      <c r="A4582" s="66"/>
    </row>
    <row r="4583" spans="1:1" x14ac:dyDescent="0.25">
      <c r="A4583" s="66"/>
    </row>
    <row r="4584" spans="1:1" x14ac:dyDescent="0.25">
      <c r="A4584" s="66"/>
    </row>
    <row r="4585" spans="1:1" x14ac:dyDescent="0.25">
      <c r="A4585" s="66"/>
    </row>
    <row r="4586" spans="1:1" x14ac:dyDescent="0.25">
      <c r="A4586" s="66"/>
    </row>
    <row r="4587" spans="1:1" x14ac:dyDescent="0.25">
      <c r="A4587" s="66"/>
    </row>
    <row r="4588" spans="1:1" x14ac:dyDescent="0.25">
      <c r="A4588" s="66"/>
    </row>
    <row r="4589" spans="1:1" x14ac:dyDescent="0.25">
      <c r="A4589" s="66"/>
    </row>
    <row r="4590" spans="1:1" x14ac:dyDescent="0.25">
      <c r="A4590" s="66"/>
    </row>
    <row r="4591" spans="1:1" x14ac:dyDescent="0.25">
      <c r="A4591" s="66"/>
    </row>
    <row r="4592" spans="1:1" x14ac:dyDescent="0.25">
      <c r="A4592" s="66"/>
    </row>
    <row r="4593" spans="1:1" x14ac:dyDescent="0.25">
      <c r="A4593" s="66"/>
    </row>
    <row r="4594" spans="1:1" x14ac:dyDescent="0.25">
      <c r="A4594" s="66"/>
    </row>
    <row r="4595" spans="1:1" x14ac:dyDescent="0.25">
      <c r="A4595" s="66"/>
    </row>
    <row r="4596" spans="1:1" x14ac:dyDescent="0.25">
      <c r="A4596" s="66"/>
    </row>
    <row r="4597" spans="1:1" x14ac:dyDescent="0.25">
      <c r="A4597" s="66"/>
    </row>
    <row r="4598" spans="1:1" x14ac:dyDescent="0.25">
      <c r="A4598" s="66"/>
    </row>
    <row r="4599" spans="1:1" x14ac:dyDescent="0.25">
      <c r="A4599" s="66"/>
    </row>
    <row r="4600" spans="1:1" x14ac:dyDescent="0.25">
      <c r="A4600" s="66"/>
    </row>
    <row r="4601" spans="1:1" x14ac:dyDescent="0.25">
      <c r="A4601" s="66"/>
    </row>
    <row r="4602" spans="1:1" x14ac:dyDescent="0.25">
      <c r="A4602" s="66"/>
    </row>
    <row r="4603" spans="1:1" x14ac:dyDescent="0.25">
      <c r="A4603" s="66"/>
    </row>
    <row r="4604" spans="1:1" x14ac:dyDescent="0.25">
      <c r="A4604" s="66"/>
    </row>
    <row r="4605" spans="1:1" x14ac:dyDescent="0.25">
      <c r="A4605" s="66"/>
    </row>
    <row r="4606" spans="1:1" x14ac:dyDescent="0.25">
      <c r="A4606" s="66"/>
    </row>
    <row r="4607" spans="1:1" x14ac:dyDescent="0.25">
      <c r="A4607" s="66"/>
    </row>
    <row r="4608" spans="1:1" x14ac:dyDescent="0.25">
      <c r="A4608" s="66"/>
    </row>
    <row r="4609" spans="1:1" x14ac:dyDescent="0.25">
      <c r="A4609" s="66"/>
    </row>
    <row r="4610" spans="1:1" x14ac:dyDescent="0.25">
      <c r="A4610" s="66"/>
    </row>
    <row r="4611" spans="1:1" x14ac:dyDescent="0.25">
      <c r="A4611" s="66"/>
    </row>
    <row r="4612" spans="1:1" x14ac:dyDescent="0.25">
      <c r="A4612" s="66"/>
    </row>
    <row r="4613" spans="1:1" x14ac:dyDescent="0.25">
      <c r="A4613" s="66"/>
    </row>
    <row r="4614" spans="1:1" x14ac:dyDescent="0.25">
      <c r="A4614" s="66"/>
    </row>
    <row r="4615" spans="1:1" x14ac:dyDescent="0.25">
      <c r="A4615" s="66"/>
    </row>
    <row r="4616" spans="1:1" x14ac:dyDescent="0.25">
      <c r="A4616" s="66"/>
    </row>
    <row r="4617" spans="1:1" x14ac:dyDescent="0.25">
      <c r="A4617" s="66"/>
    </row>
    <row r="4618" spans="1:1" x14ac:dyDescent="0.25">
      <c r="A4618" s="66"/>
    </row>
    <row r="4619" spans="1:1" x14ac:dyDescent="0.25">
      <c r="A4619" s="66"/>
    </row>
    <row r="4620" spans="1:1" x14ac:dyDescent="0.25">
      <c r="A4620" s="66"/>
    </row>
    <row r="4621" spans="1:1" x14ac:dyDescent="0.25">
      <c r="A4621" s="66"/>
    </row>
    <row r="4622" spans="1:1" x14ac:dyDescent="0.25">
      <c r="A4622" s="66"/>
    </row>
    <row r="4623" spans="1:1" x14ac:dyDescent="0.25">
      <c r="A4623" s="66"/>
    </row>
    <row r="4624" spans="1:1" x14ac:dyDescent="0.25">
      <c r="A4624" s="66"/>
    </row>
    <row r="4625" spans="1:1" x14ac:dyDescent="0.25">
      <c r="A4625" s="66"/>
    </row>
    <row r="4626" spans="1:1" x14ac:dyDescent="0.25">
      <c r="A4626" s="66"/>
    </row>
    <row r="4627" spans="1:1" x14ac:dyDescent="0.25">
      <c r="A4627" s="66"/>
    </row>
    <row r="4628" spans="1:1" x14ac:dyDescent="0.25">
      <c r="A4628" s="66"/>
    </row>
    <row r="4629" spans="1:1" x14ac:dyDescent="0.25">
      <c r="A4629" s="66"/>
    </row>
    <row r="4630" spans="1:1" x14ac:dyDescent="0.25">
      <c r="A4630" s="66"/>
    </row>
    <row r="4631" spans="1:1" x14ac:dyDescent="0.25">
      <c r="A4631" s="66"/>
    </row>
    <row r="4632" spans="1:1" x14ac:dyDescent="0.25">
      <c r="A4632" s="66"/>
    </row>
    <row r="4633" spans="1:1" x14ac:dyDescent="0.25">
      <c r="A4633" s="66"/>
    </row>
    <row r="4634" spans="1:1" x14ac:dyDescent="0.25">
      <c r="A4634" s="66"/>
    </row>
    <row r="4635" spans="1:1" x14ac:dyDescent="0.25">
      <c r="A4635" s="66"/>
    </row>
    <row r="4636" spans="1:1" x14ac:dyDescent="0.25">
      <c r="A4636" s="66"/>
    </row>
    <row r="4637" spans="1:1" x14ac:dyDescent="0.25">
      <c r="A4637" s="66"/>
    </row>
    <row r="4638" spans="1:1" x14ac:dyDescent="0.25">
      <c r="A4638" s="66"/>
    </row>
    <row r="4639" spans="1:1" x14ac:dyDescent="0.25">
      <c r="A4639" s="66"/>
    </row>
    <row r="4640" spans="1:1" x14ac:dyDescent="0.25">
      <c r="A4640" s="66"/>
    </row>
    <row r="4641" spans="1:1" x14ac:dyDescent="0.25">
      <c r="A4641" s="66"/>
    </row>
    <row r="4642" spans="1:1" x14ac:dyDescent="0.25">
      <c r="A4642" s="66"/>
    </row>
    <row r="4643" spans="1:1" x14ac:dyDescent="0.25">
      <c r="A4643" s="66"/>
    </row>
    <row r="4644" spans="1:1" x14ac:dyDescent="0.25">
      <c r="A4644" s="66"/>
    </row>
    <row r="4645" spans="1:1" x14ac:dyDescent="0.25">
      <c r="A4645" s="66"/>
    </row>
    <row r="4646" spans="1:1" x14ac:dyDescent="0.25">
      <c r="A4646" s="66"/>
    </row>
    <row r="4647" spans="1:1" x14ac:dyDescent="0.25">
      <c r="A4647" s="66"/>
    </row>
    <row r="4648" spans="1:1" x14ac:dyDescent="0.25">
      <c r="A4648" s="66"/>
    </row>
    <row r="4649" spans="1:1" x14ac:dyDescent="0.25">
      <c r="A4649" s="66"/>
    </row>
    <row r="4650" spans="1:1" x14ac:dyDescent="0.25">
      <c r="A4650" s="66"/>
    </row>
    <row r="4651" spans="1:1" x14ac:dyDescent="0.25">
      <c r="A4651" s="66"/>
    </row>
    <row r="4652" spans="1:1" x14ac:dyDescent="0.25">
      <c r="A4652" s="66"/>
    </row>
    <row r="4653" spans="1:1" x14ac:dyDescent="0.25">
      <c r="A4653" s="66"/>
    </row>
    <row r="4654" spans="1:1" x14ac:dyDescent="0.25">
      <c r="A4654" s="66"/>
    </row>
    <row r="4655" spans="1:1" x14ac:dyDescent="0.25">
      <c r="A4655" s="66"/>
    </row>
    <row r="4656" spans="1:1" x14ac:dyDescent="0.25">
      <c r="A4656" s="66"/>
    </row>
    <row r="4657" spans="1:1" x14ac:dyDescent="0.25">
      <c r="A4657" s="66"/>
    </row>
    <row r="4658" spans="1:1" x14ac:dyDescent="0.25">
      <c r="A4658" s="66"/>
    </row>
    <row r="4659" spans="1:1" x14ac:dyDescent="0.25">
      <c r="A4659" s="66"/>
    </row>
    <row r="4660" spans="1:1" x14ac:dyDescent="0.25">
      <c r="A4660" s="66"/>
    </row>
    <row r="4661" spans="1:1" x14ac:dyDescent="0.25">
      <c r="A4661" s="66"/>
    </row>
    <row r="4662" spans="1:1" x14ac:dyDescent="0.25">
      <c r="A4662" s="66"/>
    </row>
    <row r="4663" spans="1:1" x14ac:dyDescent="0.25">
      <c r="A4663" s="66"/>
    </row>
    <row r="4664" spans="1:1" x14ac:dyDescent="0.25">
      <c r="A4664" s="66"/>
    </row>
    <row r="4665" spans="1:1" x14ac:dyDescent="0.25">
      <c r="A4665" s="66"/>
    </row>
    <row r="4666" spans="1:1" x14ac:dyDescent="0.25">
      <c r="A4666" s="66"/>
    </row>
    <row r="4667" spans="1:1" x14ac:dyDescent="0.25">
      <c r="A4667" s="66"/>
    </row>
    <row r="4668" spans="1:1" x14ac:dyDescent="0.25">
      <c r="A4668" s="66"/>
    </row>
    <row r="4669" spans="1:1" x14ac:dyDescent="0.25">
      <c r="A4669" s="66"/>
    </row>
    <row r="4670" spans="1:1" x14ac:dyDescent="0.25">
      <c r="A4670" s="66"/>
    </row>
    <row r="4671" spans="1:1" x14ac:dyDescent="0.25">
      <c r="A4671" s="66"/>
    </row>
    <row r="4672" spans="1:1" x14ac:dyDescent="0.25">
      <c r="A4672" s="66"/>
    </row>
    <row r="4673" spans="1:1" x14ac:dyDescent="0.25">
      <c r="A4673" s="66"/>
    </row>
    <row r="4674" spans="1:1" x14ac:dyDescent="0.25">
      <c r="A4674" s="66"/>
    </row>
    <row r="4675" spans="1:1" x14ac:dyDescent="0.25">
      <c r="A4675" s="66"/>
    </row>
    <row r="4676" spans="1:1" x14ac:dyDescent="0.25">
      <c r="A4676" s="66"/>
    </row>
    <row r="4677" spans="1:1" x14ac:dyDescent="0.25">
      <c r="A4677" s="66"/>
    </row>
    <row r="4678" spans="1:1" x14ac:dyDescent="0.25">
      <c r="A4678" s="66"/>
    </row>
    <row r="4679" spans="1:1" x14ac:dyDescent="0.25">
      <c r="A4679" s="66"/>
    </row>
    <row r="4680" spans="1:1" x14ac:dyDescent="0.25">
      <c r="A4680" s="66"/>
    </row>
    <row r="4681" spans="1:1" x14ac:dyDescent="0.25">
      <c r="A4681" s="66"/>
    </row>
    <row r="4682" spans="1:1" x14ac:dyDescent="0.25">
      <c r="A4682" s="66"/>
    </row>
    <row r="4683" spans="1:1" x14ac:dyDescent="0.25">
      <c r="A4683" s="66"/>
    </row>
    <row r="4684" spans="1:1" x14ac:dyDescent="0.25">
      <c r="A4684" s="66"/>
    </row>
    <row r="4685" spans="1:1" x14ac:dyDescent="0.25">
      <c r="A4685" s="66"/>
    </row>
    <row r="4686" spans="1:1" x14ac:dyDescent="0.25">
      <c r="A4686" s="66"/>
    </row>
    <row r="4687" spans="1:1" x14ac:dyDescent="0.25">
      <c r="A4687" s="66"/>
    </row>
    <row r="4688" spans="1:1" x14ac:dyDescent="0.25">
      <c r="A4688" s="66"/>
    </row>
    <row r="4689" spans="1:1" x14ac:dyDescent="0.25">
      <c r="A4689" s="66"/>
    </row>
    <row r="4690" spans="1:1" x14ac:dyDescent="0.25">
      <c r="A4690" s="66"/>
    </row>
    <row r="4691" spans="1:1" x14ac:dyDescent="0.25">
      <c r="A4691" s="66"/>
    </row>
    <row r="4692" spans="1:1" x14ac:dyDescent="0.25">
      <c r="A4692" s="66"/>
    </row>
    <row r="4693" spans="1:1" x14ac:dyDescent="0.25">
      <c r="A4693" s="66"/>
    </row>
    <row r="4694" spans="1:1" x14ac:dyDescent="0.25">
      <c r="A4694" s="66"/>
    </row>
    <row r="4695" spans="1:1" x14ac:dyDescent="0.25">
      <c r="A4695" s="66"/>
    </row>
    <row r="4696" spans="1:1" x14ac:dyDescent="0.25">
      <c r="A4696" s="66"/>
    </row>
    <row r="4697" spans="1:1" x14ac:dyDescent="0.25">
      <c r="A4697" s="66"/>
    </row>
    <row r="4698" spans="1:1" x14ac:dyDescent="0.25">
      <c r="A4698" s="66"/>
    </row>
    <row r="4699" spans="1:1" x14ac:dyDescent="0.25">
      <c r="A4699" s="66"/>
    </row>
    <row r="4700" spans="1:1" x14ac:dyDescent="0.25">
      <c r="A4700" s="66"/>
    </row>
    <row r="4701" spans="1:1" x14ac:dyDescent="0.25">
      <c r="A4701" s="66"/>
    </row>
    <row r="4702" spans="1:1" x14ac:dyDescent="0.25">
      <c r="A4702" s="66"/>
    </row>
    <row r="4703" spans="1:1" x14ac:dyDescent="0.25">
      <c r="A4703" s="66"/>
    </row>
    <row r="4704" spans="1:1" x14ac:dyDescent="0.25">
      <c r="A4704" s="66"/>
    </row>
    <row r="4705" spans="1:1" x14ac:dyDescent="0.25">
      <c r="A4705" s="66"/>
    </row>
    <row r="4706" spans="1:1" x14ac:dyDescent="0.25">
      <c r="A4706" s="66"/>
    </row>
    <row r="4707" spans="1:1" x14ac:dyDescent="0.25">
      <c r="A4707" s="66"/>
    </row>
    <row r="4708" spans="1:1" x14ac:dyDescent="0.25">
      <c r="A4708" s="66"/>
    </row>
    <row r="4709" spans="1:1" x14ac:dyDescent="0.25">
      <c r="A4709" s="66"/>
    </row>
    <row r="4710" spans="1:1" x14ac:dyDescent="0.25">
      <c r="A4710" s="66"/>
    </row>
    <row r="4711" spans="1:1" x14ac:dyDescent="0.25">
      <c r="A4711" s="66"/>
    </row>
    <row r="4712" spans="1:1" x14ac:dyDescent="0.25">
      <c r="A4712" s="66"/>
    </row>
    <row r="4713" spans="1:1" x14ac:dyDescent="0.25">
      <c r="A4713" s="66"/>
    </row>
    <row r="4714" spans="1:1" x14ac:dyDescent="0.25">
      <c r="A4714" s="66"/>
    </row>
    <row r="4715" spans="1:1" x14ac:dyDescent="0.25">
      <c r="A4715" s="66"/>
    </row>
    <row r="4716" spans="1:1" x14ac:dyDescent="0.25">
      <c r="A4716" s="66"/>
    </row>
    <row r="4717" spans="1:1" x14ac:dyDescent="0.25">
      <c r="A4717" s="66"/>
    </row>
    <row r="4718" spans="1:1" x14ac:dyDescent="0.25">
      <c r="A4718" s="66"/>
    </row>
    <row r="4719" spans="1:1" x14ac:dyDescent="0.25">
      <c r="A4719" s="66"/>
    </row>
    <row r="4720" spans="1:1" x14ac:dyDescent="0.25">
      <c r="A4720" s="66"/>
    </row>
    <row r="4721" spans="1:1" x14ac:dyDescent="0.25">
      <c r="A4721" s="66"/>
    </row>
    <row r="4722" spans="1:1" x14ac:dyDescent="0.25">
      <c r="A4722" s="66"/>
    </row>
    <row r="4723" spans="1:1" x14ac:dyDescent="0.25">
      <c r="A4723" s="66"/>
    </row>
    <row r="4724" spans="1:1" x14ac:dyDescent="0.25">
      <c r="A4724" s="66"/>
    </row>
    <row r="4725" spans="1:1" x14ac:dyDescent="0.25">
      <c r="A4725" s="66"/>
    </row>
    <row r="4726" spans="1:1" x14ac:dyDescent="0.25">
      <c r="A4726" s="66"/>
    </row>
    <row r="4727" spans="1:1" x14ac:dyDescent="0.25">
      <c r="A4727" s="66"/>
    </row>
    <row r="4728" spans="1:1" x14ac:dyDescent="0.25">
      <c r="A4728" s="66"/>
    </row>
    <row r="4729" spans="1:1" x14ac:dyDescent="0.25">
      <c r="A4729" s="66"/>
    </row>
    <row r="4730" spans="1:1" x14ac:dyDescent="0.25">
      <c r="A4730" s="66"/>
    </row>
    <row r="4731" spans="1:1" x14ac:dyDescent="0.25">
      <c r="A4731" s="66"/>
    </row>
    <row r="4732" spans="1:1" x14ac:dyDescent="0.25">
      <c r="A4732" s="66"/>
    </row>
    <row r="4733" spans="1:1" x14ac:dyDescent="0.25">
      <c r="A4733" s="66"/>
    </row>
    <row r="4734" spans="1:1" x14ac:dyDescent="0.25">
      <c r="A4734" s="66"/>
    </row>
    <row r="4735" spans="1:1" x14ac:dyDescent="0.25">
      <c r="A4735" s="66"/>
    </row>
    <row r="4736" spans="1:1" x14ac:dyDescent="0.25">
      <c r="A4736" s="66"/>
    </row>
    <row r="4737" spans="1:1" x14ac:dyDescent="0.25">
      <c r="A4737" s="66"/>
    </row>
    <row r="4738" spans="1:1" x14ac:dyDescent="0.25">
      <c r="A4738" s="66"/>
    </row>
    <row r="4739" spans="1:1" x14ac:dyDescent="0.25">
      <c r="A4739" s="66"/>
    </row>
    <row r="4740" spans="1:1" x14ac:dyDescent="0.25">
      <c r="A4740" s="66"/>
    </row>
    <row r="4741" spans="1:1" x14ac:dyDescent="0.25">
      <c r="A4741" s="66"/>
    </row>
    <row r="4742" spans="1:1" x14ac:dyDescent="0.25">
      <c r="A4742" s="66"/>
    </row>
    <row r="4743" spans="1:1" x14ac:dyDescent="0.25">
      <c r="A4743" s="66"/>
    </row>
    <row r="4744" spans="1:1" x14ac:dyDescent="0.25">
      <c r="A4744" s="66"/>
    </row>
    <row r="4745" spans="1:1" x14ac:dyDescent="0.25">
      <c r="A4745" s="66"/>
    </row>
    <row r="4746" spans="1:1" x14ac:dyDescent="0.25">
      <c r="A4746" s="66"/>
    </row>
    <row r="4747" spans="1:1" x14ac:dyDescent="0.25">
      <c r="A4747" s="66"/>
    </row>
    <row r="4748" spans="1:1" x14ac:dyDescent="0.25">
      <c r="A4748" s="66"/>
    </row>
    <row r="4749" spans="1:1" x14ac:dyDescent="0.25">
      <c r="A4749" s="66"/>
    </row>
    <row r="4750" spans="1:1" x14ac:dyDescent="0.25">
      <c r="A4750" s="66"/>
    </row>
    <row r="4751" spans="1:1" x14ac:dyDescent="0.25">
      <c r="A4751" s="66"/>
    </row>
    <row r="4752" spans="1:1" x14ac:dyDescent="0.25">
      <c r="A4752" s="66"/>
    </row>
    <row r="4753" spans="1:1" x14ac:dyDescent="0.25">
      <c r="A4753" s="66"/>
    </row>
    <row r="4754" spans="1:1" x14ac:dyDescent="0.25">
      <c r="A4754" s="66"/>
    </row>
    <row r="4755" spans="1:1" x14ac:dyDescent="0.25">
      <c r="A4755" s="66"/>
    </row>
    <row r="4756" spans="1:1" x14ac:dyDescent="0.25">
      <c r="A4756" s="66"/>
    </row>
    <row r="4757" spans="1:1" x14ac:dyDescent="0.25">
      <c r="A4757" s="66"/>
    </row>
    <row r="4758" spans="1:1" x14ac:dyDescent="0.25">
      <c r="A4758" s="66"/>
    </row>
    <row r="4759" spans="1:1" x14ac:dyDescent="0.25">
      <c r="A4759" s="66"/>
    </row>
    <row r="4760" spans="1:1" x14ac:dyDescent="0.25">
      <c r="A4760" s="66"/>
    </row>
    <row r="4761" spans="1:1" x14ac:dyDescent="0.25">
      <c r="A4761" s="66"/>
    </row>
    <row r="4762" spans="1:1" x14ac:dyDescent="0.25">
      <c r="A4762" s="66"/>
    </row>
    <row r="4763" spans="1:1" x14ac:dyDescent="0.25">
      <c r="A4763" s="66"/>
    </row>
    <row r="4764" spans="1:1" x14ac:dyDescent="0.25">
      <c r="A4764" s="66"/>
    </row>
    <row r="4765" spans="1:1" x14ac:dyDescent="0.25">
      <c r="A4765" s="66"/>
    </row>
    <row r="4766" spans="1:1" x14ac:dyDescent="0.25">
      <c r="A4766" s="66"/>
    </row>
    <row r="4767" spans="1:1" x14ac:dyDescent="0.25">
      <c r="A4767" s="66"/>
    </row>
    <row r="4768" spans="1:1" x14ac:dyDescent="0.25">
      <c r="A4768" s="66"/>
    </row>
    <row r="4769" spans="1:1" x14ac:dyDescent="0.25">
      <c r="A4769" s="66"/>
    </row>
    <row r="4770" spans="1:1" x14ac:dyDescent="0.25">
      <c r="A4770" s="66"/>
    </row>
    <row r="4771" spans="1:1" x14ac:dyDescent="0.25">
      <c r="A4771" s="66"/>
    </row>
    <row r="4772" spans="1:1" x14ac:dyDescent="0.25">
      <c r="A4772" s="66"/>
    </row>
    <row r="4773" spans="1:1" x14ac:dyDescent="0.25">
      <c r="A4773" s="66"/>
    </row>
    <row r="4774" spans="1:1" x14ac:dyDescent="0.25">
      <c r="A4774" s="66"/>
    </row>
    <row r="4775" spans="1:1" x14ac:dyDescent="0.25">
      <c r="A4775" s="66"/>
    </row>
    <row r="4776" spans="1:1" x14ac:dyDescent="0.25">
      <c r="A4776" s="66"/>
    </row>
    <row r="4777" spans="1:1" x14ac:dyDescent="0.25">
      <c r="A4777" s="66"/>
    </row>
    <row r="4778" spans="1:1" x14ac:dyDescent="0.25">
      <c r="A4778" s="66"/>
    </row>
    <row r="4779" spans="1:1" x14ac:dyDescent="0.25">
      <c r="A4779" s="66"/>
    </row>
    <row r="4780" spans="1:1" x14ac:dyDescent="0.25">
      <c r="A4780" s="66"/>
    </row>
    <row r="4781" spans="1:1" x14ac:dyDescent="0.25">
      <c r="A4781" s="66"/>
    </row>
    <row r="4782" spans="1:1" x14ac:dyDescent="0.25">
      <c r="A4782" s="66"/>
    </row>
    <row r="4783" spans="1:1" x14ac:dyDescent="0.25">
      <c r="A4783" s="66"/>
    </row>
    <row r="4784" spans="1:1" x14ac:dyDescent="0.25">
      <c r="A4784" s="66"/>
    </row>
    <row r="4785" spans="1:1" x14ac:dyDescent="0.25">
      <c r="A4785" s="66"/>
    </row>
    <row r="4786" spans="1:1" x14ac:dyDescent="0.25">
      <c r="A4786" s="66"/>
    </row>
    <row r="4787" spans="1:1" x14ac:dyDescent="0.25">
      <c r="A4787" s="66"/>
    </row>
    <row r="4788" spans="1:1" x14ac:dyDescent="0.25">
      <c r="A4788" s="66"/>
    </row>
    <row r="4789" spans="1:1" x14ac:dyDescent="0.25">
      <c r="A4789" s="66"/>
    </row>
    <row r="4790" spans="1:1" x14ac:dyDescent="0.25">
      <c r="A4790" s="66"/>
    </row>
    <row r="4791" spans="1:1" x14ac:dyDescent="0.25">
      <c r="A4791" s="66"/>
    </row>
    <row r="4792" spans="1:1" x14ac:dyDescent="0.25">
      <c r="A4792" s="66"/>
    </row>
    <row r="4793" spans="1:1" x14ac:dyDescent="0.25">
      <c r="A4793" s="66"/>
    </row>
    <row r="4794" spans="1:1" x14ac:dyDescent="0.25">
      <c r="A4794" s="66"/>
    </row>
    <row r="4795" spans="1:1" x14ac:dyDescent="0.25">
      <c r="A4795" s="66"/>
    </row>
    <row r="4796" spans="1:1" x14ac:dyDescent="0.25">
      <c r="A4796" s="66"/>
    </row>
    <row r="4797" spans="1:1" x14ac:dyDescent="0.25">
      <c r="A4797" s="66"/>
    </row>
    <row r="4798" spans="1:1" x14ac:dyDescent="0.25">
      <c r="A4798" s="66"/>
    </row>
    <row r="4799" spans="1:1" x14ac:dyDescent="0.25">
      <c r="A4799" s="66"/>
    </row>
    <row r="4800" spans="1:1" x14ac:dyDescent="0.25">
      <c r="A4800" s="66"/>
    </row>
    <row r="4801" spans="1:1" x14ac:dyDescent="0.25">
      <c r="A4801" s="66"/>
    </row>
    <row r="4802" spans="1:1" x14ac:dyDescent="0.25">
      <c r="A4802" s="66"/>
    </row>
    <row r="4803" spans="1:1" x14ac:dyDescent="0.25">
      <c r="A4803" s="66"/>
    </row>
    <row r="4804" spans="1:1" x14ac:dyDescent="0.25">
      <c r="A4804" s="66"/>
    </row>
    <row r="4805" spans="1:1" x14ac:dyDescent="0.25">
      <c r="A4805" s="66"/>
    </row>
    <row r="4806" spans="1:1" x14ac:dyDescent="0.25">
      <c r="A4806" s="66"/>
    </row>
    <row r="4807" spans="1:1" x14ac:dyDescent="0.25">
      <c r="A4807" s="66"/>
    </row>
    <row r="4808" spans="1:1" x14ac:dyDescent="0.25">
      <c r="A4808" s="66"/>
    </row>
    <row r="4809" spans="1:1" x14ac:dyDescent="0.25">
      <c r="A4809" s="66"/>
    </row>
    <row r="4810" spans="1:1" x14ac:dyDescent="0.25">
      <c r="A4810" s="66"/>
    </row>
    <row r="4811" spans="1:1" x14ac:dyDescent="0.25">
      <c r="A4811" s="66"/>
    </row>
    <row r="4812" spans="1:1" x14ac:dyDescent="0.25">
      <c r="A4812" s="66"/>
    </row>
    <row r="4813" spans="1:1" x14ac:dyDescent="0.25">
      <c r="A4813" s="66"/>
    </row>
    <row r="4814" spans="1:1" x14ac:dyDescent="0.25">
      <c r="A4814" s="66"/>
    </row>
    <row r="4815" spans="1:1" x14ac:dyDescent="0.25">
      <c r="A4815" s="66"/>
    </row>
    <row r="4816" spans="1:1" x14ac:dyDescent="0.25">
      <c r="A4816" s="66"/>
    </row>
    <row r="4817" spans="1:1" x14ac:dyDescent="0.25">
      <c r="A4817" s="66"/>
    </row>
    <row r="4818" spans="1:1" x14ac:dyDescent="0.25">
      <c r="A4818" s="66"/>
    </row>
    <row r="4819" spans="1:1" x14ac:dyDescent="0.25">
      <c r="A4819" s="66"/>
    </row>
    <row r="4820" spans="1:1" x14ac:dyDescent="0.25">
      <c r="A4820" s="66"/>
    </row>
    <row r="4821" spans="1:1" x14ac:dyDescent="0.25">
      <c r="A4821" s="66"/>
    </row>
    <row r="4822" spans="1:1" x14ac:dyDescent="0.25">
      <c r="A4822" s="66"/>
    </row>
    <row r="4823" spans="1:1" x14ac:dyDescent="0.25">
      <c r="A4823" s="66"/>
    </row>
    <row r="4824" spans="1:1" x14ac:dyDescent="0.25">
      <c r="A4824" s="66"/>
    </row>
    <row r="4825" spans="1:1" x14ac:dyDescent="0.25">
      <c r="A4825" s="66"/>
    </row>
    <row r="4826" spans="1:1" x14ac:dyDescent="0.25">
      <c r="A4826" s="66"/>
    </row>
    <row r="4827" spans="1:1" x14ac:dyDescent="0.25">
      <c r="A4827" s="66"/>
    </row>
    <row r="4828" spans="1:1" x14ac:dyDescent="0.25">
      <c r="A4828" s="66"/>
    </row>
    <row r="4829" spans="1:1" x14ac:dyDescent="0.25">
      <c r="A4829" s="66"/>
    </row>
    <row r="4830" spans="1:1" x14ac:dyDescent="0.25">
      <c r="A4830" s="66"/>
    </row>
    <row r="4831" spans="1:1" x14ac:dyDescent="0.25">
      <c r="A4831" s="66"/>
    </row>
    <row r="4832" spans="1:1" x14ac:dyDescent="0.25">
      <c r="A4832" s="66"/>
    </row>
    <row r="4833" spans="1:1" x14ac:dyDescent="0.25">
      <c r="A4833" s="66"/>
    </row>
    <row r="4834" spans="1:1" x14ac:dyDescent="0.25">
      <c r="A4834" s="66"/>
    </row>
    <row r="4835" spans="1:1" x14ac:dyDescent="0.25">
      <c r="A4835" s="66"/>
    </row>
    <row r="4836" spans="1:1" x14ac:dyDescent="0.25">
      <c r="A4836" s="66"/>
    </row>
    <row r="4837" spans="1:1" x14ac:dyDescent="0.25">
      <c r="A4837" s="66"/>
    </row>
    <row r="4838" spans="1:1" x14ac:dyDescent="0.25">
      <c r="A4838" s="66"/>
    </row>
    <row r="4839" spans="1:1" x14ac:dyDescent="0.25">
      <c r="A4839" s="66"/>
    </row>
    <row r="4840" spans="1:1" x14ac:dyDescent="0.25">
      <c r="A4840" s="66"/>
    </row>
    <row r="4841" spans="1:1" x14ac:dyDescent="0.25">
      <c r="A4841" s="66"/>
    </row>
    <row r="4842" spans="1:1" x14ac:dyDescent="0.25">
      <c r="A4842" s="66"/>
    </row>
    <row r="4843" spans="1:1" x14ac:dyDescent="0.25">
      <c r="A4843" s="66"/>
    </row>
    <row r="4844" spans="1:1" x14ac:dyDescent="0.25">
      <c r="A4844" s="66"/>
    </row>
    <row r="4845" spans="1:1" x14ac:dyDescent="0.25">
      <c r="A4845" s="66"/>
    </row>
    <row r="4846" spans="1:1" x14ac:dyDescent="0.25">
      <c r="A4846" s="66"/>
    </row>
    <row r="4847" spans="1:1" x14ac:dyDescent="0.25">
      <c r="A4847" s="66"/>
    </row>
    <row r="4848" spans="1:1" x14ac:dyDescent="0.25">
      <c r="A4848" s="66"/>
    </row>
    <row r="4849" spans="1:1" x14ac:dyDescent="0.25">
      <c r="A4849" s="66"/>
    </row>
    <row r="4850" spans="1:1" x14ac:dyDescent="0.25">
      <c r="A4850" s="66"/>
    </row>
    <row r="4851" spans="1:1" x14ac:dyDescent="0.25">
      <c r="A4851" s="66"/>
    </row>
    <row r="4852" spans="1:1" x14ac:dyDescent="0.25">
      <c r="A4852" s="66"/>
    </row>
    <row r="4853" spans="1:1" x14ac:dyDescent="0.25">
      <c r="A4853" s="66"/>
    </row>
    <row r="4854" spans="1:1" x14ac:dyDescent="0.25">
      <c r="A4854" s="66"/>
    </row>
    <row r="4855" spans="1:1" x14ac:dyDescent="0.25">
      <c r="A4855" s="66"/>
    </row>
    <row r="4856" spans="1:1" x14ac:dyDescent="0.25">
      <c r="A4856" s="66"/>
    </row>
    <row r="4857" spans="1:1" x14ac:dyDescent="0.25">
      <c r="A4857" s="66"/>
    </row>
    <row r="4858" spans="1:1" x14ac:dyDescent="0.25">
      <c r="A4858" s="66"/>
    </row>
    <row r="4859" spans="1:1" x14ac:dyDescent="0.25">
      <c r="A4859" s="66"/>
    </row>
    <row r="4860" spans="1:1" x14ac:dyDescent="0.25">
      <c r="A4860" s="66"/>
    </row>
    <row r="4861" spans="1:1" x14ac:dyDescent="0.25">
      <c r="A4861" s="66"/>
    </row>
    <row r="4862" spans="1:1" x14ac:dyDescent="0.25">
      <c r="A4862" s="66"/>
    </row>
    <row r="4863" spans="1:1" x14ac:dyDescent="0.25">
      <c r="A4863" s="66"/>
    </row>
    <row r="4864" spans="1:1" x14ac:dyDescent="0.25">
      <c r="A4864" s="66"/>
    </row>
    <row r="4865" spans="1:1" x14ac:dyDescent="0.25">
      <c r="A4865" s="66"/>
    </row>
    <row r="4866" spans="1:1" x14ac:dyDescent="0.25">
      <c r="A4866" s="66"/>
    </row>
    <row r="4867" spans="1:1" x14ac:dyDescent="0.25">
      <c r="A4867" s="66"/>
    </row>
    <row r="4868" spans="1:1" x14ac:dyDescent="0.25">
      <c r="A4868" s="66"/>
    </row>
    <row r="4869" spans="1:1" x14ac:dyDescent="0.25">
      <c r="A4869" s="66"/>
    </row>
    <row r="4870" spans="1:1" x14ac:dyDescent="0.25">
      <c r="A4870" s="66"/>
    </row>
    <row r="4871" spans="1:1" x14ac:dyDescent="0.25">
      <c r="A4871" s="66"/>
    </row>
    <row r="4872" spans="1:1" x14ac:dyDescent="0.25">
      <c r="A4872" s="66"/>
    </row>
    <row r="4873" spans="1:1" x14ac:dyDescent="0.25">
      <c r="A4873" s="66"/>
    </row>
    <row r="4874" spans="1:1" x14ac:dyDescent="0.25">
      <c r="A4874" s="66"/>
    </row>
    <row r="4875" spans="1:1" x14ac:dyDescent="0.25">
      <c r="A4875" s="66"/>
    </row>
    <row r="4876" spans="1:1" x14ac:dyDescent="0.25">
      <c r="A4876" s="66"/>
    </row>
    <row r="4877" spans="1:1" x14ac:dyDescent="0.25">
      <c r="A4877" s="66"/>
    </row>
    <row r="4878" spans="1:1" x14ac:dyDescent="0.25">
      <c r="A4878" s="66"/>
    </row>
    <row r="4879" spans="1:1" x14ac:dyDescent="0.25">
      <c r="A4879" s="66"/>
    </row>
    <row r="4880" spans="1:1" x14ac:dyDescent="0.25">
      <c r="A4880" s="66"/>
    </row>
    <row r="4881" spans="1:1" x14ac:dyDescent="0.25">
      <c r="A4881" s="66"/>
    </row>
    <row r="4882" spans="1:1" x14ac:dyDescent="0.25">
      <c r="A4882" s="66"/>
    </row>
    <row r="4883" spans="1:1" x14ac:dyDescent="0.25">
      <c r="A4883" s="66"/>
    </row>
    <row r="4884" spans="1:1" x14ac:dyDescent="0.25">
      <c r="A4884" s="66"/>
    </row>
    <row r="4885" spans="1:1" x14ac:dyDescent="0.25">
      <c r="A4885" s="66"/>
    </row>
    <row r="4886" spans="1:1" x14ac:dyDescent="0.25">
      <c r="A4886" s="66"/>
    </row>
    <row r="4887" spans="1:1" x14ac:dyDescent="0.25">
      <c r="A4887" s="66"/>
    </row>
    <row r="4888" spans="1:1" x14ac:dyDescent="0.25">
      <c r="A4888" s="66"/>
    </row>
    <row r="4889" spans="1:1" x14ac:dyDescent="0.25">
      <c r="A4889" s="66"/>
    </row>
    <row r="4890" spans="1:1" x14ac:dyDescent="0.25">
      <c r="A4890" s="66"/>
    </row>
    <row r="4891" spans="1:1" x14ac:dyDescent="0.25">
      <c r="A4891" s="66"/>
    </row>
    <row r="4892" spans="1:1" x14ac:dyDescent="0.25">
      <c r="A4892" s="66"/>
    </row>
    <row r="4893" spans="1:1" x14ac:dyDescent="0.25">
      <c r="A4893" s="66"/>
    </row>
    <row r="4894" spans="1:1" x14ac:dyDescent="0.25">
      <c r="A4894" s="66"/>
    </row>
    <row r="4895" spans="1:1" x14ac:dyDescent="0.25">
      <c r="A4895" s="66"/>
    </row>
    <row r="4896" spans="1:1" x14ac:dyDescent="0.25">
      <c r="A4896" s="66"/>
    </row>
    <row r="4897" spans="1:1" x14ac:dyDescent="0.25">
      <c r="A4897" s="66"/>
    </row>
    <row r="4898" spans="1:1" x14ac:dyDescent="0.25">
      <c r="A4898" s="66"/>
    </row>
    <row r="4899" spans="1:1" x14ac:dyDescent="0.25">
      <c r="A4899" s="66"/>
    </row>
    <row r="4900" spans="1:1" x14ac:dyDescent="0.25">
      <c r="A4900" s="66"/>
    </row>
    <row r="4901" spans="1:1" x14ac:dyDescent="0.25">
      <c r="A4901" s="66"/>
    </row>
    <row r="4902" spans="1:1" x14ac:dyDescent="0.25">
      <c r="A4902" s="66"/>
    </row>
    <row r="4903" spans="1:1" x14ac:dyDescent="0.25">
      <c r="A4903" s="66"/>
    </row>
    <row r="4904" spans="1:1" x14ac:dyDescent="0.25">
      <c r="A4904" s="66"/>
    </row>
    <row r="4905" spans="1:1" x14ac:dyDescent="0.25">
      <c r="A4905" s="66"/>
    </row>
    <row r="4906" spans="1:1" x14ac:dyDescent="0.25">
      <c r="A4906" s="66"/>
    </row>
    <row r="4907" spans="1:1" x14ac:dyDescent="0.25">
      <c r="A4907" s="66"/>
    </row>
    <row r="4908" spans="1:1" x14ac:dyDescent="0.25">
      <c r="A4908" s="66"/>
    </row>
    <row r="4909" spans="1:1" x14ac:dyDescent="0.25">
      <c r="A4909" s="66"/>
    </row>
    <row r="4910" spans="1:1" x14ac:dyDescent="0.25">
      <c r="A4910" s="66"/>
    </row>
    <row r="4911" spans="1:1" x14ac:dyDescent="0.25">
      <c r="A4911" s="66"/>
    </row>
    <row r="4912" spans="1:1" x14ac:dyDescent="0.25">
      <c r="A4912" s="66"/>
    </row>
    <row r="4913" spans="1:1" x14ac:dyDescent="0.25">
      <c r="A4913" s="66"/>
    </row>
    <row r="4914" spans="1:1" x14ac:dyDescent="0.25">
      <c r="A4914" s="66"/>
    </row>
    <row r="4915" spans="1:1" x14ac:dyDescent="0.25">
      <c r="A4915" s="66"/>
    </row>
    <row r="4916" spans="1:1" x14ac:dyDescent="0.25">
      <c r="A4916" s="66"/>
    </row>
    <row r="4917" spans="1:1" x14ac:dyDescent="0.25">
      <c r="A4917" s="66"/>
    </row>
    <row r="4918" spans="1:1" x14ac:dyDescent="0.25">
      <c r="A4918" s="66"/>
    </row>
    <row r="4919" spans="1:1" x14ac:dyDescent="0.25">
      <c r="A4919" s="66"/>
    </row>
    <row r="4920" spans="1:1" x14ac:dyDescent="0.25">
      <c r="A4920" s="66"/>
    </row>
    <row r="4921" spans="1:1" x14ac:dyDescent="0.25">
      <c r="A4921" s="66"/>
    </row>
    <row r="4922" spans="1:1" x14ac:dyDescent="0.25">
      <c r="A4922" s="66"/>
    </row>
    <row r="4923" spans="1:1" x14ac:dyDescent="0.25">
      <c r="A4923" s="66"/>
    </row>
    <row r="4924" spans="1:1" x14ac:dyDescent="0.25">
      <c r="A4924" s="66"/>
    </row>
    <row r="4925" spans="1:1" x14ac:dyDescent="0.25">
      <c r="A4925" s="66"/>
    </row>
    <row r="4926" spans="1:1" x14ac:dyDescent="0.25">
      <c r="A4926" s="66"/>
    </row>
    <row r="4927" spans="1:1" x14ac:dyDescent="0.25">
      <c r="A4927" s="66"/>
    </row>
    <row r="4928" spans="1:1" x14ac:dyDescent="0.25">
      <c r="A4928" s="66"/>
    </row>
    <row r="4929" spans="1:1" x14ac:dyDescent="0.25">
      <c r="A4929" s="66"/>
    </row>
    <row r="4930" spans="1:1" x14ac:dyDescent="0.25">
      <c r="A4930" s="66"/>
    </row>
    <row r="4931" spans="1:1" x14ac:dyDescent="0.25">
      <c r="A4931" s="66"/>
    </row>
    <row r="4932" spans="1:1" x14ac:dyDescent="0.25">
      <c r="A4932" s="66"/>
    </row>
    <row r="4933" spans="1:1" x14ac:dyDescent="0.25">
      <c r="A4933" s="66"/>
    </row>
    <row r="4934" spans="1:1" x14ac:dyDescent="0.25">
      <c r="A4934" s="66"/>
    </row>
    <row r="4935" spans="1:1" x14ac:dyDescent="0.25">
      <c r="A4935" s="66"/>
    </row>
    <row r="4936" spans="1:1" x14ac:dyDescent="0.25">
      <c r="A4936" s="66"/>
    </row>
    <row r="4937" spans="1:1" x14ac:dyDescent="0.25">
      <c r="A4937" s="66"/>
    </row>
    <row r="4938" spans="1:1" x14ac:dyDescent="0.25">
      <c r="A4938" s="66"/>
    </row>
    <row r="4939" spans="1:1" x14ac:dyDescent="0.25">
      <c r="A4939" s="66"/>
    </row>
    <row r="4940" spans="1:1" x14ac:dyDescent="0.25">
      <c r="A4940" s="66"/>
    </row>
    <row r="4941" spans="1:1" x14ac:dyDescent="0.25">
      <c r="A4941" s="66"/>
    </row>
    <row r="4942" spans="1:1" x14ac:dyDescent="0.25">
      <c r="A4942" s="66"/>
    </row>
    <row r="4943" spans="1:1" x14ac:dyDescent="0.25">
      <c r="A4943" s="66"/>
    </row>
    <row r="4944" spans="1:1" x14ac:dyDescent="0.25">
      <c r="A4944" s="66"/>
    </row>
    <row r="4945" spans="1:1" x14ac:dyDescent="0.25">
      <c r="A4945" s="66"/>
    </row>
    <row r="4946" spans="1:1" x14ac:dyDescent="0.25">
      <c r="A4946" s="66"/>
    </row>
    <row r="4947" spans="1:1" x14ac:dyDescent="0.25">
      <c r="A4947" s="66"/>
    </row>
    <row r="4948" spans="1:1" x14ac:dyDescent="0.25">
      <c r="A4948" s="66"/>
    </row>
    <row r="4949" spans="1:1" x14ac:dyDescent="0.25">
      <c r="A4949" s="66"/>
    </row>
    <row r="4950" spans="1:1" x14ac:dyDescent="0.25">
      <c r="A4950" s="66"/>
    </row>
    <row r="4951" spans="1:1" x14ac:dyDescent="0.25">
      <c r="A4951" s="66"/>
    </row>
    <row r="4952" spans="1:1" x14ac:dyDescent="0.25">
      <c r="A4952" s="66"/>
    </row>
    <row r="4953" spans="1:1" x14ac:dyDescent="0.25">
      <c r="A4953" s="66"/>
    </row>
    <row r="4954" spans="1:1" x14ac:dyDescent="0.25">
      <c r="A4954" s="66"/>
    </row>
    <row r="4955" spans="1:1" x14ac:dyDescent="0.25">
      <c r="A4955" s="66"/>
    </row>
    <row r="4956" spans="1:1" x14ac:dyDescent="0.25">
      <c r="A4956" s="66"/>
    </row>
    <row r="4957" spans="1:1" x14ac:dyDescent="0.25">
      <c r="A4957" s="66"/>
    </row>
    <row r="4958" spans="1:1" x14ac:dyDescent="0.25">
      <c r="A4958" s="66"/>
    </row>
    <row r="4959" spans="1:1" x14ac:dyDescent="0.25">
      <c r="A4959" s="66"/>
    </row>
    <row r="4960" spans="1:1" x14ac:dyDescent="0.25">
      <c r="A4960" s="66"/>
    </row>
    <row r="4961" spans="1:1" x14ac:dyDescent="0.25">
      <c r="A4961" s="66"/>
    </row>
    <row r="4962" spans="1:1" x14ac:dyDescent="0.25">
      <c r="A4962" s="66"/>
    </row>
    <row r="4963" spans="1:1" x14ac:dyDescent="0.25">
      <c r="A4963" s="66"/>
    </row>
    <row r="4964" spans="1:1" x14ac:dyDescent="0.25">
      <c r="A4964" s="66"/>
    </row>
    <row r="4965" spans="1:1" x14ac:dyDescent="0.25">
      <c r="A4965" s="66"/>
    </row>
    <row r="4966" spans="1:1" x14ac:dyDescent="0.25">
      <c r="A4966" s="66"/>
    </row>
    <row r="4967" spans="1:1" x14ac:dyDescent="0.25">
      <c r="A4967" s="66"/>
    </row>
    <row r="4968" spans="1:1" x14ac:dyDescent="0.25">
      <c r="A4968" s="66"/>
    </row>
    <row r="4969" spans="1:1" x14ac:dyDescent="0.25">
      <c r="A4969" s="66"/>
    </row>
    <row r="4970" spans="1:1" x14ac:dyDescent="0.25">
      <c r="A4970" s="66"/>
    </row>
    <row r="4971" spans="1:1" x14ac:dyDescent="0.25">
      <c r="A4971" s="66"/>
    </row>
    <row r="4972" spans="1:1" x14ac:dyDescent="0.25">
      <c r="A4972" s="66"/>
    </row>
    <row r="4973" spans="1:1" x14ac:dyDescent="0.25">
      <c r="A4973" s="66"/>
    </row>
    <row r="4974" spans="1:1" x14ac:dyDescent="0.25">
      <c r="A4974" s="66"/>
    </row>
    <row r="4975" spans="1:1" x14ac:dyDescent="0.25">
      <c r="A4975" s="66"/>
    </row>
    <row r="4976" spans="1:1" x14ac:dyDescent="0.25">
      <c r="A4976" s="66"/>
    </row>
    <row r="4977" spans="1:1" x14ac:dyDescent="0.25">
      <c r="A4977" s="66"/>
    </row>
    <row r="4978" spans="1:1" x14ac:dyDescent="0.25">
      <c r="A4978" s="66"/>
    </row>
    <row r="4979" spans="1:1" x14ac:dyDescent="0.25">
      <c r="A4979" s="66"/>
    </row>
    <row r="4980" spans="1:1" x14ac:dyDescent="0.25">
      <c r="A4980" s="66"/>
    </row>
    <row r="4981" spans="1:1" x14ac:dyDescent="0.25">
      <c r="A4981" s="66"/>
    </row>
    <row r="4982" spans="1:1" x14ac:dyDescent="0.25">
      <c r="A4982" s="66"/>
    </row>
    <row r="4983" spans="1:1" x14ac:dyDescent="0.25">
      <c r="A4983" s="66"/>
    </row>
    <row r="4984" spans="1:1" x14ac:dyDescent="0.25">
      <c r="A4984" s="66"/>
    </row>
    <row r="4985" spans="1:1" x14ac:dyDescent="0.25">
      <c r="A4985" s="66"/>
    </row>
    <row r="4986" spans="1:1" x14ac:dyDescent="0.25">
      <c r="A4986" s="66"/>
    </row>
    <row r="4987" spans="1:1" x14ac:dyDescent="0.25">
      <c r="A4987" s="66"/>
    </row>
    <row r="4988" spans="1:1" x14ac:dyDescent="0.25">
      <c r="A4988" s="66"/>
    </row>
    <row r="4989" spans="1:1" x14ac:dyDescent="0.25">
      <c r="A4989" s="66"/>
    </row>
    <row r="4990" spans="1:1" x14ac:dyDescent="0.25">
      <c r="A4990" s="66"/>
    </row>
    <row r="4991" spans="1:1" x14ac:dyDescent="0.25">
      <c r="A4991" s="66"/>
    </row>
    <row r="4992" spans="1:1" x14ac:dyDescent="0.25">
      <c r="A4992" s="66"/>
    </row>
    <row r="4993" spans="1:1" x14ac:dyDescent="0.25">
      <c r="A4993" s="66"/>
    </row>
    <row r="4994" spans="1:1" x14ac:dyDescent="0.25">
      <c r="A4994" s="66"/>
    </row>
    <row r="4995" spans="1:1" x14ac:dyDescent="0.25">
      <c r="A4995" s="66"/>
    </row>
    <row r="4996" spans="1:1" x14ac:dyDescent="0.25">
      <c r="A4996" s="66"/>
    </row>
    <row r="4997" spans="1:1" x14ac:dyDescent="0.25">
      <c r="A4997" s="66"/>
    </row>
    <row r="4998" spans="1:1" x14ac:dyDescent="0.25">
      <c r="A4998" s="66"/>
    </row>
    <row r="4999" spans="1:1" x14ac:dyDescent="0.25">
      <c r="A4999" s="66"/>
    </row>
    <row r="5000" spans="1:1" x14ac:dyDescent="0.25">
      <c r="A5000" s="66"/>
    </row>
    <row r="5001" spans="1:1" x14ac:dyDescent="0.25">
      <c r="A5001" s="66"/>
    </row>
    <row r="5002" spans="1:1" x14ac:dyDescent="0.25">
      <c r="A5002" s="66"/>
    </row>
    <row r="5003" spans="1:1" x14ac:dyDescent="0.25">
      <c r="A5003" s="66"/>
    </row>
    <row r="5004" spans="1:1" x14ac:dyDescent="0.25">
      <c r="A5004" s="66"/>
    </row>
    <row r="5005" spans="1:1" x14ac:dyDescent="0.25">
      <c r="A5005" s="66"/>
    </row>
    <row r="5006" spans="1:1" x14ac:dyDescent="0.25">
      <c r="A5006" s="66"/>
    </row>
    <row r="5007" spans="1:1" x14ac:dyDescent="0.25">
      <c r="A5007" s="66"/>
    </row>
    <row r="5008" spans="1:1" x14ac:dyDescent="0.25">
      <c r="A5008" s="66"/>
    </row>
    <row r="5009" spans="1:1" x14ac:dyDescent="0.25">
      <c r="A5009" s="66"/>
    </row>
    <row r="5010" spans="1:1" x14ac:dyDescent="0.25">
      <c r="A5010" s="66"/>
    </row>
    <row r="5011" spans="1:1" x14ac:dyDescent="0.25">
      <c r="A5011" s="66"/>
    </row>
    <row r="5012" spans="1:1" x14ac:dyDescent="0.25">
      <c r="A5012" s="66"/>
    </row>
    <row r="5013" spans="1:1" x14ac:dyDescent="0.25">
      <c r="A5013" s="66"/>
    </row>
    <row r="5014" spans="1:1" x14ac:dyDescent="0.25">
      <c r="A5014" s="66"/>
    </row>
    <row r="5015" spans="1:1" x14ac:dyDescent="0.25">
      <c r="A5015" s="66"/>
    </row>
    <row r="5016" spans="1:1" x14ac:dyDescent="0.25">
      <c r="A5016" s="66"/>
    </row>
    <row r="5017" spans="1:1" x14ac:dyDescent="0.25">
      <c r="A5017" s="66"/>
    </row>
    <row r="5018" spans="1:1" x14ac:dyDescent="0.25">
      <c r="A5018" s="66"/>
    </row>
    <row r="5019" spans="1:1" x14ac:dyDescent="0.25">
      <c r="A5019" s="66"/>
    </row>
    <row r="5020" spans="1:1" x14ac:dyDescent="0.25">
      <c r="A5020" s="66"/>
    </row>
    <row r="5021" spans="1:1" x14ac:dyDescent="0.25">
      <c r="A5021" s="66"/>
    </row>
    <row r="5022" spans="1:1" x14ac:dyDescent="0.25">
      <c r="A5022" s="66"/>
    </row>
    <row r="5023" spans="1:1" x14ac:dyDescent="0.25">
      <c r="A5023" s="66"/>
    </row>
    <row r="5024" spans="1:1" x14ac:dyDescent="0.25">
      <c r="A5024" s="66"/>
    </row>
    <row r="5025" spans="1:1" x14ac:dyDescent="0.25">
      <c r="A5025" s="66"/>
    </row>
    <row r="5026" spans="1:1" x14ac:dyDescent="0.25">
      <c r="A5026" s="66"/>
    </row>
    <row r="5027" spans="1:1" x14ac:dyDescent="0.25">
      <c r="A5027" s="66"/>
    </row>
    <row r="5028" spans="1:1" x14ac:dyDescent="0.25">
      <c r="A5028" s="66"/>
    </row>
    <row r="5029" spans="1:1" x14ac:dyDescent="0.25">
      <c r="A5029" s="66"/>
    </row>
    <row r="5030" spans="1:1" x14ac:dyDescent="0.25">
      <c r="A5030" s="66"/>
    </row>
    <row r="5031" spans="1:1" x14ac:dyDescent="0.25">
      <c r="A5031" s="66"/>
    </row>
    <row r="5032" spans="1:1" x14ac:dyDescent="0.25">
      <c r="A5032" s="66"/>
    </row>
    <row r="5033" spans="1:1" x14ac:dyDescent="0.25">
      <c r="A5033" s="66"/>
    </row>
    <row r="5034" spans="1:1" x14ac:dyDescent="0.25">
      <c r="A5034" s="66"/>
    </row>
    <row r="5035" spans="1:1" x14ac:dyDescent="0.25">
      <c r="A5035" s="66"/>
    </row>
    <row r="5036" spans="1:1" x14ac:dyDescent="0.25">
      <c r="A5036" s="66"/>
    </row>
    <row r="5037" spans="1:1" x14ac:dyDescent="0.25">
      <c r="A5037" s="66"/>
    </row>
    <row r="5038" spans="1:1" x14ac:dyDescent="0.25">
      <c r="A5038" s="66"/>
    </row>
    <row r="5039" spans="1:1" x14ac:dyDescent="0.25">
      <c r="A5039" s="66"/>
    </row>
    <row r="5040" spans="1:1" x14ac:dyDescent="0.25">
      <c r="A5040" s="66"/>
    </row>
    <row r="5041" spans="1:1" x14ac:dyDescent="0.25">
      <c r="A5041" s="66"/>
    </row>
    <row r="5042" spans="1:1" x14ac:dyDescent="0.25">
      <c r="A5042" s="66"/>
    </row>
    <row r="5043" spans="1:1" x14ac:dyDescent="0.25">
      <c r="A5043" s="66"/>
    </row>
    <row r="5044" spans="1:1" x14ac:dyDescent="0.25">
      <c r="A5044" s="66"/>
    </row>
    <row r="5045" spans="1:1" x14ac:dyDescent="0.25">
      <c r="A5045" s="66"/>
    </row>
    <row r="5046" spans="1:1" x14ac:dyDescent="0.25">
      <c r="A5046" s="66"/>
    </row>
    <row r="5047" spans="1:1" x14ac:dyDescent="0.25">
      <c r="A5047" s="66"/>
    </row>
    <row r="5048" spans="1:1" x14ac:dyDescent="0.25">
      <c r="A5048" s="66"/>
    </row>
    <row r="5049" spans="1:1" x14ac:dyDescent="0.25">
      <c r="A5049" s="66"/>
    </row>
    <row r="5050" spans="1:1" x14ac:dyDescent="0.25">
      <c r="A5050" s="66"/>
    </row>
    <row r="5051" spans="1:1" x14ac:dyDescent="0.25">
      <c r="A5051" s="66"/>
    </row>
    <row r="5052" spans="1:1" x14ac:dyDescent="0.25">
      <c r="A5052" s="66"/>
    </row>
    <row r="5053" spans="1:1" x14ac:dyDescent="0.25">
      <c r="A5053" s="66"/>
    </row>
    <row r="5054" spans="1:1" x14ac:dyDescent="0.25">
      <c r="A5054" s="66"/>
    </row>
    <row r="5055" spans="1:1" x14ac:dyDescent="0.25">
      <c r="A5055" s="66"/>
    </row>
    <row r="5056" spans="1:1" x14ac:dyDescent="0.25">
      <c r="A5056" s="66"/>
    </row>
    <row r="5057" spans="1:1" x14ac:dyDescent="0.25">
      <c r="A5057" s="66"/>
    </row>
    <row r="5058" spans="1:1" x14ac:dyDescent="0.25">
      <c r="A5058" s="66"/>
    </row>
    <row r="5059" spans="1:1" x14ac:dyDescent="0.25">
      <c r="A5059" s="66"/>
    </row>
    <row r="5060" spans="1:1" x14ac:dyDescent="0.25">
      <c r="A5060" s="66"/>
    </row>
    <row r="5061" spans="1:1" x14ac:dyDescent="0.25">
      <c r="A5061" s="66"/>
    </row>
    <row r="5062" spans="1:1" x14ac:dyDescent="0.25">
      <c r="A5062" s="66"/>
    </row>
    <row r="5063" spans="1:1" x14ac:dyDescent="0.25">
      <c r="A5063" s="66"/>
    </row>
    <row r="5064" spans="1:1" x14ac:dyDescent="0.25">
      <c r="A5064" s="66"/>
    </row>
    <row r="5065" spans="1:1" x14ac:dyDescent="0.25">
      <c r="A5065" s="66"/>
    </row>
    <row r="5066" spans="1:1" x14ac:dyDescent="0.25">
      <c r="A5066" s="66"/>
    </row>
    <row r="5067" spans="1:1" x14ac:dyDescent="0.25">
      <c r="A5067" s="66"/>
    </row>
    <row r="5068" spans="1:1" x14ac:dyDescent="0.25">
      <c r="A5068" s="66"/>
    </row>
    <row r="5069" spans="1:1" x14ac:dyDescent="0.25">
      <c r="A5069" s="66"/>
    </row>
    <row r="5070" spans="1:1" x14ac:dyDescent="0.25">
      <c r="A5070" s="66"/>
    </row>
    <row r="5071" spans="1:1" x14ac:dyDescent="0.25">
      <c r="A5071" s="66"/>
    </row>
    <row r="5072" spans="1:1" x14ac:dyDescent="0.25">
      <c r="A5072" s="66"/>
    </row>
    <row r="5073" spans="1:1" x14ac:dyDescent="0.25">
      <c r="A5073" s="66"/>
    </row>
    <row r="5074" spans="1:1" x14ac:dyDescent="0.25">
      <c r="A5074" s="66"/>
    </row>
    <row r="5075" spans="1:1" x14ac:dyDescent="0.25">
      <c r="A5075" s="66"/>
    </row>
    <row r="5076" spans="1:1" x14ac:dyDescent="0.25">
      <c r="A5076" s="66"/>
    </row>
    <row r="5077" spans="1:1" x14ac:dyDescent="0.25">
      <c r="A5077" s="66"/>
    </row>
    <row r="5078" spans="1:1" x14ac:dyDescent="0.25">
      <c r="A5078" s="66"/>
    </row>
    <row r="5079" spans="1:1" x14ac:dyDescent="0.25">
      <c r="A5079" s="66"/>
    </row>
    <row r="5080" spans="1:1" x14ac:dyDescent="0.25">
      <c r="A5080" s="66"/>
    </row>
    <row r="5081" spans="1:1" x14ac:dyDescent="0.25">
      <c r="A5081" s="66"/>
    </row>
    <row r="5082" spans="1:1" x14ac:dyDescent="0.25">
      <c r="A5082" s="66"/>
    </row>
    <row r="5083" spans="1:1" x14ac:dyDescent="0.25">
      <c r="A5083" s="66"/>
    </row>
    <row r="5084" spans="1:1" x14ac:dyDescent="0.25">
      <c r="A5084" s="66"/>
    </row>
    <row r="5085" spans="1:1" x14ac:dyDescent="0.25">
      <c r="A5085" s="66"/>
    </row>
    <row r="5086" spans="1:1" x14ac:dyDescent="0.25">
      <c r="A5086" s="66"/>
    </row>
    <row r="5087" spans="1:1" x14ac:dyDescent="0.25">
      <c r="A5087" s="66"/>
    </row>
    <row r="5088" spans="1:1" x14ac:dyDescent="0.25">
      <c r="A5088" s="66"/>
    </row>
    <row r="5089" spans="1:1" x14ac:dyDescent="0.25">
      <c r="A5089" s="66"/>
    </row>
    <row r="5090" spans="1:1" x14ac:dyDescent="0.25">
      <c r="A5090" s="66"/>
    </row>
    <row r="5091" spans="1:1" x14ac:dyDescent="0.25">
      <c r="A5091" s="66"/>
    </row>
    <row r="5092" spans="1:1" x14ac:dyDescent="0.25">
      <c r="A5092" s="66"/>
    </row>
    <row r="5093" spans="1:1" x14ac:dyDescent="0.25">
      <c r="A5093" s="66"/>
    </row>
    <row r="5094" spans="1:1" x14ac:dyDescent="0.25">
      <c r="A5094" s="66"/>
    </row>
    <row r="5095" spans="1:1" x14ac:dyDescent="0.25">
      <c r="A5095" s="66"/>
    </row>
    <row r="5096" spans="1:1" x14ac:dyDescent="0.25">
      <c r="A5096" s="66"/>
    </row>
    <row r="5097" spans="1:1" x14ac:dyDescent="0.25">
      <c r="A5097" s="66"/>
    </row>
    <row r="5098" spans="1:1" x14ac:dyDescent="0.25">
      <c r="A5098" s="66"/>
    </row>
    <row r="5099" spans="1:1" x14ac:dyDescent="0.25">
      <c r="A5099" s="66"/>
    </row>
    <row r="5100" spans="1:1" x14ac:dyDescent="0.25">
      <c r="A5100" s="66"/>
    </row>
    <row r="5101" spans="1:1" x14ac:dyDescent="0.25">
      <c r="A5101" s="66"/>
    </row>
    <row r="5102" spans="1:1" x14ac:dyDescent="0.25">
      <c r="A5102" s="66"/>
    </row>
    <row r="5103" spans="1:1" x14ac:dyDescent="0.25">
      <c r="A5103" s="66"/>
    </row>
    <row r="5104" spans="1:1" x14ac:dyDescent="0.25">
      <c r="A5104" s="66"/>
    </row>
    <row r="5105" spans="1:1" x14ac:dyDescent="0.25">
      <c r="A5105" s="66"/>
    </row>
    <row r="5106" spans="1:1" x14ac:dyDescent="0.25">
      <c r="A5106" s="66"/>
    </row>
    <row r="5107" spans="1:1" x14ac:dyDescent="0.25">
      <c r="A5107" s="66"/>
    </row>
    <row r="5108" spans="1:1" x14ac:dyDescent="0.25">
      <c r="A5108" s="66"/>
    </row>
    <row r="5109" spans="1:1" x14ac:dyDescent="0.25">
      <c r="A5109" s="66"/>
    </row>
    <row r="5110" spans="1:1" x14ac:dyDescent="0.25">
      <c r="A5110" s="66"/>
    </row>
    <row r="5111" spans="1:1" x14ac:dyDescent="0.25">
      <c r="A5111" s="66"/>
    </row>
    <row r="5112" spans="1:1" x14ac:dyDescent="0.25">
      <c r="A5112" s="66"/>
    </row>
    <row r="5113" spans="1:1" x14ac:dyDescent="0.25">
      <c r="A5113" s="66"/>
    </row>
    <row r="5114" spans="1:1" x14ac:dyDescent="0.25">
      <c r="A5114" s="66"/>
    </row>
    <row r="5115" spans="1:1" x14ac:dyDescent="0.25">
      <c r="A5115" s="66"/>
    </row>
    <row r="5116" spans="1:1" x14ac:dyDescent="0.25">
      <c r="A5116" s="66"/>
    </row>
    <row r="5117" spans="1:1" x14ac:dyDescent="0.25">
      <c r="A5117" s="66"/>
    </row>
    <row r="5118" spans="1:1" x14ac:dyDescent="0.25">
      <c r="A5118" s="66"/>
    </row>
    <row r="5119" spans="1:1" x14ac:dyDescent="0.25">
      <c r="A5119" s="66"/>
    </row>
    <row r="5120" spans="1:1" x14ac:dyDescent="0.25">
      <c r="A5120" s="66"/>
    </row>
    <row r="5121" spans="1:1" x14ac:dyDescent="0.25">
      <c r="A5121" s="66"/>
    </row>
    <row r="5122" spans="1:1" x14ac:dyDescent="0.25">
      <c r="A5122" s="66"/>
    </row>
    <row r="5123" spans="1:1" x14ac:dyDescent="0.25">
      <c r="A5123" s="66"/>
    </row>
    <row r="5124" spans="1:1" x14ac:dyDescent="0.25">
      <c r="A5124" s="66"/>
    </row>
    <row r="5125" spans="1:1" x14ac:dyDescent="0.25">
      <c r="A5125" s="66"/>
    </row>
    <row r="5126" spans="1:1" x14ac:dyDescent="0.25">
      <c r="A5126" s="66"/>
    </row>
    <row r="5127" spans="1:1" x14ac:dyDescent="0.25">
      <c r="A5127" s="66"/>
    </row>
    <row r="5128" spans="1:1" x14ac:dyDescent="0.25">
      <c r="A5128" s="66"/>
    </row>
    <row r="5129" spans="1:1" x14ac:dyDescent="0.25">
      <c r="A5129" s="66"/>
    </row>
    <row r="5130" spans="1:1" x14ac:dyDescent="0.25">
      <c r="A5130" s="66"/>
    </row>
    <row r="5131" spans="1:1" x14ac:dyDescent="0.25">
      <c r="A5131" s="66"/>
    </row>
    <row r="5132" spans="1:1" x14ac:dyDescent="0.25">
      <c r="A5132" s="66"/>
    </row>
    <row r="5133" spans="1:1" x14ac:dyDescent="0.25">
      <c r="A5133" s="66"/>
    </row>
    <row r="5134" spans="1:1" x14ac:dyDescent="0.25">
      <c r="A5134" s="66"/>
    </row>
    <row r="5135" spans="1:1" x14ac:dyDescent="0.25">
      <c r="A5135" s="66"/>
    </row>
    <row r="5136" spans="1:1" x14ac:dyDescent="0.25">
      <c r="A5136" s="66"/>
    </row>
    <row r="5137" spans="1:1" x14ac:dyDescent="0.25">
      <c r="A5137" s="66"/>
    </row>
    <row r="5138" spans="1:1" x14ac:dyDescent="0.25">
      <c r="A5138" s="66"/>
    </row>
    <row r="5139" spans="1:1" x14ac:dyDescent="0.25">
      <c r="A5139" s="66"/>
    </row>
    <row r="5140" spans="1:1" x14ac:dyDescent="0.25">
      <c r="A5140" s="66"/>
    </row>
    <row r="5141" spans="1:1" x14ac:dyDescent="0.25">
      <c r="A5141" s="66"/>
    </row>
    <row r="5142" spans="1:1" x14ac:dyDescent="0.25">
      <c r="A5142" s="66"/>
    </row>
    <row r="5143" spans="1:1" x14ac:dyDescent="0.25">
      <c r="A5143" s="66"/>
    </row>
    <row r="5144" spans="1:1" x14ac:dyDescent="0.25">
      <c r="A5144" s="66"/>
    </row>
    <row r="5145" spans="1:1" x14ac:dyDescent="0.25">
      <c r="A5145" s="66"/>
    </row>
    <row r="5146" spans="1:1" x14ac:dyDescent="0.25">
      <c r="A5146" s="66"/>
    </row>
    <row r="5147" spans="1:1" x14ac:dyDescent="0.25">
      <c r="A5147" s="66"/>
    </row>
    <row r="5148" spans="1:1" x14ac:dyDescent="0.25">
      <c r="A5148" s="66"/>
    </row>
    <row r="5149" spans="1:1" x14ac:dyDescent="0.25">
      <c r="A5149" s="66"/>
    </row>
    <row r="5150" spans="1:1" x14ac:dyDescent="0.25">
      <c r="A5150" s="66"/>
    </row>
    <row r="5151" spans="1:1" x14ac:dyDescent="0.25">
      <c r="A5151" s="66"/>
    </row>
    <row r="5152" spans="1:1" x14ac:dyDescent="0.25">
      <c r="A5152" s="66"/>
    </row>
    <row r="5153" spans="1:1" x14ac:dyDescent="0.25">
      <c r="A5153" s="66"/>
    </row>
    <row r="5154" spans="1:1" x14ac:dyDescent="0.25">
      <c r="A5154" s="66"/>
    </row>
    <row r="5155" spans="1:1" x14ac:dyDescent="0.25">
      <c r="A5155" s="66"/>
    </row>
    <row r="5156" spans="1:1" x14ac:dyDescent="0.25">
      <c r="A5156" s="66"/>
    </row>
    <row r="5157" spans="1:1" x14ac:dyDescent="0.25">
      <c r="A5157" s="66"/>
    </row>
    <row r="5158" spans="1:1" x14ac:dyDescent="0.25">
      <c r="A5158" s="66"/>
    </row>
    <row r="5159" spans="1:1" x14ac:dyDescent="0.25">
      <c r="A5159" s="66"/>
    </row>
    <row r="5160" spans="1:1" x14ac:dyDescent="0.25">
      <c r="A5160" s="66"/>
    </row>
    <row r="5161" spans="1:1" x14ac:dyDescent="0.25">
      <c r="A5161" s="66"/>
    </row>
    <row r="5162" spans="1:1" x14ac:dyDescent="0.25">
      <c r="A5162" s="66"/>
    </row>
    <row r="5163" spans="1:1" x14ac:dyDescent="0.25">
      <c r="A5163" s="66"/>
    </row>
    <row r="5164" spans="1:1" x14ac:dyDescent="0.25">
      <c r="A5164" s="66"/>
    </row>
    <row r="5165" spans="1:1" x14ac:dyDescent="0.25">
      <c r="A5165" s="66"/>
    </row>
    <row r="5166" spans="1:1" x14ac:dyDescent="0.25">
      <c r="A5166" s="66"/>
    </row>
    <row r="5167" spans="1:1" x14ac:dyDescent="0.25">
      <c r="A5167" s="66"/>
    </row>
    <row r="5168" spans="1:1" x14ac:dyDescent="0.25">
      <c r="A5168" s="66"/>
    </row>
    <row r="5169" spans="1:1" x14ac:dyDescent="0.25">
      <c r="A5169" s="66"/>
    </row>
    <row r="5170" spans="1:1" x14ac:dyDescent="0.25">
      <c r="A5170" s="66"/>
    </row>
    <row r="5171" spans="1:1" x14ac:dyDescent="0.25">
      <c r="A5171" s="66"/>
    </row>
    <row r="5172" spans="1:1" x14ac:dyDescent="0.25">
      <c r="A5172" s="66"/>
    </row>
    <row r="5173" spans="1:1" x14ac:dyDescent="0.25">
      <c r="A5173" s="66"/>
    </row>
    <row r="5174" spans="1:1" x14ac:dyDescent="0.25">
      <c r="A5174" s="66"/>
    </row>
    <row r="5175" spans="1:1" x14ac:dyDescent="0.25">
      <c r="A5175" s="66"/>
    </row>
    <row r="5176" spans="1:1" x14ac:dyDescent="0.25">
      <c r="A5176" s="66"/>
    </row>
    <row r="5177" spans="1:1" x14ac:dyDescent="0.25">
      <c r="A5177" s="66"/>
    </row>
    <row r="5178" spans="1:1" x14ac:dyDescent="0.25">
      <c r="A5178" s="66"/>
    </row>
    <row r="5179" spans="1:1" x14ac:dyDescent="0.25">
      <c r="A5179" s="66"/>
    </row>
    <row r="5180" spans="1:1" x14ac:dyDescent="0.25">
      <c r="A5180" s="66"/>
    </row>
    <row r="5181" spans="1:1" x14ac:dyDescent="0.25">
      <c r="A5181" s="66"/>
    </row>
    <row r="5182" spans="1:1" x14ac:dyDescent="0.25">
      <c r="A5182" s="66"/>
    </row>
    <row r="5183" spans="1:1" x14ac:dyDescent="0.25">
      <c r="A5183" s="66"/>
    </row>
    <row r="5184" spans="1:1" x14ac:dyDescent="0.25">
      <c r="A5184" s="66"/>
    </row>
    <row r="5185" spans="1:1" x14ac:dyDescent="0.25">
      <c r="A5185" s="66"/>
    </row>
    <row r="5186" spans="1:1" x14ac:dyDescent="0.25">
      <c r="A5186" s="66"/>
    </row>
    <row r="5187" spans="1:1" x14ac:dyDescent="0.25">
      <c r="A5187" s="66"/>
    </row>
    <row r="5188" spans="1:1" x14ac:dyDescent="0.25">
      <c r="A5188" s="66"/>
    </row>
    <row r="5189" spans="1:1" x14ac:dyDescent="0.25">
      <c r="A5189" s="66"/>
    </row>
    <row r="5190" spans="1:1" x14ac:dyDescent="0.25">
      <c r="A5190" s="66"/>
    </row>
    <row r="5191" spans="1:1" x14ac:dyDescent="0.25">
      <c r="A5191" s="66"/>
    </row>
    <row r="5192" spans="1:1" x14ac:dyDescent="0.25">
      <c r="A5192" s="66"/>
    </row>
    <row r="5193" spans="1:1" x14ac:dyDescent="0.25">
      <c r="A5193" s="66"/>
    </row>
    <row r="5194" spans="1:1" x14ac:dyDescent="0.25">
      <c r="A5194" s="66"/>
    </row>
    <row r="5195" spans="1:1" x14ac:dyDescent="0.25">
      <c r="A5195" s="66"/>
    </row>
    <row r="5196" spans="1:1" x14ac:dyDescent="0.25">
      <c r="A5196" s="66"/>
    </row>
    <row r="5197" spans="1:1" x14ac:dyDescent="0.25">
      <c r="A5197" s="66"/>
    </row>
    <row r="5198" spans="1:1" x14ac:dyDescent="0.25">
      <c r="A5198" s="66"/>
    </row>
    <row r="5199" spans="1:1" x14ac:dyDescent="0.25">
      <c r="A5199" s="66"/>
    </row>
    <row r="5200" spans="1:1" x14ac:dyDescent="0.25">
      <c r="A5200" s="66"/>
    </row>
    <row r="5201" spans="1:1" x14ac:dyDescent="0.25">
      <c r="A5201" s="66"/>
    </row>
    <row r="5202" spans="1:1" x14ac:dyDescent="0.25">
      <c r="A5202" s="66"/>
    </row>
    <row r="5203" spans="1:1" x14ac:dyDescent="0.25">
      <c r="A5203" s="66"/>
    </row>
    <row r="5204" spans="1:1" x14ac:dyDescent="0.25">
      <c r="A5204" s="66"/>
    </row>
    <row r="5205" spans="1:1" x14ac:dyDescent="0.25">
      <c r="A5205" s="66"/>
    </row>
    <row r="5206" spans="1:1" x14ac:dyDescent="0.25">
      <c r="A5206" s="66"/>
    </row>
    <row r="5207" spans="1:1" x14ac:dyDescent="0.25">
      <c r="A5207" s="66"/>
    </row>
    <row r="5208" spans="1:1" x14ac:dyDescent="0.25">
      <c r="A5208" s="66"/>
    </row>
    <row r="5209" spans="1:1" x14ac:dyDescent="0.25">
      <c r="A5209" s="66"/>
    </row>
    <row r="5210" spans="1:1" x14ac:dyDescent="0.25">
      <c r="A5210" s="66"/>
    </row>
    <row r="5211" spans="1:1" x14ac:dyDescent="0.25">
      <c r="A5211" s="66"/>
    </row>
    <row r="5212" spans="1:1" x14ac:dyDescent="0.25">
      <c r="A5212" s="66"/>
    </row>
    <row r="5213" spans="1:1" x14ac:dyDescent="0.25">
      <c r="A5213" s="66"/>
    </row>
    <row r="5214" spans="1:1" x14ac:dyDescent="0.25">
      <c r="A5214" s="66"/>
    </row>
    <row r="5215" spans="1:1" x14ac:dyDescent="0.25">
      <c r="A5215" s="66"/>
    </row>
    <row r="5216" spans="1:1" x14ac:dyDescent="0.25">
      <c r="A5216" s="66"/>
    </row>
    <row r="5217" spans="1:1" x14ac:dyDescent="0.25">
      <c r="A5217" s="66"/>
    </row>
    <row r="5218" spans="1:1" x14ac:dyDescent="0.25">
      <c r="A5218" s="66"/>
    </row>
    <row r="5219" spans="1:1" x14ac:dyDescent="0.25">
      <c r="A5219" s="66"/>
    </row>
    <row r="5220" spans="1:1" x14ac:dyDescent="0.25">
      <c r="A5220" s="66"/>
    </row>
    <row r="5221" spans="1:1" x14ac:dyDescent="0.25">
      <c r="A5221" s="66"/>
    </row>
    <row r="5222" spans="1:1" x14ac:dyDescent="0.25">
      <c r="A5222" s="66"/>
    </row>
    <row r="5223" spans="1:1" x14ac:dyDescent="0.25">
      <c r="A5223" s="66"/>
    </row>
    <row r="5224" spans="1:1" x14ac:dyDescent="0.25">
      <c r="A5224" s="66"/>
    </row>
    <row r="5225" spans="1:1" x14ac:dyDescent="0.25">
      <c r="A5225" s="66"/>
    </row>
    <row r="5226" spans="1:1" x14ac:dyDescent="0.25">
      <c r="A5226" s="66"/>
    </row>
    <row r="5227" spans="1:1" x14ac:dyDescent="0.25">
      <c r="A5227" s="66"/>
    </row>
    <row r="5228" spans="1:1" x14ac:dyDescent="0.25">
      <c r="A5228" s="66"/>
    </row>
    <row r="5229" spans="1:1" x14ac:dyDescent="0.25">
      <c r="A5229" s="66"/>
    </row>
    <row r="5230" spans="1:1" x14ac:dyDescent="0.25">
      <c r="A5230" s="66"/>
    </row>
    <row r="5231" spans="1:1" x14ac:dyDescent="0.25">
      <c r="A5231" s="66"/>
    </row>
    <row r="5232" spans="1:1" x14ac:dyDescent="0.25">
      <c r="A5232" s="66"/>
    </row>
    <row r="5233" spans="1:1" x14ac:dyDescent="0.25">
      <c r="A5233" s="66"/>
    </row>
    <row r="5234" spans="1:1" x14ac:dyDescent="0.25">
      <c r="A5234" s="66"/>
    </row>
    <row r="5235" spans="1:1" x14ac:dyDescent="0.25">
      <c r="A5235" s="66"/>
    </row>
    <row r="5236" spans="1:1" x14ac:dyDescent="0.25">
      <c r="A5236" s="66"/>
    </row>
    <row r="5237" spans="1:1" x14ac:dyDescent="0.25">
      <c r="A5237" s="66"/>
    </row>
    <row r="5238" spans="1:1" x14ac:dyDescent="0.25">
      <c r="A5238" s="66"/>
    </row>
    <row r="5239" spans="1:1" x14ac:dyDescent="0.25">
      <c r="A5239" s="66"/>
    </row>
    <row r="5240" spans="1:1" x14ac:dyDescent="0.25">
      <c r="A5240" s="66"/>
    </row>
    <row r="5241" spans="1:1" x14ac:dyDescent="0.25">
      <c r="A5241" s="66"/>
    </row>
    <row r="5242" spans="1:1" x14ac:dyDescent="0.25">
      <c r="A5242" s="66"/>
    </row>
    <row r="5243" spans="1:1" x14ac:dyDescent="0.25">
      <c r="A5243" s="66"/>
    </row>
    <row r="5244" spans="1:1" x14ac:dyDescent="0.25">
      <c r="A5244" s="66"/>
    </row>
    <row r="5245" spans="1:1" x14ac:dyDescent="0.25">
      <c r="A5245" s="66"/>
    </row>
    <row r="5246" spans="1:1" x14ac:dyDescent="0.25">
      <c r="A5246" s="66"/>
    </row>
    <row r="5247" spans="1:1" x14ac:dyDescent="0.25">
      <c r="A5247" s="66"/>
    </row>
    <row r="5248" spans="1:1" x14ac:dyDescent="0.25">
      <c r="A5248" s="66"/>
    </row>
    <row r="5249" spans="1:1" x14ac:dyDescent="0.25">
      <c r="A5249" s="66"/>
    </row>
    <row r="5250" spans="1:1" x14ac:dyDescent="0.25">
      <c r="A5250" s="66"/>
    </row>
    <row r="5251" spans="1:1" x14ac:dyDescent="0.25">
      <c r="A5251" s="66"/>
    </row>
    <row r="5252" spans="1:1" x14ac:dyDescent="0.25">
      <c r="A5252" s="66"/>
    </row>
    <row r="5253" spans="1:1" x14ac:dyDescent="0.25">
      <c r="A5253" s="66"/>
    </row>
    <row r="5254" spans="1:1" x14ac:dyDescent="0.25">
      <c r="A5254" s="66"/>
    </row>
    <row r="5255" spans="1:1" x14ac:dyDescent="0.25">
      <c r="A5255" s="66"/>
    </row>
    <row r="5256" spans="1:1" x14ac:dyDescent="0.25">
      <c r="A5256" s="66"/>
    </row>
    <row r="5257" spans="1:1" x14ac:dyDescent="0.25">
      <c r="A5257" s="66"/>
    </row>
    <row r="5258" spans="1:1" x14ac:dyDescent="0.25">
      <c r="A5258" s="66"/>
    </row>
    <row r="5259" spans="1:1" x14ac:dyDescent="0.25">
      <c r="A5259" s="66"/>
    </row>
    <row r="5260" spans="1:1" x14ac:dyDescent="0.25">
      <c r="A5260" s="66"/>
    </row>
    <row r="5261" spans="1:1" x14ac:dyDescent="0.25">
      <c r="A5261" s="66"/>
    </row>
    <row r="5262" spans="1:1" x14ac:dyDescent="0.25">
      <c r="A5262" s="66"/>
    </row>
    <row r="5263" spans="1:1" x14ac:dyDescent="0.25">
      <c r="A5263" s="66"/>
    </row>
    <row r="5264" spans="1:1" x14ac:dyDescent="0.25">
      <c r="A5264" s="66"/>
    </row>
    <row r="5265" spans="1:1" x14ac:dyDescent="0.25">
      <c r="A5265" s="66"/>
    </row>
    <row r="5266" spans="1:1" x14ac:dyDescent="0.25">
      <c r="A5266" s="66"/>
    </row>
    <row r="5267" spans="1:1" x14ac:dyDescent="0.25">
      <c r="A5267" s="66"/>
    </row>
    <row r="5268" spans="1:1" x14ac:dyDescent="0.25">
      <c r="A5268" s="66"/>
    </row>
    <row r="5269" spans="1:1" x14ac:dyDescent="0.25">
      <c r="A5269" s="66"/>
    </row>
    <row r="5270" spans="1:1" x14ac:dyDescent="0.25">
      <c r="A5270" s="66"/>
    </row>
    <row r="5271" spans="1:1" x14ac:dyDescent="0.25">
      <c r="A5271" s="66"/>
    </row>
    <row r="5272" spans="1:1" x14ac:dyDescent="0.25">
      <c r="A5272" s="66"/>
    </row>
    <row r="5273" spans="1:1" x14ac:dyDescent="0.25">
      <c r="A5273" s="66"/>
    </row>
    <row r="5274" spans="1:1" x14ac:dyDescent="0.25">
      <c r="A5274" s="66"/>
    </row>
    <row r="5275" spans="1:1" x14ac:dyDescent="0.25">
      <c r="A5275" s="66"/>
    </row>
    <row r="5276" spans="1:1" x14ac:dyDescent="0.25">
      <c r="A5276" s="66"/>
    </row>
    <row r="5277" spans="1:1" x14ac:dyDescent="0.25">
      <c r="A5277" s="66"/>
    </row>
    <row r="5278" spans="1:1" x14ac:dyDescent="0.25">
      <c r="A5278" s="66"/>
    </row>
    <row r="5279" spans="1:1" x14ac:dyDescent="0.25">
      <c r="A5279" s="66"/>
    </row>
    <row r="5280" spans="1:1" x14ac:dyDescent="0.25">
      <c r="A5280" s="66"/>
    </row>
    <row r="5281" spans="1:1" x14ac:dyDescent="0.25">
      <c r="A5281" s="66"/>
    </row>
    <row r="5282" spans="1:1" x14ac:dyDescent="0.25">
      <c r="A5282" s="66"/>
    </row>
    <row r="5283" spans="1:1" x14ac:dyDescent="0.25">
      <c r="A5283" s="66"/>
    </row>
    <row r="5284" spans="1:1" x14ac:dyDescent="0.25">
      <c r="A5284" s="66"/>
    </row>
    <row r="5285" spans="1:1" x14ac:dyDescent="0.25">
      <c r="A5285" s="66"/>
    </row>
    <row r="5286" spans="1:1" x14ac:dyDescent="0.25">
      <c r="A5286" s="66"/>
    </row>
    <row r="5287" spans="1:1" x14ac:dyDescent="0.25">
      <c r="A5287" s="66"/>
    </row>
    <row r="5288" spans="1:1" x14ac:dyDescent="0.25">
      <c r="A5288" s="66"/>
    </row>
    <row r="5289" spans="1:1" x14ac:dyDescent="0.25">
      <c r="A5289" s="66"/>
    </row>
    <row r="5290" spans="1:1" x14ac:dyDescent="0.25">
      <c r="A5290" s="66"/>
    </row>
    <row r="5291" spans="1:1" x14ac:dyDescent="0.25">
      <c r="A5291" s="66"/>
    </row>
    <row r="5292" spans="1:1" x14ac:dyDescent="0.25">
      <c r="A5292" s="66"/>
    </row>
    <row r="5293" spans="1:1" x14ac:dyDescent="0.25">
      <c r="A5293" s="66"/>
    </row>
    <row r="5294" spans="1:1" x14ac:dyDescent="0.25">
      <c r="A5294" s="66"/>
    </row>
    <row r="5295" spans="1:1" x14ac:dyDescent="0.25">
      <c r="A5295" s="66"/>
    </row>
    <row r="5296" spans="1:1" x14ac:dyDescent="0.25">
      <c r="A5296" s="66"/>
    </row>
    <row r="5297" spans="1:1" x14ac:dyDescent="0.25">
      <c r="A5297" s="66"/>
    </row>
    <row r="5298" spans="1:1" x14ac:dyDescent="0.25">
      <c r="A5298" s="66"/>
    </row>
    <row r="5299" spans="1:1" x14ac:dyDescent="0.25">
      <c r="A5299" s="66"/>
    </row>
    <row r="5300" spans="1:1" x14ac:dyDescent="0.25">
      <c r="A5300" s="66"/>
    </row>
    <row r="5301" spans="1:1" x14ac:dyDescent="0.25">
      <c r="A5301" s="66"/>
    </row>
    <row r="5302" spans="1:1" x14ac:dyDescent="0.25">
      <c r="A5302" s="66"/>
    </row>
    <row r="5303" spans="1:1" x14ac:dyDescent="0.25">
      <c r="A5303" s="66"/>
    </row>
    <row r="5304" spans="1:1" x14ac:dyDescent="0.25">
      <c r="A5304" s="66"/>
    </row>
    <row r="5305" spans="1:1" x14ac:dyDescent="0.25">
      <c r="A5305" s="66"/>
    </row>
    <row r="5306" spans="1:1" x14ac:dyDescent="0.25">
      <c r="A5306" s="66"/>
    </row>
    <row r="5307" spans="1:1" x14ac:dyDescent="0.25">
      <c r="A5307" s="66"/>
    </row>
    <row r="5308" spans="1:1" x14ac:dyDescent="0.25">
      <c r="A5308" s="66"/>
    </row>
    <row r="5309" spans="1:1" x14ac:dyDescent="0.25">
      <c r="A5309" s="66"/>
    </row>
    <row r="5310" spans="1:1" x14ac:dyDescent="0.25">
      <c r="A5310" s="66"/>
    </row>
    <row r="5311" spans="1:1" x14ac:dyDescent="0.25">
      <c r="A5311" s="66"/>
    </row>
    <row r="5312" spans="1:1" x14ac:dyDescent="0.25">
      <c r="A5312" s="66"/>
    </row>
    <row r="5313" spans="1:1" x14ac:dyDescent="0.25">
      <c r="A5313" s="66"/>
    </row>
    <row r="5314" spans="1:1" x14ac:dyDescent="0.25">
      <c r="A5314" s="66"/>
    </row>
    <row r="5315" spans="1:1" x14ac:dyDescent="0.25">
      <c r="A5315" s="66"/>
    </row>
    <row r="5316" spans="1:1" x14ac:dyDescent="0.25">
      <c r="A5316" s="66"/>
    </row>
    <row r="5317" spans="1:1" x14ac:dyDescent="0.25">
      <c r="A5317" s="66"/>
    </row>
    <row r="5318" spans="1:1" x14ac:dyDescent="0.25">
      <c r="A5318" s="66"/>
    </row>
    <row r="5319" spans="1:1" x14ac:dyDescent="0.25">
      <c r="A5319" s="66"/>
    </row>
    <row r="5320" spans="1:1" x14ac:dyDescent="0.25">
      <c r="A5320" s="66"/>
    </row>
    <row r="5321" spans="1:1" x14ac:dyDescent="0.25">
      <c r="A5321" s="66"/>
    </row>
    <row r="5322" spans="1:1" x14ac:dyDescent="0.25">
      <c r="A5322" s="66"/>
    </row>
    <row r="5323" spans="1:1" x14ac:dyDescent="0.25">
      <c r="A5323" s="66"/>
    </row>
    <row r="5324" spans="1:1" x14ac:dyDescent="0.25">
      <c r="A5324" s="66"/>
    </row>
    <row r="5325" spans="1:1" x14ac:dyDescent="0.25">
      <c r="A5325" s="66"/>
    </row>
    <row r="5326" spans="1:1" x14ac:dyDescent="0.25">
      <c r="A5326" s="66"/>
    </row>
    <row r="5327" spans="1:1" x14ac:dyDescent="0.25">
      <c r="A5327" s="66"/>
    </row>
    <row r="5328" spans="1:1" x14ac:dyDescent="0.25">
      <c r="A5328" s="66"/>
    </row>
    <row r="5329" spans="1:1" x14ac:dyDescent="0.25">
      <c r="A5329" s="66"/>
    </row>
    <row r="5330" spans="1:1" x14ac:dyDescent="0.25">
      <c r="A5330" s="66"/>
    </row>
    <row r="5331" spans="1:1" x14ac:dyDescent="0.25">
      <c r="A5331" s="66"/>
    </row>
    <row r="5332" spans="1:1" x14ac:dyDescent="0.25">
      <c r="A5332" s="66"/>
    </row>
    <row r="5333" spans="1:1" x14ac:dyDescent="0.25">
      <c r="A5333" s="66"/>
    </row>
    <row r="5334" spans="1:1" x14ac:dyDescent="0.25">
      <c r="A5334" s="66"/>
    </row>
    <row r="5335" spans="1:1" x14ac:dyDescent="0.25">
      <c r="A5335" s="66"/>
    </row>
    <row r="5336" spans="1:1" x14ac:dyDescent="0.25">
      <c r="A5336" s="66"/>
    </row>
    <row r="5337" spans="1:1" x14ac:dyDescent="0.25">
      <c r="A5337" s="66"/>
    </row>
    <row r="5338" spans="1:1" x14ac:dyDescent="0.25">
      <c r="A5338" s="66"/>
    </row>
    <row r="5339" spans="1:1" x14ac:dyDescent="0.25">
      <c r="A5339" s="66"/>
    </row>
    <row r="5340" spans="1:1" x14ac:dyDescent="0.25">
      <c r="A5340" s="66"/>
    </row>
    <row r="5341" spans="1:1" x14ac:dyDescent="0.25">
      <c r="A5341" s="66"/>
    </row>
    <row r="5342" spans="1:1" x14ac:dyDescent="0.25">
      <c r="A5342" s="66"/>
    </row>
    <row r="5343" spans="1:1" x14ac:dyDescent="0.25">
      <c r="A5343" s="66"/>
    </row>
    <row r="5344" spans="1:1" x14ac:dyDescent="0.25">
      <c r="A5344" s="66"/>
    </row>
    <row r="5345" spans="1:1" x14ac:dyDescent="0.25">
      <c r="A5345" s="66"/>
    </row>
    <row r="5346" spans="1:1" x14ac:dyDescent="0.25">
      <c r="A5346" s="66"/>
    </row>
    <row r="5347" spans="1:1" x14ac:dyDescent="0.25">
      <c r="A5347" s="66"/>
    </row>
    <row r="5348" spans="1:1" x14ac:dyDescent="0.25">
      <c r="A5348" s="66"/>
    </row>
    <row r="5349" spans="1:1" x14ac:dyDescent="0.25">
      <c r="A5349" s="66"/>
    </row>
    <row r="5350" spans="1:1" x14ac:dyDescent="0.25">
      <c r="A5350" s="66"/>
    </row>
    <row r="5351" spans="1:1" x14ac:dyDescent="0.25">
      <c r="A5351" s="66"/>
    </row>
    <row r="5352" spans="1:1" x14ac:dyDescent="0.25">
      <c r="A5352" s="66"/>
    </row>
    <row r="5353" spans="1:1" x14ac:dyDescent="0.25">
      <c r="A5353" s="66"/>
    </row>
    <row r="5354" spans="1:1" x14ac:dyDescent="0.25">
      <c r="A5354" s="66"/>
    </row>
    <row r="5355" spans="1:1" x14ac:dyDescent="0.25">
      <c r="A5355" s="66"/>
    </row>
    <row r="5356" spans="1:1" x14ac:dyDescent="0.25">
      <c r="A5356" s="66"/>
    </row>
    <row r="5357" spans="1:1" x14ac:dyDescent="0.25">
      <c r="A5357" s="66"/>
    </row>
    <row r="5358" spans="1:1" x14ac:dyDescent="0.25">
      <c r="A5358" s="66"/>
    </row>
    <row r="5359" spans="1:1" x14ac:dyDescent="0.25">
      <c r="A5359" s="66"/>
    </row>
    <row r="5360" spans="1:1" x14ac:dyDescent="0.25">
      <c r="A5360" s="66"/>
    </row>
    <row r="5361" spans="1:1" x14ac:dyDescent="0.25">
      <c r="A5361" s="66"/>
    </row>
    <row r="5362" spans="1:1" x14ac:dyDescent="0.25">
      <c r="A5362" s="66"/>
    </row>
    <row r="5363" spans="1:1" x14ac:dyDescent="0.25">
      <c r="A5363" s="66"/>
    </row>
    <row r="5364" spans="1:1" x14ac:dyDescent="0.25">
      <c r="A5364" s="66"/>
    </row>
    <row r="5365" spans="1:1" x14ac:dyDescent="0.25">
      <c r="A5365" s="66"/>
    </row>
    <row r="5366" spans="1:1" x14ac:dyDescent="0.25">
      <c r="A5366" s="66"/>
    </row>
    <row r="5367" spans="1:1" x14ac:dyDescent="0.25">
      <c r="A5367" s="66"/>
    </row>
    <row r="5368" spans="1:1" x14ac:dyDescent="0.25">
      <c r="A5368" s="66"/>
    </row>
    <row r="5369" spans="1:1" x14ac:dyDescent="0.25">
      <c r="A5369" s="66"/>
    </row>
    <row r="5370" spans="1:1" x14ac:dyDescent="0.25">
      <c r="A5370" s="66"/>
    </row>
    <row r="5371" spans="1:1" x14ac:dyDescent="0.25">
      <c r="A5371" s="66"/>
    </row>
    <row r="5372" spans="1:1" x14ac:dyDescent="0.25">
      <c r="A5372" s="66"/>
    </row>
    <row r="5373" spans="1:1" x14ac:dyDescent="0.25">
      <c r="A5373" s="66"/>
    </row>
    <row r="5374" spans="1:1" x14ac:dyDescent="0.25">
      <c r="A5374" s="66"/>
    </row>
    <row r="5375" spans="1:1" x14ac:dyDescent="0.25">
      <c r="A5375" s="66"/>
    </row>
    <row r="5376" spans="1:1" x14ac:dyDescent="0.25">
      <c r="A5376" s="66"/>
    </row>
    <row r="5377" spans="1:1" x14ac:dyDescent="0.25">
      <c r="A5377" s="66"/>
    </row>
    <row r="5378" spans="1:1" x14ac:dyDescent="0.25">
      <c r="A5378" s="66"/>
    </row>
    <row r="5379" spans="1:1" x14ac:dyDescent="0.25">
      <c r="A5379" s="66"/>
    </row>
    <row r="5380" spans="1:1" x14ac:dyDescent="0.25">
      <c r="A5380" s="66"/>
    </row>
    <row r="5381" spans="1:1" x14ac:dyDescent="0.25">
      <c r="A5381" s="66"/>
    </row>
    <row r="5382" spans="1:1" x14ac:dyDescent="0.25">
      <c r="A5382" s="66"/>
    </row>
    <row r="5383" spans="1:1" x14ac:dyDescent="0.25">
      <c r="A5383" s="66"/>
    </row>
    <row r="5384" spans="1:1" x14ac:dyDescent="0.25">
      <c r="A5384" s="66"/>
    </row>
    <row r="5385" spans="1:1" x14ac:dyDescent="0.25">
      <c r="A5385" s="66"/>
    </row>
    <row r="5386" spans="1:1" x14ac:dyDescent="0.25">
      <c r="A5386" s="66"/>
    </row>
    <row r="5387" spans="1:1" x14ac:dyDescent="0.25">
      <c r="A5387" s="66"/>
    </row>
    <row r="5388" spans="1:1" x14ac:dyDescent="0.25">
      <c r="A5388" s="66"/>
    </row>
    <row r="5389" spans="1:1" x14ac:dyDescent="0.25">
      <c r="A5389" s="66"/>
    </row>
    <row r="5390" spans="1:1" x14ac:dyDescent="0.25">
      <c r="A5390" s="66"/>
    </row>
    <row r="5391" spans="1:1" x14ac:dyDescent="0.25">
      <c r="A5391" s="66"/>
    </row>
    <row r="5392" spans="1:1" x14ac:dyDescent="0.25">
      <c r="A5392" s="66"/>
    </row>
    <row r="5393" spans="1:1" x14ac:dyDescent="0.25">
      <c r="A5393" s="66"/>
    </row>
    <row r="5394" spans="1:1" x14ac:dyDescent="0.25">
      <c r="A5394" s="66"/>
    </row>
    <row r="5395" spans="1:1" x14ac:dyDescent="0.25">
      <c r="A5395" s="66"/>
    </row>
    <row r="5396" spans="1:1" x14ac:dyDescent="0.25">
      <c r="A5396" s="66"/>
    </row>
    <row r="5397" spans="1:1" x14ac:dyDescent="0.25">
      <c r="A5397" s="66"/>
    </row>
    <row r="5398" spans="1:1" x14ac:dyDescent="0.25">
      <c r="A5398" s="66"/>
    </row>
    <row r="5399" spans="1:1" x14ac:dyDescent="0.25">
      <c r="A5399" s="66"/>
    </row>
    <row r="5400" spans="1:1" x14ac:dyDescent="0.25">
      <c r="A5400" s="66"/>
    </row>
    <row r="5401" spans="1:1" x14ac:dyDescent="0.25">
      <c r="A5401" s="66"/>
    </row>
    <row r="5402" spans="1:1" x14ac:dyDescent="0.25">
      <c r="A5402" s="66"/>
    </row>
    <row r="5403" spans="1:1" x14ac:dyDescent="0.25">
      <c r="A5403" s="66"/>
    </row>
    <row r="5404" spans="1:1" x14ac:dyDescent="0.25">
      <c r="A5404" s="66"/>
    </row>
    <row r="5405" spans="1:1" x14ac:dyDescent="0.25">
      <c r="A5405" s="66"/>
    </row>
    <row r="5406" spans="1:1" x14ac:dyDescent="0.25">
      <c r="A5406" s="66"/>
    </row>
    <row r="5407" spans="1:1" x14ac:dyDescent="0.25">
      <c r="A5407" s="66"/>
    </row>
    <row r="5408" spans="1:1" x14ac:dyDescent="0.25">
      <c r="A5408" s="66"/>
    </row>
    <row r="5409" spans="1:1" x14ac:dyDescent="0.25">
      <c r="A5409" s="66"/>
    </row>
    <row r="5410" spans="1:1" x14ac:dyDescent="0.25">
      <c r="A5410" s="66"/>
    </row>
    <row r="5411" spans="1:1" x14ac:dyDescent="0.25">
      <c r="A5411" s="66"/>
    </row>
    <row r="5412" spans="1:1" x14ac:dyDescent="0.25">
      <c r="A5412" s="66"/>
    </row>
    <row r="5413" spans="1:1" x14ac:dyDescent="0.25">
      <c r="A5413" s="66"/>
    </row>
    <row r="5414" spans="1:1" x14ac:dyDescent="0.25">
      <c r="A5414" s="66"/>
    </row>
    <row r="5415" spans="1:1" x14ac:dyDescent="0.25">
      <c r="A5415" s="66"/>
    </row>
    <row r="5416" spans="1:1" x14ac:dyDescent="0.25">
      <c r="A5416" s="66"/>
    </row>
    <row r="5417" spans="1:1" x14ac:dyDescent="0.25">
      <c r="A5417" s="66"/>
    </row>
    <row r="5418" spans="1:1" x14ac:dyDescent="0.25">
      <c r="A5418" s="66"/>
    </row>
    <row r="5419" spans="1:1" x14ac:dyDescent="0.25">
      <c r="A5419" s="66"/>
    </row>
    <row r="5420" spans="1:1" x14ac:dyDescent="0.25">
      <c r="A5420" s="66"/>
    </row>
    <row r="5421" spans="1:1" x14ac:dyDescent="0.25">
      <c r="A5421" s="66"/>
    </row>
    <row r="5422" spans="1:1" x14ac:dyDescent="0.25">
      <c r="A5422" s="66"/>
    </row>
    <row r="5423" spans="1:1" x14ac:dyDescent="0.25">
      <c r="A5423" s="66"/>
    </row>
    <row r="5424" spans="1:1" x14ac:dyDescent="0.25">
      <c r="A5424" s="66"/>
    </row>
    <row r="5425" spans="1:1" x14ac:dyDescent="0.25">
      <c r="A5425" s="66"/>
    </row>
    <row r="5426" spans="1:1" x14ac:dyDescent="0.25">
      <c r="A5426" s="66"/>
    </row>
    <row r="5427" spans="1:1" x14ac:dyDescent="0.25">
      <c r="A5427" s="66"/>
    </row>
    <row r="5428" spans="1:1" x14ac:dyDescent="0.25">
      <c r="A5428" s="66"/>
    </row>
    <row r="5429" spans="1:1" x14ac:dyDescent="0.25">
      <c r="A5429" s="66"/>
    </row>
    <row r="5430" spans="1:1" x14ac:dyDescent="0.25">
      <c r="A5430" s="66"/>
    </row>
    <row r="5431" spans="1:1" x14ac:dyDescent="0.25">
      <c r="A5431" s="66"/>
    </row>
    <row r="5432" spans="1:1" x14ac:dyDescent="0.25">
      <c r="A5432" s="66"/>
    </row>
    <row r="5433" spans="1:1" x14ac:dyDescent="0.25">
      <c r="A5433" s="66"/>
    </row>
    <row r="5434" spans="1:1" x14ac:dyDescent="0.25">
      <c r="A5434" s="66"/>
    </row>
    <row r="5435" spans="1:1" x14ac:dyDescent="0.25">
      <c r="A5435" s="66"/>
    </row>
    <row r="5436" spans="1:1" x14ac:dyDescent="0.25">
      <c r="A5436" s="66"/>
    </row>
    <row r="5437" spans="1:1" x14ac:dyDescent="0.25">
      <c r="A5437" s="66"/>
    </row>
    <row r="5438" spans="1:1" x14ac:dyDescent="0.25">
      <c r="A5438" s="66"/>
    </row>
    <row r="5439" spans="1:1" x14ac:dyDescent="0.25">
      <c r="A5439" s="66"/>
    </row>
    <row r="5440" spans="1:1" x14ac:dyDescent="0.25">
      <c r="A5440" s="66"/>
    </row>
    <row r="5441" spans="1:1" x14ac:dyDescent="0.25">
      <c r="A5441" s="66"/>
    </row>
    <row r="5442" spans="1:1" x14ac:dyDescent="0.25">
      <c r="A5442" s="66"/>
    </row>
    <row r="5443" spans="1:1" x14ac:dyDescent="0.25">
      <c r="A5443" s="66"/>
    </row>
    <row r="5444" spans="1:1" x14ac:dyDescent="0.25">
      <c r="A5444" s="66"/>
    </row>
    <row r="5445" spans="1:1" x14ac:dyDescent="0.25">
      <c r="A5445" s="66"/>
    </row>
    <row r="5446" spans="1:1" x14ac:dyDescent="0.25">
      <c r="A5446" s="66"/>
    </row>
    <row r="5447" spans="1:1" x14ac:dyDescent="0.25">
      <c r="A5447" s="66"/>
    </row>
    <row r="5448" spans="1:1" x14ac:dyDescent="0.25">
      <c r="A5448" s="66"/>
    </row>
    <row r="5449" spans="1:1" x14ac:dyDescent="0.25">
      <c r="A5449" s="66"/>
    </row>
    <row r="5450" spans="1:1" x14ac:dyDescent="0.25">
      <c r="A5450" s="66"/>
    </row>
    <row r="5451" spans="1:1" x14ac:dyDescent="0.25">
      <c r="A5451" s="66"/>
    </row>
    <row r="5452" spans="1:1" x14ac:dyDescent="0.25">
      <c r="A5452" s="66"/>
    </row>
    <row r="5453" spans="1:1" x14ac:dyDescent="0.25">
      <c r="A5453" s="66"/>
    </row>
    <row r="5454" spans="1:1" x14ac:dyDescent="0.25">
      <c r="A5454" s="66"/>
    </row>
    <row r="5455" spans="1:1" x14ac:dyDescent="0.25">
      <c r="A5455" s="66"/>
    </row>
    <row r="5456" spans="1:1" x14ac:dyDescent="0.25">
      <c r="A5456" s="66"/>
    </row>
    <row r="5457" spans="1:1" x14ac:dyDescent="0.25">
      <c r="A5457" s="66"/>
    </row>
    <row r="5458" spans="1:1" x14ac:dyDescent="0.25">
      <c r="A5458" s="66"/>
    </row>
    <row r="5459" spans="1:1" x14ac:dyDescent="0.25">
      <c r="A5459" s="66"/>
    </row>
    <row r="5460" spans="1:1" x14ac:dyDescent="0.25">
      <c r="A5460" s="66"/>
    </row>
    <row r="5461" spans="1:1" x14ac:dyDescent="0.25">
      <c r="A5461" s="66"/>
    </row>
    <row r="5462" spans="1:1" x14ac:dyDescent="0.25">
      <c r="A5462" s="66"/>
    </row>
    <row r="5463" spans="1:1" x14ac:dyDescent="0.25">
      <c r="A5463" s="66"/>
    </row>
    <row r="5464" spans="1:1" x14ac:dyDescent="0.25">
      <c r="A5464" s="66"/>
    </row>
    <row r="5465" spans="1:1" x14ac:dyDescent="0.25">
      <c r="A5465" s="66"/>
    </row>
    <row r="5466" spans="1:1" x14ac:dyDescent="0.25">
      <c r="A5466" s="66"/>
    </row>
    <row r="5467" spans="1:1" x14ac:dyDescent="0.25">
      <c r="A5467" s="66"/>
    </row>
    <row r="5468" spans="1:1" x14ac:dyDescent="0.25">
      <c r="A5468" s="66"/>
    </row>
    <row r="5469" spans="1:1" x14ac:dyDescent="0.25">
      <c r="A5469" s="66"/>
    </row>
    <row r="5470" spans="1:1" x14ac:dyDescent="0.25">
      <c r="A5470" s="66"/>
    </row>
    <row r="5471" spans="1:1" x14ac:dyDescent="0.25">
      <c r="A5471" s="66"/>
    </row>
    <row r="5472" spans="1:1" x14ac:dyDescent="0.25">
      <c r="A5472" s="66"/>
    </row>
    <row r="5473" spans="1:1" x14ac:dyDescent="0.25">
      <c r="A5473" s="66"/>
    </row>
    <row r="5474" spans="1:1" x14ac:dyDescent="0.25">
      <c r="A5474" s="66"/>
    </row>
    <row r="5475" spans="1:1" x14ac:dyDescent="0.25">
      <c r="A5475" s="66"/>
    </row>
    <row r="5476" spans="1:1" x14ac:dyDescent="0.25">
      <c r="A5476" s="66"/>
    </row>
    <row r="5477" spans="1:1" x14ac:dyDescent="0.25">
      <c r="A5477" s="66"/>
    </row>
    <row r="5478" spans="1:1" x14ac:dyDescent="0.25">
      <c r="A5478" s="66"/>
    </row>
    <row r="5479" spans="1:1" x14ac:dyDescent="0.25">
      <c r="A5479" s="66"/>
    </row>
    <row r="5480" spans="1:1" x14ac:dyDescent="0.25">
      <c r="A5480" s="66"/>
    </row>
    <row r="5481" spans="1:1" x14ac:dyDescent="0.25">
      <c r="A5481" s="66"/>
    </row>
    <row r="5482" spans="1:1" x14ac:dyDescent="0.25">
      <c r="A5482" s="66"/>
    </row>
    <row r="5483" spans="1:1" x14ac:dyDescent="0.25">
      <c r="A5483" s="66"/>
    </row>
    <row r="5484" spans="1:1" x14ac:dyDescent="0.25">
      <c r="A5484" s="66"/>
    </row>
    <row r="5485" spans="1:1" x14ac:dyDescent="0.25">
      <c r="A5485" s="66"/>
    </row>
    <row r="5486" spans="1:1" x14ac:dyDescent="0.25">
      <c r="A5486" s="66"/>
    </row>
    <row r="5487" spans="1:1" x14ac:dyDescent="0.25">
      <c r="A5487" s="66"/>
    </row>
    <row r="5488" spans="1:1" x14ac:dyDescent="0.25">
      <c r="A5488" s="66"/>
    </row>
    <row r="5489" spans="1:1" x14ac:dyDescent="0.25">
      <c r="A5489" s="66"/>
    </row>
    <row r="5490" spans="1:1" x14ac:dyDescent="0.25">
      <c r="A5490" s="66"/>
    </row>
    <row r="5491" spans="1:1" x14ac:dyDescent="0.25">
      <c r="A5491" s="66"/>
    </row>
    <row r="5492" spans="1:1" x14ac:dyDescent="0.25">
      <c r="A5492" s="66"/>
    </row>
    <row r="5493" spans="1:1" x14ac:dyDescent="0.25">
      <c r="A5493" s="66"/>
    </row>
    <row r="5494" spans="1:1" x14ac:dyDescent="0.25">
      <c r="A5494" s="66"/>
    </row>
    <row r="5495" spans="1:1" x14ac:dyDescent="0.25">
      <c r="A5495" s="66"/>
    </row>
    <row r="5496" spans="1:1" x14ac:dyDescent="0.25">
      <c r="A5496" s="66"/>
    </row>
    <row r="5497" spans="1:1" x14ac:dyDescent="0.25">
      <c r="A5497" s="66"/>
    </row>
    <row r="5498" spans="1:1" x14ac:dyDescent="0.25">
      <c r="A5498" s="66"/>
    </row>
    <row r="5499" spans="1:1" x14ac:dyDescent="0.25">
      <c r="A5499" s="66"/>
    </row>
    <row r="5500" spans="1:1" x14ac:dyDescent="0.25">
      <c r="A5500" s="66"/>
    </row>
    <row r="5501" spans="1:1" x14ac:dyDescent="0.25">
      <c r="A5501" s="66"/>
    </row>
    <row r="5502" spans="1:1" x14ac:dyDescent="0.25">
      <c r="A5502" s="66"/>
    </row>
    <row r="5503" spans="1:1" x14ac:dyDescent="0.25">
      <c r="A5503" s="66"/>
    </row>
    <row r="5504" spans="1:1" x14ac:dyDescent="0.25">
      <c r="A5504" s="66"/>
    </row>
    <row r="5505" spans="1:1" x14ac:dyDescent="0.25">
      <c r="A5505" s="66"/>
    </row>
    <row r="5506" spans="1:1" x14ac:dyDescent="0.25">
      <c r="A5506" s="66"/>
    </row>
    <row r="5507" spans="1:1" x14ac:dyDescent="0.25">
      <c r="A5507" s="66"/>
    </row>
    <row r="5508" spans="1:1" x14ac:dyDescent="0.25">
      <c r="A5508" s="66"/>
    </row>
    <row r="5509" spans="1:1" x14ac:dyDescent="0.25">
      <c r="A5509" s="66"/>
    </row>
    <row r="5510" spans="1:1" x14ac:dyDescent="0.25">
      <c r="A5510" s="66"/>
    </row>
    <row r="5511" spans="1:1" x14ac:dyDescent="0.25">
      <c r="A5511" s="66"/>
    </row>
    <row r="5512" spans="1:1" x14ac:dyDescent="0.25">
      <c r="A5512" s="66"/>
    </row>
    <row r="5513" spans="1:1" x14ac:dyDescent="0.25">
      <c r="A5513" s="66"/>
    </row>
    <row r="5514" spans="1:1" x14ac:dyDescent="0.25">
      <c r="A5514" s="66"/>
    </row>
    <row r="5515" spans="1:1" x14ac:dyDescent="0.25">
      <c r="A5515" s="66"/>
    </row>
    <row r="5516" spans="1:1" x14ac:dyDescent="0.25">
      <c r="A5516" s="66"/>
    </row>
    <row r="5517" spans="1:1" x14ac:dyDescent="0.25">
      <c r="A5517" s="66"/>
    </row>
    <row r="5518" spans="1:1" x14ac:dyDescent="0.25">
      <c r="A5518" s="66"/>
    </row>
    <row r="5519" spans="1:1" x14ac:dyDescent="0.25">
      <c r="A5519" s="66"/>
    </row>
    <row r="5520" spans="1:1" x14ac:dyDescent="0.25">
      <c r="A5520" s="66"/>
    </row>
    <row r="5521" spans="1:1" x14ac:dyDescent="0.25">
      <c r="A5521" s="66"/>
    </row>
    <row r="5522" spans="1:1" x14ac:dyDescent="0.25">
      <c r="A5522" s="66"/>
    </row>
    <row r="5523" spans="1:1" x14ac:dyDescent="0.25">
      <c r="A5523" s="66"/>
    </row>
    <row r="5524" spans="1:1" x14ac:dyDescent="0.25">
      <c r="A5524" s="66"/>
    </row>
    <row r="5525" spans="1:1" x14ac:dyDescent="0.25">
      <c r="A5525" s="66"/>
    </row>
    <row r="5526" spans="1:1" x14ac:dyDescent="0.25">
      <c r="A5526" s="66"/>
    </row>
    <row r="5527" spans="1:1" x14ac:dyDescent="0.25">
      <c r="A5527" s="66"/>
    </row>
    <row r="5528" spans="1:1" x14ac:dyDescent="0.25">
      <c r="A5528" s="66"/>
    </row>
    <row r="5529" spans="1:1" x14ac:dyDescent="0.25">
      <c r="A5529" s="66"/>
    </row>
    <row r="5530" spans="1:1" x14ac:dyDescent="0.25">
      <c r="A5530" s="66"/>
    </row>
    <row r="5531" spans="1:1" x14ac:dyDescent="0.25">
      <c r="A5531" s="66"/>
    </row>
    <row r="5532" spans="1:1" x14ac:dyDescent="0.25">
      <c r="A5532" s="66"/>
    </row>
    <row r="5533" spans="1:1" x14ac:dyDescent="0.25">
      <c r="A5533" s="66"/>
    </row>
    <row r="5534" spans="1:1" x14ac:dyDescent="0.25">
      <c r="A5534" s="66"/>
    </row>
    <row r="5535" spans="1:1" x14ac:dyDescent="0.25">
      <c r="A5535" s="66"/>
    </row>
    <row r="5536" spans="1:1" x14ac:dyDescent="0.25">
      <c r="A5536" s="66"/>
    </row>
    <row r="5537" spans="1:1" x14ac:dyDescent="0.25">
      <c r="A5537" s="66"/>
    </row>
    <row r="5538" spans="1:1" x14ac:dyDescent="0.25">
      <c r="A5538" s="66"/>
    </row>
    <row r="5539" spans="1:1" x14ac:dyDescent="0.25">
      <c r="A5539" s="66"/>
    </row>
    <row r="5540" spans="1:1" x14ac:dyDescent="0.25">
      <c r="A5540" s="66"/>
    </row>
    <row r="5541" spans="1:1" x14ac:dyDescent="0.25">
      <c r="A5541" s="66"/>
    </row>
    <row r="5542" spans="1:1" x14ac:dyDescent="0.25">
      <c r="A5542" s="66"/>
    </row>
    <row r="5543" spans="1:1" x14ac:dyDescent="0.25">
      <c r="A5543" s="66"/>
    </row>
    <row r="5544" spans="1:1" x14ac:dyDescent="0.25">
      <c r="A5544" s="66"/>
    </row>
    <row r="5545" spans="1:1" x14ac:dyDescent="0.25">
      <c r="A5545" s="66"/>
    </row>
    <row r="5546" spans="1:1" x14ac:dyDescent="0.25">
      <c r="A5546" s="66"/>
    </row>
    <row r="5547" spans="1:1" x14ac:dyDescent="0.25">
      <c r="A5547" s="66"/>
    </row>
    <row r="5548" spans="1:1" x14ac:dyDescent="0.25">
      <c r="A5548" s="66"/>
    </row>
    <row r="5549" spans="1:1" x14ac:dyDescent="0.25">
      <c r="A5549" s="66"/>
    </row>
    <row r="5550" spans="1:1" x14ac:dyDescent="0.25">
      <c r="A5550" s="66"/>
    </row>
    <row r="5551" spans="1:1" x14ac:dyDescent="0.25">
      <c r="A5551" s="66"/>
    </row>
    <row r="5552" spans="1:1" x14ac:dyDescent="0.25">
      <c r="A5552" s="66"/>
    </row>
    <row r="5553" spans="1:1" x14ac:dyDescent="0.25">
      <c r="A5553" s="66"/>
    </row>
    <row r="5554" spans="1:1" x14ac:dyDescent="0.25">
      <c r="A5554" s="66"/>
    </row>
    <row r="5555" spans="1:1" x14ac:dyDescent="0.25">
      <c r="A5555" s="66"/>
    </row>
    <row r="5556" spans="1:1" x14ac:dyDescent="0.25">
      <c r="A5556" s="66"/>
    </row>
    <row r="5557" spans="1:1" x14ac:dyDescent="0.25">
      <c r="A5557" s="66"/>
    </row>
    <row r="5558" spans="1:1" x14ac:dyDescent="0.25">
      <c r="A5558" s="66"/>
    </row>
    <row r="5559" spans="1:1" x14ac:dyDescent="0.25">
      <c r="A5559" s="66"/>
    </row>
    <row r="5560" spans="1:1" x14ac:dyDescent="0.25">
      <c r="A5560" s="66"/>
    </row>
    <row r="5561" spans="1:1" x14ac:dyDescent="0.25">
      <c r="A5561" s="66"/>
    </row>
    <row r="5562" spans="1:1" x14ac:dyDescent="0.25">
      <c r="A5562" s="66"/>
    </row>
    <row r="5563" spans="1:1" x14ac:dyDescent="0.25">
      <c r="A5563" s="66"/>
    </row>
    <row r="5564" spans="1:1" x14ac:dyDescent="0.25">
      <c r="A5564" s="66"/>
    </row>
    <row r="5565" spans="1:1" x14ac:dyDescent="0.25">
      <c r="A5565" s="66"/>
    </row>
    <row r="5566" spans="1:1" x14ac:dyDescent="0.25">
      <c r="A5566" s="66"/>
    </row>
    <row r="5567" spans="1:1" x14ac:dyDescent="0.25">
      <c r="A5567" s="66"/>
    </row>
    <row r="5568" spans="1:1" x14ac:dyDescent="0.25">
      <c r="A5568" s="66"/>
    </row>
    <row r="5569" spans="1:1" x14ac:dyDescent="0.25">
      <c r="A5569" s="66"/>
    </row>
    <row r="5570" spans="1:1" x14ac:dyDescent="0.25">
      <c r="A5570" s="66"/>
    </row>
    <row r="5571" spans="1:1" x14ac:dyDescent="0.25">
      <c r="A5571" s="66"/>
    </row>
    <row r="5572" spans="1:1" x14ac:dyDescent="0.25">
      <c r="A5572" s="66"/>
    </row>
    <row r="5573" spans="1:1" x14ac:dyDescent="0.25">
      <c r="A5573" s="66"/>
    </row>
    <row r="5574" spans="1:1" x14ac:dyDescent="0.25">
      <c r="A5574" s="66"/>
    </row>
    <row r="5575" spans="1:1" x14ac:dyDescent="0.25">
      <c r="A5575" s="66"/>
    </row>
    <row r="5576" spans="1:1" x14ac:dyDescent="0.25">
      <c r="A5576" s="66"/>
    </row>
    <row r="5577" spans="1:1" x14ac:dyDescent="0.25">
      <c r="A5577" s="66"/>
    </row>
    <row r="5578" spans="1:1" x14ac:dyDescent="0.25">
      <c r="A5578" s="66"/>
    </row>
    <row r="5579" spans="1:1" x14ac:dyDescent="0.25">
      <c r="A5579" s="66"/>
    </row>
    <row r="5580" spans="1:1" x14ac:dyDescent="0.25">
      <c r="A5580" s="66"/>
    </row>
    <row r="5581" spans="1:1" x14ac:dyDescent="0.25">
      <c r="A5581" s="66"/>
    </row>
    <row r="5582" spans="1:1" x14ac:dyDescent="0.25">
      <c r="A5582" s="66"/>
    </row>
    <row r="5583" spans="1:1" x14ac:dyDescent="0.25">
      <c r="A5583" s="66"/>
    </row>
    <row r="5584" spans="1:1" x14ac:dyDescent="0.25">
      <c r="A5584" s="66"/>
    </row>
    <row r="5585" spans="1:1" x14ac:dyDescent="0.25">
      <c r="A5585" s="66"/>
    </row>
    <row r="5586" spans="1:1" x14ac:dyDescent="0.25">
      <c r="A5586" s="66"/>
    </row>
    <row r="5587" spans="1:1" x14ac:dyDescent="0.25">
      <c r="A5587" s="66"/>
    </row>
    <row r="5588" spans="1:1" x14ac:dyDescent="0.25">
      <c r="A5588" s="66"/>
    </row>
    <row r="5589" spans="1:1" x14ac:dyDescent="0.25">
      <c r="A5589" s="66"/>
    </row>
    <row r="5590" spans="1:1" x14ac:dyDescent="0.25">
      <c r="A5590" s="66"/>
    </row>
    <row r="5591" spans="1:1" x14ac:dyDescent="0.25">
      <c r="A5591" s="66"/>
    </row>
    <row r="5592" spans="1:1" x14ac:dyDescent="0.25">
      <c r="A5592" s="66"/>
    </row>
    <row r="5593" spans="1:1" x14ac:dyDescent="0.25">
      <c r="A5593" s="66"/>
    </row>
    <row r="5594" spans="1:1" x14ac:dyDescent="0.25">
      <c r="A5594" s="66"/>
    </row>
    <row r="5595" spans="1:1" x14ac:dyDescent="0.25">
      <c r="A5595" s="66"/>
    </row>
    <row r="5596" spans="1:1" x14ac:dyDescent="0.25">
      <c r="A5596" s="66"/>
    </row>
    <row r="5597" spans="1:1" x14ac:dyDescent="0.25">
      <c r="A5597" s="66"/>
    </row>
    <row r="5598" spans="1:1" x14ac:dyDescent="0.25">
      <c r="A5598" s="66"/>
    </row>
    <row r="5599" spans="1:1" x14ac:dyDescent="0.25">
      <c r="A5599" s="66"/>
    </row>
    <row r="5600" spans="1:1" x14ac:dyDescent="0.25">
      <c r="A5600" s="66"/>
    </row>
    <row r="5601" spans="1:1" x14ac:dyDescent="0.25">
      <c r="A5601" s="66"/>
    </row>
    <row r="5602" spans="1:1" x14ac:dyDescent="0.25">
      <c r="A5602" s="66"/>
    </row>
    <row r="5603" spans="1:1" x14ac:dyDescent="0.25">
      <c r="A5603" s="66"/>
    </row>
    <row r="5604" spans="1:1" x14ac:dyDescent="0.25">
      <c r="A5604" s="66"/>
    </row>
    <row r="5605" spans="1:1" x14ac:dyDescent="0.25">
      <c r="A5605" s="66"/>
    </row>
    <row r="5606" spans="1:1" x14ac:dyDescent="0.25">
      <c r="A5606" s="66"/>
    </row>
    <row r="5607" spans="1:1" x14ac:dyDescent="0.25">
      <c r="A5607" s="66"/>
    </row>
    <row r="5608" spans="1:1" x14ac:dyDescent="0.25">
      <c r="A5608" s="66"/>
    </row>
    <row r="5609" spans="1:1" x14ac:dyDescent="0.25">
      <c r="A5609" s="66"/>
    </row>
    <row r="5610" spans="1:1" x14ac:dyDescent="0.25">
      <c r="A5610" s="66"/>
    </row>
    <row r="5611" spans="1:1" x14ac:dyDescent="0.25">
      <c r="A5611" s="66"/>
    </row>
    <row r="5612" spans="1:1" x14ac:dyDescent="0.25">
      <c r="A5612" s="66"/>
    </row>
    <row r="5613" spans="1:1" x14ac:dyDescent="0.25">
      <c r="A5613" s="66"/>
    </row>
    <row r="5614" spans="1:1" x14ac:dyDescent="0.25">
      <c r="A5614" s="66"/>
    </row>
    <row r="5615" spans="1:1" x14ac:dyDescent="0.25">
      <c r="A5615" s="66"/>
    </row>
    <row r="5616" spans="1:1" x14ac:dyDescent="0.25">
      <c r="A5616" s="66"/>
    </row>
    <row r="5617" spans="1:1" x14ac:dyDescent="0.25">
      <c r="A5617" s="66"/>
    </row>
    <row r="5618" spans="1:1" x14ac:dyDescent="0.25">
      <c r="A5618" s="66"/>
    </row>
    <row r="5619" spans="1:1" x14ac:dyDescent="0.25">
      <c r="A5619" s="66"/>
    </row>
    <row r="5620" spans="1:1" x14ac:dyDescent="0.25">
      <c r="A5620" s="66"/>
    </row>
    <row r="5621" spans="1:1" x14ac:dyDescent="0.25">
      <c r="A5621" s="66"/>
    </row>
    <row r="5622" spans="1:1" x14ac:dyDescent="0.25">
      <c r="A5622" s="66"/>
    </row>
    <row r="5623" spans="1:1" x14ac:dyDescent="0.25">
      <c r="A5623" s="66"/>
    </row>
    <row r="5624" spans="1:1" x14ac:dyDescent="0.25">
      <c r="A5624" s="66"/>
    </row>
    <row r="5625" spans="1:1" x14ac:dyDescent="0.25">
      <c r="A5625" s="66"/>
    </row>
    <row r="5626" spans="1:1" x14ac:dyDescent="0.25">
      <c r="A5626" s="66"/>
    </row>
    <row r="5627" spans="1:1" x14ac:dyDescent="0.25">
      <c r="A5627" s="66"/>
    </row>
    <row r="5628" spans="1:1" x14ac:dyDescent="0.25">
      <c r="A5628" s="66"/>
    </row>
    <row r="5629" spans="1:1" x14ac:dyDescent="0.25">
      <c r="A5629" s="66"/>
    </row>
    <row r="5630" spans="1:1" x14ac:dyDescent="0.25">
      <c r="A5630" s="66"/>
    </row>
    <row r="5631" spans="1:1" x14ac:dyDescent="0.25">
      <c r="A5631" s="66"/>
    </row>
    <row r="5632" spans="1:1" x14ac:dyDescent="0.25">
      <c r="A5632" s="66"/>
    </row>
    <row r="5633" spans="1:1" x14ac:dyDescent="0.25">
      <c r="A5633" s="66"/>
    </row>
    <row r="5634" spans="1:1" x14ac:dyDescent="0.25">
      <c r="A5634" s="66"/>
    </row>
    <row r="5635" spans="1:1" x14ac:dyDescent="0.25">
      <c r="A5635" s="66"/>
    </row>
    <row r="5636" spans="1:1" x14ac:dyDescent="0.25">
      <c r="A5636" s="66"/>
    </row>
    <row r="5637" spans="1:1" x14ac:dyDescent="0.25">
      <c r="A5637" s="66"/>
    </row>
    <row r="5638" spans="1:1" x14ac:dyDescent="0.25">
      <c r="A5638" s="66"/>
    </row>
    <row r="5639" spans="1:1" x14ac:dyDescent="0.25">
      <c r="A5639" s="66"/>
    </row>
    <row r="5640" spans="1:1" x14ac:dyDescent="0.25">
      <c r="A5640" s="66"/>
    </row>
    <row r="5641" spans="1:1" x14ac:dyDescent="0.25">
      <c r="A5641" s="66"/>
    </row>
    <row r="5642" spans="1:1" x14ac:dyDescent="0.25">
      <c r="A5642" s="66"/>
    </row>
    <row r="5643" spans="1:1" x14ac:dyDescent="0.25">
      <c r="A5643" s="66"/>
    </row>
    <row r="5644" spans="1:1" x14ac:dyDescent="0.25">
      <c r="A5644" s="66"/>
    </row>
    <row r="5645" spans="1:1" x14ac:dyDescent="0.25">
      <c r="A5645" s="66"/>
    </row>
    <row r="5646" spans="1:1" x14ac:dyDescent="0.25">
      <c r="A5646" s="66"/>
    </row>
    <row r="5647" spans="1:1" x14ac:dyDescent="0.25">
      <c r="A5647" s="66"/>
    </row>
    <row r="5648" spans="1:1" x14ac:dyDescent="0.25">
      <c r="A5648" s="66"/>
    </row>
    <row r="5649" spans="1:1" x14ac:dyDescent="0.25">
      <c r="A5649" s="66"/>
    </row>
    <row r="5650" spans="1:1" x14ac:dyDescent="0.25">
      <c r="A5650" s="66"/>
    </row>
    <row r="5651" spans="1:1" x14ac:dyDescent="0.25">
      <c r="A5651" s="66"/>
    </row>
    <row r="5652" spans="1:1" x14ac:dyDescent="0.25">
      <c r="A5652" s="66"/>
    </row>
    <row r="5653" spans="1:1" x14ac:dyDescent="0.25">
      <c r="A5653" s="66"/>
    </row>
    <row r="5654" spans="1:1" x14ac:dyDescent="0.25">
      <c r="A5654" s="66"/>
    </row>
    <row r="5655" spans="1:1" x14ac:dyDescent="0.25">
      <c r="A5655" s="66"/>
    </row>
    <row r="5656" spans="1:1" x14ac:dyDescent="0.25">
      <c r="A5656" s="66"/>
    </row>
    <row r="5657" spans="1:1" x14ac:dyDescent="0.25">
      <c r="A5657" s="66"/>
    </row>
    <row r="5658" spans="1:1" x14ac:dyDescent="0.25">
      <c r="A5658" s="66"/>
    </row>
    <row r="5659" spans="1:1" x14ac:dyDescent="0.25">
      <c r="A5659" s="66"/>
    </row>
    <row r="5660" spans="1:1" x14ac:dyDescent="0.25">
      <c r="A5660" s="66"/>
    </row>
    <row r="5661" spans="1:1" x14ac:dyDescent="0.25">
      <c r="A5661" s="66"/>
    </row>
    <row r="5662" spans="1:1" x14ac:dyDescent="0.25">
      <c r="A5662" s="66"/>
    </row>
    <row r="5663" spans="1:1" x14ac:dyDescent="0.25">
      <c r="A5663" s="66"/>
    </row>
    <row r="5664" spans="1:1" x14ac:dyDescent="0.25">
      <c r="A5664" s="66"/>
    </row>
    <row r="5665" spans="1:1" x14ac:dyDescent="0.25">
      <c r="A5665" s="66"/>
    </row>
    <row r="5666" spans="1:1" x14ac:dyDescent="0.25">
      <c r="A5666" s="66"/>
    </row>
    <row r="5667" spans="1:1" x14ac:dyDescent="0.25">
      <c r="A5667" s="66"/>
    </row>
    <row r="5668" spans="1:1" x14ac:dyDescent="0.25">
      <c r="A5668" s="66"/>
    </row>
    <row r="5669" spans="1:1" x14ac:dyDescent="0.25">
      <c r="A5669" s="66"/>
    </row>
    <row r="5670" spans="1:1" x14ac:dyDescent="0.25">
      <c r="A5670" s="66"/>
    </row>
    <row r="5671" spans="1:1" x14ac:dyDescent="0.25">
      <c r="A5671" s="66"/>
    </row>
    <row r="5672" spans="1:1" x14ac:dyDescent="0.25">
      <c r="A5672" s="66"/>
    </row>
    <row r="5673" spans="1:1" x14ac:dyDescent="0.25">
      <c r="A5673" s="66"/>
    </row>
    <row r="5674" spans="1:1" x14ac:dyDescent="0.25">
      <c r="A5674" s="66"/>
    </row>
    <row r="5675" spans="1:1" x14ac:dyDescent="0.25">
      <c r="A5675" s="66"/>
    </row>
    <row r="5676" spans="1:1" x14ac:dyDescent="0.25">
      <c r="A5676" s="66"/>
    </row>
    <row r="5677" spans="1:1" x14ac:dyDescent="0.25">
      <c r="A5677" s="66"/>
    </row>
    <row r="5678" spans="1:1" x14ac:dyDescent="0.25">
      <c r="A5678" s="66"/>
    </row>
    <row r="5679" spans="1:1" x14ac:dyDescent="0.25">
      <c r="A5679" s="66"/>
    </row>
    <row r="5680" spans="1:1" x14ac:dyDescent="0.25">
      <c r="A5680" s="66"/>
    </row>
    <row r="5681" spans="1:1" x14ac:dyDescent="0.25">
      <c r="A5681" s="66"/>
    </row>
    <row r="5682" spans="1:1" x14ac:dyDescent="0.25">
      <c r="A5682" s="66"/>
    </row>
    <row r="5683" spans="1:1" x14ac:dyDescent="0.25">
      <c r="A5683" s="66"/>
    </row>
    <row r="5684" spans="1:1" x14ac:dyDescent="0.25">
      <c r="A5684" s="66"/>
    </row>
    <row r="5685" spans="1:1" x14ac:dyDescent="0.25">
      <c r="A5685" s="66"/>
    </row>
    <row r="5686" spans="1:1" x14ac:dyDescent="0.25">
      <c r="A5686" s="66"/>
    </row>
    <row r="5687" spans="1:1" x14ac:dyDescent="0.25">
      <c r="A5687" s="66"/>
    </row>
    <row r="5688" spans="1:1" x14ac:dyDescent="0.25">
      <c r="A5688" s="66"/>
    </row>
    <row r="5689" spans="1:1" x14ac:dyDescent="0.25">
      <c r="A5689" s="66"/>
    </row>
    <row r="5690" spans="1:1" x14ac:dyDescent="0.25">
      <c r="A5690" s="66"/>
    </row>
    <row r="5691" spans="1:1" x14ac:dyDescent="0.25">
      <c r="A5691" s="66"/>
    </row>
    <row r="5692" spans="1:1" x14ac:dyDescent="0.25">
      <c r="A5692" s="66"/>
    </row>
    <row r="5693" spans="1:1" x14ac:dyDescent="0.25">
      <c r="A5693" s="66"/>
    </row>
    <row r="5694" spans="1:1" x14ac:dyDescent="0.25">
      <c r="A5694" s="66"/>
    </row>
    <row r="5695" spans="1:1" x14ac:dyDescent="0.25">
      <c r="A5695" s="66"/>
    </row>
    <row r="5696" spans="1:1" x14ac:dyDescent="0.25">
      <c r="A5696" s="66"/>
    </row>
    <row r="5697" spans="1:1" x14ac:dyDescent="0.25">
      <c r="A5697" s="66"/>
    </row>
    <row r="5698" spans="1:1" x14ac:dyDescent="0.25">
      <c r="A5698" s="66"/>
    </row>
    <row r="5699" spans="1:1" x14ac:dyDescent="0.25">
      <c r="A5699" s="66"/>
    </row>
    <row r="5700" spans="1:1" x14ac:dyDescent="0.25">
      <c r="A5700" s="66"/>
    </row>
    <row r="5701" spans="1:1" x14ac:dyDescent="0.25">
      <c r="A5701" s="66"/>
    </row>
    <row r="5702" spans="1:1" x14ac:dyDescent="0.25">
      <c r="A5702" s="66"/>
    </row>
    <row r="5703" spans="1:1" x14ac:dyDescent="0.25">
      <c r="A5703" s="66"/>
    </row>
    <row r="5704" spans="1:1" x14ac:dyDescent="0.25">
      <c r="A5704" s="66"/>
    </row>
    <row r="5705" spans="1:1" x14ac:dyDescent="0.25">
      <c r="A5705" s="66"/>
    </row>
    <row r="5706" spans="1:1" x14ac:dyDescent="0.25">
      <c r="A5706" s="66"/>
    </row>
    <row r="5707" spans="1:1" x14ac:dyDescent="0.25">
      <c r="A5707" s="66"/>
    </row>
    <row r="5708" spans="1:1" x14ac:dyDescent="0.25">
      <c r="A5708" s="66"/>
    </row>
    <row r="5709" spans="1:1" x14ac:dyDescent="0.25">
      <c r="A5709" s="66"/>
    </row>
    <row r="5710" spans="1:1" x14ac:dyDescent="0.25">
      <c r="A5710" s="66"/>
    </row>
    <row r="5711" spans="1:1" x14ac:dyDescent="0.25">
      <c r="A5711" s="66"/>
    </row>
    <row r="5712" spans="1:1" x14ac:dyDescent="0.25">
      <c r="A5712" s="66"/>
    </row>
    <row r="5713" spans="1:1" x14ac:dyDescent="0.25">
      <c r="A5713" s="66"/>
    </row>
    <row r="5714" spans="1:1" x14ac:dyDescent="0.25">
      <c r="A5714" s="66"/>
    </row>
    <row r="5715" spans="1:1" x14ac:dyDescent="0.25">
      <c r="A5715" s="66"/>
    </row>
    <row r="5716" spans="1:1" x14ac:dyDescent="0.25">
      <c r="A5716" s="66"/>
    </row>
    <row r="5717" spans="1:1" x14ac:dyDescent="0.25">
      <c r="A5717" s="66"/>
    </row>
    <row r="5718" spans="1:1" x14ac:dyDescent="0.25">
      <c r="A5718" s="66"/>
    </row>
    <row r="5719" spans="1:1" x14ac:dyDescent="0.25">
      <c r="A5719" s="66"/>
    </row>
    <row r="5720" spans="1:1" x14ac:dyDescent="0.25">
      <c r="A5720" s="66"/>
    </row>
    <row r="5721" spans="1:1" x14ac:dyDescent="0.25">
      <c r="A5721" s="66"/>
    </row>
    <row r="5722" spans="1:1" x14ac:dyDescent="0.25">
      <c r="A5722" s="66"/>
    </row>
    <row r="5723" spans="1:1" x14ac:dyDescent="0.25">
      <c r="A5723" s="66"/>
    </row>
    <row r="5724" spans="1:1" x14ac:dyDescent="0.25">
      <c r="A5724" s="66"/>
    </row>
    <row r="5725" spans="1:1" x14ac:dyDescent="0.25">
      <c r="A5725" s="66"/>
    </row>
    <row r="5726" spans="1:1" x14ac:dyDescent="0.25">
      <c r="A5726" s="66"/>
    </row>
    <row r="5727" spans="1:1" x14ac:dyDescent="0.25">
      <c r="A5727" s="66"/>
    </row>
    <row r="5728" spans="1:1" x14ac:dyDescent="0.25">
      <c r="A5728" s="66"/>
    </row>
    <row r="5729" spans="1:1" x14ac:dyDescent="0.25">
      <c r="A5729" s="66"/>
    </row>
    <row r="5730" spans="1:1" x14ac:dyDescent="0.25">
      <c r="A5730" s="66"/>
    </row>
    <row r="5731" spans="1:1" x14ac:dyDescent="0.25">
      <c r="A5731" s="66"/>
    </row>
    <row r="5732" spans="1:1" x14ac:dyDescent="0.25">
      <c r="A5732" s="66"/>
    </row>
    <row r="5733" spans="1:1" x14ac:dyDescent="0.25">
      <c r="A5733" s="66"/>
    </row>
    <row r="5734" spans="1:1" x14ac:dyDescent="0.25">
      <c r="A5734" s="66"/>
    </row>
    <row r="5735" spans="1:1" x14ac:dyDescent="0.25">
      <c r="A5735" s="66"/>
    </row>
    <row r="5736" spans="1:1" x14ac:dyDescent="0.25">
      <c r="A5736" s="66"/>
    </row>
    <row r="5737" spans="1:1" x14ac:dyDescent="0.25">
      <c r="A5737" s="66"/>
    </row>
    <row r="5738" spans="1:1" x14ac:dyDescent="0.25">
      <c r="A5738" s="66"/>
    </row>
    <row r="5739" spans="1:1" x14ac:dyDescent="0.25">
      <c r="A5739" s="66"/>
    </row>
    <row r="5740" spans="1:1" x14ac:dyDescent="0.25">
      <c r="A5740" s="66"/>
    </row>
    <row r="5741" spans="1:1" x14ac:dyDescent="0.25">
      <c r="A5741" s="66"/>
    </row>
    <row r="5742" spans="1:1" x14ac:dyDescent="0.25">
      <c r="A5742" s="66"/>
    </row>
    <row r="5743" spans="1:1" x14ac:dyDescent="0.25">
      <c r="A5743" s="66"/>
    </row>
    <row r="5744" spans="1:1" x14ac:dyDescent="0.25">
      <c r="A5744" s="66"/>
    </row>
    <row r="5745" spans="1:1" x14ac:dyDescent="0.25">
      <c r="A5745" s="66"/>
    </row>
    <row r="5746" spans="1:1" x14ac:dyDescent="0.25">
      <c r="A5746" s="66"/>
    </row>
    <row r="5747" spans="1:1" x14ac:dyDescent="0.25">
      <c r="A5747" s="66"/>
    </row>
    <row r="5748" spans="1:1" x14ac:dyDescent="0.25">
      <c r="A5748" s="66"/>
    </row>
    <row r="5749" spans="1:1" x14ac:dyDescent="0.25">
      <c r="A5749" s="66"/>
    </row>
    <row r="5750" spans="1:1" x14ac:dyDescent="0.25">
      <c r="A5750" s="66"/>
    </row>
    <row r="5751" spans="1:1" x14ac:dyDescent="0.25">
      <c r="A5751" s="66"/>
    </row>
    <row r="5752" spans="1:1" x14ac:dyDescent="0.25">
      <c r="A5752" s="66"/>
    </row>
    <row r="5753" spans="1:1" x14ac:dyDescent="0.25">
      <c r="A5753" s="66"/>
    </row>
    <row r="5754" spans="1:1" x14ac:dyDescent="0.25">
      <c r="A5754" s="66"/>
    </row>
    <row r="5755" spans="1:1" x14ac:dyDescent="0.25">
      <c r="A5755" s="66"/>
    </row>
    <row r="5756" spans="1:1" x14ac:dyDescent="0.25">
      <c r="A5756" s="66"/>
    </row>
    <row r="5757" spans="1:1" x14ac:dyDescent="0.25">
      <c r="A5757" s="66"/>
    </row>
    <row r="5758" spans="1:1" x14ac:dyDescent="0.25">
      <c r="A5758" s="66"/>
    </row>
    <row r="5759" spans="1:1" x14ac:dyDescent="0.25">
      <c r="A5759" s="66"/>
    </row>
    <row r="5760" spans="1:1" x14ac:dyDescent="0.25">
      <c r="A5760" s="66"/>
    </row>
    <row r="5761" spans="1:1" x14ac:dyDescent="0.25">
      <c r="A5761" s="66"/>
    </row>
    <row r="5762" spans="1:1" x14ac:dyDescent="0.25">
      <c r="A5762" s="66"/>
    </row>
    <row r="5763" spans="1:1" x14ac:dyDescent="0.25">
      <c r="A5763" s="66"/>
    </row>
    <row r="5764" spans="1:1" x14ac:dyDescent="0.25">
      <c r="A5764" s="66"/>
    </row>
    <row r="5765" spans="1:1" x14ac:dyDescent="0.25">
      <c r="A5765" s="66"/>
    </row>
    <row r="5766" spans="1:1" x14ac:dyDescent="0.25">
      <c r="A5766" s="66"/>
    </row>
    <row r="5767" spans="1:1" x14ac:dyDescent="0.25">
      <c r="A5767" s="66"/>
    </row>
    <row r="5768" spans="1:1" x14ac:dyDescent="0.25">
      <c r="A5768" s="66"/>
    </row>
    <row r="5769" spans="1:1" x14ac:dyDescent="0.25">
      <c r="A5769" s="66"/>
    </row>
    <row r="5770" spans="1:1" x14ac:dyDescent="0.25">
      <c r="A5770" s="66"/>
    </row>
    <row r="5771" spans="1:1" x14ac:dyDescent="0.25">
      <c r="A5771" s="66"/>
    </row>
    <row r="5772" spans="1:1" x14ac:dyDescent="0.25">
      <c r="A5772" s="66"/>
    </row>
    <row r="5773" spans="1:1" x14ac:dyDescent="0.25">
      <c r="A5773" s="66"/>
    </row>
    <row r="5774" spans="1:1" x14ac:dyDescent="0.25">
      <c r="A5774" s="66"/>
    </row>
    <row r="5775" spans="1:1" x14ac:dyDescent="0.25">
      <c r="A5775" s="66"/>
    </row>
    <row r="5776" spans="1:1" x14ac:dyDescent="0.25">
      <c r="A5776" s="66"/>
    </row>
    <row r="5777" spans="1:1" x14ac:dyDescent="0.25">
      <c r="A5777" s="66"/>
    </row>
    <row r="5778" spans="1:1" x14ac:dyDescent="0.25">
      <c r="A5778" s="66"/>
    </row>
    <row r="5779" spans="1:1" x14ac:dyDescent="0.25">
      <c r="A5779" s="66"/>
    </row>
    <row r="5780" spans="1:1" x14ac:dyDescent="0.25">
      <c r="A5780" s="66"/>
    </row>
    <row r="5781" spans="1:1" x14ac:dyDescent="0.25">
      <c r="A5781" s="66"/>
    </row>
    <row r="5782" spans="1:1" x14ac:dyDescent="0.25">
      <c r="A5782" s="66"/>
    </row>
    <row r="5783" spans="1:1" x14ac:dyDescent="0.25">
      <c r="A5783" s="66"/>
    </row>
    <row r="5784" spans="1:1" x14ac:dyDescent="0.25">
      <c r="A5784" s="66"/>
    </row>
    <row r="5785" spans="1:1" x14ac:dyDescent="0.25">
      <c r="A5785" s="66"/>
    </row>
    <row r="5786" spans="1:1" x14ac:dyDescent="0.25">
      <c r="A5786" s="66"/>
    </row>
    <row r="5787" spans="1:1" x14ac:dyDescent="0.25">
      <c r="A5787" s="66"/>
    </row>
    <row r="5788" spans="1:1" x14ac:dyDescent="0.25">
      <c r="A5788" s="66"/>
    </row>
    <row r="5789" spans="1:1" x14ac:dyDescent="0.25">
      <c r="A5789" s="66"/>
    </row>
    <row r="5790" spans="1:1" x14ac:dyDescent="0.25">
      <c r="A5790" s="66"/>
    </row>
    <row r="5791" spans="1:1" x14ac:dyDescent="0.25">
      <c r="A5791" s="66"/>
    </row>
    <row r="5792" spans="1:1" x14ac:dyDescent="0.25">
      <c r="A5792" s="66"/>
    </row>
    <row r="5793" spans="1:1" x14ac:dyDescent="0.25">
      <c r="A5793" s="66"/>
    </row>
    <row r="5794" spans="1:1" x14ac:dyDescent="0.25">
      <c r="A5794" s="66"/>
    </row>
    <row r="5795" spans="1:1" x14ac:dyDescent="0.25">
      <c r="A5795" s="66"/>
    </row>
    <row r="5796" spans="1:1" x14ac:dyDescent="0.25">
      <c r="A5796" s="66"/>
    </row>
    <row r="5797" spans="1:1" x14ac:dyDescent="0.25">
      <c r="A5797" s="66"/>
    </row>
    <row r="5798" spans="1:1" x14ac:dyDescent="0.25">
      <c r="A5798" s="66"/>
    </row>
    <row r="5799" spans="1:1" x14ac:dyDescent="0.25">
      <c r="A5799" s="66"/>
    </row>
    <row r="5800" spans="1:1" x14ac:dyDescent="0.25">
      <c r="A5800" s="66"/>
    </row>
    <row r="5801" spans="1:1" x14ac:dyDescent="0.25">
      <c r="A5801" s="66"/>
    </row>
    <row r="5802" spans="1:1" x14ac:dyDescent="0.25">
      <c r="A5802" s="66"/>
    </row>
    <row r="5803" spans="1:1" x14ac:dyDescent="0.25">
      <c r="A5803" s="66"/>
    </row>
    <row r="5804" spans="1:1" x14ac:dyDescent="0.25">
      <c r="A5804" s="66"/>
    </row>
    <row r="5805" spans="1:1" x14ac:dyDescent="0.25">
      <c r="A5805" s="66"/>
    </row>
    <row r="5806" spans="1:1" x14ac:dyDescent="0.25">
      <c r="A5806" s="66"/>
    </row>
    <row r="5807" spans="1:1" x14ac:dyDescent="0.25">
      <c r="A5807" s="66"/>
    </row>
    <row r="5808" spans="1:1" x14ac:dyDescent="0.25">
      <c r="A5808" s="66"/>
    </row>
    <row r="5809" spans="1:1" x14ac:dyDescent="0.25">
      <c r="A5809" s="66"/>
    </row>
    <row r="5810" spans="1:1" x14ac:dyDescent="0.25">
      <c r="A5810" s="66"/>
    </row>
    <row r="5811" spans="1:1" x14ac:dyDescent="0.25">
      <c r="A5811" s="66"/>
    </row>
    <row r="5812" spans="1:1" x14ac:dyDescent="0.25">
      <c r="A5812" s="66"/>
    </row>
    <row r="5813" spans="1:1" x14ac:dyDescent="0.25">
      <c r="A5813" s="66"/>
    </row>
    <row r="5814" spans="1:1" x14ac:dyDescent="0.25">
      <c r="A5814" s="66"/>
    </row>
    <row r="5815" spans="1:1" x14ac:dyDescent="0.25">
      <c r="A5815" s="66"/>
    </row>
    <row r="5816" spans="1:1" x14ac:dyDescent="0.25">
      <c r="A5816" s="66"/>
    </row>
    <row r="5817" spans="1:1" x14ac:dyDescent="0.25">
      <c r="A5817" s="66"/>
    </row>
    <row r="5818" spans="1:1" x14ac:dyDescent="0.25">
      <c r="A5818" s="66"/>
    </row>
    <row r="5819" spans="1:1" x14ac:dyDescent="0.25">
      <c r="A5819" s="66"/>
    </row>
    <row r="5820" spans="1:1" x14ac:dyDescent="0.25">
      <c r="A5820" s="66"/>
    </row>
    <row r="5821" spans="1:1" x14ac:dyDescent="0.25">
      <c r="A5821" s="66"/>
    </row>
    <row r="5822" spans="1:1" x14ac:dyDescent="0.25">
      <c r="A5822" s="66"/>
    </row>
    <row r="5823" spans="1:1" x14ac:dyDescent="0.25">
      <c r="A5823" s="66"/>
    </row>
    <row r="5824" spans="1:1" x14ac:dyDescent="0.25">
      <c r="A5824" s="66"/>
    </row>
    <row r="5825" spans="1:1" x14ac:dyDescent="0.25">
      <c r="A5825" s="66"/>
    </row>
    <row r="5826" spans="1:1" x14ac:dyDescent="0.25">
      <c r="A5826" s="66"/>
    </row>
    <row r="5827" spans="1:1" x14ac:dyDescent="0.25">
      <c r="A5827" s="66"/>
    </row>
    <row r="5828" spans="1:1" x14ac:dyDescent="0.25">
      <c r="A5828" s="66"/>
    </row>
    <row r="5829" spans="1:1" x14ac:dyDescent="0.25">
      <c r="A5829" s="66"/>
    </row>
    <row r="5830" spans="1:1" x14ac:dyDescent="0.25">
      <c r="A5830" s="66"/>
    </row>
    <row r="5831" spans="1:1" x14ac:dyDescent="0.25">
      <c r="A5831" s="66"/>
    </row>
    <row r="5832" spans="1:1" x14ac:dyDescent="0.25">
      <c r="A5832" s="66"/>
    </row>
    <row r="5833" spans="1:1" x14ac:dyDescent="0.25">
      <c r="A5833" s="66"/>
    </row>
    <row r="5834" spans="1:1" x14ac:dyDescent="0.25">
      <c r="A5834" s="66"/>
    </row>
    <row r="5835" spans="1:1" x14ac:dyDescent="0.25">
      <c r="A5835" s="66"/>
    </row>
    <row r="5836" spans="1:1" x14ac:dyDescent="0.25">
      <c r="A5836" s="66"/>
    </row>
    <row r="5837" spans="1:1" x14ac:dyDescent="0.25">
      <c r="A5837" s="66"/>
    </row>
    <row r="5838" spans="1:1" x14ac:dyDescent="0.25">
      <c r="A5838" s="66"/>
    </row>
    <row r="5839" spans="1:1" x14ac:dyDescent="0.25">
      <c r="A5839" s="66"/>
    </row>
    <row r="5840" spans="1:1" x14ac:dyDescent="0.25">
      <c r="A5840" s="66"/>
    </row>
    <row r="5841" spans="1:1" x14ac:dyDescent="0.25">
      <c r="A5841" s="66"/>
    </row>
    <row r="5842" spans="1:1" x14ac:dyDescent="0.25">
      <c r="A5842" s="66"/>
    </row>
    <row r="5843" spans="1:1" x14ac:dyDescent="0.25">
      <c r="A5843" s="66"/>
    </row>
    <row r="5844" spans="1:1" x14ac:dyDescent="0.25">
      <c r="A5844" s="66"/>
    </row>
    <row r="5845" spans="1:1" x14ac:dyDescent="0.25">
      <c r="A5845" s="66"/>
    </row>
    <row r="5846" spans="1:1" x14ac:dyDescent="0.25">
      <c r="A5846" s="66"/>
    </row>
    <row r="5847" spans="1:1" x14ac:dyDescent="0.25">
      <c r="A5847" s="66"/>
    </row>
    <row r="5848" spans="1:1" x14ac:dyDescent="0.25">
      <c r="A5848" s="66"/>
    </row>
    <row r="5849" spans="1:1" x14ac:dyDescent="0.25">
      <c r="A5849" s="66"/>
    </row>
    <row r="5850" spans="1:1" x14ac:dyDescent="0.25">
      <c r="A5850" s="66"/>
    </row>
    <row r="5851" spans="1:1" x14ac:dyDescent="0.25">
      <c r="A5851" s="66"/>
    </row>
    <row r="5852" spans="1:1" x14ac:dyDescent="0.25">
      <c r="A5852" s="66"/>
    </row>
    <row r="5853" spans="1:1" x14ac:dyDescent="0.25">
      <c r="A5853" s="66"/>
    </row>
    <row r="5854" spans="1:1" x14ac:dyDescent="0.25">
      <c r="A5854" s="66"/>
    </row>
    <row r="5855" spans="1:1" x14ac:dyDescent="0.25">
      <c r="A5855" s="66"/>
    </row>
    <row r="5856" spans="1:1" x14ac:dyDescent="0.25">
      <c r="A5856" s="66"/>
    </row>
    <row r="5857" spans="1:1" x14ac:dyDescent="0.25">
      <c r="A5857" s="66"/>
    </row>
    <row r="5858" spans="1:1" x14ac:dyDescent="0.25">
      <c r="A5858" s="66"/>
    </row>
    <row r="5859" spans="1:1" x14ac:dyDescent="0.25">
      <c r="A5859" s="66"/>
    </row>
    <row r="5860" spans="1:1" x14ac:dyDescent="0.25">
      <c r="A5860" s="66"/>
    </row>
    <row r="5861" spans="1:1" x14ac:dyDescent="0.25">
      <c r="A5861" s="66"/>
    </row>
    <row r="5862" spans="1:1" x14ac:dyDescent="0.25">
      <c r="A5862" s="66"/>
    </row>
    <row r="5863" spans="1:1" x14ac:dyDescent="0.25">
      <c r="A5863" s="66"/>
    </row>
    <row r="5864" spans="1:1" x14ac:dyDescent="0.25">
      <c r="A5864" s="66"/>
    </row>
    <row r="5865" spans="1:1" x14ac:dyDescent="0.25">
      <c r="A5865" s="66"/>
    </row>
    <row r="5866" spans="1:1" x14ac:dyDescent="0.25">
      <c r="A5866" s="66"/>
    </row>
    <row r="5867" spans="1:1" x14ac:dyDescent="0.25">
      <c r="A5867" s="66"/>
    </row>
    <row r="5868" spans="1:1" x14ac:dyDescent="0.25">
      <c r="A5868" s="66"/>
    </row>
    <row r="5869" spans="1:1" x14ac:dyDescent="0.25">
      <c r="A5869" s="66"/>
    </row>
    <row r="5870" spans="1:1" x14ac:dyDescent="0.25">
      <c r="A5870" s="66"/>
    </row>
    <row r="5871" spans="1:1" x14ac:dyDescent="0.25">
      <c r="A5871" s="66"/>
    </row>
    <row r="5872" spans="1:1" x14ac:dyDescent="0.25">
      <c r="A5872" s="66"/>
    </row>
    <row r="5873" spans="1:1" x14ac:dyDescent="0.25">
      <c r="A5873" s="66"/>
    </row>
    <row r="5874" spans="1:1" x14ac:dyDescent="0.25">
      <c r="A5874" s="66"/>
    </row>
    <row r="5875" spans="1:1" x14ac:dyDescent="0.25">
      <c r="A5875" s="66"/>
    </row>
    <row r="5876" spans="1:1" x14ac:dyDescent="0.25">
      <c r="A5876" s="66"/>
    </row>
    <row r="5877" spans="1:1" x14ac:dyDescent="0.25">
      <c r="A5877" s="66"/>
    </row>
    <row r="5878" spans="1:1" x14ac:dyDescent="0.25">
      <c r="A5878" s="66"/>
    </row>
    <row r="5879" spans="1:1" x14ac:dyDescent="0.25">
      <c r="A5879" s="66"/>
    </row>
    <row r="5880" spans="1:1" x14ac:dyDescent="0.25">
      <c r="A5880" s="66"/>
    </row>
    <row r="5881" spans="1:1" x14ac:dyDescent="0.25">
      <c r="A5881" s="66"/>
    </row>
    <row r="5882" spans="1:1" x14ac:dyDescent="0.25">
      <c r="A5882" s="66"/>
    </row>
    <row r="5883" spans="1:1" x14ac:dyDescent="0.25">
      <c r="A5883" s="66"/>
    </row>
    <row r="5884" spans="1:1" x14ac:dyDescent="0.25">
      <c r="A5884" s="66"/>
    </row>
    <row r="5885" spans="1:1" x14ac:dyDescent="0.25">
      <c r="A5885" s="66"/>
    </row>
    <row r="5886" spans="1:1" x14ac:dyDescent="0.25">
      <c r="A5886" s="66"/>
    </row>
    <row r="5887" spans="1:1" x14ac:dyDescent="0.25">
      <c r="A5887" s="66"/>
    </row>
    <row r="5888" spans="1:1" x14ac:dyDescent="0.25">
      <c r="A5888" s="66"/>
    </row>
    <row r="5889" spans="1:1" x14ac:dyDescent="0.25">
      <c r="A5889" s="66"/>
    </row>
    <row r="5890" spans="1:1" x14ac:dyDescent="0.25">
      <c r="A5890" s="66"/>
    </row>
    <row r="5891" spans="1:1" x14ac:dyDescent="0.25">
      <c r="A5891" s="66"/>
    </row>
    <row r="5892" spans="1:1" x14ac:dyDescent="0.25">
      <c r="A5892" s="66"/>
    </row>
    <row r="5893" spans="1:1" x14ac:dyDescent="0.25">
      <c r="A5893" s="66"/>
    </row>
    <row r="5894" spans="1:1" x14ac:dyDescent="0.25">
      <c r="A5894" s="66"/>
    </row>
    <row r="5895" spans="1:1" x14ac:dyDescent="0.25">
      <c r="A5895" s="66"/>
    </row>
    <row r="5896" spans="1:1" x14ac:dyDescent="0.25">
      <c r="A5896" s="66"/>
    </row>
    <row r="5897" spans="1:1" x14ac:dyDescent="0.25">
      <c r="A5897" s="66"/>
    </row>
    <row r="5898" spans="1:1" x14ac:dyDescent="0.25">
      <c r="A5898" s="66"/>
    </row>
    <row r="5899" spans="1:1" x14ac:dyDescent="0.25">
      <c r="A5899" s="66"/>
    </row>
    <row r="5900" spans="1:1" x14ac:dyDescent="0.25">
      <c r="A5900" s="66"/>
    </row>
    <row r="5901" spans="1:1" x14ac:dyDescent="0.25">
      <c r="A5901" s="66"/>
    </row>
    <row r="5902" spans="1:1" x14ac:dyDescent="0.25">
      <c r="A5902" s="66"/>
    </row>
    <row r="5903" spans="1:1" x14ac:dyDescent="0.25">
      <c r="A5903" s="66"/>
    </row>
    <row r="5904" spans="1:1" x14ac:dyDescent="0.25">
      <c r="A5904" s="66"/>
    </row>
    <row r="5905" spans="1:1" x14ac:dyDescent="0.25">
      <c r="A5905" s="66"/>
    </row>
    <row r="5906" spans="1:1" x14ac:dyDescent="0.25">
      <c r="A5906" s="66"/>
    </row>
    <row r="5907" spans="1:1" x14ac:dyDescent="0.25">
      <c r="A5907" s="66"/>
    </row>
    <row r="5908" spans="1:1" x14ac:dyDescent="0.25">
      <c r="A5908" s="66"/>
    </row>
    <row r="5909" spans="1:1" x14ac:dyDescent="0.25">
      <c r="A5909" s="66"/>
    </row>
    <row r="5910" spans="1:1" x14ac:dyDescent="0.25">
      <c r="A5910" s="66"/>
    </row>
    <row r="5911" spans="1:1" x14ac:dyDescent="0.25">
      <c r="A5911" s="66"/>
    </row>
    <row r="5912" spans="1:1" x14ac:dyDescent="0.25">
      <c r="A5912" s="66"/>
    </row>
    <row r="5913" spans="1:1" x14ac:dyDescent="0.25">
      <c r="A5913" s="66"/>
    </row>
    <row r="5914" spans="1:1" x14ac:dyDescent="0.25">
      <c r="A5914" s="66"/>
    </row>
    <row r="5915" spans="1:1" x14ac:dyDescent="0.25">
      <c r="A5915" s="66"/>
    </row>
    <row r="5916" spans="1:1" x14ac:dyDescent="0.25">
      <c r="A5916" s="66"/>
    </row>
    <row r="5917" spans="1:1" x14ac:dyDescent="0.25">
      <c r="A5917" s="66"/>
    </row>
    <row r="5918" spans="1:1" x14ac:dyDescent="0.25">
      <c r="A5918" s="66"/>
    </row>
    <row r="5919" spans="1:1" x14ac:dyDescent="0.25">
      <c r="A5919" s="66"/>
    </row>
    <row r="5920" spans="1:1" x14ac:dyDescent="0.25">
      <c r="A5920" s="66"/>
    </row>
    <row r="5921" spans="1:1" x14ac:dyDescent="0.25">
      <c r="A5921" s="66"/>
    </row>
    <row r="5922" spans="1:1" x14ac:dyDescent="0.25">
      <c r="A5922" s="66"/>
    </row>
    <row r="5923" spans="1:1" x14ac:dyDescent="0.25">
      <c r="A5923" s="66"/>
    </row>
    <row r="5924" spans="1:1" x14ac:dyDescent="0.25">
      <c r="A5924" s="66"/>
    </row>
    <row r="5925" spans="1:1" x14ac:dyDescent="0.25">
      <c r="A5925" s="66"/>
    </row>
    <row r="5926" spans="1:1" x14ac:dyDescent="0.25">
      <c r="A5926" s="66"/>
    </row>
    <row r="5927" spans="1:1" x14ac:dyDescent="0.25">
      <c r="A5927" s="66"/>
    </row>
    <row r="5928" spans="1:1" x14ac:dyDescent="0.25">
      <c r="A5928" s="66"/>
    </row>
    <row r="5929" spans="1:1" x14ac:dyDescent="0.25">
      <c r="A5929" s="66"/>
    </row>
    <row r="5930" spans="1:1" x14ac:dyDescent="0.25">
      <c r="A5930" s="66"/>
    </row>
    <row r="5931" spans="1:1" x14ac:dyDescent="0.25">
      <c r="A5931" s="66"/>
    </row>
    <row r="5932" spans="1:1" x14ac:dyDescent="0.25">
      <c r="A5932" s="66"/>
    </row>
    <row r="5933" spans="1:1" x14ac:dyDescent="0.25">
      <c r="A5933" s="66"/>
    </row>
    <row r="5934" spans="1:1" x14ac:dyDescent="0.25">
      <c r="A5934" s="66"/>
    </row>
    <row r="5935" spans="1:1" x14ac:dyDescent="0.25">
      <c r="A5935" s="66"/>
    </row>
    <row r="5936" spans="1:1" x14ac:dyDescent="0.25">
      <c r="A5936" s="66"/>
    </row>
    <row r="5937" spans="1:1" x14ac:dyDescent="0.25">
      <c r="A5937" s="66"/>
    </row>
    <row r="5938" spans="1:1" x14ac:dyDescent="0.25">
      <c r="A5938" s="66"/>
    </row>
    <row r="5939" spans="1:1" x14ac:dyDescent="0.25">
      <c r="A5939" s="66"/>
    </row>
    <row r="5940" spans="1:1" x14ac:dyDescent="0.25">
      <c r="A5940" s="66"/>
    </row>
    <row r="5941" spans="1:1" x14ac:dyDescent="0.25">
      <c r="A5941" s="66"/>
    </row>
    <row r="5942" spans="1:1" x14ac:dyDescent="0.25">
      <c r="A5942" s="66"/>
    </row>
    <row r="5943" spans="1:1" x14ac:dyDescent="0.25">
      <c r="A5943" s="66"/>
    </row>
    <row r="5944" spans="1:1" x14ac:dyDescent="0.25">
      <c r="A5944" s="66"/>
    </row>
    <row r="5945" spans="1:1" x14ac:dyDescent="0.25">
      <c r="A5945" s="66"/>
    </row>
    <row r="5946" spans="1:1" x14ac:dyDescent="0.25">
      <c r="A5946" s="66"/>
    </row>
    <row r="5947" spans="1:1" x14ac:dyDescent="0.25">
      <c r="A5947" s="66"/>
    </row>
    <row r="5948" spans="1:1" x14ac:dyDescent="0.25">
      <c r="A5948" s="66"/>
    </row>
    <row r="5949" spans="1:1" x14ac:dyDescent="0.25">
      <c r="A5949" s="66"/>
    </row>
    <row r="5950" spans="1:1" x14ac:dyDescent="0.25">
      <c r="A5950" s="66"/>
    </row>
    <row r="5951" spans="1:1" x14ac:dyDescent="0.25">
      <c r="A5951" s="66"/>
    </row>
    <row r="5952" spans="1:1" x14ac:dyDescent="0.25">
      <c r="A5952" s="66"/>
    </row>
    <row r="5953" spans="1:1" x14ac:dyDescent="0.25">
      <c r="A5953" s="66"/>
    </row>
    <row r="5954" spans="1:1" x14ac:dyDescent="0.25">
      <c r="A5954" s="66"/>
    </row>
    <row r="5955" spans="1:1" x14ac:dyDescent="0.25">
      <c r="A5955" s="66"/>
    </row>
    <row r="5956" spans="1:1" x14ac:dyDescent="0.25">
      <c r="A5956" s="66"/>
    </row>
    <row r="5957" spans="1:1" x14ac:dyDescent="0.25">
      <c r="A5957" s="66"/>
    </row>
    <row r="5958" spans="1:1" x14ac:dyDescent="0.25">
      <c r="A5958" s="66"/>
    </row>
    <row r="5959" spans="1:1" x14ac:dyDescent="0.25">
      <c r="A5959" s="66"/>
    </row>
    <row r="5960" spans="1:1" x14ac:dyDescent="0.25">
      <c r="A5960" s="66"/>
    </row>
    <row r="5961" spans="1:1" x14ac:dyDescent="0.25">
      <c r="A5961" s="66"/>
    </row>
    <row r="5962" spans="1:1" x14ac:dyDescent="0.25">
      <c r="A5962" s="66"/>
    </row>
    <row r="5963" spans="1:1" x14ac:dyDescent="0.25">
      <c r="A5963" s="66"/>
    </row>
    <row r="5964" spans="1:1" x14ac:dyDescent="0.25">
      <c r="A5964" s="66"/>
    </row>
    <row r="5965" spans="1:1" x14ac:dyDescent="0.25">
      <c r="A5965" s="66"/>
    </row>
    <row r="5966" spans="1:1" x14ac:dyDescent="0.25">
      <c r="A5966" s="66"/>
    </row>
    <row r="5967" spans="1:1" x14ac:dyDescent="0.25">
      <c r="A5967" s="66"/>
    </row>
    <row r="5968" spans="1:1" x14ac:dyDescent="0.25">
      <c r="A5968" s="66"/>
    </row>
    <row r="5969" spans="1:1" x14ac:dyDescent="0.25">
      <c r="A5969" s="66"/>
    </row>
    <row r="5970" spans="1:1" x14ac:dyDescent="0.25">
      <c r="A5970" s="66"/>
    </row>
    <row r="5971" spans="1:1" x14ac:dyDescent="0.25">
      <c r="A5971" s="66"/>
    </row>
    <row r="5972" spans="1:1" x14ac:dyDescent="0.25">
      <c r="A5972" s="66"/>
    </row>
    <row r="5973" spans="1:1" x14ac:dyDescent="0.25">
      <c r="A5973" s="66"/>
    </row>
    <row r="5974" spans="1:1" x14ac:dyDescent="0.25">
      <c r="A5974" s="66"/>
    </row>
    <row r="5975" spans="1:1" x14ac:dyDescent="0.25">
      <c r="A5975" s="66"/>
    </row>
    <row r="5976" spans="1:1" x14ac:dyDescent="0.25">
      <c r="A5976" s="66"/>
    </row>
    <row r="5977" spans="1:1" x14ac:dyDescent="0.25">
      <c r="A5977" s="66"/>
    </row>
    <row r="5978" spans="1:1" x14ac:dyDescent="0.25">
      <c r="A5978" s="66"/>
    </row>
    <row r="5979" spans="1:1" x14ac:dyDescent="0.25">
      <c r="A5979" s="66"/>
    </row>
    <row r="5980" spans="1:1" x14ac:dyDescent="0.25">
      <c r="A5980" s="66"/>
    </row>
    <row r="5981" spans="1:1" x14ac:dyDescent="0.25">
      <c r="A5981" s="66"/>
    </row>
    <row r="5982" spans="1:1" x14ac:dyDescent="0.25">
      <c r="A5982" s="66"/>
    </row>
    <row r="5983" spans="1:1" x14ac:dyDescent="0.25">
      <c r="A5983" s="66"/>
    </row>
    <row r="5984" spans="1:1" x14ac:dyDescent="0.25">
      <c r="A5984" s="66"/>
    </row>
    <row r="5985" spans="1:1" x14ac:dyDescent="0.25">
      <c r="A5985" s="66"/>
    </row>
    <row r="5986" spans="1:1" x14ac:dyDescent="0.25">
      <c r="A5986" s="66"/>
    </row>
    <row r="5987" spans="1:1" x14ac:dyDescent="0.25">
      <c r="A5987" s="66"/>
    </row>
    <row r="5988" spans="1:1" x14ac:dyDescent="0.25">
      <c r="A5988" s="66"/>
    </row>
    <row r="5989" spans="1:1" x14ac:dyDescent="0.25">
      <c r="A5989" s="66"/>
    </row>
    <row r="5990" spans="1:1" x14ac:dyDescent="0.25">
      <c r="A5990" s="66"/>
    </row>
    <row r="5991" spans="1:1" x14ac:dyDescent="0.25">
      <c r="A5991" s="66"/>
    </row>
    <row r="5992" spans="1:1" x14ac:dyDescent="0.25">
      <c r="A5992" s="66"/>
    </row>
    <row r="5993" spans="1:1" x14ac:dyDescent="0.25">
      <c r="A5993" s="66"/>
    </row>
    <row r="5994" spans="1:1" x14ac:dyDescent="0.25">
      <c r="A5994" s="66"/>
    </row>
    <row r="5995" spans="1:1" x14ac:dyDescent="0.25">
      <c r="A5995" s="66"/>
    </row>
    <row r="5996" spans="1:1" x14ac:dyDescent="0.25">
      <c r="A5996" s="66"/>
    </row>
    <row r="5997" spans="1:1" x14ac:dyDescent="0.25">
      <c r="A5997" s="66"/>
    </row>
    <row r="5998" spans="1:1" x14ac:dyDescent="0.25">
      <c r="A5998" s="66"/>
    </row>
    <row r="5999" spans="1:1" x14ac:dyDescent="0.25">
      <c r="A5999" s="66"/>
    </row>
    <row r="6000" spans="1:1" x14ac:dyDescent="0.25">
      <c r="A6000" s="66"/>
    </row>
    <row r="6001" spans="1:1" x14ac:dyDescent="0.25">
      <c r="A6001" s="66"/>
    </row>
    <row r="6002" spans="1:1" x14ac:dyDescent="0.25">
      <c r="A6002" s="66"/>
    </row>
    <row r="6003" spans="1:1" x14ac:dyDescent="0.25">
      <c r="A6003" s="66"/>
    </row>
    <row r="6004" spans="1:1" x14ac:dyDescent="0.25">
      <c r="A6004" s="66"/>
    </row>
    <row r="6005" spans="1:1" x14ac:dyDescent="0.25">
      <c r="A6005" s="66"/>
    </row>
    <row r="6006" spans="1:1" x14ac:dyDescent="0.25">
      <c r="A6006" s="66"/>
    </row>
    <row r="6007" spans="1:1" x14ac:dyDescent="0.25">
      <c r="A6007" s="66"/>
    </row>
    <row r="6008" spans="1:1" x14ac:dyDescent="0.25">
      <c r="A6008" s="66"/>
    </row>
    <row r="6009" spans="1:1" x14ac:dyDescent="0.25">
      <c r="A6009" s="66"/>
    </row>
    <row r="6010" spans="1:1" x14ac:dyDescent="0.25">
      <c r="A6010" s="66"/>
    </row>
    <row r="6011" spans="1:1" x14ac:dyDescent="0.25">
      <c r="A6011" s="66"/>
    </row>
    <row r="6012" spans="1:1" x14ac:dyDescent="0.25">
      <c r="A6012" s="66"/>
    </row>
    <row r="6013" spans="1:1" x14ac:dyDescent="0.25">
      <c r="A6013" s="66"/>
    </row>
    <row r="6014" spans="1:1" x14ac:dyDescent="0.25">
      <c r="A6014" s="66"/>
    </row>
    <row r="6015" spans="1:1" x14ac:dyDescent="0.25">
      <c r="A6015" s="66"/>
    </row>
    <row r="6016" spans="1:1" x14ac:dyDescent="0.25">
      <c r="A6016" s="66"/>
    </row>
    <row r="6017" spans="1:1" x14ac:dyDescent="0.25">
      <c r="A6017" s="66"/>
    </row>
    <row r="6018" spans="1:1" x14ac:dyDescent="0.25">
      <c r="A6018" s="66"/>
    </row>
    <row r="6019" spans="1:1" x14ac:dyDescent="0.25">
      <c r="A6019" s="66"/>
    </row>
    <row r="6020" spans="1:1" x14ac:dyDescent="0.25">
      <c r="A6020" s="66"/>
    </row>
    <row r="6021" spans="1:1" x14ac:dyDescent="0.25">
      <c r="A6021" s="66"/>
    </row>
    <row r="6022" spans="1:1" x14ac:dyDescent="0.25">
      <c r="A6022" s="66"/>
    </row>
    <row r="6023" spans="1:1" x14ac:dyDescent="0.25">
      <c r="A6023" s="66"/>
    </row>
    <row r="6024" spans="1:1" x14ac:dyDescent="0.25">
      <c r="A6024" s="66"/>
    </row>
    <row r="6025" spans="1:1" x14ac:dyDescent="0.25">
      <c r="A6025" s="66"/>
    </row>
    <row r="6026" spans="1:1" x14ac:dyDescent="0.25">
      <c r="A6026" s="66"/>
    </row>
    <row r="6027" spans="1:1" x14ac:dyDescent="0.25">
      <c r="A6027" s="66"/>
    </row>
    <row r="6028" spans="1:1" x14ac:dyDescent="0.25">
      <c r="A6028" s="66"/>
    </row>
    <row r="6029" spans="1:1" x14ac:dyDescent="0.25">
      <c r="A6029" s="66"/>
    </row>
    <row r="6030" spans="1:1" x14ac:dyDescent="0.25">
      <c r="A6030" s="66"/>
    </row>
    <row r="6031" spans="1:1" x14ac:dyDescent="0.25">
      <c r="A6031" s="66"/>
    </row>
    <row r="6032" spans="1:1" x14ac:dyDescent="0.25">
      <c r="A6032" s="66"/>
    </row>
    <row r="6033" spans="1:1" x14ac:dyDescent="0.25">
      <c r="A6033" s="66"/>
    </row>
    <row r="6034" spans="1:1" x14ac:dyDescent="0.25">
      <c r="A6034" s="66"/>
    </row>
    <row r="6035" spans="1:1" x14ac:dyDescent="0.25">
      <c r="A6035" s="66"/>
    </row>
    <row r="6036" spans="1:1" x14ac:dyDescent="0.25">
      <c r="A6036" s="66"/>
    </row>
    <row r="6037" spans="1:1" x14ac:dyDescent="0.25">
      <c r="A6037" s="66"/>
    </row>
    <row r="6038" spans="1:1" x14ac:dyDescent="0.25">
      <c r="A6038" s="66"/>
    </row>
    <row r="6039" spans="1:1" x14ac:dyDescent="0.25">
      <c r="A6039" s="66"/>
    </row>
    <row r="6040" spans="1:1" x14ac:dyDescent="0.25">
      <c r="A6040" s="66"/>
    </row>
    <row r="6041" spans="1:1" x14ac:dyDescent="0.25">
      <c r="A6041" s="66"/>
    </row>
    <row r="6042" spans="1:1" x14ac:dyDescent="0.25">
      <c r="A6042" s="66"/>
    </row>
    <row r="6043" spans="1:1" x14ac:dyDescent="0.25">
      <c r="A6043" s="66"/>
    </row>
    <row r="6044" spans="1:1" x14ac:dyDescent="0.25">
      <c r="A6044" s="66"/>
    </row>
    <row r="6045" spans="1:1" x14ac:dyDescent="0.25">
      <c r="A6045" s="66"/>
    </row>
    <row r="6046" spans="1:1" x14ac:dyDescent="0.25">
      <c r="A6046" s="66"/>
    </row>
    <row r="6047" spans="1:1" x14ac:dyDescent="0.25">
      <c r="A6047" s="66"/>
    </row>
    <row r="6048" spans="1:1" x14ac:dyDescent="0.25">
      <c r="A6048" s="66"/>
    </row>
    <row r="6049" spans="1:1" x14ac:dyDescent="0.25">
      <c r="A6049" s="66"/>
    </row>
    <row r="6050" spans="1:1" x14ac:dyDescent="0.25">
      <c r="A6050" s="66"/>
    </row>
    <row r="6051" spans="1:1" x14ac:dyDescent="0.25">
      <c r="A6051" s="66"/>
    </row>
    <row r="6052" spans="1:1" x14ac:dyDescent="0.25">
      <c r="A6052" s="66"/>
    </row>
    <row r="6053" spans="1:1" x14ac:dyDescent="0.25">
      <c r="A6053" s="66"/>
    </row>
    <row r="6054" spans="1:1" x14ac:dyDescent="0.25">
      <c r="A6054" s="66"/>
    </row>
    <row r="6055" spans="1:1" x14ac:dyDescent="0.25">
      <c r="A6055" s="66"/>
    </row>
    <row r="6056" spans="1:1" x14ac:dyDescent="0.25">
      <c r="A6056" s="66"/>
    </row>
    <row r="6057" spans="1:1" x14ac:dyDescent="0.25">
      <c r="A6057" s="66"/>
    </row>
    <row r="6058" spans="1:1" x14ac:dyDescent="0.25">
      <c r="A6058" s="66"/>
    </row>
    <row r="6059" spans="1:1" x14ac:dyDescent="0.25">
      <c r="A6059" s="66"/>
    </row>
    <row r="6060" spans="1:1" x14ac:dyDescent="0.25">
      <c r="A6060" s="66"/>
    </row>
    <row r="6061" spans="1:1" x14ac:dyDescent="0.25">
      <c r="A6061" s="66"/>
    </row>
    <row r="6062" spans="1:1" x14ac:dyDescent="0.25">
      <c r="A6062" s="66"/>
    </row>
    <row r="6063" spans="1:1" x14ac:dyDescent="0.25">
      <c r="A6063" s="66"/>
    </row>
    <row r="6064" spans="1:1" x14ac:dyDescent="0.25">
      <c r="A6064" s="66"/>
    </row>
    <row r="6065" spans="1:1" x14ac:dyDescent="0.25">
      <c r="A6065" s="66"/>
    </row>
    <row r="6066" spans="1:1" x14ac:dyDescent="0.25">
      <c r="A6066" s="66"/>
    </row>
    <row r="6067" spans="1:1" x14ac:dyDescent="0.25">
      <c r="A6067" s="66"/>
    </row>
    <row r="6068" spans="1:1" x14ac:dyDescent="0.25">
      <c r="A6068" s="66"/>
    </row>
    <row r="6069" spans="1:1" x14ac:dyDescent="0.25">
      <c r="A6069" s="66"/>
    </row>
    <row r="6070" spans="1:1" x14ac:dyDescent="0.25">
      <c r="A6070" s="66"/>
    </row>
    <row r="6071" spans="1:1" x14ac:dyDescent="0.25">
      <c r="A6071" s="66"/>
    </row>
    <row r="6072" spans="1:1" x14ac:dyDescent="0.25">
      <c r="A6072" s="66"/>
    </row>
    <row r="6073" spans="1:1" x14ac:dyDescent="0.25">
      <c r="A6073" s="66"/>
    </row>
    <row r="6074" spans="1:1" x14ac:dyDescent="0.25">
      <c r="A6074" s="66"/>
    </row>
    <row r="6075" spans="1:1" x14ac:dyDescent="0.25">
      <c r="A6075" s="66"/>
    </row>
    <row r="6076" spans="1:1" x14ac:dyDescent="0.25">
      <c r="A6076" s="66"/>
    </row>
    <row r="6077" spans="1:1" x14ac:dyDescent="0.25">
      <c r="A6077" s="66"/>
    </row>
    <row r="6078" spans="1:1" x14ac:dyDescent="0.25">
      <c r="A6078" s="66"/>
    </row>
    <row r="6079" spans="1:1" x14ac:dyDescent="0.25">
      <c r="A6079" s="66"/>
    </row>
    <row r="6080" spans="1:1" x14ac:dyDescent="0.25">
      <c r="A6080" s="66"/>
    </row>
    <row r="6081" spans="1:1" x14ac:dyDescent="0.25">
      <c r="A6081" s="66"/>
    </row>
    <row r="6082" spans="1:1" x14ac:dyDescent="0.25">
      <c r="A6082" s="66"/>
    </row>
    <row r="6083" spans="1:1" x14ac:dyDescent="0.25">
      <c r="A6083" s="66"/>
    </row>
    <row r="6084" spans="1:1" x14ac:dyDescent="0.25">
      <c r="A6084" s="66"/>
    </row>
    <row r="6085" spans="1:1" x14ac:dyDescent="0.25">
      <c r="A6085" s="66"/>
    </row>
    <row r="6086" spans="1:1" x14ac:dyDescent="0.25">
      <c r="A6086" s="66"/>
    </row>
    <row r="6087" spans="1:1" x14ac:dyDescent="0.25">
      <c r="A6087" s="66"/>
    </row>
    <row r="6088" spans="1:1" x14ac:dyDescent="0.25">
      <c r="A6088" s="66"/>
    </row>
    <row r="6089" spans="1:1" x14ac:dyDescent="0.25">
      <c r="A6089" s="66"/>
    </row>
    <row r="6090" spans="1:1" x14ac:dyDescent="0.25">
      <c r="A6090" s="66"/>
    </row>
    <row r="6091" spans="1:1" x14ac:dyDescent="0.25">
      <c r="A6091" s="66"/>
    </row>
    <row r="6092" spans="1:1" x14ac:dyDescent="0.25">
      <c r="A6092" s="66"/>
    </row>
    <row r="6093" spans="1:1" x14ac:dyDescent="0.25">
      <c r="A6093" s="66"/>
    </row>
    <row r="6094" spans="1:1" x14ac:dyDescent="0.25">
      <c r="A6094" s="66"/>
    </row>
    <row r="6095" spans="1:1" x14ac:dyDescent="0.25">
      <c r="A6095" s="66"/>
    </row>
    <row r="6096" spans="1:1" x14ac:dyDescent="0.25">
      <c r="A6096" s="66"/>
    </row>
    <row r="6097" spans="1:1" x14ac:dyDescent="0.25">
      <c r="A6097" s="66"/>
    </row>
    <row r="6098" spans="1:1" x14ac:dyDescent="0.25">
      <c r="A6098" s="66"/>
    </row>
    <row r="6099" spans="1:1" x14ac:dyDescent="0.25">
      <c r="A6099" s="66"/>
    </row>
    <row r="6100" spans="1:1" x14ac:dyDescent="0.25">
      <c r="A6100" s="66"/>
    </row>
    <row r="6101" spans="1:1" x14ac:dyDescent="0.25">
      <c r="A6101" s="66"/>
    </row>
    <row r="6102" spans="1:1" x14ac:dyDescent="0.25">
      <c r="A6102" s="66"/>
    </row>
    <row r="6103" spans="1:1" x14ac:dyDescent="0.25">
      <c r="A6103" s="66"/>
    </row>
    <row r="6104" spans="1:1" x14ac:dyDescent="0.25">
      <c r="A6104" s="66"/>
    </row>
    <row r="6105" spans="1:1" x14ac:dyDescent="0.25">
      <c r="A6105" s="66"/>
    </row>
    <row r="6106" spans="1:1" x14ac:dyDescent="0.25">
      <c r="A6106" s="66"/>
    </row>
    <row r="6107" spans="1:1" x14ac:dyDescent="0.25">
      <c r="A6107" s="66"/>
    </row>
    <row r="6108" spans="1:1" x14ac:dyDescent="0.25">
      <c r="A6108" s="66"/>
    </row>
    <row r="6109" spans="1:1" x14ac:dyDescent="0.25">
      <c r="A6109" s="66"/>
    </row>
    <row r="6110" spans="1:1" x14ac:dyDescent="0.25">
      <c r="A6110" s="66"/>
    </row>
    <row r="6111" spans="1:1" x14ac:dyDescent="0.25">
      <c r="A6111" s="66"/>
    </row>
    <row r="6112" spans="1:1" x14ac:dyDescent="0.25">
      <c r="A6112" s="66"/>
    </row>
    <row r="6113" spans="1:1" x14ac:dyDescent="0.25">
      <c r="A6113" s="66"/>
    </row>
    <row r="6114" spans="1:1" x14ac:dyDescent="0.25">
      <c r="A6114" s="66"/>
    </row>
    <row r="6115" spans="1:1" x14ac:dyDescent="0.25">
      <c r="A6115" s="66"/>
    </row>
    <row r="6116" spans="1:1" x14ac:dyDescent="0.25">
      <c r="A6116" s="66"/>
    </row>
    <row r="6117" spans="1:1" x14ac:dyDescent="0.25">
      <c r="A6117" s="66"/>
    </row>
    <row r="6118" spans="1:1" x14ac:dyDescent="0.25">
      <c r="A6118" s="66"/>
    </row>
    <row r="6119" spans="1:1" x14ac:dyDescent="0.25">
      <c r="A6119" s="66"/>
    </row>
    <row r="6120" spans="1:1" x14ac:dyDescent="0.25">
      <c r="A6120" s="66"/>
    </row>
    <row r="6121" spans="1:1" x14ac:dyDescent="0.25">
      <c r="A6121" s="66"/>
    </row>
    <row r="6122" spans="1:1" x14ac:dyDescent="0.25">
      <c r="A6122" s="66"/>
    </row>
    <row r="6123" spans="1:1" x14ac:dyDescent="0.25">
      <c r="A6123" s="66"/>
    </row>
    <row r="6124" spans="1:1" x14ac:dyDescent="0.25">
      <c r="A6124" s="66"/>
    </row>
    <row r="6125" spans="1:1" x14ac:dyDescent="0.25">
      <c r="A6125" s="66"/>
    </row>
    <row r="6126" spans="1:1" x14ac:dyDescent="0.25">
      <c r="A6126" s="66"/>
    </row>
    <row r="6127" spans="1:1" x14ac:dyDescent="0.25">
      <c r="A6127" s="66"/>
    </row>
    <row r="6128" spans="1:1" x14ac:dyDescent="0.25">
      <c r="A6128" s="66"/>
    </row>
    <row r="6129" spans="1:1" x14ac:dyDescent="0.25">
      <c r="A6129" s="66"/>
    </row>
    <row r="6130" spans="1:1" x14ac:dyDescent="0.25">
      <c r="A6130" s="66"/>
    </row>
    <row r="6131" spans="1:1" x14ac:dyDescent="0.25">
      <c r="A6131" s="66"/>
    </row>
    <row r="6132" spans="1:1" x14ac:dyDescent="0.25">
      <c r="A6132" s="66"/>
    </row>
    <row r="6133" spans="1:1" x14ac:dyDescent="0.25">
      <c r="A6133" s="66"/>
    </row>
    <row r="6134" spans="1:1" x14ac:dyDescent="0.25">
      <c r="A6134" s="66"/>
    </row>
    <row r="6135" spans="1:1" x14ac:dyDescent="0.25">
      <c r="A6135" s="66"/>
    </row>
    <row r="6136" spans="1:1" x14ac:dyDescent="0.25">
      <c r="A6136" s="66"/>
    </row>
    <row r="6137" spans="1:1" x14ac:dyDescent="0.25">
      <c r="A6137" s="66"/>
    </row>
    <row r="6138" spans="1:1" x14ac:dyDescent="0.25">
      <c r="A6138" s="66"/>
    </row>
    <row r="6139" spans="1:1" x14ac:dyDescent="0.25">
      <c r="A6139" s="66"/>
    </row>
    <row r="6140" spans="1:1" x14ac:dyDescent="0.25">
      <c r="A6140" s="66"/>
    </row>
    <row r="6141" spans="1:1" x14ac:dyDescent="0.25">
      <c r="A6141" s="66"/>
    </row>
    <row r="6142" spans="1:1" x14ac:dyDescent="0.25">
      <c r="A6142" s="66"/>
    </row>
    <row r="6143" spans="1:1" x14ac:dyDescent="0.25">
      <c r="A6143" s="66"/>
    </row>
    <row r="6144" spans="1:1" x14ac:dyDescent="0.25">
      <c r="A6144" s="66"/>
    </row>
    <row r="6145" spans="1:1" x14ac:dyDescent="0.25">
      <c r="A6145" s="66"/>
    </row>
    <row r="6146" spans="1:1" x14ac:dyDescent="0.25">
      <c r="A6146" s="66"/>
    </row>
    <row r="6147" spans="1:1" x14ac:dyDescent="0.25">
      <c r="A6147" s="66"/>
    </row>
    <row r="6148" spans="1:1" x14ac:dyDescent="0.25">
      <c r="A6148" s="66"/>
    </row>
    <row r="6149" spans="1:1" x14ac:dyDescent="0.25">
      <c r="A6149" s="66"/>
    </row>
    <row r="6150" spans="1:1" x14ac:dyDescent="0.25">
      <c r="A6150" s="66"/>
    </row>
    <row r="6151" spans="1:1" x14ac:dyDescent="0.25">
      <c r="A6151" s="66"/>
    </row>
    <row r="6152" spans="1:1" x14ac:dyDescent="0.25">
      <c r="A6152" s="66"/>
    </row>
    <row r="6153" spans="1:1" x14ac:dyDescent="0.25">
      <c r="A6153" s="66"/>
    </row>
    <row r="6154" spans="1:1" x14ac:dyDescent="0.25">
      <c r="A6154" s="66"/>
    </row>
    <row r="6155" spans="1:1" x14ac:dyDescent="0.25">
      <c r="A6155" s="66"/>
    </row>
    <row r="6156" spans="1:1" x14ac:dyDescent="0.25">
      <c r="A6156" s="66"/>
    </row>
    <row r="6157" spans="1:1" x14ac:dyDescent="0.25">
      <c r="A6157" s="66"/>
    </row>
    <row r="6158" spans="1:1" x14ac:dyDescent="0.25">
      <c r="A6158" s="66"/>
    </row>
    <row r="6159" spans="1:1" x14ac:dyDescent="0.25">
      <c r="A6159" s="66"/>
    </row>
    <row r="6160" spans="1:1" x14ac:dyDescent="0.25">
      <c r="A6160" s="66"/>
    </row>
    <row r="6161" spans="1:1" x14ac:dyDescent="0.25">
      <c r="A6161" s="66"/>
    </row>
    <row r="6162" spans="1:1" x14ac:dyDescent="0.25">
      <c r="A6162" s="66"/>
    </row>
    <row r="6163" spans="1:1" x14ac:dyDescent="0.25">
      <c r="A6163" s="66"/>
    </row>
    <row r="6164" spans="1:1" x14ac:dyDescent="0.25">
      <c r="A6164" s="66"/>
    </row>
    <row r="6165" spans="1:1" x14ac:dyDescent="0.25">
      <c r="A6165" s="66"/>
    </row>
    <row r="6166" spans="1:1" x14ac:dyDescent="0.25">
      <c r="A6166" s="66"/>
    </row>
    <row r="6167" spans="1:1" x14ac:dyDescent="0.25">
      <c r="A6167" s="66"/>
    </row>
    <row r="6168" spans="1:1" x14ac:dyDescent="0.25">
      <c r="A6168" s="66"/>
    </row>
    <row r="6169" spans="1:1" x14ac:dyDescent="0.25">
      <c r="A6169" s="66"/>
    </row>
    <row r="6170" spans="1:1" x14ac:dyDescent="0.25">
      <c r="A6170" s="66"/>
    </row>
    <row r="6171" spans="1:1" x14ac:dyDescent="0.25">
      <c r="A6171" s="66"/>
    </row>
    <row r="6172" spans="1:1" x14ac:dyDescent="0.25">
      <c r="A6172" s="66"/>
    </row>
    <row r="6173" spans="1:1" x14ac:dyDescent="0.25">
      <c r="A6173" s="66"/>
    </row>
    <row r="6174" spans="1:1" x14ac:dyDescent="0.25">
      <c r="A6174" s="66"/>
    </row>
    <row r="6175" spans="1:1" x14ac:dyDescent="0.25">
      <c r="A6175" s="66"/>
    </row>
    <row r="6176" spans="1:1" x14ac:dyDescent="0.25">
      <c r="A6176" s="66"/>
    </row>
    <row r="6177" spans="1:1" x14ac:dyDescent="0.25">
      <c r="A6177" s="66"/>
    </row>
    <row r="6178" spans="1:1" x14ac:dyDescent="0.25">
      <c r="A6178" s="66"/>
    </row>
    <row r="6179" spans="1:1" x14ac:dyDescent="0.25">
      <c r="A6179" s="66"/>
    </row>
    <row r="6180" spans="1:1" x14ac:dyDescent="0.25">
      <c r="A6180" s="66"/>
    </row>
    <row r="6181" spans="1:1" x14ac:dyDescent="0.25">
      <c r="A6181" s="66"/>
    </row>
    <row r="6182" spans="1:1" x14ac:dyDescent="0.25">
      <c r="A6182" s="66"/>
    </row>
    <row r="6183" spans="1:1" x14ac:dyDescent="0.25">
      <c r="A6183" s="66"/>
    </row>
    <row r="6184" spans="1:1" x14ac:dyDescent="0.25">
      <c r="A6184" s="66"/>
    </row>
    <row r="6185" spans="1:1" x14ac:dyDescent="0.25">
      <c r="A6185" s="66"/>
    </row>
    <row r="6186" spans="1:1" x14ac:dyDescent="0.25">
      <c r="A6186" s="66"/>
    </row>
    <row r="6187" spans="1:1" x14ac:dyDescent="0.25">
      <c r="A6187" s="66"/>
    </row>
    <row r="6188" spans="1:1" x14ac:dyDescent="0.25">
      <c r="A6188" s="66"/>
    </row>
    <row r="6189" spans="1:1" x14ac:dyDescent="0.25">
      <c r="A6189" s="66"/>
    </row>
    <row r="6190" spans="1:1" x14ac:dyDescent="0.25">
      <c r="A6190" s="66"/>
    </row>
    <row r="6191" spans="1:1" x14ac:dyDescent="0.25">
      <c r="A6191" s="66"/>
    </row>
    <row r="6192" spans="1:1" x14ac:dyDescent="0.25">
      <c r="A6192" s="66"/>
    </row>
    <row r="6193" spans="1:1" x14ac:dyDescent="0.25">
      <c r="A6193" s="66"/>
    </row>
    <row r="6194" spans="1:1" x14ac:dyDescent="0.25">
      <c r="A6194" s="66"/>
    </row>
    <row r="6195" spans="1:1" x14ac:dyDescent="0.25">
      <c r="A6195" s="66"/>
    </row>
    <row r="6196" spans="1:1" x14ac:dyDescent="0.25">
      <c r="A6196" s="66"/>
    </row>
    <row r="6197" spans="1:1" x14ac:dyDescent="0.25">
      <c r="A6197" s="66"/>
    </row>
    <row r="6198" spans="1:1" x14ac:dyDescent="0.25">
      <c r="A6198" s="66"/>
    </row>
    <row r="6199" spans="1:1" x14ac:dyDescent="0.25">
      <c r="A6199" s="66"/>
    </row>
    <row r="6200" spans="1:1" x14ac:dyDescent="0.25">
      <c r="A6200" s="66"/>
    </row>
    <row r="6201" spans="1:1" x14ac:dyDescent="0.25">
      <c r="A6201" s="66"/>
    </row>
    <row r="6202" spans="1:1" x14ac:dyDescent="0.25">
      <c r="A6202" s="66"/>
    </row>
    <row r="6203" spans="1:1" x14ac:dyDescent="0.25">
      <c r="A6203" s="66"/>
    </row>
    <row r="6204" spans="1:1" x14ac:dyDescent="0.25">
      <c r="A6204" s="66"/>
    </row>
    <row r="6205" spans="1:1" x14ac:dyDescent="0.25">
      <c r="A6205" s="66"/>
    </row>
    <row r="6206" spans="1:1" x14ac:dyDescent="0.25">
      <c r="A6206" s="66"/>
    </row>
    <row r="6207" spans="1:1" x14ac:dyDescent="0.25">
      <c r="A6207" s="66"/>
    </row>
    <row r="6208" spans="1:1" x14ac:dyDescent="0.25">
      <c r="A6208" s="66"/>
    </row>
    <row r="6209" spans="1:1" x14ac:dyDescent="0.25">
      <c r="A6209" s="66"/>
    </row>
    <row r="6210" spans="1:1" x14ac:dyDescent="0.25">
      <c r="A6210" s="66"/>
    </row>
    <row r="6211" spans="1:1" x14ac:dyDescent="0.25">
      <c r="A6211" s="66"/>
    </row>
    <row r="6212" spans="1:1" x14ac:dyDescent="0.25">
      <c r="A6212" s="66"/>
    </row>
    <row r="6213" spans="1:1" x14ac:dyDescent="0.25">
      <c r="A6213" s="66"/>
    </row>
    <row r="6214" spans="1:1" x14ac:dyDescent="0.25">
      <c r="A6214" s="66"/>
    </row>
    <row r="6215" spans="1:1" x14ac:dyDescent="0.25">
      <c r="A6215" s="66"/>
    </row>
    <row r="6216" spans="1:1" x14ac:dyDescent="0.25">
      <c r="A6216" s="66"/>
    </row>
    <row r="6217" spans="1:1" x14ac:dyDescent="0.25">
      <c r="A6217" s="66"/>
    </row>
    <row r="6218" spans="1:1" x14ac:dyDescent="0.25">
      <c r="A6218" s="66"/>
    </row>
    <row r="6219" spans="1:1" x14ac:dyDescent="0.25">
      <c r="A6219" s="66"/>
    </row>
    <row r="6220" spans="1:1" x14ac:dyDescent="0.25">
      <c r="A6220" s="66"/>
    </row>
    <row r="6221" spans="1:1" x14ac:dyDescent="0.25">
      <c r="A6221" s="66"/>
    </row>
    <row r="6222" spans="1:1" x14ac:dyDescent="0.25">
      <c r="A6222" s="66"/>
    </row>
    <row r="6223" spans="1:1" x14ac:dyDescent="0.25">
      <c r="A6223" s="66"/>
    </row>
    <row r="6224" spans="1:1" x14ac:dyDescent="0.25">
      <c r="A6224" s="66"/>
    </row>
    <row r="6225" spans="1:1" x14ac:dyDescent="0.25">
      <c r="A6225" s="66"/>
    </row>
    <row r="6226" spans="1:1" x14ac:dyDescent="0.25">
      <c r="A6226" s="66"/>
    </row>
    <row r="6227" spans="1:1" x14ac:dyDescent="0.25">
      <c r="A6227" s="66"/>
    </row>
    <row r="6228" spans="1:1" x14ac:dyDescent="0.25">
      <c r="A6228" s="66"/>
    </row>
    <row r="6229" spans="1:1" x14ac:dyDescent="0.25">
      <c r="A6229" s="66"/>
    </row>
    <row r="6230" spans="1:1" x14ac:dyDescent="0.25">
      <c r="A6230" s="66"/>
    </row>
    <row r="6231" spans="1:1" x14ac:dyDescent="0.25">
      <c r="A6231" s="66"/>
    </row>
    <row r="6232" spans="1:1" x14ac:dyDescent="0.25">
      <c r="A6232" s="66"/>
    </row>
    <row r="6233" spans="1:1" x14ac:dyDescent="0.25">
      <c r="A6233" s="66"/>
    </row>
    <row r="6234" spans="1:1" x14ac:dyDescent="0.25">
      <c r="A6234" s="66"/>
    </row>
    <row r="6235" spans="1:1" x14ac:dyDescent="0.25">
      <c r="A6235" s="66"/>
    </row>
    <row r="6236" spans="1:1" x14ac:dyDescent="0.25">
      <c r="A6236" s="66"/>
    </row>
    <row r="6237" spans="1:1" x14ac:dyDescent="0.25">
      <c r="A6237" s="66"/>
    </row>
    <row r="6238" spans="1:1" x14ac:dyDescent="0.25">
      <c r="A6238" s="66"/>
    </row>
    <row r="6239" spans="1:1" x14ac:dyDescent="0.25">
      <c r="A6239" s="66"/>
    </row>
    <row r="6240" spans="1:1" x14ac:dyDescent="0.25">
      <c r="A6240" s="66"/>
    </row>
    <row r="6241" spans="1:1" x14ac:dyDescent="0.25">
      <c r="A6241" s="66"/>
    </row>
    <row r="6242" spans="1:1" x14ac:dyDescent="0.25">
      <c r="A6242" s="66"/>
    </row>
    <row r="6243" spans="1:1" x14ac:dyDescent="0.25">
      <c r="A6243" s="66"/>
    </row>
    <row r="6244" spans="1:1" x14ac:dyDescent="0.25">
      <c r="A6244" s="66"/>
    </row>
    <row r="6245" spans="1:1" x14ac:dyDescent="0.25">
      <c r="A6245" s="66"/>
    </row>
    <row r="6246" spans="1:1" x14ac:dyDescent="0.25">
      <c r="A6246" s="66"/>
    </row>
    <row r="6247" spans="1:1" x14ac:dyDescent="0.25">
      <c r="A6247" s="66"/>
    </row>
    <row r="6248" spans="1:1" x14ac:dyDescent="0.25">
      <c r="A6248" s="66"/>
    </row>
    <row r="6249" spans="1:1" x14ac:dyDescent="0.25">
      <c r="A6249" s="66"/>
    </row>
    <row r="6250" spans="1:1" x14ac:dyDescent="0.25">
      <c r="A6250" s="66"/>
    </row>
    <row r="6251" spans="1:1" x14ac:dyDescent="0.25">
      <c r="A6251" s="66"/>
    </row>
    <row r="6252" spans="1:1" x14ac:dyDescent="0.25">
      <c r="A6252" s="66"/>
    </row>
    <row r="6253" spans="1:1" x14ac:dyDescent="0.25">
      <c r="A6253" s="66"/>
    </row>
    <row r="6254" spans="1:1" x14ac:dyDescent="0.25">
      <c r="A6254" s="66"/>
    </row>
    <row r="6255" spans="1:1" x14ac:dyDescent="0.25">
      <c r="A6255" s="66"/>
    </row>
    <row r="6256" spans="1:1" x14ac:dyDescent="0.25">
      <c r="A6256" s="66"/>
    </row>
    <row r="6257" spans="1:1" x14ac:dyDescent="0.25">
      <c r="A6257" s="66"/>
    </row>
    <row r="6258" spans="1:1" x14ac:dyDescent="0.25">
      <c r="A6258" s="66"/>
    </row>
    <row r="6259" spans="1:1" x14ac:dyDescent="0.25">
      <c r="A6259" s="66"/>
    </row>
    <row r="6260" spans="1:1" x14ac:dyDescent="0.25">
      <c r="A6260" s="66"/>
    </row>
    <row r="6261" spans="1:1" x14ac:dyDescent="0.25">
      <c r="A6261" s="66"/>
    </row>
    <row r="6262" spans="1:1" x14ac:dyDescent="0.25">
      <c r="A6262" s="66"/>
    </row>
    <row r="6263" spans="1:1" x14ac:dyDescent="0.25">
      <c r="A6263" s="66"/>
    </row>
    <row r="6264" spans="1:1" x14ac:dyDescent="0.25">
      <c r="A6264" s="66"/>
    </row>
    <row r="6265" spans="1:1" x14ac:dyDescent="0.25">
      <c r="A6265" s="66"/>
    </row>
    <row r="6266" spans="1:1" x14ac:dyDescent="0.25">
      <c r="A6266" s="66"/>
    </row>
    <row r="6267" spans="1:1" x14ac:dyDescent="0.25">
      <c r="A6267" s="66"/>
    </row>
    <row r="6268" spans="1:1" x14ac:dyDescent="0.25">
      <c r="A6268" s="66"/>
    </row>
    <row r="6269" spans="1:1" x14ac:dyDescent="0.25">
      <c r="A6269" s="66"/>
    </row>
    <row r="6270" spans="1:1" x14ac:dyDescent="0.25">
      <c r="A6270" s="66"/>
    </row>
    <row r="6271" spans="1:1" x14ac:dyDescent="0.25">
      <c r="A6271" s="66"/>
    </row>
    <row r="6272" spans="1:1" x14ac:dyDescent="0.25">
      <c r="A6272" s="66"/>
    </row>
    <row r="6273" spans="1:1" x14ac:dyDescent="0.25">
      <c r="A6273" s="66"/>
    </row>
    <row r="6274" spans="1:1" x14ac:dyDescent="0.25">
      <c r="A6274" s="66"/>
    </row>
    <row r="6275" spans="1:1" x14ac:dyDescent="0.25">
      <c r="A6275" s="66"/>
    </row>
    <row r="6276" spans="1:1" x14ac:dyDescent="0.25">
      <c r="A6276" s="66"/>
    </row>
    <row r="6277" spans="1:1" x14ac:dyDescent="0.25">
      <c r="A6277" s="66"/>
    </row>
    <row r="6278" spans="1:1" x14ac:dyDescent="0.25">
      <c r="A6278" s="66"/>
    </row>
    <row r="6279" spans="1:1" x14ac:dyDescent="0.25">
      <c r="A6279" s="66"/>
    </row>
    <row r="6280" spans="1:1" x14ac:dyDescent="0.25">
      <c r="A6280" s="66"/>
    </row>
    <row r="6281" spans="1:1" x14ac:dyDescent="0.25">
      <c r="A6281" s="66"/>
    </row>
    <row r="6282" spans="1:1" x14ac:dyDescent="0.25">
      <c r="A6282" s="66"/>
    </row>
    <row r="6283" spans="1:1" x14ac:dyDescent="0.25">
      <c r="A6283" s="66"/>
    </row>
    <row r="6284" spans="1:1" x14ac:dyDescent="0.25">
      <c r="A6284" s="66"/>
    </row>
    <row r="6285" spans="1:1" x14ac:dyDescent="0.25">
      <c r="A6285" s="66"/>
    </row>
    <row r="6286" spans="1:1" x14ac:dyDescent="0.25">
      <c r="A6286" s="66"/>
    </row>
    <row r="6287" spans="1:1" x14ac:dyDescent="0.25">
      <c r="A6287" s="66"/>
    </row>
    <row r="6288" spans="1:1" x14ac:dyDescent="0.25">
      <c r="A6288" s="66"/>
    </row>
    <row r="6289" spans="1:1" x14ac:dyDescent="0.25">
      <c r="A6289" s="66"/>
    </row>
    <row r="6290" spans="1:1" x14ac:dyDescent="0.25">
      <c r="A6290" s="66"/>
    </row>
    <row r="6291" spans="1:1" x14ac:dyDescent="0.25">
      <c r="A6291" s="66"/>
    </row>
    <row r="6292" spans="1:1" x14ac:dyDescent="0.25">
      <c r="A6292" s="66"/>
    </row>
    <row r="6293" spans="1:1" x14ac:dyDescent="0.25">
      <c r="A6293" s="66"/>
    </row>
    <row r="6294" spans="1:1" x14ac:dyDescent="0.25">
      <c r="A6294" s="66"/>
    </row>
    <row r="6295" spans="1:1" x14ac:dyDescent="0.25">
      <c r="A6295" s="66"/>
    </row>
    <row r="6296" spans="1:1" x14ac:dyDescent="0.25">
      <c r="A6296" s="66"/>
    </row>
    <row r="6297" spans="1:1" x14ac:dyDescent="0.25">
      <c r="A6297" s="66"/>
    </row>
    <row r="6298" spans="1:1" x14ac:dyDescent="0.25">
      <c r="A6298" s="66"/>
    </row>
    <row r="6299" spans="1:1" x14ac:dyDescent="0.25">
      <c r="A6299" s="66"/>
    </row>
    <row r="6300" spans="1:1" x14ac:dyDescent="0.25">
      <c r="A6300" s="66"/>
    </row>
    <row r="6301" spans="1:1" x14ac:dyDescent="0.25">
      <c r="A6301" s="66"/>
    </row>
    <row r="6302" spans="1:1" x14ac:dyDescent="0.25">
      <c r="A6302" s="66"/>
    </row>
    <row r="6303" spans="1:1" x14ac:dyDescent="0.25">
      <c r="A6303" s="66"/>
    </row>
    <row r="6304" spans="1:1" x14ac:dyDescent="0.25">
      <c r="A6304" s="66"/>
    </row>
    <row r="6305" spans="1:1" x14ac:dyDescent="0.25">
      <c r="A6305" s="66"/>
    </row>
    <row r="6306" spans="1:1" x14ac:dyDescent="0.25">
      <c r="A6306" s="66"/>
    </row>
    <row r="6307" spans="1:1" x14ac:dyDescent="0.25">
      <c r="A6307" s="66"/>
    </row>
    <row r="6308" spans="1:1" x14ac:dyDescent="0.25">
      <c r="A6308" s="66"/>
    </row>
    <row r="6309" spans="1:1" x14ac:dyDescent="0.25">
      <c r="A6309" s="66"/>
    </row>
    <row r="6310" spans="1:1" x14ac:dyDescent="0.25">
      <c r="A6310" s="66"/>
    </row>
    <row r="6311" spans="1:1" x14ac:dyDescent="0.25">
      <c r="A6311" s="66"/>
    </row>
    <row r="6312" spans="1:1" x14ac:dyDescent="0.25">
      <c r="A6312" s="66"/>
    </row>
    <row r="6313" spans="1:1" x14ac:dyDescent="0.25">
      <c r="A6313" s="66"/>
    </row>
    <row r="6314" spans="1:1" x14ac:dyDescent="0.25">
      <c r="A6314" s="66"/>
    </row>
    <row r="6315" spans="1:1" x14ac:dyDescent="0.25">
      <c r="A6315" s="66"/>
    </row>
    <row r="6316" spans="1:1" x14ac:dyDescent="0.25">
      <c r="A6316" s="66"/>
    </row>
    <row r="6317" spans="1:1" x14ac:dyDescent="0.25">
      <c r="A6317" s="66"/>
    </row>
    <row r="6318" spans="1:1" x14ac:dyDescent="0.25">
      <c r="A6318" s="66"/>
    </row>
    <row r="6319" spans="1:1" x14ac:dyDescent="0.25">
      <c r="A6319" s="66"/>
    </row>
    <row r="6320" spans="1:1" x14ac:dyDescent="0.25">
      <c r="A6320" s="66"/>
    </row>
    <row r="6321" spans="1:1" x14ac:dyDescent="0.25">
      <c r="A6321" s="66"/>
    </row>
    <row r="6322" spans="1:1" x14ac:dyDescent="0.25">
      <c r="A6322" s="66"/>
    </row>
    <row r="6323" spans="1:1" x14ac:dyDescent="0.25">
      <c r="A6323" s="66"/>
    </row>
    <row r="6324" spans="1:1" x14ac:dyDescent="0.25">
      <c r="A6324" s="66"/>
    </row>
    <row r="6325" spans="1:1" x14ac:dyDescent="0.25">
      <c r="A6325" s="66"/>
    </row>
    <row r="6326" spans="1:1" x14ac:dyDescent="0.25">
      <c r="A6326" s="66"/>
    </row>
    <row r="6327" spans="1:1" x14ac:dyDescent="0.25">
      <c r="A6327" s="66"/>
    </row>
    <row r="6328" spans="1:1" x14ac:dyDescent="0.25">
      <c r="A6328" s="66"/>
    </row>
    <row r="6329" spans="1:1" x14ac:dyDescent="0.25">
      <c r="A6329" s="66"/>
    </row>
    <row r="6330" spans="1:1" x14ac:dyDescent="0.25">
      <c r="A6330" s="66"/>
    </row>
    <row r="6331" spans="1:1" x14ac:dyDescent="0.25">
      <c r="A6331" s="66"/>
    </row>
    <row r="6332" spans="1:1" x14ac:dyDescent="0.25">
      <c r="A6332" s="66"/>
    </row>
    <row r="6333" spans="1:1" x14ac:dyDescent="0.25">
      <c r="A6333" s="66"/>
    </row>
    <row r="6334" spans="1:1" x14ac:dyDescent="0.25">
      <c r="A6334" s="66"/>
    </row>
    <row r="6335" spans="1:1" x14ac:dyDescent="0.25">
      <c r="A6335" s="66"/>
    </row>
    <row r="6336" spans="1:1" x14ac:dyDescent="0.25">
      <c r="A6336" s="66"/>
    </row>
    <row r="6337" spans="1:1" x14ac:dyDescent="0.25">
      <c r="A6337" s="66"/>
    </row>
    <row r="6338" spans="1:1" x14ac:dyDescent="0.25">
      <c r="A6338" s="66"/>
    </row>
    <row r="6339" spans="1:1" x14ac:dyDescent="0.25">
      <c r="A6339" s="66"/>
    </row>
    <row r="6340" spans="1:1" x14ac:dyDescent="0.25">
      <c r="A6340" s="66"/>
    </row>
    <row r="6341" spans="1:1" x14ac:dyDescent="0.25">
      <c r="A6341" s="66"/>
    </row>
    <row r="6342" spans="1:1" x14ac:dyDescent="0.25">
      <c r="A6342" s="66"/>
    </row>
    <row r="6343" spans="1:1" x14ac:dyDescent="0.25">
      <c r="A6343" s="66"/>
    </row>
    <row r="6344" spans="1:1" x14ac:dyDescent="0.25">
      <c r="A6344" s="66"/>
    </row>
    <row r="6345" spans="1:1" x14ac:dyDescent="0.25">
      <c r="A6345" s="66"/>
    </row>
    <row r="6346" spans="1:1" x14ac:dyDescent="0.25">
      <c r="A6346" s="66"/>
    </row>
    <row r="6347" spans="1:1" x14ac:dyDescent="0.25">
      <c r="A6347" s="66"/>
    </row>
    <row r="6348" spans="1:1" x14ac:dyDescent="0.25">
      <c r="A6348" s="66"/>
    </row>
    <row r="6349" spans="1:1" x14ac:dyDescent="0.25">
      <c r="A6349" s="66"/>
    </row>
    <row r="6350" spans="1:1" x14ac:dyDescent="0.25">
      <c r="A6350" s="66"/>
    </row>
    <row r="6351" spans="1:1" x14ac:dyDescent="0.25">
      <c r="A6351" s="66"/>
    </row>
    <row r="6352" spans="1:1" x14ac:dyDescent="0.25">
      <c r="A6352" s="66"/>
    </row>
    <row r="6353" spans="1:1" x14ac:dyDescent="0.25">
      <c r="A6353" s="66"/>
    </row>
    <row r="6354" spans="1:1" x14ac:dyDescent="0.25">
      <c r="A6354" s="66"/>
    </row>
    <row r="6355" spans="1:1" x14ac:dyDescent="0.25">
      <c r="A6355" s="66"/>
    </row>
    <row r="6356" spans="1:1" x14ac:dyDescent="0.25">
      <c r="A6356" s="66"/>
    </row>
    <row r="6357" spans="1:1" x14ac:dyDescent="0.25">
      <c r="A6357" s="66"/>
    </row>
    <row r="6358" spans="1:1" x14ac:dyDescent="0.25">
      <c r="A6358" s="66"/>
    </row>
    <row r="6359" spans="1:1" x14ac:dyDescent="0.25">
      <c r="A6359" s="66"/>
    </row>
    <row r="6360" spans="1:1" x14ac:dyDescent="0.25">
      <c r="A6360" s="66"/>
    </row>
    <row r="6361" spans="1:1" x14ac:dyDescent="0.25">
      <c r="A6361" s="66"/>
    </row>
    <row r="6362" spans="1:1" x14ac:dyDescent="0.25">
      <c r="A6362" s="66"/>
    </row>
    <row r="6363" spans="1:1" x14ac:dyDescent="0.25">
      <c r="A6363" s="66"/>
    </row>
    <row r="6364" spans="1:1" x14ac:dyDescent="0.25">
      <c r="A6364" s="66"/>
    </row>
    <row r="6365" spans="1:1" x14ac:dyDescent="0.25">
      <c r="A6365" s="66"/>
    </row>
    <row r="6366" spans="1:1" x14ac:dyDescent="0.25">
      <c r="A6366" s="66"/>
    </row>
    <row r="6367" spans="1:1" x14ac:dyDescent="0.25">
      <c r="A6367" s="66"/>
    </row>
    <row r="6368" spans="1:1" x14ac:dyDescent="0.25">
      <c r="A6368" s="66"/>
    </row>
    <row r="6369" spans="1:1" x14ac:dyDescent="0.25">
      <c r="A6369" s="66"/>
    </row>
    <row r="6370" spans="1:1" x14ac:dyDescent="0.25">
      <c r="A6370" s="66"/>
    </row>
    <row r="6371" spans="1:1" x14ac:dyDescent="0.25">
      <c r="A6371" s="66"/>
    </row>
    <row r="6372" spans="1:1" x14ac:dyDescent="0.25">
      <c r="A6372" s="66"/>
    </row>
    <row r="6373" spans="1:1" x14ac:dyDescent="0.25">
      <c r="A6373" s="66"/>
    </row>
    <row r="6374" spans="1:1" x14ac:dyDescent="0.25">
      <c r="A6374" s="66"/>
    </row>
    <row r="6375" spans="1:1" x14ac:dyDescent="0.25">
      <c r="A6375" s="66"/>
    </row>
    <row r="6376" spans="1:1" x14ac:dyDescent="0.25">
      <c r="A6376" s="66"/>
    </row>
    <row r="6377" spans="1:1" x14ac:dyDescent="0.25">
      <c r="A6377" s="66"/>
    </row>
    <row r="6378" spans="1:1" x14ac:dyDescent="0.25">
      <c r="A6378" s="66"/>
    </row>
    <row r="6379" spans="1:1" x14ac:dyDescent="0.25">
      <c r="A6379" s="66"/>
    </row>
    <row r="6380" spans="1:1" x14ac:dyDescent="0.25">
      <c r="A6380" s="66"/>
    </row>
    <row r="6381" spans="1:1" x14ac:dyDescent="0.25">
      <c r="A6381" s="66"/>
    </row>
    <row r="6382" spans="1:1" x14ac:dyDescent="0.25">
      <c r="A6382" s="66"/>
    </row>
    <row r="6383" spans="1:1" x14ac:dyDescent="0.25">
      <c r="A6383" s="66"/>
    </row>
    <row r="6384" spans="1:1" x14ac:dyDescent="0.25">
      <c r="A6384" s="66"/>
    </row>
    <row r="6385" spans="1:1" x14ac:dyDescent="0.25">
      <c r="A6385" s="66"/>
    </row>
    <row r="6386" spans="1:1" x14ac:dyDescent="0.25">
      <c r="A6386" s="66"/>
    </row>
    <row r="6387" spans="1:1" x14ac:dyDescent="0.25">
      <c r="A6387" s="66"/>
    </row>
    <row r="6388" spans="1:1" x14ac:dyDescent="0.25">
      <c r="A6388" s="66"/>
    </row>
    <row r="6389" spans="1:1" x14ac:dyDescent="0.25">
      <c r="A6389" s="66"/>
    </row>
    <row r="6390" spans="1:1" x14ac:dyDescent="0.25">
      <c r="A6390" s="66"/>
    </row>
    <row r="6391" spans="1:1" x14ac:dyDescent="0.25">
      <c r="A6391" s="66"/>
    </row>
    <row r="6392" spans="1:1" x14ac:dyDescent="0.25">
      <c r="A6392" s="66"/>
    </row>
    <row r="6393" spans="1:1" x14ac:dyDescent="0.25">
      <c r="A6393" s="66"/>
    </row>
    <row r="6394" spans="1:1" x14ac:dyDescent="0.25">
      <c r="A6394" s="66"/>
    </row>
    <row r="6395" spans="1:1" x14ac:dyDescent="0.25">
      <c r="A6395" s="66"/>
    </row>
    <row r="6396" spans="1:1" x14ac:dyDescent="0.25">
      <c r="A6396" s="66"/>
    </row>
    <row r="6397" spans="1:1" x14ac:dyDescent="0.25">
      <c r="A6397" s="66"/>
    </row>
    <row r="6398" spans="1:1" x14ac:dyDescent="0.25">
      <c r="A6398" s="66"/>
    </row>
    <row r="6399" spans="1:1" x14ac:dyDescent="0.25">
      <c r="A6399" s="66"/>
    </row>
    <row r="6400" spans="1:1" x14ac:dyDescent="0.25">
      <c r="A6400" s="66"/>
    </row>
    <row r="6401" spans="1:1" x14ac:dyDescent="0.25">
      <c r="A6401" s="66"/>
    </row>
    <row r="6402" spans="1:1" x14ac:dyDescent="0.25">
      <c r="A6402" s="66"/>
    </row>
    <row r="6403" spans="1:1" x14ac:dyDescent="0.25">
      <c r="A6403" s="66"/>
    </row>
    <row r="6404" spans="1:1" x14ac:dyDescent="0.25">
      <c r="A6404" s="66"/>
    </row>
    <row r="6405" spans="1:1" x14ac:dyDescent="0.25">
      <c r="A6405" s="66"/>
    </row>
    <row r="6406" spans="1:1" x14ac:dyDescent="0.25">
      <c r="A6406" s="66"/>
    </row>
    <row r="6407" spans="1:1" x14ac:dyDescent="0.25">
      <c r="A6407" s="66"/>
    </row>
    <row r="6408" spans="1:1" x14ac:dyDescent="0.25">
      <c r="A6408" s="66"/>
    </row>
    <row r="6409" spans="1:1" x14ac:dyDescent="0.25">
      <c r="A6409" s="66"/>
    </row>
    <row r="6410" spans="1:1" x14ac:dyDescent="0.25">
      <c r="A6410" s="66"/>
    </row>
    <row r="6411" spans="1:1" x14ac:dyDescent="0.25">
      <c r="A6411" s="66"/>
    </row>
    <row r="6412" spans="1:1" x14ac:dyDescent="0.25">
      <c r="A6412" s="66"/>
    </row>
    <row r="6413" spans="1:1" x14ac:dyDescent="0.25">
      <c r="A6413" s="66"/>
    </row>
    <row r="6414" spans="1:1" x14ac:dyDescent="0.25">
      <c r="A6414" s="66"/>
    </row>
    <row r="6415" spans="1:1" x14ac:dyDescent="0.25">
      <c r="A6415" s="66"/>
    </row>
    <row r="6416" spans="1:1" x14ac:dyDescent="0.25">
      <c r="A6416" s="66"/>
    </row>
    <row r="6417" spans="1:1" x14ac:dyDescent="0.25">
      <c r="A6417" s="66"/>
    </row>
    <row r="6418" spans="1:1" x14ac:dyDescent="0.25">
      <c r="A6418" s="66"/>
    </row>
    <row r="6419" spans="1:1" x14ac:dyDescent="0.25">
      <c r="A6419" s="66"/>
    </row>
    <row r="6420" spans="1:1" x14ac:dyDescent="0.25">
      <c r="A6420" s="66"/>
    </row>
    <row r="6421" spans="1:1" x14ac:dyDescent="0.25">
      <c r="A6421" s="66"/>
    </row>
    <row r="6422" spans="1:1" x14ac:dyDescent="0.25">
      <c r="A6422" s="66"/>
    </row>
    <row r="6423" spans="1:1" x14ac:dyDescent="0.25">
      <c r="A6423" s="66"/>
    </row>
    <row r="6424" spans="1:1" x14ac:dyDescent="0.25">
      <c r="A6424" s="66"/>
    </row>
    <row r="6425" spans="1:1" x14ac:dyDescent="0.25">
      <c r="A6425" s="66"/>
    </row>
    <row r="6426" spans="1:1" x14ac:dyDescent="0.25">
      <c r="A6426" s="66"/>
    </row>
    <row r="6427" spans="1:1" x14ac:dyDescent="0.25">
      <c r="A6427" s="66"/>
    </row>
    <row r="6428" spans="1:1" x14ac:dyDescent="0.25">
      <c r="A6428" s="66"/>
    </row>
    <row r="6429" spans="1:1" x14ac:dyDescent="0.25">
      <c r="A6429" s="66"/>
    </row>
    <row r="6430" spans="1:1" x14ac:dyDescent="0.25">
      <c r="A6430" s="66"/>
    </row>
    <row r="6431" spans="1:1" x14ac:dyDescent="0.25">
      <c r="A6431" s="66"/>
    </row>
    <row r="6432" spans="1:1" x14ac:dyDescent="0.25">
      <c r="A6432" s="66"/>
    </row>
    <row r="6433" spans="1:1" x14ac:dyDescent="0.25">
      <c r="A6433" s="66"/>
    </row>
    <row r="6434" spans="1:1" x14ac:dyDescent="0.25">
      <c r="A6434" s="66"/>
    </row>
    <row r="6435" spans="1:1" x14ac:dyDescent="0.25">
      <c r="A6435" s="66"/>
    </row>
    <row r="6436" spans="1:1" x14ac:dyDescent="0.25">
      <c r="A6436" s="66"/>
    </row>
    <row r="6437" spans="1:1" x14ac:dyDescent="0.25">
      <c r="A6437" s="66"/>
    </row>
    <row r="6438" spans="1:1" x14ac:dyDescent="0.25">
      <c r="A6438" s="66"/>
    </row>
    <row r="6439" spans="1:1" x14ac:dyDescent="0.25">
      <c r="A6439" s="66"/>
    </row>
    <row r="6440" spans="1:1" x14ac:dyDescent="0.25">
      <c r="A6440" s="66"/>
    </row>
    <row r="6441" spans="1:1" x14ac:dyDescent="0.25">
      <c r="A6441" s="66"/>
    </row>
    <row r="6442" spans="1:1" x14ac:dyDescent="0.25">
      <c r="A6442" s="66"/>
    </row>
    <row r="6443" spans="1:1" x14ac:dyDescent="0.25">
      <c r="A6443" s="66"/>
    </row>
    <row r="6444" spans="1:1" x14ac:dyDescent="0.25">
      <c r="A6444" s="66"/>
    </row>
    <row r="6445" spans="1:1" x14ac:dyDescent="0.25">
      <c r="A6445" s="66"/>
    </row>
    <row r="6446" spans="1:1" x14ac:dyDescent="0.25">
      <c r="A6446" s="66"/>
    </row>
    <row r="6447" spans="1:1" x14ac:dyDescent="0.25">
      <c r="A6447" s="66"/>
    </row>
    <row r="6448" spans="1:1" x14ac:dyDescent="0.25">
      <c r="A6448" s="66"/>
    </row>
    <row r="6449" spans="1:1" x14ac:dyDescent="0.25">
      <c r="A6449" s="66"/>
    </row>
    <row r="6450" spans="1:1" x14ac:dyDescent="0.25">
      <c r="A6450" s="66"/>
    </row>
    <row r="6451" spans="1:1" x14ac:dyDescent="0.25">
      <c r="A6451" s="66"/>
    </row>
    <row r="6452" spans="1:1" x14ac:dyDescent="0.25">
      <c r="A6452" s="66"/>
    </row>
    <row r="6453" spans="1:1" x14ac:dyDescent="0.25">
      <c r="A6453" s="66"/>
    </row>
    <row r="6454" spans="1:1" x14ac:dyDescent="0.25">
      <c r="A6454" s="66"/>
    </row>
    <row r="6455" spans="1:1" x14ac:dyDescent="0.25">
      <c r="A6455" s="66"/>
    </row>
    <row r="6456" spans="1:1" x14ac:dyDescent="0.25">
      <c r="A6456" s="66"/>
    </row>
    <row r="6457" spans="1:1" x14ac:dyDescent="0.25">
      <c r="A6457" s="66"/>
    </row>
    <row r="6458" spans="1:1" x14ac:dyDescent="0.25">
      <c r="A6458" s="66"/>
    </row>
    <row r="6459" spans="1:1" x14ac:dyDescent="0.25">
      <c r="A6459" s="66"/>
    </row>
    <row r="6460" spans="1:1" x14ac:dyDescent="0.25">
      <c r="A6460" s="66"/>
    </row>
    <row r="6461" spans="1:1" x14ac:dyDescent="0.25">
      <c r="A6461" s="66"/>
    </row>
    <row r="6462" spans="1:1" x14ac:dyDescent="0.25">
      <c r="A6462" s="66"/>
    </row>
    <row r="6463" spans="1:1" x14ac:dyDescent="0.25">
      <c r="A6463" s="66"/>
    </row>
    <row r="6464" spans="1:1" x14ac:dyDescent="0.25">
      <c r="A6464" s="66"/>
    </row>
    <row r="6465" spans="1:1" x14ac:dyDescent="0.25">
      <c r="A6465" s="66"/>
    </row>
    <row r="6466" spans="1:1" x14ac:dyDescent="0.25">
      <c r="A6466" s="66"/>
    </row>
    <row r="6467" spans="1:1" x14ac:dyDescent="0.25">
      <c r="A6467" s="66"/>
    </row>
    <row r="6468" spans="1:1" x14ac:dyDescent="0.25">
      <c r="A6468" s="66"/>
    </row>
    <row r="6469" spans="1:1" x14ac:dyDescent="0.25">
      <c r="A6469" s="66"/>
    </row>
    <row r="6470" spans="1:1" x14ac:dyDescent="0.25">
      <c r="A6470" s="66"/>
    </row>
    <row r="6471" spans="1:1" x14ac:dyDescent="0.25">
      <c r="A6471" s="66"/>
    </row>
    <row r="6472" spans="1:1" x14ac:dyDescent="0.25">
      <c r="A6472" s="66"/>
    </row>
    <row r="6473" spans="1:1" x14ac:dyDescent="0.25">
      <c r="A6473" s="66"/>
    </row>
    <row r="6474" spans="1:1" x14ac:dyDescent="0.25">
      <c r="A6474" s="66"/>
    </row>
    <row r="6475" spans="1:1" x14ac:dyDescent="0.25">
      <c r="A6475" s="66"/>
    </row>
    <row r="6476" spans="1:1" x14ac:dyDescent="0.25">
      <c r="A6476" s="66"/>
    </row>
    <row r="6477" spans="1:1" x14ac:dyDescent="0.25">
      <c r="A6477" s="66"/>
    </row>
    <row r="6478" spans="1:1" x14ac:dyDescent="0.25">
      <c r="A6478" s="66"/>
    </row>
    <row r="6479" spans="1:1" x14ac:dyDescent="0.25">
      <c r="A6479" s="66"/>
    </row>
    <row r="6480" spans="1:1" x14ac:dyDescent="0.25">
      <c r="A6480" s="66"/>
    </row>
    <row r="6481" spans="1:1" x14ac:dyDescent="0.25">
      <c r="A6481" s="66"/>
    </row>
    <row r="6482" spans="1:1" x14ac:dyDescent="0.25">
      <c r="A6482" s="66"/>
    </row>
    <row r="6483" spans="1:1" x14ac:dyDescent="0.25">
      <c r="A6483" s="66"/>
    </row>
    <row r="6484" spans="1:1" x14ac:dyDescent="0.25">
      <c r="A6484" s="66"/>
    </row>
    <row r="6485" spans="1:1" x14ac:dyDescent="0.25">
      <c r="A6485" s="66"/>
    </row>
    <row r="6486" spans="1:1" x14ac:dyDescent="0.25">
      <c r="A6486" s="66"/>
    </row>
    <row r="6487" spans="1:1" x14ac:dyDescent="0.25">
      <c r="A6487" s="66"/>
    </row>
    <row r="6488" spans="1:1" x14ac:dyDescent="0.25">
      <c r="A6488" s="66"/>
    </row>
    <row r="6489" spans="1:1" x14ac:dyDescent="0.25">
      <c r="A6489" s="66"/>
    </row>
    <row r="6490" spans="1:1" x14ac:dyDescent="0.25">
      <c r="A6490" s="66"/>
    </row>
    <row r="6491" spans="1:1" x14ac:dyDescent="0.25">
      <c r="A6491" s="66"/>
    </row>
    <row r="6492" spans="1:1" x14ac:dyDescent="0.25">
      <c r="A6492" s="66"/>
    </row>
    <row r="6493" spans="1:1" x14ac:dyDescent="0.25">
      <c r="A6493" s="66"/>
    </row>
    <row r="6494" spans="1:1" x14ac:dyDescent="0.25">
      <c r="A6494" s="66"/>
    </row>
    <row r="6495" spans="1:1" x14ac:dyDescent="0.25">
      <c r="A6495" s="66"/>
    </row>
    <row r="6496" spans="1:1" x14ac:dyDescent="0.25">
      <c r="A6496" s="66"/>
    </row>
    <row r="6497" spans="1:1" x14ac:dyDescent="0.25">
      <c r="A6497" s="66"/>
    </row>
    <row r="6498" spans="1:1" x14ac:dyDescent="0.25">
      <c r="A6498" s="66"/>
    </row>
    <row r="6499" spans="1:1" x14ac:dyDescent="0.25">
      <c r="A6499" s="66"/>
    </row>
    <row r="6500" spans="1:1" x14ac:dyDescent="0.25">
      <c r="A6500" s="66"/>
    </row>
    <row r="6501" spans="1:1" x14ac:dyDescent="0.25">
      <c r="A6501" s="66"/>
    </row>
    <row r="6502" spans="1:1" x14ac:dyDescent="0.25">
      <c r="A6502" s="66"/>
    </row>
    <row r="6503" spans="1:1" x14ac:dyDescent="0.25">
      <c r="A6503" s="66"/>
    </row>
    <row r="6504" spans="1:1" x14ac:dyDescent="0.25">
      <c r="A6504" s="66"/>
    </row>
    <row r="6505" spans="1:1" x14ac:dyDescent="0.25">
      <c r="A6505" s="66"/>
    </row>
    <row r="6506" spans="1:1" x14ac:dyDescent="0.25">
      <c r="A6506" s="66"/>
    </row>
    <row r="6507" spans="1:1" x14ac:dyDescent="0.25">
      <c r="A6507" s="66"/>
    </row>
    <row r="6508" spans="1:1" x14ac:dyDescent="0.25">
      <c r="A6508" s="66"/>
    </row>
    <row r="6509" spans="1:1" x14ac:dyDescent="0.25">
      <c r="A6509" s="66"/>
    </row>
    <row r="6510" spans="1:1" x14ac:dyDescent="0.25">
      <c r="A6510" s="66"/>
    </row>
    <row r="6511" spans="1:1" x14ac:dyDescent="0.25">
      <c r="A6511" s="66"/>
    </row>
    <row r="6512" spans="1:1" x14ac:dyDescent="0.25">
      <c r="A6512" s="66"/>
    </row>
    <row r="6513" spans="1:1" x14ac:dyDescent="0.25">
      <c r="A6513" s="66"/>
    </row>
    <row r="6514" spans="1:1" x14ac:dyDescent="0.25">
      <c r="A6514" s="66"/>
    </row>
    <row r="6515" spans="1:1" x14ac:dyDescent="0.25">
      <c r="A6515" s="66"/>
    </row>
    <row r="6516" spans="1:1" x14ac:dyDescent="0.25">
      <c r="A6516" s="66"/>
    </row>
    <row r="6517" spans="1:1" x14ac:dyDescent="0.25">
      <c r="A6517" s="66"/>
    </row>
    <row r="6518" spans="1:1" x14ac:dyDescent="0.25">
      <c r="A6518" s="66"/>
    </row>
    <row r="6519" spans="1:1" x14ac:dyDescent="0.25">
      <c r="A6519" s="66"/>
    </row>
    <row r="6520" spans="1:1" x14ac:dyDescent="0.25">
      <c r="A6520" s="66"/>
    </row>
    <row r="6521" spans="1:1" x14ac:dyDescent="0.25">
      <c r="A6521" s="66"/>
    </row>
    <row r="6522" spans="1:1" x14ac:dyDescent="0.25">
      <c r="A6522" s="66"/>
    </row>
    <row r="6523" spans="1:1" x14ac:dyDescent="0.25">
      <c r="A6523" s="66"/>
    </row>
    <row r="6524" spans="1:1" x14ac:dyDescent="0.25">
      <c r="A6524" s="66"/>
    </row>
    <row r="6525" spans="1:1" x14ac:dyDescent="0.25">
      <c r="A6525" s="66"/>
    </row>
    <row r="6526" spans="1:1" x14ac:dyDescent="0.25">
      <c r="A6526" s="66"/>
    </row>
    <row r="6527" spans="1:1" x14ac:dyDescent="0.25">
      <c r="A6527" s="66"/>
    </row>
    <row r="6528" spans="1:1" x14ac:dyDescent="0.25">
      <c r="A6528" s="66"/>
    </row>
    <row r="6529" spans="1:1" x14ac:dyDescent="0.25">
      <c r="A6529" s="66"/>
    </row>
    <row r="6530" spans="1:1" x14ac:dyDescent="0.25">
      <c r="A6530" s="66"/>
    </row>
    <row r="6531" spans="1:1" x14ac:dyDescent="0.25">
      <c r="A6531" s="66"/>
    </row>
    <row r="6532" spans="1:1" x14ac:dyDescent="0.25">
      <c r="A6532" s="66"/>
    </row>
    <row r="6533" spans="1:1" x14ac:dyDescent="0.25">
      <c r="A6533" s="66"/>
    </row>
    <row r="6534" spans="1:1" x14ac:dyDescent="0.25">
      <c r="A6534" s="66"/>
    </row>
    <row r="6535" spans="1:1" x14ac:dyDescent="0.25">
      <c r="A6535" s="66"/>
    </row>
    <row r="6536" spans="1:1" x14ac:dyDescent="0.25">
      <c r="A6536" s="66"/>
    </row>
    <row r="6537" spans="1:1" x14ac:dyDescent="0.25">
      <c r="A6537" s="66"/>
    </row>
    <row r="6538" spans="1:1" x14ac:dyDescent="0.25">
      <c r="A6538" s="66"/>
    </row>
    <row r="6539" spans="1:1" x14ac:dyDescent="0.25">
      <c r="A6539" s="66"/>
    </row>
    <row r="6540" spans="1:1" x14ac:dyDescent="0.25">
      <c r="A6540" s="66"/>
    </row>
    <row r="6541" spans="1:1" x14ac:dyDescent="0.25">
      <c r="A6541" s="66"/>
    </row>
    <row r="6542" spans="1:1" x14ac:dyDescent="0.25">
      <c r="A6542" s="66"/>
    </row>
    <row r="6543" spans="1:1" x14ac:dyDescent="0.25">
      <c r="A6543" s="66"/>
    </row>
    <row r="6544" spans="1:1" x14ac:dyDescent="0.25">
      <c r="A6544" s="66"/>
    </row>
    <row r="6545" spans="1:1" x14ac:dyDescent="0.25">
      <c r="A6545" s="66"/>
    </row>
    <row r="6546" spans="1:1" x14ac:dyDescent="0.25">
      <c r="A6546" s="66"/>
    </row>
    <row r="6547" spans="1:1" x14ac:dyDescent="0.25">
      <c r="A6547" s="66"/>
    </row>
    <row r="6548" spans="1:1" x14ac:dyDescent="0.25">
      <c r="A6548" s="66"/>
    </row>
    <row r="6549" spans="1:1" x14ac:dyDescent="0.25">
      <c r="A6549" s="66"/>
    </row>
    <row r="6550" spans="1:1" x14ac:dyDescent="0.25">
      <c r="A6550" s="66"/>
    </row>
    <row r="6551" spans="1:1" x14ac:dyDescent="0.25">
      <c r="A6551" s="66"/>
    </row>
    <row r="6552" spans="1:1" x14ac:dyDescent="0.25">
      <c r="A6552" s="66"/>
    </row>
    <row r="6553" spans="1:1" x14ac:dyDescent="0.25">
      <c r="A6553" s="66"/>
    </row>
    <row r="6554" spans="1:1" x14ac:dyDescent="0.25">
      <c r="A6554" s="66"/>
    </row>
    <row r="6555" spans="1:1" x14ac:dyDescent="0.25">
      <c r="A6555" s="66"/>
    </row>
    <row r="6556" spans="1:1" x14ac:dyDescent="0.25">
      <c r="A6556" s="66"/>
    </row>
    <row r="6557" spans="1:1" x14ac:dyDescent="0.25">
      <c r="A6557" s="66"/>
    </row>
    <row r="6558" spans="1:1" x14ac:dyDescent="0.25">
      <c r="A6558" s="66"/>
    </row>
    <row r="6559" spans="1:1" x14ac:dyDescent="0.25">
      <c r="A6559" s="66"/>
    </row>
    <row r="6560" spans="1:1" x14ac:dyDescent="0.25">
      <c r="A6560" s="66"/>
    </row>
    <row r="6561" spans="1:1" x14ac:dyDescent="0.25">
      <c r="A6561" s="66"/>
    </row>
    <row r="6562" spans="1:1" x14ac:dyDescent="0.25">
      <c r="A6562" s="66"/>
    </row>
    <row r="6563" spans="1:1" x14ac:dyDescent="0.25">
      <c r="A6563" s="66"/>
    </row>
    <row r="6564" spans="1:1" x14ac:dyDescent="0.25">
      <c r="A6564" s="66"/>
    </row>
    <row r="6565" spans="1:1" x14ac:dyDescent="0.25">
      <c r="A6565" s="66"/>
    </row>
    <row r="6566" spans="1:1" x14ac:dyDescent="0.25">
      <c r="A6566" s="66"/>
    </row>
    <row r="6567" spans="1:1" x14ac:dyDescent="0.25">
      <c r="A6567" s="66"/>
    </row>
    <row r="6568" spans="1:1" x14ac:dyDescent="0.25">
      <c r="A6568" s="66"/>
    </row>
    <row r="6569" spans="1:1" x14ac:dyDescent="0.25">
      <c r="A6569" s="66"/>
    </row>
    <row r="6570" spans="1:1" x14ac:dyDescent="0.25">
      <c r="A6570" s="66"/>
    </row>
    <row r="6571" spans="1:1" x14ac:dyDescent="0.25">
      <c r="A6571" s="66"/>
    </row>
    <row r="6572" spans="1:1" x14ac:dyDescent="0.25">
      <c r="A6572" s="66"/>
    </row>
    <row r="6573" spans="1:1" x14ac:dyDescent="0.25">
      <c r="A6573" s="66"/>
    </row>
    <row r="6574" spans="1:1" x14ac:dyDescent="0.25">
      <c r="A6574" s="66"/>
    </row>
    <row r="6575" spans="1:1" x14ac:dyDescent="0.25">
      <c r="A6575" s="66"/>
    </row>
    <row r="6576" spans="1:1" x14ac:dyDescent="0.25">
      <c r="A6576" s="66"/>
    </row>
    <row r="6577" spans="1:1" x14ac:dyDescent="0.25">
      <c r="A6577" s="66"/>
    </row>
    <row r="6578" spans="1:1" x14ac:dyDescent="0.25">
      <c r="A6578" s="66"/>
    </row>
    <row r="6579" spans="1:1" x14ac:dyDescent="0.25">
      <c r="A6579" s="66"/>
    </row>
    <row r="6580" spans="1:1" x14ac:dyDescent="0.25">
      <c r="A6580" s="66"/>
    </row>
    <row r="6581" spans="1:1" x14ac:dyDescent="0.25">
      <c r="A6581" s="66"/>
    </row>
    <row r="6582" spans="1:1" x14ac:dyDescent="0.25">
      <c r="A6582" s="66"/>
    </row>
    <row r="6583" spans="1:1" x14ac:dyDescent="0.25">
      <c r="A6583" s="66"/>
    </row>
    <row r="6584" spans="1:1" x14ac:dyDescent="0.25">
      <c r="A6584" s="66"/>
    </row>
    <row r="6585" spans="1:1" x14ac:dyDescent="0.25">
      <c r="A6585" s="66"/>
    </row>
    <row r="6586" spans="1:1" x14ac:dyDescent="0.25">
      <c r="A6586" s="66"/>
    </row>
    <row r="6587" spans="1:1" x14ac:dyDescent="0.25">
      <c r="A6587" s="66"/>
    </row>
    <row r="6588" spans="1:1" x14ac:dyDescent="0.25">
      <c r="A6588" s="66"/>
    </row>
    <row r="6589" spans="1:1" x14ac:dyDescent="0.25">
      <c r="A6589" s="66"/>
    </row>
    <row r="6590" spans="1:1" x14ac:dyDescent="0.25">
      <c r="A6590" s="66"/>
    </row>
    <row r="6591" spans="1:1" x14ac:dyDescent="0.25">
      <c r="A6591" s="66"/>
    </row>
    <row r="6592" spans="1:1" x14ac:dyDescent="0.25">
      <c r="A6592" s="66"/>
    </row>
    <row r="6593" spans="1:1" x14ac:dyDescent="0.25">
      <c r="A6593" s="66"/>
    </row>
    <row r="6594" spans="1:1" x14ac:dyDescent="0.25">
      <c r="A6594" s="66"/>
    </row>
    <row r="6595" spans="1:1" x14ac:dyDescent="0.25">
      <c r="A6595" s="66"/>
    </row>
    <row r="6596" spans="1:1" x14ac:dyDescent="0.25">
      <c r="A6596" s="66"/>
    </row>
    <row r="6597" spans="1:1" x14ac:dyDescent="0.25">
      <c r="A6597" s="66"/>
    </row>
    <row r="6598" spans="1:1" x14ac:dyDescent="0.25">
      <c r="A6598" s="66"/>
    </row>
    <row r="6599" spans="1:1" x14ac:dyDescent="0.25">
      <c r="A6599" s="66"/>
    </row>
    <row r="6600" spans="1:1" x14ac:dyDescent="0.25">
      <c r="A6600" s="66"/>
    </row>
    <row r="6601" spans="1:1" x14ac:dyDescent="0.25">
      <c r="A6601" s="66"/>
    </row>
    <row r="6602" spans="1:1" x14ac:dyDescent="0.25">
      <c r="A6602" s="66"/>
    </row>
    <row r="6603" spans="1:1" x14ac:dyDescent="0.25">
      <c r="A6603" s="66"/>
    </row>
    <row r="6604" spans="1:1" x14ac:dyDescent="0.25">
      <c r="A6604" s="66"/>
    </row>
    <row r="6605" spans="1:1" x14ac:dyDescent="0.25">
      <c r="A6605" s="66"/>
    </row>
    <row r="6606" spans="1:1" x14ac:dyDescent="0.25">
      <c r="A6606" s="66"/>
    </row>
    <row r="6607" spans="1:1" x14ac:dyDescent="0.25">
      <c r="A6607" s="66"/>
    </row>
    <row r="6608" spans="1:1" x14ac:dyDescent="0.25">
      <c r="A6608" s="66"/>
    </row>
    <row r="6609" spans="1:1" x14ac:dyDescent="0.25">
      <c r="A6609" s="66"/>
    </row>
    <row r="6610" spans="1:1" x14ac:dyDescent="0.25">
      <c r="A6610" s="66"/>
    </row>
    <row r="6611" spans="1:1" x14ac:dyDescent="0.25">
      <c r="A6611" s="66"/>
    </row>
    <row r="6612" spans="1:1" x14ac:dyDescent="0.25">
      <c r="A6612" s="66"/>
    </row>
    <row r="6613" spans="1:1" x14ac:dyDescent="0.25">
      <c r="A6613" s="66"/>
    </row>
    <row r="6614" spans="1:1" x14ac:dyDescent="0.25">
      <c r="A6614" s="66"/>
    </row>
    <row r="6615" spans="1:1" x14ac:dyDescent="0.25">
      <c r="A6615" s="66"/>
    </row>
    <row r="6616" spans="1:1" x14ac:dyDescent="0.25">
      <c r="A6616" s="66"/>
    </row>
    <row r="6617" spans="1:1" x14ac:dyDescent="0.25">
      <c r="A6617" s="66"/>
    </row>
    <row r="6618" spans="1:1" x14ac:dyDescent="0.25">
      <c r="A6618" s="66"/>
    </row>
    <row r="6619" spans="1:1" x14ac:dyDescent="0.25">
      <c r="A6619" s="66"/>
    </row>
    <row r="6620" spans="1:1" x14ac:dyDescent="0.25">
      <c r="A6620" s="66"/>
    </row>
    <row r="6621" spans="1:1" x14ac:dyDescent="0.25">
      <c r="A6621" s="66"/>
    </row>
    <row r="6622" spans="1:1" x14ac:dyDescent="0.25">
      <c r="A6622" s="66"/>
    </row>
    <row r="6623" spans="1:1" x14ac:dyDescent="0.25">
      <c r="A6623" s="66"/>
    </row>
    <row r="6624" spans="1:1" x14ac:dyDescent="0.25">
      <c r="A6624" s="66"/>
    </row>
    <row r="6625" spans="1:1" x14ac:dyDescent="0.25">
      <c r="A6625" s="66"/>
    </row>
    <row r="6626" spans="1:1" x14ac:dyDescent="0.25">
      <c r="A6626" s="66"/>
    </row>
    <row r="6627" spans="1:1" x14ac:dyDescent="0.25">
      <c r="A6627" s="66"/>
    </row>
    <row r="6628" spans="1:1" x14ac:dyDescent="0.25">
      <c r="A6628" s="66"/>
    </row>
    <row r="6629" spans="1:1" x14ac:dyDescent="0.25">
      <c r="A6629" s="66"/>
    </row>
    <row r="6630" spans="1:1" x14ac:dyDescent="0.25">
      <c r="A6630" s="66"/>
    </row>
    <row r="6631" spans="1:1" x14ac:dyDescent="0.25">
      <c r="A6631" s="66"/>
    </row>
    <row r="6632" spans="1:1" x14ac:dyDescent="0.25">
      <c r="A6632" s="66"/>
    </row>
    <row r="6633" spans="1:1" x14ac:dyDescent="0.25">
      <c r="A6633" s="66"/>
    </row>
    <row r="6634" spans="1:1" x14ac:dyDescent="0.25">
      <c r="A6634" s="66"/>
    </row>
    <row r="6635" spans="1:1" x14ac:dyDescent="0.25">
      <c r="A6635" s="66"/>
    </row>
    <row r="6636" spans="1:1" x14ac:dyDescent="0.25">
      <c r="A6636" s="66"/>
    </row>
    <row r="6637" spans="1:1" x14ac:dyDescent="0.25">
      <c r="A6637" s="66"/>
    </row>
    <row r="6638" spans="1:1" x14ac:dyDescent="0.25">
      <c r="A6638" s="66"/>
    </row>
    <row r="6639" spans="1:1" x14ac:dyDescent="0.25">
      <c r="A6639" s="66"/>
    </row>
    <row r="6640" spans="1:1" x14ac:dyDescent="0.25">
      <c r="A6640" s="66"/>
    </row>
    <row r="6641" spans="1:1" x14ac:dyDescent="0.25">
      <c r="A6641" s="66"/>
    </row>
    <row r="6642" spans="1:1" x14ac:dyDescent="0.25">
      <c r="A6642" s="66"/>
    </row>
    <row r="6643" spans="1:1" x14ac:dyDescent="0.25">
      <c r="A6643" s="66"/>
    </row>
    <row r="6644" spans="1:1" x14ac:dyDescent="0.25">
      <c r="A6644" s="66"/>
    </row>
    <row r="6645" spans="1:1" x14ac:dyDescent="0.25">
      <c r="A6645" s="66"/>
    </row>
    <row r="6646" spans="1:1" x14ac:dyDescent="0.25">
      <c r="A6646" s="66"/>
    </row>
    <row r="6647" spans="1:1" x14ac:dyDescent="0.25">
      <c r="A6647" s="66"/>
    </row>
    <row r="6648" spans="1:1" x14ac:dyDescent="0.25">
      <c r="A6648" s="66"/>
    </row>
    <row r="6649" spans="1:1" x14ac:dyDescent="0.25">
      <c r="A6649" s="66"/>
    </row>
    <row r="6650" spans="1:1" x14ac:dyDescent="0.25">
      <c r="A6650" s="66"/>
    </row>
    <row r="6651" spans="1:1" x14ac:dyDescent="0.25">
      <c r="A6651" s="66"/>
    </row>
    <row r="6652" spans="1:1" x14ac:dyDescent="0.25">
      <c r="A6652" s="66"/>
    </row>
    <row r="6653" spans="1:1" x14ac:dyDescent="0.25">
      <c r="A6653" s="66"/>
    </row>
    <row r="6654" spans="1:1" x14ac:dyDescent="0.25">
      <c r="A6654" s="66"/>
    </row>
    <row r="6655" spans="1:1" x14ac:dyDescent="0.25">
      <c r="A6655" s="66"/>
    </row>
    <row r="6656" spans="1:1" x14ac:dyDescent="0.25">
      <c r="A6656" s="66"/>
    </row>
    <row r="6657" spans="1:1" x14ac:dyDescent="0.25">
      <c r="A6657" s="66"/>
    </row>
    <row r="6658" spans="1:1" x14ac:dyDescent="0.25">
      <c r="A6658" s="66"/>
    </row>
    <row r="6659" spans="1:1" x14ac:dyDescent="0.25">
      <c r="A6659" s="66"/>
    </row>
    <row r="6660" spans="1:1" x14ac:dyDescent="0.25">
      <c r="A6660" s="66"/>
    </row>
    <row r="6661" spans="1:1" x14ac:dyDescent="0.25">
      <c r="A6661" s="66"/>
    </row>
    <row r="6662" spans="1:1" x14ac:dyDescent="0.25">
      <c r="A6662" s="66"/>
    </row>
    <row r="6663" spans="1:1" x14ac:dyDescent="0.25">
      <c r="A6663" s="66"/>
    </row>
    <row r="6664" spans="1:1" x14ac:dyDescent="0.25">
      <c r="A6664" s="66"/>
    </row>
    <row r="6665" spans="1:1" x14ac:dyDescent="0.25">
      <c r="A6665" s="66"/>
    </row>
    <row r="6666" spans="1:1" x14ac:dyDescent="0.25">
      <c r="A6666" s="66"/>
    </row>
    <row r="6667" spans="1:1" x14ac:dyDescent="0.25">
      <c r="A6667" s="66"/>
    </row>
    <row r="6668" spans="1:1" x14ac:dyDescent="0.25">
      <c r="A6668" s="66"/>
    </row>
    <row r="6669" spans="1:1" x14ac:dyDescent="0.25">
      <c r="A6669" s="66"/>
    </row>
    <row r="6670" spans="1:1" x14ac:dyDescent="0.25">
      <c r="A6670" s="66"/>
    </row>
    <row r="6671" spans="1:1" x14ac:dyDescent="0.25">
      <c r="A6671" s="66"/>
    </row>
    <row r="6672" spans="1:1" x14ac:dyDescent="0.25">
      <c r="A6672" s="66"/>
    </row>
    <row r="6673" spans="1:1" x14ac:dyDescent="0.25">
      <c r="A6673" s="66"/>
    </row>
    <row r="6674" spans="1:1" x14ac:dyDescent="0.25">
      <c r="A6674" s="66"/>
    </row>
    <row r="6675" spans="1:1" x14ac:dyDescent="0.25">
      <c r="A6675" s="66"/>
    </row>
    <row r="6676" spans="1:1" x14ac:dyDescent="0.25">
      <c r="A6676" s="66"/>
    </row>
    <row r="6677" spans="1:1" x14ac:dyDescent="0.25">
      <c r="A6677" s="66"/>
    </row>
    <row r="6678" spans="1:1" x14ac:dyDescent="0.25">
      <c r="A6678" s="66"/>
    </row>
    <row r="6679" spans="1:1" x14ac:dyDescent="0.25">
      <c r="A6679" s="66"/>
    </row>
    <row r="6680" spans="1:1" x14ac:dyDescent="0.25">
      <c r="A6680" s="66"/>
    </row>
    <row r="6681" spans="1:1" x14ac:dyDescent="0.25">
      <c r="A6681" s="66"/>
    </row>
    <row r="6682" spans="1:1" x14ac:dyDescent="0.25">
      <c r="A6682" s="66"/>
    </row>
    <row r="6683" spans="1:1" x14ac:dyDescent="0.25">
      <c r="A6683" s="66"/>
    </row>
    <row r="6684" spans="1:1" x14ac:dyDescent="0.25">
      <c r="A6684" s="66"/>
    </row>
    <row r="6685" spans="1:1" x14ac:dyDescent="0.25">
      <c r="A6685" s="66"/>
    </row>
    <row r="6686" spans="1:1" x14ac:dyDescent="0.25">
      <c r="A6686" s="66"/>
    </row>
    <row r="6687" spans="1:1" x14ac:dyDescent="0.25">
      <c r="A6687" s="66"/>
    </row>
    <row r="6688" spans="1:1" x14ac:dyDescent="0.25">
      <c r="A6688" s="66"/>
    </row>
    <row r="6689" spans="1:1" x14ac:dyDescent="0.25">
      <c r="A6689" s="66"/>
    </row>
    <row r="6690" spans="1:1" x14ac:dyDescent="0.25">
      <c r="A6690" s="66"/>
    </row>
    <row r="6691" spans="1:1" x14ac:dyDescent="0.25">
      <c r="A6691" s="66"/>
    </row>
    <row r="6692" spans="1:1" x14ac:dyDescent="0.25">
      <c r="A6692" s="66"/>
    </row>
    <row r="6693" spans="1:1" x14ac:dyDescent="0.25">
      <c r="A6693" s="66"/>
    </row>
    <row r="6694" spans="1:1" x14ac:dyDescent="0.25">
      <c r="A6694" s="66"/>
    </row>
    <row r="6695" spans="1:1" x14ac:dyDescent="0.25">
      <c r="A6695" s="66"/>
    </row>
    <row r="6696" spans="1:1" x14ac:dyDescent="0.25">
      <c r="A6696" s="66"/>
    </row>
    <row r="6697" spans="1:1" x14ac:dyDescent="0.25">
      <c r="A6697" s="66"/>
    </row>
    <row r="6698" spans="1:1" x14ac:dyDescent="0.25">
      <c r="A6698" s="66"/>
    </row>
    <row r="6699" spans="1:1" x14ac:dyDescent="0.25">
      <c r="A6699" s="66"/>
    </row>
    <row r="6700" spans="1:1" x14ac:dyDescent="0.25">
      <c r="A6700" s="66"/>
    </row>
    <row r="6701" spans="1:1" x14ac:dyDescent="0.25">
      <c r="A6701" s="66"/>
    </row>
    <row r="6702" spans="1:1" x14ac:dyDescent="0.25">
      <c r="A6702" s="66"/>
    </row>
    <row r="6703" spans="1:1" x14ac:dyDescent="0.25">
      <c r="A6703" s="66"/>
    </row>
    <row r="6704" spans="1:1" x14ac:dyDescent="0.25">
      <c r="A6704" s="66"/>
    </row>
    <row r="6705" spans="1:1" x14ac:dyDescent="0.25">
      <c r="A6705" s="66"/>
    </row>
    <row r="6706" spans="1:1" x14ac:dyDescent="0.25">
      <c r="A6706" s="66"/>
    </row>
    <row r="6707" spans="1:1" x14ac:dyDescent="0.25">
      <c r="A6707" s="66"/>
    </row>
    <row r="6708" spans="1:1" x14ac:dyDescent="0.25">
      <c r="A6708" s="66"/>
    </row>
    <row r="6709" spans="1:1" x14ac:dyDescent="0.25">
      <c r="A6709" s="66"/>
    </row>
    <row r="6710" spans="1:1" x14ac:dyDescent="0.25">
      <c r="A6710" s="66"/>
    </row>
    <row r="6711" spans="1:1" x14ac:dyDescent="0.25">
      <c r="A6711" s="66"/>
    </row>
    <row r="6712" spans="1:1" x14ac:dyDescent="0.25">
      <c r="A6712" s="66"/>
    </row>
    <row r="6713" spans="1:1" x14ac:dyDescent="0.25">
      <c r="A6713" s="66"/>
    </row>
    <row r="6714" spans="1:1" x14ac:dyDescent="0.25">
      <c r="A6714" s="66"/>
    </row>
    <row r="6715" spans="1:1" x14ac:dyDescent="0.25">
      <c r="A6715" s="66"/>
    </row>
    <row r="6716" spans="1:1" x14ac:dyDescent="0.25">
      <c r="A6716" s="66"/>
    </row>
    <row r="6717" spans="1:1" x14ac:dyDescent="0.25">
      <c r="A6717" s="66"/>
    </row>
    <row r="6718" spans="1:1" x14ac:dyDescent="0.25">
      <c r="A6718" s="66"/>
    </row>
    <row r="6719" spans="1:1" x14ac:dyDescent="0.25">
      <c r="A6719" s="66"/>
    </row>
    <row r="6720" spans="1:1" x14ac:dyDescent="0.25">
      <c r="A6720" s="66"/>
    </row>
    <row r="6721" spans="1:1" x14ac:dyDescent="0.25">
      <c r="A6721" s="66"/>
    </row>
    <row r="6722" spans="1:1" x14ac:dyDescent="0.25">
      <c r="A6722" s="66"/>
    </row>
    <row r="6723" spans="1:1" x14ac:dyDescent="0.25">
      <c r="A6723" s="66"/>
    </row>
    <row r="6724" spans="1:1" x14ac:dyDescent="0.25">
      <c r="A6724" s="66"/>
    </row>
    <row r="6725" spans="1:1" x14ac:dyDescent="0.25">
      <c r="A6725" s="66"/>
    </row>
    <row r="6726" spans="1:1" x14ac:dyDescent="0.25">
      <c r="A6726" s="66"/>
    </row>
    <row r="6727" spans="1:1" x14ac:dyDescent="0.25">
      <c r="A6727" s="66"/>
    </row>
    <row r="6728" spans="1:1" x14ac:dyDescent="0.25">
      <c r="A6728" s="66"/>
    </row>
    <row r="6729" spans="1:1" x14ac:dyDescent="0.25">
      <c r="A6729" s="66"/>
    </row>
    <row r="6730" spans="1:1" x14ac:dyDescent="0.25">
      <c r="A6730" s="66"/>
    </row>
    <row r="6731" spans="1:1" x14ac:dyDescent="0.25">
      <c r="A6731" s="66"/>
    </row>
    <row r="6732" spans="1:1" x14ac:dyDescent="0.25">
      <c r="A6732" s="66"/>
    </row>
    <row r="6733" spans="1:1" x14ac:dyDescent="0.25">
      <c r="A6733" s="66"/>
    </row>
    <row r="6734" spans="1:1" x14ac:dyDescent="0.25">
      <c r="A6734" s="66"/>
    </row>
    <row r="6735" spans="1:1" x14ac:dyDescent="0.25">
      <c r="A6735" s="66"/>
    </row>
    <row r="6736" spans="1:1" x14ac:dyDescent="0.25">
      <c r="A6736" s="66"/>
    </row>
    <row r="6737" spans="1:1" x14ac:dyDescent="0.25">
      <c r="A6737" s="66"/>
    </row>
    <row r="6738" spans="1:1" x14ac:dyDescent="0.25">
      <c r="A6738" s="66"/>
    </row>
    <row r="6739" spans="1:1" x14ac:dyDescent="0.25">
      <c r="A6739" s="66"/>
    </row>
    <row r="6740" spans="1:1" x14ac:dyDescent="0.25">
      <c r="A6740" s="66"/>
    </row>
    <row r="6741" spans="1:1" x14ac:dyDescent="0.25">
      <c r="A6741" s="66"/>
    </row>
    <row r="6742" spans="1:1" x14ac:dyDescent="0.25">
      <c r="A6742" s="66"/>
    </row>
    <row r="6743" spans="1:1" x14ac:dyDescent="0.25">
      <c r="A6743" s="66"/>
    </row>
    <row r="6744" spans="1:1" x14ac:dyDescent="0.25">
      <c r="A6744" s="66"/>
    </row>
    <row r="6745" spans="1:1" x14ac:dyDescent="0.25">
      <c r="A6745" s="66"/>
    </row>
    <row r="6746" spans="1:1" x14ac:dyDescent="0.25">
      <c r="A6746" s="66"/>
    </row>
    <row r="6747" spans="1:1" x14ac:dyDescent="0.25">
      <c r="A6747" s="66"/>
    </row>
    <row r="6748" spans="1:1" x14ac:dyDescent="0.25">
      <c r="A6748" s="66"/>
    </row>
    <row r="6749" spans="1:1" x14ac:dyDescent="0.25">
      <c r="A6749" s="66"/>
    </row>
    <row r="6750" spans="1:1" x14ac:dyDescent="0.25">
      <c r="A6750" s="66"/>
    </row>
    <row r="6751" spans="1:1" x14ac:dyDescent="0.25">
      <c r="A6751" s="66"/>
    </row>
    <row r="6752" spans="1:1" x14ac:dyDescent="0.25">
      <c r="A6752" s="66"/>
    </row>
    <row r="6753" spans="1:1" x14ac:dyDescent="0.25">
      <c r="A6753" s="66"/>
    </row>
    <row r="6754" spans="1:1" x14ac:dyDescent="0.25">
      <c r="A6754" s="66"/>
    </row>
    <row r="6755" spans="1:1" x14ac:dyDescent="0.25">
      <c r="A6755" s="66"/>
    </row>
    <row r="6756" spans="1:1" x14ac:dyDescent="0.25">
      <c r="A6756" s="66"/>
    </row>
    <row r="6757" spans="1:1" x14ac:dyDescent="0.25">
      <c r="A6757" s="66"/>
    </row>
    <row r="6758" spans="1:1" x14ac:dyDescent="0.25">
      <c r="A6758" s="66"/>
    </row>
    <row r="6759" spans="1:1" x14ac:dyDescent="0.25">
      <c r="A6759" s="66"/>
    </row>
    <row r="6760" spans="1:1" x14ac:dyDescent="0.25">
      <c r="A6760" s="66"/>
    </row>
    <row r="6761" spans="1:1" x14ac:dyDescent="0.25">
      <c r="A6761" s="66"/>
    </row>
    <row r="6762" spans="1:1" x14ac:dyDescent="0.25">
      <c r="A6762" s="66"/>
    </row>
    <row r="6763" spans="1:1" x14ac:dyDescent="0.25">
      <c r="A6763" s="66"/>
    </row>
    <row r="6764" spans="1:1" x14ac:dyDescent="0.25">
      <c r="A6764" s="66"/>
    </row>
    <row r="6765" spans="1:1" x14ac:dyDescent="0.25">
      <c r="A6765" s="66"/>
    </row>
    <row r="6766" spans="1:1" x14ac:dyDescent="0.25">
      <c r="A6766" s="66"/>
    </row>
    <row r="6767" spans="1:1" x14ac:dyDescent="0.25">
      <c r="A6767" s="66"/>
    </row>
    <row r="6768" spans="1:1" x14ac:dyDescent="0.25">
      <c r="A6768" s="66"/>
    </row>
    <row r="6769" spans="1:1" x14ac:dyDescent="0.25">
      <c r="A6769" s="66"/>
    </row>
    <row r="6770" spans="1:1" x14ac:dyDescent="0.25">
      <c r="A6770" s="66"/>
    </row>
    <row r="6771" spans="1:1" x14ac:dyDescent="0.25">
      <c r="A6771" s="66"/>
    </row>
    <row r="6772" spans="1:1" x14ac:dyDescent="0.25">
      <c r="A6772" s="66"/>
    </row>
    <row r="6773" spans="1:1" x14ac:dyDescent="0.25">
      <c r="A6773" s="66"/>
    </row>
    <row r="6774" spans="1:1" x14ac:dyDescent="0.25">
      <c r="A6774" s="66"/>
    </row>
    <row r="6775" spans="1:1" x14ac:dyDescent="0.25">
      <c r="A6775" s="66"/>
    </row>
    <row r="6776" spans="1:1" x14ac:dyDescent="0.25">
      <c r="A6776" s="66"/>
    </row>
    <row r="6777" spans="1:1" x14ac:dyDescent="0.25">
      <c r="A6777" s="66"/>
    </row>
    <row r="6778" spans="1:1" x14ac:dyDescent="0.25">
      <c r="A6778" s="66"/>
    </row>
    <row r="6779" spans="1:1" x14ac:dyDescent="0.25">
      <c r="A6779" s="66"/>
    </row>
    <row r="6780" spans="1:1" x14ac:dyDescent="0.25">
      <c r="A6780" s="66"/>
    </row>
    <row r="6781" spans="1:1" x14ac:dyDescent="0.25">
      <c r="A6781" s="66"/>
    </row>
    <row r="6782" spans="1:1" x14ac:dyDescent="0.25">
      <c r="A6782" s="66"/>
    </row>
    <row r="6783" spans="1:1" x14ac:dyDescent="0.25">
      <c r="A6783" s="66"/>
    </row>
    <row r="6784" spans="1:1" x14ac:dyDescent="0.25">
      <c r="A6784" s="66"/>
    </row>
    <row r="6785" spans="1:1" x14ac:dyDescent="0.25">
      <c r="A6785" s="66"/>
    </row>
    <row r="6786" spans="1:1" x14ac:dyDescent="0.25">
      <c r="A6786" s="66"/>
    </row>
    <row r="6787" spans="1:1" x14ac:dyDescent="0.25">
      <c r="A6787" s="66"/>
    </row>
    <row r="6788" spans="1:1" x14ac:dyDescent="0.25">
      <c r="A6788" s="66"/>
    </row>
    <row r="6789" spans="1:1" x14ac:dyDescent="0.25">
      <c r="A6789" s="66"/>
    </row>
    <row r="6790" spans="1:1" x14ac:dyDescent="0.25">
      <c r="A6790" s="66"/>
    </row>
    <row r="6791" spans="1:1" x14ac:dyDescent="0.25">
      <c r="A6791" s="66"/>
    </row>
    <row r="6792" spans="1:1" x14ac:dyDescent="0.25">
      <c r="A6792" s="66"/>
    </row>
    <row r="6793" spans="1:1" x14ac:dyDescent="0.25">
      <c r="A6793" s="66"/>
    </row>
    <row r="6794" spans="1:1" x14ac:dyDescent="0.25">
      <c r="A6794" s="66"/>
    </row>
    <row r="6795" spans="1:1" x14ac:dyDescent="0.25">
      <c r="A6795" s="66"/>
    </row>
    <row r="6796" spans="1:1" x14ac:dyDescent="0.25">
      <c r="A6796" s="66"/>
    </row>
    <row r="6797" spans="1:1" x14ac:dyDescent="0.25">
      <c r="A6797" s="66"/>
    </row>
    <row r="6798" spans="1:1" x14ac:dyDescent="0.25">
      <c r="A6798" s="66"/>
    </row>
    <row r="6799" spans="1:1" x14ac:dyDescent="0.25">
      <c r="A6799" s="66"/>
    </row>
    <row r="6800" spans="1:1" x14ac:dyDescent="0.25">
      <c r="A6800" s="66"/>
    </row>
    <row r="6801" spans="1:1" x14ac:dyDescent="0.25">
      <c r="A6801" s="66"/>
    </row>
    <row r="6802" spans="1:1" x14ac:dyDescent="0.25">
      <c r="A6802" s="66"/>
    </row>
    <row r="6803" spans="1:1" x14ac:dyDescent="0.25">
      <c r="A6803" s="66"/>
    </row>
    <row r="6804" spans="1:1" x14ac:dyDescent="0.25">
      <c r="A6804" s="66"/>
    </row>
    <row r="6805" spans="1:1" x14ac:dyDescent="0.25">
      <c r="A6805" s="66"/>
    </row>
    <row r="6806" spans="1:1" x14ac:dyDescent="0.25">
      <c r="A6806" s="66"/>
    </row>
    <row r="6807" spans="1:1" x14ac:dyDescent="0.25">
      <c r="A6807" s="66"/>
    </row>
    <row r="6808" spans="1:1" x14ac:dyDescent="0.25">
      <c r="A6808" s="66"/>
    </row>
    <row r="6809" spans="1:1" x14ac:dyDescent="0.25">
      <c r="A6809" s="66"/>
    </row>
    <row r="6810" spans="1:1" x14ac:dyDescent="0.25">
      <c r="A6810" s="66"/>
    </row>
    <row r="6811" spans="1:1" x14ac:dyDescent="0.25">
      <c r="A6811" s="66"/>
    </row>
    <row r="6812" spans="1:1" x14ac:dyDescent="0.25">
      <c r="A6812" s="66"/>
    </row>
    <row r="6813" spans="1:1" x14ac:dyDescent="0.25">
      <c r="A6813" s="66"/>
    </row>
    <row r="6814" spans="1:1" x14ac:dyDescent="0.25">
      <c r="A6814" s="66"/>
    </row>
    <row r="6815" spans="1:1" x14ac:dyDescent="0.25">
      <c r="A6815" s="66"/>
    </row>
    <row r="6816" spans="1:1" x14ac:dyDescent="0.25">
      <c r="A6816" s="66"/>
    </row>
    <row r="6817" spans="1:1" x14ac:dyDescent="0.25">
      <c r="A6817" s="66"/>
    </row>
    <row r="6818" spans="1:1" x14ac:dyDescent="0.25">
      <c r="A6818" s="66"/>
    </row>
    <row r="6819" spans="1:1" x14ac:dyDescent="0.25">
      <c r="A6819" s="66"/>
    </row>
    <row r="6820" spans="1:1" x14ac:dyDescent="0.25">
      <c r="A6820" s="66"/>
    </row>
    <row r="6821" spans="1:1" x14ac:dyDescent="0.25">
      <c r="A6821" s="66"/>
    </row>
    <row r="6822" spans="1:1" x14ac:dyDescent="0.25">
      <c r="A6822" s="66"/>
    </row>
    <row r="6823" spans="1:1" x14ac:dyDescent="0.25">
      <c r="A6823" s="66"/>
    </row>
    <row r="6824" spans="1:1" x14ac:dyDescent="0.25">
      <c r="A6824" s="66"/>
    </row>
    <row r="6825" spans="1:1" x14ac:dyDescent="0.25">
      <c r="A6825" s="66"/>
    </row>
    <row r="6826" spans="1:1" x14ac:dyDescent="0.25">
      <c r="A6826" s="66"/>
    </row>
    <row r="6827" spans="1:1" x14ac:dyDescent="0.25">
      <c r="A6827" s="66"/>
    </row>
    <row r="6828" spans="1:1" x14ac:dyDescent="0.25">
      <c r="A6828" s="66"/>
    </row>
    <row r="6829" spans="1:1" x14ac:dyDescent="0.25">
      <c r="A6829" s="66"/>
    </row>
    <row r="6830" spans="1:1" x14ac:dyDescent="0.25">
      <c r="A6830" s="66"/>
    </row>
    <row r="6831" spans="1:1" x14ac:dyDescent="0.25">
      <c r="A6831" s="66"/>
    </row>
    <row r="6832" spans="1:1" x14ac:dyDescent="0.25">
      <c r="A6832" s="66"/>
    </row>
    <row r="6833" spans="1:1" x14ac:dyDescent="0.25">
      <c r="A6833" s="66"/>
    </row>
    <row r="6834" spans="1:1" x14ac:dyDescent="0.25">
      <c r="A6834" s="66"/>
    </row>
    <row r="6835" spans="1:1" x14ac:dyDescent="0.25">
      <c r="A6835" s="66"/>
    </row>
    <row r="6836" spans="1:1" x14ac:dyDescent="0.25">
      <c r="A6836" s="66"/>
    </row>
    <row r="6837" spans="1:1" x14ac:dyDescent="0.25">
      <c r="A6837" s="66"/>
    </row>
    <row r="6838" spans="1:1" x14ac:dyDescent="0.25">
      <c r="A6838" s="66"/>
    </row>
    <row r="6839" spans="1:1" x14ac:dyDescent="0.25">
      <c r="A6839" s="66"/>
    </row>
    <row r="6840" spans="1:1" x14ac:dyDescent="0.25">
      <c r="A6840" s="66"/>
    </row>
    <row r="6841" spans="1:1" x14ac:dyDescent="0.25">
      <c r="A6841" s="66"/>
    </row>
    <row r="6842" spans="1:1" x14ac:dyDescent="0.25">
      <c r="A6842" s="66"/>
    </row>
    <row r="6843" spans="1:1" x14ac:dyDescent="0.25">
      <c r="A6843" s="66"/>
    </row>
    <row r="6844" spans="1:1" x14ac:dyDescent="0.25">
      <c r="A6844" s="66"/>
    </row>
    <row r="6845" spans="1:1" x14ac:dyDescent="0.25">
      <c r="A6845" s="66"/>
    </row>
    <row r="6846" spans="1:1" x14ac:dyDescent="0.25">
      <c r="A6846" s="66"/>
    </row>
    <row r="6847" spans="1:1" x14ac:dyDescent="0.25">
      <c r="A6847" s="66"/>
    </row>
    <row r="6848" spans="1:1" x14ac:dyDescent="0.25">
      <c r="A6848" s="66"/>
    </row>
    <row r="6849" spans="1:1" x14ac:dyDescent="0.25">
      <c r="A6849" s="66"/>
    </row>
    <row r="6850" spans="1:1" x14ac:dyDescent="0.25">
      <c r="A6850" s="66"/>
    </row>
    <row r="6851" spans="1:1" x14ac:dyDescent="0.25">
      <c r="A6851" s="66"/>
    </row>
    <row r="6852" spans="1:1" x14ac:dyDescent="0.25">
      <c r="A6852" s="66"/>
    </row>
    <row r="6853" spans="1:1" x14ac:dyDescent="0.25">
      <c r="A6853" s="66"/>
    </row>
    <row r="6854" spans="1:1" x14ac:dyDescent="0.25">
      <c r="A6854" s="66"/>
    </row>
    <row r="6855" spans="1:1" x14ac:dyDescent="0.25">
      <c r="A6855" s="66"/>
    </row>
    <row r="6856" spans="1:1" x14ac:dyDescent="0.25">
      <c r="A6856" s="66"/>
    </row>
    <row r="6857" spans="1:1" x14ac:dyDescent="0.25">
      <c r="A6857" s="66"/>
    </row>
    <row r="6858" spans="1:1" x14ac:dyDescent="0.25">
      <c r="A6858" s="66"/>
    </row>
    <row r="6859" spans="1:1" x14ac:dyDescent="0.25">
      <c r="A6859" s="66"/>
    </row>
    <row r="6860" spans="1:1" x14ac:dyDescent="0.25">
      <c r="A6860" s="66"/>
    </row>
    <row r="6861" spans="1:1" x14ac:dyDescent="0.25">
      <c r="A6861" s="66"/>
    </row>
    <row r="6862" spans="1:1" x14ac:dyDescent="0.25">
      <c r="A6862" s="66"/>
    </row>
    <row r="6863" spans="1:1" x14ac:dyDescent="0.25">
      <c r="A6863" s="66"/>
    </row>
    <row r="6864" spans="1:1" x14ac:dyDescent="0.25">
      <c r="A6864" s="66"/>
    </row>
    <row r="6865" spans="1:1" x14ac:dyDescent="0.25">
      <c r="A6865" s="66"/>
    </row>
    <row r="6866" spans="1:1" x14ac:dyDescent="0.25">
      <c r="A6866" s="66"/>
    </row>
    <row r="6867" spans="1:1" x14ac:dyDescent="0.25">
      <c r="A6867" s="66"/>
    </row>
    <row r="6868" spans="1:1" x14ac:dyDescent="0.25">
      <c r="A6868" s="66"/>
    </row>
    <row r="6869" spans="1:1" x14ac:dyDescent="0.25">
      <c r="A6869" s="66"/>
    </row>
    <row r="6870" spans="1:1" x14ac:dyDescent="0.25">
      <c r="A6870" s="66"/>
    </row>
    <row r="6871" spans="1:1" x14ac:dyDescent="0.25">
      <c r="A6871" s="66"/>
    </row>
    <row r="6872" spans="1:1" x14ac:dyDescent="0.25">
      <c r="A6872" s="66"/>
    </row>
    <row r="6873" spans="1:1" x14ac:dyDescent="0.25">
      <c r="A6873" s="66"/>
    </row>
    <row r="6874" spans="1:1" x14ac:dyDescent="0.25">
      <c r="A6874" s="66"/>
    </row>
    <row r="6875" spans="1:1" x14ac:dyDescent="0.25">
      <c r="A6875" s="66"/>
    </row>
    <row r="6876" spans="1:1" x14ac:dyDescent="0.25">
      <c r="A6876" s="66"/>
    </row>
    <row r="6877" spans="1:1" x14ac:dyDescent="0.25">
      <c r="A6877" s="66"/>
    </row>
    <row r="6878" spans="1:1" x14ac:dyDescent="0.25">
      <c r="A6878" s="66"/>
    </row>
    <row r="6879" spans="1:1" x14ac:dyDescent="0.25">
      <c r="A6879" s="66"/>
    </row>
    <row r="6880" spans="1:1" x14ac:dyDescent="0.25">
      <c r="A6880" s="66"/>
    </row>
    <row r="6881" spans="1:1" x14ac:dyDescent="0.25">
      <c r="A6881" s="66"/>
    </row>
    <row r="6882" spans="1:1" x14ac:dyDescent="0.25">
      <c r="A6882" s="66"/>
    </row>
    <row r="6883" spans="1:1" x14ac:dyDescent="0.25">
      <c r="A6883" s="66"/>
    </row>
    <row r="6884" spans="1:1" x14ac:dyDescent="0.25">
      <c r="A6884" s="66"/>
    </row>
    <row r="6885" spans="1:1" x14ac:dyDescent="0.25">
      <c r="A6885" s="66"/>
    </row>
    <row r="6886" spans="1:1" x14ac:dyDescent="0.25">
      <c r="A6886" s="66"/>
    </row>
    <row r="6887" spans="1:1" x14ac:dyDescent="0.25">
      <c r="A6887" s="66"/>
    </row>
    <row r="6888" spans="1:1" x14ac:dyDescent="0.25">
      <c r="A6888" s="66"/>
    </row>
    <row r="6889" spans="1:1" x14ac:dyDescent="0.25">
      <c r="A6889" s="66"/>
    </row>
    <row r="6890" spans="1:1" x14ac:dyDescent="0.25">
      <c r="A6890" s="66"/>
    </row>
    <row r="6891" spans="1:1" x14ac:dyDescent="0.25">
      <c r="A6891" s="66"/>
    </row>
    <row r="6892" spans="1:1" x14ac:dyDescent="0.25">
      <c r="A6892" s="66"/>
    </row>
    <row r="6893" spans="1:1" x14ac:dyDescent="0.25">
      <c r="A6893" s="66"/>
    </row>
    <row r="6894" spans="1:1" x14ac:dyDescent="0.25">
      <c r="A6894" s="66"/>
    </row>
    <row r="6895" spans="1:1" x14ac:dyDescent="0.25">
      <c r="A6895" s="66"/>
    </row>
    <row r="6896" spans="1:1" x14ac:dyDescent="0.25">
      <c r="A6896" s="66"/>
    </row>
    <row r="6897" spans="1:1" x14ac:dyDescent="0.25">
      <c r="A6897" s="66"/>
    </row>
    <row r="6898" spans="1:1" x14ac:dyDescent="0.25">
      <c r="A6898" s="66"/>
    </row>
    <row r="6899" spans="1:1" x14ac:dyDescent="0.25">
      <c r="A6899" s="66"/>
    </row>
    <row r="6900" spans="1:1" x14ac:dyDescent="0.25">
      <c r="A6900" s="66"/>
    </row>
    <row r="6901" spans="1:1" x14ac:dyDescent="0.25">
      <c r="A6901" s="66"/>
    </row>
    <row r="6902" spans="1:1" x14ac:dyDescent="0.25">
      <c r="A6902" s="66"/>
    </row>
    <row r="6903" spans="1:1" x14ac:dyDescent="0.25">
      <c r="A6903" s="66"/>
    </row>
    <row r="6904" spans="1:1" x14ac:dyDescent="0.25">
      <c r="A6904" s="66"/>
    </row>
    <row r="6905" spans="1:1" x14ac:dyDescent="0.25">
      <c r="A6905" s="66"/>
    </row>
    <row r="6906" spans="1:1" x14ac:dyDescent="0.25">
      <c r="A6906" s="66"/>
    </row>
    <row r="6907" spans="1:1" x14ac:dyDescent="0.25">
      <c r="A6907" s="66"/>
    </row>
    <row r="6908" spans="1:1" x14ac:dyDescent="0.25">
      <c r="A6908" s="66"/>
    </row>
    <row r="6909" spans="1:1" x14ac:dyDescent="0.25">
      <c r="A6909" s="66"/>
    </row>
    <row r="6910" spans="1:1" x14ac:dyDescent="0.25">
      <c r="A6910" s="66"/>
    </row>
    <row r="6911" spans="1:1" x14ac:dyDescent="0.25">
      <c r="A6911" s="66"/>
    </row>
    <row r="6912" spans="1:1" x14ac:dyDescent="0.25">
      <c r="A6912" s="66"/>
    </row>
    <row r="6913" spans="1:1" x14ac:dyDescent="0.25">
      <c r="A6913" s="66"/>
    </row>
    <row r="6914" spans="1:1" x14ac:dyDescent="0.25">
      <c r="A6914" s="66"/>
    </row>
    <row r="6915" spans="1:1" x14ac:dyDescent="0.25">
      <c r="A6915" s="66"/>
    </row>
    <row r="6916" spans="1:1" x14ac:dyDescent="0.25">
      <c r="A6916" s="66"/>
    </row>
    <row r="6917" spans="1:1" x14ac:dyDescent="0.25">
      <c r="A6917" s="66"/>
    </row>
    <row r="6918" spans="1:1" x14ac:dyDescent="0.25">
      <c r="A6918" s="66"/>
    </row>
    <row r="6919" spans="1:1" x14ac:dyDescent="0.25">
      <c r="A6919" s="66"/>
    </row>
    <row r="6920" spans="1:1" x14ac:dyDescent="0.25">
      <c r="A6920" s="66"/>
    </row>
    <row r="6921" spans="1:1" x14ac:dyDescent="0.25">
      <c r="A6921" s="66"/>
    </row>
    <row r="6922" spans="1:1" x14ac:dyDescent="0.25">
      <c r="A6922" s="66"/>
    </row>
    <row r="6923" spans="1:1" x14ac:dyDescent="0.25">
      <c r="A6923" s="66"/>
    </row>
    <row r="6924" spans="1:1" x14ac:dyDescent="0.25">
      <c r="A6924" s="66"/>
    </row>
    <row r="6925" spans="1:1" x14ac:dyDescent="0.25">
      <c r="A6925" s="66"/>
    </row>
    <row r="6926" spans="1:1" x14ac:dyDescent="0.25">
      <c r="A6926" s="66"/>
    </row>
    <row r="6927" spans="1:1" x14ac:dyDescent="0.25">
      <c r="A6927" s="66"/>
    </row>
    <row r="6928" spans="1:1" x14ac:dyDescent="0.25">
      <c r="A6928" s="66"/>
    </row>
    <row r="6929" spans="1:1" x14ac:dyDescent="0.25">
      <c r="A6929" s="66"/>
    </row>
    <row r="6930" spans="1:1" x14ac:dyDescent="0.25">
      <c r="A6930" s="66"/>
    </row>
    <row r="6931" spans="1:1" x14ac:dyDescent="0.25">
      <c r="A6931" s="66"/>
    </row>
    <row r="6932" spans="1:1" x14ac:dyDescent="0.25">
      <c r="A6932" s="66"/>
    </row>
    <row r="6933" spans="1:1" x14ac:dyDescent="0.25">
      <c r="A6933" s="66"/>
    </row>
    <row r="6934" spans="1:1" x14ac:dyDescent="0.25">
      <c r="A6934" s="66"/>
    </row>
    <row r="6935" spans="1:1" x14ac:dyDescent="0.25">
      <c r="A6935" s="66"/>
    </row>
    <row r="6936" spans="1:1" x14ac:dyDescent="0.25">
      <c r="A6936" s="66"/>
    </row>
    <row r="6937" spans="1:1" x14ac:dyDescent="0.25">
      <c r="A6937" s="66"/>
    </row>
    <row r="6938" spans="1:1" x14ac:dyDescent="0.25">
      <c r="A6938" s="66"/>
    </row>
    <row r="6939" spans="1:1" x14ac:dyDescent="0.25">
      <c r="A6939" s="66"/>
    </row>
    <row r="6940" spans="1:1" x14ac:dyDescent="0.25">
      <c r="A6940" s="66"/>
    </row>
    <row r="6941" spans="1:1" x14ac:dyDescent="0.25">
      <c r="A6941" s="66"/>
    </row>
    <row r="6942" spans="1:1" x14ac:dyDescent="0.25">
      <c r="A6942" s="66"/>
    </row>
    <row r="6943" spans="1:1" x14ac:dyDescent="0.25">
      <c r="A6943" s="66"/>
    </row>
    <row r="6944" spans="1:1" x14ac:dyDescent="0.25">
      <c r="A6944" s="66"/>
    </row>
    <row r="6945" spans="1:1" x14ac:dyDescent="0.25">
      <c r="A6945" s="66"/>
    </row>
    <row r="6946" spans="1:1" x14ac:dyDescent="0.25">
      <c r="A6946" s="66"/>
    </row>
    <row r="6947" spans="1:1" x14ac:dyDescent="0.25">
      <c r="A6947" s="66"/>
    </row>
    <row r="6948" spans="1:1" x14ac:dyDescent="0.25">
      <c r="A6948" s="66"/>
    </row>
    <row r="6949" spans="1:1" x14ac:dyDescent="0.25">
      <c r="A6949" s="66"/>
    </row>
    <row r="6950" spans="1:1" x14ac:dyDescent="0.25">
      <c r="A6950" s="66"/>
    </row>
    <row r="6951" spans="1:1" x14ac:dyDescent="0.25">
      <c r="A6951" s="66"/>
    </row>
    <row r="6952" spans="1:1" x14ac:dyDescent="0.25">
      <c r="A6952" s="66"/>
    </row>
    <row r="6953" spans="1:1" x14ac:dyDescent="0.25">
      <c r="A6953" s="66"/>
    </row>
    <row r="6954" spans="1:1" x14ac:dyDescent="0.25">
      <c r="A6954" s="66"/>
    </row>
    <row r="6955" spans="1:1" x14ac:dyDescent="0.25">
      <c r="A6955" s="66"/>
    </row>
    <row r="6956" spans="1:1" x14ac:dyDescent="0.25">
      <c r="A6956" s="66"/>
    </row>
    <row r="6957" spans="1:1" x14ac:dyDescent="0.25">
      <c r="A6957" s="66"/>
    </row>
    <row r="6958" spans="1:1" x14ac:dyDescent="0.25">
      <c r="A6958" s="66"/>
    </row>
    <row r="6959" spans="1:1" x14ac:dyDescent="0.25">
      <c r="A6959" s="66"/>
    </row>
    <row r="6960" spans="1:1" x14ac:dyDescent="0.25">
      <c r="A6960" s="66"/>
    </row>
    <row r="6961" spans="1:1" x14ac:dyDescent="0.25">
      <c r="A6961" s="66"/>
    </row>
    <row r="6962" spans="1:1" x14ac:dyDescent="0.25">
      <c r="A6962" s="66"/>
    </row>
    <row r="6963" spans="1:1" x14ac:dyDescent="0.25">
      <c r="A6963" s="66"/>
    </row>
    <row r="6964" spans="1:1" x14ac:dyDescent="0.25">
      <c r="A6964" s="66"/>
    </row>
    <row r="6965" spans="1:1" x14ac:dyDescent="0.25">
      <c r="A6965" s="66"/>
    </row>
    <row r="6966" spans="1:1" x14ac:dyDescent="0.25">
      <c r="A6966" s="66"/>
    </row>
    <row r="6967" spans="1:1" x14ac:dyDescent="0.25">
      <c r="A6967" s="66"/>
    </row>
    <row r="6968" spans="1:1" x14ac:dyDescent="0.25">
      <c r="A6968" s="66"/>
    </row>
    <row r="6969" spans="1:1" x14ac:dyDescent="0.25">
      <c r="A6969" s="66"/>
    </row>
    <row r="6970" spans="1:1" x14ac:dyDescent="0.25">
      <c r="A6970" s="66"/>
    </row>
    <row r="6971" spans="1:1" x14ac:dyDescent="0.25">
      <c r="A6971" s="66"/>
    </row>
    <row r="6972" spans="1:1" x14ac:dyDescent="0.25">
      <c r="A6972" s="66"/>
    </row>
    <row r="6973" spans="1:1" x14ac:dyDescent="0.25">
      <c r="A6973" s="66"/>
    </row>
    <row r="6974" spans="1:1" x14ac:dyDescent="0.25">
      <c r="A6974" s="66"/>
    </row>
    <row r="6975" spans="1:1" x14ac:dyDescent="0.25">
      <c r="A6975" s="66"/>
    </row>
    <row r="6976" spans="1:1" x14ac:dyDescent="0.25">
      <c r="A6976" s="66"/>
    </row>
    <row r="6977" spans="1:1" x14ac:dyDescent="0.25">
      <c r="A6977" s="66"/>
    </row>
    <row r="6978" spans="1:1" x14ac:dyDescent="0.25">
      <c r="A6978" s="66"/>
    </row>
    <row r="6979" spans="1:1" x14ac:dyDescent="0.25">
      <c r="A6979" s="66"/>
    </row>
    <row r="6980" spans="1:1" x14ac:dyDescent="0.25">
      <c r="A6980" s="66"/>
    </row>
    <row r="6981" spans="1:1" x14ac:dyDescent="0.25">
      <c r="A6981" s="66"/>
    </row>
    <row r="6982" spans="1:1" x14ac:dyDescent="0.25">
      <c r="A6982" s="66"/>
    </row>
    <row r="6983" spans="1:1" x14ac:dyDescent="0.25">
      <c r="A6983" s="66"/>
    </row>
    <row r="6984" spans="1:1" x14ac:dyDescent="0.25">
      <c r="A6984" s="66"/>
    </row>
    <row r="6985" spans="1:1" x14ac:dyDescent="0.25">
      <c r="A6985" s="66"/>
    </row>
    <row r="6986" spans="1:1" x14ac:dyDescent="0.25">
      <c r="A6986" s="66"/>
    </row>
    <row r="6987" spans="1:1" x14ac:dyDescent="0.25">
      <c r="A6987" s="66"/>
    </row>
    <row r="6988" spans="1:1" x14ac:dyDescent="0.25">
      <c r="A6988" s="66"/>
    </row>
    <row r="6989" spans="1:1" x14ac:dyDescent="0.25">
      <c r="A6989" s="66"/>
    </row>
    <row r="6990" spans="1:1" x14ac:dyDescent="0.25">
      <c r="A6990" s="66"/>
    </row>
    <row r="6991" spans="1:1" x14ac:dyDescent="0.25">
      <c r="A6991" s="66"/>
    </row>
    <row r="6992" spans="1:1" x14ac:dyDescent="0.25">
      <c r="A6992" s="66"/>
    </row>
    <row r="6993" spans="1:1" x14ac:dyDescent="0.25">
      <c r="A6993" s="66"/>
    </row>
    <row r="6994" spans="1:1" x14ac:dyDescent="0.25">
      <c r="A6994" s="66"/>
    </row>
    <row r="6995" spans="1:1" x14ac:dyDescent="0.25">
      <c r="A6995" s="66"/>
    </row>
    <row r="6996" spans="1:1" x14ac:dyDescent="0.25">
      <c r="A6996" s="66"/>
    </row>
    <row r="6997" spans="1:1" x14ac:dyDescent="0.25">
      <c r="A6997" s="66"/>
    </row>
    <row r="6998" spans="1:1" x14ac:dyDescent="0.25">
      <c r="A6998" s="66"/>
    </row>
    <row r="6999" spans="1:1" x14ac:dyDescent="0.25">
      <c r="A6999" s="66"/>
    </row>
    <row r="7000" spans="1:1" x14ac:dyDescent="0.25">
      <c r="A7000" s="66"/>
    </row>
    <row r="7001" spans="1:1" x14ac:dyDescent="0.25">
      <c r="A7001" s="66"/>
    </row>
    <row r="7002" spans="1:1" x14ac:dyDescent="0.25">
      <c r="A7002" s="66"/>
    </row>
    <row r="7003" spans="1:1" x14ac:dyDescent="0.25">
      <c r="A7003" s="66"/>
    </row>
    <row r="7004" spans="1:1" x14ac:dyDescent="0.25">
      <c r="A7004" s="66"/>
    </row>
    <row r="7005" spans="1:1" x14ac:dyDescent="0.25">
      <c r="A7005" s="66"/>
    </row>
    <row r="7006" spans="1:1" x14ac:dyDescent="0.25">
      <c r="A7006" s="66"/>
    </row>
    <row r="7007" spans="1:1" x14ac:dyDescent="0.25">
      <c r="A7007" s="66"/>
    </row>
    <row r="7008" spans="1:1" x14ac:dyDescent="0.25">
      <c r="A7008" s="66"/>
    </row>
    <row r="7009" spans="1:1" x14ac:dyDescent="0.25">
      <c r="A7009" s="66"/>
    </row>
    <row r="7010" spans="1:1" x14ac:dyDescent="0.25">
      <c r="A7010" s="66"/>
    </row>
    <row r="7011" spans="1:1" x14ac:dyDescent="0.25">
      <c r="A7011" s="66"/>
    </row>
    <row r="7012" spans="1:1" x14ac:dyDescent="0.25">
      <c r="A7012" s="66"/>
    </row>
    <row r="7013" spans="1:1" x14ac:dyDescent="0.25">
      <c r="A7013" s="66"/>
    </row>
    <row r="7014" spans="1:1" x14ac:dyDescent="0.25">
      <c r="A7014" s="66"/>
    </row>
    <row r="7015" spans="1:1" x14ac:dyDescent="0.25">
      <c r="A7015" s="66"/>
    </row>
    <row r="7016" spans="1:1" x14ac:dyDescent="0.25">
      <c r="A7016" s="66"/>
    </row>
    <row r="7017" spans="1:1" x14ac:dyDescent="0.25">
      <c r="A7017" s="66"/>
    </row>
    <row r="7018" spans="1:1" x14ac:dyDescent="0.25">
      <c r="A7018" s="66"/>
    </row>
    <row r="7019" spans="1:1" x14ac:dyDescent="0.25">
      <c r="A7019" s="66"/>
    </row>
    <row r="7020" spans="1:1" x14ac:dyDescent="0.25">
      <c r="A7020" s="66"/>
    </row>
    <row r="7021" spans="1:1" x14ac:dyDescent="0.25">
      <c r="A7021" s="66"/>
    </row>
    <row r="7022" spans="1:1" x14ac:dyDescent="0.25">
      <c r="A7022" s="66"/>
    </row>
    <row r="7023" spans="1:1" x14ac:dyDescent="0.25">
      <c r="A7023" s="66"/>
    </row>
    <row r="7024" spans="1:1" x14ac:dyDescent="0.25">
      <c r="A7024" s="66"/>
    </row>
    <row r="7025" spans="1:1" x14ac:dyDescent="0.25">
      <c r="A7025" s="66"/>
    </row>
    <row r="7026" spans="1:1" x14ac:dyDescent="0.25">
      <c r="A7026" s="66"/>
    </row>
    <row r="7027" spans="1:1" x14ac:dyDescent="0.25">
      <c r="A7027" s="66"/>
    </row>
    <row r="7028" spans="1:1" x14ac:dyDescent="0.25">
      <c r="A7028" s="66"/>
    </row>
    <row r="7029" spans="1:1" x14ac:dyDescent="0.25">
      <c r="A7029" s="66"/>
    </row>
    <row r="7030" spans="1:1" x14ac:dyDescent="0.25">
      <c r="A7030" s="66"/>
    </row>
    <row r="7031" spans="1:1" x14ac:dyDescent="0.25">
      <c r="A7031" s="66"/>
    </row>
    <row r="7032" spans="1:1" x14ac:dyDescent="0.25">
      <c r="A7032" s="66"/>
    </row>
    <row r="7033" spans="1:1" x14ac:dyDescent="0.25">
      <c r="A7033" s="66"/>
    </row>
    <row r="7034" spans="1:1" x14ac:dyDescent="0.25">
      <c r="A7034" s="66"/>
    </row>
    <row r="7035" spans="1:1" x14ac:dyDescent="0.25">
      <c r="A7035" s="66"/>
    </row>
    <row r="7036" spans="1:1" x14ac:dyDescent="0.25">
      <c r="A7036" s="66"/>
    </row>
    <row r="7037" spans="1:1" x14ac:dyDescent="0.25">
      <c r="A7037" s="66"/>
    </row>
    <row r="7038" spans="1:1" x14ac:dyDescent="0.25">
      <c r="A7038" s="66"/>
    </row>
    <row r="7039" spans="1:1" x14ac:dyDescent="0.25">
      <c r="A7039" s="66"/>
    </row>
    <row r="7040" spans="1:1" x14ac:dyDescent="0.25">
      <c r="A7040" s="66"/>
    </row>
    <row r="7041" spans="1:1" x14ac:dyDescent="0.25">
      <c r="A7041" s="66"/>
    </row>
    <row r="7042" spans="1:1" x14ac:dyDescent="0.25">
      <c r="A7042" s="66"/>
    </row>
    <row r="7043" spans="1:1" x14ac:dyDescent="0.25">
      <c r="A7043" s="66"/>
    </row>
    <row r="7044" spans="1:1" x14ac:dyDescent="0.25">
      <c r="A7044" s="66"/>
    </row>
    <row r="7045" spans="1:1" x14ac:dyDescent="0.25">
      <c r="A7045" s="66"/>
    </row>
    <row r="7046" spans="1:1" x14ac:dyDescent="0.25">
      <c r="A7046" s="66"/>
    </row>
    <row r="7047" spans="1:1" x14ac:dyDescent="0.25">
      <c r="A7047" s="66"/>
    </row>
    <row r="7048" spans="1:1" x14ac:dyDescent="0.25">
      <c r="A7048" s="66"/>
    </row>
    <row r="7049" spans="1:1" x14ac:dyDescent="0.25">
      <c r="A7049" s="66"/>
    </row>
    <row r="7050" spans="1:1" x14ac:dyDescent="0.25">
      <c r="A7050" s="66"/>
    </row>
    <row r="7051" spans="1:1" x14ac:dyDescent="0.25">
      <c r="A7051" s="66"/>
    </row>
    <row r="7052" spans="1:1" x14ac:dyDescent="0.25">
      <c r="A7052" s="66"/>
    </row>
    <row r="7053" spans="1:1" x14ac:dyDescent="0.25">
      <c r="A7053" s="66"/>
    </row>
    <row r="7054" spans="1:1" x14ac:dyDescent="0.25">
      <c r="A7054" s="66"/>
    </row>
    <row r="7055" spans="1:1" x14ac:dyDescent="0.25">
      <c r="A7055" s="66"/>
    </row>
    <row r="7056" spans="1:1" x14ac:dyDescent="0.25">
      <c r="A7056" s="66"/>
    </row>
    <row r="7057" spans="1:1" x14ac:dyDescent="0.25">
      <c r="A7057" s="66"/>
    </row>
    <row r="7058" spans="1:1" x14ac:dyDescent="0.25">
      <c r="A7058" s="66"/>
    </row>
    <row r="7059" spans="1:1" x14ac:dyDescent="0.25">
      <c r="A7059" s="66"/>
    </row>
    <row r="7060" spans="1:1" x14ac:dyDescent="0.25">
      <c r="A7060" s="66"/>
    </row>
    <row r="7061" spans="1:1" x14ac:dyDescent="0.25">
      <c r="A7061" s="66"/>
    </row>
    <row r="7062" spans="1:1" x14ac:dyDescent="0.25">
      <c r="A7062" s="66"/>
    </row>
    <row r="7063" spans="1:1" x14ac:dyDescent="0.25">
      <c r="A7063" s="66"/>
    </row>
    <row r="7064" spans="1:1" x14ac:dyDescent="0.25">
      <c r="A7064" s="66"/>
    </row>
    <row r="7065" spans="1:1" x14ac:dyDescent="0.25">
      <c r="A7065" s="66"/>
    </row>
    <row r="7066" spans="1:1" x14ac:dyDescent="0.25">
      <c r="A7066" s="66"/>
    </row>
    <row r="7067" spans="1:1" x14ac:dyDescent="0.25">
      <c r="A7067" s="66"/>
    </row>
    <row r="7068" spans="1:1" x14ac:dyDescent="0.25">
      <c r="A7068" s="66"/>
    </row>
    <row r="7069" spans="1:1" x14ac:dyDescent="0.25">
      <c r="A7069" s="66"/>
    </row>
    <row r="7070" spans="1:1" x14ac:dyDescent="0.25">
      <c r="A7070" s="66"/>
    </row>
    <row r="7071" spans="1:1" x14ac:dyDescent="0.25">
      <c r="A7071" s="66"/>
    </row>
    <row r="7072" spans="1:1" x14ac:dyDescent="0.25">
      <c r="A7072" s="66"/>
    </row>
    <row r="7073" spans="1:1" x14ac:dyDescent="0.25">
      <c r="A7073" s="66"/>
    </row>
    <row r="7074" spans="1:1" x14ac:dyDescent="0.25">
      <c r="A7074" s="66"/>
    </row>
    <row r="7075" spans="1:1" x14ac:dyDescent="0.25">
      <c r="A7075" s="66"/>
    </row>
    <row r="7076" spans="1:1" x14ac:dyDescent="0.25">
      <c r="A7076" s="66"/>
    </row>
    <row r="7077" spans="1:1" x14ac:dyDescent="0.25">
      <c r="A7077" s="66"/>
    </row>
    <row r="7078" spans="1:1" x14ac:dyDescent="0.25">
      <c r="A7078" s="66"/>
    </row>
    <row r="7079" spans="1:1" x14ac:dyDescent="0.25">
      <c r="A7079" s="66"/>
    </row>
    <row r="7080" spans="1:1" x14ac:dyDescent="0.25">
      <c r="A7080" s="66"/>
    </row>
    <row r="7081" spans="1:1" x14ac:dyDescent="0.25">
      <c r="A7081" s="66"/>
    </row>
    <row r="7082" spans="1:1" x14ac:dyDescent="0.25">
      <c r="A7082" s="66"/>
    </row>
    <row r="7083" spans="1:1" x14ac:dyDescent="0.25">
      <c r="A7083" s="66"/>
    </row>
    <row r="7084" spans="1:1" x14ac:dyDescent="0.25">
      <c r="A7084" s="66"/>
    </row>
    <row r="7085" spans="1:1" x14ac:dyDescent="0.25">
      <c r="A7085" s="66"/>
    </row>
    <row r="7086" spans="1:1" x14ac:dyDescent="0.25">
      <c r="A7086" s="66"/>
    </row>
    <row r="7087" spans="1:1" x14ac:dyDescent="0.25">
      <c r="A7087" s="66"/>
    </row>
    <row r="7088" spans="1:1" x14ac:dyDescent="0.25">
      <c r="A7088" s="66"/>
    </row>
    <row r="7089" spans="1:1" x14ac:dyDescent="0.25">
      <c r="A7089" s="66"/>
    </row>
    <row r="7090" spans="1:1" x14ac:dyDescent="0.25">
      <c r="A7090" s="66"/>
    </row>
    <row r="7091" spans="1:1" x14ac:dyDescent="0.25">
      <c r="A7091" s="66"/>
    </row>
    <row r="7092" spans="1:1" x14ac:dyDescent="0.25">
      <c r="A7092" s="66"/>
    </row>
    <row r="7093" spans="1:1" x14ac:dyDescent="0.25">
      <c r="A7093" s="66"/>
    </row>
    <row r="7094" spans="1:1" x14ac:dyDescent="0.25">
      <c r="A7094" s="66"/>
    </row>
    <row r="7095" spans="1:1" x14ac:dyDescent="0.25">
      <c r="A7095" s="66"/>
    </row>
    <row r="7096" spans="1:1" x14ac:dyDescent="0.25">
      <c r="A7096" s="66"/>
    </row>
    <row r="7097" spans="1:1" x14ac:dyDescent="0.25">
      <c r="A7097" s="66"/>
    </row>
    <row r="7098" spans="1:1" x14ac:dyDescent="0.25">
      <c r="A7098" s="66"/>
    </row>
    <row r="7099" spans="1:1" x14ac:dyDescent="0.25">
      <c r="A7099" s="66"/>
    </row>
    <row r="7100" spans="1:1" x14ac:dyDescent="0.25">
      <c r="A7100" s="66"/>
    </row>
    <row r="7101" spans="1:1" x14ac:dyDescent="0.25">
      <c r="A7101" s="66"/>
    </row>
    <row r="7102" spans="1:1" x14ac:dyDescent="0.25">
      <c r="A7102" s="66"/>
    </row>
    <row r="7103" spans="1:1" x14ac:dyDescent="0.25">
      <c r="A7103" s="66"/>
    </row>
    <row r="7104" spans="1:1" x14ac:dyDescent="0.25">
      <c r="A7104" s="66"/>
    </row>
    <row r="7105" spans="1:1" x14ac:dyDescent="0.25">
      <c r="A7105" s="66"/>
    </row>
    <row r="7106" spans="1:1" x14ac:dyDescent="0.25">
      <c r="A7106" s="66"/>
    </row>
    <row r="7107" spans="1:1" x14ac:dyDescent="0.25">
      <c r="A7107" s="66"/>
    </row>
    <row r="7108" spans="1:1" x14ac:dyDescent="0.25">
      <c r="A7108" s="66"/>
    </row>
    <row r="7109" spans="1:1" x14ac:dyDescent="0.25">
      <c r="A7109" s="66"/>
    </row>
    <row r="7110" spans="1:1" x14ac:dyDescent="0.25">
      <c r="A7110" s="66"/>
    </row>
    <row r="7111" spans="1:1" x14ac:dyDescent="0.25">
      <c r="A7111" s="66"/>
    </row>
    <row r="7112" spans="1:1" x14ac:dyDescent="0.25">
      <c r="A7112" s="66"/>
    </row>
    <row r="7113" spans="1:1" x14ac:dyDescent="0.25">
      <c r="A7113" s="66"/>
    </row>
    <row r="7114" spans="1:1" x14ac:dyDescent="0.25">
      <c r="A7114" s="66"/>
    </row>
    <row r="7115" spans="1:1" x14ac:dyDescent="0.25">
      <c r="A7115" s="66"/>
    </row>
    <row r="7116" spans="1:1" x14ac:dyDescent="0.25">
      <c r="A7116" s="66"/>
    </row>
    <row r="7117" spans="1:1" x14ac:dyDescent="0.25">
      <c r="A7117" s="66"/>
    </row>
    <row r="7118" spans="1:1" x14ac:dyDescent="0.25">
      <c r="A7118" s="66"/>
    </row>
    <row r="7119" spans="1:1" x14ac:dyDescent="0.25">
      <c r="A7119" s="66"/>
    </row>
    <row r="7120" spans="1:1" x14ac:dyDescent="0.25">
      <c r="A7120" s="66"/>
    </row>
    <row r="7121" spans="1:1" x14ac:dyDescent="0.25">
      <c r="A7121" s="66"/>
    </row>
    <row r="7122" spans="1:1" x14ac:dyDescent="0.25">
      <c r="A7122" s="66"/>
    </row>
    <row r="7123" spans="1:1" x14ac:dyDescent="0.25">
      <c r="A7123" s="66"/>
    </row>
    <row r="7124" spans="1:1" x14ac:dyDescent="0.25">
      <c r="A7124" s="66"/>
    </row>
    <row r="7125" spans="1:1" x14ac:dyDescent="0.25">
      <c r="A7125" s="66"/>
    </row>
    <row r="7126" spans="1:1" x14ac:dyDescent="0.25">
      <c r="A7126" s="66"/>
    </row>
    <row r="7127" spans="1:1" x14ac:dyDescent="0.25">
      <c r="A7127" s="66"/>
    </row>
    <row r="7128" spans="1:1" x14ac:dyDescent="0.25">
      <c r="A7128" s="66"/>
    </row>
    <row r="7129" spans="1:1" x14ac:dyDescent="0.25">
      <c r="A7129" s="66"/>
    </row>
    <row r="7130" spans="1:1" x14ac:dyDescent="0.25">
      <c r="A7130" s="66"/>
    </row>
    <row r="7131" spans="1:1" x14ac:dyDescent="0.25">
      <c r="A7131" s="66"/>
    </row>
    <row r="7132" spans="1:1" x14ac:dyDescent="0.25">
      <c r="A7132" s="66"/>
    </row>
    <row r="7133" spans="1:1" x14ac:dyDescent="0.25">
      <c r="A7133" s="66"/>
    </row>
    <row r="7134" spans="1:1" x14ac:dyDescent="0.25">
      <c r="A7134" s="66"/>
    </row>
    <row r="7135" spans="1:1" x14ac:dyDescent="0.25">
      <c r="A7135" s="66"/>
    </row>
    <row r="7136" spans="1:1" x14ac:dyDescent="0.25">
      <c r="A7136" s="66"/>
    </row>
    <row r="7137" spans="1:1" x14ac:dyDescent="0.25">
      <c r="A7137" s="66"/>
    </row>
    <row r="7138" spans="1:1" x14ac:dyDescent="0.25">
      <c r="A7138" s="66"/>
    </row>
    <row r="7139" spans="1:1" x14ac:dyDescent="0.25">
      <c r="A7139" s="66"/>
    </row>
    <row r="7140" spans="1:1" x14ac:dyDescent="0.25">
      <c r="A7140" s="66"/>
    </row>
    <row r="7141" spans="1:1" x14ac:dyDescent="0.25">
      <c r="A7141" s="66"/>
    </row>
    <row r="7142" spans="1:1" x14ac:dyDescent="0.25">
      <c r="A7142" s="66"/>
    </row>
    <row r="7143" spans="1:1" x14ac:dyDescent="0.25">
      <c r="A7143" s="66"/>
    </row>
    <row r="7144" spans="1:1" x14ac:dyDescent="0.25">
      <c r="A7144" s="66"/>
    </row>
    <row r="7145" spans="1:1" x14ac:dyDescent="0.25">
      <c r="A7145" s="66"/>
    </row>
    <row r="7146" spans="1:1" x14ac:dyDescent="0.25">
      <c r="A7146" s="66"/>
    </row>
    <row r="7147" spans="1:1" x14ac:dyDescent="0.25">
      <c r="A7147" s="66"/>
    </row>
    <row r="7148" spans="1:1" x14ac:dyDescent="0.25">
      <c r="A7148" s="66"/>
    </row>
    <row r="7149" spans="1:1" x14ac:dyDescent="0.25">
      <c r="A7149" s="66"/>
    </row>
    <row r="7150" spans="1:1" x14ac:dyDescent="0.25">
      <c r="A7150" s="66"/>
    </row>
    <row r="7151" spans="1:1" x14ac:dyDescent="0.25">
      <c r="A7151" s="66"/>
    </row>
    <row r="7152" spans="1:1" x14ac:dyDescent="0.25">
      <c r="A7152" s="66"/>
    </row>
    <row r="7153" spans="1:1" x14ac:dyDescent="0.25">
      <c r="A7153" s="66"/>
    </row>
    <row r="7154" spans="1:1" x14ac:dyDescent="0.25">
      <c r="A7154" s="66"/>
    </row>
    <row r="7155" spans="1:1" x14ac:dyDescent="0.25">
      <c r="A7155" s="66"/>
    </row>
    <row r="7156" spans="1:1" x14ac:dyDescent="0.25">
      <c r="A7156" s="66"/>
    </row>
    <row r="7157" spans="1:1" x14ac:dyDescent="0.25">
      <c r="A7157" s="66"/>
    </row>
    <row r="7158" spans="1:1" x14ac:dyDescent="0.25">
      <c r="A7158" s="66"/>
    </row>
    <row r="7159" spans="1:1" x14ac:dyDescent="0.25">
      <c r="A7159" s="66"/>
    </row>
    <row r="7160" spans="1:1" x14ac:dyDescent="0.25">
      <c r="A7160" s="66"/>
    </row>
    <row r="7161" spans="1:1" x14ac:dyDescent="0.25">
      <c r="A7161" s="66"/>
    </row>
    <row r="7162" spans="1:1" x14ac:dyDescent="0.25">
      <c r="A7162" s="66"/>
    </row>
    <row r="7163" spans="1:1" x14ac:dyDescent="0.25">
      <c r="A7163" s="66"/>
    </row>
    <row r="7164" spans="1:1" x14ac:dyDescent="0.25">
      <c r="A7164" s="66"/>
    </row>
    <row r="7165" spans="1:1" x14ac:dyDescent="0.25">
      <c r="A7165" s="66"/>
    </row>
    <row r="7166" spans="1:1" x14ac:dyDescent="0.25">
      <c r="A7166" s="66"/>
    </row>
    <row r="7167" spans="1:1" x14ac:dyDescent="0.25">
      <c r="A7167" s="66"/>
    </row>
    <row r="7168" spans="1:1" x14ac:dyDescent="0.25">
      <c r="A7168" s="66"/>
    </row>
    <row r="7169" spans="1:1" x14ac:dyDescent="0.25">
      <c r="A7169" s="66"/>
    </row>
    <row r="7170" spans="1:1" x14ac:dyDescent="0.25">
      <c r="A7170" s="66"/>
    </row>
    <row r="7171" spans="1:1" x14ac:dyDescent="0.25">
      <c r="A7171" s="66"/>
    </row>
    <row r="7172" spans="1:1" x14ac:dyDescent="0.25">
      <c r="A7172" s="66"/>
    </row>
    <row r="7173" spans="1:1" x14ac:dyDescent="0.25">
      <c r="A7173" s="66"/>
    </row>
    <row r="7174" spans="1:1" x14ac:dyDescent="0.25">
      <c r="A7174" s="66"/>
    </row>
    <row r="7175" spans="1:1" x14ac:dyDescent="0.25">
      <c r="A7175" s="66"/>
    </row>
    <row r="7176" spans="1:1" x14ac:dyDescent="0.25">
      <c r="A7176" s="66"/>
    </row>
    <row r="7177" spans="1:1" x14ac:dyDescent="0.25">
      <c r="A7177" s="66"/>
    </row>
    <row r="7178" spans="1:1" x14ac:dyDescent="0.25">
      <c r="A7178" s="66"/>
    </row>
    <row r="7179" spans="1:1" x14ac:dyDescent="0.25">
      <c r="A7179" s="66"/>
    </row>
    <row r="7180" spans="1:1" x14ac:dyDescent="0.25">
      <c r="A7180" s="66"/>
    </row>
    <row r="7181" spans="1:1" x14ac:dyDescent="0.25">
      <c r="A7181" s="66"/>
    </row>
    <row r="7182" spans="1:1" x14ac:dyDescent="0.25">
      <c r="A7182" s="66"/>
    </row>
    <row r="7183" spans="1:1" x14ac:dyDescent="0.25">
      <c r="A7183" s="66"/>
    </row>
    <row r="7184" spans="1:1" x14ac:dyDescent="0.25">
      <c r="A7184" s="66"/>
    </row>
    <row r="7185" spans="1:1" x14ac:dyDescent="0.25">
      <c r="A7185" s="66"/>
    </row>
    <row r="7186" spans="1:1" x14ac:dyDescent="0.25">
      <c r="A7186" s="66"/>
    </row>
    <row r="7187" spans="1:1" x14ac:dyDescent="0.25">
      <c r="A7187" s="66"/>
    </row>
    <row r="7188" spans="1:1" x14ac:dyDescent="0.25">
      <c r="A7188" s="66"/>
    </row>
    <row r="7189" spans="1:1" x14ac:dyDescent="0.25">
      <c r="A7189" s="66"/>
    </row>
    <row r="7190" spans="1:1" x14ac:dyDescent="0.25">
      <c r="A7190" s="66"/>
    </row>
    <row r="7191" spans="1:1" x14ac:dyDescent="0.25">
      <c r="A7191" s="66"/>
    </row>
    <row r="7192" spans="1:1" x14ac:dyDescent="0.25">
      <c r="A7192" s="66"/>
    </row>
    <row r="7193" spans="1:1" x14ac:dyDescent="0.25">
      <c r="A7193" s="66"/>
    </row>
    <row r="7194" spans="1:1" x14ac:dyDescent="0.25">
      <c r="A7194" s="66"/>
    </row>
    <row r="7195" spans="1:1" x14ac:dyDescent="0.25">
      <c r="A7195" s="66"/>
    </row>
    <row r="7196" spans="1:1" x14ac:dyDescent="0.25">
      <c r="A7196" s="66"/>
    </row>
    <row r="7197" spans="1:1" x14ac:dyDescent="0.25">
      <c r="A7197" s="66"/>
    </row>
    <row r="7198" spans="1:1" x14ac:dyDescent="0.25">
      <c r="A7198" s="66"/>
    </row>
    <row r="7199" spans="1:1" x14ac:dyDescent="0.25">
      <c r="A7199" s="66"/>
    </row>
    <row r="7200" spans="1:1" x14ac:dyDescent="0.25">
      <c r="A7200" s="66"/>
    </row>
    <row r="7201" spans="1:1" x14ac:dyDescent="0.25">
      <c r="A7201" s="66"/>
    </row>
    <row r="7202" spans="1:1" x14ac:dyDescent="0.25">
      <c r="A7202" s="66"/>
    </row>
    <row r="7203" spans="1:1" x14ac:dyDescent="0.25">
      <c r="A7203" s="66"/>
    </row>
    <row r="7204" spans="1:1" x14ac:dyDescent="0.25">
      <c r="A7204" s="66"/>
    </row>
    <row r="7205" spans="1:1" x14ac:dyDescent="0.25">
      <c r="A7205" s="66"/>
    </row>
    <row r="7206" spans="1:1" x14ac:dyDescent="0.25">
      <c r="A7206" s="66"/>
    </row>
    <row r="7207" spans="1:1" x14ac:dyDescent="0.25">
      <c r="A7207" s="66"/>
    </row>
    <row r="7208" spans="1:1" x14ac:dyDescent="0.25">
      <c r="A7208" s="66"/>
    </row>
    <row r="7209" spans="1:1" x14ac:dyDescent="0.25">
      <c r="A7209" s="66"/>
    </row>
    <row r="7210" spans="1:1" x14ac:dyDescent="0.25">
      <c r="A7210" s="66"/>
    </row>
    <row r="7211" spans="1:1" x14ac:dyDescent="0.25">
      <c r="A7211" s="66"/>
    </row>
    <row r="7212" spans="1:1" x14ac:dyDescent="0.25">
      <c r="A7212" s="66"/>
    </row>
    <row r="7213" spans="1:1" x14ac:dyDescent="0.25">
      <c r="A7213" s="66"/>
    </row>
    <row r="7214" spans="1:1" x14ac:dyDescent="0.25">
      <c r="A7214" s="66"/>
    </row>
    <row r="7215" spans="1:1" x14ac:dyDescent="0.25">
      <c r="A7215" s="66"/>
    </row>
    <row r="7216" spans="1:1" x14ac:dyDescent="0.25">
      <c r="A7216" s="66"/>
    </row>
    <row r="7217" spans="1:1" x14ac:dyDescent="0.25">
      <c r="A7217" s="66"/>
    </row>
    <row r="7218" spans="1:1" x14ac:dyDescent="0.25">
      <c r="A7218" s="66"/>
    </row>
    <row r="7219" spans="1:1" x14ac:dyDescent="0.25">
      <c r="A7219" s="66"/>
    </row>
    <row r="7220" spans="1:1" x14ac:dyDescent="0.25">
      <c r="A7220" s="66"/>
    </row>
    <row r="7221" spans="1:1" x14ac:dyDescent="0.25">
      <c r="A7221" s="66"/>
    </row>
    <row r="7222" spans="1:1" x14ac:dyDescent="0.25">
      <c r="A7222" s="66"/>
    </row>
    <row r="7223" spans="1:1" x14ac:dyDescent="0.25">
      <c r="A7223" s="66"/>
    </row>
    <row r="7224" spans="1:1" x14ac:dyDescent="0.25">
      <c r="A7224" s="66"/>
    </row>
    <row r="7225" spans="1:1" x14ac:dyDescent="0.25">
      <c r="A7225" s="66"/>
    </row>
    <row r="7226" spans="1:1" x14ac:dyDescent="0.25">
      <c r="A7226" s="66"/>
    </row>
    <row r="7227" spans="1:1" x14ac:dyDescent="0.25">
      <c r="A7227" s="66"/>
    </row>
    <row r="7228" spans="1:1" x14ac:dyDescent="0.25">
      <c r="A7228" s="66"/>
    </row>
    <row r="7229" spans="1:1" x14ac:dyDescent="0.25">
      <c r="A7229" s="66"/>
    </row>
    <row r="7230" spans="1:1" x14ac:dyDescent="0.25">
      <c r="A7230" s="66"/>
    </row>
    <row r="7231" spans="1:1" x14ac:dyDescent="0.25">
      <c r="A7231" s="66"/>
    </row>
    <row r="7232" spans="1:1" x14ac:dyDescent="0.25">
      <c r="A7232" s="66"/>
    </row>
    <row r="7233" spans="1:1" x14ac:dyDescent="0.25">
      <c r="A7233" s="66"/>
    </row>
    <row r="7234" spans="1:1" x14ac:dyDescent="0.25">
      <c r="A7234" s="66"/>
    </row>
    <row r="7235" spans="1:1" x14ac:dyDescent="0.25">
      <c r="A7235" s="66"/>
    </row>
    <row r="7236" spans="1:1" x14ac:dyDescent="0.25">
      <c r="A7236" s="66"/>
    </row>
    <row r="7237" spans="1:1" x14ac:dyDescent="0.25">
      <c r="A7237" s="66"/>
    </row>
    <row r="7238" spans="1:1" x14ac:dyDescent="0.25">
      <c r="A7238" s="66"/>
    </row>
    <row r="7239" spans="1:1" x14ac:dyDescent="0.25">
      <c r="A7239" s="66"/>
    </row>
    <row r="7240" spans="1:1" x14ac:dyDescent="0.25">
      <c r="A7240" s="66"/>
    </row>
    <row r="7241" spans="1:1" x14ac:dyDescent="0.25">
      <c r="A7241" s="66"/>
    </row>
    <row r="7242" spans="1:1" x14ac:dyDescent="0.25">
      <c r="A7242" s="66"/>
    </row>
    <row r="7243" spans="1:1" x14ac:dyDescent="0.25">
      <c r="A7243" s="66"/>
    </row>
    <row r="7244" spans="1:1" x14ac:dyDescent="0.25">
      <c r="A7244" s="66"/>
    </row>
    <row r="7245" spans="1:1" x14ac:dyDescent="0.25">
      <c r="A7245" s="66"/>
    </row>
    <row r="7246" spans="1:1" x14ac:dyDescent="0.25">
      <c r="A7246" s="66"/>
    </row>
    <row r="7247" spans="1:1" x14ac:dyDescent="0.25">
      <c r="A7247" s="66"/>
    </row>
    <row r="7248" spans="1:1" x14ac:dyDescent="0.25">
      <c r="A7248" s="66"/>
    </row>
    <row r="7249" spans="1:1" x14ac:dyDescent="0.25">
      <c r="A7249" s="66"/>
    </row>
    <row r="7250" spans="1:1" x14ac:dyDescent="0.25">
      <c r="A7250" s="66"/>
    </row>
    <row r="7251" spans="1:1" x14ac:dyDescent="0.25">
      <c r="A7251" s="66"/>
    </row>
    <row r="7252" spans="1:1" x14ac:dyDescent="0.25">
      <c r="A7252" s="66"/>
    </row>
    <row r="7253" spans="1:1" x14ac:dyDescent="0.25">
      <c r="A7253" s="66"/>
    </row>
    <row r="7254" spans="1:1" x14ac:dyDescent="0.25">
      <c r="A7254" s="66"/>
    </row>
    <row r="7255" spans="1:1" x14ac:dyDescent="0.25">
      <c r="A7255" s="66"/>
    </row>
    <row r="7256" spans="1:1" x14ac:dyDescent="0.25">
      <c r="A7256" s="66"/>
    </row>
    <row r="7257" spans="1:1" x14ac:dyDescent="0.25">
      <c r="A7257" s="66"/>
    </row>
    <row r="7258" spans="1:1" x14ac:dyDescent="0.25">
      <c r="A7258" s="66"/>
    </row>
    <row r="7259" spans="1:1" x14ac:dyDescent="0.25">
      <c r="A7259" s="66"/>
    </row>
    <row r="7260" spans="1:1" x14ac:dyDescent="0.25">
      <c r="A7260" s="66"/>
    </row>
    <row r="7261" spans="1:1" x14ac:dyDescent="0.25">
      <c r="A7261" s="66"/>
    </row>
    <row r="7262" spans="1:1" x14ac:dyDescent="0.25">
      <c r="A7262" s="66"/>
    </row>
    <row r="7263" spans="1:1" x14ac:dyDescent="0.25">
      <c r="A7263" s="66"/>
    </row>
    <row r="7264" spans="1:1" x14ac:dyDescent="0.25">
      <c r="A7264" s="66"/>
    </row>
    <row r="7265" spans="1:1" x14ac:dyDescent="0.25">
      <c r="A7265" s="66"/>
    </row>
    <row r="7266" spans="1:1" x14ac:dyDescent="0.25">
      <c r="A7266" s="66"/>
    </row>
    <row r="7267" spans="1:1" x14ac:dyDescent="0.25">
      <c r="A7267" s="66"/>
    </row>
    <row r="7268" spans="1:1" x14ac:dyDescent="0.25">
      <c r="A7268" s="66"/>
    </row>
    <row r="7269" spans="1:1" x14ac:dyDescent="0.25">
      <c r="A7269" s="66"/>
    </row>
    <row r="7270" spans="1:1" x14ac:dyDescent="0.25">
      <c r="A7270" s="66"/>
    </row>
    <row r="7271" spans="1:1" x14ac:dyDescent="0.25">
      <c r="A7271" s="66"/>
    </row>
    <row r="7272" spans="1:1" x14ac:dyDescent="0.25">
      <c r="A7272" s="66"/>
    </row>
    <row r="7273" spans="1:1" x14ac:dyDescent="0.25">
      <c r="A7273" s="66"/>
    </row>
    <row r="7274" spans="1:1" x14ac:dyDescent="0.25">
      <c r="A7274" s="66"/>
    </row>
    <row r="7275" spans="1:1" x14ac:dyDescent="0.25">
      <c r="A7275" s="66"/>
    </row>
    <row r="7276" spans="1:1" x14ac:dyDescent="0.25">
      <c r="A7276" s="66"/>
    </row>
    <row r="7277" spans="1:1" x14ac:dyDescent="0.25">
      <c r="A7277" s="66"/>
    </row>
    <row r="7278" spans="1:1" x14ac:dyDescent="0.25">
      <c r="A7278" s="66"/>
    </row>
    <row r="7279" spans="1:1" x14ac:dyDescent="0.25">
      <c r="A7279" s="66"/>
    </row>
    <row r="7280" spans="1:1" x14ac:dyDescent="0.25">
      <c r="A7280" s="66"/>
    </row>
    <row r="7281" spans="1:1" x14ac:dyDescent="0.25">
      <c r="A7281" s="66"/>
    </row>
    <row r="7282" spans="1:1" x14ac:dyDescent="0.25">
      <c r="A7282" s="66"/>
    </row>
    <row r="7283" spans="1:1" x14ac:dyDescent="0.25">
      <c r="A7283" s="66"/>
    </row>
    <row r="7284" spans="1:1" x14ac:dyDescent="0.25">
      <c r="A7284" s="66"/>
    </row>
    <row r="7285" spans="1:1" x14ac:dyDescent="0.25">
      <c r="A7285" s="66"/>
    </row>
    <row r="7286" spans="1:1" x14ac:dyDescent="0.25">
      <c r="A7286" s="66"/>
    </row>
    <row r="7287" spans="1:1" x14ac:dyDescent="0.25">
      <c r="A7287" s="66"/>
    </row>
    <row r="7288" spans="1:1" x14ac:dyDescent="0.25">
      <c r="A7288" s="66"/>
    </row>
    <row r="7289" spans="1:1" x14ac:dyDescent="0.25">
      <c r="A7289" s="66"/>
    </row>
    <row r="7290" spans="1:1" x14ac:dyDescent="0.25">
      <c r="A7290" s="66"/>
    </row>
    <row r="7291" spans="1:1" x14ac:dyDescent="0.25">
      <c r="A7291" s="66"/>
    </row>
    <row r="7292" spans="1:1" x14ac:dyDescent="0.25">
      <c r="A7292" s="66"/>
    </row>
    <row r="7293" spans="1:1" x14ac:dyDescent="0.25">
      <c r="A7293" s="66"/>
    </row>
    <row r="7294" spans="1:1" x14ac:dyDescent="0.25">
      <c r="A7294" s="66"/>
    </row>
    <row r="7295" spans="1:1" x14ac:dyDescent="0.25">
      <c r="A7295" s="66"/>
    </row>
    <row r="7296" spans="1:1" x14ac:dyDescent="0.25">
      <c r="A7296" s="66"/>
    </row>
    <row r="7297" spans="1:1" x14ac:dyDescent="0.25">
      <c r="A7297" s="66"/>
    </row>
    <row r="7298" spans="1:1" x14ac:dyDescent="0.25">
      <c r="A7298" s="66"/>
    </row>
    <row r="7299" spans="1:1" x14ac:dyDescent="0.25">
      <c r="A7299" s="66"/>
    </row>
    <row r="7300" spans="1:1" x14ac:dyDescent="0.25">
      <c r="A7300" s="66"/>
    </row>
    <row r="7301" spans="1:1" x14ac:dyDescent="0.25">
      <c r="A7301" s="66"/>
    </row>
    <row r="7302" spans="1:1" x14ac:dyDescent="0.25">
      <c r="A7302" s="66"/>
    </row>
    <row r="7303" spans="1:1" x14ac:dyDescent="0.25">
      <c r="A7303" s="66"/>
    </row>
    <row r="7304" spans="1:1" x14ac:dyDescent="0.25">
      <c r="A7304" s="66"/>
    </row>
    <row r="7305" spans="1:1" x14ac:dyDescent="0.25">
      <c r="A7305" s="66"/>
    </row>
    <row r="7306" spans="1:1" x14ac:dyDescent="0.25">
      <c r="A7306" s="66"/>
    </row>
    <row r="7307" spans="1:1" x14ac:dyDescent="0.25">
      <c r="A7307" s="66"/>
    </row>
    <row r="7308" spans="1:1" x14ac:dyDescent="0.25">
      <c r="A7308" s="66"/>
    </row>
    <row r="7309" spans="1:1" x14ac:dyDescent="0.25">
      <c r="A7309" s="66"/>
    </row>
    <row r="7310" spans="1:1" x14ac:dyDescent="0.25">
      <c r="A7310" s="66"/>
    </row>
    <row r="7311" spans="1:1" x14ac:dyDescent="0.25">
      <c r="A7311" s="66"/>
    </row>
    <row r="7312" spans="1:1" x14ac:dyDescent="0.25">
      <c r="A7312" s="66"/>
    </row>
    <row r="7313" spans="1:1" x14ac:dyDescent="0.25">
      <c r="A7313" s="66"/>
    </row>
    <row r="7314" spans="1:1" x14ac:dyDescent="0.25">
      <c r="A7314" s="66"/>
    </row>
    <row r="7315" spans="1:1" x14ac:dyDescent="0.25">
      <c r="A7315" s="66"/>
    </row>
    <row r="7316" spans="1:1" x14ac:dyDescent="0.25">
      <c r="A7316" s="66"/>
    </row>
    <row r="7317" spans="1:1" x14ac:dyDescent="0.25">
      <c r="A7317" s="66"/>
    </row>
    <row r="7318" spans="1:1" x14ac:dyDescent="0.25">
      <c r="A7318" s="66"/>
    </row>
    <row r="7319" spans="1:1" x14ac:dyDescent="0.25">
      <c r="A7319" s="66"/>
    </row>
    <row r="7320" spans="1:1" x14ac:dyDescent="0.25">
      <c r="A7320" s="66"/>
    </row>
    <row r="7321" spans="1:1" x14ac:dyDescent="0.25">
      <c r="A7321" s="66"/>
    </row>
    <row r="7322" spans="1:1" x14ac:dyDescent="0.25">
      <c r="A7322" s="66"/>
    </row>
    <row r="7323" spans="1:1" x14ac:dyDescent="0.25">
      <c r="A7323" s="66"/>
    </row>
    <row r="7324" spans="1:1" x14ac:dyDescent="0.25">
      <c r="A7324" s="66"/>
    </row>
    <row r="7325" spans="1:1" x14ac:dyDescent="0.25">
      <c r="A7325" s="66"/>
    </row>
    <row r="7326" spans="1:1" x14ac:dyDescent="0.25">
      <c r="A7326" s="66"/>
    </row>
    <row r="7327" spans="1:1" x14ac:dyDescent="0.25">
      <c r="A7327" s="66"/>
    </row>
    <row r="7328" spans="1:1" x14ac:dyDescent="0.25">
      <c r="A7328" s="66"/>
    </row>
    <row r="7329" spans="1:1" x14ac:dyDescent="0.25">
      <c r="A7329" s="66"/>
    </row>
    <row r="7330" spans="1:1" x14ac:dyDescent="0.25">
      <c r="A7330" s="66"/>
    </row>
    <row r="7331" spans="1:1" x14ac:dyDescent="0.25">
      <c r="A7331" s="66"/>
    </row>
    <row r="7332" spans="1:1" x14ac:dyDescent="0.25">
      <c r="A7332" s="66"/>
    </row>
    <row r="7333" spans="1:1" x14ac:dyDescent="0.25">
      <c r="A7333" s="66"/>
    </row>
    <row r="7334" spans="1:1" x14ac:dyDescent="0.25">
      <c r="A7334" s="66"/>
    </row>
    <row r="7335" spans="1:1" x14ac:dyDescent="0.25">
      <c r="A7335" s="66"/>
    </row>
    <row r="7336" spans="1:1" x14ac:dyDescent="0.25">
      <c r="A7336" s="66"/>
    </row>
    <row r="7337" spans="1:1" x14ac:dyDescent="0.25">
      <c r="A7337" s="66"/>
    </row>
    <row r="7338" spans="1:1" x14ac:dyDescent="0.25">
      <c r="A7338" s="66"/>
    </row>
    <row r="7339" spans="1:1" x14ac:dyDescent="0.25">
      <c r="A7339" s="66"/>
    </row>
    <row r="7340" spans="1:1" x14ac:dyDescent="0.25">
      <c r="A7340" s="66"/>
    </row>
    <row r="7341" spans="1:1" x14ac:dyDescent="0.25">
      <c r="A7341" s="66"/>
    </row>
    <row r="7342" spans="1:1" x14ac:dyDescent="0.25">
      <c r="A7342" s="66"/>
    </row>
    <row r="7343" spans="1:1" x14ac:dyDescent="0.25">
      <c r="A7343" s="66"/>
    </row>
    <row r="7344" spans="1:1" x14ac:dyDescent="0.25">
      <c r="A7344" s="66"/>
    </row>
    <row r="7345" spans="1:1" x14ac:dyDescent="0.25">
      <c r="A7345" s="66"/>
    </row>
    <row r="7346" spans="1:1" x14ac:dyDescent="0.25">
      <c r="A7346" s="66"/>
    </row>
    <row r="7347" spans="1:1" x14ac:dyDescent="0.25">
      <c r="A7347" s="66"/>
    </row>
    <row r="7348" spans="1:1" x14ac:dyDescent="0.25">
      <c r="A7348" s="66"/>
    </row>
    <row r="7349" spans="1:1" x14ac:dyDescent="0.25">
      <c r="A7349" s="66"/>
    </row>
    <row r="7350" spans="1:1" x14ac:dyDescent="0.25">
      <c r="A7350" s="66"/>
    </row>
    <row r="7351" spans="1:1" x14ac:dyDescent="0.25">
      <c r="A7351" s="66"/>
    </row>
    <row r="7352" spans="1:1" x14ac:dyDescent="0.25">
      <c r="A7352" s="66"/>
    </row>
    <row r="7353" spans="1:1" x14ac:dyDescent="0.25">
      <c r="A7353" s="66"/>
    </row>
    <row r="7354" spans="1:1" x14ac:dyDescent="0.25">
      <c r="A7354" s="66"/>
    </row>
    <row r="7355" spans="1:1" x14ac:dyDescent="0.25">
      <c r="A7355" s="66"/>
    </row>
    <row r="7356" spans="1:1" x14ac:dyDescent="0.25">
      <c r="A7356" s="66"/>
    </row>
    <row r="7357" spans="1:1" x14ac:dyDescent="0.25">
      <c r="A7357" s="66"/>
    </row>
    <row r="7358" spans="1:1" x14ac:dyDescent="0.25">
      <c r="A7358" s="66"/>
    </row>
    <row r="7359" spans="1:1" x14ac:dyDescent="0.25">
      <c r="A7359" s="66"/>
    </row>
    <row r="7360" spans="1:1" x14ac:dyDescent="0.25">
      <c r="A7360" s="66"/>
    </row>
    <row r="7361" spans="1:1" x14ac:dyDescent="0.25">
      <c r="A7361" s="66"/>
    </row>
    <row r="7362" spans="1:1" x14ac:dyDescent="0.25">
      <c r="A7362" s="66"/>
    </row>
    <row r="7363" spans="1:1" x14ac:dyDescent="0.25">
      <c r="A7363" s="66"/>
    </row>
    <row r="7364" spans="1:1" x14ac:dyDescent="0.25">
      <c r="A7364" s="66"/>
    </row>
    <row r="7365" spans="1:1" x14ac:dyDescent="0.25">
      <c r="A7365" s="66"/>
    </row>
    <row r="7366" spans="1:1" x14ac:dyDescent="0.25">
      <c r="A7366" s="66"/>
    </row>
    <row r="7367" spans="1:1" x14ac:dyDescent="0.25">
      <c r="A7367" s="66"/>
    </row>
    <row r="7368" spans="1:1" x14ac:dyDescent="0.25">
      <c r="A7368" s="66"/>
    </row>
    <row r="7369" spans="1:1" x14ac:dyDescent="0.25">
      <c r="A7369" s="66"/>
    </row>
    <row r="7370" spans="1:1" x14ac:dyDescent="0.25">
      <c r="A7370" s="66"/>
    </row>
    <row r="7371" spans="1:1" x14ac:dyDescent="0.25">
      <c r="A7371" s="66"/>
    </row>
    <row r="7372" spans="1:1" x14ac:dyDescent="0.25">
      <c r="A7372" s="66"/>
    </row>
    <row r="7373" spans="1:1" x14ac:dyDescent="0.25">
      <c r="A7373" s="66"/>
    </row>
    <row r="7374" spans="1:1" x14ac:dyDescent="0.25">
      <c r="A7374" s="66"/>
    </row>
    <row r="7375" spans="1:1" x14ac:dyDescent="0.25">
      <c r="A7375" s="66"/>
    </row>
    <row r="7376" spans="1:1" x14ac:dyDescent="0.25">
      <c r="A7376" s="66"/>
    </row>
    <row r="7377" spans="1:1" x14ac:dyDescent="0.25">
      <c r="A7377" s="66"/>
    </row>
    <row r="7378" spans="1:1" x14ac:dyDescent="0.25">
      <c r="A7378" s="66"/>
    </row>
    <row r="7379" spans="1:1" x14ac:dyDescent="0.25">
      <c r="A7379" s="66"/>
    </row>
    <row r="7380" spans="1:1" x14ac:dyDescent="0.25">
      <c r="A7380" s="66"/>
    </row>
    <row r="7381" spans="1:1" x14ac:dyDescent="0.25">
      <c r="A7381" s="66"/>
    </row>
    <row r="7382" spans="1:1" x14ac:dyDescent="0.25">
      <c r="A7382" s="66"/>
    </row>
    <row r="7383" spans="1:1" x14ac:dyDescent="0.25">
      <c r="A7383" s="66"/>
    </row>
    <row r="7384" spans="1:1" x14ac:dyDescent="0.25">
      <c r="A7384" s="66"/>
    </row>
    <row r="7385" spans="1:1" x14ac:dyDescent="0.25">
      <c r="A7385" s="66"/>
    </row>
    <row r="7386" spans="1:1" x14ac:dyDescent="0.25">
      <c r="A7386" s="66"/>
    </row>
    <row r="7387" spans="1:1" x14ac:dyDescent="0.25">
      <c r="A7387" s="66"/>
    </row>
    <row r="7388" spans="1:1" x14ac:dyDescent="0.25">
      <c r="A7388" s="66"/>
    </row>
    <row r="7389" spans="1:1" x14ac:dyDescent="0.25">
      <c r="A7389" s="66"/>
    </row>
    <row r="7390" spans="1:1" x14ac:dyDescent="0.25">
      <c r="A7390" s="66"/>
    </row>
    <row r="7391" spans="1:1" x14ac:dyDescent="0.25">
      <c r="A7391" s="66"/>
    </row>
    <row r="7392" spans="1:1" x14ac:dyDescent="0.25">
      <c r="A7392" s="66"/>
    </row>
    <row r="7393" spans="1:1" x14ac:dyDescent="0.25">
      <c r="A7393" s="66"/>
    </row>
    <row r="7394" spans="1:1" x14ac:dyDescent="0.25">
      <c r="A7394" s="66"/>
    </row>
    <row r="7395" spans="1:1" x14ac:dyDescent="0.25">
      <c r="A7395" s="66"/>
    </row>
    <row r="7396" spans="1:1" x14ac:dyDescent="0.25">
      <c r="A7396" s="66"/>
    </row>
    <row r="7397" spans="1:1" x14ac:dyDescent="0.25">
      <c r="A7397" s="66"/>
    </row>
    <row r="7398" spans="1:1" x14ac:dyDescent="0.25">
      <c r="A7398" s="66"/>
    </row>
    <row r="7399" spans="1:1" x14ac:dyDescent="0.25">
      <c r="A7399" s="66"/>
    </row>
    <row r="7400" spans="1:1" x14ac:dyDescent="0.25">
      <c r="A7400" s="66"/>
    </row>
    <row r="7401" spans="1:1" x14ac:dyDescent="0.25">
      <c r="A7401" s="66"/>
    </row>
    <row r="7402" spans="1:1" x14ac:dyDescent="0.25">
      <c r="A7402" s="66"/>
    </row>
    <row r="7403" spans="1:1" x14ac:dyDescent="0.25">
      <c r="A7403" s="66"/>
    </row>
    <row r="7404" spans="1:1" x14ac:dyDescent="0.25">
      <c r="A7404" s="66"/>
    </row>
    <row r="7405" spans="1:1" x14ac:dyDescent="0.25">
      <c r="A7405" s="66"/>
    </row>
    <row r="7406" spans="1:1" x14ac:dyDescent="0.25">
      <c r="A7406" s="66"/>
    </row>
    <row r="7407" spans="1:1" x14ac:dyDescent="0.25">
      <c r="A7407" s="66"/>
    </row>
    <row r="7408" spans="1:1" x14ac:dyDescent="0.25">
      <c r="A7408" s="66"/>
    </row>
    <row r="7409" spans="1:1" x14ac:dyDescent="0.25">
      <c r="A7409" s="66"/>
    </row>
    <row r="7410" spans="1:1" x14ac:dyDescent="0.25">
      <c r="A7410" s="66"/>
    </row>
    <row r="7411" spans="1:1" x14ac:dyDescent="0.25">
      <c r="A7411" s="66"/>
    </row>
    <row r="7412" spans="1:1" x14ac:dyDescent="0.25">
      <c r="A7412" s="66"/>
    </row>
    <row r="7413" spans="1:1" x14ac:dyDescent="0.25">
      <c r="A7413" s="66"/>
    </row>
    <row r="7414" spans="1:1" x14ac:dyDescent="0.25">
      <c r="A7414" s="66"/>
    </row>
    <row r="7415" spans="1:1" x14ac:dyDescent="0.25">
      <c r="A7415" s="66"/>
    </row>
    <row r="7416" spans="1:1" x14ac:dyDescent="0.25">
      <c r="A7416" s="66"/>
    </row>
    <row r="7417" spans="1:1" x14ac:dyDescent="0.25">
      <c r="A7417" s="66"/>
    </row>
    <row r="7418" spans="1:1" x14ac:dyDescent="0.25">
      <c r="A7418" s="66"/>
    </row>
    <row r="7419" spans="1:1" x14ac:dyDescent="0.25">
      <c r="A7419" s="66"/>
    </row>
    <row r="7420" spans="1:1" x14ac:dyDescent="0.25">
      <c r="A7420" s="66"/>
    </row>
    <row r="7421" spans="1:1" x14ac:dyDescent="0.25">
      <c r="A7421" s="66"/>
    </row>
    <row r="7422" spans="1:1" x14ac:dyDescent="0.25">
      <c r="A7422" s="66"/>
    </row>
    <row r="7423" spans="1:1" x14ac:dyDescent="0.25">
      <c r="A7423" s="66"/>
    </row>
    <row r="7424" spans="1:1" x14ac:dyDescent="0.25">
      <c r="A7424" s="66"/>
    </row>
    <row r="7425" spans="1:1" x14ac:dyDescent="0.25">
      <c r="A7425" s="66"/>
    </row>
    <row r="7426" spans="1:1" x14ac:dyDescent="0.25">
      <c r="A7426" s="66"/>
    </row>
    <row r="7427" spans="1:1" x14ac:dyDescent="0.25">
      <c r="A7427" s="66"/>
    </row>
    <row r="7428" spans="1:1" x14ac:dyDescent="0.25">
      <c r="A7428" s="66"/>
    </row>
    <row r="7429" spans="1:1" x14ac:dyDescent="0.25">
      <c r="A7429" s="66"/>
    </row>
    <row r="7430" spans="1:1" x14ac:dyDescent="0.25">
      <c r="A7430" s="66"/>
    </row>
    <row r="7431" spans="1:1" x14ac:dyDescent="0.25">
      <c r="A7431" s="66"/>
    </row>
    <row r="7432" spans="1:1" x14ac:dyDescent="0.25">
      <c r="A7432" s="66"/>
    </row>
    <row r="7433" spans="1:1" x14ac:dyDescent="0.25">
      <c r="A7433" s="66"/>
    </row>
    <row r="7434" spans="1:1" x14ac:dyDescent="0.25">
      <c r="A7434" s="66"/>
    </row>
    <row r="7435" spans="1:1" x14ac:dyDescent="0.25">
      <c r="A7435" s="66"/>
    </row>
    <row r="7436" spans="1:1" x14ac:dyDescent="0.25">
      <c r="A7436" s="66"/>
    </row>
    <row r="7437" spans="1:1" x14ac:dyDescent="0.25">
      <c r="A7437" s="66"/>
    </row>
    <row r="7438" spans="1:1" x14ac:dyDescent="0.25">
      <c r="A7438" s="66"/>
    </row>
    <row r="7439" spans="1:1" x14ac:dyDescent="0.25">
      <c r="A7439" s="66"/>
    </row>
    <row r="7440" spans="1:1" x14ac:dyDescent="0.25">
      <c r="A7440" s="66"/>
    </row>
    <row r="7441" spans="1:1" x14ac:dyDescent="0.25">
      <c r="A7441" s="66"/>
    </row>
    <row r="7442" spans="1:1" x14ac:dyDescent="0.25">
      <c r="A7442" s="66"/>
    </row>
    <row r="7443" spans="1:1" x14ac:dyDescent="0.25">
      <c r="A7443" s="66"/>
    </row>
    <row r="7444" spans="1:1" x14ac:dyDescent="0.25">
      <c r="A7444" s="66"/>
    </row>
    <row r="7445" spans="1:1" x14ac:dyDescent="0.25">
      <c r="A7445" s="66"/>
    </row>
    <row r="7446" spans="1:1" x14ac:dyDescent="0.25">
      <c r="A7446" s="66"/>
    </row>
    <row r="7447" spans="1:1" x14ac:dyDescent="0.25">
      <c r="A7447" s="66"/>
    </row>
    <row r="7448" spans="1:1" x14ac:dyDescent="0.25">
      <c r="A7448" s="66"/>
    </row>
    <row r="7449" spans="1:1" x14ac:dyDescent="0.25">
      <c r="A7449" s="66"/>
    </row>
    <row r="7450" spans="1:1" x14ac:dyDescent="0.25">
      <c r="A7450" s="66"/>
    </row>
    <row r="7451" spans="1:1" x14ac:dyDescent="0.25">
      <c r="A7451" s="66"/>
    </row>
    <row r="7452" spans="1:1" x14ac:dyDescent="0.25">
      <c r="A7452" s="66"/>
    </row>
    <row r="7453" spans="1:1" x14ac:dyDescent="0.25">
      <c r="A7453" s="66"/>
    </row>
    <row r="7454" spans="1:1" x14ac:dyDescent="0.25">
      <c r="A7454" s="66"/>
    </row>
    <row r="7455" spans="1:1" x14ac:dyDescent="0.25">
      <c r="A7455" s="66"/>
    </row>
    <row r="7456" spans="1:1" x14ac:dyDescent="0.25">
      <c r="A7456" s="66"/>
    </row>
    <row r="7457" spans="1:1" x14ac:dyDescent="0.25">
      <c r="A7457" s="66"/>
    </row>
    <row r="7458" spans="1:1" x14ac:dyDescent="0.25">
      <c r="A7458" s="66"/>
    </row>
    <row r="7459" spans="1:1" x14ac:dyDescent="0.25">
      <c r="A7459" s="66"/>
    </row>
    <row r="7460" spans="1:1" x14ac:dyDescent="0.25">
      <c r="A7460" s="66"/>
    </row>
    <row r="7461" spans="1:1" x14ac:dyDescent="0.25">
      <c r="A7461" s="66"/>
    </row>
    <row r="7462" spans="1:1" x14ac:dyDescent="0.25">
      <c r="A7462" s="66"/>
    </row>
    <row r="7463" spans="1:1" x14ac:dyDescent="0.25">
      <c r="A7463" s="66"/>
    </row>
    <row r="7464" spans="1:1" x14ac:dyDescent="0.25">
      <c r="A7464" s="66"/>
    </row>
    <row r="7465" spans="1:1" x14ac:dyDescent="0.25">
      <c r="A7465" s="66"/>
    </row>
    <row r="7466" spans="1:1" x14ac:dyDescent="0.25">
      <c r="A7466" s="66"/>
    </row>
    <row r="7467" spans="1:1" x14ac:dyDescent="0.25">
      <c r="A7467" s="66"/>
    </row>
    <row r="7468" spans="1:1" x14ac:dyDescent="0.25">
      <c r="A7468" s="66"/>
    </row>
    <row r="7469" spans="1:1" x14ac:dyDescent="0.25">
      <c r="A7469" s="66"/>
    </row>
    <row r="7470" spans="1:1" x14ac:dyDescent="0.25">
      <c r="A7470" s="66"/>
    </row>
    <row r="7471" spans="1:1" x14ac:dyDescent="0.25">
      <c r="A7471" s="66"/>
    </row>
    <row r="7472" spans="1:1" x14ac:dyDescent="0.25">
      <c r="A7472" s="66"/>
    </row>
    <row r="7473" spans="1:1" x14ac:dyDescent="0.25">
      <c r="A7473" s="66"/>
    </row>
    <row r="7474" spans="1:1" x14ac:dyDescent="0.25">
      <c r="A7474" s="66"/>
    </row>
    <row r="7475" spans="1:1" x14ac:dyDescent="0.25">
      <c r="A7475" s="66"/>
    </row>
    <row r="7476" spans="1:1" x14ac:dyDescent="0.25">
      <c r="A7476" s="66"/>
    </row>
    <row r="7477" spans="1:1" x14ac:dyDescent="0.25">
      <c r="A7477" s="66"/>
    </row>
    <row r="7478" spans="1:1" x14ac:dyDescent="0.25">
      <c r="A7478" s="66"/>
    </row>
    <row r="7479" spans="1:1" x14ac:dyDescent="0.25">
      <c r="A7479" s="66"/>
    </row>
    <row r="7480" spans="1:1" x14ac:dyDescent="0.25">
      <c r="A7480" s="66"/>
    </row>
    <row r="7481" spans="1:1" x14ac:dyDescent="0.25">
      <c r="A7481" s="66"/>
    </row>
    <row r="7482" spans="1:1" x14ac:dyDescent="0.25">
      <c r="A7482" s="66"/>
    </row>
    <row r="7483" spans="1:1" x14ac:dyDescent="0.25">
      <c r="A7483" s="66"/>
    </row>
    <row r="7484" spans="1:1" x14ac:dyDescent="0.25">
      <c r="A7484" s="66"/>
    </row>
    <row r="7485" spans="1:1" x14ac:dyDescent="0.25">
      <c r="A7485" s="66"/>
    </row>
    <row r="7486" spans="1:1" x14ac:dyDescent="0.25">
      <c r="A7486" s="66"/>
    </row>
    <row r="7487" spans="1:1" x14ac:dyDescent="0.25">
      <c r="A7487" s="66"/>
    </row>
    <row r="7488" spans="1:1" x14ac:dyDescent="0.25">
      <c r="A7488" s="66"/>
    </row>
    <row r="7489" spans="1:1" x14ac:dyDescent="0.25">
      <c r="A7489" s="66"/>
    </row>
    <row r="7490" spans="1:1" x14ac:dyDescent="0.25">
      <c r="A7490" s="66"/>
    </row>
    <row r="7491" spans="1:1" x14ac:dyDescent="0.25">
      <c r="A7491" s="66"/>
    </row>
    <row r="7492" spans="1:1" x14ac:dyDescent="0.25">
      <c r="A7492" s="66"/>
    </row>
    <row r="7493" spans="1:1" x14ac:dyDescent="0.25">
      <c r="A7493" s="66"/>
    </row>
    <row r="7494" spans="1:1" x14ac:dyDescent="0.25">
      <c r="A7494" s="66"/>
    </row>
    <row r="7495" spans="1:1" x14ac:dyDescent="0.25">
      <c r="A7495" s="66"/>
    </row>
    <row r="7496" spans="1:1" x14ac:dyDescent="0.25">
      <c r="A7496" s="66"/>
    </row>
    <row r="7497" spans="1:1" x14ac:dyDescent="0.25">
      <c r="A7497" s="66"/>
    </row>
    <row r="7498" spans="1:1" x14ac:dyDescent="0.25">
      <c r="A7498" s="66"/>
    </row>
    <row r="7499" spans="1:1" x14ac:dyDescent="0.25">
      <c r="A7499" s="66"/>
    </row>
    <row r="7500" spans="1:1" x14ac:dyDescent="0.25">
      <c r="A7500" s="66"/>
    </row>
    <row r="7501" spans="1:1" x14ac:dyDescent="0.25">
      <c r="A7501" s="66"/>
    </row>
    <row r="7502" spans="1:1" x14ac:dyDescent="0.25">
      <c r="A7502" s="66"/>
    </row>
    <row r="7503" spans="1:1" x14ac:dyDescent="0.25">
      <c r="A7503" s="66"/>
    </row>
    <row r="7504" spans="1:1" x14ac:dyDescent="0.25">
      <c r="A7504" s="66"/>
    </row>
    <row r="7505" spans="1:1" x14ac:dyDescent="0.25">
      <c r="A7505" s="66"/>
    </row>
    <row r="7506" spans="1:1" x14ac:dyDescent="0.25">
      <c r="A7506" s="66"/>
    </row>
    <row r="7507" spans="1:1" x14ac:dyDescent="0.25">
      <c r="A7507" s="66"/>
    </row>
    <row r="7508" spans="1:1" x14ac:dyDescent="0.25">
      <c r="A7508" s="66"/>
    </row>
    <row r="7509" spans="1:1" x14ac:dyDescent="0.25">
      <c r="A7509" s="66"/>
    </row>
    <row r="7510" spans="1:1" x14ac:dyDescent="0.25">
      <c r="A7510" s="66"/>
    </row>
    <row r="7511" spans="1:1" x14ac:dyDescent="0.25">
      <c r="A7511" s="66"/>
    </row>
    <row r="7512" spans="1:1" x14ac:dyDescent="0.25">
      <c r="A7512" s="66"/>
    </row>
    <row r="7513" spans="1:1" x14ac:dyDescent="0.25">
      <c r="A7513" s="66"/>
    </row>
    <row r="7514" spans="1:1" x14ac:dyDescent="0.25">
      <c r="A7514" s="66"/>
    </row>
    <row r="7515" spans="1:1" x14ac:dyDescent="0.25">
      <c r="A7515" s="66"/>
    </row>
    <row r="7516" spans="1:1" x14ac:dyDescent="0.25">
      <c r="A7516" s="66"/>
    </row>
    <row r="7517" spans="1:1" x14ac:dyDescent="0.25">
      <c r="A7517" s="66"/>
    </row>
    <row r="7518" spans="1:1" x14ac:dyDescent="0.25">
      <c r="A7518" s="66"/>
    </row>
    <row r="7519" spans="1:1" x14ac:dyDescent="0.25">
      <c r="A7519" s="66"/>
    </row>
    <row r="7520" spans="1:1" x14ac:dyDescent="0.25">
      <c r="A7520" s="66"/>
    </row>
    <row r="7521" spans="1:1" x14ac:dyDescent="0.25">
      <c r="A7521" s="66"/>
    </row>
    <row r="7522" spans="1:1" x14ac:dyDescent="0.25">
      <c r="A7522" s="66"/>
    </row>
    <row r="7523" spans="1:1" x14ac:dyDescent="0.25">
      <c r="A7523" s="66"/>
    </row>
    <row r="7524" spans="1:1" x14ac:dyDescent="0.25">
      <c r="A7524" s="66"/>
    </row>
    <row r="7525" spans="1:1" x14ac:dyDescent="0.25">
      <c r="A7525" s="66"/>
    </row>
    <row r="7526" spans="1:1" x14ac:dyDescent="0.25">
      <c r="A7526" s="66"/>
    </row>
    <row r="7527" spans="1:1" x14ac:dyDescent="0.25">
      <c r="A7527" s="66"/>
    </row>
    <row r="7528" spans="1:1" x14ac:dyDescent="0.25">
      <c r="A7528" s="66"/>
    </row>
    <row r="7529" spans="1:1" x14ac:dyDescent="0.25">
      <c r="A7529" s="66"/>
    </row>
    <row r="7530" spans="1:1" x14ac:dyDescent="0.25">
      <c r="A7530" s="66"/>
    </row>
    <row r="7531" spans="1:1" x14ac:dyDescent="0.25">
      <c r="A7531" s="66"/>
    </row>
    <row r="7532" spans="1:1" x14ac:dyDescent="0.25">
      <c r="A7532" s="66"/>
    </row>
    <row r="7533" spans="1:1" x14ac:dyDescent="0.25">
      <c r="A7533" s="66"/>
    </row>
    <row r="7534" spans="1:1" x14ac:dyDescent="0.25">
      <c r="A7534" s="66"/>
    </row>
    <row r="7535" spans="1:1" x14ac:dyDescent="0.25">
      <c r="A7535" s="66"/>
    </row>
    <row r="7536" spans="1:1" x14ac:dyDescent="0.25">
      <c r="A7536" s="66"/>
    </row>
    <row r="7537" spans="1:1" x14ac:dyDescent="0.25">
      <c r="A7537" s="66"/>
    </row>
    <row r="7538" spans="1:1" x14ac:dyDescent="0.25">
      <c r="A7538" s="66"/>
    </row>
    <row r="7539" spans="1:1" x14ac:dyDescent="0.25">
      <c r="A7539" s="66"/>
    </row>
    <row r="7540" spans="1:1" x14ac:dyDescent="0.25">
      <c r="A7540" s="66"/>
    </row>
    <row r="7541" spans="1:1" x14ac:dyDescent="0.25">
      <c r="A7541" s="66"/>
    </row>
    <row r="7542" spans="1:1" x14ac:dyDescent="0.25">
      <c r="A7542" s="66"/>
    </row>
    <row r="7543" spans="1:1" x14ac:dyDescent="0.25">
      <c r="A7543" s="66"/>
    </row>
    <row r="7544" spans="1:1" x14ac:dyDescent="0.25">
      <c r="A7544" s="66"/>
    </row>
    <row r="7545" spans="1:1" x14ac:dyDescent="0.25">
      <c r="A7545" s="66"/>
    </row>
    <row r="7546" spans="1:1" x14ac:dyDescent="0.25">
      <c r="A7546" s="66"/>
    </row>
    <row r="7547" spans="1:1" x14ac:dyDescent="0.25">
      <c r="A7547" s="66"/>
    </row>
    <row r="7548" spans="1:1" x14ac:dyDescent="0.25">
      <c r="A7548" s="66"/>
    </row>
    <row r="7549" spans="1:1" x14ac:dyDescent="0.25">
      <c r="A7549" s="66"/>
    </row>
    <row r="7550" spans="1:1" x14ac:dyDescent="0.25">
      <c r="A7550" s="66"/>
    </row>
    <row r="7551" spans="1:1" x14ac:dyDescent="0.25">
      <c r="A7551" s="66"/>
    </row>
    <row r="7552" spans="1:1" x14ac:dyDescent="0.25">
      <c r="A7552" s="66"/>
    </row>
    <row r="7553" spans="1:1" x14ac:dyDescent="0.25">
      <c r="A7553" s="66"/>
    </row>
    <row r="7554" spans="1:1" x14ac:dyDescent="0.25">
      <c r="A7554" s="66"/>
    </row>
    <row r="7555" spans="1:1" x14ac:dyDescent="0.25">
      <c r="A7555" s="66"/>
    </row>
    <row r="7556" spans="1:1" x14ac:dyDescent="0.25">
      <c r="A7556" s="66"/>
    </row>
    <row r="7557" spans="1:1" x14ac:dyDescent="0.25">
      <c r="A7557" s="66"/>
    </row>
    <row r="7558" spans="1:1" x14ac:dyDescent="0.25">
      <c r="A7558" s="66"/>
    </row>
    <row r="7559" spans="1:1" x14ac:dyDescent="0.25">
      <c r="A7559" s="66"/>
    </row>
    <row r="7560" spans="1:1" x14ac:dyDescent="0.25">
      <c r="A7560" s="66"/>
    </row>
    <row r="7561" spans="1:1" x14ac:dyDescent="0.25">
      <c r="A7561" s="66"/>
    </row>
    <row r="7562" spans="1:1" x14ac:dyDescent="0.25">
      <c r="A7562" s="66"/>
    </row>
    <row r="7563" spans="1:1" x14ac:dyDescent="0.25">
      <c r="A7563" s="66"/>
    </row>
    <row r="7564" spans="1:1" x14ac:dyDescent="0.25">
      <c r="A7564" s="66"/>
    </row>
    <row r="7565" spans="1:1" x14ac:dyDescent="0.25">
      <c r="A7565" s="66"/>
    </row>
    <row r="7566" spans="1:1" x14ac:dyDescent="0.25">
      <c r="A7566" s="66"/>
    </row>
    <row r="7567" spans="1:1" x14ac:dyDescent="0.25">
      <c r="A7567" s="66"/>
    </row>
    <row r="7568" spans="1:1" x14ac:dyDescent="0.25">
      <c r="A7568" s="66"/>
    </row>
    <row r="7569" spans="1:1" x14ac:dyDescent="0.25">
      <c r="A7569" s="66"/>
    </row>
    <row r="7570" spans="1:1" x14ac:dyDescent="0.25">
      <c r="A7570" s="66"/>
    </row>
    <row r="7571" spans="1:1" x14ac:dyDescent="0.25">
      <c r="A7571" s="66"/>
    </row>
    <row r="7572" spans="1:1" x14ac:dyDescent="0.25">
      <c r="A7572" s="66"/>
    </row>
    <row r="7573" spans="1:1" x14ac:dyDescent="0.25">
      <c r="A7573" s="66"/>
    </row>
    <row r="7574" spans="1:1" x14ac:dyDescent="0.25">
      <c r="A7574" s="66"/>
    </row>
    <row r="7575" spans="1:1" x14ac:dyDescent="0.25">
      <c r="A7575" s="66"/>
    </row>
    <row r="7576" spans="1:1" x14ac:dyDescent="0.25">
      <c r="A7576" s="66"/>
    </row>
    <row r="7577" spans="1:1" x14ac:dyDescent="0.25">
      <c r="A7577" s="66"/>
    </row>
    <row r="7578" spans="1:1" x14ac:dyDescent="0.25">
      <c r="A7578" s="66"/>
    </row>
    <row r="7579" spans="1:1" x14ac:dyDescent="0.25">
      <c r="A7579" s="66"/>
    </row>
    <row r="7580" spans="1:1" x14ac:dyDescent="0.25">
      <c r="A7580" s="66"/>
    </row>
    <row r="7581" spans="1:1" x14ac:dyDescent="0.25">
      <c r="A7581" s="66"/>
    </row>
    <row r="7582" spans="1:1" x14ac:dyDescent="0.25">
      <c r="A7582" s="66"/>
    </row>
    <row r="7583" spans="1:1" x14ac:dyDescent="0.25">
      <c r="A7583" s="66"/>
    </row>
    <row r="7584" spans="1:1" x14ac:dyDescent="0.25">
      <c r="A7584" s="66"/>
    </row>
    <row r="7585" spans="1:1" x14ac:dyDescent="0.25">
      <c r="A7585" s="66"/>
    </row>
    <row r="7586" spans="1:1" x14ac:dyDescent="0.25">
      <c r="A7586" s="66"/>
    </row>
    <row r="7587" spans="1:1" x14ac:dyDescent="0.25">
      <c r="A7587" s="66"/>
    </row>
    <row r="7588" spans="1:1" x14ac:dyDescent="0.25">
      <c r="A7588" s="66"/>
    </row>
    <row r="7589" spans="1:1" x14ac:dyDescent="0.25">
      <c r="A7589" s="66"/>
    </row>
    <row r="7590" spans="1:1" x14ac:dyDescent="0.25">
      <c r="A7590" s="66"/>
    </row>
    <row r="7591" spans="1:1" x14ac:dyDescent="0.25">
      <c r="A7591" s="66"/>
    </row>
    <row r="7592" spans="1:1" x14ac:dyDescent="0.25">
      <c r="A7592" s="66"/>
    </row>
    <row r="7593" spans="1:1" x14ac:dyDescent="0.25">
      <c r="A7593" s="66"/>
    </row>
    <row r="7594" spans="1:1" x14ac:dyDescent="0.25">
      <c r="A7594" s="66"/>
    </row>
    <row r="7595" spans="1:1" x14ac:dyDescent="0.25">
      <c r="A7595" s="66"/>
    </row>
    <row r="7596" spans="1:1" x14ac:dyDescent="0.25">
      <c r="A7596" s="66"/>
    </row>
    <row r="7597" spans="1:1" x14ac:dyDescent="0.25">
      <c r="A7597" s="66"/>
    </row>
    <row r="7598" spans="1:1" x14ac:dyDescent="0.25">
      <c r="A7598" s="66"/>
    </row>
    <row r="7599" spans="1:1" x14ac:dyDescent="0.25">
      <c r="A7599" s="66"/>
    </row>
    <row r="7600" spans="1:1" x14ac:dyDescent="0.25">
      <c r="A7600" s="66"/>
    </row>
    <row r="7601" spans="1:1" x14ac:dyDescent="0.25">
      <c r="A7601" s="66"/>
    </row>
    <row r="7602" spans="1:1" x14ac:dyDescent="0.25">
      <c r="A7602" s="66"/>
    </row>
    <row r="7603" spans="1:1" x14ac:dyDescent="0.25">
      <c r="A7603" s="66"/>
    </row>
    <row r="7604" spans="1:1" x14ac:dyDescent="0.25">
      <c r="A7604" s="66"/>
    </row>
    <row r="7605" spans="1:1" x14ac:dyDescent="0.25">
      <c r="A7605" s="66"/>
    </row>
    <row r="7606" spans="1:1" x14ac:dyDescent="0.25">
      <c r="A7606" s="66"/>
    </row>
    <row r="7607" spans="1:1" x14ac:dyDescent="0.25">
      <c r="A7607" s="66"/>
    </row>
    <row r="7608" spans="1:1" x14ac:dyDescent="0.25">
      <c r="A7608" s="66"/>
    </row>
    <row r="7609" spans="1:1" x14ac:dyDescent="0.25">
      <c r="A7609" s="66"/>
    </row>
    <row r="7610" spans="1:1" x14ac:dyDescent="0.25">
      <c r="A7610" s="66"/>
    </row>
    <row r="7611" spans="1:1" x14ac:dyDescent="0.25">
      <c r="A7611" s="66"/>
    </row>
    <row r="7612" spans="1:1" x14ac:dyDescent="0.25">
      <c r="A7612" s="66"/>
    </row>
    <row r="7613" spans="1:1" x14ac:dyDescent="0.25">
      <c r="A7613" s="66"/>
    </row>
    <row r="7614" spans="1:1" x14ac:dyDescent="0.25">
      <c r="A7614" s="66"/>
    </row>
    <row r="7615" spans="1:1" x14ac:dyDescent="0.25">
      <c r="A7615" s="66"/>
    </row>
    <row r="7616" spans="1:1" x14ac:dyDescent="0.25">
      <c r="A7616" s="66"/>
    </row>
    <row r="7617" spans="1:1" x14ac:dyDescent="0.25">
      <c r="A7617" s="66"/>
    </row>
    <row r="7618" spans="1:1" x14ac:dyDescent="0.25">
      <c r="A7618" s="66"/>
    </row>
    <row r="7619" spans="1:1" x14ac:dyDescent="0.25">
      <c r="A7619" s="66"/>
    </row>
    <row r="7620" spans="1:1" x14ac:dyDescent="0.25">
      <c r="A7620" s="66"/>
    </row>
    <row r="7621" spans="1:1" x14ac:dyDescent="0.25">
      <c r="A7621" s="66"/>
    </row>
    <row r="7622" spans="1:1" x14ac:dyDescent="0.25">
      <c r="A7622" s="66"/>
    </row>
    <row r="7623" spans="1:1" x14ac:dyDescent="0.25">
      <c r="A7623" s="66"/>
    </row>
    <row r="7624" spans="1:1" x14ac:dyDescent="0.25">
      <c r="A7624" s="66"/>
    </row>
    <row r="7625" spans="1:1" x14ac:dyDescent="0.25">
      <c r="A7625" s="66"/>
    </row>
    <row r="7626" spans="1:1" x14ac:dyDescent="0.25">
      <c r="A7626" s="66"/>
    </row>
    <row r="7627" spans="1:1" x14ac:dyDescent="0.25">
      <c r="A7627" s="66"/>
    </row>
    <row r="7628" spans="1:1" x14ac:dyDescent="0.25">
      <c r="A7628" s="66"/>
    </row>
    <row r="7629" spans="1:1" x14ac:dyDescent="0.25">
      <c r="A7629" s="66"/>
    </row>
    <row r="7630" spans="1:1" x14ac:dyDescent="0.25">
      <c r="A7630" s="66"/>
    </row>
    <row r="7631" spans="1:1" x14ac:dyDescent="0.25">
      <c r="A7631" s="66"/>
    </row>
    <row r="7632" spans="1:1" x14ac:dyDescent="0.25">
      <c r="A7632" s="66"/>
    </row>
    <row r="7633" spans="1:1" x14ac:dyDescent="0.25">
      <c r="A7633" s="66"/>
    </row>
    <row r="7634" spans="1:1" x14ac:dyDescent="0.25">
      <c r="A7634" s="66"/>
    </row>
    <row r="7635" spans="1:1" x14ac:dyDescent="0.25">
      <c r="A7635" s="66"/>
    </row>
    <row r="7636" spans="1:1" x14ac:dyDescent="0.25">
      <c r="A7636" s="66"/>
    </row>
    <row r="7637" spans="1:1" x14ac:dyDescent="0.25">
      <c r="A7637" s="66"/>
    </row>
    <row r="7638" spans="1:1" x14ac:dyDescent="0.25">
      <c r="A7638" s="66"/>
    </row>
    <row r="7639" spans="1:1" x14ac:dyDescent="0.25">
      <c r="A7639" s="66"/>
    </row>
    <row r="7640" spans="1:1" x14ac:dyDescent="0.25">
      <c r="A7640" s="66"/>
    </row>
    <row r="7641" spans="1:1" x14ac:dyDescent="0.25">
      <c r="A7641" s="66"/>
    </row>
    <row r="7642" spans="1:1" x14ac:dyDescent="0.25">
      <c r="A7642" s="66"/>
    </row>
    <row r="7643" spans="1:1" x14ac:dyDescent="0.25">
      <c r="A7643" s="66"/>
    </row>
    <row r="7644" spans="1:1" x14ac:dyDescent="0.25">
      <c r="A7644" s="66"/>
    </row>
    <row r="7645" spans="1:1" x14ac:dyDescent="0.25">
      <c r="A7645" s="66"/>
    </row>
    <row r="7646" spans="1:1" x14ac:dyDescent="0.25">
      <c r="A7646" s="66"/>
    </row>
    <row r="7647" spans="1:1" x14ac:dyDescent="0.25">
      <c r="A7647" s="66"/>
    </row>
    <row r="7648" spans="1:1" x14ac:dyDescent="0.25">
      <c r="A7648" s="66"/>
    </row>
    <row r="7649" spans="1:1" x14ac:dyDescent="0.25">
      <c r="A7649" s="66"/>
    </row>
    <row r="7650" spans="1:1" x14ac:dyDescent="0.25">
      <c r="A7650" s="66"/>
    </row>
    <row r="7651" spans="1:1" x14ac:dyDescent="0.25">
      <c r="A7651" s="66"/>
    </row>
    <row r="7652" spans="1:1" x14ac:dyDescent="0.25">
      <c r="A7652" s="66"/>
    </row>
    <row r="7653" spans="1:1" x14ac:dyDescent="0.25">
      <c r="A7653" s="66"/>
    </row>
    <row r="7654" spans="1:1" x14ac:dyDescent="0.25">
      <c r="A7654" s="66"/>
    </row>
    <row r="7655" spans="1:1" x14ac:dyDescent="0.25">
      <c r="A7655" s="66"/>
    </row>
    <row r="7656" spans="1:1" x14ac:dyDescent="0.25">
      <c r="A7656" s="66"/>
    </row>
    <row r="7657" spans="1:1" x14ac:dyDescent="0.25">
      <c r="A7657" s="66"/>
    </row>
    <row r="7658" spans="1:1" x14ac:dyDescent="0.25">
      <c r="A7658" s="66"/>
    </row>
    <row r="7659" spans="1:1" x14ac:dyDescent="0.25">
      <c r="A7659" s="66"/>
    </row>
    <row r="7660" spans="1:1" x14ac:dyDescent="0.25">
      <c r="A7660" s="66"/>
    </row>
    <row r="7661" spans="1:1" x14ac:dyDescent="0.25">
      <c r="A7661" s="66"/>
    </row>
    <row r="7662" spans="1:1" x14ac:dyDescent="0.25">
      <c r="A7662" s="66"/>
    </row>
    <row r="7663" spans="1:1" x14ac:dyDescent="0.25">
      <c r="A7663" s="66"/>
    </row>
    <row r="7664" spans="1:1" x14ac:dyDescent="0.25">
      <c r="A7664" s="66"/>
    </row>
    <row r="7665" spans="1:1" x14ac:dyDescent="0.25">
      <c r="A7665" s="66"/>
    </row>
    <row r="7666" spans="1:1" x14ac:dyDescent="0.25">
      <c r="A7666" s="66"/>
    </row>
    <row r="7667" spans="1:1" x14ac:dyDescent="0.25">
      <c r="A7667" s="66"/>
    </row>
    <row r="7668" spans="1:1" x14ac:dyDescent="0.25">
      <c r="A7668" s="66"/>
    </row>
    <row r="7669" spans="1:1" x14ac:dyDescent="0.25">
      <c r="A7669" s="66"/>
    </row>
    <row r="7670" spans="1:1" x14ac:dyDescent="0.25">
      <c r="A7670" s="66"/>
    </row>
    <row r="7671" spans="1:1" x14ac:dyDescent="0.25">
      <c r="A7671" s="66"/>
    </row>
    <row r="7672" spans="1:1" x14ac:dyDescent="0.25">
      <c r="A7672" s="66"/>
    </row>
    <row r="7673" spans="1:1" x14ac:dyDescent="0.25">
      <c r="A7673" s="66"/>
    </row>
    <row r="7674" spans="1:1" x14ac:dyDescent="0.25">
      <c r="A7674" s="66"/>
    </row>
    <row r="7675" spans="1:1" x14ac:dyDescent="0.25">
      <c r="A7675" s="66"/>
    </row>
    <row r="7676" spans="1:1" x14ac:dyDescent="0.25">
      <c r="A7676" s="66"/>
    </row>
    <row r="7677" spans="1:1" x14ac:dyDescent="0.25">
      <c r="A7677" s="66"/>
    </row>
    <row r="7678" spans="1:1" x14ac:dyDescent="0.25">
      <c r="A7678" s="66"/>
    </row>
    <row r="7679" spans="1:1" x14ac:dyDescent="0.25">
      <c r="A7679" s="66"/>
    </row>
    <row r="7680" spans="1:1" x14ac:dyDescent="0.25">
      <c r="A7680" s="66"/>
    </row>
    <row r="7681" spans="1:1" x14ac:dyDescent="0.25">
      <c r="A7681" s="66"/>
    </row>
    <row r="7682" spans="1:1" x14ac:dyDescent="0.25">
      <c r="A7682" s="66"/>
    </row>
    <row r="7683" spans="1:1" x14ac:dyDescent="0.25">
      <c r="A7683" s="66"/>
    </row>
    <row r="7684" spans="1:1" x14ac:dyDescent="0.25">
      <c r="A7684" s="66"/>
    </row>
    <row r="7685" spans="1:1" x14ac:dyDescent="0.25">
      <c r="A7685" s="66"/>
    </row>
    <row r="7686" spans="1:1" x14ac:dyDescent="0.25">
      <c r="A7686" s="66"/>
    </row>
    <row r="7687" spans="1:1" x14ac:dyDescent="0.25">
      <c r="A7687" s="66"/>
    </row>
    <row r="7688" spans="1:1" x14ac:dyDescent="0.25">
      <c r="A7688" s="66"/>
    </row>
    <row r="7689" spans="1:1" x14ac:dyDescent="0.25">
      <c r="A7689" s="66"/>
    </row>
    <row r="7690" spans="1:1" x14ac:dyDescent="0.25">
      <c r="A7690" s="66"/>
    </row>
    <row r="7691" spans="1:1" x14ac:dyDescent="0.25">
      <c r="A7691" s="66"/>
    </row>
    <row r="7692" spans="1:1" x14ac:dyDescent="0.25">
      <c r="A7692" s="66"/>
    </row>
    <row r="7693" spans="1:1" x14ac:dyDescent="0.25">
      <c r="A7693" s="66"/>
    </row>
    <row r="7694" spans="1:1" x14ac:dyDescent="0.25">
      <c r="A7694" s="66"/>
    </row>
    <row r="7695" spans="1:1" x14ac:dyDescent="0.25">
      <c r="A7695" s="66"/>
    </row>
    <row r="7696" spans="1:1" x14ac:dyDescent="0.25">
      <c r="A7696" s="66"/>
    </row>
    <row r="7697" spans="1:1" x14ac:dyDescent="0.25">
      <c r="A7697" s="66"/>
    </row>
    <row r="7698" spans="1:1" x14ac:dyDescent="0.25">
      <c r="A7698" s="66"/>
    </row>
    <row r="7699" spans="1:1" x14ac:dyDescent="0.25">
      <c r="A7699" s="66"/>
    </row>
    <row r="7700" spans="1:1" x14ac:dyDescent="0.25">
      <c r="A7700" s="66"/>
    </row>
    <row r="7701" spans="1:1" x14ac:dyDescent="0.25">
      <c r="A7701" s="66"/>
    </row>
    <row r="7702" spans="1:1" x14ac:dyDescent="0.25">
      <c r="A7702" s="66"/>
    </row>
    <row r="7703" spans="1:1" x14ac:dyDescent="0.25">
      <c r="A7703" s="66"/>
    </row>
    <row r="7704" spans="1:1" x14ac:dyDescent="0.25">
      <c r="A7704" s="66"/>
    </row>
    <row r="7705" spans="1:1" x14ac:dyDescent="0.25">
      <c r="A7705" s="66"/>
    </row>
    <row r="7706" spans="1:1" x14ac:dyDescent="0.25">
      <c r="A7706" s="66"/>
    </row>
    <row r="7707" spans="1:1" x14ac:dyDescent="0.25">
      <c r="A7707" s="66"/>
    </row>
    <row r="7708" spans="1:1" x14ac:dyDescent="0.25">
      <c r="A7708" s="66"/>
    </row>
    <row r="7709" spans="1:1" x14ac:dyDescent="0.25">
      <c r="A7709" s="66"/>
    </row>
    <row r="7710" spans="1:1" x14ac:dyDescent="0.25">
      <c r="A7710" s="66"/>
    </row>
    <row r="7711" spans="1:1" x14ac:dyDescent="0.25">
      <c r="A7711" s="66"/>
    </row>
    <row r="7712" spans="1:1" x14ac:dyDescent="0.25">
      <c r="A7712" s="66"/>
    </row>
    <row r="7713" spans="1:1" x14ac:dyDescent="0.25">
      <c r="A7713" s="66"/>
    </row>
    <row r="7714" spans="1:1" x14ac:dyDescent="0.25">
      <c r="A7714" s="66"/>
    </row>
    <row r="7715" spans="1:1" x14ac:dyDescent="0.25">
      <c r="A7715" s="66"/>
    </row>
    <row r="7716" spans="1:1" x14ac:dyDescent="0.25">
      <c r="A7716" s="66"/>
    </row>
    <row r="7717" spans="1:1" x14ac:dyDescent="0.25">
      <c r="A7717" s="66"/>
    </row>
    <row r="7718" spans="1:1" x14ac:dyDescent="0.25">
      <c r="A7718" s="66"/>
    </row>
    <row r="7719" spans="1:1" x14ac:dyDescent="0.25">
      <c r="A7719" s="66"/>
    </row>
    <row r="7720" spans="1:1" x14ac:dyDescent="0.25">
      <c r="A7720" s="66"/>
    </row>
    <row r="7721" spans="1:1" x14ac:dyDescent="0.25">
      <c r="A7721" s="66"/>
    </row>
    <row r="7722" spans="1:1" x14ac:dyDescent="0.25">
      <c r="A7722" s="66"/>
    </row>
    <row r="7723" spans="1:1" x14ac:dyDescent="0.25">
      <c r="A7723" s="66"/>
    </row>
    <row r="7724" spans="1:1" x14ac:dyDescent="0.25">
      <c r="A7724" s="66"/>
    </row>
    <row r="7725" spans="1:1" x14ac:dyDescent="0.25">
      <c r="A7725" s="66"/>
    </row>
    <row r="7726" spans="1:1" x14ac:dyDescent="0.25">
      <c r="A7726" s="66"/>
    </row>
    <row r="7727" spans="1:1" x14ac:dyDescent="0.25">
      <c r="A7727" s="66"/>
    </row>
    <row r="7728" spans="1:1" x14ac:dyDescent="0.25">
      <c r="A7728" s="66"/>
    </row>
    <row r="7729" spans="1:1" x14ac:dyDescent="0.25">
      <c r="A7729" s="66"/>
    </row>
    <row r="7730" spans="1:1" x14ac:dyDescent="0.25">
      <c r="A7730" s="66"/>
    </row>
    <row r="7731" spans="1:1" x14ac:dyDescent="0.25">
      <c r="A7731" s="66"/>
    </row>
    <row r="7732" spans="1:1" x14ac:dyDescent="0.25">
      <c r="A7732" s="66"/>
    </row>
    <row r="7733" spans="1:1" x14ac:dyDescent="0.25">
      <c r="A7733" s="66"/>
    </row>
    <row r="7734" spans="1:1" x14ac:dyDescent="0.25">
      <c r="A7734" s="66"/>
    </row>
    <row r="7735" spans="1:1" x14ac:dyDescent="0.25">
      <c r="A7735" s="66"/>
    </row>
    <row r="7736" spans="1:1" x14ac:dyDescent="0.25">
      <c r="A7736" s="66"/>
    </row>
    <row r="7737" spans="1:1" x14ac:dyDescent="0.25">
      <c r="A7737" s="66"/>
    </row>
    <row r="7738" spans="1:1" x14ac:dyDescent="0.25">
      <c r="A7738" s="66"/>
    </row>
    <row r="7739" spans="1:1" x14ac:dyDescent="0.25">
      <c r="A7739" s="66"/>
    </row>
    <row r="7740" spans="1:1" x14ac:dyDescent="0.25">
      <c r="A7740" s="66"/>
    </row>
    <row r="7741" spans="1:1" x14ac:dyDescent="0.25">
      <c r="A7741" s="66"/>
    </row>
    <row r="7742" spans="1:1" x14ac:dyDescent="0.25">
      <c r="A7742" s="66"/>
    </row>
    <row r="7743" spans="1:1" x14ac:dyDescent="0.25">
      <c r="A7743" s="66"/>
    </row>
    <row r="7744" spans="1:1" x14ac:dyDescent="0.25">
      <c r="A7744" s="66"/>
    </row>
    <row r="7745" spans="1:1" x14ac:dyDescent="0.25">
      <c r="A7745" s="66"/>
    </row>
    <row r="7746" spans="1:1" x14ac:dyDescent="0.25">
      <c r="A7746" s="66"/>
    </row>
    <row r="7747" spans="1:1" x14ac:dyDescent="0.25">
      <c r="A7747" s="66"/>
    </row>
    <row r="7748" spans="1:1" x14ac:dyDescent="0.25">
      <c r="A7748" s="66"/>
    </row>
    <row r="7749" spans="1:1" x14ac:dyDescent="0.25">
      <c r="A7749" s="66"/>
    </row>
    <row r="7750" spans="1:1" x14ac:dyDescent="0.25">
      <c r="A7750" s="66"/>
    </row>
    <row r="7751" spans="1:1" x14ac:dyDescent="0.25">
      <c r="A7751" s="66"/>
    </row>
    <row r="7752" spans="1:1" x14ac:dyDescent="0.25">
      <c r="A7752" s="66"/>
    </row>
    <row r="7753" spans="1:1" x14ac:dyDescent="0.25">
      <c r="A7753" s="66"/>
    </row>
    <row r="7754" spans="1:1" x14ac:dyDescent="0.25">
      <c r="A7754" s="66"/>
    </row>
    <row r="7755" spans="1:1" x14ac:dyDescent="0.25">
      <c r="A7755" s="66"/>
    </row>
    <row r="7756" spans="1:1" x14ac:dyDescent="0.25">
      <c r="A7756" s="66"/>
    </row>
    <row r="7757" spans="1:1" x14ac:dyDescent="0.25">
      <c r="A7757" s="66"/>
    </row>
    <row r="7758" spans="1:1" x14ac:dyDescent="0.25">
      <c r="A7758" s="66"/>
    </row>
    <row r="7759" spans="1:1" x14ac:dyDescent="0.25">
      <c r="A7759" s="66"/>
    </row>
    <row r="7760" spans="1:1" x14ac:dyDescent="0.25">
      <c r="A7760" s="66"/>
    </row>
    <row r="7761" spans="1:1" x14ac:dyDescent="0.25">
      <c r="A7761" s="66"/>
    </row>
    <row r="7762" spans="1:1" x14ac:dyDescent="0.25">
      <c r="A7762" s="66"/>
    </row>
    <row r="7763" spans="1:1" x14ac:dyDescent="0.25">
      <c r="A7763" s="66"/>
    </row>
    <row r="7764" spans="1:1" x14ac:dyDescent="0.25">
      <c r="A7764" s="66"/>
    </row>
    <row r="7765" spans="1:1" x14ac:dyDescent="0.25">
      <c r="A7765" s="66"/>
    </row>
    <row r="7766" spans="1:1" x14ac:dyDescent="0.25">
      <c r="A7766" s="66"/>
    </row>
    <row r="7767" spans="1:1" x14ac:dyDescent="0.25">
      <c r="A7767" s="66"/>
    </row>
    <row r="7768" spans="1:1" x14ac:dyDescent="0.25">
      <c r="A7768" s="66"/>
    </row>
    <row r="7769" spans="1:1" x14ac:dyDescent="0.25">
      <c r="A7769" s="66"/>
    </row>
    <row r="7770" spans="1:1" x14ac:dyDescent="0.25">
      <c r="A7770" s="66"/>
    </row>
    <row r="7771" spans="1:1" x14ac:dyDescent="0.25">
      <c r="A7771" s="66"/>
    </row>
    <row r="7772" spans="1:1" x14ac:dyDescent="0.25">
      <c r="A7772" s="66"/>
    </row>
    <row r="7773" spans="1:1" x14ac:dyDescent="0.25">
      <c r="A7773" s="66"/>
    </row>
    <row r="7774" spans="1:1" x14ac:dyDescent="0.25">
      <c r="A7774" s="66"/>
    </row>
    <row r="7775" spans="1:1" x14ac:dyDescent="0.25">
      <c r="A7775" s="66"/>
    </row>
    <row r="7776" spans="1:1" x14ac:dyDescent="0.25">
      <c r="A7776" s="66"/>
    </row>
    <row r="7777" spans="1:1" x14ac:dyDescent="0.25">
      <c r="A7777" s="66"/>
    </row>
    <row r="7778" spans="1:1" x14ac:dyDescent="0.25">
      <c r="A7778" s="66"/>
    </row>
    <row r="7779" spans="1:1" x14ac:dyDescent="0.25">
      <c r="A7779" s="66"/>
    </row>
    <row r="7780" spans="1:1" x14ac:dyDescent="0.25">
      <c r="A7780" s="66"/>
    </row>
    <row r="7781" spans="1:1" x14ac:dyDescent="0.25">
      <c r="A7781" s="66"/>
    </row>
    <row r="7782" spans="1:1" x14ac:dyDescent="0.25">
      <c r="A7782" s="66"/>
    </row>
    <row r="7783" spans="1:1" x14ac:dyDescent="0.25">
      <c r="A7783" s="66"/>
    </row>
    <row r="7784" spans="1:1" x14ac:dyDescent="0.25">
      <c r="A7784" s="66"/>
    </row>
    <row r="7785" spans="1:1" x14ac:dyDescent="0.25">
      <c r="A7785" s="66"/>
    </row>
    <row r="7786" spans="1:1" x14ac:dyDescent="0.25">
      <c r="A7786" s="66"/>
    </row>
    <row r="7787" spans="1:1" x14ac:dyDescent="0.25">
      <c r="A7787" s="66"/>
    </row>
    <row r="7788" spans="1:1" x14ac:dyDescent="0.25">
      <c r="A7788" s="66"/>
    </row>
    <row r="7789" spans="1:1" x14ac:dyDescent="0.25">
      <c r="A7789" s="66"/>
    </row>
    <row r="7790" spans="1:1" x14ac:dyDescent="0.25">
      <c r="A7790" s="66"/>
    </row>
    <row r="7791" spans="1:1" x14ac:dyDescent="0.25">
      <c r="A7791" s="66"/>
    </row>
    <row r="7792" spans="1:1" x14ac:dyDescent="0.25">
      <c r="A7792" s="66"/>
    </row>
    <row r="7793" spans="1:1" x14ac:dyDescent="0.25">
      <c r="A7793" s="66"/>
    </row>
    <row r="7794" spans="1:1" x14ac:dyDescent="0.25">
      <c r="A7794" s="66"/>
    </row>
    <row r="7795" spans="1:1" x14ac:dyDescent="0.25">
      <c r="A7795" s="66"/>
    </row>
    <row r="7796" spans="1:1" x14ac:dyDescent="0.25">
      <c r="A7796" s="66"/>
    </row>
    <row r="7797" spans="1:1" x14ac:dyDescent="0.25">
      <c r="A7797" s="66"/>
    </row>
    <row r="7798" spans="1:1" x14ac:dyDescent="0.25">
      <c r="A7798" s="66"/>
    </row>
    <row r="7799" spans="1:1" x14ac:dyDescent="0.25">
      <c r="A7799" s="66"/>
    </row>
    <row r="7800" spans="1:1" x14ac:dyDescent="0.25">
      <c r="A7800" s="66"/>
    </row>
    <row r="7801" spans="1:1" x14ac:dyDescent="0.25">
      <c r="A7801" s="66"/>
    </row>
    <row r="7802" spans="1:1" x14ac:dyDescent="0.25">
      <c r="A7802" s="66"/>
    </row>
    <row r="7803" spans="1:1" x14ac:dyDescent="0.25">
      <c r="A7803" s="66"/>
    </row>
    <row r="7804" spans="1:1" x14ac:dyDescent="0.25">
      <c r="A7804" s="66"/>
    </row>
    <row r="7805" spans="1:1" x14ac:dyDescent="0.25">
      <c r="A7805" s="66"/>
    </row>
    <row r="7806" spans="1:1" x14ac:dyDescent="0.25">
      <c r="A7806" s="66"/>
    </row>
    <row r="7807" spans="1:1" x14ac:dyDescent="0.25">
      <c r="A7807" s="66"/>
    </row>
    <row r="7808" spans="1:1" x14ac:dyDescent="0.25">
      <c r="A7808" s="66"/>
    </row>
    <row r="7809" spans="1:1" x14ac:dyDescent="0.25">
      <c r="A7809" s="66"/>
    </row>
    <row r="7810" spans="1:1" x14ac:dyDescent="0.25">
      <c r="A7810" s="66"/>
    </row>
    <row r="7811" spans="1:1" x14ac:dyDescent="0.25">
      <c r="A7811" s="66"/>
    </row>
    <row r="7812" spans="1:1" x14ac:dyDescent="0.25">
      <c r="A7812" s="66"/>
    </row>
    <row r="7813" spans="1:1" x14ac:dyDescent="0.25">
      <c r="A7813" s="66"/>
    </row>
    <row r="7814" spans="1:1" x14ac:dyDescent="0.25">
      <c r="A7814" s="66"/>
    </row>
    <row r="7815" spans="1:1" x14ac:dyDescent="0.25">
      <c r="A7815" s="66"/>
    </row>
    <row r="7816" spans="1:1" x14ac:dyDescent="0.25">
      <c r="A7816" s="66"/>
    </row>
    <row r="7817" spans="1:1" x14ac:dyDescent="0.25">
      <c r="A7817" s="66"/>
    </row>
    <row r="7818" spans="1:1" x14ac:dyDescent="0.25">
      <c r="A7818" s="66"/>
    </row>
    <row r="7819" spans="1:1" x14ac:dyDescent="0.25">
      <c r="A7819" s="66"/>
    </row>
    <row r="7820" spans="1:1" x14ac:dyDescent="0.25">
      <c r="A7820" s="66"/>
    </row>
    <row r="7821" spans="1:1" x14ac:dyDescent="0.25">
      <c r="A7821" s="66"/>
    </row>
    <row r="7822" spans="1:1" x14ac:dyDescent="0.25">
      <c r="A7822" s="66"/>
    </row>
    <row r="7823" spans="1:1" x14ac:dyDescent="0.25">
      <c r="A7823" s="66"/>
    </row>
    <row r="7824" spans="1:1" x14ac:dyDescent="0.25">
      <c r="A7824" s="66"/>
    </row>
    <row r="7825" spans="1:1" x14ac:dyDescent="0.25">
      <c r="A7825" s="66"/>
    </row>
    <row r="7826" spans="1:1" x14ac:dyDescent="0.25">
      <c r="A7826" s="66"/>
    </row>
    <row r="7827" spans="1:1" x14ac:dyDescent="0.25">
      <c r="A7827" s="66"/>
    </row>
    <row r="7828" spans="1:1" x14ac:dyDescent="0.25">
      <c r="A7828" s="66"/>
    </row>
    <row r="7829" spans="1:1" x14ac:dyDescent="0.25">
      <c r="A7829" s="66"/>
    </row>
    <row r="7830" spans="1:1" x14ac:dyDescent="0.25">
      <c r="A7830" s="66"/>
    </row>
    <row r="7831" spans="1:1" x14ac:dyDescent="0.25">
      <c r="A7831" s="66"/>
    </row>
    <row r="7832" spans="1:1" x14ac:dyDescent="0.25">
      <c r="A7832" s="66"/>
    </row>
    <row r="7833" spans="1:1" x14ac:dyDescent="0.25">
      <c r="A7833" s="66"/>
    </row>
    <row r="7834" spans="1:1" x14ac:dyDescent="0.25">
      <c r="A7834" s="66"/>
    </row>
    <row r="7835" spans="1:1" x14ac:dyDescent="0.25">
      <c r="A7835" s="66"/>
    </row>
    <row r="7836" spans="1:1" x14ac:dyDescent="0.25">
      <c r="A7836" s="66"/>
    </row>
    <row r="7837" spans="1:1" x14ac:dyDescent="0.25">
      <c r="A7837" s="66"/>
    </row>
    <row r="7838" spans="1:1" x14ac:dyDescent="0.25">
      <c r="A7838" s="66"/>
    </row>
    <row r="7839" spans="1:1" x14ac:dyDescent="0.25">
      <c r="A7839" s="66"/>
    </row>
    <row r="7840" spans="1:1" x14ac:dyDescent="0.25">
      <c r="A7840" s="66"/>
    </row>
    <row r="7841" spans="1:1" x14ac:dyDescent="0.25">
      <c r="A7841" s="66"/>
    </row>
    <row r="7842" spans="1:1" x14ac:dyDescent="0.25">
      <c r="A7842" s="66"/>
    </row>
    <row r="7843" spans="1:1" x14ac:dyDescent="0.25">
      <c r="A7843" s="66"/>
    </row>
    <row r="7844" spans="1:1" x14ac:dyDescent="0.25">
      <c r="A7844" s="66"/>
    </row>
    <row r="7845" spans="1:1" x14ac:dyDescent="0.25">
      <c r="A7845" s="66"/>
    </row>
    <row r="7846" spans="1:1" x14ac:dyDescent="0.25">
      <c r="A7846" s="66"/>
    </row>
    <row r="7847" spans="1:1" x14ac:dyDescent="0.25">
      <c r="A7847" s="66"/>
    </row>
    <row r="7848" spans="1:1" x14ac:dyDescent="0.25">
      <c r="A7848" s="66"/>
    </row>
    <row r="7849" spans="1:1" x14ac:dyDescent="0.25">
      <c r="A7849" s="66"/>
    </row>
    <row r="7850" spans="1:1" x14ac:dyDescent="0.25">
      <c r="A7850" s="66"/>
    </row>
    <row r="7851" spans="1:1" x14ac:dyDescent="0.25">
      <c r="A7851" s="66"/>
    </row>
    <row r="7852" spans="1:1" x14ac:dyDescent="0.25">
      <c r="A7852" s="66"/>
    </row>
    <row r="7853" spans="1:1" x14ac:dyDescent="0.25">
      <c r="A7853" s="66"/>
    </row>
    <row r="7854" spans="1:1" x14ac:dyDescent="0.25">
      <c r="A7854" s="66"/>
    </row>
    <row r="7855" spans="1:1" x14ac:dyDescent="0.25">
      <c r="A7855" s="66"/>
    </row>
    <row r="7856" spans="1:1" x14ac:dyDescent="0.25">
      <c r="A7856" s="66"/>
    </row>
    <row r="7857" spans="1:1" x14ac:dyDescent="0.25">
      <c r="A7857" s="66"/>
    </row>
    <row r="7858" spans="1:1" x14ac:dyDescent="0.25">
      <c r="A7858" s="66"/>
    </row>
    <row r="7859" spans="1:1" x14ac:dyDescent="0.25">
      <c r="A7859" s="66"/>
    </row>
    <row r="7860" spans="1:1" x14ac:dyDescent="0.25">
      <c r="A7860" s="66"/>
    </row>
    <row r="7861" spans="1:1" x14ac:dyDescent="0.25">
      <c r="A7861" s="66"/>
    </row>
    <row r="7862" spans="1:1" x14ac:dyDescent="0.25">
      <c r="A7862" s="66"/>
    </row>
    <row r="7863" spans="1:1" x14ac:dyDescent="0.25">
      <c r="A7863" s="66"/>
    </row>
    <row r="7864" spans="1:1" x14ac:dyDescent="0.25">
      <c r="A7864" s="66"/>
    </row>
    <row r="7865" spans="1:1" x14ac:dyDescent="0.25">
      <c r="A7865" s="66"/>
    </row>
    <row r="7866" spans="1:1" x14ac:dyDescent="0.25">
      <c r="A7866" s="66"/>
    </row>
    <row r="7867" spans="1:1" x14ac:dyDescent="0.25">
      <c r="A7867" s="66"/>
    </row>
    <row r="7868" spans="1:1" x14ac:dyDescent="0.25">
      <c r="A7868" s="66"/>
    </row>
    <row r="7869" spans="1:1" x14ac:dyDescent="0.25">
      <c r="A7869" s="66"/>
    </row>
    <row r="7870" spans="1:1" x14ac:dyDescent="0.25">
      <c r="A7870" s="66"/>
    </row>
    <row r="7871" spans="1:1" x14ac:dyDescent="0.25">
      <c r="A7871" s="66"/>
    </row>
    <row r="7872" spans="1:1" x14ac:dyDescent="0.25">
      <c r="A7872" s="66"/>
    </row>
    <row r="7873" spans="1:1" x14ac:dyDescent="0.25">
      <c r="A7873" s="66"/>
    </row>
    <row r="7874" spans="1:1" x14ac:dyDescent="0.25">
      <c r="A7874" s="66"/>
    </row>
    <row r="7875" spans="1:1" x14ac:dyDescent="0.25">
      <c r="A7875" s="66"/>
    </row>
    <row r="7876" spans="1:1" x14ac:dyDescent="0.25">
      <c r="A7876" s="66"/>
    </row>
    <row r="7877" spans="1:1" x14ac:dyDescent="0.25">
      <c r="A7877" s="66"/>
    </row>
    <row r="7878" spans="1:1" x14ac:dyDescent="0.25">
      <c r="A7878" s="66"/>
    </row>
    <row r="7879" spans="1:1" x14ac:dyDescent="0.25">
      <c r="A7879" s="66"/>
    </row>
    <row r="7880" spans="1:1" x14ac:dyDescent="0.25">
      <c r="A7880" s="66"/>
    </row>
    <row r="7881" spans="1:1" x14ac:dyDescent="0.25">
      <c r="A7881" s="66"/>
    </row>
    <row r="7882" spans="1:1" x14ac:dyDescent="0.25">
      <c r="A7882" s="66"/>
    </row>
    <row r="7883" spans="1:1" x14ac:dyDescent="0.25">
      <c r="A7883" s="66"/>
    </row>
    <row r="7884" spans="1:1" x14ac:dyDescent="0.25">
      <c r="A7884" s="66"/>
    </row>
    <row r="7885" spans="1:1" x14ac:dyDescent="0.25">
      <c r="A7885" s="66"/>
    </row>
    <row r="7886" spans="1:1" x14ac:dyDescent="0.25">
      <c r="A7886" s="66"/>
    </row>
    <row r="7887" spans="1:1" x14ac:dyDescent="0.25">
      <c r="A7887" s="66"/>
    </row>
    <row r="7888" spans="1:1" x14ac:dyDescent="0.25">
      <c r="A7888" s="66"/>
    </row>
    <row r="7889" spans="1:1" x14ac:dyDescent="0.25">
      <c r="A7889" s="66"/>
    </row>
    <row r="7890" spans="1:1" x14ac:dyDescent="0.25">
      <c r="A7890" s="66"/>
    </row>
    <row r="7891" spans="1:1" x14ac:dyDescent="0.25">
      <c r="A7891" s="66"/>
    </row>
    <row r="7892" spans="1:1" x14ac:dyDescent="0.25">
      <c r="A7892" s="66"/>
    </row>
    <row r="7893" spans="1:1" x14ac:dyDescent="0.25">
      <c r="A7893" s="66"/>
    </row>
    <row r="7894" spans="1:1" x14ac:dyDescent="0.25">
      <c r="A7894" s="66"/>
    </row>
    <row r="7895" spans="1:1" x14ac:dyDescent="0.25">
      <c r="A7895" s="66"/>
    </row>
    <row r="7896" spans="1:1" x14ac:dyDescent="0.25">
      <c r="A7896" s="66"/>
    </row>
    <row r="7897" spans="1:1" x14ac:dyDescent="0.25">
      <c r="A7897" s="66"/>
    </row>
    <row r="7898" spans="1:1" x14ac:dyDescent="0.25">
      <c r="A7898" s="66"/>
    </row>
    <row r="7899" spans="1:1" x14ac:dyDescent="0.25">
      <c r="A7899" s="66"/>
    </row>
    <row r="7900" spans="1:1" x14ac:dyDescent="0.25">
      <c r="A7900" s="66"/>
    </row>
    <row r="7901" spans="1:1" x14ac:dyDescent="0.25">
      <c r="A7901" s="66"/>
    </row>
    <row r="7902" spans="1:1" x14ac:dyDescent="0.25">
      <c r="A7902" s="66"/>
    </row>
    <row r="7903" spans="1:1" x14ac:dyDescent="0.25">
      <c r="A7903" s="66"/>
    </row>
    <row r="7904" spans="1:1" x14ac:dyDescent="0.25">
      <c r="A7904" s="66"/>
    </row>
    <row r="7905" spans="1:1" x14ac:dyDescent="0.25">
      <c r="A7905" s="66"/>
    </row>
    <row r="7906" spans="1:1" x14ac:dyDescent="0.25">
      <c r="A7906" s="66"/>
    </row>
    <row r="7907" spans="1:1" x14ac:dyDescent="0.25">
      <c r="A7907" s="66"/>
    </row>
    <row r="7908" spans="1:1" x14ac:dyDescent="0.25">
      <c r="A7908" s="66"/>
    </row>
    <row r="7909" spans="1:1" x14ac:dyDescent="0.25">
      <c r="A7909" s="66"/>
    </row>
    <row r="7910" spans="1:1" x14ac:dyDescent="0.25">
      <c r="A7910" s="66"/>
    </row>
    <row r="7911" spans="1:1" x14ac:dyDescent="0.25">
      <c r="A7911" s="66"/>
    </row>
    <row r="7912" spans="1:1" x14ac:dyDescent="0.25">
      <c r="A7912" s="66"/>
    </row>
    <row r="7913" spans="1:1" x14ac:dyDescent="0.25">
      <c r="A7913" s="66"/>
    </row>
    <row r="7914" spans="1:1" x14ac:dyDescent="0.25">
      <c r="A7914" s="66"/>
    </row>
    <row r="7915" spans="1:1" x14ac:dyDescent="0.25">
      <c r="A7915" s="66"/>
    </row>
    <row r="7916" spans="1:1" x14ac:dyDescent="0.25">
      <c r="A7916" s="66"/>
    </row>
    <row r="7917" spans="1:1" x14ac:dyDescent="0.25">
      <c r="A7917" s="66"/>
    </row>
    <row r="7918" spans="1:1" x14ac:dyDescent="0.25">
      <c r="A7918" s="66"/>
    </row>
    <row r="7919" spans="1:1" x14ac:dyDescent="0.25">
      <c r="A7919" s="66"/>
    </row>
    <row r="7920" spans="1:1" x14ac:dyDescent="0.25">
      <c r="A7920" s="66"/>
    </row>
    <row r="7921" spans="1:1" x14ac:dyDescent="0.25">
      <c r="A7921" s="66"/>
    </row>
    <row r="7922" spans="1:1" x14ac:dyDescent="0.25">
      <c r="A7922" s="66"/>
    </row>
    <row r="7923" spans="1:1" x14ac:dyDescent="0.25">
      <c r="A7923" s="66"/>
    </row>
    <row r="7924" spans="1:1" x14ac:dyDescent="0.25">
      <c r="A7924" s="66"/>
    </row>
    <row r="7925" spans="1:1" x14ac:dyDescent="0.25">
      <c r="A7925" s="66"/>
    </row>
    <row r="7926" spans="1:1" x14ac:dyDescent="0.25">
      <c r="A7926" s="66"/>
    </row>
    <row r="7927" spans="1:1" x14ac:dyDescent="0.25">
      <c r="A7927" s="66"/>
    </row>
    <row r="7928" spans="1:1" x14ac:dyDescent="0.25">
      <c r="A7928" s="66"/>
    </row>
    <row r="7929" spans="1:1" x14ac:dyDescent="0.25">
      <c r="A7929" s="66"/>
    </row>
    <row r="7930" spans="1:1" x14ac:dyDescent="0.25">
      <c r="A7930" s="66"/>
    </row>
    <row r="7931" spans="1:1" x14ac:dyDescent="0.25">
      <c r="A7931" s="66"/>
    </row>
    <row r="7932" spans="1:1" x14ac:dyDescent="0.25">
      <c r="A7932" s="66"/>
    </row>
    <row r="7933" spans="1:1" x14ac:dyDescent="0.25">
      <c r="A7933" s="66"/>
    </row>
    <row r="7934" spans="1:1" x14ac:dyDescent="0.25">
      <c r="A7934" s="66"/>
    </row>
    <row r="7935" spans="1:1" x14ac:dyDescent="0.25">
      <c r="A7935" s="66"/>
    </row>
    <row r="7936" spans="1:1" x14ac:dyDescent="0.25">
      <c r="A7936" s="66"/>
    </row>
    <row r="7937" spans="1:1" x14ac:dyDescent="0.25">
      <c r="A7937" s="66"/>
    </row>
    <row r="7938" spans="1:1" x14ac:dyDescent="0.25">
      <c r="A7938" s="66"/>
    </row>
    <row r="7939" spans="1:1" x14ac:dyDescent="0.25">
      <c r="A7939" s="66"/>
    </row>
    <row r="7940" spans="1:1" x14ac:dyDescent="0.25">
      <c r="A7940" s="66"/>
    </row>
    <row r="7941" spans="1:1" x14ac:dyDescent="0.25">
      <c r="A7941" s="66"/>
    </row>
    <row r="7942" spans="1:1" x14ac:dyDescent="0.25">
      <c r="A7942" s="66"/>
    </row>
    <row r="7943" spans="1:1" x14ac:dyDescent="0.25">
      <c r="A7943" s="66"/>
    </row>
    <row r="7944" spans="1:1" x14ac:dyDescent="0.25">
      <c r="A7944" s="66"/>
    </row>
    <row r="7945" spans="1:1" x14ac:dyDescent="0.25">
      <c r="A7945" s="66"/>
    </row>
    <row r="7946" spans="1:1" x14ac:dyDescent="0.25">
      <c r="A7946" s="66"/>
    </row>
    <row r="7947" spans="1:1" x14ac:dyDescent="0.25">
      <c r="A7947" s="66"/>
    </row>
    <row r="7948" spans="1:1" x14ac:dyDescent="0.25">
      <c r="A7948" s="66"/>
    </row>
    <row r="7949" spans="1:1" x14ac:dyDescent="0.25">
      <c r="A7949" s="66"/>
    </row>
    <row r="7950" spans="1:1" x14ac:dyDescent="0.25">
      <c r="A7950" s="66"/>
    </row>
    <row r="7951" spans="1:1" x14ac:dyDescent="0.25">
      <c r="A7951" s="66"/>
    </row>
    <row r="7952" spans="1:1" x14ac:dyDescent="0.25">
      <c r="A7952" s="66"/>
    </row>
    <row r="7953" spans="1:1" x14ac:dyDescent="0.25">
      <c r="A7953" s="66"/>
    </row>
    <row r="7954" spans="1:1" x14ac:dyDescent="0.25">
      <c r="A7954" s="66"/>
    </row>
    <row r="7955" spans="1:1" x14ac:dyDescent="0.25">
      <c r="A7955" s="66"/>
    </row>
    <row r="7956" spans="1:1" x14ac:dyDescent="0.25">
      <c r="A7956" s="66"/>
    </row>
    <row r="7957" spans="1:1" x14ac:dyDescent="0.25">
      <c r="A7957" s="66"/>
    </row>
    <row r="7958" spans="1:1" x14ac:dyDescent="0.25">
      <c r="A7958" s="66"/>
    </row>
    <row r="7959" spans="1:1" x14ac:dyDescent="0.25">
      <c r="A7959" s="66"/>
    </row>
    <row r="7960" spans="1:1" x14ac:dyDescent="0.25">
      <c r="A7960" s="66"/>
    </row>
    <row r="7961" spans="1:1" x14ac:dyDescent="0.25">
      <c r="A7961" s="66"/>
    </row>
    <row r="7962" spans="1:1" x14ac:dyDescent="0.25">
      <c r="A7962" s="66"/>
    </row>
    <row r="7963" spans="1:1" x14ac:dyDescent="0.25">
      <c r="A7963" s="66"/>
    </row>
    <row r="7964" spans="1:1" x14ac:dyDescent="0.25">
      <c r="A7964" s="66"/>
    </row>
    <row r="7965" spans="1:1" x14ac:dyDescent="0.25">
      <c r="A7965" s="66"/>
    </row>
    <row r="7966" spans="1:1" x14ac:dyDescent="0.25">
      <c r="A7966" s="66"/>
    </row>
    <row r="7967" spans="1:1" x14ac:dyDescent="0.25">
      <c r="A7967" s="66"/>
    </row>
    <row r="7968" spans="1:1" x14ac:dyDescent="0.25">
      <c r="A7968" s="66"/>
    </row>
    <row r="7969" spans="1:1" x14ac:dyDescent="0.25">
      <c r="A7969" s="66"/>
    </row>
    <row r="7970" spans="1:1" x14ac:dyDescent="0.25">
      <c r="A7970" s="66"/>
    </row>
    <row r="7971" spans="1:1" x14ac:dyDescent="0.25">
      <c r="A7971" s="66"/>
    </row>
    <row r="7972" spans="1:1" x14ac:dyDescent="0.25">
      <c r="A7972" s="66"/>
    </row>
    <row r="7973" spans="1:1" x14ac:dyDescent="0.25">
      <c r="A7973" s="66"/>
    </row>
    <row r="7974" spans="1:1" x14ac:dyDescent="0.25">
      <c r="A7974" s="66"/>
    </row>
    <row r="7975" spans="1:1" x14ac:dyDescent="0.25">
      <c r="A7975" s="66"/>
    </row>
    <row r="7976" spans="1:1" x14ac:dyDescent="0.25">
      <c r="A7976" s="66"/>
    </row>
    <row r="7977" spans="1:1" x14ac:dyDescent="0.25">
      <c r="A7977" s="66"/>
    </row>
    <row r="7978" spans="1:1" x14ac:dyDescent="0.25">
      <c r="A7978" s="66"/>
    </row>
    <row r="7979" spans="1:1" x14ac:dyDescent="0.25">
      <c r="A7979" s="66"/>
    </row>
    <row r="7980" spans="1:1" x14ac:dyDescent="0.25">
      <c r="A7980" s="66"/>
    </row>
    <row r="7981" spans="1:1" x14ac:dyDescent="0.25">
      <c r="A7981" s="66"/>
    </row>
    <row r="7982" spans="1:1" x14ac:dyDescent="0.25">
      <c r="A7982" s="66"/>
    </row>
    <row r="7983" spans="1:1" x14ac:dyDescent="0.25">
      <c r="A7983" s="66"/>
    </row>
    <row r="7984" spans="1:1" x14ac:dyDescent="0.25">
      <c r="A7984" s="66"/>
    </row>
    <row r="7985" spans="1:1" x14ac:dyDescent="0.25">
      <c r="A7985" s="66"/>
    </row>
    <row r="7986" spans="1:1" x14ac:dyDescent="0.25">
      <c r="A7986" s="66"/>
    </row>
    <row r="7987" spans="1:1" x14ac:dyDescent="0.25">
      <c r="A7987" s="66"/>
    </row>
    <row r="7988" spans="1:1" x14ac:dyDescent="0.25">
      <c r="A7988" s="66"/>
    </row>
    <row r="7989" spans="1:1" x14ac:dyDescent="0.25">
      <c r="A7989" s="66"/>
    </row>
    <row r="7990" spans="1:1" x14ac:dyDescent="0.25">
      <c r="A7990" s="66"/>
    </row>
    <row r="7991" spans="1:1" x14ac:dyDescent="0.25">
      <c r="A7991" s="66"/>
    </row>
    <row r="7992" spans="1:1" x14ac:dyDescent="0.25">
      <c r="A7992" s="66"/>
    </row>
    <row r="7993" spans="1:1" x14ac:dyDescent="0.25">
      <c r="A7993" s="66"/>
    </row>
    <row r="7994" spans="1:1" x14ac:dyDescent="0.25">
      <c r="A7994" s="66"/>
    </row>
    <row r="7995" spans="1:1" x14ac:dyDescent="0.25">
      <c r="A7995" s="66"/>
    </row>
    <row r="7996" spans="1:1" x14ac:dyDescent="0.25">
      <c r="A7996" s="66"/>
    </row>
    <row r="7997" spans="1:1" x14ac:dyDescent="0.25">
      <c r="A7997" s="66"/>
    </row>
    <row r="7998" spans="1:1" x14ac:dyDescent="0.25">
      <c r="A7998" s="66"/>
    </row>
    <row r="7999" spans="1:1" x14ac:dyDescent="0.25">
      <c r="A7999" s="66"/>
    </row>
    <row r="8000" spans="1:1" x14ac:dyDescent="0.25">
      <c r="A8000" s="66"/>
    </row>
    <row r="8001" spans="1:1" x14ac:dyDescent="0.25">
      <c r="A8001" s="66"/>
    </row>
    <row r="8002" spans="1:1" x14ac:dyDescent="0.25">
      <c r="A8002" s="66"/>
    </row>
    <row r="8003" spans="1:1" x14ac:dyDescent="0.25">
      <c r="A8003" s="66"/>
    </row>
    <row r="8004" spans="1:1" x14ac:dyDescent="0.25">
      <c r="A8004" s="66"/>
    </row>
    <row r="8005" spans="1:1" x14ac:dyDescent="0.25">
      <c r="A8005" s="66"/>
    </row>
    <row r="8006" spans="1:1" x14ac:dyDescent="0.25">
      <c r="A8006" s="66"/>
    </row>
    <row r="8007" spans="1:1" x14ac:dyDescent="0.25">
      <c r="A8007" s="66"/>
    </row>
    <row r="8008" spans="1:1" x14ac:dyDescent="0.25">
      <c r="A8008" s="66"/>
    </row>
    <row r="8009" spans="1:1" x14ac:dyDescent="0.25">
      <c r="A8009" s="66"/>
    </row>
    <row r="8010" spans="1:1" x14ac:dyDescent="0.25">
      <c r="A8010" s="66"/>
    </row>
    <row r="8011" spans="1:1" x14ac:dyDescent="0.25">
      <c r="A8011" s="66"/>
    </row>
    <row r="8012" spans="1:1" x14ac:dyDescent="0.25">
      <c r="A8012" s="66"/>
    </row>
    <row r="8013" spans="1:1" x14ac:dyDescent="0.25">
      <c r="A8013" s="66"/>
    </row>
    <row r="8014" spans="1:1" x14ac:dyDescent="0.25">
      <c r="A8014" s="66"/>
    </row>
    <row r="8015" spans="1:1" x14ac:dyDescent="0.25">
      <c r="A8015" s="66"/>
    </row>
    <row r="8016" spans="1:1" x14ac:dyDescent="0.25">
      <c r="A8016" s="66"/>
    </row>
    <row r="8017" spans="1:1" x14ac:dyDescent="0.25">
      <c r="A8017" s="66"/>
    </row>
    <row r="8018" spans="1:1" x14ac:dyDescent="0.25">
      <c r="A8018" s="66"/>
    </row>
    <row r="8019" spans="1:1" x14ac:dyDescent="0.25">
      <c r="A8019" s="66"/>
    </row>
    <row r="8020" spans="1:1" x14ac:dyDescent="0.25">
      <c r="A8020" s="66"/>
    </row>
    <row r="8021" spans="1:1" x14ac:dyDescent="0.25">
      <c r="A8021" s="66"/>
    </row>
    <row r="8022" spans="1:1" x14ac:dyDescent="0.25">
      <c r="A8022" s="66"/>
    </row>
    <row r="8023" spans="1:1" x14ac:dyDescent="0.25">
      <c r="A8023" s="66"/>
    </row>
    <row r="8024" spans="1:1" x14ac:dyDescent="0.25">
      <c r="A8024" s="66"/>
    </row>
    <row r="8025" spans="1:1" x14ac:dyDescent="0.25">
      <c r="A8025" s="66"/>
    </row>
    <row r="8026" spans="1:1" x14ac:dyDescent="0.25">
      <c r="A8026" s="66"/>
    </row>
    <row r="8027" spans="1:1" x14ac:dyDescent="0.25">
      <c r="A8027" s="66"/>
    </row>
    <row r="8028" spans="1:1" x14ac:dyDescent="0.25">
      <c r="A8028" s="66"/>
    </row>
    <row r="8029" spans="1:1" x14ac:dyDescent="0.25">
      <c r="A8029" s="66"/>
    </row>
    <row r="8030" spans="1:1" x14ac:dyDescent="0.25">
      <c r="A8030" s="66"/>
    </row>
    <row r="8031" spans="1:1" x14ac:dyDescent="0.25">
      <c r="A8031" s="66"/>
    </row>
    <row r="8032" spans="1:1" x14ac:dyDescent="0.25">
      <c r="A8032" s="66"/>
    </row>
    <row r="8033" spans="1:1" x14ac:dyDescent="0.25">
      <c r="A8033" s="66"/>
    </row>
    <row r="8034" spans="1:1" x14ac:dyDescent="0.25">
      <c r="A8034" s="66"/>
    </row>
    <row r="8035" spans="1:1" x14ac:dyDescent="0.25">
      <c r="A8035" s="66"/>
    </row>
    <row r="8036" spans="1:1" x14ac:dyDescent="0.25">
      <c r="A8036" s="66"/>
    </row>
    <row r="8037" spans="1:1" x14ac:dyDescent="0.25">
      <c r="A8037" s="66"/>
    </row>
    <row r="8038" spans="1:1" x14ac:dyDescent="0.25">
      <c r="A8038" s="66"/>
    </row>
    <row r="8039" spans="1:1" x14ac:dyDescent="0.25">
      <c r="A8039" s="66"/>
    </row>
    <row r="8040" spans="1:1" x14ac:dyDescent="0.25">
      <c r="A8040" s="66"/>
    </row>
    <row r="8041" spans="1:1" x14ac:dyDescent="0.25">
      <c r="A8041" s="66"/>
    </row>
    <row r="8042" spans="1:1" x14ac:dyDescent="0.25">
      <c r="A8042" s="66"/>
    </row>
    <row r="8043" spans="1:1" x14ac:dyDescent="0.25">
      <c r="A8043" s="66"/>
    </row>
    <row r="8044" spans="1:1" x14ac:dyDescent="0.25">
      <c r="A8044" s="66"/>
    </row>
    <row r="8045" spans="1:1" x14ac:dyDescent="0.25">
      <c r="A8045" s="66"/>
    </row>
    <row r="8046" spans="1:1" x14ac:dyDescent="0.25">
      <c r="A8046" s="66"/>
    </row>
    <row r="8047" spans="1:1" x14ac:dyDescent="0.25">
      <c r="A8047" s="66"/>
    </row>
    <row r="8048" spans="1:1" x14ac:dyDescent="0.25">
      <c r="A8048" s="66"/>
    </row>
    <row r="8049" spans="1:1" x14ac:dyDescent="0.25">
      <c r="A8049" s="66"/>
    </row>
    <row r="8050" spans="1:1" x14ac:dyDescent="0.25">
      <c r="A8050" s="66"/>
    </row>
    <row r="8051" spans="1:1" x14ac:dyDescent="0.25">
      <c r="A8051" s="66"/>
    </row>
    <row r="8052" spans="1:1" x14ac:dyDescent="0.25">
      <c r="A8052" s="66"/>
    </row>
    <row r="8053" spans="1:1" x14ac:dyDescent="0.25">
      <c r="A8053" s="66"/>
    </row>
    <row r="8054" spans="1:1" x14ac:dyDescent="0.25">
      <c r="A8054" s="66"/>
    </row>
    <row r="8055" spans="1:1" x14ac:dyDescent="0.25">
      <c r="A8055" s="66"/>
    </row>
    <row r="8056" spans="1:1" x14ac:dyDescent="0.25">
      <c r="A8056" s="66"/>
    </row>
    <row r="8057" spans="1:1" x14ac:dyDescent="0.25">
      <c r="A8057" s="66"/>
    </row>
    <row r="8058" spans="1:1" x14ac:dyDescent="0.25">
      <c r="A8058" s="66"/>
    </row>
    <row r="8059" spans="1:1" x14ac:dyDescent="0.25">
      <c r="A8059" s="66"/>
    </row>
    <row r="8060" spans="1:1" x14ac:dyDescent="0.25">
      <c r="A8060" s="66"/>
    </row>
    <row r="8061" spans="1:1" x14ac:dyDescent="0.25">
      <c r="A8061" s="66"/>
    </row>
    <row r="8062" spans="1:1" x14ac:dyDescent="0.25">
      <c r="A8062" s="66"/>
    </row>
    <row r="8063" spans="1:1" x14ac:dyDescent="0.25">
      <c r="A8063" s="66"/>
    </row>
    <row r="8064" spans="1:1" x14ac:dyDescent="0.25">
      <c r="A8064" s="66"/>
    </row>
    <row r="8065" spans="1:1" x14ac:dyDescent="0.25">
      <c r="A8065" s="66"/>
    </row>
    <row r="8066" spans="1:1" x14ac:dyDescent="0.25">
      <c r="A8066" s="66"/>
    </row>
    <row r="8067" spans="1:1" x14ac:dyDescent="0.25">
      <c r="A8067" s="66"/>
    </row>
    <row r="8068" spans="1:1" x14ac:dyDescent="0.25">
      <c r="A8068" s="66"/>
    </row>
    <row r="8069" spans="1:1" x14ac:dyDescent="0.25">
      <c r="A8069" s="66"/>
    </row>
    <row r="8070" spans="1:1" x14ac:dyDescent="0.25">
      <c r="A8070" s="66"/>
    </row>
    <row r="8071" spans="1:1" x14ac:dyDescent="0.25">
      <c r="A8071" s="66"/>
    </row>
    <row r="8072" spans="1:1" x14ac:dyDescent="0.25">
      <c r="A8072" s="66"/>
    </row>
    <row r="8073" spans="1:1" x14ac:dyDescent="0.25">
      <c r="A8073" s="66"/>
    </row>
    <row r="8074" spans="1:1" x14ac:dyDescent="0.25">
      <c r="A8074" s="66"/>
    </row>
    <row r="8075" spans="1:1" x14ac:dyDescent="0.25">
      <c r="A8075" s="66"/>
    </row>
    <row r="8076" spans="1:1" x14ac:dyDescent="0.25">
      <c r="A8076" s="66"/>
    </row>
    <row r="8077" spans="1:1" x14ac:dyDescent="0.25">
      <c r="A8077" s="66"/>
    </row>
    <row r="8078" spans="1:1" x14ac:dyDescent="0.25">
      <c r="A8078" s="66"/>
    </row>
    <row r="8079" spans="1:1" x14ac:dyDescent="0.25">
      <c r="A8079" s="66"/>
    </row>
    <row r="8080" spans="1:1" x14ac:dyDescent="0.25">
      <c r="A8080" s="66"/>
    </row>
    <row r="8081" spans="1:1" x14ac:dyDescent="0.25">
      <c r="A8081" s="66"/>
    </row>
    <row r="8082" spans="1:1" x14ac:dyDescent="0.25">
      <c r="A8082" s="66"/>
    </row>
    <row r="8083" spans="1:1" x14ac:dyDescent="0.25">
      <c r="A8083" s="66"/>
    </row>
    <row r="8084" spans="1:1" x14ac:dyDescent="0.25">
      <c r="A8084" s="66"/>
    </row>
    <row r="8085" spans="1:1" x14ac:dyDescent="0.25">
      <c r="A8085" s="66"/>
    </row>
    <row r="8086" spans="1:1" x14ac:dyDescent="0.25">
      <c r="A8086" s="66"/>
    </row>
    <row r="8087" spans="1:1" x14ac:dyDescent="0.25">
      <c r="A8087" s="66"/>
    </row>
    <row r="8088" spans="1:1" x14ac:dyDescent="0.25">
      <c r="A8088" s="66"/>
    </row>
    <row r="8089" spans="1:1" x14ac:dyDescent="0.25">
      <c r="A8089" s="66"/>
    </row>
    <row r="8090" spans="1:1" x14ac:dyDescent="0.25">
      <c r="A8090" s="66"/>
    </row>
    <row r="8091" spans="1:1" x14ac:dyDescent="0.25">
      <c r="A8091" s="66"/>
    </row>
    <row r="8092" spans="1:1" x14ac:dyDescent="0.25">
      <c r="A8092" s="66"/>
    </row>
    <row r="8093" spans="1:1" x14ac:dyDescent="0.25">
      <c r="A8093" s="66"/>
    </row>
    <row r="8094" spans="1:1" x14ac:dyDescent="0.25">
      <c r="A8094" s="66"/>
    </row>
    <row r="8095" spans="1:1" x14ac:dyDescent="0.25">
      <c r="A8095" s="66"/>
    </row>
    <row r="8096" spans="1:1" x14ac:dyDescent="0.25">
      <c r="A8096" s="66"/>
    </row>
    <row r="8097" spans="1:1" x14ac:dyDescent="0.25">
      <c r="A8097" s="66"/>
    </row>
    <row r="8098" spans="1:1" x14ac:dyDescent="0.25">
      <c r="A8098" s="66"/>
    </row>
    <row r="8099" spans="1:1" x14ac:dyDescent="0.25">
      <c r="A8099" s="66"/>
    </row>
    <row r="8100" spans="1:1" x14ac:dyDescent="0.25">
      <c r="A8100" s="66"/>
    </row>
    <row r="8101" spans="1:1" x14ac:dyDescent="0.25">
      <c r="A8101" s="66"/>
    </row>
    <row r="8102" spans="1:1" x14ac:dyDescent="0.25">
      <c r="A8102" s="66"/>
    </row>
    <row r="8103" spans="1:1" x14ac:dyDescent="0.25">
      <c r="A8103" s="66"/>
    </row>
    <row r="8104" spans="1:1" x14ac:dyDescent="0.25">
      <c r="A8104" s="66"/>
    </row>
    <row r="8105" spans="1:1" x14ac:dyDescent="0.25">
      <c r="A8105" s="66"/>
    </row>
    <row r="8106" spans="1:1" x14ac:dyDescent="0.25">
      <c r="A8106" s="66"/>
    </row>
    <row r="8107" spans="1:1" x14ac:dyDescent="0.25">
      <c r="A8107" s="66"/>
    </row>
    <row r="8108" spans="1:1" x14ac:dyDescent="0.25">
      <c r="A8108" s="66"/>
    </row>
    <row r="8109" spans="1:1" x14ac:dyDescent="0.25">
      <c r="A8109" s="66"/>
    </row>
    <row r="8110" spans="1:1" x14ac:dyDescent="0.25">
      <c r="A8110" s="66"/>
    </row>
    <row r="8111" spans="1:1" x14ac:dyDescent="0.25">
      <c r="A8111" s="66"/>
    </row>
    <row r="8112" spans="1:1" x14ac:dyDescent="0.25">
      <c r="A8112" s="66"/>
    </row>
    <row r="8113" spans="1:1" x14ac:dyDescent="0.25">
      <c r="A8113" s="66"/>
    </row>
    <row r="8114" spans="1:1" x14ac:dyDescent="0.25">
      <c r="A8114" s="66"/>
    </row>
    <row r="8115" spans="1:1" x14ac:dyDescent="0.25">
      <c r="A8115" s="66"/>
    </row>
    <row r="8116" spans="1:1" x14ac:dyDescent="0.25">
      <c r="A8116" s="66"/>
    </row>
    <row r="8117" spans="1:1" x14ac:dyDescent="0.25">
      <c r="A8117" s="66"/>
    </row>
    <row r="8118" spans="1:1" x14ac:dyDescent="0.25">
      <c r="A8118" s="66"/>
    </row>
    <row r="8119" spans="1:1" x14ac:dyDescent="0.25">
      <c r="A8119" s="66"/>
    </row>
    <row r="8120" spans="1:1" x14ac:dyDescent="0.25">
      <c r="A8120" s="66"/>
    </row>
    <row r="8121" spans="1:1" x14ac:dyDescent="0.25">
      <c r="A8121" s="66"/>
    </row>
    <row r="8122" spans="1:1" x14ac:dyDescent="0.25">
      <c r="A8122" s="66"/>
    </row>
    <row r="8123" spans="1:1" x14ac:dyDescent="0.25">
      <c r="A8123" s="66"/>
    </row>
    <row r="8124" spans="1:1" x14ac:dyDescent="0.25">
      <c r="A8124" s="66"/>
    </row>
    <row r="8125" spans="1:1" x14ac:dyDescent="0.25">
      <c r="A8125" s="66"/>
    </row>
    <row r="8126" spans="1:1" x14ac:dyDescent="0.25">
      <c r="A8126" s="66"/>
    </row>
    <row r="8127" spans="1:1" x14ac:dyDescent="0.25">
      <c r="A8127" s="66"/>
    </row>
    <row r="8128" spans="1:1" x14ac:dyDescent="0.25">
      <c r="A8128" s="66"/>
    </row>
    <row r="8129" spans="1:1" x14ac:dyDescent="0.25">
      <c r="A8129" s="66"/>
    </row>
    <row r="8130" spans="1:1" x14ac:dyDescent="0.25">
      <c r="A8130" s="66"/>
    </row>
    <row r="8131" spans="1:1" x14ac:dyDescent="0.25">
      <c r="A8131" s="66"/>
    </row>
    <row r="8132" spans="1:1" x14ac:dyDescent="0.25">
      <c r="A8132" s="66"/>
    </row>
    <row r="8133" spans="1:1" x14ac:dyDescent="0.25">
      <c r="A8133" s="66"/>
    </row>
    <row r="8134" spans="1:1" x14ac:dyDescent="0.25">
      <c r="A8134" s="66"/>
    </row>
    <row r="8135" spans="1:1" x14ac:dyDescent="0.25">
      <c r="A8135" s="66"/>
    </row>
    <row r="8136" spans="1:1" x14ac:dyDescent="0.25">
      <c r="A8136" s="66"/>
    </row>
    <row r="8137" spans="1:1" x14ac:dyDescent="0.25">
      <c r="A8137" s="66"/>
    </row>
    <row r="8138" spans="1:1" x14ac:dyDescent="0.25">
      <c r="A8138" s="66"/>
    </row>
    <row r="8139" spans="1:1" x14ac:dyDescent="0.25">
      <c r="A8139" s="66"/>
    </row>
    <row r="8140" spans="1:1" x14ac:dyDescent="0.25">
      <c r="A8140" s="66"/>
    </row>
    <row r="8141" spans="1:1" x14ac:dyDescent="0.25">
      <c r="A8141" s="66"/>
    </row>
    <row r="8142" spans="1:1" x14ac:dyDescent="0.25">
      <c r="A8142" s="66"/>
    </row>
    <row r="8143" spans="1:1" x14ac:dyDescent="0.25">
      <c r="A8143" s="66"/>
    </row>
    <row r="8144" spans="1:1" x14ac:dyDescent="0.25">
      <c r="A8144" s="66"/>
    </row>
    <row r="8145" spans="1:1" x14ac:dyDescent="0.25">
      <c r="A8145" s="66"/>
    </row>
    <row r="8146" spans="1:1" x14ac:dyDescent="0.25">
      <c r="A8146" s="66"/>
    </row>
    <row r="8147" spans="1:1" x14ac:dyDescent="0.25">
      <c r="A8147" s="66"/>
    </row>
    <row r="8148" spans="1:1" x14ac:dyDescent="0.25">
      <c r="A8148" s="66"/>
    </row>
    <row r="8149" spans="1:1" x14ac:dyDescent="0.25">
      <c r="A8149" s="66"/>
    </row>
    <row r="8150" spans="1:1" x14ac:dyDescent="0.25">
      <c r="A8150" s="66"/>
    </row>
    <row r="8151" spans="1:1" x14ac:dyDescent="0.25">
      <c r="A8151" s="66"/>
    </row>
    <row r="8152" spans="1:1" x14ac:dyDescent="0.25">
      <c r="A8152" s="66"/>
    </row>
    <row r="8153" spans="1:1" x14ac:dyDescent="0.25">
      <c r="A8153" s="66"/>
    </row>
    <row r="8154" spans="1:1" x14ac:dyDescent="0.25">
      <c r="A8154" s="66"/>
    </row>
    <row r="8155" spans="1:1" x14ac:dyDescent="0.25">
      <c r="A8155" s="66"/>
    </row>
    <row r="8156" spans="1:1" x14ac:dyDescent="0.25">
      <c r="A8156" s="66"/>
    </row>
    <row r="8157" spans="1:1" x14ac:dyDescent="0.25">
      <c r="A8157" s="66"/>
    </row>
    <row r="8158" spans="1:1" x14ac:dyDescent="0.25">
      <c r="A8158" s="66"/>
    </row>
    <row r="8159" spans="1:1" x14ac:dyDescent="0.25">
      <c r="A8159" s="66"/>
    </row>
    <row r="8160" spans="1:1" x14ac:dyDescent="0.25">
      <c r="A8160" s="66"/>
    </row>
    <row r="8161" spans="1:1" x14ac:dyDescent="0.25">
      <c r="A8161" s="66"/>
    </row>
    <row r="8162" spans="1:1" x14ac:dyDescent="0.25">
      <c r="A8162" s="66"/>
    </row>
    <row r="8163" spans="1:1" x14ac:dyDescent="0.25">
      <c r="A8163" s="66"/>
    </row>
    <row r="8164" spans="1:1" x14ac:dyDescent="0.25">
      <c r="A8164" s="66"/>
    </row>
    <row r="8165" spans="1:1" x14ac:dyDescent="0.25">
      <c r="A8165" s="66"/>
    </row>
    <row r="8166" spans="1:1" x14ac:dyDescent="0.25">
      <c r="A8166" s="66"/>
    </row>
    <row r="8167" spans="1:1" x14ac:dyDescent="0.25">
      <c r="A8167" s="66"/>
    </row>
    <row r="8168" spans="1:1" x14ac:dyDescent="0.25">
      <c r="A8168" s="66"/>
    </row>
    <row r="8169" spans="1:1" x14ac:dyDescent="0.25">
      <c r="A8169" s="66"/>
    </row>
    <row r="8170" spans="1:1" x14ac:dyDescent="0.25">
      <c r="A8170" s="66"/>
    </row>
    <row r="8171" spans="1:1" x14ac:dyDescent="0.25">
      <c r="A8171" s="66"/>
    </row>
    <row r="8172" spans="1:1" x14ac:dyDescent="0.25">
      <c r="A8172" s="66"/>
    </row>
    <row r="8173" spans="1:1" x14ac:dyDescent="0.25">
      <c r="A8173" s="66"/>
    </row>
    <row r="8174" spans="1:1" x14ac:dyDescent="0.25">
      <c r="A8174" s="66"/>
    </row>
    <row r="8175" spans="1:1" x14ac:dyDescent="0.25">
      <c r="A8175" s="66"/>
    </row>
    <row r="8176" spans="1:1" x14ac:dyDescent="0.25">
      <c r="A8176" s="66"/>
    </row>
    <row r="8177" spans="1:1" x14ac:dyDescent="0.25">
      <c r="A8177" s="66"/>
    </row>
    <row r="8178" spans="1:1" x14ac:dyDescent="0.25">
      <c r="A8178" s="66"/>
    </row>
    <row r="8179" spans="1:1" x14ac:dyDescent="0.25">
      <c r="A8179" s="66"/>
    </row>
    <row r="8180" spans="1:1" x14ac:dyDescent="0.25">
      <c r="A8180" s="66"/>
    </row>
    <row r="8181" spans="1:1" x14ac:dyDescent="0.25">
      <c r="A8181" s="66"/>
    </row>
    <row r="8182" spans="1:1" x14ac:dyDescent="0.25">
      <c r="A8182" s="66"/>
    </row>
    <row r="8183" spans="1:1" x14ac:dyDescent="0.25">
      <c r="A8183" s="66"/>
    </row>
    <row r="8184" spans="1:1" x14ac:dyDescent="0.25">
      <c r="A8184" s="66"/>
    </row>
    <row r="8185" spans="1:1" x14ac:dyDescent="0.25">
      <c r="A8185" s="66"/>
    </row>
    <row r="8186" spans="1:1" x14ac:dyDescent="0.25">
      <c r="A8186" s="66"/>
    </row>
    <row r="8187" spans="1:1" x14ac:dyDescent="0.25">
      <c r="A8187" s="66"/>
    </row>
    <row r="8188" spans="1:1" x14ac:dyDescent="0.25">
      <c r="A8188" s="66"/>
    </row>
    <row r="8189" spans="1:1" x14ac:dyDescent="0.25">
      <c r="A8189" s="66"/>
    </row>
    <row r="8190" spans="1:1" x14ac:dyDescent="0.25">
      <c r="A8190" s="66"/>
    </row>
    <row r="8191" spans="1:1" x14ac:dyDescent="0.25">
      <c r="A8191" s="66"/>
    </row>
    <row r="8192" spans="1:1" x14ac:dyDescent="0.25">
      <c r="A8192" s="66"/>
    </row>
    <row r="8193" spans="1:1" x14ac:dyDescent="0.25">
      <c r="A8193" s="66"/>
    </row>
    <row r="8194" spans="1:1" x14ac:dyDescent="0.25">
      <c r="A8194" s="66"/>
    </row>
    <row r="8195" spans="1:1" x14ac:dyDescent="0.25">
      <c r="A8195" s="66"/>
    </row>
    <row r="8196" spans="1:1" x14ac:dyDescent="0.25">
      <c r="A8196" s="66"/>
    </row>
    <row r="8197" spans="1:1" x14ac:dyDescent="0.25">
      <c r="A8197" s="66"/>
    </row>
    <row r="8198" spans="1:1" x14ac:dyDescent="0.25">
      <c r="A8198" s="66"/>
    </row>
    <row r="8199" spans="1:1" x14ac:dyDescent="0.25">
      <c r="A8199" s="66"/>
    </row>
    <row r="8200" spans="1:1" x14ac:dyDescent="0.25">
      <c r="A8200" s="66"/>
    </row>
    <row r="8201" spans="1:1" x14ac:dyDescent="0.25">
      <c r="A8201" s="66"/>
    </row>
    <row r="8202" spans="1:1" x14ac:dyDescent="0.25">
      <c r="A8202" s="66"/>
    </row>
    <row r="8203" spans="1:1" x14ac:dyDescent="0.25">
      <c r="A8203" s="66"/>
    </row>
    <row r="8204" spans="1:1" x14ac:dyDescent="0.25">
      <c r="A8204" s="66"/>
    </row>
    <row r="8205" spans="1:1" x14ac:dyDescent="0.25">
      <c r="A8205" s="66"/>
    </row>
    <row r="8206" spans="1:1" x14ac:dyDescent="0.25">
      <c r="A8206" s="66"/>
    </row>
    <row r="8207" spans="1:1" x14ac:dyDescent="0.25">
      <c r="A8207" s="66"/>
    </row>
    <row r="8208" spans="1:1" x14ac:dyDescent="0.25">
      <c r="A8208" s="66"/>
    </row>
    <row r="8209" spans="1:1" x14ac:dyDescent="0.25">
      <c r="A8209" s="66"/>
    </row>
    <row r="8210" spans="1:1" x14ac:dyDescent="0.25">
      <c r="A8210" s="66"/>
    </row>
    <row r="8211" spans="1:1" x14ac:dyDescent="0.25">
      <c r="A8211" s="66"/>
    </row>
    <row r="8212" spans="1:1" x14ac:dyDescent="0.25">
      <c r="A8212" s="66"/>
    </row>
    <row r="8213" spans="1:1" x14ac:dyDescent="0.25">
      <c r="A8213" s="66"/>
    </row>
    <row r="8214" spans="1:1" x14ac:dyDescent="0.25">
      <c r="A8214" s="66"/>
    </row>
    <row r="8215" spans="1:1" x14ac:dyDescent="0.25">
      <c r="A8215" s="66"/>
    </row>
    <row r="8216" spans="1:1" x14ac:dyDescent="0.25">
      <c r="A8216" s="66"/>
    </row>
    <row r="8217" spans="1:1" x14ac:dyDescent="0.25">
      <c r="A8217" s="66"/>
    </row>
    <row r="8218" spans="1:1" x14ac:dyDescent="0.25">
      <c r="A8218" s="66"/>
    </row>
    <row r="8219" spans="1:1" x14ac:dyDescent="0.25">
      <c r="A8219" s="66"/>
    </row>
    <row r="8220" spans="1:1" x14ac:dyDescent="0.25">
      <c r="A8220" s="66"/>
    </row>
    <row r="8221" spans="1:1" x14ac:dyDescent="0.25">
      <c r="A8221" s="66"/>
    </row>
    <row r="8222" spans="1:1" x14ac:dyDescent="0.25">
      <c r="A8222" s="66"/>
    </row>
    <row r="8223" spans="1:1" x14ac:dyDescent="0.25">
      <c r="A8223" s="66"/>
    </row>
    <row r="8224" spans="1:1" x14ac:dyDescent="0.25">
      <c r="A8224" s="66"/>
    </row>
    <row r="8225" spans="1:1" x14ac:dyDescent="0.25">
      <c r="A8225" s="66"/>
    </row>
    <row r="8226" spans="1:1" x14ac:dyDescent="0.25">
      <c r="A8226" s="66"/>
    </row>
    <row r="8227" spans="1:1" x14ac:dyDescent="0.25">
      <c r="A8227" s="66"/>
    </row>
    <row r="8228" spans="1:1" x14ac:dyDescent="0.25">
      <c r="A8228" s="66"/>
    </row>
    <row r="8229" spans="1:1" x14ac:dyDescent="0.25">
      <c r="A8229" s="66"/>
    </row>
    <row r="8230" spans="1:1" x14ac:dyDescent="0.25">
      <c r="A8230" s="66"/>
    </row>
    <row r="8231" spans="1:1" x14ac:dyDescent="0.25">
      <c r="A8231" s="66"/>
    </row>
    <row r="8232" spans="1:1" x14ac:dyDescent="0.25">
      <c r="A8232" s="66"/>
    </row>
    <row r="8233" spans="1:1" x14ac:dyDescent="0.25">
      <c r="A8233" s="66"/>
    </row>
    <row r="8234" spans="1:1" x14ac:dyDescent="0.25">
      <c r="A8234" s="66"/>
    </row>
    <row r="8235" spans="1:1" x14ac:dyDescent="0.25">
      <c r="A8235" s="66"/>
    </row>
    <row r="8236" spans="1:1" x14ac:dyDescent="0.25">
      <c r="A8236" s="66"/>
    </row>
    <row r="8237" spans="1:1" x14ac:dyDescent="0.25">
      <c r="A8237" s="66"/>
    </row>
    <row r="8238" spans="1:1" x14ac:dyDescent="0.25">
      <c r="A8238" s="66"/>
    </row>
    <row r="8239" spans="1:1" x14ac:dyDescent="0.25">
      <c r="A8239" s="66"/>
    </row>
    <row r="8240" spans="1:1" x14ac:dyDescent="0.25">
      <c r="A8240" s="66"/>
    </row>
    <row r="8241" spans="1:1" x14ac:dyDescent="0.25">
      <c r="A8241" s="66"/>
    </row>
    <row r="8242" spans="1:1" x14ac:dyDescent="0.25">
      <c r="A8242" s="66"/>
    </row>
    <row r="8243" spans="1:1" x14ac:dyDescent="0.25">
      <c r="A8243" s="66"/>
    </row>
    <row r="8244" spans="1:1" x14ac:dyDescent="0.25">
      <c r="A8244" s="66"/>
    </row>
    <row r="8245" spans="1:1" x14ac:dyDescent="0.25">
      <c r="A8245" s="66"/>
    </row>
    <row r="8246" spans="1:1" x14ac:dyDescent="0.25">
      <c r="A8246" s="66"/>
    </row>
    <row r="8247" spans="1:1" x14ac:dyDescent="0.25">
      <c r="A8247" s="66"/>
    </row>
    <row r="8248" spans="1:1" x14ac:dyDescent="0.25">
      <c r="A8248" s="66"/>
    </row>
    <row r="8249" spans="1:1" x14ac:dyDescent="0.25">
      <c r="A8249" s="66"/>
    </row>
    <row r="8250" spans="1:1" x14ac:dyDescent="0.25">
      <c r="A8250" s="66"/>
    </row>
    <row r="8251" spans="1:1" x14ac:dyDescent="0.25">
      <c r="A8251" s="66"/>
    </row>
    <row r="8252" spans="1:1" x14ac:dyDescent="0.25">
      <c r="A8252" s="66"/>
    </row>
    <row r="8253" spans="1:1" x14ac:dyDescent="0.25">
      <c r="A8253" s="66"/>
    </row>
    <row r="8254" spans="1:1" x14ac:dyDescent="0.25">
      <c r="A8254" s="66"/>
    </row>
    <row r="8255" spans="1:1" x14ac:dyDescent="0.25">
      <c r="A8255" s="66"/>
    </row>
    <row r="8256" spans="1:1" x14ac:dyDescent="0.25">
      <c r="A8256" s="66"/>
    </row>
    <row r="8257" spans="1:1" x14ac:dyDescent="0.25">
      <c r="A8257" s="66"/>
    </row>
    <row r="8258" spans="1:1" x14ac:dyDescent="0.25">
      <c r="A8258" s="66"/>
    </row>
    <row r="8259" spans="1:1" x14ac:dyDescent="0.25">
      <c r="A8259" s="66"/>
    </row>
    <row r="8260" spans="1:1" x14ac:dyDescent="0.25">
      <c r="A8260" s="66"/>
    </row>
    <row r="8261" spans="1:1" x14ac:dyDescent="0.25">
      <c r="A8261" s="66"/>
    </row>
    <row r="8262" spans="1:1" x14ac:dyDescent="0.25">
      <c r="A8262" s="66"/>
    </row>
    <row r="8263" spans="1:1" x14ac:dyDescent="0.25">
      <c r="A8263" s="66"/>
    </row>
    <row r="8264" spans="1:1" x14ac:dyDescent="0.25">
      <c r="A8264" s="66"/>
    </row>
    <row r="8265" spans="1:1" x14ac:dyDescent="0.25">
      <c r="A8265" s="66"/>
    </row>
    <row r="8266" spans="1:1" x14ac:dyDescent="0.25">
      <c r="A8266" s="66"/>
    </row>
    <row r="8267" spans="1:1" x14ac:dyDescent="0.25">
      <c r="A8267" s="66"/>
    </row>
    <row r="8268" spans="1:1" x14ac:dyDescent="0.25">
      <c r="A8268" s="66"/>
    </row>
    <row r="8269" spans="1:1" x14ac:dyDescent="0.25">
      <c r="A8269" s="66"/>
    </row>
    <row r="8270" spans="1:1" x14ac:dyDescent="0.25">
      <c r="A8270" s="66"/>
    </row>
    <row r="8271" spans="1:1" x14ac:dyDescent="0.25">
      <c r="A8271" s="66"/>
    </row>
    <row r="8272" spans="1:1" x14ac:dyDescent="0.25">
      <c r="A8272" s="66"/>
    </row>
    <row r="8273" spans="1:1" x14ac:dyDescent="0.25">
      <c r="A8273" s="66"/>
    </row>
    <row r="8274" spans="1:1" x14ac:dyDescent="0.25">
      <c r="A8274" s="66"/>
    </row>
    <row r="8275" spans="1:1" x14ac:dyDescent="0.25">
      <c r="A8275" s="66"/>
    </row>
    <row r="8276" spans="1:1" x14ac:dyDescent="0.25">
      <c r="A8276" s="66"/>
    </row>
    <row r="8277" spans="1:1" x14ac:dyDescent="0.25">
      <c r="A8277" s="66"/>
    </row>
    <row r="8278" spans="1:1" x14ac:dyDescent="0.25">
      <c r="A8278" s="66"/>
    </row>
    <row r="8279" spans="1:1" x14ac:dyDescent="0.25">
      <c r="A8279" s="66"/>
    </row>
    <row r="8280" spans="1:1" x14ac:dyDescent="0.25">
      <c r="A8280" s="66"/>
    </row>
    <row r="8281" spans="1:1" x14ac:dyDescent="0.25">
      <c r="A8281" s="66"/>
    </row>
    <row r="8282" spans="1:1" x14ac:dyDescent="0.25">
      <c r="A8282" s="66"/>
    </row>
    <row r="8283" spans="1:1" x14ac:dyDescent="0.25">
      <c r="A8283" s="66"/>
    </row>
    <row r="8284" spans="1:1" x14ac:dyDescent="0.25">
      <c r="A8284" s="66"/>
    </row>
    <row r="8285" spans="1:1" x14ac:dyDescent="0.25">
      <c r="A8285" s="66"/>
    </row>
    <row r="8286" spans="1:1" x14ac:dyDescent="0.25">
      <c r="A8286" s="66"/>
    </row>
    <row r="8287" spans="1:1" x14ac:dyDescent="0.25">
      <c r="A8287" s="66"/>
    </row>
    <row r="8288" spans="1:1" x14ac:dyDescent="0.25">
      <c r="A8288" s="66"/>
    </row>
    <row r="8289" spans="1:1" x14ac:dyDescent="0.25">
      <c r="A8289" s="66"/>
    </row>
    <row r="8290" spans="1:1" x14ac:dyDescent="0.25">
      <c r="A8290" s="66"/>
    </row>
    <row r="8291" spans="1:1" x14ac:dyDescent="0.25">
      <c r="A8291" s="66"/>
    </row>
    <row r="8292" spans="1:1" x14ac:dyDescent="0.25">
      <c r="A8292" s="66"/>
    </row>
    <row r="8293" spans="1:1" x14ac:dyDescent="0.25">
      <c r="A8293" s="66"/>
    </row>
    <row r="8294" spans="1:1" x14ac:dyDescent="0.25">
      <c r="A8294" s="66"/>
    </row>
    <row r="8295" spans="1:1" x14ac:dyDescent="0.25">
      <c r="A8295" s="66"/>
    </row>
    <row r="8296" spans="1:1" x14ac:dyDescent="0.25">
      <c r="A8296" s="66"/>
    </row>
    <row r="8297" spans="1:1" x14ac:dyDescent="0.25">
      <c r="A8297" s="66"/>
    </row>
    <row r="8298" spans="1:1" x14ac:dyDescent="0.25">
      <c r="A8298" s="66"/>
    </row>
    <row r="8299" spans="1:1" x14ac:dyDescent="0.25">
      <c r="A8299" s="66"/>
    </row>
    <row r="8300" spans="1:1" x14ac:dyDescent="0.25">
      <c r="A8300" s="66"/>
    </row>
    <row r="8301" spans="1:1" x14ac:dyDescent="0.25">
      <c r="A8301" s="66"/>
    </row>
    <row r="8302" spans="1:1" x14ac:dyDescent="0.25">
      <c r="A8302" s="66"/>
    </row>
    <row r="8303" spans="1:1" x14ac:dyDescent="0.25">
      <c r="A8303" s="66"/>
    </row>
    <row r="8304" spans="1:1" x14ac:dyDescent="0.25">
      <c r="A8304" s="66"/>
    </row>
    <row r="8305" spans="1:1" x14ac:dyDescent="0.25">
      <c r="A8305" s="66"/>
    </row>
    <row r="8306" spans="1:1" x14ac:dyDescent="0.25">
      <c r="A8306" s="66"/>
    </row>
    <row r="8307" spans="1:1" x14ac:dyDescent="0.25">
      <c r="A8307" s="66"/>
    </row>
    <row r="8308" spans="1:1" x14ac:dyDescent="0.25">
      <c r="A8308" s="66"/>
    </row>
    <row r="8309" spans="1:1" x14ac:dyDescent="0.25">
      <c r="A8309" s="66"/>
    </row>
    <row r="8310" spans="1:1" x14ac:dyDescent="0.25">
      <c r="A8310" s="66"/>
    </row>
    <row r="8311" spans="1:1" x14ac:dyDescent="0.25">
      <c r="A8311" s="66"/>
    </row>
    <row r="8312" spans="1:1" x14ac:dyDescent="0.25">
      <c r="A8312" s="66"/>
    </row>
    <row r="8313" spans="1:1" x14ac:dyDescent="0.25">
      <c r="A8313" s="66"/>
    </row>
    <row r="8314" spans="1:1" x14ac:dyDescent="0.25">
      <c r="A8314" s="66"/>
    </row>
    <row r="8315" spans="1:1" x14ac:dyDescent="0.25">
      <c r="A8315" s="66"/>
    </row>
    <row r="8316" spans="1:1" x14ac:dyDescent="0.25">
      <c r="A8316" s="66"/>
    </row>
    <row r="8317" spans="1:1" x14ac:dyDescent="0.25">
      <c r="A8317" s="66"/>
    </row>
    <row r="8318" spans="1:1" x14ac:dyDescent="0.25">
      <c r="A8318" s="66"/>
    </row>
    <row r="8319" spans="1:1" x14ac:dyDescent="0.25">
      <c r="A8319" s="66"/>
    </row>
    <row r="8320" spans="1:1" x14ac:dyDescent="0.25">
      <c r="A8320" s="66"/>
    </row>
    <row r="8321" spans="1:1" x14ac:dyDescent="0.25">
      <c r="A8321" s="66"/>
    </row>
    <row r="8322" spans="1:1" x14ac:dyDescent="0.25">
      <c r="A8322" s="66"/>
    </row>
    <row r="8323" spans="1:1" x14ac:dyDescent="0.25">
      <c r="A8323" s="66"/>
    </row>
    <row r="8324" spans="1:1" x14ac:dyDescent="0.25">
      <c r="A8324" s="66"/>
    </row>
    <row r="8325" spans="1:1" x14ac:dyDescent="0.25">
      <c r="A8325" s="66"/>
    </row>
    <row r="8326" spans="1:1" x14ac:dyDescent="0.25">
      <c r="A8326" s="66"/>
    </row>
    <row r="8327" spans="1:1" x14ac:dyDescent="0.25">
      <c r="A8327" s="66"/>
    </row>
    <row r="8328" spans="1:1" x14ac:dyDescent="0.25">
      <c r="A8328" s="66"/>
    </row>
    <row r="8329" spans="1:1" x14ac:dyDescent="0.25">
      <c r="A8329" s="66"/>
    </row>
    <row r="8330" spans="1:1" x14ac:dyDescent="0.25">
      <c r="A8330" s="66"/>
    </row>
    <row r="8331" spans="1:1" x14ac:dyDescent="0.25">
      <c r="A8331" s="66"/>
    </row>
    <row r="8332" spans="1:1" x14ac:dyDescent="0.25">
      <c r="A8332" s="66"/>
    </row>
    <row r="8333" spans="1:1" x14ac:dyDescent="0.25">
      <c r="A8333" s="66"/>
    </row>
    <row r="8334" spans="1:1" x14ac:dyDescent="0.25">
      <c r="A8334" s="66"/>
    </row>
    <row r="8335" spans="1:1" x14ac:dyDescent="0.25">
      <c r="A8335" s="66"/>
    </row>
    <row r="8336" spans="1:1" x14ac:dyDescent="0.25">
      <c r="A8336" s="66"/>
    </row>
    <row r="8337" spans="1:1" x14ac:dyDescent="0.25">
      <c r="A8337" s="66"/>
    </row>
    <row r="8338" spans="1:1" x14ac:dyDescent="0.25">
      <c r="A8338" s="66"/>
    </row>
    <row r="8339" spans="1:1" x14ac:dyDescent="0.25">
      <c r="A8339" s="66"/>
    </row>
    <row r="8340" spans="1:1" x14ac:dyDescent="0.25">
      <c r="A8340" s="66"/>
    </row>
    <row r="8341" spans="1:1" x14ac:dyDescent="0.25">
      <c r="A8341" s="66"/>
    </row>
    <row r="8342" spans="1:1" x14ac:dyDescent="0.25">
      <c r="A8342" s="66"/>
    </row>
    <row r="8343" spans="1:1" x14ac:dyDescent="0.25">
      <c r="A8343" s="66"/>
    </row>
    <row r="8344" spans="1:1" x14ac:dyDescent="0.25">
      <c r="A8344" s="66"/>
    </row>
    <row r="8345" spans="1:1" x14ac:dyDescent="0.25">
      <c r="A8345" s="66"/>
    </row>
    <row r="8346" spans="1:1" x14ac:dyDescent="0.25">
      <c r="A8346" s="66"/>
    </row>
    <row r="8347" spans="1:1" x14ac:dyDescent="0.25">
      <c r="A8347" s="66"/>
    </row>
    <row r="8348" spans="1:1" x14ac:dyDescent="0.25">
      <c r="A8348" s="66"/>
    </row>
    <row r="8349" spans="1:1" x14ac:dyDescent="0.25">
      <c r="A8349" s="66"/>
    </row>
    <row r="8350" spans="1:1" x14ac:dyDescent="0.25">
      <c r="A8350" s="66"/>
    </row>
    <row r="8351" spans="1:1" x14ac:dyDescent="0.25">
      <c r="A8351" s="66"/>
    </row>
    <row r="8352" spans="1:1" x14ac:dyDescent="0.25">
      <c r="A8352" s="66"/>
    </row>
    <row r="8353" spans="1:1" x14ac:dyDescent="0.25">
      <c r="A8353" s="66"/>
    </row>
    <row r="8354" spans="1:1" x14ac:dyDescent="0.25">
      <c r="A8354" s="66"/>
    </row>
    <row r="8355" spans="1:1" x14ac:dyDescent="0.25">
      <c r="A8355" s="66"/>
    </row>
    <row r="8356" spans="1:1" x14ac:dyDescent="0.25">
      <c r="A8356" s="66"/>
    </row>
    <row r="8357" spans="1:1" x14ac:dyDescent="0.25">
      <c r="A8357" s="66"/>
    </row>
    <row r="8358" spans="1:1" x14ac:dyDescent="0.25">
      <c r="A8358" s="66"/>
    </row>
    <row r="8359" spans="1:1" x14ac:dyDescent="0.25">
      <c r="A8359" s="66"/>
    </row>
    <row r="8360" spans="1:1" x14ac:dyDescent="0.25">
      <c r="A8360" s="66"/>
    </row>
    <row r="8361" spans="1:1" x14ac:dyDescent="0.25">
      <c r="A8361" s="66"/>
    </row>
    <row r="8362" spans="1:1" x14ac:dyDescent="0.25">
      <c r="A8362" s="66"/>
    </row>
    <row r="8363" spans="1:1" x14ac:dyDescent="0.25">
      <c r="A8363" s="66"/>
    </row>
    <row r="8364" spans="1:1" x14ac:dyDescent="0.25">
      <c r="A8364" s="66"/>
    </row>
    <row r="8365" spans="1:1" x14ac:dyDescent="0.25">
      <c r="A8365" s="66"/>
    </row>
    <row r="8366" spans="1:1" x14ac:dyDescent="0.25">
      <c r="A8366" s="66"/>
    </row>
    <row r="8367" spans="1:1" x14ac:dyDescent="0.25">
      <c r="A8367" s="66"/>
    </row>
    <row r="8368" spans="1:1" x14ac:dyDescent="0.25">
      <c r="A8368" s="66"/>
    </row>
    <row r="8369" spans="1:1" x14ac:dyDescent="0.25">
      <c r="A8369" s="66"/>
    </row>
    <row r="8370" spans="1:1" x14ac:dyDescent="0.25">
      <c r="A8370" s="66"/>
    </row>
    <row r="8371" spans="1:1" x14ac:dyDescent="0.25">
      <c r="A8371" s="66"/>
    </row>
    <row r="8372" spans="1:1" x14ac:dyDescent="0.25">
      <c r="A8372" s="66"/>
    </row>
    <row r="8373" spans="1:1" x14ac:dyDescent="0.25">
      <c r="A8373" s="66"/>
    </row>
    <row r="8374" spans="1:1" x14ac:dyDescent="0.25">
      <c r="A8374" s="66"/>
    </row>
    <row r="8375" spans="1:1" x14ac:dyDescent="0.25">
      <c r="A8375" s="66"/>
    </row>
    <row r="8376" spans="1:1" x14ac:dyDescent="0.25">
      <c r="A8376" s="66"/>
    </row>
    <row r="8377" spans="1:1" x14ac:dyDescent="0.25">
      <c r="A8377" s="66"/>
    </row>
    <row r="8378" spans="1:1" x14ac:dyDescent="0.25">
      <c r="A8378" s="66"/>
    </row>
    <row r="8379" spans="1:1" x14ac:dyDescent="0.25">
      <c r="A8379" s="66"/>
    </row>
    <row r="8380" spans="1:1" x14ac:dyDescent="0.25">
      <c r="A8380" s="66"/>
    </row>
    <row r="8381" spans="1:1" x14ac:dyDescent="0.25">
      <c r="A8381" s="66"/>
    </row>
    <row r="8382" spans="1:1" x14ac:dyDescent="0.25">
      <c r="A8382" s="66"/>
    </row>
    <row r="8383" spans="1:1" x14ac:dyDescent="0.25">
      <c r="A8383" s="66"/>
    </row>
    <row r="8384" spans="1:1" x14ac:dyDescent="0.25">
      <c r="A8384" s="66"/>
    </row>
    <row r="8385" spans="1:1" x14ac:dyDescent="0.25">
      <c r="A8385" s="66"/>
    </row>
    <row r="8386" spans="1:1" x14ac:dyDescent="0.25">
      <c r="A8386" s="66"/>
    </row>
    <row r="8387" spans="1:1" x14ac:dyDescent="0.25">
      <c r="A8387" s="66"/>
    </row>
    <row r="8388" spans="1:1" x14ac:dyDescent="0.25">
      <c r="A8388" s="66"/>
    </row>
    <row r="8389" spans="1:1" x14ac:dyDescent="0.25">
      <c r="A8389" s="66"/>
    </row>
    <row r="8390" spans="1:1" x14ac:dyDescent="0.25">
      <c r="A8390" s="66"/>
    </row>
    <row r="8391" spans="1:1" x14ac:dyDescent="0.25">
      <c r="A8391" s="66"/>
    </row>
    <row r="8392" spans="1:1" x14ac:dyDescent="0.25">
      <c r="A8392" s="66"/>
    </row>
    <row r="8393" spans="1:1" x14ac:dyDescent="0.25">
      <c r="A8393" s="66"/>
    </row>
    <row r="8394" spans="1:1" x14ac:dyDescent="0.25">
      <c r="A8394" s="66"/>
    </row>
    <row r="8395" spans="1:1" x14ac:dyDescent="0.25">
      <c r="A8395" s="66"/>
    </row>
    <row r="8396" spans="1:1" x14ac:dyDescent="0.25">
      <c r="A8396" s="66"/>
    </row>
    <row r="8397" spans="1:1" x14ac:dyDescent="0.25">
      <c r="A8397" s="66"/>
    </row>
    <row r="8398" spans="1:1" x14ac:dyDescent="0.25">
      <c r="A8398" s="66"/>
    </row>
    <row r="8399" spans="1:1" x14ac:dyDescent="0.25">
      <c r="A8399" s="66"/>
    </row>
    <row r="8400" spans="1:1" x14ac:dyDescent="0.25">
      <c r="A8400" s="66"/>
    </row>
    <row r="8401" spans="1:1" x14ac:dyDescent="0.25">
      <c r="A8401" s="66"/>
    </row>
    <row r="8402" spans="1:1" x14ac:dyDescent="0.25">
      <c r="A8402" s="66"/>
    </row>
    <row r="8403" spans="1:1" x14ac:dyDescent="0.25">
      <c r="A8403" s="66"/>
    </row>
    <row r="8404" spans="1:1" x14ac:dyDescent="0.25">
      <c r="A8404" s="66"/>
    </row>
    <row r="8405" spans="1:1" x14ac:dyDescent="0.25">
      <c r="A8405" s="66"/>
    </row>
    <row r="8406" spans="1:1" x14ac:dyDescent="0.25">
      <c r="A8406" s="66"/>
    </row>
    <row r="8407" spans="1:1" x14ac:dyDescent="0.25">
      <c r="A8407" s="66"/>
    </row>
    <row r="8408" spans="1:1" x14ac:dyDescent="0.25">
      <c r="A8408" s="66"/>
    </row>
    <row r="8409" spans="1:1" x14ac:dyDescent="0.25">
      <c r="A8409" s="66"/>
    </row>
    <row r="8410" spans="1:1" x14ac:dyDescent="0.25">
      <c r="A8410" s="66"/>
    </row>
    <row r="8411" spans="1:1" x14ac:dyDescent="0.25">
      <c r="A8411" s="66"/>
    </row>
    <row r="8412" spans="1:1" x14ac:dyDescent="0.25">
      <c r="A8412" s="66"/>
    </row>
    <row r="8413" spans="1:1" x14ac:dyDescent="0.25">
      <c r="A8413" s="66"/>
    </row>
    <row r="8414" spans="1:1" x14ac:dyDescent="0.25">
      <c r="A8414" s="66"/>
    </row>
    <row r="8415" spans="1:1" x14ac:dyDescent="0.25">
      <c r="A8415" s="66"/>
    </row>
    <row r="8416" spans="1:1" x14ac:dyDescent="0.25">
      <c r="A8416" s="66"/>
    </row>
    <row r="8417" spans="1:1" x14ac:dyDescent="0.25">
      <c r="A8417" s="66"/>
    </row>
    <row r="8418" spans="1:1" x14ac:dyDescent="0.25">
      <c r="A8418" s="66"/>
    </row>
    <row r="8419" spans="1:1" x14ac:dyDescent="0.25">
      <c r="A8419" s="66"/>
    </row>
    <row r="8420" spans="1:1" x14ac:dyDescent="0.25">
      <c r="A8420" s="66"/>
    </row>
    <row r="8421" spans="1:1" x14ac:dyDescent="0.25">
      <c r="A8421" s="66"/>
    </row>
    <row r="8422" spans="1:1" x14ac:dyDescent="0.25">
      <c r="A8422" s="66"/>
    </row>
    <row r="8423" spans="1:1" x14ac:dyDescent="0.25">
      <c r="A8423" s="66"/>
    </row>
    <row r="8424" spans="1:1" x14ac:dyDescent="0.25">
      <c r="A8424" s="66"/>
    </row>
    <row r="8425" spans="1:1" x14ac:dyDescent="0.25">
      <c r="A8425" s="66"/>
    </row>
    <row r="8426" spans="1:1" x14ac:dyDescent="0.25">
      <c r="A8426" s="66"/>
    </row>
    <row r="8427" spans="1:1" x14ac:dyDescent="0.25">
      <c r="A8427" s="66"/>
    </row>
    <row r="8428" spans="1:1" x14ac:dyDescent="0.25">
      <c r="A8428" s="66"/>
    </row>
    <row r="8429" spans="1:1" x14ac:dyDescent="0.25">
      <c r="A8429" s="66"/>
    </row>
    <row r="8430" spans="1:1" x14ac:dyDescent="0.25">
      <c r="A8430" s="66"/>
    </row>
    <row r="8431" spans="1:1" x14ac:dyDescent="0.25">
      <c r="A8431" s="66"/>
    </row>
    <row r="8432" spans="1:1" x14ac:dyDescent="0.25">
      <c r="A8432" s="66"/>
    </row>
    <row r="8433" spans="1:1" x14ac:dyDescent="0.25">
      <c r="A8433" s="66"/>
    </row>
    <row r="8434" spans="1:1" x14ac:dyDescent="0.25">
      <c r="A8434" s="66"/>
    </row>
    <row r="8435" spans="1:1" x14ac:dyDescent="0.25">
      <c r="A8435" s="66"/>
    </row>
    <row r="8436" spans="1:1" x14ac:dyDescent="0.25">
      <c r="A8436" s="66"/>
    </row>
    <row r="8437" spans="1:1" x14ac:dyDescent="0.25">
      <c r="A8437" s="66"/>
    </row>
    <row r="8438" spans="1:1" x14ac:dyDescent="0.25">
      <c r="A8438" s="66"/>
    </row>
    <row r="8439" spans="1:1" x14ac:dyDescent="0.25">
      <c r="A8439" s="66"/>
    </row>
    <row r="8440" spans="1:1" x14ac:dyDescent="0.25">
      <c r="A8440" s="66"/>
    </row>
    <row r="8441" spans="1:1" x14ac:dyDescent="0.25">
      <c r="A8441" s="66"/>
    </row>
    <row r="8442" spans="1:1" x14ac:dyDescent="0.25">
      <c r="A8442" s="66"/>
    </row>
    <row r="8443" spans="1:1" x14ac:dyDescent="0.25">
      <c r="A8443" s="66"/>
    </row>
    <row r="8444" spans="1:1" x14ac:dyDescent="0.25">
      <c r="A8444" s="66"/>
    </row>
    <row r="8445" spans="1:1" x14ac:dyDescent="0.25">
      <c r="A8445" s="66"/>
    </row>
    <row r="8446" spans="1:1" x14ac:dyDescent="0.25">
      <c r="A8446" s="66"/>
    </row>
    <row r="8447" spans="1:1" x14ac:dyDescent="0.25">
      <c r="A8447" s="66"/>
    </row>
    <row r="8448" spans="1:1" x14ac:dyDescent="0.25">
      <c r="A8448" s="66"/>
    </row>
    <row r="8449" spans="1:1" x14ac:dyDescent="0.25">
      <c r="A8449" s="66"/>
    </row>
    <row r="8450" spans="1:1" x14ac:dyDescent="0.25">
      <c r="A8450" s="66"/>
    </row>
    <row r="8451" spans="1:1" x14ac:dyDescent="0.25">
      <c r="A8451" s="66"/>
    </row>
    <row r="8452" spans="1:1" x14ac:dyDescent="0.25">
      <c r="A8452" s="66"/>
    </row>
    <row r="8453" spans="1:1" x14ac:dyDescent="0.25">
      <c r="A8453" s="66"/>
    </row>
    <row r="8454" spans="1:1" x14ac:dyDescent="0.25">
      <c r="A8454" s="66"/>
    </row>
    <row r="8455" spans="1:1" x14ac:dyDescent="0.25">
      <c r="A8455" s="66"/>
    </row>
    <row r="8456" spans="1:1" x14ac:dyDescent="0.25">
      <c r="A8456" s="66"/>
    </row>
    <row r="8457" spans="1:1" x14ac:dyDescent="0.25">
      <c r="A8457" s="66"/>
    </row>
    <row r="8458" spans="1:1" x14ac:dyDescent="0.25">
      <c r="A8458" s="66"/>
    </row>
    <row r="8459" spans="1:1" x14ac:dyDescent="0.25">
      <c r="A8459" s="66"/>
    </row>
    <row r="8460" spans="1:1" x14ac:dyDescent="0.25">
      <c r="A8460" s="66"/>
    </row>
    <row r="8461" spans="1:1" x14ac:dyDescent="0.25">
      <c r="A8461" s="66"/>
    </row>
    <row r="8462" spans="1:1" x14ac:dyDescent="0.25">
      <c r="A8462" s="66"/>
    </row>
    <row r="8463" spans="1:1" x14ac:dyDescent="0.25">
      <c r="A8463" s="66"/>
    </row>
    <row r="8464" spans="1:1" x14ac:dyDescent="0.25">
      <c r="A8464" s="66"/>
    </row>
    <row r="8465" spans="1:1" x14ac:dyDescent="0.25">
      <c r="A8465" s="66"/>
    </row>
    <row r="8466" spans="1:1" x14ac:dyDescent="0.25">
      <c r="A8466" s="66"/>
    </row>
    <row r="8467" spans="1:1" x14ac:dyDescent="0.25">
      <c r="A8467" s="66"/>
    </row>
    <row r="8468" spans="1:1" x14ac:dyDescent="0.25">
      <c r="A8468" s="66"/>
    </row>
    <row r="8469" spans="1:1" x14ac:dyDescent="0.25">
      <c r="A8469" s="66"/>
    </row>
    <row r="8470" spans="1:1" x14ac:dyDescent="0.25">
      <c r="A8470" s="66"/>
    </row>
    <row r="8471" spans="1:1" x14ac:dyDescent="0.25">
      <c r="A8471" s="66"/>
    </row>
    <row r="8472" spans="1:1" x14ac:dyDescent="0.25">
      <c r="A8472" s="66"/>
    </row>
    <row r="8473" spans="1:1" x14ac:dyDescent="0.25">
      <c r="A8473" s="66"/>
    </row>
    <row r="8474" spans="1:1" x14ac:dyDescent="0.25">
      <c r="A8474" s="66"/>
    </row>
    <row r="8475" spans="1:1" x14ac:dyDescent="0.25">
      <c r="A8475" s="66"/>
    </row>
    <row r="8476" spans="1:1" x14ac:dyDescent="0.25">
      <c r="A8476" s="66"/>
    </row>
    <row r="8477" spans="1:1" x14ac:dyDescent="0.25">
      <c r="A8477" s="66"/>
    </row>
    <row r="8478" spans="1:1" x14ac:dyDescent="0.25">
      <c r="A8478" s="66"/>
    </row>
    <row r="8479" spans="1:1" x14ac:dyDescent="0.25">
      <c r="A8479" s="66"/>
    </row>
    <row r="8480" spans="1:1" x14ac:dyDescent="0.25">
      <c r="A8480" s="66"/>
    </row>
    <row r="8481" spans="1:1" x14ac:dyDescent="0.25">
      <c r="A8481" s="66"/>
    </row>
    <row r="8482" spans="1:1" x14ac:dyDescent="0.25">
      <c r="A8482" s="66"/>
    </row>
    <row r="8483" spans="1:1" x14ac:dyDescent="0.25">
      <c r="A8483" s="66"/>
    </row>
    <row r="8484" spans="1:1" x14ac:dyDescent="0.25">
      <c r="A8484" s="66"/>
    </row>
    <row r="8485" spans="1:1" x14ac:dyDescent="0.25">
      <c r="A8485" s="66"/>
    </row>
    <row r="8486" spans="1:1" x14ac:dyDescent="0.25">
      <c r="A8486" s="66"/>
    </row>
    <row r="8487" spans="1:1" x14ac:dyDescent="0.25">
      <c r="A8487" s="66"/>
    </row>
    <row r="8488" spans="1:1" x14ac:dyDescent="0.25">
      <c r="A8488" s="66"/>
    </row>
    <row r="8489" spans="1:1" x14ac:dyDescent="0.25">
      <c r="A8489" s="66"/>
    </row>
    <row r="8490" spans="1:1" x14ac:dyDescent="0.25">
      <c r="A8490" s="66"/>
    </row>
    <row r="8491" spans="1:1" x14ac:dyDescent="0.25">
      <c r="A8491" s="66"/>
    </row>
    <row r="8492" spans="1:1" x14ac:dyDescent="0.25">
      <c r="A8492" s="66"/>
    </row>
    <row r="8493" spans="1:1" x14ac:dyDescent="0.25">
      <c r="A8493" s="66"/>
    </row>
    <row r="8494" spans="1:1" x14ac:dyDescent="0.25">
      <c r="A8494" s="66"/>
    </row>
    <row r="8495" spans="1:1" x14ac:dyDescent="0.25">
      <c r="A8495" s="66"/>
    </row>
    <row r="8496" spans="1:1" x14ac:dyDescent="0.25">
      <c r="A8496" s="66"/>
    </row>
    <row r="8497" spans="1:1" x14ac:dyDescent="0.25">
      <c r="A8497" s="66"/>
    </row>
    <row r="8498" spans="1:1" x14ac:dyDescent="0.25">
      <c r="A8498" s="66"/>
    </row>
    <row r="8499" spans="1:1" x14ac:dyDescent="0.25">
      <c r="A8499" s="66"/>
    </row>
    <row r="8500" spans="1:1" x14ac:dyDescent="0.25">
      <c r="A8500" s="66"/>
    </row>
    <row r="8501" spans="1:1" x14ac:dyDescent="0.25">
      <c r="A8501" s="66"/>
    </row>
    <row r="8502" spans="1:1" x14ac:dyDescent="0.25">
      <c r="A8502" s="66"/>
    </row>
    <row r="8503" spans="1:1" x14ac:dyDescent="0.25">
      <c r="A8503" s="66"/>
    </row>
    <row r="8504" spans="1:1" x14ac:dyDescent="0.25">
      <c r="A8504" s="66"/>
    </row>
    <row r="8505" spans="1:1" x14ac:dyDescent="0.25">
      <c r="A8505" s="66"/>
    </row>
    <row r="8506" spans="1:1" x14ac:dyDescent="0.25">
      <c r="A8506" s="66"/>
    </row>
    <row r="8507" spans="1:1" x14ac:dyDescent="0.25">
      <c r="A8507" s="66"/>
    </row>
    <row r="8508" spans="1:1" x14ac:dyDescent="0.25">
      <c r="A8508" s="66"/>
    </row>
    <row r="8509" spans="1:1" x14ac:dyDescent="0.25">
      <c r="A8509" s="66"/>
    </row>
    <row r="8510" spans="1:1" x14ac:dyDescent="0.25">
      <c r="A8510" s="66"/>
    </row>
    <row r="8511" spans="1:1" x14ac:dyDescent="0.25">
      <c r="A8511" s="66"/>
    </row>
    <row r="8512" spans="1:1" x14ac:dyDescent="0.25">
      <c r="A8512" s="66"/>
    </row>
    <row r="8513" spans="1:1" x14ac:dyDescent="0.25">
      <c r="A8513" s="66"/>
    </row>
    <row r="8514" spans="1:1" x14ac:dyDescent="0.25">
      <c r="A8514" s="66"/>
    </row>
    <row r="8515" spans="1:1" x14ac:dyDescent="0.25">
      <c r="A8515" s="66"/>
    </row>
    <row r="8516" spans="1:1" x14ac:dyDescent="0.25">
      <c r="A8516" s="66"/>
    </row>
    <row r="8517" spans="1:1" x14ac:dyDescent="0.25">
      <c r="A8517" s="66"/>
    </row>
    <row r="8518" spans="1:1" x14ac:dyDescent="0.25">
      <c r="A8518" s="66"/>
    </row>
    <row r="8519" spans="1:1" x14ac:dyDescent="0.25">
      <c r="A8519" s="66"/>
    </row>
    <row r="8520" spans="1:1" x14ac:dyDescent="0.25">
      <c r="A8520" s="66"/>
    </row>
    <row r="8521" spans="1:1" x14ac:dyDescent="0.25">
      <c r="A8521" s="66"/>
    </row>
    <row r="8522" spans="1:1" x14ac:dyDescent="0.25">
      <c r="A8522" s="66"/>
    </row>
    <row r="8523" spans="1:1" x14ac:dyDescent="0.25">
      <c r="A8523" s="66"/>
    </row>
    <row r="8524" spans="1:1" x14ac:dyDescent="0.25">
      <c r="A8524" s="66"/>
    </row>
    <row r="8525" spans="1:1" x14ac:dyDescent="0.25">
      <c r="A8525" s="66"/>
    </row>
    <row r="8526" spans="1:1" x14ac:dyDescent="0.25">
      <c r="A8526" s="66"/>
    </row>
    <row r="8527" spans="1:1" x14ac:dyDescent="0.25">
      <c r="A8527" s="66"/>
    </row>
    <row r="8528" spans="1:1" x14ac:dyDescent="0.25">
      <c r="A8528" s="66"/>
    </row>
    <row r="8529" spans="1:1" x14ac:dyDescent="0.25">
      <c r="A8529" s="66"/>
    </row>
    <row r="8530" spans="1:1" x14ac:dyDescent="0.25">
      <c r="A8530" s="66"/>
    </row>
    <row r="8531" spans="1:1" x14ac:dyDescent="0.25">
      <c r="A8531" s="66"/>
    </row>
    <row r="8532" spans="1:1" x14ac:dyDescent="0.25">
      <c r="A8532" s="66"/>
    </row>
    <row r="8533" spans="1:1" x14ac:dyDescent="0.25">
      <c r="A8533" s="66"/>
    </row>
    <row r="8534" spans="1:1" x14ac:dyDescent="0.25">
      <c r="A8534" s="66"/>
    </row>
    <row r="8535" spans="1:1" x14ac:dyDescent="0.25">
      <c r="A8535" s="66"/>
    </row>
    <row r="8536" spans="1:1" x14ac:dyDescent="0.25">
      <c r="A8536" s="66"/>
    </row>
    <row r="8537" spans="1:1" x14ac:dyDescent="0.25">
      <c r="A8537" s="66"/>
    </row>
    <row r="8538" spans="1:1" x14ac:dyDescent="0.25">
      <c r="A8538" s="66"/>
    </row>
    <row r="8539" spans="1:1" x14ac:dyDescent="0.25">
      <c r="A8539" s="66"/>
    </row>
    <row r="8540" spans="1:1" x14ac:dyDescent="0.25">
      <c r="A8540" s="66"/>
    </row>
    <row r="8541" spans="1:1" x14ac:dyDescent="0.25">
      <c r="A8541" s="66"/>
    </row>
    <row r="8542" spans="1:1" x14ac:dyDescent="0.25">
      <c r="A8542" s="66"/>
    </row>
    <row r="8543" spans="1:1" x14ac:dyDescent="0.25">
      <c r="A8543" s="66"/>
    </row>
    <row r="8544" spans="1:1" x14ac:dyDescent="0.25">
      <c r="A8544" s="66"/>
    </row>
    <row r="8545" spans="1:1" x14ac:dyDescent="0.25">
      <c r="A8545" s="66"/>
    </row>
    <row r="8546" spans="1:1" x14ac:dyDescent="0.25">
      <c r="A8546" s="66"/>
    </row>
    <row r="8547" spans="1:1" x14ac:dyDescent="0.25">
      <c r="A8547" s="66"/>
    </row>
    <row r="8548" spans="1:1" x14ac:dyDescent="0.25">
      <c r="A8548" s="66"/>
    </row>
    <row r="8549" spans="1:1" x14ac:dyDescent="0.25">
      <c r="A8549" s="66"/>
    </row>
    <row r="8550" spans="1:1" x14ac:dyDescent="0.25">
      <c r="A8550" s="66"/>
    </row>
    <row r="8551" spans="1:1" x14ac:dyDescent="0.25">
      <c r="A8551" s="66"/>
    </row>
    <row r="8552" spans="1:1" x14ac:dyDescent="0.25">
      <c r="A8552" s="66"/>
    </row>
    <row r="8553" spans="1:1" x14ac:dyDescent="0.25">
      <c r="A8553" s="66"/>
    </row>
    <row r="8554" spans="1:1" x14ac:dyDescent="0.25">
      <c r="A8554" s="66"/>
    </row>
    <row r="8555" spans="1:1" x14ac:dyDescent="0.25">
      <c r="A8555" s="66"/>
    </row>
    <row r="8556" spans="1:1" x14ac:dyDescent="0.25">
      <c r="A8556" s="66"/>
    </row>
    <row r="8557" spans="1:1" x14ac:dyDescent="0.25">
      <c r="A8557" s="66"/>
    </row>
    <row r="8558" spans="1:1" x14ac:dyDescent="0.25">
      <c r="A8558" s="66"/>
    </row>
    <row r="8559" spans="1:1" x14ac:dyDescent="0.25">
      <c r="A8559" s="66"/>
    </row>
    <row r="8560" spans="1:1" x14ac:dyDescent="0.25">
      <c r="A8560" s="66"/>
    </row>
    <row r="8561" spans="1:1" x14ac:dyDescent="0.25">
      <c r="A8561" s="66"/>
    </row>
    <row r="8562" spans="1:1" x14ac:dyDescent="0.25">
      <c r="A8562" s="66"/>
    </row>
    <row r="8563" spans="1:1" x14ac:dyDescent="0.25">
      <c r="A8563" s="66"/>
    </row>
    <row r="8564" spans="1:1" x14ac:dyDescent="0.25">
      <c r="A8564" s="66"/>
    </row>
    <row r="8565" spans="1:1" x14ac:dyDescent="0.25">
      <c r="A8565" s="66"/>
    </row>
    <row r="8566" spans="1:1" x14ac:dyDescent="0.25">
      <c r="A8566" s="66"/>
    </row>
    <row r="8567" spans="1:1" x14ac:dyDescent="0.25">
      <c r="A8567" s="66"/>
    </row>
    <row r="8568" spans="1:1" x14ac:dyDescent="0.25">
      <c r="A8568" s="66"/>
    </row>
    <row r="8569" spans="1:1" x14ac:dyDescent="0.25">
      <c r="A8569" s="66"/>
    </row>
    <row r="8570" spans="1:1" x14ac:dyDescent="0.25">
      <c r="A8570" s="66"/>
    </row>
    <row r="8571" spans="1:1" x14ac:dyDescent="0.25">
      <c r="A8571" s="66"/>
    </row>
    <row r="8572" spans="1:1" x14ac:dyDescent="0.25">
      <c r="A8572" s="66"/>
    </row>
    <row r="8573" spans="1:1" x14ac:dyDescent="0.25">
      <c r="A8573" s="66"/>
    </row>
    <row r="8574" spans="1:1" x14ac:dyDescent="0.25">
      <c r="A8574" s="66"/>
    </row>
    <row r="8575" spans="1:1" x14ac:dyDescent="0.25">
      <c r="A8575" s="66"/>
    </row>
    <row r="8576" spans="1:1" x14ac:dyDescent="0.25">
      <c r="A8576" s="66"/>
    </row>
    <row r="8577" spans="1:1" x14ac:dyDescent="0.25">
      <c r="A8577" s="66"/>
    </row>
    <row r="8578" spans="1:1" x14ac:dyDescent="0.25">
      <c r="A8578" s="66"/>
    </row>
    <row r="8579" spans="1:1" x14ac:dyDescent="0.25">
      <c r="A8579" s="66"/>
    </row>
    <row r="8580" spans="1:1" x14ac:dyDescent="0.25">
      <c r="A8580" s="66"/>
    </row>
    <row r="8581" spans="1:1" x14ac:dyDescent="0.25">
      <c r="A8581" s="66"/>
    </row>
    <row r="8582" spans="1:1" x14ac:dyDescent="0.25">
      <c r="A8582" s="66"/>
    </row>
    <row r="8583" spans="1:1" x14ac:dyDescent="0.25">
      <c r="A8583" s="66"/>
    </row>
    <row r="8584" spans="1:1" x14ac:dyDescent="0.25">
      <c r="A8584" s="66"/>
    </row>
    <row r="8585" spans="1:1" x14ac:dyDescent="0.25">
      <c r="A8585" s="66"/>
    </row>
    <row r="8586" spans="1:1" x14ac:dyDescent="0.25">
      <c r="A8586" s="66"/>
    </row>
    <row r="8587" spans="1:1" x14ac:dyDescent="0.25">
      <c r="A8587" s="66"/>
    </row>
    <row r="8588" spans="1:1" x14ac:dyDescent="0.25">
      <c r="A8588" s="66"/>
    </row>
    <row r="8589" spans="1:1" x14ac:dyDescent="0.25">
      <c r="A8589" s="66"/>
    </row>
    <row r="8590" spans="1:1" x14ac:dyDescent="0.25">
      <c r="A8590" s="66"/>
    </row>
    <row r="8591" spans="1:1" x14ac:dyDescent="0.25">
      <c r="A8591" s="66"/>
    </row>
    <row r="8592" spans="1:1" x14ac:dyDescent="0.25">
      <c r="A8592" s="66"/>
    </row>
    <row r="8593" spans="1:1" x14ac:dyDescent="0.25">
      <c r="A8593" s="66"/>
    </row>
    <row r="8594" spans="1:1" x14ac:dyDescent="0.25">
      <c r="A8594" s="66"/>
    </row>
    <row r="8595" spans="1:1" x14ac:dyDescent="0.25">
      <c r="A8595" s="66"/>
    </row>
    <row r="8596" spans="1:1" x14ac:dyDescent="0.25">
      <c r="A8596" s="66"/>
    </row>
    <row r="8597" spans="1:1" x14ac:dyDescent="0.25">
      <c r="A8597" s="66"/>
    </row>
    <row r="8598" spans="1:1" x14ac:dyDescent="0.25">
      <c r="A8598" s="66"/>
    </row>
    <row r="8599" spans="1:1" x14ac:dyDescent="0.25">
      <c r="A8599" s="66"/>
    </row>
    <row r="8600" spans="1:1" x14ac:dyDescent="0.25">
      <c r="A8600" s="66"/>
    </row>
    <row r="8601" spans="1:1" x14ac:dyDescent="0.25">
      <c r="A8601" s="66"/>
    </row>
    <row r="8602" spans="1:1" x14ac:dyDescent="0.25">
      <c r="A8602" s="66"/>
    </row>
    <row r="8603" spans="1:1" x14ac:dyDescent="0.25">
      <c r="A8603" s="66"/>
    </row>
    <row r="8604" spans="1:1" x14ac:dyDescent="0.25">
      <c r="A8604" s="66"/>
    </row>
    <row r="8605" spans="1:1" x14ac:dyDescent="0.25">
      <c r="A8605" s="66"/>
    </row>
    <row r="8606" spans="1:1" x14ac:dyDescent="0.25">
      <c r="A8606" s="66"/>
    </row>
    <row r="8607" spans="1:1" x14ac:dyDescent="0.25">
      <c r="A8607" s="66"/>
    </row>
    <row r="8608" spans="1:1" x14ac:dyDescent="0.25">
      <c r="A8608" s="66"/>
    </row>
    <row r="8609" spans="1:1" x14ac:dyDescent="0.25">
      <c r="A8609" s="66"/>
    </row>
    <row r="8610" spans="1:1" x14ac:dyDescent="0.25">
      <c r="A8610" s="66"/>
    </row>
    <row r="8611" spans="1:1" x14ac:dyDescent="0.25">
      <c r="A8611" s="66"/>
    </row>
    <row r="8612" spans="1:1" x14ac:dyDescent="0.25">
      <c r="A8612" s="66"/>
    </row>
    <row r="8613" spans="1:1" x14ac:dyDescent="0.25">
      <c r="A8613" s="66"/>
    </row>
    <row r="8614" spans="1:1" x14ac:dyDescent="0.25">
      <c r="A8614" s="66"/>
    </row>
    <row r="8615" spans="1:1" x14ac:dyDescent="0.25">
      <c r="A8615" s="66"/>
    </row>
    <row r="8616" spans="1:1" x14ac:dyDescent="0.25">
      <c r="A8616" s="66"/>
    </row>
    <row r="8617" spans="1:1" x14ac:dyDescent="0.25">
      <c r="A8617" s="66"/>
    </row>
    <row r="8618" spans="1:1" x14ac:dyDescent="0.25">
      <c r="A8618" s="66"/>
    </row>
    <row r="8619" spans="1:1" x14ac:dyDescent="0.25">
      <c r="A8619" s="66"/>
    </row>
    <row r="8620" spans="1:1" x14ac:dyDescent="0.25">
      <c r="A8620" s="66"/>
    </row>
    <row r="8621" spans="1:1" x14ac:dyDescent="0.25">
      <c r="A8621" s="66"/>
    </row>
    <row r="8622" spans="1:1" x14ac:dyDescent="0.25">
      <c r="A8622" s="66"/>
    </row>
    <row r="8623" spans="1:1" x14ac:dyDescent="0.25">
      <c r="A8623" s="66"/>
    </row>
    <row r="8624" spans="1:1" x14ac:dyDescent="0.25">
      <c r="A8624" s="66"/>
    </row>
    <row r="8625" spans="1:1" x14ac:dyDescent="0.25">
      <c r="A8625" s="66"/>
    </row>
    <row r="8626" spans="1:1" x14ac:dyDescent="0.25">
      <c r="A8626" s="66"/>
    </row>
    <row r="8627" spans="1:1" x14ac:dyDescent="0.25">
      <c r="A8627" s="66"/>
    </row>
    <row r="8628" spans="1:1" x14ac:dyDescent="0.25">
      <c r="A8628" s="66"/>
    </row>
    <row r="8629" spans="1:1" x14ac:dyDescent="0.25">
      <c r="A8629" s="66"/>
    </row>
    <row r="8630" spans="1:1" x14ac:dyDescent="0.25">
      <c r="A8630" s="66"/>
    </row>
    <row r="8631" spans="1:1" x14ac:dyDescent="0.25">
      <c r="A8631" s="66"/>
    </row>
    <row r="8632" spans="1:1" x14ac:dyDescent="0.25">
      <c r="A8632" s="66"/>
    </row>
    <row r="8633" spans="1:1" x14ac:dyDescent="0.25">
      <c r="A8633" s="66"/>
    </row>
    <row r="8634" spans="1:1" x14ac:dyDescent="0.25">
      <c r="A8634" s="66"/>
    </row>
    <row r="8635" spans="1:1" x14ac:dyDescent="0.25">
      <c r="A8635" s="66"/>
    </row>
    <row r="8636" spans="1:1" x14ac:dyDescent="0.25">
      <c r="A8636" s="66"/>
    </row>
    <row r="8637" spans="1:1" x14ac:dyDescent="0.25">
      <c r="A8637" s="66"/>
    </row>
    <row r="8638" spans="1:1" x14ac:dyDescent="0.25">
      <c r="A8638" s="66"/>
    </row>
    <row r="8639" spans="1:1" x14ac:dyDescent="0.25">
      <c r="A8639" s="66"/>
    </row>
    <row r="8640" spans="1:1" x14ac:dyDescent="0.25">
      <c r="A8640" s="66"/>
    </row>
    <row r="8641" spans="1:1" x14ac:dyDescent="0.25">
      <c r="A8641" s="66"/>
    </row>
    <row r="8642" spans="1:1" x14ac:dyDescent="0.25">
      <c r="A8642" s="66"/>
    </row>
    <row r="8643" spans="1:1" x14ac:dyDescent="0.25">
      <c r="A8643" s="66"/>
    </row>
    <row r="8644" spans="1:1" x14ac:dyDescent="0.25">
      <c r="A8644" s="66"/>
    </row>
    <row r="8645" spans="1:1" x14ac:dyDescent="0.25">
      <c r="A8645" s="66"/>
    </row>
    <row r="8646" spans="1:1" x14ac:dyDescent="0.25">
      <c r="A8646" s="66"/>
    </row>
    <row r="8647" spans="1:1" x14ac:dyDescent="0.25">
      <c r="A8647" s="66"/>
    </row>
    <row r="8648" spans="1:1" x14ac:dyDescent="0.25">
      <c r="A8648" s="66"/>
    </row>
    <row r="8649" spans="1:1" x14ac:dyDescent="0.25">
      <c r="A8649" s="66"/>
    </row>
    <row r="8650" spans="1:1" x14ac:dyDescent="0.25">
      <c r="A8650" s="66"/>
    </row>
    <row r="8651" spans="1:1" x14ac:dyDescent="0.25">
      <c r="A8651" s="66"/>
    </row>
    <row r="8652" spans="1:1" x14ac:dyDescent="0.25">
      <c r="A8652" s="66"/>
    </row>
    <row r="8653" spans="1:1" x14ac:dyDescent="0.25">
      <c r="A8653" s="66"/>
    </row>
    <row r="8654" spans="1:1" x14ac:dyDescent="0.25">
      <c r="A8654" s="66"/>
    </row>
    <row r="8655" spans="1:1" x14ac:dyDescent="0.25">
      <c r="A8655" s="66"/>
    </row>
    <row r="8656" spans="1:1" x14ac:dyDescent="0.25">
      <c r="A8656" s="66"/>
    </row>
    <row r="8657" spans="1:1" x14ac:dyDescent="0.25">
      <c r="A8657" s="66"/>
    </row>
    <row r="8658" spans="1:1" x14ac:dyDescent="0.25">
      <c r="A8658" s="66"/>
    </row>
    <row r="8659" spans="1:1" x14ac:dyDescent="0.25">
      <c r="A8659" s="66"/>
    </row>
    <row r="8660" spans="1:1" x14ac:dyDescent="0.25">
      <c r="A8660" s="66"/>
    </row>
    <row r="8661" spans="1:1" x14ac:dyDescent="0.25">
      <c r="A8661" s="66"/>
    </row>
    <row r="8662" spans="1:1" x14ac:dyDescent="0.25">
      <c r="A8662" s="66"/>
    </row>
    <row r="8663" spans="1:1" x14ac:dyDescent="0.25">
      <c r="A8663" s="66"/>
    </row>
    <row r="8664" spans="1:1" x14ac:dyDescent="0.25">
      <c r="A8664" s="66"/>
    </row>
    <row r="8665" spans="1:1" x14ac:dyDescent="0.25">
      <c r="A8665" s="66"/>
    </row>
    <row r="8666" spans="1:1" x14ac:dyDescent="0.25">
      <c r="A8666" s="66"/>
    </row>
    <row r="8667" spans="1:1" x14ac:dyDescent="0.25">
      <c r="A8667" s="66"/>
    </row>
    <row r="8668" spans="1:1" x14ac:dyDescent="0.25">
      <c r="A8668" s="66"/>
    </row>
    <row r="8669" spans="1:1" x14ac:dyDescent="0.25">
      <c r="A8669" s="66"/>
    </row>
    <row r="8670" spans="1:1" x14ac:dyDescent="0.25">
      <c r="A8670" s="66"/>
    </row>
    <row r="8671" spans="1:1" x14ac:dyDescent="0.25">
      <c r="A8671" s="66"/>
    </row>
    <row r="8672" spans="1:1" x14ac:dyDescent="0.25">
      <c r="A8672" s="66"/>
    </row>
    <row r="8673" spans="1:1" x14ac:dyDescent="0.25">
      <c r="A8673" s="66"/>
    </row>
    <row r="8674" spans="1:1" x14ac:dyDescent="0.25">
      <c r="A8674" s="66"/>
    </row>
    <row r="8675" spans="1:1" x14ac:dyDescent="0.25">
      <c r="A8675" s="66"/>
    </row>
    <row r="8676" spans="1:1" x14ac:dyDescent="0.25">
      <c r="A8676" s="66"/>
    </row>
    <row r="8677" spans="1:1" x14ac:dyDescent="0.25">
      <c r="A8677" s="66"/>
    </row>
    <row r="8678" spans="1:1" x14ac:dyDescent="0.25">
      <c r="A8678" s="66"/>
    </row>
    <row r="8679" spans="1:1" x14ac:dyDescent="0.25">
      <c r="A8679" s="66"/>
    </row>
    <row r="8680" spans="1:1" x14ac:dyDescent="0.25">
      <c r="A8680" s="66"/>
    </row>
    <row r="8681" spans="1:1" x14ac:dyDescent="0.25">
      <c r="A8681" s="66"/>
    </row>
    <row r="8682" spans="1:1" x14ac:dyDescent="0.25">
      <c r="A8682" s="66"/>
    </row>
    <row r="8683" spans="1:1" x14ac:dyDescent="0.25">
      <c r="A8683" s="66"/>
    </row>
    <row r="8684" spans="1:1" x14ac:dyDescent="0.25">
      <c r="A8684" s="66"/>
    </row>
    <row r="8685" spans="1:1" x14ac:dyDescent="0.25">
      <c r="A8685" s="66"/>
    </row>
    <row r="8686" spans="1:1" x14ac:dyDescent="0.25">
      <c r="A8686" s="66"/>
    </row>
    <row r="8687" spans="1:1" x14ac:dyDescent="0.25">
      <c r="A8687" s="66"/>
    </row>
    <row r="8688" spans="1:1" x14ac:dyDescent="0.25">
      <c r="A8688" s="66"/>
    </row>
    <row r="8689" spans="1:1" x14ac:dyDescent="0.25">
      <c r="A8689" s="66"/>
    </row>
    <row r="8690" spans="1:1" x14ac:dyDescent="0.25">
      <c r="A8690" s="66"/>
    </row>
    <row r="8691" spans="1:1" x14ac:dyDescent="0.25">
      <c r="A8691" s="66"/>
    </row>
    <row r="8692" spans="1:1" x14ac:dyDescent="0.25">
      <c r="A8692" s="66"/>
    </row>
    <row r="8693" spans="1:1" x14ac:dyDescent="0.25">
      <c r="A8693" s="66"/>
    </row>
    <row r="8694" spans="1:1" x14ac:dyDescent="0.25">
      <c r="A8694" s="66"/>
    </row>
    <row r="8695" spans="1:1" x14ac:dyDescent="0.25">
      <c r="A8695" s="66"/>
    </row>
    <row r="8696" spans="1:1" x14ac:dyDescent="0.25">
      <c r="A8696" s="66"/>
    </row>
    <row r="8697" spans="1:1" x14ac:dyDescent="0.25">
      <c r="A8697" s="66"/>
    </row>
    <row r="8698" spans="1:1" x14ac:dyDescent="0.25">
      <c r="A8698" s="66"/>
    </row>
    <row r="8699" spans="1:1" x14ac:dyDescent="0.25">
      <c r="A8699" s="66"/>
    </row>
    <row r="8700" spans="1:1" x14ac:dyDescent="0.25">
      <c r="A8700" s="66"/>
    </row>
    <row r="8701" spans="1:1" x14ac:dyDescent="0.25">
      <c r="A8701" s="66"/>
    </row>
    <row r="8702" spans="1:1" x14ac:dyDescent="0.25">
      <c r="A8702" s="66"/>
    </row>
    <row r="8703" spans="1:1" x14ac:dyDescent="0.25">
      <c r="A8703" s="66"/>
    </row>
    <row r="8704" spans="1:1" x14ac:dyDescent="0.25">
      <c r="A8704" s="66"/>
    </row>
    <row r="8705" spans="1:1" x14ac:dyDescent="0.25">
      <c r="A8705" s="66"/>
    </row>
    <row r="8706" spans="1:1" x14ac:dyDescent="0.25">
      <c r="A8706" s="66"/>
    </row>
    <row r="8707" spans="1:1" x14ac:dyDescent="0.25">
      <c r="A8707" s="66"/>
    </row>
    <row r="8708" spans="1:1" x14ac:dyDescent="0.25">
      <c r="A8708" s="66"/>
    </row>
    <row r="8709" spans="1:1" x14ac:dyDescent="0.25">
      <c r="A8709" s="66"/>
    </row>
    <row r="8710" spans="1:1" x14ac:dyDescent="0.25">
      <c r="A8710" s="66"/>
    </row>
    <row r="8711" spans="1:1" x14ac:dyDescent="0.25">
      <c r="A8711" s="66"/>
    </row>
    <row r="8712" spans="1:1" x14ac:dyDescent="0.25">
      <c r="A8712" s="66"/>
    </row>
    <row r="8713" spans="1:1" x14ac:dyDescent="0.25">
      <c r="A8713" s="66"/>
    </row>
    <row r="8714" spans="1:1" x14ac:dyDescent="0.25">
      <c r="A8714" s="66"/>
    </row>
    <row r="8715" spans="1:1" x14ac:dyDescent="0.25">
      <c r="A8715" s="66"/>
    </row>
    <row r="8716" spans="1:1" x14ac:dyDescent="0.25">
      <c r="A8716" s="66"/>
    </row>
    <row r="8717" spans="1:1" x14ac:dyDescent="0.25">
      <c r="A8717" s="66"/>
    </row>
    <row r="8718" spans="1:1" x14ac:dyDescent="0.25">
      <c r="A8718" s="66"/>
    </row>
    <row r="8719" spans="1:1" x14ac:dyDescent="0.25">
      <c r="A8719" s="66"/>
    </row>
    <row r="8720" spans="1:1" x14ac:dyDescent="0.25">
      <c r="A8720" s="66"/>
    </row>
    <row r="8721" spans="1:1" x14ac:dyDescent="0.25">
      <c r="A8721" s="66"/>
    </row>
    <row r="8722" spans="1:1" x14ac:dyDescent="0.25">
      <c r="A8722" s="66"/>
    </row>
    <row r="8723" spans="1:1" x14ac:dyDescent="0.25">
      <c r="A8723" s="66"/>
    </row>
    <row r="8724" spans="1:1" x14ac:dyDescent="0.25">
      <c r="A8724" s="66"/>
    </row>
    <row r="8725" spans="1:1" x14ac:dyDescent="0.25">
      <c r="A8725" s="66"/>
    </row>
    <row r="8726" spans="1:1" x14ac:dyDescent="0.25">
      <c r="A8726" s="66"/>
    </row>
    <row r="8727" spans="1:1" x14ac:dyDescent="0.25">
      <c r="A8727" s="66"/>
    </row>
    <row r="8728" spans="1:1" x14ac:dyDescent="0.25">
      <c r="A8728" s="66"/>
    </row>
    <row r="8729" spans="1:1" x14ac:dyDescent="0.25">
      <c r="A8729" s="66"/>
    </row>
    <row r="8730" spans="1:1" x14ac:dyDescent="0.25">
      <c r="A8730" s="66"/>
    </row>
    <row r="8731" spans="1:1" x14ac:dyDescent="0.25">
      <c r="A8731" s="66"/>
    </row>
    <row r="8732" spans="1:1" x14ac:dyDescent="0.25">
      <c r="A8732" s="66"/>
    </row>
    <row r="8733" spans="1:1" x14ac:dyDescent="0.25">
      <c r="A8733" s="66"/>
    </row>
    <row r="8734" spans="1:1" x14ac:dyDescent="0.25">
      <c r="A8734" s="66"/>
    </row>
    <row r="8735" spans="1:1" x14ac:dyDescent="0.25">
      <c r="A8735" s="66"/>
    </row>
    <row r="8736" spans="1:1" x14ac:dyDescent="0.25">
      <c r="A8736" s="66"/>
    </row>
    <row r="8737" spans="1:1" x14ac:dyDescent="0.25">
      <c r="A8737" s="66"/>
    </row>
    <row r="8738" spans="1:1" x14ac:dyDescent="0.25">
      <c r="A8738" s="66"/>
    </row>
    <row r="8739" spans="1:1" x14ac:dyDescent="0.25">
      <c r="A8739" s="66"/>
    </row>
    <row r="8740" spans="1:1" x14ac:dyDescent="0.25">
      <c r="A8740" s="66"/>
    </row>
    <row r="8741" spans="1:1" x14ac:dyDescent="0.25">
      <c r="A8741" s="66"/>
    </row>
    <row r="8742" spans="1:1" x14ac:dyDescent="0.25">
      <c r="A8742" s="66"/>
    </row>
    <row r="8743" spans="1:1" x14ac:dyDescent="0.25">
      <c r="A8743" s="66"/>
    </row>
    <row r="8744" spans="1:1" x14ac:dyDescent="0.25">
      <c r="A8744" s="66"/>
    </row>
    <row r="8745" spans="1:1" x14ac:dyDescent="0.25">
      <c r="A8745" s="66"/>
    </row>
    <row r="8746" spans="1:1" x14ac:dyDescent="0.25">
      <c r="A8746" s="66"/>
    </row>
    <row r="8747" spans="1:1" x14ac:dyDescent="0.25">
      <c r="A8747" s="66"/>
    </row>
    <row r="8748" spans="1:1" x14ac:dyDescent="0.25">
      <c r="A8748" s="66"/>
    </row>
    <row r="8749" spans="1:1" x14ac:dyDescent="0.25">
      <c r="A8749" s="66"/>
    </row>
    <row r="8750" spans="1:1" x14ac:dyDescent="0.25">
      <c r="A8750" s="66"/>
    </row>
    <row r="8751" spans="1:1" x14ac:dyDescent="0.25">
      <c r="A8751" s="66"/>
    </row>
    <row r="8752" spans="1:1" x14ac:dyDescent="0.25">
      <c r="A8752" s="66"/>
    </row>
    <row r="8753" spans="1:1" x14ac:dyDescent="0.25">
      <c r="A8753" s="66"/>
    </row>
    <row r="8754" spans="1:1" x14ac:dyDescent="0.25">
      <c r="A8754" s="66"/>
    </row>
    <row r="8755" spans="1:1" x14ac:dyDescent="0.25">
      <c r="A8755" s="66"/>
    </row>
    <row r="8756" spans="1:1" x14ac:dyDescent="0.25">
      <c r="A8756" s="66"/>
    </row>
    <row r="8757" spans="1:1" x14ac:dyDescent="0.25">
      <c r="A8757" s="66"/>
    </row>
    <row r="8758" spans="1:1" x14ac:dyDescent="0.25">
      <c r="A8758" s="66"/>
    </row>
    <row r="8759" spans="1:1" x14ac:dyDescent="0.25">
      <c r="A8759" s="66"/>
    </row>
    <row r="8760" spans="1:1" x14ac:dyDescent="0.25">
      <c r="A8760" s="66"/>
    </row>
    <row r="8761" spans="1:1" x14ac:dyDescent="0.25">
      <c r="A8761" s="66"/>
    </row>
    <row r="8762" spans="1:1" x14ac:dyDescent="0.25">
      <c r="A8762" s="66"/>
    </row>
    <row r="8763" spans="1:1" x14ac:dyDescent="0.25">
      <c r="A8763" s="66"/>
    </row>
    <row r="8764" spans="1:1" x14ac:dyDescent="0.25">
      <c r="A8764" s="66"/>
    </row>
    <row r="8765" spans="1:1" x14ac:dyDescent="0.25">
      <c r="A8765" s="66"/>
    </row>
    <row r="8766" spans="1:1" x14ac:dyDescent="0.25">
      <c r="A8766" s="66"/>
    </row>
    <row r="8767" spans="1:1" x14ac:dyDescent="0.25">
      <c r="A8767" s="66"/>
    </row>
    <row r="8768" spans="1:1" x14ac:dyDescent="0.25">
      <c r="A8768" s="66"/>
    </row>
    <row r="8769" spans="1:1" x14ac:dyDescent="0.25">
      <c r="A8769" s="66"/>
    </row>
    <row r="8770" spans="1:1" x14ac:dyDescent="0.25">
      <c r="A8770" s="66"/>
    </row>
    <row r="8771" spans="1:1" x14ac:dyDescent="0.25">
      <c r="A8771" s="66"/>
    </row>
    <row r="8772" spans="1:1" x14ac:dyDescent="0.25">
      <c r="A8772" s="66"/>
    </row>
    <row r="8773" spans="1:1" x14ac:dyDescent="0.25">
      <c r="A8773" s="66"/>
    </row>
    <row r="8774" spans="1:1" x14ac:dyDescent="0.25">
      <c r="A8774" s="66"/>
    </row>
    <row r="8775" spans="1:1" x14ac:dyDescent="0.25">
      <c r="A8775" s="66"/>
    </row>
    <row r="8776" spans="1:1" x14ac:dyDescent="0.25">
      <c r="A8776" s="66"/>
    </row>
    <row r="8777" spans="1:1" x14ac:dyDescent="0.25">
      <c r="A8777" s="66"/>
    </row>
    <row r="8778" spans="1:1" x14ac:dyDescent="0.25">
      <c r="A8778" s="66"/>
    </row>
    <row r="8779" spans="1:1" x14ac:dyDescent="0.25">
      <c r="A8779" s="66"/>
    </row>
    <row r="8780" spans="1:1" x14ac:dyDescent="0.25">
      <c r="A8780" s="66"/>
    </row>
    <row r="8781" spans="1:1" x14ac:dyDescent="0.25">
      <c r="A8781" s="66"/>
    </row>
    <row r="8782" spans="1:1" x14ac:dyDescent="0.25">
      <c r="A8782" s="66"/>
    </row>
    <row r="8783" spans="1:1" x14ac:dyDescent="0.25">
      <c r="A8783" s="66"/>
    </row>
    <row r="8784" spans="1:1" x14ac:dyDescent="0.25">
      <c r="A8784" s="66"/>
    </row>
    <row r="8785" spans="1:1" x14ac:dyDescent="0.25">
      <c r="A8785" s="66"/>
    </row>
    <row r="8786" spans="1:1" x14ac:dyDescent="0.25">
      <c r="A8786" s="66"/>
    </row>
    <row r="8787" spans="1:1" x14ac:dyDescent="0.25">
      <c r="A8787" s="66"/>
    </row>
    <row r="8788" spans="1:1" x14ac:dyDescent="0.25">
      <c r="A8788" s="66"/>
    </row>
    <row r="8789" spans="1:1" x14ac:dyDescent="0.25">
      <c r="A8789" s="66"/>
    </row>
    <row r="8790" spans="1:1" x14ac:dyDescent="0.25">
      <c r="A8790" s="66"/>
    </row>
    <row r="8791" spans="1:1" x14ac:dyDescent="0.25">
      <c r="A8791" s="66"/>
    </row>
    <row r="8792" spans="1:1" x14ac:dyDescent="0.25">
      <c r="A8792" s="66"/>
    </row>
    <row r="8793" spans="1:1" x14ac:dyDescent="0.25">
      <c r="A8793" s="66"/>
    </row>
    <row r="8794" spans="1:1" x14ac:dyDescent="0.25">
      <c r="A8794" s="66"/>
    </row>
    <row r="8795" spans="1:1" x14ac:dyDescent="0.25">
      <c r="A8795" s="66"/>
    </row>
    <row r="8796" spans="1:1" x14ac:dyDescent="0.25">
      <c r="A8796" s="66"/>
    </row>
    <row r="8797" spans="1:1" x14ac:dyDescent="0.25">
      <c r="A8797" s="66"/>
    </row>
    <row r="8798" spans="1:1" x14ac:dyDescent="0.25">
      <c r="A8798" s="66"/>
    </row>
    <row r="8799" spans="1:1" x14ac:dyDescent="0.25">
      <c r="A8799" s="66"/>
    </row>
    <row r="8800" spans="1:1" x14ac:dyDescent="0.25">
      <c r="A8800" s="66"/>
    </row>
    <row r="8801" spans="1:1" x14ac:dyDescent="0.25">
      <c r="A8801" s="66"/>
    </row>
    <row r="8802" spans="1:1" x14ac:dyDescent="0.25">
      <c r="A8802" s="66"/>
    </row>
    <row r="8803" spans="1:1" x14ac:dyDescent="0.25">
      <c r="A8803" s="66"/>
    </row>
    <row r="8804" spans="1:1" x14ac:dyDescent="0.25">
      <c r="A8804" s="66"/>
    </row>
    <row r="8805" spans="1:1" x14ac:dyDescent="0.25">
      <c r="A8805" s="66"/>
    </row>
    <row r="8806" spans="1:1" x14ac:dyDescent="0.25">
      <c r="A8806" s="66"/>
    </row>
    <row r="8807" spans="1:1" x14ac:dyDescent="0.25">
      <c r="A8807" s="66"/>
    </row>
    <row r="8808" spans="1:1" x14ac:dyDescent="0.25">
      <c r="A8808" s="66"/>
    </row>
    <row r="8809" spans="1:1" x14ac:dyDescent="0.25">
      <c r="A8809" s="66"/>
    </row>
    <row r="8810" spans="1:1" x14ac:dyDescent="0.25">
      <c r="A8810" s="66"/>
    </row>
    <row r="8811" spans="1:1" x14ac:dyDescent="0.25">
      <c r="A8811" s="66"/>
    </row>
    <row r="8812" spans="1:1" x14ac:dyDescent="0.25">
      <c r="A8812" s="66"/>
    </row>
    <row r="8813" spans="1:1" x14ac:dyDescent="0.25">
      <c r="A8813" s="66"/>
    </row>
    <row r="8814" spans="1:1" x14ac:dyDescent="0.25">
      <c r="A8814" s="66"/>
    </row>
    <row r="8815" spans="1:1" x14ac:dyDescent="0.25">
      <c r="A8815" s="66"/>
    </row>
    <row r="8816" spans="1:1" x14ac:dyDescent="0.25">
      <c r="A8816" s="66"/>
    </row>
    <row r="8817" spans="1:1" x14ac:dyDescent="0.25">
      <c r="A8817" s="66"/>
    </row>
    <row r="8818" spans="1:1" x14ac:dyDescent="0.25">
      <c r="A8818" s="66"/>
    </row>
    <row r="8819" spans="1:1" x14ac:dyDescent="0.25">
      <c r="A8819" s="66"/>
    </row>
    <row r="8820" spans="1:1" x14ac:dyDescent="0.25">
      <c r="A8820" s="66"/>
    </row>
    <row r="8821" spans="1:1" x14ac:dyDescent="0.25">
      <c r="A8821" s="66"/>
    </row>
    <row r="8822" spans="1:1" x14ac:dyDescent="0.25">
      <c r="A8822" s="66"/>
    </row>
    <row r="8823" spans="1:1" x14ac:dyDescent="0.25">
      <c r="A8823" s="66"/>
    </row>
    <row r="8824" spans="1:1" x14ac:dyDescent="0.25">
      <c r="A8824" s="66"/>
    </row>
    <row r="8825" spans="1:1" x14ac:dyDescent="0.25">
      <c r="A8825" s="66"/>
    </row>
    <row r="8826" spans="1:1" x14ac:dyDescent="0.25">
      <c r="A8826" s="66"/>
    </row>
    <row r="8827" spans="1:1" x14ac:dyDescent="0.25">
      <c r="A8827" s="66"/>
    </row>
    <row r="8828" spans="1:1" x14ac:dyDescent="0.25">
      <c r="A8828" s="66"/>
    </row>
    <row r="8829" spans="1:1" x14ac:dyDescent="0.25">
      <c r="A8829" s="66"/>
    </row>
    <row r="8830" spans="1:1" x14ac:dyDescent="0.25">
      <c r="A8830" s="66"/>
    </row>
    <row r="8831" spans="1:1" x14ac:dyDescent="0.25">
      <c r="A8831" s="66"/>
    </row>
    <row r="8832" spans="1:1" x14ac:dyDescent="0.25">
      <c r="A8832" s="66"/>
    </row>
    <row r="8833" spans="1:1" x14ac:dyDescent="0.25">
      <c r="A8833" s="66"/>
    </row>
    <row r="8834" spans="1:1" x14ac:dyDescent="0.25">
      <c r="A8834" s="66"/>
    </row>
    <row r="8835" spans="1:1" x14ac:dyDescent="0.25">
      <c r="A8835" s="66"/>
    </row>
    <row r="8836" spans="1:1" x14ac:dyDescent="0.25">
      <c r="A8836" s="66"/>
    </row>
    <row r="8837" spans="1:1" x14ac:dyDescent="0.25">
      <c r="A8837" s="66"/>
    </row>
    <row r="8838" spans="1:1" x14ac:dyDescent="0.25">
      <c r="A8838" s="66"/>
    </row>
    <row r="8839" spans="1:1" x14ac:dyDescent="0.25">
      <c r="A8839" s="66"/>
    </row>
    <row r="8840" spans="1:1" x14ac:dyDescent="0.25">
      <c r="A8840" s="66"/>
    </row>
    <row r="8841" spans="1:1" x14ac:dyDescent="0.25">
      <c r="A8841" s="66"/>
    </row>
    <row r="8842" spans="1:1" x14ac:dyDescent="0.25">
      <c r="A8842" s="66"/>
    </row>
    <row r="8843" spans="1:1" x14ac:dyDescent="0.25">
      <c r="A8843" s="66"/>
    </row>
    <row r="8844" spans="1:1" x14ac:dyDescent="0.25">
      <c r="A8844" s="66"/>
    </row>
    <row r="8845" spans="1:1" x14ac:dyDescent="0.25">
      <c r="A8845" s="66"/>
    </row>
    <row r="8846" spans="1:1" x14ac:dyDescent="0.25">
      <c r="A8846" s="66"/>
    </row>
    <row r="8847" spans="1:1" x14ac:dyDescent="0.25">
      <c r="A8847" s="66"/>
    </row>
    <row r="8848" spans="1:1" x14ac:dyDescent="0.25">
      <c r="A8848" s="66"/>
    </row>
    <row r="8849" spans="1:1" x14ac:dyDescent="0.25">
      <c r="A8849" s="66"/>
    </row>
    <row r="8850" spans="1:1" x14ac:dyDescent="0.25">
      <c r="A8850" s="66"/>
    </row>
    <row r="8851" spans="1:1" x14ac:dyDescent="0.25">
      <c r="A8851" s="66"/>
    </row>
    <row r="8852" spans="1:1" x14ac:dyDescent="0.25">
      <c r="A8852" s="66"/>
    </row>
    <row r="8853" spans="1:1" x14ac:dyDescent="0.25">
      <c r="A8853" s="66"/>
    </row>
    <row r="8854" spans="1:1" x14ac:dyDescent="0.25">
      <c r="A8854" s="66"/>
    </row>
    <row r="8855" spans="1:1" x14ac:dyDescent="0.25">
      <c r="A8855" s="66"/>
    </row>
    <row r="8856" spans="1:1" x14ac:dyDescent="0.25">
      <c r="A8856" s="66"/>
    </row>
    <row r="8857" spans="1:1" x14ac:dyDescent="0.25">
      <c r="A8857" s="66"/>
    </row>
    <row r="8858" spans="1:1" x14ac:dyDescent="0.25">
      <c r="A8858" s="66"/>
    </row>
    <row r="8859" spans="1:1" x14ac:dyDescent="0.25">
      <c r="A8859" s="66"/>
    </row>
    <row r="8860" spans="1:1" x14ac:dyDescent="0.25">
      <c r="A8860" s="66"/>
    </row>
    <row r="8861" spans="1:1" x14ac:dyDescent="0.25">
      <c r="A8861" s="66"/>
    </row>
    <row r="8862" spans="1:1" x14ac:dyDescent="0.25">
      <c r="A8862" s="66"/>
    </row>
    <row r="8863" spans="1:1" x14ac:dyDescent="0.25">
      <c r="A8863" s="66"/>
    </row>
    <row r="8864" spans="1:1" x14ac:dyDescent="0.25">
      <c r="A8864" s="66"/>
    </row>
    <row r="8865" spans="1:1" x14ac:dyDescent="0.25">
      <c r="A8865" s="66"/>
    </row>
    <row r="8866" spans="1:1" x14ac:dyDescent="0.25">
      <c r="A8866" s="66"/>
    </row>
    <row r="8867" spans="1:1" x14ac:dyDescent="0.25">
      <c r="A8867" s="66"/>
    </row>
    <row r="8868" spans="1:1" x14ac:dyDescent="0.25">
      <c r="A8868" s="66"/>
    </row>
    <row r="8869" spans="1:1" x14ac:dyDescent="0.25">
      <c r="A8869" s="66"/>
    </row>
    <row r="8870" spans="1:1" x14ac:dyDescent="0.25">
      <c r="A8870" s="66"/>
    </row>
    <row r="8871" spans="1:1" x14ac:dyDescent="0.25">
      <c r="A8871" s="66"/>
    </row>
    <row r="8872" spans="1:1" x14ac:dyDescent="0.25">
      <c r="A8872" s="66"/>
    </row>
    <row r="8873" spans="1:1" x14ac:dyDescent="0.25">
      <c r="A8873" s="66"/>
    </row>
    <row r="8874" spans="1:1" x14ac:dyDescent="0.25">
      <c r="A8874" s="66"/>
    </row>
    <row r="8875" spans="1:1" x14ac:dyDescent="0.25">
      <c r="A8875" s="66"/>
    </row>
    <row r="8876" spans="1:1" x14ac:dyDescent="0.25">
      <c r="A8876" s="66"/>
    </row>
    <row r="8877" spans="1:1" x14ac:dyDescent="0.25">
      <c r="A8877" s="66"/>
    </row>
    <row r="8878" spans="1:1" x14ac:dyDescent="0.25">
      <c r="A8878" s="66"/>
    </row>
    <row r="8879" spans="1:1" x14ac:dyDescent="0.25">
      <c r="A8879" s="66"/>
    </row>
    <row r="8880" spans="1:1" x14ac:dyDescent="0.25">
      <c r="A8880" s="66"/>
    </row>
    <row r="8881" spans="1:1" x14ac:dyDescent="0.25">
      <c r="A8881" s="66"/>
    </row>
    <row r="8882" spans="1:1" x14ac:dyDescent="0.25">
      <c r="A8882" s="66"/>
    </row>
    <row r="8883" spans="1:1" x14ac:dyDescent="0.25">
      <c r="A8883" s="66"/>
    </row>
    <row r="8884" spans="1:1" x14ac:dyDescent="0.25">
      <c r="A8884" s="66"/>
    </row>
    <row r="8885" spans="1:1" x14ac:dyDescent="0.25">
      <c r="A8885" s="66"/>
    </row>
    <row r="8886" spans="1:1" x14ac:dyDescent="0.25">
      <c r="A8886" s="66"/>
    </row>
    <row r="8887" spans="1:1" x14ac:dyDescent="0.25">
      <c r="A8887" s="66"/>
    </row>
    <row r="8888" spans="1:1" x14ac:dyDescent="0.25">
      <c r="A8888" s="66"/>
    </row>
    <row r="8889" spans="1:1" x14ac:dyDescent="0.25">
      <c r="A8889" s="66"/>
    </row>
    <row r="8890" spans="1:1" x14ac:dyDescent="0.25">
      <c r="A8890" s="66"/>
    </row>
    <row r="8891" spans="1:1" x14ac:dyDescent="0.25">
      <c r="A8891" s="66"/>
    </row>
    <row r="8892" spans="1:1" x14ac:dyDescent="0.25">
      <c r="A8892" s="66"/>
    </row>
    <row r="8893" spans="1:1" x14ac:dyDescent="0.25">
      <c r="A8893" s="66"/>
    </row>
    <row r="8894" spans="1:1" x14ac:dyDescent="0.25">
      <c r="A8894" s="66"/>
    </row>
    <row r="8895" spans="1:1" x14ac:dyDescent="0.25">
      <c r="A8895" s="66"/>
    </row>
    <row r="8896" spans="1:1" x14ac:dyDescent="0.25">
      <c r="A8896" s="66"/>
    </row>
    <row r="8897" spans="1:1" x14ac:dyDescent="0.25">
      <c r="A8897" s="66"/>
    </row>
    <row r="8898" spans="1:1" x14ac:dyDescent="0.25">
      <c r="A8898" s="66"/>
    </row>
    <row r="8899" spans="1:1" x14ac:dyDescent="0.25">
      <c r="A8899" s="66"/>
    </row>
    <row r="8900" spans="1:1" x14ac:dyDescent="0.25">
      <c r="A8900" s="66"/>
    </row>
    <row r="8901" spans="1:1" x14ac:dyDescent="0.25">
      <c r="A8901" s="66"/>
    </row>
    <row r="8902" spans="1:1" x14ac:dyDescent="0.25">
      <c r="A8902" s="66"/>
    </row>
    <row r="8903" spans="1:1" x14ac:dyDescent="0.25">
      <c r="A8903" s="66"/>
    </row>
    <row r="8904" spans="1:1" x14ac:dyDescent="0.25">
      <c r="A8904" s="66"/>
    </row>
    <row r="8905" spans="1:1" x14ac:dyDescent="0.25">
      <c r="A8905" s="66"/>
    </row>
    <row r="8906" spans="1:1" x14ac:dyDescent="0.25">
      <c r="A8906" s="66"/>
    </row>
    <row r="8907" spans="1:1" x14ac:dyDescent="0.25">
      <c r="A8907" s="66"/>
    </row>
    <row r="8908" spans="1:1" x14ac:dyDescent="0.25">
      <c r="A8908" s="66"/>
    </row>
    <row r="8909" spans="1:1" x14ac:dyDescent="0.25">
      <c r="A8909" s="66"/>
    </row>
    <row r="8910" spans="1:1" x14ac:dyDescent="0.25">
      <c r="A8910" s="66"/>
    </row>
    <row r="8911" spans="1:1" x14ac:dyDescent="0.25">
      <c r="A8911" s="66"/>
    </row>
    <row r="8912" spans="1:1" x14ac:dyDescent="0.25">
      <c r="A8912" s="66"/>
    </row>
    <row r="8913" spans="1:1" x14ac:dyDescent="0.25">
      <c r="A8913" s="66"/>
    </row>
    <row r="8914" spans="1:1" x14ac:dyDescent="0.25">
      <c r="A8914" s="66"/>
    </row>
    <row r="8915" spans="1:1" x14ac:dyDescent="0.25">
      <c r="A8915" s="66"/>
    </row>
    <row r="8916" spans="1:1" x14ac:dyDescent="0.25">
      <c r="A8916" s="66"/>
    </row>
    <row r="8917" spans="1:1" x14ac:dyDescent="0.25">
      <c r="A8917" s="66"/>
    </row>
    <row r="8918" spans="1:1" x14ac:dyDescent="0.25">
      <c r="A8918" s="66"/>
    </row>
    <row r="8919" spans="1:1" x14ac:dyDescent="0.25">
      <c r="A8919" s="66"/>
    </row>
    <row r="8920" spans="1:1" x14ac:dyDescent="0.25">
      <c r="A8920" s="66"/>
    </row>
    <row r="8921" spans="1:1" x14ac:dyDescent="0.25">
      <c r="A8921" s="66"/>
    </row>
    <row r="8922" spans="1:1" x14ac:dyDescent="0.25">
      <c r="A8922" s="66"/>
    </row>
    <row r="8923" spans="1:1" x14ac:dyDescent="0.25">
      <c r="A8923" s="66"/>
    </row>
    <row r="8924" spans="1:1" x14ac:dyDescent="0.25">
      <c r="A8924" s="66"/>
    </row>
    <row r="8925" spans="1:1" x14ac:dyDescent="0.25">
      <c r="A8925" s="66"/>
    </row>
    <row r="8926" spans="1:1" x14ac:dyDescent="0.25">
      <c r="A8926" s="66"/>
    </row>
    <row r="8927" spans="1:1" x14ac:dyDescent="0.25">
      <c r="A8927" s="66"/>
    </row>
    <row r="8928" spans="1:1" x14ac:dyDescent="0.25">
      <c r="A8928" s="66"/>
    </row>
    <row r="8929" spans="1:1" x14ac:dyDescent="0.25">
      <c r="A8929" s="66"/>
    </row>
    <row r="8930" spans="1:1" x14ac:dyDescent="0.25">
      <c r="A8930" s="66"/>
    </row>
    <row r="8931" spans="1:1" x14ac:dyDescent="0.25">
      <c r="A8931" s="66"/>
    </row>
    <row r="8932" spans="1:1" x14ac:dyDescent="0.25">
      <c r="A8932" s="66"/>
    </row>
    <row r="8933" spans="1:1" x14ac:dyDescent="0.25">
      <c r="A8933" s="66"/>
    </row>
    <row r="8934" spans="1:1" x14ac:dyDescent="0.25">
      <c r="A8934" s="66"/>
    </row>
    <row r="8935" spans="1:1" x14ac:dyDescent="0.25">
      <c r="A8935" s="66"/>
    </row>
    <row r="8936" spans="1:1" x14ac:dyDescent="0.25">
      <c r="A8936" s="66"/>
    </row>
    <row r="8937" spans="1:1" x14ac:dyDescent="0.25">
      <c r="A8937" s="66"/>
    </row>
    <row r="8938" spans="1:1" x14ac:dyDescent="0.25">
      <c r="A8938" s="66"/>
    </row>
    <row r="8939" spans="1:1" x14ac:dyDescent="0.25">
      <c r="A8939" s="66"/>
    </row>
    <row r="8940" spans="1:1" x14ac:dyDescent="0.25">
      <c r="A8940" s="66"/>
    </row>
    <row r="8941" spans="1:1" x14ac:dyDescent="0.25">
      <c r="A8941" s="66"/>
    </row>
    <row r="8942" spans="1:1" x14ac:dyDescent="0.25">
      <c r="A8942" s="66"/>
    </row>
    <row r="8943" spans="1:1" x14ac:dyDescent="0.25">
      <c r="A8943" s="66"/>
    </row>
    <row r="8944" spans="1:1" x14ac:dyDescent="0.25">
      <c r="A8944" s="66"/>
    </row>
    <row r="8945" spans="1:1" x14ac:dyDescent="0.25">
      <c r="A8945" s="66"/>
    </row>
    <row r="8946" spans="1:1" x14ac:dyDescent="0.25">
      <c r="A8946" s="66"/>
    </row>
    <row r="8947" spans="1:1" x14ac:dyDescent="0.25">
      <c r="A8947" s="66"/>
    </row>
    <row r="8948" spans="1:1" x14ac:dyDescent="0.25">
      <c r="A8948" s="66"/>
    </row>
    <row r="8949" spans="1:1" x14ac:dyDescent="0.25">
      <c r="A8949" s="66"/>
    </row>
    <row r="8950" spans="1:1" x14ac:dyDescent="0.25">
      <c r="A8950" s="66"/>
    </row>
    <row r="8951" spans="1:1" x14ac:dyDescent="0.25">
      <c r="A8951" s="66"/>
    </row>
    <row r="8952" spans="1:1" x14ac:dyDescent="0.25">
      <c r="A8952" s="66"/>
    </row>
    <row r="8953" spans="1:1" x14ac:dyDescent="0.25">
      <c r="A8953" s="66"/>
    </row>
    <row r="8954" spans="1:1" x14ac:dyDescent="0.25">
      <c r="A8954" s="66"/>
    </row>
    <row r="8955" spans="1:1" x14ac:dyDescent="0.25">
      <c r="A8955" s="66"/>
    </row>
    <row r="8956" spans="1:1" x14ac:dyDescent="0.25">
      <c r="A8956" s="66"/>
    </row>
    <row r="8957" spans="1:1" x14ac:dyDescent="0.25">
      <c r="A8957" s="66"/>
    </row>
    <row r="8958" spans="1:1" x14ac:dyDescent="0.25">
      <c r="A8958" s="66"/>
    </row>
    <row r="8959" spans="1:1" x14ac:dyDescent="0.25">
      <c r="A8959" s="66"/>
    </row>
    <row r="8960" spans="1:1" x14ac:dyDescent="0.25">
      <c r="A8960" s="66"/>
    </row>
    <row r="8961" spans="1:1" x14ac:dyDescent="0.25">
      <c r="A8961" s="66"/>
    </row>
    <row r="8962" spans="1:1" x14ac:dyDescent="0.25">
      <c r="A8962" s="66"/>
    </row>
    <row r="8963" spans="1:1" x14ac:dyDescent="0.25">
      <c r="A8963" s="66"/>
    </row>
    <row r="8964" spans="1:1" x14ac:dyDescent="0.25">
      <c r="A8964" s="66"/>
    </row>
    <row r="8965" spans="1:1" x14ac:dyDescent="0.25">
      <c r="A8965" s="66"/>
    </row>
    <row r="8966" spans="1:1" x14ac:dyDescent="0.25">
      <c r="A8966" s="66"/>
    </row>
    <row r="8967" spans="1:1" x14ac:dyDescent="0.25">
      <c r="A8967" s="66"/>
    </row>
    <row r="8968" spans="1:1" x14ac:dyDescent="0.25">
      <c r="A8968" s="66"/>
    </row>
    <row r="8969" spans="1:1" x14ac:dyDescent="0.25">
      <c r="A8969" s="66"/>
    </row>
    <row r="8970" spans="1:1" x14ac:dyDescent="0.25">
      <c r="A8970" s="66"/>
    </row>
    <row r="8971" spans="1:1" x14ac:dyDescent="0.25">
      <c r="A8971" s="66"/>
    </row>
    <row r="8972" spans="1:1" x14ac:dyDescent="0.25">
      <c r="A8972" s="66"/>
    </row>
    <row r="8973" spans="1:1" x14ac:dyDescent="0.25">
      <c r="A8973" s="66"/>
    </row>
    <row r="8974" spans="1:1" x14ac:dyDescent="0.25">
      <c r="A8974" s="66"/>
    </row>
    <row r="8975" spans="1:1" x14ac:dyDescent="0.25">
      <c r="A8975" s="66"/>
    </row>
    <row r="8976" spans="1:1" x14ac:dyDescent="0.25">
      <c r="A8976" s="66"/>
    </row>
    <row r="8977" spans="1:1" x14ac:dyDescent="0.25">
      <c r="A8977" s="66"/>
    </row>
    <row r="8978" spans="1:1" x14ac:dyDescent="0.25">
      <c r="A8978" s="66"/>
    </row>
    <row r="8979" spans="1:1" x14ac:dyDescent="0.25">
      <c r="A8979" s="66"/>
    </row>
    <row r="8980" spans="1:1" x14ac:dyDescent="0.25">
      <c r="A8980" s="66"/>
    </row>
    <row r="8981" spans="1:1" x14ac:dyDescent="0.25">
      <c r="A8981" s="66"/>
    </row>
    <row r="8982" spans="1:1" x14ac:dyDescent="0.25">
      <c r="A8982" s="66"/>
    </row>
    <row r="8983" spans="1:1" x14ac:dyDescent="0.25">
      <c r="A8983" s="66"/>
    </row>
    <row r="8984" spans="1:1" x14ac:dyDescent="0.25">
      <c r="A8984" s="66"/>
    </row>
    <row r="8985" spans="1:1" x14ac:dyDescent="0.25">
      <c r="A8985" s="66"/>
    </row>
    <row r="8986" spans="1:1" x14ac:dyDescent="0.25">
      <c r="A8986" s="66"/>
    </row>
    <row r="8987" spans="1:1" x14ac:dyDescent="0.25">
      <c r="A8987" s="66"/>
    </row>
    <row r="8988" spans="1:1" x14ac:dyDescent="0.25">
      <c r="A8988" s="66"/>
    </row>
    <row r="8989" spans="1:1" x14ac:dyDescent="0.25">
      <c r="A8989" s="66"/>
    </row>
    <row r="8990" spans="1:1" x14ac:dyDescent="0.25">
      <c r="A8990" s="66"/>
    </row>
    <row r="8991" spans="1:1" x14ac:dyDescent="0.25">
      <c r="A8991" s="66"/>
    </row>
    <row r="8992" spans="1:1" x14ac:dyDescent="0.25">
      <c r="A8992" s="66"/>
    </row>
    <row r="8993" spans="1:1" x14ac:dyDescent="0.25">
      <c r="A8993" s="66"/>
    </row>
    <row r="8994" spans="1:1" x14ac:dyDescent="0.25">
      <c r="A8994" s="66"/>
    </row>
    <row r="8995" spans="1:1" x14ac:dyDescent="0.25">
      <c r="A8995" s="66"/>
    </row>
    <row r="8996" spans="1:1" x14ac:dyDescent="0.25">
      <c r="A8996" s="66"/>
    </row>
    <row r="8997" spans="1:1" x14ac:dyDescent="0.25">
      <c r="A8997" s="66"/>
    </row>
    <row r="8998" spans="1:1" x14ac:dyDescent="0.25">
      <c r="A8998" s="66"/>
    </row>
    <row r="8999" spans="1:1" x14ac:dyDescent="0.25">
      <c r="A8999" s="66"/>
    </row>
    <row r="9000" spans="1:1" x14ac:dyDescent="0.25">
      <c r="A9000" s="66"/>
    </row>
    <row r="9001" spans="1:1" x14ac:dyDescent="0.25">
      <c r="A9001" s="66"/>
    </row>
    <row r="9002" spans="1:1" x14ac:dyDescent="0.25">
      <c r="A9002" s="66"/>
    </row>
    <row r="9003" spans="1:1" x14ac:dyDescent="0.25">
      <c r="A9003" s="66"/>
    </row>
    <row r="9004" spans="1:1" x14ac:dyDescent="0.25">
      <c r="A9004" s="66"/>
    </row>
    <row r="9005" spans="1:1" x14ac:dyDescent="0.25">
      <c r="A9005" s="66"/>
    </row>
    <row r="9006" spans="1:1" x14ac:dyDescent="0.25">
      <c r="A9006" s="66"/>
    </row>
    <row r="9007" spans="1:1" x14ac:dyDescent="0.25">
      <c r="A9007" s="66"/>
    </row>
    <row r="9008" spans="1:1" x14ac:dyDescent="0.25">
      <c r="A9008" s="66"/>
    </row>
    <row r="9009" spans="1:1" x14ac:dyDescent="0.25">
      <c r="A9009" s="66"/>
    </row>
    <row r="9010" spans="1:1" x14ac:dyDescent="0.25">
      <c r="A9010" s="66"/>
    </row>
    <row r="9011" spans="1:1" x14ac:dyDescent="0.25">
      <c r="A9011" s="66"/>
    </row>
    <row r="9012" spans="1:1" x14ac:dyDescent="0.25">
      <c r="A9012" s="66"/>
    </row>
    <row r="9013" spans="1:1" x14ac:dyDescent="0.25">
      <c r="A9013" s="66"/>
    </row>
    <row r="9014" spans="1:1" x14ac:dyDescent="0.25">
      <c r="A9014" s="66"/>
    </row>
    <row r="9015" spans="1:1" x14ac:dyDescent="0.25">
      <c r="A9015" s="66"/>
    </row>
    <row r="9016" spans="1:1" x14ac:dyDescent="0.25">
      <c r="A9016" s="66"/>
    </row>
    <row r="9017" spans="1:1" x14ac:dyDescent="0.25">
      <c r="A9017" s="66"/>
    </row>
    <row r="9018" spans="1:1" x14ac:dyDescent="0.25">
      <c r="A9018" s="66"/>
    </row>
    <row r="9019" spans="1:1" x14ac:dyDescent="0.25">
      <c r="A9019" s="66"/>
    </row>
    <row r="9020" spans="1:1" x14ac:dyDescent="0.25">
      <c r="A9020" s="66"/>
    </row>
    <row r="9021" spans="1:1" x14ac:dyDescent="0.25">
      <c r="A9021" s="66"/>
    </row>
    <row r="9022" spans="1:1" x14ac:dyDescent="0.25">
      <c r="A9022" s="66"/>
    </row>
    <row r="9023" spans="1:1" x14ac:dyDescent="0.25">
      <c r="A9023" s="66"/>
    </row>
    <row r="9024" spans="1:1" x14ac:dyDescent="0.25">
      <c r="A9024" s="66"/>
    </row>
    <row r="9025" spans="1:1" x14ac:dyDescent="0.25">
      <c r="A9025" s="66"/>
    </row>
    <row r="9026" spans="1:1" x14ac:dyDescent="0.25">
      <c r="A9026" s="66"/>
    </row>
    <row r="9027" spans="1:1" x14ac:dyDescent="0.25">
      <c r="A9027" s="66"/>
    </row>
    <row r="9028" spans="1:1" x14ac:dyDescent="0.25">
      <c r="A9028" s="66"/>
    </row>
    <row r="9029" spans="1:1" x14ac:dyDescent="0.25">
      <c r="A9029" s="66"/>
    </row>
    <row r="9030" spans="1:1" x14ac:dyDescent="0.25">
      <c r="A9030" s="66"/>
    </row>
    <row r="9031" spans="1:1" x14ac:dyDescent="0.25">
      <c r="A9031" s="66"/>
    </row>
    <row r="9032" spans="1:1" x14ac:dyDescent="0.25">
      <c r="A9032" s="66"/>
    </row>
    <row r="9033" spans="1:1" x14ac:dyDescent="0.25">
      <c r="A9033" s="66"/>
    </row>
    <row r="9034" spans="1:1" x14ac:dyDescent="0.25">
      <c r="A9034" s="66"/>
    </row>
    <row r="9035" spans="1:1" x14ac:dyDescent="0.25">
      <c r="A9035" s="66"/>
    </row>
    <row r="9036" spans="1:1" x14ac:dyDescent="0.25">
      <c r="A9036" s="66"/>
    </row>
    <row r="9037" spans="1:1" x14ac:dyDescent="0.25">
      <c r="A9037" s="66"/>
    </row>
    <row r="9038" spans="1:1" x14ac:dyDescent="0.25">
      <c r="A9038" s="66"/>
    </row>
    <row r="9039" spans="1:1" x14ac:dyDescent="0.25">
      <c r="A9039" s="66"/>
    </row>
    <row r="9040" spans="1:1" x14ac:dyDescent="0.25">
      <c r="A9040" s="66"/>
    </row>
    <row r="9041" spans="1:1" x14ac:dyDescent="0.25">
      <c r="A9041" s="66"/>
    </row>
    <row r="9042" spans="1:1" x14ac:dyDescent="0.25">
      <c r="A9042" s="66"/>
    </row>
    <row r="9043" spans="1:1" x14ac:dyDescent="0.25">
      <c r="A9043" s="66"/>
    </row>
    <row r="9044" spans="1:1" x14ac:dyDescent="0.25">
      <c r="A9044" s="66"/>
    </row>
    <row r="9045" spans="1:1" x14ac:dyDescent="0.25">
      <c r="A9045" s="66"/>
    </row>
    <row r="9046" spans="1:1" x14ac:dyDescent="0.25">
      <c r="A9046" s="66"/>
    </row>
    <row r="9047" spans="1:1" x14ac:dyDescent="0.25">
      <c r="A9047" s="66"/>
    </row>
    <row r="9048" spans="1:1" x14ac:dyDescent="0.25">
      <c r="A9048" s="66"/>
    </row>
    <row r="9049" spans="1:1" x14ac:dyDescent="0.25">
      <c r="A9049" s="66"/>
    </row>
    <row r="9050" spans="1:1" x14ac:dyDescent="0.25">
      <c r="A9050" s="66"/>
    </row>
    <row r="9051" spans="1:1" x14ac:dyDescent="0.25">
      <c r="A9051" s="66"/>
    </row>
    <row r="9052" spans="1:1" x14ac:dyDescent="0.25">
      <c r="A9052" s="66"/>
    </row>
    <row r="9053" spans="1:1" x14ac:dyDescent="0.25">
      <c r="A9053" s="66"/>
    </row>
    <row r="9054" spans="1:1" x14ac:dyDescent="0.25">
      <c r="A9054" s="66"/>
    </row>
    <row r="9055" spans="1:1" x14ac:dyDescent="0.25">
      <c r="A9055" s="66"/>
    </row>
    <row r="9056" spans="1:1" x14ac:dyDescent="0.25">
      <c r="A9056" s="66"/>
    </row>
    <row r="9057" spans="1:1" x14ac:dyDescent="0.25">
      <c r="A9057" s="66"/>
    </row>
    <row r="9058" spans="1:1" x14ac:dyDescent="0.25">
      <c r="A9058" s="66"/>
    </row>
    <row r="9059" spans="1:1" x14ac:dyDescent="0.25">
      <c r="A9059" s="66"/>
    </row>
    <row r="9060" spans="1:1" x14ac:dyDescent="0.25">
      <c r="A9060" s="66"/>
    </row>
    <row r="9061" spans="1:1" x14ac:dyDescent="0.25">
      <c r="A9061" s="66"/>
    </row>
    <row r="9062" spans="1:1" x14ac:dyDescent="0.25">
      <c r="A9062" s="66"/>
    </row>
    <row r="9063" spans="1:1" x14ac:dyDescent="0.25">
      <c r="A9063" s="66"/>
    </row>
    <row r="9064" spans="1:1" x14ac:dyDescent="0.25">
      <c r="A9064" s="66"/>
    </row>
    <row r="9065" spans="1:1" x14ac:dyDescent="0.25">
      <c r="A9065" s="66"/>
    </row>
    <row r="9066" spans="1:1" x14ac:dyDescent="0.25">
      <c r="A9066" s="66"/>
    </row>
    <row r="9067" spans="1:1" x14ac:dyDescent="0.25">
      <c r="A9067" s="66"/>
    </row>
    <row r="9068" spans="1:1" x14ac:dyDescent="0.25">
      <c r="A9068" s="66"/>
    </row>
    <row r="9069" spans="1:1" x14ac:dyDescent="0.25">
      <c r="A9069" s="66"/>
    </row>
    <row r="9070" spans="1:1" x14ac:dyDescent="0.25">
      <c r="A9070" s="66"/>
    </row>
    <row r="9071" spans="1:1" x14ac:dyDescent="0.25">
      <c r="A9071" s="66"/>
    </row>
    <row r="9072" spans="1:1" x14ac:dyDescent="0.25">
      <c r="A9072" s="66"/>
    </row>
    <row r="9073" spans="1:1" x14ac:dyDescent="0.25">
      <c r="A9073" s="66"/>
    </row>
    <row r="9074" spans="1:1" x14ac:dyDescent="0.25">
      <c r="A9074" s="66"/>
    </row>
    <row r="9075" spans="1:1" x14ac:dyDescent="0.25">
      <c r="A9075" s="66"/>
    </row>
    <row r="9076" spans="1:1" x14ac:dyDescent="0.25">
      <c r="A9076" s="66"/>
    </row>
    <row r="9077" spans="1:1" x14ac:dyDescent="0.25">
      <c r="A9077" s="66"/>
    </row>
    <row r="9078" spans="1:1" x14ac:dyDescent="0.25">
      <c r="A9078" s="66"/>
    </row>
    <row r="9079" spans="1:1" x14ac:dyDescent="0.25">
      <c r="A9079" s="66"/>
    </row>
    <row r="9080" spans="1:1" x14ac:dyDescent="0.25">
      <c r="A9080" s="66"/>
    </row>
    <row r="9081" spans="1:1" x14ac:dyDescent="0.25">
      <c r="A9081" s="66"/>
    </row>
    <row r="9082" spans="1:1" x14ac:dyDescent="0.25">
      <c r="A9082" s="66"/>
    </row>
    <row r="9083" spans="1:1" x14ac:dyDescent="0.25">
      <c r="A9083" s="66"/>
    </row>
    <row r="9084" spans="1:1" x14ac:dyDescent="0.25">
      <c r="A9084" s="66"/>
    </row>
    <row r="9085" spans="1:1" x14ac:dyDescent="0.25">
      <c r="A9085" s="66"/>
    </row>
    <row r="9086" spans="1:1" x14ac:dyDescent="0.25">
      <c r="A9086" s="66"/>
    </row>
    <row r="9087" spans="1:1" x14ac:dyDescent="0.25">
      <c r="A9087" s="66"/>
    </row>
    <row r="9088" spans="1:1" x14ac:dyDescent="0.25">
      <c r="A9088" s="66"/>
    </row>
    <row r="9089" spans="1:1" x14ac:dyDescent="0.25">
      <c r="A9089" s="66"/>
    </row>
    <row r="9090" spans="1:1" x14ac:dyDescent="0.25">
      <c r="A9090" s="66"/>
    </row>
    <row r="9091" spans="1:1" x14ac:dyDescent="0.25">
      <c r="A9091" s="66"/>
    </row>
    <row r="9092" spans="1:1" x14ac:dyDescent="0.25">
      <c r="A9092" s="66"/>
    </row>
    <row r="9093" spans="1:1" x14ac:dyDescent="0.25">
      <c r="A9093" s="66"/>
    </row>
    <row r="9094" spans="1:1" x14ac:dyDescent="0.25">
      <c r="A9094" s="66"/>
    </row>
    <row r="9095" spans="1:1" x14ac:dyDescent="0.25">
      <c r="A9095" s="66"/>
    </row>
    <row r="9096" spans="1:1" x14ac:dyDescent="0.25">
      <c r="A9096" s="66"/>
    </row>
    <row r="9097" spans="1:1" x14ac:dyDescent="0.25">
      <c r="A9097" s="66"/>
    </row>
    <row r="9098" spans="1:1" x14ac:dyDescent="0.25">
      <c r="A9098" s="66"/>
    </row>
    <row r="9099" spans="1:1" x14ac:dyDescent="0.25">
      <c r="A9099" s="66"/>
    </row>
    <row r="9100" spans="1:1" x14ac:dyDescent="0.25">
      <c r="A9100" s="66"/>
    </row>
    <row r="9101" spans="1:1" x14ac:dyDescent="0.25">
      <c r="A9101" s="66"/>
    </row>
    <row r="9102" spans="1:1" x14ac:dyDescent="0.25">
      <c r="A9102" s="66"/>
    </row>
    <row r="9103" spans="1:1" x14ac:dyDescent="0.25">
      <c r="A9103" s="66"/>
    </row>
    <row r="9104" spans="1:1" x14ac:dyDescent="0.25">
      <c r="A9104" s="66"/>
    </row>
    <row r="9105" spans="1:1" x14ac:dyDescent="0.25">
      <c r="A9105" s="66"/>
    </row>
    <row r="9106" spans="1:1" x14ac:dyDescent="0.25">
      <c r="A9106" s="66"/>
    </row>
    <row r="9107" spans="1:1" x14ac:dyDescent="0.25">
      <c r="A9107" s="66"/>
    </row>
    <row r="9108" spans="1:1" x14ac:dyDescent="0.25">
      <c r="A9108" s="66"/>
    </row>
    <row r="9109" spans="1:1" x14ac:dyDescent="0.25">
      <c r="A9109" s="66"/>
    </row>
    <row r="9110" spans="1:1" x14ac:dyDescent="0.25">
      <c r="A9110" s="66"/>
    </row>
    <row r="9111" spans="1:1" x14ac:dyDescent="0.25">
      <c r="A9111" s="66"/>
    </row>
    <row r="9112" spans="1:1" x14ac:dyDescent="0.25">
      <c r="A9112" s="66"/>
    </row>
    <row r="9113" spans="1:1" x14ac:dyDescent="0.25">
      <c r="A9113" s="66"/>
    </row>
    <row r="9114" spans="1:1" x14ac:dyDescent="0.25">
      <c r="A9114" s="66"/>
    </row>
    <row r="9115" spans="1:1" x14ac:dyDescent="0.25">
      <c r="A9115" s="66"/>
    </row>
    <row r="9116" spans="1:1" x14ac:dyDescent="0.25">
      <c r="A9116" s="66"/>
    </row>
    <row r="9117" spans="1:1" x14ac:dyDescent="0.25">
      <c r="A9117" s="66"/>
    </row>
    <row r="9118" spans="1:1" x14ac:dyDescent="0.25">
      <c r="A9118" s="66"/>
    </row>
    <row r="9119" spans="1:1" x14ac:dyDescent="0.25">
      <c r="A9119" s="66"/>
    </row>
    <row r="9120" spans="1:1" x14ac:dyDescent="0.25">
      <c r="A9120" s="66"/>
    </row>
    <row r="9121" spans="1:1" x14ac:dyDescent="0.25">
      <c r="A9121" s="66"/>
    </row>
    <row r="9122" spans="1:1" x14ac:dyDescent="0.25">
      <c r="A9122" s="66"/>
    </row>
    <row r="9123" spans="1:1" x14ac:dyDescent="0.25">
      <c r="A9123" s="66"/>
    </row>
    <row r="9124" spans="1:1" x14ac:dyDescent="0.25">
      <c r="A9124" s="66"/>
    </row>
    <row r="9125" spans="1:1" x14ac:dyDescent="0.25">
      <c r="A9125" s="66"/>
    </row>
    <row r="9126" spans="1:1" x14ac:dyDescent="0.25">
      <c r="A9126" s="66"/>
    </row>
    <row r="9127" spans="1:1" x14ac:dyDescent="0.25">
      <c r="A9127" s="66"/>
    </row>
    <row r="9128" spans="1:1" x14ac:dyDescent="0.25">
      <c r="A9128" s="66"/>
    </row>
    <row r="9129" spans="1:1" x14ac:dyDescent="0.25">
      <c r="A9129" s="66"/>
    </row>
    <row r="9130" spans="1:1" x14ac:dyDescent="0.25">
      <c r="A9130" s="66"/>
    </row>
    <row r="9131" spans="1:1" x14ac:dyDescent="0.25">
      <c r="A9131" s="66"/>
    </row>
    <row r="9132" spans="1:1" x14ac:dyDescent="0.25">
      <c r="A9132" s="66"/>
    </row>
    <row r="9133" spans="1:1" x14ac:dyDescent="0.25">
      <c r="A9133" s="66"/>
    </row>
    <row r="9134" spans="1:1" x14ac:dyDescent="0.25">
      <c r="A9134" s="66"/>
    </row>
    <row r="9135" spans="1:1" x14ac:dyDescent="0.25">
      <c r="A9135" s="66"/>
    </row>
    <row r="9136" spans="1:1" x14ac:dyDescent="0.25">
      <c r="A9136" s="66"/>
    </row>
    <row r="9137" spans="1:1" x14ac:dyDescent="0.25">
      <c r="A9137" s="66"/>
    </row>
    <row r="9138" spans="1:1" x14ac:dyDescent="0.25">
      <c r="A9138" s="66"/>
    </row>
    <row r="9139" spans="1:1" x14ac:dyDescent="0.25">
      <c r="A9139" s="66"/>
    </row>
    <row r="9140" spans="1:1" x14ac:dyDescent="0.25">
      <c r="A9140" s="66"/>
    </row>
    <row r="9141" spans="1:1" x14ac:dyDescent="0.25">
      <c r="A9141" s="66"/>
    </row>
    <row r="9142" spans="1:1" x14ac:dyDescent="0.25">
      <c r="A9142" s="66"/>
    </row>
    <row r="9143" spans="1:1" x14ac:dyDescent="0.25">
      <c r="A9143" s="66"/>
    </row>
    <row r="9144" spans="1:1" x14ac:dyDescent="0.25">
      <c r="A9144" s="66"/>
    </row>
    <row r="9145" spans="1:1" x14ac:dyDescent="0.25">
      <c r="A9145" s="66"/>
    </row>
    <row r="9146" spans="1:1" x14ac:dyDescent="0.25">
      <c r="A9146" s="66"/>
    </row>
    <row r="9147" spans="1:1" x14ac:dyDescent="0.25">
      <c r="A9147" s="66"/>
    </row>
    <row r="9148" spans="1:1" x14ac:dyDescent="0.25">
      <c r="A9148" s="66"/>
    </row>
    <row r="9149" spans="1:1" x14ac:dyDescent="0.25">
      <c r="A9149" s="66"/>
    </row>
    <row r="9150" spans="1:1" x14ac:dyDescent="0.25">
      <c r="A9150" s="66"/>
    </row>
    <row r="9151" spans="1:1" x14ac:dyDescent="0.25">
      <c r="A9151" s="66"/>
    </row>
    <row r="9152" spans="1:1" x14ac:dyDescent="0.25">
      <c r="A9152" s="66"/>
    </row>
    <row r="9153" spans="1:1" x14ac:dyDescent="0.25">
      <c r="A9153" s="66"/>
    </row>
    <row r="9154" spans="1:1" x14ac:dyDescent="0.25">
      <c r="A9154" s="66"/>
    </row>
    <row r="9155" spans="1:1" x14ac:dyDescent="0.25">
      <c r="A9155" s="66"/>
    </row>
    <row r="9156" spans="1:1" x14ac:dyDescent="0.25">
      <c r="A9156" s="66"/>
    </row>
    <row r="9157" spans="1:1" x14ac:dyDescent="0.25">
      <c r="A9157" s="66"/>
    </row>
    <row r="9158" spans="1:1" x14ac:dyDescent="0.25">
      <c r="A9158" s="66"/>
    </row>
    <row r="9159" spans="1:1" x14ac:dyDescent="0.25">
      <c r="A9159" s="66"/>
    </row>
    <row r="9160" spans="1:1" x14ac:dyDescent="0.25">
      <c r="A9160" s="66"/>
    </row>
    <row r="9161" spans="1:1" x14ac:dyDescent="0.25">
      <c r="A9161" s="66"/>
    </row>
    <row r="9162" spans="1:1" x14ac:dyDescent="0.25">
      <c r="A9162" s="66"/>
    </row>
    <row r="9163" spans="1:1" x14ac:dyDescent="0.25">
      <c r="A9163" s="66"/>
    </row>
    <row r="9164" spans="1:1" x14ac:dyDescent="0.25">
      <c r="A9164" s="66"/>
    </row>
    <row r="9165" spans="1:1" x14ac:dyDescent="0.25">
      <c r="A9165" s="66"/>
    </row>
    <row r="9166" spans="1:1" x14ac:dyDescent="0.25">
      <c r="A9166" s="66"/>
    </row>
    <row r="9167" spans="1:1" x14ac:dyDescent="0.25">
      <c r="A9167" s="66"/>
    </row>
    <row r="9168" spans="1:1" x14ac:dyDescent="0.25">
      <c r="A9168" s="66"/>
    </row>
    <row r="9169" spans="1:1" x14ac:dyDescent="0.25">
      <c r="A9169" s="66"/>
    </row>
    <row r="9170" spans="1:1" x14ac:dyDescent="0.25">
      <c r="A9170" s="66"/>
    </row>
    <row r="9171" spans="1:1" x14ac:dyDescent="0.25">
      <c r="A9171" s="66"/>
    </row>
    <row r="9172" spans="1:1" x14ac:dyDescent="0.25">
      <c r="A9172" s="66"/>
    </row>
    <row r="9173" spans="1:1" x14ac:dyDescent="0.25">
      <c r="A9173" s="66"/>
    </row>
    <row r="9174" spans="1:1" x14ac:dyDescent="0.25">
      <c r="A9174" s="66"/>
    </row>
    <row r="9175" spans="1:1" x14ac:dyDescent="0.25">
      <c r="A9175" s="66"/>
    </row>
    <row r="9176" spans="1:1" x14ac:dyDescent="0.25">
      <c r="A9176" s="66"/>
    </row>
    <row r="9177" spans="1:1" x14ac:dyDescent="0.25">
      <c r="A9177" s="66"/>
    </row>
    <row r="9178" spans="1:1" x14ac:dyDescent="0.25">
      <c r="A9178" s="66"/>
    </row>
    <row r="9179" spans="1:1" x14ac:dyDescent="0.25">
      <c r="A9179" s="66"/>
    </row>
    <row r="9180" spans="1:1" x14ac:dyDescent="0.25">
      <c r="A9180" s="66"/>
    </row>
    <row r="9181" spans="1:1" x14ac:dyDescent="0.25">
      <c r="A9181" s="66"/>
    </row>
    <row r="9182" spans="1:1" x14ac:dyDescent="0.25">
      <c r="A9182" s="66"/>
    </row>
    <row r="9183" spans="1:1" x14ac:dyDescent="0.25">
      <c r="A9183" s="66"/>
    </row>
    <row r="9184" spans="1:1" x14ac:dyDescent="0.25">
      <c r="A9184" s="66"/>
    </row>
    <row r="9185" spans="1:1" x14ac:dyDescent="0.25">
      <c r="A9185" s="66"/>
    </row>
    <row r="9186" spans="1:1" x14ac:dyDescent="0.25">
      <c r="A9186" s="66"/>
    </row>
    <row r="9187" spans="1:1" x14ac:dyDescent="0.25">
      <c r="A9187" s="66"/>
    </row>
    <row r="9188" spans="1:1" x14ac:dyDescent="0.25">
      <c r="A9188" s="66"/>
    </row>
    <row r="9189" spans="1:1" x14ac:dyDescent="0.25">
      <c r="A9189" s="66"/>
    </row>
    <row r="9190" spans="1:1" x14ac:dyDescent="0.25">
      <c r="A9190" s="66"/>
    </row>
    <row r="9191" spans="1:1" x14ac:dyDescent="0.25">
      <c r="A9191" s="66"/>
    </row>
    <row r="9192" spans="1:1" x14ac:dyDescent="0.25">
      <c r="A9192" s="66"/>
    </row>
    <row r="9193" spans="1:1" x14ac:dyDescent="0.25">
      <c r="A9193" s="66"/>
    </row>
    <row r="9194" spans="1:1" x14ac:dyDescent="0.25">
      <c r="A9194" s="66"/>
    </row>
    <row r="9195" spans="1:1" x14ac:dyDescent="0.25">
      <c r="A9195" s="66"/>
    </row>
    <row r="9196" spans="1:1" x14ac:dyDescent="0.25">
      <c r="A9196" s="66"/>
    </row>
    <row r="9197" spans="1:1" x14ac:dyDescent="0.25">
      <c r="A9197" s="66"/>
    </row>
    <row r="9198" spans="1:1" x14ac:dyDescent="0.25">
      <c r="A9198" s="66"/>
    </row>
    <row r="9199" spans="1:1" x14ac:dyDescent="0.25">
      <c r="A9199" s="66"/>
    </row>
    <row r="9200" spans="1:1" x14ac:dyDescent="0.25">
      <c r="A9200" s="66"/>
    </row>
    <row r="9201" spans="1:1" x14ac:dyDescent="0.25">
      <c r="A9201" s="66"/>
    </row>
    <row r="9202" spans="1:1" x14ac:dyDescent="0.25">
      <c r="A9202" s="66"/>
    </row>
    <row r="9203" spans="1:1" x14ac:dyDescent="0.25">
      <c r="A9203" s="66"/>
    </row>
    <row r="9204" spans="1:1" x14ac:dyDescent="0.25">
      <c r="A9204" s="66"/>
    </row>
    <row r="9205" spans="1:1" x14ac:dyDescent="0.25">
      <c r="A9205" s="66"/>
    </row>
    <row r="9206" spans="1:1" x14ac:dyDescent="0.25">
      <c r="A9206" s="66"/>
    </row>
    <row r="9207" spans="1:1" x14ac:dyDescent="0.25">
      <c r="A9207" s="66"/>
    </row>
    <row r="9208" spans="1:1" x14ac:dyDescent="0.25">
      <c r="A9208" s="66"/>
    </row>
    <row r="9209" spans="1:1" x14ac:dyDescent="0.25">
      <c r="A9209" s="66"/>
    </row>
    <row r="9210" spans="1:1" x14ac:dyDescent="0.25">
      <c r="A9210" s="66"/>
    </row>
    <row r="9211" spans="1:1" x14ac:dyDescent="0.25">
      <c r="A9211" s="66"/>
    </row>
    <row r="9212" spans="1:1" x14ac:dyDescent="0.25">
      <c r="A9212" s="66"/>
    </row>
    <row r="9213" spans="1:1" x14ac:dyDescent="0.25">
      <c r="A9213" s="66"/>
    </row>
    <row r="9214" spans="1:1" x14ac:dyDescent="0.25">
      <c r="A9214" s="66"/>
    </row>
    <row r="9215" spans="1:1" x14ac:dyDescent="0.25">
      <c r="A9215" s="66"/>
    </row>
    <row r="9216" spans="1:1" x14ac:dyDescent="0.25">
      <c r="A9216" s="66"/>
    </row>
    <row r="9217" spans="1:1" x14ac:dyDescent="0.25">
      <c r="A9217" s="66"/>
    </row>
    <row r="9218" spans="1:1" x14ac:dyDescent="0.25">
      <c r="A9218" s="66"/>
    </row>
    <row r="9219" spans="1:1" x14ac:dyDescent="0.25">
      <c r="A9219" s="66"/>
    </row>
    <row r="9220" spans="1:1" x14ac:dyDescent="0.25">
      <c r="A9220" s="66"/>
    </row>
    <row r="9221" spans="1:1" x14ac:dyDescent="0.25">
      <c r="A9221" s="66"/>
    </row>
    <row r="9222" spans="1:1" x14ac:dyDescent="0.25">
      <c r="A9222" s="66"/>
    </row>
    <row r="9223" spans="1:1" x14ac:dyDescent="0.25">
      <c r="A9223" s="66"/>
    </row>
    <row r="9224" spans="1:1" x14ac:dyDescent="0.25">
      <c r="A9224" s="66"/>
    </row>
    <row r="9225" spans="1:1" x14ac:dyDescent="0.25">
      <c r="A9225" s="66"/>
    </row>
    <row r="9226" spans="1:1" x14ac:dyDescent="0.25">
      <c r="A9226" s="66"/>
    </row>
    <row r="9227" spans="1:1" x14ac:dyDescent="0.25">
      <c r="A9227" s="66"/>
    </row>
    <row r="9228" spans="1:1" x14ac:dyDescent="0.25">
      <c r="A9228" s="66"/>
    </row>
    <row r="9229" spans="1:1" x14ac:dyDescent="0.25">
      <c r="A9229" s="66"/>
    </row>
    <row r="9230" spans="1:1" x14ac:dyDescent="0.25">
      <c r="A9230" s="66"/>
    </row>
    <row r="9231" spans="1:1" x14ac:dyDescent="0.25">
      <c r="A9231" s="66"/>
    </row>
    <row r="9232" spans="1:1" x14ac:dyDescent="0.25">
      <c r="A9232" s="66"/>
    </row>
    <row r="9233" spans="1:1" x14ac:dyDescent="0.25">
      <c r="A9233" s="66"/>
    </row>
    <row r="9234" spans="1:1" x14ac:dyDescent="0.25">
      <c r="A9234" s="66"/>
    </row>
    <row r="9235" spans="1:1" x14ac:dyDescent="0.25">
      <c r="A9235" s="66"/>
    </row>
    <row r="9236" spans="1:1" x14ac:dyDescent="0.25">
      <c r="A9236" s="66"/>
    </row>
    <row r="9237" spans="1:1" x14ac:dyDescent="0.25">
      <c r="A9237" s="66"/>
    </row>
    <row r="9238" spans="1:1" x14ac:dyDescent="0.25">
      <c r="A9238" s="66"/>
    </row>
    <row r="9239" spans="1:1" x14ac:dyDescent="0.25">
      <c r="A9239" s="66"/>
    </row>
    <row r="9240" spans="1:1" x14ac:dyDescent="0.25">
      <c r="A9240" s="66"/>
    </row>
    <row r="9241" spans="1:1" x14ac:dyDescent="0.25">
      <c r="A9241" s="66"/>
    </row>
    <row r="9242" spans="1:1" x14ac:dyDescent="0.25">
      <c r="A9242" s="66"/>
    </row>
    <row r="9243" spans="1:1" x14ac:dyDescent="0.25">
      <c r="A9243" s="66"/>
    </row>
    <row r="9244" spans="1:1" x14ac:dyDescent="0.25">
      <c r="A9244" s="66"/>
    </row>
    <row r="9245" spans="1:1" x14ac:dyDescent="0.25">
      <c r="A9245" s="66"/>
    </row>
    <row r="9246" spans="1:1" x14ac:dyDescent="0.25">
      <c r="A9246" s="66"/>
    </row>
    <row r="9247" spans="1:1" x14ac:dyDescent="0.25">
      <c r="A9247" s="66"/>
    </row>
    <row r="9248" spans="1:1" x14ac:dyDescent="0.25">
      <c r="A9248" s="66"/>
    </row>
    <row r="9249" spans="1:1" x14ac:dyDescent="0.25">
      <c r="A9249" s="66"/>
    </row>
    <row r="9250" spans="1:1" x14ac:dyDescent="0.25">
      <c r="A9250" s="66"/>
    </row>
    <row r="9251" spans="1:1" x14ac:dyDescent="0.25">
      <c r="A9251" s="66"/>
    </row>
    <row r="9252" spans="1:1" x14ac:dyDescent="0.25">
      <c r="A9252" s="66"/>
    </row>
    <row r="9253" spans="1:1" x14ac:dyDescent="0.25">
      <c r="A9253" s="66"/>
    </row>
    <row r="9254" spans="1:1" x14ac:dyDescent="0.25">
      <c r="A9254" s="66"/>
    </row>
    <row r="9255" spans="1:1" x14ac:dyDescent="0.25">
      <c r="A9255" s="66"/>
    </row>
    <row r="9256" spans="1:1" x14ac:dyDescent="0.25">
      <c r="A9256" s="66"/>
    </row>
    <row r="9257" spans="1:1" x14ac:dyDescent="0.25">
      <c r="A9257" s="66"/>
    </row>
    <row r="9258" spans="1:1" x14ac:dyDescent="0.25">
      <c r="A9258" s="66"/>
    </row>
    <row r="9259" spans="1:1" x14ac:dyDescent="0.25">
      <c r="A9259" s="66"/>
    </row>
    <row r="9260" spans="1:1" x14ac:dyDescent="0.25">
      <c r="A9260" s="66"/>
    </row>
    <row r="9261" spans="1:1" x14ac:dyDescent="0.25">
      <c r="A9261" s="66"/>
    </row>
    <row r="9262" spans="1:1" x14ac:dyDescent="0.25">
      <c r="A9262" s="66"/>
    </row>
    <row r="9263" spans="1:1" x14ac:dyDescent="0.25">
      <c r="A9263" s="66"/>
    </row>
    <row r="9264" spans="1:1" x14ac:dyDescent="0.25">
      <c r="A9264" s="66"/>
    </row>
    <row r="9265" spans="1:1" x14ac:dyDescent="0.25">
      <c r="A9265" s="66"/>
    </row>
    <row r="9266" spans="1:1" x14ac:dyDescent="0.25">
      <c r="A9266" s="66"/>
    </row>
    <row r="9267" spans="1:1" x14ac:dyDescent="0.25">
      <c r="A9267" s="66"/>
    </row>
    <row r="9268" spans="1:1" x14ac:dyDescent="0.25">
      <c r="A9268" s="66"/>
    </row>
    <row r="9269" spans="1:1" x14ac:dyDescent="0.25">
      <c r="A9269" s="66"/>
    </row>
    <row r="9270" spans="1:1" x14ac:dyDescent="0.25">
      <c r="A9270" s="66"/>
    </row>
    <row r="9271" spans="1:1" x14ac:dyDescent="0.25">
      <c r="A9271" s="66"/>
    </row>
    <row r="9272" spans="1:1" x14ac:dyDescent="0.25">
      <c r="A9272" s="66"/>
    </row>
    <row r="9273" spans="1:1" x14ac:dyDescent="0.25">
      <c r="A9273" s="66"/>
    </row>
    <row r="9274" spans="1:1" x14ac:dyDescent="0.25">
      <c r="A9274" s="66"/>
    </row>
    <row r="9275" spans="1:1" x14ac:dyDescent="0.25">
      <c r="A9275" s="66"/>
    </row>
    <row r="9276" spans="1:1" x14ac:dyDescent="0.25">
      <c r="A9276" s="66"/>
    </row>
    <row r="9277" spans="1:1" x14ac:dyDescent="0.25">
      <c r="A9277" s="66"/>
    </row>
    <row r="9278" spans="1:1" x14ac:dyDescent="0.25">
      <c r="A9278" s="66"/>
    </row>
    <row r="9279" spans="1:1" x14ac:dyDescent="0.25">
      <c r="A9279" s="66"/>
    </row>
    <row r="9280" spans="1:1" x14ac:dyDescent="0.25">
      <c r="A9280" s="66"/>
    </row>
    <row r="9281" spans="1:1" x14ac:dyDescent="0.25">
      <c r="A9281" s="66"/>
    </row>
    <row r="9282" spans="1:1" x14ac:dyDescent="0.25">
      <c r="A9282" s="66"/>
    </row>
    <row r="9283" spans="1:1" x14ac:dyDescent="0.25">
      <c r="A9283" s="66"/>
    </row>
    <row r="9284" spans="1:1" x14ac:dyDescent="0.25">
      <c r="A9284" s="66"/>
    </row>
    <row r="9285" spans="1:1" x14ac:dyDescent="0.25">
      <c r="A9285" s="66"/>
    </row>
    <row r="9286" spans="1:1" x14ac:dyDescent="0.25">
      <c r="A9286" s="66"/>
    </row>
    <row r="9287" spans="1:1" x14ac:dyDescent="0.25">
      <c r="A9287" s="66"/>
    </row>
    <row r="9288" spans="1:1" x14ac:dyDescent="0.25">
      <c r="A9288" s="66"/>
    </row>
    <row r="9289" spans="1:1" x14ac:dyDescent="0.25">
      <c r="A9289" s="66"/>
    </row>
    <row r="9290" spans="1:1" x14ac:dyDescent="0.25">
      <c r="A9290" s="66"/>
    </row>
    <row r="9291" spans="1:1" x14ac:dyDescent="0.25">
      <c r="A9291" s="66"/>
    </row>
    <row r="9292" spans="1:1" x14ac:dyDescent="0.25">
      <c r="A9292" s="66"/>
    </row>
    <row r="9293" spans="1:1" x14ac:dyDescent="0.25">
      <c r="A9293" s="66"/>
    </row>
    <row r="9294" spans="1:1" x14ac:dyDescent="0.25">
      <c r="A9294" s="66"/>
    </row>
    <row r="9295" spans="1:1" x14ac:dyDescent="0.25">
      <c r="A9295" s="66"/>
    </row>
    <row r="9296" spans="1:1" x14ac:dyDescent="0.25">
      <c r="A9296" s="66"/>
    </row>
    <row r="9297" spans="1:1" x14ac:dyDescent="0.25">
      <c r="A9297" s="66"/>
    </row>
    <row r="9298" spans="1:1" x14ac:dyDescent="0.25">
      <c r="A9298" s="66"/>
    </row>
    <row r="9299" spans="1:1" x14ac:dyDescent="0.25">
      <c r="A9299" s="66"/>
    </row>
    <row r="9300" spans="1:1" x14ac:dyDescent="0.25">
      <c r="A9300" s="66"/>
    </row>
    <row r="9301" spans="1:1" x14ac:dyDescent="0.25">
      <c r="A9301" s="66"/>
    </row>
    <row r="9302" spans="1:1" x14ac:dyDescent="0.25">
      <c r="A9302" s="66"/>
    </row>
    <row r="9303" spans="1:1" x14ac:dyDescent="0.25">
      <c r="A9303" s="66"/>
    </row>
    <row r="9304" spans="1:1" x14ac:dyDescent="0.25">
      <c r="A9304" s="66"/>
    </row>
    <row r="9305" spans="1:1" x14ac:dyDescent="0.25">
      <c r="A9305" s="66"/>
    </row>
    <row r="9306" spans="1:1" x14ac:dyDescent="0.25">
      <c r="A9306" s="66"/>
    </row>
    <row r="9307" spans="1:1" x14ac:dyDescent="0.25">
      <c r="A9307" s="66"/>
    </row>
    <row r="9308" spans="1:1" x14ac:dyDescent="0.25">
      <c r="A9308" s="66"/>
    </row>
    <row r="9309" spans="1:1" x14ac:dyDescent="0.25">
      <c r="A9309" s="66"/>
    </row>
    <row r="9310" spans="1:1" x14ac:dyDescent="0.25">
      <c r="A9310" s="66"/>
    </row>
    <row r="9311" spans="1:1" x14ac:dyDescent="0.25">
      <c r="A9311" s="66"/>
    </row>
    <row r="9312" spans="1:1" x14ac:dyDescent="0.25">
      <c r="A9312" s="66"/>
    </row>
    <row r="9313" spans="1:1" x14ac:dyDescent="0.25">
      <c r="A9313" s="66"/>
    </row>
    <row r="9314" spans="1:1" x14ac:dyDescent="0.25">
      <c r="A9314" s="66"/>
    </row>
    <row r="9315" spans="1:1" x14ac:dyDescent="0.25">
      <c r="A9315" s="66"/>
    </row>
    <row r="9316" spans="1:1" x14ac:dyDescent="0.25">
      <c r="A9316" s="66"/>
    </row>
    <row r="9317" spans="1:1" x14ac:dyDescent="0.25">
      <c r="A9317" s="66"/>
    </row>
    <row r="9318" spans="1:1" x14ac:dyDescent="0.25">
      <c r="A9318" s="66"/>
    </row>
    <row r="9319" spans="1:1" x14ac:dyDescent="0.25">
      <c r="A9319" s="66"/>
    </row>
    <row r="9320" spans="1:1" x14ac:dyDescent="0.25">
      <c r="A9320" s="66"/>
    </row>
    <row r="9321" spans="1:1" x14ac:dyDescent="0.25">
      <c r="A9321" s="66"/>
    </row>
    <row r="9322" spans="1:1" x14ac:dyDescent="0.25">
      <c r="A9322" s="66"/>
    </row>
    <row r="9323" spans="1:1" x14ac:dyDescent="0.25">
      <c r="A9323" s="66"/>
    </row>
    <row r="9324" spans="1:1" x14ac:dyDescent="0.25">
      <c r="A9324" s="66"/>
    </row>
    <row r="9325" spans="1:1" x14ac:dyDescent="0.25">
      <c r="A9325" s="66"/>
    </row>
    <row r="9326" spans="1:1" x14ac:dyDescent="0.25">
      <c r="A9326" s="66"/>
    </row>
    <row r="9327" spans="1:1" x14ac:dyDescent="0.25">
      <c r="A9327" s="66"/>
    </row>
    <row r="9328" spans="1:1" x14ac:dyDescent="0.25">
      <c r="A9328" s="66"/>
    </row>
    <row r="9329" spans="1:1" x14ac:dyDescent="0.25">
      <c r="A9329" s="66"/>
    </row>
    <row r="9330" spans="1:1" x14ac:dyDescent="0.25">
      <c r="A9330" s="66"/>
    </row>
    <row r="9331" spans="1:1" x14ac:dyDescent="0.25">
      <c r="A9331" s="66"/>
    </row>
    <row r="9332" spans="1:1" x14ac:dyDescent="0.25">
      <c r="A9332" s="66"/>
    </row>
    <row r="9333" spans="1:1" x14ac:dyDescent="0.25">
      <c r="A9333" s="66"/>
    </row>
    <row r="9334" spans="1:1" x14ac:dyDescent="0.25">
      <c r="A9334" s="66"/>
    </row>
    <row r="9335" spans="1:1" x14ac:dyDescent="0.25">
      <c r="A9335" s="66"/>
    </row>
    <row r="9336" spans="1:1" x14ac:dyDescent="0.25">
      <c r="A9336" s="66"/>
    </row>
    <row r="9337" spans="1:1" x14ac:dyDescent="0.25">
      <c r="A9337" s="66"/>
    </row>
    <row r="9338" spans="1:1" x14ac:dyDescent="0.25">
      <c r="A9338" s="66"/>
    </row>
    <row r="9339" spans="1:1" x14ac:dyDescent="0.25">
      <c r="A9339" s="66"/>
    </row>
    <row r="9340" spans="1:1" x14ac:dyDescent="0.25">
      <c r="A9340" s="66"/>
    </row>
    <row r="9341" spans="1:1" x14ac:dyDescent="0.25">
      <c r="A9341" s="66"/>
    </row>
    <row r="9342" spans="1:1" x14ac:dyDescent="0.25">
      <c r="A9342" s="66"/>
    </row>
    <row r="9343" spans="1:1" x14ac:dyDescent="0.25">
      <c r="A9343" s="66"/>
    </row>
    <row r="9344" spans="1:1" x14ac:dyDescent="0.25">
      <c r="A9344" s="66"/>
    </row>
    <row r="9345" spans="1:1" x14ac:dyDescent="0.25">
      <c r="A9345" s="66"/>
    </row>
    <row r="9346" spans="1:1" x14ac:dyDescent="0.25">
      <c r="A9346" s="66"/>
    </row>
    <row r="9347" spans="1:1" x14ac:dyDescent="0.25">
      <c r="A9347" s="66"/>
    </row>
    <row r="9348" spans="1:1" x14ac:dyDescent="0.25">
      <c r="A9348" s="66"/>
    </row>
    <row r="9349" spans="1:1" x14ac:dyDescent="0.25">
      <c r="A9349" s="66"/>
    </row>
    <row r="9350" spans="1:1" x14ac:dyDescent="0.25">
      <c r="A9350" s="66"/>
    </row>
    <row r="9351" spans="1:1" x14ac:dyDescent="0.25">
      <c r="A9351" s="66"/>
    </row>
    <row r="9352" spans="1:1" x14ac:dyDescent="0.25">
      <c r="A9352" s="66"/>
    </row>
    <row r="9353" spans="1:1" x14ac:dyDescent="0.25">
      <c r="A9353" s="66"/>
    </row>
    <row r="9354" spans="1:1" x14ac:dyDescent="0.25">
      <c r="A9354" s="66"/>
    </row>
    <row r="9355" spans="1:1" x14ac:dyDescent="0.25">
      <c r="A9355" s="66"/>
    </row>
    <row r="9356" spans="1:1" x14ac:dyDescent="0.25">
      <c r="A9356" s="66"/>
    </row>
    <row r="9357" spans="1:1" x14ac:dyDescent="0.25">
      <c r="A9357" s="66"/>
    </row>
    <row r="9358" spans="1:1" x14ac:dyDescent="0.25">
      <c r="A9358" s="66"/>
    </row>
    <row r="9359" spans="1:1" x14ac:dyDescent="0.25">
      <c r="A9359" s="66"/>
    </row>
    <row r="9360" spans="1:1" x14ac:dyDescent="0.25">
      <c r="A9360" s="66"/>
    </row>
    <row r="9361" spans="1:1" x14ac:dyDescent="0.25">
      <c r="A9361" s="66"/>
    </row>
    <row r="9362" spans="1:1" x14ac:dyDescent="0.25">
      <c r="A9362" s="66"/>
    </row>
    <row r="9363" spans="1:1" x14ac:dyDescent="0.25">
      <c r="A9363" s="66"/>
    </row>
    <row r="9364" spans="1:1" x14ac:dyDescent="0.25">
      <c r="A9364" s="66"/>
    </row>
    <row r="9365" spans="1:1" x14ac:dyDescent="0.25">
      <c r="A9365" s="66"/>
    </row>
    <row r="9366" spans="1:1" x14ac:dyDescent="0.25">
      <c r="A9366" s="66"/>
    </row>
    <row r="9367" spans="1:1" x14ac:dyDescent="0.25">
      <c r="A9367" s="66"/>
    </row>
    <row r="9368" spans="1:1" x14ac:dyDescent="0.25">
      <c r="A9368" s="66"/>
    </row>
    <row r="9369" spans="1:1" x14ac:dyDescent="0.25">
      <c r="A9369" s="66"/>
    </row>
    <row r="9370" spans="1:1" x14ac:dyDescent="0.25">
      <c r="A9370" s="66"/>
    </row>
    <row r="9371" spans="1:1" x14ac:dyDescent="0.25">
      <c r="A9371" s="66"/>
    </row>
    <row r="9372" spans="1:1" x14ac:dyDescent="0.25">
      <c r="A9372" s="66"/>
    </row>
    <row r="9373" spans="1:1" x14ac:dyDescent="0.25">
      <c r="A9373" s="66"/>
    </row>
    <row r="9374" spans="1:1" x14ac:dyDescent="0.25">
      <c r="A9374" s="66"/>
    </row>
    <row r="9375" spans="1:1" x14ac:dyDescent="0.25">
      <c r="A9375" s="66"/>
    </row>
    <row r="9376" spans="1:1" x14ac:dyDescent="0.25">
      <c r="A9376" s="66"/>
    </row>
    <row r="9377" spans="1:1" x14ac:dyDescent="0.25">
      <c r="A9377" s="66"/>
    </row>
    <row r="9378" spans="1:1" x14ac:dyDescent="0.25">
      <c r="A9378" s="66"/>
    </row>
    <row r="9379" spans="1:1" x14ac:dyDescent="0.25">
      <c r="A9379" s="66"/>
    </row>
    <row r="9380" spans="1:1" x14ac:dyDescent="0.25">
      <c r="A9380" s="66"/>
    </row>
    <row r="9381" spans="1:1" x14ac:dyDescent="0.25">
      <c r="A9381" s="66"/>
    </row>
    <row r="9382" spans="1:1" x14ac:dyDescent="0.25">
      <c r="A9382" s="66"/>
    </row>
    <row r="9383" spans="1:1" x14ac:dyDescent="0.25">
      <c r="A9383" s="66"/>
    </row>
    <row r="9384" spans="1:1" x14ac:dyDescent="0.25">
      <c r="A9384" s="66"/>
    </row>
    <row r="9385" spans="1:1" x14ac:dyDescent="0.25">
      <c r="A9385" s="66"/>
    </row>
    <row r="9386" spans="1:1" x14ac:dyDescent="0.25">
      <c r="A9386" s="66"/>
    </row>
    <row r="9387" spans="1:1" x14ac:dyDescent="0.25">
      <c r="A9387" s="66"/>
    </row>
    <row r="9388" spans="1:1" x14ac:dyDescent="0.25">
      <c r="A9388" s="66"/>
    </row>
    <row r="9389" spans="1:1" x14ac:dyDescent="0.25">
      <c r="A9389" s="66"/>
    </row>
    <row r="9390" spans="1:1" x14ac:dyDescent="0.25">
      <c r="A9390" s="66"/>
    </row>
    <row r="9391" spans="1:1" x14ac:dyDescent="0.25">
      <c r="A9391" s="66"/>
    </row>
    <row r="9392" spans="1:1" x14ac:dyDescent="0.25">
      <c r="A9392" s="66"/>
    </row>
    <row r="9393" spans="1:1" x14ac:dyDescent="0.25">
      <c r="A9393" s="66"/>
    </row>
    <row r="9394" spans="1:1" x14ac:dyDescent="0.25">
      <c r="A9394" s="66"/>
    </row>
    <row r="9395" spans="1:1" x14ac:dyDescent="0.25">
      <c r="A9395" s="66"/>
    </row>
    <row r="9396" spans="1:1" x14ac:dyDescent="0.25">
      <c r="A9396" s="66"/>
    </row>
    <row r="9397" spans="1:1" x14ac:dyDescent="0.25">
      <c r="A9397" s="66"/>
    </row>
    <row r="9398" spans="1:1" x14ac:dyDescent="0.25">
      <c r="A9398" s="66"/>
    </row>
    <row r="9399" spans="1:1" x14ac:dyDescent="0.25">
      <c r="A9399" s="66"/>
    </row>
    <row r="9400" spans="1:1" x14ac:dyDescent="0.25">
      <c r="A9400" s="66"/>
    </row>
    <row r="9401" spans="1:1" x14ac:dyDescent="0.25">
      <c r="A9401" s="66"/>
    </row>
    <row r="9402" spans="1:1" x14ac:dyDescent="0.25">
      <c r="A9402" s="66"/>
    </row>
    <row r="9403" spans="1:1" x14ac:dyDescent="0.25">
      <c r="A9403" s="66"/>
    </row>
    <row r="9404" spans="1:1" x14ac:dyDescent="0.25">
      <c r="A9404" s="66"/>
    </row>
    <row r="9405" spans="1:1" x14ac:dyDescent="0.25">
      <c r="A9405" s="66"/>
    </row>
    <row r="9406" spans="1:1" x14ac:dyDescent="0.25">
      <c r="A9406" s="66"/>
    </row>
    <row r="9407" spans="1:1" x14ac:dyDescent="0.25">
      <c r="A9407" s="66"/>
    </row>
    <row r="9408" spans="1:1" x14ac:dyDescent="0.25">
      <c r="A9408" s="66"/>
    </row>
    <row r="9409" spans="1:1" x14ac:dyDescent="0.25">
      <c r="A9409" s="66"/>
    </row>
    <row r="9410" spans="1:1" x14ac:dyDescent="0.25">
      <c r="A9410" s="66"/>
    </row>
    <row r="9411" spans="1:1" x14ac:dyDescent="0.25">
      <c r="A9411" s="66"/>
    </row>
    <row r="9412" spans="1:1" x14ac:dyDescent="0.25">
      <c r="A9412" s="66"/>
    </row>
    <row r="9413" spans="1:1" x14ac:dyDescent="0.25">
      <c r="A9413" s="66"/>
    </row>
    <row r="9414" spans="1:1" x14ac:dyDescent="0.25">
      <c r="A9414" s="66"/>
    </row>
    <row r="9415" spans="1:1" x14ac:dyDescent="0.25">
      <c r="A9415" s="66"/>
    </row>
    <row r="9416" spans="1:1" x14ac:dyDescent="0.25">
      <c r="A9416" s="66"/>
    </row>
    <row r="9417" spans="1:1" x14ac:dyDescent="0.25">
      <c r="A9417" s="66"/>
    </row>
    <row r="9418" spans="1:1" x14ac:dyDescent="0.25">
      <c r="A9418" s="66"/>
    </row>
    <row r="9419" spans="1:1" x14ac:dyDescent="0.25">
      <c r="A9419" s="66"/>
    </row>
    <row r="9420" spans="1:1" x14ac:dyDescent="0.25">
      <c r="A9420" s="66"/>
    </row>
    <row r="9421" spans="1:1" x14ac:dyDescent="0.25">
      <c r="A9421" s="66"/>
    </row>
    <row r="9422" spans="1:1" x14ac:dyDescent="0.25">
      <c r="A9422" s="66"/>
    </row>
    <row r="9423" spans="1:1" x14ac:dyDescent="0.25">
      <c r="A9423" s="66"/>
    </row>
    <row r="9424" spans="1:1" x14ac:dyDescent="0.25">
      <c r="A9424" s="66"/>
    </row>
    <row r="9425" spans="1:1" x14ac:dyDescent="0.25">
      <c r="A9425" s="66"/>
    </row>
    <row r="9426" spans="1:1" x14ac:dyDescent="0.25">
      <c r="A9426" s="66"/>
    </row>
    <row r="9427" spans="1:1" x14ac:dyDescent="0.25">
      <c r="A9427" s="66"/>
    </row>
    <row r="9428" spans="1:1" x14ac:dyDescent="0.25">
      <c r="A9428" s="66"/>
    </row>
    <row r="9429" spans="1:1" x14ac:dyDescent="0.25">
      <c r="A9429" s="66"/>
    </row>
    <row r="9430" spans="1:1" x14ac:dyDescent="0.25">
      <c r="A9430" s="66"/>
    </row>
    <row r="9431" spans="1:1" x14ac:dyDescent="0.25">
      <c r="A9431" s="66"/>
    </row>
    <row r="9432" spans="1:1" x14ac:dyDescent="0.25">
      <c r="A9432" s="66"/>
    </row>
    <row r="9433" spans="1:1" x14ac:dyDescent="0.25">
      <c r="A9433" s="66"/>
    </row>
    <row r="9434" spans="1:1" x14ac:dyDescent="0.25">
      <c r="A9434" s="66"/>
    </row>
    <row r="9435" spans="1:1" x14ac:dyDescent="0.25">
      <c r="A9435" s="66"/>
    </row>
    <row r="9436" spans="1:1" x14ac:dyDescent="0.25">
      <c r="A9436" s="66"/>
    </row>
    <row r="9437" spans="1:1" x14ac:dyDescent="0.25">
      <c r="A9437" s="66"/>
    </row>
    <row r="9438" spans="1:1" x14ac:dyDescent="0.25">
      <c r="A9438" s="66"/>
    </row>
    <row r="9439" spans="1:1" x14ac:dyDescent="0.25">
      <c r="A9439" s="66"/>
    </row>
    <row r="9440" spans="1:1" x14ac:dyDescent="0.25">
      <c r="A9440" s="66"/>
    </row>
    <row r="9441" spans="1:1" x14ac:dyDescent="0.25">
      <c r="A9441" s="66"/>
    </row>
    <row r="9442" spans="1:1" x14ac:dyDescent="0.25">
      <c r="A9442" s="66"/>
    </row>
    <row r="9443" spans="1:1" x14ac:dyDescent="0.25">
      <c r="A9443" s="66"/>
    </row>
    <row r="9444" spans="1:1" x14ac:dyDescent="0.25">
      <c r="A9444" s="66"/>
    </row>
    <row r="9445" spans="1:1" x14ac:dyDescent="0.25">
      <c r="A9445" s="66"/>
    </row>
    <row r="9446" spans="1:1" x14ac:dyDescent="0.25">
      <c r="A9446" s="66"/>
    </row>
    <row r="9447" spans="1:1" x14ac:dyDescent="0.25">
      <c r="A9447" s="66"/>
    </row>
    <row r="9448" spans="1:1" x14ac:dyDescent="0.25">
      <c r="A9448" s="66"/>
    </row>
    <row r="9449" spans="1:1" x14ac:dyDescent="0.25">
      <c r="A9449" s="66"/>
    </row>
    <row r="9450" spans="1:1" x14ac:dyDescent="0.25">
      <c r="A9450" s="66"/>
    </row>
    <row r="9451" spans="1:1" x14ac:dyDescent="0.25">
      <c r="A9451" s="66"/>
    </row>
    <row r="9452" spans="1:1" x14ac:dyDescent="0.25">
      <c r="A9452" s="66"/>
    </row>
    <row r="9453" spans="1:1" x14ac:dyDescent="0.25">
      <c r="A9453" s="66"/>
    </row>
    <row r="9454" spans="1:1" x14ac:dyDescent="0.25">
      <c r="A9454" s="66"/>
    </row>
    <row r="9455" spans="1:1" x14ac:dyDescent="0.25">
      <c r="A9455" s="66"/>
    </row>
    <row r="9456" spans="1:1" x14ac:dyDescent="0.25">
      <c r="A9456" s="66"/>
    </row>
    <row r="9457" spans="1:1" x14ac:dyDescent="0.25">
      <c r="A9457" s="66"/>
    </row>
    <row r="9458" spans="1:1" x14ac:dyDescent="0.25">
      <c r="A9458" s="66"/>
    </row>
    <row r="9459" spans="1:1" x14ac:dyDescent="0.25">
      <c r="A9459" s="66"/>
    </row>
    <row r="9460" spans="1:1" x14ac:dyDescent="0.25">
      <c r="A9460" s="66"/>
    </row>
    <row r="9461" spans="1:1" x14ac:dyDescent="0.25">
      <c r="A9461" s="66"/>
    </row>
    <row r="9462" spans="1:1" x14ac:dyDescent="0.25">
      <c r="A9462" s="66"/>
    </row>
    <row r="9463" spans="1:1" x14ac:dyDescent="0.25">
      <c r="A9463" s="66"/>
    </row>
    <row r="9464" spans="1:1" x14ac:dyDescent="0.25">
      <c r="A9464" s="66"/>
    </row>
    <row r="9465" spans="1:1" x14ac:dyDescent="0.25">
      <c r="A9465" s="66"/>
    </row>
    <row r="9466" spans="1:1" x14ac:dyDescent="0.25">
      <c r="A9466" s="66"/>
    </row>
    <row r="9467" spans="1:1" x14ac:dyDescent="0.25">
      <c r="A9467" s="66"/>
    </row>
    <row r="9468" spans="1:1" x14ac:dyDescent="0.25">
      <c r="A9468" s="66"/>
    </row>
    <row r="9469" spans="1:1" x14ac:dyDescent="0.25">
      <c r="A9469" s="66"/>
    </row>
    <row r="9470" spans="1:1" x14ac:dyDescent="0.25">
      <c r="A9470" s="66"/>
    </row>
    <row r="9471" spans="1:1" x14ac:dyDescent="0.25">
      <c r="A9471" s="66"/>
    </row>
    <row r="9472" spans="1:1" x14ac:dyDescent="0.25">
      <c r="A9472" s="66"/>
    </row>
    <row r="9473" spans="1:1" x14ac:dyDescent="0.25">
      <c r="A9473" s="66"/>
    </row>
    <row r="9474" spans="1:1" x14ac:dyDescent="0.25">
      <c r="A9474" s="66"/>
    </row>
    <row r="9475" spans="1:1" x14ac:dyDescent="0.25">
      <c r="A9475" s="66"/>
    </row>
    <row r="9476" spans="1:1" x14ac:dyDescent="0.25">
      <c r="A9476" s="66"/>
    </row>
    <row r="9477" spans="1:1" x14ac:dyDescent="0.25">
      <c r="A9477" s="66"/>
    </row>
    <row r="9478" spans="1:1" x14ac:dyDescent="0.25">
      <c r="A9478" s="66"/>
    </row>
    <row r="9479" spans="1:1" x14ac:dyDescent="0.25">
      <c r="A9479" s="66"/>
    </row>
    <row r="9480" spans="1:1" x14ac:dyDescent="0.25">
      <c r="A9480" s="66"/>
    </row>
    <row r="9481" spans="1:1" x14ac:dyDescent="0.25">
      <c r="A9481" s="66"/>
    </row>
    <row r="9482" spans="1:1" x14ac:dyDescent="0.25">
      <c r="A9482" s="66"/>
    </row>
    <row r="9483" spans="1:1" x14ac:dyDescent="0.25">
      <c r="A9483" s="66"/>
    </row>
    <row r="9484" spans="1:1" x14ac:dyDescent="0.25">
      <c r="A9484" s="66"/>
    </row>
    <row r="9485" spans="1:1" x14ac:dyDescent="0.25">
      <c r="A9485" s="66"/>
    </row>
    <row r="9486" spans="1:1" x14ac:dyDescent="0.25">
      <c r="A9486" s="66"/>
    </row>
    <row r="9487" spans="1:1" x14ac:dyDescent="0.25">
      <c r="A9487" s="66"/>
    </row>
    <row r="9488" spans="1:1" x14ac:dyDescent="0.25">
      <c r="A9488" s="66"/>
    </row>
    <row r="9489" spans="1:1" x14ac:dyDescent="0.25">
      <c r="A9489" s="66"/>
    </row>
    <row r="9490" spans="1:1" x14ac:dyDescent="0.25">
      <c r="A9490" s="66"/>
    </row>
    <row r="9491" spans="1:1" x14ac:dyDescent="0.25">
      <c r="A9491" s="66"/>
    </row>
    <row r="9492" spans="1:1" x14ac:dyDescent="0.25">
      <c r="A9492" s="66"/>
    </row>
    <row r="9493" spans="1:1" x14ac:dyDescent="0.25">
      <c r="A9493" s="66"/>
    </row>
    <row r="9494" spans="1:1" x14ac:dyDescent="0.25">
      <c r="A9494" s="66"/>
    </row>
    <row r="9495" spans="1:1" x14ac:dyDescent="0.25">
      <c r="A9495" s="66"/>
    </row>
    <row r="9496" spans="1:1" x14ac:dyDescent="0.25">
      <c r="A9496" s="66"/>
    </row>
    <row r="9497" spans="1:1" x14ac:dyDescent="0.25">
      <c r="A9497" s="66"/>
    </row>
    <row r="9498" spans="1:1" x14ac:dyDescent="0.25">
      <c r="A9498" s="66"/>
    </row>
    <row r="9499" spans="1:1" x14ac:dyDescent="0.25">
      <c r="A9499" s="66"/>
    </row>
    <row r="9500" spans="1:1" x14ac:dyDescent="0.25">
      <c r="A9500" s="66"/>
    </row>
    <row r="9501" spans="1:1" x14ac:dyDescent="0.25">
      <c r="A9501" s="66"/>
    </row>
    <row r="9502" spans="1:1" x14ac:dyDescent="0.25">
      <c r="A9502" s="66"/>
    </row>
    <row r="9503" spans="1:1" x14ac:dyDescent="0.25">
      <c r="A9503" s="66"/>
    </row>
    <row r="9504" spans="1:1" x14ac:dyDescent="0.25">
      <c r="A9504" s="66"/>
    </row>
    <row r="9505" spans="1:1" x14ac:dyDescent="0.25">
      <c r="A9505" s="66"/>
    </row>
    <row r="9506" spans="1:1" x14ac:dyDescent="0.25">
      <c r="A9506" s="66"/>
    </row>
    <row r="9507" spans="1:1" x14ac:dyDescent="0.25">
      <c r="A9507" s="66"/>
    </row>
    <row r="9508" spans="1:1" x14ac:dyDescent="0.25">
      <c r="A9508" s="66"/>
    </row>
    <row r="9509" spans="1:1" x14ac:dyDescent="0.25">
      <c r="A9509" s="66"/>
    </row>
    <row r="9510" spans="1:1" x14ac:dyDescent="0.25">
      <c r="A9510" s="66"/>
    </row>
    <row r="9511" spans="1:1" x14ac:dyDescent="0.25">
      <c r="A9511" s="66"/>
    </row>
    <row r="9512" spans="1:1" x14ac:dyDescent="0.25">
      <c r="A9512" s="66"/>
    </row>
    <row r="9513" spans="1:1" x14ac:dyDescent="0.25">
      <c r="A9513" s="66"/>
    </row>
    <row r="9514" spans="1:1" x14ac:dyDescent="0.25">
      <c r="A9514" s="66"/>
    </row>
    <row r="9515" spans="1:1" x14ac:dyDescent="0.25">
      <c r="A9515" s="66"/>
    </row>
    <row r="9516" spans="1:1" x14ac:dyDescent="0.25">
      <c r="A9516" s="66"/>
    </row>
    <row r="9517" spans="1:1" x14ac:dyDescent="0.25">
      <c r="A9517" s="66"/>
    </row>
    <row r="9518" spans="1:1" x14ac:dyDescent="0.25">
      <c r="A9518" s="66"/>
    </row>
    <row r="9519" spans="1:1" x14ac:dyDescent="0.25">
      <c r="A9519" s="66"/>
    </row>
    <row r="9520" spans="1:1" x14ac:dyDescent="0.25">
      <c r="A9520" s="66"/>
    </row>
    <row r="9521" spans="1:1" x14ac:dyDescent="0.25">
      <c r="A9521" s="66"/>
    </row>
    <row r="9522" spans="1:1" x14ac:dyDescent="0.25">
      <c r="A9522" s="66"/>
    </row>
    <row r="9523" spans="1:1" x14ac:dyDescent="0.25">
      <c r="A9523" s="66"/>
    </row>
    <row r="9524" spans="1:1" x14ac:dyDescent="0.25">
      <c r="A9524" s="66"/>
    </row>
    <row r="9525" spans="1:1" x14ac:dyDescent="0.25">
      <c r="A9525" s="66"/>
    </row>
    <row r="9526" spans="1:1" x14ac:dyDescent="0.25">
      <c r="A9526" s="66"/>
    </row>
    <row r="9527" spans="1:1" x14ac:dyDescent="0.25">
      <c r="A9527" s="66"/>
    </row>
    <row r="9528" spans="1:1" x14ac:dyDescent="0.25">
      <c r="A9528" s="66"/>
    </row>
    <row r="9529" spans="1:1" x14ac:dyDescent="0.25">
      <c r="A9529" s="66"/>
    </row>
    <row r="9530" spans="1:1" x14ac:dyDescent="0.25">
      <c r="A9530" s="66"/>
    </row>
    <row r="9531" spans="1:1" x14ac:dyDescent="0.25">
      <c r="A9531" s="66"/>
    </row>
    <row r="9532" spans="1:1" x14ac:dyDescent="0.25">
      <c r="A9532" s="66"/>
    </row>
    <row r="9533" spans="1:1" x14ac:dyDescent="0.25">
      <c r="A9533" s="66"/>
    </row>
    <row r="9534" spans="1:1" x14ac:dyDescent="0.25">
      <c r="A9534" s="66"/>
    </row>
    <row r="9535" spans="1:1" x14ac:dyDescent="0.25">
      <c r="A9535" s="66"/>
    </row>
    <row r="9536" spans="1:1" x14ac:dyDescent="0.25">
      <c r="A9536" s="66"/>
    </row>
    <row r="9537" spans="1:1" x14ac:dyDescent="0.25">
      <c r="A9537" s="66"/>
    </row>
    <row r="9538" spans="1:1" x14ac:dyDescent="0.25">
      <c r="A9538" s="66"/>
    </row>
    <row r="9539" spans="1:1" x14ac:dyDescent="0.25">
      <c r="A9539" s="66"/>
    </row>
    <row r="9540" spans="1:1" x14ac:dyDescent="0.25">
      <c r="A9540" s="66"/>
    </row>
    <row r="9541" spans="1:1" x14ac:dyDescent="0.25">
      <c r="A9541" s="66"/>
    </row>
    <row r="9542" spans="1:1" x14ac:dyDescent="0.25">
      <c r="A9542" s="66"/>
    </row>
    <row r="9543" spans="1:1" x14ac:dyDescent="0.25">
      <c r="A9543" s="66"/>
    </row>
    <row r="9544" spans="1:1" x14ac:dyDescent="0.25">
      <c r="A9544" s="66"/>
    </row>
    <row r="9545" spans="1:1" x14ac:dyDescent="0.25">
      <c r="A9545" s="66"/>
    </row>
    <row r="9546" spans="1:1" x14ac:dyDescent="0.25">
      <c r="A9546" s="66"/>
    </row>
    <row r="9547" spans="1:1" x14ac:dyDescent="0.25">
      <c r="A9547" s="66"/>
    </row>
    <row r="9548" spans="1:1" x14ac:dyDescent="0.25">
      <c r="A9548" s="66"/>
    </row>
    <row r="9549" spans="1:1" x14ac:dyDescent="0.25">
      <c r="A9549" s="66"/>
    </row>
    <row r="9550" spans="1:1" x14ac:dyDescent="0.25">
      <c r="A9550" s="66"/>
    </row>
    <row r="9551" spans="1:1" x14ac:dyDescent="0.25">
      <c r="A9551" s="66"/>
    </row>
    <row r="9552" spans="1:1" x14ac:dyDescent="0.25">
      <c r="A9552" s="66"/>
    </row>
    <row r="9553" spans="1:1" x14ac:dyDescent="0.25">
      <c r="A9553" s="66"/>
    </row>
    <row r="9554" spans="1:1" x14ac:dyDescent="0.25">
      <c r="A9554" s="66"/>
    </row>
    <row r="9555" spans="1:1" x14ac:dyDescent="0.25">
      <c r="A9555" s="66"/>
    </row>
    <row r="9556" spans="1:1" x14ac:dyDescent="0.25">
      <c r="A9556" s="66"/>
    </row>
    <row r="9557" spans="1:1" x14ac:dyDescent="0.25">
      <c r="A9557" s="66"/>
    </row>
    <row r="9558" spans="1:1" x14ac:dyDescent="0.25">
      <c r="A9558" s="66"/>
    </row>
    <row r="9559" spans="1:1" x14ac:dyDescent="0.25">
      <c r="A9559" s="66"/>
    </row>
    <row r="9560" spans="1:1" x14ac:dyDescent="0.25">
      <c r="A9560" s="66"/>
    </row>
    <row r="9561" spans="1:1" x14ac:dyDescent="0.25">
      <c r="A9561" s="66"/>
    </row>
    <row r="9562" spans="1:1" x14ac:dyDescent="0.25">
      <c r="A9562" s="66"/>
    </row>
    <row r="9563" spans="1:1" x14ac:dyDescent="0.25">
      <c r="A9563" s="66"/>
    </row>
    <row r="9564" spans="1:1" x14ac:dyDescent="0.25">
      <c r="A9564" s="66"/>
    </row>
    <row r="9565" spans="1:1" x14ac:dyDescent="0.25">
      <c r="A9565" s="66"/>
    </row>
    <row r="9566" spans="1:1" x14ac:dyDescent="0.25">
      <c r="A9566" s="66"/>
    </row>
    <row r="9567" spans="1:1" x14ac:dyDescent="0.25">
      <c r="A9567" s="66"/>
    </row>
    <row r="9568" spans="1:1" x14ac:dyDescent="0.25">
      <c r="A9568" s="66"/>
    </row>
    <row r="9569" spans="1:1" x14ac:dyDescent="0.25">
      <c r="A9569" s="66"/>
    </row>
    <row r="9570" spans="1:1" x14ac:dyDescent="0.25">
      <c r="A9570" s="66"/>
    </row>
    <row r="9571" spans="1:1" x14ac:dyDescent="0.25">
      <c r="A9571" s="66"/>
    </row>
    <row r="9572" spans="1:1" x14ac:dyDescent="0.25">
      <c r="A9572" s="66"/>
    </row>
    <row r="9573" spans="1:1" x14ac:dyDescent="0.25">
      <c r="A9573" s="66"/>
    </row>
    <row r="9574" spans="1:1" x14ac:dyDescent="0.25">
      <c r="A9574" s="66"/>
    </row>
    <row r="9575" spans="1:1" x14ac:dyDescent="0.25">
      <c r="A9575" s="66"/>
    </row>
    <row r="9576" spans="1:1" x14ac:dyDescent="0.25">
      <c r="A9576" s="66"/>
    </row>
    <row r="9577" spans="1:1" x14ac:dyDescent="0.25">
      <c r="A9577" s="66"/>
    </row>
    <row r="9578" spans="1:1" x14ac:dyDescent="0.25">
      <c r="A9578" s="66"/>
    </row>
    <row r="9579" spans="1:1" x14ac:dyDescent="0.25">
      <c r="A9579" s="66"/>
    </row>
    <row r="9580" spans="1:1" x14ac:dyDescent="0.25">
      <c r="A9580" s="66"/>
    </row>
    <row r="9581" spans="1:1" x14ac:dyDescent="0.25">
      <c r="A9581" s="66"/>
    </row>
    <row r="9582" spans="1:1" x14ac:dyDescent="0.25">
      <c r="A9582" s="66"/>
    </row>
    <row r="9583" spans="1:1" x14ac:dyDescent="0.25">
      <c r="A9583" s="66"/>
    </row>
    <row r="9584" spans="1:1" x14ac:dyDescent="0.25">
      <c r="A9584" s="66"/>
    </row>
    <row r="9585" spans="1:1" x14ac:dyDescent="0.25">
      <c r="A9585" s="66"/>
    </row>
    <row r="9586" spans="1:1" x14ac:dyDescent="0.25">
      <c r="A9586" s="66"/>
    </row>
    <row r="9587" spans="1:1" x14ac:dyDescent="0.25">
      <c r="A9587" s="66"/>
    </row>
    <row r="9588" spans="1:1" x14ac:dyDescent="0.25">
      <c r="A9588" s="66"/>
    </row>
    <row r="9589" spans="1:1" x14ac:dyDescent="0.25">
      <c r="A9589" s="66"/>
    </row>
    <row r="9590" spans="1:1" x14ac:dyDescent="0.25">
      <c r="A9590" s="66"/>
    </row>
    <row r="9591" spans="1:1" x14ac:dyDescent="0.25">
      <c r="A9591" s="66"/>
    </row>
    <row r="9592" spans="1:1" x14ac:dyDescent="0.25">
      <c r="A9592" s="66"/>
    </row>
    <row r="9593" spans="1:1" x14ac:dyDescent="0.25">
      <c r="A9593" s="66"/>
    </row>
    <row r="9594" spans="1:1" x14ac:dyDescent="0.25">
      <c r="A9594" s="66"/>
    </row>
    <row r="9595" spans="1:1" x14ac:dyDescent="0.25">
      <c r="A9595" s="66"/>
    </row>
    <row r="9596" spans="1:1" x14ac:dyDescent="0.25">
      <c r="A9596" s="66"/>
    </row>
    <row r="9597" spans="1:1" x14ac:dyDescent="0.25">
      <c r="A9597" s="66"/>
    </row>
    <row r="9598" spans="1:1" x14ac:dyDescent="0.25">
      <c r="A9598" s="66"/>
    </row>
    <row r="9599" spans="1:1" x14ac:dyDescent="0.25">
      <c r="A9599" s="66"/>
    </row>
    <row r="9600" spans="1:1" x14ac:dyDescent="0.25">
      <c r="A9600" s="66"/>
    </row>
    <row r="9601" spans="1:1" x14ac:dyDescent="0.25">
      <c r="A9601" s="66"/>
    </row>
    <row r="9602" spans="1:1" x14ac:dyDescent="0.25">
      <c r="A9602" s="66"/>
    </row>
    <row r="9603" spans="1:1" x14ac:dyDescent="0.25">
      <c r="A9603" s="66"/>
    </row>
    <row r="9604" spans="1:1" x14ac:dyDescent="0.25">
      <c r="A9604" s="66"/>
    </row>
    <row r="9605" spans="1:1" x14ac:dyDescent="0.25">
      <c r="A9605" s="66"/>
    </row>
    <row r="9606" spans="1:1" x14ac:dyDescent="0.25">
      <c r="A9606" s="66"/>
    </row>
    <row r="9607" spans="1:1" x14ac:dyDescent="0.25">
      <c r="A9607" s="66"/>
    </row>
    <row r="9608" spans="1:1" x14ac:dyDescent="0.25">
      <c r="A9608" s="66"/>
    </row>
    <row r="9609" spans="1:1" x14ac:dyDescent="0.25">
      <c r="A9609" s="66"/>
    </row>
    <row r="9610" spans="1:1" x14ac:dyDescent="0.25">
      <c r="A9610" s="66"/>
    </row>
    <row r="9611" spans="1:1" x14ac:dyDescent="0.25">
      <c r="A9611" s="66"/>
    </row>
    <row r="9612" spans="1:1" x14ac:dyDescent="0.25">
      <c r="A9612" s="66"/>
    </row>
    <row r="9613" spans="1:1" x14ac:dyDescent="0.25">
      <c r="A9613" s="66"/>
    </row>
    <row r="9614" spans="1:1" x14ac:dyDescent="0.25">
      <c r="A9614" s="66"/>
    </row>
    <row r="9615" spans="1:1" x14ac:dyDescent="0.25">
      <c r="A9615" s="66"/>
    </row>
    <row r="9616" spans="1:1" x14ac:dyDescent="0.25">
      <c r="A9616" s="66"/>
    </row>
    <row r="9617" spans="1:1" x14ac:dyDescent="0.25">
      <c r="A9617" s="66"/>
    </row>
    <row r="9618" spans="1:1" x14ac:dyDescent="0.25">
      <c r="A9618" s="66"/>
    </row>
    <row r="9619" spans="1:1" x14ac:dyDescent="0.25">
      <c r="A9619" s="66"/>
    </row>
    <row r="9620" spans="1:1" x14ac:dyDescent="0.25">
      <c r="A9620" s="66"/>
    </row>
    <row r="9621" spans="1:1" x14ac:dyDescent="0.25">
      <c r="A9621" s="66"/>
    </row>
    <row r="9622" spans="1:1" x14ac:dyDescent="0.25">
      <c r="A9622" s="66"/>
    </row>
    <row r="9623" spans="1:1" x14ac:dyDescent="0.25">
      <c r="A9623" s="66"/>
    </row>
    <row r="9624" spans="1:1" x14ac:dyDescent="0.25">
      <c r="A9624" s="66"/>
    </row>
    <row r="9625" spans="1:1" x14ac:dyDescent="0.25">
      <c r="A9625" s="66"/>
    </row>
    <row r="9626" spans="1:1" x14ac:dyDescent="0.25">
      <c r="A9626" s="66"/>
    </row>
    <row r="9627" spans="1:1" x14ac:dyDescent="0.25">
      <c r="A9627" s="66"/>
    </row>
    <row r="9628" spans="1:1" x14ac:dyDescent="0.25">
      <c r="A9628" s="66"/>
    </row>
    <row r="9629" spans="1:1" x14ac:dyDescent="0.25">
      <c r="A9629" s="66"/>
    </row>
    <row r="9630" spans="1:1" x14ac:dyDescent="0.25">
      <c r="A9630" s="66"/>
    </row>
    <row r="9631" spans="1:1" x14ac:dyDescent="0.25">
      <c r="A9631" s="66"/>
    </row>
    <row r="9632" spans="1:1" x14ac:dyDescent="0.25">
      <c r="A9632" s="66"/>
    </row>
    <row r="9633" spans="1:1" x14ac:dyDescent="0.25">
      <c r="A9633" s="66"/>
    </row>
    <row r="9634" spans="1:1" x14ac:dyDescent="0.25">
      <c r="A9634" s="66"/>
    </row>
    <row r="9635" spans="1:1" x14ac:dyDescent="0.25">
      <c r="A9635" s="66"/>
    </row>
    <row r="9636" spans="1:1" x14ac:dyDescent="0.25">
      <c r="A9636" s="66"/>
    </row>
    <row r="9637" spans="1:1" x14ac:dyDescent="0.25">
      <c r="A9637" s="66"/>
    </row>
    <row r="9638" spans="1:1" x14ac:dyDescent="0.25">
      <c r="A9638" s="66"/>
    </row>
    <row r="9639" spans="1:1" x14ac:dyDescent="0.25">
      <c r="A9639" s="66"/>
    </row>
    <row r="9640" spans="1:1" x14ac:dyDescent="0.25">
      <c r="A9640" s="66"/>
    </row>
    <row r="9641" spans="1:1" x14ac:dyDescent="0.25">
      <c r="A9641" s="66"/>
    </row>
    <row r="9642" spans="1:1" x14ac:dyDescent="0.25">
      <c r="A9642" s="66"/>
    </row>
    <row r="9643" spans="1:1" x14ac:dyDescent="0.25">
      <c r="A9643" s="66"/>
    </row>
    <row r="9644" spans="1:1" x14ac:dyDescent="0.25">
      <c r="A9644" s="66"/>
    </row>
    <row r="9645" spans="1:1" x14ac:dyDescent="0.25">
      <c r="A9645" s="66"/>
    </row>
    <row r="9646" spans="1:1" x14ac:dyDescent="0.25">
      <c r="A9646" s="66"/>
    </row>
    <row r="9647" spans="1:1" x14ac:dyDescent="0.25">
      <c r="A9647" s="66"/>
    </row>
    <row r="9648" spans="1:1" x14ac:dyDescent="0.25">
      <c r="A9648" s="66"/>
    </row>
    <row r="9649" spans="1:1" x14ac:dyDescent="0.25">
      <c r="A9649" s="66"/>
    </row>
    <row r="9650" spans="1:1" x14ac:dyDescent="0.25">
      <c r="A9650" s="66"/>
    </row>
    <row r="9651" spans="1:1" x14ac:dyDescent="0.25">
      <c r="A9651" s="66"/>
    </row>
    <row r="9652" spans="1:1" x14ac:dyDescent="0.25">
      <c r="A9652" s="66"/>
    </row>
    <row r="9653" spans="1:1" x14ac:dyDescent="0.25">
      <c r="A9653" s="66"/>
    </row>
    <row r="9654" spans="1:1" x14ac:dyDescent="0.25">
      <c r="A9654" s="66"/>
    </row>
    <row r="9655" spans="1:1" x14ac:dyDescent="0.25">
      <c r="A9655" s="66"/>
    </row>
    <row r="9656" spans="1:1" x14ac:dyDescent="0.25">
      <c r="A9656" s="66"/>
    </row>
    <row r="9657" spans="1:1" x14ac:dyDescent="0.25">
      <c r="A9657" s="66"/>
    </row>
    <row r="9658" spans="1:1" x14ac:dyDescent="0.25">
      <c r="A9658" s="66"/>
    </row>
    <row r="9659" spans="1:1" x14ac:dyDescent="0.25">
      <c r="A9659" s="66"/>
    </row>
    <row r="9660" spans="1:1" x14ac:dyDescent="0.25">
      <c r="A9660" s="66"/>
    </row>
    <row r="9661" spans="1:1" x14ac:dyDescent="0.25">
      <c r="A9661" s="66"/>
    </row>
    <row r="9662" spans="1:1" x14ac:dyDescent="0.25">
      <c r="A9662" s="66"/>
    </row>
    <row r="9663" spans="1:1" x14ac:dyDescent="0.25">
      <c r="A9663" s="66"/>
    </row>
    <row r="9664" spans="1:1" x14ac:dyDescent="0.25">
      <c r="A9664" s="66"/>
    </row>
    <row r="9665" spans="1:1" x14ac:dyDescent="0.25">
      <c r="A9665" s="66"/>
    </row>
    <row r="9666" spans="1:1" x14ac:dyDescent="0.25">
      <c r="A9666" s="66"/>
    </row>
    <row r="9667" spans="1:1" x14ac:dyDescent="0.25">
      <c r="A9667" s="66"/>
    </row>
    <row r="9668" spans="1:1" x14ac:dyDescent="0.25">
      <c r="A9668" s="66"/>
    </row>
    <row r="9669" spans="1:1" x14ac:dyDescent="0.25">
      <c r="A9669" s="66"/>
    </row>
    <row r="9670" spans="1:1" x14ac:dyDescent="0.25">
      <c r="A9670" s="66"/>
    </row>
    <row r="9671" spans="1:1" x14ac:dyDescent="0.25">
      <c r="A9671" s="66"/>
    </row>
    <row r="9672" spans="1:1" x14ac:dyDescent="0.25">
      <c r="A9672" s="66"/>
    </row>
    <row r="9673" spans="1:1" x14ac:dyDescent="0.25">
      <c r="A9673" s="66"/>
    </row>
    <row r="9674" spans="1:1" x14ac:dyDescent="0.25">
      <c r="A9674" s="66"/>
    </row>
    <row r="9675" spans="1:1" x14ac:dyDescent="0.25">
      <c r="A9675" s="66"/>
    </row>
    <row r="9676" spans="1:1" x14ac:dyDescent="0.25">
      <c r="A9676" s="66"/>
    </row>
    <row r="9677" spans="1:1" x14ac:dyDescent="0.25">
      <c r="A9677" s="66"/>
    </row>
    <row r="9678" spans="1:1" x14ac:dyDescent="0.25">
      <c r="A9678" s="66"/>
    </row>
    <row r="9679" spans="1:1" x14ac:dyDescent="0.25">
      <c r="A9679" s="66"/>
    </row>
    <row r="9680" spans="1:1" x14ac:dyDescent="0.25">
      <c r="A9680" s="66"/>
    </row>
    <row r="9681" spans="1:1" x14ac:dyDescent="0.25">
      <c r="A9681" s="66"/>
    </row>
    <row r="9682" spans="1:1" x14ac:dyDescent="0.25">
      <c r="A9682" s="66"/>
    </row>
    <row r="9683" spans="1:1" x14ac:dyDescent="0.25">
      <c r="A9683" s="66"/>
    </row>
    <row r="9684" spans="1:1" x14ac:dyDescent="0.25">
      <c r="A9684" s="66"/>
    </row>
    <row r="9685" spans="1:1" x14ac:dyDescent="0.25">
      <c r="A9685" s="66"/>
    </row>
    <row r="9686" spans="1:1" x14ac:dyDescent="0.25">
      <c r="A9686" s="66"/>
    </row>
    <row r="9687" spans="1:1" x14ac:dyDescent="0.25">
      <c r="A9687" s="66"/>
    </row>
    <row r="9688" spans="1:1" x14ac:dyDescent="0.25">
      <c r="A9688" s="66"/>
    </row>
    <row r="9689" spans="1:1" x14ac:dyDescent="0.25">
      <c r="A9689" s="66"/>
    </row>
    <row r="9690" spans="1:1" x14ac:dyDescent="0.25">
      <c r="A9690" s="66"/>
    </row>
    <row r="9691" spans="1:1" x14ac:dyDescent="0.25">
      <c r="A9691" s="66"/>
    </row>
    <row r="9692" spans="1:1" x14ac:dyDescent="0.25">
      <c r="A9692" s="66"/>
    </row>
    <row r="9693" spans="1:1" x14ac:dyDescent="0.25">
      <c r="A9693" s="66"/>
    </row>
    <row r="9694" spans="1:1" x14ac:dyDescent="0.25">
      <c r="A9694" s="66"/>
    </row>
    <row r="9695" spans="1:1" x14ac:dyDescent="0.25">
      <c r="A9695" s="66"/>
    </row>
    <row r="9696" spans="1:1" x14ac:dyDescent="0.25">
      <c r="A9696" s="66"/>
    </row>
    <row r="9697" spans="1:1" x14ac:dyDescent="0.25">
      <c r="A9697" s="66"/>
    </row>
    <row r="9698" spans="1:1" x14ac:dyDescent="0.25">
      <c r="A9698" s="66"/>
    </row>
    <row r="9699" spans="1:1" x14ac:dyDescent="0.25">
      <c r="A9699" s="66"/>
    </row>
    <row r="9700" spans="1:1" x14ac:dyDescent="0.25">
      <c r="A9700" s="66"/>
    </row>
    <row r="9701" spans="1:1" x14ac:dyDescent="0.25">
      <c r="A9701" s="66"/>
    </row>
    <row r="9702" spans="1:1" x14ac:dyDescent="0.25">
      <c r="A9702" s="66"/>
    </row>
    <row r="9703" spans="1:1" x14ac:dyDescent="0.25">
      <c r="A9703" s="66"/>
    </row>
    <row r="9704" spans="1:1" x14ac:dyDescent="0.25">
      <c r="A9704" s="66"/>
    </row>
    <row r="9705" spans="1:1" x14ac:dyDescent="0.25">
      <c r="A9705" s="66"/>
    </row>
    <row r="9706" spans="1:1" x14ac:dyDescent="0.25">
      <c r="A9706" s="66"/>
    </row>
    <row r="9707" spans="1:1" x14ac:dyDescent="0.25">
      <c r="A9707" s="66"/>
    </row>
    <row r="9708" spans="1:1" x14ac:dyDescent="0.25">
      <c r="A9708" s="66"/>
    </row>
    <row r="9709" spans="1:1" x14ac:dyDescent="0.25">
      <c r="A9709" s="66"/>
    </row>
    <row r="9710" spans="1:1" x14ac:dyDescent="0.25">
      <c r="A9710" s="66"/>
    </row>
    <row r="9711" spans="1:1" x14ac:dyDescent="0.25">
      <c r="A9711" s="66"/>
    </row>
    <row r="9712" spans="1:1" x14ac:dyDescent="0.25">
      <c r="A9712" s="66"/>
    </row>
    <row r="9713" spans="1:1" x14ac:dyDescent="0.25">
      <c r="A9713" s="66"/>
    </row>
    <row r="9714" spans="1:1" x14ac:dyDescent="0.25">
      <c r="A9714" s="66"/>
    </row>
    <row r="9715" spans="1:1" x14ac:dyDescent="0.25">
      <c r="A9715" s="66"/>
    </row>
    <row r="9716" spans="1:1" x14ac:dyDescent="0.25">
      <c r="A9716" s="66"/>
    </row>
    <row r="9717" spans="1:1" x14ac:dyDescent="0.25">
      <c r="A9717" s="66"/>
    </row>
    <row r="9718" spans="1:1" x14ac:dyDescent="0.25">
      <c r="A9718" s="66"/>
    </row>
    <row r="9719" spans="1:1" x14ac:dyDescent="0.25">
      <c r="A9719" s="66"/>
    </row>
    <row r="9720" spans="1:1" x14ac:dyDescent="0.25">
      <c r="A9720" s="66"/>
    </row>
    <row r="9721" spans="1:1" x14ac:dyDescent="0.25">
      <c r="A9721" s="66"/>
    </row>
    <row r="9722" spans="1:1" x14ac:dyDescent="0.25">
      <c r="A9722" s="66"/>
    </row>
    <row r="9723" spans="1:1" x14ac:dyDescent="0.25">
      <c r="A9723" s="66"/>
    </row>
    <row r="9724" spans="1:1" x14ac:dyDescent="0.25">
      <c r="A9724" s="66"/>
    </row>
    <row r="9725" spans="1:1" x14ac:dyDescent="0.25">
      <c r="A9725" s="66"/>
    </row>
    <row r="9726" spans="1:1" x14ac:dyDescent="0.25">
      <c r="A9726" s="66"/>
    </row>
    <row r="9727" spans="1:1" x14ac:dyDescent="0.25">
      <c r="A9727" s="66"/>
    </row>
    <row r="9728" spans="1:1" x14ac:dyDescent="0.25">
      <c r="A9728" s="66"/>
    </row>
    <row r="9729" spans="1:1" x14ac:dyDescent="0.25">
      <c r="A9729" s="66"/>
    </row>
    <row r="9730" spans="1:1" x14ac:dyDescent="0.25">
      <c r="A9730" s="66"/>
    </row>
    <row r="9731" spans="1:1" x14ac:dyDescent="0.25">
      <c r="A9731" s="66"/>
    </row>
    <row r="9732" spans="1:1" x14ac:dyDescent="0.25">
      <c r="A9732" s="66"/>
    </row>
    <row r="9733" spans="1:1" x14ac:dyDescent="0.25">
      <c r="A9733" s="66"/>
    </row>
    <row r="9734" spans="1:1" x14ac:dyDescent="0.25">
      <c r="A9734" s="66"/>
    </row>
    <row r="9735" spans="1:1" x14ac:dyDescent="0.25">
      <c r="A9735" s="66"/>
    </row>
    <row r="9736" spans="1:1" x14ac:dyDescent="0.25">
      <c r="A9736" s="66"/>
    </row>
    <row r="9737" spans="1:1" x14ac:dyDescent="0.25">
      <c r="A9737" s="66"/>
    </row>
    <row r="9738" spans="1:1" x14ac:dyDescent="0.25">
      <c r="A9738" s="66"/>
    </row>
    <row r="9739" spans="1:1" x14ac:dyDescent="0.25">
      <c r="A9739" s="66"/>
    </row>
    <row r="9740" spans="1:1" x14ac:dyDescent="0.25">
      <c r="A9740" s="66"/>
    </row>
    <row r="9741" spans="1:1" x14ac:dyDescent="0.25">
      <c r="A9741" s="66"/>
    </row>
    <row r="9742" spans="1:1" x14ac:dyDescent="0.25">
      <c r="A9742" s="66"/>
    </row>
    <row r="9743" spans="1:1" x14ac:dyDescent="0.25">
      <c r="A9743" s="66"/>
    </row>
    <row r="9744" spans="1:1" x14ac:dyDescent="0.25">
      <c r="A9744" s="66"/>
    </row>
    <row r="9745" spans="1:1" x14ac:dyDescent="0.25">
      <c r="A9745" s="66"/>
    </row>
    <row r="9746" spans="1:1" x14ac:dyDescent="0.25">
      <c r="A9746" s="66"/>
    </row>
    <row r="9747" spans="1:1" x14ac:dyDescent="0.25">
      <c r="A9747" s="66"/>
    </row>
    <row r="9748" spans="1:1" x14ac:dyDescent="0.25">
      <c r="A9748" s="66"/>
    </row>
    <row r="9749" spans="1:1" x14ac:dyDescent="0.25">
      <c r="A9749" s="66"/>
    </row>
    <row r="9750" spans="1:1" x14ac:dyDescent="0.25">
      <c r="A9750" s="66"/>
    </row>
    <row r="9751" spans="1:1" x14ac:dyDescent="0.25">
      <c r="A9751" s="66"/>
    </row>
    <row r="9752" spans="1:1" x14ac:dyDescent="0.25">
      <c r="A9752" s="66"/>
    </row>
    <row r="9753" spans="1:1" x14ac:dyDescent="0.25">
      <c r="A9753" s="66"/>
    </row>
    <row r="9754" spans="1:1" x14ac:dyDescent="0.25">
      <c r="A9754" s="66"/>
    </row>
    <row r="9755" spans="1:1" x14ac:dyDescent="0.25">
      <c r="A9755" s="66"/>
    </row>
    <row r="9756" spans="1:1" x14ac:dyDescent="0.25">
      <c r="A9756" s="66"/>
    </row>
    <row r="9757" spans="1:1" x14ac:dyDescent="0.25">
      <c r="A9757" s="66"/>
    </row>
    <row r="9758" spans="1:1" x14ac:dyDescent="0.25">
      <c r="A9758" s="66"/>
    </row>
    <row r="9759" spans="1:1" x14ac:dyDescent="0.25">
      <c r="A9759" s="66"/>
    </row>
    <row r="9760" spans="1:1" x14ac:dyDescent="0.25">
      <c r="A9760" s="66"/>
    </row>
    <row r="9761" spans="1:1" x14ac:dyDescent="0.25">
      <c r="A9761" s="66"/>
    </row>
    <row r="9762" spans="1:1" x14ac:dyDescent="0.25">
      <c r="A9762" s="66"/>
    </row>
    <row r="9763" spans="1:1" x14ac:dyDescent="0.25">
      <c r="A9763" s="66"/>
    </row>
    <row r="9764" spans="1:1" x14ac:dyDescent="0.25">
      <c r="A9764" s="66"/>
    </row>
    <row r="9765" spans="1:1" x14ac:dyDescent="0.25">
      <c r="A9765" s="66"/>
    </row>
    <row r="9766" spans="1:1" x14ac:dyDescent="0.25">
      <c r="A9766" s="66"/>
    </row>
    <row r="9767" spans="1:1" x14ac:dyDescent="0.25">
      <c r="A9767" s="66"/>
    </row>
    <row r="9768" spans="1:1" x14ac:dyDescent="0.25">
      <c r="A9768" s="66"/>
    </row>
    <row r="9769" spans="1:1" x14ac:dyDescent="0.25">
      <c r="A9769" s="66"/>
    </row>
    <row r="9770" spans="1:1" x14ac:dyDescent="0.25">
      <c r="A9770" s="66"/>
    </row>
    <row r="9771" spans="1:1" x14ac:dyDescent="0.25">
      <c r="A9771" s="66"/>
    </row>
    <row r="9772" spans="1:1" x14ac:dyDescent="0.25">
      <c r="A9772" s="66"/>
    </row>
    <row r="9773" spans="1:1" x14ac:dyDescent="0.25">
      <c r="A9773" s="66"/>
    </row>
    <row r="9774" spans="1:1" x14ac:dyDescent="0.25">
      <c r="A9774" s="66"/>
    </row>
    <row r="9775" spans="1:1" x14ac:dyDescent="0.25">
      <c r="A9775" s="66"/>
    </row>
    <row r="9776" spans="1:1" x14ac:dyDescent="0.25">
      <c r="A9776" s="66"/>
    </row>
    <row r="9777" spans="1:1" x14ac:dyDescent="0.25">
      <c r="A9777" s="66"/>
    </row>
    <row r="9778" spans="1:1" x14ac:dyDescent="0.25">
      <c r="A9778" s="66"/>
    </row>
    <row r="9779" spans="1:1" x14ac:dyDescent="0.25">
      <c r="A9779" s="66"/>
    </row>
    <row r="9780" spans="1:1" x14ac:dyDescent="0.25">
      <c r="A9780" s="66"/>
    </row>
    <row r="9781" spans="1:1" x14ac:dyDescent="0.25">
      <c r="A9781" s="66"/>
    </row>
    <row r="9782" spans="1:1" x14ac:dyDescent="0.25">
      <c r="A9782" s="66"/>
    </row>
    <row r="9783" spans="1:1" x14ac:dyDescent="0.25">
      <c r="A9783" s="66"/>
    </row>
    <row r="9784" spans="1:1" x14ac:dyDescent="0.25">
      <c r="A9784" s="66"/>
    </row>
    <row r="9785" spans="1:1" x14ac:dyDescent="0.25">
      <c r="A9785" s="66"/>
    </row>
    <row r="9786" spans="1:1" x14ac:dyDescent="0.25">
      <c r="A9786" s="66"/>
    </row>
    <row r="9787" spans="1:1" x14ac:dyDescent="0.25">
      <c r="A9787" s="66"/>
    </row>
    <row r="9788" spans="1:1" x14ac:dyDescent="0.25">
      <c r="A9788" s="66"/>
    </row>
    <row r="9789" spans="1:1" x14ac:dyDescent="0.25">
      <c r="A9789" s="66"/>
    </row>
    <row r="9790" spans="1:1" x14ac:dyDescent="0.25">
      <c r="A9790" s="66"/>
    </row>
    <row r="9791" spans="1:1" x14ac:dyDescent="0.25">
      <c r="A9791" s="66"/>
    </row>
    <row r="9792" spans="1:1" x14ac:dyDescent="0.25">
      <c r="A9792" s="66"/>
    </row>
    <row r="9793" spans="1:1" x14ac:dyDescent="0.25">
      <c r="A9793" s="66"/>
    </row>
    <row r="9794" spans="1:1" x14ac:dyDescent="0.25">
      <c r="A9794" s="66"/>
    </row>
    <row r="9795" spans="1:1" x14ac:dyDescent="0.25">
      <c r="A9795" s="66"/>
    </row>
    <row r="9796" spans="1:1" x14ac:dyDescent="0.25">
      <c r="A9796" s="66"/>
    </row>
    <row r="9797" spans="1:1" x14ac:dyDescent="0.25">
      <c r="A9797" s="66"/>
    </row>
    <row r="9798" spans="1:1" x14ac:dyDescent="0.25">
      <c r="A9798" s="66"/>
    </row>
    <row r="9799" spans="1:1" x14ac:dyDescent="0.25">
      <c r="A9799" s="66"/>
    </row>
    <row r="9800" spans="1:1" x14ac:dyDescent="0.25">
      <c r="A9800" s="66"/>
    </row>
    <row r="9801" spans="1:1" x14ac:dyDescent="0.25">
      <c r="A9801" s="66"/>
    </row>
    <row r="9802" spans="1:1" x14ac:dyDescent="0.25">
      <c r="A9802" s="66"/>
    </row>
    <row r="9803" spans="1:1" x14ac:dyDescent="0.25">
      <c r="A9803" s="66"/>
    </row>
    <row r="9804" spans="1:1" x14ac:dyDescent="0.25">
      <c r="A9804" s="66"/>
    </row>
    <row r="9805" spans="1:1" x14ac:dyDescent="0.25">
      <c r="A9805" s="66"/>
    </row>
    <row r="9806" spans="1:1" x14ac:dyDescent="0.25">
      <c r="A9806" s="66"/>
    </row>
    <row r="9807" spans="1:1" x14ac:dyDescent="0.25">
      <c r="A9807" s="66"/>
    </row>
    <row r="9808" spans="1:1" x14ac:dyDescent="0.25">
      <c r="A9808" s="66"/>
    </row>
    <row r="9809" spans="1:1" x14ac:dyDescent="0.25">
      <c r="A9809" s="66"/>
    </row>
    <row r="9810" spans="1:1" x14ac:dyDescent="0.25">
      <c r="A9810" s="66"/>
    </row>
    <row r="9811" spans="1:1" x14ac:dyDescent="0.25">
      <c r="A9811" s="66"/>
    </row>
    <row r="9812" spans="1:1" x14ac:dyDescent="0.25">
      <c r="A9812" s="66"/>
    </row>
    <row r="9813" spans="1:1" x14ac:dyDescent="0.25">
      <c r="A9813" s="66"/>
    </row>
    <row r="9814" spans="1:1" x14ac:dyDescent="0.25">
      <c r="A9814" s="66"/>
    </row>
    <row r="9815" spans="1:1" x14ac:dyDescent="0.25">
      <c r="A9815" s="66"/>
    </row>
    <row r="9816" spans="1:1" x14ac:dyDescent="0.25">
      <c r="A9816" s="66"/>
    </row>
    <row r="9817" spans="1:1" x14ac:dyDescent="0.25">
      <c r="A9817" s="66"/>
    </row>
    <row r="9818" spans="1:1" x14ac:dyDescent="0.25">
      <c r="A9818" s="66"/>
    </row>
    <row r="9819" spans="1:1" x14ac:dyDescent="0.25">
      <c r="A9819" s="66"/>
    </row>
    <row r="9820" spans="1:1" x14ac:dyDescent="0.25">
      <c r="A9820" s="66"/>
    </row>
    <row r="9821" spans="1:1" x14ac:dyDescent="0.25">
      <c r="A9821" s="66"/>
    </row>
    <row r="9822" spans="1:1" x14ac:dyDescent="0.25">
      <c r="A9822" s="66"/>
    </row>
    <row r="9823" spans="1:1" x14ac:dyDescent="0.25">
      <c r="A9823" s="66"/>
    </row>
    <row r="9824" spans="1:1" x14ac:dyDescent="0.25">
      <c r="A9824" s="66"/>
    </row>
    <row r="9825" spans="1:1" x14ac:dyDescent="0.25">
      <c r="A9825" s="66"/>
    </row>
    <row r="9826" spans="1:1" x14ac:dyDescent="0.25">
      <c r="A9826" s="66"/>
    </row>
    <row r="9827" spans="1:1" x14ac:dyDescent="0.25">
      <c r="A9827" s="66"/>
    </row>
    <row r="9828" spans="1:1" x14ac:dyDescent="0.25">
      <c r="A9828" s="66"/>
    </row>
    <row r="9829" spans="1:1" x14ac:dyDescent="0.25">
      <c r="A9829" s="66"/>
    </row>
    <row r="9830" spans="1:1" x14ac:dyDescent="0.25">
      <c r="A9830" s="66"/>
    </row>
    <row r="9831" spans="1:1" x14ac:dyDescent="0.25">
      <c r="A9831" s="66"/>
    </row>
    <row r="9832" spans="1:1" x14ac:dyDescent="0.25">
      <c r="A9832" s="66"/>
    </row>
    <row r="9833" spans="1:1" x14ac:dyDescent="0.25">
      <c r="A9833" s="66"/>
    </row>
    <row r="9834" spans="1:1" x14ac:dyDescent="0.25">
      <c r="A9834" s="66"/>
    </row>
    <row r="9835" spans="1:1" x14ac:dyDescent="0.25">
      <c r="A9835" s="66"/>
    </row>
    <row r="9836" spans="1:1" x14ac:dyDescent="0.25">
      <c r="A9836" s="66"/>
    </row>
    <row r="9837" spans="1:1" x14ac:dyDescent="0.25">
      <c r="A9837" s="66"/>
    </row>
    <row r="9838" spans="1:1" x14ac:dyDescent="0.25">
      <c r="A9838" s="66"/>
    </row>
    <row r="9839" spans="1:1" x14ac:dyDescent="0.25">
      <c r="A9839" s="66"/>
    </row>
    <row r="9840" spans="1:1" x14ac:dyDescent="0.25">
      <c r="A9840" s="66"/>
    </row>
    <row r="9841" spans="1:1" x14ac:dyDescent="0.25">
      <c r="A9841" s="66"/>
    </row>
    <row r="9842" spans="1:1" x14ac:dyDescent="0.25">
      <c r="A9842" s="66"/>
    </row>
    <row r="9843" spans="1:1" x14ac:dyDescent="0.25">
      <c r="A9843" s="66"/>
    </row>
    <row r="9844" spans="1:1" x14ac:dyDescent="0.25">
      <c r="A9844" s="66"/>
    </row>
    <row r="9845" spans="1:1" x14ac:dyDescent="0.25">
      <c r="A9845" s="66"/>
    </row>
    <row r="9846" spans="1:1" x14ac:dyDescent="0.25">
      <c r="A9846" s="66"/>
    </row>
    <row r="9847" spans="1:1" x14ac:dyDescent="0.25">
      <c r="A9847" s="66"/>
    </row>
    <row r="9848" spans="1:1" x14ac:dyDescent="0.25">
      <c r="A9848" s="66"/>
    </row>
    <row r="9849" spans="1:1" x14ac:dyDescent="0.25">
      <c r="A9849" s="66"/>
    </row>
    <row r="9850" spans="1:1" x14ac:dyDescent="0.25">
      <c r="A9850" s="66"/>
    </row>
    <row r="9851" spans="1:1" x14ac:dyDescent="0.25">
      <c r="A9851" s="66"/>
    </row>
    <row r="9852" spans="1:1" x14ac:dyDescent="0.25">
      <c r="A9852" s="66"/>
    </row>
    <row r="9853" spans="1:1" x14ac:dyDescent="0.25">
      <c r="A9853" s="66"/>
    </row>
    <row r="9854" spans="1:1" x14ac:dyDescent="0.25">
      <c r="A9854" s="66"/>
    </row>
    <row r="9855" spans="1:1" x14ac:dyDescent="0.25">
      <c r="A9855" s="66"/>
    </row>
    <row r="9856" spans="1:1" x14ac:dyDescent="0.25">
      <c r="A9856" s="66"/>
    </row>
    <row r="9857" spans="1:1" x14ac:dyDescent="0.25">
      <c r="A9857" s="66"/>
    </row>
    <row r="9858" spans="1:1" x14ac:dyDescent="0.25">
      <c r="A9858" s="66"/>
    </row>
    <row r="9859" spans="1:1" x14ac:dyDescent="0.25">
      <c r="A9859" s="66"/>
    </row>
    <row r="9860" spans="1:1" x14ac:dyDescent="0.25">
      <c r="A9860" s="66"/>
    </row>
    <row r="9861" spans="1:1" x14ac:dyDescent="0.25">
      <c r="A9861" s="66"/>
    </row>
    <row r="9862" spans="1:1" x14ac:dyDescent="0.25">
      <c r="A9862" s="66"/>
    </row>
    <row r="9863" spans="1:1" x14ac:dyDescent="0.25">
      <c r="A9863" s="66"/>
    </row>
    <row r="9864" spans="1:1" x14ac:dyDescent="0.25">
      <c r="A9864" s="66"/>
    </row>
    <row r="9865" spans="1:1" x14ac:dyDescent="0.25">
      <c r="A9865" s="66"/>
    </row>
    <row r="9866" spans="1:1" x14ac:dyDescent="0.25">
      <c r="A9866" s="66"/>
    </row>
    <row r="9867" spans="1:1" x14ac:dyDescent="0.25">
      <c r="A9867" s="66"/>
    </row>
    <row r="9868" spans="1:1" x14ac:dyDescent="0.25">
      <c r="A9868" s="66"/>
    </row>
    <row r="9869" spans="1:1" x14ac:dyDescent="0.25">
      <c r="A9869" s="66"/>
    </row>
    <row r="9870" spans="1:1" x14ac:dyDescent="0.25">
      <c r="A9870" s="66"/>
    </row>
    <row r="9871" spans="1:1" x14ac:dyDescent="0.25">
      <c r="A9871" s="66"/>
    </row>
    <row r="9872" spans="1:1" x14ac:dyDescent="0.25">
      <c r="A9872" s="66"/>
    </row>
    <row r="9873" spans="1:1" x14ac:dyDescent="0.25">
      <c r="A9873" s="66"/>
    </row>
    <row r="9874" spans="1:1" x14ac:dyDescent="0.25">
      <c r="A9874" s="66"/>
    </row>
    <row r="9875" spans="1:1" x14ac:dyDescent="0.25">
      <c r="A9875" s="66"/>
    </row>
    <row r="9876" spans="1:1" x14ac:dyDescent="0.25">
      <c r="A9876" s="66"/>
    </row>
    <row r="9877" spans="1:1" x14ac:dyDescent="0.25">
      <c r="A9877" s="66"/>
    </row>
    <row r="9878" spans="1:1" x14ac:dyDescent="0.25">
      <c r="A9878" s="66"/>
    </row>
    <row r="9879" spans="1:1" x14ac:dyDescent="0.25">
      <c r="A9879" s="66"/>
    </row>
    <row r="9880" spans="1:1" x14ac:dyDescent="0.25">
      <c r="A9880" s="66"/>
    </row>
    <row r="9881" spans="1:1" x14ac:dyDescent="0.25">
      <c r="A9881" s="66"/>
    </row>
    <row r="9882" spans="1:1" x14ac:dyDescent="0.25">
      <c r="A9882" s="66"/>
    </row>
    <row r="9883" spans="1:1" x14ac:dyDescent="0.25">
      <c r="A9883" s="66"/>
    </row>
    <row r="9884" spans="1:1" x14ac:dyDescent="0.25">
      <c r="A9884" s="66"/>
    </row>
    <row r="9885" spans="1:1" x14ac:dyDescent="0.25">
      <c r="A9885" s="66"/>
    </row>
    <row r="9886" spans="1:1" x14ac:dyDescent="0.25">
      <c r="A9886" s="66"/>
    </row>
    <row r="9887" spans="1:1" x14ac:dyDescent="0.25">
      <c r="A9887" s="66"/>
    </row>
    <row r="9888" spans="1:1" x14ac:dyDescent="0.25">
      <c r="A9888" s="66"/>
    </row>
    <row r="9889" spans="1:1" x14ac:dyDescent="0.25">
      <c r="A9889" s="66"/>
    </row>
    <row r="9890" spans="1:1" x14ac:dyDescent="0.25">
      <c r="A9890" s="66"/>
    </row>
    <row r="9891" spans="1:1" x14ac:dyDescent="0.25">
      <c r="A9891" s="66"/>
    </row>
    <row r="9892" spans="1:1" x14ac:dyDescent="0.25">
      <c r="A9892" s="66"/>
    </row>
    <row r="9893" spans="1:1" x14ac:dyDescent="0.25">
      <c r="A9893" s="66"/>
    </row>
    <row r="9894" spans="1:1" x14ac:dyDescent="0.25">
      <c r="A9894" s="66"/>
    </row>
    <row r="9895" spans="1:1" x14ac:dyDescent="0.25">
      <c r="A9895" s="66"/>
    </row>
    <row r="9896" spans="1:1" x14ac:dyDescent="0.25">
      <c r="A9896" s="66"/>
    </row>
    <row r="9897" spans="1:1" x14ac:dyDescent="0.25">
      <c r="A9897" s="66"/>
    </row>
    <row r="9898" spans="1:1" x14ac:dyDescent="0.25">
      <c r="A9898" s="66"/>
    </row>
    <row r="9899" spans="1:1" x14ac:dyDescent="0.25">
      <c r="A9899" s="66"/>
    </row>
    <row r="9900" spans="1:1" x14ac:dyDescent="0.25">
      <c r="A9900" s="66"/>
    </row>
    <row r="9901" spans="1:1" x14ac:dyDescent="0.25">
      <c r="A9901" s="66"/>
    </row>
    <row r="9902" spans="1:1" x14ac:dyDescent="0.25">
      <c r="A9902" s="66"/>
    </row>
    <row r="9903" spans="1:1" x14ac:dyDescent="0.25">
      <c r="A9903" s="66"/>
    </row>
    <row r="9904" spans="1:1" x14ac:dyDescent="0.25">
      <c r="A9904" s="66"/>
    </row>
    <row r="9905" spans="1:1" x14ac:dyDescent="0.25">
      <c r="A9905" s="66"/>
    </row>
    <row r="9906" spans="1:1" x14ac:dyDescent="0.25">
      <c r="A9906" s="66"/>
    </row>
    <row r="9907" spans="1:1" x14ac:dyDescent="0.25">
      <c r="A9907" s="66"/>
    </row>
    <row r="9908" spans="1:1" x14ac:dyDescent="0.25">
      <c r="A9908" s="66"/>
    </row>
    <row r="9909" spans="1:1" x14ac:dyDescent="0.25">
      <c r="A9909" s="66"/>
    </row>
    <row r="9910" spans="1:1" x14ac:dyDescent="0.25">
      <c r="A9910" s="66"/>
    </row>
    <row r="9911" spans="1:1" x14ac:dyDescent="0.25">
      <c r="A9911" s="66"/>
    </row>
    <row r="9912" spans="1:1" x14ac:dyDescent="0.25">
      <c r="A9912" s="66"/>
    </row>
    <row r="9913" spans="1:1" x14ac:dyDescent="0.25">
      <c r="A9913" s="66"/>
    </row>
    <row r="9914" spans="1:1" x14ac:dyDescent="0.25">
      <c r="A9914" s="66"/>
    </row>
    <row r="9915" spans="1:1" x14ac:dyDescent="0.25">
      <c r="A9915" s="66"/>
    </row>
    <row r="9916" spans="1:1" x14ac:dyDescent="0.25">
      <c r="A9916" s="66"/>
    </row>
    <row r="9917" spans="1:1" x14ac:dyDescent="0.25">
      <c r="A9917" s="66"/>
    </row>
    <row r="9918" spans="1:1" x14ac:dyDescent="0.25">
      <c r="A9918" s="66"/>
    </row>
    <row r="9919" spans="1:1" x14ac:dyDescent="0.25">
      <c r="A9919" s="66"/>
    </row>
    <row r="9920" spans="1:1" x14ac:dyDescent="0.25">
      <c r="A9920" s="66"/>
    </row>
    <row r="9921" spans="1:1" x14ac:dyDescent="0.25">
      <c r="A9921" s="66"/>
    </row>
    <row r="9922" spans="1:1" x14ac:dyDescent="0.25">
      <c r="A9922" s="66"/>
    </row>
    <row r="9923" spans="1:1" x14ac:dyDescent="0.25">
      <c r="A9923" s="66"/>
    </row>
    <row r="9924" spans="1:1" x14ac:dyDescent="0.25">
      <c r="A9924" s="66"/>
    </row>
    <row r="9925" spans="1:1" x14ac:dyDescent="0.25">
      <c r="A9925" s="66"/>
    </row>
    <row r="9926" spans="1:1" x14ac:dyDescent="0.25">
      <c r="A9926" s="66"/>
    </row>
    <row r="9927" spans="1:1" x14ac:dyDescent="0.25">
      <c r="A9927" s="66"/>
    </row>
    <row r="9928" spans="1:1" x14ac:dyDescent="0.25">
      <c r="A9928" s="66"/>
    </row>
    <row r="9929" spans="1:1" x14ac:dyDescent="0.25">
      <c r="A9929" s="66"/>
    </row>
    <row r="9930" spans="1:1" x14ac:dyDescent="0.25">
      <c r="A9930" s="66"/>
    </row>
    <row r="9931" spans="1:1" x14ac:dyDescent="0.25">
      <c r="A9931" s="66"/>
    </row>
    <row r="9932" spans="1:1" x14ac:dyDescent="0.25">
      <c r="A9932" s="66"/>
    </row>
    <row r="9933" spans="1:1" x14ac:dyDescent="0.25">
      <c r="A9933" s="66"/>
    </row>
    <row r="9934" spans="1:1" x14ac:dyDescent="0.25">
      <c r="A9934" s="66"/>
    </row>
    <row r="9935" spans="1:1" x14ac:dyDescent="0.25">
      <c r="A9935" s="66"/>
    </row>
    <row r="9936" spans="1:1" x14ac:dyDescent="0.25">
      <c r="A9936" s="66"/>
    </row>
    <row r="9937" spans="1:1" x14ac:dyDescent="0.25">
      <c r="A9937" s="66"/>
    </row>
    <row r="9938" spans="1:1" x14ac:dyDescent="0.25">
      <c r="A9938" s="66"/>
    </row>
    <row r="9939" spans="1:1" x14ac:dyDescent="0.25">
      <c r="A9939" s="66"/>
    </row>
    <row r="9940" spans="1:1" x14ac:dyDescent="0.25">
      <c r="A9940" s="66"/>
    </row>
    <row r="9941" spans="1:1" x14ac:dyDescent="0.25">
      <c r="A9941" s="66"/>
    </row>
    <row r="9942" spans="1:1" x14ac:dyDescent="0.25">
      <c r="A9942" s="66"/>
    </row>
    <row r="9943" spans="1:1" x14ac:dyDescent="0.25">
      <c r="A9943" s="66"/>
    </row>
    <row r="9944" spans="1:1" x14ac:dyDescent="0.25">
      <c r="A9944" s="66"/>
    </row>
    <row r="9945" spans="1:1" x14ac:dyDescent="0.25">
      <c r="A9945" s="66"/>
    </row>
    <row r="9946" spans="1:1" x14ac:dyDescent="0.25">
      <c r="A9946" s="66"/>
    </row>
    <row r="9947" spans="1:1" x14ac:dyDescent="0.25">
      <c r="A9947" s="66"/>
    </row>
    <row r="9948" spans="1:1" x14ac:dyDescent="0.25">
      <c r="A9948" s="66"/>
    </row>
    <row r="9949" spans="1:1" x14ac:dyDescent="0.25">
      <c r="A9949" s="66"/>
    </row>
    <row r="9950" spans="1:1" x14ac:dyDescent="0.25">
      <c r="A9950" s="66"/>
    </row>
    <row r="9951" spans="1:1" x14ac:dyDescent="0.25">
      <c r="A9951" s="66"/>
    </row>
    <row r="9952" spans="1:1" x14ac:dyDescent="0.25">
      <c r="A9952" s="66"/>
    </row>
    <row r="9953" spans="1:1" x14ac:dyDescent="0.25">
      <c r="A9953" s="66"/>
    </row>
    <row r="9954" spans="1:1" x14ac:dyDescent="0.25">
      <c r="A9954" s="66"/>
    </row>
    <row r="9955" spans="1:1" x14ac:dyDescent="0.25">
      <c r="A9955" s="66"/>
    </row>
    <row r="9956" spans="1:1" x14ac:dyDescent="0.25">
      <c r="A9956" s="66"/>
    </row>
    <row r="9957" spans="1:1" x14ac:dyDescent="0.25">
      <c r="A9957" s="66"/>
    </row>
    <row r="9958" spans="1:1" x14ac:dyDescent="0.25">
      <c r="A9958" s="66"/>
    </row>
    <row r="9959" spans="1:1" x14ac:dyDescent="0.25">
      <c r="A9959" s="66"/>
    </row>
    <row r="9960" spans="1:1" x14ac:dyDescent="0.25">
      <c r="A9960" s="66"/>
    </row>
    <row r="9961" spans="1:1" x14ac:dyDescent="0.25">
      <c r="A9961" s="66"/>
    </row>
    <row r="9962" spans="1:1" x14ac:dyDescent="0.25">
      <c r="A9962" s="66"/>
    </row>
    <row r="9963" spans="1:1" x14ac:dyDescent="0.25">
      <c r="A9963" s="66"/>
    </row>
    <row r="9964" spans="1:1" x14ac:dyDescent="0.25">
      <c r="A9964" s="66"/>
    </row>
    <row r="9965" spans="1:1" x14ac:dyDescent="0.25">
      <c r="A9965" s="66"/>
    </row>
    <row r="9966" spans="1:1" x14ac:dyDescent="0.25">
      <c r="A9966" s="66"/>
    </row>
    <row r="9967" spans="1:1" x14ac:dyDescent="0.25">
      <c r="A9967" s="66"/>
    </row>
    <row r="9968" spans="1:1" x14ac:dyDescent="0.25">
      <c r="A9968" s="66"/>
    </row>
    <row r="9969" spans="1:1" x14ac:dyDescent="0.25">
      <c r="A9969" s="66"/>
    </row>
    <row r="9970" spans="1:1" x14ac:dyDescent="0.25">
      <c r="A9970" s="66"/>
    </row>
    <row r="9971" spans="1:1" x14ac:dyDescent="0.25">
      <c r="A9971" s="66"/>
    </row>
    <row r="9972" spans="1:1" x14ac:dyDescent="0.25">
      <c r="A9972" s="66"/>
    </row>
    <row r="9973" spans="1:1" x14ac:dyDescent="0.25">
      <c r="A9973" s="66"/>
    </row>
    <row r="9974" spans="1:1" x14ac:dyDescent="0.25">
      <c r="A9974" s="66"/>
    </row>
    <row r="9975" spans="1:1" x14ac:dyDescent="0.25">
      <c r="A9975" s="66"/>
    </row>
    <row r="9976" spans="1:1" x14ac:dyDescent="0.25">
      <c r="A9976" s="66"/>
    </row>
    <row r="9977" spans="1:1" x14ac:dyDescent="0.25">
      <c r="A9977" s="66"/>
    </row>
    <row r="9978" spans="1:1" x14ac:dyDescent="0.25">
      <c r="A9978" s="66"/>
    </row>
    <row r="9979" spans="1:1" x14ac:dyDescent="0.25">
      <c r="A9979" s="66"/>
    </row>
    <row r="9980" spans="1:1" x14ac:dyDescent="0.25">
      <c r="A9980" s="66"/>
    </row>
    <row r="9981" spans="1:1" x14ac:dyDescent="0.25">
      <c r="A9981" s="66"/>
    </row>
    <row r="9982" spans="1:1" x14ac:dyDescent="0.25">
      <c r="A9982" s="66"/>
    </row>
    <row r="9983" spans="1:1" x14ac:dyDescent="0.25">
      <c r="A9983" s="66"/>
    </row>
    <row r="9984" spans="1:1" x14ac:dyDescent="0.25">
      <c r="A9984" s="66"/>
    </row>
    <row r="9985" spans="1:1" x14ac:dyDescent="0.25">
      <c r="A9985" s="66"/>
    </row>
    <row r="9986" spans="1:1" x14ac:dyDescent="0.25">
      <c r="A9986" s="66"/>
    </row>
    <row r="9987" spans="1:1" x14ac:dyDescent="0.25">
      <c r="A9987" s="66"/>
    </row>
    <row r="9988" spans="1:1" x14ac:dyDescent="0.25">
      <c r="A9988" s="66"/>
    </row>
    <row r="9989" spans="1:1" x14ac:dyDescent="0.25">
      <c r="A9989" s="66"/>
    </row>
    <row r="9990" spans="1:1" x14ac:dyDescent="0.25">
      <c r="A9990" s="66"/>
    </row>
    <row r="9991" spans="1:1" x14ac:dyDescent="0.25">
      <c r="A9991" s="66"/>
    </row>
    <row r="9992" spans="1:1" x14ac:dyDescent="0.25">
      <c r="A9992" s="66"/>
    </row>
    <row r="9993" spans="1:1" x14ac:dyDescent="0.25">
      <c r="A9993" s="66"/>
    </row>
    <row r="9994" spans="1:1" x14ac:dyDescent="0.25">
      <c r="A9994" s="66"/>
    </row>
    <row r="9995" spans="1:1" x14ac:dyDescent="0.25">
      <c r="A9995" s="66"/>
    </row>
    <row r="9996" spans="1:1" x14ac:dyDescent="0.25">
      <c r="A9996" s="66"/>
    </row>
    <row r="9997" spans="1:1" x14ac:dyDescent="0.25">
      <c r="A9997" s="66"/>
    </row>
    <row r="9998" spans="1:1" x14ac:dyDescent="0.25">
      <c r="A9998" s="66"/>
    </row>
    <row r="9999" spans="1:1" x14ac:dyDescent="0.25">
      <c r="A9999" s="66"/>
    </row>
    <row r="10000" spans="1:1" x14ac:dyDescent="0.25">
      <c r="A10000" s="66"/>
    </row>
  </sheetData>
  <autoFilter ref="A19:L28"/>
  <dataValidations count="1">
    <dataValidation type="list" allowBlank="1" showInputMessage="1" showErrorMessage="1" sqref="E20:E10000">
      <formula1>cicActivityType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10000"/>
  <sheetViews>
    <sheetView workbookViewId="0">
      <pane ySplit="19" topLeftCell="A20" activePane="bottomLeft" state="frozen"/>
      <selection pane="bottomLeft" activeCell="A19" sqref="A19"/>
    </sheetView>
  </sheetViews>
  <sheetFormatPr defaultColWidth="0" defaultRowHeight="15" zeroHeight="1" x14ac:dyDescent="0.25"/>
  <cols>
    <col min="1" max="1" width="12.85546875" customWidth="1"/>
    <col min="2" max="2" width="9.140625" customWidth="1"/>
    <col min="3" max="3" width="16.5703125" bestFit="1" customWidth="1"/>
    <col min="4" max="4" width="10" customWidth="1"/>
    <col min="5" max="5" width="28.85546875" customWidth="1"/>
    <col min="6" max="6" width="11.42578125" customWidth="1"/>
    <col min="7" max="7" width="13.42578125" bestFit="1" customWidth="1"/>
    <col min="8" max="9" width="9.140625" customWidth="1"/>
    <col min="10" max="10" width="21.5703125" customWidth="1"/>
    <col min="11" max="16384" width="9.140625" hidden="1"/>
  </cols>
  <sheetData>
    <row r="1" spans="1:9" x14ac:dyDescent="0.25">
      <c r="A1" s="7"/>
      <c r="B1" s="7"/>
      <c r="C1" s="7"/>
      <c r="D1" s="7"/>
      <c r="E1" s="7"/>
      <c r="F1" s="7"/>
      <c r="G1" s="7"/>
      <c r="H1" s="7"/>
      <c r="I1" s="7"/>
    </row>
    <row r="2" spans="1:9" x14ac:dyDescent="0.25">
      <c r="A2" s="7"/>
      <c r="B2" s="7"/>
      <c r="C2" s="7"/>
      <c r="D2" s="7"/>
      <c r="E2" s="7"/>
      <c r="F2" s="7"/>
      <c r="G2" s="7"/>
      <c r="H2" s="7"/>
      <c r="I2" s="7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x14ac:dyDescent="0.25">
      <c r="A4" s="7"/>
      <c r="B4" s="7"/>
      <c r="C4" s="7"/>
      <c r="D4" s="7"/>
      <c r="E4" s="7"/>
      <c r="F4" s="7"/>
      <c r="G4" s="7"/>
      <c r="H4" s="7"/>
      <c r="I4" s="7"/>
    </row>
    <row r="5" spans="1:9" x14ac:dyDescent="0.25">
      <c r="A5" s="7"/>
      <c r="B5" s="7"/>
      <c r="C5" s="7"/>
      <c r="D5" s="7"/>
      <c r="E5" s="7"/>
      <c r="F5" s="7"/>
      <c r="G5" s="7"/>
      <c r="H5" s="7"/>
      <c r="I5" s="7"/>
    </row>
    <row r="6" spans="1:9" x14ac:dyDescent="0.25">
      <c r="A6" s="7"/>
      <c r="B6" s="7"/>
      <c r="C6" s="7"/>
      <c r="D6" s="7"/>
      <c r="E6" s="7"/>
      <c r="F6" s="7"/>
      <c r="G6" s="7"/>
      <c r="H6" s="7"/>
      <c r="I6" s="7"/>
    </row>
    <row r="7" spans="1:9" x14ac:dyDescent="0.25">
      <c r="A7" s="7"/>
      <c r="B7" s="7"/>
      <c r="C7" s="7"/>
      <c r="D7" s="7"/>
      <c r="E7" s="7"/>
      <c r="F7" s="7"/>
      <c r="G7" s="7"/>
      <c r="H7" s="7"/>
      <c r="I7" s="7"/>
    </row>
    <row r="8" spans="1:9" x14ac:dyDescent="0.25">
      <c r="A8" s="7"/>
      <c r="B8" s="7"/>
      <c r="C8" s="7"/>
      <c r="D8" s="7"/>
      <c r="E8" s="7"/>
      <c r="F8" s="7"/>
      <c r="G8" s="7"/>
      <c r="H8" s="7"/>
      <c r="I8" s="7"/>
    </row>
    <row r="9" spans="1:9" hidden="1" x14ac:dyDescent="0.25"/>
    <row r="10" spans="1:9" hidden="1" x14ac:dyDescent="0.25"/>
    <row r="11" spans="1:9" hidden="1" x14ac:dyDescent="0.25"/>
    <row r="12" spans="1:9" hidden="1" x14ac:dyDescent="0.25"/>
    <row r="13" spans="1:9" hidden="1" x14ac:dyDescent="0.25"/>
    <row r="14" spans="1:9" hidden="1" x14ac:dyDescent="0.25"/>
    <row r="15" spans="1:9" hidden="1" x14ac:dyDescent="0.25"/>
    <row r="16" spans="1:9" hidden="1" x14ac:dyDescent="0.25"/>
    <row r="17" spans="1:10" hidden="1" x14ac:dyDescent="0.25"/>
    <row r="18" spans="1:10" hidden="1" x14ac:dyDescent="0.25"/>
    <row r="19" spans="1:10" ht="25.5" x14ac:dyDescent="0.25">
      <c r="A19" s="19" t="s">
        <v>55</v>
      </c>
      <c r="B19" s="19" t="s">
        <v>56</v>
      </c>
      <c r="C19" s="19" t="s">
        <v>57</v>
      </c>
      <c r="D19" s="19" t="s">
        <v>0</v>
      </c>
      <c r="E19" s="19" t="s">
        <v>95</v>
      </c>
      <c r="F19" s="19" t="s">
        <v>3</v>
      </c>
      <c r="G19" s="19" t="s">
        <v>48</v>
      </c>
      <c r="H19" s="19" t="s">
        <v>81</v>
      </c>
      <c r="I19" s="19" t="s">
        <v>82</v>
      </c>
      <c r="J19" s="54" t="s">
        <v>84</v>
      </c>
    </row>
    <row r="20" spans="1:10" x14ac:dyDescent="0.25">
      <c r="A20" s="66"/>
    </row>
    <row r="21" spans="1:10" x14ac:dyDescent="0.25">
      <c r="A21" s="66"/>
    </row>
    <row r="22" spans="1:10" x14ac:dyDescent="0.25">
      <c r="A22" s="66"/>
    </row>
    <row r="23" spans="1:10" x14ac:dyDescent="0.25">
      <c r="A23" s="66"/>
    </row>
    <row r="24" spans="1:10" x14ac:dyDescent="0.25">
      <c r="A24" s="66"/>
    </row>
    <row r="25" spans="1:10" x14ac:dyDescent="0.25">
      <c r="A25" s="66"/>
    </row>
    <row r="26" spans="1:10" x14ac:dyDescent="0.25">
      <c r="A26" s="66"/>
    </row>
    <row r="27" spans="1:10" x14ac:dyDescent="0.25">
      <c r="A27" s="66"/>
    </row>
    <row r="28" spans="1:10" x14ac:dyDescent="0.25">
      <c r="A28" s="66"/>
    </row>
    <row r="29" spans="1:10" x14ac:dyDescent="0.25">
      <c r="A29" s="66"/>
    </row>
    <row r="30" spans="1:10" x14ac:dyDescent="0.25">
      <c r="A30" s="66"/>
    </row>
    <row r="31" spans="1:10" x14ac:dyDescent="0.25">
      <c r="A31" s="66"/>
    </row>
    <row r="32" spans="1:10" x14ac:dyDescent="0.25">
      <c r="A32" s="66"/>
    </row>
    <row r="33" spans="1:1" x14ac:dyDescent="0.25">
      <c r="A33" s="66"/>
    </row>
    <row r="34" spans="1:1" x14ac:dyDescent="0.25">
      <c r="A34" s="66"/>
    </row>
    <row r="35" spans="1:1" x14ac:dyDescent="0.25">
      <c r="A35" s="66"/>
    </row>
    <row r="36" spans="1:1" x14ac:dyDescent="0.25">
      <c r="A36" s="66"/>
    </row>
    <row r="37" spans="1:1" x14ac:dyDescent="0.25">
      <c r="A37" s="66"/>
    </row>
    <row r="38" spans="1:1" x14ac:dyDescent="0.25">
      <c r="A38" s="66"/>
    </row>
    <row r="39" spans="1:1" x14ac:dyDescent="0.25">
      <c r="A39" s="66"/>
    </row>
    <row r="40" spans="1:1" x14ac:dyDescent="0.25">
      <c r="A40" s="66"/>
    </row>
    <row r="41" spans="1:1" x14ac:dyDescent="0.25">
      <c r="A41" s="66"/>
    </row>
    <row r="42" spans="1:1" x14ac:dyDescent="0.25">
      <c r="A42" s="66"/>
    </row>
    <row r="43" spans="1:1" x14ac:dyDescent="0.25">
      <c r="A43" s="66"/>
    </row>
    <row r="44" spans="1:1" x14ac:dyDescent="0.25">
      <c r="A44" s="66"/>
    </row>
    <row r="45" spans="1:1" x14ac:dyDescent="0.25">
      <c r="A45" s="66"/>
    </row>
    <row r="46" spans="1:1" x14ac:dyDescent="0.25">
      <c r="A46" s="66"/>
    </row>
    <row r="47" spans="1:1" x14ac:dyDescent="0.25">
      <c r="A47" s="66"/>
    </row>
    <row r="48" spans="1:1" x14ac:dyDescent="0.25">
      <c r="A48" s="66"/>
    </row>
    <row r="49" spans="1:1" x14ac:dyDescent="0.25">
      <c r="A49" s="66"/>
    </row>
    <row r="50" spans="1:1" x14ac:dyDescent="0.25">
      <c r="A50" s="66"/>
    </row>
    <row r="51" spans="1:1" x14ac:dyDescent="0.25">
      <c r="A51" s="66"/>
    </row>
    <row r="52" spans="1:1" x14ac:dyDescent="0.25">
      <c r="A52" s="66"/>
    </row>
    <row r="53" spans="1:1" x14ac:dyDescent="0.25">
      <c r="A53" s="66"/>
    </row>
    <row r="54" spans="1:1" x14ac:dyDescent="0.25">
      <c r="A54" s="66"/>
    </row>
    <row r="55" spans="1:1" x14ac:dyDescent="0.25">
      <c r="A55" s="66"/>
    </row>
    <row r="56" spans="1:1" x14ac:dyDescent="0.25">
      <c r="A56" s="66"/>
    </row>
    <row r="57" spans="1:1" x14ac:dyDescent="0.25">
      <c r="A57" s="66"/>
    </row>
    <row r="58" spans="1:1" x14ac:dyDescent="0.25">
      <c r="A58" s="66"/>
    </row>
    <row r="59" spans="1:1" x14ac:dyDescent="0.25">
      <c r="A59" s="66"/>
    </row>
    <row r="60" spans="1:1" x14ac:dyDescent="0.25">
      <c r="A60" s="66"/>
    </row>
    <row r="61" spans="1:1" x14ac:dyDescent="0.25">
      <c r="A61" s="66"/>
    </row>
    <row r="62" spans="1:1" x14ac:dyDescent="0.25">
      <c r="A62" s="66"/>
    </row>
    <row r="63" spans="1:1" x14ac:dyDescent="0.25">
      <c r="A63" s="66"/>
    </row>
    <row r="64" spans="1:1" x14ac:dyDescent="0.25">
      <c r="A64" s="66"/>
    </row>
    <row r="65" spans="1:1" x14ac:dyDescent="0.25">
      <c r="A65" s="66"/>
    </row>
    <row r="66" spans="1:1" x14ac:dyDescent="0.25">
      <c r="A66" s="66"/>
    </row>
    <row r="67" spans="1:1" x14ac:dyDescent="0.25">
      <c r="A67" s="66"/>
    </row>
    <row r="68" spans="1:1" x14ac:dyDescent="0.25">
      <c r="A68" s="66"/>
    </row>
    <row r="69" spans="1:1" x14ac:dyDescent="0.25">
      <c r="A69" s="66"/>
    </row>
    <row r="70" spans="1:1" x14ac:dyDescent="0.25">
      <c r="A70" s="66"/>
    </row>
    <row r="71" spans="1:1" x14ac:dyDescent="0.25">
      <c r="A71" s="66"/>
    </row>
    <row r="72" spans="1:1" x14ac:dyDescent="0.25">
      <c r="A72" s="66"/>
    </row>
    <row r="73" spans="1:1" x14ac:dyDescent="0.25">
      <c r="A73" s="66"/>
    </row>
    <row r="74" spans="1:1" x14ac:dyDescent="0.25">
      <c r="A74" s="66"/>
    </row>
    <row r="75" spans="1:1" x14ac:dyDescent="0.25">
      <c r="A75" s="66"/>
    </row>
    <row r="76" spans="1:1" x14ac:dyDescent="0.25">
      <c r="A76" s="66"/>
    </row>
    <row r="77" spans="1:1" x14ac:dyDescent="0.25">
      <c r="A77" s="66"/>
    </row>
    <row r="78" spans="1:1" x14ac:dyDescent="0.25">
      <c r="A78" s="66"/>
    </row>
    <row r="79" spans="1:1" x14ac:dyDescent="0.25">
      <c r="A79" s="66"/>
    </row>
    <row r="80" spans="1:1" x14ac:dyDescent="0.25">
      <c r="A80" s="66"/>
    </row>
    <row r="81" spans="1:1" x14ac:dyDescent="0.25">
      <c r="A81" s="66"/>
    </row>
    <row r="82" spans="1:1" x14ac:dyDescent="0.25">
      <c r="A82" s="66"/>
    </row>
    <row r="83" spans="1:1" x14ac:dyDescent="0.25">
      <c r="A83" s="66"/>
    </row>
    <row r="84" spans="1:1" x14ac:dyDescent="0.25">
      <c r="A84" s="66"/>
    </row>
    <row r="85" spans="1:1" x14ac:dyDescent="0.25">
      <c r="A85" s="66"/>
    </row>
    <row r="86" spans="1:1" x14ac:dyDescent="0.25">
      <c r="A86" s="66"/>
    </row>
    <row r="87" spans="1:1" x14ac:dyDescent="0.25">
      <c r="A87" s="66"/>
    </row>
    <row r="88" spans="1:1" x14ac:dyDescent="0.25">
      <c r="A88" s="66"/>
    </row>
    <row r="89" spans="1:1" x14ac:dyDescent="0.25">
      <c r="A89" s="66"/>
    </row>
    <row r="90" spans="1:1" x14ac:dyDescent="0.25">
      <c r="A90" s="66"/>
    </row>
    <row r="91" spans="1:1" x14ac:dyDescent="0.25">
      <c r="A91" s="66"/>
    </row>
    <row r="92" spans="1:1" x14ac:dyDescent="0.25">
      <c r="A92" s="66"/>
    </row>
    <row r="93" spans="1:1" x14ac:dyDescent="0.25">
      <c r="A93" s="66"/>
    </row>
    <row r="94" spans="1:1" x14ac:dyDescent="0.25">
      <c r="A94" s="66"/>
    </row>
    <row r="95" spans="1:1" x14ac:dyDescent="0.25">
      <c r="A95" s="66"/>
    </row>
    <row r="96" spans="1:1" x14ac:dyDescent="0.25">
      <c r="A96" s="66"/>
    </row>
    <row r="97" spans="1:1" x14ac:dyDescent="0.25">
      <c r="A97" s="66"/>
    </row>
    <row r="98" spans="1:1" x14ac:dyDescent="0.25">
      <c r="A98" s="66"/>
    </row>
    <row r="99" spans="1:1" x14ac:dyDescent="0.25">
      <c r="A99" s="66"/>
    </row>
    <row r="100" spans="1:1" x14ac:dyDescent="0.25">
      <c r="A100" s="66"/>
    </row>
    <row r="101" spans="1:1" x14ac:dyDescent="0.25">
      <c r="A101" s="66"/>
    </row>
    <row r="102" spans="1:1" x14ac:dyDescent="0.25">
      <c r="A102" s="66"/>
    </row>
    <row r="103" spans="1:1" x14ac:dyDescent="0.25">
      <c r="A103" s="66"/>
    </row>
    <row r="104" spans="1:1" x14ac:dyDescent="0.25">
      <c r="A104" s="66"/>
    </row>
    <row r="105" spans="1:1" x14ac:dyDescent="0.25">
      <c r="A105" s="66"/>
    </row>
    <row r="106" spans="1:1" x14ac:dyDescent="0.25">
      <c r="A106" s="66"/>
    </row>
    <row r="107" spans="1:1" x14ac:dyDescent="0.25">
      <c r="A107" s="66"/>
    </row>
    <row r="108" spans="1:1" x14ac:dyDescent="0.25">
      <c r="A108" s="66"/>
    </row>
    <row r="109" spans="1:1" x14ac:dyDescent="0.25">
      <c r="A109" s="66"/>
    </row>
    <row r="110" spans="1:1" x14ac:dyDescent="0.25">
      <c r="A110" s="66"/>
    </row>
    <row r="111" spans="1:1" x14ac:dyDescent="0.25">
      <c r="A111" s="66"/>
    </row>
    <row r="112" spans="1:1" x14ac:dyDescent="0.25">
      <c r="A112" s="66"/>
    </row>
    <row r="113" spans="1:1" x14ac:dyDescent="0.25">
      <c r="A113" s="66"/>
    </row>
    <row r="114" spans="1:1" x14ac:dyDescent="0.25">
      <c r="A114" s="66"/>
    </row>
    <row r="115" spans="1:1" x14ac:dyDescent="0.25">
      <c r="A115" s="66"/>
    </row>
    <row r="116" spans="1:1" x14ac:dyDescent="0.25">
      <c r="A116" s="66"/>
    </row>
    <row r="117" spans="1:1" x14ac:dyDescent="0.25">
      <c r="A117" s="66"/>
    </row>
    <row r="118" spans="1:1" x14ac:dyDescent="0.25">
      <c r="A118" s="66"/>
    </row>
    <row r="119" spans="1:1" x14ac:dyDescent="0.25">
      <c r="A119" s="66"/>
    </row>
    <row r="120" spans="1:1" x14ac:dyDescent="0.25">
      <c r="A120" s="66"/>
    </row>
    <row r="121" spans="1:1" x14ac:dyDescent="0.25">
      <c r="A121" s="66"/>
    </row>
    <row r="122" spans="1:1" x14ac:dyDescent="0.25">
      <c r="A122" s="66"/>
    </row>
    <row r="123" spans="1:1" x14ac:dyDescent="0.25">
      <c r="A123" s="66"/>
    </row>
    <row r="124" spans="1:1" x14ac:dyDescent="0.25">
      <c r="A124" s="66"/>
    </row>
    <row r="125" spans="1:1" x14ac:dyDescent="0.25">
      <c r="A125" s="66"/>
    </row>
    <row r="126" spans="1:1" x14ac:dyDescent="0.25">
      <c r="A126" s="66"/>
    </row>
    <row r="127" spans="1:1" x14ac:dyDescent="0.25">
      <c r="A127" s="66"/>
    </row>
    <row r="128" spans="1:1" x14ac:dyDescent="0.25">
      <c r="A128" s="66"/>
    </row>
    <row r="129" spans="1:1" x14ac:dyDescent="0.25">
      <c r="A129" s="66"/>
    </row>
    <row r="130" spans="1:1" x14ac:dyDescent="0.25">
      <c r="A130" s="66"/>
    </row>
    <row r="131" spans="1:1" x14ac:dyDescent="0.25">
      <c r="A131" s="66"/>
    </row>
    <row r="132" spans="1:1" x14ac:dyDescent="0.25">
      <c r="A132" s="66"/>
    </row>
    <row r="133" spans="1:1" x14ac:dyDescent="0.25">
      <c r="A133" s="66"/>
    </row>
    <row r="134" spans="1:1" x14ac:dyDescent="0.25">
      <c r="A134" s="66"/>
    </row>
    <row r="135" spans="1:1" x14ac:dyDescent="0.25">
      <c r="A135" s="66"/>
    </row>
    <row r="136" spans="1:1" x14ac:dyDescent="0.25">
      <c r="A136" s="66"/>
    </row>
    <row r="137" spans="1:1" x14ac:dyDescent="0.25">
      <c r="A137" s="66"/>
    </row>
    <row r="138" spans="1:1" x14ac:dyDescent="0.25">
      <c r="A138" s="66"/>
    </row>
    <row r="139" spans="1:1" x14ac:dyDescent="0.25">
      <c r="A139" s="66"/>
    </row>
    <row r="140" spans="1:1" x14ac:dyDescent="0.25">
      <c r="A140" s="66"/>
    </row>
    <row r="141" spans="1:1" x14ac:dyDescent="0.25">
      <c r="A141" s="66"/>
    </row>
    <row r="142" spans="1:1" x14ac:dyDescent="0.25">
      <c r="A142" s="66"/>
    </row>
    <row r="143" spans="1:1" x14ac:dyDescent="0.25">
      <c r="A143" s="66"/>
    </row>
    <row r="144" spans="1:1" x14ac:dyDescent="0.25">
      <c r="A144" s="66"/>
    </row>
    <row r="145" spans="1:1" x14ac:dyDescent="0.25">
      <c r="A145" s="66"/>
    </row>
    <row r="146" spans="1:1" x14ac:dyDescent="0.25">
      <c r="A146" s="66"/>
    </row>
    <row r="147" spans="1:1" x14ac:dyDescent="0.25">
      <c r="A147" s="66"/>
    </row>
    <row r="148" spans="1:1" x14ac:dyDescent="0.25">
      <c r="A148" s="66"/>
    </row>
    <row r="149" spans="1:1" x14ac:dyDescent="0.25">
      <c r="A149" s="66"/>
    </row>
    <row r="150" spans="1:1" x14ac:dyDescent="0.25">
      <c r="A150" s="66"/>
    </row>
    <row r="151" spans="1:1" x14ac:dyDescent="0.25">
      <c r="A151" s="66"/>
    </row>
    <row r="152" spans="1:1" x14ac:dyDescent="0.25">
      <c r="A152" s="66"/>
    </row>
    <row r="153" spans="1:1" x14ac:dyDescent="0.25">
      <c r="A153" s="66"/>
    </row>
    <row r="154" spans="1:1" x14ac:dyDescent="0.25">
      <c r="A154" s="66"/>
    </row>
    <row r="155" spans="1:1" x14ac:dyDescent="0.25">
      <c r="A155" s="66"/>
    </row>
    <row r="156" spans="1:1" x14ac:dyDescent="0.25">
      <c r="A156" s="66"/>
    </row>
    <row r="157" spans="1:1" x14ac:dyDescent="0.25">
      <c r="A157" s="66"/>
    </row>
    <row r="158" spans="1:1" x14ac:dyDescent="0.25">
      <c r="A158" s="66"/>
    </row>
    <row r="159" spans="1:1" x14ac:dyDescent="0.25">
      <c r="A159" s="66"/>
    </row>
    <row r="160" spans="1:1" x14ac:dyDescent="0.25">
      <c r="A160" s="66"/>
    </row>
    <row r="161" spans="1:1" x14ac:dyDescent="0.25">
      <c r="A161" s="66"/>
    </row>
    <row r="162" spans="1:1" x14ac:dyDescent="0.25">
      <c r="A162" s="66"/>
    </row>
    <row r="163" spans="1:1" x14ac:dyDescent="0.25">
      <c r="A163" s="66"/>
    </row>
    <row r="164" spans="1:1" x14ac:dyDescent="0.25">
      <c r="A164" s="66"/>
    </row>
    <row r="165" spans="1:1" x14ac:dyDescent="0.25">
      <c r="A165" s="66"/>
    </row>
    <row r="166" spans="1:1" x14ac:dyDescent="0.25">
      <c r="A166" s="66"/>
    </row>
    <row r="167" spans="1:1" x14ac:dyDescent="0.25">
      <c r="A167" s="66"/>
    </row>
    <row r="168" spans="1:1" x14ac:dyDescent="0.25">
      <c r="A168" s="66"/>
    </row>
    <row r="169" spans="1:1" x14ac:dyDescent="0.25">
      <c r="A169" s="66"/>
    </row>
    <row r="170" spans="1:1" x14ac:dyDescent="0.25">
      <c r="A170" s="66"/>
    </row>
    <row r="171" spans="1:1" x14ac:dyDescent="0.25">
      <c r="A171" s="66"/>
    </row>
    <row r="172" spans="1:1" x14ac:dyDescent="0.25">
      <c r="A172" s="66"/>
    </row>
    <row r="173" spans="1:1" x14ac:dyDescent="0.25">
      <c r="A173" s="66"/>
    </row>
    <row r="174" spans="1:1" x14ac:dyDescent="0.25">
      <c r="A174" s="66"/>
    </row>
    <row r="175" spans="1:1" x14ac:dyDescent="0.25">
      <c r="A175" s="66"/>
    </row>
    <row r="176" spans="1:1" x14ac:dyDescent="0.25">
      <c r="A176" s="66"/>
    </row>
    <row r="177" spans="1:1" x14ac:dyDescent="0.25">
      <c r="A177" s="66"/>
    </row>
    <row r="178" spans="1:1" x14ac:dyDescent="0.25">
      <c r="A178" s="66"/>
    </row>
    <row r="179" spans="1:1" x14ac:dyDescent="0.25">
      <c r="A179" s="66"/>
    </row>
    <row r="180" spans="1:1" x14ac:dyDescent="0.25">
      <c r="A180" s="66"/>
    </row>
    <row r="181" spans="1:1" x14ac:dyDescent="0.25">
      <c r="A181" s="66"/>
    </row>
    <row r="182" spans="1:1" x14ac:dyDescent="0.25">
      <c r="A182" s="66"/>
    </row>
    <row r="183" spans="1:1" x14ac:dyDescent="0.25">
      <c r="A183" s="66"/>
    </row>
    <row r="184" spans="1:1" x14ac:dyDescent="0.25">
      <c r="A184" s="66"/>
    </row>
    <row r="185" spans="1:1" x14ac:dyDescent="0.25">
      <c r="A185" s="66"/>
    </row>
    <row r="186" spans="1:1" x14ac:dyDescent="0.25">
      <c r="A186" s="66"/>
    </row>
    <row r="187" spans="1:1" x14ac:dyDescent="0.25">
      <c r="A187" s="66"/>
    </row>
    <row r="188" spans="1:1" x14ac:dyDescent="0.25">
      <c r="A188" s="66"/>
    </row>
    <row r="189" spans="1:1" x14ac:dyDescent="0.25">
      <c r="A189" s="66"/>
    </row>
    <row r="190" spans="1:1" x14ac:dyDescent="0.25">
      <c r="A190" s="66"/>
    </row>
    <row r="191" spans="1:1" x14ac:dyDescent="0.25">
      <c r="A191" s="66"/>
    </row>
    <row r="192" spans="1:1" x14ac:dyDescent="0.25">
      <c r="A192" s="66"/>
    </row>
    <row r="193" spans="1:1" x14ac:dyDescent="0.25">
      <c r="A193" s="66"/>
    </row>
    <row r="194" spans="1:1" x14ac:dyDescent="0.25">
      <c r="A194" s="66"/>
    </row>
    <row r="195" spans="1:1" x14ac:dyDescent="0.25">
      <c r="A195" s="66"/>
    </row>
    <row r="196" spans="1:1" x14ac:dyDescent="0.25">
      <c r="A196" s="66"/>
    </row>
    <row r="197" spans="1:1" x14ac:dyDescent="0.25">
      <c r="A197" s="66"/>
    </row>
    <row r="198" spans="1:1" x14ac:dyDescent="0.25">
      <c r="A198" s="66"/>
    </row>
    <row r="199" spans="1:1" x14ac:dyDescent="0.25">
      <c r="A199" s="66"/>
    </row>
    <row r="200" spans="1:1" x14ac:dyDescent="0.25">
      <c r="A200" s="66"/>
    </row>
    <row r="201" spans="1:1" x14ac:dyDescent="0.25">
      <c r="A201" s="66"/>
    </row>
    <row r="202" spans="1:1" x14ac:dyDescent="0.25">
      <c r="A202" s="66"/>
    </row>
    <row r="203" spans="1:1" x14ac:dyDescent="0.25">
      <c r="A203" s="66"/>
    </row>
    <row r="204" spans="1:1" x14ac:dyDescent="0.25">
      <c r="A204" s="66"/>
    </row>
    <row r="205" spans="1:1" x14ac:dyDescent="0.25">
      <c r="A205" s="66"/>
    </row>
    <row r="206" spans="1:1" x14ac:dyDescent="0.25">
      <c r="A206" s="66"/>
    </row>
    <row r="207" spans="1:1" x14ac:dyDescent="0.25">
      <c r="A207" s="66"/>
    </row>
    <row r="208" spans="1:1" x14ac:dyDescent="0.25">
      <c r="A208" s="66"/>
    </row>
    <row r="209" spans="1:1" x14ac:dyDescent="0.25">
      <c r="A209" s="66"/>
    </row>
    <row r="210" spans="1:1" x14ac:dyDescent="0.25">
      <c r="A210" s="66"/>
    </row>
    <row r="211" spans="1:1" x14ac:dyDescent="0.25">
      <c r="A211" s="66"/>
    </row>
    <row r="212" spans="1:1" x14ac:dyDescent="0.25">
      <c r="A212" s="66"/>
    </row>
    <row r="213" spans="1:1" x14ac:dyDescent="0.25">
      <c r="A213" s="66"/>
    </row>
    <row r="214" spans="1:1" x14ac:dyDescent="0.25">
      <c r="A214" s="66"/>
    </row>
    <row r="215" spans="1:1" x14ac:dyDescent="0.25">
      <c r="A215" s="66"/>
    </row>
    <row r="216" spans="1:1" x14ac:dyDescent="0.25">
      <c r="A216" s="66"/>
    </row>
    <row r="217" spans="1:1" x14ac:dyDescent="0.25">
      <c r="A217" s="66"/>
    </row>
    <row r="218" spans="1:1" x14ac:dyDescent="0.25">
      <c r="A218" s="66"/>
    </row>
    <row r="219" spans="1:1" x14ac:dyDescent="0.25">
      <c r="A219" s="66"/>
    </row>
    <row r="220" spans="1:1" x14ac:dyDescent="0.25">
      <c r="A220" s="66"/>
    </row>
    <row r="221" spans="1:1" x14ac:dyDescent="0.25">
      <c r="A221" s="66"/>
    </row>
    <row r="222" spans="1:1" x14ac:dyDescent="0.25">
      <c r="A222" s="66"/>
    </row>
    <row r="223" spans="1:1" x14ac:dyDescent="0.25">
      <c r="A223" s="66"/>
    </row>
    <row r="224" spans="1:1" x14ac:dyDescent="0.25">
      <c r="A224" s="66"/>
    </row>
    <row r="225" spans="1:1" x14ac:dyDescent="0.25">
      <c r="A225" s="66"/>
    </row>
    <row r="226" spans="1:1" x14ac:dyDescent="0.25">
      <c r="A226" s="66"/>
    </row>
    <row r="227" spans="1:1" x14ac:dyDescent="0.25">
      <c r="A227" s="66"/>
    </row>
    <row r="228" spans="1:1" x14ac:dyDescent="0.25">
      <c r="A228" s="66"/>
    </row>
    <row r="229" spans="1:1" x14ac:dyDescent="0.25">
      <c r="A229" s="66"/>
    </row>
    <row r="230" spans="1:1" x14ac:dyDescent="0.25">
      <c r="A230" s="66"/>
    </row>
    <row r="231" spans="1:1" x14ac:dyDescent="0.25">
      <c r="A231" s="66"/>
    </row>
    <row r="232" spans="1:1" x14ac:dyDescent="0.25">
      <c r="A232" s="66"/>
    </row>
    <row r="233" spans="1:1" x14ac:dyDescent="0.25">
      <c r="A233" s="66"/>
    </row>
    <row r="234" spans="1:1" x14ac:dyDescent="0.25">
      <c r="A234" s="66"/>
    </row>
    <row r="235" spans="1:1" x14ac:dyDescent="0.25">
      <c r="A235" s="66"/>
    </row>
    <row r="236" spans="1:1" x14ac:dyDescent="0.25">
      <c r="A236" s="66"/>
    </row>
    <row r="237" spans="1:1" x14ac:dyDescent="0.25">
      <c r="A237" s="66"/>
    </row>
    <row r="238" spans="1:1" x14ac:dyDescent="0.25">
      <c r="A238" s="66"/>
    </row>
    <row r="239" spans="1:1" x14ac:dyDescent="0.25">
      <c r="A239" s="66"/>
    </row>
    <row r="240" spans="1:1" x14ac:dyDescent="0.25">
      <c r="A240" s="66"/>
    </row>
    <row r="241" spans="1:1" x14ac:dyDescent="0.25">
      <c r="A241" s="66"/>
    </row>
    <row r="242" spans="1:1" x14ac:dyDescent="0.25">
      <c r="A242" s="66"/>
    </row>
    <row r="243" spans="1:1" x14ac:dyDescent="0.25">
      <c r="A243" s="66"/>
    </row>
    <row r="244" spans="1:1" x14ac:dyDescent="0.25">
      <c r="A244" s="66"/>
    </row>
    <row r="245" spans="1:1" x14ac:dyDescent="0.25">
      <c r="A245" s="66"/>
    </row>
    <row r="246" spans="1:1" x14ac:dyDescent="0.25">
      <c r="A246" s="66"/>
    </row>
    <row r="247" spans="1:1" x14ac:dyDescent="0.25">
      <c r="A247" s="66"/>
    </row>
    <row r="248" spans="1:1" x14ac:dyDescent="0.25">
      <c r="A248" s="66"/>
    </row>
    <row r="249" spans="1:1" x14ac:dyDescent="0.25">
      <c r="A249" s="66"/>
    </row>
    <row r="250" spans="1:1" x14ac:dyDescent="0.25">
      <c r="A250" s="66"/>
    </row>
    <row r="251" spans="1:1" x14ac:dyDescent="0.25">
      <c r="A251" s="66"/>
    </row>
    <row r="252" spans="1:1" x14ac:dyDescent="0.25">
      <c r="A252" s="66"/>
    </row>
    <row r="253" spans="1:1" x14ac:dyDescent="0.25">
      <c r="A253" s="66"/>
    </row>
    <row r="254" spans="1:1" x14ac:dyDescent="0.25">
      <c r="A254" s="66"/>
    </row>
    <row r="255" spans="1:1" x14ac:dyDescent="0.25">
      <c r="A255" s="66"/>
    </row>
    <row r="256" spans="1:1" x14ac:dyDescent="0.25">
      <c r="A256" s="66"/>
    </row>
    <row r="257" spans="1:1" x14ac:dyDescent="0.25">
      <c r="A257" s="66"/>
    </row>
    <row r="258" spans="1:1" x14ac:dyDescent="0.25">
      <c r="A258" s="66"/>
    </row>
    <row r="259" spans="1:1" x14ac:dyDescent="0.25">
      <c r="A259" s="66"/>
    </row>
    <row r="260" spans="1:1" x14ac:dyDescent="0.25">
      <c r="A260" s="66"/>
    </row>
    <row r="261" spans="1:1" x14ac:dyDescent="0.25">
      <c r="A261" s="66"/>
    </row>
    <row r="262" spans="1:1" x14ac:dyDescent="0.25">
      <c r="A262" s="66"/>
    </row>
    <row r="263" spans="1:1" x14ac:dyDescent="0.25">
      <c r="A263" s="66"/>
    </row>
    <row r="264" spans="1:1" x14ac:dyDescent="0.25">
      <c r="A264" s="66"/>
    </row>
    <row r="265" spans="1:1" x14ac:dyDescent="0.25">
      <c r="A265" s="66"/>
    </row>
    <row r="266" spans="1:1" x14ac:dyDescent="0.25">
      <c r="A266" s="66"/>
    </row>
    <row r="267" spans="1:1" x14ac:dyDescent="0.25">
      <c r="A267" s="66"/>
    </row>
    <row r="268" spans="1:1" x14ac:dyDescent="0.25">
      <c r="A268" s="66"/>
    </row>
    <row r="269" spans="1:1" x14ac:dyDescent="0.25">
      <c r="A269" s="66"/>
    </row>
    <row r="270" spans="1:1" x14ac:dyDescent="0.25">
      <c r="A270" s="66"/>
    </row>
    <row r="271" spans="1:1" x14ac:dyDescent="0.25">
      <c r="A271" s="66"/>
    </row>
    <row r="272" spans="1:1" x14ac:dyDescent="0.25">
      <c r="A272" s="66"/>
    </row>
    <row r="273" spans="1:1" x14ac:dyDescent="0.25">
      <c r="A273" s="66"/>
    </row>
    <row r="274" spans="1:1" x14ac:dyDescent="0.25">
      <c r="A274" s="66"/>
    </row>
    <row r="275" spans="1:1" x14ac:dyDescent="0.25">
      <c r="A275" s="66"/>
    </row>
    <row r="276" spans="1:1" x14ac:dyDescent="0.25">
      <c r="A276" s="66"/>
    </row>
    <row r="277" spans="1:1" x14ac:dyDescent="0.25">
      <c r="A277" s="66"/>
    </row>
    <row r="278" spans="1:1" x14ac:dyDescent="0.25">
      <c r="A278" s="66"/>
    </row>
    <row r="279" spans="1:1" x14ac:dyDescent="0.25">
      <c r="A279" s="66"/>
    </row>
    <row r="280" spans="1:1" x14ac:dyDescent="0.25">
      <c r="A280" s="66"/>
    </row>
    <row r="281" spans="1:1" x14ac:dyDescent="0.25">
      <c r="A281" s="66"/>
    </row>
    <row r="282" spans="1:1" x14ac:dyDescent="0.25">
      <c r="A282" s="66"/>
    </row>
    <row r="283" spans="1:1" x14ac:dyDescent="0.25">
      <c r="A283" s="66"/>
    </row>
    <row r="284" spans="1:1" x14ac:dyDescent="0.25">
      <c r="A284" s="66"/>
    </row>
    <row r="285" spans="1:1" x14ac:dyDescent="0.25">
      <c r="A285" s="66"/>
    </row>
    <row r="286" spans="1:1" x14ac:dyDescent="0.25">
      <c r="A286" s="66"/>
    </row>
    <row r="287" spans="1:1" x14ac:dyDescent="0.25">
      <c r="A287" s="66"/>
    </row>
    <row r="288" spans="1:1" x14ac:dyDescent="0.25">
      <c r="A288" s="66"/>
    </row>
    <row r="289" spans="1:1" x14ac:dyDescent="0.25">
      <c r="A289" s="66"/>
    </row>
    <row r="290" spans="1:1" x14ac:dyDescent="0.25">
      <c r="A290" s="66"/>
    </row>
    <row r="291" spans="1:1" x14ac:dyDescent="0.25">
      <c r="A291" s="66"/>
    </row>
    <row r="292" spans="1:1" x14ac:dyDescent="0.25">
      <c r="A292" s="66"/>
    </row>
    <row r="293" spans="1:1" x14ac:dyDescent="0.25">
      <c r="A293" s="66"/>
    </row>
    <row r="294" spans="1:1" x14ac:dyDescent="0.25">
      <c r="A294" s="66"/>
    </row>
    <row r="295" spans="1:1" x14ac:dyDescent="0.25">
      <c r="A295" s="66"/>
    </row>
    <row r="296" spans="1:1" x14ac:dyDescent="0.25">
      <c r="A296" s="66"/>
    </row>
    <row r="297" spans="1:1" x14ac:dyDescent="0.25">
      <c r="A297" s="66"/>
    </row>
    <row r="298" spans="1:1" x14ac:dyDescent="0.25">
      <c r="A298" s="66"/>
    </row>
    <row r="299" spans="1:1" x14ac:dyDescent="0.25">
      <c r="A299" s="66"/>
    </row>
    <row r="300" spans="1:1" x14ac:dyDescent="0.25">
      <c r="A300" s="66"/>
    </row>
    <row r="301" spans="1:1" x14ac:dyDescent="0.25">
      <c r="A301" s="66"/>
    </row>
    <row r="302" spans="1:1" x14ac:dyDescent="0.25">
      <c r="A302" s="66"/>
    </row>
    <row r="303" spans="1:1" x14ac:dyDescent="0.25">
      <c r="A303" s="66"/>
    </row>
    <row r="304" spans="1:1" x14ac:dyDescent="0.25">
      <c r="A304" s="66"/>
    </row>
    <row r="305" spans="1:1" x14ac:dyDescent="0.25">
      <c r="A305" s="66"/>
    </row>
    <row r="306" spans="1:1" x14ac:dyDescent="0.25">
      <c r="A306" s="66"/>
    </row>
    <row r="307" spans="1:1" x14ac:dyDescent="0.25">
      <c r="A307" s="66"/>
    </row>
    <row r="308" spans="1:1" x14ac:dyDescent="0.25">
      <c r="A308" s="66"/>
    </row>
    <row r="309" spans="1:1" x14ac:dyDescent="0.25">
      <c r="A309" s="66"/>
    </row>
    <row r="310" spans="1:1" x14ac:dyDescent="0.25">
      <c r="A310" s="66"/>
    </row>
    <row r="311" spans="1:1" x14ac:dyDescent="0.25">
      <c r="A311" s="66"/>
    </row>
    <row r="312" spans="1:1" x14ac:dyDescent="0.25">
      <c r="A312" s="66"/>
    </row>
    <row r="313" spans="1:1" x14ac:dyDescent="0.25">
      <c r="A313" s="66"/>
    </row>
    <row r="314" spans="1:1" x14ac:dyDescent="0.25">
      <c r="A314" s="66"/>
    </row>
    <row r="315" spans="1:1" x14ac:dyDescent="0.25">
      <c r="A315" s="66"/>
    </row>
    <row r="316" spans="1:1" x14ac:dyDescent="0.25">
      <c r="A316" s="66"/>
    </row>
    <row r="317" spans="1:1" x14ac:dyDescent="0.25">
      <c r="A317" s="66"/>
    </row>
    <row r="318" spans="1:1" x14ac:dyDescent="0.25">
      <c r="A318" s="66"/>
    </row>
    <row r="319" spans="1:1" x14ac:dyDescent="0.25">
      <c r="A319" s="66"/>
    </row>
    <row r="320" spans="1:1" x14ac:dyDescent="0.25">
      <c r="A320" s="66"/>
    </row>
    <row r="321" spans="1:1" x14ac:dyDescent="0.25">
      <c r="A321" s="66"/>
    </row>
    <row r="322" spans="1:1" x14ac:dyDescent="0.25">
      <c r="A322" s="66"/>
    </row>
    <row r="323" spans="1:1" x14ac:dyDescent="0.25">
      <c r="A323" s="66"/>
    </row>
    <row r="324" spans="1:1" x14ac:dyDescent="0.25">
      <c r="A324" s="66"/>
    </row>
    <row r="325" spans="1:1" x14ac:dyDescent="0.25">
      <c r="A325" s="66"/>
    </row>
    <row r="326" spans="1:1" x14ac:dyDescent="0.25">
      <c r="A326" s="66"/>
    </row>
    <row r="327" spans="1:1" x14ac:dyDescent="0.25">
      <c r="A327" s="66"/>
    </row>
    <row r="328" spans="1:1" x14ac:dyDescent="0.25">
      <c r="A328" s="66"/>
    </row>
    <row r="329" spans="1:1" x14ac:dyDescent="0.25">
      <c r="A329" s="66"/>
    </row>
    <row r="330" spans="1:1" x14ac:dyDescent="0.25">
      <c r="A330" s="66"/>
    </row>
    <row r="331" spans="1:1" x14ac:dyDescent="0.25">
      <c r="A331" s="66"/>
    </row>
    <row r="332" spans="1:1" x14ac:dyDescent="0.25">
      <c r="A332" s="66"/>
    </row>
    <row r="333" spans="1:1" x14ac:dyDescent="0.25">
      <c r="A333" s="66"/>
    </row>
    <row r="334" spans="1:1" x14ac:dyDescent="0.25">
      <c r="A334" s="66"/>
    </row>
    <row r="335" spans="1:1" x14ac:dyDescent="0.25">
      <c r="A335" s="66"/>
    </row>
    <row r="336" spans="1:1" x14ac:dyDescent="0.25">
      <c r="A336" s="66"/>
    </row>
    <row r="337" spans="1:1" x14ac:dyDescent="0.25">
      <c r="A337" s="66"/>
    </row>
    <row r="338" spans="1:1" x14ac:dyDescent="0.25">
      <c r="A338" s="66"/>
    </row>
    <row r="339" spans="1:1" x14ac:dyDescent="0.25">
      <c r="A339" s="66"/>
    </row>
    <row r="340" spans="1:1" x14ac:dyDescent="0.25">
      <c r="A340" s="66"/>
    </row>
    <row r="341" spans="1:1" x14ac:dyDescent="0.25">
      <c r="A341" s="66"/>
    </row>
    <row r="342" spans="1:1" x14ac:dyDescent="0.25">
      <c r="A342" s="66"/>
    </row>
    <row r="343" spans="1:1" x14ac:dyDescent="0.25">
      <c r="A343" s="66"/>
    </row>
    <row r="344" spans="1:1" x14ac:dyDescent="0.25">
      <c r="A344" s="66"/>
    </row>
    <row r="345" spans="1:1" x14ac:dyDescent="0.25">
      <c r="A345" s="66"/>
    </row>
    <row r="346" spans="1:1" x14ac:dyDescent="0.25">
      <c r="A346" s="66"/>
    </row>
    <row r="347" spans="1:1" x14ac:dyDescent="0.25">
      <c r="A347" s="66"/>
    </row>
    <row r="348" spans="1:1" x14ac:dyDescent="0.25">
      <c r="A348" s="66"/>
    </row>
    <row r="349" spans="1:1" x14ac:dyDescent="0.25">
      <c r="A349" s="66"/>
    </row>
    <row r="350" spans="1:1" x14ac:dyDescent="0.25">
      <c r="A350" s="66"/>
    </row>
    <row r="351" spans="1:1" x14ac:dyDescent="0.25">
      <c r="A351" s="66"/>
    </row>
    <row r="352" spans="1:1" x14ac:dyDescent="0.25">
      <c r="A352" s="66"/>
    </row>
    <row r="353" spans="1:1" x14ac:dyDescent="0.25">
      <c r="A353" s="66"/>
    </row>
    <row r="354" spans="1:1" x14ac:dyDescent="0.25">
      <c r="A354" s="66"/>
    </row>
    <row r="355" spans="1:1" x14ac:dyDescent="0.25">
      <c r="A355" s="66"/>
    </row>
    <row r="356" spans="1:1" x14ac:dyDescent="0.25">
      <c r="A356" s="66"/>
    </row>
    <row r="357" spans="1:1" x14ac:dyDescent="0.25">
      <c r="A357" s="66"/>
    </row>
    <row r="358" spans="1:1" x14ac:dyDescent="0.25">
      <c r="A358" s="66"/>
    </row>
    <row r="359" spans="1:1" x14ac:dyDescent="0.25">
      <c r="A359" s="66"/>
    </row>
    <row r="360" spans="1:1" x14ac:dyDescent="0.25">
      <c r="A360" s="66"/>
    </row>
    <row r="361" spans="1:1" x14ac:dyDescent="0.25">
      <c r="A361" s="66"/>
    </row>
    <row r="362" spans="1:1" x14ac:dyDescent="0.25">
      <c r="A362" s="66"/>
    </row>
    <row r="363" spans="1:1" x14ac:dyDescent="0.25">
      <c r="A363" s="66"/>
    </row>
    <row r="364" spans="1:1" x14ac:dyDescent="0.25">
      <c r="A364" s="66"/>
    </row>
    <row r="365" spans="1:1" x14ac:dyDescent="0.25">
      <c r="A365" s="66"/>
    </row>
    <row r="366" spans="1:1" x14ac:dyDescent="0.25">
      <c r="A366" s="66"/>
    </row>
    <row r="367" spans="1:1" x14ac:dyDescent="0.25">
      <c r="A367" s="66"/>
    </row>
    <row r="368" spans="1:1" x14ac:dyDescent="0.25">
      <c r="A368" s="66"/>
    </row>
    <row r="369" spans="1:1" x14ac:dyDescent="0.25">
      <c r="A369" s="66"/>
    </row>
    <row r="370" spans="1:1" x14ac:dyDescent="0.25">
      <c r="A370" s="66"/>
    </row>
    <row r="371" spans="1:1" x14ac:dyDescent="0.25">
      <c r="A371" s="66"/>
    </row>
    <row r="372" spans="1:1" x14ac:dyDescent="0.25">
      <c r="A372" s="66"/>
    </row>
    <row r="373" spans="1:1" x14ac:dyDescent="0.25">
      <c r="A373" s="66"/>
    </row>
    <row r="374" spans="1:1" x14ac:dyDescent="0.25">
      <c r="A374" s="66"/>
    </row>
    <row r="375" spans="1:1" x14ac:dyDescent="0.25">
      <c r="A375" s="66"/>
    </row>
    <row r="376" spans="1:1" x14ac:dyDescent="0.25">
      <c r="A376" s="66"/>
    </row>
    <row r="377" spans="1:1" x14ac:dyDescent="0.25">
      <c r="A377" s="66"/>
    </row>
    <row r="378" spans="1:1" x14ac:dyDescent="0.25">
      <c r="A378" s="66"/>
    </row>
    <row r="379" spans="1:1" x14ac:dyDescent="0.25">
      <c r="A379" s="66"/>
    </row>
    <row r="380" spans="1:1" x14ac:dyDescent="0.25">
      <c r="A380" s="66"/>
    </row>
    <row r="381" spans="1:1" x14ac:dyDescent="0.25">
      <c r="A381" s="66"/>
    </row>
    <row r="382" spans="1:1" x14ac:dyDescent="0.25">
      <c r="A382" s="66"/>
    </row>
    <row r="383" spans="1:1" x14ac:dyDescent="0.25">
      <c r="A383" s="66"/>
    </row>
    <row r="384" spans="1:1" x14ac:dyDescent="0.25">
      <c r="A384" s="66"/>
    </row>
    <row r="385" spans="1:1" x14ac:dyDescent="0.25">
      <c r="A385" s="66"/>
    </row>
    <row r="386" spans="1:1" x14ac:dyDescent="0.25">
      <c r="A386" s="66"/>
    </row>
    <row r="387" spans="1:1" x14ac:dyDescent="0.25">
      <c r="A387" s="66"/>
    </row>
    <row r="388" spans="1:1" x14ac:dyDescent="0.25">
      <c r="A388" s="66"/>
    </row>
    <row r="389" spans="1:1" x14ac:dyDescent="0.25">
      <c r="A389" s="66"/>
    </row>
    <row r="390" spans="1:1" x14ac:dyDescent="0.25">
      <c r="A390" s="66"/>
    </row>
    <row r="391" spans="1:1" x14ac:dyDescent="0.25">
      <c r="A391" s="66"/>
    </row>
    <row r="392" spans="1:1" x14ac:dyDescent="0.25">
      <c r="A392" s="66"/>
    </row>
    <row r="393" spans="1:1" x14ac:dyDescent="0.25">
      <c r="A393" s="66"/>
    </row>
    <row r="394" spans="1:1" x14ac:dyDescent="0.25">
      <c r="A394" s="66"/>
    </row>
    <row r="395" spans="1:1" x14ac:dyDescent="0.25">
      <c r="A395" s="66"/>
    </row>
    <row r="396" spans="1:1" x14ac:dyDescent="0.25">
      <c r="A396" s="66"/>
    </row>
    <row r="397" spans="1:1" x14ac:dyDescent="0.25">
      <c r="A397" s="66"/>
    </row>
    <row r="398" spans="1:1" x14ac:dyDescent="0.25">
      <c r="A398" s="66"/>
    </row>
    <row r="399" spans="1:1" x14ac:dyDescent="0.25">
      <c r="A399" s="66"/>
    </row>
    <row r="400" spans="1:1" x14ac:dyDescent="0.25">
      <c r="A400" s="66"/>
    </row>
    <row r="401" spans="1:1" x14ac:dyDescent="0.25">
      <c r="A401" s="66"/>
    </row>
    <row r="402" spans="1:1" x14ac:dyDescent="0.25">
      <c r="A402" s="66"/>
    </row>
    <row r="403" spans="1:1" x14ac:dyDescent="0.25">
      <c r="A403" s="66"/>
    </row>
    <row r="404" spans="1:1" x14ac:dyDescent="0.25">
      <c r="A404" s="66"/>
    </row>
    <row r="405" spans="1:1" x14ac:dyDescent="0.25">
      <c r="A405" s="66"/>
    </row>
    <row r="406" spans="1:1" x14ac:dyDescent="0.25">
      <c r="A406" s="66"/>
    </row>
    <row r="407" spans="1:1" x14ac:dyDescent="0.25">
      <c r="A407" s="66"/>
    </row>
    <row r="408" spans="1:1" x14ac:dyDescent="0.25">
      <c r="A408" s="66"/>
    </row>
    <row r="409" spans="1:1" x14ac:dyDescent="0.25">
      <c r="A409" s="66"/>
    </row>
    <row r="410" spans="1:1" x14ac:dyDescent="0.25">
      <c r="A410" s="66"/>
    </row>
    <row r="411" spans="1:1" x14ac:dyDescent="0.25">
      <c r="A411" s="66"/>
    </row>
    <row r="412" spans="1:1" x14ac:dyDescent="0.25">
      <c r="A412" s="66"/>
    </row>
    <row r="413" spans="1:1" x14ac:dyDescent="0.25">
      <c r="A413" s="66"/>
    </row>
    <row r="414" spans="1:1" x14ac:dyDescent="0.25">
      <c r="A414" s="66"/>
    </row>
    <row r="415" spans="1:1" x14ac:dyDescent="0.25">
      <c r="A415" s="66"/>
    </row>
    <row r="416" spans="1:1" x14ac:dyDescent="0.25">
      <c r="A416" s="66"/>
    </row>
    <row r="417" spans="1:1" x14ac:dyDescent="0.25">
      <c r="A417" s="66"/>
    </row>
    <row r="418" spans="1:1" x14ac:dyDescent="0.25">
      <c r="A418" s="66"/>
    </row>
    <row r="419" spans="1:1" x14ac:dyDescent="0.25">
      <c r="A419" s="66"/>
    </row>
    <row r="420" spans="1:1" x14ac:dyDescent="0.25">
      <c r="A420" s="66"/>
    </row>
    <row r="421" spans="1:1" x14ac:dyDescent="0.25">
      <c r="A421" s="66"/>
    </row>
    <row r="422" spans="1:1" x14ac:dyDescent="0.25">
      <c r="A422" s="66"/>
    </row>
    <row r="423" spans="1:1" x14ac:dyDescent="0.25">
      <c r="A423" s="66"/>
    </row>
    <row r="424" spans="1:1" x14ac:dyDescent="0.25">
      <c r="A424" s="66"/>
    </row>
    <row r="425" spans="1:1" x14ac:dyDescent="0.25">
      <c r="A425" s="66"/>
    </row>
    <row r="426" spans="1:1" x14ac:dyDescent="0.25">
      <c r="A426" s="66"/>
    </row>
    <row r="427" spans="1:1" x14ac:dyDescent="0.25">
      <c r="A427" s="66"/>
    </row>
    <row r="428" spans="1:1" x14ac:dyDescent="0.25">
      <c r="A428" s="66"/>
    </row>
    <row r="429" spans="1:1" x14ac:dyDescent="0.25">
      <c r="A429" s="66"/>
    </row>
    <row r="430" spans="1:1" x14ac:dyDescent="0.25">
      <c r="A430" s="66"/>
    </row>
    <row r="431" spans="1:1" x14ac:dyDescent="0.25">
      <c r="A431" s="66"/>
    </row>
    <row r="432" spans="1:1" x14ac:dyDescent="0.25">
      <c r="A432" s="66"/>
    </row>
    <row r="433" spans="1:1" x14ac:dyDescent="0.25">
      <c r="A433" s="66"/>
    </row>
    <row r="434" spans="1:1" x14ac:dyDescent="0.25">
      <c r="A434" s="66"/>
    </row>
    <row r="435" spans="1:1" x14ac:dyDescent="0.25">
      <c r="A435" s="66"/>
    </row>
    <row r="436" spans="1:1" x14ac:dyDescent="0.25">
      <c r="A436" s="66"/>
    </row>
    <row r="437" spans="1:1" x14ac:dyDescent="0.25">
      <c r="A437" s="66"/>
    </row>
    <row r="438" spans="1:1" x14ac:dyDescent="0.25">
      <c r="A438" s="66"/>
    </row>
    <row r="439" spans="1:1" x14ac:dyDescent="0.25">
      <c r="A439" s="66"/>
    </row>
    <row r="440" spans="1:1" x14ac:dyDescent="0.25">
      <c r="A440" s="66"/>
    </row>
    <row r="441" spans="1:1" x14ac:dyDescent="0.25">
      <c r="A441" s="66"/>
    </row>
    <row r="442" spans="1:1" x14ac:dyDescent="0.25">
      <c r="A442" s="66"/>
    </row>
    <row r="443" spans="1:1" x14ac:dyDescent="0.25">
      <c r="A443" s="66"/>
    </row>
    <row r="444" spans="1:1" x14ac:dyDescent="0.25">
      <c r="A444" s="66"/>
    </row>
    <row r="445" spans="1:1" x14ac:dyDescent="0.25">
      <c r="A445" s="66"/>
    </row>
    <row r="446" spans="1:1" x14ac:dyDescent="0.25">
      <c r="A446" s="66"/>
    </row>
    <row r="447" spans="1:1" x14ac:dyDescent="0.25">
      <c r="A447" s="66"/>
    </row>
    <row r="448" spans="1:1" x14ac:dyDescent="0.25">
      <c r="A448" s="66"/>
    </row>
    <row r="449" spans="1:1" x14ac:dyDescent="0.25">
      <c r="A449" s="66"/>
    </row>
    <row r="450" spans="1:1" x14ac:dyDescent="0.25">
      <c r="A450" s="66"/>
    </row>
    <row r="451" spans="1:1" x14ac:dyDescent="0.25">
      <c r="A451" s="66"/>
    </row>
    <row r="452" spans="1:1" x14ac:dyDescent="0.25">
      <c r="A452" s="66"/>
    </row>
    <row r="453" spans="1:1" x14ac:dyDescent="0.25">
      <c r="A453" s="66"/>
    </row>
    <row r="454" spans="1:1" x14ac:dyDescent="0.25">
      <c r="A454" s="66"/>
    </row>
    <row r="455" spans="1:1" x14ac:dyDescent="0.25">
      <c r="A455" s="66"/>
    </row>
    <row r="456" spans="1:1" x14ac:dyDescent="0.25">
      <c r="A456" s="66"/>
    </row>
    <row r="457" spans="1:1" x14ac:dyDescent="0.25">
      <c r="A457" s="66"/>
    </row>
    <row r="458" spans="1:1" x14ac:dyDescent="0.25">
      <c r="A458" s="66"/>
    </row>
    <row r="459" spans="1:1" x14ac:dyDescent="0.25">
      <c r="A459" s="66"/>
    </row>
    <row r="460" spans="1:1" x14ac:dyDescent="0.25">
      <c r="A460" s="66"/>
    </row>
    <row r="461" spans="1:1" x14ac:dyDescent="0.25">
      <c r="A461" s="66"/>
    </row>
    <row r="462" spans="1:1" x14ac:dyDescent="0.25">
      <c r="A462" s="66"/>
    </row>
    <row r="463" spans="1:1" x14ac:dyDescent="0.25">
      <c r="A463" s="66"/>
    </row>
    <row r="464" spans="1:1" x14ac:dyDescent="0.25">
      <c r="A464" s="66"/>
    </row>
    <row r="465" spans="1:1" x14ac:dyDescent="0.25">
      <c r="A465" s="66"/>
    </row>
    <row r="466" spans="1:1" x14ac:dyDescent="0.25">
      <c r="A466" s="66"/>
    </row>
    <row r="467" spans="1:1" x14ac:dyDescent="0.25">
      <c r="A467" s="66"/>
    </row>
    <row r="468" spans="1:1" x14ac:dyDescent="0.25">
      <c r="A468" s="66"/>
    </row>
    <row r="469" spans="1:1" x14ac:dyDescent="0.25">
      <c r="A469" s="66"/>
    </row>
    <row r="470" spans="1:1" x14ac:dyDescent="0.25">
      <c r="A470" s="66"/>
    </row>
    <row r="471" spans="1:1" x14ac:dyDescent="0.25">
      <c r="A471" s="66"/>
    </row>
    <row r="472" spans="1:1" x14ac:dyDescent="0.25">
      <c r="A472" s="66"/>
    </row>
    <row r="473" spans="1:1" x14ac:dyDescent="0.25">
      <c r="A473" s="66"/>
    </row>
    <row r="474" spans="1:1" x14ac:dyDescent="0.25">
      <c r="A474" s="66"/>
    </row>
    <row r="475" spans="1:1" x14ac:dyDescent="0.25">
      <c r="A475" s="66"/>
    </row>
    <row r="476" spans="1:1" x14ac:dyDescent="0.25">
      <c r="A476" s="66"/>
    </row>
    <row r="477" spans="1:1" x14ac:dyDescent="0.25">
      <c r="A477" s="66"/>
    </row>
    <row r="478" spans="1:1" x14ac:dyDescent="0.25">
      <c r="A478" s="66"/>
    </row>
    <row r="479" spans="1:1" x14ac:dyDescent="0.25">
      <c r="A479" s="66"/>
    </row>
    <row r="480" spans="1:1" x14ac:dyDescent="0.25">
      <c r="A480" s="66"/>
    </row>
    <row r="481" spans="1:1" x14ac:dyDescent="0.25">
      <c r="A481" s="66"/>
    </row>
    <row r="482" spans="1:1" x14ac:dyDescent="0.25">
      <c r="A482" s="66"/>
    </row>
    <row r="483" spans="1:1" x14ac:dyDescent="0.25">
      <c r="A483" s="66"/>
    </row>
    <row r="484" spans="1:1" x14ac:dyDescent="0.25">
      <c r="A484" s="66"/>
    </row>
    <row r="485" spans="1:1" x14ac:dyDescent="0.25">
      <c r="A485" s="66"/>
    </row>
    <row r="486" spans="1:1" x14ac:dyDescent="0.25">
      <c r="A486" s="66"/>
    </row>
    <row r="487" spans="1:1" x14ac:dyDescent="0.25">
      <c r="A487" s="66"/>
    </row>
    <row r="488" spans="1:1" x14ac:dyDescent="0.25">
      <c r="A488" s="66"/>
    </row>
    <row r="489" spans="1:1" x14ac:dyDescent="0.25">
      <c r="A489" s="66"/>
    </row>
    <row r="490" spans="1:1" x14ac:dyDescent="0.25">
      <c r="A490" s="66"/>
    </row>
    <row r="491" spans="1:1" x14ac:dyDescent="0.25">
      <c r="A491" s="66"/>
    </row>
    <row r="492" spans="1:1" x14ac:dyDescent="0.25">
      <c r="A492" s="66"/>
    </row>
    <row r="493" spans="1:1" x14ac:dyDescent="0.25">
      <c r="A493" s="66"/>
    </row>
    <row r="494" spans="1:1" x14ac:dyDescent="0.25">
      <c r="A494" s="66"/>
    </row>
    <row r="495" spans="1:1" x14ac:dyDescent="0.25">
      <c r="A495" s="66"/>
    </row>
    <row r="496" spans="1:1" x14ac:dyDescent="0.25">
      <c r="A496" s="66"/>
    </row>
    <row r="497" spans="1:1" x14ac:dyDescent="0.25">
      <c r="A497" s="66"/>
    </row>
    <row r="498" spans="1:1" x14ac:dyDescent="0.25">
      <c r="A498" s="66"/>
    </row>
    <row r="499" spans="1:1" x14ac:dyDescent="0.25">
      <c r="A499" s="66"/>
    </row>
    <row r="500" spans="1:1" x14ac:dyDescent="0.25">
      <c r="A500" s="66"/>
    </row>
    <row r="501" spans="1:1" x14ac:dyDescent="0.25">
      <c r="A501" s="66"/>
    </row>
    <row r="502" spans="1:1" x14ac:dyDescent="0.25">
      <c r="A502" s="66"/>
    </row>
    <row r="503" spans="1:1" x14ac:dyDescent="0.25">
      <c r="A503" s="66"/>
    </row>
    <row r="504" spans="1:1" x14ac:dyDescent="0.25">
      <c r="A504" s="66"/>
    </row>
    <row r="505" spans="1:1" x14ac:dyDescent="0.25">
      <c r="A505" s="66"/>
    </row>
    <row r="506" spans="1:1" x14ac:dyDescent="0.25">
      <c r="A506" s="66"/>
    </row>
    <row r="507" spans="1:1" x14ac:dyDescent="0.25">
      <c r="A507" s="66"/>
    </row>
    <row r="508" spans="1:1" x14ac:dyDescent="0.25">
      <c r="A508" s="66"/>
    </row>
    <row r="509" spans="1:1" x14ac:dyDescent="0.25">
      <c r="A509" s="66"/>
    </row>
    <row r="510" spans="1:1" x14ac:dyDescent="0.25">
      <c r="A510" s="66"/>
    </row>
    <row r="511" spans="1:1" x14ac:dyDescent="0.25">
      <c r="A511" s="66"/>
    </row>
    <row r="512" spans="1:1" x14ac:dyDescent="0.25">
      <c r="A512" s="66"/>
    </row>
    <row r="513" spans="1:1" x14ac:dyDescent="0.25">
      <c r="A513" s="66"/>
    </row>
    <row r="514" spans="1:1" x14ac:dyDescent="0.25">
      <c r="A514" s="66"/>
    </row>
    <row r="515" spans="1:1" x14ac:dyDescent="0.25">
      <c r="A515" s="66"/>
    </row>
    <row r="516" spans="1:1" x14ac:dyDescent="0.25">
      <c r="A516" s="66"/>
    </row>
    <row r="517" spans="1:1" x14ac:dyDescent="0.25">
      <c r="A517" s="66"/>
    </row>
    <row r="518" spans="1:1" x14ac:dyDescent="0.25">
      <c r="A518" s="66"/>
    </row>
    <row r="519" spans="1:1" x14ac:dyDescent="0.25">
      <c r="A519" s="66"/>
    </row>
    <row r="520" spans="1:1" x14ac:dyDescent="0.25">
      <c r="A520" s="66"/>
    </row>
    <row r="521" spans="1:1" x14ac:dyDescent="0.25">
      <c r="A521" s="66"/>
    </row>
    <row r="522" spans="1:1" x14ac:dyDescent="0.25">
      <c r="A522" s="66"/>
    </row>
    <row r="523" spans="1:1" x14ac:dyDescent="0.25">
      <c r="A523" s="66"/>
    </row>
    <row r="524" spans="1:1" x14ac:dyDescent="0.25">
      <c r="A524" s="66"/>
    </row>
    <row r="525" spans="1:1" x14ac:dyDescent="0.25">
      <c r="A525" s="66"/>
    </row>
    <row r="526" spans="1:1" x14ac:dyDescent="0.25">
      <c r="A526" s="66"/>
    </row>
    <row r="527" spans="1:1" x14ac:dyDescent="0.25">
      <c r="A527" s="66"/>
    </row>
    <row r="528" spans="1:1" x14ac:dyDescent="0.25">
      <c r="A528" s="66"/>
    </row>
    <row r="529" spans="1:1" x14ac:dyDescent="0.25">
      <c r="A529" s="66"/>
    </row>
    <row r="530" spans="1:1" x14ac:dyDescent="0.25">
      <c r="A530" s="66"/>
    </row>
    <row r="531" spans="1:1" x14ac:dyDescent="0.25">
      <c r="A531" s="66"/>
    </row>
    <row r="532" spans="1:1" x14ac:dyDescent="0.25">
      <c r="A532" s="66"/>
    </row>
    <row r="533" spans="1:1" x14ac:dyDescent="0.25">
      <c r="A533" s="66"/>
    </row>
    <row r="534" spans="1:1" x14ac:dyDescent="0.25">
      <c r="A534" s="66"/>
    </row>
    <row r="535" spans="1:1" x14ac:dyDescent="0.25">
      <c r="A535" s="66"/>
    </row>
    <row r="536" spans="1:1" x14ac:dyDescent="0.25">
      <c r="A536" s="66"/>
    </row>
    <row r="537" spans="1:1" x14ac:dyDescent="0.25">
      <c r="A537" s="66"/>
    </row>
    <row r="538" spans="1:1" x14ac:dyDescent="0.25">
      <c r="A538" s="66"/>
    </row>
    <row r="539" spans="1:1" x14ac:dyDescent="0.25">
      <c r="A539" s="66"/>
    </row>
    <row r="540" spans="1:1" x14ac:dyDescent="0.25">
      <c r="A540" s="66"/>
    </row>
    <row r="541" spans="1:1" x14ac:dyDescent="0.25">
      <c r="A541" s="66"/>
    </row>
    <row r="542" spans="1:1" x14ac:dyDescent="0.25">
      <c r="A542" s="66"/>
    </row>
    <row r="543" spans="1:1" x14ac:dyDescent="0.25">
      <c r="A543" s="66"/>
    </row>
    <row r="544" spans="1:1" x14ac:dyDescent="0.25">
      <c r="A544" s="66"/>
    </row>
    <row r="545" spans="1:1" x14ac:dyDescent="0.25">
      <c r="A545" s="66"/>
    </row>
    <row r="546" spans="1:1" x14ac:dyDescent="0.25">
      <c r="A546" s="66"/>
    </row>
    <row r="547" spans="1:1" x14ac:dyDescent="0.25">
      <c r="A547" s="66"/>
    </row>
    <row r="548" spans="1:1" x14ac:dyDescent="0.25">
      <c r="A548" s="66"/>
    </row>
    <row r="549" spans="1:1" x14ac:dyDescent="0.25">
      <c r="A549" s="66"/>
    </row>
    <row r="550" spans="1:1" x14ac:dyDescent="0.25">
      <c r="A550" s="66"/>
    </row>
    <row r="551" spans="1:1" x14ac:dyDescent="0.25">
      <c r="A551" s="66"/>
    </row>
    <row r="552" spans="1:1" x14ac:dyDescent="0.25">
      <c r="A552" s="66"/>
    </row>
    <row r="553" spans="1:1" x14ac:dyDescent="0.25">
      <c r="A553" s="66"/>
    </row>
    <row r="554" spans="1:1" x14ac:dyDescent="0.25">
      <c r="A554" s="66"/>
    </row>
    <row r="555" spans="1:1" x14ac:dyDescent="0.25">
      <c r="A555" s="66"/>
    </row>
    <row r="556" spans="1:1" x14ac:dyDescent="0.25">
      <c r="A556" s="66"/>
    </row>
    <row r="557" spans="1:1" x14ac:dyDescent="0.25">
      <c r="A557" s="66"/>
    </row>
    <row r="558" spans="1:1" x14ac:dyDescent="0.25">
      <c r="A558" s="66"/>
    </row>
    <row r="559" spans="1:1" x14ac:dyDescent="0.25">
      <c r="A559" s="66"/>
    </row>
    <row r="560" spans="1:1" x14ac:dyDescent="0.25">
      <c r="A560" s="66"/>
    </row>
    <row r="561" spans="1:1" x14ac:dyDescent="0.25">
      <c r="A561" s="66"/>
    </row>
    <row r="562" spans="1:1" x14ac:dyDescent="0.25">
      <c r="A562" s="66"/>
    </row>
    <row r="563" spans="1:1" x14ac:dyDescent="0.25">
      <c r="A563" s="66"/>
    </row>
    <row r="564" spans="1:1" x14ac:dyDescent="0.25">
      <c r="A564" s="66"/>
    </row>
    <row r="565" spans="1:1" x14ac:dyDescent="0.25">
      <c r="A565" s="66"/>
    </row>
    <row r="566" spans="1:1" x14ac:dyDescent="0.25">
      <c r="A566" s="66"/>
    </row>
    <row r="567" spans="1:1" x14ac:dyDescent="0.25">
      <c r="A567" s="66"/>
    </row>
    <row r="568" spans="1:1" x14ac:dyDescent="0.25">
      <c r="A568" s="66"/>
    </row>
    <row r="569" spans="1:1" x14ac:dyDescent="0.25">
      <c r="A569" s="66"/>
    </row>
    <row r="570" spans="1:1" x14ac:dyDescent="0.25">
      <c r="A570" s="66"/>
    </row>
    <row r="571" spans="1:1" x14ac:dyDescent="0.25">
      <c r="A571" s="66"/>
    </row>
    <row r="572" spans="1:1" x14ac:dyDescent="0.25">
      <c r="A572" s="66"/>
    </row>
    <row r="573" spans="1:1" x14ac:dyDescent="0.25">
      <c r="A573" s="66"/>
    </row>
    <row r="574" spans="1:1" x14ac:dyDescent="0.25">
      <c r="A574" s="66"/>
    </row>
    <row r="575" spans="1:1" x14ac:dyDescent="0.25">
      <c r="A575" s="66"/>
    </row>
    <row r="576" spans="1:1" x14ac:dyDescent="0.25">
      <c r="A576" s="66"/>
    </row>
    <row r="577" spans="1:1" x14ac:dyDescent="0.25">
      <c r="A577" s="66"/>
    </row>
    <row r="578" spans="1:1" x14ac:dyDescent="0.25">
      <c r="A578" s="66"/>
    </row>
    <row r="579" spans="1:1" x14ac:dyDescent="0.25">
      <c r="A579" s="66"/>
    </row>
    <row r="580" spans="1:1" x14ac:dyDescent="0.25">
      <c r="A580" s="66"/>
    </row>
    <row r="581" spans="1:1" x14ac:dyDescent="0.25">
      <c r="A581" s="66"/>
    </row>
    <row r="582" spans="1:1" x14ac:dyDescent="0.25">
      <c r="A582" s="66"/>
    </row>
    <row r="583" spans="1:1" x14ac:dyDescent="0.25">
      <c r="A583" s="66"/>
    </row>
    <row r="584" spans="1:1" x14ac:dyDescent="0.25">
      <c r="A584" s="66"/>
    </row>
    <row r="585" spans="1:1" x14ac:dyDescent="0.25">
      <c r="A585" s="66"/>
    </row>
    <row r="586" spans="1:1" x14ac:dyDescent="0.25">
      <c r="A586" s="66"/>
    </row>
    <row r="587" spans="1:1" x14ac:dyDescent="0.25">
      <c r="A587" s="66"/>
    </row>
    <row r="588" spans="1:1" x14ac:dyDescent="0.25">
      <c r="A588" s="66"/>
    </row>
    <row r="589" spans="1:1" x14ac:dyDescent="0.25">
      <c r="A589" s="66"/>
    </row>
    <row r="590" spans="1:1" x14ac:dyDescent="0.25">
      <c r="A590" s="66"/>
    </row>
    <row r="591" spans="1:1" x14ac:dyDescent="0.25">
      <c r="A591" s="66"/>
    </row>
    <row r="592" spans="1:1" x14ac:dyDescent="0.25">
      <c r="A592" s="66"/>
    </row>
    <row r="593" spans="1:1" x14ac:dyDescent="0.25">
      <c r="A593" s="66"/>
    </row>
    <row r="594" spans="1:1" x14ac:dyDescent="0.25">
      <c r="A594" s="66"/>
    </row>
    <row r="595" spans="1:1" x14ac:dyDescent="0.25">
      <c r="A595" s="66"/>
    </row>
    <row r="596" spans="1:1" x14ac:dyDescent="0.25">
      <c r="A596" s="66"/>
    </row>
    <row r="597" spans="1:1" x14ac:dyDescent="0.25">
      <c r="A597" s="66"/>
    </row>
    <row r="598" spans="1:1" x14ac:dyDescent="0.25">
      <c r="A598" s="66"/>
    </row>
    <row r="599" spans="1:1" x14ac:dyDescent="0.25">
      <c r="A599" s="66"/>
    </row>
    <row r="600" spans="1:1" x14ac:dyDescent="0.25">
      <c r="A600" s="66"/>
    </row>
    <row r="601" spans="1:1" x14ac:dyDescent="0.25">
      <c r="A601" s="66"/>
    </row>
    <row r="602" spans="1:1" x14ac:dyDescent="0.25">
      <c r="A602" s="66"/>
    </row>
    <row r="603" spans="1:1" x14ac:dyDescent="0.25">
      <c r="A603" s="66"/>
    </row>
    <row r="604" spans="1:1" x14ac:dyDescent="0.25">
      <c r="A604" s="66"/>
    </row>
    <row r="605" spans="1:1" x14ac:dyDescent="0.25">
      <c r="A605" s="66"/>
    </row>
    <row r="606" spans="1:1" x14ac:dyDescent="0.25">
      <c r="A606" s="66"/>
    </row>
    <row r="607" spans="1:1" x14ac:dyDescent="0.25">
      <c r="A607" s="66"/>
    </row>
    <row r="608" spans="1:1" x14ac:dyDescent="0.25">
      <c r="A608" s="66"/>
    </row>
    <row r="609" spans="1:1" x14ac:dyDescent="0.25">
      <c r="A609" s="66"/>
    </row>
    <row r="610" spans="1:1" x14ac:dyDescent="0.25">
      <c r="A610" s="66"/>
    </row>
    <row r="611" spans="1:1" x14ac:dyDescent="0.25">
      <c r="A611" s="66"/>
    </row>
    <row r="612" spans="1:1" x14ac:dyDescent="0.25">
      <c r="A612" s="66"/>
    </row>
    <row r="613" spans="1:1" x14ac:dyDescent="0.25">
      <c r="A613" s="66"/>
    </row>
    <row r="614" spans="1:1" x14ac:dyDescent="0.25">
      <c r="A614" s="66"/>
    </row>
    <row r="615" spans="1:1" x14ac:dyDescent="0.25">
      <c r="A615" s="66"/>
    </row>
    <row r="616" spans="1:1" x14ac:dyDescent="0.25">
      <c r="A616" s="66"/>
    </row>
    <row r="617" spans="1:1" x14ac:dyDescent="0.25">
      <c r="A617" s="66"/>
    </row>
    <row r="618" spans="1:1" x14ac:dyDescent="0.25">
      <c r="A618" s="66"/>
    </row>
    <row r="619" spans="1:1" x14ac:dyDescent="0.25">
      <c r="A619" s="66"/>
    </row>
    <row r="620" spans="1:1" x14ac:dyDescent="0.25">
      <c r="A620" s="66"/>
    </row>
    <row r="621" spans="1:1" x14ac:dyDescent="0.25">
      <c r="A621" s="66"/>
    </row>
    <row r="622" spans="1:1" x14ac:dyDescent="0.25">
      <c r="A622" s="66"/>
    </row>
    <row r="623" spans="1:1" x14ac:dyDescent="0.25">
      <c r="A623" s="66"/>
    </row>
    <row r="624" spans="1:1" x14ac:dyDescent="0.25">
      <c r="A624" s="66"/>
    </row>
    <row r="625" spans="1:1" x14ac:dyDescent="0.25">
      <c r="A625" s="66"/>
    </row>
    <row r="626" spans="1:1" x14ac:dyDescent="0.25">
      <c r="A626" s="66"/>
    </row>
    <row r="627" spans="1:1" x14ac:dyDescent="0.25">
      <c r="A627" s="66"/>
    </row>
    <row r="628" spans="1:1" x14ac:dyDescent="0.25">
      <c r="A628" s="66"/>
    </row>
    <row r="629" spans="1:1" x14ac:dyDescent="0.25">
      <c r="A629" s="66"/>
    </row>
    <row r="630" spans="1:1" x14ac:dyDescent="0.25">
      <c r="A630" s="66"/>
    </row>
    <row r="631" spans="1:1" x14ac:dyDescent="0.25">
      <c r="A631" s="66"/>
    </row>
    <row r="632" spans="1:1" x14ac:dyDescent="0.25">
      <c r="A632" s="66"/>
    </row>
    <row r="633" spans="1:1" x14ac:dyDescent="0.25">
      <c r="A633" s="66"/>
    </row>
    <row r="634" spans="1:1" x14ac:dyDescent="0.25">
      <c r="A634" s="66"/>
    </row>
    <row r="635" spans="1:1" x14ac:dyDescent="0.25">
      <c r="A635" s="66"/>
    </row>
    <row r="636" spans="1:1" x14ac:dyDescent="0.25">
      <c r="A636" s="66"/>
    </row>
    <row r="637" spans="1:1" x14ac:dyDescent="0.25">
      <c r="A637" s="66"/>
    </row>
    <row r="638" spans="1:1" x14ac:dyDescent="0.25">
      <c r="A638" s="66"/>
    </row>
    <row r="639" spans="1:1" x14ac:dyDescent="0.25">
      <c r="A639" s="66"/>
    </row>
    <row r="640" spans="1:1" x14ac:dyDescent="0.25">
      <c r="A640" s="66"/>
    </row>
    <row r="641" spans="1:1" x14ac:dyDescent="0.25">
      <c r="A641" s="66"/>
    </row>
    <row r="642" spans="1:1" x14ac:dyDescent="0.25">
      <c r="A642" s="66"/>
    </row>
    <row r="643" spans="1:1" x14ac:dyDescent="0.25">
      <c r="A643" s="66"/>
    </row>
    <row r="644" spans="1:1" x14ac:dyDescent="0.25">
      <c r="A644" s="66"/>
    </row>
    <row r="645" spans="1:1" x14ac:dyDescent="0.25">
      <c r="A645" s="66"/>
    </row>
    <row r="646" spans="1:1" x14ac:dyDescent="0.25">
      <c r="A646" s="66"/>
    </row>
    <row r="647" spans="1:1" x14ac:dyDescent="0.25">
      <c r="A647" s="66"/>
    </row>
    <row r="648" spans="1:1" x14ac:dyDescent="0.25">
      <c r="A648" s="66"/>
    </row>
    <row r="649" spans="1:1" x14ac:dyDescent="0.25">
      <c r="A649" s="66"/>
    </row>
    <row r="650" spans="1:1" x14ac:dyDescent="0.25">
      <c r="A650" s="66"/>
    </row>
    <row r="651" spans="1:1" x14ac:dyDescent="0.25">
      <c r="A651" s="66"/>
    </row>
    <row r="652" spans="1:1" x14ac:dyDescent="0.25">
      <c r="A652" s="66"/>
    </row>
    <row r="653" spans="1:1" x14ac:dyDescent="0.25">
      <c r="A653" s="66"/>
    </row>
    <row r="654" spans="1:1" x14ac:dyDescent="0.25">
      <c r="A654" s="66"/>
    </row>
    <row r="655" spans="1:1" x14ac:dyDescent="0.25">
      <c r="A655" s="66"/>
    </row>
    <row r="656" spans="1:1" x14ac:dyDescent="0.25">
      <c r="A656" s="66"/>
    </row>
    <row r="657" spans="1:1" x14ac:dyDescent="0.25">
      <c r="A657" s="66"/>
    </row>
    <row r="658" spans="1:1" x14ac:dyDescent="0.25">
      <c r="A658" s="66"/>
    </row>
    <row r="659" spans="1:1" x14ac:dyDescent="0.25">
      <c r="A659" s="66"/>
    </row>
    <row r="660" spans="1:1" x14ac:dyDescent="0.25">
      <c r="A660" s="66"/>
    </row>
    <row r="661" spans="1:1" x14ac:dyDescent="0.25">
      <c r="A661" s="66"/>
    </row>
    <row r="662" spans="1:1" x14ac:dyDescent="0.25">
      <c r="A662" s="66"/>
    </row>
    <row r="663" spans="1:1" x14ac:dyDescent="0.25">
      <c r="A663" s="66"/>
    </row>
    <row r="664" spans="1:1" x14ac:dyDescent="0.25">
      <c r="A664" s="66"/>
    </row>
    <row r="665" spans="1:1" x14ac:dyDescent="0.25">
      <c r="A665" s="66"/>
    </row>
    <row r="666" spans="1:1" x14ac:dyDescent="0.25">
      <c r="A666" s="66"/>
    </row>
    <row r="667" spans="1:1" x14ac:dyDescent="0.25">
      <c r="A667" s="66"/>
    </row>
    <row r="668" spans="1:1" x14ac:dyDescent="0.25">
      <c r="A668" s="66"/>
    </row>
    <row r="669" spans="1:1" x14ac:dyDescent="0.25">
      <c r="A669" s="66"/>
    </row>
    <row r="670" spans="1:1" x14ac:dyDescent="0.25">
      <c r="A670" s="66"/>
    </row>
    <row r="671" spans="1:1" x14ac:dyDescent="0.25">
      <c r="A671" s="66"/>
    </row>
    <row r="672" spans="1:1" x14ac:dyDescent="0.25">
      <c r="A672" s="66"/>
    </row>
    <row r="673" spans="1:1" x14ac:dyDescent="0.25">
      <c r="A673" s="66"/>
    </row>
    <row r="674" spans="1:1" x14ac:dyDescent="0.25">
      <c r="A674" s="66"/>
    </row>
    <row r="675" spans="1:1" x14ac:dyDescent="0.25">
      <c r="A675" s="66"/>
    </row>
    <row r="676" spans="1:1" x14ac:dyDescent="0.25">
      <c r="A676" s="66"/>
    </row>
    <row r="677" spans="1:1" x14ac:dyDescent="0.25">
      <c r="A677" s="66"/>
    </row>
    <row r="678" spans="1:1" x14ac:dyDescent="0.25">
      <c r="A678" s="66"/>
    </row>
    <row r="679" spans="1:1" x14ac:dyDescent="0.25">
      <c r="A679" s="66"/>
    </row>
    <row r="680" spans="1:1" x14ac:dyDescent="0.25">
      <c r="A680" s="66"/>
    </row>
    <row r="681" spans="1:1" x14ac:dyDescent="0.25">
      <c r="A681" s="66"/>
    </row>
    <row r="682" spans="1:1" x14ac:dyDescent="0.25">
      <c r="A682" s="66"/>
    </row>
    <row r="683" spans="1:1" x14ac:dyDescent="0.25">
      <c r="A683" s="66"/>
    </row>
    <row r="684" spans="1:1" x14ac:dyDescent="0.25">
      <c r="A684" s="66"/>
    </row>
    <row r="685" spans="1:1" x14ac:dyDescent="0.25">
      <c r="A685" s="66"/>
    </row>
    <row r="686" spans="1:1" x14ac:dyDescent="0.25">
      <c r="A686" s="66"/>
    </row>
    <row r="687" spans="1:1" x14ac:dyDescent="0.25">
      <c r="A687" s="66"/>
    </row>
    <row r="688" spans="1:1" x14ac:dyDescent="0.25">
      <c r="A688" s="66"/>
    </row>
    <row r="689" spans="1:1" x14ac:dyDescent="0.25">
      <c r="A689" s="66"/>
    </row>
    <row r="690" spans="1:1" x14ac:dyDescent="0.25">
      <c r="A690" s="66"/>
    </row>
    <row r="691" spans="1:1" x14ac:dyDescent="0.25">
      <c r="A691" s="66"/>
    </row>
    <row r="692" spans="1:1" x14ac:dyDescent="0.25">
      <c r="A692" s="66"/>
    </row>
    <row r="693" spans="1:1" x14ac:dyDescent="0.25">
      <c r="A693" s="66"/>
    </row>
    <row r="694" spans="1:1" x14ac:dyDescent="0.25">
      <c r="A694" s="66"/>
    </row>
    <row r="695" spans="1:1" x14ac:dyDescent="0.25">
      <c r="A695" s="66"/>
    </row>
    <row r="696" spans="1:1" x14ac:dyDescent="0.25">
      <c r="A696" s="66"/>
    </row>
    <row r="697" spans="1:1" x14ac:dyDescent="0.25">
      <c r="A697" s="66"/>
    </row>
    <row r="698" spans="1:1" x14ac:dyDescent="0.25">
      <c r="A698" s="66"/>
    </row>
    <row r="699" spans="1:1" x14ac:dyDescent="0.25">
      <c r="A699" s="66"/>
    </row>
    <row r="700" spans="1:1" x14ac:dyDescent="0.25">
      <c r="A700" s="66"/>
    </row>
    <row r="701" spans="1:1" x14ac:dyDescent="0.25">
      <c r="A701" s="66"/>
    </row>
    <row r="702" spans="1:1" x14ac:dyDescent="0.25">
      <c r="A702" s="66"/>
    </row>
    <row r="703" spans="1:1" x14ac:dyDescent="0.25">
      <c r="A703" s="66"/>
    </row>
    <row r="704" spans="1:1" x14ac:dyDescent="0.25">
      <c r="A704" s="66"/>
    </row>
    <row r="705" spans="1:1" x14ac:dyDescent="0.25">
      <c r="A705" s="66"/>
    </row>
    <row r="706" spans="1:1" x14ac:dyDescent="0.25">
      <c r="A706" s="66"/>
    </row>
    <row r="707" spans="1:1" x14ac:dyDescent="0.25">
      <c r="A707" s="66"/>
    </row>
    <row r="708" spans="1:1" x14ac:dyDescent="0.25">
      <c r="A708" s="66"/>
    </row>
    <row r="709" spans="1:1" x14ac:dyDescent="0.25">
      <c r="A709" s="66"/>
    </row>
    <row r="710" spans="1:1" x14ac:dyDescent="0.25">
      <c r="A710" s="66"/>
    </row>
    <row r="711" spans="1:1" x14ac:dyDescent="0.25">
      <c r="A711" s="66"/>
    </row>
    <row r="712" spans="1:1" x14ac:dyDescent="0.25">
      <c r="A712" s="66"/>
    </row>
    <row r="713" spans="1:1" x14ac:dyDescent="0.25">
      <c r="A713" s="66"/>
    </row>
    <row r="714" spans="1:1" x14ac:dyDescent="0.25">
      <c r="A714" s="66"/>
    </row>
    <row r="715" spans="1:1" x14ac:dyDescent="0.25">
      <c r="A715" s="66"/>
    </row>
    <row r="716" spans="1:1" x14ac:dyDescent="0.25">
      <c r="A716" s="66"/>
    </row>
    <row r="717" spans="1:1" x14ac:dyDescent="0.25">
      <c r="A717" s="66"/>
    </row>
    <row r="718" spans="1:1" x14ac:dyDescent="0.25">
      <c r="A718" s="66"/>
    </row>
    <row r="719" spans="1:1" x14ac:dyDescent="0.25">
      <c r="A719" s="66"/>
    </row>
    <row r="720" spans="1:1" x14ac:dyDescent="0.25">
      <c r="A720" s="66"/>
    </row>
    <row r="721" spans="1:1" x14ac:dyDescent="0.25">
      <c r="A721" s="66"/>
    </row>
    <row r="722" spans="1:1" x14ac:dyDescent="0.25">
      <c r="A722" s="66"/>
    </row>
    <row r="723" spans="1:1" x14ac:dyDescent="0.25">
      <c r="A723" s="66"/>
    </row>
    <row r="724" spans="1:1" x14ac:dyDescent="0.25">
      <c r="A724" s="66"/>
    </row>
    <row r="725" spans="1:1" x14ac:dyDescent="0.25">
      <c r="A725" s="66"/>
    </row>
    <row r="726" spans="1:1" x14ac:dyDescent="0.25">
      <c r="A726" s="66"/>
    </row>
    <row r="727" spans="1:1" x14ac:dyDescent="0.25">
      <c r="A727" s="66"/>
    </row>
    <row r="728" spans="1:1" x14ac:dyDescent="0.25">
      <c r="A728" s="66"/>
    </row>
    <row r="729" spans="1:1" x14ac:dyDescent="0.25">
      <c r="A729" s="66"/>
    </row>
    <row r="730" spans="1:1" x14ac:dyDescent="0.25">
      <c r="A730" s="66"/>
    </row>
    <row r="731" spans="1:1" x14ac:dyDescent="0.25">
      <c r="A731" s="66"/>
    </row>
    <row r="732" spans="1:1" x14ac:dyDescent="0.25">
      <c r="A732" s="66"/>
    </row>
    <row r="733" spans="1:1" x14ac:dyDescent="0.25">
      <c r="A733" s="66"/>
    </row>
    <row r="734" spans="1:1" x14ac:dyDescent="0.25">
      <c r="A734" s="66"/>
    </row>
    <row r="735" spans="1:1" x14ac:dyDescent="0.25">
      <c r="A735" s="66"/>
    </row>
    <row r="736" spans="1:1" x14ac:dyDescent="0.25">
      <c r="A736" s="66"/>
    </row>
    <row r="737" spans="1:1" x14ac:dyDescent="0.25">
      <c r="A737" s="66"/>
    </row>
    <row r="738" spans="1:1" x14ac:dyDescent="0.25">
      <c r="A738" s="66"/>
    </row>
    <row r="739" spans="1:1" x14ac:dyDescent="0.25">
      <c r="A739" s="66"/>
    </row>
    <row r="740" spans="1:1" x14ac:dyDescent="0.25">
      <c r="A740" s="66"/>
    </row>
    <row r="741" spans="1:1" x14ac:dyDescent="0.25">
      <c r="A741" s="66"/>
    </row>
    <row r="742" spans="1:1" x14ac:dyDescent="0.25">
      <c r="A742" s="66"/>
    </row>
    <row r="743" spans="1:1" x14ac:dyDescent="0.25">
      <c r="A743" s="66"/>
    </row>
    <row r="744" spans="1:1" x14ac:dyDescent="0.25">
      <c r="A744" s="66"/>
    </row>
    <row r="745" spans="1:1" x14ac:dyDescent="0.25">
      <c r="A745" s="66"/>
    </row>
    <row r="746" spans="1:1" x14ac:dyDescent="0.25">
      <c r="A746" s="66"/>
    </row>
    <row r="747" spans="1:1" x14ac:dyDescent="0.25">
      <c r="A747" s="66"/>
    </row>
    <row r="748" spans="1:1" x14ac:dyDescent="0.25">
      <c r="A748" s="66"/>
    </row>
    <row r="749" spans="1:1" x14ac:dyDescent="0.25">
      <c r="A749" s="66"/>
    </row>
    <row r="750" spans="1:1" x14ac:dyDescent="0.25">
      <c r="A750" s="66"/>
    </row>
    <row r="751" spans="1:1" x14ac:dyDescent="0.25">
      <c r="A751" s="66"/>
    </row>
    <row r="752" spans="1:1" x14ac:dyDescent="0.25">
      <c r="A752" s="66"/>
    </row>
    <row r="753" spans="1:1" x14ac:dyDescent="0.25">
      <c r="A753" s="66"/>
    </row>
    <row r="754" spans="1:1" x14ac:dyDescent="0.25">
      <c r="A754" s="66"/>
    </row>
    <row r="755" spans="1:1" x14ac:dyDescent="0.25">
      <c r="A755" s="66"/>
    </row>
    <row r="756" spans="1:1" x14ac:dyDescent="0.25">
      <c r="A756" s="66"/>
    </row>
    <row r="757" spans="1:1" x14ac:dyDescent="0.25">
      <c r="A757" s="66"/>
    </row>
    <row r="758" spans="1:1" x14ac:dyDescent="0.25">
      <c r="A758" s="66"/>
    </row>
    <row r="759" spans="1:1" x14ac:dyDescent="0.25">
      <c r="A759" s="66"/>
    </row>
    <row r="760" spans="1:1" x14ac:dyDescent="0.25">
      <c r="A760" s="66"/>
    </row>
    <row r="761" spans="1:1" x14ac:dyDescent="0.25">
      <c r="A761" s="66"/>
    </row>
    <row r="762" spans="1:1" x14ac:dyDescent="0.25">
      <c r="A762" s="66"/>
    </row>
    <row r="763" spans="1:1" x14ac:dyDescent="0.25">
      <c r="A763" s="66"/>
    </row>
    <row r="764" spans="1:1" x14ac:dyDescent="0.25">
      <c r="A764" s="66"/>
    </row>
    <row r="765" spans="1:1" x14ac:dyDescent="0.25">
      <c r="A765" s="66"/>
    </row>
    <row r="766" spans="1:1" x14ac:dyDescent="0.25">
      <c r="A766" s="66"/>
    </row>
    <row r="767" spans="1:1" x14ac:dyDescent="0.25">
      <c r="A767" s="66"/>
    </row>
    <row r="768" spans="1:1" x14ac:dyDescent="0.25">
      <c r="A768" s="66"/>
    </row>
    <row r="769" spans="1:1" x14ac:dyDescent="0.25">
      <c r="A769" s="66"/>
    </row>
    <row r="770" spans="1:1" x14ac:dyDescent="0.25">
      <c r="A770" s="66"/>
    </row>
    <row r="771" spans="1:1" x14ac:dyDescent="0.25">
      <c r="A771" s="66"/>
    </row>
    <row r="772" spans="1:1" x14ac:dyDescent="0.25">
      <c r="A772" s="66"/>
    </row>
    <row r="773" spans="1:1" x14ac:dyDescent="0.25">
      <c r="A773" s="66"/>
    </row>
    <row r="774" spans="1:1" x14ac:dyDescent="0.25">
      <c r="A774" s="66"/>
    </row>
    <row r="775" spans="1:1" x14ac:dyDescent="0.25">
      <c r="A775" s="66"/>
    </row>
    <row r="776" spans="1:1" x14ac:dyDescent="0.25">
      <c r="A776" s="66"/>
    </row>
    <row r="777" spans="1:1" x14ac:dyDescent="0.25">
      <c r="A777" s="66"/>
    </row>
    <row r="778" spans="1:1" x14ac:dyDescent="0.25">
      <c r="A778" s="66"/>
    </row>
    <row r="779" spans="1:1" x14ac:dyDescent="0.25">
      <c r="A779" s="66"/>
    </row>
    <row r="780" spans="1:1" x14ac:dyDescent="0.25">
      <c r="A780" s="66"/>
    </row>
    <row r="781" spans="1:1" x14ac:dyDescent="0.25">
      <c r="A781" s="66"/>
    </row>
    <row r="782" spans="1:1" x14ac:dyDescent="0.25">
      <c r="A782" s="66"/>
    </row>
    <row r="783" spans="1:1" x14ac:dyDescent="0.25">
      <c r="A783" s="66"/>
    </row>
    <row r="784" spans="1:1" x14ac:dyDescent="0.25">
      <c r="A784" s="66"/>
    </row>
    <row r="785" spans="1:1" x14ac:dyDescent="0.25">
      <c r="A785" s="66"/>
    </row>
    <row r="786" spans="1:1" x14ac:dyDescent="0.25">
      <c r="A786" s="66"/>
    </row>
    <row r="787" spans="1:1" x14ac:dyDescent="0.25">
      <c r="A787" s="66"/>
    </row>
    <row r="788" spans="1:1" x14ac:dyDescent="0.25">
      <c r="A788" s="66"/>
    </row>
    <row r="789" spans="1:1" x14ac:dyDescent="0.25">
      <c r="A789" s="66"/>
    </row>
    <row r="790" spans="1:1" x14ac:dyDescent="0.25">
      <c r="A790" s="66"/>
    </row>
    <row r="791" spans="1:1" x14ac:dyDescent="0.25">
      <c r="A791" s="66"/>
    </row>
    <row r="792" spans="1:1" x14ac:dyDescent="0.25">
      <c r="A792" s="66"/>
    </row>
    <row r="793" spans="1:1" x14ac:dyDescent="0.25">
      <c r="A793" s="66"/>
    </row>
    <row r="794" spans="1:1" x14ac:dyDescent="0.25">
      <c r="A794" s="66"/>
    </row>
    <row r="795" spans="1:1" x14ac:dyDescent="0.25">
      <c r="A795" s="66"/>
    </row>
    <row r="796" spans="1:1" x14ac:dyDescent="0.25">
      <c r="A796" s="66"/>
    </row>
    <row r="797" spans="1:1" x14ac:dyDescent="0.25">
      <c r="A797" s="66"/>
    </row>
    <row r="798" spans="1:1" x14ac:dyDescent="0.25">
      <c r="A798" s="66"/>
    </row>
    <row r="799" spans="1:1" x14ac:dyDescent="0.25">
      <c r="A799" s="66"/>
    </row>
    <row r="800" spans="1:1" x14ac:dyDescent="0.25">
      <c r="A800" s="66"/>
    </row>
    <row r="801" spans="1:1" x14ac:dyDescent="0.25">
      <c r="A801" s="66"/>
    </row>
    <row r="802" spans="1:1" x14ac:dyDescent="0.25">
      <c r="A802" s="66"/>
    </row>
    <row r="803" spans="1:1" x14ac:dyDescent="0.25">
      <c r="A803" s="66"/>
    </row>
    <row r="804" spans="1:1" x14ac:dyDescent="0.25">
      <c r="A804" s="66"/>
    </row>
    <row r="805" spans="1:1" x14ac:dyDescent="0.25">
      <c r="A805" s="66"/>
    </row>
    <row r="806" spans="1:1" x14ac:dyDescent="0.25">
      <c r="A806" s="66"/>
    </row>
    <row r="807" spans="1:1" x14ac:dyDescent="0.25">
      <c r="A807" s="66"/>
    </row>
    <row r="808" spans="1:1" x14ac:dyDescent="0.25">
      <c r="A808" s="66"/>
    </row>
    <row r="809" spans="1:1" x14ac:dyDescent="0.25">
      <c r="A809" s="66"/>
    </row>
    <row r="810" spans="1:1" x14ac:dyDescent="0.25">
      <c r="A810" s="66"/>
    </row>
    <row r="811" spans="1:1" x14ac:dyDescent="0.25">
      <c r="A811" s="66"/>
    </row>
    <row r="812" spans="1:1" x14ac:dyDescent="0.25">
      <c r="A812" s="66"/>
    </row>
    <row r="813" spans="1:1" x14ac:dyDescent="0.25">
      <c r="A813" s="66"/>
    </row>
    <row r="814" spans="1:1" x14ac:dyDescent="0.25">
      <c r="A814" s="66"/>
    </row>
    <row r="815" spans="1:1" x14ac:dyDescent="0.25">
      <c r="A815" s="66"/>
    </row>
    <row r="816" spans="1:1" x14ac:dyDescent="0.25">
      <c r="A816" s="66"/>
    </row>
    <row r="817" spans="1:1" x14ac:dyDescent="0.25">
      <c r="A817" s="66"/>
    </row>
    <row r="818" spans="1:1" x14ac:dyDescent="0.25">
      <c r="A818" s="66"/>
    </row>
    <row r="819" spans="1:1" x14ac:dyDescent="0.25">
      <c r="A819" s="66"/>
    </row>
    <row r="820" spans="1:1" x14ac:dyDescent="0.25">
      <c r="A820" s="66"/>
    </row>
    <row r="821" spans="1:1" x14ac:dyDescent="0.25">
      <c r="A821" s="66"/>
    </row>
    <row r="822" spans="1:1" x14ac:dyDescent="0.25">
      <c r="A822" s="66"/>
    </row>
    <row r="823" spans="1:1" x14ac:dyDescent="0.25">
      <c r="A823" s="66"/>
    </row>
    <row r="824" spans="1:1" x14ac:dyDescent="0.25">
      <c r="A824" s="66"/>
    </row>
    <row r="825" spans="1:1" x14ac:dyDescent="0.25">
      <c r="A825" s="66"/>
    </row>
    <row r="826" spans="1:1" x14ac:dyDescent="0.25">
      <c r="A826" s="66"/>
    </row>
    <row r="827" spans="1:1" x14ac:dyDescent="0.25">
      <c r="A827" s="66"/>
    </row>
    <row r="828" spans="1:1" x14ac:dyDescent="0.25">
      <c r="A828" s="66"/>
    </row>
    <row r="829" spans="1:1" x14ac:dyDescent="0.25">
      <c r="A829" s="66"/>
    </row>
    <row r="830" spans="1:1" x14ac:dyDescent="0.25">
      <c r="A830" s="66"/>
    </row>
    <row r="831" spans="1:1" x14ac:dyDescent="0.25">
      <c r="A831" s="66"/>
    </row>
    <row r="832" spans="1:1" x14ac:dyDescent="0.25">
      <c r="A832" s="66"/>
    </row>
    <row r="833" spans="1:1" x14ac:dyDescent="0.25">
      <c r="A833" s="66"/>
    </row>
    <row r="834" spans="1:1" x14ac:dyDescent="0.25">
      <c r="A834" s="66"/>
    </row>
    <row r="835" spans="1:1" x14ac:dyDescent="0.25">
      <c r="A835" s="66"/>
    </row>
    <row r="836" spans="1:1" x14ac:dyDescent="0.25">
      <c r="A836" s="66"/>
    </row>
    <row r="837" spans="1:1" x14ac:dyDescent="0.25">
      <c r="A837" s="66"/>
    </row>
    <row r="838" spans="1:1" x14ac:dyDescent="0.25">
      <c r="A838" s="66"/>
    </row>
    <row r="839" spans="1:1" x14ac:dyDescent="0.25">
      <c r="A839" s="66"/>
    </row>
    <row r="840" spans="1:1" x14ac:dyDescent="0.25">
      <c r="A840" s="66"/>
    </row>
    <row r="841" spans="1:1" x14ac:dyDescent="0.25">
      <c r="A841" s="66"/>
    </row>
    <row r="842" spans="1:1" x14ac:dyDescent="0.25">
      <c r="A842" s="66"/>
    </row>
    <row r="843" spans="1:1" x14ac:dyDescent="0.25">
      <c r="A843" s="66"/>
    </row>
    <row r="844" spans="1:1" x14ac:dyDescent="0.25">
      <c r="A844" s="66"/>
    </row>
    <row r="845" spans="1:1" x14ac:dyDescent="0.25">
      <c r="A845" s="66"/>
    </row>
    <row r="846" spans="1:1" x14ac:dyDescent="0.25">
      <c r="A846" s="66"/>
    </row>
    <row r="847" spans="1:1" x14ac:dyDescent="0.25">
      <c r="A847" s="66"/>
    </row>
    <row r="848" spans="1:1" x14ac:dyDescent="0.25">
      <c r="A848" s="66"/>
    </row>
    <row r="849" spans="1:1" x14ac:dyDescent="0.25">
      <c r="A849" s="66"/>
    </row>
    <row r="850" spans="1:1" x14ac:dyDescent="0.25">
      <c r="A850" s="66"/>
    </row>
    <row r="851" spans="1:1" x14ac:dyDescent="0.25">
      <c r="A851" s="66"/>
    </row>
    <row r="852" spans="1:1" x14ac:dyDescent="0.25">
      <c r="A852" s="66"/>
    </row>
    <row r="853" spans="1:1" x14ac:dyDescent="0.25">
      <c r="A853" s="66"/>
    </row>
    <row r="854" spans="1:1" x14ac:dyDescent="0.25">
      <c r="A854" s="66"/>
    </row>
    <row r="855" spans="1:1" x14ac:dyDescent="0.25">
      <c r="A855" s="66"/>
    </row>
    <row r="856" spans="1:1" x14ac:dyDescent="0.25">
      <c r="A856" s="66"/>
    </row>
    <row r="857" spans="1:1" x14ac:dyDescent="0.25">
      <c r="A857" s="66"/>
    </row>
    <row r="858" spans="1:1" x14ac:dyDescent="0.25">
      <c r="A858" s="66"/>
    </row>
    <row r="859" spans="1:1" x14ac:dyDescent="0.25">
      <c r="A859" s="66"/>
    </row>
    <row r="860" spans="1:1" x14ac:dyDescent="0.25">
      <c r="A860" s="66"/>
    </row>
    <row r="861" spans="1:1" x14ac:dyDescent="0.25">
      <c r="A861" s="66"/>
    </row>
    <row r="862" spans="1:1" x14ac:dyDescent="0.25">
      <c r="A862" s="66"/>
    </row>
    <row r="863" spans="1:1" x14ac:dyDescent="0.25">
      <c r="A863" s="66"/>
    </row>
    <row r="864" spans="1:1" x14ac:dyDescent="0.25">
      <c r="A864" s="66"/>
    </row>
    <row r="865" spans="1:1" x14ac:dyDescent="0.25">
      <c r="A865" s="66"/>
    </row>
    <row r="866" spans="1:1" x14ac:dyDescent="0.25">
      <c r="A866" s="66"/>
    </row>
    <row r="867" spans="1:1" x14ac:dyDescent="0.25">
      <c r="A867" s="66"/>
    </row>
    <row r="868" spans="1:1" x14ac:dyDescent="0.25">
      <c r="A868" s="66"/>
    </row>
    <row r="869" spans="1:1" x14ac:dyDescent="0.25">
      <c r="A869" s="66"/>
    </row>
    <row r="870" spans="1:1" x14ac:dyDescent="0.25">
      <c r="A870" s="66"/>
    </row>
    <row r="871" spans="1:1" x14ac:dyDescent="0.25">
      <c r="A871" s="66"/>
    </row>
    <row r="872" spans="1:1" x14ac:dyDescent="0.25">
      <c r="A872" s="66"/>
    </row>
    <row r="873" spans="1:1" x14ac:dyDescent="0.25">
      <c r="A873" s="66"/>
    </row>
    <row r="874" spans="1:1" x14ac:dyDescent="0.25">
      <c r="A874" s="66"/>
    </row>
    <row r="875" spans="1:1" x14ac:dyDescent="0.25">
      <c r="A875" s="66"/>
    </row>
    <row r="876" spans="1:1" x14ac:dyDescent="0.25">
      <c r="A876" s="66"/>
    </row>
    <row r="877" spans="1:1" x14ac:dyDescent="0.25">
      <c r="A877" s="66"/>
    </row>
    <row r="878" spans="1:1" x14ac:dyDescent="0.25">
      <c r="A878" s="66"/>
    </row>
    <row r="879" spans="1:1" x14ac:dyDescent="0.25">
      <c r="A879" s="66"/>
    </row>
    <row r="880" spans="1:1" x14ac:dyDescent="0.25">
      <c r="A880" s="66"/>
    </row>
    <row r="881" spans="1:1" x14ac:dyDescent="0.25">
      <c r="A881" s="66"/>
    </row>
    <row r="882" spans="1:1" x14ac:dyDescent="0.25">
      <c r="A882" s="66"/>
    </row>
    <row r="883" spans="1:1" x14ac:dyDescent="0.25">
      <c r="A883" s="66"/>
    </row>
    <row r="884" spans="1:1" x14ac:dyDescent="0.25">
      <c r="A884" s="66"/>
    </row>
    <row r="885" spans="1:1" x14ac:dyDescent="0.25">
      <c r="A885" s="66"/>
    </row>
    <row r="886" spans="1:1" x14ac:dyDescent="0.25">
      <c r="A886" s="66"/>
    </row>
    <row r="887" spans="1:1" x14ac:dyDescent="0.25">
      <c r="A887" s="66"/>
    </row>
    <row r="888" spans="1:1" x14ac:dyDescent="0.25">
      <c r="A888" s="66"/>
    </row>
    <row r="889" spans="1:1" x14ac:dyDescent="0.25">
      <c r="A889" s="66"/>
    </row>
    <row r="890" spans="1:1" x14ac:dyDescent="0.25">
      <c r="A890" s="66"/>
    </row>
    <row r="891" spans="1:1" x14ac:dyDescent="0.25">
      <c r="A891" s="66"/>
    </row>
    <row r="892" spans="1:1" x14ac:dyDescent="0.25">
      <c r="A892" s="66"/>
    </row>
    <row r="893" spans="1:1" x14ac:dyDescent="0.25">
      <c r="A893" s="66"/>
    </row>
    <row r="894" spans="1:1" x14ac:dyDescent="0.25">
      <c r="A894" s="66"/>
    </row>
    <row r="895" spans="1:1" x14ac:dyDescent="0.25">
      <c r="A895" s="66"/>
    </row>
    <row r="896" spans="1:1" x14ac:dyDescent="0.25">
      <c r="A896" s="66"/>
    </row>
    <row r="897" spans="1:1" x14ac:dyDescent="0.25">
      <c r="A897" s="66"/>
    </row>
    <row r="898" spans="1:1" x14ac:dyDescent="0.25">
      <c r="A898" s="66"/>
    </row>
    <row r="899" spans="1:1" x14ac:dyDescent="0.25">
      <c r="A899" s="66"/>
    </row>
    <row r="900" spans="1:1" x14ac:dyDescent="0.25">
      <c r="A900" s="66"/>
    </row>
    <row r="901" spans="1:1" x14ac:dyDescent="0.25">
      <c r="A901" s="66"/>
    </row>
    <row r="902" spans="1:1" x14ac:dyDescent="0.25">
      <c r="A902" s="66"/>
    </row>
    <row r="903" spans="1:1" x14ac:dyDescent="0.25">
      <c r="A903" s="66"/>
    </row>
    <row r="904" spans="1:1" x14ac:dyDescent="0.25">
      <c r="A904" s="66"/>
    </row>
    <row r="905" spans="1:1" x14ac:dyDescent="0.25">
      <c r="A905" s="66"/>
    </row>
    <row r="906" spans="1:1" x14ac:dyDescent="0.25">
      <c r="A906" s="66"/>
    </row>
    <row r="907" spans="1:1" x14ac:dyDescent="0.25">
      <c r="A907" s="66"/>
    </row>
    <row r="908" spans="1:1" x14ac:dyDescent="0.25">
      <c r="A908" s="66"/>
    </row>
    <row r="909" spans="1:1" x14ac:dyDescent="0.25">
      <c r="A909" s="66"/>
    </row>
    <row r="910" spans="1:1" x14ac:dyDescent="0.25">
      <c r="A910" s="66"/>
    </row>
    <row r="911" spans="1:1" x14ac:dyDescent="0.25">
      <c r="A911" s="66"/>
    </row>
    <row r="912" spans="1:1" x14ac:dyDescent="0.25">
      <c r="A912" s="66"/>
    </row>
    <row r="913" spans="1:1" x14ac:dyDescent="0.25">
      <c r="A913" s="66"/>
    </row>
    <row r="914" spans="1:1" x14ac:dyDescent="0.25">
      <c r="A914" s="66"/>
    </row>
    <row r="915" spans="1:1" x14ac:dyDescent="0.25">
      <c r="A915" s="66"/>
    </row>
    <row r="916" spans="1:1" x14ac:dyDescent="0.25">
      <c r="A916" s="66"/>
    </row>
    <row r="917" spans="1:1" x14ac:dyDescent="0.25">
      <c r="A917" s="66"/>
    </row>
    <row r="918" spans="1:1" x14ac:dyDescent="0.25">
      <c r="A918" s="66"/>
    </row>
    <row r="919" spans="1:1" x14ac:dyDescent="0.25">
      <c r="A919" s="66"/>
    </row>
    <row r="920" spans="1:1" x14ac:dyDescent="0.25">
      <c r="A920" s="66"/>
    </row>
    <row r="921" spans="1:1" x14ac:dyDescent="0.25">
      <c r="A921" s="66"/>
    </row>
    <row r="922" spans="1:1" x14ac:dyDescent="0.25">
      <c r="A922" s="66"/>
    </row>
    <row r="923" spans="1:1" x14ac:dyDescent="0.25">
      <c r="A923" s="66"/>
    </row>
    <row r="924" spans="1:1" x14ac:dyDescent="0.25">
      <c r="A924" s="66"/>
    </row>
    <row r="925" spans="1:1" x14ac:dyDescent="0.25">
      <c r="A925" s="66"/>
    </row>
    <row r="926" spans="1:1" x14ac:dyDescent="0.25">
      <c r="A926" s="66"/>
    </row>
    <row r="927" spans="1:1" x14ac:dyDescent="0.25">
      <c r="A927" s="66"/>
    </row>
    <row r="928" spans="1:1" x14ac:dyDescent="0.25">
      <c r="A928" s="66"/>
    </row>
    <row r="929" spans="1:1" x14ac:dyDescent="0.25">
      <c r="A929" s="66"/>
    </row>
    <row r="930" spans="1:1" x14ac:dyDescent="0.25">
      <c r="A930" s="66"/>
    </row>
    <row r="931" spans="1:1" x14ac:dyDescent="0.25">
      <c r="A931" s="66"/>
    </row>
    <row r="932" spans="1:1" x14ac:dyDescent="0.25">
      <c r="A932" s="66"/>
    </row>
    <row r="933" spans="1:1" x14ac:dyDescent="0.25">
      <c r="A933" s="66"/>
    </row>
    <row r="934" spans="1:1" x14ac:dyDescent="0.25">
      <c r="A934" s="66"/>
    </row>
    <row r="935" spans="1:1" x14ac:dyDescent="0.25">
      <c r="A935" s="66"/>
    </row>
    <row r="936" spans="1:1" x14ac:dyDescent="0.25">
      <c r="A936" s="66"/>
    </row>
    <row r="937" spans="1:1" x14ac:dyDescent="0.25">
      <c r="A937" s="66"/>
    </row>
    <row r="938" spans="1:1" x14ac:dyDescent="0.25">
      <c r="A938" s="66"/>
    </row>
    <row r="939" spans="1:1" x14ac:dyDescent="0.25">
      <c r="A939" s="66"/>
    </row>
    <row r="940" spans="1:1" x14ac:dyDescent="0.25">
      <c r="A940" s="66"/>
    </row>
    <row r="941" spans="1:1" x14ac:dyDescent="0.25">
      <c r="A941" s="66"/>
    </row>
    <row r="942" spans="1:1" x14ac:dyDescent="0.25">
      <c r="A942" s="66"/>
    </row>
    <row r="943" spans="1:1" x14ac:dyDescent="0.25">
      <c r="A943" s="66"/>
    </row>
    <row r="944" spans="1:1" x14ac:dyDescent="0.25">
      <c r="A944" s="66"/>
    </row>
    <row r="945" spans="1:1" x14ac:dyDescent="0.25">
      <c r="A945" s="66"/>
    </row>
    <row r="946" spans="1:1" x14ac:dyDescent="0.25">
      <c r="A946" s="66"/>
    </row>
    <row r="947" spans="1:1" x14ac:dyDescent="0.25">
      <c r="A947" s="66"/>
    </row>
    <row r="948" spans="1:1" x14ac:dyDescent="0.25">
      <c r="A948" s="66"/>
    </row>
    <row r="949" spans="1:1" x14ac:dyDescent="0.25">
      <c r="A949" s="66"/>
    </row>
    <row r="950" spans="1:1" x14ac:dyDescent="0.25">
      <c r="A950" s="66"/>
    </row>
    <row r="951" spans="1:1" x14ac:dyDescent="0.25">
      <c r="A951" s="66"/>
    </row>
    <row r="952" spans="1:1" x14ac:dyDescent="0.25">
      <c r="A952" s="66"/>
    </row>
    <row r="953" spans="1:1" x14ac:dyDescent="0.25">
      <c r="A953" s="66"/>
    </row>
    <row r="954" spans="1:1" x14ac:dyDescent="0.25">
      <c r="A954" s="66"/>
    </row>
    <row r="955" spans="1:1" x14ac:dyDescent="0.25">
      <c r="A955" s="66"/>
    </row>
    <row r="956" spans="1:1" x14ac:dyDescent="0.25">
      <c r="A956" s="66"/>
    </row>
    <row r="957" spans="1:1" x14ac:dyDescent="0.25">
      <c r="A957" s="66"/>
    </row>
    <row r="958" spans="1:1" x14ac:dyDescent="0.25">
      <c r="A958" s="66"/>
    </row>
    <row r="959" spans="1:1" x14ac:dyDescent="0.25">
      <c r="A959" s="66"/>
    </row>
    <row r="960" spans="1:1" x14ac:dyDescent="0.25">
      <c r="A960" s="66"/>
    </row>
    <row r="961" spans="1:1" x14ac:dyDescent="0.25">
      <c r="A961" s="66"/>
    </row>
    <row r="962" spans="1:1" x14ac:dyDescent="0.25">
      <c r="A962" s="66"/>
    </row>
    <row r="963" spans="1:1" x14ac:dyDescent="0.25">
      <c r="A963" s="66"/>
    </row>
    <row r="964" spans="1:1" x14ac:dyDescent="0.25">
      <c r="A964" s="66"/>
    </row>
    <row r="965" spans="1:1" x14ac:dyDescent="0.25">
      <c r="A965" s="66"/>
    </row>
    <row r="966" spans="1:1" x14ac:dyDescent="0.25">
      <c r="A966" s="66"/>
    </row>
    <row r="967" spans="1:1" x14ac:dyDescent="0.25">
      <c r="A967" s="66"/>
    </row>
    <row r="968" spans="1:1" x14ac:dyDescent="0.25">
      <c r="A968" s="66"/>
    </row>
    <row r="969" spans="1:1" x14ac:dyDescent="0.25">
      <c r="A969" s="66"/>
    </row>
    <row r="970" spans="1:1" x14ac:dyDescent="0.25">
      <c r="A970" s="66"/>
    </row>
    <row r="971" spans="1:1" x14ac:dyDescent="0.25">
      <c r="A971" s="66"/>
    </row>
    <row r="972" spans="1:1" x14ac:dyDescent="0.25">
      <c r="A972" s="66"/>
    </row>
    <row r="973" spans="1:1" x14ac:dyDescent="0.25">
      <c r="A973" s="66"/>
    </row>
    <row r="974" spans="1:1" x14ac:dyDescent="0.25">
      <c r="A974" s="66"/>
    </row>
    <row r="975" spans="1:1" x14ac:dyDescent="0.25">
      <c r="A975" s="66"/>
    </row>
    <row r="976" spans="1:1" x14ac:dyDescent="0.25">
      <c r="A976" s="66"/>
    </row>
    <row r="977" spans="1:1" x14ac:dyDescent="0.25">
      <c r="A977" s="66"/>
    </row>
    <row r="978" spans="1:1" x14ac:dyDescent="0.25">
      <c r="A978" s="66"/>
    </row>
    <row r="979" spans="1:1" x14ac:dyDescent="0.25">
      <c r="A979" s="66"/>
    </row>
    <row r="980" spans="1:1" x14ac:dyDescent="0.25">
      <c r="A980" s="66"/>
    </row>
    <row r="981" spans="1:1" x14ac:dyDescent="0.25">
      <c r="A981" s="66"/>
    </row>
    <row r="982" spans="1:1" x14ac:dyDescent="0.25">
      <c r="A982" s="66"/>
    </row>
    <row r="983" spans="1:1" x14ac:dyDescent="0.25">
      <c r="A983" s="66"/>
    </row>
    <row r="984" spans="1:1" x14ac:dyDescent="0.25">
      <c r="A984" s="66"/>
    </row>
    <row r="985" spans="1:1" x14ac:dyDescent="0.25">
      <c r="A985" s="66"/>
    </row>
    <row r="986" spans="1:1" x14ac:dyDescent="0.25">
      <c r="A986" s="66"/>
    </row>
    <row r="987" spans="1:1" x14ac:dyDescent="0.25">
      <c r="A987" s="66"/>
    </row>
    <row r="988" spans="1:1" x14ac:dyDescent="0.25">
      <c r="A988" s="66"/>
    </row>
    <row r="989" spans="1:1" x14ac:dyDescent="0.25">
      <c r="A989" s="66"/>
    </row>
    <row r="990" spans="1:1" x14ac:dyDescent="0.25">
      <c r="A990" s="66"/>
    </row>
    <row r="991" spans="1:1" x14ac:dyDescent="0.25">
      <c r="A991" s="66"/>
    </row>
    <row r="992" spans="1:1" x14ac:dyDescent="0.25">
      <c r="A992" s="66"/>
    </row>
    <row r="993" spans="1:1" x14ac:dyDescent="0.25">
      <c r="A993" s="66"/>
    </row>
    <row r="994" spans="1:1" x14ac:dyDescent="0.25">
      <c r="A994" s="66"/>
    </row>
    <row r="995" spans="1:1" x14ac:dyDescent="0.25">
      <c r="A995" s="66"/>
    </row>
    <row r="996" spans="1:1" x14ac:dyDescent="0.25">
      <c r="A996" s="66"/>
    </row>
    <row r="997" spans="1:1" x14ac:dyDescent="0.25">
      <c r="A997" s="66"/>
    </row>
    <row r="998" spans="1:1" x14ac:dyDescent="0.25">
      <c r="A998" s="66"/>
    </row>
    <row r="999" spans="1:1" x14ac:dyDescent="0.25">
      <c r="A999" s="66"/>
    </row>
    <row r="1000" spans="1:1" x14ac:dyDescent="0.25">
      <c r="A1000" s="66"/>
    </row>
    <row r="1001" spans="1:1" x14ac:dyDescent="0.25">
      <c r="A1001" s="66"/>
    </row>
    <row r="1002" spans="1:1" x14ac:dyDescent="0.25">
      <c r="A1002" s="66"/>
    </row>
    <row r="1003" spans="1:1" x14ac:dyDescent="0.25">
      <c r="A1003" s="66"/>
    </row>
    <row r="1004" spans="1:1" x14ac:dyDescent="0.25">
      <c r="A1004" s="66"/>
    </row>
    <row r="1005" spans="1:1" x14ac:dyDescent="0.25">
      <c r="A1005" s="66"/>
    </row>
    <row r="1006" spans="1:1" x14ac:dyDescent="0.25">
      <c r="A1006" s="66"/>
    </row>
    <row r="1007" spans="1:1" x14ac:dyDescent="0.25">
      <c r="A1007" s="66"/>
    </row>
    <row r="1008" spans="1:1" x14ac:dyDescent="0.25">
      <c r="A1008" s="66"/>
    </row>
    <row r="1009" spans="1:1" x14ac:dyDescent="0.25">
      <c r="A1009" s="66"/>
    </row>
    <row r="1010" spans="1:1" x14ac:dyDescent="0.25">
      <c r="A1010" s="66"/>
    </row>
    <row r="1011" spans="1:1" x14ac:dyDescent="0.25">
      <c r="A1011" s="66"/>
    </row>
    <row r="1012" spans="1:1" x14ac:dyDescent="0.25">
      <c r="A1012" s="66"/>
    </row>
    <row r="1013" spans="1:1" x14ac:dyDescent="0.25">
      <c r="A1013" s="66"/>
    </row>
    <row r="1014" spans="1:1" x14ac:dyDescent="0.25">
      <c r="A1014" s="66"/>
    </row>
    <row r="1015" spans="1:1" x14ac:dyDescent="0.25">
      <c r="A1015" s="66"/>
    </row>
    <row r="1016" spans="1:1" x14ac:dyDescent="0.25">
      <c r="A1016" s="66"/>
    </row>
    <row r="1017" spans="1:1" x14ac:dyDescent="0.25">
      <c r="A1017" s="66"/>
    </row>
    <row r="1018" spans="1:1" x14ac:dyDescent="0.25">
      <c r="A1018" s="66"/>
    </row>
    <row r="1019" spans="1:1" x14ac:dyDescent="0.25">
      <c r="A1019" s="66"/>
    </row>
    <row r="1020" spans="1:1" x14ac:dyDescent="0.25">
      <c r="A1020" s="66"/>
    </row>
    <row r="1021" spans="1:1" x14ac:dyDescent="0.25">
      <c r="A1021" s="66"/>
    </row>
    <row r="1022" spans="1:1" x14ac:dyDescent="0.25">
      <c r="A1022" s="66"/>
    </row>
    <row r="1023" spans="1:1" x14ac:dyDescent="0.25">
      <c r="A1023" s="66"/>
    </row>
    <row r="1024" spans="1:1" x14ac:dyDescent="0.25">
      <c r="A1024" s="66"/>
    </row>
    <row r="1025" spans="1:1" x14ac:dyDescent="0.25">
      <c r="A1025" s="66"/>
    </row>
    <row r="1026" spans="1:1" x14ac:dyDescent="0.25">
      <c r="A1026" s="66"/>
    </row>
    <row r="1027" spans="1:1" x14ac:dyDescent="0.25">
      <c r="A1027" s="66"/>
    </row>
    <row r="1028" spans="1:1" x14ac:dyDescent="0.25">
      <c r="A1028" s="66"/>
    </row>
    <row r="1029" spans="1:1" x14ac:dyDescent="0.25">
      <c r="A1029" s="66"/>
    </row>
    <row r="1030" spans="1:1" x14ac:dyDescent="0.25">
      <c r="A1030" s="66"/>
    </row>
    <row r="1031" spans="1:1" x14ac:dyDescent="0.25">
      <c r="A1031" s="66"/>
    </row>
    <row r="1032" spans="1:1" x14ac:dyDescent="0.25">
      <c r="A1032" s="66"/>
    </row>
    <row r="1033" spans="1:1" x14ac:dyDescent="0.25">
      <c r="A1033" s="66"/>
    </row>
    <row r="1034" spans="1:1" x14ac:dyDescent="0.25">
      <c r="A1034" s="66"/>
    </row>
    <row r="1035" spans="1:1" x14ac:dyDescent="0.25">
      <c r="A1035" s="66"/>
    </row>
    <row r="1036" spans="1:1" x14ac:dyDescent="0.25">
      <c r="A1036" s="66"/>
    </row>
    <row r="1037" spans="1:1" x14ac:dyDescent="0.25">
      <c r="A1037" s="66"/>
    </row>
    <row r="1038" spans="1:1" x14ac:dyDescent="0.25">
      <c r="A1038" s="66"/>
    </row>
    <row r="1039" spans="1:1" x14ac:dyDescent="0.25">
      <c r="A1039" s="66"/>
    </row>
    <row r="1040" spans="1:1" x14ac:dyDescent="0.25">
      <c r="A1040" s="66"/>
    </row>
    <row r="1041" spans="1:1" x14ac:dyDescent="0.25">
      <c r="A1041" s="66"/>
    </row>
    <row r="1042" spans="1:1" x14ac:dyDescent="0.25">
      <c r="A1042" s="66"/>
    </row>
    <row r="1043" spans="1:1" x14ac:dyDescent="0.25">
      <c r="A1043" s="66"/>
    </row>
    <row r="1044" spans="1:1" x14ac:dyDescent="0.25">
      <c r="A1044" s="66"/>
    </row>
    <row r="1045" spans="1:1" x14ac:dyDescent="0.25">
      <c r="A1045" s="66"/>
    </row>
    <row r="1046" spans="1:1" x14ac:dyDescent="0.25">
      <c r="A1046" s="66"/>
    </row>
    <row r="1047" spans="1:1" x14ac:dyDescent="0.25">
      <c r="A1047" s="66"/>
    </row>
    <row r="1048" spans="1:1" x14ac:dyDescent="0.25">
      <c r="A1048" s="66"/>
    </row>
    <row r="1049" spans="1:1" x14ac:dyDescent="0.25">
      <c r="A1049" s="66"/>
    </row>
    <row r="1050" spans="1:1" x14ac:dyDescent="0.25">
      <c r="A1050" s="66"/>
    </row>
    <row r="1051" spans="1:1" x14ac:dyDescent="0.25">
      <c r="A1051" s="66"/>
    </row>
    <row r="1052" spans="1:1" x14ac:dyDescent="0.25">
      <c r="A1052" s="66"/>
    </row>
    <row r="1053" spans="1:1" x14ac:dyDescent="0.25">
      <c r="A1053" s="66"/>
    </row>
    <row r="1054" spans="1:1" x14ac:dyDescent="0.25">
      <c r="A1054" s="66"/>
    </row>
    <row r="1055" spans="1:1" x14ac:dyDescent="0.25">
      <c r="A1055" s="66"/>
    </row>
    <row r="1056" spans="1:1" x14ac:dyDescent="0.25">
      <c r="A1056" s="66"/>
    </row>
    <row r="1057" spans="1:1" x14ac:dyDescent="0.25">
      <c r="A1057" s="66"/>
    </row>
    <row r="1058" spans="1:1" x14ac:dyDescent="0.25">
      <c r="A1058" s="66"/>
    </row>
    <row r="1059" spans="1:1" x14ac:dyDescent="0.25">
      <c r="A1059" s="66"/>
    </row>
    <row r="1060" spans="1:1" x14ac:dyDescent="0.25">
      <c r="A1060" s="66"/>
    </row>
    <row r="1061" spans="1:1" x14ac:dyDescent="0.25">
      <c r="A1061" s="66"/>
    </row>
    <row r="1062" spans="1:1" x14ac:dyDescent="0.25">
      <c r="A1062" s="66"/>
    </row>
    <row r="1063" spans="1:1" x14ac:dyDescent="0.25">
      <c r="A1063" s="66"/>
    </row>
    <row r="1064" spans="1:1" x14ac:dyDescent="0.25">
      <c r="A1064" s="66"/>
    </row>
    <row r="1065" spans="1:1" x14ac:dyDescent="0.25">
      <c r="A1065" s="66"/>
    </row>
    <row r="1066" spans="1:1" x14ac:dyDescent="0.25">
      <c r="A1066" s="66"/>
    </row>
    <row r="1067" spans="1:1" x14ac:dyDescent="0.25">
      <c r="A1067" s="66"/>
    </row>
    <row r="1068" spans="1:1" x14ac:dyDescent="0.25">
      <c r="A1068" s="66"/>
    </row>
    <row r="1069" spans="1:1" x14ac:dyDescent="0.25">
      <c r="A1069" s="66"/>
    </row>
    <row r="1070" spans="1:1" x14ac:dyDescent="0.25">
      <c r="A1070" s="66"/>
    </row>
    <row r="1071" spans="1:1" x14ac:dyDescent="0.25">
      <c r="A1071" s="66"/>
    </row>
    <row r="1072" spans="1:1" x14ac:dyDescent="0.25">
      <c r="A1072" s="66"/>
    </row>
    <row r="1073" spans="1:1" x14ac:dyDescent="0.25">
      <c r="A1073" s="66"/>
    </row>
    <row r="1074" spans="1:1" x14ac:dyDescent="0.25">
      <c r="A1074" s="66"/>
    </row>
    <row r="1075" spans="1:1" x14ac:dyDescent="0.25">
      <c r="A1075" s="66"/>
    </row>
    <row r="1076" spans="1:1" x14ac:dyDescent="0.25">
      <c r="A1076" s="66"/>
    </row>
    <row r="1077" spans="1:1" x14ac:dyDescent="0.25">
      <c r="A1077" s="66"/>
    </row>
    <row r="1078" spans="1:1" x14ac:dyDescent="0.25">
      <c r="A1078" s="66"/>
    </row>
    <row r="1079" spans="1:1" x14ac:dyDescent="0.25">
      <c r="A1079" s="66"/>
    </row>
    <row r="1080" spans="1:1" x14ac:dyDescent="0.25">
      <c r="A1080" s="66"/>
    </row>
    <row r="1081" spans="1:1" x14ac:dyDescent="0.25">
      <c r="A1081" s="66"/>
    </row>
    <row r="1082" spans="1:1" x14ac:dyDescent="0.25">
      <c r="A1082" s="66"/>
    </row>
    <row r="1083" spans="1:1" x14ac:dyDescent="0.25">
      <c r="A1083" s="66"/>
    </row>
    <row r="1084" spans="1:1" x14ac:dyDescent="0.25">
      <c r="A1084" s="66"/>
    </row>
    <row r="1085" spans="1:1" x14ac:dyDescent="0.25">
      <c r="A1085" s="66"/>
    </row>
    <row r="1086" spans="1:1" x14ac:dyDescent="0.25">
      <c r="A1086" s="66"/>
    </row>
    <row r="1087" spans="1:1" x14ac:dyDescent="0.25">
      <c r="A1087" s="66"/>
    </row>
    <row r="1088" spans="1:1" x14ac:dyDescent="0.25">
      <c r="A1088" s="66"/>
    </row>
    <row r="1089" spans="1:1" x14ac:dyDescent="0.25">
      <c r="A1089" s="66"/>
    </row>
    <row r="1090" spans="1:1" x14ac:dyDescent="0.25">
      <c r="A1090" s="66"/>
    </row>
    <row r="1091" spans="1:1" x14ac:dyDescent="0.25">
      <c r="A1091" s="66"/>
    </row>
    <row r="1092" spans="1:1" x14ac:dyDescent="0.25">
      <c r="A1092" s="66"/>
    </row>
    <row r="1093" spans="1:1" x14ac:dyDescent="0.25">
      <c r="A1093" s="66"/>
    </row>
    <row r="1094" spans="1:1" x14ac:dyDescent="0.25">
      <c r="A1094" s="66"/>
    </row>
    <row r="1095" spans="1:1" x14ac:dyDescent="0.25">
      <c r="A1095" s="66"/>
    </row>
    <row r="1096" spans="1:1" x14ac:dyDescent="0.25">
      <c r="A1096" s="66"/>
    </row>
    <row r="1097" spans="1:1" x14ac:dyDescent="0.25">
      <c r="A1097" s="66"/>
    </row>
    <row r="1098" spans="1:1" x14ac:dyDescent="0.25">
      <c r="A1098" s="66"/>
    </row>
    <row r="1099" spans="1:1" x14ac:dyDescent="0.25">
      <c r="A1099" s="66"/>
    </row>
    <row r="1100" spans="1:1" x14ac:dyDescent="0.25">
      <c r="A1100" s="66"/>
    </row>
    <row r="1101" spans="1:1" x14ac:dyDescent="0.25">
      <c r="A1101" s="66"/>
    </row>
    <row r="1102" spans="1:1" x14ac:dyDescent="0.25">
      <c r="A1102" s="66"/>
    </row>
    <row r="1103" spans="1:1" x14ac:dyDescent="0.25">
      <c r="A1103" s="66"/>
    </row>
    <row r="1104" spans="1:1" x14ac:dyDescent="0.25">
      <c r="A1104" s="66"/>
    </row>
    <row r="1105" spans="1:1" x14ac:dyDescent="0.25">
      <c r="A1105" s="66"/>
    </row>
    <row r="1106" spans="1:1" x14ac:dyDescent="0.25">
      <c r="A1106" s="66"/>
    </row>
    <row r="1107" spans="1:1" x14ac:dyDescent="0.25">
      <c r="A1107" s="66"/>
    </row>
    <row r="1108" spans="1:1" x14ac:dyDescent="0.25">
      <c r="A1108" s="66"/>
    </row>
    <row r="1109" spans="1:1" x14ac:dyDescent="0.25">
      <c r="A1109" s="66"/>
    </row>
    <row r="1110" spans="1:1" x14ac:dyDescent="0.25">
      <c r="A1110" s="66"/>
    </row>
    <row r="1111" spans="1:1" x14ac:dyDescent="0.25">
      <c r="A1111" s="66"/>
    </row>
    <row r="1112" spans="1:1" x14ac:dyDescent="0.25">
      <c r="A1112" s="66"/>
    </row>
    <row r="1113" spans="1:1" x14ac:dyDescent="0.25">
      <c r="A1113" s="66"/>
    </row>
    <row r="1114" spans="1:1" x14ac:dyDescent="0.25">
      <c r="A1114" s="66"/>
    </row>
    <row r="1115" spans="1:1" x14ac:dyDescent="0.25">
      <c r="A1115" s="66"/>
    </row>
    <row r="1116" spans="1:1" x14ac:dyDescent="0.25">
      <c r="A1116" s="66"/>
    </row>
    <row r="1117" spans="1:1" x14ac:dyDescent="0.25">
      <c r="A1117" s="66"/>
    </row>
    <row r="1118" spans="1:1" x14ac:dyDescent="0.25">
      <c r="A1118" s="66"/>
    </row>
    <row r="1119" spans="1:1" x14ac:dyDescent="0.25">
      <c r="A1119" s="66"/>
    </row>
    <row r="1120" spans="1:1" x14ac:dyDescent="0.25">
      <c r="A1120" s="66"/>
    </row>
    <row r="1121" spans="1:1" x14ac:dyDescent="0.25">
      <c r="A1121" s="66"/>
    </row>
    <row r="1122" spans="1:1" x14ac:dyDescent="0.25">
      <c r="A1122" s="66"/>
    </row>
    <row r="1123" spans="1:1" x14ac:dyDescent="0.25">
      <c r="A1123" s="66"/>
    </row>
    <row r="1124" spans="1:1" x14ac:dyDescent="0.25">
      <c r="A1124" s="66"/>
    </row>
    <row r="1125" spans="1:1" x14ac:dyDescent="0.25">
      <c r="A1125" s="66"/>
    </row>
    <row r="1126" spans="1:1" x14ac:dyDescent="0.25">
      <c r="A1126" s="66"/>
    </row>
    <row r="1127" spans="1:1" x14ac:dyDescent="0.25">
      <c r="A1127" s="66"/>
    </row>
    <row r="1128" spans="1:1" x14ac:dyDescent="0.25">
      <c r="A1128" s="66"/>
    </row>
    <row r="1129" spans="1:1" x14ac:dyDescent="0.25">
      <c r="A1129" s="66"/>
    </row>
    <row r="1130" spans="1:1" x14ac:dyDescent="0.25">
      <c r="A1130" s="66"/>
    </row>
    <row r="1131" spans="1:1" x14ac:dyDescent="0.25">
      <c r="A1131" s="66"/>
    </row>
    <row r="1132" spans="1:1" x14ac:dyDescent="0.25">
      <c r="A1132" s="66"/>
    </row>
    <row r="1133" spans="1:1" x14ac:dyDescent="0.25">
      <c r="A1133" s="66"/>
    </row>
    <row r="1134" spans="1:1" x14ac:dyDescent="0.25">
      <c r="A1134" s="66"/>
    </row>
    <row r="1135" spans="1:1" x14ac:dyDescent="0.25">
      <c r="A1135" s="66"/>
    </row>
    <row r="1136" spans="1:1" x14ac:dyDescent="0.25">
      <c r="A1136" s="66"/>
    </row>
    <row r="1137" spans="1:1" x14ac:dyDescent="0.25">
      <c r="A1137" s="66"/>
    </row>
    <row r="1138" spans="1:1" x14ac:dyDescent="0.25">
      <c r="A1138" s="66"/>
    </row>
    <row r="1139" spans="1:1" x14ac:dyDescent="0.25">
      <c r="A1139" s="66"/>
    </row>
    <row r="1140" spans="1:1" x14ac:dyDescent="0.25">
      <c r="A1140" s="66"/>
    </row>
    <row r="1141" spans="1:1" x14ac:dyDescent="0.25">
      <c r="A1141" s="66"/>
    </row>
    <row r="1142" spans="1:1" x14ac:dyDescent="0.25">
      <c r="A1142" s="66"/>
    </row>
    <row r="1143" spans="1:1" x14ac:dyDescent="0.25">
      <c r="A1143" s="66"/>
    </row>
    <row r="1144" spans="1:1" x14ac:dyDescent="0.25">
      <c r="A1144" s="66"/>
    </row>
    <row r="1145" spans="1:1" x14ac:dyDescent="0.25">
      <c r="A1145" s="66"/>
    </row>
    <row r="1146" spans="1:1" x14ac:dyDescent="0.25">
      <c r="A1146" s="66"/>
    </row>
    <row r="1147" spans="1:1" x14ac:dyDescent="0.25">
      <c r="A1147" s="66"/>
    </row>
    <row r="1148" spans="1:1" x14ac:dyDescent="0.25">
      <c r="A1148" s="66"/>
    </row>
    <row r="1149" spans="1:1" x14ac:dyDescent="0.25">
      <c r="A1149" s="66"/>
    </row>
    <row r="1150" spans="1:1" x14ac:dyDescent="0.25">
      <c r="A1150" s="66"/>
    </row>
    <row r="1151" spans="1:1" x14ac:dyDescent="0.25">
      <c r="A1151" s="66"/>
    </row>
    <row r="1152" spans="1:1" x14ac:dyDescent="0.25">
      <c r="A1152" s="66"/>
    </row>
    <row r="1153" spans="1:1" x14ac:dyDescent="0.25">
      <c r="A1153" s="66"/>
    </row>
    <row r="1154" spans="1:1" x14ac:dyDescent="0.25">
      <c r="A1154" s="66"/>
    </row>
    <row r="1155" spans="1:1" x14ac:dyDescent="0.25">
      <c r="A1155" s="66"/>
    </row>
    <row r="1156" spans="1:1" x14ac:dyDescent="0.25">
      <c r="A1156" s="66"/>
    </row>
    <row r="1157" spans="1:1" x14ac:dyDescent="0.25">
      <c r="A1157" s="66"/>
    </row>
    <row r="1158" spans="1:1" x14ac:dyDescent="0.25">
      <c r="A1158" s="66"/>
    </row>
    <row r="1159" spans="1:1" x14ac:dyDescent="0.25">
      <c r="A1159" s="66"/>
    </row>
    <row r="1160" spans="1:1" x14ac:dyDescent="0.25">
      <c r="A1160" s="66"/>
    </row>
    <row r="1161" spans="1:1" x14ac:dyDescent="0.25">
      <c r="A1161" s="66"/>
    </row>
    <row r="1162" spans="1:1" x14ac:dyDescent="0.25">
      <c r="A1162" s="66"/>
    </row>
    <row r="1163" spans="1:1" x14ac:dyDescent="0.25">
      <c r="A1163" s="66"/>
    </row>
    <row r="1164" spans="1:1" x14ac:dyDescent="0.25">
      <c r="A1164" s="66"/>
    </row>
    <row r="1165" spans="1:1" x14ac:dyDescent="0.25">
      <c r="A1165" s="66"/>
    </row>
    <row r="1166" spans="1:1" x14ac:dyDescent="0.25">
      <c r="A1166" s="66"/>
    </row>
    <row r="1167" spans="1:1" x14ac:dyDescent="0.25">
      <c r="A1167" s="66"/>
    </row>
    <row r="1168" spans="1:1" x14ac:dyDescent="0.25">
      <c r="A1168" s="66"/>
    </row>
    <row r="1169" spans="1:1" x14ac:dyDescent="0.25">
      <c r="A1169" s="66"/>
    </row>
    <row r="1170" spans="1:1" x14ac:dyDescent="0.25">
      <c r="A1170" s="66"/>
    </row>
    <row r="1171" spans="1:1" x14ac:dyDescent="0.25">
      <c r="A1171" s="66"/>
    </row>
    <row r="1172" spans="1:1" x14ac:dyDescent="0.25">
      <c r="A1172" s="66"/>
    </row>
    <row r="1173" spans="1:1" x14ac:dyDescent="0.25">
      <c r="A1173" s="66"/>
    </row>
    <row r="1174" spans="1:1" x14ac:dyDescent="0.25">
      <c r="A1174" s="66"/>
    </row>
    <row r="1175" spans="1:1" x14ac:dyDescent="0.25">
      <c r="A1175" s="66"/>
    </row>
    <row r="1176" spans="1:1" x14ac:dyDescent="0.25">
      <c r="A1176" s="66"/>
    </row>
    <row r="1177" spans="1:1" x14ac:dyDescent="0.25">
      <c r="A1177" s="66"/>
    </row>
    <row r="1178" spans="1:1" x14ac:dyDescent="0.25">
      <c r="A1178" s="66"/>
    </row>
    <row r="1179" spans="1:1" x14ac:dyDescent="0.25">
      <c r="A1179" s="66"/>
    </row>
    <row r="1180" spans="1:1" x14ac:dyDescent="0.25">
      <c r="A1180" s="66"/>
    </row>
    <row r="1181" spans="1:1" x14ac:dyDescent="0.25">
      <c r="A1181" s="66"/>
    </row>
    <row r="1182" spans="1:1" x14ac:dyDescent="0.25">
      <c r="A1182" s="66"/>
    </row>
    <row r="1183" spans="1:1" x14ac:dyDescent="0.25">
      <c r="A1183" s="66"/>
    </row>
    <row r="1184" spans="1:1" x14ac:dyDescent="0.25">
      <c r="A1184" s="66"/>
    </row>
    <row r="1185" spans="1:1" x14ac:dyDescent="0.25">
      <c r="A1185" s="66"/>
    </row>
    <row r="1186" spans="1:1" x14ac:dyDescent="0.25">
      <c r="A1186" s="66"/>
    </row>
    <row r="1187" spans="1:1" x14ac:dyDescent="0.25">
      <c r="A1187" s="66"/>
    </row>
    <row r="1188" spans="1:1" x14ac:dyDescent="0.25">
      <c r="A1188" s="66"/>
    </row>
    <row r="1189" spans="1:1" x14ac:dyDescent="0.25">
      <c r="A1189" s="66"/>
    </row>
    <row r="1190" spans="1:1" x14ac:dyDescent="0.25">
      <c r="A1190" s="66"/>
    </row>
    <row r="1191" spans="1:1" x14ac:dyDescent="0.25">
      <c r="A1191" s="66"/>
    </row>
    <row r="1192" spans="1:1" x14ac:dyDescent="0.25">
      <c r="A1192" s="66"/>
    </row>
    <row r="1193" spans="1:1" x14ac:dyDescent="0.25">
      <c r="A1193" s="66"/>
    </row>
    <row r="1194" spans="1:1" x14ac:dyDescent="0.25">
      <c r="A1194" s="66"/>
    </row>
    <row r="1195" spans="1:1" x14ac:dyDescent="0.25">
      <c r="A1195" s="66"/>
    </row>
    <row r="1196" spans="1:1" x14ac:dyDescent="0.25">
      <c r="A1196" s="66"/>
    </row>
    <row r="1197" spans="1:1" x14ac:dyDescent="0.25">
      <c r="A1197" s="66"/>
    </row>
    <row r="1198" spans="1:1" x14ac:dyDescent="0.25">
      <c r="A1198" s="66"/>
    </row>
    <row r="1199" spans="1:1" x14ac:dyDescent="0.25">
      <c r="A1199" s="66"/>
    </row>
    <row r="1200" spans="1:1" x14ac:dyDescent="0.25">
      <c r="A1200" s="66"/>
    </row>
    <row r="1201" spans="1:1" x14ac:dyDescent="0.25">
      <c r="A1201" s="66"/>
    </row>
    <row r="1202" spans="1:1" x14ac:dyDescent="0.25">
      <c r="A1202" s="66"/>
    </row>
    <row r="1203" spans="1:1" x14ac:dyDescent="0.25">
      <c r="A1203" s="66"/>
    </row>
    <row r="1204" spans="1:1" x14ac:dyDescent="0.25">
      <c r="A1204" s="66"/>
    </row>
    <row r="1205" spans="1:1" x14ac:dyDescent="0.25">
      <c r="A1205" s="66"/>
    </row>
    <row r="1206" spans="1:1" x14ac:dyDescent="0.25">
      <c r="A1206" s="66"/>
    </row>
    <row r="1207" spans="1:1" x14ac:dyDescent="0.25">
      <c r="A1207" s="66"/>
    </row>
    <row r="1208" spans="1:1" x14ac:dyDescent="0.25">
      <c r="A1208" s="66"/>
    </row>
    <row r="1209" spans="1:1" x14ac:dyDescent="0.25">
      <c r="A1209" s="66"/>
    </row>
    <row r="1210" spans="1:1" x14ac:dyDescent="0.25">
      <c r="A1210" s="66"/>
    </row>
    <row r="1211" spans="1:1" x14ac:dyDescent="0.25">
      <c r="A1211" s="66"/>
    </row>
    <row r="1212" spans="1:1" x14ac:dyDescent="0.25">
      <c r="A1212" s="66"/>
    </row>
    <row r="1213" spans="1:1" x14ac:dyDescent="0.25">
      <c r="A1213" s="66"/>
    </row>
    <row r="1214" spans="1:1" x14ac:dyDescent="0.25">
      <c r="A1214" s="66"/>
    </row>
    <row r="1215" spans="1:1" x14ac:dyDescent="0.25">
      <c r="A1215" s="66"/>
    </row>
    <row r="1216" spans="1:1" x14ac:dyDescent="0.25">
      <c r="A1216" s="66"/>
    </row>
    <row r="1217" spans="1:1" x14ac:dyDescent="0.25">
      <c r="A1217" s="66"/>
    </row>
    <row r="1218" spans="1:1" x14ac:dyDescent="0.25">
      <c r="A1218" s="66"/>
    </row>
    <row r="1219" spans="1:1" x14ac:dyDescent="0.25">
      <c r="A1219" s="66"/>
    </row>
    <row r="1220" spans="1:1" x14ac:dyDescent="0.25">
      <c r="A1220" s="66"/>
    </row>
    <row r="1221" spans="1:1" x14ac:dyDescent="0.25">
      <c r="A1221" s="66"/>
    </row>
    <row r="1222" spans="1:1" x14ac:dyDescent="0.25">
      <c r="A1222" s="66"/>
    </row>
    <row r="1223" spans="1:1" x14ac:dyDescent="0.25">
      <c r="A1223" s="66"/>
    </row>
    <row r="1224" spans="1:1" x14ac:dyDescent="0.25">
      <c r="A1224" s="66"/>
    </row>
    <row r="1225" spans="1:1" x14ac:dyDescent="0.25">
      <c r="A1225" s="66"/>
    </row>
    <row r="1226" spans="1:1" x14ac:dyDescent="0.25">
      <c r="A1226" s="66"/>
    </row>
    <row r="1227" spans="1:1" x14ac:dyDescent="0.25">
      <c r="A1227" s="66"/>
    </row>
    <row r="1228" spans="1:1" x14ac:dyDescent="0.25">
      <c r="A1228" s="66"/>
    </row>
    <row r="1229" spans="1:1" x14ac:dyDescent="0.25">
      <c r="A1229" s="66"/>
    </row>
    <row r="1230" spans="1:1" x14ac:dyDescent="0.25">
      <c r="A1230" s="66"/>
    </row>
    <row r="1231" spans="1:1" x14ac:dyDescent="0.25">
      <c r="A1231" s="66"/>
    </row>
    <row r="1232" spans="1:1" x14ac:dyDescent="0.25">
      <c r="A1232" s="66"/>
    </row>
    <row r="1233" spans="1:1" x14ac:dyDescent="0.25">
      <c r="A1233" s="66"/>
    </row>
    <row r="1234" spans="1:1" x14ac:dyDescent="0.25">
      <c r="A1234" s="66"/>
    </row>
    <row r="1235" spans="1:1" x14ac:dyDescent="0.25">
      <c r="A1235" s="66"/>
    </row>
    <row r="1236" spans="1:1" x14ac:dyDescent="0.25">
      <c r="A1236" s="66"/>
    </row>
    <row r="1237" spans="1:1" x14ac:dyDescent="0.25">
      <c r="A1237" s="66"/>
    </row>
    <row r="1238" spans="1:1" x14ac:dyDescent="0.25">
      <c r="A1238" s="66"/>
    </row>
    <row r="1239" spans="1:1" x14ac:dyDescent="0.25">
      <c r="A1239" s="66"/>
    </row>
    <row r="1240" spans="1:1" x14ac:dyDescent="0.25">
      <c r="A1240" s="66"/>
    </row>
    <row r="1241" spans="1:1" x14ac:dyDescent="0.25">
      <c r="A1241" s="66"/>
    </row>
    <row r="1242" spans="1:1" x14ac:dyDescent="0.25">
      <c r="A1242" s="66"/>
    </row>
    <row r="1243" spans="1:1" x14ac:dyDescent="0.25">
      <c r="A1243" s="66"/>
    </row>
    <row r="1244" spans="1:1" x14ac:dyDescent="0.25">
      <c r="A1244" s="66"/>
    </row>
    <row r="1245" spans="1:1" x14ac:dyDescent="0.25">
      <c r="A1245" s="66"/>
    </row>
    <row r="1246" spans="1:1" x14ac:dyDescent="0.25">
      <c r="A1246" s="66"/>
    </row>
    <row r="1247" spans="1:1" x14ac:dyDescent="0.25">
      <c r="A1247" s="66"/>
    </row>
    <row r="1248" spans="1:1" x14ac:dyDescent="0.25">
      <c r="A1248" s="66"/>
    </row>
    <row r="1249" spans="1:1" x14ac:dyDescent="0.25">
      <c r="A1249" s="66"/>
    </row>
    <row r="1250" spans="1:1" x14ac:dyDescent="0.25">
      <c r="A1250" s="66"/>
    </row>
    <row r="1251" spans="1:1" x14ac:dyDescent="0.25">
      <c r="A1251" s="66"/>
    </row>
    <row r="1252" spans="1:1" x14ac:dyDescent="0.25">
      <c r="A1252" s="66"/>
    </row>
    <row r="1253" spans="1:1" x14ac:dyDescent="0.25">
      <c r="A1253" s="66"/>
    </row>
    <row r="1254" spans="1:1" x14ac:dyDescent="0.25">
      <c r="A1254" s="66"/>
    </row>
    <row r="1255" spans="1:1" x14ac:dyDescent="0.25">
      <c r="A1255" s="66"/>
    </row>
    <row r="1256" spans="1:1" x14ac:dyDescent="0.25">
      <c r="A1256" s="66"/>
    </row>
    <row r="1257" spans="1:1" x14ac:dyDescent="0.25">
      <c r="A1257" s="66"/>
    </row>
    <row r="1258" spans="1:1" x14ac:dyDescent="0.25">
      <c r="A1258" s="66"/>
    </row>
    <row r="1259" spans="1:1" x14ac:dyDescent="0.25">
      <c r="A1259" s="66"/>
    </row>
    <row r="1260" spans="1:1" x14ac:dyDescent="0.25">
      <c r="A1260" s="66"/>
    </row>
    <row r="1261" spans="1:1" x14ac:dyDescent="0.25">
      <c r="A1261" s="66"/>
    </row>
    <row r="1262" spans="1:1" x14ac:dyDescent="0.25">
      <c r="A1262" s="66"/>
    </row>
    <row r="1263" spans="1:1" x14ac:dyDescent="0.25">
      <c r="A1263" s="66"/>
    </row>
    <row r="1264" spans="1:1" x14ac:dyDescent="0.25">
      <c r="A1264" s="66"/>
    </row>
    <row r="1265" spans="1:1" x14ac:dyDescent="0.25">
      <c r="A1265" s="66"/>
    </row>
    <row r="1266" spans="1:1" x14ac:dyDescent="0.25">
      <c r="A1266" s="66"/>
    </row>
    <row r="1267" spans="1:1" x14ac:dyDescent="0.25">
      <c r="A1267" s="66"/>
    </row>
    <row r="1268" spans="1:1" x14ac:dyDescent="0.25">
      <c r="A1268" s="66"/>
    </row>
    <row r="1269" spans="1:1" x14ac:dyDescent="0.25">
      <c r="A1269" s="66"/>
    </row>
    <row r="1270" spans="1:1" x14ac:dyDescent="0.25">
      <c r="A1270" s="66"/>
    </row>
    <row r="1271" spans="1:1" x14ac:dyDescent="0.25">
      <c r="A1271" s="66"/>
    </row>
    <row r="1272" spans="1:1" x14ac:dyDescent="0.25">
      <c r="A1272" s="66"/>
    </row>
    <row r="1273" spans="1:1" x14ac:dyDescent="0.25">
      <c r="A1273" s="66"/>
    </row>
    <row r="1274" spans="1:1" x14ac:dyDescent="0.25">
      <c r="A1274" s="66"/>
    </row>
    <row r="1275" spans="1:1" x14ac:dyDescent="0.25">
      <c r="A1275" s="66"/>
    </row>
    <row r="1276" spans="1:1" x14ac:dyDescent="0.25">
      <c r="A1276" s="66"/>
    </row>
    <row r="1277" spans="1:1" x14ac:dyDescent="0.25">
      <c r="A1277" s="66"/>
    </row>
    <row r="1278" spans="1:1" x14ac:dyDescent="0.25">
      <c r="A1278" s="66"/>
    </row>
    <row r="1279" spans="1:1" x14ac:dyDescent="0.25">
      <c r="A1279" s="66"/>
    </row>
    <row r="1280" spans="1:1" x14ac:dyDescent="0.25">
      <c r="A1280" s="66"/>
    </row>
    <row r="1281" spans="1:1" x14ac:dyDescent="0.25">
      <c r="A1281" s="66"/>
    </row>
    <row r="1282" spans="1:1" x14ac:dyDescent="0.25">
      <c r="A1282" s="66"/>
    </row>
    <row r="1283" spans="1:1" x14ac:dyDescent="0.25">
      <c r="A1283" s="66"/>
    </row>
    <row r="1284" spans="1:1" x14ac:dyDescent="0.25">
      <c r="A1284" s="66"/>
    </row>
    <row r="1285" spans="1:1" x14ac:dyDescent="0.25">
      <c r="A1285" s="66"/>
    </row>
    <row r="1286" spans="1:1" x14ac:dyDescent="0.25">
      <c r="A1286" s="66"/>
    </row>
    <row r="1287" spans="1:1" x14ac:dyDescent="0.25">
      <c r="A1287" s="66"/>
    </row>
    <row r="1288" spans="1:1" x14ac:dyDescent="0.25">
      <c r="A1288" s="66"/>
    </row>
    <row r="1289" spans="1:1" x14ac:dyDescent="0.25">
      <c r="A1289" s="66"/>
    </row>
    <row r="1290" spans="1:1" x14ac:dyDescent="0.25">
      <c r="A1290" s="66"/>
    </row>
    <row r="1291" spans="1:1" x14ac:dyDescent="0.25">
      <c r="A1291" s="66"/>
    </row>
    <row r="1292" spans="1:1" x14ac:dyDescent="0.25">
      <c r="A1292" s="66"/>
    </row>
    <row r="1293" spans="1:1" x14ac:dyDescent="0.25">
      <c r="A1293" s="66"/>
    </row>
    <row r="1294" spans="1:1" x14ac:dyDescent="0.25">
      <c r="A1294" s="66"/>
    </row>
    <row r="1295" spans="1:1" x14ac:dyDescent="0.25">
      <c r="A1295" s="66"/>
    </row>
    <row r="1296" spans="1:1" x14ac:dyDescent="0.25">
      <c r="A1296" s="66"/>
    </row>
    <row r="1297" spans="1:1" x14ac:dyDescent="0.25">
      <c r="A1297" s="66"/>
    </row>
    <row r="1298" spans="1:1" x14ac:dyDescent="0.25">
      <c r="A1298" s="66"/>
    </row>
    <row r="1299" spans="1:1" x14ac:dyDescent="0.25">
      <c r="A1299" s="66"/>
    </row>
    <row r="1300" spans="1:1" x14ac:dyDescent="0.25">
      <c r="A1300" s="66"/>
    </row>
    <row r="1301" spans="1:1" x14ac:dyDescent="0.25">
      <c r="A1301" s="66"/>
    </row>
    <row r="1302" spans="1:1" x14ac:dyDescent="0.25">
      <c r="A1302" s="66"/>
    </row>
    <row r="1303" spans="1:1" x14ac:dyDescent="0.25">
      <c r="A1303" s="66"/>
    </row>
    <row r="1304" spans="1:1" x14ac:dyDescent="0.25">
      <c r="A1304" s="66"/>
    </row>
    <row r="1305" spans="1:1" x14ac:dyDescent="0.25">
      <c r="A1305" s="66"/>
    </row>
    <row r="1306" spans="1:1" x14ac:dyDescent="0.25">
      <c r="A1306" s="66"/>
    </row>
    <row r="1307" spans="1:1" x14ac:dyDescent="0.25">
      <c r="A1307" s="66"/>
    </row>
    <row r="1308" spans="1:1" x14ac:dyDescent="0.25">
      <c r="A1308" s="66"/>
    </row>
    <row r="1309" spans="1:1" x14ac:dyDescent="0.25">
      <c r="A1309" s="66"/>
    </row>
    <row r="1310" spans="1:1" x14ac:dyDescent="0.25">
      <c r="A1310" s="66"/>
    </row>
    <row r="1311" spans="1:1" x14ac:dyDescent="0.25">
      <c r="A1311" s="66"/>
    </row>
    <row r="1312" spans="1:1" x14ac:dyDescent="0.25">
      <c r="A1312" s="66"/>
    </row>
    <row r="1313" spans="1:1" x14ac:dyDescent="0.25">
      <c r="A1313" s="66"/>
    </row>
    <row r="1314" spans="1:1" x14ac:dyDescent="0.25">
      <c r="A1314" s="66"/>
    </row>
    <row r="1315" spans="1:1" x14ac:dyDescent="0.25">
      <c r="A1315" s="66"/>
    </row>
    <row r="1316" spans="1:1" x14ac:dyDescent="0.25">
      <c r="A1316" s="66"/>
    </row>
    <row r="1317" spans="1:1" x14ac:dyDescent="0.25">
      <c r="A1317" s="66"/>
    </row>
    <row r="1318" spans="1:1" x14ac:dyDescent="0.25">
      <c r="A1318" s="66"/>
    </row>
    <row r="1319" spans="1:1" x14ac:dyDescent="0.25">
      <c r="A1319" s="66"/>
    </row>
    <row r="1320" spans="1:1" x14ac:dyDescent="0.25">
      <c r="A1320" s="66"/>
    </row>
    <row r="1321" spans="1:1" x14ac:dyDescent="0.25">
      <c r="A1321" s="66"/>
    </row>
    <row r="1322" spans="1:1" x14ac:dyDescent="0.25">
      <c r="A1322" s="66"/>
    </row>
    <row r="1323" spans="1:1" x14ac:dyDescent="0.25">
      <c r="A1323" s="66"/>
    </row>
    <row r="1324" spans="1:1" x14ac:dyDescent="0.25">
      <c r="A1324" s="66"/>
    </row>
    <row r="1325" spans="1:1" x14ac:dyDescent="0.25">
      <c r="A1325" s="66"/>
    </row>
    <row r="1326" spans="1:1" x14ac:dyDescent="0.25">
      <c r="A1326" s="66"/>
    </row>
    <row r="1327" spans="1:1" x14ac:dyDescent="0.25">
      <c r="A1327" s="66"/>
    </row>
    <row r="1328" spans="1:1" x14ac:dyDescent="0.25">
      <c r="A1328" s="66"/>
    </row>
    <row r="1329" spans="1:1" x14ac:dyDescent="0.25">
      <c r="A1329" s="66"/>
    </row>
    <row r="1330" spans="1:1" x14ac:dyDescent="0.25">
      <c r="A1330" s="66"/>
    </row>
    <row r="1331" spans="1:1" x14ac:dyDescent="0.25">
      <c r="A1331" s="66"/>
    </row>
    <row r="1332" spans="1:1" x14ac:dyDescent="0.25">
      <c r="A1332" s="66"/>
    </row>
    <row r="1333" spans="1:1" x14ac:dyDescent="0.25">
      <c r="A1333" s="66"/>
    </row>
    <row r="1334" spans="1:1" x14ac:dyDescent="0.25">
      <c r="A1334" s="66"/>
    </row>
    <row r="1335" spans="1:1" x14ac:dyDescent="0.25">
      <c r="A1335" s="66"/>
    </row>
    <row r="1336" spans="1:1" x14ac:dyDescent="0.25">
      <c r="A1336" s="66"/>
    </row>
    <row r="1337" spans="1:1" x14ac:dyDescent="0.25">
      <c r="A1337" s="66"/>
    </row>
    <row r="1338" spans="1:1" x14ac:dyDescent="0.25">
      <c r="A1338" s="66"/>
    </row>
    <row r="1339" spans="1:1" x14ac:dyDescent="0.25">
      <c r="A1339" s="66"/>
    </row>
    <row r="1340" spans="1:1" x14ac:dyDescent="0.25">
      <c r="A1340" s="66"/>
    </row>
    <row r="1341" spans="1:1" x14ac:dyDescent="0.25">
      <c r="A1341" s="66"/>
    </row>
    <row r="1342" spans="1:1" x14ac:dyDescent="0.25">
      <c r="A1342" s="66"/>
    </row>
    <row r="1343" spans="1:1" x14ac:dyDescent="0.25">
      <c r="A1343" s="66"/>
    </row>
    <row r="1344" spans="1:1" x14ac:dyDescent="0.25">
      <c r="A1344" s="66"/>
    </row>
    <row r="1345" spans="1:1" x14ac:dyDescent="0.25">
      <c r="A1345" s="66"/>
    </row>
    <row r="1346" spans="1:1" x14ac:dyDescent="0.25">
      <c r="A1346" s="66"/>
    </row>
    <row r="1347" spans="1:1" x14ac:dyDescent="0.25">
      <c r="A1347" s="66"/>
    </row>
    <row r="1348" spans="1:1" x14ac:dyDescent="0.25">
      <c r="A1348" s="66"/>
    </row>
    <row r="1349" spans="1:1" x14ac:dyDescent="0.25">
      <c r="A1349" s="66"/>
    </row>
    <row r="1350" spans="1:1" x14ac:dyDescent="0.25">
      <c r="A1350" s="66"/>
    </row>
    <row r="1351" spans="1:1" x14ac:dyDescent="0.25">
      <c r="A1351" s="66"/>
    </row>
    <row r="1352" spans="1:1" x14ac:dyDescent="0.25">
      <c r="A1352" s="66"/>
    </row>
    <row r="1353" spans="1:1" x14ac:dyDescent="0.25">
      <c r="A1353" s="66"/>
    </row>
    <row r="1354" spans="1:1" x14ac:dyDescent="0.25">
      <c r="A1354" s="66"/>
    </row>
    <row r="1355" spans="1:1" x14ac:dyDescent="0.25">
      <c r="A1355" s="66"/>
    </row>
    <row r="1356" spans="1:1" x14ac:dyDescent="0.25">
      <c r="A1356" s="66"/>
    </row>
    <row r="1357" spans="1:1" x14ac:dyDescent="0.25">
      <c r="A1357" s="66"/>
    </row>
    <row r="1358" spans="1:1" x14ac:dyDescent="0.25">
      <c r="A1358" s="66"/>
    </row>
    <row r="1359" spans="1:1" x14ac:dyDescent="0.25">
      <c r="A1359" s="66"/>
    </row>
    <row r="1360" spans="1:1" x14ac:dyDescent="0.25">
      <c r="A1360" s="66"/>
    </row>
    <row r="1361" spans="1:1" x14ac:dyDescent="0.25">
      <c r="A1361" s="66"/>
    </row>
    <row r="1362" spans="1:1" x14ac:dyDescent="0.25">
      <c r="A1362" s="66"/>
    </row>
    <row r="1363" spans="1:1" x14ac:dyDescent="0.25">
      <c r="A1363" s="66"/>
    </row>
    <row r="1364" spans="1:1" x14ac:dyDescent="0.25">
      <c r="A1364" s="66"/>
    </row>
    <row r="1365" spans="1:1" x14ac:dyDescent="0.25">
      <c r="A1365" s="66"/>
    </row>
    <row r="1366" spans="1:1" x14ac:dyDescent="0.25">
      <c r="A1366" s="66"/>
    </row>
    <row r="1367" spans="1:1" x14ac:dyDescent="0.25">
      <c r="A1367" s="66"/>
    </row>
    <row r="1368" spans="1:1" x14ac:dyDescent="0.25">
      <c r="A1368" s="66"/>
    </row>
    <row r="1369" spans="1:1" x14ac:dyDescent="0.25">
      <c r="A1369" s="66"/>
    </row>
    <row r="1370" spans="1:1" x14ac:dyDescent="0.25">
      <c r="A1370" s="66"/>
    </row>
    <row r="1371" spans="1:1" x14ac:dyDescent="0.25">
      <c r="A1371" s="66"/>
    </row>
    <row r="1372" spans="1:1" x14ac:dyDescent="0.25">
      <c r="A1372" s="66"/>
    </row>
    <row r="1373" spans="1:1" x14ac:dyDescent="0.25">
      <c r="A1373" s="66"/>
    </row>
    <row r="1374" spans="1:1" x14ac:dyDescent="0.25">
      <c r="A1374" s="66"/>
    </row>
    <row r="1375" spans="1:1" x14ac:dyDescent="0.25">
      <c r="A1375" s="66"/>
    </row>
    <row r="1376" spans="1:1" x14ac:dyDescent="0.25">
      <c r="A1376" s="66"/>
    </row>
    <row r="1377" spans="1:1" x14ac:dyDescent="0.25">
      <c r="A1377" s="66"/>
    </row>
    <row r="1378" spans="1:1" x14ac:dyDescent="0.25">
      <c r="A1378" s="66"/>
    </row>
    <row r="1379" spans="1:1" x14ac:dyDescent="0.25">
      <c r="A1379" s="66"/>
    </row>
    <row r="1380" spans="1:1" x14ac:dyDescent="0.25">
      <c r="A1380" s="66"/>
    </row>
    <row r="1381" spans="1:1" x14ac:dyDescent="0.25">
      <c r="A1381" s="66"/>
    </row>
    <row r="1382" spans="1:1" x14ac:dyDescent="0.25">
      <c r="A1382" s="66"/>
    </row>
    <row r="1383" spans="1:1" x14ac:dyDescent="0.25">
      <c r="A1383" s="66"/>
    </row>
    <row r="1384" spans="1:1" x14ac:dyDescent="0.25">
      <c r="A1384" s="66"/>
    </row>
    <row r="1385" spans="1:1" x14ac:dyDescent="0.25">
      <c r="A1385" s="66"/>
    </row>
    <row r="1386" spans="1:1" x14ac:dyDescent="0.25">
      <c r="A1386" s="66"/>
    </row>
    <row r="1387" spans="1:1" x14ac:dyDescent="0.25">
      <c r="A1387" s="66"/>
    </row>
    <row r="1388" spans="1:1" x14ac:dyDescent="0.25">
      <c r="A1388" s="66"/>
    </row>
    <row r="1389" spans="1:1" x14ac:dyDescent="0.25">
      <c r="A1389" s="66"/>
    </row>
    <row r="1390" spans="1:1" x14ac:dyDescent="0.25">
      <c r="A1390" s="66"/>
    </row>
    <row r="1391" spans="1:1" x14ac:dyDescent="0.25">
      <c r="A1391" s="66"/>
    </row>
    <row r="1392" spans="1:1" x14ac:dyDescent="0.25">
      <c r="A1392" s="66"/>
    </row>
    <row r="1393" spans="1:1" x14ac:dyDescent="0.25">
      <c r="A1393" s="66"/>
    </row>
    <row r="1394" spans="1:1" x14ac:dyDescent="0.25">
      <c r="A1394" s="66"/>
    </row>
    <row r="1395" spans="1:1" x14ac:dyDescent="0.25">
      <c r="A1395" s="66"/>
    </row>
    <row r="1396" spans="1:1" x14ac:dyDescent="0.25">
      <c r="A1396" s="66"/>
    </row>
    <row r="1397" spans="1:1" x14ac:dyDescent="0.25">
      <c r="A1397" s="66"/>
    </row>
    <row r="1398" spans="1:1" x14ac:dyDescent="0.25">
      <c r="A1398" s="66"/>
    </row>
    <row r="1399" spans="1:1" x14ac:dyDescent="0.25">
      <c r="A1399" s="66"/>
    </row>
    <row r="1400" spans="1:1" x14ac:dyDescent="0.25">
      <c r="A1400" s="66"/>
    </row>
    <row r="1401" spans="1:1" x14ac:dyDescent="0.25">
      <c r="A1401" s="66"/>
    </row>
    <row r="1402" spans="1:1" x14ac:dyDescent="0.25">
      <c r="A1402" s="66"/>
    </row>
    <row r="1403" spans="1:1" x14ac:dyDescent="0.25">
      <c r="A1403" s="66"/>
    </row>
    <row r="1404" spans="1:1" x14ac:dyDescent="0.25">
      <c r="A1404" s="66"/>
    </row>
    <row r="1405" spans="1:1" x14ac:dyDescent="0.25">
      <c r="A1405" s="66"/>
    </row>
    <row r="1406" spans="1:1" x14ac:dyDescent="0.25">
      <c r="A1406" s="66"/>
    </row>
    <row r="1407" spans="1:1" x14ac:dyDescent="0.25">
      <c r="A1407" s="66"/>
    </row>
    <row r="1408" spans="1:1" x14ac:dyDescent="0.25">
      <c r="A1408" s="66"/>
    </row>
    <row r="1409" spans="1:1" x14ac:dyDescent="0.25">
      <c r="A1409" s="66"/>
    </row>
    <row r="1410" spans="1:1" x14ac:dyDescent="0.25">
      <c r="A1410" s="66"/>
    </row>
    <row r="1411" spans="1:1" x14ac:dyDescent="0.25">
      <c r="A1411" s="66"/>
    </row>
    <row r="1412" spans="1:1" x14ac:dyDescent="0.25">
      <c r="A1412" s="66"/>
    </row>
    <row r="1413" spans="1:1" x14ac:dyDescent="0.25">
      <c r="A1413" s="66"/>
    </row>
    <row r="1414" spans="1:1" x14ac:dyDescent="0.25">
      <c r="A1414" s="66"/>
    </row>
    <row r="1415" spans="1:1" x14ac:dyDescent="0.25">
      <c r="A1415" s="66"/>
    </row>
    <row r="1416" spans="1:1" x14ac:dyDescent="0.25">
      <c r="A1416" s="66"/>
    </row>
    <row r="1417" spans="1:1" x14ac:dyDescent="0.25">
      <c r="A1417" s="66"/>
    </row>
    <row r="1418" spans="1:1" x14ac:dyDescent="0.25">
      <c r="A1418" s="66"/>
    </row>
    <row r="1419" spans="1:1" x14ac:dyDescent="0.25">
      <c r="A1419" s="66"/>
    </row>
    <row r="1420" spans="1:1" x14ac:dyDescent="0.25">
      <c r="A1420" s="66"/>
    </row>
    <row r="1421" spans="1:1" x14ac:dyDescent="0.25">
      <c r="A1421" s="66"/>
    </row>
    <row r="1422" spans="1:1" x14ac:dyDescent="0.25">
      <c r="A1422" s="66"/>
    </row>
    <row r="1423" spans="1:1" x14ac:dyDescent="0.25">
      <c r="A1423" s="66"/>
    </row>
    <row r="1424" spans="1:1" x14ac:dyDescent="0.25">
      <c r="A1424" s="66"/>
    </row>
    <row r="1425" spans="1:1" x14ac:dyDescent="0.25">
      <c r="A1425" s="66"/>
    </row>
    <row r="1426" spans="1:1" x14ac:dyDescent="0.25">
      <c r="A1426" s="66"/>
    </row>
    <row r="1427" spans="1:1" x14ac:dyDescent="0.25">
      <c r="A1427" s="66"/>
    </row>
    <row r="1428" spans="1:1" x14ac:dyDescent="0.25">
      <c r="A1428" s="66"/>
    </row>
    <row r="1429" spans="1:1" x14ac:dyDescent="0.25">
      <c r="A1429" s="66"/>
    </row>
    <row r="1430" spans="1:1" x14ac:dyDescent="0.25">
      <c r="A1430" s="66"/>
    </row>
    <row r="1431" spans="1:1" x14ac:dyDescent="0.25">
      <c r="A1431" s="66"/>
    </row>
    <row r="1432" spans="1:1" x14ac:dyDescent="0.25">
      <c r="A1432" s="66"/>
    </row>
    <row r="1433" spans="1:1" x14ac:dyDescent="0.25">
      <c r="A1433" s="66"/>
    </row>
    <row r="1434" spans="1:1" x14ac:dyDescent="0.25">
      <c r="A1434" s="66"/>
    </row>
    <row r="1435" spans="1:1" x14ac:dyDescent="0.25">
      <c r="A1435" s="66"/>
    </row>
    <row r="1436" spans="1:1" x14ac:dyDescent="0.25">
      <c r="A1436" s="66"/>
    </row>
    <row r="1437" spans="1:1" x14ac:dyDescent="0.25">
      <c r="A1437" s="66"/>
    </row>
    <row r="1438" spans="1:1" x14ac:dyDescent="0.25">
      <c r="A1438" s="66"/>
    </row>
    <row r="1439" spans="1:1" x14ac:dyDescent="0.25">
      <c r="A1439" s="66"/>
    </row>
    <row r="1440" spans="1:1" x14ac:dyDescent="0.25">
      <c r="A1440" s="66"/>
    </row>
    <row r="1441" spans="1:1" x14ac:dyDescent="0.25">
      <c r="A1441" s="66"/>
    </row>
    <row r="1442" spans="1:1" x14ac:dyDescent="0.25">
      <c r="A1442" s="66"/>
    </row>
    <row r="1443" spans="1:1" x14ac:dyDescent="0.25">
      <c r="A1443" s="66"/>
    </row>
    <row r="1444" spans="1:1" x14ac:dyDescent="0.25">
      <c r="A1444" s="66"/>
    </row>
    <row r="1445" spans="1:1" x14ac:dyDescent="0.25">
      <c r="A1445" s="66"/>
    </row>
    <row r="1446" spans="1:1" x14ac:dyDescent="0.25">
      <c r="A1446" s="66"/>
    </row>
    <row r="1447" spans="1:1" x14ac:dyDescent="0.25">
      <c r="A1447" s="66"/>
    </row>
    <row r="1448" spans="1:1" x14ac:dyDescent="0.25">
      <c r="A1448" s="66"/>
    </row>
    <row r="1449" spans="1:1" x14ac:dyDescent="0.25">
      <c r="A1449" s="66"/>
    </row>
    <row r="1450" spans="1:1" x14ac:dyDescent="0.25">
      <c r="A1450" s="66"/>
    </row>
    <row r="1451" spans="1:1" x14ac:dyDescent="0.25">
      <c r="A1451" s="66"/>
    </row>
    <row r="1452" spans="1:1" x14ac:dyDescent="0.25">
      <c r="A1452" s="66"/>
    </row>
    <row r="1453" spans="1:1" x14ac:dyDescent="0.25">
      <c r="A1453" s="66"/>
    </row>
    <row r="1454" spans="1:1" x14ac:dyDescent="0.25">
      <c r="A1454" s="66"/>
    </row>
    <row r="1455" spans="1:1" x14ac:dyDescent="0.25">
      <c r="A1455" s="66"/>
    </row>
    <row r="1456" spans="1:1" x14ac:dyDescent="0.25">
      <c r="A1456" s="66"/>
    </row>
    <row r="1457" spans="1:1" x14ac:dyDescent="0.25">
      <c r="A1457" s="66"/>
    </row>
    <row r="1458" spans="1:1" x14ac:dyDescent="0.25">
      <c r="A1458" s="66"/>
    </row>
    <row r="1459" spans="1:1" x14ac:dyDescent="0.25">
      <c r="A1459" s="66"/>
    </row>
    <row r="1460" spans="1:1" x14ac:dyDescent="0.25">
      <c r="A1460" s="66"/>
    </row>
    <row r="1461" spans="1:1" x14ac:dyDescent="0.25">
      <c r="A1461" s="66"/>
    </row>
    <row r="1462" spans="1:1" x14ac:dyDescent="0.25">
      <c r="A1462" s="66"/>
    </row>
    <row r="1463" spans="1:1" x14ac:dyDescent="0.25">
      <c r="A1463" s="66"/>
    </row>
    <row r="1464" spans="1:1" x14ac:dyDescent="0.25">
      <c r="A1464" s="66"/>
    </row>
    <row r="1465" spans="1:1" x14ac:dyDescent="0.25">
      <c r="A1465" s="66"/>
    </row>
    <row r="1466" spans="1:1" x14ac:dyDescent="0.25">
      <c r="A1466" s="66"/>
    </row>
    <row r="1467" spans="1:1" x14ac:dyDescent="0.25">
      <c r="A1467" s="66"/>
    </row>
    <row r="1468" spans="1:1" x14ac:dyDescent="0.25">
      <c r="A1468" s="66"/>
    </row>
    <row r="1469" spans="1:1" x14ac:dyDescent="0.25">
      <c r="A1469" s="66"/>
    </row>
    <row r="1470" spans="1:1" x14ac:dyDescent="0.25">
      <c r="A1470" s="66"/>
    </row>
    <row r="1471" spans="1:1" x14ac:dyDescent="0.25">
      <c r="A1471" s="66"/>
    </row>
    <row r="1472" spans="1:1" x14ac:dyDescent="0.25">
      <c r="A1472" s="66"/>
    </row>
    <row r="1473" spans="1:1" x14ac:dyDescent="0.25">
      <c r="A1473" s="66"/>
    </row>
    <row r="1474" spans="1:1" x14ac:dyDescent="0.25">
      <c r="A1474" s="66"/>
    </row>
    <row r="1475" spans="1:1" x14ac:dyDescent="0.25">
      <c r="A1475" s="66"/>
    </row>
    <row r="1476" spans="1:1" x14ac:dyDescent="0.25">
      <c r="A1476" s="66"/>
    </row>
    <row r="1477" spans="1:1" x14ac:dyDescent="0.25">
      <c r="A1477" s="66"/>
    </row>
    <row r="1478" spans="1:1" x14ac:dyDescent="0.25">
      <c r="A1478" s="66"/>
    </row>
    <row r="1479" spans="1:1" x14ac:dyDescent="0.25">
      <c r="A1479" s="66"/>
    </row>
    <row r="1480" spans="1:1" x14ac:dyDescent="0.25">
      <c r="A1480" s="66"/>
    </row>
    <row r="1481" spans="1:1" x14ac:dyDescent="0.25">
      <c r="A1481" s="66"/>
    </row>
    <row r="1482" spans="1:1" x14ac:dyDescent="0.25">
      <c r="A1482" s="66"/>
    </row>
    <row r="1483" spans="1:1" x14ac:dyDescent="0.25">
      <c r="A1483" s="66"/>
    </row>
    <row r="1484" spans="1:1" x14ac:dyDescent="0.25">
      <c r="A1484" s="66"/>
    </row>
    <row r="1485" spans="1:1" x14ac:dyDescent="0.25">
      <c r="A1485" s="66"/>
    </row>
    <row r="1486" spans="1:1" x14ac:dyDescent="0.25">
      <c r="A1486" s="66"/>
    </row>
    <row r="1487" spans="1:1" x14ac:dyDescent="0.25">
      <c r="A1487" s="66"/>
    </row>
    <row r="1488" spans="1:1" x14ac:dyDescent="0.25">
      <c r="A1488" s="66"/>
    </row>
    <row r="1489" spans="1:1" x14ac:dyDescent="0.25">
      <c r="A1489" s="66"/>
    </row>
    <row r="1490" spans="1:1" x14ac:dyDescent="0.25">
      <c r="A1490" s="66"/>
    </row>
    <row r="1491" spans="1:1" x14ac:dyDescent="0.25">
      <c r="A1491" s="66"/>
    </row>
    <row r="1492" spans="1:1" x14ac:dyDescent="0.25">
      <c r="A1492" s="66"/>
    </row>
    <row r="1493" spans="1:1" x14ac:dyDescent="0.25">
      <c r="A1493" s="66"/>
    </row>
    <row r="1494" spans="1:1" x14ac:dyDescent="0.25">
      <c r="A1494" s="66"/>
    </row>
    <row r="1495" spans="1:1" x14ac:dyDescent="0.25">
      <c r="A1495" s="66"/>
    </row>
    <row r="1496" spans="1:1" x14ac:dyDescent="0.25">
      <c r="A1496" s="66"/>
    </row>
    <row r="1497" spans="1:1" x14ac:dyDescent="0.25">
      <c r="A1497" s="66"/>
    </row>
    <row r="1498" spans="1:1" x14ac:dyDescent="0.25">
      <c r="A1498" s="66"/>
    </row>
    <row r="1499" spans="1:1" x14ac:dyDescent="0.25">
      <c r="A1499" s="66"/>
    </row>
    <row r="1500" spans="1:1" x14ac:dyDescent="0.25">
      <c r="A1500" s="66"/>
    </row>
    <row r="1501" spans="1:1" x14ac:dyDescent="0.25">
      <c r="A1501" s="66"/>
    </row>
    <row r="1502" spans="1:1" x14ac:dyDescent="0.25">
      <c r="A1502" s="66"/>
    </row>
    <row r="1503" spans="1:1" x14ac:dyDescent="0.25">
      <c r="A1503" s="66"/>
    </row>
    <row r="1504" spans="1:1" x14ac:dyDescent="0.25">
      <c r="A1504" s="66"/>
    </row>
    <row r="1505" spans="1:1" x14ac:dyDescent="0.25">
      <c r="A1505" s="66"/>
    </row>
    <row r="1506" spans="1:1" x14ac:dyDescent="0.25">
      <c r="A1506" s="66"/>
    </row>
    <row r="1507" spans="1:1" x14ac:dyDescent="0.25">
      <c r="A1507" s="66"/>
    </row>
    <row r="1508" spans="1:1" x14ac:dyDescent="0.25">
      <c r="A1508" s="66"/>
    </row>
    <row r="1509" spans="1:1" x14ac:dyDescent="0.25">
      <c r="A1509" s="66"/>
    </row>
    <row r="1510" spans="1:1" x14ac:dyDescent="0.25">
      <c r="A1510" s="66"/>
    </row>
    <row r="1511" spans="1:1" x14ac:dyDescent="0.25">
      <c r="A1511" s="66"/>
    </row>
    <row r="1512" spans="1:1" x14ac:dyDescent="0.25">
      <c r="A1512" s="66"/>
    </row>
    <row r="1513" spans="1:1" x14ac:dyDescent="0.25">
      <c r="A1513" s="66"/>
    </row>
    <row r="1514" spans="1:1" x14ac:dyDescent="0.25">
      <c r="A1514" s="66"/>
    </row>
    <row r="1515" spans="1:1" x14ac:dyDescent="0.25">
      <c r="A1515" s="66"/>
    </row>
    <row r="1516" spans="1:1" x14ac:dyDescent="0.25">
      <c r="A1516" s="66"/>
    </row>
    <row r="1517" spans="1:1" x14ac:dyDescent="0.25">
      <c r="A1517" s="66"/>
    </row>
    <row r="1518" spans="1:1" x14ac:dyDescent="0.25">
      <c r="A1518" s="66"/>
    </row>
    <row r="1519" spans="1:1" x14ac:dyDescent="0.25">
      <c r="A1519" s="66"/>
    </row>
    <row r="1520" spans="1:1" x14ac:dyDescent="0.25">
      <c r="A1520" s="66"/>
    </row>
    <row r="1521" spans="1:1" x14ac:dyDescent="0.25">
      <c r="A1521" s="66"/>
    </row>
    <row r="1522" spans="1:1" x14ac:dyDescent="0.25">
      <c r="A1522" s="66"/>
    </row>
    <row r="1523" spans="1:1" x14ac:dyDescent="0.25">
      <c r="A1523" s="66"/>
    </row>
    <row r="1524" spans="1:1" x14ac:dyDescent="0.25">
      <c r="A1524" s="66"/>
    </row>
    <row r="1525" spans="1:1" x14ac:dyDescent="0.25">
      <c r="A1525" s="66"/>
    </row>
    <row r="1526" spans="1:1" x14ac:dyDescent="0.25">
      <c r="A1526" s="66"/>
    </row>
    <row r="1527" spans="1:1" x14ac:dyDescent="0.25">
      <c r="A1527" s="66"/>
    </row>
    <row r="1528" spans="1:1" x14ac:dyDescent="0.25">
      <c r="A1528" s="66"/>
    </row>
    <row r="1529" spans="1:1" x14ac:dyDescent="0.25">
      <c r="A1529" s="66"/>
    </row>
    <row r="1530" spans="1:1" x14ac:dyDescent="0.25">
      <c r="A1530" s="66"/>
    </row>
    <row r="1531" spans="1:1" x14ac:dyDescent="0.25">
      <c r="A1531" s="66"/>
    </row>
    <row r="1532" spans="1:1" x14ac:dyDescent="0.25">
      <c r="A1532" s="66"/>
    </row>
    <row r="1533" spans="1:1" x14ac:dyDescent="0.25">
      <c r="A1533" s="66"/>
    </row>
    <row r="1534" spans="1:1" x14ac:dyDescent="0.25">
      <c r="A1534" s="66"/>
    </row>
    <row r="1535" spans="1:1" x14ac:dyDescent="0.25">
      <c r="A1535" s="66"/>
    </row>
    <row r="1536" spans="1:1" x14ac:dyDescent="0.25">
      <c r="A1536" s="66"/>
    </row>
    <row r="1537" spans="1:1" x14ac:dyDescent="0.25">
      <c r="A1537" s="66"/>
    </row>
    <row r="1538" spans="1:1" x14ac:dyDescent="0.25">
      <c r="A1538" s="66"/>
    </row>
    <row r="1539" spans="1:1" x14ac:dyDescent="0.25">
      <c r="A1539" s="66"/>
    </row>
    <row r="1540" spans="1:1" x14ac:dyDescent="0.25">
      <c r="A1540" s="66"/>
    </row>
    <row r="1541" spans="1:1" x14ac:dyDescent="0.25">
      <c r="A1541" s="66"/>
    </row>
    <row r="1542" spans="1:1" x14ac:dyDescent="0.25">
      <c r="A1542" s="66"/>
    </row>
    <row r="1543" spans="1:1" x14ac:dyDescent="0.25">
      <c r="A1543" s="66"/>
    </row>
    <row r="1544" spans="1:1" x14ac:dyDescent="0.25">
      <c r="A1544" s="66"/>
    </row>
    <row r="1545" spans="1:1" x14ac:dyDescent="0.25">
      <c r="A1545" s="66"/>
    </row>
    <row r="1546" spans="1:1" x14ac:dyDescent="0.25">
      <c r="A1546" s="66"/>
    </row>
    <row r="1547" spans="1:1" x14ac:dyDescent="0.25">
      <c r="A1547" s="66"/>
    </row>
    <row r="1548" spans="1:1" x14ac:dyDescent="0.25">
      <c r="A1548" s="66"/>
    </row>
    <row r="1549" spans="1:1" x14ac:dyDescent="0.25">
      <c r="A1549" s="66"/>
    </row>
    <row r="1550" spans="1:1" x14ac:dyDescent="0.25">
      <c r="A1550" s="66"/>
    </row>
    <row r="1551" spans="1:1" x14ac:dyDescent="0.25">
      <c r="A1551" s="66"/>
    </row>
    <row r="1552" spans="1:1" x14ac:dyDescent="0.25">
      <c r="A1552" s="66"/>
    </row>
    <row r="1553" spans="1:1" x14ac:dyDescent="0.25">
      <c r="A1553" s="66"/>
    </row>
    <row r="1554" spans="1:1" x14ac:dyDescent="0.25">
      <c r="A1554" s="66"/>
    </row>
    <row r="1555" spans="1:1" x14ac:dyDescent="0.25">
      <c r="A1555" s="66"/>
    </row>
    <row r="1556" spans="1:1" x14ac:dyDescent="0.25">
      <c r="A1556" s="66"/>
    </row>
    <row r="1557" spans="1:1" x14ac:dyDescent="0.25">
      <c r="A1557" s="66"/>
    </row>
    <row r="1558" spans="1:1" x14ac:dyDescent="0.25">
      <c r="A1558" s="66"/>
    </row>
    <row r="1559" spans="1:1" x14ac:dyDescent="0.25">
      <c r="A1559" s="66"/>
    </row>
    <row r="1560" spans="1:1" x14ac:dyDescent="0.25">
      <c r="A1560" s="66"/>
    </row>
    <row r="1561" spans="1:1" x14ac:dyDescent="0.25">
      <c r="A1561" s="66"/>
    </row>
    <row r="1562" spans="1:1" x14ac:dyDescent="0.25">
      <c r="A1562" s="66"/>
    </row>
    <row r="1563" spans="1:1" x14ac:dyDescent="0.25">
      <c r="A1563" s="66"/>
    </row>
    <row r="1564" spans="1:1" x14ac:dyDescent="0.25">
      <c r="A1564" s="66"/>
    </row>
    <row r="1565" spans="1:1" x14ac:dyDescent="0.25">
      <c r="A1565" s="66"/>
    </row>
    <row r="1566" spans="1:1" x14ac:dyDescent="0.25">
      <c r="A1566" s="66"/>
    </row>
    <row r="1567" spans="1:1" x14ac:dyDescent="0.25">
      <c r="A1567" s="66"/>
    </row>
    <row r="1568" spans="1:1" x14ac:dyDescent="0.25">
      <c r="A1568" s="66"/>
    </row>
    <row r="1569" spans="1:1" x14ac:dyDescent="0.25">
      <c r="A1569" s="66"/>
    </row>
    <row r="1570" spans="1:1" x14ac:dyDescent="0.25">
      <c r="A1570" s="66"/>
    </row>
    <row r="1571" spans="1:1" x14ac:dyDescent="0.25">
      <c r="A1571" s="66"/>
    </row>
    <row r="1572" spans="1:1" x14ac:dyDescent="0.25">
      <c r="A1572" s="66"/>
    </row>
    <row r="1573" spans="1:1" x14ac:dyDescent="0.25">
      <c r="A1573" s="66"/>
    </row>
    <row r="1574" spans="1:1" x14ac:dyDescent="0.25">
      <c r="A1574" s="66"/>
    </row>
    <row r="1575" spans="1:1" x14ac:dyDescent="0.25">
      <c r="A1575" s="66"/>
    </row>
    <row r="1576" spans="1:1" x14ac:dyDescent="0.25">
      <c r="A1576" s="66"/>
    </row>
    <row r="1577" spans="1:1" x14ac:dyDescent="0.25">
      <c r="A1577" s="66"/>
    </row>
    <row r="1578" spans="1:1" x14ac:dyDescent="0.25">
      <c r="A1578" s="66"/>
    </row>
    <row r="1579" spans="1:1" x14ac:dyDescent="0.25">
      <c r="A1579" s="66"/>
    </row>
    <row r="1580" spans="1:1" x14ac:dyDescent="0.25">
      <c r="A1580" s="66"/>
    </row>
    <row r="1581" spans="1:1" x14ac:dyDescent="0.25">
      <c r="A1581" s="66"/>
    </row>
    <row r="1582" spans="1:1" x14ac:dyDescent="0.25">
      <c r="A1582" s="66"/>
    </row>
    <row r="1583" spans="1:1" x14ac:dyDescent="0.25">
      <c r="A1583" s="66"/>
    </row>
    <row r="1584" spans="1:1" x14ac:dyDescent="0.25">
      <c r="A1584" s="66"/>
    </row>
    <row r="1585" spans="1:1" x14ac:dyDescent="0.25">
      <c r="A1585" s="66"/>
    </row>
    <row r="1586" spans="1:1" x14ac:dyDescent="0.25">
      <c r="A1586" s="66"/>
    </row>
    <row r="1587" spans="1:1" x14ac:dyDescent="0.25">
      <c r="A1587" s="66"/>
    </row>
    <row r="1588" spans="1:1" x14ac:dyDescent="0.25">
      <c r="A1588" s="66"/>
    </row>
    <row r="1589" spans="1:1" x14ac:dyDescent="0.25">
      <c r="A1589" s="66"/>
    </row>
    <row r="1590" spans="1:1" x14ac:dyDescent="0.25">
      <c r="A1590" s="66"/>
    </row>
    <row r="1591" spans="1:1" x14ac:dyDescent="0.25">
      <c r="A1591" s="66"/>
    </row>
    <row r="1592" spans="1:1" x14ac:dyDescent="0.25">
      <c r="A1592" s="66"/>
    </row>
    <row r="1593" spans="1:1" x14ac:dyDescent="0.25">
      <c r="A1593" s="66"/>
    </row>
    <row r="1594" spans="1:1" x14ac:dyDescent="0.25">
      <c r="A1594" s="66"/>
    </row>
    <row r="1595" spans="1:1" x14ac:dyDescent="0.25">
      <c r="A1595" s="66"/>
    </row>
    <row r="1596" spans="1:1" x14ac:dyDescent="0.25">
      <c r="A1596" s="66"/>
    </row>
    <row r="1597" spans="1:1" x14ac:dyDescent="0.25">
      <c r="A1597" s="66"/>
    </row>
    <row r="1598" spans="1:1" x14ac:dyDescent="0.25">
      <c r="A1598" s="66"/>
    </row>
    <row r="1599" spans="1:1" x14ac:dyDescent="0.25">
      <c r="A1599" s="66"/>
    </row>
    <row r="1600" spans="1:1" x14ac:dyDescent="0.25">
      <c r="A1600" s="66"/>
    </row>
    <row r="1601" spans="1:1" x14ac:dyDescent="0.25">
      <c r="A1601" s="66"/>
    </row>
    <row r="1602" spans="1:1" x14ac:dyDescent="0.25">
      <c r="A1602" s="66"/>
    </row>
    <row r="1603" spans="1:1" x14ac:dyDescent="0.25">
      <c r="A1603" s="66"/>
    </row>
    <row r="1604" spans="1:1" x14ac:dyDescent="0.25">
      <c r="A1604" s="66"/>
    </row>
    <row r="1605" spans="1:1" x14ac:dyDescent="0.25">
      <c r="A1605" s="66"/>
    </row>
    <row r="1606" spans="1:1" x14ac:dyDescent="0.25">
      <c r="A1606" s="66"/>
    </row>
    <row r="1607" spans="1:1" x14ac:dyDescent="0.25">
      <c r="A1607" s="66"/>
    </row>
    <row r="1608" spans="1:1" x14ac:dyDescent="0.25">
      <c r="A1608" s="66"/>
    </row>
    <row r="1609" spans="1:1" x14ac:dyDescent="0.25">
      <c r="A1609" s="66"/>
    </row>
    <row r="1610" spans="1:1" x14ac:dyDescent="0.25">
      <c r="A1610" s="66"/>
    </row>
    <row r="1611" spans="1:1" x14ac:dyDescent="0.25">
      <c r="A1611" s="66"/>
    </row>
    <row r="1612" spans="1:1" x14ac:dyDescent="0.25">
      <c r="A1612" s="66"/>
    </row>
    <row r="1613" spans="1:1" x14ac:dyDescent="0.25">
      <c r="A1613" s="66"/>
    </row>
    <row r="1614" spans="1:1" x14ac:dyDescent="0.25">
      <c r="A1614" s="66"/>
    </row>
    <row r="1615" spans="1:1" x14ac:dyDescent="0.25">
      <c r="A1615" s="66"/>
    </row>
    <row r="1616" spans="1:1" x14ac:dyDescent="0.25">
      <c r="A1616" s="66"/>
    </row>
    <row r="1617" spans="1:1" x14ac:dyDescent="0.25">
      <c r="A1617" s="66"/>
    </row>
    <row r="1618" spans="1:1" x14ac:dyDescent="0.25">
      <c r="A1618" s="66"/>
    </row>
    <row r="1619" spans="1:1" x14ac:dyDescent="0.25">
      <c r="A1619" s="66"/>
    </row>
    <row r="1620" spans="1:1" x14ac:dyDescent="0.25">
      <c r="A1620" s="66"/>
    </row>
    <row r="1621" spans="1:1" x14ac:dyDescent="0.25">
      <c r="A1621" s="66"/>
    </row>
    <row r="1622" spans="1:1" x14ac:dyDescent="0.25">
      <c r="A1622" s="66"/>
    </row>
    <row r="1623" spans="1:1" x14ac:dyDescent="0.25">
      <c r="A1623" s="66"/>
    </row>
    <row r="1624" spans="1:1" x14ac:dyDescent="0.25">
      <c r="A1624" s="66"/>
    </row>
    <row r="1625" spans="1:1" x14ac:dyDescent="0.25">
      <c r="A1625" s="66"/>
    </row>
    <row r="1626" spans="1:1" x14ac:dyDescent="0.25">
      <c r="A1626" s="66"/>
    </row>
    <row r="1627" spans="1:1" x14ac:dyDescent="0.25">
      <c r="A1627" s="66"/>
    </row>
    <row r="1628" spans="1:1" x14ac:dyDescent="0.25">
      <c r="A1628" s="66"/>
    </row>
    <row r="1629" spans="1:1" x14ac:dyDescent="0.25">
      <c r="A1629" s="66"/>
    </row>
    <row r="1630" spans="1:1" x14ac:dyDescent="0.25">
      <c r="A1630" s="66"/>
    </row>
    <row r="1631" spans="1:1" x14ac:dyDescent="0.25">
      <c r="A1631" s="66"/>
    </row>
    <row r="1632" spans="1:1" x14ac:dyDescent="0.25">
      <c r="A1632" s="66"/>
    </row>
    <row r="1633" spans="1:1" x14ac:dyDescent="0.25">
      <c r="A1633" s="66"/>
    </row>
    <row r="1634" spans="1:1" x14ac:dyDescent="0.25">
      <c r="A1634" s="66"/>
    </row>
    <row r="1635" spans="1:1" x14ac:dyDescent="0.25">
      <c r="A1635" s="66"/>
    </row>
    <row r="1636" spans="1:1" x14ac:dyDescent="0.25">
      <c r="A1636" s="66"/>
    </row>
    <row r="1637" spans="1:1" x14ac:dyDescent="0.25">
      <c r="A1637" s="66"/>
    </row>
    <row r="1638" spans="1:1" x14ac:dyDescent="0.25">
      <c r="A1638" s="66"/>
    </row>
    <row r="1639" spans="1:1" x14ac:dyDescent="0.25">
      <c r="A1639" s="66"/>
    </row>
    <row r="1640" spans="1:1" x14ac:dyDescent="0.25">
      <c r="A1640" s="66"/>
    </row>
    <row r="1641" spans="1:1" x14ac:dyDescent="0.25">
      <c r="A1641" s="66"/>
    </row>
    <row r="1642" spans="1:1" x14ac:dyDescent="0.25">
      <c r="A1642" s="66"/>
    </row>
    <row r="1643" spans="1:1" x14ac:dyDescent="0.25">
      <c r="A1643" s="66"/>
    </row>
    <row r="1644" spans="1:1" x14ac:dyDescent="0.25">
      <c r="A1644" s="66"/>
    </row>
    <row r="1645" spans="1:1" x14ac:dyDescent="0.25">
      <c r="A1645" s="66"/>
    </row>
    <row r="1646" spans="1:1" x14ac:dyDescent="0.25">
      <c r="A1646" s="66"/>
    </row>
    <row r="1647" spans="1:1" x14ac:dyDescent="0.25">
      <c r="A1647" s="66"/>
    </row>
    <row r="1648" spans="1:1" x14ac:dyDescent="0.25">
      <c r="A1648" s="66"/>
    </row>
    <row r="1649" spans="1:1" x14ac:dyDescent="0.25">
      <c r="A1649" s="66"/>
    </row>
    <row r="1650" spans="1:1" x14ac:dyDescent="0.25">
      <c r="A1650" s="66"/>
    </row>
    <row r="1651" spans="1:1" x14ac:dyDescent="0.25">
      <c r="A1651" s="66"/>
    </row>
    <row r="1652" spans="1:1" x14ac:dyDescent="0.25">
      <c r="A1652" s="66"/>
    </row>
    <row r="1653" spans="1:1" x14ac:dyDescent="0.25">
      <c r="A1653" s="66"/>
    </row>
    <row r="1654" spans="1:1" x14ac:dyDescent="0.25">
      <c r="A1654" s="66"/>
    </row>
    <row r="1655" spans="1:1" x14ac:dyDescent="0.25">
      <c r="A1655" s="66"/>
    </row>
    <row r="1656" spans="1:1" x14ac:dyDescent="0.25">
      <c r="A1656" s="66"/>
    </row>
    <row r="1657" spans="1:1" x14ac:dyDescent="0.25">
      <c r="A1657" s="66"/>
    </row>
    <row r="1658" spans="1:1" x14ac:dyDescent="0.25">
      <c r="A1658" s="66"/>
    </row>
    <row r="1659" spans="1:1" x14ac:dyDescent="0.25">
      <c r="A1659" s="66"/>
    </row>
    <row r="1660" spans="1:1" x14ac:dyDescent="0.25">
      <c r="A1660" s="66"/>
    </row>
    <row r="1661" spans="1:1" x14ac:dyDescent="0.25">
      <c r="A1661" s="66"/>
    </row>
    <row r="1662" spans="1:1" x14ac:dyDescent="0.25">
      <c r="A1662" s="66"/>
    </row>
    <row r="1663" spans="1:1" x14ac:dyDescent="0.25">
      <c r="A1663" s="66"/>
    </row>
    <row r="1664" spans="1:1" x14ac:dyDescent="0.25">
      <c r="A1664" s="66"/>
    </row>
    <row r="1665" spans="1:1" x14ac:dyDescent="0.25">
      <c r="A1665" s="66"/>
    </row>
    <row r="1666" spans="1:1" x14ac:dyDescent="0.25">
      <c r="A1666" s="66"/>
    </row>
    <row r="1667" spans="1:1" x14ac:dyDescent="0.25">
      <c r="A1667" s="66"/>
    </row>
    <row r="1668" spans="1:1" x14ac:dyDescent="0.25">
      <c r="A1668" s="66"/>
    </row>
    <row r="1669" spans="1:1" x14ac:dyDescent="0.25">
      <c r="A1669" s="66"/>
    </row>
    <row r="1670" spans="1:1" x14ac:dyDescent="0.25">
      <c r="A1670" s="66"/>
    </row>
    <row r="1671" spans="1:1" x14ac:dyDescent="0.25">
      <c r="A1671" s="66"/>
    </row>
    <row r="1672" spans="1:1" x14ac:dyDescent="0.25">
      <c r="A1672" s="66"/>
    </row>
    <row r="1673" spans="1:1" x14ac:dyDescent="0.25">
      <c r="A1673" s="66"/>
    </row>
    <row r="1674" spans="1:1" x14ac:dyDescent="0.25">
      <c r="A1674" s="66"/>
    </row>
    <row r="1675" spans="1:1" x14ac:dyDescent="0.25">
      <c r="A1675" s="66"/>
    </row>
    <row r="1676" spans="1:1" x14ac:dyDescent="0.25">
      <c r="A1676" s="66"/>
    </row>
    <row r="1677" spans="1:1" x14ac:dyDescent="0.25">
      <c r="A1677" s="66"/>
    </row>
    <row r="1678" spans="1:1" x14ac:dyDescent="0.25">
      <c r="A1678" s="66"/>
    </row>
    <row r="1679" spans="1:1" x14ac:dyDescent="0.25">
      <c r="A1679" s="66"/>
    </row>
    <row r="1680" spans="1:1" x14ac:dyDescent="0.25">
      <c r="A1680" s="66"/>
    </row>
    <row r="1681" spans="1:1" x14ac:dyDescent="0.25">
      <c r="A1681" s="66"/>
    </row>
    <row r="1682" spans="1:1" x14ac:dyDescent="0.25">
      <c r="A1682" s="66"/>
    </row>
    <row r="1683" spans="1:1" x14ac:dyDescent="0.25">
      <c r="A1683" s="66"/>
    </row>
    <row r="1684" spans="1:1" x14ac:dyDescent="0.25">
      <c r="A1684" s="66"/>
    </row>
    <row r="1685" spans="1:1" x14ac:dyDescent="0.25">
      <c r="A1685" s="66"/>
    </row>
    <row r="1686" spans="1:1" x14ac:dyDescent="0.25">
      <c r="A1686" s="66"/>
    </row>
    <row r="1687" spans="1:1" x14ac:dyDescent="0.25">
      <c r="A1687" s="66"/>
    </row>
    <row r="1688" spans="1:1" x14ac:dyDescent="0.25">
      <c r="A1688" s="66"/>
    </row>
    <row r="1689" spans="1:1" x14ac:dyDescent="0.25">
      <c r="A1689" s="66"/>
    </row>
    <row r="1690" spans="1:1" x14ac:dyDescent="0.25">
      <c r="A1690" s="66"/>
    </row>
    <row r="1691" spans="1:1" x14ac:dyDescent="0.25">
      <c r="A1691" s="66"/>
    </row>
    <row r="1692" spans="1:1" x14ac:dyDescent="0.25">
      <c r="A1692" s="66"/>
    </row>
    <row r="1693" spans="1:1" x14ac:dyDescent="0.25">
      <c r="A1693" s="66"/>
    </row>
    <row r="1694" spans="1:1" x14ac:dyDescent="0.25">
      <c r="A1694" s="66"/>
    </row>
    <row r="1695" spans="1:1" x14ac:dyDescent="0.25">
      <c r="A1695" s="66"/>
    </row>
    <row r="1696" spans="1:1" x14ac:dyDescent="0.25">
      <c r="A1696" s="66"/>
    </row>
    <row r="1697" spans="1:1" x14ac:dyDescent="0.25">
      <c r="A1697" s="66"/>
    </row>
    <row r="1698" spans="1:1" x14ac:dyDescent="0.25">
      <c r="A1698" s="66"/>
    </row>
    <row r="1699" spans="1:1" x14ac:dyDescent="0.25">
      <c r="A1699" s="66"/>
    </row>
    <row r="1700" spans="1:1" x14ac:dyDescent="0.25">
      <c r="A1700" s="66"/>
    </row>
    <row r="1701" spans="1:1" x14ac:dyDescent="0.25">
      <c r="A1701" s="66"/>
    </row>
    <row r="1702" spans="1:1" x14ac:dyDescent="0.25">
      <c r="A1702" s="66"/>
    </row>
    <row r="1703" spans="1:1" x14ac:dyDescent="0.25">
      <c r="A1703" s="66"/>
    </row>
    <row r="1704" spans="1:1" x14ac:dyDescent="0.25">
      <c r="A1704" s="66"/>
    </row>
    <row r="1705" spans="1:1" x14ac:dyDescent="0.25">
      <c r="A1705" s="66"/>
    </row>
    <row r="1706" spans="1:1" x14ac:dyDescent="0.25">
      <c r="A1706" s="66"/>
    </row>
    <row r="1707" spans="1:1" x14ac:dyDescent="0.25">
      <c r="A1707" s="66"/>
    </row>
    <row r="1708" spans="1:1" x14ac:dyDescent="0.25">
      <c r="A1708" s="66"/>
    </row>
    <row r="1709" spans="1:1" x14ac:dyDescent="0.25">
      <c r="A1709" s="66"/>
    </row>
    <row r="1710" spans="1:1" x14ac:dyDescent="0.25">
      <c r="A1710" s="66"/>
    </row>
    <row r="1711" spans="1:1" x14ac:dyDescent="0.25">
      <c r="A1711" s="66"/>
    </row>
    <row r="1712" spans="1:1" x14ac:dyDescent="0.25">
      <c r="A1712" s="66"/>
    </row>
    <row r="1713" spans="1:1" x14ac:dyDescent="0.25">
      <c r="A1713" s="66"/>
    </row>
    <row r="1714" spans="1:1" x14ac:dyDescent="0.25">
      <c r="A1714" s="66"/>
    </row>
    <row r="1715" spans="1:1" x14ac:dyDescent="0.25">
      <c r="A1715" s="66"/>
    </row>
    <row r="1716" spans="1:1" x14ac:dyDescent="0.25">
      <c r="A1716" s="66"/>
    </row>
    <row r="1717" spans="1:1" x14ac:dyDescent="0.25">
      <c r="A1717" s="66"/>
    </row>
    <row r="1718" spans="1:1" x14ac:dyDescent="0.25">
      <c r="A1718" s="66"/>
    </row>
    <row r="1719" spans="1:1" x14ac:dyDescent="0.25">
      <c r="A1719" s="66"/>
    </row>
    <row r="1720" spans="1:1" x14ac:dyDescent="0.25">
      <c r="A1720" s="66"/>
    </row>
    <row r="1721" spans="1:1" x14ac:dyDescent="0.25">
      <c r="A1721" s="66"/>
    </row>
    <row r="1722" spans="1:1" x14ac:dyDescent="0.25">
      <c r="A1722" s="66"/>
    </row>
    <row r="1723" spans="1:1" x14ac:dyDescent="0.25">
      <c r="A1723" s="66"/>
    </row>
    <row r="1724" spans="1:1" x14ac:dyDescent="0.25">
      <c r="A1724" s="66"/>
    </row>
    <row r="1725" spans="1:1" x14ac:dyDescent="0.25">
      <c r="A1725" s="66"/>
    </row>
    <row r="1726" spans="1:1" x14ac:dyDescent="0.25">
      <c r="A1726" s="66"/>
    </row>
    <row r="1727" spans="1:1" x14ac:dyDescent="0.25">
      <c r="A1727" s="66"/>
    </row>
    <row r="1728" spans="1:1" x14ac:dyDescent="0.25">
      <c r="A1728" s="66"/>
    </row>
    <row r="1729" spans="1:1" x14ac:dyDescent="0.25">
      <c r="A1729" s="66"/>
    </row>
    <row r="1730" spans="1:1" x14ac:dyDescent="0.25">
      <c r="A1730" s="66"/>
    </row>
    <row r="1731" spans="1:1" x14ac:dyDescent="0.25">
      <c r="A1731" s="66"/>
    </row>
    <row r="1732" spans="1:1" x14ac:dyDescent="0.25">
      <c r="A1732" s="66"/>
    </row>
    <row r="1733" spans="1:1" x14ac:dyDescent="0.25">
      <c r="A1733" s="66"/>
    </row>
    <row r="1734" spans="1:1" x14ac:dyDescent="0.25">
      <c r="A1734" s="66"/>
    </row>
    <row r="1735" spans="1:1" x14ac:dyDescent="0.25">
      <c r="A1735" s="66"/>
    </row>
    <row r="1736" spans="1:1" x14ac:dyDescent="0.25">
      <c r="A1736" s="66"/>
    </row>
    <row r="1737" spans="1:1" x14ac:dyDescent="0.25">
      <c r="A1737" s="66"/>
    </row>
    <row r="1738" spans="1:1" x14ac:dyDescent="0.25">
      <c r="A1738" s="66"/>
    </row>
    <row r="1739" spans="1:1" x14ac:dyDescent="0.25">
      <c r="A1739" s="66"/>
    </row>
    <row r="1740" spans="1:1" x14ac:dyDescent="0.25">
      <c r="A1740" s="66"/>
    </row>
    <row r="1741" spans="1:1" x14ac:dyDescent="0.25">
      <c r="A1741" s="66"/>
    </row>
    <row r="1742" spans="1:1" x14ac:dyDescent="0.25">
      <c r="A1742" s="66"/>
    </row>
    <row r="1743" spans="1:1" x14ac:dyDescent="0.25">
      <c r="A1743" s="66"/>
    </row>
    <row r="1744" spans="1:1" x14ac:dyDescent="0.25">
      <c r="A1744" s="66"/>
    </row>
    <row r="1745" spans="1:1" x14ac:dyDescent="0.25">
      <c r="A1745" s="66"/>
    </row>
    <row r="1746" spans="1:1" x14ac:dyDescent="0.25">
      <c r="A1746" s="66"/>
    </row>
    <row r="1747" spans="1:1" x14ac:dyDescent="0.25">
      <c r="A1747" s="66"/>
    </row>
    <row r="1748" spans="1:1" x14ac:dyDescent="0.25">
      <c r="A1748" s="66"/>
    </row>
    <row r="1749" spans="1:1" x14ac:dyDescent="0.25">
      <c r="A1749" s="66"/>
    </row>
    <row r="1750" spans="1:1" x14ac:dyDescent="0.25">
      <c r="A1750" s="66"/>
    </row>
    <row r="1751" spans="1:1" x14ac:dyDescent="0.25">
      <c r="A1751" s="66"/>
    </row>
    <row r="1752" spans="1:1" x14ac:dyDescent="0.25">
      <c r="A1752" s="66"/>
    </row>
    <row r="1753" spans="1:1" x14ac:dyDescent="0.25">
      <c r="A1753" s="66"/>
    </row>
    <row r="1754" spans="1:1" x14ac:dyDescent="0.25">
      <c r="A1754" s="66"/>
    </row>
    <row r="1755" spans="1:1" x14ac:dyDescent="0.25">
      <c r="A1755" s="66"/>
    </row>
    <row r="1756" spans="1:1" x14ac:dyDescent="0.25">
      <c r="A1756" s="66"/>
    </row>
    <row r="1757" spans="1:1" x14ac:dyDescent="0.25">
      <c r="A1757" s="66"/>
    </row>
    <row r="1758" spans="1:1" x14ac:dyDescent="0.25">
      <c r="A1758" s="66"/>
    </row>
    <row r="1759" spans="1:1" x14ac:dyDescent="0.25">
      <c r="A1759" s="66"/>
    </row>
    <row r="1760" spans="1:1" x14ac:dyDescent="0.25">
      <c r="A1760" s="66"/>
    </row>
    <row r="1761" spans="1:1" x14ac:dyDescent="0.25">
      <c r="A1761" s="66"/>
    </row>
    <row r="1762" spans="1:1" x14ac:dyDescent="0.25">
      <c r="A1762" s="66"/>
    </row>
    <row r="1763" spans="1:1" x14ac:dyDescent="0.25">
      <c r="A1763" s="66"/>
    </row>
    <row r="1764" spans="1:1" x14ac:dyDescent="0.25">
      <c r="A1764" s="66"/>
    </row>
    <row r="1765" spans="1:1" x14ac:dyDescent="0.25">
      <c r="A1765" s="66"/>
    </row>
    <row r="1766" spans="1:1" x14ac:dyDescent="0.25">
      <c r="A1766" s="66"/>
    </row>
    <row r="1767" spans="1:1" x14ac:dyDescent="0.25">
      <c r="A1767" s="66"/>
    </row>
    <row r="1768" spans="1:1" x14ac:dyDescent="0.25">
      <c r="A1768" s="66"/>
    </row>
    <row r="1769" spans="1:1" x14ac:dyDescent="0.25">
      <c r="A1769" s="66"/>
    </row>
    <row r="1770" spans="1:1" x14ac:dyDescent="0.25">
      <c r="A1770" s="66"/>
    </row>
    <row r="1771" spans="1:1" x14ac:dyDescent="0.25">
      <c r="A1771" s="66"/>
    </row>
    <row r="1772" spans="1:1" x14ac:dyDescent="0.25">
      <c r="A1772" s="66"/>
    </row>
    <row r="1773" spans="1:1" x14ac:dyDescent="0.25">
      <c r="A1773" s="66"/>
    </row>
    <row r="1774" spans="1:1" x14ac:dyDescent="0.25">
      <c r="A1774" s="66"/>
    </row>
    <row r="1775" spans="1:1" x14ac:dyDescent="0.25">
      <c r="A1775" s="66"/>
    </row>
    <row r="1776" spans="1:1" x14ac:dyDescent="0.25">
      <c r="A1776" s="66"/>
    </row>
    <row r="1777" spans="1:1" x14ac:dyDescent="0.25">
      <c r="A1777" s="66"/>
    </row>
    <row r="1778" spans="1:1" x14ac:dyDescent="0.25">
      <c r="A1778" s="66"/>
    </row>
    <row r="1779" spans="1:1" x14ac:dyDescent="0.25">
      <c r="A1779" s="66"/>
    </row>
    <row r="1780" spans="1:1" x14ac:dyDescent="0.25">
      <c r="A1780" s="66"/>
    </row>
    <row r="1781" spans="1:1" x14ac:dyDescent="0.25">
      <c r="A1781" s="66"/>
    </row>
    <row r="1782" spans="1:1" x14ac:dyDescent="0.25">
      <c r="A1782" s="66"/>
    </row>
    <row r="1783" spans="1:1" x14ac:dyDescent="0.25">
      <c r="A1783" s="66"/>
    </row>
    <row r="1784" spans="1:1" x14ac:dyDescent="0.25">
      <c r="A1784" s="66"/>
    </row>
    <row r="1785" spans="1:1" x14ac:dyDescent="0.25">
      <c r="A1785" s="66"/>
    </row>
    <row r="1786" spans="1:1" x14ac:dyDescent="0.25">
      <c r="A1786" s="66"/>
    </row>
    <row r="1787" spans="1:1" x14ac:dyDescent="0.25">
      <c r="A1787" s="66"/>
    </row>
    <row r="1788" spans="1:1" x14ac:dyDescent="0.25">
      <c r="A1788" s="66"/>
    </row>
    <row r="1789" spans="1:1" x14ac:dyDescent="0.25">
      <c r="A1789" s="66"/>
    </row>
    <row r="1790" spans="1:1" x14ac:dyDescent="0.25">
      <c r="A1790" s="66"/>
    </row>
    <row r="1791" spans="1:1" x14ac:dyDescent="0.25">
      <c r="A1791" s="66"/>
    </row>
    <row r="1792" spans="1:1" x14ac:dyDescent="0.25">
      <c r="A1792" s="66"/>
    </row>
    <row r="1793" spans="1:1" x14ac:dyDescent="0.25">
      <c r="A1793" s="66"/>
    </row>
    <row r="1794" spans="1:1" x14ac:dyDescent="0.25">
      <c r="A1794" s="66"/>
    </row>
    <row r="1795" spans="1:1" x14ac:dyDescent="0.25">
      <c r="A1795" s="66"/>
    </row>
    <row r="1796" spans="1:1" x14ac:dyDescent="0.25">
      <c r="A1796" s="66"/>
    </row>
    <row r="1797" spans="1:1" x14ac:dyDescent="0.25">
      <c r="A1797" s="66"/>
    </row>
    <row r="1798" spans="1:1" x14ac:dyDescent="0.25">
      <c r="A1798" s="66"/>
    </row>
    <row r="1799" spans="1:1" x14ac:dyDescent="0.25">
      <c r="A1799" s="66"/>
    </row>
    <row r="1800" spans="1:1" x14ac:dyDescent="0.25">
      <c r="A1800" s="66"/>
    </row>
    <row r="1801" spans="1:1" x14ac:dyDescent="0.25">
      <c r="A1801" s="66"/>
    </row>
    <row r="1802" spans="1:1" x14ac:dyDescent="0.25">
      <c r="A1802" s="66"/>
    </row>
    <row r="1803" spans="1:1" x14ac:dyDescent="0.25">
      <c r="A1803" s="66"/>
    </row>
    <row r="1804" spans="1:1" x14ac:dyDescent="0.25">
      <c r="A1804" s="66"/>
    </row>
    <row r="1805" spans="1:1" x14ac:dyDescent="0.25">
      <c r="A1805" s="66"/>
    </row>
    <row r="1806" spans="1:1" x14ac:dyDescent="0.25">
      <c r="A1806" s="66"/>
    </row>
    <row r="1807" spans="1:1" x14ac:dyDescent="0.25">
      <c r="A1807" s="66"/>
    </row>
    <row r="1808" spans="1:1" x14ac:dyDescent="0.25">
      <c r="A1808" s="66"/>
    </row>
    <row r="1809" spans="1:1" x14ac:dyDescent="0.25">
      <c r="A1809" s="66"/>
    </row>
    <row r="1810" spans="1:1" x14ac:dyDescent="0.25">
      <c r="A1810" s="66"/>
    </row>
    <row r="1811" spans="1:1" x14ac:dyDescent="0.25">
      <c r="A1811" s="66"/>
    </row>
    <row r="1812" spans="1:1" x14ac:dyDescent="0.25">
      <c r="A1812" s="66"/>
    </row>
    <row r="1813" spans="1:1" x14ac:dyDescent="0.25">
      <c r="A1813" s="66"/>
    </row>
    <row r="1814" spans="1:1" x14ac:dyDescent="0.25">
      <c r="A1814" s="66"/>
    </row>
    <row r="1815" spans="1:1" x14ac:dyDescent="0.25">
      <c r="A1815" s="66"/>
    </row>
    <row r="1816" spans="1:1" x14ac:dyDescent="0.25">
      <c r="A1816" s="66"/>
    </row>
    <row r="1817" spans="1:1" x14ac:dyDescent="0.25">
      <c r="A1817" s="66"/>
    </row>
    <row r="1818" spans="1:1" x14ac:dyDescent="0.25">
      <c r="A1818" s="66"/>
    </row>
    <row r="1819" spans="1:1" x14ac:dyDescent="0.25">
      <c r="A1819" s="66"/>
    </row>
    <row r="1820" spans="1:1" x14ac:dyDescent="0.25">
      <c r="A1820" s="66"/>
    </row>
    <row r="1821" spans="1:1" x14ac:dyDescent="0.25">
      <c r="A1821" s="66"/>
    </row>
    <row r="1822" spans="1:1" x14ac:dyDescent="0.25">
      <c r="A1822" s="66"/>
    </row>
    <row r="1823" spans="1:1" x14ac:dyDescent="0.25">
      <c r="A1823" s="66"/>
    </row>
    <row r="1824" spans="1:1" x14ac:dyDescent="0.25">
      <c r="A1824" s="66"/>
    </row>
    <row r="1825" spans="1:1" x14ac:dyDescent="0.25">
      <c r="A1825" s="66"/>
    </row>
    <row r="1826" spans="1:1" x14ac:dyDescent="0.25">
      <c r="A1826" s="66"/>
    </row>
    <row r="1827" spans="1:1" x14ac:dyDescent="0.25">
      <c r="A1827" s="66"/>
    </row>
    <row r="1828" spans="1:1" x14ac:dyDescent="0.25">
      <c r="A1828" s="66"/>
    </row>
    <row r="1829" spans="1:1" x14ac:dyDescent="0.25">
      <c r="A1829" s="66"/>
    </row>
    <row r="1830" spans="1:1" x14ac:dyDescent="0.25">
      <c r="A1830" s="66"/>
    </row>
    <row r="1831" spans="1:1" x14ac:dyDescent="0.25">
      <c r="A1831" s="66"/>
    </row>
    <row r="1832" spans="1:1" x14ac:dyDescent="0.25">
      <c r="A1832" s="66"/>
    </row>
    <row r="1833" spans="1:1" x14ac:dyDescent="0.25">
      <c r="A1833" s="66"/>
    </row>
    <row r="1834" spans="1:1" x14ac:dyDescent="0.25">
      <c r="A1834" s="66"/>
    </row>
    <row r="1835" spans="1:1" x14ac:dyDescent="0.25">
      <c r="A1835" s="66"/>
    </row>
    <row r="1836" spans="1:1" x14ac:dyDescent="0.25">
      <c r="A1836" s="66"/>
    </row>
    <row r="1837" spans="1:1" x14ac:dyDescent="0.25">
      <c r="A1837" s="66"/>
    </row>
    <row r="1838" spans="1:1" x14ac:dyDescent="0.25">
      <c r="A1838" s="66"/>
    </row>
    <row r="1839" spans="1:1" x14ac:dyDescent="0.25">
      <c r="A1839" s="66"/>
    </row>
    <row r="1840" spans="1:1" x14ac:dyDescent="0.25">
      <c r="A1840" s="66"/>
    </row>
    <row r="1841" spans="1:1" x14ac:dyDescent="0.25">
      <c r="A1841" s="66"/>
    </row>
    <row r="1842" spans="1:1" x14ac:dyDescent="0.25">
      <c r="A1842" s="66"/>
    </row>
    <row r="1843" spans="1:1" x14ac:dyDescent="0.25">
      <c r="A1843" s="66"/>
    </row>
    <row r="1844" spans="1:1" x14ac:dyDescent="0.25">
      <c r="A1844" s="66"/>
    </row>
    <row r="1845" spans="1:1" x14ac:dyDescent="0.25">
      <c r="A1845" s="66"/>
    </row>
    <row r="1846" spans="1:1" x14ac:dyDescent="0.25">
      <c r="A1846" s="66"/>
    </row>
    <row r="1847" spans="1:1" x14ac:dyDescent="0.25">
      <c r="A1847" s="66"/>
    </row>
    <row r="1848" spans="1:1" x14ac:dyDescent="0.25">
      <c r="A1848" s="66"/>
    </row>
    <row r="1849" spans="1:1" x14ac:dyDescent="0.25">
      <c r="A1849" s="66"/>
    </row>
    <row r="1850" spans="1:1" x14ac:dyDescent="0.25">
      <c r="A1850" s="66"/>
    </row>
    <row r="1851" spans="1:1" x14ac:dyDescent="0.25">
      <c r="A1851" s="66"/>
    </row>
    <row r="1852" spans="1:1" x14ac:dyDescent="0.25">
      <c r="A1852" s="66"/>
    </row>
    <row r="1853" spans="1:1" x14ac:dyDescent="0.25">
      <c r="A1853" s="66"/>
    </row>
    <row r="1854" spans="1:1" x14ac:dyDescent="0.25">
      <c r="A1854" s="66"/>
    </row>
    <row r="1855" spans="1:1" x14ac:dyDescent="0.25">
      <c r="A1855" s="66"/>
    </row>
    <row r="1856" spans="1:1" x14ac:dyDescent="0.25">
      <c r="A1856" s="66"/>
    </row>
    <row r="1857" spans="1:1" x14ac:dyDescent="0.25">
      <c r="A1857" s="66"/>
    </row>
    <row r="1858" spans="1:1" x14ac:dyDescent="0.25">
      <c r="A1858" s="66"/>
    </row>
    <row r="1859" spans="1:1" x14ac:dyDescent="0.25">
      <c r="A1859" s="66"/>
    </row>
    <row r="1860" spans="1:1" x14ac:dyDescent="0.25">
      <c r="A1860" s="66"/>
    </row>
    <row r="1861" spans="1:1" x14ac:dyDescent="0.25">
      <c r="A1861" s="66"/>
    </row>
    <row r="1862" spans="1:1" x14ac:dyDescent="0.25">
      <c r="A1862" s="66"/>
    </row>
    <row r="1863" spans="1:1" x14ac:dyDescent="0.25">
      <c r="A1863" s="66"/>
    </row>
    <row r="1864" spans="1:1" x14ac:dyDescent="0.25">
      <c r="A1864" s="66"/>
    </row>
    <row r="1865" spans="1:1" x14ac:dyDescent="0.25">
      <c r="A1865" s="66"/>
    </row>
    <row r="1866" spans="1:1" x14ac:dyDescent="0.25">
      <c r="A1866" s="66"/>
    </row>
    <row r="1867" spans="1:1" x14ac:dyDescent="0.25">
      <c r="A1867" s="66"/>
    </row>
    <row r="1868" spans="1:1" x14ac:dyDescent="0.25">
      <c r="A1868" s="66"/>
    </row>
    <row r="1869" spans="1:1" x14ac:dyDescent="0.25">
      <c r="A1869" s="66"/>
    </row>
    <row r="1870" spans="1:1" x14ac:dyDescent="0.25">
      <c r="A1870" s="66"/>
    </row>
    <row r="1871" spans="1:1" x14ac:dyDescent="0.25">
      <c r="A1871" s="66"/>
    </row>
    <row r="1872" spans="1:1" x14ac:dyDescent="0.25">
      <c r="A1872" s="66"/>
    </row>
    <row r="1873" spans="1:1" x14ac:dyDescent="0.25">
      <c r="A1873" s="66"/>
    </row>
    <row r="1874" spans="1:1" x14ac:dyDescent="0.25">
      <c r="A1874" s="66"/>
    </row>
    <row r="1875" spans="1:1" x14ac:dyDescent="0.25">
      <c r="A1875" s="66"/>
    </row>
    <row r="1876" spans="1:1" x14ac:dyDescent="0.25">
      <c r="A1876" s="66"/>
    </row>
    <row r="1877" spans="1:1" x14ac:dyDescent="0.25">
      <c r="A1877" s="66"/>
    </row>
    <row r="1878" spans="1:1" x14ac:dyDescent="0.25">
      <c r="A1878" s="66"/>
    </row>
    <row r="1879" spans="1:1" x14ac:dyDescent="0.25">
      <c r="A1879" s="66"/>
    </row>
    <row r="1880" spans="1:1" x14ac:dyDescent="0.25">
      <c r="A1880" s="66"/>
    </row>
    <row r="1881" spans="1:1" x14ac:dyDescent="0.25">
      <c r="A1881" s="66"/>
    </row>
    <row r="1882" spans="1:1" x14ac:dyDescent="0.25">
      <c r="A1882" s="66"/>
    </row>
    <row r="1883" spans="1:1" x14ac:dyDescent="0.25">
      <c r="A1883" s="66"/>
    </row>
    <row r="1884" spans="1:1" x14ac:dyDescent="0.25">
      <c r="A1884" s="66"/>
    </row>
    <row r="1885" spans="1:1" x14ac:dyDescent="0.25">
      <c r="A1885" s="66"/>
    </row>
    <row r="1886" spans="1:1" x14ac:dyDescent="0.25">
      <c r="A1886" s="66"/>
    </row>
    <row r="1887" spans="1:1" x14ac:dyDescent="0.25">
      <c r="A1887" s="66"/>
    </row>
    <row r="1888" spans="1:1" x14ac:dyDescent="0.25">
      <c r="A1888" s="66"/>
    </row>
    <row r="1889" spans="1:1" x14ac:dyDescent="0.25">
      <c r="A1889" s="66"/>
    </row>
    <row r="1890" spans="1:1" x14ac:dyDescent="0.25">
      <c r="A1890" s="66"/>
    </row>
    <row r="1891" spans="1:1" x14ac:dyDescent="0.25">
      <c r="A1891" s="66"/>
    </row>
    <row r="1892" spans="1:1" x14ac:dyDescent="0.25">
      <c r="A1892" s="66"/>
    </row>
    <row r="1893" spans="1:1" x14ac:dyDescent="0.25">
      <c r="A1893" s="66"/>
    </row>
    <row r="1894" spans="1:1" x14ac:dyDescent="0.25">
      <c r="A1894" s="66"/>
    </row>
    <row r="1895" spans="1:1" x14ac:dyDescent="0.25">
      <c r="A1895" s="66"/>
    </row>
    <row r="1896" spans="1:1" x14ac:dyDescent="0.25">
      <c r="A1896" s="66"/>
    </row>
    <row r="1897" spans="1:1" x14ac:dyDescent="0.25">
      <c r="A1897" s="66"/>
    </row>
    <row r="1898" spans="1:1" x14ac:dyDescent="0.25">
      <c r="A1898" s="66"/>
    </row>
    <row r="1899" spans="1:1" x14ac:dyDescent="0.25">
      <c r="A1899" s="66"/>
    </row>
    <row r="1900" spans="1:1" x14ac:dyDescent="0.25">
      <c r="A1900" s="66"/>
    </row>
    <row r="1901" spans="1:1" x14ac:dyDescent="0.25">
      <c r="A1901" s="66"/>
    </row>
    <row r="1902" spans="1:1" x14ac:dyDescent="0.25">
      <c r="A1902" s="66"/>
    </row>
    <row r="1903" spans="1:1" x14ac:dyDescent="0.25">
      <c r="A1903" s="66"/>
    </row>
    <row r="1904" spans="1:1" x14ac:dyDescent="0.25">
      <c r="A1904" s="66"/>
    </row>
    <row r="1905" spans="1:1" x14ac:dyDescent="0.25">
      <c r="A1905" s="66"/>
    </row>
    <row r="1906" spans="1:1" x14ac:dyDescent="0.25">
      <c r="A1906" s="66"/>
    </row>
    <row r="1907" spans="1:1" x14ac:dyDescent="0.25">
      <c r="A1907" s="66"/>
    </row>
    <row r="1908" spans="1:1" x14ac:dyDescent="0.25">
      <c r="A1908" s="66"/>
    </row>
    <row r="1909" spans="1:1" x14ac:dyDescent="0.25">
      <c r="A1909" s="66"/>
    </row>
    <row r="1910" spans="1:1" x14ac:dyDescent="0.25">
      <c r="A1910" s="66"/>
    </row>
    <row r="1911" spans="1:1" x14ac:dyDescent="0.25">
      <c r="A1911" s="66"/>
    </row>
    <row r="1912" spans="1:1" x14ac:dyDescent="0.25">
      <c r="A1912" s="66"/>
    </row>
    <row r="1913" spans="1:1" x14ac:dyDescent="0.25">
      <c r="A1913" s="66"/>
    </row>
    <row r="1914" spans="1:1" x14ac:dyDescent="0.25">
      <c r="A1914" s="66"/>
    </row>
    <row r="1915" spans="1:1" x14ac:dyDescent="0.25">
      <c r="A1915" s="66"/>
    </row>
    <row r="1916" spans="1:1" x14ac:dyDescent="0.25">
      <c r="A1916" s="66"/>
    </row>
    <row r="1917" spans="1:1" x14ac:dyDescent="0.25">
      <c r="A1917" s="66"/>
    </row>
    <row r="1918" spans="1:1" x14ac:dyDescent="0.25">
      <c r="A1918" s="66"/>
    </row>
    <row r="1919" spans="1:1" x14ac:dyDescent="0.25">
      <c r="A1919" s="66"/>
    </row>
    <row r="1920" spans="1:1" x14ac:dyDescent="0.25">
      <c r="A1920" s="66"/>
    </row>
    <row r="1921" spans="1:1" x14ac:dyDescent="0.25">
      <c r="A1921" s="66"/>
    </row>
    <row r="1922" spans="1:1" x14ac:dyDescent="0.25">
      <c r="A1922" s="66"/>
    </row>
    <row r="1923" spans="1:1" x14ac:dyDescent="0.25">
      <c r="A1923" s="66"/>
    </row>
    <row r="1924" spans="1:1" x14ac:dyDescent="0.25">
      <c r="A1924" s="66"/>
    </row>
    <row r="1925" spans="1:1" x14ac:dyDescent="0.25">
      <c r="A1925" s="66"/>
    </row>
    <row r="1926" spans="1:1" x14ac:dyDescent="0.25">
      <c r="A1926" s="66"/>
    </row>
    <row r="1927" spans="1:1" x14ac:dyDescent="0.25">
      <c r="A1927" s="66"/>
    </row>
    <row r="1928" spans="1:1" x14ac:dyDescent="0.25">
      <c r="A1928" s="66"/>
    </row>
    <row r="1929" spans="1:1" x14ac:dyDescent="0.25">
      <c r="A1929" s="66"/>
    </row>
    <row r="1930" spans="1:1" x14ac:dyDescent="0.25">
      <c r="A1930" s="66"/>
    </row>
    <row r="1931" spans="1:1" x14ac:dyDescent="0.25">
      <c r="A1931" s="66"/>
    </row>
    <row r="1932" spans="1:1" x14ac:dyDescent="0.25">
      <c r="A1932" s="66"/>
    </row>
    <row r="1933" spans="1:1" x14ac:dyDescent="0.25">
      <c r="A1933" s="66"/>
    </row>
    <row r="1934" spans="1:1" x14ac:dyDescent="0.25">
      <c r="A1934" s="66"/>
    </row>
    <row r="1935" spans="1:1" x14ac:dyDescent="0.25">
      <c r="A1935" s="66"/>
    </row>
    <row r="1936" spans="1:1" x14ac:dyDescent="0.25">
      <c r="A1936" s="66"/>
    </row>
    <row r="1937" spans="1:1" x14ac:dyDescent="0.25">
      <c r="A1937" s="66"/>
    </row>
    <row r="1938" spans="1:1" x14ac:dyDescent="0.25">
      <c r="A1938" s="66"/>
    </row>
    <row r="1939" spans="1:1" x14ac:dyDescent="0.25">
      <c r="A1939" s="66"/>
    </row>
    <row r="1940" spans="1:1" x14ac:dyDescent="0.25">
      <c r="A1940" s="66"/>
    </row>
    <row r="1941" spans="1:1" x14ac:dyDescent="0.25">
      <c r="A1941" s="66"/>
    </row>
    <row r="1942" spans="1:1" x14ac:dyDescent="0.25">
      <c r="A1942" s="66"/>
    </row>
    <row r="1943" spans="1:1" x14ac:dyDescent="0.25">
      <c r="A1943" s="66"/>
    </row>
    <row r="1944" spans="1:1" x14ac:dyDescent="0.25">
      <c r="A1944" s="66"/>
    </row>
    <row r="1945" spans="1:1" x14ac:dyDescent="0.25">
      <c r="A1945" s="66"/>
    </row>
    <row r="1946" spans="1:1" x14ac:dyDescent="0.25">
      <c r="A1946" s="66"/>
    </row>
    <row r="1947" spans="1:1" x14ac:dyDescent="0.25">
      <c r="A1947" s="66"/>
    </row>
    <row r="1948" spans="1:1" x14ac:dyDescent="0.25">
      <c r="A1948" s="66"/>
    </row>
    <row r="1949" spans="1:1" x14ac:dyDescent="0.25">
      <c r="A1949" s="66"/>
    </row>
    <row r="1950" spans="1:1" x14ac:dyDescent="0.25">
      <c r="A1950" s="66"/>
    </row>
    <row r="1951" spans="1:1" x14ac:dyDescent="0.25">
      <c r="A1951" s="66"/>
    </row>
    <row r="1952" spans="1:1" x14ac:dyDescent="0.25">
      <c r="A1952" s="66"/>
    </row>
    <row r="1953" spans="1:1" x14ac:dyDescent="0.25">
      <c r="A1953" s="66"/>
    </row>
    <row r="1954" spans="1:1" x14ac:dyDescent="0.25">
      <c r="A1954" s="66"/>
    </row>
    <row r="1955" spans="1:1" x14ac:dyDescent="0.25">
      <c r="A1955" s="66"/>
    </row>
    <row r="1956" spans="1:1" x14ac:dyDescent="0.25">
      <c r="A1956" s="66"/>
    </row>
    <row r="1957" spans="1:1" x14ac:dyDescent="0.25">
      <c r="A1957" s="66"/>
    </row>
    <row r="1958" spans="1:1" x14ac:dyDescent="0.25">
      <c r="A1958" s="66"/>
    </row>
    <row r="1959" spans="1:1" x14ac:dyDescent="0.25">
      <c r="A1959" s="66"/>
    </row>
    <row r="1960" spans="1:1" x14ac:dyDescent="0.25">
      <c r="A1960" s="66"/>
    </row>
    <row r="1961" spans="1:1" x14ac:dyDescent="0.25">
      <c r="A1961" s="66"/>
    </row>
    <row r="1962" spans="1:1" x14ac:dyDescent="0.25">
      <c r="A1962" s="66"/>
    </row>
    <row r="1963" spans="1:1" x14ac:dyDescent="0.25">
      <c r="A1963" s="66"/>
    </row>
    <row r="1964" spans="1:1" x14ac:dyDescent="0.25">
      <c r="A1964" s="66"/>
    </row>
    <row r="1965" spans="1:1" x14ac:dyDescent="0.25">
      <c r="A1965" s="66"/>
    </row>
    <row r="1966" spans="1:1" x14ac:dyDescent="0.25">
      <c r="A1966" s="66"/>
    </row>
    <row r="1967" spans="1:1" x14ac:dyDescent="0.25">
      <c r="A1967" s="66"/>
    </row>
    <row r="1968" spans="1:1" x14ac:dyDescent="0.25">
      <c r="A1968" s="66"/>
    </row>
    <row r="1969" spans="1:1" x14ac:dyDescent="0.25">
      <c r="A1969" s="66"/>
    </row>
    <row r="1970" spans="1:1" x14ac:dyDescent="0.25">
      <c r="A1970" s="66"/>
    </row>
    <row r="1971" spans="1:1" x14ac:dyDescent="0.25">
      <c r="A1971" s="66"/>
    </row>
    <row r="1972" spans="1:1" x14ac:dyDescent="0.25">
      <c r="A1972" s="66"/>
    </row>
    <row r="1973" spans="1:1" x14ac:dyDescent="0.25">
      <c r="A1973" s="66"/>
    </row>
    <row r="1974" spans="1:1" x14ac:dyDescent="0.25">
      <c r="A1974" s="66"/>
    </row>
    <row r="1975" spans="1:1" x14ac:dyDescent="0.25">
      <c r="A1975" s="66"/>
    </row>
    <row r="1976" spans="1:1" x14ac:dyDescent="0.25">
      <c r="A1976" s="66"/>
    </row>
    <row r="1977" spans="1:1" x14ac:dyDescent="0.25">
      <c r="A1977" s="66"/>
    </row>
    <row r="1978" spans="1:1" x14ac:dyDescent="0.25">
      <c r="A1978" s="66"/>
    </row>
    <row r="1979" spans="1:1" x14ac:dyDescent="0.25">
      <c r="A1979" s="66"/>
    </row>
    <row r="1980" spans="1:1" x14ac:dyDescent="0.25">
      <c r="A1980" s="66"/>
    </row>
    <row r="1981" spans="1:1" x14ac:dyDescent="0.25">
      <c r="A1981" s="66"/>
    </row>
    <row r="1982" spans="1:1" x14ac:dyDescent="0.25">
      <c r="A1982" s="66"/>
    </row>
    <row r="1983" spans="1:1" x14ac:dyDescent="0.25">
      <c r="A1983" s="66"/>
    </row>
    <row r="1984" spans="1:1" x14ac:dyDescent="0.25">
      <c r="A1984" s="66"/>
    </row>
    <row r="1985" spans="1:1" x14ac:dyDescent="0.25">
      <c r="A1985" s="66"/>
    </row>
    <row r="1986" spans="1:1" x14ac:dyDescent="0.25">
      <c r="A1986" s="66"/>
    </row>
    <row r="1987" spans="1:1" x14ac:dyDescent="0.25">
      <c r="A1987" s="66"/>
    </row>
    <row r="1988" spans="1:1" x14ac:dyDescent="0.25">
      <c r="A1988" s="66"/>
    </row>
    <row r="1989" spans="1:1" x14ac:dyDescent="0.25">
      <c r="A1989" s="66"/>
    </row>
    <row r="1990" spans="1:1" x14ac:dyDescent="0.25">
      <c r="A1990" s="66"/>
    </row>
    <row r="1991" spans="1:1" x14ac:dyDescent="0.25">
      <c r="A1991" s="66"/>
    </row>
    <row r="1992" spans="1:1" x14ac:dyDescent="0.25">
      <c r="A1992" s="66"/>
    </row>
    <row r="1993" spans="1:1" x14ac:dyDescent="0.25">
      <c r="A1993" s="66"/>
    </row>
    <row r="1994" spans="1:1" x14ac:dyDescent="0.25">
      <c r="A1994" s="66"/>
    </row>
    <row r="1995" spans="1:1" x14ac:dyDescent="0.25">
      <c r="A1995" s="66"/>
    </row>
    <row r="1996" spans="1:1" x14ac:dyDescent="0.25">
      <c r="A1996" s="66"/>
    </row>
    <row r="1997" spans="1:1" x14ac:dyDescent="0.25">
      <c r="A1997" s="66"/>
    </row>
    <row r="1998" spans="1:1" x14ac:dyDescent="0.25">
      <c r="A1998" s="66"/>
    </row>
    <row r="1999" spans="1:1" x14ac:dyDescent="0.25">
      <c r="A1999" s="66"/>
    </row>
    <row r="2000" spans="1:1" x14ac:dyDescent="0.25">
      <c r="A2000" s="66"/>
    </row>
    <row r="2001" spans="1:1" x14ac:dyDescent="0.25">
      <c r="A2001" s="66"/>
    </row>
    <row r="2002" spans="1:1" x14ac:dyDescent="0.25">
      <c r="A2002" s="66"/>
    </row>
    <row r="2003" spans="1:1" x14ac:dyDescent="0.25">
      <c r="A2003" s="66"/>
    </row>
    <row r="2004" spans="1:1" x14ac:dyDescent="0.25">
      <c r="A2004" s="66"/>
    </row>
    <row r="2005" spans="1:1" x14ac:dyDescent="0.25">
      <c r="A2005" s="66"/>
    </row>
    <row r="2006" spans="1:1" x14ac:dyDescent="0.25">
      <c r="A2006" s="66"/>
    </row>
    <row r="2007" spans="1:1" x14ac:dyDescent="0.25">
      <c r="A2007" s="66"/>
    </row>
    <row r="2008" spans="1:1" x14ac:dyDescent="0.25">
      <c r="A2008" s="66"/>
    </row>
    <row r="2009" spans="1:1" x14ac:dyDescent="0.25">
      <c r="A2009" s="66"/>
    </row>
    <row r="2010" spans="1:1" x14ac:dyDescent="0.25">
      <c r="A2010" s="66"/>
    </row>
    <row r="2011" spans="1:1" x14ac:dyDescent="0.25">
      <c r="A2011" s="66"/>
    </row>
    <row r="2012" spans="1:1" x14ac:dyDescent="0.25">
      <c r="A2012" s="66"/>
    </row>
    <row r="2013" spans="1:1" x14ac:dyDescent="0.25">
      <c r="A2013" s="66"/>
    </row>
    <row r="2014" spans="1:1" x14ac:dyDescent="0.25">
      <c r="A2014" s="66"/>
    </row>
    <row r="2015" spans="1:1" x14ac:dyDescent="0.25">
      <c r="A2015" s="66"/>
    </row>
    <row r="2016" spans="1:1" x14ac:dyDescent="0.25">
      <c r="A2016" s="66"/>
    </row>
    <row r="2017" spans="1:1" x14ac:dyDescent="0.25">
      <c r="A2017" s="66"/>
    </row>
    <row r="2018" spans="1:1" x14ac:dyDescent="0.25">
      <c r="A2018" s="66"/>
    </row>
    <row r="2019" spans="1:1" x14ac:dyDescent="0.25">
      <c r="A2019" s="66"/>
    </row>
    <row r="2020" spans="1:1" x14ac:dyDescent="0.25">
      <c r="A2020" s="66"/>
    </row>
    <row r="2021" spans="1:1" x14ac:dyDescent="0.25">
      <c r="A2021" s="66"/>
    </row>
    <row r="2022" spans="1:1" x14ac:dyDescent="0.25">
      <c r="A2022" s="66"/>
    </row>
    <row r="2023" spans="1:1" x14ac:dyDescent="0.25">
      <c r="A2023" s="66"/>
    </row>
    <row r="2024" spans="1:1" x14ac:dyDescent="0.25">
      <c r="A2024" s="66"/>
    </row>
    <row r="2025" spans="1:1" x14ac:dyDescent="0.25">
      <c r="A2025" s="66"/>
    </row>
    <row r="2026" spans="1:1" x14ac:dyDescent="0.25">
      <c r="A2026" s="66"/>
    </row>
    <row r="2027" spans="1:1" x14ac:dyDescent="0.25">
      <c r="A2027" s="66"/>
    </row>
    <row r="2028" spans="1:1" x14ac:dyDescent="0.25">
      <c r="A2028" s="66"/>
    </row>
    <row r="2029" spans="1:1" x14ac:dyDescent="0.25">
      <c r="A2029" s="66"/>
    </row>
    <row r="2030" spans="1:1" x14ac:dyDescent="0.25">
      <c r="A2030" s="66"/>
    </row>
    <row r="2031" spans="1:1" x14ac:dyDescent="0.25">
      <c r="A2031" s="66"/>
    </row>
    <row r="2032" spans="1:1" x14ac:dyDescent="0.25">
      <c r="A2032" s="66"/>
    </row>
    <row r="2033" spans="1:1" x14ac:dyDescent="0.25">
      <c r="A2033" s="66"/>
    </row>
    <row r="2034" spans="1:1" x14ac:dyDescent="0.25">
      <c r="A2034" s="66"/>
    </row>
    <row r="2035" spans="1:1" x14ac:dyDescent="0.25">
      <c r="A2035" s="66"/>
    </row>
    <row r="2036" spans="1:1" x14ac:dyDescent="0.25">
      <c r="A2036" s="66"/>
    </row>
    <row r="2037" spans="1:1" x14ac:dyDescent="0.25">
      <c r="A2037" s="66"/>
    </row>
    <row r="2038" spans="1:1" x14ac:dyDescent="0.25">
      <c r="A2038" s="66"/>
    </row>
    <row r="2039" spans="1:1" x14ac:dyDescent="0.25">
      <c r="A2039" s="66"/>
    </row>
    <row r="2040" spans="1:1" x14ac:dyDescent="0.25">
      <c r="A2040" s="66"/>
    </row>
    <row r="2041" spans="1:1" x14ac:dyDescent="0.25">
      <c r="A2041" s="66"/>
    </row>
    <row r="2042" spans="1:1" x14ac:dyDescent="0.25">
      <c r="A2042" s="66"/>
    </row>
    <row r="2043" spans="1:1" x14ac:dyDescent="0.25">
      <c r="A2043" s="66"/>
    </row>
    <row r="2044" spans="1:1" x14ac:dyDescent="0.25">
      <c r="A2044" s="66"/>
    </row>
    <row r="2045" spans="1:1" x14ac:dyDescent="0.25">
      <c r="A2045" s="66"/>
    </row>
    <row r="2046" spans="1:1" x14ac:dyDescent="0.25">
      <c r="A2046" s="66"/>
    </row>
    <row r="2047" spans="1:1" x14ac:dyDescent="0.25">
      <c r="A2047" s="66"/>
    </row>
    <row r="2048" spans="1:1" x14ac:dyDescent="0.25">
      <c r="A2048" s="66"/>
    </row>
    <row r="2049" spans="1:1" x14ac:dyDescent="0.25">
      <c r="A2049" s="66"/>
    </row>
    <row r="2050" spans="1:1" x14ac:dyDescent="0.25">
      <c r="A2050" s="66"/>
    </row>
    <row r="2051" spans="1:1" x14ac:dyDescent="0.25">
      <c r="A2051" s="66"/>
    </row>
    <row r="2052" spans="1:1" x14ac:dyDescent="0.25">
      <c r="A2052" s="66"/>
    </row>
    <row r="2053" spans="1:1" x14ac:dyDescent="0.25">
      <c r="A2053" s="66"/>
    </row>
    <row r="2054" spans="1:1" x14ac:dyDescent="0.25">
      <c r="A2054" s="66"/>
    </row>
    <row r="2055" spans="1:1" x14ac:dyDescent="0.25">
      <c r="A2055" s="66"/>
    </row>
    <row r="2056" spans="1:1" x14ac:dyDescent="0.25">
      <c r="A2056" s="66"/>
    </row>
    <row r="2057" spans="1:1" x14ac:dyDescent="0.25">
      <c r="A2057" s="66"/>
    </row>
    <row r="2058" spans="1:1" x14ac:dyDescent="0.25">
      <c r="A2058" s="66"/>
    </row>
    <row r="2059" spans="1:1" x14ac:dyDescent="0.25">
      <c r="A2059" s="66"/>
    </row>
    <row r="2060" spans="1:1" x14ac:dyDescent="0.25">
      <c r="A2060" s="66"/>
    </row>
    <row r="2061" spans="1:1" x14ac:dyDescent="0.25">
      <c r="A2061" s="66"/>
    </row>
    <row r="2062" spans="1:1" x14ac:dyDescent="0.25">
      <c r="A2062" s="66"/>
    </row>
    <row r="2063" spans="1:1" x14ac:dyDescent="0.25">
      <c r="A2063" s="66"/>
    </row>
    <row r="2064" spans="1:1" x14ac:dyDescent="0.25">
      <c r="A2064" s="66"/>
    </row>
    <row r="2065" spans="1:1" x14ac:dyDescent="0.25">
      <c r="A2065" s="66"/>
    </row>
    <row r="2066" spans="1:1" x14ac:dyDescent="0.25">
      <c r="A2066" s="66"/>
    </row>
    <row r="2067" spans="1:1" x14ac:dyDescent="0.25">
      <c r="A2067" s="66"/>
    </row>
    <row r="2068" spans="1:1" x14ac:dyDescent="0.25">
      <c r="A2068" s="66"/>
    </row>
    <row r="2069" spans="1:1" x14ac:dyDescent="0.25">
      <c r="A2069" s="66"/>
    </row>
    <row r="2070" spans="1:1" x14ac:dyDescent="0.25">
      <c r="A2070" s="66"/>
    </row>
    <row r="2071" spans="1:1" x14ac:dyDescent="0.25">
      <c r="A2071" s="66"/>
    </row>
    <row r="2072" spans="1:1" x14ac:dyDescent="0.25">
      <c r="A2072" s="66"/>
    </row>
    <row r="2073" spans="1:1" x14ac:dyDescent="0.25">
      <c r="A2073" s="66"/>
    </row>
    <row r="2074" spans="1:1" x14ac:dyDescent="0.25">
      <c r="A2074" s="66"/>
    </row>
    <row r="2075" spans="1:1" x14ac:dyDescent="0.25">
      <c r="A2075" s="66"/>
    </row>
    <row r="2076" spans="1:1" x14ac:dyDescent="0.25">
      <c r="A2076" s="66"/>
    </row>
    <row r="2077" spans="1:1" x14ac:dyDescent="0.25">
      <c r="A2077" s="66"/>
    </row>
    <row r="2078" spans="1:1" x14ac:dyDescent="0.25">
      <c r="A2078" s="66"/>
    </row>
    <row r="2079" spans="1:1" x14ac:dyDescent="0.25">
      <c r="A2079" s="66"/>
    </row>
    <row r="2080" spans="1:1" x14ac:dyDescent="0.25">
      <c r="A2080" s="66"/>
    </row>
    <row r="2081" spans="1:1" x14ac:dyDescent="0.25">
      <c r="A2081" s="66"/>
    </row>
    <row r="2082" spans="1:1" x14ac:dyDescent="0.25">
      <c r="A2082" s="66"/>
    </row>
    <row r="2083" spans="1:1" x14ac:dyDescent="0.25">
      <c r="A2083" s="66"/>
    </row>
    <row r="2084" spans="1:1" x14ac:dyDescent="0.25">
      <c r="A2084" s="66"/>
    </row>
    <row r="2085" spans="1:1" x14ac:dyDescent="0.25">
      <c r="A2085" s="66"/>
    </row>
    <row r="2086" spans="1:1" x14ac:dyDescent="0.25">
      <c r="A2086" s="66"/>
    </row>
    <row r="2087" spans="1:1" x14ac:dyDescent="0.25">
      <c r="A2087" s="66"/>
    </row>
    <row r="2088" spans="1:1" x14ac:dyDescent="0.25">
      <c r="A2088" s="66"/>
    </row>
    <row r="2089" spans="1:1" x14ac:dyDescent="0.25">
      <c r="A2089" s="66"/>
    </row>
    <row r="2090" spans="1:1" x14ac:dyDescent="0.25">
      <c r="A2090" s="66"/>
    </row>
    <row r="2091" spans="1:1" x14ac:dyDescent="0.25">
      <c r="A2091" s="66"/>
    </row>
    <row r="2092" spans="1:1" x14ac:dyDescent="0.25">
      <c r="A2092" s="66"/>
    </row>
    <row r="2093" spans="1:1" x14ac:dyDescent="0.25">
      <c r="A2093" s="66"/>
    </row>
    <row r="2094" spans="1:1" x14ac:dyDescent="0.25">
      <c r="A2094" s="66"/>
    </row>
    <row r="2095" spans="1:1" x14ac:dyDescent="0.25">
      <c r="A2095" s="66"/>
    </row>
    <row r="2096" spans="1:1" x14ac:dyDescent="0.25">
      <c r="A2096" s="66"/>
    </row>
    <row r="2097" spans="1:1" x14ac:dyDescent="0.25">
      <c r="A2097" s="66"/>
    </row>
    <row r="2098" spans="1:1" x14ac:dyDescent="0.25">
      <c r="A2098" s="66"/>
    </row>
    <row r="2099" spans="1:1" x14ac:dyDescent="0.25">
      <c r="A2099" s="66"/>
    </row>
    <row r="2100" spans="1:1" x14ac:dyDescent="0.25">
      <c r="A2100" s="66"/>
    </row>
    <row r="2101" spans="1:1" x14ac:dyDescent="0.25">
      <c r="A2101" s="66"/>
    </row>
    <row r="2102" spans="1:1" x14ac:dyDescent="0.25">
      <c r="A2102" s="66"/>
    </row>
    <row r="2103" spans="1:1" x14ac:dyDescent="0.25">
      <c r="A2103" s="66"/>
    </row>
    <row r="2104" spans="1:1" x14ac:dyDescent="0.25">
      <c r="A2104" s="66"/>
    </row>
    <row r="2105" spans="1:1" x14ac:dyDescent="0.25">
      <c r="A2105" s="66"/>
    </row>
    <row r="2106" spans="1:1" x14ac:dyDescent="0.25">
      <c r="A2106" s="66"/>
    </row>
    <row r="2107" spans="1:1" x14ac:dyDescent="0.25">
      <c r="A2107" s="66"/>
    </row>
    <row r="2108" spans="1:1" x14ac:dyDescent="0.25">
      <c r="A2108" s="66"/>
    </row>
    <row r="2109" spans="1:1" x14ac:dyDescent="0.25">
      <c r="A2109" s="66"/>
    </row>
    <row r="2110" spans="1:1" x14ac:dyDescent="0.25">
      <c r="A2110" s="66"/>
    </row>
    <row r="2111" spans="1:1" x14ac:dyDescent="0.25">
      <c r="A2111" s="66"/>
    </row>
    <row r="2112" spans="1:1" x14ac:dyDescent="0.25">
      <c r="A2112" s="66"/>
    </row>
    <row r="2113" spans="1:1" x14ac:dyDescent="0.25">
      <c r="A2113" s="66"/>
    </row>
    <row r="2114" spans="1:1" x14ac:dyDescent="0.25">
      <c r="A2114" s="66"/>
    </row>
    <row r="2115" spans="1:1" x14ac:dyDescent="0.25">
      <c r="A2115" s="66"/>
    </row>
    <row r="2116" spans="1:1" x14ac:dyDescent="0.25">
      <c r="A2116" s="66"/>
    </row>
    <row r="2117" spans="1:1" x14ac:dyDescent="0.25">
      <c r="A2117" s="66"/>
    </row>
    <row r="2118" spans="1:1" x14ac:dyDescent="0.25">
      <c r="A2118" s="66"/>
    </row>
    <row r="2119" spans="1:1" x14ac:dyDescent="0.25">
      <c r="A2119" s="66"/>
    </row>
    <row r="2120" spans="1:1" x14ac:dyDescent="0.25">
      <c r="A2120" s="66"/>
    </row>
    <row r="2121" spans="1:1" x14ac:dyDescent="0.25">
      <c r="A2121" s="66"/>
    </row>
    <row r="2122" spans="1:1" x14ac:dyDescent="0.25">
      <c r="A2122" s="66"/>
    </row>
    <row r="2123" spans="1:1" x14ac:dyDescent="0.25">
      <c r="A2123" s="66"/>
    </row>
    <row r="2124" spans="1:1" x14ac:dyDescent="0.25">
      <c r="A2124" s="66"/>
    </row>
    <row r="2125" spans="1:1" x14ac:dyDescent="0.25">
      <c r="A2125" s="66"/>
    </row>
    <row r="2126" spans="1:1" x14ac:dyDescent="0.25">
      <c r="A2126" s="66"/>
    </row>
    <row r="2127" spans="1:1" x14ac:dyDescent="0.25">
      <c r="A2127" s="66"/>
    </row>
    <row r="2128" spans="1:1" x14ac:dyDescent="0.25">
      <c r="A2128" s="66"/>
    </row>
    <row r="2129" spans="1:1" x14ac:dyDescent="0.25">
      <c r="A2129" s="66"/>
    </row>
    <row r="2130" spans="1:1" x14ac:dyDescent="0.25">
      <c r="A2130" s="66"/>
    </row>
    <row r="2131" spans="1:1" x14ac:dyDescent="0.25">
      <c r="A2131" s="66"/>
    </row>
    <row r="2132" spans="1:1" x14ac:dyDescent="0.25">
      <c r="A2132" s="66"/>
    </row>
    <row r="2133" spans="1:1" x14ac:dyDescent="0.25">
      <c r="A2133" s="66"/>
    </row>
    <row r="2134" spans="1:1" x14ac:dyDescent="0.25">
      <c r="A2134" s="66"/>
    </row>
    <row r="2135" spans="1:1" x14ac:dyDescent="0.25">
      <c r="A2135" s="66"/>
    </row>
    <row r="2136" spans="1:1" x14ac:dyDescent="0.25">
      <c r="A2136" s="66"/>
    </row>
    <row r="2137" spans="1:1" x14ac:dyDescent="0.25">
      <c r="A2137" s="66"/>
    </row>
    <row r="2138" spans="1:1" x14ac:dyDescent="0.25">
      <c r="A2138" s="66"/>
    </row>
    <row r="2139" spans="1:1" x14ac:dyDescent="0.25">
      <c r="A2139" s="66"/>
    </row>
    <row r="2140" spans="1:1" x14ac:dyDescent="0.25">
      <c r="A2140" s="66"/>
    </row>
    <row r="2141" spans="1:1" x14ac:dyDescent="0.25">
      <c r="A2141" s="66"/>
    </row>
    <row r="2142" spans="1:1" x14ac:dyDescent="0.25">
      <c r="A2142" s="66"/>
    </row>
    <row r="2143" spans="1:1" x14ac:dyDescent="0.25">
      <c r="A2143" s="66"/>
    </row>
    <row r="2144" spans="1:1" x14ac:dyDescent="0.25">
      <c r="A2144" s="66"/>
    </row>
    <row r="2145" spans="1:1" x14ac:dyDescent="0.25">
      <c r="A2145" s="66"/>
    </row>
    <row r="2146" spans="1:1" x14ac:dyDescent="0.25">
      <c r="A2146" s="66"/>
    </row>
    <row r="2147" spans="1:1" x14ac:dyDescent="0.25">
      <c r="A2147" s="66"/>
    </row>
    <row r="2148" spans="1:1" x14ac:dyDescent="0.25">
      <c r="A2148" s="66"/>
    </row>
    <row r="2149" spans="1:1" x14ac:dyDescent="0.25">
      <c r="A2149" s="66"/>
    </row>
    <row r="2150" spans="1:1" x14ac:dyDescent="0.25">
      <c r="A2150" s="66"/>
    </row>
    <row r="2151" spans="1:1" x14ac:dyDescent="0.25">
      <c r="A2151" s="66"/>
    </row>
    <row r="2152" spans="1:1" x14ac:dyDescent="0.25">
      <c r="A2152" s="66"/>
    </row>
    <row r="2153" spans="1:1" x14ac:dyDescent="0.25">
      <c r="A2153" s="66"/>
    </row>
    <row r="2154" spans="1:1" x14ac:dyDescent="0.25">
      <c r="A2154" s="66"/>
    </row>
    <row r="2155" spans="1:1" x14ac:dyDescent="0.25">
      <c r="A2155" s="66"/>
    </row>
    <row r="2156" spans="1:1" x14ac:dyDescent="0.25">
      <c r="A2156" s="66"/>
    </row>
    <row r="2157" spans="1:1" x14ac:dyDescent="0.25">
      <c r="A2157" s="66"/>
    </row>
    <row r="2158" spans="1:1" x14ac:dyDescent="0.25">
      <c r="A2158" s="66"/>
    </row>
    <row r="2159" spans="1:1" x14ac:dyDescent="0.25">
      <c r="A2159" s="66"/>
    </row>
    <row r="2160" spans="1:1" x14ac:dyDescent="0.25">
      <c r="A2160" s="66"/>
    </row>
    <row r="2161" spans="1:1" x14ac:dyDescent="0.25">
      <c r="A2161" s="66"/>
    </row>
    <row r="2162" spans="1:1" x14ac:dyDescent="0.25">
      <c r="A2162" s="66"/>
    </row>
    <row r="2163" spans="1:1" x14ac:dyDescent="0.25">
      <c r="A2163" s="66"/>
    </row>
    <row r="2164" spans="1:1" x14ac:dyDescent="0.25">
      <c r="A2164" s="66"/>
    </row>
    <row r="2165" spans="1:1" x14ac:dyDescent="0.25">
      <c r="A2165" s="66"/>
    </row>
    <row r="2166" spans="1:1" x14ac:dyDescent="0.25">
      <c r="A2166" s="66"/>
    </row>
    <row r="2167" spans="1:1" x14ac:dyDescent="0.25">
      <c r="A2167" s="66"/>
    </row>
    <row r="2168" spans="1:1" x14ac:dyDescent="0.25">
      <c r="A2168" s="66"/>
    </row>
    <row r="2169" spans="1:1" x14ac:dyDescent="0.25">
      <c r="A2169" s="66"/>
    </row>
    <row r="2170" spans="1:1" x14ac:dyDescent="0.25">
      <c r="A2170" s="66"/>
    </row>
    <row r="2171" spans="1:1" x14ac:dyDescent="0.25">
      <c r="A2171" s="66"/>
    </row>
    <row r="2172" spans="1:1" x14ac:dyDescent="0.25">
      <c r="A2172" s="66"/>
    </row>
    <row r="2173" spans="1:1" x14ac:dyDescent="0.25">
      <c r="A2173" s="66"/>
    </row>
    <row r="2174" spans="1:1" x14ac:dyDescent="0.25">
      <c r="A2174" s="66"/>
    </row>
    <row r="2175" spans="1:1" x14ac:dyDescent="0.25">
      <c r="A2175" s="66"/>
    </row>
    <row r="2176" spans="1:1" x14ac:dyDescent="0.25">
      <c r="A2176" s="66"/>
    </row>
    <row r="2177" spans="1:1" x14ac:dyDescent="0.25">
      <c r="A2177" s="66"/>
    </row>
    <row r="2178" spans="1:1" x14ac:dyDescent="0.25">
      <c r="A2178" s="66"/>
    </row>
    <row r="2179" spans="1:1" x14ac:dyDescent="0.25">
      <c r="A2179" s="66"/>
    </row>
    <row r="2180" spans="1:1" x14ac:dyDescent="0.25">
      <c r="A2180" s="66"/>
    </row>
    <row r="2181" spans="1:1" x14ac:dyDescent="0.25">
      <c r="A2181" s="66"/>
    </row>
    <row r="2182" spans="1:1" x14ac:dyDescent="0.25">
      <c r="A2182" s="66"/>
    </row>
    <row r="2183" spans="1:1" x14ac:dyDescent="0.25">
      <c r="A2183" s="66"/>
    </row>
    <row r="2184" spans="1:1" x14ac:dyDescent="0.25">
      <c r="A2184" s="66"/>
    </row>
    <row r="2185" spans="1:1" x14ac:dyDescent="0.25">
      <c r="A2185" s="66"/>
    </row>
    <row r="2186" spans="1:1" x14ac:dyDescent="0.25">
      <c r="A2186" s="66"/>
    </row>
    <row r="2187" spans="1:1" x14ac:dyDescent="0.25">
      <c r="A2187" s="66"/>
    </row>
    <row r="2188" spans="1:1" x14ac:dyDescent="0.25">
      <c r="A2188" s="66"/>
    </row>
    <row r="2189" spans="1:1" x14ac:dyDescent="0.25">
      <c r="A2189" s="66"/>
    </row>
    <row r="2190" spans="1:1" x14ac:dyDescent="0.25">
      <c r="A2190" s="66"/>
    </row>
    <row r="2191" spans="1:1" x14ac:dyDescent="0.25">
      <c r="A2191" s="66"/>
    </row>
    <row r="2192" spans="1:1" x14ac:dyDescent="0.25">
      <c r="A2192" s="66"/>
    </row>
    <row r="2193" spans="1:1" x14ac:dyDescent="0.25">
      <c r="A2193" s="66"/>
    </row>
    <row r="2194" spans="1:1" x14ac:dyDescent="0.25">
      <c r="A2194" s="66"/>
    </row>
    <row r="2195" spans="1:1" x14ac:dyDescent="0.25">
      <c r="A2195" s="66"/>
    </row>
    <row r="2196" spans="1:1" x14ac:dyDescent="0.25">
      <c r="A2196" s="66"/>
    </row>
    <row r="2197" spans="1:1" x14ac:dyDescent="0.25">
      <c r="A2197" s="66"/>
    </row>
    <row r="2198" spans="1:1" x14ac:dyDescent="0.25">
      <c r="A2198" s="66"/>
    </row>
    <row r="2199" spans="1:1" x14ac:dyDescent="0.25">
      <c r="A2199" s="66"/>
    </row>
    <row r="2200" spans="1:1" x14ac:dyDescent="0.25">
      <c r="A2200" s="66"/>
    </row>
    <row r="2201" spans="1:1" x14ac:dyDescent="0.25">
      <c r="A2201" s="66"/>
    </row>
    <row r="2202" spans="1:1" x14ac:dyDescent="0.25">
      <c r="A2202" s="66"/>
    </row>
    <row r="2203" spans="1:1" x14ac:dyDescent="0.25">
      <c r="A2203" s="66"/>
    </row>
    <row r="2204" spans="1:1" x14ac:dyDescent="0.25">
      <c r="A2204" s="66"/>
    </row>
    <row r="2205" spans="1:1" x14ac:dyDescent="0.25">
      <c r="A2205" s="66"/>
    </row>
    <row r="2206" spans="1:1" x14ac:dyDescent="0.25">
      <c r="A2206" s="66"/>
    </row>
    <row r="2207" spans="1:1" x14ac:dyDescent="0.25">
      <c r="A2207" s="66"/>
    </row>
    <row r="2208" spans="1:1" x14ac:dyDescent="0.25">
      <c r="A2208" s="66"/>
    </row>
    <row r="2209" spans="1:1" x14ac:dyDescent="0.25">
      <c r="A2209" s="66"/>
    </row>
    <row r="2210" spans="1:1" x14ac:dyDescent="0.25">
      <c r="A2210" s="66"/>
    </row>
    <row r="2211" spans="1:1" x14ac:dyDescent="0.25">
      <c r="A2211" s="66"/>
    </row>
    <row r="2212" spans="1:1" x14ac:dyDescent="0.25">
      <c r="A2212" s="66"/>
    </row>
    <row r="2213" spans="1:1" x14ac:dyDescent="0.25">
      <c r="A2213" s="66"/>
    </row>
    <row r="2214" spans="1:1" x14ac:dyDescent="0.25">
      <c r="A2214" s="66"/>
    </row>
    <row r="2215" spans="1:1" x14ac:dyDescent="0.25">
      <c r="A2215" s="66"/>
    </row>
    <row r="2216" spans="1:1" x14ac:dyDescent="0.25">
      <c r="A2216" s="66"/>
    </row>
    <row r="2217" spans="1:1" x14ac:dyDescent="0.25">
      <c r="A2217" s="66"/>
    </row>
    <row r="2218" spans="1:1" x14ac:dyDescent="0.25">
      <c r="A2218" s="66"/>
    </row>
    <row r="2219" spans="1:1" x14ac:dyDescent="0.25">
      <c r="A2219" s="66"/>
    </row>
    <row r="2220" spans="1:1" x14ac:dyDescent="0.25">
      <c r="A2220" s="66"/>
    </row>
    <row r="2221" spans="1:1" x14ac:dyDescent="0.25">
      <c r="A2221" s="66"/>
    </row>
    <row r="2222" spans="1:1" x14ac:dyDescent="0.25">
      <c r="A2222" s="66"/>
    </row>
    <row r="2223" spans="1:1" x14ac:dyDescent="0.25">
      <c r="A2223" s="66"/>
    </row>
    <row r="2224" spans="1:1" x14ac:dyDescent="0.25">
      <c r="A2224" s="66"/>
    </row>
    <row r="2225" spans="1:1" x14ac:dyDescent="0.25">
      <c r="A2225" s="66"/>
    </row>
    <row r="2226" spans="1:1" x14ac:dyDescent="0.25">
      <c r="A2226" s="66"/>
    </row>
    <row r="2227" spans="1:1" x14ac:dyDescent="0.25">
      <c r="A2227" s="66"/>
    </row>
    <row r="2228" spans="1:1" x14ac:dyDescent="0.25">
      <c r="A2228" s="66"/>
    </row>
    <row r="2229" spans="1:1" x14ac:dyDescent="0.25">
      <c r="A2229" s="66"/>
    </row>
    <row r="2230" spans="1:1" x14ac:dyDescent="0.25">
      <c r="A2230" s="66"/>
    </row>
    <row r="2231" spans="1:1" x14ac:dyDescent="0.25">
      <c r="A2231" s="66"/>
    </row>
    <row r="2232" spans="1:1" x14ac:dyDescent="0.25">
      <c r="A2232" s="66"/>
    </row>
    <row r="2233" spans="1:1" x14ac:dyDescent="0.25">
      <c r="A2233" s="66"/>
    </row>
    <row r="2234" spans="1:1" x14ac:dyDescent="0.25">
      <c r="A2234" s="66"/>
    </row>
    <row r="2235" spans="1:1" x14ac:dyDescent="0.25">
      <c r="A2235" s="66"/>
    </row>
    <row r="2236" spans="1:1" x14ac:dyDescent="0.25">
      <c r="A2236" s="66"/>
    </row>
    <row r="2237" spans="1:1" x14ac:dyDescent="0.25">
      <c r="A2237" s="66"/>
    </row>
    <row r="2238" spans="1:1" x14ac:dyDescent="0.25">
      <c r="A2238" s="66"/>
    </row>
    <row r="2239" spans="1:1" x14ac:dyDescent="0.25">
      <c r="A2239" s="66"/>
    </row>
    <row r="2240" spans="1:1" x14ac:dyDescent="0.25">
      <c r="A2240" s="66"/>
    </row>
    <row r="2241" spans="1:1" x14ac:dyDescent="0.25">
      <c r="A2241" s="66"/>
    </row>
    <row r="2242" spans="1:1" x14ac:dyDescent="0.25">
      <c r="A2242" s="66"/>
    </row>
    <row r="2243" spans="1:1" x14ac:dyDescent="0.25">
      <c r="A2243" s="66"/>
    </row>
    <row r="2244" spans="1:1" x14ac:dyDescent="0.25">
      <c r="A2244" s="66"/>
    </row>
    <row r="2245" spans="1:1" x14ac:dyDescent="0.25">
      <c r="A2245" s="66"/>
    </row>
    <row r="2246" spans="1:1" x14ac:dyDescent="0.25">
      <c r="A2246" s="66"/>
    </row>
    <row r="2247" spans="1:1" x14ac:dyDescent="0.25">
      <c r="A2247" s="66"/>
    </row>
    <row r="2248" spans="1:1" x14ac:dyDescent="0.25">
      <c r="A2248" s="66"/>
    </row>
    <row r="2249" spans="1:1" x14ac:dyDescent="0.25">
      <c r="A2249" s="66"/>
    </row>
    <row r="2250" spans="1:1" x14ac:dyDescent="0.25">
      <c r="A2250" s="66"/>
    </row>
    <row r="2251" spans="1:1" x14ac:dyDescent="0.25">
      <c r="A2251" s="66"/>
    </row>
    <row r="2252" spans="1:1" x14ac:dyDescent="0.25">
      <c r="A2252" s="66"/>
    </row>
    <row r="2253" spans="1:1" x14ac:dyDescent="0.25">
      <c r="A2253" s="66"/>
    </row>
    <row r="2254" spans="1:1" x14ac:dyDescent="0.25">
      <c r="A2254" s="66"/>
    </row>
    <row r="2255" spans="1:1" x14ac:dyDescent="0.25">
      <c r="A2255" s="66"/>
    </row>
    <row r="2256" spans="1:1" x14ac:dyDescent="0.25">
      <c r="A2256" s="66"/>
    </row>
    <row r="2257" spans="1:1" x14ac:dyDescent="0.25">
      <c r="A2257" s="66"/>
    </row>
    <row r="2258" spans="1:1" x14ac:dyDescent="0.25">
      <c r="A2258" s="66"/>
    </row>
    <row r="2259" spans="1:1" x14ac:dyDescent="0.25">
      <c r="A2259" s="66"/>
    </row>
    <row r="2260" spans="1:1" x14ac:dyDescent="0.25">
      <c r="A2260" s="66"/>
    </row>
    <row r="2261" spans="1:1" x14ac:dyDescent="0.25">
      <c r="A2261" s="66"/>
    </row>
    <row r="2262" spans="1:1" x14ac:dyDescent="0.25">
      <c r="A2262" s="66"/>
    </row>
    <row r="2263" spans="1:1" x14ac:dyDescent="0.25">
      <c r="A2263" s="66"/>
    </row>
    <row r="2264" spans="1:1" x14ac:dyDescent="0.25">
      <c r="A2264" s="66"/>
    </row>
    <row r="2265" spans="1:1" x14ac:dyDescent="0.25">
      <c r="A2265" s="66"/>
    </row>
    <row r="2266" spans="1:1" x14ac:dyDescent="0.25">
      <c r="A2266" s="66"/>
    </row>
    <row r="2267" spans="1:1" x14ac:dyDescent="0.25">
      <c r="A2267" s="66"/>
    </row>
    <row r="2268" spans="1:1" x14ac:dyDescent="0.25">
      <c r="A2268" s="66"/>
    </row>
    <row r="2269" spans="1:1" x14ac:dyDescent="0.25">
      <c r="A2269" s="66"/>
    </row>
    <row r="2270" spans="1:1" x14ac:dyDescent="0.25">
      <c r="A2270" s="66"/>
    </row>
    <row r="2271" spans="1:1" x14ac:dyDescent="0.25">
      <c r="A2271" s="66"/>
    </row>
    <row r="2272" spans="1:1" x14ac:dyDescent="0.25">
      <c r="A2272" s="66"/>
    </row>
    <row r="2273" spans="1:1" x14ac:dyDescent="0.25">
      <c r="A2273" s="66"/>
    </row>
    <row r="2274" spans="1:1" x14ac:dyDescent="0.25">
      <c r="A2274" s="66"/>
    </row>
    <row r="2275" spans="1:1" x14ac:dyDescent="0.25">
      <c r="A2275" s="66"/>
    </row>
    <row r="2276" spans="1:1" x14ac:dyDescent="0.25">
      <c r="A2276" s="66"/>
    </row>
    <row r="2277" spans="1:1" x14ac:dyDescent="0.25">
      <c r="A2277" s="66"/>
    </row>
    <row r="2278" spans="1:1" x14ac:dyDescent="0.25">
      <c r="A2278" s="66"/>
    </row>
    <row r="2279" spans="1:1" x14ac:dyDescent="0.25">
      <c r="A2279" s="66"/>
    </row>
    <row r="2280" spans="1:1" x14ac:dyDescent="0.25">
      <c r="A2280" s="66"/>
    </row>
    <row r="2281" spans="1:1" x14ac:dyDescent="0.25">
      <c r="A2281" s="66"/>
    </row>
    <row r="2282" spans="1:1" x14ac:dyDescent="0.25">
      <c r="A2282" s="66"/>
    </row>
    <row r="2283" spans="1:1" x14ac:dyDescent="0.25">
      <c r="A2283" s="66"/>
    </row>
    <row r="2284" spans="1:1" x14ac:dyDescent="0.25">
      <c r="A2284" s="66"/>
    </row>
    <row r="2285" spans="1:1" x14ac:dyDescent="0.25">
      <c r="A2285" s="66"/>
    </row>
    <row r="2286" spans="1:1" x14ac:dyDescent="0.25">
      <c r="A2286" s="66"/>
    </row>
    <row r="2287" spans="1:1" x14ac:dyDescent="0.25">
      <c r="A2287" s="66"/>
    </row>
    <row r="2288" spans="1:1" x14ac:dyDescent="0.25">
      <c r="A2288" s="66"/>
    </row>
    <row r="2289" spans="1:1" x14ac:dyDescent="0.25">
      <c r="A2289" s="66"/>
    </row>
    <row r="2290" spans="1:1" x14ac:dyDescent="0.25">
      <c r="A2290" s="66"/>
    </row>
    <row r="2291" spans="1:1" x14ac:dyDescent="0.25">
      <c r="A2291" s="66"/>
    </row>
    <row r="2292" spans="1:1" x14ac:dyDescent="0.25">
      <c r="A2292" s="66"/>
    </row>
    <row r="2293" spans="1:1" x14ac:dyDescent="0.25">
      <c r="A2293" s="66"/>
    </row>
    <row r="2294" spans="1:1" x14ac:dyDescent="0.25">
      <c r="A2294" s="66"/>
    </row>
    <row r="2295" spans="1:1" x14ac:dyDescent="0.25">
      <c r="A2295" s="66"/>
    </row>
    <row r="2296" spans="1:1" x14ac:dyDescent="0.25">
      <c r="A2296" s="66"/>
    </row>
    <row r="2297" spans="1:1" x14ac:dyDescent="0.25">
      <c r="A2297" s="66"/>
    </row>
    <row r="2298" spans="1:1" x14ac:dyDescent="0.25">
      <c r="A2298" s="66"/>
    </row>
    <row r="2299" spans="1:1" x14ac:dyDescent="0.25">
      <c r="A2299" s="66"/>
    </row>
    <row r="2300" spans="1:1" x14ac:dyDescent="0.25">
      <c r="A2300" s="66"/>
    </row>
    <row r="2301" spans="1:1" x14ac:dyDescent="0.25">
      <c r="A2301" s="66"/>
    </row>
    <row r="2302" spans="1:1" x14ac:dyDescent="0.25">
      <c r="A2302" s="66"/>
    </row>
    <row r="2303" spans="1:1" x14ac:dyDescent="0.25">
      <c r="A2303" s="66"/>
    </row>
    <row r="2304" spans="1:1" x14ac:dyDescent="0.25">
      <c r="A2304" s="66"/>
    </row>
    <row r="2305" spans="1:1" x14ac:dyDescent="0.25">
      <c r="A2305" s="66"/>
    </row>
    <row r="2306" spans="1:1" x14ac:dyDescent="0.25">
      <c r="A2306" s="66"/>
    </row>
    <row r="2307" spans="1:1" x14ac:dyDescent="0.25">
      <c r="A2307" s="66"/>
    </row>
    <row r="2308" spans="1:1" x14ac:dyDescent="0.25">
      <c r="A2308" s="66"/>
    </row>
    <row r="2309" spans="1:1" x14ac:dyDescent="0.25">
      <c r="A2309" s="66"/>
    </row>
    <row r="2310" spans="1:1" x14ac:dyDescent="0.25">
      <c r="A2310" s="66"/>
    </row>
    <row r="2311" spans="1:1" x14ac:dyDescent="0.25">
      <c r="A2311" s="66"/>
    </row>
    <row r="2312" spans="1:1" x14ac:dyDescent="0.25">
      <c r="A2312" s="66"/>
    </row>
    <row r="2313" spans="1:1" x14ac:dyDescent="0.25">
      <c r="A2313" s="66"/>
    </row>
    <row r="2314" spans="1:1" x14ac:dyDescent="0.25">
      <c r="A2314" s="66"/>
    </row>
    <row r="2315" spans="1:1" x14ac:dyDescent="0.25">
      <c r="A2315" s="66"/>
    </row>
    <row r="2316" spans="1:1" x14ac:dyDescent="0.25">
      <c r="A2316" s="66"/>
    </row>
    <row r="2317" spans="1:1" x14ac:dyDescent="0.25">
      <c r="A2317" s="66"/>
    </row>
    <row r="2318" spans="1:1" x14ac:dyDescent="0.25">
      <c r="A2318" s="66"/>
    </row>
    <row r="2319" spans="1:1" x14ac:dyDescent="0.25">
      <c r="A2319" s="66"/>
    </row>
    <row r="2320" spans="1:1" x14ac:dyDescent="0.25">
      <c r="A2320" s="66"/>
    </row>
    <row r="2321" spans="1:1" x14ac:dyDescent="0.25">
      <c r="A2321" s="66"/>
    </row>
    <row r="2322" spans="1:1" x14ac:dyDescent="0.25">
      <c r="A2322" s="66"/>
    </row>
    <row r="2323" spans="1:1" x14ac:dyDescent="0.25">
      <c r="A2323" s="66"/>
    </row>
    <row r="2324" spans="1:1" x14ac:dyDescent="0.25">
      <c r="A2324" s="66"/>
    </row>
    <row r="2325" spans="1:1" x14ac:dyDescent="0.25">
      <c r="A2325" s="66"/>
    </row>
    <row r="2326" spans="1:1" x14ac:dyDescent="0.25">
      <c r="A2326" s="66"/>
    </row>
    <row r="2327" spans="1:1" x14ac:dyDescent="0.25">
      <c r="A2327" s="66"/>
    </row>
    <row r="2328" spans="1:1" x14ac:dyDescent="0.25">
      <c r="A2328" s="66"/>
    </row>
    <row r="2329" spans="1:1" x14ac:dyDescent="0.25">
      <c r="A2329" s="66"/>
    </row>
    <row r="2330" spans="1:1" x14ac:dyDescent="0.25">
      <c r="A2330" s="66"/>
    </row>
    <row r="2331" spans="1:1" x14ac:dyDescent="0.25">
      <c r="A2331" s="66"/>
    </row>
    <row r="2332" spans="1:1" x14ac:dyDescent="0.25">
      <c r="A2332" s="66"/>
    </row>
    <row r="2333" spans="1:1" x14ac:dyDescent="0.25">
      <c r="A2333" s="66"/>
    </row>
    <row r="2334" spans="1:1" x14ac:dyDescent="0.25">
      <c r="A2334" s="66"/>
    </row>
    <row r="2335" spans="1:1" x14ac:dyDescent="0.25">
      <c r="A2335" s="66"/>
    </row>
    <row r="2336" spans="1:1" x14ac:dyDescent="0.25">
      <c r="A2336" s="66"/>
    </row>
    <row r="2337" spans="1:1" x14ac:dyDescent="0.25">
      <c r="A2337" s="66"/>
    </row>
    <row r="2338" spans="1:1" x14ac:dyDescent="0.25">
      <c r="A2338" s="66"/>
    </row>
    <row r="2339" spans="1:1" x14ac:dyDescent="0.25">
      <c r="A2339" s="66"/>
    </row>
    <row r="2340" spans="1:1" x14ac:dyDescent="0.25">
      <c r="A2340" s="66"/>
    </row>
    <row r="2341" spans="1:1" x14ac:dyDescent="0.25">
      <c r="A2341" s="66"/>
    </row>
    <row r="2342" spans="1:1" x14ac:dyDescent="0.25">
      <c r="A2342" s="66"/>
    </row>
    <row r="2343" spans="1:1" x14ac:dyDescent="0.25">
      <c r="A2343" s="66"/>
    </row>
    <row r="2344" spans="1:1" x14ac:dyDescent="0.25">
      <c r="A2344" s="66"/>
    </row>
    <row r="2345" spans="1:1" x14ac:dyDescent="0.25">
      <c r="A2345" s="66"/>
    </row>
    <row r="2346" spans="1:1" x14ac:dyDescent="0.25">
      <c r="A2346" s="66"/>
    </row>
    <row r="2347" spans="1:1" x14ac:dyDescent="0.25">
      <c r="A2347" s="66"/>
    </row>
    <row r="2348" spans="1:1" x14ac:dyDescent="0.25">
      <c r="A2348" s="66"/>
    </row>
    <row r="2349" spans="1:1" x14ac:dyDescent="0.25">
      <c r="A2349" s="66"/>
    </row>
    <row r="2350" spans="1:1" x14ac:dyDescent="0.25">
      <c r="A2350" s="66"/>
    </row>
    <row r="2351" spans="1:1" x14ac:dyDescent="0.25">
      <c r="A2351" s="66"/>
    </row>
    <row r="2352" spans="1:1" x14ac:dyDescent="0.25">
      <c r="A2352" s="66"/>
    </row>
    <row r="2353" spans="1:1" x14ac:dyDescent="0.25">
      <c r="A2353" s="66"/>
    </row>
    <row r="2354" spans="1:1" x14ac:dyDescent="0.25">
      <c r="A2354" s="66"/>
    </row>
    <row r="2355" spans="1:1" x14ac:dyDescent="0.25">
      <c r="A2355" s="66"/>
    </row>
    <row r="2356" spans="1:1" x14ac:dyDescent="0.25">
      <c r="A2356" s="66"/>
    </row>
    <row r="2357" spans="1:1" x14ac:dyDescent="0.25">
      <c r="A2357" s="66"/>
    </row>
    <row r="2358" spans="1:1" x14ac:dyDescent="0.25">
      <c r="A2358" s="66"/>
    </row>
    <row r="2359" spans="1:1" x14ac:dyDescent="0.25">
      <c r="A2359" s="66"/>
    </row>
    <row r="2360" spans="1:1" x14ac:dyDescent="0.25">
      <c r="A2360" s="66"/>
    </row>
    <row r="2361" spans="1:1" x14ac:dyDescent="0.25">
      <c r="A2361" s="66"/>
    </row>
    <row r="2362" spans="1:1" x14ac:dyDescent="0.25">
      <c r="A2362" s="66"/>
    </row>
    <row r="2363" spans="1:1" x14ac:dyDescent="0.25">
      <c r="A2363" s="66"/>
    </row>
    <row r="2364" spans="1:1" x14ac:dyDescent="0.25">
      <c r="A2364" s="66"/>
    </row>
    <row r="2365" spans="1:1" x14ac:dyDescent="0.25">
      <c r="A2365" s="66"/>
    </row>
    <row r="2366" spans="1:1" x14ac:dyDescent="0.25">
      <c r="A2366" s="66"/>
    </row>
    <row r="2367" spans="1:1" x14ac:dyDescent="0.25">
      <c r="A2367" s="66"/>
    </row>
    <row r="2368" spans="1:1" x14ac:dyDescent="0.25">
      <c r="A2368" s="66"/>
    </row>
    <row r="2369" spans="1:1" x14ac:dyDescent="0.25">
      <c r="A2369" s="66"/>
    </row>
    <row r="2370" spans="1:1" x14ac:dyDescent="0.25">
      <c r="A2370" s="66"/>
    </row>
    <row r="2371" spans="1:1" x14ac:dyDescent="0.25">
      <c r="A2371" s="66"/>
    </row>
    <row r="2372" spans="1:1" x14ac:dyDescent="0.25">
      <c r="A2372" s="66"/>
    </row>
    <row r="2373" spans="1:1" x14ac:dyDescent="0.25">
      <c r="A2373" s="66"/>
    </row>
    <row r="2374" spans="1:1" x14ac:dyDescent="0.25">
      <c r="A2374" s="66"/>
    </row>
    <row r="2375" spans="1:1" x14ac:dyDescent="0.25">
      <c r="A2375" s="66"/>
    </row>
    <row r="2376" spans="1:1" x14ac:dyDescent="0.25">
      <c r="A2376" s="66"/>
    </row>
    <row r="2377" spans="1:1" x14ac:dyDescent="0.25">
      <c r="A2377" s="66"/>
    </row>
    <row r="2378" spans="1:1" x14ac:dyDescent="0.25">
      <c r="A2378" s="66"/>
    </row>
    <row r="2379" spans="1:1" x14ac:dyDescent="0.25">
      <c r="A2379" s="66"/>
    </row>
    <row r="2380" spans="1:1" x14ac:dyDescent="0.25">
      <c r="A2380" s="66"/>
    </row>
    <row r="2381" spans="1:1" x14ac:dyDescent="0.25">
      <c r="A2381" s="66"/>
    </row>
    <row r="2382" spans="1:1" x14ac:dyDescent="0.25">
      <c r="A2382" s="66"/>
    </row>
    <row r="2383" spans="1:1" x14ac:dyDescent="0.25">
      <c r="A2383" s="66"/>
    </row>
    <row r="2384" spans="1:1" x14ac:dyDescent="0.25">
      <c r="A2384" s="66"/>
    </row>
    <row r="2385" spans="1:1" x14ac:dyDescent="0.25">
      <c r="A2385" s="66"/>
    </row>
    <row r="2386" spans="1:1" x14ac:dyDescent="0.25">
      <c r="A2386" s="66"/>
    </row>
    <row r="2387" spans="1:1" x14ac:dyDescent="0.25">
      <c r="A2387" s="66"/>
    </row>
    <row r="2388" spans="1:1" x14ac:dyDescent="0.25">
      <c r="A2388" s="66"/>
    </row>
    <row r="2389" spans="1:1" x14ac:dyDescent="0.25">
      <c r="A2389" s="66"/>
    </row>
    <row r="2390" spans="1:1" x14ac:dyDescent="0.25">
      <c r="A2390" s="66"/>
    </row>
    <row r="2391" spans="1:1" x14ac:dyDescent="0.25">
      <c r="A2391" s="66"/>
    </row>
    <row r="2392" spans="1:1" x14ac:dyDescent="0.25">
      <c r="A2392" s="66"/>
    </row>
    <row r="2393" spans="1:1" x14ac:dyDescent="0.25">
      <c r="A2393" s="66"/>
    </row>
    <row r="2394" spans="1:1" x14ac:dyDescent="0.25">
      <c r="A2394" s="66"/>
    </row>
    <row r="2395" spans="1:1" x14ac:dyDescent="0.25">
      <c r="A2395" s="66"/>
    </row>
    <row r="2396" spans="1:1" x14ac:dyDescent="0.25">
      <c r="A2396" s="66"/>
    </row>
    <row r="2397" spans="1:1" x14ac:dyDescent="0.25">
      <c r="A2397" s="66"/>
    </row>
    <row r="2398" spans="1:1" x14ac:dyDescent="0.25">
      <c r="A2398" s="66"/>
    </row>
    <row r="2399" spans="1:1" x14ac:dyDescent="0.25">
      <c r="A2399" s="66"/>
    </row>
    <row r="2400" spans="1:1" x14ac:dyDescent="0.25">
      <c r="A2400" s="66"/>
    </row>
    <row r="2401" spans="1:1" x14ac:dyDescent="0.25">
      <c r="A2401" s="66"/>
    </row>
    <row r="2402" spans="1:1" x14ac:dyDescent="0.25">
      <c r="A2402" s="66"/>
    </row>
    <row r="2403" spans="1:1" x14ac:dyDescent="0.25">
      <c r="A2403" s="66"/>
    </row>
    <row r="2404" spans="1:1" x14ac:dyDescent="0.25">
      <c r="A2404" s="66"/>
    </row>
    <row r="2405" spans="1:1" x14ac:dyDescent="0.25">
      <c r="A2405" s="66"/>
    </row>
    <row r="2406" spans="1:1" x14ac:dyDescent="0.25">
      <c r="A2406" s="66"/>
    </row>
    <row r="2407" spans="1:1" x14ac:dyDescent="0.25">
      <c r="A2407" s="66"/>
    </row>
    <row r="2408" spans="1:1" x14ac:dyDescent="0.25">
      <c r="A2408" s="66"/>
    </row>
    <row r="2409" spans="1:1" x14ac:dyDescent="0.25">
      <c r="A2409" s="66"/>
    </row>
    <row r="2410" spans="1:1" x14ac:dyDescent="0.25">
      <c r="A2410" s="66"/>
    </row>
    <row r="2411" spans="1:1" x14ac:dyDescent="0.25">
      <c r="A2411" s="66"/>
    </row>
    <row r="2412" spans="1:1" x14ac:dyDescent="0.25">
      <c r="A2412" s="66"/>
    </row>
    <row r="2413" spans="1:1" x14ac:dyDescent="0.25">
      <c r="A2413" s="66"/>
    </row>
    <row r="2414" spans="1:1" x14ac:dyDescent="0.25">
      <c r="A2414" s="66"/>
    </row>
    <row r="2415" spans="1:1" x14ac:dyDescent="0.25">
      <c r="A2415" s="66"/>
    </row>
    <row r="2416" spans="1:1" x14ac:dyDescent="0.25">
      <c r="A2416" s="66"/>
    </row>
    <row r="2417" spans="1:1" x14ac:dyDescent="0.25">
      <c r="A2417" s="66"/>
    </row>
    <row r="2418" spans="1:1" x14ac:dyDescent="0.25">
      <c r="A2418" s="66"/>
    </row>
    <row r="2419" spans="1:1" x14ac:dyDescent="0.25">
      <c r="A2419" s="66"/>
    </row>
    <row r="2420" spans="1:1" x14ac:dyDescent="0.25">
      <c r="A2420" s="66"/>
    </row>
    <row r="2421" spans="1:1" x14ac:dyDescent="0.25">
      <c r="A2421" s="66"/>
    </row>
    <row r="2422" spans="1:1" x14ac:dyDescent="0.25">
      <c r="A2422" s="66"/>
    </row>
    <row r="2423" spans="1:1" x14ac:dyDescent="0.25">
      <c r="A2423" s="66"/>
    </row>
    <row r="2424" spans="1:1" x14ac:dyDescent="0.25">
      <c r="A2424" s="66"/>
    </row>
    <row r="2425" spans="1:1" x14ac:dyDescent="0.25">
      <c r="A2425" s="66"/>
    </row>
    <row r="2426" spans="1:1" x14ac:dyDescent="0.25">
      <c r="A2426" s="66"/>
    </row>
    <row r="2427" spans="1:1" x14ac:dyDescent="0.25">
      <c r="A2427" s="66"/>
    </row>
    <row r="2428" spans="1:1" x14ac:dyDescent="0.25">
      <c r="A2428" s="66"/>
    </row>
    <row r="2429" spans="1:1" x14ac:dyDescent="0.25">
      <c r="A2429" s="66"/>
    </row>
    <row r="2430" spans="1:1" x14ac:dyDescent="0.25">
      <c r="A2430" s="66"/>
    </row>
    <row r="2431" spans="1:1" x14ac:dyDescent="0.25">
      <c r="A2431" s="66"/>
    </row>
    <row r="2432" spans="1:1" x14ac:dyDescent="0.25">
      <c r="A2432" s="66"/>
    </row>
    <row r="2433" spans="1:1" x14ac:dyDescent="0.25">
      <c r="A2433" s="66"/>
    </row>
    <row r="2434" spans="1:1" x14ac:dyDescent="0.25">
      <c r="A2434" s="66"/>
    </row>
    <row r="2435" spans="1:1" x14ac:dyDescent="0.25">
      <c r="A2435" s="66"/>
    </row>
    <row r="2436" spans="1:1" x14ac:dyDescent="0.25">
      <c r="A2436" s="66"/>
    </row>
    <row r="2437" spans="1:1" x14ac:dyDescent="0.25">
      <c r="A2437" s="66"/>
    </row>
    <row r="2438" spans="1:1" x14ac:dyDescent="0.25">
      <c r="A2438" s="66"/>
    </row>
    <row r="2439" spans="1:1" x14ac:dyDescent="0.25">
      <c r="A2439" s="66"/>
    </row>
    <row r="2440" spans="1:1" x14ac:dyDescent="0.25">
      <c r="A2440" s="66"/>
    </row>
    <row r="2441" spans="1:1" x14ac:dyDescent="0.25">
      <c r="A2441" s="66"/>
    </row>
    <row r="2442" spans="1:1" x14ac:dyDescent="0.25">
      <c r="A2442" s="66"/>
    </row>
    <row r="2443" spans="1:1" x14ac:dyDescent="0.25">
      <c r="A2443" s="66"/>
    </row>
    <row r="2444" spans="1:1" x14ac:dyDescent="0.25">
      <c r="A2444" s="66"/>
    </row>
    <row r="2445" spans="1:1" x14ac:dyDescent="0.25">
      <c r="A2445" s="66"/>
    </row>
    <row r="2446" spans="1:1" x14ac:dyDescent="0.25">
      <c r="A2446" s="66"/>
    </row>
    <row r="2447" spans="1:1" x14ac:dyDescent="0.25">
      <c r="A2447" s="66"/>
    </row>
    <row r="2448" spans="1:1" x14ac:dyDescent="0.25">
      <c r="A2448" s="66"/>
    </row>
    <row r="2449" spans="1:1" x14ac:dyDescent="0.25">
      <c r="A2449" s="66"/>
    </row>
    <row r="2450" spans="1:1" x14ac:dyDescent="0.25">
      <c r="A2450" s="66"/>
    </row>
    <row r="2451" spans="1:1" x14ac:dyDescent="0.25">
      <c r="A2451" s="66"/>
    </row>
    <row r="2452" spans="1:1" x14ac:dyDescent="0.25">
      <c r="A2452" s="66"/>
    </row>
    <row r="2453" spans="1:1" x14ac:dyDescent="0.25">
      <c r="A2453" s="66"/>
    </row>
    <row r="2454" spans="1:1" x14ac:dyDescent="0.25">
      <c r="A2454" s="66"/>
    </row>
    <row r="2455" spans="1:1" x14ac:dyDescent="0.25">
      <c r="A2455" s="66"/>
    </row>
    <row r="2456" spans="1:1" x14ac:dyDescent="0.25">
      <c r="A2456" s="66"/>
    </row>
    <row r="2457" spans="1:1" x14ac:dyDescent="0.25">
      <c r="A2457" s="66"/>
    </row>
    <row r="2458" spans="1:1" x14ac:dyDescent="0.25">
      <c r="A2458" s="66"/>
    </row>
    <row r="2459" spans="1:1" x14ac:dyDescent="0.25">
      <c r="A2459" s="66"/>
    </row>
    <row r="2460" spans="1:1" x14ac:dyDescent="0.25">
      <c r="A2460" s="66"/>
    </row>
    <row r="2461" spans="1:1" x14ac:dyDescent="0.25">
      <c r="A2461" s="66"/>
    </row>
    <row r="2462" spans="1:1" x14ac:dyDescent="0.25">
      <c r="A2462" s="66"/>
    </row>
    <row r="2463" spans="1:1" x14ac:dyDescent="0.25">
      <c r="A2463" s="66"/>
    </row>
    <row r="2464" spans="1:1" x14ac:dyDescent="0.25">
      <c r="A2464" s="66"/>
    </row>
    <row r="2465" spans="1:1" x14ac:dyDescent="0.25">
      <c r="A2465" s="66"/>
    </row>
    <row r="2466" spans="1:1" x14ac:dyDescent="0.25">
      <c r="A2466" s="66"/>
    </row>
    <row r="2467" spans="1:1" x14ac:dyDescent="0.25">
      <c r="A2467" s="66"/>
    </row>
    <row r="2468" spans="1:1" x14ac:dyDescent="0.25">
      <c r="A2468" s="66"/>
    </row>
    <row r="2469" spans="1:1" x14ac:dyDescent="0.25">
      <c r="A2469" s="66"/>
    </row>
    <row r="2470" spans="1:1" x14ac:dyDescent="0.25">
      <c r="A2470" s="66"/>
    </row>
    <row r="2471" spans="1:1" x14ac:dyDescent="0.25">
      <c r="A2471" s="66"/>
    </row>
    <row r="2472" spans="1:1" x14ac:dyDescent="0.25">
      <c r="A2472" s="66"/>
    </row>
    <row r="2473" spans="1:1" x14ac:dyDescent="0.25">
      <c r="A2473" s="66"/>
    </row>
    <row r="2474" spans="1:1" x14ac:dyDescent="0.25">
      <c r="A2474" s="66"/>
    </row>
    <row r="2475" spans="1:1" x14ac:dyDescent="0.25">
      <c r="A2475" s="66"/>
    </row>
    <row r="2476" spans="1:1" x14ac:dyDescent="0.25">
      <c r="A2476" s="66"/>
    </row>
    <row r="2477" spans="1:1" x14ac:dyDescent="0.25">
      <c r="A2477" s="66"/>
    </row>
    <row r="2478" spans="1:1" x14ac:dyDescent="0.25">
      <c r="A2478" s="66"/>
    </row>
    <row r="2479" spans="1:1" x14ac:dyDescent="0.25">
      <c r="A2479" s="66"/>
    </row>
    <row r="2480" spans="1:1" x14ac:dyDescent="0.25">
      <c r="A2480" s="66"/>
    </row>
    <row r="2481" spans="1:1" x14ac:dyDescent="0.25">
      <c r="A2481" s="66"/>
    </row>
    <row r="2482" spans="1:1" x14ac:dyDescent="0.25">
      <c r="A2482" s="66"/>
    </row>
    <row r="2483" spans="1:1" x14ac:dyDescent="0.25">
      <c r="A2483" s="66"/>
    </row>
    <row r="2484" spans="1:1" x14ac:dyDescent="0.25">
      <c r="A2484" s="66"/>
    </row>
    <row r="2485" spans="1:1" x14ac:dyDescent="0.25">
      <c r="A2485" s="66"/>
    </row>
    <row r="2486" spans="1:1" x14ac:dyDescent="0.25">
      <c r="A2486" s="66"/>
    </row>
    <row r="2487" spans="1:1" x14ac:dyDescent="0.25">
      <c r="A2487" s="66"/>
    </row>
    <row r="2488" spans="1:1" x14ac:dyDescent="0.25">
      <c r="A2488" s="66"/>
    </row>
    <row r="2489" spans="1:1" x14ac:dyDescent="0.25">
      <c r="A2489" s="66"/>
    </row>
    <row r="2490" spans="1:1" x14ac:dyDescent="0.25">
      <c r="A2490" s="66"/>
    </row>
    <row r="2491" spans="1:1" x14ac:dyDescent="0.25">
      <c r="A2491" s="66"/>
    </row>
    <row r="2492" spans="1:1" x14ac:dyDescent="0.25">
      <c r="A2492" s="66"/>
    </row>
    <row r="2493" spans="1:1" x14ac:dyDescent="0.25">
      <c r="A2493" s="66"/>
    </row>
    <row r="2494" spans="1:1" x14ac:dyDescent="0.25">
      <c r="A2494" s="66"/>
    </row>
    <row r="2495" spans="1:1" x14ac:dyDescent="0.25">
      <c r="A2495" s="66"/>
    </row>
    <row r="2496" spans="1:1" x14ac:dyDescent="0.25">
      <c r="A2496" s="66"/>
    </row>
    <row r="2497" spans="1:1" x14ac:dyDescent="0.25">
      <c r="A2497" s="66"/>
    </row>
    <row r="2498" spans="1:1" x14ac:dyDescent="0.25">
      <c r="A2498" s="66"/>
    </row>
    <row r="2499" spans="1:1" x14ac:dyDescent="0.25">
      <c r="A2499" s="66"/>
    </row>
    <row r="2500" spans="1:1" x14ac:dyDescent="0.25">
      <c r="A2500" s="66"/>
    </row>
    <row r="2501" spans="1:1" x14ac:dyDescent="0.25">
      <c r="A2501" s="66"/>
    </row>
    <row r="2502" spans="1:1" x14ac:dyDescent="0.25">
      <c r="A2502" s="66"/>
    </row>
    <row r="2503" spans="1:1" x14ac:dyDescent="0.25">
      <c r="A2503" s="66"/>
    </row>
    <row r="2504" spans="1:1" x14ac:dyDescent="0.25">
      <c r="A2504" s="66"/>
    </row>
    <row r="2505" spans="1:1" x14ac:dyDescent="0.25">
      <c r="A2505" s="66"/>
    </row>
    <row r="2506" spans="1:1" x14ac:dyDescent="0.25">
      <c r="A2506" s="66"/>
    </row>
    <row r="2507" spans="1:1" x14ac:dyDescent="0.25">
      <c r="A2507" s="66"/>
    </row>
    <row r="2508" spans="1:1" x14ac:dyDescent="0.25">
      <c r="A2508" s="66"/>
    </row>
    <row r="2509" spans="1:1" x14ac:dyDescent="0.25">
      <c r="A2509" s="66"/>
    </row>
    <row r="2510" spans="1:1" x14ac:dyDescent="0.25">
      <c r="A2510" s="66"/>
    </row>
    <row r="2511" spans="1:1" x14ac:dyDescent="0.25">
      <c r="A2511" s="66"/>
    </row>
    <row r="2512" spans="1:1" x14ac:dyDescent="0.25">
      <c r="A2512" s="66"/>
    </row>
    <row r="2513" spans="1:1" x14ac:dyDescent="0.25">
      <c r="A2513" s="66"/>
    </row>
    <row r="2514" spans="1:1" x14ac:dyDescent="0.25">
      <c r="A2514" s="66"/>
    </row>
    <row r="2515" spans="1:1" x14ac:dyDescent="0.25">
      <c r="A2515" s="66"/>
    </row>
    <row r="2516" spans="1:1" x14ac:dyDescent="0.25">
      <c r="A2516" s="66"/>
    </row>
    <row r="2517" spans="1:1" x14ac:dyDescent="0.25">
      <c r="A2517" s="66"/>
    </row>
    <row r="2518" spans="1:1" x14ac:dyDescent="0.25">
      <c r="A2518" s="66"/>
    </row>
    <row r="2519" spans="1:1" x14ac:dyDescent="0.25">
      <c r="A2519" s="66"/>
    </row>
    <row r="2520" spans="1:1" x14ac:dyDescent="0.25">
      <c r="A2520" s="66"/>
    </row>
    <row r="2521" spans="1:1" x14ac:dyDescent="0.25">
      <c r="A2521" s="66"/>
    </row>
    <row r="2522" spans="1:1" x14ac:dyDescent="0.25">
      <c r="A2522" s="66"/>
    </row>
    <row r="2523" spans="1:1" x14ac:dyDescent="0.25">
      <c r="A2523" s="66"/>
    </row>
    <row r="2524" spans="1:1" x14ac:dyDescent="0.25">
      <c r="A2524" s="66"/>
    </row>
    <row r="2525" spans="1:1" x14ac:dyDescent="0.25">
      <c r="A2525" s="66"/>
    </row>
    <row r="2526" spans="1:1" x14ac:dyDescent="0.25">
      <c r="A2526" s="66"/>
    </row>
    <row r="2527" spans="1:1" x14ac:dyDescent="0.25">
      <c r="A2527" s="66"/>
    </row>
    <row r="2528" spans="1:1" x14ac:dyDescent="0.25">
      <c r="A2528" s="66"/>
    </row>
    <row r="2529" spans="1:1" x14ac:dyDescent="0.25">
      <c r="A2529" s="66"/>
    </row>
    <row r="2530" spans="1:1" x14ac:dyDescent="0.25">
      <c r="A2530" s="66"/>
    </row>
    <row r="2531" spans="1:1" x14ac:dyDescent="0.25">
      <c r="A2531" s="66"/>
    </row>
    <row r="2532" spans="1:1" x14ac:dyDescent="0.25">
      <c r="A2532" s="66"/>
    </row>
    <row r="2533" spans="1:1" x14ac:dyDescent="0.25">
      <c r="A2533" s="66"/>
    </row>
    <row r="2534" spans="1:1" x14ac:dyDescent="0.25">
      <c r="A2534" s="66"/>
    </row>
    <row r="2535" spans="1:1" x14ac:dyDescent="0.25">
      <c r="A2535" s="66"/>
    </row>
    <row r="2536" spans="1:1" x14ac:dyDescent="0.25">
      <c r="A2536" s="66"/>
    </row>
    <row r="2537" spans="1:1" x14ac:dyDescent="0.25">
      <c r="A2537" s="66"/>
    </row>
    <row r="2538" spans="1:1" x14ac:dyDescent="0.25">
      <c r="A2538" s="66"/>
    </row>
    <row r="2539" spans="1:1" x14ac:dyDescent="0.25">
      <c r="A2539" s="66"/>
    </row>
    <row r="2540" spans="1:1" x14ac:dyDescent="0.25">
      <c r="A2540" s="66"/>
    </row>
    <row r="2541" spans="1:1" x14ac:dyDescent="0.25">
      <c r="A2541" s="66"/>
    </row>
    <row r="2542" spans="1:1" x14ac:dyDescent="0.25">
      <c r="A2542" s="66"/>
    </row>
    <row r="2543" spans="1:1" x14ac:dyDescent="0.25">
      <c r="A2543" s="66"/>
    </row>
    <row r="2544" spans="1:1" x14ac:dyDescent="0.25">
      <c r="A2544" s="66"/>
    </row>
    <row r="2545" spans="1:1" x14ac:dyDescent="0.25">
      <c r="A2545" s="66"/>
    </row>
    <row r="2546" spans="1:1" x14ac:dyDescent="0.25">
      <c r="A2546" s="66"/>
    </row>
    <row r="2547" spans="1:1" x14ac:dyDescent="0.25">
      <c r="A2547" s="66"/>
    </row>
    <row r="2548" spans="1:1" x14ac:dyDescent="0.25">
      <c r="A2548" s="66"/>
    </row>
    <row r="2549" spans="1:1" x14ac:dyDescent="0.25">
      <c r="A2549" s="66"/>
    </row>
    <row r="2550" spans="1:1" x14ac:dyDescent="0.25">
      <c r="A2550" s="66"/>
    </row>
    <row r="2551" spans="1:1" x14ac:dyDescent="0.25">
      <c r="A2551" s="66"/>
    </row>
    <row r="2552" spans="1:1" x14ac:dyDescent="0.25">
      <c r="A2552" s="66"/>
    </row>
    <row r="2553" spans="1:1" x14ac:dyDescent="0.25">
      <c r="A2553" s="66"/>
    </row>
    <row r="2554" spans="1:1" x14ac:dyDescent="0.25">
      <c r="A2554" s="66"/>
    </row>
    <row r="2555" spans="1:1" x14ac:dyDescent="0.25">
      <c r="A2555" s="66"/>
    </row>
    <row r="2556" spans="1:1" x14ac:dyDescent="0.25">
      <c r="A2556" s="66"/>
    </row>
    <row r="2557" spans="1:1" x14ac:dyDescent="0.25">
      <c r="A2557" s="66"/>
    </row>
    <row r="2558" spans="1:1" x14ac:dyDescent="0.25">
      <c r="A2558" s="66"/>
    </row>
    <row r="2559" spans="1:1" x14ac:dyDescent="0.25">
      <c r="A2559" s="66"/>
    </row>
    <row r="2560" spans="1:1" x14ac:dyDescent="0.25">
      <c r="A2560" s="66"/>
    </row>
    <row r="2561" spans="1:1" x14ac:dyDescent="0.25">
      <c r="A2561" s="66"/>
    </row>
    <row r="2562" spans="1:1" x14ac:dyDescent="0.25">
      <c r="A2562" s="66"/>
    </row>
    <row r="2563" spans="1:1" x14ac:dyDescent="0.25">
      <c r="A2563" s="66"/>
    </row>
    <row r="2564" spans="1:1" x14ac:dyDescent="0.25">
      <c r="A2564" s="66"/>
    </row>
    <row r="2565" spans="1:1" x14ac:dyDescent="0.25">
      <c r="A2565" s="66"/>
    </row>
    <row r="2566" spans="1:1" x14ac:dyDescent="0.25">
      <c r="A2566" s="66"/>
    </row>
    <row r="2567" spans="1:1" x14ac:dyDescent="0.25">
      <c r="A2567" s="66"/>
    </row>
    <row r="2568" spans="1:1" x14ac:dyDescent="0.25">
      <c r="A2568" s="66"/>
    </row>
    <row r="2569" spans="1:1" x14ac:dyDescent="0.25">
      <c r="A2569" s="66"/>
    </row>
    <row r="2570" spans="1:1" x14ac:dyDescent="0.25">
      <c r="A2570" s="66"/>
    </row>
    <row r="2571" spans="1:1" x14ac:dyDescent="0.25">
      <c r="A2571" s="66"/>
    </row>
    <row r="2572" spans="1:1" x14ac:dyDescent="0.25">
      <c r="A2572" s="66"/>
    </row>
    <row r="2573" spans="1:1" x14ac:dyDescent="0.25">
      <c r="A2573" s="66"/>
    </row>
    <row r="2574" spans="1:1" x14ac:dyDescent="0.25">
      <c r="A2574" s="66"/>
    </row>
    <row r="2575" spans="1:1" x14ac:dyDescent="0.25">
      <c r="A2575" s="66"/>
    </row>
    <row r="2576" spans="1:1" x14ac:dyDescent="0.25">
      <c r="A2576" s="66"/>
    </row>
    <row r="2577" spans="1:1" x14ac:dyDescent="0.25">
      <c r="A2577" s="66"/>
    </row>
    <row r="2578" spans="1:1" x14ac:dyDescent="0.25">
      <c r="A2578" s="66"/>
    </row>
    <row r="2579" spans="1:1" x14ac:dyDescent="0.25">
      <c r="A2579" s="66"/>
    </row>
    <row r="2580" spans="1:1" x14ac:dyDescent="0.25">
      <c r="A2580" s="66"/>
    </row>
    <row r="2581" spans="1:1" x14ac:dyDescent="0.25">
      <c r="A2581" s="66"/>
    </row>
    <row r="2582" spans="1:1" x14ac:dyDescent="0.25">
      <c r="A2582" s="66"/>
    </row>
    <row r="2583" spans="1:1" x14ac:dyDescent="0.25">
      <c r="A2583" s="66"/>
    </row>
    <row r="2584" spans="1:1" x14ac:dyDescent="0.25">
      <c r="A2584" s="66"/>
    </row>
    <row r="2585" spans="1:1" x14ac:dyDescent="0.25">
      <c r="A2585" s="66"/>
    </row>
    <row r="2586" spans="1:1" x14ac:dyDescent="0.25">
      <c r="A2586" s="66"/>
    </row>
    <row r="2587" spans="1:1" x14ac:dyDescent="0.25">
      <c r="A2587" s="66"/>
    </row>
    <row r="2588" spans="1:1" x14ac:dyDescent="0.25">
      <c r="A2588" s="66"/>
    </row>
    <row r="2589" spans="1:1" x14ac:dyDescent="0.25">
      <c r="A2589" s="66"/>
    </row>
    <row r="2590" spans="1:1" x14ac:dyDescent="0.25">
      <c r="A2590" s="66"/>
    </row>
    <row r="2591" spans="1:1" x14ac:dyDescent="0.25">
      <c r="A2591" s="66"/>
    </row>
    <row r="2592" spans="1:1" x14ac:dyDescent="0.25">
      <c r="A2592" s="66"/>
    </row>
    <row r="2593" spans="1:1" x14ac:dyDescent="0.25">
      <c r="A2593" s="66"/>
    </row>
    <row r="2594" spans="1:1" x14ac:dyDescent="0.25">
      <c r="A2594" s="66"/>
    </row>
    <row r="2595" spans="1:1" x14ac:dyDescent="0.25">
      <c r="A2595" s="66"/>
    </row>
    <row r="2596" spans="1:1" x14ac:dyDescent="0.25">
      <c r="A2596" s="66"/>
    </row>
    <row r="2597" spans="1:1" x14ac:dyDescent="0.25">
      <c r="A2597" s="66"/>
    </row>
    <row r="2598" spans="1:1" x14ac:dyDescent="0.25">
      <c r="A2598" s="66"/>
    </row>
    <row r="2599" spans="1:1" x14ac:dyDescent="0.25">
      <c r="A2599" s="66"/>
    </row>
    <row r="2600" spans="1:1" x14ac:dyDescent="0.25">
      <c r="A2600" s="66"/>
    </row>
    <row r="2601" spans="1:1" x14ac:dyDescent="0.25">
      <c r="A2601" s="66"/>
    </row>
    <row r="2602" spans="1:1" x14ac:dyDescent="0.25">
      <c r="A2602" s="66"/>
    </row>
    <row r="2603" spans="1:1" x14ac:dyDescent="0.25">
      <c r="A2603" s="66"/>
    </row>
    <row r="2604" spans="1:1" x14ac:dyDescent="0.25">
      <c r="A2604" s="66"/>
    </row>
    <row r="2605" spans="1:1" x14ac:dyDescent="0.25">
      <c r="A2605" s="66"/>
    </row>
    <row r="2606" spans="1:1" x14ac:dyDescent="0.25">
      <c r="A2606" s="66"/>
    </row>
    <row r="2607" spans="1:1" x14ac:dyDescent="0.25">
      <c r="A2607" s="66"/>
    </row>
    <row r="2608" spans="1:1" x14ac:dyDescent="0.25">
      <c r="A2608" s="66"/>
    </row>
    <row r="2609" spans="1:1" x14ac:dyDescent="0.25">
      <c r="A2609" s="66"/>
    </row>
    <row r="2610" spans="1:1" x14ac:dyDescent="0.25">
      <c r="A2610" s="66"/>
    </row>
    <row r="2611" spans="1:1" x14ac:dyDescent="0.25">
      <c r="A2611" s="66"/>
    </row>
    <row r="2612" spans="1:1" x14ac:dyDescent="0.25">
      <c r="A2612" s="66"/>
    </row>
    <row r="2613" spans="1:1" x14ac:dyDescent="0.25">
      <c r="A2613" s="66"/>
    </row>
    <row r="2614" spans="1:1" x14ac:dyDescent="0.25">
      <c r="A2614" s="66"/>
    </row>
    <row r="2615" spans="1:1" x14ac:dyDescent="0.25">
      <c r="A2615" s="66"/>
    </row>
    <row r="2616" spans="1:1" x14ac:dyDescent="0.25">
      <c r="A2616" s="66"/>
    </row>
    <row r="2617" spans="1:1" x14ac:dyDescent="0.25">
      <c r="A2617" s="66"/>
    </row>
    <row r="2618" spans="1:1" x14ac:dyDescent="0.25">
      <c r="A2618" s="66"/>
    </row>
    <row r="2619" spans="1:1" x14ac:dyDescent="0.25">
      <c r="A2619" s="66"/>
    </row>
    <row r="2620" spans="1:1" x14ac:dyDescent="0.25">
      <c r="A2620" s="66"/>
    </row>
    <row r="2621" spans="1:1" x14ac:dyDescent="0.25">
      <c r="A2621" s="66"/>
    </row>
    <row r="2622" spans="1:1" x14ac:dyDescent="0.25">
      <c r="A2622" s="66"/>
    </row>
    <row r="2623" spans="1:1" x14ac:dyDescent="0.25">
      <c r="A2623" s="66"/>
    </row>
    <row r="2624" spans="1:1" x14ac:dyDescent="0.25">
      <c r="A2624" s="66"/>
    </row>
    <row r="2625" spans="1:1" x14ac:dyDescent="0.25">
      <c r="A2625" s="66"/>
    </row>
    <row r="2626" spans="1:1" x14ac:dyDescent="0.25">
      <c r="A2626" s="66"/>
    </row>
    <row r="2627" spans="1:1" x14ac:dyDescent="0.25">
      <c r="A2627" s="66"/>
    </row>
    <row r="2628" spans="1:1" x14ac:dyDescent="0.25">
      <c r="A2628" s="66"/>
    </row>
    <row r="2629" spans="1:1" x14ac:dyDescent="0.25">
      <c r="A2629" s="66"/>
    </row>
    <row r="2630" spans="1:1" x14ac:dyDescent="0.25">
      <c r="A2630" s="66"/>
    </row>
    <row r="2631" spans="1:1" x14ac:dyDescent="0.25">
      <c r="A2631" s="66"/>
    </row>
    <row r="2632" spans="1:1" x14ac:dyDescent="0.25">
      <c r="A2632" s="66"/>
    </row>
    <row r="2633" spans="1:1" x14ac:dyDescent="0.25">
      <c r="A2633" s="66"/>
    </row>
    <row r="2634" spans="1:1" x14ac:dyDescent="0.25">
      <c r="A2634" s="66"/>
    </row>
    <row r="2635" spans="1:1" x14ac:dyDescent="0.25">
      <c r="A2635" s="66"/>
    </row>
    <row r="2636" spans="1:1" x14ac:dyDescent="0.25">
      <c r="A2636" s="66"/>
    </row>
    <row r="2637" spans="1:1" x14ac:dyDescent="0.25">
      <c r="A2637" s="66"/>
    </row>
    <row r="2638" spans="1:1" x14ac:dyDescent="0.25">
      <c r="A2638" s="66"/>
    </row>
    <row r="2639" spans="1:1" x14ac:dyDescent="0.25">
      <c r="A2639" s="66"/>
    </row>
    <row r="2640" spans="1:1" x14ac:dyDescent="0.25">
      <c r="A2640" s="66"/>
    </row>
    <row r="2641" spans="1:1" x14ac:dyDescent="0.25">
      <c r="A2641" s="66"/>
    </row>
    <row r="2642" spans="1:1" x14ac:dyDescent="0.25">
      <c r="A2642" s="66"/>
    </row>
    <row r="2643" spans="1:1" x14ac:dyDescent="0.25">
      <c r="A2643" s="66"/>
    </row>
    <row r="2644" spans="1:1" x14ac:dyDescent="0.25">
      <c r="A2644" s="66"/>
    </row>
    <row r="2645" spans="1:1" x14ac:dyDescent="0.25">
      <c r="A2645" s="66"/>
    </row>
    <row r="2646" spans="1:1" x14ac:dyDescent="0.25">
      <c r="A2646" s="66"/>
    </row>
    <row r="2647" spans="1:1" x14ac:dyDescent="0.25">
      <c r="A2647" s="66"/>
    </row>
    <row r="2648" spans="1:1" x14ac:dyDescent="0.25">
      <c r="A2648" s="66"/>
    </row>
    <row r="2649" spans="1:1" x14ac:dyDescent="0.25">
      <c r="A2649" s="66"/>
    </row>
    <row r="2650" spans="1:1" x14ac:dyDescent="0.25">
      <c r="A2650" s="66"/>
    </row>
    <row r="2651" spans="1:1" x14ac:dyDescent="0.25">
      <c r="A2651" s="66"/>
    </row>
    <row r="2652" spans="1:1" x14ac:dyDescent="0.25">
      <c r="A2652" s="66"/>
    </row>
    <row r="2653" spans="1:1" x14ac:dyDescent="0.25">
      <c r="A2653" s="66"/>
    </row>
    <row r="2654" spans="1:1" x14ac:dyDescent="0.25">
      <c r="A2654" s="66"/>
    </row>
    <row r="2655" spans="1:1" x14ac:dyDescent="0.25">
      <c r="A2655" s="66"/>
    </row>
    <row r="2656" spans="1:1" x14ac:dyDescent="0.25">
      <c r="A2656" s="66"/>
    </row>
    <row r="2657" spans="1:1" x14ac:dyDescent="0.25">
      <c r="A2657" s="66"/>
    </row>
    <row r="2658" spans="1:1" x14ac:dyDescent="0.25">
      <c r="A2658" s="66"/>
    </row>
    <row r="2659" spans="1:1" x14ac:dyDescent="0.25">
      <c r="A2659" s="66"/>
    </row>
    <row r="2660" spans="1:1" x14ac:dyDescent="0.25">
      <c r="A2660" s="66"/>
    </row>
    <row r="2661" spans="1:1" x14ac:dyDescent="0.25">
      <c r="A2661" s="66"/>
    </row>
    <row r="2662" spans="1:1" x14ac:dyDescent="0.25">
      <c r="A2662" s="66"/>
    </row>
    <row r="2663" spans="1:1" x14ac:dyDescent="0.25">
      <c r="A2663" s="66"/>
    </row>
    <row r="2664" spans="1:1" x14ac:dyDescent="0.25">
      <c r="A2664" s="66"/>
    </row>
    <row r="2665" spans="1:1" x14ac:dyDescent="0.25">
      <c r="A2665" s="66"/>
    </row>
    <row r="2666" spans="1:1" x14ac:dyDescent="0.25">
      <c r="A2666" s="66"/>
    </row>
    <row r="2667" spans="1:1" x14ac:dyDescent="0.25">
      <c r="A2667" s="66"/>
    </row>
    <row r="2668" spans="1:1" x14ac:dyDescent="0.25">
      <c r="A2668" s="66"/>
    </row>
    <row r="2669" spans="1:1" x14ac:dyDescent="0.25">
      <c r="A2669" s="66"/>
    </row>
    <row r="2670" spans="1:1" x14ac:dyDescent="0.25">
      <c r="A2670" s="66"/>
    </row>
    <row r="2671" spans="1:1" x14ac:dyDescent="0.25">
      <c r="A2671" s="66"/>
    </row>
    <row r="2672" spans="1:1" x14ac:dyDescent="0.25">
      <c r="A2672" s="66"/>
    </row>
    <row r="2673" spans="1:1" x14ac:dyDescent="0.25">
      <c r="A2673" s="66"/>
    </row>
    <row r="2674" spans="1:1" x14ac:dyDescent="0.25">
      <c r="A2674" s="66"/>
    </row>
    <row r="2675" spans="1:1" x14ac:dyDescent="0.25">
      <c r="A2675" s="66"/>
    </row>
    <row r="2676" spans="1:1" x14ac:dyDescent="0.25">
      <c r="A2676" s="66"/>
    </row>
    <row r="2677" spans="1:1" x14ac:dyDescent="0.25">
      <c r="A2677" s="66"/>
    </row>
    <row r="2678" spans="1:1" x14ac:dyDescent="0.25">
      <c r="A2678" s="66"/>
    </row>
    <row r="2679" spans="1:1" x14ac:dyDescent="0.25">
      <c r="A2679" s="66"/>
    </row>
    <row r="2680" spans="1:1" x14ac:dyDescent="0.25">
      <c r="A2680" s="66"/>
    </row>
    <row r="2681" spans="1:1" x14ac:dyDescent="0.25">
      <c r="A2681" s="66"/>
    </row>
    <row r="2682" spans="1:1" x14ac:dyDescent="0.25">
      <c r="A2682" s="66"/>
    </row>
    <row r="2683" spans="1:1" x14ac:dyDescent="0.25">
      <c r="A2683" s="66"/>
    </row>
    <row r="2684" spans="1:1" x14ac:dyDescent="0.25">
      <c r="A2684" s="66"/>
    </row>
    <row r="2685" spans="1:1" x14ac:dyDescent="0.25">
      <c r="A2685" s="66"/>
    </row>
    <row r="2686" spans="1:1" x14ac:dyDescent="0.25">
      <c r="A2686" s="66"/>
    </row>
    <row r="2687" spans="1:1" x14ac:dyDescent="0.25">
      <c r="A2687" s="66"/>
    </row>
    <row r="2688" spans="1:1" x14ac:dyDescent="0.25">
      <c r="A2688" s="66"/>
    </row>
    <row r="2689" spans="1:1" x14ac:dyDescent="0.25">
      <c r="A2689" s="66"/>
    </row>
    <row r="2690" spans="1:1" x14ac:dyDescent="0.25">
      <c r="A2690" s="66"/>
    </row>
    <row r="2691" spans="1:1" x14ac:dyDescent="0.25">
      <c r="A2691" s="66"/>
    </row>
    <row r="2692" spans="1:1" x14ac:dyDescent="0.25">
      <c r="A2692" s="66"/>
    </row>
    <row r="2693" spans="1:1" x14ac:dyDescent="0.25">
      <c r="A2693" s="66"/>
    </row>
    <row r="2694" spans="1:1" x14ac:dyDescent="0.25">
      <c r="A2694" s="66"/>
    </row>
    <row r="2695" spans="1:1" x14ac:dyDescent="0.25">
      <c r="A2695" s="66"/>
    </row>
    <row r="2696" spans="1:1" x14ac:dyDescent="0.25">
      <c r="A2696" s="66"/>
    </row>
    <row r="2697" spans="1:1" x14ac:dyDescent="0.25">
      <c r="A2697" s="66"/>
    </row>
    <row r="2698" spans="1:1" x14ac:dyDescent="0.25">
      <c r="A2698" s="66"/>
    </row>
    <row r="2699" spans="1:1" x14ac:dyDescent="0.25">
      <c r="A2699" s="66"/>
    </row>
    <row r="2700" spans="1:1" x14ac:dyDescent="0.25">
      <c r="A2700" s="66"/>
    </row>
    <row r="2701" spans="1:1" x14ac:dyDescent="0.25">
      <c r="A2701" s="66"/>
    </row>
    <row r="2702" spans="1:1" x14ac:dyDescent="0.25">
      <c r="A2702" s="66"/>
    </row>
    <row r="2703" spans="1:1" x14ac:dyDescent="0.25">
      <c r="A2703" s="66"/>
    </row>
    <row r="2704" spans="1:1" x14ac:dyDescent="0.25">
      <c r="A2704" s="66"/>
    </row>
    <row r="2705" spans="1:1" x14ac:dyDescent="0.25">
      <c r="A2705" s="66"/>
    </row>
    <row r="2706" spans="1:1" x14ac:dyDescent="0.25">
      <c r="A2706" s="66"/>
    </row>
    <row r="2707" spans="1:1" x14ac:dyDescent="0.25">
      <c r="A2707" s="66"/>
    </row>
    <row r="2708" spans="1:1" x14ac:dyDescent="0.25">
      <c r="A2708" s="66"/>
    </row>
    <row r="2709" spans="1:1" x14ac:dyDescent="0.25">
      <c r="A2709" s="66"/>
    </row>
    <row r="2710" spans="1:1" x14ac:dyDescent="0.25">
      <c r="A2710" s="66"/>
    </row>
    <row r="2711" spans="1:1" x14ac:dyDescent="0.25">
      <c r="A2711" s="66"/>
    </row>
    <row r="2712" spans="1:1" x14ac:dyDescent="0.25">
      <c r="A2712" s="66"/>
    </row>
    <row r="2713" spans="1:1" x14ac:dyDescent="0.25">
      <c r="A2713" s="66"/>
    </row>
    <row r="2714" spans="1:1" x14ac:dyDescent="0.25">
      <c r="A2714" s="66"/>
    </row>
    <row r="2715" spans="1:1" x14ac:dyDescent="0.25">
      <c r="A2715" s="66"/>
    </row>
    <row r="2716" spans="1:1" x14ac:dyDescent="0.25">
      <c r="A2716" s="66"/>
    </row>
    <row r="2717" spans="1:1" x14ac:dyDescent="0.25">
      <c r="A2717" s="66"/>
    </row>
    <row r="2718" spans="1:1" x14ac:dyDescent="0.25">
      <c r="A2718" s="66"/>
    </row>
    <row r="2719" spans="1:1" x14ac:dyDescent="0.25">
      <c r="A2719" s="66"/>
    </row>
    <row r="2720" spans="1:1" x14ac:dyDescent="0.25">
      <c r="A2720" s="66"/>
    </row>
    <row r="2721" spans="1:1" x14ac:dyDescent="0.25">
      <c r="A2721" s="66"/>
    </row>
    <row r="2722" spans="1:1" x14ac:dyDescent="0.25">
      <c r="A2722" s="66"/>
    </row>
    <row r="2723" spans="1:1" x14ac:dyDescent="0.25">
      <c r="A2723" s="66"/>
    </row>
    <row r="2724" spans="1:1" x14ac:dyDescent="0.25">
      <c r="A2724" s="66"/>
    </row>
    <row r="2725" spans="1:1" x14ac:dyDescent="0.25">
      <c r="A2725" s="66"/>
    </row>
    <row r="2726" spans="1:1" x14ac:dyDescent="0.25">
      <c r="A2726" s="66"/>
    </row>
    <row r="2727" spans="1:1" x14ac:dyDescent="0.25">
      <c r="A2727" s="66"/>
    </row>
    <row r="2728" spans="1:1" x14ac:dyDescent="0.25">
      <c r="A2728" s="66"/>
    </row>
    <row r="2729" spans="1:1" x14ac:dyDescent="0.25">
      <c r="A2729" s="66"/>
    </row>
    <row r="2730" spans="1:1" x14ac:dyDescent="0.25">
      <c r="A2730" s="66"/>
    </row>
    <row r="2731" spans="1:1" x14ac:dyDescent="0.25">
      <c r="A2731" s="66"/>
    </row>
    <row r="2732" spans="1:1" x14ac:dyDescent="0.25">
      <c r="A2732" s="66"/>
    </row>
    <row r="2733" spans="1:1" x14ac:dyDescent="0.25">
      <c r="A2733" s="66"/>
    </row>
    <row r="2734" spans="1:1" x14ac:dyDescent="0.25">
      <c r="A2734" s="66"/>
    </row>
    <row r="2735" spans="1:1" x14ac:dyDescent="0.25">
      <c r="A2735" s="66"/>
    </row>
    <row r="2736" spans="1:1" x14ac:dyDescent="0.25">
      <c r="A2736" s="66"/>
    </row>
    <row r="2737" spans="1:1" x14ac:dyDescent="0.25">
      <c r="A2737" s="66"/>
    </row>
    <row r="2738" spans="1:1" x14ac:dyDescent="0.25">
      <c r="A2738" s="66"/>
    </row>
    <row r="2739" spans="1:1" x14ac:dyDescent="0.25">
      <c r="A2739" s="66"/>
    </row>
    <row r="2740" spans="1:1" x14ac:dyDescent="0.25">
      <c r="A2740" s="66"/>
    </row>
    <row r="2741" spans="1:1" x14ac:dyDescent="0.25">
      <c r="A2741" s="66"/>
    </row>
    <row r="2742" spans="1:1" x14ac:dyDescent="0.25">
      <c r="A2742" s="66"/>
    </row>
    <row r="2743" spans="1:1" x14ac:dyDescent="0.25">
      <c r="A2743" s="66"/>
    </row>
    <row r="2744" spans="1:1" x14ac:dyDescent="0.25">
      <c r="A2744" s="66"/>
    </row>
    <row r="2745" spans="1:1" x14ac:dyDescent="0.25">
      <c r="A2745" s="66"/>
    </row>
    <row r="2746" spans="1:1" x14ac:dyDescent="0.25">
      <c r="A2746" s="66"/>
    </row>
    <row r="2747" spans="1:1" x14ac:dyDescent="0.25">
      <c r="A2747" s="66"/>
    </row>
    <row r="2748" spans="1:1" x14ac:dyDescent="0.25">
      <c r="A2748" s="66"/>
    </row>
    <row r="2749" spans="1:1" x14ac:dyDescent="0.25">
      <c r="A2749" s="66"/>
    </row>
    <row r="2750" spans="1:1" x14ac:dyDescent="0.25">
      <c r="A2750" s="66"/>
    </row>
    <row r="2751" spans="1:1" x14ac:dyDescent="0.25">
      <c r="A2751" s="66"/>
    </row>
    <row r="2752" spans="1:1" x14ac:dyDescent="0.25">
      <c r="A2752" s="66"/>
    </row>
    <row r="2753" spans="1:1" x14ac:dyDescent="0.25">
      <c r="A2753" s="66"/>
    </row>
    <row r="2754" spans="1:1" x14ac:dyDescent="0.25">
      <c r="A2754" s="66"/>
    </row>
    <row r="2755" spans="1:1" x14ac:dyDescent="0.25">
      <c r="A2755" s="66"/>
    </row>
    <row r="2756" spans="1:1" x14ac:dyDescent="0.25">
      <c r="A2756" s="66"/>
    </row>
    <row r="2757" spans="1:1" x14ac:dyDescent="0.25">
      <c r="A2757" s="66"/>
    </row>
    <row r="2758" spans="1:1" x14ac:dyDescent="0.25">
      <c r="A2758" s="66"/>
    </row>
    <row r="2759" spans="1:1" x14ac:dyDescent="0.25">
      <c r="A2759" s="66"/>
    </row>
    <row r="2760" spans="1:1" x14ac:dyDescent="0.25">
      <c r="A2760" s="66"/>
    </row>
    <row r="2761" spans="1:1" x14ac:dyDescent="0.25">
      <c r="A2761" s="66"/>
    </row>
    <row r="2762" spans="1:1" x14ac:dyDescent="0.25">
      <c r="A2762" s="66"/>
    </row>
    <row r="2763" spans="1:1" x14ac:dyDescent="0.25">
      <c r="A2763" s="66"/>
    </row>
    <row r="2764" spans="1:1" x14ac:dyDescent="0.25">
      <c r="A2764" s="66"/>
    </row>
    <row r="2765" spans="1:1" x14ac:dyDescent="0.25">
      <c r="A2765" s="66"/>
    </row>
    <row r="2766" spans="1:1" x14ac:dyDescent="0.25">
      <c r="A2766" s="66"/>
    </row>
    <row r="2767" spans="1:1" x14ac:dyDescent="0.25">
      <c r="A2767" s="66"/>
    </row>
    <row r="2768" spans="1:1" x14ac:dyDescent="0.25">
      <c r="A2768" s="66"/>
    </row>
    <row r="2769" spans="1:1" x14ac:dyDescent="0.25">
      <c r="A2769" s="66"/>
    </row>
    <row r="2770" spans="1:1" x14ac:dyDescent="0.25">
      <c r="A2770" s="66"/>
    </row>
    <row r="2771" spans="1:1" x14ac:dyDescent="0.25">
      <c r="A2771" s="66"/>
    </row>
    <row r="2772" spans="1:1" x14ac:dyDescent="0.25">
      <c r="A2772" s="66"/>
    </row>
    <row r="2773" spans="1:1" x14ac:dyDescent="0.25">
      <c r="A2773" s="66"/>
    </row>
    <row r="2774" spans="1:1" x14ac:dyDescent="0.25">
      <c r="A2774" s="66"/>
    </row>
    <row r="2775" spans="1:1" x14ac:dyDescent="0.25">
      <c r="A2775" s="66"/>
    </row>
    <row r="2776" spans="1:1" x14ac:dyDescent="0.25">
      <c r="A2776" s="66"/>
    </row>
    <row r="2777" spans="1:1" x14ac:dyDescent="0.25">
      <c r="A2777" s="66"/>
    </row>
    <row r="2778" spans="1:1" x14ac:dyDescent="0.25">
      <c r="A2778" s="66"/>
    </row>
    <row r="2779" spans="1:1" x14ac:dyDescent="0.25">
      <c r="A2779" s="66"/>
    </row>
    <row r="2780" spans="1:1" x14ac:dyDescent="0.25">
      <c r="A2780" s="66"/>
    </row>
    <row r="2781" spans="1:1" x14ac:dyDescent="0.25">
      <c r="A2781" s="66"/>
    </row>
    <row r="2782" spans="1:1" x14ac:dyDescent="0.25">
      <c r="A2782" s="66"/>
    </row>
    <row r="2783" spans="1:1" x14ac:dyDescent="0.25">
      <c r="A2783" s="66"/>
    </row>
    <row r="2784" spans="1:1" x14ac:dyDescent="0.25">
      <c r="A2784" s="66"/>
    </row>
    <row r="2785" spans="1:1" x14ac:dyDescent="0.25">
      <c r="A2785" s="66"/>
    </row>
    <row r="2786" spans="1:1" x14ac:dyDescent="0.25">
      <c r="A2786" s="66"/>
    </row>
    <row r="2787" spans="1:1" x14ac:dyDescent="0.25">
      <c r="A2787" s="66"/>
    </row>
    <row r="2788" spans="1:1" x14ac:dyDescent="0.25">
      <c r="A2788" s="66"/>
    </row>
    <row r="2789" spans="1:1" x14ac:dyDescent="0.25">
      <c r="A2789" s="66"/>
    </row>
    <row r="2790" spans="1:1" x14ac:dyDescent="0.25">
      <c r="A2790" s="66"/>
    </row>
    <row r="2791" spans="1:1" x14ac:dyDescent="0.25">
      <c r="A2791" s="66"/>
    </row>
    <row r="2792" spans="1:1" x14ac:dyDescent="0.25">
      <c r="A2792" s="66"/>
    </row>
    <row r="2793" spans="1:1" x14ac:dyDescent="0.25">
      <c r="A2793" s="66"/>
    </row>
    <row r="2794" spans="1:1" x14ac:dyDescent="0.25">
      <c r="A2794" s="66"/>
    </row>
    <row r="2795" spans="1:1" x14ac:dyDescent="0.25">
      <c r="A2795" s="66"/>
    </row>
    <row r="2796" spans="1:1" x14ac:dyDescent="0.25">
      <c r="A2796" s="66"/>
    </row>
    <row r="2797" spans="1:1" x14ac:dyDescent="0.25">
      <c r="A2797" s="66"/>
    </row>
    <row r="2798" spans="1:1" x14ac:dyDescent="0.25">
      <c r="A2798" s="66"/>
    </row>
    <row r="2799" spans="1:1" x14ac:dyDescent="0.25">
      <c r="A2799" s="66"/>
    </row>
    <row r="2800" spans="1:1" x14ac:dyDescent="0.25">
      <c r="A2800" s="66"/>
    </row>
    <row r="2801" spans="1:1" x14ac:dyDescent="0.25">
      <c r="A2801" s="66"/>
    </row>
    <row r="2802" spans="1:1" x14ac:dyDescent="0.25">
      <c r="A2802" s="66"/>
    </row>
    <row r="2803" spans="1:1" x14ac:dyDescent="0.25">
      <c r="A2803" s="66"/>
    </row>
    <row r="2804" spans="1:1" x14ac:dyDescent="0.25">
      <c r="A2804" s="66"/>
    </row>
    <row r="2805" spans="1:1" x14ac:dyDescent="0.25">
      <c r="A2805" s="66"/>
    </row>
    <row r="2806" spans="1:1" x14ac:dyDescent="0.25">
      <c r="A2806" s="66"/>
    </row>
    <row r="2807" spans="1:1" x14ac:dyDescent="0.25">
      <c r="A2807" s="66"/>
    </row>
    <row r="2808" spans="1:1" x14ac:dyDescent="0.25">
      <c r="A2808" s="66"/>
    </row>
    <row r="2809" spans="1:1" x14ac:dyDescent="0.25">
      <c r="A2809" s="66"/>
    </row>
    <row r="2810" spans="1:1" x14ac:dyDescent="0.25">
      <c r="A2810" s="66"/>
    </row>
    <row r="2811" spans="1:1" x14ac:dyDescent="0.25">
      <c r="A2811" s="66"/>
    </row>
    <row r="2812" spans="1:1" x14ac:dyDescent="0.25">
      <c r="A2812" s="66"/>
    </row>
    <row r="2813" spans="1:1" x14ac:dyDescent="0.25">
      <c r="A2813" s="66"/>
    </row>
    <row r="2814" spans="1:1" x14ac:dyDescent="0.25">
      <c r="A2814" s="66"/>
    </row>
    <row r="2815" spans="1:1" x14ac:dyDescent="0.25">
      <c r="A2815" s="66"/>
    </row>
    <row r="2816" spans="1:1" x14ac:dyDescent="0.25">
      <c r="A2816" s="66"/>
    </row>
    <row r="2817" spans="1:1" x14ac:dyDescent="0.25">
      <c r="A2817" s="66"/>
    </row>
    <row r="2818" spans="1:1" x14ac:dyDescent="0.25">
      <c r="A2818" s="66"/>
    </row>
    <row r="2819" spans="1:1" x14ac:dyDescent="0.25">
      <c r="A2819" s="66"/>
    </row>
    <row r="2820" spans="1:1" x14ac:dyDescent="0.25">
      <c r="A2820" s="66"/>
    </row>
    <row r="2821" spans="1:1" x14ac:dyDescent="0.25">
      <c r="A2821" s="66"/>
    </row>
    <row r="2822" spans="1:1" x14ac:dyDescent="0.25">
      <c r="A2822" s="66"/>
    </row>
    <row r="2823" spans="1:1" x14ac:dyDescent="0.25">
      <c r="A2823" s="66"/>
    </row>
    <row r="2824" spans="1:1" x14ac:dyDescent="0.25">
      <c r="A2824" s="66"/>
    </row>
    <row r="2825" spans="1:1" x14ac:dyDescent="0.25">
      <c r="A2825" s="66"/>
    </row>
    <row r="2826" spans="1:1" x14ac:dyDescent="0.25">
      <c r="A2826" s="66"/>
    </row>
    <row r="2827" spans="1:1" x14ac:dyDescent="0.25">
      <c r="A2827" s="66"/>
    </row>
    <row r="2828" spans="1:1" x14ac:dyDescent="0.25">
      <c r="A2828" s="66"/>
    </row>
    <row r="2829" spans="1:1" x14ac:dyDescent="0.25">
      <c r="A2829" s="66"/>
    </row>
    <row r="2830" spans="1:1" x14ac:dyDescent="0.25">
      <c r="A2830" s="66"/>
    </row>
    <row r="2831" spans="1:1" x14ac:dyDescent="0.25">
      <c r="A2831" s="66"/>
    </row>
    <row r="2832" spans="1:1" x14ac:dyDescent="0.25">
      <c r="A2832" s="66"/>
    </row>
    <row r="2833" spans="1:1" x14ac:dyDescent="0.25">
      <c r="A2833" s="66"/>
    </row>
    <row r="2834" spans="1:1" x14ac:dyDescent="0.25">
      <c r="A2834" s="66"/>
    </row>
    <row r="2835" spans="1:1" x14ac:dyDescent="0.25">
      <c r="A2835" s="66"/>
    </row>
    <row r="2836" spans="1:1" x14ac:dyDescent="0.25">
      <c r="A2836" s="66"/>
    </row>
    <row r="2837" spans="1:1" x14ac:dyDescent="0.25">
      <c r="A2837" s="66"/>
    </row>
    <row r="2838" spans="1:1" x14ac:dyDescent="0.25">
      <c r="A2838" s="66"/>
    </row>
    <row r="2839" spans="1:1" x14ac:dyDescent="0.25">
      <c r="A2839" s="66"/>
    </row>
    <row r="2840" spans="1:1" x14ac:dyDescent="0.25">
      <c r="A2840" s="66"/>
    </row>
    <row r="2841" spans="1:1" x14ac:dyDescent="0.25">
      <c r="A2841" s="66"/>
    </row>
    <row r="2842" spans="1:1" x14ac:dyDescent="0.25">
      <c r="A2842" s="66"/>
    </row>
    <row r="2843" spans="1:1" x14ac:dyDescent="0.25">
      <c r="A2843" s="66"/>
    </row>
    <row r="2844" spans="1:1" x14ac:dyDescent="0.25">
      <c r="A2844" s="66"/>
    </row>
    <row r="2845" spans="1:1" x14ac:dyDescent="0.25">
      <c r="A2845" s="66"/>
    </row>
    <row r="2846" spans="1:1" x14ac:dyDescent="0.25">
      <c r="A2846" s="66"/>
    </row>
    <row r="2847" spans="1:1" x14ac:dyDescent="0.25">
      <c r="A2847" s="66"/>
    </row>
    <row r="2848" spans="1:1" x14ac:dyDescent="0.25">
      <c r="A2848" s="66"/>
    </row>
    <row r="2849" spans="1:1" x14ac:dyDescent="0.25">
      <c r="A2849" s="66"/>
    </row>
    <row r="2850" spans="1:1" x14ac:dyDescent="0.25">
      <c r="A2850" s="66"/>
    </row>
    <row r="2851" spans="1:1" x14ac:dyDescent="0.25">
      <c r="A2851" s="66"/>
    </row>
    <row r="2852" spans="1:1" x14ac:dyDescent="0.25">
      <c r="A2852" s="66"/>
    </row>
    <row r="2853" spans="1:1" x14ac:dyDescent="0.25">
      <c r="A2853" s="66"/>
    </row>
    <row r="2854" spans="1:1" x14ac:dyDescent="0.25">
      <c r="A2854" s="66"/>
    </row>
    <row r="2855" spans="1:1" x14ac:dyDescent="0.25">
      <c r="A2855" s="66"/>
    </row>
    <row r="2856" spans="1:1" x14ac:dyDescent="0.25">
      <c r="A2856" s="66"/>
    </row>
    <row r="2857" spans="1:1" x14ac:dyDescent="0.25">
      <c r="A2857" s="66"/>
    </row>
    <row r="2858" spans="1:1" x14ac:dyDescent="0.25">
      <c r="A2858" s="66"/>
    </row>
    <row r="2859" spans="1:1" x14ac:dyDescent="0.25">
      <c r="A2859" s="66"/>
    </row>
    <row r="2860" spans="1:1" x14ac:dyDescent="0.25">
      <c r="A2860" s="66"/>
    </row>
    <row r="2861" spans="1:1" x14ac:dyDescent="0.25">
      <c r="A2861" s="66"/>
    </row>
    <row r="2862" spans="1:1" x14ac:dyDescent="0.25">
      <c r="A2862" s="66"/>
    </row>
    <row r="2863" spans="1:1" x14ac:dyDescent="0.25">
      <c r="A2863" s="66"/>
    </row>
    <row r="2864" spans="1:1" x14ac:dyDescent="0.25">
      <c r="A2864" s="66"/>
    </row>
    <row r="2865" spans="1:1" x14ac:dyDescent="0.25">
      <c r="A2865" s="66"/>
    </row>
    <row r="2866" spans="1:1" x14ac:dyDescent="0.25">
      <c r="A2866" s="66"/>
    </row>
    <row r="2867" spans="1:1" x14ac:dyDescent="0.25">
      <c r="A2867" s="66"/>
    </row>
    <row r="2868" spans="1:1" x14ac:dyDescent="0.25">
      <c r="A2868" s="66"/>
    </row>
    <row r="2869" spans="1:1" x14ac:dyDescent="0.25">
      <c r="A2869" s="66"/>
    </row>
    <row r="2870" spans="1:1" x14ac:dyDescent="0.25">
      <c r="A2870" s="66"/>
    </row>
    <row r="2871" spans="1:1" x14ac:dyDescent="0.25">
      <c r="A2871" s="66"/>
    </row>
    <row r="2872" spans="1:1" x14ac:dyDescent="0.25">
      <c r="A2872" s="66"/>
    </row>
    <row r="2873" spans="1:1" x14ac:dyDescent="0.25">
      <c r="A2873" s="66"/>
    </row>
    <row r="2874" spans="1:1" x14ac:dyDescent="0.25">
      <c r="A2874" s="66"/>
    </row>
    <row r="2875" spans="1:1" x14ac:dyDescent="0.25">
      <c r="A2875" s="66"/>
    </row>
    <row r="2876" spans="1:1" x14ac:dyDescent="0.25">
      <c r="A2876" s="66"/>
    </row>
    <row r="2877" spans="1:1" x14ac:dyDescent="0.25">
      <c r="A2877" s="66"/>
    </row>
    <row r="2878" spans="1:1" x14ac:dyDescent="0.25">
      <c r="A2878" s="66"/>
    </row>
    <row r="2879" spans="1:1" x14ac:dyDescent="0.25">
      <c r="A2879" s="66"/>
    </row>
    <row r="2880" spans="1:1" x14ac:dyDescent="0.25">
      <c r="A2880" s="66"/>
    </row>
    <row r="2881" spans="1:1" x14ac:dyDescent="0.25">
      <c r="A2881" s="66"/>
    </row>
    <row r="2882" spans="1:1" x14ac:dyDescent="0.25">
      <c r="A2882" s="66"/>
    </row>
    <row r="2883" spans="1:1" x14ac:dyDescent="0.25">
      <c r="A2883" s="66"/>
    </row>
    <row r="2884" spans="1:1" x14ac:dyDescent="0.25">
      <c r="A2884" s="66"/>
    </row>
    <row r="2885" spans="1:1" x14ac:dyDescent="0.25">
      <c r="A2885" s="66"/>
    </row>
    <row r="2886" spans="1:1" x14ac:dyDescent="0.25">
      <c r="A2886" s="66"/>
    </row>
    <row r="2887" spans="1:1" x14ac:dyDescent="0.25">
      <c r="A2887" s="66"/>
    </row>
    <row r="2888" spans="1:1" x14ac:dyDescent="0.25">
      <c r="A2888" s="66"/>
    </row>
    <row r="2889" spans="1:1" x14ac:dyDescent="0.25">
      <c r="A2889" s="66"/>
    </row>
    <row r="2890" spans="1:1" x14ac:dyDescent="0.25">
      <c r="A2890" s="66"/>
    </row>
    <row r="2891" spans="1:1" x14ac:dyDescent="0.25">
      <c r="A2891" s="66"/>
    </row>
    <row r="2892" spans="1:1" x14ac:dyDescent="0.25">
      <c r="A2892" s="66"/>
    </row>
    <row r="2893" spans="1:1" x14ac:dyDescent="0.25">
      <c r="A2893" s="66"/>
    </row>
    <row r="2894" spans="1:1" x14ac:dyDescent="0.25">
      <c r="A2894" s="66"/>
    </row>
    <row r="2895" spans="1:1" x14ac:dyDescent="0.25">
      <c r="A2895" s="66"/>
    </row>
    <row r="2896" spans="1:1" x14ac:dyDescent="0.25">
      <c r="A2896" s="66"/>
    </row>
    <row r="2897" spans="1:1" x14ac:dyDescent="0.25">
      <c r="A2897" s="66"/>
    </row>
    <row r="2898" spans="1:1" x14ac:dyDescent="0.25">
      <c r="A2898" s="66"/>
    </row>
    <row r="2899" spans="1:1" x14ac:dyDescent="0.25">
      <c r="A2899" s="66"/>
    </row>
    <row r="2900" spans="1:1" x14ac:dyDescent="0.25">
      <c r="A2900" s="66"/>
    </row>
    <row r="2901" spans="1:1" x14ac:dyDescent="0.25">
      <c r="A2901" s="66"/>
    </row>
    <row r="2902" spans="1:1" x14ac:dyDescent="0.25">
      <c r="A2902" s="66"/>
    </row>
    <row r="2903" spans="1:1" x14ac:dyDescent="0.25">
      <c r="A2903" s="66"/>
    </row>
    <row r="2904" spans="1:1" x14ac:dyDescent="0.25">
      <c r="A2904" s="66"/>
    </row>
    <row r="2905" spans="1:1" x14ac:dyDescent="0.25">
      <c r="A2905" s="66"/>
    </row>
    <row r="2906" spans="1:1" x14ac:dyDescent="0.25">
      <c r="A2906" s="66"/>
    </row>
    <row r="2907" spans="1:1" x14ac:dyDescent="0.25">
      <c r="A2907" s="66"/>
    </row>
    <row r="2908" spans="1:1" x14ac:dyDescent="0.25">
      <c r="A2908" s="66"/>
    </row>
    <row r="2909" spans="1:1" x14ac:dyDescent="0.25">
      <c r="A2909" s="66"/>
    </row>
    <row r="2910" spans="1:1" x14ac:dyDescent="0.25">
      <c r="A2910" s="66"/>
    </row>
    <row r="2911" spans="1:1" x14ac:dyDescent="0.25">
      <c r="A2911" s="66"/>
    </row>
    <row r="2912" spans="1:1" x14ac:dyDescent="0.25">
      <c r="A2912" s="66"/>
    </row>
    <row r="2913" spans="1:1" x14ac:dyDescent="0.25">
      <c r="A2913" s="66"/>
    </row>
    <row r="2914" spans="1:1" x14ac:dyDescent="0.25">
      <c r="A2914" s="66"/>
    </row>
    <row r="2915" spans="1:1" x14ac:dyDescent="0.25">
      <c r="A2915" s="66"/>
    </row>
    <row r="2916" spans="1:1" x14ac:dyDescent="0.25">
      <c r="A2916" s="66"/>
    </row>
    <row r="2917" spans="1:1" x14ac:dyDescent="0.25">
      <c r="A2917" s="66"/>
    </row>
    <row r="2918" spans="1:1" x14ac:dyDescent="0.25">
      <c r="A2918" s="66"/>
    </row>
    <row r="2919" spans="1:1" x14ac:dyDescent="0.25">
      <c r="A2919" s="66"/>
    </row>
    <row r="2920" spans="1:1" x14ac:dyDescent="0.25">
      <c r="A2920" s="66"/>
    </row>
    <row r="2921" spans="1:1" x14ac:dyDescent="0.25">
      <c r="A2921" s="66"/>
    </row>
    <row r="2922" spans="1:1" x14ac:dyDescent="0.25">
      <c r="A2922" s="66"/>
    </row>
    <row r="2923" spans="1:1" x14ac:dyDescent="0.25">
      <c r="A2923" s="66"/>
    </row>
    <row r="2924" spans="1:1" x14ac:dyDescent="0.25">
      <c r="A2924" s="66"/>
    </row>
    <row r="2925" spans="1:1" x14ac:dyDescent="0.25">
      <c r="A2925" s="66"/>
    </row>
    <row r="2926" spans="1:1" x14ac:dyDescent="0.25">
      <c r="A2926" s="66"/>
    </row>
    <row r="2927" spans="1:1" x14ac:dyDescent="0.25">
      <c r="A2927" s="66"/>
    </row>
    <row r="2928" spans="1:1" x14ac:dyDescent="0.25">
      <c r="A2928" s="66"/>
    </row>
    <row r="2929" spans="1:1" x14ac:dyDescent="0.25">
      <c r="A2929" s="66"/>
    </row>
    <row r="2930" spans="1:1" x14ac:dyDescent="0.25">
      <c r="A2930" s="66"/>
    </row>
    <row r="2931" spans="1:1" x14ac:dyDescent="0.25">
      <c r="A2931" s="66"/>
    </row>
    <row r="2932" spans="1:1" x14ac:dyDescent="0.25">
      <c r="A2932" s="66"/>
    </row>
    <row r="2933" spans="1:1" x14ac:dyDescent="0.25">
      <c r="A2933" s="66"/>
    </row>
    <row r="2934" spans="1:1" x14ac:dyDescent="0.25">
      <c r="A2934" s="66"/>
    </row>
    <row r="2935" spans="1:1" x14ac:dyDescent="0.25">
      <c r="A2935" s="66"/>
    </row>
    <row r="2936" spans="1:1" x14ac:dyDescent="0.25">
      <c r="A2936" s="66"/>
    </row>
    <row r="2937" spans="1:1" x14ac:dyDescent="0.25">
      <c r="A2937" s="66"/>
    </row>
    <row r="2938" spans="1:1" x14ac:dyDescent="0.25">
      <c r="A2938" s="66"/>
    </row>
    <row r="2939" spans="1:1" x14ac:dyDescent="0.25">
      <c r="A2939" s="66"/>
    </row>
    <row r="2940" spans="1:1" x14ac:dyDescent="0.25">
      <c r="A2940" s="66"/>
    </row>
    <row r="2941" spans="1:1" x14ac:dyDescent="0.25">
      <c r="A2941" s="66"/>
    </row>
    <row r="2942" spans="1:1" x14ac:dyDescent="0.25">
      <c r="A2942" s="66"/>
    </row>
    <row r="2943" spans="1:1" x14ac:dyDescent="0.25">
      <c r="A2943" s="66"/>
    </row>
    <row r="2944" spans="1:1" x14ac:dyDescent="0.25">
      <c r="A2944" s="66"/>
    </row>
    <row r="2945" spans="1:1" x14ac:dyDescent="0.25">
      <c r="A2945" s="66"/>
    </row>
    <row r="2946" spans="1:1" x14ac:dyDescent="0.25">
      <c r="A2946" s="66"/>
    </row>
    <row r="2947" spans="1:1" x14ac:dyDescent="0.25">
      <c r="A2947" s="66"/>
    </row>
    <row r="2948" spans="1:1" x14ac:dyDescent="0.25">
      <c r="A2948" s="66"/>
    </row>
    <row r="2949" spans="1:1" x14ac:dyDescent="0.25">
      <c r="A2949" s="66"/>
    </row>
    <row r="2950" spans="1:1" x14ac:dyDescent="0.25">
      <c r="A2950" s="66"/>
    </row>
    <row r="2951" spans="1:1" x14ac:dyDescent="0.25">
      <c r="A2951" s="66"/>
    </row>
    <row r="2952" spans="1:1" x14ac:dyDescent="0.25">
      <c r="A2952" s="66"/>
    </row>
    <row r="2953" spans="1:1" x14ac:dyDescent="0.25">
      <c r="A2953" s="66"/>
    </row>
    <row r="2954" spans="1:1" x14ac:dyDescent="0.25">
      <c r="A2954" s="66"/>
    </row>
    <row r="2955" spans="1:1" x14ac:dyDescent="0.25">
      <c r="A2955" s="66"/>
    </row>
    <row r="2956" spans="1:1" x14ac:dyDescent="0.25">
      <c r="A2956" s="66"/>
    </row>
    <row r="2957" spans="1:1" x14ac:dyDescent="0.25">
      <c r="A2957" s="66"/>
    </row>
    <row r="2958" spans="1:1" x14ac:dyDescent="0.25">
      <c r="A2958" s="66"/>
    </row>
    <row r="2959" spans="1:1" x14ac:dyDescent="0.25">
      <c r="A2959" s="66"/>
    </row>
    <row r="2960" spans="1:1" x14ac:dyDescent="0.25">
      <c r="A2960" s="66"/>
    </row>
    <row r="2961" spans="1:1" x14ac:dyDescent="0.25">
      <c r="A2961" s="66"/>
    </row>
    <row r="2962" spans="1:1" x14ac:dyDescent="0.25">
      <c r="A2962" s="66"/>
    </row>
    <row r="2963" spans="1:1" x14ac:dyDescent="0.25">
      <c r="A2963" s="66"/>
    </row>
    <row r="2964" spans="1:1" x14ac:dyDescent="0.25">
      <c r="A2964" s="66"/>
    </row>
    <row r="2965" spans="1:1" x14ac:dyDescent="0.25">
      <c r="A2965" s="66"/>
    </row>
    <row r="2966" spans="1:1" x14ac:dyDescent="0.25">
      <c r="A2966" s="66"/>
    </row>
    <row r="2967" spans="1:1" x14ac:dyDescent="0.25">
      <c r="A2967" s="66"/>
    </row>
    <row r="2968" spans="1:1" x14ac:dyDescent="0.25">
      <c r="A2968" s="66"/>
    </row>
    <row r="2969" spans="1:1" x14ac:dyDescent="0.25">
      <c r="A2969" s="66"/>
    </row>
    <row r="2970" spans="1:1" x14ac:dyDescent="0.25">
      <c r="A2970" s="66"/>
    </row>
    <row r="2971" spans="1:1" x14ac:dyDescent="0.25">
      <c r="A2971" s="66"/>
    </row>
    <row r="2972" spans="1:1" x14ac:dyDescent="0.25">
      <c r="A2972" s="66"/>
    </row>
    <row r="2973" spans="1:1" x14ac:dyDescent="0.25">
      <c r="A2973" s="66"/>
    </row>
    <row r="2974" spans="1:1" x14ac:dyDescent="0.25">
      <c r="A2974" s="66"/>
    </row>
    <row r="2975" spans="1:1" x14ac:dyDescent="0.25">
      <c r="A2975" s="66"/>
    </row>
    <row r="2976" spans="1:1" x14ac:dyDescent="0.25">
      <c r="A2976" s="66"/>
    </row>
    <row r="2977" spans="1:1" x14ac:dyDescent="0.25">
      <c r="A2977" s="66"/>
    </row>
    <row r="2978" spans="1:1" x14ac:dyDescent="0.25">
      <c r="A2978" s="66"/>
    </row>
    <row r="2979" spans="1:1" x14ac:dyDescent="0.25">
      <c r="A2979" s="66"/>
    </row>
    <row r="2980" spans="1:1" x14ac:dyDescent="0.25">
      <c r="A2980" s="66"/>
    </row>
    <row r="2981" spans="1:1" x14ac:dyDescent="0.25">
      <c r="A2981" s="66"/>
    </row>
    <row r="2982" spans="1:1" x14ac:dyDescent="0.25">
      <c r="A2982" s="66"/>
    </row>
    <row r="2983" spans="1:1" x14ac:dyDescent="0.25">
      <c r="A2983" s="66"/>
    </row>
    <row r="2984" spans="1:1" x14ac:dyDescent="0.25">
      <c r="A2984" s="66"/>
    </row>
    <row r="2985" spans="1:1" x14ac:dyDescent="0.25">
      <c r="A2985" s="66"/>
    </row>
    <row r="2986" spans="1:1" x14ac:dyDescent="0.25">
      <c r="A2986" s="66"/>
    </row>
    <row r="2987" spans="1:1" x14ac:dyDescent="0.25">
      <c r="A2987" s="66"/>
    </row>
    <row r="2988" spans="1:1" x14ac:dyDescent="0.25">
      <c r="A2988" s="66"/>
    </row>
    <row r="2989" spans="1:1" x14ac:dyDescent="0.25">
      <c r="A2989" s="66"/>
    </row>
    <row r="2990" spans="1:1" x14ac:dyDescent="0.25">
      <c r="A2990" s="66"/>
    </row>
    <row r="2991" spans="1:1" x14ac:dyDescent="0.25">
      <c r="A2991" s="66"/>
    </row>
    <row r="2992" spans="1:1" x14ac:dyDescent="0.25">
      <c r="A2992" s="66"/>
    </row>
    <row r="2993" spans="1:1" x14ac:dyDescent="0.25">
      <c r="A2993" s="66"/>
    </row>
    <row r="2994" spans="1:1" x14ac:dyDescent="0.25">
      <c r="A2994" s="66"/>
    </row>
    <row r="2995" spans="1:1" x14ac:dyDescent="0.25">
      <c r="A2995" s="66"/>
    </row>
    <row r="2996" spans="1:1" x14ac:dyDescent="0.25">
      <c r="A2996" s="66"/>
    </row>
    <row r="2997" spans="1:1" x14ac:dyDescent="0.25">
      <c r="A2997" s="66"/>
    </row>
    <row r="2998" spans="1:1" x14ac:dyDescent="0.25">
      <c r="A2998" s="66"/>
    </row>
    <row r="2999" spans="1:1" x14ac:dyDescent="0.25">
      <c r="A2999" s="66"/>
    </row>
    <row r="3000" spans="1:1" x14ac:dyDescent="0.25">
      <c r="A3000" s="66"/>
    </row>
    <row r="3001" spans="1:1" x14ac:dyDescent="0.25">
      <c r="A3001" s="66"/>
    </row>
    <row r="3002" spans="1:1" x14ac:dyDescent="0.25">
      <c r="A3002" s="66"/>
    </row>
    <row r="3003" spans="1:1" x14ac:dyDescent="0.25">
      <c r="A3003" s="66"/>
    </row>
    <row r="3004" spans="1:1" x14ac:dyDescent="0.25">
      <c r="A3004" s="66"/>
    </row>
    <row r="3005" spans="1:1" x14ac:dyDescent="0.25">
      <c r="A3005" s="66"/>
    </row>
    <row r="3006" spans="1:1" x14ac:dyDescent="0.25">
      <c r="A3006" s="66"/>
    </row>
    <row r="3007" spans="1:1" x14ac:dyDescent="0.25">
      <c r="A3007" s="66"/>
    </row>
    <row r="3008" spans="1:1" x14ac:dyDescent="0.25">
      <c r="A3008" s="66"/>
    </row>
    <row r="3009" spans="1:1" x14ac:dyDescent="0.25">
      <c r="A3009" s="66"/>
    </row>
    <row r="3010" spans="1:1" x14ac:dyDescent="0.25">
      <c r="A3010" s="66"/>
    </row>
    <row r="3011" spans="1:1" x14ac:dyDescent="0.25">
      <c r="A3011" s="66"/>
    </row>
    <row r="3012" spans="1:1" x14ac:dyDescent="0.25">
      <c r="A3012" s="66"/>
    </row>
    <row r="3013" spans="1:1" x14ac:dyDescent="0.25">
      <c r="A3013" s="66"/>
    </row>
    <row r="3014" spans="1:1" x14ac:dyDescent="0.25">
      <c r="A3014" s="66"/>
    </row>
    <row r="3015" spans="1:1" x14ac:dyDescent="0.25">
      <c r="A3015" s="66"/>
    </row>
    <row r="3016" spans="1:1" x14ac:dyDescent="0.25">
      <c r="A3016" s="66"/>
    </row>
    <row r="3017" spans="1:1" x14ac:dyDescent="0.25">
      <c r="A3017" s="66"/>
    </row>
    <row r="3018" spans="1:1" x14ac:dyDescent="0.25">
      <c r="A3018" s="66"/>
    </row>
    <row r="3019" spans="1:1" x14ac:dyDescent="0.25">
      <c r="A3019" s="66"/>
    </row>
    <row r="3020" spans="1:1" x14ac:dyDescent="0.25">
      <c r="A3020" s="66"/>
    </row>
    <row r="3021" spans="1:1" x14ac:dyDescent="0.25">
      <c r="A3021" s="66"/>
    </row>
    <row r="3022" spans="1:1" x14ac:dyDescent="0.25">
      <c r="A3022" s="66"/>
    </row>
    <row r="3023" spans="1:1" x14ac:dyDescent="0.25">
      <c r="A3023" s="66"/>
    </row>
    <row r="3024" spans="1:1" x14ac:dyDescent="0.25">
      <c r="A3024" s="66"/>
    </row>
    <row r="3025" spans="1:1" x14ac:dyDescent="0.25">
      <c r="A3025" s="66"/>
    </row>
    <row r="3026" spans="1:1" x14ac:dyDescent="0.25">
      <c r="A3026" s="66"/>
    </row>
    <row r="3027" spans="1:1" x14ac:dyDescent="0.25">
      <c r="A3027" s="66"/>
    </row>
    <row r="3028" spans="1:1" x14ac:dyDescent="0.25">
      <c r="A3028" s="66"/>
    </row>
    <row r="3029" spans="1:1" x14ac:dyDescent="0.25">
      <c r="A3029" s="66"/>
    </row>
    <row r="3030" spans="1:1" x14ac:dyDescent="0.25">
      <c r="A3030" s="66"/>
    </row>
    <row r="3031" spans="1:1" x14ac:dyDescent="0.25">
      <c r="A3031" s="66"/>
    </row>
    <row r="3032" spans="1:1" x14ac:dyDescent="0.25">
      <c r="A3032" s="66"/>
    </row>
    <row r="3033" spans="1:1" x14ac:dyDescent="0.25">
      <c r="A3033" s="66"/>
    </row>
    <row r="3034" spans="1:1" x14ac:dyDescent="0.25">
      <c r="A3034" s="66"/>
    </row>
    <row r="3035" spans="1:1" x14ac:dyDescent="0.25">
      <c r="A3035" s="66"/>
    </row>
    <row r="3036" spans="1:1" x14ac:dyDescent="0.25">
      <c r="A3036" s="66"/>
    </row>
    <row r="3037" spans="1:1" x14ac:dyDescent="0.25">
      <c r="A3037" s="66"/>
    </row>
    <row r="3038" spans="1:1" x14ac:dyDescent="0.25">
      <c r="A3038" s="66"/>
    </row>
    <row r="3039" spans="1:1" x14ac:dyDescent="0.25">
      <c r="A3039" s="66"/>
    </row>
    <row r="3040" spans="1:1" x14ac:dyDescent="0.25">
      <c r="A3040" s="66"/>
    </row>
    <row r="3041" spans="1:1" x14ac:dyDescent="0.25">
      <c r="A3041" s="66"/>
    </row>
    <row r="3042" spans="1:1" x14ac:dyDescent="0.25">
      <c r="A3042" s="66"/>
    </row>
    <row r="3043" spans="1:1" x14ac:dyDescent="0.25">
      <c r="A3043" s="66"/>
    </row>
    <row r="3044" spans="1:1" x14ac:dyDescent="0.25">
      <c r="A3044" s="66"/>
    </row>
    <row r="3045" spans="1:1" x14ac:dyDescent="0.25">
      <c r="A3045" s="66"/>
    </row>
    <row r="3046" spans="1:1" x14ac:dyDescent="0.25">
      <c r="A3046" s="66"/>
    </row>
    <row r="3047" spans="1:1" x14ac:dyDescent="0.25">
      <c r="A3047" s="66"/>
    </row>
    <row r="3048" spans="1:1" x14ac:dyDescent="0.25">
      <c r="A3048" s="66"/>
    </row>
    <row r="3049" spans="1:1" x14ac:dyDescent="0.25">
      <c r="A3049" s="66"/>
    </row>
    <row r="3050" spans="1:1" x14ac:dyDescent="0.25">
      <c r="A3050" s="66"/>
    </row>
    <row r="3051" spans="1:1" x14ac:dyDescent="0.25">
      <c r="A3051" s="66"/>
    </row>
    <row r="3052" spans="1:1" x14ac:dyDescent="0.25">
      <c r="A3052" s="66"/>
    </row>
    <row r="3053" spans="1:1" x14ac:dyDescent="0.25">
      <c r="A3053" s="66"/>
    </row>
    <row r="3054" spans="1:1" x14ac:dyDescent="0.25">
      <c r="A3054" s="66"/>
    </row>
    <row r="3055" spans="1:1" x14ac:dyDescent="0.25">
      <c r="A3055" s="66"/>
    </row>
    <row r="3056" spans="1:1" x14ac:dyDescent="0.25">
      <c r="A3056" s="66"/>
    </row>
    <row r="3057" spans="1:1" x14ac:dyDescent="0.25">
      <c r="A3057" s="66"/>
    </row>
    <row r="3058" spans="1:1" x14ac:dyDescent="0.25">
      <c r="A3058" s="66"/>
    </row>
    <row r="3059" spans="1:1" x14ac:dyDescent="0.25">
      <c r="A3059" s="66"/>
    </row>
    <row r="3060" spans="1:1" x14ac:dyDescent="0.25">
      <c r="A3060" s="66"/>
    </row>
    <row r="3061" spans="1:1" x14ac:dyDescent="0.25">
      <c r="A3061" s="66"/>
    </row>
    <row r="3062" spans="1:1" x14ac:dyDescent="0.25">
      <c r="A3062" s="66"/>
    </row>
    <row r="3063" spans="1:1" x14ac:dyDescent="0.25">
      <c r="A3063" s="66"/>
    </row>
    <row r="3064" spans="1:1" x14ac:dyDescent="0.25">
      <c r="A3064" s="66"/>
    </row>
    <row r="3065" spans="1:1" x14ac:dyDescent="0.25">
      <c r="A3065" s="66"/>
    </row>
    <row r="3066" spans="1:1" x14ac:dyDescent="0.25">
      <c r="A3066" s="66"/>
    </row>
    <row r="3067" spans="1:1" x14ac:dyDescent="0.25">
      <c r="A3067" s="66"/>
    </row>
    <row r="3068" spans="1:1" x14ac:dyDescent="0.25">
      <c r="A3068" s="66"/>
    </row>
    <row r="3069" spans="1:1" x14ac:dyDescent="0.25">
      <c r="A3069" s="66"/>
    </row>
    <row r="3070" spans="1:1" x14ac:dyDescent="0.25">
      <c r="A3070" s="66"/>
    </row>
    <row r="3071" spans="1:1" x14ac:dyDescent="0.25">
      <c r="A3071" s="66"/>
    </row>
    <row r="3072" spans="1:1" x14ac:dyDescent="0.25">
      <c r="A3072" s="66"/>
    </row>
    <row r="3073" spans="1:1" x14ac:dyDescent="0.25">
      <c r="A3073" s="66"/>
    </row>
    <row r="3074" spans="1:1" x14ac:dyDescent="0.25">
      <c r="A3074" s="66"/>
    </row>
    <row r="3075" spans="1:1" x14ac:dyDescent="0.25">
      <c r="A3075" s="66"/>
    </row>
    <row r="3076" spans="1:1" x14ac:dyDescent="0.25">
      <c r="A3076" s="66"/>
    </row>
    <row r="3077" spans="1:1" x14ac:dyDescent="0.25">
      <c r="A3077" s="66"/>
    </row>
    <row r="3078" spans="1:1" x14ac:dyDescent="0.25">
      <c r="A3078" s="66"/>
    </row>
    <row r="3079" spans="1:1" x14ac:dyDescent="0.25">
      <c r="A3079" s="66"/>
    </row>
    <row r="3080" spans="1:1" x14ac:dyDescent="0.25">
      <c r="A3080" s="66"/>
    </row>
    <row r="3081" spans="1:1" x14ac:dyDescent="0.25">
      <c r="A3081" s="66"/>
    </row>
    <row r="3082" spans="1:1" x14ac:dyDescent="0.25">
      <c r="A3082" s="66"/>
    </row>
    <row r="3083" spans="1:1" x14ac:dyDescent="0.25">
      <c r="A3083" s="66"/>
    </row>
    <row r="3084" spans="1:1" x14ac:dyDescent="0.25">
      <c r="A3084" s="66"/>
    </row>
    <row r="3085" spans="1:1" x14ac:dyDescent="0.25">
      <c r="A3085" s="66"/>
    </row>
    <row r="3086" spans="1:1" x14ac:dyDescent="0.25">
      <c r="A3086" s="66"/>
    </row>
    <row r="3087" spans="1:1" x14ac:dyDescent="0.25">
      <c r="A3087" s="66"/>
    </row>
    <row r="3088" spans="1:1" x14ac:dyDescent="0.25">
      <c r="A3088" s="66"/>
    </row>
    <row r="3089" spans="1:1" x14ac:dyDescent="0.25">
      <c r="A3089" s="66"/>
    </row>
    <row r="3090" spans="1:1" x14ac:dyDescent="0.25">
      <c r="A3090" s="66"/>
    </row>
    <row r="3091" spans="1:1" x14ac:dyDescent="0.25">
      <c r="A3091" s="66"/>
    </row>
    <row r="3092" spans="1:1" x14ac:dyDescent="0.25">
      <c r="A3092" s="66"/>
    </row>
    <row r="3093" spans="1:1" x14ac:dyDescent="0.25">
      <c r="A3093" s="66"/>
    </row>
    <row r="3094" spans="1:1" x14ac:dyDescent="0.25">
      <c r="A3094" s="66"/>
    </row>
    <row r="3095" spans="1:1" x14ac:dyDescent="0.25">
      <c r="A3095" s="66"/>
    </row>
    <row r="3096" spans="1:1" x14ac:dyDescent="0.25">
      <c r="A3096" s="66"/>
    </row>
    <row r="3097" spans="1:1" x14ac:dyDescent="0.25">
      <c r="A3097" s="66"/>
    </row>
    <row r="3098" spans="1:1" x14ac:dyDescent="0.25">
      <c r="A3098" s="66"/>
    </row>
    <row r="3099" spans="1:1" x14ac:dyDescent="0.25">
      <c r="A3099" s="66"/>
    </row>
    <row r="3100" spans="1:1" x14ac:dyDescent="0.25">
      <c r="A3100" s="66"/>
    </row>
    <row r="3101" spans="1:1" x14ac:dyDescent="0.25">
      <c r="A3101" s="66"/>
    </row>
    <row r="3102" spans="1:1" x14ac:dyDescent="0.25">
      <c r="A3102" s="66"/>
    </row>
    <row r="3103" spans="1:1" x14ac:dyDescent="0.25">
      <c r="A3103" s="66"/>
    </row>
    <row r="3104" spans="1:1" x14ac:dyDescent="0.25">
      <c r="A3104" s="66"/>
    </row>
    <row r="3105" spans="1:1" x14ac:dyDescent="0.25">
      <c r="A3105" s="66"/>
    </row>
    <row r="3106" spans="1:1" x14ac:dyDescent="0.25">
      <c r="A3106" s="66"/>
    </row>
    <row r="3107" spans="1:1" x14ac:dyDescent="0.25">
      <c r="A3107" s="66"/>
    </row>
    <row r="3108" spans="1:1" x14ac:dyDescent="0.25">
      <c r="A3108" s="66"/>
    </row>
    <row r="3109" spans="1:1" x14ac:dyDescent="0.25">
      <c r="A3109" s="66"/>
    </row>
    <row r="3110" spans="1:1" x14ac:dyDescent="0.25">
      <c r="A3110" s="66"/>
    </row>
    <row r="3111" spans="1:1" x14ac:dyDescent="0.25">
      <c r="A3111" s="66"/>
    </row>
    <row r="3112" spans="1:1" x14ac:dyDescent="0.25">
      <c r="A3112" s="66"/>
    </row>
    <row r="3113" spans="1:1" x14ac:dyDescent="0.25">
      <c r="A3113" s="66"/>
    </row>
    <row r="3114" spans="1:1" x14ac:dyDescent="0.25">
      <c r="A3114" s="66"/>
    </row>
    <row r="3115" spans="1:1" x14ac:dyDescent="0.25">
      <c r="A3115" s="66"/>
    </row>
    <row r="3116" spans="1:1" x14ac:dyDescent="0.25">
      <c r="A3116" s="66"/>
    </row>
    <row r="3117" spans="1:1" x14ac:dyDescent="0.25">
      <c r="A3117" s="66"/>
    </row>
    <row r="3118" spans="1:1" x14ac:dyDescent="0.25">
      <c r="A3118" s="66"/>
    </row>
    <row r="3119" spans="1:1" x14ac:dyDescent="0.25">
      <c r="A3119" s="66"/>
    </row>
    <row r="3120" spans="1:1" x14ac:dyDescent="0.25">
      <c r="A3120" s="66"/>
    </row>
    <row r="3121" spans="1:1" x14ac:dyDescent="0.25">
      <c r="A3121" s="66"/>
    </row>
    <row r="3122" spans="1:1" x14ac:dyDescent="0.25">
      <c r="A3122" s="66"/>
    </row>
    <row r="3123" spans="1:1" x14ac:dyDescent="0.25">
      <c r="A3123" s="66"/>
    </row>
    <row r="3124" spans="1:1" x14ac:dyDescent="0.25">
      <c r="A3124" s="66"/>
    </row>
    <row r="3125" spans="1:1" x14ac:dyDescent="0.25">
      <c r="A3125" s="66"/>
    </row>
    <row r="3126" spans="1:1" x14ac:dyDescent="0.25">
      <c r="A3126" s="66"/>
    </row>
    <row r="3127" spans="1:1" x14ac:dyDescent="0.25">
      <c r="A3127" s="66"/>
    </row>
    <row r="3128" spans="1:1" x14ac:dyDescent="0.25">
      <c r="A3128" s="66"/>
    </row>
    <row r="3129" spans="1:1" x14ac:dyDescent="0.25">
      <c r="A3129" s="66"/>
    </row>
    <row r="3130" spans="1:1" x14ac:dyDescent="0.25">
      <c r="A3130" s="66"/>
    </row>
    <row r="3131" spans="1:1" x14ac:dyDescent="0.25">
      <c r="A3131" s="66"/>
    </row>
    <row r="3132" spans="1:1" x14ac:dyDescent="0.25">
      <c r="A3132" s="66"/>
    </row>
    <row r="3133" spans="1:1" x14ac:dyDescent="0.25">
      <c r="A3133" s="66"/>
    </row>
    <row r="3134" spans="1:1" x14ac:dyDescent="0.25">
      <c r="A3134" s="66"/>
    </row>
    <row r="3135" spans="1:1" x14ac:dyDescent="0.25">
      <c r="A3135" s="66"/>
    </row>
    <row r="3136" spans="1:1" x14ac:dyDescent="0.25">
      <c r="A3136" s="66"/>
    </row>
    <row r="3137" spans="1:1" x14ac:dyDescent="0.25">
      <c r="A3137" s="66"/>
    </row>
    <row r="3138" spans="1:1" x14ac:dyDescent="0.25">
      <c r="A3138" s="66"/>
    </row>
    <row r="3139" spans="1:1" x14ac:dyDescent="0.25">
      <c r="A3139" s="66"/>
    </row>
    <row r="3140" spans="1:1" x14ac:dyDescent="0.25">
      <c r="A3140" s="66"/>
    </row>
    <row r="3141" spans="1:1" x14ac:dyDescent="0.25">
      <c r="A3141" s="66"/>
    </row>
    <row r="3142" spans="1:1" x14ac:dyDescent="0.25">
      <c r="A3142" s="66"/>
    </row>
    <row r="3143" spans="1:1" x14ac:dyDescent="0.25">
      <c r="A3143" s="66"/>
    </row>
    <row r="3144" spans="1:1" x14ac:dyDescent="0.25">
      <c r="A3144" s="66"/>
    </row>
    <row r="3145" spans="1:1" x14ac:dyDescent="0.25">
      <c r="A3145" s="66"/>
    </row>
    <row r="3146" spans="1:1" x14ac:dyDescent="0.25">
      <c r="A3146" s="66"/>
    </row>
    <row r="3147" spans="1:1" x14ac:dyDescent="0.25">
      <c r="A3147" s="66"/>
    </row>
    <row r="3148" spans="1:1" x14ac:dyDescent="0.25">
      <c r="A3148" s="66"/>
    </row>
    <row r="3149" spans="1:1" x14ac:dyDescent="0.25">
      <c r="A3149" s="66"/>
    </row>
    <row r="3150" spans="1:1" x14ac:dyDescent="0.25">
      <c r="A3150" s="66"/>
    </row>
    <row r="3151" spans="1:1" x14ac:dyDescent="0.25">
      <c r="A3151" s="66"/>
    </row>
    <row r="3152" spans="1:1" x14ac:dyDescent="0.25">
      <c r="A3152" s="66"/>
    </row>
    <row r="3153" spans="1:1" x14ac:dyDescent="0.25">
      <c r="A3153" s="66"/>
    </row>
    <row r="3154" spans="1:1" x14ac:dyDescent="0.25">
      <c r="A3154" s="66"/>
    </row>
    <row r="3155" spans="1:1" x14ac:dyDescent="0.25">
      <c r="A3155" s="66"/>
    </row>
    <row r="3156" spans="1:1" x14ac:dyDescent="0.25">
      <c r="A3156" s="66"/>
    </row>
    <row r="3157" spans="1:1" x14ac:dyDescent="0.25">
      <c r="A3157" s="66"/>
    </row>
    <row r="3158" spans="1:1" x14ac:dyDescent="0.25">
      <c r="A3158" s="66"/>
    </row>
    <row r="3159" spans="1:1" x14ac:dyDescent="0.25">
      <c r="A3159" s="66"/>
    </row>
    <row r="3160" spans="1:1" x14ac:dyDescent="0.25">
      <c r="A3160" s="66"/>
    </row>
    <row r="3161" spans="1:1" x14ac:dyDescent="0.25">
      <c r="A3161" s="66"/>
    </row>
    <row r="3162" spans="1:1" x14ac:dyDescent="0.25">
      <c r="A3162" s="66"/>
    </row>
    <row r="3163" spans="1:1" x14ac:dyDescent="0.25">
      <c r="A3163" s="66"/>
    </row>
    <row r="3164" spans="1:1" x14ac:dyDescent="0.25">
      <c r="A3164" s="66"/>
    </row>
    <row r="3165" spans="1:1" x14ac:dyDescent="0.25">
      <c r="A3165" s="66"/>
    </row>
    <row r="3166" spans="1:1" x14ac:dyDescent="0.25">
      <c r="A3166" s="66"/>
    </row>
    <row r="3167" spans="1:1" x14ac:dyDescent="0.25">
      <c r="A3167" s="66"/>
    </row>
    <row r="3168" spans="1:1" x14ac:dyDescent="0.25">
      <c r="A3168" s="66"/>
    </row>
    <row r="3169" spans="1:1" x14ac:dyDescent="0.25">
      <c r="A3169" s="66"/>
    </row>
    <row r="3170" spans="1:1" x14ac:dyDescent="0.25">
      <c r="A3170" s="66"/>
    </row>
    <row r="3171" spans="1:1" x14ac:dyDescent="0.25">
      <c r="A3171" s="66"/>
    </row>
    <row r="3172" spans="1:1" x14ac:dyDescent="0.25">
      <c r="A3172" s="66"/>
    </row>
    <row r="3173" spans="1:1" x14ac:dyDescent="0.25">
      <c r="A3173" s="66"/>
    </row>
    <row r="3174" spans="1:1" x14ac:dyDescent="0.25">
      <c r="A3174" s="66"/>
    </row>
    <row r="3175" spans="1:1" x14ac:dyDescent="0.25">
      <c r="A3175" s="66"/>
    </row>
    <row r="3176" spans="1:1" x14ac:dyDescent="0.25">
      <c r="A3176" s="66"/>
    </row>
    <row r="3177" spans="1:1" x14ac:dyDescent="0.25">
      <c r="A3177" s="66"/>
    </row>
    <row r="3178" spans="1:1" x14ac:dyDescent="0.25">
      <c r="A3178" s="66"/>
    </row>
    <row r="3179" spans="1:1" x14ac:dyDescent="0.25">
      <c r="A3179" s="66"/>
    </row>
    <row r="3180" spans="1:1" x14ac:dyDescent="0.25">
      <c r="A3180" s="66"/>
    </row>
    <row r="3181" spans="1:1" x14ac:dyDescent="0.25">
      <c r="A3181" s="66"/>
    </row>
    <row r="3182" spans="1:1" x14ac:dyDescent="0.25">
      <c r="A3182" s="66"/>
    </row>
    <row r="3183" spans="1:1" x14ac:dyDescent="0.25">
      <c r="A3183" s="66"/>
    </row>
    <row r="3184" spans="1:1" x14ac:dyDescent="0.25">
      <c r="A3184" s="66"/>
    </row>
    <row r="3185" spans="1:1" x14ac:dyDescent="0.25">
      <c r="A3185" s="66"/>
    </row>
    <row r="3186" spans="1:1" x14ac:dyDescent="0.25">
      <c r="A3186" s="66"/>
    </row>
    <row r="3187" spans="1:1" x14ac:dyDescent="0.25">
      <c r="A3187" s="66"/>
    </row>
    <row r="3188" spans="1:1" x14ac:dyDescent="0.25">
      <c r="A3188" s="66"/>
    </row>
    <row r="3189" spans="1:1" x14ac:dyDescent="0.25">
      <c r="A3189" s="66"/>
    </row>
    <row r="3190" spans="1:1" x14ac:dyDescent="0.25">
      <c r="A3190" s="66"/>
    </row>
    <row r="3191" spans="1:1" x14ac:dyDescent="0.25">
      <c r="A3191" s="66"/>
    </row>
    <row r="3192" spans="1:1" x14ac:dyDescent="0.25">
      <c r="A3192" s="66"/>
    </row>
    <row r="3193" spans="1:1" x14ac:dyDescent="0.25">
      <c r="A3193" s="66"/>
    </row>
    <row r="3194" spans="1:1" x14ac:dyDescent="0.25">
      <c r="A3194" s="66"/>
    </row>
    <row r="3195" spans="1:1" x14ac:dyDescent="0.25">
      <c r="A3195" s="66"/>
    </row>
    <row r="3196" spans="1:1" x14ac:dyDescent="0.25">
      <c r="A3196" s="66"/>
    </row>
    <row r="3197" spans="1:1" x14ac:dyDescent="0.25">
      <c r="A3197" s="66"/>
    </row>
    <row r="3198" spans="1:1" x14ac:dyDescent="0.25">
      <c r="A3198" s="66"/>
    </row>
    <row r="3199" spans="1:1" x14ac:dyDescent="0.25">
      <c r="A3199" s="66"/>
    </row>
    <row r="3200" spans="1:1" x14ac:dyDescent="0.25">
      <c r="A3200" s="66"/>
    </row>
    <row r="3201" spans="1:1" x14ac:dyDescent="0.25">
      <c r="A3201" s="66"/>
    </row>
    <row r="3202" spans="1:1" x14ac:dyDescent="0.25">
      <c r="A3202" s="66"/>
    </row>
    <row r="3203" spans="1:1" x14ac:dyDescent="0.25">
      <c r="A3203" s="66"/>
    </row>
    <row r="3204" spans="1:1" x14ac:dyDescent="0.25">
      <c r="A3204" s="66"/>
    </row>
    <row r="3205" spans="1:1" x14ac:dyDescent="0.25">
      <c r="A3205" s="66"/>
    </row>
    <row r="3206" spans="1:1" x14ac:dyDescent="0.25">
      <c r="A3206" s="66"/>
    </row>
    <row r="3207" spans="1:1" x14ac:dyDescent="0.25">
      <c r="A3207" s="66"/>
    </row>
    <row r="3208" spans="1:1" x14ac:dyDescent="0.25">
      <c r="A3208" s="66"/>
    </row>
    <row r="3209" spans="1:1" x14ac:dyDescent="0.25">
      <c r="A3209" s="66"/>
    </row>
    <row r="3210" spans="1:1" x14ac:dyDescent="0.25">
      <c r="A3210" s="66"/>
    </row>
    <row r="3211" spans="1:1" x14ac:dyDescent="0.25">
      <c r="A3211" s="66"/>
    </row>
    <row r="3212" spans="1:1" x14ac:dyDescent="0.25">
      <c r="A3212" s="66"/>
    </row>
    <row r="3213" spans="1:1" x14ac:dyDescent="0.25">
      <c r="A3213" s="66"/>
    </row>
    <row r="3214" spans="1:1" x14ac:dyDescent="0.25">
      <c r="A3214" s="66"/>
    </row>
    <row r="3215" spans="1:1" x14ac:dyDescent="0.25">
      <c r="A3215" s="66"/>
    </row>
    <row r="3216" spans="1:1" x14ac:dyDescent="0.25">
      <c r="A3216" s="66"/>
    </row>
    <row r="3217" spans="1:1" x14ac:dyDescent="0.25">
      <c r="A3217" s="66"/>
    </row>
    <row r="3218" spans="1:1" x14ac:dyDescent="0.25">
      <c r="A3218" s="66"/>
    </row>
    <row r="3219" spans="1:1" x14ac:dyDescent="0.25">
      <c r="A3219" s="66"/>
    </row>
    <row r="3220" spans="1:1" x14ac:dyDescent="0.25">
      <c r="A3220" s="66"/>
    </row>
    <row r="3221" spans="1:1" x14ac:dyDescent="0.25">
      <c r="A3221" s="66"/>
    </row>
    <row r="3222" spans="1:1" x14ac:dyDescent="0.25">
      <c r="A3222" s="66"/>
    </row>
    <row r="3223" spans="1:1" x14ac:dyDescent="0.25">
      <c r="A3223" s="66"/>
    </row>
    <row r="3224" spans="1:1" x14ac:dyDescent="0.25">
      <c r="A3224" s="66"/>
    </row>
    <row r="3225" spans="1:1" x14ac:dyDescent="0.25">
      <c r="A3225" s="66"/>
    </row>
    <row r="3226" spans="1:1" x14ac:dyDescent="0.25">
      <c r="A3226" s="66"/>
    </row>
    <row r="3227" spans="1:1" x14ac:dyDescent="0.25">
      <c r="A3227" s="66"/>
    </row>
    <row r="3228" spans="1:1" x14ac:dyDescent="0.25">
      <c r="A3228" s="66"/>
    </row>
    <row r="3229" spans="1:1" x14ac:dyDescent="0.25">
      <c r="A3229" s="66"/>
    </row>
    <row r="3230" spans="1:1" x14ac:dyDescent="0.25">
      <c r="A3230" s="66"/>
    </row>
    <row r="3231" spans="1:1" x14ac:dyDescent="0.25">
      <c r="A3231" s="66"/>
    </row>
    <row r="3232" spans="1:1" x14ac:dyDescent="0.25">
      <c r="A3232" s="66"/>
    </row>
    <row r="3233" spans="1:1" x14ac:dyDescent="0.25">
      <c r="A3233" s="66"/>
    </row>
    <row r="3234" spans="1:1" x14ac:dyDescent="0.25">
      <c r="A3234" s="66"/>
    </row>
    <row r="3235" spans="1:1" x14ac:dyDescent="0.25">
      <c r="A3235" s="66"/>
    </row>
    <row r="3236" spans="1:1" x14ac:dyDescent="0.25">
      <c r="A3236" s="66"/>
    </row>
    <row r="3237" spans="1:1" x14ac:dyDescent="0.25">
      <c r="A3237" s="66"/>
    </row>
    <row r="3238" spans="1:1" x14ac:dyDescent="0.25">
      <c r="A3238" s="66"/>
    </row>
    <row r="3239" spans="1:1" x14ac:dyDescent="0.25">
      <c r="A3239" s="66"/>
    </row>
    <row r="3240" spans="1:1" x14ac:dyDescent="0.25">
      <c r="A3240" s="66"/>
    </row>
    <row r="3241" spans="1:1" x14ac:dyDescent="0.25">
      <c r="A3241" s="66"/>
    </row>
    <row r="3242" spans="1:1" x14ac:dyDescent="0.25">
      <c r="A3242" s="66"/>
    </row>
    <row r="3243" spans="1:1" x14ac:dyDescent="0.25">
      <c r="A3243" s="66"/>
    </row>
    <row r="3244" spans="1:1" x14ac:dyDescent="0.25">
      <c r="A3244" s="66"/>
    </row>
    <row r="3245" spans="1:1" x14ac:dyDescent="0.25">
      <c r="A3245" s="66"/>
    </row>
    <row r="3246" spans="1:1" x14ac:dyDescent="0.25">
      <c r="A3246" s="66"/>
    </row>
    <row r="3247" spans="1:1" x14ac:dyDescent="0.25">
      <c r="A3247" s="66"/>
    </row>
    <row r="3248" spans="1:1" x14ac:dyDescent="0.25">
      <c r="A3248" s="66"/>
    </row>
    <row r="3249" spans="1:1" x14ac:dyDescent="0.25">
      <c r="A3249" s="66"/>
    </row>
    <row r="3250" spans="1:1" x14ac:dyDescent="0.25">
      <c r="A3250" s="66"/>
    </row>
    <row r="3251" spans="1:1" x14ac:dyDescent="0.25">
      <c r="A3251" s="66"/>
    </row>
    <row r="3252" spans="1:1" x14ac:dyDescent="0.25">
      <c r="A3252" s="66"/>
    </row>
    <row r="3253" spans="1:1" x14ac:dyDescent="0.25">
      <c r="A3253" s="66"/>
    </row>
    <row r="3254" spans="1:1" x14ac:dyDescent="0.25">
      <c r="A3254" s="66"/>
    </row>
    <row r="3255" spans="1:1" x14ac:dyDescent="0.25">
      <c r="A3255" s="66"/>
    </row>
    <row r="3256" spans="1:1" x14ac:dyDescent="0.25">
      <c r="A3256" s="66"/>
    </row>
    <row r="3257" spans="1:1" x14ac:dyDescent="0.25">
      <c r="A3257" s="66"/>
    </row>
    <row r="3258" spans="1:1" x14ac:dyDescent="0.25">
      <c r="A3258" s="66"/>
    </row>
    <row r="3259" spans="1:1" x14ac:dyDescent="0.25">
      <c r="A3259" s="66"/>
    </row>
    <row r="3260" spans="1:1" x14ac:dyDescent="0.25">
      <c r="A3260" s="66"/>
    </row>
    <row r="3261" spans="1:1" x14ac:dyDescent="0.25">
      <c r="A3261" s="66"/>
    </row>
    <row r="3262" spans="1:1" x14ac:dyDescent="0.25">
      <c r="A3262" s="66"/>
    </row>
    <row r="3263" spans="1:1" x14ac:dyDescent="0.25">
      <c r="A3263" s="66"/>
    </row>
    <row r="3264" spans="1:1" x14ac:dyDescent="0.25">
      <c r="A3264" s="66"/>
    </row>
    <row r="3265" spans="1:1" x14ac:dyDescent="0.25">
      <c r="A3265" s="66"/>
    </row>
    <row r="3266" spans="1:1" x14ac:dyDescent="0.25">
      <c r="A3266" s="66"/>
    </row>
    <row r="3267" spans="1:1" x14ac:dyDescent="0.25">
      <c r="A3267" s="66"/>
    </row>
    <row r="3268" spans="1:1" x14ac:dyDescent="0.25">
      <c r="A3268" s="66"/>
    </row>
    <row r="3269" spans="1:1" x14ac:dyDescent="0.25">
      <c r="A3269" s="66"/>
    </row>
    <row r="3270" spans="1:1" x14ac:dyDescent="0.25">
      <c r="A3270" s="66"/>
    </row>
    <row r="3271" spans="1:1" x14ac:dyDescent="0.25">
      <c r="A3271" s="66"/>
    </row>
    <row r="3272" spans="1:1" x14ac:dyDescent="0.25">
      <c r="A3272" s="66"/>
    </row>
    <row r="3273" spans="1:1" x14ac:dyDescent="0.25">
      <c r="A3273" s="66"/>
    </row>
    <row r="3274" spans="1:1" x14ac:dyDescent="0.25">
      <c r="A3274" s="66"/>
    </row>
    <row r="3275" spans="1:1" x14ac:dyDescent="0.25">
      <c r="A3275" s="66"/>
    </row>
    <row r="3276" spans="1:1" x14ac:dyDescent="0.25">
      <c r="A3276" s="66"/>
    </row>
    <row r="3277" spans="1:1" x14ac:dyDescent="0.25">
      <c r="A3277" s="66"/>
    </row>
    <row r="3278" spans="1:1" x14ac:dyDescent="0.25">
      <c r="A3278" s="66"/>
    </row>
    <row r="3279" spans="1:1" x14ac:dyDescent="0.25">
      <c r="A3279" s="66"/>
    </row>
    <row r="3280" spans="1:1" x14ac:dyDescent="0.25">
      <c r="A3280" s="66"/>
    </row>
    <row r="3281" spans="1:1" x14ac:dyDescent="0.25">
      <c r="A3281" s="66"/>
    </row>
    <row r="3282" spans="1:1" x14ac:dyDescent="0.25">
      <c r="A3282" s="66"/>
    </row>
    <row r="3283" spans="1:1" x14ac:dyDescent="0.25">
      <c r="A3283" s="66"/>
    </row>
    <row r="3284" spans="1:1" x14ac:dyDescent="0.25">
      <c r="A3284" s="66"/>
    </row>
    <row r="3285" spans="1:1" x14ac:dyDescent="0.25">
      <c r="A3285" s="66"/>
    </row>
    <row r="3286" spans="1:1" x14ac:dyDescent="0.25">
      <c r="A3286" s="66"/>
    </row>
    <row r="3287" spans="1:1" x14ac:dyDescent="0.25">
      <c r="A3287" s="66"/>
    </row>
    <row r="3288" spans="1:1" x14ac:dyDescent="0.25">
      <c r="A3288" s="66"/>
    </row>
    <row r="3289" spans="1:1" x14ac:dyDescent="0.25">
      <c r="A3289" s="66"/>
    </row>
    <row r="3290" spans="1:1" x14ac:dyDescent="0.25">
      <c r="A3290" s="66"/>
    </row>
    <row r="3291" spans="1:1" x14ac:dyDescent="0.25">
      <c r="A3291" s="66"/>
    </row>
    <row r="3292" spans="1:1" x14ac:dyDescent="0.25">
      <c r="A3292" s="66"/>
    </row>
    <row r="3293" spans="1:1" x14ac:dyDescent="0.25">
      <c r="A3293" s="66"/>
    </row>
    <row r="3294" spans="1:1" x14ac:dyDescent="0.25">
      <c r="A3294" s="66"/>
    </row>
    <row r="3295" spans="1:1" x14ac:dyDescent="0.25">
      <c r="A3295" s="66"/>
    </row>
    <row r="3296" spans="1:1" x14ac:dyDescent="0.25">
      <c r="A3296" s="66"/>
    </row>
    <row r="3297" spans="1:1" x14ac:dyDescent="0.25">
      <c r="A3297" s="66"/>
    </row>
    <row r="3298" spans="1:1" x14ac:dyDescent="0.25">
      <c r="A3298" s="66"/>
    </row>
    <row r="3299" spans="1:1" x14ac:dyDescent="0.25">
      <c r="A3299" s="66"/>
    </row>
    <row r="3300" spans="1:1" x14ac:dyDescent="0.25">
      <c r="A3300" s="66"/>
    </row>
    <row r="3301" spans="1:1" x14ac:dyDescent="0.25">
      <c r="A3301" s="66"/>
    </row>
    <row r="3302" spans="1:1" x14ac:dyDescent="0.25">
      <c r="A3302" s="66"/>
    </row>
    <row r="3303" spans="1:1" x14ac:dyDescent="0.25">
      <c r="A3303" s="66"/>
    </row>
    <row r="3304" spans="1:1" x14ac:dyDescent="0.25">
      <c r="A3304" s="66"/>
    </row>
    <row r="3305" spans="1:1" x14ac:dyDescent="0.25">
      <c r="A3305" s="66"/>
    </row>
    <row r="3306" spans="1:1" x14ac:dyDescent="0.25">
      <c r="A3306" s="66"/>
    </row>
    <row r="3307" spans="1:1" x14ac:dyDescent="0.25">
      <c r="A3307" s="66"/>
    </row>
    <row r="3308" spans="1:1" x14ac:dyDescent="0.25">
      <c r="A3308" s="66"/>
    </row>
    <row r="3309" spans="1:1" x14ac:dyDescent="0.25">
      <c r="A3309" s="66"/>
    </row>
    <row r="3310" spans="1:1" x14ac:dyDescent="0.25">
      <c r="A3310" s="66"/>
    </row>
    <row r="3311" spans="1:1" x14ac:dyDescent="0.25">
      <c r="A3311" s="66"/>
    </row>
    <row r="3312" spans="1:1" x14ac:dyDescent="0.25">
      <c r="A3312" s="66"/>
    </row>
    <row r="3313" spans="1:1" x14ac:dyDescent="0.25">
      <c r="A3313" s="66"/>
    </row>
    <row r="3314" spans="1:1" x14ac:dyDescent="0.25">
      <c r="A3314" s="66"/>
    </row>
    <row r="3315" spans="1:1" x14ac:dyDescent="0.25">
      <c r="A3315" s="66"/>
    </row>
    <row r="3316" spans="1:1" x14ac:dyDescent="0.25">
      <c r="A3316" s="66"/>
    </row>
    <row r="3317" spans="1:1" x14ac:dyDescent="0.25">
      <c r="A3317" s="66"/>
    </row>
    <row r="3318" spans="1:1" x14ac:dyDescent="0.25">
      <c r="A3318" s="66"/>
    </row>
    <row r="3319" spans="1:1" x14ac:dyDescent="0.25">
      <c r="A3319" s="66"/>
    </row>
    <row r="3320" spans="1:1" x14ac:dyDescent="0.25">
      <c r="A3320" s="66"/>
    </row>
    <row r="3321" spans="1:1" x14ac:dyDescent="0.25">
      <c r="A3321" s="66"/>
    </row>
    <row r="3322" spans="1:1" x14ac:dyDescent="0.25">
      <c r="A3322" s="66"/>
    </row>
    <row r="3323" spans="1:1" x14ac:dyDescent="0.25">
      <c r="A3323" s="66"/>
    </row>
    <row r="3324" spans="1:1" x14ac:dyDescent="0.25">
      <c r="A3324" s="66"/>
    </row>
    <row r="3325" spans="1:1" x14ac:dyDescent="0.25">
      <c r="A3325" s="66"/>
    </row>
    <row r="3326" spans="1:1" x14ac:dyDescent="0.25">
      <c r="A3326" s="66"/>
    </row>
    <row r="3327" spans="1:1" x14ac:dyDescent="0.25">
      <c r="A3327" s="66"/>
    </row>
    <row r="3328" spans="1:1" x14ac:dyDescent="0.25">
      <c r="A3328" s="66"/>
    </row>
    <row r="3329" spans="1:1" x14ac:dyDescent="0.25">
      <c r="A3329" s="66"/>
    </row>
    <row r="3330" spans="1:1" x14ac:dyDescent="0.25">
      <c r="A3330" s="66"/>
    </row>
    <row r="3331" spans="1:1" x14ac:dyDescent="0.25">
      <c r="A3331" s="66"/>
    </row>
    <row r="3332" spans="1:1" x14ac:dyDescent="0.25">
      <c r="A3332" s="66"/>
    </row>
    <row r="3333" spans="1:1" x14ac:dyDescent="0.25">
      <c r="A3333" s="66"/>
    </row>
    <row r="3334" spans="1:1" x14ac:dyDescent="0.25">
      <c r="A3334" s="66"/>
    </row>
    <row r="3335" spans="1:1" x14ac:dyDescent="0.25">
      <c r="A3335" s="66"/>
    </row>
    <row r="3336" spans="1:1" x14ac:dyDescent="0.25">
      <c r="A3336" s="66"/>
    </row>
    <row r="3337" spans="1:1" x14ac:dyDescent="0.25">
      <c r="A3337" s="66"/>
    </row>
    <row r="3338" spans="1:1" x14ac:dyDescent="0.25">
      <c r="A3338" s="66"/>
    </row>
    <row r="3339" spans="1:1" x14ac:dyDescent="0.25">
      <c r="A3339" s="66"/>
    </row>
    <row r="3340" spans="1:1" x14ac:dyDescent="0.25">
      <c r="A3340" s="66"/>
    </row>
    <row r="3341" spans="1:1" x14ac:dyDescent="0.25">
      <c r="A3341" s="66"/>
    </row>
    <row r="3342" spans="1:1" x14ac:dyDescent="0.25">
      <c r="A3342" s="66"/>
    </row>
    <row r="3343" spans="1:1" x14ac:dyDescent="0.25">
      <c r="A3343" s="66"/>
    </row>
    <row r="3344" spans="1:1" x14ac:dyDescent="0.25">
      <c r="A3344" s="66"/>
    </row>
    <row r="3345" spans="1:1" x14ac:dyDescent="0.25">
      <c r="A3345" s="66"/>
    </row>
    <row r="3346" spans="1:1" x14ac:dyDescent="0.25">
      <c r="A3346" s="66"/>
    </row>
    <row r="3347" spans="1:1" x14ac:dyDescent="0.25">
      <c r="A3347" s="66"/>
    </row>
    <row r="3348" spans="1:1" x14ac:dyDescent="0.25">
      <c r="A3348" s="66"/>
    </row>
    <row r="3349" spans="1:1" x14ac:dyDescent="0.25">
      <c r="A3349" s="66"/>
    </row>
    <row r="3350" spans="1:1" x14ac:dyDescent="0.25">
      <c r="A3350" s="66"/>
    </row>
    <row r="3351" spans="1:1" x14ac:dyDescent="0.25">
      <c r="A3351" s="66"/>
    </row>
    <row r="3352" spans="1:1" x14ac:dyDescent="0.25">
      <c r="A3352" s="66"/>
    </row>
    <row r="3353" spans="1:1" x14ac:dyDescent="0.25">
      <c r="A3353" s="66"/>
    </row>
    <row r="3354" spans="1:1" x14ac:dyDescent="0.25">
      <c r="A3354" s="66"/>
    </row>
    <row r="3355" spans="1:1" x14ac:dyDescent="0.25">
      <c r="A3355" s="66"/>
    </row>
    <row r="3356" spans="1:1" x14ac:dyDescent="0.25">
      <c r="A3356" s="66"/>
    </row>
    <row r="3357" spans="1:1" x14ac:dyDescent="0.25">
      <c r="A3357" s="66"/>
    </row>
    <row r="3358" spans="1:1" x14ac:dyDescent="0.25">
      <c r="A3358" s="66"/>
    </row>
    <row r="3359" spans="1:1" x14ac:dyDescent="0.25">
      <c r="A3359" s="66"/>
    </row>
    <row r="3360" spans="1:1" x14ac:dyDescent="0.25">
      <c r="A3360" s="66"/>
    </row>
    <row r="3361" spans="1:1" x14ac:dyDescent="0.25">
      <c r="A3361" s="66"/>
    </row>
    <row r="3362" spans="1:1" x14ac:dyDescent="0.25">
      <c r="A3362" s="66"/>
    </row>
    <row r="3363" spans="1:1" x14ac:dyDescent="0.25">
      <c r="A3363" s="66"/>
    </row>
    <row r="3364" spans="1:1" x14ac:dyDescent="0.25">
      <c r="A3364" s="66"/>
    </row>
    <row r="3365" spans="1:1" x14ac:dyDescent="0.25">
      <c r="A3365" s="66"/>
    </row>
    <row r="3366" spans="1:1" x14ac:dyDescent="0.25">
      <c r="A3366" s="66"/>
    </row>
    <row r="3367" spans="1:1" x14ac:dyDescent="0.25">
      <c r="A3367" s="66"/>
    </row>
    <row r="3368" spans="1:1" x14ac:dyDescent="0.25">
      <c r="A3368" s="66"/>
    </row>
    <row r="3369" spans="1:1" x14ac:dyDescent="0.25">
      <c r="A3369" s="66"/>
    </row>
    <row r="3370" spans="1:1" x14ac:dyDescent="0.25">
      <c r="A3370" s="66"/>
    </row>
    <row r="3371" spans="1:1" x14ac:dyDescent="0.25">
      <c r="A3371" s="66"/>
    </row>
    <row r="3372" spans="1:1" x14ac:dyDescent="0.25">
      <c r="A3372" s="66"/>
    </row>
    <row r="3373" spans="1:1" x14ac:dyDescent="0.25">
      <c r="A3373" s="66"/>
    </row>
    <row r="3374" spans="1:1" x14ac:dyDescent="0.25">
      <c r="A3374" s="66"/>
    </row>
    <row r="3375" spans="1:1" x14ac:dyDescent="0.25">
      <c r="A3375" s="66"/>
    </row>
    <row r="3376" spans="1:1" x14ac:dyDescent="0.25">
      <c r="A3376" s="66"/>
    </row>
    <row r="3377" spans="1:1" x14ac:dyDescent="0.25">
      <c r="A3377" s="66"/>
    </row>
    <row r="3378" spans="1:1" x14ac:dyDescent="0.25">
      <c r="A3378" s="66"/>
    </row>
    <row r="3379" spans="1:1" x14ac:dyDescent="0.25">
      <c r="A3379" s="66"/>
    </row>
    <row r="3380" spans="1:1" x14ac:dyDescent="0.25">
      <c r="A3380" s="66"/>
    </row>
    <row r="3381" spans="1:1" x14ac:dyDescent="0.25">
      <c r="A3381" s="66"/>
    </row>
    <row r="3382" spans="1:1" x14ac:dyDescent="0.25">
      <c r="A3382" s="66"/>
    </row>
    <row r="3383" spans="1:1" x14ac:dyDescent="0.25">
      <c r="A3383" s="66"/>
    </row>
    <row r="3384" spans="1:1" x14ac:dyDescent="0.25">
      <c r="A3384" s="66"/>
    </row>
    <row r="3385" spans="1:1" x14ac:dyDescent="0.25">
      <c r="A3385" s="66"/>
    </row>
    <row r="3386" spans="1:1" x14ac:dyDescent="0.25">
      <c r="A3386" s="66"/>
    </row>
    <row r="3387" spans="1:1" x14ac:dyDescent="0.25">
      <c r="A3387" s="66"/>
    </row>
    <row r="3388" spans="1:1" x14ac:dyDescent="0.25">
      <c r="A3388" s="66"/>
    </row>
    <row r="3389" spans="1:1" x14ac:dyDescent="0.25">
      <c r="A3389" s="66"/>
    </row>
    <row r="3390" spans="1:1" x14ac:dyDescent="0.25">
      <c r="A3390" s="66"/>
    </row>
    <row r="3391" spans="1:1" x14ac:dyDescent="0.25">
      <c r="A3391" s="66"/>
    </row>
    <row r="3392" spans="1:1" x14ac:dyDescent="0.25">
      <c r="A3392" s="66"/>
    </row>
    <row r="3393" spans="1:1" x14ac:dyDescent="0.25">
      <c r="A3393" s="66"/>
    </row>
    <row r="3394" spans="1:1" x14ac:dyDescent="0.25">
      <c r="A3394" s="66"/>
    </row>
    <row r="3395" spans="1:1" x14ac:dyDescent="0.25">
      <c r="A3395" s="66"/>
    </row>
    <row r="3396" spans="1:1" x14ac:dyDescent="0.25">
      <c r="A3396" s="66"/>
    </row>
    <row r="3397" spans="1:1" x14ac:dyDescent="0.25">
      <c r="A3397" s="66"/>
    </row>
    <row r="3398" spans="1:1" x14ac:dyDescent="0.25">
      <c r="A3398" s="66"/>
    </row>
    <row r="3399" spans="1:1" x14ac:dyDescent="0.25">
      <c r="A3399" s="66"/>
    </row>
    <row r="3400" spans="1:1" x14ac:dyDescent="0.25">
      <c r="A3400" s="66"/>
    </row>
    <row r="3401" spans="1:1" x14ac:dyDescent="0.25">
      <c r="A3401" s="66"/>
    </row>
    <row r="3402" spans="1:1" x14ac:dyDescent="0.25">
      <c r="A3402" s="66"/>
    </row>
    <row r="3403" spans="1:1" x14ac:dyDescent="0.25">
      <c r="A3403" s="66"/>
    </row>
    <row r="3404" spans="1:1" x14ac:dyDescent="0.25">
      <c r="A3404" s="66"/>
    </row>
    <row r="3405" spans="1:1" x14ac:dyDescent="0.25">
      <c r="A3405" s="66"/>
    </row>
    <row r="3406" spans="1:1" x14ac:dyDescent="0.25">
      <c r="A3406" s="66"/>
    </row>
    <row r="3407" spans="1:1" x14ac:dyDescent="0.25">
      <c r="A3407" s="66"/>
    </row>
    <row r="3408" spans="1:1" x14ac:dyDescent="0.25">
      <c r="A3408" s="66"/>
    </row>
    <row r="3409" spans="1:1" x14ac:dyDescent="0.25">
      <c r="A3409" s="66"/>
    </row>
    <row r="3410" spans="1:1" x14ac:dyDescent="0.25">
      <c r="A3410" s="66"/>
    </row>
    <row r="3411" spans="1:1" x14ac:dyDescent="0.25">
      <c r="A3411" s="66"/>
    </row>
    <row r="3412" spans="1:1" x14ac:dyDescent="0.25">
      <c r="A3412" s="66"/>
    </row>
    <row r="3413" spans="1:1" x14ac:dyDescent="0.25">
      <c r="A3413" s="66"/>
    </row>
    <row r="3414" spans="1:1" x14ac:dyDescent="0.25">
      <c r="A3414" s="66"/>
    </row>
    <row r="3415" spans="1:1" x14ac:dyDescent="0.25">
      <c r="A3415" s="66"/>
    </row>
    <row r="3416" spans="1:1" x14ac:dyDescent="0.25">
      <c r="A3416" s="66"/>
    </row>
    <row r="3417" spans="1:1" x14ac:dyDescent="0.25">
      <c r="A3417" s="66"/>
    </row>
    <row r="3418" spans="1:1" x14ac:dyDescent="0.25">
      <c r="A3418" s="66"/>
    </row>
    <row r="3419" spans="1:1" x14ac:dyDescent="0.25">
      <c r="A3419" s="66"/>
    </row>
    <row r="3420" spans="1:1" x14ac:dyDescent="0.25">
      <c r="A3420" s="66"/>
    </row>
    <row r="3421" spans="1:1" x14ac:dyDescent="0.25">
      <c r="A3421" s="66"/>
    </row>
    <row r="3422" spans="1:1" x14ac:dyDescent="0.25">
      <c r="A3422" s="66"/>
    </row>
    <row r="3423" spans="1:1" x14ac:dyDescent="0.25">
      <c r="A3423" s="66"/>
    </row>
    <row r="3424" spans="1:1" x14ac:dyDescent="0.25">
      <c r="A3424" s="66"/>
    </row>
    <row r="3425" spans="1:1" x14ac:dyDescent="0.25">
      <c r="A3425" s="66"/>
    </row>
    <row r="3426" spans="1:1" x14ac:dyDescent="0.25">
      <c r="A3426" s="66"/>
    </row>
    <row r="3427" spans="1:1" x14ac:dyDescent="0.25">
      <c r="A3427" s="66"/>
    </row>
    <row r="3428" spans="1:1" x14ac:dyDescent="0.25">
      <c r="A3428" s="66"/>
    </row>
    <row r="3429" spans="1:1" x14ac:dyDescent="0.25">
      <c r="A3429" s="66"/>
    </row>
    <row r="3430" spans="1:1" x14ac:dyDescent="0.25">
      <c r="A3430" s="66"/>
    </row>
    <row r="3431" spans="1:1" x14ac:dyDescent="0.25">
      <c r="A3431" s="66"/>
    </row>
    <row r="3432" spans="1:1" x14ac:dyDescent="0.25">
      <c r="A3432" s="66"/>
    </row>
    <row r="3433" spans="1:1" x14ac:dyDescent="0.25">
      <c r="A3433" s="66"/>
    </row>
    <row r="3434" spans="1:1" x14ac:dyDescent="0.25">
      <c r="A3434" s="66"/>
    </row>
    <row r="3435" spans="1:1" x14ac:dyDescent="0.25">
      <c r="A3435" s="66"/>
    </row>
    <row r="3436" spans="1:1" x14ac:dyDescent="0.25">
      <c r="A3436" s="66"/>
    </row>
    <row r="3437" spans="1:1" x14ac:dyDescent="0.25">
      <c r="A3437" s="66"/>
    </row>
    <row r="3438" spans="1:1" x14ac:dyDescent="0.25">
      <c r="A3438" s="66"/>
    </row>
    <row r="3439" spans="1:1" x14ac:dyDescent="0.25">
      <c r="A3439" s="66"/>
    </row>
    <row r="3440" spans="1:1" x14ac:dyDescent="0.25">
      <c r="A3440" s="66"/>
    </row>
    <row r="3441" spans="1:1" x14ac:dyDescent="0.25">
      <c r="A3441" s="66"/>
    </row>
    <row r="3442" spans="1:1" x14ac:dyDescent="0.25">
      <c r="A3442" s="66"/>
    </row>
    <row r="3443" spans="1:1" x14ac:dyDescent="0.25">
      <c r="A3443" s="66"/>
    </row>
    <row r="3444" spans="1:1" x14ac:dyDescent="0.25">
      <c r="A3444" s="66"/>
    </row>
    <row r="3445" spans="1:1" x14ac:dyDescent="0.25">
      <c r="A3445" s="66"/>
    </row>
    <row r="3446" spans="1:1" x14ac:dyDescent="0.25">
      <c r="A3446" s="66"/>
    </row>
    <row r="3447" spans="1:1" x14ac:dyDescent="0.25">
      <c r="A3447" s="66"/>
    </row>
    <row r="3448" spans="1:1" x14ac:dyDescent="0.25">
      <c r="A3448" s="66"/>
    </row>
    <row r="3449" spans="1:1" x14ac:dyDescent="0.25">
      <c r="A3449" s="66"/>
    </row>
    <row r="3450" spans="1:1" x14ac:dyDescent="0.25">
      <c r="A3450" s="66"/>
    </row>
    <row r="3451" spans="1:1" x14ac:dyDescent="0.25">
      <c r="A3451" s="66"/>
    </row>
    <row r="3452" spans="1:1" x14ac:dyDescent="0.25">
      <c r="A3452" s="66"/>
    </row>
    <row r="3453" spans="1:1" x14ac:dyDescent="0.25">
      <c r="A3453" s="66"/>
    </row>
    <row r="3454" spans="1:1" x14ac:dyDescent="0.25">
      <c r="A3454" s="66"/>
    </row>
    <row r="3455" spans="1:1" x14ac:dyDescent="0.25">
      <c r="A3455" s="66"/>
    </row>
    <row r="3456" spans="1:1" x14ac:dyDescent="0.25">
      <c r="A3456" s="66"/>
    </row>
    <row r="3457" spans="1:1" x14ac:dyDescent="0.25">
      <c r="A3457" s="66"/>
    </row>
    <row r="3458" spans="1:1" x14ac:dyDescent="0.25">
      <c r="A3458" s="66"/>
    </row>
    <row r="3459" spans="1:1" x14ac:dyDescent="0.25">
      <c r="A3459" s="66"/>
    </row>
    <row r="3460" spans="1:1" x14ac:dyDescent="0.25">
      <c r="A3460" s="66"/>
    </row>
    <row r="3461" spans="1:1" x14ac:dyDescent="0.25">
      <c r="A3461" s="66"/>
    </row>
    <row r="3462" spans="1:1" x14ac:dyDescent="0.25">
      <c r="A3462" s="66"/>
    </row>
    <row r="3463" spans="1:1" x14ac:dyDescent="0.25">
      <c r="A3463" s="66"/>
    </row>
    <row r="3464" spans="1:1" x14ac:dyDescent="0.25">
      <c r="A3464" s="66"/>
    </row>
    <row r="3465" spans="1:1" x14ac:dyDescent="0.25">
      <c r="A3465" s="66"/>
    </row>
    <row r="3466" spans="1:1" x14ac:dyDescent="0.25">
      <c r="A3466" s="66"/>
    </row>
    <row r="3467" spans="1:1" x14ac:dyDescent="0.25">
      <c r="A3467" s="66"/>
    </row>
    <row r="3468" spans="1:1" x14ac:dyDescent="0.25">
      <c r="A3468" s="66"/>
    </row>
    <row r="3469" spans="1:1" x14ac:dyDescent="0.25">
      <c r="A3469" s="66"/>
    </row>
    <row r="3470" spans="1:1" x14ac:dyDescent="0.25">
      <c r="A3470" s="66"/>
    </row>
    <row r="3471" spans="1:1" x14ac:dyDescent="0.25">
      <c r="A3471" s="66"/>
    </row>
    <row r="3472" spans="1:1" x14ac:dyDescent="0.25">
      <c r="A3472" s="66"/>
    </row>
    <row r="3473" spans="1:1" x14ac:dyDescent="0.25">
      <c r="A3473" s="66"/>
    </row>
    <row r="3474" spans="1:1" x14ac:dyDescent="0.25">
      <c r="A3474" s="66"/>
    </row>
    <row r="3475" spans="1:1" x14ac:dyDescent="0.25">
      <c r="A3475" s="66"/>
    </row>
    <row r="3476" spans="1:1" x14ac:dyDescent="0.25">
      <c r="A3476" s="66"/>
    </row>
    <row r="3477" spans="1:1" x14ac:dyDescent="0.25">
      <c r="A3477" s="66"/>
    </row>
    <row r="3478" spans="1:1" x14ac:dyDescent="0.25">
      <c r="A3478" s="66"/>
    </row>
    <row r="3479" spans="1:1" x14ac:dyDescent="0.25">
      <c r="A3479" s="66"/>
    </row>
    <row r="3480" spans="1:1" x14ac:dyDescent="0.25">
      <c r="A3480" s="66"/>
    </row>
    <row r="3481" spans="1:1" x14ac:dyDescent="0.25">
      <c r="A3481" s="66"/>
    </row>
    <row r="3482" spans="1:1" x14ac:dyDescent="0.25">
      <c r="A3482" s="66"/>
    </row>
    <row r="3483" spans="1:1" x14ac:dyDescent="0.25">
      <c r="A3483" s="66"/>
    </row>
    <row r="3484" spans="1:1" x14ac:dyDescent="0.25">
      <c r="A3484" s="66"/>
    </row>
    <row r="3485" spans="1:1" x14ac:dyDescent="0.25">
      <c r="A3485" s="66"/>
    </row>
    <row r="3486" spans="1:1" x14ac:dyDescent="0.25">
      <c r="A3486" s="66"/>
    </row>
    <row r="3487" spans="1:1" x14ac:dyDescent="0.25">
      <c r="A3487" s="66"/>
    </row>
    <row r="3488" spans="1:1" x14ac:dyDescent="0.25">
      <c r="A3488" s="66"/>
    </row>
    <row r="3489" spans="1:1" x14ac:dyDescent="0.25">
      <c r="A3489" s="66"/>
    </row>
    <row r="3490" spans="1:1" x14ac:dyDescent="0.25">
      <c r="A3490" s="66"/>
    </row>
    <row r="3491" spans="1:1" x14ac:dyDescent="0.25">
      <c r="A3491" s="66"/>
    </row>
    <row r="3492" spans="1:1" x14ac:dyDescent="0.25">
      <c r="A3492" s="66"/>
    </row>
    <row r="3493" spans="1:1" x14ac:dyDescent="0.25">
      <c r="A3493" s="66"/>
    </row>
    <row r="3494" spans="1:1" x14ac:dyDescent="0.25">
      <c r="A3494" s="66"/>
    </row>
    <row r="3495" spans="1:1" x14ac:dyDescent="0.25">
      <c r="A3495" s="66"/>
    </row>
    <row r="3496" spans="1:1" x14ac:dyDescent="0.25">
      <c r="A3496" s="66"/>
    </row>
    <row r="3497" spans="1:1" x14ac:dyDescent="0.25">
      <c r="A3497" s="66"/>
    </row>
    <row r="3498" spans="1:1" x14ac:dyDescent="0.25">
      <c r="A3498" s="66"/>
    </row>
    <row r="3499" spans="1:1" x14ac:dyDescent="0.25">
      <c r="A3499" s="66"/>
    </row>
    <row r="3500" spans="1:1" x14ac:dyDescent="0.25">
      <c r="A3500" s="66"/>
    </row>
    <row r="3501" spans="1:1" x14ac:dyDescent="0.25">
      <c r="A3501" s="66"/>
    </row>
    <row r="3502" spans="1:1" x14ac:dyDescent="0.25">
      <c r="A3502" s="66"/>
    </row>
    <row r="3503" spans="1:1" x14ac:dyDescent="0.25">
      <c r="A3503" s="66"/>
    </row>
    <row r="3504" spans="1:1" x14ac:dyDescent="0.25">
      <c r="A3504" s="66"/>
    </row>
    <row r="3505" spans="1:1" x14ac:dyDescent="0.25">
      <c r="A3505" s="66"/>
    </row>
    <row r="3506" spans="1:1" x14ac:dyDescent="0.25">
      <c r="A3506" s="66"/>
    </row>
    <row r="3507" spans="1:1" x14ac:dyDescent="0.25">
      <c r="A3507" s="66"/>
    </row>
    <row r="3508" spans="1:1" x14ac:dyDescent="0.25">
      <c r="A3508" s="66"/>
    </row>
    <row r="3509" spans="1:1" x14ac:dyDescent="0.25">
      <c r="A3509" s="66"/>
    </row>
    <row r="3510" spans="1:1" x14ac:dyDescent="0.25">
      <c r="A3510" s="66"/>
    </row>
    <row r="3511" spans="1:1" x14ac:dyDescent="0.25">
      <c r="A3511" s="66"/>
    </row>
    <row r="3512" spans="1:1" x14ac:dyDescent="0.25">
      <c r="A3512" s="66"/>
    </row>
    <row r="3513" spans="1:1" x14ac:dyDescent="0.25">
      <c r="A3513" s="66"/>
    </row>
    <row r="3514" spans="1:1" x14ac:dyDescent="0.25">
      <c r="A3514" s="66"/>
    </row>
    <row r="3515" spans="1:1" x14ac:dyDescent="0.25">
      <c r="A3515" s="66"/>
    </row>
    <row r="3516" spans="1:1" x14ac:dyDescent="0.25">
      <c r="A3516" s="66"/>
    </row>
    <row r="3517" spans="1:1" x14ac:dyDescent="0.25">
      <c r="A3517" s="66"/>
    </row>
    <row r="3518" spans="1:1" x14ac:dyDescent="0.25">
      <c r="A3518" s="66"/>
    </row>
    <row r="3519" spans="1:1" x14ac:dyDescent="0.25">
      <c r="A3519" s="66"/>
    </row>
    <row r="3520" spans="1:1" x14ac:dyDescent="0.25">
      <c r="A3520" s="66"/>
    </row>
    <row r="3521" spans="1:1" x14ac:dyDescent="0.25">
      <c r="A3521" s="66"/>
    </row>
    <row r="3522" spans="1:1" x14ac:dyDescent="0.25">
      <c r="A3522" s="66"/>
    </row>
    <row r="3523" spans="1:1" x14ac:dyDescent="0.25">
      <c r="A3523" s="66"/>
    </row>
    <row r="3524" spans="1:1" x14ac:dyDescent="0.25">
      <c r="A3524" s="66"/>
    </row>
    <row r="3525" spans="1:1" x14ac:dyDescent="0.25">
      <c r="A3525" s="66"/>
    </row>
    <row r="3526" spans="1:1" x14ac:dyDescent="0.25">
      <c r="A3526" s="66"/>
    </row>
    <row r="3527" spans="1:1" x14ac:dyDescent="0.25">
      <c r="A3527" s="66"/>
    </row>
    <row r="3528" spans="1:1" x14ac:dyDescent="0.25">
      <c r="A3528" s="66"/>
    </row>
    <row r="3529" spans="1:1" x14ac:dyDescent="0.25">
      <c r="A3529" s="66"/>
    </row>
    <row r="3530" spans="1:1" x14ac:dyDescent="0.25">
      <c r="A3530" s="66"/>
    </row>
    <row r="3531" spans="1:1" x14ac:dyDescent="0.25">
      <c r="A3531" s="66"/>
    </row>
    <row r="3532" spans="1:1" x14ac:dyDescent="0.25">
      <c r="A3532" s="66"/>
    </row>
    <row r="3533" spans="1:1" x14ac:dyDescent="0.25">
      <c r="A3533" s="66"/>
    </row>
    <row r="3534" spans="1:1" x14ac:dyDescent="0.25">
      <c r="A3534" s="66"/>
    </row>
    <row r="3535" spans="1:1" x14ac:dyDescent="0.25">
      <c r="A3535" s="66"/>
    </row>
    <row r="3536" spans="1:1" x14ac:dyDescent="0.25">
      <c r="A3536" s="66"/>
    </row>
    <row r="3537" spans="1:1" x14ac:dyDescent="0.25">
      <c r="A3537" s="66"/>
    </row>
    <row r="3538" spans="1:1" x14ac:dyDescent="0.25">
      <c r="A3538" s="66"/>
    </row>
    <row r="3539" spans="1:1" x14ac:dyDescent="0.25">
      <c r="A3539" s="66"/>
    </row>
    <row r="3540" spans="1:1" x14ac:dyDescent="0.25">
      <c r="A3540" s="66"/>
    </row>
    <row r="3541" spans="1:1" x14ac:dyDescent="0.25">
      <c r="A3541" s="66"/>
    </row>
    <row r="3542" spans="1:1" x14ac:dyDescent="0.25">
      <c r="A3542" s="66"/>
    </row>
    <row r="3543" spans="1:1" x14ac:dyDescent="0.25">
      <c r="A3543" s="66"/>
    </row>
    <row r="3544" spans="1:1" x14ac:dyDescent="0.25">
      <c r="A3544" s="66"/>
    </row>
    <row r="3545" spans="1:1" x14ac:dyDescent="0.25">
      <c r="A3545" s="66"/>
    </row>
    <row r="3546" spans="1:1" x14ac:dyDescent="0.25">
      <c r="A3546" s="66"/>
    </row>
    <row r="3547" spans="1:1" x14ac:dyDescent="0.25">
      <c r="A3547" s="66"/>
    </row>
    <row r="3548" spans="1:1" x14ac:dyDescent="0.25">
      <c r="A3548" s="66"/>
    </row>
    <row r="3549" spans="1:1" x14ac:dyDescent="0.25">
      <c r="A3549" s="66"/>
    </row>
    <row r="3550" spans="1:1" x14ac:dyDescent="0.25">
      <c r="A3550" s="66"/>
    </row>
    <row r="3551" spans="1:1" x14ac:dyDescent="0.25">
      <c r="A3551" s="66"/>
    </row>
    <row r="3552" spans="1:1" x14ac:dyDescent="0.25">
      <c r="A3552" s="66"/>
    </row>
    <row r="3553" spans="1:1" x14ac:dyDescent="0.25">
      <c r="A3553" s="66"/>
    </row>
    <row r="3554" spans="1:1" x14ac:dyDescent="0.25">
      <c r="A3554" s="66"/>
    </row>
    <row r="3555" spans="1:1" x14ac:dyDescent="0.25">
      <c r="A3555" s="66"/>
    </row>
    <row r="3556" spans="1:1" x14ac:dyDescent="0.25">
      <c r="A3556" s="66"/>
    </row>
    <row r="3557" spans="1:1" x14ac:dyDescent="0.25">
      <c r="A3557" s="66"/>
    </row>
    <row r="3558" spans="1:1" x14ac:dyDescent="0.25">
      <c r="A3558" s="66"/>
    </row>
    <row r="3559" spans="1:1" x14ac:dyDescent="0.25">
      <c r="A3559" s="66"/>
    </row>
    <row r="3560" spans="1:1" x14ac:dyDescent="0.25">
      <c r="A3560" s="66"/>
    </row>
    <row r="3561" spans="1:1" x14ac:dyDescent="0.25">
      <c r="A3561" s="66"/>
    </row>
    <row r="3562" spans="1:1" x14ac:dyDescent="0.25">
      <c r="A3562" s="66"/>
    </row>
    <row r="3563" spans="1:1" x14ac:dyDescent="0.25">
      <c r="A3563" s="66"/>
    </row>
    <row r="3564" spans="1:1" x14ac:dyDescent="0.25">
      <c r="A3564" s="66"/>
    </row>
    <row r="3565" spans="1:1" x14ac:dyDescent="0.25">
      <c r="A3565" s="66"/>
    </row>
    <row r="3566" spans="1:1" x14ac:dyDescent="0.25">
      <c r="A3566" s="66"/>
    </row>
    <row r="3567" spans="1:1" x14ac:dyDescent="0.25">
      <c r="A3567" s="66"/>
    </row>
    <row r="3568" spans="1:1" x14ac:dyDescent="0.25">
      <c r="A3568" s="66"/>
    </row>
    <row r="3569" spans="1:1" x14ac:dyDescent="0.25">
      <c r="A3569" s="66"/>
    </row>
    <row r="3570" spans="1:1" x14ac:dyDescent="0.25">
      <c r="A3570" s="66"/>
    </row>
    <row r="3571" spans="1:1" x14ac:dyDescent="0.25">
      <c r="A3571" s="66"/>
    </row>
    <row r="3572" spans="1:1" x14ac:dyDescent="0.25">
      <c r="A3572" s="66"/>
    </row>
    <row r="3573" spans="1:1" x14ac:dyDescent="0.25">
      <c r="A3573" s="66"/>
    </row>
    <row r="3574" spans="1:1" x14ac:dyDescent="0.25">
      <c r="A3574" s="66"/>
    </row>
    <row r="3575" spans="1:1" x14ac:dyDescent="0.25">
      <c r="A3575" s="66"/>
    </row>
    <row r="3576" spans="1:1" x14ac:dyDescent="0.25">
      <c r="A3576" s="66"/>
    </row>
    <row r="3577" spans="1:1" x14ac:dyDescent="0.25">
      <c r="A3577" s="66"/>
    </row>
    <row r="3578" spans="1:1" x14ac:dyDescent="0.25">
      <c r="A3578" s="66"/>
    </row>
    <row r="3579" spans="1:1" x14ac:dyDescent="0.25">
      <c r="A3579" s="66"/>
    </row>
    <row r="3580" spans="1:1" x14ac:dyDescent="0.25">
      <c r="A3580" s="66"/>
    </row>
    <row r="3581" spans="1:1" x14ac:dyDescent="0.25">
      <c r="A3581" s="66"/>
    </row>
    <row r="3582" spans="1:1" x14ac:dyDescent="0.25">
      <c r="A3582" s="66"/>
    </row>
    <row r="3583" spans="1:1" x14ac:dyDescent="0.25">
      <c r="A3583" s="66"/>
    </row>
    <row r="3584" spans="1:1" x14ac:dyDescent="0.25">
      <c r="A3584" s="66"/>
    </row>
    <row r="3585" spans="1:1" x14ac:dyDescent="0.25">
      <c r="A3585" s="66"/>
    </row>
    <row r="3586" spans="1:1" x14ac:dyDescent="0.25">
      <c r="A3586" s="66"/>
    </row>
    <row r="3587" spans="1:1" x14ac:dyDescent="0.25">
      <c r="A3587" s="66"/>
    </row>
    <row r="3588" spans="1:1" x14ac:dyDescent="0.25">
      <c r="A3588" s="66"/>
    </row>
    <row r="3589" spans="1:1" x14ac:dyDescent="0.25">
      <c r="A3589" s="66"/>
    </row>
    <row r="3590" spans="1:1" x14ac:dyDescent="0.25">
      <c r="A3590" s="66"/>
    </row>
    <row r="3591" spans="1:1" x14ac:dyDescent="0.25">
      <c r="A3591" s="66"/>
    </row>
    <row r="3592" spans="1:1" x14ac:dyDescent="0.25">
      <c r="A3592" s="66"/>
    </row>
    <row r="3593" spans="1:1" x14ac:dyDescent="0.25">
      <c r="A3593" s="66"/>
    </row>
    <row r="3594" spans="1:1" x14ac:dyDescent="0.25">
      <c r="A3594" s="66"/>
    </row>
    <row r="3595" spans="1:1" x14ac:dyDescent="0.25">
      <c r="A3595" s="66"/>
    </row>
    <row r="3596" spans="1:1" x14ac:dyDescent="0.25">
      <c r="A3596" s="66"/>
    </row>
    <row r="3597" spans="1:1" x14ac:dyDescent="0.25">
      <c r="A3597" s="66"/>
    </row>
    <row r="3598" spans="1:1" x14ac:dyDescent="0.25">
      <c r="A3598" s="66"/>
    </row>
    <row r="3599" spans="1:1" x14ac:dyDescent="0.25">
      <c r="A3599" s="66"/>
    </row>
    <row r="3600" spans="1:1" x14ac:dyDescent="0.25">
      <c r="A3600" s="66"/>
    </row>
    <row r="3601" spans="1:1" x14ac:dyDescent="0.25">
      <c r="A3601" s="66"/>
    </row>
    <row r="3602" spans="1:1" x14ac:dyDescent="0.25">
      <c r="A3602" s="66"/>
    </row>
    <row r="3603" spans="1:1" x14ac:dyDescent="0.25">
      <c r="A3603" s="66"/>
    </row>
    <row r="3604" spans="1:1" x14ac:dyDescent="0.25">
      <c r="A3604" s="66"/>
    </row>
    <row r="3605" spans="1:1" x14ac:dyDescent="0.25">
      <c r="A3605" s="66"/>
    </row>
    <row r="3606" spans="1:1" x14ac:dyDescent="0.25">
      <c r="A3606" s="66"/>
    </row>
    <row r="3607" spans="1:1" x14ac:dyDescent="0.25">
      <c r="A3607" s="66"/>
    </row>
    <row r="3608" spans="1:1" x14ac:dyDescent="0.25">
      <c r="A3608" s="66"/>
    </row>
    <row r="3609" spans="1:1" x14ac:dyDescent="0.25">
      <c r="A3609" s="66"/>
    </row>
    <row r="3610" spans="1:1" x14ac:dyDescent="0.25">
      <c r="A3610" s="66"/>
    </row>
    <row r="3611" spans="1:1" x14ac:dyDescent="0.25">
      <c r="A3611" s="66"/>
    </row>
    <row r="3612" spans="1:1" x14ac:dyDescent="0.25">
      <c r="A3612" s="66"/>
    </row>
    <row r="3613" spans="1:1" x14ac:dyDescent="0.25">
      <c r="A3613" s="66"/>
    </row>
    <row r="3614" spans="1:1" x14ac:dyDescent="0.25">
      <c r="A3614" s="66"/>
    </row>
    <row r="3615" spans="1:1" x14ac:dyDescent="0.25">
      <c r="A3615" s="66"/>
    </row>
    <row r="3616" spans="1:1" x14ac:dyDescent="0.25">
      <c r="A3616" s="66"/>
    </row>
    <row r="3617" spans="1:1" x14ac:dyDescent="0.25">
      <c r="A3617" s="66"/>
    </row>
    <row r="3618" spans="1:1" x14ac:dyDescent="0.25">
      <c r="A3618" s="66"/>
    </row>
    <row r="3619" spans="1:1" x14ac:dyDescent="0.25">
      <c r="A3619" s="66"/>
    </row>
    <row r="3620" spans="1:1" x14ac:dyDescent="0.25">
      <c r="A3620" s="66"/>
    </row>
    <row r="3621" spans="1:1" x14ac:dyDescent="0.25">
      <c r="A3621" s="66"/>
    </row>
    <row r="3622" spans="1:1" x14ac:dyDescent="0.25">
      <c r="A3622" s="66"/>
    </row>
    <row r="3623" spans="1:1" x14ac:dyDescent="0.25">
      <c r="A3623" s="66"/>
    </row>
    <row r="3624" spans="1:1" x14ac:dyDescent="0.25">
      <c r="A3624" s="66"/>
    </row>
    <row r="3625" spans="1:1" x14ac:dyDescent="0.25">
      <c r="A3625" s="66"/>
    </row>
    <row r="3626" spans="1:1" x14ac:dyDescent="0.25">
      <c r="A3626" s="66"/>
    </row>
    <row r="3627" spans="1:1" x14ac:dyDescent="0.25">
      <c r="A3627" s="66"/>
    </row>
    <row r="3628" spans="1:1" x14ac:dyDescent="0.25">
      <c r="A3628" s="66"/>
    </row>
    <row r="3629" spans="1:1" x14ac:dyDescent="0.25">
      <c r="A3629" s="66"/>
    </row>
    <row r="3630" spans="1:1" x14ac:dyDescent="0.25">
      <c r="A3630" s="66"/>
    </row>
    <row r="3631" spans="1:1" x14ac:dyDescent="0.25">
      <c r="A3631" s="66"/>
    </row>
    <row r="3632" spans="1:1" x14ac:dyDescent="0.25">
      <c r="A3632" s="66"/>
    </row>
    <row r="3633" spans="1:1" x14ac:dyDescent="0.25">
      <c r="A3633" s="66"/>
    </row>
    <row r="3634" spans="1:1" x14ac:dyDescent="0.25">
      <c r="A3634" s="66"/>
    </row>
    <row r="3635" spans="1:1" x14ac:dyDescent="0.25">
      <c r="A3635" s="66"/>
    </row>
    <row r="3636" spans="1:1" x14ac:dyDescent="0.25">
      <c r="A3636" s="66"/>
    </row>
    <row r="3637" spans="1:1" x14ac:dyDescent="0.25">
      <c r="A3637" s="66"/>
    </row>
    <row r="3638" spans="1:1" x14ac:dyDescent="0.25">
      <c r="A3638" s="66"/>
    </row>
    <row r="3639" spans="1:1" x14ac:dyDescent="0.25">
      <c r="A3639" s="66"/>
    </row>
    <row r="3640" spans="1:1" x14ac:dyDescent="0.25">
      <c r="A3640" s="66"/>
    </row>
    <row r="3641" spans="1:1" x14ac:dyDescent="0.25">
      <c r="A3641" s="66"/>
    </row>
    <row r="3642" spans="1:1" x14ac:dyDescent="0.25">
      <c r="A3642" s="66"/>
    </row>
    <row r="3643" spans="1:1" x14ac:dyDescent="0.25">
      <c r="A3643" s="66"/>
    </row>
    <row r="3644" spans="1:1" x14ac:dyDescent="0.25">
      <c r="A3644" s="66"/>
    </row>
    <row r="3645" spans="1:1" x14ac:dyDescent="0.25">
      <c r="A3645" s="66"/>
    </row>
    <row r="3646" spans="1:1" x14ac:dyDescent="0.25">
      <c r="A3646" s="66"/>
    </row>
    <row r="3647" spans="1:1" x14ac:dyDescent="0.25">
      <c r="A3647" s="66"/>
    </row>
    <row r="3648" spans="1:1" x14ac:dyDescent="0.25">
      <c r="A3648" s="66"/>
    </row>
    <row r="3649" spans="1:1" x14ac:dyDescent="0.25">
      <c r="A3649" s="66"/>
    </row>
    <row r="3650" spans="1:1" x14ac:dyDescent="0.25">
      <c r="A3650" s="66"/>
    </row>
    <row r="3651" spans="1:1" x14ac:dyDescent="0.25">
      <c r="A3651" s="66"/>
    </row>
    <row r="3652" spans="1:1" x14ac:dyDescent="0.25">
      <c r="A3652" s="66"/>
    </row>
    <row r="3653" spans="1:1" x14ac:dyDescent="0.25">
      <c r="A3653" s="66"/>
    </row>
    <row r="3654" spans="1:1" x14ac:dyDescent="0.25">
      <c r="A3654" s="66"/>
    </row>
    <row r="3655" spans="1:1" x14ac:dyDescent="0.25">
      <c r="A3655" s="66"/>
    </row>
    <row r="3656" spans="1:1" x14ac:dyDescent="0.25">
      <c r="A3656" s="66"/>
    </row>
    <row r="3657" spans="1:1" x14ac:dyDescent="0.25">
      <c r="A3657" s="66"/>
    </row>
    <row r="3658" spans="1:1" x14ac:dyDescent="0.25">
      <c r="A3658" s="66"/>
    </row>
    <row r="3659" spans="1:1" x14ac:dyDescent="0.25">
      <c r="A3659" s="66"/>
    </row>
    <row r="3660" spans="1:1" x14ac:dyDescent="0.25">
      <c r="A3660" s="66"/>
    </row>
    <row r="3661" spans="1:1" x14ac:dyDescent="0.25">
      <c r="A3661" s="66"/>
    </row>
    <row r="3662" spans="1:1" x14ac:dyDescent="0.25">
      <c r="A3662" s="66"/>
    </row>
    <row r="3663" spans="1:1" x14ac:dyDescent="0.25">
      <c r="A3663" s="66"/>
    </row>
    <row r="3664" spans="1:1" x14ac:dyDescent="0.25">
      <c r="A3664" s="66"/>
    </row>
    <row r="3665" spans="1:1" x14ac:dyDescent="0.25">
      <c r="A3665" s="66"/>
    </row>
    <row r="3666" spans="1:1" x14ac:dyDescent="0.25">
      <c r="A3666" s="66"/>
    </row>
    <row r="3667" spans="1:1" x14ac:dyDescent="0.25">
      <c r="A3667" s="66"/>
    </row>
    <row r="3668" spans="1:1" x14ac:dyDescent="0.25">
      <c r="A3668" s="66"/>
    </row>
    <row r="3669" spans="1:1" x14ac:dyDescent="0.25">
      <c r="A3669" s="66"/>
    </row>
    <row r="3670" spans="1:1" x14ac:dyDescent="0.25">
      <c r="A3670" s="66"/>
    </row>
    <row r="3671" spans="1:1" x14ac:dyDescent="0.25">
      <c r="A3671" s="66"/>
    </row>
    <row r="3672" spans="1:1" x14ac:dyDescent="0.25">
      <c r="A3672" s="66"/>
    </row>
    <row r="3673" spans="1:1" x14ac:dyDescent="0.25">
      <c r="A3673" s="66"/>
    </row>
    <row r="3674" spans="1:1" x14ac:dyDescent="0.25">
      <c r="A3674" s="66"/>
    </row>
    <row r="3675" spans="1:1" x14ac:dyDescent="0.25">
      <c r="A3675" s="66"/>
    </row>
    <row r="3676" spans="1:1" x14ac:dyDescent="0.25">
      <c r="A3676" s="66"/>
    </row>
    <row r="3677" spans="1:1" x14ac:dyDescent="0.25">
      <c r="A3677" s="66"/>
    </row>
    <row r="3678" spans="1:1" x14ac:dyDescent="0.25">
      <c r="A3678" s="66"/>
    </row>
    <row r="3679" spans="1:1" x14ac:dyDescent="0.25">
      <c r="A3679" s="66"/>
    </row>
    <row r="3680" spans="1:1" x14ac:dyDescent="0.25">
      <c r="A3680" s="66"/>
    </row>
    <row r="3681" spans="1:1" x14ac:dyDescent="0.25">
      <c r="A3681" s="66"/>
    </row>
    <row r="3682" spans="1:1" x14ac:dyDescent="0.25">
      <c r="A3682" s="66"/>
    </row>
    <row r="3683" spans="1:1" x14ac:dyDescent="0.25">
      <c r="A3683" s="66"/>
    </row>
    <row r="3684" spans="1:1" x14ac:dyDescent="0.25">
      <c r="A3684" s="66"/>
    </row>
    <row r="3685" spans="1:1" x14ac:dyDescent="0.25">
      <c r="A3685" s="66"/>
    </row>
    <row r="3686" spans="1:1" x14ac:dyDescent="0.25">
      <c r="A3686" s="66"/>
    </row>
    <row r="3687" spans="1:1" x14ac:dyDescent="0.25">
      <c r="A3687" s="66"/>
    </row>
    <row r="3688" spans="1:1" x14ac:dyDescent="0.25">
      <c r="A3688" s="66"/>
    </row>
    <row r="3689" spans="1:1" x14ac:dyDescent="0.25">
      <c r="A3689" s="66"/>
    </row>
    <row r="3690" spans="1:1" x14ac:dyDescent="0.25">
      <c r="A3690" s="66"/>
    </row>
    <row r="3691" spans="1:1" x14ac:dyDescent="0.25">
      <c r="A3691" s="66"/>
    </row>
    <row r="3692" spans="1:1" x14ac:dyDescent="0.25">
      <c r="A3692" s="66"/>
    </row>
    <row r="3693" spans="1:1" x14ac:dyDescent="0.25">
      <c r="A3693" s="66"/>
    </row>
    <row r="3694" spans="1:1" x14ac:dyDescent="0.25">
      <c r="A3694" s="66"/>
    </row>
    <row r="3695" spans="1:1" x14ac:dyDescent="0.25">
      <c r="A3695" s="66"/>
    </row>
    <row r="3696" spans="1:1" x14ac:dyDescent="0.25">
      <c r="A3696" s="66"/>
    </row>
    <row r="3697" spans="1:1" x14ac:dyDescent="0.25">
      <c r="A3697" s="66"/>
    </row>
    <row r="3698" spans="1:1" x14ac:dyDescent="0.25">
      <c r="A3698" s="66"/>
    </row>
    <row r="3699" spans="1:1" x14ac:dyDescent="0.25">
      <c r="A3699" s="66"/>
    </row>
    <row r="3700" spans="1:1" x14ac:dyDescent="0.25">
      <c r="A3700" s="66"/>
    </row>
    <row r="3701" spans="1:1" x14ac:dyDescent="0.25">
      <c r="A3701" s="66"/>
    </row>
    <row r="3702" spans="1:1" x14ac:dyDescent="0.25">
      <c r="A3702" s="66"/>
    </row>
    <row r="3703" spans="1:1" x14ac:dyDescent="0.25">
      <c r="A3703" s="66"/>
    </row>
    <row r="3704" spans="1:1" x14ac:dyDescent="0.25">
      <c r="A3704" s="66"/>
    </row>
    <row r="3705" spans="1:1" x14ac:dyDescent="0.25">
      <c r="A3705" s="66"/>
    </row>
    <row r="3706" spans="1:1" x14ac:dyDescent="0.25">
      <c r="A3706" s="66"/>
    </row>
    <row r="3707" spans="1:1" x14ac:dyDescent="0.25">
      <c r="A3707" s="66"/>
    </row>
    <row r="3708" spans="1:1" x14ac:dyDescent="0.25">
      <c r="A3708" s="66"/>
    </row>
    <row r="3709" spans="1:1" x14ac:dyDescent="0.25">
      <c r="A3709" s="66"/>
    </row>
    <row r="3710" spans="1:1" x14ac:dyDescent="0.25">
      <c r="A3710" s="66"/>
    </row>
    <row r="3711" spans="1:1" x14ac:dyDescent="0.25">
      <c r="A3711" s="66"/>
    </row>
    <row r="3712" spans="1:1" x14ac:dyDescent="0.25">
      <c r="A3712" s="66"/>
    </row>
    <row r="3713" spans="1:1" x14ac:dyDescent="0.25">
      <c r="A3713" s="66"/>
    </row>
    <row r="3714" spans="1:1" x14ac:dyDescent="0.25">
      <c r="A3714" s="66"/>
    </row>
    <row r="3715" spans="1:1" x14ac:dyDescent="0.25">
      <c r="A3715" s="66"/>
    </row>
    <row r="3716" spans="1:1" x14ac:dyDescent="0.25">
      <c r="A3716" s="66"/>
    </row>
    <row r="3717" spans="1:1" x14ac:dyDescent="0.25">
      <c r="A3717" s="66"/>
    </row>
    <row r="3718" spans="1:1" x14ac:dyDescent="0.25">
      <c r="A3718" s="66"/>
    </row>
    <row r="3719" spans="1:1" x14ac:dyDescent="0.25">
      <c r="A3719" s="66"/>
    </row>
    <row r="3720" spans="1:1" x14ac:dyDescent="0.25">
      <c r="A3720" s="66"/>
    </row>
    <row r="3721" spans="1:1" x14ac:dyDescent="0.25">
      <c r="A3721" s="66"/>
    </row>
    <row r="3722" spans="1:1" x14ac:dyDescent="0.25">
      <c r="A3722" s="66"/>
    </row>
    <row r="3723" spans="1:1" x14ac:dyDescent="0.25">
      <c r="A3723" s="66"/>
    </row>
    <row r="3724" spans="1:1" x14ac:dyDescent="0.25">
      <c r="A3724" s="66"/>
    </row>
    <row r="3725" spans="1:1" x14ac:dyDescent="0.25">
      <c r="A3725" s="66"/>
    </row>
    <row r="3726" spans="1:1" x14ac:dyDescent="0.25">
      <c r="A3726" s="66"/>
    </row>
    <row r="3727" spans="1:1" x14ac:dyDescent="0.25">
      <c r="A3727" s="66"/>
    </row>
    <row r="3728" spans="1:1" x14ac:dyDescent="0.25">
      <c r="A3728" s="66"/>
    </row>
    <row r="3729" spans="1:1" x14ac:dyDescent="0.25">
      <c r="A3729" s="66"/>
    </row>
    <row r="3730" spans="1:1" x14ac:dyDescent="0.25">
      <c r="A3730" s="66"/>
    </row>
    <row r="3731" spans="1:1" x14ac:dyDescent="0.25">
      <c r="A3731" s="66"/>
    </row>
    <row r="3732" spans="1:1" x14ac:dyDescent="0.25">
      <c r="A3732" s="66"/>
    </row>
    <row r="3733" spans="1:1" x14ac:dyDescent="0.25">
      <c r="A3733" s="66"/>
    </row>
    <row r="3734" spans="1:1" x14ac:dyDescent="0.25">
      <c r="A3734" s="66"/>
    </row>
    <row r="3735" spans="1:1" x14ac:dyDescent="0.25">
      <c r="A3735" s="66"/>
    </row>
    <row r="3736" spans="1:1" x14ac:dyDescent="0.25">
      <c r="A3736" s="66"/>
    </row>
    <row r="3737" spans="1:1" x14ac:dyDescent="0.25">
      <c r="A3737" s="66"/>
    </row>
    <row r="3738" spans="1:1" x14ac:dyDescent="0.25">
      <c r="A3738" s="66"/>
    </row>
    <row r="3739" spans="1:1" x14ac:dyDescent="0.25">
      <c r="A3739" s="66"/>
    </row>
    <row r="3740" spans="1:1" x14ac:dyDescent="0.25">
      <c r="A3740" s="66"/>
    </row>
    <row r="3741" spans="1:1" x14ac:dyDescent="0.25">
      <c r="A3741" s="66"/>
    </row>
    <row r="3742" spans="1:1" x14ac:dyDescent="0.25">
      <c r="A3742" s="66"/>
    </row>
    <row r="3743" spans="1:1" x14ac:dyDescent="0.25">
      <c r="A3743" s="66"/>
    </row>
    <row r="3744" spans="1:1" x14ac:dyDescent="0.25">
      <c r="A3744" s="66"/>
    </row>
    <row r="3745" spans="1:1" x14ac:dyDescent="0.25">
      <c r="A3745" s="66"/>
    </row>
    <row r="3746" spans="1:1" x14ac:dyDescent="0.25">
      <c r="A3746" s="66"/>
    </row>
    <row r="3747" spans="1:1" x14ac:dyDescent="0.25">
      <c r="A3747" s="66"/>
    </row>
    <row r="3748" spans="1:1" x14ac:dyDescent="0.25">
      <c r="A3748" s="66"/>
    </row>
    <row r="3749" spans="1:1" x14ac:dyDescent="0.25">
      <c r="A3749" s="66"/>
    </row>
    <row r="3750" spans="1:1" x14ac:dyDescent="0.25">
      <c r="A3750" s="66"/>
    </row>
    <row r="3751" spans="1:1" x14ac:dyDescent="0.25">
      <c r="A3751" s="66"/>
    </row>
    <row r="3752" spans="1:1" x14ac:dyDescent="0.25">
      <c r="A3752" s="66"/>
    </row>
    <row r="3753" spans="1:1" x14ac:dyDescent="0.25">
      <c r="A3753" s="66"/>
    </row>
    <row r="3754" spans="1:1" x14ac:dyDescent="0.25">
      <c r="A3754" s="66"/>
    </row>
    <row r="3755" spans="1:1" x14ac:dyDescent="0.25">
      <c r="A3755" s="66"/>
    </row>
    <row r="3756" spans="1:1" x14ac:dyDescent="0.25">
      <c r="A3756" s="66"/>
    </row>
    <row r="3757" spans="1:1" x14ac:dyDescent="0.25">
      <c r="A3757" s="66"/>
    </row>
    <row r="3758" spans="1:1" x14ac:dyDescent="0.25">
      <c r="A3758" s="66"/>
    </row>
    <row r="3759" spans="1:1" x14ac:dyDescent="0.25">
      <c r="A3759" s="66"/>
    </row>
    <row r="3760" spans="1:1" x14ac:dyDescent="0.25">
      <c r="A3760" s="66"/>
    </row>
    <row r="3761" spans="1:1" x14ac:dyDescent="0.25">
      <c r="A3761" s="66"/>
    </row>
    <row r="3762" spans="1:1" x14ac:dyDescent="0.25">
      <c r="A3762" s="66"/>
    </row>
    <row r="3763" spans="1:1" x14ac:dyDescent="0.25">
      <c r="A3763" s="66"/>
    </row>
    <row r="3764" spans="1:1" x14ac:dyDescent="0.25">
      <c r="A3764" s="66"/>
    </row>
    <row r="3765" spans="1:1" x14ac:dyDescent="0.25">
      <c r="A3765" s="66"/>
    </row>
    <row r="3766" spans="1:1" x14ac:dyDescent="0.25">
      <c r="A3766" s="66"/>
    </row>
    <row r="3767" spans="1:1" x14ac:dyDescent="0.25">
      <c r="A3767" s="66"/>
    </row>
    <row r="3768" spans="1:1" x14ac:dyDescent="0.25">
      <c r="A3768" s="66"/>
    </row>
    <row r="3769" spans="1:1" x14ac:dyDescent="0.25">
      <c r="A3769" s="66"/>
    </row>
    <row r="3770" spans="1:1" x14ac:dyDescent="0.25">
      <c r="A3770" s="66"/>
    </row>
    <row r="3771" spans="1:1" x14ac:dyDescent="0.25">
      <c r="A3771" s="66"/>
    </row>
    <row r="3772" spans="1:1" x14ac:dyDescent="0.25">
      <c r="A3772" s="66"/>
    </row>
    <row r="3773" spans="1:1" x14ac:dyDescent="0.25">
      <c r="A3773" s="66"/>
    </row>
    <row r="3774" spans="1:1" x14ac:dyDescent="0.25">
      <c r="A3774" s="66"/>
    </row>
    <row r="3775" spans="1:1" x14ac:dyDescent="0.25">
      <c r="A3775" s="66"/>
    </row>
    <row r="3776" spans="1:1" x14ac:dyDescent="0.25">
      <c r="A3776" s="66"/>
    </row>
    <row r="3777" spans="1:1" x14ac:dyDescent="0.25">
      <c r="A3777" s="66"/>
    </row>
    <row r="3778" spans="1:1" x14ac:dyDescent="0.25">
      <c r="A3778" s="66"/>
    </row>
    <row r="3779" spans="1:1" x14ac:dyDescent="0.25">
      <c r="A3779" s="66"/>
    </row>
    <row r="3780" spans="1:1" x14ac:dyDescent="0.25">
      <c r="A3780" s="66"/>
    </row>
    <row r="3781" spans="1:1" x14ac:dyDescent="0.25">
      <c r="A3781" s="66"/>
    </row>
    <row r="3782" spans="1:1" x14ac:dyDescent="0.25">
      <c r="A3782" s="66"/>
    </row>
    <row r="3783" spans="1:1" x14ac:dyDescent="0.25">
      <c r="A3783" s="66"/>
    </row>
    <row r="3784" spans="1:1" x14ac:dyDescent="0.25">
      <c r="A3784" s="66"/>
    </row>
    <row r="3785" spans="1:1" x14ac:dyDescent="0.25">
      <c r="A3785" s="66"/>
    </row>
    <row r="3786" spans="1:1" x14ac:dyDescent="0.25">
      <c r="A3786" s="66"/>
    </row>
    <row r="3787" spans="1:1" x14ac:dyDescent="0.25">
      <c r="A3787" s="66"/>
    </row>
    <row r="3788" spans="1:1" x14ac:dyDescent="0.25">
      <c r="A3788" s="66"/>
    </row>
    <row r="3789" spans="1:1" x14ac:dyDescent="0.25">
      <c r="A3789" s="66"/>
    </row>
    <row r="3790" spans="1:1" x14ac:dyDescent="0.25">
      <c r="A3790" s="66"/>
    </row>
    <row r="3791" spans="1:1" x14ac:dyDescent="0.25">
      <c r="A3791" s="66"/>
    </row>
    <row r="3792" spans="1:1" x14ac:dyDescent="0.25">
      <c r="A3792" s="66"/>
    </row>
    <row r="3793" spans="1:1" x14ac:dyDescent="0.25">
      <c r="A3793" s="66"/>
    </row>
    <row r="3794" spans="1:1" x14ac:dyDescent="0.25">
      <c r="A3794" s="66"/>
    </row>
    <row r="3795" spans="1:1" x14ac:dyDescent="0.25">
      <c r="A3795" s="66"/>
    </row>
    <row r="3796" spans="1:1" x14ac:dyDescent="0.25">
      <c r="A3796" s="66"/>
    </row>
    <row r="3797" spans="1:1" x14ac:dyDescent="0.25">
      <c r="A3797" s="66"/>
    </row>
    <row r="3798" spans="1:1" x14ac:dyDescent="0.25">
      <c r="A3798" s="66"/>
    </row>
    <row r="3799" spans="1:1" x14ac:dyDescent="0.25">
      <c r="A3799" s="66"/>
    </row>
    <row r="3800" spans="1:1" x14ac:dyDescent="0.25">
      <c r="A3800" s="66"/>
    </row>
    <row r="3801" spans="1:1" x14ac:dyDescent="0.25">
      <c r="A3801" s="66"/>
    </row>
    <row r="3802" spans="1:1" x14ac:dyDescent="0.25">
      <c r="A3802" s="66"/>
    </row>
    <row r="3803" spans="1:1" x14ac:dyDescent="0.25">
      <c r="A3803" s="66"/>
    </row>
    <row r="3804" spans="1:1" x14ac:dyDescent="0.25">
      <c r="A3804" s="66"/>
    </row>
    <row r="3805" spans="1:1" x14ac:dyDescent="0.25">
      <c r="A3805" s="66"/>
    </row>
    <row r="3806" spans="1:1" x14ac:dyDescent="0.25">
      <c r="A3806" s="66"/>
    </row>
    <row r="3807" spans="1:1" x14ac:dyDescent="0.25">
      <c r="A3807" s="66"/>
    </row>
    <row r="3808" spans="1:1" x14ac:dyDescent="0.25">
      <c r="A3808" s="66"/>
    </row>
    <row r="3809" spans="1:1" x14ac:dyDescent="0.25">
      <c r="A3809" s="66"/>
    </row>
    <row r="3810" spans="1:1" x14ac:dyDescent="0.25">
      <c r="A3810" s="66"/>
    </row>
    <row r="3811" spans="1:1" x14ac:dyDescent="0.25">
      <c r="A3811" s="66"/>
    </row>
    <row r="3812" spans="1:1" x14ac:dyDescent="0.25">
      <c r="A3812" s="66"/>
    </row>
    <row r="3813" spans="1:1" x14ac:dyDescent="0.25">
      <c r="A3813" s="66"/>
    </row>
    <row r="3814" spans="1:1" x14ac:dyDescent="0.25">
      <c r="A3814" s="66"/>
    </row>
    <row r="3815" spans="1:1" x14ac:dyDescent="0.25">
      <c r="A3815" s="66"/>
    </row>
    <row r="3816" spans="1:1" x14ac:dyDescent="0.25">
      <c r="A3816" s="66"/>
    </row>
    <row r="3817" spans="1:1" x14ac:dyDescent="0.25">
      <c r="A3817" s="66"/>
    </row>
    <row r="3818" spans="1:1" x14ac:dyDescent="0.25">
      <c r="A3818" s="66"/>
    </row>
    <row r="3819" spans="1:1" x14ac:dyDescent="0.25">
      <c r="A3819" s="66"/>
    </row>
    <row r="3820" spans="1:1" x14ac:dyDescent="0.25">
      <c r="A3820" s="66"/>
    </row>
    <row r="3821" spans="1:1" x14ac:dyDescent="0.25">
      <c r="A3821" s="66"/>
    </row>
    <row r="3822" spans="1:1" x14ac:dyDescent="0.25">
      <c r="A3822" s="66"/>
    </row>
    <row r="3823" spans="1:1" x14ac:dyDescent="0.25">
      <c r="A3823" s="66"/>
    </row>
    <row r="3824" spans="1:1" x14ac:dyDescent="0.25">
      <c r="A3824" s="66"/>
    </row>
    <row r="3825" spans="1:1" x14ac:dyDescent="0.25">
      <c r="A3825" s="66"/>
    </row>
    <row r="3826" spans="1:1" x14ac:dyDescent="0.25">
      <c r="A3826" s="66"/>
    </row>
    <row r="3827" spans="1:1" x14ac:dyDescent="0.25">
      <c r="A3827" s="66"/>
    </row>
    <row r="3828" spans="1:1" x14ac:dyDescent="0.25">
      <c r="A3828" s="66"/>
    </row>
    <row r="3829" spans="1:1" x14ac:dyDescent="0.25">
      <c r="A3829" s="66"/>
    </row>
    <row r="3830" spans="1:1" x14ac:dyDescent="0.25">
      <c r="A3830" s="66"/>
    </row>
    <row r="3831" spans="1:1" x14ac:dyDescent="0.25">
      <c r="A3831" s="66"/>
    </row>
    <row r="3832" spans="1:1" x14ac:dyDescent="0.25">
      <c r="A3832" s="66"/>
    </row>
    <row r="3833" spans="1:1" x14ac:dyDescent="0.25">
      <c r="A3833" s="66"/>
    </row>
    <row r="3834" spans="1:1" x14ac:dyDescent="0.25">
      <c r="A3834" s="66"/>
    </row>
    <row r="3835" spans="1:1" x14ac:dyDescent="0.25">
      <c r="A3835" s="66"/>
    </row>
    <row r="3836" spans="1:1" x14ac:dyDescent="0.25">
      <c r="A3836" s="66"/>
    </row>
    <row r="3837" spans="1:1" x14ac:dyDescent="0.25">
      <c r="A3837" s="66"/>
    </row>
    <row r="3838" spans="1:1" x14ac:dyDescent="0.25">
      <c r="A3838" s="66"/>
    </row>
    <row r="3839" spans="1:1" x14ac:dyDescent="0.25">
      <c r="A3839" s="66"/>
    </row>
    <row r="3840" spans="1:1" x14ac:dyDescent="0.25">
      <c r="A3840" s="66"/>
    </row>
    <row r="3841" spans="1:1" x14ac:dyDescent="0.25">
      <c r="A3841" s="66"/>
    </row>
    <row r="3842" spans="1:1" x14ac:dyDescent="0.25">
      <c r="A3842" s="66"/>
    </row>
    <row r="3843" spans="1:1" x14ac:dyDescent="0.25">
      <c r="A3843" s="66"/>
    </row>
    <row r="3844" spans="1:1" x14ac:dyDescent="0.25">
      <c r="A3844" s="66"/>
    </row>
    <row r="3845" spans="1:1" x14ac:dyDescent="0.25">
      <c r="A3845" s="66"/>
    </row>
    <row r="3846" spans="1:1" x14ac:dyDescent="0.25">
      <c r="A3846" s="66"/>
    </row>
    <row r="3847" spans="1:1" x14ac:dyDescent="0.25">
      <c r="A3847" s="66"/>
    </row>
    <row r="3848" spans="1:1" x14ac:dyDescent="0.25">
      <c r="A3848" s="66"/>
    </row>
    <row r="3849" spans="1:1" x14ac:dyDescent="0.25">
      <c r="A3849" s="66"/>
    </row>
    <row r="3850" spans="1:1" x14ac:dyDescent="0.25">
      <c r="A3850" s="66"/>
    </row>
    <row r="3851" spans="1:1" x14ac:dyDescent="0.25">
      <c r="A3851" s="66"/>
    </row>
    <row r="3852" spans="1:1" x14ac:dyDescent="0.25">
      <c r="A3852" s="66"/>
    </row>
    <row r="3853" spans="1:1" x14ac:dyDescent="0.25">
      <c r="A3853" s="66"/>
    </row>
    <row r="3854" spans="1:1" x14ac:dyDescent="0.25">
      <c r="A3854" s="66"/>
    </row>
    <row r="3855" spans="1:1" x14ac:dyDescent="0.25">
      <c r="A3855" s="66"/>
    </row>
    <row r="3856" spans="1:1" x14ac:dyDescent="0.25">
      <c r="A3856" s="66"/>
    </row>
    <row r="3857" spans="1:1" x14ac:dyDescent="0.25">
      <c r="A3857" s="66"/>
    </row>
    <row r="3858" spans="1:1" x14ac:dyDescent="0.25">
      <c r="A3858" s="66"/>
    </row>
    <row r="3859" spans="1:1" x14ac:dyDescent="0.25">
      <c r="A3859" s="66"/>
    </row>
    <row r="3860" spans="1:1" x14ac:dyDescent="0.25">
      <c r="A3860" s="66"/>
    </row>
    <row r="3861" spans="1:1" x14ac:dyDescent="0.25">
      <c r="A3861" s="66"/>
    </row>
    <row r="3862" spans="1:1" x14ac:dyDescent="0.25">
      <c r="A3862" s="66"/>
    </row>
    <row r="3863" spans="1:1" x14ac:dyDescent="0.25">
      <c r="A3863" s="66"/>
    </row>
    <row r="3864" spans="1:1" x14ac:dyDescent="0.25">
      <c r="A3864" s="66"/>
    </row>
    <row r="3865" spans="1:1" x14ac:dyDescent="0.25">
      <c r="A3865" s="66"/>
    </row>
    <row r="3866" spans="1:1" x14ac:dyDescent="0.25">
      <c r="A3866" s="66"/>
    </row>
    <row r="3867" spans="1:1" x14ac:dyDescent="0.25">
      <c r="A3867" s="66"/>
    </row>
    <row r="3868" spans="1:1" x14ac:dyDescent="0.25">
      <c r="A3868" s="66"/>
    </row>
    <row r="3869" spans="1:1" x14ac:dyDescent="0.25">
      <c r="A3869" s="66"/>
    </row>
    <row r="3870" spans="1:1" x14ac:dyDescent="0.25">
      <c r="A3870" s="66"/>
    </row>
    <row r="3871" spans="1:1" x14ac:dyDescent="0.25">
      <c r="A3871" s="66"/>
    </row>
    <row r="3872" spans="1:1" x14ac:dyDescent="0.25">
      <c r="A3872" s="66"/>
    </row>
    <row r="3873" spans="1:1" x14ac:dyDescent="0.25">
      <c r="A3873" s="66"/>
    </row>
    <row r="3874" spans="1:1" x14ac:dyDescent="0.25">
      <c r="A3874" s="66"/>
    </row>
    <row r="3875" spans="1:1" x14ac:dyDescent="0.25">
      <c r="A3875" s="66"/>
    </row>
    <row r="3876" spans="1:1" x14ac:dyDescent="0.25">
      <c r="A3876" s="66"/>
    </row>
    <row r="3877" spans="1:1" x14ac:dyDescent="0.25">
      <c r="A3877" s="66"/>
    </row>
    <row r="3878" spans="1:1" x14ac:dyDescent="0.25">
      <c r="A3878" s="66"/>
    </row>
    <row r="3879" spans="1:1" x14ac:dyDescent="0.25">
      <c r="A3879" s="66"/>
    </row>
    <row r="3880" spans="1:1" x14ac:dyDescent="0.25">
      <c r="A3880" s="66"/>
    </row>
    <row r="3881" spans="1:1" x14ac:dyDescent="0.25">
      <c r="A3881" s="66"/>
    </row>
    <row r="3882" spans="1:1" x14ac:dyDescent="0.25">
      <c r="A3882" s="66"/>
    </row>
    <row r="3883" spans="1:1" x14ac:dyDescent="0.25">
      <c r="A3883" s="66"/>
    </row>
    <row r="3884" spans="1:1" x14ac:dyDescent="0.25">
      <c r="A3884" s="66"/>
    </row>
    <row r="3885" spans="1:1" x14ac:dyDescent="0.25">
      <c r="A3885" s="66"/>
    </row>
    <row r="3886" spans="1:1" x14ac:dyDescent="0.25">
      <c r="A3886" s="66"/>
    </row>
    <row r="3887" spans="1:1" x14ac:dyDescent="0.25">
      <c r="A3887" s="66"/>
    </row>
    <row r="3888" spans="1:1" x14ac:dyDescent="0.25">
      <c r="A3888" s="66"/>
    </row>
    <row r="3889" spans="1:1" x14ac:dyDescent="0.25">
      <c r="A3889" s="66"/>
    </row>
    <row r="3890" spans="1:1" x14ac:dyDescent="0.25">
      <c r="A3890" s="66"/>
    </row>
    <row r="3891" spans="1:1" x14ac:dyDescent="0.25">
      <c r="A3891" s="66"/>
    </row>
    <row r="3892" spans="1:1" x14ac:dyDescent="0.25">
      <c r="A3892" s="66"/>
    </row>
    <row r="3893" spans="1:1" x14ac:dyDescent="0.25">
      <c r="A3893" s="66"/>
    </row>
    <row r="3894" spans="1:1" x14ac:dyDescent="0.25">
      <c r="A3894" s="66"/>
    </row>
    <row r="3895" spans="1:1" x14ac:dyDescent="0.25">
      <c r="A3895" s="66"/>
    </row>
    <row r="3896" spans="1:1" x14ac:dyDescent="0.25">
      <c r="A3896" s="66"/>
    </row>
    <row r="3897" spans="1:1" x14ac:dyDescent="0.25">
      <c r="A3897" s="66"/>
    </row>
    <row r="3898" spans="1:1" x14ac:dyDescent="0.25">
      <c r="A3898" s="66"/>
    </row>
    <row r="3899" spans="1:1" x14ac:dyDescent="0.25">
      <c r="A3899" s="66"/>
    </row>
    <row r="3900" spans="1:1" x14ac:dyDescent="0.25">
      <c r="A3900" s="66"/>
    </row>
    <row r="3901" spans="1:1" x14ac:dyDescent="0.25">
      <c r="A3901" s="66"/>
    </row>
    <row r="3902" spans="1:1" x14ac:dyDescent="0.25">
      <c r="A3902" s="66"/>
    </row>
    <row r="3903" spans="1:1" x14ac:dyDescent="0.25">
      <c r="A3903" s="66"/>
    </row>
    <row r="3904" spans="1:1" x14ac:dyDescent="0.25">
      <c r="A3904" s="66"/>
    </row>
    <row r="3905" spans="1:1" x14ac:dyDescent="0.25">
      <c r="A3905" s="66"/>
    </row>
    <row r="3906" spans="1:1" x14ac:dyDescent="0.25">
      <c r="A3906" s="66"/>
    </row>
    <row r="3907" spans="1:1" x14ac:dyDescent="0.25">
      <c r="A3907" s="66"/>
    </row>
    <row r="3908" spans="1:1" x14ac:dyDescent="0.25">
      <c r="A3908" s="66"/>
    </row>
    <row r="3909" spans="1:1" x14ac:dyDescent="0.25">
      <c r="A3909" s="66"/>
    </row>
    <row r="3910" spans="1:1" x14ac:dyDescent="0.25">
      <c r="A3910" s="66"/>
    </row>
    <row r="3911" spans="1:1" x14ac:dyDescent="0.25">
      <c r="A3911" s="66"/>
    </row>
    <row r="3912" spans="1:1" x14ac:dyDescent="0.25">
      <c r="A3912" s="66"/>
    </row>
    <row r="3913" spans="1:1" x14ac:dyDescent="0.25">
      <c r="A3913" s="66"/>
    </row>
    <row r="3914" spans="1:1" x14ac:dyDescent="0.25">
      <c r="A3914" s="66"/>
    </row>
    <row r="3915" spans="1:1" x14ac:dyDescent="0.25">
      <c r="A3915" s="66"/>
    </row>
    <row r="3916" spans="1:1" x14ac:dyDescent="0.25">
      <c r="A3916" s="66"/>
    </row>
    <row r="3917" spans="1:1" x14ac:dyDescent="0.25">
      <c r="A3917" s="66"/>
    </row>
    <row r="3918" spans="1:1" x14ac:dyDescent="0.25">
      <c r="A3918" s="66"/>
    </row>
    <row r="3919" spans="1:1" x14ac:dyDescent="0.25">
      <c r="A3919" s="66"/>
    </row>
    <row r="3920" spans="1:1" x14ac:dyDescent="0.25">
      <c r="A3920" s="66"/>
    </row>
    <row r="3921" spans="1:1" x14ac:dyDescent="0.25">
      <c r="A3921" s="66"/>
    </row>
    <row r="3922" spans="1:1" x14ac:dyDescent="0.25">
      <c r="A3922" s="66"/>
    </row>
    <row r="3923" spans="1:1" x14ac:dyDescent="0.25">
      <c r="A3923" s="66"/>
    </row>
    <row r="3924" spans="1:1" x14ac:dyDescent="0.25">
      <c r="A3924" s="66"/>
    </row>
    <row r="3925" spans="1:1" x14ac:dyDescent="0.25">
      <c r="A3925" s="66"/>
    </row>
    <row r="3926" spans="1:1" x14ac:dyDescent="0.25">
      <c r="A3926" s="66"/>
    </row>
    <row r="3927" spans="1:1" x14ac:dyDescent="0.25">
      <c r="A3927" s="66"/>
    </row>
    <row r="3928" spans="1:1" x14ac:dyDescent="0.25">
      <c r="A3928" s="66"/>
    </row>
    <row r="3929" spans="1:1" x14ac:dyDescent="0.25">
      <c r="A3929" s="66"/>
    </row>
    <row r="3930" spans="1:1" x14ac:dyDescent="0.25">
      <c r="A3930" s="66"/>
    </row>
    <row r="3931" spans="1:1" x14ac:dyDescent="0.25">
      <c r="A3931" s="66"/>
    </row>
    <row r="3932" spans="1:1" x14ac:dyDescent="0.25">
      <c r="A3932" s="66"/>
    </row>
    <row r="3933" spans="1:1" x14ac:dyDescent="0.25">
      <c r="A3933" s="66"/>
    </row>
    <row r="3934" spans="1:1" x14ac:dyDescent="0.25">
      <c r="A3934" s="66"/>
    </row>
    <row r="3935" spans="1:1" x14ac:dyDescent="0.25">
      <c r="A3935" s="66"/>
    </row>
    <row r="3936" spans="1:1" x14ac:dyDescent="0.25">
      <c r="A3936" s="66"/>
    </row>
    <row r="3937" spans="1:1" x14ac:dyDescent="0.25">
      <c r="A3937" s="66"/>
    </row>
    <row r="3938" spans="1:1" x14ac:dyDescent="0.25">
      <c r="A3938" s="66"/>
    </row>
    <row r="3939" spans="1:1" x14ac:dyDescent="0.25">
      <c r="A3939" s="66"/>
    </row>
    <row r="3940" spans="1:1" x14ac:dyDescent="0.25">
      <c r="A3940" s="66"/>
    </row>
    <row r="3941" spans="1:1" x14ac:dyDescent="0.25">
      <c r="A3941" s="66"/>
    </row>
    <row r="3942" spans="1:1" x14ac:dyDescent="0.25">
      <c r="A3942" s="66"/>
    </row>
    <row r="3943" spans="1:1" x14ac:dyDescent="0.25">
      <c r="A3943" s="66"/>
    </row>
    <row r="3944" spans="1:1" x14ac:dyDescent="0.25">
      <c r="A3944" s="66"/>
    </row>
    <row r="3945" spans="1:1" x14ac:dyDescent="0.25">
      <c r="A3945" s="66"/>
    </row>
    <row r="3946" spans="1:1" x14ac:dyDescent="0.25">
      <c r="A3946" s="66"/>
    </row>
    <row r="3947" spans="1:1" x14ac:dyDescent="0.25">
      <c r="A3947" s="66"/>
    </row>
    <row r="3948" spans="1:1" x14ac:dyDescent="0.25">
      <c r="A3948" s="66"/>
    </row>
    <row r="3949" spans="1:1" x14ac:dyDescent="0.25">
      <c r="A3949" s="66"/>
    </row>
    <row r="3950" spans="1:1" x14ac:dyDescent="0.25">
      <c r="A3950" s="66"/>
    </row>
    <row r="3951" spans="1:1" x14ac:dyDescent="0.25">
      <c r="A3951" s="66"/>
    </row>
    <row r="3952" spans="1:1" x14ac:dyDescent="0.25">
      <c r="A3952" s="66"/>
    </row>
    <row r="3953" spans="1:1" x14ac:dyDescent="0.25">
      <c r="A3953" s="66"/>
    </row>
    <row r="3954" spans="1:1" x14ac:dyDescent="0.25">
      <c r="A3954" s="66"/>
    </row>
    <row r="3955" spans="1:1" x14ac:dyDescent="0.25">
      <c r="A3955" s="66"/>
    </row>
    <row r="3956" spans="1:1" x14ac:dyDescent="0.25">
      <c r="A3956" s="66"/>
    </row>
    <row r="3957" spans="1:1" x14ac:dyDescent="0.25">
      <c r="A3957" s="66"/>
    </row>
    <row r="3958" spans="1:1" x14ac:dyDescent="0.25">
      <c r="A3958" s="66"/>
    </row>
    <row r="3959" spans="1:1" x14ac:dyDescent="0.25">
      <c r="A3959" s="66"/>
    </row>
    <row r="3960" spans="1:1" x14ac:dyDescent="0.25">
      <c r="A3960" s="66"/>
    </row>
    <row r="3961" spans="1:1" x14ac:dyDescent="0.25">
      <c r="A3961" s="66"/>
    </row>
    <row r="3962" spans="1:1" x14ac:dyDescent="0.25">
      <c r="A3962" s="66"/>
    </row>
    <row r="3963" spans="1:1" x14ac:dyDescent="0.25">
      <c r="A3963" s="66"/>
    </row>
    <row r="3964" spans="1:1" x14ac:dyDescent="0.25">
      <c r="A3964" s="66"/>
    </row>
    <row r="3965" spans="1:1" x14ac:dyDescent="0.25">
      <c r="A3965" s="66"/>
    </row>
    <row r="3966" spans="1:1" x14ac:dyDescent="0.25">
      <c r="A3966" s="66"/>
    </row>
    <row r="3967" spans="1:1" x14ac:dyDescent="0.25">
      <c r="A3967" s="66"/>
    </row>
    <row r="3968" spans="1:1" x14ac:dyDescent="0.25">
      <c r="A3968" s="66"/>
    </row>
    <row r="3969" spans="1:1" x14ac:dyDescent="0.25">
      <c r="A3969" s="66"/>
    </row>
    <row r="3970" spans="1:1" x14ac:dyDescent="0.25">
      <c r="A3970" s="66"/>
    </row>
    <row r="3971" spans="1:1" x14ac:dyDescent="0.25">
      <c r="A3971" s="66"/>
    </row>
    <row r="3972" spans="1:1" x14ac:dyDescent="0.25">
      <c r="A3972" s="66"/>
    </row>
    <row r="3973" spans="1:1" x14ac:dyDescent="0.25">
      <c r="A3973" s="66"/>
    </row>
    <row r="3974" spans="1:1" x14ac:dyDescent="0.25">
      <c r="A3974" s="66"/>
    </row>
    <row r="3975" spans="1:1" x14ac:dyDescent="0.25">
      <c r="A3975" s="66"/>
    </row>
    <row r="3976" spans="1:1" x14ac:dyDescent="0.25">
      <c r="A3976" s="66"/>
    </row>
    <row r="3977" spans="1:1" x14ac:dyDescent="0.25">
      <c r="A3977" s="66"/>
    </row>
    <row r="3978" spans="1:1" x14ac:dyDescent="0.25">
      <c r="A3978" s="66"/>
    </row>
    <row r="3979" spans="1:1" x14ac:dyDescent="0.25">
      <c r="A3979" s="66"/>
    </row>
    <row r="3980" spans="1:1" x14ac:dyDescent="0.25">
      <c r="A3980" s="66"/>
    </row>
    <row r="3981" spans="1:1" x14ac:dyDescent="0.25">
      <c r="A3981" s="66"/>
    </row>
    <row r="3982" spans="1:1" x14ac:dyDescent="0.25">
      <c r="A3982" s="66"/>
    </row>
    <row r="3983" spans="1:1" x14ac:dyDescent="0.25">
      <c r="A3983" s="66"/>
    </row>
    <row r="3984" spans="1:1" x14ac:dyDescent="0.25">
      <c r="A3984" s="66"/>
    </row>
    <row r="3985" spans="1:1" x14ac:dyDescent="0.25">
      <c r="A3985" s="66"/>
    </row>
    <row r="3986" spans="1:1" x14ac:dyDescent="0.25">
      <c r="A3986" s="66"/>
    </row>
    <row r="3987" spans="1:1" x14ac:dyDescent="0.25">
      <c r="A3987" s="66"/>
    </row>
    <row r="3988" spans="1:1" x14ac:dyDescent="0.25">
      <c r="A3988" s="66"/>
    </row>
    <row r="3989" spans="1:1" x14ac:dyDescent="0.25">
      <c r="A3989" s="66"/>
    </row>
    <row r="3990" spans="1:1" x14ac:dyDescent="0.25">
      <c r="A3990" s="66"/>
    </row>
    <row r="3991" spans="1:1" x14ac:dyDescent="0.25">
      <c r="A3991" s="66"/>
    </row>
    <row r="3992" spans="1:1" x14ac:dyDescent="0.25">
      <c r="A3992" s="66"/>
    </row>
    <row r="3993" spans="1:1" x14ac:dyDescent="0.25">
      <c r="A3993" s="66"/>
    </row>
    <row r="3994" spans="1:1" x14ac:dyDescent="0.25">
      <c r="A3994" s="66"/>
    </row>
    <row r="3995" spans="1:1" x14ac:dyDescent="0.25">
      <c r="A3995" s="66"/>
    </row>
    <row r="3996" spans="1:1" x14ac:dyDescent="0.25">
      <c r="A3996" s="66"/>
    </row>
    <row r="3997" spans="1:1" x14ac:dyDescent="0.25">
      <c r="A3997" s="66"/>
    </row>
    <row r="3998" spans="1:1" x14ac:dyDescent="0.25">
      <c r="A3998" s="66"/>
    </row>
    <row r="3999" spans="1:1" x14ac:dyDescent="0.25">
      <c r="A3999" s="66"/>
    </row>
    <row r="4000" spans="1:1" x14ac:dyDescent="0.25">
      <c r="A4000" s="66"/>
    </row>
    <row r="4001" spans="1:1" x14ac:dyDescent="0.25">
      <c r="A4001" s="66"/>
    </row>
    <row r="4002" spans="1:1" x14ac:dyDescent="0.25">
      <c r="A4002" s="66"/>
    </row>
    <row r="4003" spans="1:1" x14ac:dyDescent="0.25">
      <c r="A4003" s="66"/>
    </row>
    <row r="4004" spans="1:1" x14ac:dyDescent="0.25">
      <c r="A4004" s="66"/>
    </row>
    <row r="4005" spans="1:1" x14ac:dyDescent="0.25">
      <c r="A4005" s="66"/>
    </row>
    <row r="4006" spans="1:1" x14ac:dyDescent="0.25">
      <c r="A4006" s="66"/>
    </row>
    <row r="4007" spans="1:1" x14ac:dyDescent="0.25">
      <c r="A4007" s="66"/>
    </row>
    <row r="4008" spans="1:1" x14ac:dyDescent="0.25">
      <c r="A4008" s="66"/>
    </row>
    <row r="4009" spans="1:1" x14ac:dyDescent="0.25">
      <c r="A4009" s="66"/>
    </row>
    <row r="4010" spans="1:1" x14ac:dyDescent="0.25">
      <c r="A4010" s="66"/>
    </row>
    <row r="4011" spans="1:1" x14ac:dyDescent="0.25">
      <c r="A4011" s="66"/>
    </row>
    <row r="4012" spans="1:1" x14ac:dyDescent="0.25">
      <c r="A4012" s="66"/>
    </row>
    <row r="4013" spans="1:1" x14ac:dyDescent="0.25">
      <c r="A4013" s="66"/>
    </row>
    <row r="4014" spans="1:1" x14ac:dyDescent="0.25">
      <c r="A4014" s="66"/>
    </row>
    <row r="4015" spans="1:1" x14ac:dyDescent="0.25">
      <c r="A4015" s="66"/>
    </row>
    <row r="4016" spans="1:1" x14ac:dyDescent="0.25">
      <c r="A4016" s="66"/>
    </row>
    <row r="4017" spans="1:1" x14ac:dyDescent="0.25">
      <c r="A4017" s="66"/>
    </row>
    <row r="4018" spans="1:1" x14ac:dyDescent="0.25">
      <c r="A4018" s="66"/>
    </row>
    <row r="4019" spans="1:1" x14ac:dyDescent="0.25">
      <c r="A4019" s="66"/>
    </row>
    <row r="4020" spans="1:1" x14ac:dyDescent="0.25">
      <c r="A4020" s="66"/>
    </row>
    <row r="4021" spans="1:1" x14ac:dyDescent="0.25">
      <c r="A4021" s="66"/>
    </row>
    <row r="4022" spans="1:1" x14ac:dyDescent="0.25">
      <c r="A4022" s="66"/>
    </row>
    <row r="4023" spans="1:1" x14ac:dyDescent="0.25">
      <c r="A4023" s="66"/>
    </row>
    <row r="4024" spans="1:1" x14ac:dyDescent="0.25">
      <c r="A4024" s="66"/>
    </row>
    <row r="4025" spans="1:1" x14ac:dyDescent="0.25">
      <c r="A4025" s="66"/>
    </row>
    <row r="4026" spans="1:1" x14ac:dyDescent="0.25">
      <c r="A4026" s="66"/>
    </row>
    <row r="4027" spans="1:1" x14ac:dyDescent="0.25">
      <c r="A4027" s="66"/>
    </row>
    <row r="4028" spans="1:1" x14ac:dyDescent="0.25">
      <c r="A4028" s="66"/>
    </row>
    <row r="4029" spans="1:1" x14ac:dyDescent="0.25">
      <c r="A4029" s="66"/>
    </row>
    <row r="4030" spans="1:1" x14ac:dyDescent="0.25">
      <c r="A4030" s="66"/>
    </row>
    <row r="4031" spans="1:1" x14ac:dyDescent="0.25">
      <c r="A4031" s="66"/>
    </row>
    <row r="4032" spans="1:1" x14ac:dyDescent="0.25">
      <c r="A4032" s="66"/>
    </row>
    <row r="4033" spans="1:1" x14ac:dyDescent="0.25">
      <c r="A4033" s="66"/>
    </row>
    <row r="4034" spans="1:1" x14ac:dyDescent="0.25">
      <c r="A4034" s="66"/>
    </row>
    <row r="4035" spans="1:1" x14ac:dyDescent="0.25">
      <c r="A4035" s="66"/>
    </row>
    <row r="4036" spans="1:1" x14ac:dyDescent="0.25">
      <c r="A4036" s="66"/>
    </row>
    <row r="4037" spans="1:1" x14ac:dyDescent="0.25">
      <c r="A4037" s="66"/>
    </row>
    <row r="4038" spans="1:1" x14ac:dyDescent="0.25">
      <c r="A4038" s="66"/>
    </row>
    <row r="4039" spans="1:1" x14ac:dyDescent="0.25">
      <c r="A4039" s="66"/>
    </row>
    <row r="4040" spans="1:1" x14ac:dyDescent="0.25">
      <c r="A4040" s="66"/>
    </row>
    <row r="4041" spans="1:1" x14ac:dyDescent="0.25">
      <c r="A4041" s="66"/>
    </row>
    <row r="4042" spans="1:1" x14ac:dyDescent="0.25">
      <c r="A4042" s="66"/>
    </row>
    <row r="4043" spans="1:1" x14ac:dyDescent="0.25">
      <c r="A4043" s="66"/>
    </row>
    <row r="4044" spans="1:1" x14ac:dyDescent="0.25">
      <c r="A4044" s="66"/>
    </row>
    <row r="4045" spans="1:1" x14ac:dyDescent="0.25">
      <c r="A4045" s="66"/>
    </row>
    <row r="4046" spans="1:1" x14ac:dyDescent="0.25">
      <c r="A4046" s="66"/>
    </row>
    <row r="4047" spans="1:1" x14ac:dyDescent="0.25">
      <c r="A4047" s="66"/>
    </row>
    <row r="4048" spans="1:1" x14ac:dyDescent="0.25">
      <c r="A4048" s="66"/>
    </row>
    <row r="4049" spans="1:1" x14ac:dyDescent="0.25">
      <c r="A4049" s="66"/>
    </row>
    <row r="4050" spans="1:1" x14ac:dyDescent="0.25">
      <c r="A4050" s="66"/>
    </row>
    <row r="4051" spans="1:1" x14ac:dyDescent="0.25">
      <c r="A4051" s="66"/>
    </row>
    <row r="4052" spans="1:1" x14ac:dyDescent="0.25">
      <c r="A4052" s="66"/>
    </row>
    <row r="4053" spans="1:1" x14ac:dyDescent="0.25">
      <c r="A4053" s="66"/>
    </row>
    <row r="4054" spans="1:1" x14ac:dyDescent="0.25">
      <c r="A4054" s="66"/>
    </row>
    <row r="4055" spans="1:1" x14ac:dyDescent="0.25">
      <c r="A4055" s="66"/>
    </row>
    <row r="4056" spans="1:1" x14ac:dyDescent="0.25">
      <c r="A4056" s="66"/>
    </row>
    <row r="4057" spans="1:1" x14ac:dyDescent="0.25">
      <c r="A4057" s="66"/>
    </row>
    <row r="4058" spans="1:1" x14ac:dyDescent="0.25">
      <c r="A4058" s="66"/>
    </row>
    <row r="4059" spans="1:1" x14ac:dyDescent="0.25">
      <c r="A4059" s="66"/>
    </row>
    <row r="4060" spans="1:1" x14ac:dyDescent="0.25">
      <c r="A4060" s="66"/>
    </row>
    <row r="4061" spans="1:1" x14ac:dyDescent="0.25">
      <c r="A4061" s="66"/>
    </row>
    <row r="4062" spans="1:1" x14ac:dyDescent="0.25">
      <c r="A4062" s="66"/>
    </row>
    <row r="4063" spans="1:1" x14ac:dyDescent="0.25">
      <c r="A4063" s="66"/>
    </row>
    <row r="4064" spans="1:1" x14ac:dyDescent="0.25">
      <c r="A4064" s="66"/>
    </row>
    <row r="4065" spans="1:1" x14ac:dyDescent="0.25">
      <c r="A4065" s="66"/>
    </row>
    <row r="4066" spans="1:1" x14ac:dyDescent="0.25">
      <c r="A4066" s="66"/>
    </row>
    <row r="4067" spans="1:1" x14ac:dyDescent="0.25">
      <c r="A4067" s="66"/>
    </row>
    <row r="4068" spans="1:1" x14ac:dyDescent="0.25">
      <c r="A4068" s="66"/>
    </row>
    <row r="4069" spans="1:1" x14ac:dyDescent="0.25">
      <c r="A4069" s="66"/>
    </row>
    <row r="4070" spans="1:1" x14ac:dyDescent="0.25">
      <c r="A4070" s="66"/>
    </row>
    <row r="4071" spans="1:1" x14ac:dyDescent="0.25">
      <c r="A4071" s="66"/>
    </row>
    <row r="4072" spans="1:1" x14ac:dyDescent="0.25">
      <c r="A4072" s="66"/>
    </row>
    <row r="4073" spans="1:1" x14ac:dyDescent="0.25">
      <c r="A4073" s="66"/>
    </row>
    <row r="4074" spans="1:1" x14ac:dyDescent="0.25">
      <c r="A4074" s="66"/>
    </row>
    <row r="4075" spans="1:1" x14ac:dyDescent="0.25">
      <c r="A4075" s="66"/>
    </row>
    <row r="4076" spans="1:1" x14ac:dyDescent="0.25">
      <c r="A4076" s="66"/>
    </row>
    <row r="4077" spans="1:1" x14ac:dyDescent="0.25">
      <c r="A4077" s="66"/>
    </row>
    <row r="4078" spans="1:1" x14ac:dyDescent="0.25">
      <c r="A4078" s="66"/>
    </row>
    <row r="4079" spans="1:1" x14ac:dyDescent="0.25">
      <c r="A4079" s="66"/>
    </row>
    <row r="4080" spans="1:1" x14ac:dyDescent="0.25">
      <c r="A4080" s="66"/>
    </row>
    <row r="4081" spans="1:1" x14ac:dyDescent="0.25">
      <c r="A4081" s="66"/>
    </row>
    <row r="4082" spans="1:1" x14ac:dyDescent="0.25">
      <c r="A4082" s="66"/>
    </row>
    <row r="4083" spans="1:1" x14ac:dyDescent="0.25">
      <c r="A4083" s="66"/>
    </row>
    <row r="4084" spans="1:1" x14ac:dyDescent="0.25">
      <c r="A4084" s="66"/>
    </row>
    <row r="4085" spans="1:1" x14ac:dyDescent="0.25">
      <c r="A4085" s="66"/>
    </row>
    <row r="4086" spans="1:1" x14ac:dyDescent="0.25">
      <c r="A4086" s="66"/>
    </row>
    <row r="4087" spans="1:1" x14ac:dyDescent="0.25">
      <c r="A4087" s="66"/>
    </row>
    <row r="4088" spans="1:1" x14ac:dyDescent="0.25">
      <c r="A4088" s="66"/>
    </row>
    <row r="4089" spans="1:1" x14ac:dyDescent="0.25">
      <c r="A4089" s="66"/>
    </row>
    <row r="4090" spans="1:1" x14ac:dyDescent="0.25">
      <c r="A4090" s="66"/>
    </row>
    <row r="4091" spans="1:1" x14ac:dyDescent="0.25">
      <c r="A4091" s="66"/>
    </row>
    <row r="4092" spans="1:1" x14ac:dyDescent="0.25">
      <c r="A4092" s="66"/>
    </row>
    <row r="4093" spans="1:1" x14ac:dyDescent="0.25">
      <c r="A4093" s="66"/>
    </row>
    <row r="4094" spans="1:1" x14ac:dyDescent="0.25">
      <c r="A4094" s="66"/>
    </row>
    <row r="4095" spans="1:1" x14ac:dyDescent="0.25">
      <c r="A4095" s="66"/>
    </row>
    <row r="4096" spans="1:1" x14ac:dyDescent="0.25">
      <c r="A4096" s="66"/>
    </row>
    <row r="4097" spans="1:1" x14ac:dyDescent="0.25">
      <c r="A4097" s="66"/>
    </row>
    <row r="4098" spans="1:1" x14ac:dyDescent="0.25">
      <c r="A4098" s="66"/>
    </row>
    <row r="4099" spans="1:1" x14ac:dyDescent="0.25">
      <c r="A4099" s="66"/>
    </row>
    <row r="4100" spans="1:1" x14ac:dyDescent="0.25">
      <c r="A4100" s="66"/>
    </row>
    <row r="4101" spans="1:1" x14ac:dyDescent="0.25">
      <c r="A4101" s="66"/>
    </row>
    <row r="4102" spans="1:1" x14ac:dyDescent="0.25">
      <c r="A4102" s="66"/>
    </row>
    <row r="4103" spans="1:1" x14ac:dyDescent="0.25">
      <c r="A4103" s="66"/>
    </row>
    <row r="4104" spans="1:1" x14ac:dyDescent="0.25">
      <c r="A4104" s="66"/>
    </row>
    <row r="4105" spans="1:1" x14ac:dyDescent="0.25">
      <c r="A4105" s="66"/>
    </row>
    <row r="4106" spans="1:1" x14ac:dyDescent="0.25">
      <c r="A4106" s="66"/>
    </row>
    <row r="4107" spans="1:1" x14ac:dyDescent="0.25">
      <c r="A4107" s="66"/>
    </row>
    <row r="4108" spans="1:1" x14ac:dyDescent="0.25">
      <c r="A4108" s="66"/>
    </row>
    <row r="4109" spans="1:1" x14ac:dyDescent="0.25">
      <c r="A4109" s="66"/>
    </row>
    <row r="4110" spans="1:1" x14ac:dyDescent="0.25">
      <c r="A4110" s="66"/>
    </row>
    <row r="4111" spans="1:1" x14ac:dyDescent="0.25">
      <c r="A4111" s="66"/>
    </row>
    <row r="4112" spans="1:1" x14ac:dyDescent="0.25">
      <c r="A4112" s="66"/>
    </row>
    <row r="4113" spans="1:1" x14ac:dyDescent="0.25">
      <c r="A4113" s="66"/>
    </row>
    <row r="4114" spans="1:1" x14ac:dyDescent="0.25">
      <c r="A4114" s="66"/>
    </row>
    <row r="4115" spans="1:1" x14ac:dyDescent="0.25">
      <c r="A4115" s="66"/>
    </row>
    <row r="4116" spans="1:1" x14ac:dyDescent="0.25">
      <c r="A4116" s="66"/>
    </row>
    <row r="4117" spans="1:1" x14ac:dyDescent="0.25">
      <c r="A4117" s="66"/>
    </row>
    <row r="4118" spans="1:1" x14ac:dyDescent="0.25">
      <c r="A4118" s="66"/>
    </row>
    <row r="4119" spans="1:1" x14ac:dyDescent="0.25">
      <c r="A4119" s="66"/>
    </row>
    <row r="4120" spans="1:1" x14ac:dyDescent="0.25">
      <c r="A4120" s="66"/>
    </row>
    <row r="4121" spans="1:1" x14ac:dyDescent="0.25">
      <c r="A4121" s="66"/>
    </row>
    <row r="4122" spans="1:1" x14ac:dyDescent="0.25">
      <c r="A4122" s="66"/>
    </row>
    <row r="4123" spans="1:1" x14ac:dyDescent="0.25">
      <c r="A4123" s="66"/>
    </row>
    <row r="4124" spans="1:1" x14ac:dyDescent="0.25">
      <c r="A4124" s="66"/>
    </row>
    <row r="4125" spans="1:1" x14ac:dyDescent="0.25">
      <c r="A4125" s="66"/>
    </row>
    <row r="4126" spans="1:1" x14ac:dyDescent="0.25">
      <c r="A4126" s="66"/>
    </row>
    <row r="4127" spans="1:1" x14ac:dyDescent="0.25">
      <c r="A4127" s="66"/>
    </row>
    <row r="4128" spans="1:1" x14ac:dyDescent="0.25">
      <c r="A4128" s="66"/>
    </row>
    <row r="4129" spans="1:1" x14ac:dyDescent="0.25">
      <c r="A4129" s="66"/>
    </row>
    <row r="4130" spans="1:1" x14ac:dyDescent="0.25">
      <c r="A4130" s="66"/>
    </row>
    <row r="4131" spans="1:1" x14ac:dyDescent="0.25">
      <c r="A4131" s="66"/>
    </row>
    <row r="4132" spans="1:1" x14ac:dyDescent="0.25">
      <c r="A4132" s="66"/>
    </row>
    <row r="4133" spans="1:1" x14ac:dyDescent="0.25">
      <c r="A4133" s="66"/>
    </row>
    <row r="4134" spans="1:1" x14ac:dyDescent="0.25">
      <c r="A4134" s="66"/>
    </row>
    <row r="4135" spans="1:1" x14ac:dyDescent="0.25">
      <c r="A4135" s="66"/>
    </row>
    <row r="4136" spans="1:1" x14ac:dyDescent="0.25">
      <c r="A4136" s="66"/>
    </row>
    <row r="4137" spans="1:1" x14ac:dyDescent="0.25">
      <c r="A4137" s="66"/>
    </row>
    <row r="4138" spans="1:1" x14ac:dyDescent="0.25">
      <c r="A4138" s="66"/>
    </row>
    <row r="4139" spans="1:1" x14ac:dyDescent="0.25">
      <c r="A4139" s="66"/>
    </row>
    <row r="4140" spans="1:1" x14ac:dyDescent="0.25">
      <c r="A4140" s="66"/>
    </row>
    <row r="4141" spans="1:1" x14ac:dyDescent="0.25">
      <c r="A4141" s="66"/>
    </row>
    <row r="4142" spans="1:1" x14ac:dyDescent="0.25">
      <c r="A4142" s="66"/>
    </row>
    <row r="4143" spans="1:1" x14ac:dyDescent="0.25">
      <c r="A4143" s="66"/>
    </row>
    <row r="4144" spans="1:1" x14ac:dyDescent="0.25">
      <c r="A4144" s="66"/>
    </row>
    <row r="4145" spans="1:1" x14ac:dyDescent="0.25">
      <c r="A4145" s="66"/>
    </row>
    <row r="4146" spans="1:1" x14ac:dyDescent="0.25">
      <c r="A4146" s="66"/>
    </row>
    <row r="4147" spans="1:1" x14ac:dyDescent="0.25">
      <c r="A4147" s="66"/>
    </row>
    <row r="4148" spans="1:1" x14ac:dyDescent="0.25">
      <c r="A4148" s="66"/>
    </row>
    <row r="4149" spans="1:1" x14ac:dyDescent="0.25">
      <c r="A4149" s="66"/>
    </row>
    <row r="4150" spans="1:1" x14ac:dyDescent="0.25">
      <c r="A4150" s="66"/>
    </row>
    <row r="4151" spans="1:1" x14ac:dyDescent="0.25">
      <c r="A4151" s="66"/>
    </row>
    <row r="4152" spans="1:1" x14ac:dyDescent="0.25">
      <c r="A4152" s="66"/>
    </row>
    <row r="4153" spans="1:1" x14ac:dyDescent="0.25">
      <c r="A4153" s="66"/>
    </row>
    <row r="4154" spans="1:1" x14ac:dyDescent="0.25">
      <c r="A4154" s="66"/>
    </row>
    <row r="4155" spans="1:1" x14ac:dyDescent="0.25">
      <c r="A4155" s="66"/>
    </row>
    <row r="4156" spans="1:1" x14ac:dyDescent="0.25">
      <c r="A4156" s="66"/>
    </row>
    <row r="4157" spans="1:1" x14ac:dyDescent="0.25">
      <c r="A4157" s="66"/>
    </row>
    <row r="4158" spans="1:1" x14ac:dyDescent="0.25">
      <c r="A4158" s="66"/>
    </row>
    <row r="4159" spans="1:1" x14ac:dyDescent="0.25">
      <c r="A4159" s="66"/>
    </row>
    <row r="4160" spans="1:1" x14ac:dyDescent="0.25">
      <c r="A4160" s="66"/>
    </row>
    <row r="4161" spans="1:1" x14ac:dyDescent="0.25">
      <c r="A4161" s="66"/>
    </row>
    <row r="4162" spans="1:1" x14ac:dyDescent="0.25">
      <c r="A4162" s="66"/>
    </row>
    <row r="4163" spans="1:1" x14ac:dyDescent="0.25">
      <c r="A4163" s="66"/>
    </row>
    <row r="4164" spans="1:1" x14ac:dyDescent="0.25">
      <c r="A4164" s="66"/>
    </row>
    <row r="4165" spans="1:1" x14ac:dyDescent="0.25">
      <c r="A4165" s="66"/>
    </row>
    <row r="4166" spans="1:1" x14ac:dyDescent="0.25">
      <c r="A4166" s="66"/>
    </row>
    <row r="4167" spans="1:1" x14ac:dyDescent="0.25">
      <c r="A4167" s="66"/>
    </row>
    <row r="4168" spans="1:1" x14ac:dyDescent="0.25">
      <c r="A4168" s="66"/>
    </row>
    <row r="4169" spans="1:1" x14ac:dyDescent="0.25">
      <c r="A4169" s="66"/>
    </row>
    <row r="4170" spans="1:1" x14ac:dyDescent="0.25">
      <c r="A4170" s="66"/>
    </row>
    <row r="4171" spans="1:1" x14ac:dyDescent="0.25">
      <c r="A4171" s="66"/>
    </row>
    <row r="4172" spans="1:1" x14ac:dyDescent="0.25">
      <c r="A4172" s="66"/>
    </row>
    <row r="4173" spans="1:1" x14ac:dyDescent="0.25">
      <c r="A4173" s="66"/>
    </row>
    <row r="4174" spans="1:1" x14ac:dyDescent="0.25">
      <c r="A4174" s="66"/>
    </row>
    <row r="4175" spans="1:1" x14ac:dyDescent="0.25">
      <c r="A4175" s="66"/>
    </row>
    <row r="4176" spans="1:1" x14ac:dyDescent="0.25">
      <c r="A4176" s="66"/>
    </row>
    <row r="4177" spans="1:1" x14ac:dyDescent="0.25">
      <c r="A4177" s="66"/>
    </row>
    <row r="4178" spans="1:1" x14ac:dyDescent="0.25">
      <c r="A4178" s="66"/>
    </row>
    <row r="4179" spans="1:1" x14ac:dyDescent="0.25">
      <c r="A4179" s="66"/>
    </row>
    <row r="4180" spans="1:1" x14ac:dyDescent="0.25">
      <c r="A4180" s="66"/>
    </row>
    <row r="4181" spans="1:1" x14ac:dyDescent="0.25">
      <c r="A4181" s="66"/>
    </row>
    <row r="4182" spans="1:1" x14ac:dyDescent="0.25">
      <c r="A4182" s="66"/>
    </row>
    <row r="4183" spans="1:1" x14ac:dyDescent="0.25">
      <c r="A4183" s="66"/>
    </row>
    <row r="4184" spans="1:1" x14ac:dyDescent="0.25">
      <c r="A4184" s="66"/>
    </row>
    <row r="4185" spans="1:1" x14ac:dyDescent="0.25">
      <c r="A4185" s="66"/>
    </row>
    <row r="4186" spans="1:1" x14ac:dyDescent="0.25">
      <c r="A4186" s="66"/>
    </row>
    <row r="4187" spans="1:1" x14ac:dyDescent="0.25">
      <c r="A4187" s="66"/>
    </row>
    <row r="4188" spans="1:1" x14ac:dyDescent="0.25">
      <c r="A4188" s="66"/>
    </row>
    <row r="4189" spans="1:1" x14ac:dyDescent="0.25">
      <c r="A4189" s="66"/>
    </row>
    <row r="4190" spans="1:1" x14ac:dyDescent="0.25">
      <c r="A4190" s="66"/>
    </row>
    <row r="4191" spans="1:1" x14ac:dyDescent="0.25">
      <c r="A4191" s="66"/>
    </row>
    <row r="4192" spans="1:1" x14ac:dyDescent="0.25">
      <c r="A4192" s="66"/>
    </row>
    <row r="4193" spans="1:1" x14ac:dyDescent="0.25">
      <c r="A4193" s="66"/>
    </row>
    <row r="4194" spans="1:1" x14ac:dyDescent="0.25">
      <c r="A4194" s="66"/>
    </row>
    <row r="4195" spans="1:1" x14ac:dyDescent="0.25">
      <c r="A4195" s="66"/>
    </row>
    <row r="4196" spans="1:1" x14ac:dyDescent="0.25">
      <c r="A4196" s="66"/>
    </row>
    <row r="4197" spans="1:1" x14ac:dyDescent="0.25">
      <c r="A4197" s="66"/>
    </row>
    <row r="4198" spans="1:1" x14ac:dyDescent="0.25">
      <c r="A4198" s="66"/>
    </row>
    <row r="4199" spans="1:1" x14ac:dyDescent="0.25">
      <c r="A4199" s="66"/>
    </row>
    <row r="4200" spans="1:1" x14ac:dyDescent="0.25">
      <c r="A4200" s="66"/>
    </row>
    <row r="4201" spans="1:1" x14ac:dyDescent="0.25">
      <c r="A4201" s="66"/>
    </row>
    <row r="4202" spans="1:1" x14ac:dyDescent="0.25">
      <c r="A4202" s="66"/>
    </row>
    <row r="4203" spans="1:1" x14ac:dyDescent="0.25">
      <c r="A4203" s="66"/>
    </row>
    <row r="4204" spans="1:1" x14ac:dyDescent="0.25">
      <c r="A4204" s="66"/>
    </row>
    <row r="4205" spans="1:1" x14ac:dyDescent="0.25">
      <c r="A4205" s="66"/>
    </row>
    <row r="4206" spans="1:1" x14ac:dyDescent="0.25">
      <c r="A4206" s="66"/>
    </row>
    <row r="4207" spans="1:1" x14ac:dyDescent="0.25">
      <c r="A4207" s="66"/>
    </row>
    <row r="4208" spans="1:1" x14ac:dyDescent="0.25">
      <c r="A4208" s="66"/>
    </row>
    <row r="4209" spans="1:1" x14ac:dyDescent="0.25">
      <c r="A4209" s="66"/>
    </row>
    <row r="4210" spans="1:1" x14ac:dyDescent="0.25">
      <c r="A4210" s="66"/>
    </row>
    <row r="4211" spans="1:1" x14ac:dyDescent="0.25">
      <c r="A4211" s="66"/>
    </row>
    <row r="4212" spans="1:1" x14ac:dyDescent="0.25">
      <c r="A4212" s="66"/>
    </row>
    <row r="4213" spans="1:1" x14ac:dyDescent="0.25">
      <c r="A4213" s="66"/>
    </row>
    <row r="4214" spans="1:1" x14ac:dyDescent="0.25">
      <c r="A4214" s="66"/>
    </row>
    <row r="4215" spans="1:1" x14ac:dyDescent="0.25">
      <c r="A4215" s="66"/>
    </row>
    <row r="4216" spans="1:1" x14ac:dyDescent="0.25">
      <c r="A4216" s="66"/>
    </row>
    <row r="4217" spans="1:1" x14ac:dyDescent="0.25">
      <c r="A4217" s="66"/>
    </row>
    <row r="4218" spans="1:1" x14ac:dyDescent="0.25">
      <c r="A4218" s="66"/>
    </row>
    <row r="4219" spans="1:1" x14ac:dyDescent="0.25">
      <c r="A4219" s="66"/>
    </row>
    <row r="4220" spans="1:1" x14ac:dyDescent="0.25">
      <c r="A4220" s="66"/>
    </row>
    <row r="4221" spans="1:1" x14ac:dyDescent="0.25">
      <c r="A4221" s="66"/>
    </row>
    <row r="4222" spans="1:1" x14ac:dyDescent="0.25">
      <c r="A4222" s="66"/>
    </row>
    <row r="4223" spans="1:1" x14ac:dyDescent="0.25">
      <c r="A4223" s="66"/>
    </row>
    <row r="4224" spans="1:1" x14ac:dyDescent="0.25">
      <c r="A4224" s="66"/>
    </row>
    <row r="4225" spans="1:1" x14ac:dyDescent="0.25">
      <c r="A4225" s="66"/>
    </row>
    <row r="4226" spans="1:1" x14ac:dyDescent="0.25">
      <c r="A4226" s="66"/>
    </row>
    <row r="4227" spans="1:1" x14ac:dyDescent="0.25">
      <c r="A4227" s="66"/>
    </row>
    <row r="4228" spans="1:1" x14ac:dyDescent="0.25">
      <c r="A4228" s="66"/>
    </row>
    <row r="4229" spans="1:1" x14ac:dyDescent="0.25">
      <c r="A4229" s="66"/>
    </row>
    <row r="4230" spans="1:1" x14ac:dyDescent="0.25">
      <c r="A4230" s="66"/>
    </row>
    <row r="4231" spans="1:1" x14ac:dyDescent="0.25">
      <c r="A4231" s="66"/>
    </row>
    <row r="4232" spans="1:1" x14ac:dyDescent="0.25">
      <c r="A4232" s="66"/>
    </row>
    <row r="4233" spans="1:1" x14ac:dyDescent="0.25">
      <c r="A4233" s="66"/>
    </row>
    <row r="4234" spans="1:1" x14ac:dyDescent="0.25">
      <c r="A4234" s="66"/>
    </row>
    <row r="4235" spans="1:1" x14ac:dyDescent="0.25">
      <c r="A4235" s="66"/>
    </row>
    <row r="4236" spans="1:1" x14ac:dyDescent="0.25">
      <c r="A4236" s="66"/>
    </row>
    <row r="4237" spans="1:1" x14ac:dyDescent="0.25">
      <c r="A4237" s="66"/>
    </row>
    <row r="4238" spans="1:1" x14ac:dyDescent="0.25">
      <c r="A4238" s="66"/>
    </row>
    <row r="4239" spans="1:1" x14ac:dyDescent="0.25">
      <c r="A4239" s="66"/>
    </row>
    <row r="4240" spans="1:1" x14ac:dyDescent="0.25">
      <c r="A4240" s="66"/>
    </row>
    <row r="4241" spans="1:1" x14ac:dyDescent="0.25">
      <c r="A4241" s="66"/>
    </row>
    <row r="4242" spans="1:1" x14ac:dyDescent="0.25">
      <c r="A4242" s="66"/>
    </row>
    <row r="4243" spans="1:1" x14ac:dyDescent="0.25">
      <c r="A4243" s="66"/>
    </row>
    <row r="4244" spans="1:1" x14ac:dyDescent="0.25">
      <c r="A4244" s="66"/>
    </row>
    <row r="4245" spans="1:1" x14ac:dyDescent="0.25">
      <c r="A4245" s="66"/>
    </row>
    <row r="4246" spans="1:1" x14ac:dyDescent="0.25">
      <c r="A4246" s="66"/>
    </row>
    <row r="4247" spans="1:1" x14ac:dyDescent="0.25">
      <c r="A4247" s="66"/>
    </row>
    <row r="4248" spans="1:1" x14ac:dyDescent="0.25">
      <c r="A4248" s="66"/>
    </row>
    <row r="4249" spans="1:1" x14ac:dyDescent="0.25">
      <c r="A4249" s="66"/>
    </row>
    <row r="4250" spans="1:1" x14ac:dyDescent="0.25">
      <c r="A4250" s="66"/>
    </row>
    <row r="4251" spans="1:1" x14ac:dyDescent="0.25">
      <c r="A4251" s="66"/>
    </row>
    <row r="4252" spans="1:1" x14ac:dyDescent="0.25">
      <c r="A4252" s="66"/>
    </row>
    <row r="4253" spans="1:1" x14ac:dyDescent="0.25">
      <c r="A4253" s="66"/>
    </row>
    <row r="4254" spans="1:1" x14ac:dyDescent="0.25">
      <c r="A4254" s="66"/>
    </row>
    <row r="4255" spans="1:1" x14ac:dyDescent="0.25">
      <c r="A4255" s="66"/>
    </row>
    <row r="4256" spans="1:1" x14ac:dyDescent="0.25">
      <c r="A4256" s="66"/>
    </row>
    <row r="4257" spans="1:1" x14ac:dyDescent="0.25">
      <c r="A4257" s="66"/>
    </row>
    <row r="4258" spans="1:1" x14ac:dyDescent="0.25">
      <c r="A4258" s="66"/>
    </row>
    <row r="4259" spans="1:1" x14ac:dyDescent="0.25">
      <c r="A4259" s="66"/>
    </row>
    <row r="4260" spans="1:1" x14ac:dyDescent="0.25">
      <c r="A4260" s="66"/>
    </row>
    <row r="4261" spans="1:1" x14ac:dyDescent="0.25">
      <c r="A4261" s="66"/>
    </row>
    <row r="4262" spans="1:1" x14ac:dyDescent="0.25">
      <c r="A4262" s="66"/>
    </row>
    <row r="4263" spans="1:1" x14ac:dyDescent="0.25">
      <c r="A4263" s="66"/>
    </row>
    <row r="4264" spans="1:1" x14ac:dyDescent="0.25">
      <c r="A4264" s="66"/>
    </row>
    <row r="4265" spans="1:1" x14ac:dyDescent="0.25">
      <c r="A4265" s="66"/>
    </row>
    <row r="4266" spans="1:1" x14ac:dyDescent="0.25">
      <c r="A4266" s="66"/>
    </row>
    <row r="4267" spans="1:1" x14ac:dyDescent="0.25">
      <c r="A4267" s="66"/>
    </row>
    <row r="4268" spans="1:1" x14ac:dyDescent="0.25">
      <c r="A4268" s="66"/>
    </row>
    <row r="4269" spans="1:1" x14ac:dyDescent="0.25">
      <c r="A4269" s="66"/>
    </row>
    <row r="4270" spans="1:1" x14ac:dyDescent="0.25">
      <c r="A4270" s="66"/>
    </row>
    <row r="4271" spans="1:1" x14ac:dyDescent="0.25">
      <c r="A4271" s="66"/>
    </row>
    <row r="4272" spans="1:1" x14ac:dyDescent="0.25">
      <c r="A4272" s="66"/>
    </row>
    <row r="4273" spans="1:1" x14ac:dyDescent="0.25">
      <c r="A4273" s="66"/>
    </row>
    <row r="4274" spans="1:1" x14ac:dyDescent="0.25">
      <c r="A4274" s="66"/>
    </row>
    <row r="4275" spans="1:1" x14ac:dyDescent="0.25">
      <c r="A4275" s="66"/>
    </row>
    <row r="4276" spans="1:1" x14ac:dyDescent="0.25">
      <c r="A4276" s="66"/>
    </row>
    <row r="4277" spans="1:1" x14ac:dyDescent="0.25">
      <c r="A4277" s="66"/>
    </row>
    <row r="4278" spans="1:1" x14ac:dyDescent="0.25">
      <c r="A4278" s="66"/>
    </row>
    <row r="4279" spans="1:1" x14ac:dyDescent="0.25">
      <c r="A4279" s="66"/>
    </row>
    <row r="4280" spans="1:1" x14ac:dyDescent="0.25">
      <c r="A4280" s="66"/>
    </row>
    <row r="4281" spans="1:1" x14ac:dyDescent="0.25">
      <c r="A4281" s="66"/>
    </row>
    <row r="4282" spans="1:1" x14ac:dyDescent="0.25">
      <c r="A4282" s="66"/>
    </row>
    <row r="4283" spans="1:1" x14ac:dyDescent="0.25">
      <c r="A4283" s="66"/>
    </row>
    <row r="4284" spans="1:1" x14ac:dyDescent="0.25">
      <c r="A4284" s="66"/>
    </row>
    <row r="4285" spans="1:1" x14ac:dyDescent="0.25">
      <c r="A4285" s="66"/>
    </row>
    <row r="4286" spans="1:1" x14ac:dyDescent="0.25">
      <c r="A4286" s="66"/>
    </row>
    <row r="4287" spans="1:1" x14ac:dyDescent="0.25">
      <c r="A4287" s="66"/>
    </row>
    <row r="4288" spans="1:1" x14ac:dyDescent="0.25">
      <c r="A4288" s="66"/>
    </row>
    <row r="4289" spans="1:1" x14ac:dyDescent="0.25">
      <c r="A4289" s="66"/>
    </row>
    <row r="4290" spans="1:1" x14ac:dyDescent="0.25">
      <c r="A4290" s="66"/>
    </row>
    <row r="4291" spans="1:1" x14ac:dyDescent="0.25">
      <c r="A4291" s="66"/>
    </row>
    <row r="4292" spans="1:1" x14ac:dyDescent="0.25">
      <c r="A4292" s="66"/>
    </row>
    <row r="4293" spans="1:1" x14ac:dyDescent="0.25">
      <c r="A4293" s="66"/>
    </row>
    <row r="4294" spans="1:1" x14ac:dyDescent="0.25">
      <c r="A4294" s="66"/>
    </row>
    <row r="4295" spans="1:1" x14ac:dyDescent="0.25">
      <c r="A4295" s="66"/>
    </row>
    <row r="4296" spans="1:1" x14ac:dyDescent="0.25">
      <c r="A4296" s="66"/>
    </row>
    <row r="4297" spans="1:1" x14ac:dyDescent="0.25">
      <c r="A4297" s="66"/>
    </row>
    <row r="4298" spans="1:1" x14ac:dyDescent="0.25">
      <c r="A4298" s="66"/>
    </row>
    <row r="4299" spans="1:1" x14ac:dyDescent="0.25">
      <c r="A4299" s="66"/>
    </row>
    <row r="4300" spans="1:1" x14ac:dyDescent="0.25">
      <c r="A4300" s="66"/>
    </row>
    <row r="4301" spans="1:1" x14ac:dyDescent="0.25">
      <c r="A4301" s="66"/>
    </row>
    <row r="4302" spans="1:1" x14ac:dyDescent="0.25">
      <c r="A4302" s="66"/>
    </row>
    <row r="4303" spans="1:1" x14ac:dyDescent="0.25">
      <c r="A4303" s="66"/>
    </row>
    <row r="4304" spans="1:1" x14ac:dyDescent="0.25">
      <c r="A4304" s="66"/>
    </row>
    <row r="4305" spans="1:1" x14ac:dyDescent="0.25">
      <c r="A4305" s="66"/>
    </row>
    <row r="4306" spans="1:1" x14ac:dyDescent="0.25">
      <c r="A4306" s="66"/>
    </row>
    <row r="4307" spans="1:1" x14ac:dyDescent="0.25">
      <c r="A4307" s="66"/>
    </row>
    <row r="4308" spans="1:1" x14ac:dyDescent="0.25">
      <c r="A4308" s="66"/>
    </row>
    <row r="4309" spans="1:1" x14ac:dyDescent="0.25">
      <c r="A4309" s="66"/>
    </row>
    <row r="4310" spans="1:1" x14ac:dyDescent="0.25">
      <c r="A4310" s="66"/>
    </row>
    <row r="4311" spans="1:1" x14ac:dyDescent="0.25">
      <c r="A4311" s="66"/>
    </row>
    <row r="4312" spans="1:1" x14ac:dyDescent="0.25">
      <c r="A4312" s="66"/>
    </row>
    <row r="4313" spans="1:1" x14ac:dyDescent="0.25">
      <c r="A4313" s="66"/>
    </row>
    <row r="4314" spans="1:1" x14ac:dyDescent="0.25">
      <c r="A4314" s="66"/>
    </row>
    <row r="4315" spans="1:1" x14ac:dyDescent="0.25">
      <c r="A4315" s="66"/>
    </row>
    <row r="4316" spans="1:1" x14ac:dyDescent="0.25">
      <c r="A4316" s="66"/>
    </row>
    <row r="4317" spans="1:1" x14ac:dyDescent="0.25">
      <c r="A4317" s="66"/>
    </row>
    <row r="4318" spans="1:1" x14ac:dyDescent="0.25">
      <c r="A4318" s="66"/>
    </row>
    <row r="4319" spans="1:1" x14ac:dyDescent="0.25">
      <c r="A4319" s="66"/>
    </row>
    <row r="4320" spans="1:1" x14ac:dyDescent="0.25">
      <c r="A4320" s="66"/>
    </row>
    <row r="4321" spans="1:1" x14ac:dyDescent="0.25">
      <c r="A4321" s="66"/>
    </row>
    <row r="4322" spans="1:1" x14ac:dyDescent="0.25">
      <c r="A4322" s="66"/>
    </row>
    <row r="4323" spans="1:1" x14ac:dyDescent="0.25">
      <c r="A4323" s="66"/>
    </row>
    <row r="4324" spans="1:1" x14ac:dyDescent="0.25">
      <c r="A4324" s="66"/>
    </row>
    <row r="4325" spans="1:1" x14ac:dyDescent="0.25">
      <c r="A4325" s="66"/>
    </row>
    <row r="4326" spans="1:1" x14ac:dyDescent="0.25">
      <c r="A4326" s="66"/>
    </row>
    <row r="4327" spans="1:1" x14ac:dyDescent="0.25">
      <c r="A4327" s="66"/>
    </row>
    <row r="4328" spans="1:1" x14ac:dyDescent="0.25">
      <c r="A4328" s="66"/>
    </row>
    <row r="4329" spans="1:1" x14ac:dyDescent="0.25">
      <c r="A4329" s="66"/>
    </row>
    <row r="4330" spans="1:1" x14ac:dyDescent="0.25">
      <c r="A4330" s="66"/>
    </row>
    <row r="4331" spans="1:1" x14ac:dyDescent="0.25">
      <c r="A4331" s="66"/>
    </row>
    <row r="4332" spans="1:1" x14ac:dyDescent="0.25">
      <c r="A4332" s="66"/>
    </row>
    <row r="4333" spans="1:1" x14ac:dyDescent="0.25">
      <c r="A4333" s="66"/>
    </row>
    <row r="4334" spans="1:1" x14ac:dyDescent="0.25">
      <c r="A4334" s="66"/>
    </row>
    <row r="4335" spans="1:1" x14ac:dyDescent="0.25">
      <c r="A4335" s="66"/>
    </row>
    <row r="4336" spans="1:1" x14ac:dyDescent="0.25">
      <c r="A4336" s="66"/>
    </row>
    <row r="4337" spans="1:1" x14ac:dyDescent="0.25">
      <c r="A4337" s="66"/>
    </row>
    <row r="4338" spans="1:1" x14ac:dyDescent="0.25">
      <c r="A4338" s="66"/>
    </row>
    <row r="4339" spans="1:1" x14ac:dyDescent="0.25">
      <c r="A4339" s="66"/>
    </row>
    <row r="4340" spans="1:1" x14ac:dyDescent="0.25">
      <c r="A4340" s="66"/>
    </row>
    <row r="4341" spans="1:1" x14ac:dyDescent="0.25">
      <c r="A4341" s="66"/>
    </row>
    <row r="4342" spans="1:1" x14ac:dyDescent="0.25">
      <c r="A4342" s="66"/>
    </row>
    <row r="4343" spans="1:1" x14ac:dyDescent="0.25">
      <c r="A4343" s="66"/>
    </row>
    <row r="4344" spans="1:1" x14ac:dyDescent="0.25">
      <c r="A4344" s="66"/>
    </row>
    <row r="4345" spans="1:1" x14ac:dyDescent="0.25">
      <c r="A4345" s="66"/>
    </row>
    <row r="4346" spans="1:1" x14ac:dyDescent="0.25">
      <c r="A4346" s="66"/>
    </row>
    <row r="4347" spans="1:1" x14ac:dyDescent="0.25">
      <c r="A4347" s="66"/>
    </row>
    <row r="4348" spans="1:1" x14ac:dyDescent="0.25">
      <c r="A4348" s="66"/>
    </row>
    <row r="4349" spans="1:1" x14ac:dyDescent="0.25">
      <c r="A4349" s="66"/>
    </row>
    <row r="4350" spans="1:1" x14ac:dyDescent="0.25">
      <c r="A4350" s="66"/>
    </row>
    <row r="4351" spans="1:1" x14ac:dyDescent="0.25">
      <c r="A4351" s="66"/>
    </row>
    <row r="4352" spans="1:1" x14ac:dyDescent="0.25">
      <c r="A4352" s="66"/>
    </row>
    <row r="4353" spans="1:1" x14ac:dyDescent="0.25">
      <c r="A4353" s="66"/>
    </row>
    <row r="4354" spans="1:1" x14ac:dyDescent="0.25">
      <c r="A4354" s="66"/>
    </row>
    <row r="4355" spans="1:1" x14ac:dyDescent="0.25">
      <c r="A4355" s="66"/>
    </row>
    <row r="4356" spans="1:1" x14ac:dyDescent="0.25">
      <c r="A4356" s="66"/>
    </row>
    <row r="4357" spans="1:1" x14ac:dyDescent="0.25">
      <c r="A4357" s="66"/>
    </row>
    <row r="4358" spans="1:1" x14ac:dyDescent="0.25">
      <c r="A4358" s="66"/>
    </row>
    <row r="4359" spans="1:1" x14ac:dyDescent="0.25">
      <c r="A4359" s="66"/>
    </row>
    <row r="4360" spans="1:1" x14ac:dyDescent="0.25">
      <c r="A4360" s="66"/>
    </row>
    <row r="4361" spans="1:1" x14ac:dyDescent="0.25">
      <c r="A4361" s="66"/>
    </row>
    <row r="4362" spans="1:1" x14ac:dyDescent="0.25">
      <c r="A4362" s="66"/>
    </row>
    <row r="4363" spans="1:1" x14ac:dyDescent="0.25">
      <c r="A4363" s="66"/>
    </row>
    <row r="4364" spans="1:1" x14ac:dyDescent="0.25">
      <c r="A4364" s="66"/>
    </row>
    <row r="4365" spans="1:1" x14ac:dyDescent="0.25">
      <c r="A4365" s="66"/>
    </row>
    <row r="4366" spans="1:1" x14ac:dyDescent="0.25">
      <c r="A4366" s="66"/>
    </row>
    <row r="4367" spans="1:1" x14ac:dyDescent="0.25">
      <c r="A4367" s="66"/>
    </row>
    <row r="4368" spans="1:1" x14ac:dyDescent="0.25">
      <c r="A4368" s="66"/>
    </row>
    <row r="4369" spans="1:1" x14ac:dyDescent="0.25">
      <c r="A4369" s="66"/>
    </row>
    <row r="4370" spans="1:1" x14ac:dyDescent="0.25">
      <c r="A4370" s="66"/>
    </row>
    <row r="4371" spans="1:1" x14ac:dyDescent="0.25">
      <c r="A4371" s="66"/>
    </row>
    <row r="4372" spans="1:1" x14ac:dyDescent="0.25">
      <c r="A4372" s="66"/>
    </row>
    <row r="4373" spans="1:1" x14ac:dyDescent="0.25">
      <c r="A4373" s="66"/>
    </row>
    <row r="4374" spans="1:1" x14ac:dyDescent="0.25">
      <c r="A4374" s="66"/>
    </row>
    <row r="4375" spans="1:1" x14ac:dyDescent="0.25">
      <c r="A4375" s="66"/>
    </row>
    <row r="4376" spans="1:1" x14ac:dyDescent="0.25">
      <c r="A4376" s="66"/>
    </row>
    <row r="4377" spans="1:1" x14ac:dyDescent="0.25">
      <c r="A4377" s="66"/>
    </row>
    <row r="4378" spans="1:1" x14ac:dyDescent="0.25">
      <c r="A4378" s="66"/>
    </row>
    <row r="4379" spans="1:1" x14ac:dyDescent="0.25">
      <c r="A4379" s="66"/>
    </row>
    <row r="4380" spans="1:1" x14ac:dyDescent="0.25">
      <c r="A4380" s="66"/>
    </row>
    <row r="4381" spans="1:1" x14ac:dyDescent="0.25">
      <c r="A4381" s="66"/>
    </row>
    <row r="4382" spans="1:1" x14ac:dyDescent="0.25">
      <c r="A4382" s="66"/>
    </row>
    <row r="4383" spans="1:1" x14ac:dyDescent="0.25">
      <c r="A4383" s="66"/>
    </row>
    <row r="4384" spans="1:1" x14ac:dyDescent="0.25">
      <c r="A4384" s="66"/>
    </row>
    <row r="4385" spans="1:1" x14ac:dyDescent="0.25">
      <c r="A4385" s="66"/>
    </row>
    <row r="4386" spans="1:1" x14ac:dyDescent="0.25">
      <c r="A4386" s="66"/>
    </row>
    <row r="4387" spans="1:1" x14ac:dyDescent="0.25">
      <c r="A4387" s="66"/>
    </row>
    <row r="4388" spans="1:1" x14ac:dyDescent="0.25">
      <c r="A4388" s="66"/>
    </row>
    <row r="4389" spans="1:1" x14ac:dyDescent="0.25">
      <c r="A4389" s="66"/>
    </row>
    <row r="4390" spans="1:1" x14ac:dyDescent="0.25">
      <c r="A4390" s="66"/>
    </row>
    <row r="4391" spans="1:1" x14ac:dyDescent="0.25">
      <c r="A4391" s="66"/>
    </row>
    <row r="4392" spans="1:1" x14ac:dyDescent="0.25">
      <c r="A4392" s="66"/>
    </row>
    <row r="4393" spans="1:1" x14ac:dyDescent="0.25">
      <c r="A4393" s="66"/>
    </row>
    <row r="4394" spans="1:1" x14ac:dyDescent="0.25">
      <c r="A4394" s="66"/>
    </row>
    <row r="4395" spans="1:1" x14ac:dyDescent="0.25">
      <c r="A4395" s="66"/>
    </row>
    <row r="4396" spans="1:1" x14ac:dyDescent="0.25">
      <c r="A4396" s="66"/>
    </row>
    <row r="4397" spans="1:1" x14ac:dyDescent="0.25">
      <c r="A4397" s="66"/>
    </row>
    <row r="4398" spans="1:1" x14ac:dyDescent="0.25">
      <c r="A4398" s="66"/>
    </row>
    <row r="4399" spans="1:1" x14ac:dyDescent="0.25">
      <c r="A4399" s="66"/>
    </row>
    <row r="4400" spans="1:1" x14ac:dyDescent="0.25">
      <c r="A4400" s="66"/>
    </row>
    <row r="4401" spans="1:1" x14ac:dyDescent="0.25">
      <c r="A4401" s="66"/>
    </row>
    <row r="4402" spans="1:1" x14ac:dyDescent="0.25">
      <c r="A4402" s="66"/>
    </row>
    <row r="4403" spans="1:1" x14ac:dyDescent="0.25">
      <c r="A4403" s="66"/>
    </row>
    <row r="4404" spans="1:1" x14ac:dyDescent="0.25">
      <c r="A4404" s="66"/>
    </row>
    <row r="4405" spans="1:1" x14ac:dyDescent="0.25">
      <c r="A4405" s="66"/>
    </row>
    <row r="4406" spans="1:1" x14ac:dyDescent="0.25">
      <c r="A4406" s="66"/>
    </row>
    <row r="4407" spans="1:1" x14ac:dyDescent="0.25">
      <c r="A4407" s="66"/>
    </row>
    <row r="4408" spans="1:1" x14ac:dyDescent="0.25">
      <c r="A4408" s="66"/>
    </row>
    <row r="4409" spans="1:1" x14ac:dyDescent="0.25">
      <c r="A4409" s="66"/>
    </row>
    <row r="4410" spans="1:1" x14ac:dyDescent="0.25">
      <c r="A4410" s="66"/>
    </row>
    <row r="4411" spans="1:1" x14ac:dyDescent="0.25">
      <c r="A4411" s="66"/>
    </row>
    <row r="4412" spans="1:1" x14ac:dyDescent="0.25">
      <c r="A4412" s="66"/>
    </row>
    <row r="4413" spans="1:1" x14ac:dyDescent="0.25">
      <c r="A4413" s="66"/>
    </row>
    <row r="4414" spans="1:1" x14ac:dyDescent="0.25">
      <c r="A4414" s="66"/>
    </row>
    <row r="4415" spans="1:1" x14ac:dyDescent="0.25">
      <c r="A4415" s="66"/>
    </row>
    <row r="4416" spans="1:1" x14ac:dyDescent="0.25">
      <c r="A4416" s="66"/>
    </row>
    <row r="4417" spans="1:1" x14ac:dyDescent="0.25">
      <c r="A4417" s="66"/>
    </row>
    <row r="4418" spans="1:1" x14ac:dyDescent="0.25">
      <c r="A4418" s="66"/>
    </row>
    <row r="4419" spans="1:1" x14ac:dyDescent="0.25">
      <c r="A4419" s="66"/>
    </row>
    <row r="4420" spans="1:1" x14ac:dyDescent="0.25">
      <c r="A4420" s="66"/>
    </row>
    <row r="4421" spans="1:1" x14ac:dyDescent="0.25">
      <c r="A4421" s="66"/>
    </row>
    <row r="4422" spans="1:1" x14ac:dyDescent="0.25">
      <c r="A4422" s="66"/>
    </row>
    <row r="4423" spans="1:1" x14ac:dyDescent="0.25">
      <c r="A4423" s="66"/>
    </row>
    <row r="4424" spans="1:1" x14ac:dyDescent="0.25">
      <c r="A4424" s="66"/>
    </row>
    <row r="4425" spans="1:1" x14ac:dyDescent="0.25">
      <c r="A4425" s="66"/>
    </row>
    <row r="4426" spans="1:1" x14ac:dyDescent="0.25">
      <c r="A4426" s="66"/>
    </row>
    <row r="4427" spans="1:1" x14ac:dyDescent="0.25">
      <c r="A4427" s="66"/>
    </row>
    <row r="4428" spans="1:1" x14ac:dyDescent="0.25">
      <c r="A4428" s="66"/>
    </row>
    <row r="4429" spans="1:1" x14ac:dyDescent="0.25">
      <c r="A4429" s="66"/>
    </row>
    <row r="4430" spans="1:1" x14ac:dyDescent="0.25">
      <c r="A4430" s="66"/>
    </row>
    <row r="4431" spans="1:1" x14ac:dyDescent="0.25">
      <c r="A4431" s="66"/>
    </row>
    <row r="4432" spans="1:1" x14ac:dyDescent="0.25">
      <c r="A4432" s="66"/>
    </row>
    <row r="4433" spans="1:1" x14ac:dyDescent="0.25">
      <c r="A4433" s="66"/>
    </row>
    <row r="4434" spans="1:1" x14ac:dyDescent="0.25">
      <c r="A4434" s="66"/>
    </row>
    <row r="4435" spans="1:1" x14ac:dyDescent="0.25">
      <c r="A4435" s="66"/>
    </row>
    <row r="4436" spans="1:1" x14ac:dyDescent="0.25">
      <c r="A4436" s="66"/>
    </row>
    <row r="4437" spans="1:1" x14ac:dyDescent="0.25">
      <c r="A4437" s="66"/>
    </row>
    <row r="4438" spans="1:1" x14ac:dyDescent="0.25">
      <c r="A4438" s="66"/>
    </row>
    <row r="4439" spans="1:1" x14ac:dyDescent="0.25">
      <c r="A4439" s="66"/>
    </row>
    <row r="4440" spans="1:1" x14ac:dyDescent="0.25">
      <c r="A4440" s="66"/>
    </row>
    <row r="4441" spans="1:1" x14ac:dyDescent="0.25">
      <c r="A4441" s="66"/>
    </row>
    <row r="4442" spans="1:1" x14ac:dyDescent="0.25">
      <c r="A4442" s="66"/>
    </row>
    <row r="4443" spans="1:1" x14ac:dyDescent="0.25">
      <c r="A4443" s="66"/>
    </row>
    <row r="4444" spans="1:1" x14ac:dyDescent="0.25">
      <c r="A4444" s="66"/>
    </row>
    <row r="4445" spans="1:1" x14ac:dyDescent="0.25">
      <c r="A4445" s="66"/>
    </row>
    <row r="4446" spans="1:1" x14ac:dyDescent="0.25">
      <c r="A4446" s="66"/>
    </row>
    <row r="4447" spans="1:1" x14ac:dyDescent="0.25">
      <c r="A4447" s="66"/>
    </row>
    <row r="4448" spans="1:1" x14ac:dyDescent="0.25">
      <c r="A4448" s="66"/>
    </row>
    <row r="4449" spans="1:1" x14ac:dyDescent="0.25">
      <c r="A4449" s="66"/>
    </row>
    <row r="4450" spans="1:1" x14ac:dyDescent="0.25">
      <c r="A4450" s="66"/>
    </row>
    <row r="4451" spans="1:1" x14ac:dyDescent="0.25">
      <c r="A4451" s="66"/>
    </row>
    <row r="4452" spans="1:1" x14ac:dyDescent="0.25">
      <c r="A4452" s="66"/>
    </row>
    <row r="4453" spans="1:1" x14ac:dyDescent="0.25">
      <c r="A4453" s="66"/>
    </row>
    <row r="4454" spans="1:1" x14ac:dyDescent="0.25">
      <c r="A4454" s="66"/>
    </row>
    <row r="4455" spans="1:1" x14ac:dyDescent="0.25">
      <c r="A4455" s="66"/>
    </row>
    <row r="4456" spans="1:1" x14ac:dyDescent="0.25">
      <c r="A4456" s="66"/>
    </row>
    <row r="4457" spans="1:1" x14ac:dyDescent="0.25">
      <c r="A4457" s="66"/>
    </row>
    <row r="4458" spans="1:1" x14ac:dyDescent="0.25">
      <c r="A4458" s="66"/>
    </row>
    <row r="4459" spans="1:1" x14ac:dyDescent="0.25">
      <c r="A4459" s="66"/>
    </row>
    <row r="4460" spans="1:1" x14ac:dyDescent="0.25">
      <c r="A4460" s="66"/>
    </row>
    <row r="4461" spans="1:1" x14ac:dyDescent="0.25">
      <c r="A4461" s="66"/>
    </row>
    <row r="4462" spans="1:1" x14ac:dyDescent="0.25">
      <c r="A4462" s="66"/>
    </row>
    <row r="4463" spans="1:1" x14ac:dyDescent="0.25">
      <c r="A4463" s="66"/>
    </row>
    <row r="4464" spans="1:1" x14ac:dyDescent="0.25">
      <c r="A4464" s="66"/>
    </row>
    <row r="4465" spans="1:1" x14ac:dyDescent="0.25">
      <c r="A4465" s="66"/>
    </row>
    <row r="4466" spans="1:1" x14ac:dyDescent="0.25">
      <c r="A4466" s="66"/>
    </row>
    <row r="4467" spans="1:1" x14ac:dyDescent="0.25">
      <c r="A4467" s="66"/>
    </row>
    <row r="4468" spans="1:1" x14ac:dyDescent="0.25">
      <c r="A4468" s="66"/>
    </row>
    <row r="4469" spans="1:1" x14ac:dyDescent="0.25">
      <c r="A4469" s="66"/>
    </row>
    <row r="4470" spans="1:1" x14ac:dyDescent="0.25">
      <c r="A4470" s="66"/>
    </row>
    <row r="4471" spans="1:1" x14ac:dyDescent="0.25">
      <c r="A4471" s="66"/>
    </row>
    <row r="4472" spans="1:1" x14ac:dyDescent="0.25">
      <c r="A4472" s="66"/>
    </row>
    <row r="4473" spans="1:1" x14ac:dyDescent="0.25">
      <c r="A4473" s="66"/>
    </row>
    <row r="4474" spans="1:1" x14ac:dyDescent="0.25">
      <c r="A4474" s="66"/>
    </row>
    <row r="4475" spans="1:1" x14ac:dyDescent="0.25">
      <c r="A4475" s="66"/>
    </row>
    <row r="4476" spans="1:1" x14ac:dyDescent="0.25">
      <c r="A4476" s="66"/>
    </row>
    <row r="4477" spans="1:1" x14ac:dyDescent="0.25">
      <c r="A4477" s="66"/>
    </row>
    <row r="4478" spans="1:1" x14ac:dyDescent="0.25">
      <c r="A4478" s="66"/>
    </row>
    <row r="4479" spans="1:1" x14ac:dyDescent="0.25">
      <c r="A4479" s="66"/>
    </row>
    <row r="4480" spans="1:1" x14ac:dyDescent="0.25">
      <c r="A4480" s="66"/>
    </row>
    <row r="4481" spans="1:1" x14ac:dyDescent="0.25">
      <c r="A4481" s="66"/>
    </row>
    <row r="4482" spans="1:1" x14ac:dyDescent="0.25">
      <c r="A4482" s="66"/>
    </row>
    <row r="4483" spans="1:1" x14ac:dyDescent="0.25">
      <c r="A4483" s="66"/>
    </row>
    <row r="4484" spans="1:1" x14ac:dyDescent="0.25">
      <c r="A4484" s="66"/>
    </row>
    <row r="4485" spans="1:1" x14ac:dyDescent="0.25">
      <c r="A4485" s="66"/>
    </row>
    <row r="4486" spans="1:1" x14ac:dyDescent="0.25">
      <c r="A4486" s="66"/>
    </row>
    <row r="4487" spans="1:1" x14ac:dyDescent="0.25">
      <c r="A4487" s="66"/>
    </row>
    <row r="4488" spans="1:1" x14ac:dyDescent="0.25">
      <c r="A4488" s="66"/>
    </row>
    <row r="4489" spans="1:1" x14ac:dyDescent="0.25">
      <c r="A4489" s="66"/>
    </row>
    <row r="4490" spans="1:1" x14ac:dyDescent="0.25">
      <c r="A4490" s="66"/>
    </row>
    <row r="4491" spans="1:1" x14ac:dyDescent="0.25">
      <c r="A4491" s="66"/>
    </row>
    <row r="4492" spans="1:1" x14ac:dyDescent="0.25">
      <c r="A4492" s="66"/>
    </row>
    <row r="4493" spans="1:1" x14ac:dyDescent="0.25">
      <c r="A4493" s="66"/>
    </row>
    <row r="4494" spans="1:1" x14ac:dyDescent="0.25">
      <c r="A4494" s="66"/>
    </row>
    <row r="4495" spans="1:1" x14ac:dyDescent="0.25">
      <c r="A4495" s="66"/>
    </row>
    <row r="4496" spans="1:1" x14ac:dyDescent="0.25">
      <c r="A4496" s="66"/>
    </row>
    <row r="4497" spans="1:1" x14ac:dyDescent="0.25">
      <c r="A4497" s="66"/>
    </row>
    <row r="4498" spans="1:1" x14ac:dyDescent="0.25">
      <c r="A4498" s="66"/>
    </row>
    <row r="4499" spans="1:1" x14ac:dyDescent="0.25">
      <c r="A4499" s="66"/>
    </row>
    <row r="4500" spans="1:1" x14ac:dyDescent="0.25">
      <c r="A4500" s="66"/>
    </row>
    <row r="4501" spans="1:1" x14ac:dyDescent="0.25">
      <c r="A4501" s="66"/>
    </row>
    <row r="4502" spans="1:1" x14ac:dyDescent="0.25">
      <c r="A4502" s="66"/>
    </row>
    <row r="4503" spans="1:1" x14ac:dyDescent="0.25">
      <c r="A4503" s="66"/>
    </row>
    <row r="4504" spans="1:1" x14ac:dyDescent="0.25">
      <c r="A4504" s="66"/>
    </row>
    <row r="4505" spans="1:1" x14ac:dyDescent="0.25">
      <c r="A4505" s="66"/>
    </row>
    <row r="4506" spans="1:1" x14ac:dyDescent="0.25">
      <c r="A4506" s="66"/>
    </row>
    <row r="4507" spans="1:1" x14ac:dyDescent="0.25">
      <c r="A4507" s="66"/>
    </row>
    <row r="4508" spans="1:1" x14ac:dyDescent="0.25">
      <c r="A4508" s="66"/>
    </row>
    <row r="4509" spans="1:1" x14ac:dyDescent="0.25">
      <c r="A4509" s="66"/>
    </row>
    <row r="4510" spans="1:1" x14ac:dyDescent="0.25">
      <c r="A4510" s="66"/>
    </row>
    <row r="4511" spans="1:1" x14ac:dyDescent="0.25">
      <c r="A4511" s="66"/>
    </row>
    <row r="4512" spans="1:1" x14ac:dyDescent="0.25">
      <c r="A4512" s="66"/>
    </row>
    <row r="4513" spans="1:1" x14ac:dyDescent="0.25">
      <c r="A4513" s="66"/>
    </row>
    <row r="4514" spans="1:1" x14ac:dyDescent="0.25">
      <c r="A4514" s="66"/>
    </row>
    <row r="4515" spans="1:1" x14ac:dyDescent="0.25">
      <c r="A4515" s="66"/>
    </row>
    <row r="4516" spans="1:1" x14ac:dyDescent="0.25">
      <c r="A4516" s="66"/>
    </row>
    <row r="4517" spans="1:1" x14ac:dyDescent="0.25">
      <c r="A4517" s="66"/>
    </row>
    <row r="4518" spans="1:1" x14ac:dyDescent="0.25">
      <c r="A4518" s="66"/>
    </row>
    <row r="4519" spans="1:1" x14ac:dyDescent="0.25">
      <c r="A4519" s="66"/>
    </row>
    <row r="4520" spans="1:1" x14ac:dyDescent="0.25">
      <c r="A4520" s="66"/>
    </row>
    <row r="4521" spans="1:1" x14ac:dyDescent="0.25">
      <c r="A4521" s="66"/>
    </row>
    <row r="4522" spans="1:1" x14ac:dyDescent="0.25">
      <c r="A4522" s="66"/>
    </row>
    <row r="4523" spans="1:1" x14ac:dyDescent="0.25">
      <c r="A4523" s="66"/>
    </row>
    <row r="4524" spans="1:1" x14ac:dyDescent="0.25">
      <c r="A4524" s="66"/>
    </row>
    <row r="4525" spans="1:1" x14ac:dyDescent="0.25">
      <c r="A4525" s="66"/>
    </row>
    <row r="4526" spans="1:1" x14ac:dyDescent="0.25">
      <c r="A4526" s="66"/>
    </row>
    <row r="4527" spans="1:1" x14ac:dyDescent="0.25">
      <c r="A4527" s="66"/>
    </row>
    <row r="4528" spans="1:1" x14ac:dyDescent="0.25">
      <c r="A4528" s="66"/>
    </row>
    <row r="4529" spans="1:1" x14ac:dyDescent="0.25">
      <c r="A4529" s="66"/>
    </row>
    <row r="4530" spans="1:1" x14ac:dyDescent="0.25">
      <c r="A4530" s="66"/>
    </row>
    <row r="4531" spans="1:1" x14ac:dyDescent="0.25">
      <c r="A4531" s="66"/>
    </row>
    <row r="4532" spans="1:1" x14ac:dyDescent="0.25">
      <c r="A4532" s="66"/>
    </row>
    <row r="4533" spans="1:1" x14ac:dyDescent="0.25">
      <c r="A4533" s="66"/>
    </row>
    <row r="4534" spans="1:1" x14ac:dyDescent="0.25">
      <c r="A4534" s="66"/>
    </row>
    <row r="4535" spans="1:1" x14ac:dyDescent="0.25">
      <c r="A4535" s="66"/>
    </row>
    <row r="4536" spans="1:1" x14ac:dyDescent="0.25">
      <c r="A4536" s="66"/>
    </row>
    <row r="4537" spans="1:1" x14ac:dyDescent="0.25">
      <c r="A4537" s="66"/>
    </row>
    <row r="4538" spans="1:1" x14ac:dyDescent="0.25">
      <c r="A4538" s="66"/>
    </row>
    <row r="4539" spans="1:1" x14ac:dyDescent="0.25">
      <c r="A4539" s="66"/>
    </row>
    <row r="4540" spans="1:1" x14ac:dyDescent="0.25">
      <c r="A4540" s="66"/>
    </row>
    <row r="4541" spans="1:1" x14ac:dyDescent="0.25">
      <c r="A4541" s="66"/>
    </row>
    <row r="4542" spans="1:1" x14ac:dyDescent="0.25">
      <c r="A4542" s="66"/>
    </row>
    <row r="4543" spans="1:1" x14ac:dyDescent="0.25">
      <c r="A4543" s="66"/>
    </row>
    <row r="4544" spans="1:1" x14ac:dyDescent="0.25">
      <c r="A4544" s="66"/>
    </row>
    <row r="4545" spans="1:1" x14ac:dyDescent="0.25">
      <c r="A4545" s="66"/>
    </row>
    <row r="4546" spans="1:1" x14ac:dyDescent="0.25">
      <c r="A4546" s="66"/>
    </row>
    <row r="4547" spans="1:1" x14ac:dyDescent="0.25">
      <c r="A4547" s="66"/>
    </row>
    <row r="4548" spans="1:1" x14ac:dyDescent="0.25">
      <c r="A4548" s="66"/>
    </row>
    <row r="4549" spans="1:1" x14ac:dyDescent="0.25">
      <c r="A4549" s="66"/>
    </row>
    <row r="4550" spans="1:1" x14ac:dyDescent="0.25">
      <c r="A4550" s="66"/>
    </row>
    <row r="4551" spans="1:1" x14ac:dyDescent="0.25">
      <c r="A4551" s="66"/>
    </row>
    <row r="4552" spans="1:1" x14ac:dyDescent="0.25">
      <c r="A4552" s="66"/>
    </row>
    <row r="4553" spans="1:1" x14ac:dyDescent="0.25">
      <c r="A4553" s="66"/>
    </row>
    <row r="4554" spans="1:1" x14ac:dyDescent="0.25">
      <c r="A4554" s="66"/>
    </row>
    <row r="4555" spans="1:1" x14ac:dyDescent="0.25">
      <c r="A4555" s="66"/>
    </row>
    <row r="4556" spans="1:1" x14ac:dyDescent="0.25">
      <c r="A4556" s="66"/>
    </row>
    <row r="4557" spans="1:1" x14ac:dyDescent="0.25">
      <c r="A4557" s="66"/>
    </row>
    <row r="4558" spans="1:1" x14ac:dyDescent="0.25">
      <c r="A4558" s="66"/>
    </row>
    <row r="4559" spans="1:1" x14ac:dyDescent="0.25">
      <c r="A4559" s="66"/>
    </row>
    <row r="4560" spans="1:1" x14ac:dyDescent="0.25">
      <c r="A4560" s="66"/>
    </row>
    <row r="4561" spans="1:1" x14ac:dyDescent="0.25">
      <c r="A4561" s="66"/>
    </row>
    <row r="4562" spans="1:1" x14ac:dyDescent="0.25">
      <c r="A4562" s="66"/>
    </row>
    <row r="4563" spans="1:1" x14ac:dyDescent="0.25">
      <c r="A4563" s="66"/>
    </row>
    <row r="4564" spans="1:1" x14ac:dyDescent="0.25">
      <c r="A4564" s="66"/>
    </row>
    <row r="4565" spans="1:1" x14ac:dyDescent="0.25">
      <c r="A4565" s="66"/>
    </row>
    <row r="4566" spans="1:1" x14ac:dyDescent="0.25">
      <c r="A4566" s="66"/>
    </row>
    <row r="4567" spans="1:1" x14ac:dyDescent="0.25">
      <c r="A4567" s="66"/>
    </row>
    <row r="4568" spans="1:1" x14ac:dyDescent="0.25">
      <c r="A4568" s="66"/>
    </row>
    <row r="4569" spans="1:1" x14ac:dyDescent="0.25">
      <c r="A4569" s="66"/>
    </row>
    <row r="4570" spans="1:1" x14ac:dyDescent="0.25">
      <c r="A4570" s="66"/>
    </row>
    <row r="4571" spans="1:1" x14ac:dyDescent="0.25">
      <c r="A4571" s="66"/>
    </row>
    <row r="4572" spans="1:1" x14ac:dyDescent="0.25">
      <c r="A4572" s="66"/>
    </row>
    <row r="4573" spans="1:1" x14ac:dyDescent="0.25">
      <c r="A4573" s="66"/>
    </row>
    <row r="4574" spans="1:1" x14ac:dyDescent="0.25">
      <c r="A4574" s="66"/>
    </row>
    <row r="4575" spans="1:1" x14ac:dyDescent="0.25">
      <c r="A4575" s="66"/>
    </row>
    <row r="4576" spans="1:1" x14ac:dyDescent="0.25">
      <c r="A4576" s="66"/>
    </row>
    <row r="4577" spans="1:1" x14ac:dyDescent="0.25">
      <c r="A4577" s="66"/>
    </row>
    <row r="4578" spans="1:1" x14ac:dyDescent="0.25">
      <c r="A4578" s="66"/>
    </row>
    <row r="4579" spans="1:1" x14ac:dyDescent="0.25">
      <c r="A4579" s="66"/>
    </row>
    <row r="4580" spans="1:1" x14ac:dyDescent="0.25">
      <c r="A4580" s="66"/>
    </row>
    <row r="4581" spans="1:1" x14ac:dyDescent="0.25">
      <c r="A4581" s="66"/>
    </row>
    <row r="4582" spans="1:1" x14ac:dyDescent="0.25">
      <c r="A4582" s="66"/>
    </row>
    <row r="4583" spans="1:1" x14ac:dyDescent="0.25">
      <c r="A4583" s="66"/>
    </row>
    <row r="4584" spans="1:1" x14ac:dyDescent="0.25">
      <c r="A4584" s="66"/>
    </row>
    <row r="4585" spans="1:1" x14ac:dyDescent="0.25">
      <c r="A4585" s="66"/>
    </row>
    <row r="4586" spans="1:1" x14ac:dyDescent="0.25">
      <c r="A4586" s="66"/>
    </row>
    <row r="4587" spans="1:1" x14ac:dyDescent="0.25">
      <c r="A4587" s="66"/>
    </row>
    <row r="4588" spans="1:1" x14ac:dyDescent="0.25">
      <c r="A4588" s="66"/>
    </row>
    <row r="4589" spans="1:1" x14ac:dyDescent="0.25">
      <c r="A4589" s="66"/>
    </row>
    <row r="4590" spans="1:1" x14ac:dyDescent="0.25">
      <c r="A4590" s="66"/>
    </row>
    <row r="4591" spans="1:1" x14ac:dyDescent="0.25">
      <c r="A4591" s="66"/>
    </row>
    <row r="4592" spans="1:1" x14ac:dyDescent="0.25">
      <c r="A4592" s="66"/>
    </row>
    <row r="4593" spans="1:1" x14ac:dyDescent="0.25">
      <c r="A4593" s="66"/>
    </row>
    <row r="4594" spans="1:1" x14ac:dyDescent="0.25">
      <c r="A4594" s="66"/>
    </row>
    <row r="4595" spans="1:1" x14ac:dyDescent="0.25">
      <c r="A4595" s="66"/>
    </row>
    <row r="4596" spans="1:1" x14ac:dyDescent="0.25">
      <c r="A4596" s="66"/>
    </row>
    <row r="4597" spans="1:1" x14ac:dyDescent="0.25">
      <c r="A4597" s="66"/>
    </row>
    <row r="4598" spans="1:1" x14ac:dyDescent="0.25">
      <c r="A4598" s="66"/>
    </row>
    <row r="4599" spans="1:1" x14ac:dyDescent="0.25">
      <c r="A4599" s="66"/>
    </row>
    <row r="4600" spans="1:1" x14ac:dyDescent="0.25">
      <c r="A4600" s="66"/>
    </row>
    <row r="4601" spans="1:1" x14ac:dyDescent="0.25">
      <c r="A4601" s="66"/>
    </row>
    <row r="4602" spans="1:1" x14ac:dyDescent="0.25">
      <c r="A4602" s="66"/>
    </row>
    <row r="4603" spans="1:1" x14ac:dyDescent="0.25">
      <c r="A4603" s="66"/>
    </row>
    <row r="4604" spans="1:1" x14ac:dyDescent="0.25">
      <c r="A4604" s="66"/>
    </row>
    <row r="4605" spans="1:1" x14ac:dyDescent="0.25">
      <c r="A4605" s="66"/>
    </row>
    <row r="4606" spans="1:1" x14ac:dyDescent="0.25">
      <c r="A4606" s="66"/>
    </row>
    <row r="4607" spans="1:1" x14ac:dyDescent="0.25">
      <c r="A4607" s="66"/>
    </row>
    <row r="4608" spans="1:1" x14ac:dyDescent="0.25">
      <c r="A4608" s="66"/>
    </row>
    <row r="4609" spans="1:1" x14ac:dyDescent="0.25">
      <c r="A4609" s="66"/>
    </row>
    <row r="4610" spans="1:1" x14ac:dyDescent="0.25">
      <c r="A4610" s="66"/>
    </row>
    <row r="4611" spans="1:1" x14ac:dyDescent="0.25">
      <c r="A4611" s="66"/>
    </row>
    <row r="4612" spans="1:1" x14ac:dyDescent="0.25">
      <c r="A4612" s="66"/>
    </row>
    <row r="4613" spans="1:1" x14ac:dyDescent="0.25">
      <c r="A4613" s="66"/>
    </row>
    <row r="4614" spans="1:1" x14ac:dyDescent="0.25">
      <c r="A4614" s="66"/>
    </row>
    <row r="4615" spans="1:1" x14ac:dyDescent="0.25">
      <c r="A4615" s="66"/>
    </row>
    <row r="4616" spans="1:1" x14ac:dyDescent="0.25">
      <c r="A4616" s="66"/>
    </row>
    <row r="4617" spans="1:1" x14ac:dyDescent="0.25">
      <c r="A4617" s="66"/>
    </row>
    <row r="4618" spans="1:1" x14ac:dyDescent="0.25">
      <c r="A4618" s="66"/>
    </row>
    <row r="4619" spans="1:1" x14ac:dyDescent="0.25">
      <c r="A4619" s="66"/>
    </row>
    <row r="4620" spans="1:1" x14ac:dyDescent="0.25">
      <c r="A4620" s="66"/>
    </row>
    <row r="4621" spans="1:1" x14ac:dyDescent="0.25">
      <c r="A4621" s="66"/>
    </row>
    <row r="4622" spans="1:1" x14ac:dyDescent="0.25">
      <c r="A4622" s="66"/>
    </row>
    <row r="4623" spans="1:1" x14ac:dyDescent="0.25">
      <c r="A4623" s="66"/>
    </row>
    <row r="4624" spans="1:1" x14ac:dyDescent="0.25">
      <c r="A4624" s="66"/>
    </row>
    <row r="4625" spans="1:1" x14ac:dyDescent="0.25">
      <c r="A4625" s="66"/>
    </row>
    <row r="4626" spans="1:1" x14ac:dyDescent="0.25">
      <c r="A4626" s="66"/>
    </row>
    <row r="4627" spans="1:1" x14ac:dyDescent="0.25">
      <c r="A4627" s="66"/>
    </row>
    <row r="4628" spans="1:1" x14ac:dyDescent="0.25">
      <c r="A4628" s="66"/>
    </row>
    <row r="4629" spans="1:1" x14ac:dyDescent="0.25">
      <c r="A4629" s="66"/>
    </row>
    <row r="4630" spans="1:1" x14ac:dyDescent="0.25">
      <c r="A4630" s="66"/>
    </row>
    <row r="4631" spans="1:1" x14ac:dyDescent="0.25">
      <c r="A4631" s="66"/>
    </row>
    <row r="4632" spans="1:1" x14ac:dyDescent="0.25">
      <c r="A4632" s="66"/>
    </row>
    <row r="4633" spans="1:1" x14ac:dyDescent="0.25">
      <c r="A4633" s="66"/>
    </row>
    <row r="4634" spans="1:1" x14ac:dyDescent="0.25">
      <c r="A4634" s="66"/>
    </row>
    <row r="4635" spans="1:1" x14ac:dyDescent="0.25">
      <c r="A4635" s="66"/>
    </row>
    <row r="4636" spans="1:1" x14ac:dyDescent="0.25">
      <c r="A4636" s="66"/>
    </row>
    <row r="4637" spans="1:1" x14ac:dyDescent="0.25">
      <c r="A4637" s="66"/>
    </row>
    <row r="4638" spans="1:1" x14ac:dyDescent="0.25">
      <c r="A4638" s="66"/>
    </row>
    <row r="4639" spans="1:1" x14ac:dyDescent="0.25">
      <c r="A4639" s="66"/>
    </row>
    <row r="4640" spans="1:1" x14ac:dyDescent="0.25">
      <c r="A4640" s="66"/>
    </row>
    <row r="4641" spans="1:1" x14ac:dyDescent="0.25">
      <c r="A4641" s="66"/>
    </row>
    <row r="4642" spans="1:1" x14ac:dyDescent="0.25">
      <c r="A4642" s="66"/>
    </row>
    <row r="4643" spans="1:1" x14ac:dyDescent="0.25">
      <c r="A4643" s="66"/>
    </row>
    <row r="4644" spans="1:1" x14ac:dyDescent="0.25">
      <c r="A4644" s="66"/>
    </row>
    <row r="4645" spans="1:1" x14ac:dyDescent="0.25">
      <c r="A4645" s="66"/>
    </row>
    <row r="4646" spans="1:1" x14ac:dyDescent="0.25">
      <c r="A4646" s="66"/>
    </row>
    <row r="4647" spans="1:1" x14ac:dyDescent="0.25">
      <c r="A4647" s="66"/>
    </row>
    <row r="4648" spans="1:1" x14ac:dyDescent="0.25">
      <c r="A4648" s="66"/>
    </row>
    <row r="4649" spans="1:1" x14ac:dyDescent="0.25">
      <c r="A4649" s="66"/>
    </row>
    <row r="4650" spans="1:1" x14ac:dyDescent="0.25">
      <c r="A4650" s="66"/>
    </row>
    <row r="4651" spans="1:1" x14ac:dyDescent="0.25">
      <c r="A4651" s="66"/>
    </row>
    <row r="4652" spans="1:1" x14ac:dyDescent="0.25">
      <c r="A4652" s="66"/>
    </row>
    <row r="4653" spans="1:1" x14ac:dyDescent="0.25">
      <c r="A4653" s="66"/>
    </row>
    <row r="4654" spans="1:1" x14ac:dyDescent="0.25">
      <c r="A4654" s="66"/>
    </row>
    <row r="4655" spans="1:1" x14ac:dyDescent="0.25">
      <c r="A4655" s="66"/>
    </row>
    <row r="4656" spans="1:1" x14ac:dyDescent="0.25">
      <c r="A4656" s="66"/>
    </row>
    <row r="4657" spans="1:1" x14ac:dyDescent="0.25">
      <c r="A4657" s="66"/>
    </row>
    <row r="4658" spans="1:1" x14ac:dyDescent="0.25">
      <c r="A4658" s="66"/>
    </row>
    <row r="4659" spans="1:1" x14ac:dyDescent="0.25">
      <c r="A4659" s="66"/>
    </row>
    <row r="4660" spans="1:1" x14ac:dyDescent="0.25">
      <c r="A4660" s="66"/>
    </row>
    <row r="4661" spans="1:1" x14ac:dyDescent="0.25">
      <c r="A4661" s="66"/>
    </row>
    <row r="4662" spans="1:1" x14ac:dyDescent="0.25">
      <c r="A4662" s="66"/>
    </row>
    <row r="4663" spans="1:1" x14ac:dyDescent="0.25">
      <c r="A4663" s="66"/>
    </row>
    <row r="4664" spans="1:1" x14ac:dyDescent="0.25">
      <c r="A4664" s="66"/>
    </row>
    <row r="4665" spans="1:1" x14ac:dyDescent="0.25">
      <c r="A4665" s="66"/>
    </row>
    <row r="4666" spans="1:1" x14ac:dyDescent="0.25">
      <c r="A4666" s="66"/>
    </row>
    <row r="4667" spans="1:1" x14ac:dyDescent="0.25">
      <c r="A4667" s="66"/>
    </row>
    <row r="4668" spans="1:1" x14ac:dyDescent="0.25">
      <c r="A4668" s="66"/>
    </row>
    <row r="4669" spans="1:1" x14ac:dyDescent="0.25">
      <c r="A4669" s="66"/>
    </row>
    <row r="4670" spans="1:1" x14ac:dyDescent="0.25">
      <c r="A4670" s="66"/>
    </row>
    <row r="4671" spans="1:1" x14ac:dyDescent="0.25">
      <c r="A4671" s="66"/>
    </row>
    <row r="4672" spans="1:1" x14ac:dyDescent="0.25">
      <c r="A4672" s="66"/>
    </row>
    <row r="4673" spans="1:1" x14ac:dyDescent="0.25">
      <c r="A4673" s="66"/>
    </row>
    <row r="4674" spans="1:1" x14ac:dyDescent="0.25">
      <c r="A4674" s="66"/>
    </row>
    <row r="4675" spans="1:1" x14ac:dyDescent="0.25">
      <c r="A4675" s="66"/>
    </row>
    <row r="4676" spans="1:1" x14ac:dyDescent="0.25">
      <c r="A4676" s="66"/>
    </row>
    <row r="4677" spans="1:1" x14ac:dyDescent="0.25">
      <c r="A4677" s="66"/>
    </row>
    <row r="4678" spans="1:1" x14ac:dyDescent="0.25">
      <c r="A4678" s="66"/>
    </row>
    <row r="4679" spans="1:1" x14ac:dyDescent="0.25">
      <c r="A4679" s="66"/>
    </row>
    <row r="4680" spans="1:1" x14ac:dyDescent="0.25">
      <c r="A4680" s="66"/>
    </row>
    <row r="4681" spans="1:1" x14ac:dyDescent="0.25">
      <c r="A4681" s="66"/>
    </row>
    <row r="4682" spans="1:1" x14ac:dyDescent="0.25">
      <c r="A4682" s="66"/>
    </row>
    <row r="4683" spans="1:1" x14ac:dyDescent="0.25">
      <c r="A4683" s="66"/>
    </row>
    <row r="4684" spans="1:1" x14ac:dyDescent="0.25">
      <c r="A4684" s="66"/>
    </row>
    <row r="4685" spans="1:1" x14ac:dyDescent="0.25">
      <c r="A4685" s="66"/>
    </row>
    <row r="4686" spans="1:1" x14ac:dyDescent="0.25">
      <c r="A4686" s="66"/>
    </row>
    <row r="4687" spans="1:1" x14ac:dyDescent="0.25">
      <c r="A4687" s="66"/>
    </row>
    <row r="4688" spans="1:1" x14ac:dyDescent="0.25">
      <c r="A4688" s="66"/>
    </row>
    <row r="4689" spans="1:1" x14ac:dyDescent="0.25">
      <c r="A4689" s="66"/>
    </row>
    <row r="4690" spans="1:1" x14ac:dyDescent="0.25">
      <c r="A4690" s="66"/>
    </row>
    <row r="4691" spans="1:1" x14ac:dyDescent="0.25">
      <c r="A4691" s="66"/>
    </row>
    <row r="4692" spans="1:1" x14ac:dyDescent="0.25">
      <c r="A4692" s="66"/>
    </row>
    <row r="4693" spans="1:1" x14ac:dyDescent="0.25">
      <c r="A4693" s="66"/>
    </row>
    <row r="4694" spans="1:1" x14ac:dyDescent="0.25">
      <c r="A4694" s="66"/>
    </row>
    <row r="4695" spans="1:1" x14ac:dyDescent="0.25">
      <c r="A4695" s="66"/>
    </row>
    <row r="4696" spans="1:1" x14ac:dyDescent="0.25">
      <c r="A4696" s="66"/>
    </row>
    <row r="4697" spans="1:1" x14ac:dyDescent="0.25">
      <c r="A4697" s="66"/>
    </row>
    <row r="4698" spans="1:1" x14ac:dyDescent="0.25">
      <c r="A4698" s="66"/>
    </row>
    <row r="4699" spans="1:1" x14ac:dyDescent="0.25">
      <c r="A4699" s="66"/>
    </row>
    <row r="4700" spans="1:1" x14ac:dyDescent="0.25">
      <c r="A4700" s="66"/>
    </row>
    <row r="4701" spans="1:1" x14ac:dyDescent="0.25">
      <c r="A4701" s="66"/>
    </row>
    <row r="4702" spans="1:1" x14ac:dyDescent="0.25">
      <c r="A4702" s="66"/>
    </row>
    <row r="4703" spans="1:1" x14ac:dyDescent="0.25">
      <c r="A4703" s="66"/>
    </row>
    <row r="4704" spans="1:1" x14ac:dyDescent="0.25">
      <c r="A4704" s="66"/>
    </row>
    <row r="4705" spans="1:1" x14ac:dyDescent="0.25">
      <c r="A4705" s="66"/>
    </row>
    <row r="4706" spans="1:1" x14ac:dyDescent="0.25">
      <c r="A4706" s="66"/>
    </row>
    <row r="4707" spans="1:1" x14ac:dyDescent="0.25">
      <c r="A4707" s="66"/>
    </row>
    <row r="4708" spans="1:1" x14ac:dyDescent="0.25">
      <c r="A4708" s="66"/>
    </row>
    <row r="4709" spans="1:1" x14ac:dyDescent="0.25">
      <c r="A4709" s="66"/>
    </row>
    <row r="4710" spans="1:1" x14ac:dyDescent="0.25">
      <c r="A4710" s="66"/>
    </row>
    <row r="4711" spans="1:1" x14ac:dyDescent="0.25">
      <c r="A4711" s="66"/>
    </row>
    <row r="4712" spans="1:1" x14ac:dyDescent="0.25">
      <c r="A4712" s="66"/>
    </row>
    <row r="4713" spans="1:1" x14ac:dyDescent="0.25">
      <c r="A4713" s="66"/>
    </row>
    <row r="4714" spans="1:1" x14ac:dyDescent="0.25">
      <c r="A4714" s="66"/>
    </row>
    <row r="4715" spans="1:1" x14ac:dyDescent="0.25">
      <c r="A4715" s="66"/>
    </row>
    <row r="4716" spans="1:1" x14ac:dyDescent="0.25">
      <c r="A4716" s="66"/>
    </row>
    <row r="4717" spans="1:1" x14ac:dyDescent="0.25">
      <c r="A4717" s="66"/>
    </row>
    <row r="4718" spans="1:1" x14ac:dyDescent="0.25">
      <c r="A4718" s="66"/>
    </row>
    <row r="4719" spans="1:1" x14ac:dyDescent="0.25">
      <c r="A4719" s="66"/>
    </row>
    <row r="4720" spans="1:1" x14ac:dyDescent="0.25">
      <c r="A4720" s="66"/>
    </row>
    <row r="4721" spans="1:1" x14ac:dyDescent="0.25">
      <c r="A4721" s="66"/>
    </row>
    <row r="4722" spans="1:1" x14ac:dyDescent="0.25">
      <c r="A4722" s="66"/>
    </row>
    <row r="4723" spans="1:1" x14ac:dyDescent="0.25">
      <c r="A4723" s="66"/>
    </row>
    <row r="4724" spans="1:1" x14ac:dyDescent="0.25">
      <c r="A4724" s="66"/>
    </row>
    <row r="4725" spans="1:1" x14ac:dyDescent="0.25">
      <c r="A4725" s="66"/>
    </row>
    <row r="4726" spans="1:1" x14ac:dyDescent="0.25">
      <c r="A4726" s="66"/>
    </row>
    <row r="4727" spans="1:1" x14ac:dyDescent="0.25">
      <c r="A4727" s="66"/>
    </row>
    <row r="4728" spans="1:1" x14ac:dyDescent="0.25">
      <c r="A4728" s="66"/>
    </row>
    <row r="4729" spans="1:1" x14ac:dyDescent="0.25">
      <c r="A4729" s="66"/>
    </row>
    <row r="4730" spans="1:1" x14ac:dyDescent="0.25">
      <c r="A4730" s="66"/>
    </row>
    <row r="4731" spans="1:1" x14ac:dyDescent="0.25">
      <c r="A4731" s="66"/>
    </row>
    <row r="4732" spans="1:1" x14ac:dyDescent="0.25">
      <c r="A4732" s="66"/>
    </row>
    <row r="4733" spans="1:1" x14ac:dyDescent="0.25">
      <c r="A4733" s="66"/>
    </row>
    <row r="4734" spans="1:1" x14ac:dyDescent="0.25">
      <c r="A4734" s="66"/>
    </row>
    <row r="4735" spans="1:1" x14ac:dyDescent="0.25">
      <c r="A4735" s="66"/>
    </row>
    <row r="4736" spans="1:1" x14ac:dyDescent="0.25">
      <c r="A4736" s="66"/>
    </row>
    <row r="4737" spans="1:1" x14ac:dyDescent="0.25">
      <c r="A4737" s="66"/>
    </row>
    <row r="4738" spans="1:1" x14ac:dyDescent="0.25">
      <c r="A4738" s="66"/>
    </row>
    <row r="4739" spans="1:1" x14ac:dyDescent="0.25">
      <c r="A4739" s="66"/>
    </row>
    <row r="4740" spans="1:1" x14ac:dyDescent="0.25">
      <c r="A4740" s="66"/>
    </row>
    <row r="4741" spans="1:1" x14ac:dyDescent="0.25">
      <c r="A4741" s="66"/>
    </row>
    <row r="4742" spans="1:1" x14ac:dyDescent="0.25">
      <c r="A4742" s="66"/>
    </row>
    <row r="4743" spans="1:1" x14ac:dyDescent="0.25">
      <c r="A4743" s="66"/>
    </row>
    <row r="4744" spans="1:1" x14ac:dyDescent="0.25">
      <c r="A4744" s="66"/>
    </row>
    <row r="4745" spans="1:1" x14ac:dyDescent="0.25">
      <c r="A4745" s="66"/>
    </row>
    <row r="4746" spans="1:1" x14ac:dyDescent="0.25">
      <c r="A4746" s="66"/>
    </row>
    <row r="4747" spans="1:1" x14ac:dyDescent="0.25">
      <c r="A4747" s="66"/>
    </row>
    <row r="4748" spans="1:1" x14ac:dyDescent="0.25">
      <c r="A4748" s="66"/>
    </row>
    <row r="4749" spans="1:1" x14ac:dyDescent="0.25">
      <c r="A4749" s="66"/>
    </row>
    <row r="4750" spans="1:1" x14ac:dyDescent="0.25">
      <c r="A4750" s="66"/>
    </row>
    <row r="4751" spans="1:1" x14ac:dyDescent="0.25">
      <c r="A4751" s="66"/>
    </row>
    <row r="4752" spans="1:1" x14ac:dyDescent="0.25">
      <c r="A4752" s="66"/>
    </row>
    <row r="4753" spans="1:1" x14ac:dyDescent="0.25">
      <c r="A4753" s="66"/>
    </row>
    <row r="4754" spans="1:1" x14ac:dyDescent="0.25">
      <c r="A4754" s="66"/>
    </row>
    <row r="4755" spans="1:1" x14ac:dyDescent="0.25">
      <c r="A4755" s="66"/>
    </row>
    <row r="4756" spans="1:1" x14ac:dyDescent="0.25">
      <c r="A4756" s="66"/>
    </row>
    <row r="4757" spans="1:1" x14ac:dyDescent="0.25">
      <c r="A4757" s="66"/>
    </row>
    <row r="4758" spans="1:1" x14ac:dyDescent="0.25">
      <c r="A4758" s="66"/>
    </row>
    <row r="4759" spans="1:1" x14ac:dyDescent="0.25">
      <c r="A4759" s="66"/>
    </row>
    <row r="4760" spans="1:1" x14ac:dyDescent="0.25">
      <c r="A4760" s="66"/>
    </row>
    <row r="4761" spans="1:1" x14ac:dyDescent="0.25">
      <c r="A4761" s="66"/>
    </row>
    <row r="4762" spans="1:1" x14ac:dyDescent="0.25">
      <c r="A4762" s="66"/>
    </row>
    <row r="4763" spans="1:1" x14ac:dyDescent="0.25">
      <c r="A4763" s="66"/>
    </row>
    <row r="4764" spans="1:1" x14ac:dyDescent="0.25">
      <c r="A4764" s="66"/>
    </row>
    <row r="4765" spans="1:1" x14ac:dyDescent="0.25">
      <c r="A4765" s="66"/>
    </row>
    <row r="4766" spans="1:1" x14ac:dyDescent="0.25">
      <c r="A4766" s="66"/>
    </row>
    <row r="4767" spans="1:1" x14ac:dyDescent="0.25">
      <c r="A4767" s="66"/>
    </row>
    <row r="4768" spans="1:1" x14ac:dyDescent="0.25">
      <c r="A4768" s="66"/>
    </row>
    <row r="4769" spans="1:1" x14ac:dyDescent="0.25">
      <c r="A4769" s="66"/>
    </row>
    <row r="4770" spans="1:1" x14ac:dyDescent="0.25">
      <c r="A4770" s="66"/>
    </row>
    <row r="4771" spans="1:1" x14ac:dyDescent="0.25">
      <c r="A4771" s="66"/>
    </row>
    <row r="4772" spans="1:1" x14ac:dyDescent="0.25">
      <c r="A4772" s="66"/>
    </row>
    <row r="4773" spans="1:1" x14ac:dyDescent="0.25">
      <c r="A4773" s="66"/>
    </row>
    <row r="4774" spans="1:1" x14ac:dyDescent="0.25">
      <c r="A4774" s="66"/>
    </row>
    <row r="4775" spans="1:1" x14ac:dyDescent="0.25">
      <c r="A4775" s="66"/>
    </row>
    <row r="4776" spans="1:1" x14ac:dyDescent="0.25">
      <c r="A4776" s="66"/>
    </row>
    <row r="4777" spans="1:1" x14ac:dyDescent="0.25">
      <c r="A4777" s="66"/>
    </row>
    <row r="4778" spans="1:1" x14ac:dyDescent="0.25">
      <c r="A4778" s="66"/>
    </row>
    <row r="4779" spans="1:1" x14ac:dyDescent="0.25">
      <c r="A4779" s="66"/>
    </row>
    <row r="4780" spans="1:1" x14ac:dyDescent="0.25">
      <c r="A4780" s="66"/>
    </row>
    <row r="4781" spans="1:1" x14ac:dyDescent="0.25">
      <c r="A4781" s="66"/>
    </row>
    <row r="4782" spans="1:1" x14ac:dyDescent="0.25">
      <c r="A4782" s="66"/>
    </row>
    <row r="4783" spans="1:1" x14ac:dyDescent="0.25">
      <c r="A4783" s="66"/>
    </row>
    <row r="4784" spans="1:1" x14ac:dyDescent="0.25">
      <c r="A4784" s="66"/>
    </row>
    <row r="4785" spans="1:1" x14ac:dyDescent="0.25">
      <c r="A4785" s="66"/>
    </row>
    <row r="4786" spans="1:1" x14ac:dyDescent="0.25">
      <c r="A4786" s="66"/>
    </row>
    <row r="4787" spans="1:1" x14ac:dyDescent="0.25">
      <c r="A4787" s="66"/>
    </row>
    <row r="4788" spans="1:1" x14ac:dyDescent="0.25">
      <c r="A4788" s="66"/>
    </row>
    <row r="4789" spans="1:1" x14ac:dyDescent="0.25">
      <c r="A4789" s="66"/>
    </row>
    <row r="4790" spans="1:1" x14ac:dyDescent="0.25">
      <c r="A4790" s="66"/>
    </row>
    <row r="4791" spans="1:1" x14ac:dyDescent="0.25">
      <c r="A4791" s="66"/>
    </row>
    <row r="4792" spans="1:1" x14ac:dyDescent="0.25">
      <c r="A4792" s="66"/>
    </row>
    <row r="4793" spans="1:1" x14ac:dyDescent="0.25">
      <c r="A4793" s="66"/>
    </row>
    <row r="4794" spans="1:1" x14ac:dyDescent="0.25">
      <c r="A4794" s="66"/>
    </row>
    <row r="4795" spans="1:1" x14ac:dyDescent="0.25">
      <c r="A4795" s="66"/>
    </row>
    <row r="4796" spans="1:1" x14ac:dyDescent="0.25">
      <c r="A4796" s="66"/>
    </row>
    <row r="4797" spans="1:1" x14ac:dyDescent="0.25">
      <c r="A4797" s="66"/>
    </row>
    <row r="4798" spans="1:1" x14ac:dyDescent="0.25">
      <c r="A4798" s="66"/>
    </row>
    <row r="4799" spans="1:1" x14ac:dyDescent="0.25">
      <c r="A4799" s="66"/>
    </row>
    <row r="4800" spans="1:1" x14ac:dyDescent="0.25">
      <c r="A4800" s="66"/>
    </row>
    <row r="4801" spans="1:1" x14ac:dyDescent="0.25">
      <c r="A4801" s="66"/>
    </row>
    <row r="4802" spans="1:1" x14ac:dyDescent="0.25">
      <c r="A4802" s="66"/>
    </row>
    <row r="4803" spans="1:1" x14ac:dyDescent="0.25">
      <c r="A4803" s="66"/>
    </row>
    <row r="4804" spans="1:1" x14ac:dyDescent="0.25">
      <c r="A4804" s="66"/>
    </row>
    <row r="4805" spans="1:1" x14ac:dyDescent="0.25">
      <c r="A4805" s="66"/>
    </row>
    <row r="4806" spans="1:1" x14ac:dyDescent="0.25">
      <c r="A4806" s="66"/>
    </row>
    <row r="4807" spans="1:1" x14ac:dyDescent="0.25">
      <c r="A4807" s="66"/>
    </row>
    <row r="4808" spans="1:1" x14ac:dyDescent="0.25">
      <c r="A4808" s="66"/>
    </row>
    <row r="4809" spans="1:1" x14ac:dyDescent="0.25">
      <c r="A4809" s="66"/>
    </row>
    <row r="4810" spans="1:1" x14ac:dyDescent="0.25">
      <c r="A4810" s="66"/>
    </row>
    <row r="4811" spans="1:1" x14ac:dyDescent="0.25">
      <c r="A4811" s="66"/>
    </row>
    <row r="4812" spans="1:1" x14ac:dyDescent="0.25">
      <c r="A4812" s="66"/>
    </row>
    <row r="4813" spans="1:1" x14ac:dyDescent="0.25">
      <c r="A4813" s="66"/>
    </row>
    <row r="4814" spans="1:1" x14ac:dyDescent="0.25">
      <c r="A4814" s="66"/>
    </row>
    <row r="4815" spans="1:1" x14ac:dyDescent="0.25">
      <c r="A4815" s="66"/>
    </row>
    <row r="4816" spans="1:1" x14ac:dyDescent="0.25">
      <c r="A4816" s="66"/>
    </row>
    <row r="4817" spans="1:1" x14ac:dyDescent="0.25">
      <c r="A4817" s="66"/>
    </row>
    <row r="4818" spans="1:1" x14ac:dyDescent="0.25">
      <c r="A4818" s="66"/>
    </row>
    <row r="4819" spans="1:1" x14ac:dyDescent="0.25">
      <c r="A4819" s="66"/>
    </row>
    <row r="4820" spans="1:1" x14ac:dyDescent="0.25">
      <c r="A4820" s="66"/>
    </row>
    <row r="4821" spans="1:1" x14ac:dyDescent="0.25">
      <c r="A4821" s="66"/>
    </row>
    <row r="4822" spans="1:1" x14ac:dyDescent="0.25">
      <c r="A4822" s="66"/>
    </row>
    <row r="4823" spans="1:1" x14ac:dyDescent="0.25">
      <c r="A4823" s="66"/>
    </row>
    <row r="4824" spans="1:1" x14ac:dyDescent="0.25">
      <c r="A4824" s="66"/>
    </row>
    <row r="4825" spans="1:1" x14ac:dyDescent="0.25">
      <c r="A4825" s="66"/>
    </row>
    <row r="4826" spans="1:1" x14ac:dyDescent="0.25">
      <c r="A4826" s="66"/>
    </row>
    <row r="4827" spans="1:1" x14ac:dyDescent="0.25">
      <c r="A4827" s="66"/>
    </row>
    <row r="4828" spans="1:1" x14ac:dyDescent="0.25">
      <c r="A4828" s="66"/>
    </row>
    <row r="4829" spans="1:1" x14ac:dyDescent="0.25">
      <c r="A4829" s="66"/>
    </row>
    <row r="4830" spans="1:1" x14ac:dyDescent="0.25">
      <c r="A4830" s="66"/>
    </row>
    <row r="4831" spans="1:1" x14ac:dyDescent="0.25">
      <c r="A4831" s="66"/>
    </row>
    <row r="4832" spans="1:1" x14ac:dyDescent="0.25">
      <c r="A4832" s="66"/>
    </row>
    <row r="4833" spans="1:1" x14ac:dyDescent="0.25">
      <c r="A4833" s="66"/>
    </row>
    <row r="4834" spans="1:1" x14ac:dyDescent="0.25">
      <c r="A4834" s="66"/>
    </row>
    <row r="4835" spans="1:1" x14ac:dyDescent="0.25">
      <c r="A4835" s="66"/>
    </row>
    <row r="4836" spans="1:1" x14ac:dyDescent="0.25">
      <c r="A4836" s="66"/>
    </row>
    <row r="4837" spans="1:1" x14ac:dyDescent="0.25">
      <c r="A4837" s="66"/>
    </row>
    <row r="4838" spans="1:1" x14ac:dyDescent="0.25">
      <c r="A4838" s="66"/>
    </row>
    <row r="4839" spans="1:1" x14ac:dyDescent="0.25">
      <c r="A4839" s="66"/>
    </row>
    <row r="4840" spans="1:1" x14ac:dyDescent="0.25">
      <c r="A4840" s="66"/>
    </row>
    <row r="4841" spans="1:1" x14ac:dyDescent="0.25">
      <c r="A4841" s="66"/>
    </row>
    <row r="4842" spans="1:1" x14ac:dyDescent="0.25">
      <c r="A4842" s="66"/>
    </row>
    <row r="4843" spans="1:1" x14ac:dyDescent="0.25">
      <c r="A4843" s="66"/>
    </row>
    <row r="4844" spans="1:1" x14ac:dyDescent="0.25">
      <c r="A4844" s="66"/>
    </row>
    <row r="4845" spans="1:1" x14ac:dyDescent="0.25">
      <c r="A4845" s="66"/>
    </row>
    <row r="4846" spans="1:1" x14ac:dyDescent="0.25">
      <c r="A4846" s="66"/>
    </row>
    <row r="4847" spans="1:1" x14ac:dyDescent="0.25">
      <c r="A4847" s="66"/>
    </row>
    <row r="4848" spans="1:1" x14ac:dyDescent="0.25">
      <c r="A4848" s="66"/>
    </row>
    <row r="4849" spans="1:1" x14ac:dyDescent="0.25">
      <c r="A4849" s="66"/>
    </row>
    <row r="4850" spans="1:1" x14ac:dyDescent="0.25">
      <c r="A4850" s="66"/>
    </row>
    <row r="4851" spans="1:1" x14ac:dyDescent="0.25">
      <c r="A4851" s="66"/>
    </row>
    <row r="4852" spans="1:1" x14ac:dyDescent="0.25">
      <c r="A4852" s="66"/>
    </row>
    <row r="4853" spans="1:1" x14ac:dyDescent="0.25">
      <c r="A4853" s="66"/>
    </row>
    <row r="4854" spans="1:1" x14ac:dyDescent="0.25">
      <c r="A4854" s="66"/>
    </row>
    <row r="4855" spans="1:1" x14ac:dyDescent="0.25">
      <c r="A4855" s="66"/>
    </row>
    <row r="4856" spans="1:1" x14ac:dyDescent="0.25">
      <c r="A4856" s="66"/>
    </row>
    <row r="4857" spans="1:1" x14ac:dyDescent="0.25">
      <c r="A4857" s="66"/>
    </row>
    <row r="4858" spans="1:1" x14ac:dyDescent="0.25">
      <c r="A4858" s="66"/>
    </row>
    <row r="4859" spans="1:1" x14ac:dyDescent="0.25">
      <c r="A4859" s="66"/>
    </row>
    <row r="4860" spans="1:1" x14ac:dyDescent="0.25">
      <c r="A4860" s="66"/>
    </row>
    <row r="4861" spans="1:1" x14ac:dyDescent="0.25">
      <c r="A4861" s="66"/>
    </row>
    <row r="4862" spans="1:1" x14ac:dyDescent="0.25">
      <c r="A4862" s="66"/>
    </row>
    <row r="4863" spans="1:1" x14ac:dyDescent="0.25">
      <c r="A4863" s="66"/>
    </row>
    <row r="4864" spans="1:1" x14ac:dyDescent="0.25">
      <c r="A4864" s="66"/>
    </row>
    <row r="4865" spans="1:1" x14ac:dyDescent="0.25">
      <c r="A4865" s="66"/>
    </row>
    <row r="4866" spans="1:1" x14ac:dyDescent="0.25">
      <c r="A4866" s="66"/>
    </row>
    <row r="4867" spans="1:1" x14ac:dyDescent="0.25">
      <c r="A4867" s="66"/>
    </row>
    <row r="4868" spans="1:1" x14ac:dyDescent="0.25">
      <c r="A4868" s="66"/>
    </row>
    <row r="4869" spans="1:1" x14ac:dyDescent="0.25">
      <c r="A4869" s="66"/>
    </row>
    <row r="4870" spans="1:1" x14ac:dyDescent="0.25">
      <c r="A4870" s="66"/>
    </row>
    <row r="4871" spans="1:1" x14ac:dyDescent="0.25">
      <c r="A4871" s="66"/>
    </row>
    <row r="4872" spans="1:1" x14ac:dyDescent="0.25">
      <c r="A4872" s="66"/>
    </row>
    <row r="4873" spans="1:1" x14ac:dyDescent="0.25">
      <c r="A4873" s="66"/>
    </row>
    <row r="4874" spans="1:1" x14ac:dyDescent="0.25">
      <c r="A4874" s="66"/>
    </row>
    <row r="4875" spans="1:1" x14ac:dyDescent="0.25">
      <c r="A4875" s="66"/>
    </row>
    <row r="4876" spans="1:1" x14ac:dyDescent="0.25">
      <c r="A4876" s="66"/>
    </row>
    <row r="4877" spans="1:1" x14ac:dyDescent="0.25">
      <c r="A4877" s="66"/>
    </row>
    <row r="4878" spans="1:1" x14ac:dyDescent="0.25">
      <c r="A4878" s="66"/>
    </row>
    <row r="4879" spans="1:1" x14ac:dyDescent="0.25">
      <c r="A4879" s="66"/>
    </row>
    <row r="4880" spans="1:1" x14ac:dyDescent="0.25">
      <c r="A4880" s="66"/>
    </row>
    <row r="4881" spans="1:1" x14ac:dyDescent="0.25">
      <c r="A4881" s="66"/>
    </row>
    <row r="4882" spans="1:1" x14ac:dyDescent="0.25">
      <c r="A4882" s="66"/>
    </row>
    <row r="4883" spans="1:1" x14ac:dyDescent="0.25">
      <c r="A4883" s="66"/>
    </row>
    <row r="4884" spans="1:1" x14ac:dyDescent="0.25">
      <c r="A4884" s="66"/>
    </row>
    <row r="4885" spans="1:1" x14ac:dyDescent="0.25">
      <c r="A4885" s="66"/>
    </row>
    <row r="4886" spans="1:1" x14ac:dyDescent="0.25">
      <c r="A4886" s="66"/>
    </row>
    <row r="4887" spans="1:1" x14ac:dyDescent="0.25">
      <c r="A4887" s="66"/>
    </row>
    <row r="4888" spans="1:1" x14ac:dyDescent="0.25">
      <c r="A4888" s="66"/>
    </row>
    <row r="4889" spans="1:1" x14ac:dyDescent="0.25">
      <c r="A4889" s="66"/>
    </row>
    <row r="4890" spans="1:1" x14ac:dyDescent="0.25">
      <c r="A4890" s="66"/>
    </row>
    <row r="4891" spans="1:1" x14ac:dyDescent="0.25">
      <c r="A4891" s="66"/>
    </row>
    <row r="4892" spans="1:1" x14ac:dyDescent="0.25">
      <c r="A4892" s="66"/>
    </row>
    <row r="4893" spans="1:1" x14ac:dyDescent="0.25">
      <c r="A4893" s="66"/>
    </row>
    <row r="4894" spans="1:1" x14ac:dyDescent="0.25">
      <c r="A4894" s="66"/>
    </row>
    <row r="4895" spans="1:1" x14ac:dyDescent="0.25">
      <c r="A4895" s="66"/>
    </row>
    <row r="4896" spans="1:1" x14ac:dyDescent="0.25">
      <c r="A4896" s="66"/>
    </row>
    <row r="4897" spans="1:1" x14ac:dyDescent="0.25">
      <c r="A4897" s="66"/>
    </row>
    <row r="4898" spans="1:1" x14ac:dyDescent="0.25">
      <c r="A4898" s="66"/>
    </row>
    <row r="4899" spans="1:1" x14ac:dyDescent="0.25">
      <c r="A4899" s="66"/>
    </row>
    <row r="4900" spans="1:1" x14ac:dyDescent="0.25">
      <c r="A4900" s="66"/>
    </row>
    <row r="4901" spans="1:1" x14ac:dyDescent="0.25">
      <c r="A4901" s="66"/>
    </row>
    <row r="4902" spans="1:1" x14ac:dyDescent="0.25">
      <c r="A4902" s="66"/>
    </row>
    <row r="4903" spans="1:1" x14ac:dyDescent="0.25">
      <c r="A4903" s="66"/>
    </row>
    <row r="4904" spans="1:1" x14ac:dyDescent="0.25">
      <c r="A4904" s="66"/>
    </row>
    <row r="4905" spans="1:1" x14ac:dyDescent="0.25">
      <c r="A4905" s="66"/>
    </row>
    <row r="4906" spans="1:1" x14ac:dyDescent="0.25">
      <c r="A4906" s="66"/>
    </row>
    <row r="4907" spans="1:1" x14ac:dyDescent="0.25">
      <c r="A4907" s="66"/>
    </row>
    <row r="4908" spans="1:1" x14ac:dyDescent="0.25">
      <c r="A4908" s="66"/>
    </row>
    <row r="4909" spans="1:1" x14ac:dyDescent="0.25">
      <c r="A4909" s="66"/>
    </row>
    <row r="4910" spans="1:1" x14ac:dyDescent="0.25">
      <c r="A4910" s="66"/>
    </row>
    <row r="4911" spans="1:1" x14ac:dyDescent="0.25">
      <c r="A4911" s="66"/>
    </row>
    <row r="4912" spans="1:1" x14ac:dyDescent="0.25">
      <c r="A4912" s="66"/>
    </row>
    <row r="4913" spans="1:1" x14ac:dyDescent="0.25">
      <c r="A4913" s="66"/>
    </row>
    <row r="4914" spans="1:1" x14ac:dyDescent="0.25">
      <c r="A4914" s="66"/>
    </row>
    <row r="4915" spans="1:1" x14ac:dyDescent="0.25">
      <c r="A4915" s="66"/>
    </row>
    <row r="4916" spans="1:1" x14ac:dyDescent="0.25">
      <c r="A4916" s="66"/>
    </row>
    <row r="4917" spans="1:1" x14ac:dyDescent="0.25">
      <c r="A4917" s="66"/>
    </row>
    <row r="4918" spans="1:1" x14ac:dyDescent="0.25">
      <c r="A4918" s="66"/>
    </row>
    <row r="4919" spans="1:1" x14ac:dyDescent="0.25">
      <c r="A4919" s="66"/>
    </row>
    <row r="4920" spans="1:1" x14ac:dyDescent="0.25">
      <c r="A4920" s="66"/>
    </row>
    <row r="4921" spans="1:1" x14ac:dyDescent="0.25">
      <c r="A4921" s="66"/>
    </row>
    <row r="4922" spans="1:1" x14ac:dyDescent="0.25">
      <c r="A4922" s="66"/>
    </row>
    <row r="4923" spans="1:1" x14ac:dyDescent="0.25">
      <c r="A4923" s="66"/>
    </row>
    <row r="4924" spans="1:1" x14ac:dyDescent="0.25">
      <c r="A4924" s="66"/>
    </row>
    <row r="4925" spans="1:1" x14ac:dyDescent="0.25">
      <c r="A4925" s="66"/>
    </row>
    <row r="4926" spans="1:1" x14ac:dyDescent="0.25">
      <c r="A4926" s="66"/>
    </row>
    <row r="4927" spans="1:1" x14ac:dyDescent="0.25">
      <c r="A4927" s="66"/>
    </row>
    <row r="4928" spans="1:1" x14ac:dyDescent="0.25">
      <c r="A4928" s="66"/>
    </row>
    <row r="4929" spans="1:1" x14ac:dyDescent="0.25">
      <c r="A4929" s="66"/>
    </row>
    <row r="4930" spans="1:1" x14ac:dyDescent="0.25">
      <c r="A4930" s="66"/>
    </row>
    <row r="4931" spans="1:1" x14ac:dyDescent="0.25">
      <c r="A4931" s="66"/>
    </row>
    <row r="4932" spans="1:1" x14ac:dyDescent="0.25">
      <c r="A4932" s="66"/>
    </row>
    <row r="4933" spans="1:1" x14ac:dyDescent="0.25">
      <c r="A4933" s="66"/>
    </row>
    <row r="4934" spans="1:1" x14ac:dyDescent="0.25">
      <c r="A4934" s="66"/>
    </row>
    <row r="4935" spans="1:1" x14ac:dyDescent="0.25">
      <c r="A4935" s="66"/>
    </row>
    <row r="4936" spans="1:1" x14ac:dyDescent="0.25">
      <c r="A4936" s="66"/>
    </row>
    <row r="4937" spans="1:1" x14ac:dyDescent="0.25">
      <c r="A4937" s="66"/>
    </row>
    <row r="4938" spans="1:1" x14ac:dyDescent="0.25">
      <c r="A4938" s="66"/>
    </row>
    <row r="4939" spans="1:1" x14ac:dyDescent="0.25">
      <c r="A4939" s="66"/>
    </row>
    <row r="4940" spans="1:1" x14ac:dyDescent="0.25">
      <c r="A4940" s="66"/>
    </row>
    <row r="4941" spans="1:1" x14ac:dyDescent="0.25">
      <c r="A4941" s="66"/>
    </row>
    <row r="4942" spans="1:1" x14ac:dyDescent="0.25">
      <c r="A4942" s="66"/>
    </row>
    <row r="4943" spans="1:1" x14ac:dyDescent="0.25">
      <c r="A4943" s="66"/>
    </row>
    <row r="4944" spans="1:1" x14ac:dyDescent="0.25">
      <c r="A4944" s="66"/>
    </row>
    <row r="4945" spans="1:1" x14ac:dyDescent="0.25">
      <c r="A4945" s="66"/>
    </row>
    <row r="4946" spans="1:1" x14ac:dyDescent="0.25">
      <c r="A4946" s="66"/>
    </row>
    <row r="4947" spans="1:1" x14ac:dyDescent="0.25">
      <c r="A4947" s="66"/>
    </row>
    <row r="4948" spans="1:1" x14ac:dyDescent="0.25">
      <c r="A4948" s="66"/>
    </row>
    <row r="4949" spans="1:1" x14ac:dyDescent="0.25">
      <c r="A4949" s="66"/>
    </row>
    <row r="4950" spans="1:1" x14ac:dyDescent="0.25">
      <c r="A4950" s="66"/>
    </row>
    <row r="4951" spans="1:1" x14ac:dyDescent="0.25">
      <c r="A4951" s="66"/>
    </row>
    <row r="4952" spans="1:1" x14ac:dyDescent="0.25">
      <c r="A4952" s="66"/>
    </row>
    <row r="4953" spans="1:1" x14ac:dyDescent="0.25">
      <c r="A4953" s="66"/>
    </row>
    <row r="4954" spans="1:1" x14ac:dyDescent="0.25">
      <c r="A4954" s="66"/>
    </row>
    <row r="4955" spans="1:1" x14ac:dyDescent="0.25">
      <c r="A4955" s="66"/>
    </row>
    <row r="4956" spans="1:1" x14ac:dyDescent="0.25">
      <c r="A4956" s="66"/>
    </row>
    <row r="4957" spans="1:1" x14ac:dyDescent="0.25">
      <c r="A4957" s="66"/>
    </row>
    <row r="4958" spans="1:1" x14ac:dyDescent="0.25">
      <c r="A4958" s="66"/>
    </row>
    <row r="4959" spans="1:1" x14ac:dyDescent="0.25">
      <c r="A4959" s="66"/>
    </row>
    <row r="4960" spans="1:1" x14ac:dyDescent="0.25">
      <c r="A4960" s="66"/>
    </row>
    <row r="4961" spans="1:1" x14ac:dyDescent="0.25">
      <c r="A4961" s="66"/>
    </row>
    <row r="4962" spans="1:1" x14ac:dyDescent="0.25">
      <c r="A4962" s="66"/>
    </row>
    <row r="4963" spans="1:1" x14ac:dyDescent="0.25">
      <c r="A4963" s="66"/>
    </row>
    <row r="4964" spans="1:1" x14ac:dyDescent="0.25">
      <c r="A4964" s="66"/>
    </row>
    <row r="4965" spans="1:1" x14ac:dyDescent="0.25">
      <c r="A4965" s="66"/>
    </row>
    <row r="4966" spans="1:1" x14ac:dyDescent="0.25">
      <c r="A4966" s="66"/>
    </row>
    <row r="4967" spans="1:1" x14ac:dyDescent="0.25">
      <c r="A4967" s="66"/>
    </row>
    <row r="4968" spans="1:1" x14ac:dyDescent="0.25">
      <c r="A4968" s="66"/>
    </row>
    <row r="4969" spans="1:1" x14ac:dyDescent="0.25">
      <c r="A4969" s="66"/>
    </row>
    <row r="4970" spans="1:1" x14ac:dyDescent="0.25">
      <c r="A4970" s="66"/>
    </row>
    <row r="4971" spans="1:1" x14ac:dyDescent="0.25">
      <c r="A4971" s="66"/>
    </row>
    <row r="4972" spans="1:1" x14ac:dyDescent="0.25">
      <c r="A4972" s="66"/>
    </row>
    <row r="4973" spans="1:1" x14ac:dyDescent="0.25">
      <c r="A4973" s="66"/>
    </row>
    <row r="4974" spans="1:1" x14ac:dyDescent="0.25">
      <c r="A4974" s="66"/>
    </row>
    <row r="4975" spans="1:1" x14ac:dyDescent="0.25">
      <c r="A4975" s="66"/>
    </row>
    <row r="4976" spans="1:1" x14ac:dyDescent="0.25">
      <c r="A4976" s="66"/>
    </row>
    <row r="4977" spans="1:1" x14ac:dyDescent="0.25">
      <c r="A4977" s="66"/>
    </row>
    <row r="4978" spans="1:1" x14ac:dyDescent="0.25">
      <c r="A4978" s="66"/>
    </row>
    <row r="4979" spans="1:1" x14ac:dyDescent="0.25">
      <c r="A4979" s="66"/>
    </row>
    <row r="4980" spans="1:1" x14ac:dyDescent="0.25">
      <c r="A4980" s="66"/>
    </row>
    <row r="4981" spans="1:1" x14ac:dyDescent="0.25">
      <c r="A4981" s="66"/>
    </row>
    <row r="4982" spans="1:1" x14ac:dyDescent="0.25">
      <c r="A4982" s="66"/>
    </row>
    <row r="4983" spans="1:1" x14ac:dyDescent="0.25">
      <c r="A4983" s="66"/>
    </row>
    <row r="4984" spans="1:1" x14ac:dyDescent="0.25">
      <c r="A4984" s="66"/>
    </row>
    <row r="4985" spans="1:1" x14ac:dyDescent="0.25">
      <c r="A4985" s="66"/>
    </row>
    <row r="4986" spans="1:1" x14ac:dyDescent="0.25">
      <c r="A4986" s="66"/>
    </row>
    <row r="4987" spans="1:1" x14ac:dyDescent="0.25">
      <c r="A4987" s="66"/>
    </row>
    <row r="4988" spans="1:1" x14ac:dyDescent="0.25">
      <c r="A4988" s="66"/>
    </row>
    <row r="4989" spans="1:1" x14ac:dyDescent="0.25">
      <c r="A4989" s="66"/>
    </row>
    <row r="4990" spans="1:1" x14ac:dyDescent="0.25">
      <c r="A4990" s="66"/>
    </row>
    <row r="4991" spans="1:1" x14ac:dyDescent="0.25">
      <c r="A4991" s="66"/>
    </row>
    <row r="4992" spans="1:1" x14ac:dyDescent="0.25">
      <c r="A4992" s="66"/>
    </row>
    <row r="4993" spans="1:1" x14ac:dyDescent="0.25">
      <c r="A4993" s="66"/>
    </row>
    <row r="4994" spans="1:1" x14ac:dyDescent="0.25">
      <c r="A4994" s="66"/>
    </row>
    <row r="4995" spans="1:1" x14ac:dyDescent="0.25">
      <c r="A4995" s="66"/>
    </row>
    <row r="4996" spans="1:1" x14ac:dyDescent="0.25">
      <c r="A4996" s="66"/>
    </row>
    <row r="4997" spans="1:1" x14ac:dyDescent="0.25">
      <c r="A4997" s="66"/>
    </row>
    <row r="4998" spans="1:1" x14ac:dyDescent="0.25">
      <c r="A4998" s="66"/>
    </row>
    <row r="4999" spans="1:1" x14ac:dyDescent="0.25">
      <c r="A4999" s="66"/>
    </row>
    <row r="5000" spans="1:1" x14ac:dyDescent="0.25">
      <c r="A5000" s="66"/>
    </row>
    <row r="5001" spans="1:1" x14ac:dyDescent="0.25">
      <c r="A5001" s="66"/>
    </row>
    <row r="5002" spans="1:1" x14ac:dyDescent="0.25">
      <c r="A5002" s="66"/>
    </row>
    <row r="5003" spans="1:1" x14ac:dyDescent="0.25">
      <c r="A5003" s="66"/>
    </row>
    <row r="5004" spans="1:1" x14ac:dyDescent="0.25">
      <c r="A5004" s="66"/>
    </row>
    <row r="5005" spans="1:1" x14ac:dyDescent="0.25">
      <c r="A5005" s="66"/>
    </row>
    <row r="5006" spans="1:1" x14ac:dyDescent="0.25">
      <c r="A5006" s="66"/>
    </row>
    <row r="5007" spans="1:1" x14ac:dyDescent="0.25">
      <c r="A5007" s="66"/>
    </row>
    <row r="5008" spans="1:1" x14ac:dyDescent="0.25">
      <c r="A5008" s="66"/>
    </row>
    <row r="5009" spans="1:1" x14ac:dyDescent="0.25">
      <c r="A5009" s="66"/>
    </row>
    <row r="5010" spans="1:1" x14ac:dyDescent="0.25">
      <c r="A5010" s="66"/>
    </row>
    <row r="5011" spans="1:1" x14ac:dyDescent="0.25">
      <c r="A5011" s="66"/>
    </row>
    <row r="5012" spans="1:1" x14ac:dyDescent="0.25">
      <c r="A5012" s="66"/>
    </row>
    <row r="5013" spans="1:1" x14ac:dyDescent="0.25">
      <c r="A5013" s="66"/>
    </row>
    <row r="5014" spans="1:1" x14ac:dyDescent="0.25">
      <c r="A5014" s="66"/>
    </row>
    <row r="5015" spans="1:1" x14ac:dyDescent="0.25">
      <c r="A5015" s="66"/>
    </row>
    <row r="5016" spans="1:1" x14ac:dyDescent="0.25">
      <c r="A5016" s="66"/>
    </row>
    <row r="5017" spans="1:1" x14ac:dyDescent="0.25">
      <c r="A5017" s="66"/>
    </row>
    <row r="5018" spans="1:1" x14ac:dyDescent="0.25">
      <c r="A5018" s="66"/>
    </row>
    <row r="5019" spans="1:1" x14ac:dyDescent="0.25">
      <c r="A5019" s="66"/>
    </row>
    <row r="5020" spans="1:1" x14ac:dyDescent="0.25">
      <c r="A5020" s="66"/>
    </row>
    <row r="5021" spans="1:1" x14ac:dyDescent="0.25">
      <c r="A5021" s="66"/>
    </row>
    <row r="5022" spans="1:1" x14ac:dyDescent="0.25">
      <c r="A5022" s="66"/>
    </row>
    <row r="5023" spans="1:1" x14ac:dyDescent="0.25">
      <c r="A5023" s="66"/>
    </row>
    <row r="5024" spans="1:1" x14ac:dyDescent="0.25">
      <c r="A5024" s="66"/>
    </row>
    <row r="5025" spans="1:1" x14ac:dyDescent="0.25">
      <c r="A5025" s="66"/>
    </row>
    <row r="5026" spans="1:1" x14ac:dyDescent="0.25">
      <c r="A5026" s="66"/>
    </row>
    <row r="5027" spans="1:1" x14ac:dyDescent="0.25">
      <c r="A5027" s="66"/>
    </row>
    <row r="5028" spans="1:1" x14ac:dyDescent="0.25">
      <c r="A5028" s="66"/>
    </row>
    <row r="5029" spans="1:1" x14ac:dyDescent="0.25">
      <c r="A5029" s="66"/>
    </row>
    <row r="5030" spans="1:1" x14ac:dyDescent="0.25">
      <c r="A5030" s="66"/>
    </row>
    <row r="5031" spans="1:1" x14ac:dyDescent="0.25">
      <c r="A5031" s="66"/>
    </row>
    <row r="5032" spans="1:1" x14ac:dyDescent="0.25">
      <c r="A5032" s="66"/>
    </row>
    <row r="5033" spans="1:1" x14ac:dyDescent="0.25">
      <c r="A5033" s="66"/>
    </row>
    <row r="5034" spans="1:1" x14ac:dyDescent="0.25">
      <c r="A5034" s="66"/>
    </row>
    <row r="5035" spans="1:1" x14ac:dyDescent="0.25">
      <c r="A5035" s="66"/>
    </row>
    <row r="5036" spans="1:1" x14ac:dyDescent="0.25">
      <c r="A5036" s="66"/>
    </row>
    <row r="5037" spans="1:1" x14ac:dyDescent="0.25">
      <c r="A5037" s="66"/>
    </row>
    <row r="5038" spans="1:1" x14ac:dyDescent="0.25">
      <c r="A5038" s="66"/>
    </row>
    <row r="5039" spans="1:1" x14ac:dyDescent="0.25">
      <c r="A5039" s="66"/>
    </row>
    <row r="5040" spans="1:1" x14ac:dyDescent="0.25">
      <c r="A5040" s="66"/>
    </row>
    <row r="5041" spans="1:1" x14ac:dyDescent="0.25">
      <c r="A5041" s="66"/>
    </row>
    <row r="5042" spans="1:1" x14ac:dyDescent="0.25">
      <c r="A5042" s="66"/>
    </row>
    <row r="5043" spans="1:1" x14ac:dyDescent="0.25">
      <c r="A5043" s="66"/>
    </row>
    <row r="5044" spans="1:1" x14ac:dyDescent="0.25">
      <c r="A5044" s="66"/>
    </row>
    <row r="5045" spans="1:1" x14ac:dyDescent="0.25">
      <c r="A5045" s="66"/>
    </row>
    <row r="5046" spans="1:1" x14ac:dyDescent="0.25">
      <c r="A5046" s="66"/>
    </row>
    <row r="5047" spans="1:1" x14ac:dyDescent="0.25">
      <c r="A5047" s="66"/>
    </row>
    <row r="5048" spans="1:1" x14ac:dyDescent="0.25">
      <c r="A5048" s="66"/>
    </row>
    <row r="5049" spans="1:1" x14ac:dyDescent="0.25">
      <c r="A5049" s="66"/>
    </row>
    <row r="5050" spans="1:1" x14ac:dyDescent="0.25">
      <c r="A5050" s="66"/>
    </row>
    <row r="5051" spans="1:1" x14ac:dyDescent="0.25">
      <c r="A5051" s="66"/>
    </row>
    <row r="5052" spans="1:1" x14ac:dyDescent="0.25">
      <c r="A5052" s="66"/>
    </row>
    <row r="5053" spans="1:1" x14ac:dyDescent="0.25">
      <c r="A5053" s="66"/>
    </row>
    <row r="5054" spans="1:1" x14ac:dyDescent="0.25">
      <c r="A5054" s="66"/>
    </row>
    <row r="5055" spans="1:1" x14ac:dyDescent="0.25">
      <c r="A5055" s="66"/>
    </row>
    <row r="5056" spans="1:1" x14ac:dyDescent="0.25">
      <c r="A5056" s="66"/>
    </row>
    <row r="5057" spans="1:1" x14ac:dyDescent="0.25">
      <c r="A5057" s="66"/>
    </row>
    <row r="5058" spans="1:1" x14ac:dyDescent="0.25">
      <c r="A5058" s="66"/>
    </row>
    <row r="5059" spans="1:1" x14ac:dyDescent="0.25">
      <c r="A5059" s="66"/>
    </row>
    <row r="5060" spans="1:1" x14ac:dyDescent="0.25">
      <c r="A5060" s="66"/>
    </row>
    <row r="5061" spans="1:1" x14ac:dyDescent="0.25">
      <c r="A5061" s="66"/>
    </row>
    <row r="5062" spans="1:1" x14ac:dyDescent="0.25">
      <c r="A5062" s="66"/>
    </row>
    <row r="5063" spans="1:1" x14ac:dyDescent="0.25">
      <c r="A5063" s="66"/>
    </row>
    <row r="5064" spans="1:1" x14ac:dyDescent="0.25">
      <c r="A5064" s="66"/>
    </row>
    <row r="5065" spans="1:1" x14ac:dyDescent="0.25">
      <c r="A5065" s="66"/>
    </row>
    <row r="5066" spans="1:1" x14ac:dyDescent="0.25">
      <c r="A5066" s="66"/>
    </row>
    <row r="5067" spans="1:1" x14ac:dyDescent="0.25">
      <c r="A5067" s="66"/>
    </row>
    <row r="5068" spans="1:1" x14ac:dyDescent="0.25">
      <c r="A5068" s="66"/>
    </row>
    <row r="5069" spans="1:1" x14ac:dyDescent="0.25">
      <c r="A5069" s="66"/>
    </row>
    <row r="5070" spans="1:1" x14ac:dyDescent="0.25">
      <c r="A5070" s="66"/>
    </row>
    <row r="5071" spans="1:1" x14ac:dyDescent="0.25">
      <c r="A5071" s="66"/>
    </row>
    <row r="5072" spans="1:1" x14ac:dyDescent="0.25">
      <c r="A5072" s="66"/>
    </row>
    <row r="5073" spans="1:1" x14ac:dyDescent="0.25">
      <c r="A5073" s="66"/>
    </row>
    <row r="5074" spans="1:1" x14ac:dyDescent="0.25">
      <c r="A5074" s="66"/>
    </row>
    <row r="5075" spans="1:1" x14ac:dyDescent="0.25">
      <c r="A5075" s="66"/>
    </row>
    <row r="5076" spans="1:1" x14ac:dyDescent="0.25">
      <c r="A5076" s="66"/>
    </row>
    <row r="5077" spans="1:1" x14ac:dyDescent="0.25">
      <c r="A5077" s="66"/>
    </row>
    <row r="5078" spans="1:1" x14ac:dyDescent="0.25">
      <c r="A5078" s="66"/>
    </row>
    <row r="5079" spans="1:1" x14ac:dyDescent="0.25">
      <c r="A5079" s="66"/>
    </row>
    <row r="5080" spans="1:1" x14ac:dyDescent="0.25">
      <c r="A5080" s="66"/>
    </row>
    <row r="5081" spans="1:1" x14ac:dyDescent="0.25">
      <c r="A5081" s="66"/>
    </row>
    <row r="5082" spans="1:1" x14ac:dyDescent="0.25">
      <c r="A5082" s="66"/>
    </row>
    <row r="5083" spans="1:1" x14ac:dyDescent="0.25">
      <c r="A5083" s="66"/>
    </row>
    <row r="5084" spans="1:1" x14ac:dyDescent="0.25">
      <c r="A5084" s="66"/>
    </row>
    <row r="5085" spans="1:1" x14ac:dyDescent="0.25">
      <c r="A5085" s="66"/>
    </row>
    <row r="5086" spans="1:1" x14ac:dyDescent="0.25">
      <c r="A5086" s="66"/>
    </row>
    <row r="5087" spans="1:1" x14ac:dyDescent="0.25">
      <c r="A5087" s="66"/>
    </row>
    <row r="5088" spans="1:1" x14ac:dyDescent="0.25">
      <c r="A5088" s="66"/>
    </row>
    <row r="5089" spans="1:1" x14ac:dyDescent="0.25">
      <c r="A5089" s="66"/>
    </row>
    <row r="5090" spans="1:1" x14ac:dyDescent="0.25">
      <c r="A5090" s="66"/>
    </row>
    <row r="5091" spans="1:1" x14ac:dyDescent="0.25">
      <c r="A5091" s="66"/>
    </row>
    <row r="5092" spans="1:1" x14ac:dyDescent="0.25">
      <c r="A5092" s="66"/>
    </row>
    <row r="5093" spans="1:1" x14ac:dyDescent="0.25">
      <c r="A5093" s="66"/>
    </row>
    <row r="5094" spans="1:1" x14ac:dyDescent="0.25">
      <c r="A5094" s="66"/>
    </row>
    <row r="5095" spans="1:1" x14ac:dyDescent="0.25">
      <c r="A5095" s="66"/>
    </row>
    <row r="5096" spans="1:1" x14ac:dyDescent="0.25">
      <c r="A5096" s="66"/>
    </row>
    <row r="5097" spans="1:1" x14ac:dyDescent="0.25">
      <c r="A5097" s="66"/>
    </row>
    <row r="5098" spans="1:1" x14ac:dyDescent="0.25">
      <c r="A5098" s="66"/>
    </row>
    <row r="5099" spans="1:1" x14ac:dyDescent="0.25">
      <c r="A5099" s="66"/>
    </row>
    <row r="5100" spans="1:1" x14ac:dyDescent="0.25">
      <c r="A5100" s="66"/>
    </row>
    <row r="5101" spans="1:1" x14ac:dyDescent="0.25">
      <c r="A5101" s="66"/>
    </row>
    <row r="5102" spans="1:1" x14ac:dyDescent="0.25">
      <c r="A5102" s="66"/>
    </row>
    <row r="5103" spans="1:1" x14ac:dyDescent="0.25">
      <c r="A5103" s="66"/>
    </row>
    <row r="5104" spans="1:1" x14ac:dyDescent="0.25">
      <c r="A5104" s="66"/>
    </row>
    <row r="5105" spans="1:1" x14ac:dyDescent="0.25">
      <c r="A5105" s="66"/>
    </row>
    <row r="5106" spans="1:1" x14ac:dyDescent="0.25">
      <c r="A5106" s="66"/>
    </row>
    <row r="5107" spans="1:1" x14ac:dyDescent="0.25">
      <c r="A5107" s="66"/>
    </row>
    <row r="5108" spans="1:1" x14ac:dyDescent="0.25">
      <c r="A5108" s="66"/>
    </row>
    <row r="5109" spans="1:1" x14ac:dyDescent="0.25">
      <c r="A5109" s="66"/>
    </row>
    <row r="5110" spans="1:1" x14ac:dyDescent="0.25">
      <c r="A5110" s="66"/>
    </row>
    <row r="5111" spans="1:1" x14ac:dyDescent="0.25">
      <c r="A5111" s="66"/>
    </row>
    <row r="5112" spans="1:1" x14ac:dyDescent="0.25">
      <c r="A5112" s="66"/>
    </row>
    <row r="5113" spans="1:1" x14ac:dyDescent="0.25">
      <c r="A5113" s="66"/>
    </row>
    <row r="5114" spans="1:1" x14ac:dyDescent="0.25">
      <c r="A5114" s="66"/>
    </row>
    <row r="5115" spans="1:1" x14ac:dyDescent="0.25">
      <c r="A5115" s="66"/>
    </row>
    <row r="5116" spans="1:1" x14ac:dyDescent="0.25">
      <c r="A5116" s="66"/>
    </row>
    <row r="5117" spans="1:1" x14ac:dyDescent="0.25">
      <c r="A5117" s="66"/>
    </row>
    <row r="5118" spans="1:1" x14ac:dyDescent="0.25">
      <c r="A5118" s="66"/>
    </row>
    <row r="5119" spans="1:1" x14ac:dyDescent="0.25">
      <c r="A5119" s="66"/>
    </row>
    <row r="5120" spans="1:1" x14ac:dyDescent="0.25">
      <c r="A5120" s="66"/>
    </row>
    <row r="5121" spans="1:1" x14ac:dyDescent="0.25">
      <c r="A5121" s="66"/>
    </row>
    <row r="5122" spans="1:1" x14ac:dyDescent="0.25">
      <c r="A5122" s="66"/>
    </row>
    <row r="5123" spans="1:1" x14ac:dyDescent="0.25">
      <c r="A5123" s="66"/>
    </row>
    <row r="5124" spans="1:1" x14ac:dyDescent="0.25">
      <c r="A5124" s="66"/>
    </row>
    <row r="5125" spans="1:1" x14ac:dyDescent="0.25">
      <c r="A5125" s="66"/>
    </row>
    <row r="5126" spans="1:1" x14ac:dyDescent="0.25">
      <c r="A5126" s="66"/>
    </row>
    <row r="5127" spans="1:1" x14ac:dyDescent="0.25">
      <c r="A5127" s="66"/>
    </row>
    <row r="5128" spans="1:1" x14ac:dyDescent="0.25">
      <c r="A5128" s="66"/>
    </row>
    <row r="5129" spans="1:1" x14ac:dyDescent="0.25">
      <c r="A5129" s="66"/>
    </row>
    <row r="5130" spans="1:1" x14ac:dyDescent="0.25">
      <c r="A5130" s="66"/>
    </row>
    <row r="5131" spans="1:1" x14ac:dyDescent="0.25">
      <c r="A5131" s="66"/>
    </row>
    <row r="5132" spans="1:1" x14ac:dyDescent="0.25">
      <c r="A5132" s="66"/>
    </row>
    <row r="5133" spans="1:1" x14ac:dyDescent="0.25">
      <c r="A5133" s="66"/>
    </row>
    <row r="5134" spans="1:1" x14ac:dyDescent="0.25">
      <c r="A5134" s="66"/>
    </row>
    <row r="5135" spans="1:1" x14ac:dyDescent="0.25">
      <c r="A5135" s="66"/>
    </row>
    <row r="5136" spans="1:1" x14ac:dyDescent="0.25">
      <c r="A5136" s="66"/>
    </row>
    <row r="5137" spans="1:1" x14ac:dyDescent="0.25">
      <c r="A5137" s="66"/>
    </row>
    <row r="5138" spans="1:1" x14ac:dyDescent="0.25">
      <c r="A5138" s="66"/>
    </row>
    <row r="5139" spans="1:1" x14ac:dyDescent="0.25">
      <c r="A5139" s="66"/>
    </row>
    <row r="5140" spans="1:1" x14ac:dyDescent="0.25">
      <c r="A5140" s="66"/>
    </row>
    <row r="5141" spans="1:1" x14ac:dyDescent="0.25">
      <c r="A5141" s="66"/>
    </row>
    <row r="5142" spans="1:1" x14ac:dyDescent="0.25">
      <c r="A5142" s="66"/>
    </row>
    <row r="5143" spans="1:1" x14ac:dyDescent="0.25">
      <c r="A5143" s="66"/>
    </row>
    <row r="5144" spans="1:1" x14ac:dyDescent="0.25">
      <c r="A5144" s="66"/>
    </row>
    <row r="5145" spans="1:1" x14ac:dyDescent="0.25">
      <c r="A5145" s="66"/>
    </row>
    <row r="5146" spans="1:1" x14ac:dyDescent="0.25">
      <c r="A5146" s="66"/>
    </row>
    <row r="5147" spans="1:1" x14ac:dyDescent="0.25">
      <c r="A5147" s="66"/>
    </row>
    <row r="5148" spans="1:1" x14ac:dyDescent="0.25">
      <c r="A5148" s="66"/>
    </row>
    <row r="5149" spans="1:1" x14ac:dyDescent="0.25">
      <c r="A5149" s="66"/>
    </row>
    <row r="5150" spans="1:1" x14ac:dyDescent="0.25">
      <c r="A5150" s="66"/>
    </row>
    <row r="5151" spans="1:1" x14ac:dyDescent="0.25">
      <c r="A5151" s="66"/>
    </row>
    <row r="5152" spans="1:1" x14ac:dyDescent="0.25">
      <c r="A5152" s="66"/>
    </row>
    <row r="5153" spans="1:1" x14ac:dyDescent="0.25">
      <c r="A5153" s="66"/>
    </row>
    <row r="5154" spans="1:1" x14ac:dyDescent="0.25">
      <c r="A5154" s="66"/>
    </row>
    <row r="5155" spans="1:1" x14ac:dyDescent="0.25">
      <c r="A5155" s="66"/>
    </row>
    <row r="5156" spans="1:1" x14ac:dyDescent="0.25">
      <c r="A5156" s="66"/>
    </row>
    <row r="5157" spans="1:1" x14ac:dyDescent="0.25">
      <c r="A5157" s="66"/>
    </row>
    <row r="5158" spans="1:1" x14ac:dyDescent="0.25">
      <c r="A5158" s="66"/>
    </row>
    <row r="5159" spans="1:1" x14ac:dyDescent="0.25">
      <c r="A5159" s="66"/>
    </row>
    <row r="5160" spans="1:1" x14ac:dyDescent="0.25">
      <c r="A5160" s="66"/>
    </row>
    <row r="5161" spans="1:1" x14ac:dyDescent="0.25">
      <c r="A5161" s="66"/>
    </row>
    <row r="5162" spans="1:1" x14ac:dyDescent="0.25">
      <c r="A5162" s="66"/>
    </row>
    <row r="5163" spans="1:1" x14ac:dyDescent="0.25">
      <c r="A5163" s="66"/>
    </row>
    <row r="5164" spans="1:1" x14ac:dyDescent="0.25">
      <c r="A5164" s="66"/>
    </row>
    <row r="5165" spans="1:1" x14ac:dyDescent="0.25">
      <c r="A5165" s="66"/>
    </row>
    <row r="5166" spans="1:1" x14ac:dyDescent="0.25">
      <c r="A5166" s="66"/>
    </row>
    <row r="5167" spans="1:1" x14ac:dyDescent="0.25">
      <c r="A5167" s="66"/>
    </row>
    <row r="5168" spans="1:1" x14ac:dyDescent="0.25">
      <c r="A5168" s="66"/>
    </row>
    <row r="5169" spans="1:1" x14ac:dyDescent="0.25">
      <c r="A5169" s="66"/>
    </row>
    <row r="5170" spans="1:1" x14ac:dyDescent="0.25">
      <c r="A5170" s="66"/>
    </row>
    <row r="5171" spans="1:1" x14ac:dyDescent="0.25">
      <c r="A5171" s="66"/>
    </row>
    <row r="5172" spans="1:1" x14ac:dyDescent="0.25">
      <c r="A5172" s="66"/>
    </row>
    <row r="5173" spans="1:1" x14ac:dyDescent="0.25">
      <c r="A5173" s="66"/>
    </row>
    <row r="5174" spans="1:1" x14ac:dyDescent="0.25">
      <c r="A5174" s="66"/>
    </row>
    <row r="5175" spans="1:1" x14ac:dyDescent="0.25">
      <c r="A5175" s="66"/>
    </row>
    <row r="5176" spans="1:1" x14ac:dyDescent="0.25">
      <c r="A5176" s="66"/>
    </row>
    <row r="5177" spans="1:1" x14ac:dyDescent="0.25">
      <c r="A5177" s="66"/>
    </row>
    <row r="5178" spans="1:1" x14ac:dyDescent="0.25">
      <c r="A5178" s="66"/>
    </row>
    <row r="5179" spans="1:1" x14ac:dyDescent="0.25">
      <c r="A5179" s="66"/>
    </row>
    <row r="5180" spans="1:1" x14ac:dyDescent="0.25">
      <c r="A5180" s="66"/>
    </row>
    <row r="5181" spans="1:1" x14ac:dyDescent="0.25">
      <c r="A5181" s="66"/>
    </row>
    <row r="5182" spans="1:1" x14ac:dyDescent="0.25">
      <c r="A5182" s="66"/>
    </row>
    <row r="5183" spans="1:1" x14ac:dyDescent="0.25">
      <c r="A5183" s="66"/>
    </row>
    <row r="5184" spans="1:1" x14ac:dyDescent="0.25">
      <c r="A5184" s="66"/>
    </row>
    <row r="5185" spans="1:1" x14ac:dyDescent="0.25">
      <c r="A5185" s="66"/>
    </row>
    <row r="5186" spans="1:1" x14ac:dyDescent="0.25">
      <c r="A5186" s="66"/>
    </row>
    <row r="5187" spans="1:1" x14ac:dyDescent="0.25">
      <c r="A5187" s="66"/>
    </row>
    <row r="5188" spans="1:1" x14ac:dyDescent="0.25">
      <c r="A5188" s="66"/>
    </row>
    <row r="5189" spans="1:1" x14ac:dyDescent="0.25">
      <c r="A5189" s="66"/>
    </row>
    <row r="5190" spans="1:1" x14ac:dyDescent="0.25">
      <c r="A5190" s="66"/>
    </row>
    <row r="5191" spans="1:1" x14ac:dyDescent="0.25">
      <c r="A5191" s="66"/>
    </row>
    <row r="5192" spans="1:1" x14ac:dyDescent="0.25">
      <c r="A5192" s="66"/>
    </row>
    <row r="5193" spans="1:1" x14ac:dyDescent="0.25">
      <c r="A5193" s="66"/>
    </row>
    <row r="5194" spans="1:1" x14ac:dyDescent="0.25">
      <c r="A5194" s="66"/>
    </row>
    <row r="5195" spans="1:1" x14ac:dyDescent="0.25">
      <c r="A5195" s="66"/>
    </row>
    <row r="5196" spans="1:1" x14ac:dyDescent="0.25">
      <c r="A5196" s="66"/>
    </row>
    <row r="5197" spans="1:1" x14ac:dyDescent="0.25">
      <c r="A5197" s="66"/>
    </row>
    <row r="5198" spans="1:1" x14ac:dyDescent="0.25">
      <c r="A5198" s="66"/>
    </row>
    <row r="5199" spans="1:1" x14ac:dyDescent="0.25">
      <c r="A5199" s="66"/>
    </row>
    <row r="5200" spans="1:1" x14ac:dyDescent="0.25">
      <c r="A5200" s="66"/>
    </row>
    <row r="5201" spans="1:1" x14ac:dyDescent="0.25">
      <c r="A5201" s="66"/>
    </row>
    <row r="5202" spans="1:1" x14ac:dyDescent="0.25">
      <c r="A5202" s="66"/>
    </row>
    <row r="5203" spans="1:1" x14ac:dyDescent="0.25">
      <c r="A5203" s="66"/>
    </row>
    <row r="5204" spans="1:1" x14ac:dyDescent="0.25">
      <c r="A5204" s="66"/>
    </row>
    <row r="5205" spans="1:1" x14ac:dyDescent="0.25">
      <c r="A5205" s="66"/>
    </row>
    <row r="5206" spans="1:1" x14ac:dyDescent="0.25">
      <c r="A5206" s="66"/>
    </row>
    <row r="5207" spans="1:1" x14ac:dyDescent="0.25">
      <c r="A5207" s="66"/>
    </row>
    <row r="5208" spans="1:1" x14ac:dyDescent="0.25">
      <c r="A5208" s="66"/>
    </row>
    <row r="5209" spans="1:1" x14ac:dyDescent="0.25">
      <c r="A5209" s="66"/>
    </row>
    <row r="5210" spans="1:1" x14ac:dyDescent="0.25">
      <c r="A5210" s="66"/>
    </row>
    <row r="5211" spans="1:1" x14ac:dyDescent="0.25">
      <c r="A5211" s="66"/>
    </row>
    <row r="5212" spans="1:1" x14ac:dyDescent="0.25">
      <c r="A5212" s="66"/>
    </row>
    <row r="5213" spans="1:1" x14ac:dyDescent="0.25">
      <c r="A5213" s="66"/>
    </row>
    <row r="5214" spans="1:1" x14ac:dyDescent="0.25">
      <c r="A5214" s="66"/>
    </row>
    <row r="5215" spans="1:1" x14ac:dyDescent="0.25">
      <c r="A5215" s="66"/>
    </row>
    <row r="5216" spans="1:1" x14ac:dyDescent="0.25">
      <c r="A5216" s="66"/>
    </row>
    <row r="5217" spans="1:1" x14ac:dyDescent="0.25">
      <c r="A5217" s="66"/>
    </row>
    <row r="5218" spans="1:1" x14ac:dyDescent="0.25">
      <c r="A5218" s="66"/>
    </row>
    <row r="5219" spans="1:1" x14ac:dyDescent="0.25">
      <c r="A5219" s="66"/>
    </row>
    <row r="5220" spans="1:1" x14ac:dyDescent="0.25">
      <c r="A5220" s="66"/>
    </row>
    <row r="5221" spans="1:1" x14ac:dyDescent="0.25">
      <c r="A5221" s="66"/>
    </row>
    <row r="5222" spans="1:1" x14ac:dyDescent="0.25">
      <c r="A5222" s="66"/>
    </row>
    <row r="5223" spans="1:1" x14ac:dyDescent="0.25">
      <c r="A5223" s="66"/>
    </row>
    <row r="5224" spans="1:1" x14ac:dyDescent="0.25">
      <c r="A5224" s="66"/>
    </row>
    <row r="5225" spans="1:1" x14ac:dyDescent="0.25">
      <c r="A5225" s="66"/>
    </row>
    <row r="5226" spans="1:1" x14ac:dyDescent="0.25">
      <c r="A5226" s="66"/>
    </row>
    <row r="5227" spans="1:1" x14ac:dyDescent="0.25">
      <c r="A5227" s="66"/>
    </row>
    <row r="5228" spans="1:1" x14ac:dyDescent="0.25">
      <c r="A5228" s="66"/>
    </row>
    <row r="5229" spans="1:1" x14ac:dyDescent="0.25">
      <c r="A5229" s="66"/>
    </row>
    <row r="5230" spans="1:1" x14ac:dyDescent="0.25">
      <c r="A5230" s="66"/>
    </row>
    <row r="5231" spans="1:1" x14ac:dyDescent="0.25">
      <c r="A5231" s="66"/>
    </row>
    <row r="5232" spans="1:1" x14ac:dyDescent="0.25">
      <c r="A5232" s="66"/>
    </row>
    <row r="5233" spans="1:1" x14ac:dyDescent="0.25">
      <c r="A5233" s="66"/>
    </row>
    <row r="5234" spans="1:1" x14ac:dyDescent="0.25">
      <c r="A5234" s="66"/>
    </row>
    <row r="5235" spans="1:1" x14ac:dyDescent="0.25">
      <c r="A5235" s="66"/>
    </row>
    <row r="5236" spans="1:1" x14ac:dyDescent="0.25">
      <c r="A5236" s="66"/>
    </row>
    <row r="5237" spans="1:1" x14ac:dyDescent="0.25">
      <c r="A5237" s="66"/>
    </row>
    <row r="5238" spans="1:1" x14ac:dyDescent="0.25">
      <c r="A5238" s="66"/>
    </row>
    <row r="5239" spans="1:1" x14ac:dyDescent="0.25">
      <c r="A5239" s="66"/>
    </row>
    <row r="5240" spans="1:1" x14ac:dyDescent="0.25">
      <c r="A5240" s="66"/>
    </row>
    <row r="5241" spans="1:1" x14ac:dyDescent="0.25">
      <c r="A5241" s="66"/>
    </row>
    <row r="5242" spans="1:1" x14ac:dyDescent="0.25">
      <c r="A5242" s="66"/>
    </row>
    <row r="5243" spans="1:1" x14ac:dyDescent="0.25">
      <c r="A5243" s="66"/>
    </row>
    <row r="5244" spans="1:1" x14ac:dyDescent="0.25">
      <c r="A5244" s="66"/>
    </row>
    <row r="5245" spans="1:1" x14ac:dyDescent="0.25">
      <c r="A5245" s="66"/>
    </row>
    <row r="5246" spans="1:1" x14ac:dyDescent="0.25">
      <c r="A5246" s="66"/>
    </row>
    <row r="5247" spans="1:1" x14ac:dyDescent="0.25">
      <c r="A5247" s="66"/>
    </row>
    <row r="5248" spans="1:1" x14ac:dyDescent="0.25">
      <c r="A5248" s="66"/>
    </row>
    <row r="5249" spans="1:1" x14ac:dyDescent="0.25">
      <c r="A5249" s="66"/>
    </row>
    <row r="5250" spans="1:1" x14ac:dyDescent="0.25">
      <c r="A5250" s="66"/>
    </row>
    <row r="5251" spans="1:1" x14ac:dyDescent="0.25">
      <c r="A5251" s="66"/>
    </row>
    <row r="5252" spans="1:1" x14ac:dyDescent="0.25">
      <c r="A5252" s="66"/>
    </row>
    <row r="5253" spans="1:1" x14ac:dyDescent="0.25">
      <c r="A5253" s="66"/>
    </row>
    <row r="5254" spans="1:1" x14ac:dyDescent="0.25">
      <c r="A5254" s="66"/>
    </row>
    <row r="5255" spans="1:1" x14ac:dyDescent="0.25">
      <c r="A5255" s="66"/>
    </row>
    <row r="5256" spans="1:1" x14ac:dyDescent="0.25">
      <c r="A5256" s="66"/>
    </row>
    <row r="5257" spans="1:1" x14ac:dyDescent="0.25">
      <c r="A5257" s="66"/>
    </row>
    <row r="5258" spans="1:1" x14ac:dyDescent="0.25">
      <c r="A5258" s="66"/>
    </row>
    <row r="5259" spans="1:1" x14ac:dyDescent="0.25">
      <c r="A5259" s="66"/>
    </row>
    <row r="5260" spans="1:1" x14ac:dyDescent="0.25">
      <c r="A5260" s="66"/>
    </row>
    <row r="5261" spans="1:1" x14ac:dyDescent="0.25">
      <c r="A5261" s="66"/>
    </row>
    <row r="5262" spans="1:1" x14ac:dyDescent="0.25">
      <c r="A5262" s="66"/>
    </row>
    <row r="5263" spans="1:1" x14ac:dyDescent="0.25">
      <c r="A5263" s="66"/>
    </row>
    <row r="5264" spans="1:1" x14ac:dyDescent="0.25">
      <c r="A5264" s="66"/>
    </row>
    <row r="5265" spans="1:1" x14ac:dyDescent="0.25">
      <c r="A5265" s="66"/>
    </row>
    <row r="5266" spans="1:1" x14ac:dyDescent="0.25">
      <c r="A5266" s="66"/>
    </row>
    <row r="5267" spans="1:1" x14ac:dyDescent="0.25">
      <c r="A5267" s="66"/>
    </row>
    <row r="5268" spans="1:1" x14ac:dyDescent="0.25">
      <c r="A5268" s="66"/>
    </row>
    <row r="5269" spans="1:1" x14ac:dyDescent="0.25">
      <c r="A5269" s="66"/>
    </row>
    <row r="5270" spans="1:1" x14ac:dyDescent="0.25">
      <c r="A5270" s="66"/>
    </row>
    <row r="5271" spans="1:1" x14ac:dyDescent="0.25">
      <c r="A5271" s="66"/>
    </row>
    <row r="5272" spans="1:1" x14ac:dyDescent="0.25">
      <c r="A5272" s="66"/>
    </row>
    <row r="5273" spans="1:1" x14ac:dyDescent="0.25">
      <c r="A5273" s="66"/>
    </row>
    <row r="5274" spans="1:1" x14ac:dyDescent="0.25">
      <c r="A5274" s="66"/>
    </row>
    <row r="5275" spans="1:1" x14ac:dyDescent="0.25">
      <c r="A5275" s="66"/>
    </row>
    <row r="5276" spans="1:1" x14ac:dyDescent="0.25">
      <c r="A5276" s="66"/>
    </row>
    <row r="5277" spans="1:1" x14ac:dyDescent="0.25">
      <c r="A5277" s="66"/>
    </row>
    <row r="5278" spans="1:1" x14ac:dyDescent="0.25">
      <c r="A5278" s="66"/>
    </row>
    <row r="5279" spans="1:1" x14ac:dyDescent="0.25">
      <c r="A5279" s="66"/>
    </row>
    <row r="5280" spans="1:1" x14ac:dyDescent="0.25">
      <c r="A5280" s="66"/>
    </row>
    <row r="5281" spans="1:1" x14ac:dyDescent="0.25">
      <c r="A5281" s="66"/>
    </row>
    <row r="5282" spans="1:1" x14ac:dyDescent="0.25">
      <c r="A5282" s="66"/>
    </row>
    <row r="5283" spans="1:1" x14ac:dyDescent="0.25">
      <c r="A5283" s="66"/>
    </row>
    <row r="5284" spans="1:1" x14ac:dyDescent="0.25">
      <c r="A5284" s="66"/>
    </row>
    <row r="5285" spans="1:1" x14ac:dyDescent="0.25">
      <c r="A5285" s="66"/>
    </row>
    <row r="5286" spans="1:1" x14ac:dyDescent="0.25">
      <c r="A5286" s="66"/>
    </row>
    <row r="5287" spans="1:1" x14ac:dyDescent="0.25">
      <c r="A5287" s="66"/>
    </row>
    <row r="5288" spans="1:1" x14ac:dyDescent="0.25">
      <c r="A5288" s="66"/>
    </row>
    <row r="5289" spans="1:1" x14ac:dyDescent="0.25">
      <c r="A5289" s="66"/>
    </row>
    <row r="5290" spans="1:1" x14ac:dyDescent="0.25">
      <c r="A5290" s="66"/>
    </row>
    <row r="5291" spans="1:1" x14ac:dyDescent="0.25">
      <c r="A5291" s="66"/>
    </row>
    <row r="5292" spans="1:1" x14ac:dyDescent="0.25">
      <c r="A5292" s="66"/>
    </row>
    <row r="5293" spans="1:1" x14ac:dyDescent="0.25">
      <c r="A5293" s="66"/>
    </row>
    <row r="5294" spans="1:1" x14ac:dyDescent="0.25">
      <c r="A5294" s="66"/>
    </row>
    <row r="5295" spans="1:1" x14ac:dyDescent="0.25">
      <c r="A5295" s="66"/>
    </row>
    <row r="5296" spans="1:1" x14ac:dyDescent="0.25">
      <c r="A5296" s="66"/>
    </row>
    <row r="5297" spans="1:1" x14ac:dyDescent="0.25">
      <c r="A5297" s="66"/>
    </row>
    <row r="5298" spans="1:1" x14ac:dyDescent="0.25">
      <c r="A5298" s="66"/>
    </row>
    <row r="5299" spans="1:1" x14ac:dyDescent="0.25">
      <c r="A5299" s="66"/>
    </row>
    <row r="5300" spans="1:1" x14ac:dyDescent="0.25">
      <c r="A5300" s="66"/>
    </row>
    <row r="5301" spans="1:1" x14ac:dyDescent="0.25">
      <c r="A5301" s="66"/>
    </row>
    <row r="5302" spans="1:1" x14ac:dyDescent="0.25">
      <c r="A5302" s="66"/>
    </row>
    <row r="5303" spans="1:1" x14ac:dyDescent="0.25">
      <c r="A5303" s="66"/>
    </row>
    <row r="5304" spans="1:1" x14ac:dyDescent="0.25">
      <c r="A5304" s="66"/>
    </row>
    <row r="5305" spans="1:1" x14ac:dyDescent="0.25">
      <c r="A5305" s="66"/>
    </row>
    <row r="5306" spans="1:1" x14ac:dyDescent="0.25">
      <c r="A5306" s="66"/>
    </row>
    <row r="5307" spans="1:1" x14ac:dyDescent="0.25">
      <c r="A5307" s="66"/>
    </row>
    <row r="5308" spans="1:1" x14ac:dyDescent="0.25">
      <c r="A5308" s="66"/>
    </row>
    <row r="5309" spans="1:1" x14ac:dyDescent="0.25">
      <c r="A5309" s="66"/>
    </row>
    <row r="5310" spans="1:1" x14ac:dyDescent="0.25">
      <c r="A5310" s="66"/>
    </row>
    <row r="5311" spans="1:1" x14ac:dyDescent="0.25">
      <c r="A5311" s="66"/>
    </row>
    <row r="5312" spans="1:1" x14ac:dyDescent="0.25">
      <c r="A5312" s="66"/>
    </row>
    <row r="5313" spans="1:1" x14ac:dyDescent="0.25">
      <c r="A5313" s="66"/>
    </row>
    <row r="5314" spans="1:1" x14ac:dyDescent="0.25">
      <c r="A5314" s="66"/>
    </row>
    <row r="5315" spans="1:1" x14ac:dyDescent="0.25">
      <c r="A5315" s="66"/>
    </row>
    <row r="5316" spans="1:1" x14ac:dyDescent="0.25">
      <c r="A5316" s="66"/>
    </row>
    <row r="5317" spans="1:1" x14ac:dyDescent="0.25">
      <c r="A5317" s="66"/>
    </row>
    <row r="5318" spans="1:1" x14ac:dyDescent="0.25">
      <c r="A5318" s="66"/>
    </row>
    <row r="5319" spans="1:1" x14ac:dyDescent="0.25">
      <c r="A5319" s="66"/>
    </row>
    <row r="5320" spans="1:1" x14ac:dyDescent="0.25">
      <c r="A5320" s="66"/>
    </row>
    <row r="5321" spans="1:1" x14ac:dyDescent="0.25">
      <c r="A5321" s="66"/>
    </row>
    <row r="5322" spans="1:1" x14ac:dyDescent="0.25">
      <c r="A5322" s="66"/>
    </row>
    <row r="5323" spans="1:1" x14ac:dyDescent="0.25">
      <c r="A5323" s="66"/>
    </row>
    <row r="5324" spans="1:1" x14ac:dyDescent="0.25">
      <c r="A5324" s="66"/>
    </row>
    <row r="5325" spans="1:1" x14ac:dyDescent="0.25">
      <c r="A5325" s="66"/>
    </row>
    <row r="5326" spans="1:1" x14ac:dyDescent="0.25">
      <c r="A5326" s="66"/>
    </row>
    <row r="5327" spans="1:1" x14ac:dyDescent="0.25">
      <c r="A5327" s="66"/>
    </row>
    <row r="5328" spans="1:1" x14ac:dyDescent="0.25">
      <c r="A5328" s="66"/>
    </row>
    <row r="5329" spans="1:1" x14ac:dyDescent="0.25">
      <c r="A5329" s="66"/>
    </row>
    <row r="5330" spans="1:1" x14ac:dyDescent="0.25">
      <c r="A5330" s="66"/>
    </row>
    <row r="5331" spans="1:1" x14ac:dyDescent="0.25">
      <c r="A5331" s="66"/>
    </row>
    <row r="5332" spans="1:1" x14ac:dyDescent="0.25">
      <c r="A5332" s="66"/>
    </row>
    <row r="5333" spans="1:1" x14ac:dyDescent="0.25">
      <c r="A5333" s="66"/>
    </row>
    <row r="5334" spans="1:1" x14ac:dyDescent="0.25">
      <c r="A5334" s="66"/>
    </row>
    <row r="5335" spans="1:1" x14ac:dyDescent="0.25">
      <c r="A5335" s="66"/>
    </row>
    <row r="5336" spans="1:1" x14ac:dyDescent="0.25">
      <c r="A5336" s="66"/>
    </row>
    <row r="5337" spans="1:1" x14ac:dyDescent="0.25">
      <c r="A5337" s="66"/>
    </row>
    <row r="5338" spans="1:1" x14ac:dyDescent="0.25">
      <c r="A5338" s="66"/>
    </row>
    <row r="5339" spans="1:1" x14ac:dyDescent="0.25">
      <c r="A5339" s="66"/>
    </row>
    <row r="5340" spans="1:1" x14ac:dyDescent="0.25">
      <c r="A5340" s="66"/>
    </row>
    <row r="5341" spans="1:1" x14ac:dyDescent="0.25">
      <c r="A5341" s="66"/>
    </row>
    <row r="5342" spans="1:1" x14ac:dyDescent="0.25">
      <c r="A5342" s="66"/>
    </row>
    <row r="5343" spans="1:1" x14ac:dyDescent="0.25">
      <c r="A5343" s="66"/>
    </row>
    <row r="5344" spans="1:1" x14ac:dyDescent="0.25">
      <c r="A5344" s="66"/>
    </row>
    <row r="5345" spans="1:1" x14ac:dyDescent="0.25">
      <c r="A5345" s="66"/>
    </row>
    <row r="5346" spans="1:1" x14ac:dyDescent="0.25">
      <c r="A5346" s="66"/>
    </row>
    <row r="5347" spans="1:1" x14ac:dyDescent="0.25">
      <c r="A5347" s="66"/>
    </row>
    <row r="5348" spans="1:1" x14ac:dyDescent="0.25">
      <c r="A5348" s="66"/>
    </row>
    <row r="5349" spans="1:1" x14ac:dyDescent="0.25">
      <c r="A5349" s="66"/>
    </row>
    <row r="5350" spans="1:1" x14ac:dyDescent="0.25">
      <c r="A5350" s="66"/>
    </row>
    <row r="5351" spans="1:1" x14ac:dyDescent="0.25">
      <c r="A5351" s="66"/>
    </row>
    <row r="5352" spans="1:1" x14ac:dyDescent="0.25">
      <c r="A5352" s="66"/>
    </row>
    <row r="5353" spans="1:1" x14ac:dyDescent="0.25">
      <c r="A5353" s="66"/>
    </row>
    <row r="5354" spans="1:1" x14ac:dyDescent="0.25">
      <c r="A5354" s="66"/>
    </row>
    <row r="5355" spans="1:1" x14ac:dyDescent="0.25">
      <c r="A5355" s="66"/>
    </row>
    <row r="5356" spans="1:1" x14ac:dyDescent="0.25">
      <c r="A5356" s="66"/>
    </row>
    <row r="5357" spans="1:1" x14ac:dyDescent="0.25">
      <c r="A5357" s="66"/>
    </row>
    <row r="5358" spans="1:1" x14ac:dyDescent="0.25">
      <c r="A5358" s="66"/>
    </row>
    <row r="5359" spans="1:1" x14ac:dyDescent="0.25">
      <c r="A5359" s="66"/>
    </row>
    <row r="5360" spans="1:1" x14ac:dyDescent="0.25">
      <c r="A5360" s="66"/>
    </row>
    <row r="5361" spans="1:1" x14ac:dyDescent="0.25">
      <c r="A5361" s="66"/>
    </row>
    <row r="5362" spans="1:1" x14ac:dyDescent="0.25">
      <c r="A5362" s="66"/>
    </row>
    <row r="5363" spans="1:1" x14ac:dyDescent="0.25">
      <c r="A5363" s="66"/>
    </row>
    <row r="5364" spans="1:1" x14ac:dyDescent="0.25">
      <c r="A5364" s="66"/>
    </row>
    <row r="5365" spans="1:1" x14ac:dyDescent="0.25">
      <c r="A5365" s="66"/>
    </row>
    <row r="5366" spans="1:1" x14ac:dyDescent="0.25">
      <c r="A5366" s="66"/>
    </row>
    <row r="5367" spans="1:1" x14ac:dyDescent="0.25">
      <c r="A5367" s="66"/>
    </row>
    <row r="5368" spans="1:1" x14ac:dyDescent="0.25">
      <c r="A5368" s="66"/>
    </row>
    <row r="5369" spans="1:1" x14ac:dyDescent="0.25">
      <c r="A5369" s="66"/>
    </row>
    <row r="5370" spans="1:1" x14ac:dyDescent="0.25">
      <c r="A5370" s="66"/>
    </row>
    <row r="5371" spans="1:1" x14ac:dyDescent="0.25">
      <c r="A5371" s="66"/>
    </row>
    <row r="5372" spans="1:1" x14ac:dyDescent="0.25">
      <c r="A5372" s="66"/>
    </row>
    <row r="5373" spans="1:1" x14ac:dyDescent="0.25">
      <c r="A5373" s="66"/>
    </row>
    <row r="5374" spans="1:1" x14ac:dyDescent="0.25">
      <c r="A5374" s="66"/>
    </row>
    <row r="5375" spans="1:1" x14ac:dyDescent="0.25">
      <c r="A5375" s="66"/>
    </row>
    <row r="5376" spans="1:1" x14ac:dyDescent="0.25">
      <c r="A5376" s="66"/>
    </row>
    <row r="5377" spans="1:1" x14ac:dyDescent="0.25">
      <c r="A5377" s="66"/>
    </row>
    <row r="5378" spans="1:1" x14ac:dyDescent="0.25">
      <c r="A5378" s="66"/>
    </row>
    <row r="5379" spans="1:1" x14ac:dyDescent="0.25">
      <c r="A5379" s="66"/>
    </row>
    <row r="5380" spans="1:1" x14ac:dyDescent="0.25">
      <c r="A5380" s="66"/>
    </row>
    <row r="5381" spans="1:1" x14ac:dyDescent="0.25">
      <c r="A5381" s="66"/>
    </row>
    <row r="5382" spans="1:1" x14ac:dyDescent="0.25">
      <c r="A5382" s="66"/>
    </row>
    <row r="5383" spans="1:1" x14ac:dyDescent="0.25">
      <c r="A5383" s="66"/>
    </row>
    <row r="5384" spans="1:1" x14ac:dyDescent="0.25">
      <c r="A5384" s="66"/>
    </row>
    <row r="5385" spans="1:1" x14ac:dyDescent="0.25">
      <c r="A5385" s="66"/>
    </row>
    <row r="5386" spans="1:1" x14ac:dyDescent="0.25">
      <c r="A5386" s="66"/>
    </row>
    <row r="5387" spans="1:1" x14ac:dyDescent="0.25">
      <c r="A5387" s="66"/>
    </row>
    <row r="5388" spans="1:1" x14ac:dyDescent="0.25">
      <c r="A5388" s="66"/>
    </row>
    <row r="5389" spans="1:1" x14ac:dyDescent="0.25">
      <c r="A5389" s="66"/>
    </row>
    <row r="5390" spans="1:1" x14ac:dyDescent="0.25">
      <c r="A5390" s="66"/>
    </row>
    <row r="5391" spans="1:1" x14ac:dyDescent="0.25">
      <c r="A5391" s="66"/>
    </row>
    <row r="5392" spans="1:1" x14ac:dyDescent="0.25">
      <c r="A5392" s="66"/>
    </row>
    <row r="5393" spans="1:1" x14ac:dyDescent="0.25">
      <c r="A5393" s="66"/>
    </row>
    <row r="5394" spans="1:1" x14ac:dyDescent="0.25">
      <c r="A5394" s="66"/>
    </row>
    <row r="5395" spans="1:1" x14ac:dyDescent="0.25">
      <c r="A5395" s="66"/>
    </row>
    <row r="5396" spans="1:1" x14ac:dyDescent="0.25">
      <c r="A5396" s="66"/>
    </row>
    <row r="5397" spans="1:1" x14ac:dyDescent="0.25">
      <c r="A5397" s="66"/>
    </row>
    <row r="5398" spans="1:1" x14ac:dyDescent="0.25">
      <c r="A5398" s="66"/>
    </row>
    <row r="5399" spans="1:1" x14ac:dyDescent="0.25">
      <c r="A5399" s="66"/>
    </row>
    <row r="5400" spans="1:1" x14ac:dyDescent="0.25">
      <c r="A5400" s="66"/>
    </row>
    <row r="5401" spans="1:1" x14ac:dyDescent="0.25">
      <c r="A5401" s="66"/>
    </row>
    <row r="5402" spans="1:1" x14ac:dyDescent="0.25">
      <c r="A5402" s="66"/>
    </row>
    <row r="5403" spans="1:1" x14ac:dyDescent="0.25">
      <c r="A5403" s="66"/>
    </row>
    <row r="5404" spans="1:1" x14ac:dyDescent="0.25">
      <c r="A5404" s="66"/>
    </row>
    <row r="5405" spans="1:1" x14ac:dyDescent="0.25">
      <c r="A5405" s="66"/>
    </row>
    <row r="5406" spans="1:1" x14ac:dyDescent="0.25">
      <c r="A5406" s="66"/>
    </row>
    <row r="5407" spans="1:1" x14ac:dyDescent="0.25">
      <c r="A5407" s="66"/>
    </row>
    <row r="5408" spans="1:1" x14ac:dyDescent="0.25">
      <c r="A5408" s="66"/>
    </row>
    <row r="5409" spans="1:1" x14ac:dyDescent="0.25">
      <c r="A5409" s="66"/>
    </row>
    <row r="5410" spans="1:1" x14ac:dyDescent="0.25">
      <c r="A5410" s="66"/>
    </row>
    <row r="5411" spans="1:1" x14ac:dyDescent="0.25">
      <c r="A5411" s="66"/>
    </row>
    <row r="5412" spans="1:1" x14ac:dyDescent="0.25">
      <c r="A5412" s="66"/>
    </row>
    <row r="5413" spans="1:1" x14ac:dyDescent="0.25">
      <c r="A5413" s="66"/>
    </row>
    <row r="5414" spans="1:1" x14ac:dyDescent="0.25">
      <c r="A5414" s="66"/>
    </row>
    <row r="5415" spans="1:1" x14ac:dyDescent="0.25">
      <c r="A5415" s="66"/>
    </row>
    <row r="5416" spans="1:1" x14ac:dyDescent="0.25">
      <c r="A5416" s="66"/>
    </row>
    <row r="5417" spans="1:1" x14ac:dyDescent="0.25">
      <c r="A5417" s="66"/>
    </row>
    <row r="5418" spans="1:1" x14ac:dyDescent="0.25">
      <c r="A5418" s="66"/>
    </row>
    <row r="5419" spans="1:1" x14ac:dyDescent="0.25">
      <c r="A5419" s="66"/>
    </row>
    <row r="5420" spans="1:1" x14ac:dyDescent="0.25">
      <c r="A5420" s="66"/>
    </row>
    <row r="5421" spans="1:1" x14ac:dyDescent="0.25">
      <c r="A5421" s="66"/>
    </row>
    <row r="5422" spans="1:1" x14ac:dyDescent="0.25">
      <c r="A5422" s="66"/>
    </row>
    <row r="5423" spans="1:1" x14ac:dyDescent="0.25">
      <c r="A5423" s="66"/>
    </row>
    <row r="5424" spans="1:1" x14ac:dyDescent="0.25">
      <c r="A5424" s="66"/>
    </row>
    <row r="5425" spans="1:1" x14ac:dyDescent="0.25">
      <c r="A5425" s="66"/>
    </row>
    <row r="5426" spans="1:1" x14ac:dyDescent="0.25">
      <c r="A5426" s="66"/>
    </row>
    <row r="5427" spans="1:1" x14ac:dyDescent="0.25">
      <c r="A5427" s="66"/>
    </row>
    <row r="5428" spans="1:1" x14ac:dyDescent="0.25">
      <c r="A5428" s="66"/>
    </row>
    <row r="5429" spans="1:1" x14ac:dyDescent="0.25">
      <c r="A5429" s="66"/>
    </row>
    <row r="5430" spans="1:1" x14ac:dyDescent="0.25">
      <c r="A5430" s="66"/>
    </row>
    <row r="5431" spans="1:1" x14ac:dyDescent="0.25">
      <c r="A5431" s="66"/>
    </row>
    <row r="5432" spans="1:1" x14ac:dyDescent="0.25">
      <c r="A5432" s="66"/>
    </row>
    <row r="5433" spans="1:1" x14ac:dyDescent="0.25">
      <c r="A5433" s="66"/>
    </row>
    <row r="5434" spans="1:1" x14ac:dyDescent="0.25">
      <c r="A5434" s="66"/>
    </row>
    <row r="5435" spans="1:1" x14ac:dyDescent="0.25">
      <c r="A5435" s="66"/>
    </row>
    <row r="5436" spans="1:1" x14ac:dyDescent="0.25">
      <c r="A5436" s="66"/>
    </row>
    <row r="5437" spans="1:1" x14ac:dyDescent="0.25">
      <c r="A5437" s="66"/>
    </row>
    <row r="5438" spans="1:1" x14ac:dyDescent="0.25">
      <c r="A5438" s="66"/>
    </row>
    <row r="5439" spans="1:1" x14ac:dyDescent="0.25">
      <c r="A5439" s="66"/>
    </row>
    <row r="5440" spans="1:1" x14ac:dyDescent="0.25">
      <c r="A5440" s="66"/>
    </row>
    <row r="5441" spans="1:1" x14ac:dyDescent="0.25">
      <c r="A5441" s="66"/>
    </row>
    <row r="5442" spans="1:1" x14ac:dyDescent="0.25">
      <c r="A5442" s="66"/>
    </row>
    <row r="5443" spans="1:1" x14ac:dyDescent="0.25">
      <c r="A5443" s="66"/>
    </row>
    <row r="5444" spans="1:1" x14ac:dyDescent="0.25">
      <c r="A5444" s="66"/>
    </row>
    <row r="5445" spans="1:1" x14ac:dyDescent="0.25">
      <c r="A5445" s="66"/>
    </row>
    <row r="5446" spans="1:1" x14ac:dyDescent="0.25">
      <c r="A5446" s="66"/>
    </row>
    <row r="5447" spans="1:1" x14ac:dyDescent="0.25">
      <c r="A5447" s="66"/>
    </row>
    <row r="5448" spans="1:1" x14ac:dyDescent="0.25">
      <c r="A5448" s="66"/>
    </row>
    <row r="5449" spans="1:1" x14ac:dyDescent="0.25">
      <c r="A5449" s="66"/>
    </row>
    <row r="5450" spans="1:1" x14ac:dyDescent="0.25">
      <c r="A5450" s="66"/>
    </row>
    <row r="5451" spans="1:1" x14ac:dyDescent="0.25">
      <c r="A5451" s="66"/>
    </row>
    <row r="5452" spans="1:1" x14ac:dyDescent="0.25">
      <c r="A5452" s="66"/>
    </row>
    <row r="5453" spans="1:1" x14ac:dyDescent="0.25">
      <c r="A5453" s="66"/>
    </row>
    <row r="5454" spans="1:1" x14ac:dyDescent="0.25">
      <c r="A5454" s="66"/>
    </row>
    <row r="5455" spans="1:1" x14ac:dyDescent="0.25">
      <c r="A5455" s="66"/>
    </row>
    <row r="5456" spans="1:1" x14ac:dyDescent="0.25">
      <c r="A5456" s="66"/>
    </row>
    <row r="5457" spans="1:1" x14ac:dyDescent="0.25">
      <c r="A5457" s="66"/>
    </row>
    <row r="5458" spans="1:1" x14ac:dyDescent="0.25">
      <c r="A5458" s="66"/>
    </row>
    <row r="5459" spans="1:1" x14ac:dyDescent="0.25">
      <c r="A5459" s="66"/>
    </row>
    <row r="5460" spans="1:1" x14ac:dyDescent="0.25">
      <c r="A5460" s="66"/>
    </row>
    <row r="5461" spans="1:1" x14ac:dyDescent="0.25">
      <c r="A5461" s="66"/>
    </row>
    <row r="5462" spans="1:1" x14ac:dyDescent="0.25">
      <c r="A5462" s="66"/>
    </row>
    <row r="5463" spans="1:1" x14ac:dyDescent="0.25">
      <c r="A5463" s="66"/>
    </row>
    <row r="5464" spans="1:1" x14ac:dyDescent="0.25">
      <c r="A5464" s="66"/>
    </row>
    <row r="5465" spans="1:1" x14ac:dyDescent="0.25">
      <c r="A5465" s="66"/>
    </row>
    <row r="5466" spans="1:1" x14ac:dyDescent="0.25">
      <c r="A5466" s="66"/>
    </row>
    <row r="5467" spans="1:1" x14ac:dyDescent="0.25">
      <c r="A5467" s="66"/>
    </row>
    <row r="5468" spans="1:1" x14ac:dyDescent="0.25">
      <c r="A5468" s="66"/>
    </row>
    <row r="5469" spans="1:1" x14ac:dyDescent="0.25">
      <c r="A5469" s="66"/>
    </row>
    <row r="5470" spans="1:1" x14ac:dyDescent="0.25">
      <c r="A5470" s="66"/>
    </row>
    <row r="5471" spans="1:1" x14ac:dyDescent="0.25">
      <c r="A5471" s="66"/>
    </row>
    <row r="5472" spans="1:1" x14ac:dyDescent="0.25">
      <c r="A5472" s="66"/>
    </row>
    <row r="5473" spans="1:1" x14ac:dyDescent="0.25">
      <c r="A5473" s="66"/>
    </row>
    <row r="5474" spans="1:1" x14ac:dyDescent="0.25">
      <c r="A5474" s="66"/>
    </row>
    <row r="5475" spans="1:1" x14ac:dyDescent="0.25">
      <c r="A5475" s="66"/>
    </row>
    <row r="5476" spans="1:1" x14ac:dyDescent="0.25">
      <c r="A5476" s="66"/>
    </row>
    <row r="5477" spans="1:1" x14ac:dyDescent="0.25">
      <c r="A5477" s="66"/>
    </row>
    <row r="5478" spans="1:1" x14ac:dyDescent="0.25">
      <c r="A5478" s="66"/>
    </row>
    <row r="5479" spans="1:1" x14ac:dyDescent="0.25">
      <c r="A5479" s="66"/>
    </row>
    <row r="5480" spans="1:1" x14ac:dyDescent="0.25">
      <c r="A5480" s="66"/>
    </row>
    <row r="5481" spans="1:1" x14ac:dyDescent="0.25">
      <c r="A5481" s="66"/>
    </row>
    <row r="5482" spans="1:1" x14ac:dyDescent="0.25">
      <c r="A5482" s="66"/>
    </row>
    <row r="5483" spans="1:1" x14ac:dyDescent="0.25">
      <c r="A5483" s="66"/>
    </row>
    <row r="5484" spans="1:1" x14ac:dyDescent="0.25">
      <c r="A5484" s="66"/>
    </row>
    <row r="5485" spans="1:1" x14ac:dyDescent="0.25">
      <c r="A5485" s="66"/>
    </row>
    <row r="5486" spans="1:1" x14ac:dyDescent="0.25">
      <c r="A5486" s="66"/>
    </row>
    <row r="5487" spans="1:1" x14ac:dyDescent="0.25">
      <c r="A5487" s="66"/>
    </row>
    <row r="5488" spans="1:1" x14ac:dyDescent="0.25">
      <c r="A5488" s="66"/>
    </row>
    <row r="5489" spans="1:1" x14ac:dyDescent="0.25">
      <c r="A5489" s="66"/>
    </row>
    <row r="5490" spans="1:1" x14ac:dyDescent="0.25">
      <c r="A5490" s="66"/>
    </row>
    <row r="5491" spans="1:1" x14ac:dyDescent="0.25">
      <c r="A5491" s="66"/>
    </row>
    <row r="5492" spans="1:1" x14ac:dyDescent="0.25">
      <c r="A5492" s="66"/>
    </row>
    <row r="5493" spans="1:1" x14ac:dyDescent="0.25">
      <c r="A5493" s="66"/>
    </row>
    <row r="5494" spans="1:1" x14ac:dyDescent="0.25">
      <c r="A5494" s="66"/>
    </row>
    <row r="5495" spans="1:1" x14ac:dyDescent="0.25">
      <c r="A5495" s="66"/>
    </row>
    <row r="5496" spans="1:1" x14ac:dyDescent="0.25">
      <c r="A5496" s="66"/>
    </row>
    <row r="5497" spans="1:1" x14ac:dyDescent="0.25">
      <c r="A5497" s="66"/>
    </row>
    <row r="5498" spans="1:1" x14ac:dyDescent="0.25">
      <c r="A5498" s="66"/>
    </row>
    <row r="5499" spans="1:1" x14ac:dyDescent="0.25">
      <c r="A5499" s="66"/>
    </row>
    <row r="5500" spans="1:1" x14ac:dyDescent="0.25">
      <c r="A5500" s="66"/>
    </row>
    <row r="5501" spans="1:1" x14ac:dyDescent="0.25">
      <c r="A5501" s="66"/>
    </row>
    <row r="5502" spans="1:1" x14ac:dyDescent="0.25">
      <c r="A5502" s="66"/>
    </row>
    <row r="5503" spans="1:1" x14ac:dyDescent="0.25">
      <c r="A5503" s="66"/>
    </row>
    <row r="5504" spans="1:1" x14ac:dyDescent="0.25">
      <c r="A5504" s="66"/>
    </row>
    <row r="5505" spans="1:1" x14ac:dyDescent="0.25">
      <c r="A5505" s="66"/>
    </row>
    <row r="5506" spans="1:1" x14ac:dyDescent="0.25">
      <c r="A5506" s="66"/>
    </row>
    <row r="5507" spans="1:1" x14ac:dyDescent="0.25">
      <c r="A5507" s="66"/>
    </row>
    <row r="5508" spans="1:1" x14ac:dyDescent="0.25">
      <c r="A5508" s="66"/>
    </row>
    <row r="5509" spans="1:1" x14ac:dyDescent="0.25">
      <c r="A5509" s="66"/>
    </row>
    <row r="5510" spans="1:1" x14ac:dyDescent="0.25">
      <c r="A5510" s="66"/>
    </row>
    <row r="5511" spans="1:1" x14ac:dyDescent="0.25">
      <c r="A5511" s="66"/>
    </row>
    <row r="5512" spans="1:1" x14ac:dyDescent="0.25">
      <c r="A5512" s="66"/>
    </row>
    <row r="5513" spans="1:1" x14ac:dyDescent="0.25">
      <c r="A5513" s="66"/>
    </row>
    <row r="5514" spans="1:1" x14ac:dyDescent="0.25">
      <c r="A5514" s="66"/>
    </row>
    <row r="5515" spans="1:1" x14ac:dyDescent="0.25">
      <c r="A5515" s="66"/>
    </row>
    <row r="5516" spans="1:1" x14ac:dyDescent="0.25">
      <c r="A5516" s="66"/>
    </row>
    <row r="5517" spans="1:1" x14ac:dyDescent="0.25">
      <c r="A5517" s="66"/>
    </row>
    <row r="5518" spans="1:1" x14ac:dyDescent="0.25">
      <c r="A5518" s="66"/>
    </row>
    <row r="5519" spans="1:1" x14ac:dyDescent="0.25">
      <c r="A5519" s="66"/>
    </row>
    <row r="5520" spans="1:1" x14ac:dyDescent="0.25">
      <c r="A5520" s="66"/>
    </row>
    <row r="5521" spans="1:1" x14ac:dyDescent="0.25">
      <c r="A5521" s="66"/>
    </row>
    <row r="5522" spans="1:1" x14ac:dyDescent="0.25">
      <c r="A5522" s="66"/>
    </row>
    <row r="5523" spans="1:1" x14ac:dyDescent="0.25">
      <c r="A5523" s="66"/>
    </row>
    <row r="5524" spans="1:1" x14ac:dyDescent="0.25">
      <c r="A5524" s="66"/>
    </row>
    <row r="5525" spans="1:1" x14ac:dyDescent="0.25">
      <c r="A5525" s="66"/>
    </row>
    <row r="5526" spans="1:1" x14ac:dyDescent="0.25">
      <c r="A5526" s="66"/>
    </row>
    <row r="5527" spans="1:1" x14ac:dyDescent="0.25">
      <c r="A5527" s="66"/>
    </row>
    <row r="5528" spans="1:1" x14ac:dyDescent="0.25">
      <c r="A5528" s="66"/>
    </row>
    <row r="5529" spans="1:1" x14ac:dyDescent="0.25">
      <c r="A5529" s="66"/>
    </row>
    <row r="5530" spans="1:1" x14ac:dyDescent="0.25">
      <c r="A5530" s="66"/>
    </row>
    <row r="5531" spans="1:1" x14ac:dyDescent="0.25">
      <c r="A5531" s="66"/>
    </row>
    <row r="5532" spans="1:1" x14ac:dyDescent="0.25">
      <c r="A5532" s="66"/>
    </row>
    <row r="5533" spans="1:1" x14ac:dyDescent="0.25">
      <c r="A5533" s="66"/>
    </row>
    <row r="5534" spans="1:1" x14ac:dyDescent="0.25">
      <c r="A5534" s="66"/>
    </row>
    <row r="5535" spans="1:1" x14ac:dyDescent="0.25">
      <c r="A5535" s="66"/>
    </row>
    <row r="5536" spans="1:1" x14ac:dyDescent="0.25">
      <c r="A5536" s="66"/>
    </row>
    <row r="5537" spans="1:1" x14ac:dyDescent="0.25">
      <c r="A5537" s="66"/>
    </row>
    <row r="5538" spans="1:1" x14ac:dyDescent="0.25">
      <c r="A5538" s="66"/>
    </row>
    <row r="5539" spans="1:1" x14ac:dyDescent="0.25">
      <c r="A5539" s="66"/>
    </row>
    <row r="5540" spans="1:1" x14ac:dyDescent="0.25">
      <c r="A5540" s="66"/>
    </row>
    <row r="5541" spans="1:1" x14ac:dyDescent="0.25">
      <c r="A5541" s="66"/>
    </row>
    <row r="5542" spans="1:1" x14ac:dyDescent="0.25">
      <c r="A5542" s="66"/>
    </row>
    <row r="5543" spans="1:1" x14ac:dyDescent="0.25">
      <c r="A5543" s="66"/>
    </row>
    <row r="5544" spans="1:1" x14ac:dyDescent="0.25">
      <c r="A5544" s="66"/>
    </row>
    <row r="5545" spans="1:1" x14ac:dyDescent="0.25">
      <c r="A5545" s="66"/>
    </row>
    <row r="5546" spans="1:1" x14ac:dyDescent="0.25">
      <c r="A5546" s="66"/>
    </row>
    <row r="5547" spans="1:1" x14ac:dyDescent="0.25">
      <c r="A5547" s="66"/>
    </row>
    <row r="5548" spans="1:1" x14ac:dyDescent="0.25">
      <c r="A5548" s="66"/>
    </row>
    <row r="5549" spans="1:1" x14ac:dyDescent="0.25">
      <c r="A5549" s="66"/>
    </row>
    <row r="5550" spans="1:1" x14ac:dyDescent="0.25">
      <c r="A5550" s="66"/>
    </row>
    <row r="5551" spans="1:1" x14ac:dyDescent="0.25">
      <c r="A5551" s="66"/>
    </row>
    <row r="5552" spans="1:1" x14ac:dyDescent="0.25">
      <c r="A5552" s="66"/>
    </row>
    <row r="5553" spans="1:1" x14ac:dyDescent="0.25">
      <c r="A5553" s="66"/>
    </row>
    <row r="5554" spans="1:1" x14ac:dyDescent="0.25">
      <c r="A5554" s="66"/>
    </row>
    <row r="5555" spans="1:1" x14ac:dyDescent="0.25">
      <c r="A5555" s="66"/>
    </row>
    <row r="5556" spans="1:1" x14ac:dyDescent="0.25">
      <c r="A5556" s="66"/>
    </row>
    <row r="5557" spans="1:1" x14ac:dyDescent="0.25">
      <c r="A5557" s="66"/>
    </row>
    <row r="5558" spans="1:1" x14ac:dyDescent="0.25">
      <c r="A5558" s="66"/>
    </row>
    <row r="5559" spans="1:1" x14ac:dyDescent="0.25">
      <c r="A5559" s="66"/>
    </row>
    <row r="5560" spans="1:1" x14ac:dyDescent="0.25">
      <c r="A5560" s="66"/>
    </row>
    <row r="5561" spans="1:1" x14ac:dyDescent="0.25">
      <c r="A5561" s="66"/>
    </row>
    <row r="5562" spans="1:1" x14ac:dyDescent="0.25">
      <c r="A5562" s="66"/>
    </row>
    <row r="5563" spans="1:1" x14ac:dyDescent="0.25">
      <c r="A5563" s="66"/>
    </row>
    <row r="5564" spans="1:1" x14ac:dyDescent="0.25">
      <c r="A5564" s="66"/>
    </row>
    <row r="5565" spans="1:1" x14ac:dyDescent="0.25">
      <c r="A5565" s="66"/>
    </row>
    <row r="5566" spans="1:1" x14ac:dyDescent="0.25">
      <c r="A5566" s="66"/>
    </row>
    <row r="5567" spans="1:1" x14ac:dyDescent="0.25">
      <c r="A5567" s="66"/>
    </row>
    <row r="5568" spans="1:1" x14ac:dyDescent="0.25">
      <c r="A5568" s="66"/>
    </row>
    <row r="5569" spans="1:1" x14ac:dyDescent="0.25">
      <c r="A5569" s="66"/>
    </row>
    <row r="5570" spans="1:1" x14ac:dyDescent="0.25">
      <c r="A5570" s="66"/>
    </row>
    <row r="5571" spans="1:1" x14ac:dyDescent="0.25">
      <c r="A5571" s="66"/>
    </row>
    <row r="5572" spans="1:1" x14ac:dyDescent="0.25">
      <c r="A5572" s="66"/>
    </row>
    <row r="5573" spans="1:1" x14ac:dyDescent="0.25">
      <c r="A5573" s="66"/>
    </row>
    <row r="5574" spans="1:1" x14ac:dyDescent="0.25">
      <c r="A5574" s="66"/>
    </row>
    <row r="5575" spans="1:1" x14ac:dyDescent="0.25">
      <c r="A5575" s="66"/>
    </row>
    <row r="5576" spans="1:1" x14ac:dyDescent="0.25">
      <c r="A5576" s="66"/>
    </row>
    <row r="5577" spans="1:1" x14ac:dyDescent="0.25">
      <c r="A5577" s="66"/>
    </row>
    <row r="5578" spans="1:1" x14ac:dyDescent="0.25">
      <c r="A5578" s="66"/>
    </row>
    <row r="5579" spans="1:1" x14ac:dyDescent="0.25">
      <c r="A5579" s="66"/>
    </row>
    <row r="5580" spans="1:1" x14ac:dyDescent="0.25">
      <c r="A5580" s="66"/>
    </row>
    <row r="5581" spans="1:1" x14ac:dyDescent="0.25">
      <c r="A5581" s="66"/>
    </row>
    <row r="5582" spans="1:1" x14ac:dyDescent="0.25">
      <c r="A5582" s="66"/>
    </row>
    <row r="5583" spans="1:1" x14ac:dyDescent="0.25">
      <c r="A5583" s="66"/>
    </row>
    <row r="5584" spans="1:1" x14ac:dyDescent="0.25">
      <c r="A5584" s="66"/>
    </row>
    <row r="5585" spans="1:1" x14ac:dyDescent="0.25">
      <c r="A5585" s="66"/>
    </row>
    <row r="5586" spans="1:1" x14ac:dyDescent="0.25">
      <c r="A5586" s="66"/>
    </row>
    <row r="5587" spans="1:1" x14ac:dyDescent="0.25">
      <c r="A5587" s="66"/>
    </row>
    <row r="5588" spans="1:1" x14ac:dyDescent="0.25">
      <c r="A5588" s="66"/>
    </row>
    <row r="5589" spans="1:1" x14ac:dyDescent="0.25">
      <c r="A5589" s="66"/>
    </row>
    <row r="5590" spans="1:1" x14ac:dyDescent="0.25">
      <c r="A5590" s="66"/>
    </row>
    <row r="5591" spans="1:1" x14ac:dyDescent="0.25">
      <c r="A5591" s="66"/>
    </row>
    <row r="5592" spans="1:1" x14ac:dyDescent="0.25">
      <c r="A5592" s="66"/>
    </row>
    <row r="5593" spans="1:1" x14ac:dyDescent="0.25">
      <c r="A5593" s="66"/>
    </row>
    <row r="5594" spans="1:1" x14ac:dyDescent="0.25">
      <c r="A5594" s="66"/>
    </row>
    <row r="5595" spans="1:1" x14ac:dyDescent="0.25">
      <c r="A5595" s="66"/>
    </row>
    <row r="5596" spans="1:1" x14ac:dyDescent="0.25">
      <c r="A5596" s="66"/>
    </row>
    <row r="5597" spans="1:1" x14ac:dyDescent="0.25">
      <c r="A5597" s="66"/>
    </row>
    <row r="5598" spans="1:1" x14ac:dyDescent="0.25">
      <c r="A5598" s="66"/>
    </row>
    <row r="5599" spans="1:1" x14ac:dyDescent="0.25">
      <c r="A5599" s="66"/>
    </row>
    <row r="5600" spans="1:1" x14ac:dyDescent="0.25">
      <c r="A5600" s="66"/>
    </row>
    <row r="5601" spans="1:1" x14ac:dyDescent="0.25">
      <c r="A5601" s="66"/>
    </row>
    <row r="5602" spans="1:1" x14ac:dyDescent="0.25">
      <c r="A5602" s="66"/>
    </row>
    <row r="5603" spans="1:1" x14ac:dyDescent="0.25">
      <c r="A5603" s="66"/>
    </row>
    <row r="5604" spans="1:1" x14ac:dyDescent="0.25">
      <c r="A5604" s="66"/>
    </row>
    <row r="5605" spans="1:1" x14ac:dyDescent="0.25">
      <c r="A5605" s="66"/>
    </row>
    <row r="5606" spans="1:1" x14ac:dyDescent="0.25">
      <c r="A5606" s="66"/>
    </row>
    <row r="5607" spans="1:1" x14ac:dyDescent="0.25">
      <c r="A5607" s="66"/>
    </row>
    <row r="5608" spans="1:1" x14ac:dyDescent="0.25">
      <c r="A5608" s="66"/>
    </row>
    <row r="5609" spans="1:1" x14ac:dyDescent="0.25">
      <c r="A5609" s="66"/>
    </row>
    <row r="5610" spans="1:1" x14ac:dyDescent="0.25">
      <c r="A5610" s="66"/>
    </row>
    <row r="5611" spans="1:1" x14ac:dyDescent="0.25">
      <c r="A5611" s="66"/>
    </row>
    <row r="5612" spans="1:1" x14ac:dyDescent="0.25">
      <c r="A5612" s="66"/>
    </row>
    <row r="5613" spans="1:1" x14ac:dyDescent="0.25">
      <c r="A5613" s="66"/>
    </row>
    <row r="5614" spans="1:1" x14ac:dyDescent="0.25">
      <c r="A5614" s="66"/>
    </row>
    <row r="5615" spans="1:1" x14ac:dyDescent="0.25">
      <c r="A5615" s="66"/>
    </row>
    <row r="5616" spans="1:1" x14ac:dyDescent="0.25">
      <c r="A5616" s="66"/>
    </row>
    <row r="5617" spans="1:1" x14ac:dyDescent="0.25">
      <c r="A5617" s="66"/>
    </row>
    <row r="5618" spans="1:1" x14ac:dyDescent="0.25">
      <c r="A5618" s="66"/>
    </row>
    <row r="5619" spans="1:1" x14ac:dyDescent="0.25">
      <c r="A5619" s="66"/>
    </row>
    <row r="5620" spans="1:1" x14ac:dyDescent="0.25">
      <c r="A5620" s="66"/>
    </row>
    <row r="5621" spans="1:1" x14ac:dyDescent="0.25">
      <c r="A5621" s="66"/>
    </row>
    <row r="5622" spans="1:1" x14ac:dyDescent="0.25">
      <c r="A5622" s="66"/>
    </row>
    <row r="5623" spans="1:1" x14ac:dyDescent="0.25">
      <c r="A5623" s="66"/>
    </row>
    <row r="5624" spans="1:1" x14ac:dyDescent="0.25">
      <c r="A5624" s="66"/>
    </row>
    <row r="5625" spans="1:1" x14ac:dyDescent="0.25">
      <c r="A5625" s="66"/>
    </row>
    <row r="5626" spans="1:1" x14ac:dyDescent="0.25">
      <c r="A5626" s="66"/>
    </row>
    <row r="5627" spans="1:1" x14ac:dyDescent="0.25">
      <c r="A5627" s="66"/>
    </row>
    <row r="5628" spans="1:1" x14ac:dyDescent="0.25">
      <c r="A5628" s="66"/>
    </row>
    <row r="5629" spans="1:1" x14ac:dyDescent="0.25">
      <c r="A5629" s="66"/>
    </row>
    <row r="5630" spans="1:1" x14ac:dyDescent="0.25">
      <c r="A5630" s="66"/>
    </row>
    <row r="5631" spans="1:1" x14ac:dyDescent="0.25">
      <c r="A5631" s="66"/>
    </row>
    <row r="5632" spans="1:1" x14ac:dyDescent="0.25">
      <c r="A5632" s="66"/>
    </row>
    <row r="5633" spans="1:1" x14ac:dyDescent="0.25">
      <c r="A5633" s="66"/>
    </row>
    <row r="5634" spans="1:1" x14ac:dyDescent="0.25">
      <c r="A5634" s="66"/>
    </row>
    <row r="5635" spans="1:1" x14ac:dyDescent="0.25">
      <c r="A5635" s="66"/>
    </row>
    <row r="5636" spans="1:1" x14ac:dyDescent="0.25">
      <c r="A5636" s="66"/>
    </row>
    <row r="5637" spans="1:1" x14ac:dyDescent="0.25">
      <c r="A5637" s="66"/>
    </row>
    <row r="5638" spans="1:1" x14ac:dyDescent="0.25">
      <c r="A5638" s="66"/>
    </row>
    <row r="5639" spans="1:1" x14ac:dyDescent="0.25">
      <c r="A5639" s="66"/>
    </row>
    <row r="5640" spans="1:1" x14ac:dyDescent="0.25">
      <c r="A5640" s="66"/>
    </row>
    <row r="5641" spans="1:1" x14ac:dyDescent="0.25">
      <c r="A5641" s="66"/>
    </row>
    <row r="5642" spans="1:1" x14ac:dyDescent="0.25">
      <c r="A5642" s="66"/>
    </row>
    <row r="5643" spans="1:1" x14ac:dyDescent="0.25">
      <c r="A5643" s="66"/>
    </row>
    <row r="5644" spans="1:1" x14ac:dyDescent="0.25">
      <c r="A5644" s="66"/>
    </row>
    <row r="5645" spans="1:1" x14ac:dyDescent="0.25">
      <c r="A5645" s="66"/>
    </row>
    <row r="5646" spans="1:1" x14ac:dyDescent="0.25">
      <c r="A5646" s="66"/>
    </row>
    <row r="5647" spans="1:1" x14ac:dyDescent="0.25">
      <c r="A5647" s="66"/>
    </row>
    <row r="5648" spans="1:1" x14ac:dyDescent="0.25">
      <c r="A5648" s="66"/>
    </row>
    <row r="5649" spans="1:1" x14ac:dyDescent="0.25">
      <c r="A5649" s="66"/>
    </row>
    <row r="5650" spans="1:1" x14ac:dyDescent="0.25">
      <c r="A5650" s="66"/>
    </row>
    <row r="5651" spans="1:1" x14ac:dyDescent="0.25">
      <c r="A5651" s="66"/>
    </row>
    <row r="5652" spans="1:1" x14ac:dyDescent="0.25">
      <c r="A5652" s="66"/>
    </row>
    <row r="5653" spans="1:1" x14ac:dyDescent="0.25">
      <c r="A5653" s="66"/>
    </row>
    <row r="5654" spans="1:1" x14ac:dyDescent="0.25">
      <c r="A5654" s="66"/>
    </row>
    <row r="5655" spans="1:1" x14ac:dyDescent="0.25">
      <c r="A5655" s="66"/>
    </row>
    <row r="5656" spans="1:1" x14ac:dyDescent="0.25">
      <c r="A5656" s="66"/>
    </row>
    <row r="5657" spans="1:1" x14ac:dyDescent="0.25">
      <c r="A5657" s="66"/>
    </row>
    <row r="5658" spans="1:1" x14ac:dyDescent="0.25">
      <c r="A5658" s="66"/>
    </row>
    <row r="5659" spans="1:1" x14ac:dyDescent="0.25">
      <c r="A5659" s="66"/>
    </row>
    <row r="5660" spans="1:1" x14ac:dyDescent="0.25">
      <c r="A5660" s="66"/>
    </row>
    <row r="5661" spans="1:1" x14ac:dyDescent="0.25">
      <c r="A5661" s="66"/>
    </row>
    <row r="5662" spans="1:1" x14ac:dyDescent="0.25">
      <c r="A5662" s="66"/>
    </row>
    <row r="5663" spans="1:1" x14ac:dyDescent="0.25">
      <c r="A5663" s="66"/>
    </row>
    <row r="5664" spans="1:1" x14ac:dyDescent="0.25">
      <c r="A5664" s="66"/>
    </row>
    <row r="5665" spans="1:1" x14ac:dyDescent="0.25">
      <c r="A5665" s="66"/>
    </row>
    <row r="5666" spans="1:1" x14ac:dyDescent="0.25">
      <c r="A5666" s="66"/>
    </row>
    <row r="5667" spans="1:1" x14ac:dyDescent="0.25">
      <c r="A5667" s="66"/>
    </row>
    <row r="5668" spans="1:1" x14ac:dyDescent="0.25">
      <c r="A5668" s="66"/>
    </row>
    <row r="5669" spans="1:1" x14ac:dyDescent="0.25">
      <c r="A5669" s="66"/>
    </row>
    <row r="5670" spans="1:1" x14ac:dyDescent="0.25">
      <c r="A5670" s="66"/>
    </row>
    <row r="5671" spans="1:1" x14ac:dyDescent="0.25">
      <c r="A5671" s="66"/>
    </row>
    <row r="5672" spans="1:1" x14ac:dyDescent="0.25">
      <c r="A5672" s="66"/>
    </row>
    <row r="5673" spans="1:1" x14ac:dyDescent="0.25">
      <c r="A5673" s="66"/>
    </row>
    <row r="5674" spans="1:1" x14ac:dyDescent="0.25">
      <c r="A5674" s="66"/>
    </row>
    <row r="5675" spans="1:1" x14ac:dyDescent="0.25">
      <c r="A5675" s="66"/>
    </row>
    <row r="5676" spans="1:1" x14ac:dyDescent="0.25">
      <c r="A5676" s="66"/>
    </row>
    <row r="5677" spans="1:1" x14ac:dyDescent="0.25">
      <c r="A5677" s="66"/>
    </row>
    <row r="5678" spans="1:1" x14ac:dyDescent="0.25">
      <c r="A5678" s="66"/>
    </row>
    <row r="5679" spans="1:1" x14ac:dyDescent="0.25">
      <c r="A5679" s="66"/>
    </row>
    <row r="5680" spans="1:1" x14ac:dyDescent="0.25">
      <c r="A5680" s="66"/>
    </row>
    <row r="5681" spans="1:1" x14ac:dyDescent="0.25">
      <c r="A5681" s="66"/>
    </row>
    <row r="5682" spans="1:1" x14ac:dyDescent="0.25">
      <c r="A5682" s="66"/>
    </row>
    <row r="5683" spans="1:1" x14ac:dyDescent="0.25">
      <c r="A5683" s="66"/>
    </row>
    <row r="5684" spans="1:1" x14ac:dyDescent="0.25">
      <c r="A5684" s="66"/>
    </row>
    <row r="5685" spans="1:1" x14ac:dyDescent="0.25">
      <c r="A5685" s="66"/>
    </row>
    <row r="5686" spans="1:1" x14ac:dyDescent="0.25">
      <c r="A5686" s="66"/>
    </row>
    <row r="5687" spans="1:1" x14ac:dyDescent="0.25">
      <c r="A5687" s="66"/>
    </row>
    <row r="5688" spans="1:1" x14ac:dyDescent="0.25">
      <c r="A5688" s="66"/>
    </row>
    <row r="5689" spans="1:1" x14ac:dyDescent="0.25">
      <c r="A5689" s="66"/>
    </row>
    <row r="5690" spans="1:1" x14ac:dyDescent="0.25">
      <c r="A5690" s="66"/>
    </row>
    <row r="5691" spans="1:1" x14ac:dyDescent="0.25">
      <c r="A5691" s="66"/>
    </row>
    <row r="5692" spans="1:1" x14ac:dyDescent="0.25">
      <c r="A5692" s="66"/>
    </row>
    <row r="5693" spans="1:1" x14ac:dyDescent="0.25">
      <c r="A5693" s="66"/>
    </row>
    <row r="5694" spans="1:1" x14ac:dyDescent="0.25">
      <c r="A5694" s="66"/>
    </row>
    <row r="5695" spans="1:1" x14ac:dyDescent="0.25">
      <c r="A5695" s="66"/>
    </row>
    <row r="5696" spans="1:1" x14ac:dyDescent="0.25">
      <c r="A5696" s="66"/>
    </row>
    <row r="5697" spans="1:1" x14ac:dyDescent="0.25">
      <c r="A5697" s="66"/>
    </row>
    <row r="5698" spans="1:1" x14ac:dyDescent="0.25">
      <c r="A5698" s="66"/>
    </row>
    <row r="5699" spans="1:1" x14ac:dyDescent="0.25">
      <c r="A5699" s="66"/>
    </row>
    <row r="5700" spans="1:1" x14ac:dyDescent="0.25">
      <c r="A5700" s="66"/>
    </row>
    <row r="5701" spans="1:1" x14ac:dyDescent="0.25">
      <c r="A5701" s="66"/>
    </row>
    <row r="5702" spans="1:1" x14ac:dyDescent="0.25">
      <c r="A5702" s="66"/>
    </row>
    <row r="5703" spans="1:1" x14ac:dyDescent="0.25">
      <c r="A5703" s="66"/>
    </row>
    <row r="5704" spans="1:1" x14ac:dyDescent="0.25">
      <c r="A5704" s="66"/>
    </row>
    <row r="5705" spans="1:1" x14ac:dyDescent="0.25">
      <c r="A5705" s="66"/>
    </row>
    <row r="5706" spans="1:1" x14ac:dyDescent="0.25">
      <c r="A5706" s="66"/>
    </row>
    <row r="5707" spans="1:1" x14ac:dyDescent="0.25">
      <c r="A5707" s="66"/>
    </row>
    <row r="5708" spans="1:1" x14ac:dyDescent="0.25">
      <c r="A5708" s="66"/>
    </row>
    <row r="5709" spans="1:1" x14ac:dyDescent="0.25">
      <c r="A5709" s="66"/>
    </row>
    <row r="5710" spans="1:1" x14ac:dyDescent="0.25">
      <c r="A5710" s="66"/>
    </row>
    <row r="5711" spans="1:1" x14ac:dyDescent="0.25">
      <c r="A5711" s="66"/>
    </row>
    <row r="5712" spans="1:1" x14ac:dyDescent="0.25">
      <c r="A5712" s="66"/>
    </row>
    <row r="5713" spans="1:1" x14ac:dyDescent="0.25">
      <c r="A5713" s="66"/>
    </row>
    <row r="5714" spans="1:1" x14ac:dyDescent="0.25">
      <c r="A5714" s="66"/>
    </row>
    <row r="5715" spans="1:1" x14ac:dyDescent="0.25">
      <c r="A5715" s="66"/>
    </row>
    <row r="5716" spans="1:1" x14ac:dyDescent="0.25">
      <c r="A5716" s="66"/>
    </row>
    <row r="5717" spans="1:1" x14ac:dyDescent="0.25">
      <c r="A5717" s="66"/>
    </row>
    <row r="5718" spans="1:1" x14ac:dyDescent="0.25">
      <c r="A5718" s="66"/>
    </row>
    <row r="5719" spans="1:1" x14ac:dyDescent="0.25">
      <c r="A5719" s="66"/>
    </row>
    <row r="5720" spans="1:1" x14ac:dyDescent="0.25">
      <c r="A5720" s="66"/>
    </row>
    <row r="5721" spans="1:1" x14ac:dyDescent="0.25">
      <c r="A5721" s="66"/>
    </row>
    <row r="5722" spans="1:1" x14ac:dyDescent="0.25">
      <c r="A5722" s="66"/>
    </row>
    <row r="5723" spans="1:1" x14ac:dyDescent="0.25">
      <c r="A5723" s="66"/>
    </row>
    <row r="5724" spans="1:1" x14ac:dyDescent="0.25">
      <c r="A5724" s="66"/>
    </row>
    <row r="5725" spans="1:1" x14ac:dyDescent="0.25">
      <c r="A5725" s="66"/>
    </row>
    <row r="5726" spans="1:1" x14ac:dyDescent="0.25">
      <c r="A5726" s="66"/>
    </row>
    <row r="5727" spans="1:1" x14ac:dyDescent="0.25">
      <c r="A5727" s="66"/>
    </row>
    <row r="5728" spans="1:1" x14ac:dyDescent="0.25">
      <c r="A5728" s="66"/>
    </row>
    <row r="5729" spans="1:1" x14ac:dyDescent="0.25">
      <c r="A5729" s="66"/>
    </row>
    <row r="5730" spans="1:1" x14ac:dyDescent="0.25">
      <c r="A5730" s="66"/>
    </row>
    <row r="5731" spans="1:1" x14ac:dyDescent="0.25">
      <c r="A5731" s="66"/>
    </row>
    <row r="5732" spans="1:1" x14ac:dyDescent="0.25">
      <c r="A5732" s="66"/>
    </row>
    <row r="5733" spans="1:1" x14ac:dyDescent="0.25">
      <c r="A5733" s="66"/>
    </row>
    <row r="5734" spans="1:1" x14ac:dyDescent="0.25">
      <c r="A5734" s="66"/>
    </row>
    <row r="5735" spans="1:1" x14ac:dyDescent="0.25">
      <c r="A5735" s="66"/>
    </row>
    <row r="5736" spans="1:1" x14ac:dyDescent="0.25">
      <c r="A5736" s="66"/>
    </row>
    <row r="5737" spans="1:1" x14ac:dyDescent="0.25">
      <c r="A5737" s="66"/>
    </row>
    <row r="5738" spans="1:1" x14ac:dyDescent="0.25">
      <c r="A5738" s="66"/>
    </row>
    <row r="5739" spans="1:1" x14ac:dyDescent="0.25">
      <c r="A5739" s="66"/>
    </row>
    <row r="5740" spans="1:1" x14ac:dyDescent="0.25">
      <c r="A5740" s="66"/>
    </row>
    <row r="5741" spans="1:1" x14ac:dyDescent="0.25">
      <c r="A5741" s="66"/>
    </row>
    <row r="5742" spans="1:1" x14ac:dyDescent="0.25">
      <c r="A5742" s="66"/>
    </row>
    <row r="5743" spans="1:1" x14ac:dyDescent="0.25">
      <c r="A5743" s="66"/>
    </row>
    <row r="5744" spans="1:1" x14ac:dyDescent="0.25">
      <c r="A5744" s="66"/>
    </row>
    <row r="5745" spans="1:1" x14ac:dyDescent="0.25">
      <c r="A5745" s="66"/>
    </row>
    <row r="5746" spans="1:1" x14ac:dyDescent="0.25">
      <c r="A5746" s="66"/>
    </row>
    <row r="5747" spans="1:1" x14ac:dyDescent="0.25">
      <c r="A5747" s="66"/>
    </row>
    <row r="5748" spans="1:1" x14ac:dyDescent="0.25">
      <c r="A5748" s="66"/>
    </row>
    <row r="5749" spans="1:1" x14ac:dyDescent="0.25">
      <c r="A5749" s="66"/>
    </row>
    <row r="5750" spans="1:1" x14ac:dyDescent="0.25">
      <c r="A5750" s="66"/>
    </row>
    <row r="5751" spans="1:1" x14ac:dyDescent="0.25">
      <c r="A5751" s="66"/>
    </row>
    <row r="5752" spans="1:1" x14ac:dyDescent="0.25">
      <c r="A5752" s="66"/>
    </row>
    <row r="5753" spans="1:1" x14ac:dyDescent="0.25">
      <c r="A5753" s="66"/>
    </row>
    <row r="5754" spans="1:1" x14ac:dyDescent="0.25">
      <c r="A5754" s="66"/>
    </row>
    <row r="5755" spans="1:1" x14ac:dyDescent="0.25">
      <c r="A5755" s="66"/>
    </row>
    <row r="5756" spans="1:1" x14ac:dyDescent="0.25">
      <c r="A5756" s="66"/>
    </row>
    <row r="5757" spans="1:1" x14ac:dyDescent="0.25">
      <c r="A5757" s="66"/>
    </row>
    <row r="5758" spans="1:1" x14ac:dyDescent="0.25">
      <c r="A5758" s="66"/>
    </row>
    <row r="5759" spans="1:1" x14ac:dyDescent="0.25">
      <c r="A5759" s="66"/>
    </row>
    <row r="5760" spans="1:1" x14ac:dyDescent="0.25">
      <c r="A5760" s="66"/>
    </row>
    <row r="5761" spans="1:1" x14ac:dyDescent="0.25">
      <c r="A5761" s="66"/>
    </row>
    <row r="5762" spans="1:1" x14ac:dyDescent="0.25">
      <c r="A5762" s="66"/>
    </row>
    <row r="5763" spans="1:1" x14ac:dyDescent="0.25">
      <c r="A5763" s="66"/>
    </row>
    <row r="5764" spans="1:1" x14ac:dyDescent="0.25">
      <c r="A5764" s="66"/>
    </row>
    <row r="5765" spans="1:1" x14ac:dyDescent="0.25">
      <c r="A5765" s="66"/>
    </row>
    <row r="5766" spans="1:1" x14ac:dyDescent="0.25">
      <c r="A5766" s="66"/>
    </row>
    <row r="5767" spans="1:1" x14ac:dyDescent="0.25">
      <c r="A5767" s="66"/>
    </row>
    <row r="5768" spans="1:1" x14ac:dyDescent="0.25">
      <c r="A5768" s="66"/>
    </row>
    <row r="5769" spans="1:1" x14ac:dyDescent="0.25">
      <c r="A5769" s="66"/>
    </row>
    <row r="5770" spans="1:1" x14ac:dyDescent="0.25">
      <c r="A5770" s="66"/>
    </row>
    <row r="5771" spans="1:1" x14ac:dyDescent="0.25">
      <c r="A5771" s="66"/>
    </row>
    <row r="5772" spans="1:1" x14ac:dyDescent="0.25">
      <c r="A5772" s="66"/>
    </row>
    <row r="5773" spans="1:1" x14ac:dyDescent="0.25">
      <c r="A5773" s="66"/>
    </row>
    <row r="5774" spans="1:1" x14ac:dyDescent="0.25">
      <c r="A5774" s="66"/>
    </row>
    <row r="5775" spans="1:1" x14ac:dyDescent="0.25">
      <c r="A5775" s="66"/>
    </row>
    <row r="5776" spans="1:1" x14ac:dyDescent="0.25">
      <c r="A5776" s="66"/>
    </row>
    <row r="5777" spans="1:1" x14ac:dyDescent="0.25">
      <c r="A5777" s="66"/>
    </row>
    <row r="5778" spans="1:1" x14ac:dyDescent="0.25">
      <c r="A5778" s="66"/>
    </row>
    <row r="5779" spans="1:1" x14ac:dyDescent="0.25">
      <c r="A5779" s="66"/>
    </row>
    <row r="5780" spans="1:1" x14ac:dyDescent="0.25">
      <c r="A5780" s="66"/>
    </row>
    <row r="5781" spans="1:1" x14ac:dyDescent="0.25">
      <c r="A5781" s="66"/>
    </row>
    <row r="5782" spans="1:1" x14ac:dyDescent="0.25">
      <c r="A5782" s="66"/>
    </row>
    <row r="5783" spans="1:1" x14ac:dyDescent="0.25">
      <c r="A5783" s="66"/>
    </row>
    <row r="5784" spans="1:1" x14ac:dyDescent="0.25">
      <c r="A5784" s="66"/>
    </row>
    <row r="5785" spans="1:1" x14ac:dyDescent="0.25">
      <c r="A5785" s="66"/>
    </row>
    <row r="5786" spans="1:1" x14ac:dyDescent="0.25">
      <c r="A5786" s="66"/>
    </row>
    <row r="5787" spans="1:1" x14ac:dyDescent="0.25">
      <c r="A5787" s="66"/>
    </row>
    <row r="5788" spans="1:1" x14ac:dyDescent="0.25">
      <c r="A5788" s="66"/>
    </row>
    <row r="5789" spans="1:1" x14ac:dyDescent="0.25">
      <c r="A5789" s="66"/>
    </row>
    <row r="5790" spans="1:1" x14ac:dyDescent="0.25">
      <c r="A5790" s="66"/>
    </row>
    <row r="5791" spans="1:1" x14ac:dyDescent="0.25">
      <c r="A5791" s="66"/>
    </row>
    <row r="5792" spans="1:1" x14ac:dyDescent="0.25">
      <c r="A5792" s="66"/>
    </row>
    <row r="5793" spans="1:1" x14ac:dyDescent="0.25">
      <c r="A5793" s="66"/>
    </row>
    <row r="5794" spans="1:1" x14ac:dyDescent="0.25">
      <c r="A5794" s="66"/>
    </row>
    <row r="5795" spans="1:1" x14ac:dyDescent="0.25">
      <c r="A5795" s="66"/>
    </row>
    <row r="5796" spans="1:1" x14ac:dyDescent="0.25">
      <c r="A5796" s="66"/>
    </row>
    <row r="5797" spans="1:1" x14ac:dyDescent="0.25">
      <c r="A5797" s="66"/>
    </row>
    <row r="5798" spans="1:1" x14ac:dyDescent="0.25">
      <c r="A5798" s="66"/>
    </row>
    <row r="5799" spans="1:1" x14ac:dyDescent="0.25">
      <c r="A5799" s="66"/>
    </row>
    <row r="5800" spans="1:1" x14ac:dyDescent="0.25">
      <c r="A5800" s="66"/>
    </row>
    <row r="5801" spans="1:1" x14ac:dyDescent="0.25">
      <c r="A5801" s="66"/>
    </row>
    <row r="5802" spans="1:1" x14ac:dyDescent="0.25">
      <c r="A5802" s="66"/>
    </row>
    <row r="5803" spans="1:1" x14ac:dyDescent="0.25">
      <c r="A5803" s="66"/>
    </row>
    <row r="5804" spans="1:1" x14ac:dyDescent="0.25">
      <c r="A5804" s="66"/>
    </row>
    <row r="5805" spans="1:1" x14ac:dyDescent="0.25">
      <c r="A5805" s="66"/>
    </row>
    <row r="5806" spans="1:1" x14ac:dyDescent="0.25">
      <c r="A5806" s="66"/>
    </row>
    <row r="5807" spans="1:1" x14ac:dyDescent="0.25">
      <c r="A5807" s="66"/>
    </row>
    <row r="5808" spans="1:1" x14ac:dyDescent="0.25">
      <c r="A5808" s="66"/>
    </row>
    <row r="5809" spans="1:1" x14ac:dyDescent="0.25">
      <c r="A5809" s="66"/>
    </row>
    <row r="5810" spans="1:1" x14ac:dyDescent="0.25">
      <c r="A5810" s="66"/>
    </row>
    <row r="5811" spans="1:1" x14ac:dyDescent="0.25">
      <c r="A5811" s="66"/>
    </row>
    <row r="5812" spans="1:1" x14ac:dyDescent="0.25">
      <c r="A5812" s="66"/>
    </row>
    <row r="5813" spans="1:1" x14ac:dyDescent="0.25">
      <c r="A5813" s="66"/>
    </row>
    <row r="5814" spans="1:1" x14ac:dyDescent="0.25">
      <c r="A5814" s="66"/>
    </row>
    <row r="5815" spans="1:1" x14ac:dyDescent="0.25">
      <c r="A5815" s="66"/>
    </row>
    <row r="5816" spans="1:1" x14ac:dyDescent="0.25">
      <c r="A5816" s="66"/>
    </row>
    <row r="5817" spans="1:1" x14ac:dyDescent="0.25">
      <c r="A5817" s="66"/>
    </row>
    <row r="5818" spans="1:1" x14ac:dyDescent="0.25">
      <c r="A5818" s="66"/>
    </row>
    <row r="5819" spans="1:1" x14ac:dyDescent="0.25">
      <c r="A5819" s="66"/>
    </row>
    <row r="5820" spans="1:1" x14ac:dyDescent="0.25">
      <c r="A5820" s="66"/>
    </row>
    <row r="5821" spans="1:1" x14ac:dyDescent="0.25">
      <c r="A5821" s="66"/>
    </row>
    <row r="5822" spans="1:1" x14ac:dyDescent="0.25">
      <c r="A5822" s="66"/>
    </row>
    <row r="5823" spans="1:1" x14ac:dyDescent="0.25">
      <c r="A5823" s="66"/>
    </row>
    <row r="5824" spans="1:1" x14ac:dyDescent="0.25">
      <c r="A5824" s="66"/>
    </row>
    <row r="5825" spans="1:1" x14ac:dyDescent="0.25">
      <c r="A5825" s="66"/>
    </row>
    <row r="5826" spans="1:1" x14ac:dyDescent="0.25">
      <c r="A5826" s="66"/>
    </row>
    <row r="5827" spans="1:1" x14ac:dyDescent="0.25">
      <c r="A5827" s="66"/>
    </row>
    <row r="5828" spans="1:1" x14ac:dyDescent="0.25">
      <c r="A5828" s="66"/>
    </row>
    <row r="5829" spans="1:1" x14ac:dyDescent="0.25">
      <c r="A5829" s="66"/>
    </row>
    <row r="5830" spans="1:1" x14ac:dyDescent="0.25">
      <c r="A5830" s="66"/>
    </row>
    <row r="5831" spans="1:1" x14ac:dyDescent="0.25">
      <c r="A5831" s="66"/>
    </row>
    <row r="5832" spans="1:1" x14ac:dyDescent="0.25">
      <c r="A5832" s="66"/>
    </row>
    <row r="5833" spans="1:1" x14ac:dyDescent="0.25">
      <c r="A5833" s="66"/>
    </row>
    <row r="5834" spans="1:1" x14ac:dyDescent="0.25">
      <c r="A5834" s="66"/>
    </row>
    <row r="5835" spans="1:1" x14ac:dyDescent="0.25">
      <c r="A5835" s="66"/>
    </row>
    <row r="5836" spans="1:1" x14ac:dyDescent="0.25">
      <c r="A5836" s="66"/>
    </row>
    <row r="5837" spans="1:1" x14ac:dyDescent="0.25">
      <c r="A5837" s="66"/>
    </row>
    <row r="5838" spans="1:1" x14ac:dyDescent="0.25">
      <c r="A5838" s="66"/>
    </row>
    <row r="5839" spans="1:1" x14ac:dyDescent="0.25">
      <c r="A5839" s="66"/>
    </row>
    <row r="5840" spans="1:1" x14ac:dyDescent="0.25">
      <c r="A5840" s="66"/>
    </row>
    <row r="5841" spans="1:1" x14ac:dyDescent="0.25">
      <c r="A5841" s="66"/>
    </row>
    <row r="5842" spans="1:1" x14ac:dyDescent="0.25">
      <c r="A5842" s="66"/>
    </row>
    <row r="5843" spans="1:1" x14ac:dyDescent="0.25">
      <c r="A5843" s="66"/>
    </row>
    <row r="5844" spans="1:1" x14ac:dyDescent="0.25">
      <c r="A5844" s="66"/>
    </row>
    <row r="5845" spans="1:1" x14ac:dyDescent="0.25">
      <c r="A5845" s="66"/>
    </row>
    <row r="5846" spans="1:1" x14ac:dyDescent="0.25">
      <c r="A5846" s="66"/>
    </row>
    <row r="5847" spans="1:1" x14ac:dyDescent="0.25">
      <c r="A5847" s="66"/>
    </row>
    <row r="5848" spans="1:1" x14ac:dyDescent="0.25">
      <c r="A5848" s="66"/>
    </row>
    <row r="5849" spans="1:1" x14ac:dyDescent="0.25">
      <c r="A5849" s="66"/>
    </row>
    <row r="5850" spans="1:1" x14ac:dyDescent="0.25">
      <c r="A5850" s="66"/>
    </row>
    <row r="5851" spans="1:1" x14ac:dyDescent="0.25">
      <c r="A5851" s="66"/>
    </row>
    <row r="5852" spans="1:1" x14ac:dyDescent="0.25">
      <c r="A5852" s="66"/>
    </row>
    <row r="5853" spans="1:1" x14ac:dyDescent="0.25">
      <c r="A5853" s="66"/>
    </row>
    <row r="5854" spans="1:1" x14ac:dyDescent="0.25">
      <c r="A5854" s="66"/>
    </row>
    <row r="5855" spans="1:1" x14ac:dyDescent="0.25">
      <c r="A5855" s="66"/>
    </row>
    <row r="5856" spans="1:1" x14ac:dyDescent="0.25">
      <c r="A5856" s="66"/>
    </row>
    <row r="5857" spans="1:1" x14ac:dyDescent="0.25">
      <c r="A5857" s="66"/>
    </row>
    <row r="5858" spans="1:1" x14ac:dyDescent="0.25">
      <c r="A5858" s="66"/>
    </row>
    <row r="5859" spans="1:1" x14ac:dyDescent="0.25">
      <c r="A5859" s="66"/>
    </row>
    <row r="5860" spans="1:1" x14ac:dyDescent="0.25">
      <c r="A5860" s="66"/>
    </row>
    <row r="5861" spans="1:1" x14ac:dyDescent="0.25">
      <c r="A5861" s="66"/>
    </row>
    <row r="5862" spans="1:1" x14ac:dyDescent="0.25">
      <c r="A5862" s="66"/>
    </row>
    <row r="5863" spans="1:1" x14ac:dyDescent="0.25">
      <c r="A5863" s="66"/>
    </row>
    <row r="5864" spans="1:1" x14ac:dyDescent="0.25">
      <c r="A5864" s="66"/>
    </row>
    <row r="5865" spans="1:1" x14ac:dyDescent="0.25">
      <c r="A5865" s="66"/>
    </row>
    <row r="5866" spans="1:1" x14ac:dyDescent="0.25">
      <c r="A5866" s="66"/>
    </row>
    <row r="5867" spans="1:1" x14ac:dyDescent="0.25">
      <c r="A5867" s="66"/>
    </row>
    <row r="5868" spans="1:1" x14ac:dyDescent="0.25">
      <c r="A5868" s="66"/>
    </row>
    <row r="5869" spans="1:1" x14ac:dyDescent="0.25">
      <c r="A5869" s="66"/>
    </row>
    <row r="5870" spans="1:1" x14ac:dyDescent="0.25">
      <c r="A5870" s="66"/>
    </row>
    <row r="5871" spans="1:1" x14ac:dyDescent="0.25">
      <c r="A5871" s="66"/>
    </row>
    <row r="5872" spans="1:1" x14ac:dyDescent="0.25">
      <c r="A5872" s="66"/>
    </row>
    <row r="5873" spans="1:1" x14ac:dyDescent="0.25">
      <c r="A5873" s="66"/>
    </row>
    <row r="5874" spans="1:1" x14ac:dyDescent="0.25">
      <c r="A5874" s="66"/>
    </row>
    <row r="5875" spans="1:1" x14ac:dyDescent="0.25">
      <c r="A5875" s="66"/>
    </row>
    <row r="5876" spans="1:1" x14ac:dyDescent="0.25">
      <c r="A5876" s="66"/>
    </row>
    <row r="5877" spans="1:1" x14ac:dyDescent="0.25">
      <c r="A5877" s="66"/>
    </row>
    <row r="5878" spans="1:1" x14ac:dyDescent="0.25">
      <c r="A5878" s="66"/>
    </row>
    <row r="5879" spans="1:1" x14ac:dyDescent="0.25">
      <c r="A5879" s="66"/>
    </row>
    <row r="5880" spans="1:1" x14ac:dyDescent="0.25">
      <c r="A5880" s="66"/>
    </row>
    <row r="5881" spans="1:1" x14ac:dyDescent="0.25">
      <c r="A5881" s="66"/>
    </row>
    <row r="5882" spans="1:1" x14ac:dyDescent="0.25">
      <c r="A5882" s="66"/>
    </row>
    <row r="5883" spans="1:1" x14ac:dyDescent="0.25">
      <c r="A5883" s="66"/>
    </row>
    <row r="5884" spans="1:1" x14ac:dyDescent="0.25">
      <c r="A5884" s="66"/>
    </row>
    <row r="5885" spans="1:1" x14ac:dyDescent="0.25">
      <c r="A5885" s="66"/>
    </row>
    <row r="5886" spans="1:1" x14ac:dyDescent="0.25">
      <c r="A5886" s="66"/>
    </row>
    <row r="5887" spans="1:1" x14ac:dyDescent="0.25">
      <c r="A5887" s="66"/>
    </row>
    <row r="5888" spans="1:1" x14ac:dyDescent="0.25">
      <c r="A5888" s="66"/>
    </row>
    <row r="5889" spans="1:1" x14ac:dyDescent="0.25">
      <c r="A5889" s="66"/>
    </row>
    <row r="5890" spans="1:1" x14ac:dyDescent="0.25">
      <c r="A5890" s="66"/>
    </row>
    <row r="5891" spans="1:1" x14ac:dyDescent="0.25">
      <c r="A5891" s="66"/>
    </row>
    <row r="5892" spans="1:1" x14ac:dyDescent="0.25">
      <c r="A5892" s="66"/>
    </row>
    <row r="5893" spans="1:1" x14ac:dyDescent="0.25">
      <c r="A5893" s="66"/>
    </row>
    <row r="5894" spans="1:1" x14ac:dyDescent="0.25">
      <c r="A5894" s="66"/>
    </row>
    <row r="5895" spans="1:1" x14ac:dyDescent="0.25">
      <c r="A5895" s="66"/>
    </row>
    <row r="5896" spans="1:1" x14ac:dyDescent="0.25">
      <c r="A5896" s="66"/>
    </row>
    <row r="5897" spans="1:1" x14ac:dyDescent="0.25">
      <c r="A5897" s="66"/>
    </row>
    <row r="5898" spans="1:1" x14ac:dyDescent="0.25">
      <c r="A5898" s="66"/>
    </row>
    <row r="5899" spans="1:1" x14ac:dyDescent="0.25">
      <c r="A5899" s="66"/>
    </row>
    <row r="5900" spans="1:1" x14ac:dyDescent="0.25">
      <c r="A5900" s="66"/>
    </row>
    <row r="5901" spans="1:1" x14ac:dyDescent="0.25">
      <c r="A5901" s="66"/>
    </row>
    <row r="5902" spans="1:1" x14ac:dyDescent="0.25">
      <c r="A5902" s="66"/>
    </row>
    <row r="5903" spans="1:1" x14ac:dyDescent="0.25">
      <c r="A5903" s="66"/>
    </row>
    <row r="5904" spans="1:1" x14ac:dyDescent="0.25">
      <c r="A5904" s="66"/>
    </row>
    <row r="5905" spans="1:1" x14ac:dyDescent="0.25">
      <c r="A5905" s="66"/>
    </row>
    <row r="5906" spans="1:1" x14ac:dyDescent="0.25">
      <c r="A5906" s="66"/>
    </row>
    <row r="5907" spans="1:1" x14ac:dyDescent="0.25">
      <c r="A5907" s="66"/>
    </row>
    <row r="5908" spans="1:1" x14ac:dyDescent="0.25">
      <c r="A5908" s="66"/>
    </row>
    <row r="5909" spans="1:1" x14ac:dyDescent="0.25">
      <c r="A5909" s="66"/>
    </row>
    <row r="5910" spans="1:1" x14ac:dyDescent="0.25">
      <c r="A5910" s="66"/>
    </row>
    <row r="5911" spans="1:1" x14ac:dyDescent="0.25">
      <c r="A5911" s="66"/>
    </row>
    <row r="5912" spans="1:1" x14ac:dyDescent="0.25">
      <c r="A5912" s="66"/>
    </row>
    <row r="5913" spans="1:1" x14ac:dyDescent="0.25">
      <c r="A5913" s="66"/>
    </row>
    <row r="5914" spans="1:1" x14ac:dyDescent="0.25">
      <c r="A5914" s="66"/>
    </row>
    <row r="5915" spans="1:1" x14ac:dyDescent="0.25">
      <c r="A5915" s="66"/>
    </row>
    <row r="5916" spans="1:1" x14ac:dyDescent="0.25">
      <c r="A5916" s="66"/>
    </row>
    <row r="5917" spans="1:1" x14ac:dyDescent="0.25">
      <c r="A5917" s="66"/>
    </row>
    <row r="5918" spans="1:1" x14ac:dyDescent="0.25">
      <c r="A5918" s="66"/>
    </row>
    <row r="5919" spans="1:1" x14ac:dyDescent="0.25">
      <c r="A5919" s="66"/>
    </row>
    <row r="5920" spans="1:1" x14ac:dyDescent="0.25">
      <c r="A5920" s="66"/>
    </row>
    <row r="5921" spans="1:1" x14ac:dyDescent="0.25">
      <c r="A5921" s="66"/>
    </row>
    <row r="5922" spans="1:1" x14ac:dyDescent="0.25">
      <c r="A5922" s="66"/>
    </row>
    <row r="5923" spans="1:1" x14ac:dyDescent="0.25">
      <c r="A5923" s="66"/>
    </row>
    <row r="5924" spans="1:1" x14ac:dyDescent="0.25">
      <c r="A5924" s="66"/>
    </row>
    <row r="5925" spans="1:1" x14ac:dyDescent="0.25">
      <c r="A5925" s="66"/>
    </row>
    <row r="5926" spans="1:1" x14ac:dyDescent="0.25">
      <c r="A5926" s="66"/>
    </row>
    <row r="5927" spans="1:1" x14ac:dyDescent="0.25">
      <c r="A5927" s="66"/>
    </row>
    <row r="5928" spans="1:1" x14ac:dyDescent="0.25">
      <c r="A5928" s="66"/>
    </row>
    <row r="5929" spans="1:1" x14ac:dyDescent="0.25">
      <c r="A5929" s="66"/>
    </row>
    <row r="5930" spans="1:1" x14ac:dyDescent="0.25">
      <c r="A5930" s="66"/>
    </row>
    <row r="5931" spans="1:1" x14ac:dyDescent="0.25">
      <c r="A5931" s="66"/>
    </row>
    <row r="5932" spans="1:1" x14ac:dyDescent="0.25">
      <c r="A5932" s="66"/>
    </row>
    <row r="5933" spans="1:1" x14ac:dyDescent="0.25">
      <c r="A5933" s="66"/>
    </row>
    <row r="5934" spans="1:1" x14ac:dyDescent="0.25">
      <c r="A5934" s="66"/>
    </row>
    <row r="5935" spans="1:1" x14ac:dyDescent="0.25">
      <c r="A5935" s="66"/>
    </row>
    <row r="5936" spans="1:1" x14ac:dyDescent="0.25">
      <c r="A5936" s="66"/>
    </row>
    <row r="5937" spans="1:1" x14ac:dyDescent="0.25">
      <c r="A5937" s="66"/>
    </row>
    <row r="5938" spans="1:1" x14ac:dyDescent="0.25">
      <c r="A5938" s="66"/>
    </row>
    <row r="5939" spans="1:1" x14ac:dyDescent="0.25">
      <c r="A5939" s="66"/>
    </row>
    <row r="5940" spans="1:1" x14ac:dyDescent="0.25">
      <c r="A5940" s="66"/>
    </row>
    <row r="5941" spans="1:1" x14ac:dyDescent="0.25">
      <c r="A5941" s="66"/>
    </row>
    <row r="5942" spans="1:1" x14ac:dyDescent="0.25">
      <c r="A5942" s="66"/>
    </row>
    <row r="5943" spans="1:1" x14ac:dyDescent="0.25">
      <c r="A5943" s="66"/>
    </row>
    <row r="5944" spans="1:1" x14ac:dyDescent="0.25">
      <c r="A5944" s="66"/>
    </row>
    <row r="5945" spans="1:1" x14ac:dyDescent="0.25">
      <c r="A5945" s="66"/>
    </row>
    <row r="5946" spans="1:1" x14ac:dyDescent="0.25">
      <c r="A5946" s="66"/>
    </row>
    <row r="5947" spans="1:1" x14ac:dyDescent="0.25">
      <c r="A5947" s="66"/>
    </row>
    <row r="5948" spans="1:1" x14ac:dyDescent="0.25">
      <c r="A5948" s="66"/>
    </row>
    <row r="5949" spans="1:1" x14ac:dyDescent="0.25">
      <c r="A5949" s="66"/>
    </row>
    <row r="5950" spans="1:1" x14ac:dyDescent="0.25">
      <c r="A5950" s="66"/>
    </row>
    <row r="5951" spans="1:1" x14ac:dyDescent="0.25">
      <c r="A5951" s="66"/>
    </row>
    <row r="5952" spans="1:1" x14ac:dyDescent="0.25">
      <c r="A5952" s="66"/>
    </row>
    <row r="5953" spans="1:1" x14ac:dyDescent="0.25">
      <c r="A5953" s="66"/>
    </row>
    <row r="5954" spans="1:1" x14ac:dyDescent="0.25">
      <c r="A5954" s="66"/>
    </row>
    <row r="5955" spans="1:1" x14ac:dyDescent="0.25">
      <c r="A5955" s="66"/>
    </row>
    <row r="5956" spans="1:1" x14ac:dyDescent="0.25">
      <c r="A5956" s="66"/>
    </row>
    <row r="5957" spans="1:1" x14ac:dyDescent="0.25">
      <c r="A5957" s="66"/>
    </row>
    <row r="5958" spans="1:1" x14ac:dyDescent="0.25">
      <c r="A5958" s="66"/>
    </row>
    <row r="5959" spans="1:1" x14ac:dyDescent="0.25">
      <c r="A5959" s="66"/>
    </row>
    <row r="5960" spans="1:1" x14ac:dyDescent="0.25">
      <c r="A5960" s="66"/>
    </row>
    <row r="5961" spans="1:1" x14ac:dyDescent="0.25">
      <c r="A5961" s="66"/>
    </row>
    <row r="5962" spans="1:1" x14ac:dyDescent="0.25">
      <c r="A5962" s="66"/>
    </row>
    <row r="5963" spans="1:1" x14ac:dyDescent="0.25">
      <c r="A5963" s="66"/>
    </row>
    <row r="5964" spans="1:1" x14ac:dyDescent="0.25">
      <c r="A5964" s="66"/>
    </row>
    <row r="5965" spans="1:1" x14ac:dyDescent="0.25">
      <c r="A5965" s="66"/>
    </row>
    <row r="5966" spans="1:1" x14ac:dyDescent="0.25">
      <c r="A5966" s="66"/>
    </row>
    <row r="5967" spans="1:1" x14ac:dyDescent="0.25">
      <c r="A5967" s="66"/>
    </row>
    <row r="5968" spans="1:1" x14ac:dyDescent="0.25">
      <c r="A5968" s="66"/>
    </row>
    <row r="5969" spans="1:1" x14ac:dyDescent="0.25">
      <c r="A5969" s="66"/>
    </row>
    <row r="5970" spans="1:1" x14ac:dyDescent="0.25">
      <c r="A5970" s="66"/>
    </row>
    <row r="5971" spans="1:1" x14ac:dyDescent="0.25">
      <c r="A5971" s="66"/>
    </row>
    <row r="5972" spans="1:1" x14ac:dyDescent="0.25">
      <c r="A5972" s="66"/>
    </row>
    <row r="5973" spans="1:1" x14ac:dyDescent="0.25">
      <c r="A5973" s="66"/>
    </row>
    <row r="5974" spans="1:1" x14ac:dyDescent="0.25">
      <c r="A5974" s="66"/>
    </row>
    <row r="5975" spans="1:1" x14ac:dyDescent="0.25">
      <c r="A5975" s="66"/>
    </row>
    <row r="5976" spans="1:1" x14ac:dyDescent="0.25">
      <c r="A5976" s="66"/>
    </row>
    <row r="5977" spans="1:1" x14ac:dyDescent="0.25">
      <c r="A5977" s="66"/>
    </row>
    <row r="5978" spans="1:1" x14ac:dyDescent="0.25">
      <c r="A5978" s="66"/>
    </row>
    <row r="5979" spans="1:1" x14ac:dyDescent="0.25">
      <c r="A5979" s="66"/>
    </row>
    <row r="5980" spans="1:1" x14ac:dyDescent="0.25">
      <c r="A5980" s="66"/>
    </row>
    <row r="5981" spans="1:1" x14ac:dyDescent="0.25">
      <c r="A5981" s="66"/>
    </row>
    <row r="5982" spans="1:1" x14ac:dyDescent="0.25">
      <c r="A5982" s="66"/>
    </row>
    <row r="5983" spans="1:1" x14ac:dyDescent="0.25">
      <c r="A5983" s="66"/>
    </row>
    <row r="5984" spans="1:1" x14ac:dyDescent="0.25">
      <c r="A5984" s="66"/>
    </row>
    <row r="5985" spans="1:1" x14ac:dyDescent="0.25">
      <c r="A5985" s="66"/>
    </row>
    <row r="5986" spans="1:1" x14ac:dyDescent="0.25">
      <c r="A5986" s="66"/>
    </row>
    <row r="5987" spans="1:1" x14ac:dyDescent="0.25">
      <c r="A5987" s="66"/>
    </row>
    <row r="5988" spans="1:1" x14ac:dyDescent="0.25">
      <c r="A5988" s="66"/>
    </row>
    <row r="5989" spans="1:1" x14ac:dyDescent="0.25">
      <c r="A5989" s="66"/>
    </row>
    <row r="5990" spans="1:1" x14ac:dyDescent="0.25">
      <c r="A5990" s="66"/>
    </row>
    <row r="5991" spans="1:1" x14ac:dyDescent="0.25">
      <c r="A5991" s="66"/>
    </row>
    <row r="5992" spans="1:1" x14ac:dyDescent="0.25">
      <c r="A5992" s="66"/>
    </row>
    <row r="5993" spans="1:1" x14ac:dyDescent="0.25">
      <c r="A5993" s="66"/>
    </row>
    <row r="5994" spans="1:1" x14ac:dyDescent="0.25">
      <c r="A5994" s="66"/>
    </row>
    <row r="5995" spans="1:1" x14ac:dyDescent="0.25">
      <c r="A5995" s="66"/>
    </row>
    <row r="5996" spans="1:1" x14ac:dyDescent="0.25">
      <c r="A5996" s="66"/>
    </row>
    <row r="5997" spans="1:1" x14ac:dyDescent="0.25">
      <c r="A5997" s="66"/>
    </row>
    <row r="5998" spans="1:1" x14ac:dyDescent="0.25">
      <c r="A5998" s="66"/>
    </row>
    <row r="5999" spans="1:1" x14ac:dyDescent="0.25">
      <c r="A5999" s="66"/>
    </row>
    <row r="6000" spans="1:1" x14ac:dyDescent="0.25">
      <c r="A6000" s="66"/>
    </row>
    <row r="6001" spans="1:1" x14ac:dyDescent="0.25">
      <c r="A6001" s="66"/>
    </row>
    <row r="6002" spans="1:1" x14ac:dyDescent="0.25">
      <c r="A6002" s="66"/>
    </row>
    <row r="6003" spans="1:1" x14ac:dyDescent="0.25">
      <c r="A6003" s="66"/>
    </row>
    <row r="6004" spans="1:1" x14ac:dyDescent="0.25">
      <c r="A6004" s="66"/>
    </row>
    <row r="6005" spans="1:1" x14ac:dyDescent="0.25">
      <c r="A6005" s="66"/>
    </row>
    <row r="6006" spans="1:1" x14ac:dyDescent="0.25">
      <c r="A6006" s="66"/>
    </row>
    <row r="6007" spans="1:1" x14ac:dyDescent="0.25">
      <c r="A6007" s="66"/>
    </row>
    <row r="6008" spans="1:1" x14ac:dyDescent="0.25">
      <c r="A6008" s="66"/>
    </row>
    <row r="6009" spans="1:1" x14ac:dyDescent="0.25">
      <c r="A6009" s="66"/>
    </row>
    <row r="6010" spans="1:1" x14ac:dyDescent="0.25">
      <c r="A6010" s="66"/>
    </row>
    <row r="6011" spans="1:1" x14ac:dyDescent="0.25">
      <c r="A6011" s="66"/>
    </row>
    <row r="6012" spans="1:1" x14ac:dyDescent="0.25">
      <c r="A6012" s="66"/>
    </row>
    <row r="6013" spans="1:1" x14ac:dyDescent="0.25">
      <c r="A6013" s="66"/>
    </row>
    <row r="6014" spans="1:1" x14ac:dyDescent="0.25">
      <c r="A6014" s="66"/>
    </row>
    <row r="6015" spans="1:1" x14ac:dyDescent="0.25">
      <c r="A6015" s="66"/>
    </row>
    <row r="6016" spans="1:1" x14ac:dyDescent="0.25">
      <c r="A6016" s="66"/>
    </row>
    <row r="6017" spans="1:1" x14ac:dyDescent="0.25">
      <c r="A6017" s="66"/>
    </row>
    <row r="6018" spans="1:1" x14ac:dyDescent="0.25">
      <c r="A6018" s="66"/>
    </row>
    <row r="6019" spans="1:1" x14ac:dyDescent="0.25">
      <c r="A6019" s="66"/>
    </row>
    <row r="6020" spans="1:1" x14ac:dyDescent="0.25">
      <c r="A6020" s="66"/>
    </row>
    <row r="6021" spans="1:1" x14ac:dyDescent="0.25">
      <c r="A6021" s="66"/>
    </row>
    <row r="6022" spans="1:1" x14ac:dyDescent="0.25">
      <c r="A6022" s="66"/>
    </row>
    <row r="6023" spans="1:1" x14ac:dyDescent="0.25">
      <c r="A6023" s="66"/>
    </row>
    <row r="6024" spans="1:1" x14ac:dyDescent="0.25">
      <c r="A6024" s="66"/>
    </row>
    <row r="6025" spans="1:1" x14ac:dyDescent="0.25">
      <c r="A6025" s="66"/>
    </row>
    <row r="6026" spans="1:1" x14ac:dyDescent="0.25">
      <c r="A6026" s="66"/>
    </row>
    <row r="6027" spans="1:1" x14ac:dyDescent="0.25">
      <c r="A6027" s="66"/>
    </row>
    <row r="6028" spans="1:1" x14ac:dyDescent="0.25">
      <c r="A6028" s="66"/>
    </row>
    <row r="6029" spans="1:1" x14ac:dyDescent="0.25">
      <c r="A6029" s="66"/>
    </row>
    <row r="6030" spans="1:1" x14ac:dyDescent="0.25">
      <c r="A6030" s="66"/>
    </row>
    <row r="6031" spans="1:1" x14ac:dyDescent="0.25">
      <c r="A6031" s="66"/>
    </row>
    <row r="6032" spans="1:1" x14ac:dyDescent="0.25">
      <c r="A6032" s="66"/>
    </row>
    <row r="6033" spans="1:1" x14ac:dyDescent="0.25">
      <c r="A6033" s="66"/>
    </row>
    <row r="6034" spans="1:1" x14ac:dyDescent="0.25">
      <c r="A6034" s="66"/>
    </row>
    <row r="6035" spans="1:1" x14ac:dyDescent="0.25">
      <c r="A6035" s="66"/>
    </row>
    <row r="6036" spans="1:1" x14ac:dyDescent="0.25">
      <c r="A6036" s="66"/>
    </row>
    <row r="6037" spans="1:1" x14ac:dyDescent="0.25">
      <c r="A6037" s="66"/>
    </row>
    <row r="6038" spans="1:1" x14ac:dyDescent="0.25">
      <c r="A6038" s="66"/>
    </row>
    <row r="6039" spans="1:1" x14ac:dyDescent="0.25">
      <c r="A6039" s="66"/>
    </row>
    <row r="6040" spans="1:1" x14ac:dyDescent="0.25">
      <c r="A6040" s="66"/>
    </row>
    <row r="6041" spans="1:1" x14ac:dyDescent="0.25">
      <c r="A6041" s="66"/>
    </row>
    <row r="6042" spans="1:1" x14ac:dyDescent="0.25">
      <c r="A6042" s="66"/>
    </row>
    <row r="6043" spans="1:1" x14ac:dyDescent="0.25">
      <c r="A6043" s="66"/>
    </row>
    <row r="6044" spans="1:1" x14ac:dyDescent="0.25">
      <c r="A6044" s="66"/>
    </row>
    <row r="6045" spans="1:1" x14ac:dyDescent="0.25">
      <c r="A6045" s="66"/>
    </row>
    <row r="6046" spans="1:1" x14ac:dyDescent="0.25">
      <c r="A6046" s="66"/>
    </row>
    <row r="6047" spans="1:1" x14ac:dyDescent="0.25">
      <c r="A6047" s="66"/>
    </row>
    <row r="6048" spans="1:1" x14ac:dyDescent="0.25">
      <c r="A6048" s="66"/>
    </row>
    <row r="6049" spans="1:1" x14ac:dyDescent="0.25">
      <c r="A6049" s="66"/>
    </row>
    <row r="6050" spans="1:1" x14ac:dyDescent="0.25">
      <c r="A6050" s="66"/>
    </row>
    <row r="6051" spans="1:1" x14ac:dyDescent="0.25">
      <c r="A6051" s="66"/>
    </row>
    <row r="6052" spans="1:1" x14ac:dyDescent="0.25">
      <c r="A6052" s="66"/>
    </row>
    <row r="6053" spans="1:1" x14ac:dyDescent="0.25">
      <c r="A6053" s="66"/>
    </row>
    <row r="6054" spans="1:1" x14ac:dyDescent="0.25">
      <c r="A6054" s="66"/>
    </row>
    <row r="6055" spans="1:1" x14ac:dyDescent="0.25">
      <c r="A6055" s="66"/>
    </row>
    <row r="6056" spans="1:1" x14ac:dyDescent="0.25">
      <c r="A6056" s="66"/>
    </row>
    <row r="6057" spans="1:1" x14ac:dyDescent="0.25">
      <c r="A6057" s="66"/>
    </row>
    <row r="6058" spans="1:1" x14ac:dyDescent="0.25">
      <c r="A6058" s="66"/>
    </row>
    <row r="6059" spans="1:1" x14ac:dyDescent="0.25">
      <c r="A6059" s="66"/>
    </row>
    <row r="6060" spans="1:1" x14ac:dyDescent="0.25">
      <c r="A6060" s="66"/>
    </row>
    <row r="6061" spans="1:1" x14ac:dyDescent="0.25">
      <c r="A6061" s="66"/>
    </row>
    <row r="6062" spans="1:1" x14ac:dyDescent="0.25">
      <c r="A6062" s="66"/>
    </row>
    <row r="6063" spans="1:1" x14ac:dyDescent="0.25">
      <c r="A6063" s="66"/>
    </row>
    <row r="6064" spans="1:1" x14ac:dyDescent="0.25">
      <c r="A6064" s="66"/>
    </row>
    <row r="6065" spans="1:1" x14ac:dyDescent="0.25">
      <c r="A6065" s="66"/>
    </row>
    <row r="6066" spans="1:1" x14ac:dyDescent="0.25">
      <c r="A6066" s="66"/>
    </row>
    <row r="6067" spans="1:1" x14ac:dyDescent="0.25">
      <c r="A6067" s="66"/>
    </row>
    <row r="6068" spans="1:1" x14ac:dyDescent="0.25">
      <c r="A6068" s="66"/>
    </row>
    <row r="6069" spans="1:1" x14ac:dyDescent="0.25">
      <c r="A6069" s="66"/>
    </row>
    <row r="6070" spans="1:1" x14ac:dyDescent="0.25">
      <c r="A6070" s="66"/>
    </row>
    <row r="6071" spans="1:1" x14ac:dyDescent="0.25">
      <c r="A6071" s="66"/>
    </row>
    <row r="6072" spans="1:1" x14ac:dyDescent="0.25">
      <c r="A6072" s="66"/>
    </row>
    <row r="6073" spans="1:1" x14ac:dyDescent="0.25">
      <c r="A6073" s="66"/>
    </row>
    <row r="6074" spans="1:1" x14ac:dyDescent="0.25">
      <c r="A6074" s="66"/>
    </row>
    <row r="6075" spans="1:1" x14ac:dyDescent="0.25">
      <c r="A6075" s="66"/>
    </row>
    <row r="6076" spans="1:1" x14ac:dyDescent="0.25">
      <c r="A6076" s="66"/>
    </row>
    <row r="6077" spans="1:1" x14ac:dyDescent="0.25">
      <c r="A6077" s="66"/>
    </row>
    <row r="6078" spans="1:1" x14ac:dyDescent="0.25">
      <c r="A6078" s="66"/>
    </row>
    <row r="6079" spans="1:1" x14ac:dyDescent="0.25">
      <c r="A6079" s="66"/>
    </row>
    <row r="6080" spans="1:1" x14ac:dyDescent="0.25">
      <c r="A6080" s="66"/>
    </row>
    <row r="6081" spans="1:1" x14ac:dyDescent="0.25">
      <c r="A6081" s="66"/>
    </row>
    <row r="6082" spans="1:1" x14ac:dyDescent="0.25">
      <c r="A6082" s="66"/>
    </row>
    <row r="6083" spans="1:1" x14ac:dyDescent="0.25">
      <c r="A6083" s="66"/>
    </row>
    <row r="6084" spans="1:1" x14ac:dyDescent="0.25">
      <c r="A6084" s="66"/>
    </row>
    <row r="6085" spans="1:1" x14ac:dyDescent="0.25">
      <c r="A6085" s="66"/>
    </row>
    <row r="6086" spans="1:1" x14ac:dyDescent="0.25">
      <c r="A6086" s="66"/>
    </row>
    <row r="6087" spans="1:1" x14ac:dyDescent="0.25">
      <c r="A6087" s="66"/>
    </row>
    <row r="6088" spans="1:1" x14ac:dyDescent="0.25">
      <c r="A6088" s="66"/>
    </row>
    <row r="6089" spans="1:1" x14ac:dyDescent="0.25">
      <c r="A6089" s="66"/>
    </row>
    <row r="6090" spans="1:1" x14ac:dyDescent="0.25">
      <c r="A6090" s="66"/>
    </row>
    <row r="6091" spans="1:1" x14ac:dyDescent="0.25">
      <c r="A6091" s="66"/>
    </row>
    <row r="6092" spans="1:1" x14ac:dyDescent="0.25">
      <c r="A6092" s="66"/>
    </row>
    <row r="6093" spans="1:1" x14ac:dyDescent="0.25">
      <c r="A6093" s="66"/>
    </row>
    <row r="6094" spans="1:1" x14ac:dyDescent="0.25">
      <c r="A6094" s="66"/>
    </row>
    <row r="6095" spans="1:1" x14ac:dyDescent="0.25">
      <c r="A6095" s="66"/>
    </row>
    <row r="6096" spans="1:1" x14ac:dyDescent="0.25">
      <c r="A6096" s="66"/>
    </row>
    <row r="6097" spans="1:1" x14ac:dyDescent="0.25">
      <c r="A6097" s="66"/>
    </row>
    <row r="6098" spans="1:1" x14ac:dyDescent="0.25">
      <c r="A6098" s="66"/>
    </row>
    <row r="6099" spans="1:1" x14ac:dyDescent="0.25">
      <c r="A6099" s="66"/>
    </row>
    <row r="6100" spans="1:1" x14ac:dyDescent="0.25">
      <c r="A6100" s="66"/>
    </row>
    <row r="6101" spans="1:1" x14ac:dyDescent="0.25">
      <c r="A6101" s="66"/>
    </row>
    <row r="6102" spans="1:1" x14ac:dyDescent="0.25">
      <c r="A6102" s="66"/>
    </row>
    <row r="6103" spans="1:1" x14ac:dyDescent="0.25">
      <c r="A6103" s="66"/>
    </row>
    <row r="6104" spans="1:1" x14ac:dyDescent="0.25">
      <c r="A6104" s="66"/>
    </row>
    <row r="6105" spans="1:1" x14ac:dyDescent="0.25">
      <c r="A6105" s="66"/>
    </row>
    <row r="6106" spans="1:1" x14ac:dyDescent="0.25">
      <c r="A6106" s="66"/>
    </row>
    <row r="6107" spans="1:1" x14ac:dyDescent="0.25">
      <c r="A6107" s="66"/>
    </row>
    <row r="6108" spans="1:1" x14ac:dyDescent="0.25">
      <c r="A6108" s="66"/>
    </row>
    <row r="6109" spans="1:1" x14ac:dyDescent="0.25">
      <c r="A6109" s="66"/>
    </row>
    <row r="6110" spans="1:1" x14ac:dyDescent="0.25">
      <c r="A6110" s="66"/>
    </row>
    <row r="6111" spans="1:1" x14ac:dyDescent="0.25">
      <c r="A6111" s="66"/>
    </row>
    <row r="6112" spans="1:1" x14ac:dyDescent="0.25">
      <c r="A6112" s="66"/>
    </row>
    <row r="6113" spans="1:1" x14ac:dyDescent="0.25">
      <c r="A6113" s="66"/>
    </row>
    <row r="6114" spans="1:1" x14ac:dyDescent="0.25">
      <c r="A6114" s="66"/>
    </row>
    <row r="6115" spans="1:1" x14ac:dyDescent="0.25">
      <c r="A6115" s="66"/>
    </row>
    <row r="6116" spans="1:1" x14ac:dyDescent="0.25">
      <c r="A6116" s="66"/>
    </row>
    <row r="6117" spans="1:1" x14ac:dyDescent="0.25">
      <c r="A6117" s="66"/>
    </row>
    <row r="6118" spans="1:1" x14ac:dyDescent="0.25">
      <c r="A6118" s="66"/>
    </row>
    <row r="6119" spans="1:1" x14ac:dyDescent="0.25">
      <c r="A6119" s="66"/>
    </row>
    <row r="6120" spans="1:1" x14ac:dyDescent="0.25">
      <c r="A6120" s="66"/>
    </row>
    <row r="6121" spans="1:1" x14ac:dyDescent="0.25">
      <c r="A6121" s="66"/>
    </row>
    <row r="6122" spans="1:1" x14ac:dyDescent="0.25">
      <c r="A6122" s="66"/>
    </row>
    <row r="6123" spans="1:1" x14ac:dyDescent="0.25">
      <c r="A6123" s="66"/>
    </row>
    <row r="6124" spans="1:1" x14ac:dyDescent="0.25">
      <c r="A6124" s="66"/>
    </row>
    <row r="6125" spans="1:1" x14ac:dyDescent="0.25">
      <c r="A6125" s="66"/>
    </row>
    <row r="6126" spans="1:1" x14ac:dyDescent="0.25">
      <c r="A6126" s="66"/>
    </row>
    <row r="6127" spans="1:1" x14ac:dyDescent="0.25">
      <c r="A6127" s="66"/>
    </row>
    <row r="6128" spans="1:1" x14ac:dyDescent="0.25">
      <c r="A6128" s="66"/>
    </row>
    <row r="6129" spans="1:1" x14ac:dyDescent="0.25">
      <c r="A6129" s="66"/>
    </row>
    <row r="6130" spans="1:1" x14ac:dyDescent="0.25">
      <c r="A6130" s="66"/>
    </row>
    <row r="6131" spans="1:1" x14ac:dyDescent="0.25">
      <c r="A6131" s="66"/>
    </row>
    <row r="6132" spans="1:1" x14ac:dyDescent="0.25">
      <c r="A6132" s="66"/>
    </row>
    <row r="6133" spans="1:1" x14ac:dyDescent="0.25">
      <c r="A6133" s="66"/>
    </row>
    <row r="6134" spans="1:1" x14ac:dyDescent="0.25">
      <c r="A6134" s="66"/>
    </row>
    <row r="6135" spans="1:1" x14ac:dyDescent="0.25">
      <c r="A6135" s="66"/>
    </row>
    <row r="6136" spans="1:1" x14ac:dyDescent="0.25">
      <c r="A6136" s="66"/>
    </row>
    <row r="6137" spans="1:1" x14ac:dyDescent="0.25">
      <c r="A6137" s="66"/>
    </row>
    <row r="6138" spans="1:1" x14ac:dyDescent="0.25">
      <c r="A6138" s="66"/>
    </row>
    <row r="6139" spans="1:1" x14ac:dyDescent="0.25">
      <c r="A6139" s="66"/>
    </row>
    <row r="6140" spans="1:1" x14ac:dyDescent="0.25">
      <c r="A6140" s="66"/>
    </row>
    <row r="6141" spans="1:1" x14ac:dyDescent="0.25">
      <c r="A6141" s="66"/>
    </row>
    <row r="6142" spans="1:1" x14ac:dyDescent="0.25">
      <c r="A6142" s="66"/>
    </row>
    <row r="6143" spans="1:1" x14ac:dyDescent="0.25">
      <c r="A6143" s="66"/>
    </row>
    <row r="6144" spans="1:1" x14ac:dyDescent="0.25">
      <c r="A6144" s="66"/>
    </row>
    <row r="6145" spans="1:1" x14ac:dyDescent="0.25">
      <c r="A6145" s="66"/>
    </row>
    <row r="6146" spans="1:1" x14ac:dyDescent="0.25">
      <c r="A6146" s="66"/>
    </row>
    <row r="6147" spans="1:1" x14ac:dyDescent="0.25">
      <c r="A6147" s="66"/>
    </row>
    <row r="6148" spans="1:1" x14ac:dyDescent="0.25">
      <c r="A6148" s="66"/>
    </row>
    <row r="6149" spans="1:1" x14ac:dyDescent="0.25">
      <c r="A6149" s="66"/>
    </row>
    <row r="6150" spans="1:1" x14ac:dyDescent="0.25">
      <c r="A6150" s="66"/>
    </row>
    <row r="6151" spans="1:1" x14ac:dyDescent="0.25">
      <c r="A6151" s="66"/>
    </row>
    <row r="6152" spans="1:1" x14ac:dyDescent="0.25">
      <c r="A6152" s="66"/>
    </row>
    <row r="6153" spans="1:1" x14ac:dyDescent="0.25">
      <c r="A6153" s="66"/>
    </row>
    <row r="6154" spans="1:1" x14ac:dyDescent="0.25">
      <c r="A6154" s="66"/>
    </row>
    <row r="6155" spans="1:1" x14ac:dyDescent="0.25">
      <c r="A6155" s="66"/>
    </row>
    <row r="6156" spans="1:1" x14ac:dyDescent="0.25">
      <c r="A6156" s="66"/>
    </row>
    <row r="6157" spans="1:1" x14ac:dyDescent="0.25">
      <c r="A6157" s="66"/>
    </row>
    <row r="6158" spans="1:1" x14ac:dyDescent="0.25">
      <c r="A6158" s="66"/>
    </row>
    <row r="6159" spans="1:1" x14ac:dyDescent="0.25">
      <c r="A6159" s="66"/>
    </row>
    <row r="6160" spans="1:1" x14ac:dyDescent="0.25">
      <c r="A6160" s="66"/>
    </row>
    <row r="6161" spans="1:1" x14ac:dyDescent="0.25">
      <c r="A6161" s="66"/>
    </row>
    <row r="6162" spans="1:1" x14ac:dyDescent="0.25">
      <c r="A6162" s="66"/>
    </row>
    <row r="6163" spans="1:1" x14ac:dyDescent="0.25">
      <c r="A6163" s="66"/>
    </row>
    <row r="6164" spans="1:1" x14ac:dyDescent="0.25">
      <c r="A6164" s="66"/>
    </row>
    <row r="6165" spans="1:1" x14ac:dyDescent="0.25">
      <c r="A6165" s="66"/>
    </row>
    <row r="6166" spans="1:1" x14ac:dyDescent="0.25">
      <c r="A6166" s="66"/>
    </row>
    <row r="6167" spans="1:1" x14ac:dyDescent="0.25">
      <c r="A6167" s="66"/>
    </row>
    <row r="6168" spans="1:1" x14ac:dyDescent="0.25">
      <c r="A6168" s="66"/>
    </row>
    <row r="6169" spans="1:1" x14ac:dyDescent="0.25">
      <c r="A6169" s="66"/>
    </row>
    <row r="6170" spans="1:1" x14ac:dyDescent="0.25">
      <c r="A6170" s="66"/>
    </row>
    <row r="6171" spans="1:1" x14ac:dyDescent="0.25">
      <c r="A6171" s="66"/>
    </row>
    <row r="6172" spans="1:1" x14ac:dyDescent="0.25">
      <c r="A6172" s="66"/>
    </row>
    <row r="6173" spans="1:1" x14ac:dyDescent="0.25">
      <c r="A6173" s="66"/>
    </row>
    <row r="6174" spans="1:1" x14ac:dyDescent="0.25">
      <c r="A6174" s="66"/>
    </row>
    <row r="6175" spans="1:1" x14ac:dyDescent="0.25">
      <c r="A6175" s="66"/>
    </row>
    <row r="6176" spans="1:1" x14ac:dyDescent="0.25">
      <c r="A6176" s="66"/>
    </row>
    <row r="6177" spans="1:1" x14ac:dyDescent="0.25">
      <c r="A6177" s="66"/>
    </row>
    <row r="6178" spans="1:1" x14ac:dyDescent="0.25">
      <c r="A6178" s="66"/>
    </row>
    <row r="6179" spans="1:1" x14ac:dyDescent="0.25">
      <c r="A6179" s="66"/>
    </row>
    <row r="6180" spans="1:1" x14ac:dyDescent="0.25">
      <c r="A6180" s="66"/>
    </row>
    <row r="6181" spans="1:1" x14ac:dyDescent="0.25">
      <c r="A6181" s="66"/>
    </row>
    <row r="6182" spans="1:1" x14ac:dyDescent="0.25">
      <c r="A6182" s="66"/>
    </row>
    <row r="6183" spans="1:1" x14ac:dyDescent="0.25">
      <c r="A6183" s="66"/>
    </row>
    <row r="6184" spans="1:1" x14ac:dyDescent="0.25">
      <c r="A6184" s="66"/>
    </row>
    <row r="6185" spans="1:1" x14ac:dyDescent="0.25">
      <c r="A6185" s="66"/>
    </row>
    <row r="6186" spans="1:1" x14ac:dyDescent="0.25">
      <c r="A6186" s="66"/>
    </row>
    <row r="6187" spans="1:1" x14ac:dyDescent="0.25">
      <c r="A6187" s="66"/>
    </row>
    <row r="6188" spans="1:1" x14ac:dyDescent="0.25">
      <c r="A6188" s="66"/>
    </row>
    <row r="6189" spans="1:1" x14ac:dyDescent="0.25">
      <c r="A6189" s="66"/>
    </row>
    <row r="6190" spans="1:1" x14ac:dyDescent="0.25">
      <c r="A6190" s="66"/>
    </row>
    <row r="6191" spans="1:1" x14ac:dyDescent="0.25">
      <c r="A6191" s="66"/>
    </row>
    <row r="6192" spans="1:1" x14ac:dyDescent="0.25">
      <c r="A6192" s="66"/>
    </row>
    <row r="6193" spans="1:1" x14ac:dyDescent="0.25">
      <c r="A6193" s="66"/>
    </row>
    <row r="6194" spans="1:1" x14ac:dyDescent="0.25">
      <c r="A6194" s="66"/>
    </row>
    <row r="6195" spans="1:1" x14ac:dyDescent="0.25">
      <c r="A6195" s="66"/>
    </row>
    <row r="6196" spans="1:1" x14ac:dyDescent="0.25">
      <c r="A6196" s="66"/>
    </row>
    <row r="6197" spans="1:1" x14ac:dyDescent="0.25">
      <c r="A6197" s="66"/>
    </row>
    <row r="6198" spans="1:1" x14ac:dyDescent="0.25">
      <c r="A6198" s="66"/>
    </row>
    <row r="6199" spans="1:1" x14ac:dyDescent="0.25">
      <c r="A6199" s="66"/>
    </row>
    <row r="6200" spans="1:1" x14ac:dyDescent="0.25">
      <c r="A6200" s="66"/>
    </row>
    <row r="6201" spans="1:1" x14ac:dyDescent="0.25">
      <c r="A6201" s="66"/>
    </row>
    <row r="6202" spans="1:1" x14ac:dyDescent="0.25">
      <c r="A6202" s="66"/>
    </row>
    <row r="6203" spans="1:1" x14ac:dyDescent="0.25">
      <c r="A6203" s="66"/>
    </row>
    <row r="6204" spans="1:1" x14ac:dyDescent="0.25">
      <c r="A6204" s="66"/>
    </row>
    <row r="6205" spans="1:1" x14ac:dyDescent="0.25">
      <c r="A6205" s="66"/>
    </row>
    <row r="6206" spans="1:1" x14ac:dyDescent="0.25">
      <c r="A6206" s="66"/>
    </row>
    <row r="6207" spans="1:1" x14ac:dyDescent="0.25">
      <c r="A6207" s="66"/>
    </row>
    <row r="6208" spans="1:1" x14ac:dyDescent="0.25">
      <c r="A6208" s="66"/>
    </row>
    <row r="6209" spans="1:1" x14ac:dyDescent="0.25">
      <c r="A6209" s="66"/>
    </row>
    <row r="6210" spans="1:1" x14ac:dyDescent="0.25">
      <c r="A6210" s="66"/>
    </row>
    <row r="6211" spans="1:1" x14ac:dyDescent="0.25">
      <c r="A6211" s="66"/>
    </row>
    <row r="6212" spans="1:1" x14ac:dyDescent="0.25">
      <c r="A6212" s="66"/>
    </row>
    <row r="6213" spans="1:1" x14ac:dyDescent="0.25">
      <c r="A6213" s="66"/>
    </row>
    <row r="6214" spans="1:1" x14ac:dyDescent="0.25">
      <c r="A6214" s="66"/>
    </row>
    <row r="6215" spans="1:1" x14ac:dyDescent="0.25">
      <c r="A6215" s="66"/>
    </row>
    <row r="6216" spans="1:1" x14ac:dyDescent="0.25">
      <c r="A6216" s="66"/>
    </row>
    <row r="6217" spans="1:1" x14ac:dyDescent="0.25">
      <c r="A6217" s="66"/>
    </row>
    <row r="6218" spans="1:1" x14ac:dyDescent="0.25">
      <c r="A6218" s="66"/>
    </row>
    <row r="6219" spans="1:1" x14ac:dyDescent="0.25">
      <c r="A6219" s="66"/>
    </row>
    <row r="6220" spans="1:1" x14ac:dyDescent="0.25">
      <c r="A6220" s="66"/>
    </row>
    <row r="6221" spans="1:1" x14ac:dyDescent="0.25">
      <c r="A6221" s="66"/>
    </row>
    <row r="6222" spans="1:1" x14ac:dyDescent="0.25">
      <c r="A6222" s="66"/>
    </row>
    <row r="6223" spans="1:1" x14ac:dyDescent="0.25">
      <c r="A6223" s="66"/>
    </row>
    <row r="6224" spans="1:1" x14ac:dyDescent="0.25">
      <c r="A6224" s="66"/>
    </row>
    <row r="6225" spans="1:1" x14ac:dyDescent="0.25">
      <c r="A6225" s="66"/>
    </row>
    <row r="6226" spans="1:1" x14ac:dyDescent="0.25">
      <c r="A6226" s="66"/>
    </row>
    <row r="6227" spans="1:1" x14ac:dyDescent="0.25">
      <c r="A6227" s="66"/>
    </row>
    <row r="6228" spans="1:1" x14ac:dyDescent="0.25">
      <c r="A6228" s="66"/>
    </row>
    <row r="6229" spans="1:1" x14ac:dyDescent="0.25">
      <c r="A6229" s="66"/>
    </row>
    <row r="6230" spans="1:1" x14ac:dyDescent="0.25">
      <c r="A6230" s="66"/>
    </row>
    <row r="6231" spans="1:1" x14ac:dyDescent="0.25">
      <c r="A6231" s="66"/>
    </row>
    <row r="6232" spans="1:1" x14ac:dyDescent="0.25">
      <c r="A6232" s="66"/>
    </row>
    <row r="6233" spans="1:1" x14ac:dyDescent="0.25">
      <c r="A6233" s="66"/>
    </row>
    <row r="6234" spans="1:1" x14ac:dyDescent="0.25">
      <c r="A6234" s="66"/>
    </row>
    <row r="6235" spans="1:1" x14ac:dyDescent="0.25">
      <c r="A6235" s="66"/>
    </row>
    <row r="6236" spans="1:1" x14ac:dyDescent="0.25">
      <c r="A6236" s="66"/>
    </row>
    <row r="6237" spans="1:1" x14ac:dyDescent="0.25">
      <c r="A6237" s="66"/>
    </row>
    <row r="6238" spans="1:1" x14ac:dyDescent="0.25">
      <c r="A6238" s="66"/>
    </row>
    <row r="6239" spans="1:1" x14ac:dyDescent="0.25">
      <c r="A6239" s="66"/>
    </row>
    <row r="6240" spans="1:1" x14ac:dyDescent="0.25">
      <c r="A6240" s="66"/>
    </row>
    <row r="6241" spans="1:1" x14ac:dyDescent="0.25">
      <c r="A6241" s="66"/>
    </row>
    <row r="6242" spans="1:1" x14ac:dyDescent="0.25">
      <c r="A6242" s="66"/>
    </row>
    <row r="6243" spans="1:1" x14ac:dyDescent="0.25">
      <c r="A6243" s="66"/>
    </row>
    <row r="6244" spans="1:1" x14ac:dyDescent="0.25">
      <c r="A6244" s="66"/>
    </row>
    <row r="6245" spans="1:1" x14ac:dyDescent="0.25">
      <c r="A6245" s="66"/>
    </row>
    <row r="6246" spans="1:1" x14ac:dyDescent="0.25">
      <c r="A6246" s="66"/>
    </row>
    <row r="6247" spans="1:1" x14ac:dyDescent="0.25">
      <c r="A6247" s="66"/>
    </row>
    <row r="6248" spans="1:1" x14ac:dyDescent="0.25">
      <c r="A6248" s="66"/>
    </row>
    <row r="6249" spans="1:1" x14ac:dyDescent="0.25">
      <c r="A6249" s="66"/>
    </row>
    <row r="6250" spans="1:1" x14ac:dyDescent="0.25">
      <c r="A6250" s="66"/>
    </row>
    <row r="6251" spans="1:1" x14ac:dyDescent="0.25">
      <c r="A6251" s="66"/>
    </row>
    <row r="6252" spans="1:1" x14ac:dyDescent="0.25">
      <c r="A6252" s="66"/>
    </row>
    <row r="6253" spans="1:1" x14ac:dyDescent="0.25">
      <c r="A6253" s="66"/>
    </row>
    <row r="6254" spans="1:1" x14ac:dyDescent="0.25">
      <c r="A6254" s="66"/>
    </row>
    <row r="6255" spans="1:1" x14ac:dyDescent="0.25">
      <c r="A6255" s="66"/>
    </row>
    <row r="6256" spans="1:1" x14ac:dyDescent="0.25">
      <c r="A6256" s="66"/>
    </row>
    <row r="6257" spans="1:1" x14ac:dyDescent="0.25">
      <c r="A6257" s="66"/>
    </row>
    <row r="6258" spans="1:1" x14ac:dyDescent="0.25">
      <c r="A6258" s="66"/>
    </row>
    <row r="6259" spans="1:1" x14ac:dyDescent="0.25">
      <c r="A6259" s="66"/>
    </row>
    <row r="6260" spans="1:1" x14ac:dyDescent="0.25">
      <c r="A6260" s="66"/>
    </row>
    <row r="6261" spans="1:1" x14ac:dyDescent="0.25">
      <c r="A6261" s="66"/>
    </row>
    <row r="6262" spans="1:1" x14ac:dyDescent="0.25">
      <c r="A6262" s="66"/>
    </row>
    <row r="6263" spans="1:1" x14ac:dyDescent="0.25">
      <c r="A6263" s="66"/>
    </row>
    <row r="6264" spans="1:1" x14ac:dyDescent="0.25">
      <c r="A6264" s="66"/>
    </row>
    <row r="6265" spans="1:1" x14ac:dyDescent="0.25">
      <c r="A6265" s="66"/>
    </row>
    <row r="6266" spans="1:1" x14ac:dyDescent="0.25">
      <c r="A6266" s="66"/>
    </row>
    <row r="6267" spans="1:1" x14ac:dyDescent="0.25">
      <c r="A6267" s="66"/>
    </row>
    <row r="6268" spans="1:1" x14ac:dyDescent="0.25">
      <c r="A6268" s="66"/>
    </row>
    <row r="6269" spans="1:1" x14ac:dyDescent="0.25">
      <c r="A6269" s="66"/>
    </row>
    <row r="6270" spans="1:1" x14ac:dyDescent="0.25">
      <c r="A6270" s="66"/>
    </row>
    <row r="6271" spans="1:1" x14ac:dyDescent="0.25">
      <c r="A6271" s="66"/>
    </row>
    <row r="6272" spans="1:1" x14ac:dyDescent="0.25">
      <c r="A6272" s="66"/>
    </row>
    <row r="6273" spans="1:1" x14ac:dyDescent="0.25">
      <c r="A6273" s="66"/>
    </row>
    <row r="6274" spans="1:1" x14ac:dyDescent="0.25">
      <c r="A6274" s="66"/>
    </row>
    <row r="6275" spans="1:1" x14ac:dyDescent="0.25">
      <c r="A6275" s="66"/>
    </row>
    <row r="6276" spans="1:1" x14ac:dyDescent="0.25">
      <c r="A6276" s="66"/>
    </row>
    <row r="6277" spans="1:1" x14ac:dyDescent="0.25">
      <c r="A6277" s="66"/>
    </row>
    <row r="6278" spans="1:1" x14ac:dyDescent="0.25">
      <c r="A6278" s="66"/>
    </row>
    <row r="6279" spans="1:1" x14ac:dyDescent="0.25">
      <c r="A6279" s="66"/>
    </row>
    <row r="6280" spans="1:1" x14ac:dyDescent="0.25">
      <c r="A6280" s="66"/>
    </row>
    <row r="6281" spans="1:1" x14ac:dyDescent="0.25">
      <c r="A6281" s="66"/>
    </row>
    <row r="6282" spans="1:1" x14ac:dyDescent="0.25">
      <c r="A6282" s="66"/>
    </row>
    <row r="6283" spans="1:1" x14ac:dyDescent="0.25">
      <c r="A6283" s="66"/>
    </row>
    <row r="6284" spans="1:1" x14ac:dyDescent="0.25">
      <c r="A6284" s="66"/>
    </row>
    <row r="6285" spans="1:1" x14ac:dyDescent="0.25">
      <c r="A6285" s="66"/>
    </row>
    <row r="6286" spans="1:1" x14ac:dyDescent="0.25">
      <c r="A6286" s="66"/>
    </row>
    <row r="6287" spans="1:1" x14ac:dyDescent="0.25">
      <c r="A6287" s="66"/>
    </row>
    <row r="6288" spans="1:1" x14ac:dyDescent="0.25">
      <c r="A6288" s="66"/>
    </row>
    <row r="6289" spans="1:1" x14ac:dyDescent="0.25">
      <c r="A6289" s="66"/>
    </row>
    <row r="6290" spans="1:1" x14ac:dyDescent="0.25">
      <c r="A6290" s="66"/>
    </row>
    <row r="6291" spans="1:1" x14ac:dyDescent="0.25">
      <c r="A6291" s="66"/>
    </row>
    <row r="6292" spans="1:1" x14ac:dyDescent="0.25">
      <c r="A6292" s="66"/>
    </row>
    <row r="6293" spans="1:1" x14ac:dyDescent="0.25">
      <c r="A6293" s="66"/>
    </row>
    <row r="6294" spans="1:1" x14ac:dyDescent="0.25">
      <c r="A6294" s="66"/>
    </row>
    <row r="6295" spans="1:1" x14ac:dyDescent="0.25">
      <c r="A6295" s="66"/>
    </row>
    <row r="6296" spans="1:1" x14ac:dyDescent="0.25">
      <c r="A6296" s="66"/>
    </row>
    <row r="6297" spans="1:1" x14ac:dyDescent="0.25">
      <c r="A6297" s="66"/>
    </row>
    <row r="6298" spans="1:1" x14ac:dyDescent="0.25">
      <c r="A6298" s="66"/>
    </row>
    <row r="6299" spans="1:1" x14ac:dyDescent="0.25">
      <c r="A6299" s="66"/>
    </row>
    <row r="6300" spans="1:1" x14ac:dyDescent="0.25">
      <c r="A6300" s="66"/>
    </row>
    <row r="6301" spans="1:1" x14ac:dyDescent="0.25">
      <c r="A6301" s="66"/>
    </row>
    <row r="6302" spans="1:1" x14ac:dyDescent="0.25">
      <c r="A6302" s="66"/>
    </row>
    <row r="6303" spans="1:1" x14ac:dyDescent="0.25">
      <c r="A6303" s="66"/>
    </row>
    <row r="6304" spans="1:1" x14ac:dyDescent="0.25">
      <c r="A6304" s="66"/>
    </row>
    <row r="6305" spans="1:1" x14ac:dyDescent="0.25">
      <c r="A6305" s="66"/>
    </row>
    <row r="6306" spans="1:1" x14ac:dyDescent="0.25">
      <c r="A6306" s="66"/>
    </row>
    <row r="6307" spans="1:1" x14ac:dyDescent="0.25">
      <c r="A6307" s="66"/>
    </row>
    <row r="6308" spans="1:1" x14ac:dyDescent="0.25">
      <c r="A6308" s="66"/>
    </row>
    <row r="6309" spans="1:1" x14ac:dyDescent="0.25">
      <c r="A6309" s="66"/>
    </row>
    <row r="6310" spans="1:1" x14ac:dyDescent="0.25">
      <c r="A6310" s="66"/>
    </row>
    <row r="6311" spans="1:1" x14ac:dyDescent="0.25">
      <c r="A6311" s="66"/>
    </row>
    <row r="6312" spans="1:1" x14ac:dyDescent="0.25">
      <c r="A6312" s="66"/>
    </row>
    <row r="6313" spans="1:1" x14ac:dyDescent="0.25">
      <c r="A6313" s="66"/>
    </row>
    <row r="6314" spans="1:1" x14ac:dyDescent="0.25">
      <c r="A6314" s="66"/>
    </row>
    <row r="6315" spans="1:1" x14ac:dyDescent="0.25">
      <c r="A6315" s="66"/>
    </row>
    <row r="6316" spans="1:1" x14ac:dyDescent="0.25">
      <c r="A6316" s="66"/>
    </row>
    <row r="6317" spans="1:1" x14ac:dyDescent="0.25">
      <c r="A6317" s="66"/>
    </row>
    <row r="6318" spans="1:1" x14ac:dyDescent="0.25">
      <c r="A6318" s="66"/>
    </row>
    <row r="6319" spans="1:1" x14ac:dyDescent="0.25">
      <c r="A6319" s="66"/>
    </row>
    <row r="6320" spans="1:1" x14ac:dyDescent="0.25">
      <c r="A6320" s="66"/>
    </row>
    <row r="6321" spans="1:1" x14ac:dyDescent="0.25">
      <c r="A6321" s="66"/>
    </row>
    <row r="6322" spans="1:1" x14ac:dyDescent="0.25">
      <c r="A6322" s="66"/>
    </row>
    <row r="6323" spans="1:1" x14ac:dyDescent="0.25">
      <c r="A6323" s="66"/>
    </row>
    <row r="6324" spans="1:1" x14ac:dyDescent="0.25">
      <c r="A6324" s="66"/>
    </row>
    <row r="6325" spans="1:1" x14ac:dyDescent="0.25">
      <c r="A6325" s="66"/>
    </row>
    <row r="6326" spans="1:1" x14ac:dyDescent="0.25">
      <c r="A6326" s="66"/>
    </row>
    <row r="6327" spans="1:1" x14ac:dyDescent="0.25">
      <c r="A6327" s="66"/>
    </row>
    <row r="6328" spans="1:1" x14ac:dyDescent="0.25">
      <c r="A6328" s="66"/>
    </row>
    <row r="6329" spans="1:1" x14ac:dyDescent="0.25">
      <c r="A6329" s="66"/>
    </row>
    <row r="6330" spans="1:1" x14ac:dyDescent="0.25">
      <c r="A6330" s="66"/>
    </row>
    <row r="6331" spans="1:1" x14ac:dyDescent="0.25">
      <c r="A6331" s="66"/>
    </row>
    <row r="6332" spans="1:1" x14ac:dyDescent="0.25">
      <c r="A6332" s="66"/>
    </row>
    <row r="6333" spans="1:1" x14ac:dyDescent="0.25">
      <c r="A6333" s="66"/>
    </row>
    <row r="6334" spans="1:1" x14ac:dyDescent="0.25">
      <c r="A6334" s="66"/>
    </row>
    <row r="6335" spans="1:1" x14ac:dyDescent="0.25">
      <c r="A6335" s="66"/>
    </row>
    <row r="6336" spans="1:1" x14ac:dyDescent="0.25">
      <c r="A6336" s="66"/>
    </row>
    <row r="6337" spans="1:1" x14ac:dyDescent="0.25">
      <c r="A6337" s="66"/>
    </row>
    <row r="6338" spans="1:1" x14ac:dyDescent="0.25">
      <c r="A6338" s="66"/>
    </row>
    <row r="6339" spans="1:1" x14ac:dyDescent="0.25">
      <c r="A6339" s="66"/>
    </row>
    <row r="6340" spans="1:1" x14ac:dyDescent="0.25">
      <c r="A6340" s="66"/>
    </row>
    <row r="6341" spans="1:1" x14ac:dyDescent="0.25">
      <c r="A6341" s="66"/>
    </row>
    <row r="6342" spans="1:1" x14ac:dyDescent="0.25">
      <c r="A6342" s="66"/>
    </row>
    <row r="6343" spans="1:1" x14ac:dyDescent="0.25">
      <c r="A6343" s="66"/>
    </row>
    <row r="6344" spans="1:1" x14ac:dyDescent="0.25">
      <c r="A6344" s="66"/>
    </row>
    <row r="6345" spans="1:1" x14ac:dyDescent="0.25">
      <c r="A6345" s="66"/>
    </row>
    <row r="6346" spans="1:1" x14ac:dyDescent="0.25">
      <c r="A6346" s="66"/>
    </row>
    <row r="6347" spans="1:1" x14ac:dyDescent="0.25">
      <c r="A6347" s="66"/>
    </row>
    <row r="6348" spans="1:1" x14ac:dyDescent="0.25">
      <c r="A6348" s="66"/>
    </row>
    <row r="6349" spans="1:1" x14ac:dyDescent="0.25">
      <c r="A6349" s="66"/>
    </row>
    <row r="6350" spans="1:1" x14ac:dyDescent="0.25">
      <c r="A6350" s="66"/>
    </row>
    <row r="6351" spans="1:1" x14ac:dyDescent="0.25">
      <c r="A6351" s="66"/>
    </row>
    <row r="6352" spans="1:1" x14ac:dyDescent="0.25">
      <c r="A6352" s="66"/>
    </row>
    <row r="6353" spans="1:1" x14ac:dyDescent="0.25">
      <c r="A6353" s="66"/>
    </row>
    <row r="6354" spans="1:1" x14ac:dyDescent="0.25">
      <c r="A6354" s="66"/>
    </row>
    <row r="6355" spans="1:1" x14ac:dyDescent="0.25">
      <c r="A6355" s="66"/>
    </row>
    <row r="6356" spans="1:1" x14ac:dyDescent="0.25">
      <c r="A6356" s="66"/>
    </row>
    <row r="6357" spans="1:1" x14ac:dyDescent="0.25">
      <c r="A6357" s="66"/>
    </row>
    <row r="6358" spans="1:1" x14ac:dyDescent="0.25">
      <c r="A6358" s="66"/>
    </row>
    <row r="6359" spans="1:1" x14ac:dyDescent="0.25">
      <c r="A6359" s="66"/>
    </row>
    <row r="6360" spans="1:1" x14ac:dyDescent="0.25">
      <c r="A6360" s="66"/>
    </row>
    <row r="6361" spans="1:1" x14ac:dyDescent="0.25">
      <c r="A6361" s="66"/>
    </row>
    <row r="6362" spans="1:1" x14ac:dyDescent="0.25">
      <c r="A6362" s="66"/>
    </row>
    <row r="6363" spans="1:1" x14ac:dyDescent="0.25">
      <c r="A6363" s="66"/>
    </row>
    <row r="6364" spans="1:1" x14ac:dyDescent="0.25">
      <c r="A6364" s="66"/>
    </row>
    <row r="6365" spans="1:1" x14ac:dyDescent="0.25">
      <c r="A6365" s="66"/>
    </row>
    <row r="6366" spans="1:1" x14ac:dyDescent="0.25">
      <c r="A6366" s="66"/>
    </row>
    <row r="6367" spans="1:1" x14ac:dyDescent="0.25">
      <c r="A6367" s="66"/>
    </row>
    <row r="6368" spans="1:1" x14ac:dyDescent="0.25">
      <c r="A6368" s="66"/>
    </row>
    <row r="6369" spans="1:1" x14ac:dyDescent="0.25">
      <c r="A6369" s="66"/>
    </row>
    <row r="6370" spans="1:1" x14ac:dyDescent="0.25">
      <c r="A6370" s="66"/>
    </row>
    <row r="6371" spans="1:1" x14ac:dyDescent="0.25">
      <c r="A6371" s="66"/>
    </row>
    <row r="6372" spans="1:1" x14ac:dyDescent="0.25">
      <c r="A6372" s="66"/>
    </row>
    <row r="6373" spans="1:1" x14ac:dyDescent="0.25">
      <c r="A6373" s="66"/>
    </row>
    <row r="6374" spans="1:1" x14ac:dyDescent="0.25">
      <c r="A6374" s="66"/>
    </row>
    <row r="6375" spans="1:1" x14ac:dyDescent="0.25">
      <c r="A6375" s="66"/>
    </row>
    <row r="6376" spans="1:1" x14ac:dyDescent="0.25">
      <c r="A6376" s="66"/>
    </row>
    <row r="6377" spans="1:1" x14ac:dyDescent="0.25">
      <c r="A6377" s="66"/>
    </row>
    <row r="6378" spans="1:1" x14ac:dyDescent="0.25">
      <c r="A6378" s="66"/>
    </row>
    <row r="6379" spans="1:1" x14ac:dyDescent="0.25">
      <c r="A6379" s="66"/>
    </row>
    <row r="6380" spans="1:1" x14ac:dyDescent="0.25">
      <c r="A6380" s="66"/>
    </row>
    <row r="6381" spans="1:1" x14ac:dyDescent="0.25">
      <c r="A6381" s="66"/>
    </row>
    <row r="6382" spans="1:1" x14ac:dyDescent="0.25">
      <c r="A6382" s="66"/>
    </row>
    <row r="6383" spans="1:1" x14ac:dyDescent="0.25">
      <c r="A6383" s="66"/>
    </row>
    <row r="6384" spans="1:1" x14ac:dyDescent="0.25">
      <c r="A6384" s="66"/>
    </row>
    <row r="6385" spans="1:1" x14ac:dyDescent="0.25">
      <c r="A6385" s="66"/>
    </row>
    <row r="6386" spans="1:1" x14ac:dyDescent="0.25">
      <c r="A6386" s="66"/>
    </row>
    <row r="6387" spans="1:1" x14ac:dyDescent="0.25">
      <c r="A6387" s="66"/>
    </row>
    <row r="6388" spans="1:1" x14ac:dyDescent="0.25">
      <c r="A6388" s="66"/>
    </row>
    <row r="6389" spans="1:1" x14ac:dyDescent="0.25">
      <c r="A6389" s="66"/>
    </row>
    <row r="6390" spans="1:1" x14ac:dyDescent="0.25">
      <c r="A6390" s="66"/>
    </row>
    <row r="6391" spans="1:1" x14ac:dyDescent="0.25">
      <c r="A6391" s="66"/>
    </row>
    <row r="6392" spans="1:1" x14ac:dyDescent="0.25">
      <c r="A6392" s="66"/>
    </row>
    <row r="6393" spans="1:1" x14ac:dyDescent="0.25">
      <c r="A6393" s="66"/>
    </row>
    <row r="6394" spans="1:1" x14ac:dyDescent="0.25">
      <c r="A6394" s="66"/>
    </row>
    <row r="6395" spans="1:1" x14ac:dyDescent="0.25">
      <c r="A6395" s="66"/>
    </row>
    <row r="6396" spans="1:1" x14ac:dyDescent="0.25">
      <c r="A6396" s="66"/>
    </row>
    <row r="6397" spans="1:1" x14ac:dyDescent="0.25">
      <c r="A6397" s="66"/>
    </row>
    <row r="6398" spans="1:1" x14ac:dyDescent="0.25">
      <c r="A6398" s="66"/>
    </row>
    <row r="6399" spans="1:1" x14ac:dyDescent="0.25">
      <c r="A6399" s="66"/>
    </row>
    <row r="6400" spans="1:1" x14ac:dyDescent="0.25">
      <c r="A6400" s="66"/>
    </row>
    <row r="6401" spans="1:1" x14ac:dyDescent="0.25">
      <c r="A6401" s="66"/>
    </row>
    <row r="6402" spans="1:1" x14ac:dyDescent="0.25">
      <c r="A6402" s="66"/>
    </row>
    <row r="6403" spans="1:1" x14ac:dyDescent="0.25">
      <c r="A6403" s="66"/>
    </row>
    <row r="6404" spans="1:1" x14ac:dyDescent="0.25">
      <c r="A6404" s="66"/>
    </row>
    <row r="6405" spans="1:1" x14ac:dyDescent="0.25">
      <c r="A6405" s="66"/>
    </row>
    <row r="6406" spans="1:1" x14ac:dyDescent="0.25">
      <c r="A6406" s="66"/>
    </row>
    <row r="6407" spans="1:1" x14ac:dyDescent="0.25">
      <c r="A6407" s="66"/>
    </row>
    <row r="6408" spans="1:1" x14ac:dyDescent="0.25">
      <c r="A6408" s="66"/>
    </row>
    <row r="6409" spans="1:1" x14ac:dyDescent="0.25">
      <c r="A6409" s="66"/>
    </row>
    <row r="6410" spans="1:1" x14ac:dyDescent="0.25">
      <c r="A6410" s="66"/>
    </row>
    <row r="6411" spans="1:1" x14ac:dyDescent="0.25">
      <c r="A6411" s="66"/>
    </row>
    <row r="6412" spans="1:1" x14ac:dyDescent="0.25">
      <c r="A6412" s="66"/>
    </row>
    <row r="6413" spans="1:1" x14ac:dyDescent="0.25">
      <c r="A6413" s="66"/>
    </row>
    <row r="6414" spans="1:1" x14ac:dyDescent="0.25">
      <c r="A6414" s="66"/>
    </row>
    <row r="6415" spans="1:1" x14ac:dyDescent="0.25">
      <c r="A6415" s="66"/>
    </row>
    <row r="6416" spans="1:1" x14ac:dyDescent="0.25">
      <c r="A6416" s="66"/>
    </row>
    <row r="6417" spans="1:1" x14ac:dyDescent="0.25">
      <c r="A6417" s="66"/>
    </row>
    <row r="6418" spans="1:1" x14ac:dyDescent="0.25">
      <c r="A6418" s="66"/>
    </row>
    <row r="6419" spans="1:1" x14ac:dyDescent="0.25">
      <c r="A6419" s="66"/>
    </row>
    <row r="6420" spans="1:1" x14ac:dyDescent="0.25">
      <c r="A6420" s="66"/>
    </row>
    <row r="6421" spans="1:1" x14ac:dyDescent="0.25">
      <c r="A6421" s="66"/>
    </row>
    <row r="6422" spans="1:1" x14ac:dyDescent="0.25">
      <c r="A6422" s="66"/>
    </row>
    <row r="6423" spans="1:1" x14ac:dyDescent="0.25">
      <c r="A6423" s="66"/>
    </row>
    <row r="6424" spans="1:1" x14ac:dyDescent="0.25">
      <c r="A6424" s="66"/>
    </row>
    <row r="6425" spans="1:1" x14ac:dyDescent="0.25">
      <c r="A6425" s="66"/>
    </row>
    <row r="6426" spans="1:1" x14ac:dyDescent="0.25">
      <c r="A6426" s="66"/>
    </row>
    <row r="6427" spans="1:1" x14ac:dyDescent="0.25">
      <c r="A6427" s="66"/>
    </row>
    <row r="6428" spans="1:1" x14ac:dyDescent="0.25">
      <c r="A6428" s="66"/>
    </row>
    <row r="6429" spans="1:1" x14ac:dyDescent="0.25">
      <c r="A6429" s="66"/>
    </row>
    <row r="6430" spans="1:1" x14ac:dyDescent="0.25">
      <c r="A6430" s="66"/>
    </row>
    <row r="6431" spans="1:1" x14ac:dyDescent="0.25">
      <c r="A6431" s="66"/>
    </row>
    <row r="6432" spans="1:1" x14ac:dyDescent="0.25">
      <c r="A6432" s="66"/>
    </row>
    <row r="6433" spans="1:1" x14ac:dyDescent="0.25">
      <c r="A6433" s="66"/>
    </row>
    <row r="6434" spans="1:1" x14ac:dyDescent="0.25">
      <c r="A6434" s="66"/>
    </row>
    <row r="6435" spans="1:1" x14ac:dyDescent="0.25">
      <c r="A6435" s="66"/>
    </row>
    <row r="6436" spans="1:1" x14ac:dyDescent="0.25">
      <c r="A6436" s="66"/>
    </row>
    <row r="6437" spans="1:1" x14ac:dyDescent="0.25">
      <c r="A6437" s="66"/>
    </row>
    <row r="6438" spans="1:1" x14ac:dyDescent="0.25">
      <c r="A6438" s="66"/>
    </row>
    <row r="6439" spans="1:1" x14ac:dyDescent="0.25">
      <c r="A6439" s="66"/>
    </row>
    <row r="6440" spans="1:1" x14ac:dyDescent="0.25">
      <c r="A6440" s="66"/>
    </row>
    <row r="6441" spans="1:1" x14ac:dyDescent="0.25">
      <c r="A6441" s="66"/>
    </row>
    <row r="6442" spans="1:1" x14ac:dyDescent="0.25">
      <c r="A6442" s="66"/>
    </row>
    <row r="6443" spans="1:1" x14ac:dyDescent="0.25">
      <c r="A6443" s="66"/>
    </row>
    <row r="6444" spans="1:1" x14ac:dyDescent="0.25">
      <c r="A6444" s="66"/>
    </row>
    <row r="6445" spans="1:1" x14ac:dyDescent="0.25">
      <c r="A6445" s="66"/>
    </row>
    <row r="6446" spans="1:1" x14ac:dyDescent="0.25">
      <c r="A6446" s="66"/>
    </row>
    <row r="6447" spans="1:1" x14ac:dyDescent="0.25">
      <c r="A6447" s="66"/>
    </row>
    <row r="6448" spans="1:1" x14ac:dyDescent="0.25">
      <c r="A6448" s="66"/>
    </row>
    <row r="6449" spans="1:1" x14ac:dyDescent="0.25">
      <c r="A6449" s="66"/>
    </row>
    <row r="6450" spans="1:1" x14ac:dyDescent="0.25">
      <c r="A6450" s="66"/>
    </row>
    <row r="6451" spans="1:1" x14ac:dyDescent="0.25">
      <c r="A6451" s="66"/>
    </row>
    <row r="6452" spans="1:1" x14ac:dyDescent="0.25">
      <c r="A6452" s="66"/>
    </row>
    <row r="6453" spans="1:1" x14ac:dyDescent="0.25">
      <c r="A6453" s="66"/>
    </row>
    <row r="6454" spans="1:1" x14ac:dyDescent="0.25">
      <c r="A6454" s="66"/>
    </row>
    <row r="6455" spans="1:1" x14ac:dyDescent="0.25">
      <c r="A6455" s="66"/>
    </row>
    <row r="6456" spans="1:1" x14ac:dyDescent="0.25">
      <c r="A6456" s="66"/>
    </row>
    <row r="6457" spans="1:1" x14ac:dyDescent="0.25">
      <c r="A6457" s="66"/>
    </row>
    <row r="6458" spans="1:1" x14ac:dyDescent="0.25">
      <c r="A6458" s="66"/>
    </row>
    <row r="6459" spans="1:1" x14ac:dyDescent="0.25">
      <c r="A6459" s="66"/>
    </row>
    <row r="6460" spans="1:1" x14ac:dyDescent="0.25">
      <c r="A6460" s="66"/>
    </row>
    <row r="6461" spans="1:1" x14ac:dyDescent="0.25">
      <c r="A6461" s="66"/>
    </row>
    <row r="6462" spans="1:1" x14ac:dyDescent="0.25">
      <c r="A6462" s="66"/>
    </row>
    <row r="6463" spans="1:1" x14ac:dyDescent="0.25">
      <c r="A6463" s="66"/>
    </row>
    <row r="6464" spans="1:1" x14ac:dyDescent="0.25">
      <c r="A6464" s="66"/>
    </row>
    <row r="6465" spans="1:1" x14ac:dyDescent="0.25">
      <c r="A6465" s="66"/>
    </row>
    <row r="6466" spans="1:1" x14ac:dyDescent="0.25">
      <c r="A6466" s="66"/>
    </row>
    <row r="6467" spans="1:1" x14ac:dyDescent="0.25">
      <c r="A6467" s="66"/>
    </row>
    <row r="6468" spans="1:1" x14ac:dyDescent="0.25">
      <c r="A6468" s="66"/>
    </row>
    <row r="6469" spans="1:1" x14ac:dyDescent="0.25">
      <c r="A6469" s="66"/>
    </row>
    <row r="6470" spans="1:1" x14ac:dyDescent="0.25">
      <c r="A6470" s="66"/>
    </row>
    <row r="6471" spans="1:1" x14ac:dyDescent="0.25">
      <c r="A6471" s="66"/>
    </row>
    <row r="6472" spans="1:1" x14ac:dyDescent="0.25">
      <c r="A6472" s="66"/>
    </row>
    <row r="6473" spans="1:1" x14ac:dyDescent="0.25">
      <c r="A6473" s="66"/>
    </row>
    <row r="6474" spans="1:1" x14ac:dyDescent="0.25">
      <c r="A6474" s="66"/>
    </row>
    <row r="6475" spans="1:1" x14ac:dyDescent="0.25">
      <c r="A6475" s="66"/>
    </row>
    <row r="6476" spans="1:1" x14ac:dyDescent="0.25">
      <c r="A6476" s="66"/>
    </row>
    <row r="6477" spans="1:1" x14ac:dyDescent="0.25">
      <c r="A6477" s="66"/>
    </row>
    <row r="6478" spans="1:1" x14ac:dyDescent="0.25">
      <c r="A6478" s="66"/>
    </row>
    <row r="6479" spans="1:1" x14ac:dyDescent="0.25">
      <c r="A6479" s="66"/>
    </row>
    <row r="6480" spans="1:1" x14ac:dyDescent="0.25">
      <c r="A6480" s="66"/>
    </row>
    <row r="6481" spans="1:1" x14ac:dyDescent="0.25">
      <c r="A6481" s="66"/>
    </row>
    <row r="6482" spans="1:1" x14ac:dyDescent="0.25">
      <c r="A6482" s="66"/>
    </row>
    <row r="6483" spans="1:1" x14ac:dyDescent="0.25">
      <c r="A6483" s="66"/>
    </row>
    <row r="6484" spans="1:1" x14ac:dyDescent="0.25">
      <c r="A6484" s="66"/>
    </row>
    <row r="6485" spans="1:1" x14ac:dyDescent="0.25">
      <c r="A6485" s="66"/>
    </row>
    <row r="6486" spans="1:1" x14ac:dyDescent="0.25">
      <c r="A6486" s="66"/>
    </row>
    <row r="6487" spans="1:1" x14ac:dyDescent="0.25">
      <c r="A6487" s="66"/>
    </row>
    <row r="6488" spans="1:1" x14ac:dyDescent="0.25">
      <c r="A6488" s="66"/>
    </row>
    <row r="6489" spans="1:1" x14ac:dyDescent="0.25">
      <c r="A6489" s="66"/>
    </row>
    <row r="6490" spans="1:1" x14ac:dyDescent="0.25">
      <c r="A6490" s="66"/>
    </row>
    <row r="6491" spans="1:1" x14ac:dyDescent="0.25">
      <c r="A6491" s="66"/>
    </row>
    <row r="6492" spans="1:1" x14ac:dyDescent="0.25">
      <c r="A6492" s="66"/>
    </row>
    <row r="6493" spans="1:1" x14ac:dyDescent="0.25">
      <c r="A6493" s="66"/>
    </row>
    <row r="6494" spans="1:1" x14ac:dyDescent="0.25">
      <c r="A6494" s="66"/>
    </row>
    <row r="6495" spans="1:1" x14ac:dyDescent="0.25">
      <c r="A6495" s="66"/>
    </row>
    <row r="6496" spans="1:1" x14ac:dyDescent="0.25">
      <c r="A6496" s="66"/>
    </row>
    <row r="6497" spans="1:1" x14ac:dyDescent="0.25">
      <c r="A6497" s="66"/>
    </row>
    <row r="6498" spans="1:1" x14ac:dyDescent="0.25">
      <c r="A6498" s="66"/>
    </row>
    <row r="6499" spans="1:1" x14ac:dyDescent="0.25">
      <c r="A6499" s="66"/>
    </row>
    <row r="6500" spans="1:1" x14ac:dyDescent="0.25">
      <c r="A6500" s="66"/>
    </row>
    <row r="6501" spans="1:1" x14ac:dyDescent="0.25">
      <c r="A6501" s="66"/>
    </row>
    <row r="6502" spans="1:1" x14ac:dyDescent="0.25">
      <c r="A6502" s="66"/>
    </row>
    <row r="6503" spans="1:1" x14ac:dyDescent="0.25">
      <c r="A6503" s="66"/>
    </row>
    <row r="6504" spans="1:1" x14ac:dyDescent="0.25">
      <c r="A6504" s="66"/>
    </row>
    <row r="6505" spans="1:1" x14ac:dyDescent="0.25">
      <c r="A6505" s="66"/>
    </row>
    <row r="6506" spans="1:1" x14ac:dyDescent="0.25">
      <c r="A6506" s="66"/>
    </row>
    <row r="6507" spans="1:1" x14ac:dyDescent="0.25">
      <c r="A6507" s="66"/>
    </row>
    <row r="6508" spans="1:1" x14ac:dyDescent="0.25">
      <c r="A6508" s="66"/>
    </row>
    <row r="6509" spans="1:1" x14ac:dyDescent="0.25">
      <c r="A6509" s="66"/>
    </row>
    <row r="6510" spans="1:1" x14ac:dyDescent="0.25">
      <c r="A6510" s="66"/>
    </row>
    <row r="6511" spans="1:1" x14ac:dyDescent="0.25">
      <c r="A6511" s="66"/>
    </row>
    <row r="6512" spans="1:1" x14ac:dyDescent="0.25">
      <c r="A6512" s="66"/>
    </row>
    <row r="6513" spans="1:1" x14ac:dyDescent="0.25">
      <c r="A6513" s="66"/>
    </row>
    <row r="6514" spans="1:1" x14ac:dyDescent="0.25">
      <c r="A6514" s="66"/>
    </row>
    <row r="6515" spans="1:1" x14ac:dyDescent="0.25">
      <c r="A6515" s="66"/>
    </row>
    <row r="6516" spans="1:1" x14ac:dyDescent="0.25">
      <c r="A6516" s="66"/>
    </row>
    <row r="6517" spans="1:1" x14ac:dyDescent="0.25">
      <c r="A6517" s="66"/>
    </row>
    <row r="6518" spans="1:1" x14ac:dyDescent="0.25">
      <c r="A6518" s="66"/>
    </row>
    <row r="6519" spans="1:1" x14ac:dyDescent="0.25">
      <c r="A6519" s="66"/>
    </row>
    <row r="6520" spans="1:1" x14ac:dyDescent="0.25">
      <c r="A6520" s="66"/>
    </row>
    <row r="6521" spans="1:1" x14ac:dyDescent="0.25">
      <c r="A6521" s="66"/>
    </row>
    <row r="6522" spans="1:1" x14ac:dyDescent="0.25">
      <c r="A6522" s="66"/>
    </row>
    <row r="6523" spans="1:1" x14ac:dyDescent="0.25">
      <c r="A6523" s="66"/>
    </row>
    <row r="6524" spans="1:1" x14ac:dyDescent="0.25">
      <c r="A6524" s="66"/>
    </row>
    <row r="6525" spans="1:1" x14ac:dyDescent="0.25">
      <c r="A6525" s="66"/>
    </row>
    <row r="6526" spans="1:1" x14ac:dyDescent="0.25">
      <c r="A6526" s="66"/>
    </row>
    <row r="6527" spans="1:1" x14ac:dyDescent="0.25">
      <c r="A6527" s="66"/>
    </row>
    <row r="6528" spans="1:1" x14ac:dyDescent="0.25">
      <c r="A6528" s="66"/>
    </row>
    <row r="6529" spans="1:1" x14ac:dyDescent="0.25">
      <c r="A6529" s="66"/>
    </row>
    <row r="6530" spans="1:1" x14ac:dyDescent="0.25">
      <c r="A6530" s="66"/>
    </row>
    <row r="6531" spans="1:1" x14ac:dyDescent="0.25">
      <c r="A6531" s="66"/>
    </row>
    <row r="6532" spans="1:1" x14ac:dyDescent="0.25">
      <c r="A6532" s="66"/>
    </row>
    <row r="6533" spans="1:1" x14ac:dyDescent="0.25">
      <c r="A6533" s="66"/>
    </row>
    <row r="6534" spans="1:1" x14ac:dyDescent="0.25">
      <c r="A6534" s="66"/>
    </row>
    <row r="6535" spans="1:1" x14ac:dyDescent="0.25">
      <c r="A6535" s="66"/>
    </row>
    <row r="6536" spans="1:1" x14ac:dyDescent="0.25">
      <c r="A6536" s="66"/>
    </row>
    <row r="6537" spans="1:1" x14ac:dyDescent="0.25">
      <c r="A6537" s="66"/>
    </row>
    <row r="6538" spans="1:1" x14ac:dyDescent="0.25">
      <c r="A6538" s="66"/>
    </row>
    <row r="6539" spans="1:1" x14ac:dyDescent="0.25">
      <c r="A6539" s="66"/>
    </row>
    <row r="6540" spans="1:1" x14ac:dyDescent="0.25">
      <c r="A6540" s="66"/>
    </row>
    <row r="6541" spans="1:1" x14ac:dyDescent="0.25">
      <c r="A6541" s="66"/>
    </row>
    <row r="6542" spans="1:1" x14ac:dyDescent="0.25">
      <c r="A6542" s="66"/>
    </row>
    <row r="6543" spans="1:1" x14ac:dyDescent="0.25">
      <c r="A6543" s="66"/>
    </row>
    <row r="6544" spans="1:1" x14ac:dyDescent="0.25">
      <c r="A6544" s="66"/>
    </row>
    <row r="6545" spans="1:1" x14ac:dyDescent="0.25">
      <c r="A6545" s="66"/>
    </row>
    <row r="6546" spans="1:1" x14ac:dyDescent="0.25">
      <c r="A6546" s="66"/>
    </row>
    <row r="6547" spans="1:1" x14ac:dyDescent="0.25">
      <c r="A6547" s="66"/>
    </row>
    <row r="6548" spans="1:1" x14ac:dyDescent="0.25">
      <c r="A6548" s="66"/>
    </row>
    <row r="6549" spans="1:1" x14ac:dyDescent="0.25">
      <c r="A6549" s="66"/>
    </row>
    <row r="6550" spans="1:1" x14ac:dyDescent="0.25">
      <c r="A6550" s="66"/>
    </row>
    <row r="6551" spans="1:1" x14ac:dyDescent="0.25">
      <c r="A6551" s="66"/>
    </row>
    <row r="6552" spans="1:1" x14ac:dyDescent="0.25">
      <c r="A6552" s="66"/>
    </row>
    <row r="6553" spans="1:1" x14ac:dyDescent="0.25">
      <c r="A6553" s="66"/>
    </row>
    <row r="6554" spans="1:1" x14ac:dyDescent="0.25">
      <c r="A6554" s="66"/>
    </row>
    <row r="6555" spans="1:1" x14ac:dyDescent="0.25">
      <c r="A6555" s="66"/>
    </row>
    <row r="6556" spans="1:1" x14ac:dyDescent="0.25">
      <c r="A6556" s="66"/>
    </row>
    <row r="6557" spans="1:1" x14ac:dyDescent="0.25">
      <c r="A6557" s="66"/>
    </row>
    <row r="6558" spans="1:1" x14ac:dyDescent="0.25">
      <c r="A6558" s="66"/>
    </row>
    <row r="6559" spans="1:1" x14ac:dyDescent="0.25">
      <c r="A6559" s="66"/>
    </row>
    <row r="6560" spans="1:1" x14ac:dyDescent="0.25">
      <c r="A6560" s="66"/>
    </row>
    <row r="6561" spans="1:1" x14ac:dyDescent="0.25">
      <c r="A6561" s="66"/>
    </row>
    <row r="6562" spans="1:1" x14ac:dyDescent="0.25">
      <c r="A6562" s="66"/>
    </row>
    <row r="6563" spans="1:1" x14ac:dyDescent="0.25">
      <c r="A6563" s="66"/>
    </row>
    <row r="6564" spans="1:1" x14ac:dyDescent="0.25">
      <c r="A6564" s="66"/>
    </row>
    <row r="6565" spans="1:1" x14ac:dyDescent="0.25">
      <c r="A6565" s="66"/>
    </row>
    <row r="6566" spans="1:1" x14ac:dyDescent="0.25">
      <c r="A6566" s="66"/>
    </row>
    <row r="6567" spans="1:1" x14ac:dyDescent="0.25">
      <c r="A6567" s="66"/>
    </row>
    <row r="6568" spans="1:1" x14ac:dyDescent="0.25">
      <c r="A6568" s="66"/>
    </row>
    <row r="6569" spans="1:1" x14ac:dyDescent="0.25">
      <c r="A6569" s="66"/>
    </row>
    <row r="6570" spans="1:1" x14ac:dyDescent="0.25">
      <c r="A6570" s="66"/>
    </row>
    <row r="6571" spans="1:1" x14ac:dyDescent="0.25">
      <c r="A6571" s="66"/>
    </row>
    <row r="6572" spans="1:1" x14ac:dyDescent="0.25">
      <c r="A6572" s="66"/>
    </row>
    <row r="6573" spans="1:1" x14ac:dyDescent="0.25">
      <c r="A6573" s="66"/>
    </row>
    <row r="6574" spans="1:1" x14ac:dyDescent="0.25">
      <c r="A6574" s="66"/>
    </row>
    <row r="6575" spans="1:1" x14ac:dyDescent="0.25">
      <c r="A6575" s="66"/>
    </row>
    <row r="6576" spans="1:1" x14ac:dyDescent="0.25">
      <c r="A6576" s="66"/>
    </row>
    <row r="6577" spans="1:1" x14ac:dyDescent="0.25">
      <c r="A6577" s="66"/>
    </row>
    <row r="6578" spans="1:1" x14ac:dyDescent="0.25">
      <c r="A6578" s="66"/>
    </row>
    <row r="6579" spans="1:1" x14ac:dyDescent="0.25">
      <c r="A6579" s="66"/>
    </row>
    <row r="6580" spans="1:1" x14ac:dyDescent="0.25">
      <c r="A6580" s="66"/>
    </row>
    <row r="6581" spans="1:1" x14ac:dyDescent="0.25">
      <c r="A6581" s="66"/>
    </row>
    <row r="6582" spans="1:1" x14ac:dyDescent="0.25">
      <c r="A6582" s="66"/>
    </row>
    <row r="6583" spans="1:1" x14ac:dyDescent="0.25">
      <c r="A6583" s="66"/>
    </row>
    <row r="6584" spans="1:1" x14ac:dyDescent="0.25">
      <c r="A6584" s="66"/>
    </row>
    <row r="6585" spans="1:1" x14ac:dyDescent="0.25">
      <c r="A6585" s="66"/>
    </row>
    <row r="6586" spans="1:1" x14ac:dyDescent="0.25">
      <c r="A6586" s="66"/>
    </row>
    <row r="6587" spans="1:1" x14ac:dyDescent="0.25">
      <c r="A6587" s="66"/>
    </row>
    <row r="6588" spans="1:1" x14ac:dyDescent="0.25">
      <c r="A6588" s="66"/>
    </row>
    <row r="6589" spans="1:1" x14ac:dyDescent="0.25">
      <c r="A6589" s="66"/>
    </row>
    <row r="6590" spans="1:1" x14ac:dyDescent="0.25">
      <c r="A6590" s="66"/>
    </row>
    <row r="6591" spans="1:1" x14ac:dyDescent="0.25">
      <c r="A6591" s="66"/>
    </row>
    <row r="6592" spans="1:1" x14ac:dyDescent="0.25">
      <c r="A6592" s="66"/>
    </row>
    <row r="6593" spans="1:1" x14ac:dyDescent="0.25">
      <c r="A6593" s="66"/>
    </row>
    <row r="6594" spans="1:1" x14ac:dyDescent="0.25">
      <c r="A6594" s="66"/>
    </row>
    <row r="6595" spans="1:1" x14ac:dyDescent="0.25">
      <c r="A6595" s="66"/>
    </row>
    <row r="6596" spans="1:1" x14ac:dyDescent="0.25">
      <c r="A6596" s="66"/>
    </row>
    <row r="6597" spans="1:1" x14ac:dyDescent="0.25">
      <c r="A6597" s="66"/>
    </row>
    <row r="6598" spans="1:1" x14ac:dyDescent="0.25">
      <c r="A6598" s="66"/>
    </row>
    <row r="6599" spans="1:1" x14ac:dyDescent="0.25">
      <c r="A6599" s="66"/>
    </row>
    <row r="6600" spans="1:1" x14ac:dyDescent="0.25">
      <c r="A6600" s="66"/>
    </row>
    <row r="6601" spans="1:1" x14ac:dyDescent="0.25">
      <c r="A6601" s="66"/>
    </row>
    <row r="6602" spans="1:1" x14ac:dyDescent="0.25">
      <c r="A6602" s="66"/>
    </row>
    <row r="6603" spans="1:1" x14ac:dyDescent="0.25">
      <c r="A6603" s="66"/>
    </row>
    <row r="6604" spans="1:1" x14ac:dyDescent="0.25">
      <c r="A6604" s="66"/>
    </row>
    <row r="6605" spans="1:1" x14ac:dyDescent="0.25">
      <c r="A6605" s="66"/>
    </row>
    <row r="6606" spans="1:1" x14ac:dyDescent="0.25">
      <c r="A6606" s="66"/>
    </row>
    <row r="6607" spans="1:1" x14ac:dyDescent="0.25">
      <c r="A6607" s="66"/>
    </row>
    <row r="6608" spans="1:1" x14ac:dyDescent="0.25">
      <c r="A6608" s="66"/>
    </row>
    <row r="6609" spans="1:1" x14ac:dyDescent="0.25">
      <c r="A6609" s="66"/>
    </row>
    <row r="6610" spans="1:1" x14ac:dyDescent="0.25">
      <c r="A6610" s="66"/>
    </row>
    <row r="6611" spans="1:1" x14ac:dyDescent="0.25">
      <c r="A6611" s="66"/>
    </row>
    <row r="6612" spans="1:1" x14ac:dyDescent="0.25">
      <c r="A6612" s="66"/>
    </row>
    <row r="6613" spans="1:1" x14ac:dyDescent="0.25">
      <c r="A6613" s="66"/>
    </row>
    <row r="6614" spans="1:1" x14ac:dyDescent="0.25">
      <c r="A6614" s="66"/>
    </row>
    <row r="6615" spans="1:1" x14ac:dyDescent="0.25">
      <c r="A6615" s="66"/>
    </row>
    <row r="6616" spans="1:1" x14ac:dyDescent="0.25">
      <c r="A6616" s="66"/>
    </row>
    <row r="6617" spans="1:1" x14ac:dyDescent="0.25">
      <c r="A6617" s="66"/>
    </row>
    <row r="6618" spans="1:1" x14ac:dyDescent="0.25">
      <c r="A6618" s="66"/>
    </row>
    <row r="6619" spans="1:1" x14ac:dyDescent="0.25">
      <c r="A6619" s="66"/>
    </row>
    <row r="6620" spans="1:1" x14ac:dyDescent="0.25">
      <c r="A6620" s="66"/>
    </row>
    <row r="6621" spans="1:1" x14ac:dyDescent="0.25">
      <c r="A6621" s="66"/>
    </row>
    <row r="6622" spans="1:1" x14ac:dyDescent="0.25">
      <c r="A6622" s="66"/>
    </row>
    <row r="6623" spans="1:1" x14ac:dyDescent="0.25">
      <c r="A6623" s="66"/>
    </row>
    <row r="6624" spans="1:1" x14ac:dyDescent="0.25">
      <c r="A6624" s="66"/>
    </row>
    <row r="6625" spans="1:1" x14ac:dyDescent="0.25">
      <c r="A6625" s="66"/>
    </row>
    <row r="6626" spans="1:1" x14ac:dyDescent="0.25">
      <c r="A6626" s="66"/>
    </row>
    <row r="6627" spans="1:1" x14ac:dyDescent="0.25">
      <c r="A6627" s="66"/>
    </row>
    <row r="6628" spans="1:1" x14ac:dyDescent="0.25">
      <c r="A6628" s="66"/>
    </row>
    <row r="6629" spans="1:1" x14ac:dyDescent="0.25">
      <c r="A6629" s="66"/>
    </row>
    <row r="6630" spans="1:1" x14ac:dyDescent="0.25">
      <c r="A6630" s="66"/>
    </row>
    <row r="6631" spans="1:1" x14ac:dyDescent="0.25">
      <c r="A6631" s="66"/>
    </row>
    <row r="6632" spans="1:1" x14ac:dyDescent="0.25">
      <c r="A6632" s="66"/>
    </row>
    <row r="6633" spans="1:1" x14ac:dyDescent="0.25">
      <c r="A6633" s="66"/>
    </row>
    <row r="6634" spans="1:1" x14ac:dyDescent="0.25">
      <c r="A6634" s="66"/>
    </row>
    <row r="6635" spans="1:1" x14ac:dyDescent="0.25">
      <c r="A6635" s="66"/>
    </row>
    <row r="6636" spans="1:1" x14ac:dyDescent="0.25">
      <c r="A6636" s="66"/>
    </row>
    <row r="6637" spans="1:1" x14ac:dyDescent="0.25">
      <c r="A6637" s="66"/>
    </row>
    <row r="6638" spans="1:1" x14ac:dyDescent="0.25">
      <c r="A6638" s="66"/>
    </row>
    <row r="6639" spans="1:1" x14ac:dyDescent="0.25">
      <c r="A6639" s="66"/>
    </row>
    <row r="6640" spans="1:1" x14ac:dyDescent="0.25">
      <c r="A6640" s="66"/>
    </row>
    <row r="6641" spans="1:1" x14ac:dyDescent="0.25">
      <c r="A6641" s="66"/>
    </row>
    <row r="6642" spans="1:1" x14ac:dyDescent="0.25">
      <c r="A6642" s="66"/>
    </row>
    <row r="6643" spans="1:1" x14ac:dyDescent="0.25">
      <c r="A6643" s="66"/>
    </row>
    <row r="6644" spans="1:1" x14ac:dyDescent="0.25">
      <c r="A6644" s="66"/>
    </row>
    <row r="6645" spans="1:1" x14ac:dyDescent="0.25">
      <c r="A6645" s="66"/>
    </row>
    <row r="6646" spans="1:1" x14ac:dyDescent="0.25">
      <c r="A6646" s="66"/>
    </row>
    <row r="6647" spans="1:1" x14ac:dyDescent="0.25">
      <c r="A6647" s="66"/>
    </row>
    <row r="6648" spans="1:1" x14ac:dyDescent="0.25">
      <c r="A6648" s="66"/>
    </row>
    <row r="6649" spans="1:1" x14ac:dyDescent="0.25">
      <c r="A6649" s="66"/>
    </row>
    <row r="6650" spans="1:1" x14ac:dyDescent="0.25">
      <c r="A6650" s="66"/>
    </row>
    <row r="6651" spans="1:1" x14ac:dyDescent="0.25">
      <c r="A6651" s="66"/>
    </row>
    <row r="6652" spans="1:1" x14ac:dyDescent="0.25">
      <c r="A6652" s="66"/>
    </row>
    <row r="6653" spans="1:1" x14ac:dyDescent="0.25">
      <c r="A6653" s="66"/>
    </row>
    <row r="6654" spans="1:1" x14ac:dyDescent="0.25">
      <c r="A6654" s="66"/>
    </row>
    <row r="6655" spans="1:1" x14ac:dyDescent="0.25">
      <c r="A6655" s="66"/>
    </row>
    <row r="6656" spans="1:1" x14ac:dyDescent="0.25">
      <c r="A6656" s="66"/>
    </row>
    <row r="6657" spans="1:1" x14ac:dyDescent="0.25">
      <c r="A6657" s="66"/>
    </row>
    <row r="6658" spans="1:1" x14ac:dyDescent="0.25">
      <c r="A6658" s="66"/>
    </row>
    <row r="6659" spans="1:1" x14ac:dyDescent="0.25">
      <c r="A6659" s="66"/>
    </row>
    <row r="6660" spans="1:1" x14ac:dyDescent="0.25">
      <c r="A6660" s="66"/>
    </row>
    <row r="6661" spans="1:1" x14ac:dyDescent="0.25">
      <c r="A6661" s="66"/>
    </row>
    <row r="6662" spans="1:1" x14ac:dyDescent="0.25">
      <c r="A6662" s="66"/>
    </row>
    <row r="6663" spans="1:1" x14ac:dyDescent="0.25">
      <c r="A6663" s="66"/>
    </row>
    <row r="6664" spans="1:1" x14ac:dyDescent="0.25">
      <c r="A6664" s="66"/>
    </row>
    <row r="6665" spans="1:1" x14ac:dyDescent="0.25">
      <c r="A6665" s="66"/>
    </row>
    <row r="6666" spans="1:1" x14ac:dyDescent="0.25">
      <c r="A6666" s="66"/>
    </row>
    <row r="6667" spans="1:1" x14ac:dyDescent="0.25">
      <c r="A6667" s="66"/>
    </row>
    <row r="6668" spans="1:1" x14ac:dyDescent="0.25">
      <c r="A6668" s="66"/>
    </row>
    <row r="6669" spans="1:1" x14ac:dyDescent="0.25">
      <c r="A6669" s="66"/>
    </row>
    <row r="6670" spans="1:1" x14ac:dyDescent="0.25">
      <c r="A6670" s="66"/>
    </row>
    <row r="6671" spans="1:1" x14ac:dyDescent="0.25">
      <c r="A6671" s="66"/>
    </row>
    <row r="6672" spans="1:1" x14ac:dyDescent="0.25">
      <c r="A6672" s="66"/>
    </row>
    <row r="6673" spans="1:1" x14ac:dyDescent="0.25">
      <c r="A6673" s="66"/>
    </row>
    <row r="6674" spans="1:1" x14ac:dyDescent="0.25">
      <c r="A6674" s="66"/>
    </row>
    <row r="6675" spans="1:1" x14ac:dyDescent="0.25">
      <c r="A6675" s="66"/>
    </row>
    <row r="6676" spans="1:1" x14ac:dyDescent="0.25">
      <c r="A6676" s="66"/>
    </row>
    <row r="6677" spans="1:1" x14ac:dyDescent="0.25">
      <c r="A6677" s="66"/>
    </row>
    <row r="6678" spans="1:1" x14ac:dyDescent="0.25">
      <c r="A6678" s="66"/>
    </row>
    <row r="6679" spans="1:1" x14ac:dyDescent="0.25">
      <c r="A6679" s="66"/>
    </row>
    <row r="6680" spans="1:1" x14ac:dyDescent="0.25">
      <c r="A6680" s="66"/>
    </row>
    <row r="6681" spans="1:1" x14ac:dyDescent="0.25">
      <c r="A6681" s="66"/>
    </row>
    <row r="6682" spans="1:1" x14ac:dyDescent="0.25">
      <c r="A6682" s="66"/>
    </row>
    <row r="6683" spans="1:1" x14ac:dyDescent="0.25">
      <c r="A6683" s="66"/>
    </row>
    <row r="6684" spans="1:1" x14ac:dyDescent="0.25">
      <c r="A6684" s="66"/>
    </row>
    <row r="6685" spans="1:1" x14ac:dyDescent="0.25">
      <c r="A6685" s="66"/>
    </row>
    <row r="6686" spans="1:1" x14ac:dyDescent="0.25">
      <c r="A6686" s="66"/>
    </row>
    <row r="6687" spans="1:1" x14ac:dyDescent="0.25">
      <c r="A6687" s="66"/>
    </row>
    <row r="6688" spans="1:1" x14ac:dyDescent="0.25">
      <c r="A6688" s="66"/>
    </row>
    <row r="6689" spans="1:1" x14ac:dyDescent="0.25">
      <c r="A6689" s="66"/>
    </row>
    <row r="6690" spans="1:1" x14ac:dyDescent="0.25">
      <c r="A6690" s="66"/>
    </row>
    <row r="6691" spans="1:1" x14ac:dyDescent="0.25">
      <c r="A6691" s="66"/>
    </row>
    <row r="6692" spans="1:1" x14ac:dyDescent="0.25">
      <c r="A6692" s="66"/>
    </row>
    <row r="6693" spans="1:1" x14ac:dyDescent="0.25">
      <c r="A6693" s="66"/>
    </row>
    <row r="6694" spans="1:1" x14ac:dyDescent="0.25">
      <c r="A6694" s="66"/>
    </row>
    <row r="6695" spans="1:1" x14ac:dyDescent="0.25">
      <c r="A6695" s="66"/>
    </row>
    <row r="6696" spans="1:1" x14ac:dyDescent="0.25">
      <c r="A6696" s="66"/>
    </row>
    <row r="6697" spans="1:1" x14ac:dyDescent="0.25">
      <c r="A6697" s="66"/>
    </row>
    <row r="6698" spans="1:1" x14ac:dyDescent="0.25">
      <c r="A6698" s="66"/>
    </row>
    <row r="6699" spans="1:1" x14ac:dyDescent="0.25">
      <c r="A6699" s="66"/>
    </row>
    <row r="6700" spans="1:1" x14ac:dyDescent="0.25">
      <c r="A6700" s="66"/>
    </row>
    <row r="6701" spans="1:1" x14ac:dyDescent="0.25">
      <c r="A6701" s="66"/>
    </row>
    <row r="6702" spans="1:1" x14ac:dyDescent="0.25">
      <c r="A6702" s="66"/>
    </row>
    <row r="6703" spans="1:1" x14ac:dyDescent="0.25">
      <c r="A6703" s="66"/>
    </row>
    <row r="6704" spans="1:1" x14ac:dyDescent="0.25">
      <c r="A6704" s="66"/>
    </row>
    <row r="6705" spans="1:1" x14ac:dyDescent="0.25">
      <c r="A6705" s="66"/>
    </row>
    <row r="6706" spans="1:1" x14ac:dyDescent="0.25">
      <c r="A6706" s="66"/>
    </row>
    <row r="6707" spans="1:1" x14ac:dyDescent="0.25">
      <c r="A6707" s="66"/>
    </row>
    <row r="6708" spans="1:1" x14ac:dyDescent="0.25">
      <c r="A6708" s="66"/>
    </row>
    <row r="6709" spans="1:1" x14ac:dyDescent="0.25">
      <c r="A6709" s="66"/>
    </row>
    <row r="6710" spans="1:1" x14ac:dyDescent="0.25">
      <c r="A6710" s="66"/>
    </row>
    <row r="6711" spans="1:1" x14ac:dyDescent="0.25">
      <c r="A6711" s="66"/>
    </row>
    <row r="6712" spans="1:1" x14ac:dyDescent="0.25">
      <c r="A6712" s="66"/>
    </row>
    <row r="6713" spans="1:1" x14ac:dyDescent="0.25">
      <c r="A6713" s="66"/>
    </row>
    <row r="6714" spans="1:1" x14ac:dyDescent="0.25">
      <c r="A6714" s="66"/>
    </row>
    <row r="6715" spans="1:1" x14ac:dyDescent="0.25">
      <c r="A6715" s="66"/>
    </row>
    <row r="6716" spans="1:1" x14ac:dyDescent="0.25">
      <c r="A6716" s="66"/>
    </row>
    <row r="6717" spans="1:1" x14ac:dyDescent="0.25">
      <c r="A6717" s="66"/>
    </row>
    <row r="6718" spans="1:1" x14ac:dyDescent="0.25">
      <c r="A6718" s="66"/>
    </row>
    <row r="6719" spans="1:1" x14ac:dyDescent="0.25">
      <c r="A6719" s="66"/>
    </row>
    <row r="6720" spans="1:1" x14ac:dyDescent="0.25">
      <c r="A6720" s="66"/>
    </row>
    <row r="6721" spans="1:1" x14ac:dyDescent="0.25">
      <c r="A6721" s="66"/>
    </row>
    <row r="6722" spans="1:1" x14ac:dyDescent="0.25">
      <c r="A6722" s="66"/>
    </row>
    <row r="6723" spans="1:1" x14ac:dyDescent="0.25">
      <c r="A6723" s="66"/>
    </row>
    <row r="6724" spans="1:1" x14ac:dyDescent="0.25">
      <c r="A6724" s="66"/>
    </row>
    <row r="6725" spans="1:1" x14ac:dyDescent="0.25">
      <c r="A6725" s="66"/>
    </row>
    <row r="6726" spans="1:1" x14ac:dyDescent="0.25">
      <c r="A6726" s="66"/>
    </row>
    <row r="6727" spans="1:1" x14ac:dyDescent="0.25">
      <c r="A6727" s="66"/>
    </row>
    <row r="6728" spans="1:1" x14ac:dyDescent="0.25">
      <c r="A6728" s="66"/>
    </row>
    <row r="6729" spans="1:1" x14ac:dyDescent="0.25">
      <c r="A6729" s="66"/>
    </row>
    <row r="6730" spans="1:1" x14ac:dyDescent="0.25">
      <c r="A6730" s="66"/>
    </row>
    <row r="6731" spans="1:1" x14ac:dyDescent="0.25">
      <c r="A6731" s="66"/>
    </row>
    <row r="6732" spans="1:1" x14ac:dyDescent="0.25">
      <c r="A6732" s="66"/>
    </row>
    <row r="6733" spans="1:1" x14ac:dyDescent="0.25">
      <c r="A6733" s="66"/>
    </row>
    <row r="6734" spans="1:1" x14ac:dyDescent="0.25">
      <c r="A6734" s="66"/>
    </row>
    <row r="6735" spans="1:1" x14ac:dyDescent="0.25">
      <c r="A6735" s="66"/>
    </row>
    <row r="6736" spans="1:1" x14ac:dyDescent="0.25">
      <c r="A6736" s="66"/>
    </row>
    <row r="6737" spans="1:1" x14ac:dyDescent="0.25">
      <c r="A6737" s="66"/>
    </row>
    <row r="6738" spans="1:1" x14ac:dyDescent="0.25">
      <c r="A6738" s="66"/>
    </row>
    <row r="6739" spans="1:1" x14ac:dyDescent="0.25">
      <c r="A6739" s="66"/>
    </row>
    <row r="6740" spans="1:1" x14ac:dyDescent="0.25">
      <c r="A6740" s="66"/>
    </row>
    <row r="6741" spans="1:1" x14ac:dyDescent="0.25">
      <c r="A6741" s="66"/>
    </row>
    <row r="6742" spans="1:1" x14ac:dyDescent="0.25">
      <c r="A6742" s="66"/>
    </row>
    <row r="6743" spans="1:1" x14ac:dyDescent="0.25">
      <c r="A6743" s="66"/>
    </row>
    <row r="6744" spans="1:1" x14ac:dyDescent="0.25">
      <c r="A6744" s="66"/>
    </row>
    <row r="6745" spans="1:1" x14ac:dyDescent="0.25">
      <c r="A6745" s="66"/>
    </row>
    <row r="6746" spans="1:1" x14ac:dyDescent="0.25">
      <c r="A6746" s="66"/>
    </row>
    <row r="6747" spans="1:1" x14ac:dyDescent="0.25">
      <c r="A6747" s="66"/>
    </row>
    <row r="6748" spans="1:1" x14ac:dyDescent="0.25">
      <c r="A6748" s="66"/>
    </row>
    <row r="6749" spans="1:1" x14ac:dyDescent="0.25">
      <c r="A6749" s="66"/>
    </row>
    <row r="6750" spans="1:1" x14ac:dyDescent="0.25">
      <c r="A6750" s="66"/>
    </row>
    <row r="6751" spans="1:1" x14ac:dyDescent="0.25">
      <c r="A6751" s="66"/>
    </row>
    <row r="6752" spans="1:1" x14ac:dyDescent="0.25">
      <c r="A6752" s="66"/>
    </row>
    <row r="6753" spans="1:1" x14ac:dyDescent="0.25">
      <c r="A6753" s="66"/>
    </row>
    <row r="6754" spans="1:1" x14ac:dyDescent="0.25">
      <c r="A6754" s="66"/>
    </row>
    <row r="6755" spans="1:1" x14ac:dyDescent="0.25">
      <c r="A6755" s="66"/>
    </row>
    <row r="6756" spans="1:1" x14ac:dyDescent="0.25">
      <c r="A6756" s="66"/>
    </row>
    <row r="6757" spans="1:1" x14ac:dyDescent="0.25">
      <c r="A6757" s="66"/>
    </row>
    <row r="6758" spans="1:1" x14ac:dyDescent="0.25">
      <c r="A6758" s="66"/>
    </row>
    <row r="6759" spans="1:1" x14ac:dyDescent="0.25">
      <c r="A6759" s="66"/>
    </row>
    <row r="6760" spans="1:1" x14ac:dyDescent="0.25">
      <c r="A6760" s="66"/>
    </row>
    <row r="6761" spans="1:1" x14ac:dyDescent="0.25">
      <c r="A6761" s="66"/>
    </row>
    <row r="6762" spans="1:1" x14ac:dyDescent="0.25">
      <c r="A6762" s="66"/>
    </row>
    <row r="6763" spans="1:1" x14ac:dyDescent="0.25">
      <c r="A6763" s="66"/>
    </row>
    <row r="6764" spans="1:1" x14ac:dyDescent="0.25">
      <c r="A6764" s="66"/>
    </row>
    <row r="6765" spans="1:1" x14ac:dyDescent="0.25">
      <c r="A6765" s="66"/>
    </row>
    <row r="6766" spans="1:1" x14ac:dyDescent="0.25">
      <c r="A6766" s="66"/>
    </row>
    <row r="6767" spans="1:1" x14ac:dyDescent="0.25">
      <c r="A6767" s="66"/>
    </row>
    <row r="6768" spans="1:1" x14ac:dyDescent="0.25">
      <c r="A6768" s="66"/>
    </row>
    <row r="6769" spans="1:1" x14ac:dyDescent="0.25">
      <c r="A6769" s="66"/>
    </row>
    <row r="6770" spans="1:1" x14ac:dyDescent="0.25">
      <c r="A6770" s="66"/>
    </row>
    <row r="6771" spans="1:1" x14ac:dyDescent="0.25">
      <c r="A6771" s="66"/>
    </row>
    <row r="6772" spans="1:1" x14ac:dyDescent="0.25">
      <c r="A6772" s="66"/>
    </row>
    <row r="6773" spans="1:1" x14ac:dyDescent="0.25">
      <c r="A6773" s="66"/>
    </row>
    <row r="6774" spans="1:1" x14ac:dyDescent="0.25">
      <c r="A6774" s="66"/>
    </row>
    <row r="6775" spans="1:1" x14ac:dyDescent="0.25">
      <c r="A6775" s="66"/>
    </row>
    <row r="6776" spans="1:1" x14ac:dyDescent="0.25">
      <c r="A6776" s="66"/>
    </row>
    <row r="6777" spans="1:1" x14ac:dyDescent="0.25">
      <c r="A6777" s="66"/>
    </row>
    <row r="6778" spans="1:1" x14ac:dyDescent="0.25">
      <c r="A6778" s="66"/>
    </row>
    <row r="6779" spans="1:1" x14ac:dyDescent="0.25">
      <c r="A6779" s="66"/>
    </row>
    <row r="6780" spans="1:1" x14ac:dyDescent="0.25">
      <c r="A6780" s="66"/>
    </row>
    <row r="6781" spans="1:1" x14ac:dyDescent="0.25">
      <c r="A6781" s="66"/>
    </row>
    <row r="6782" spans="1:1" x14ac:dyDescent="0.25">
      <c r="A6782" s="66"/>
    </row>
    <row r="6783" spans="1:1" x14ac:dyDescent="0.25">
      <c r="A6783" s="66"/>
    </row>
    <row r="6784" spans="1:1" x14ac:dyDescent="0.25">
      <c r="A6784" s="66"/>
    </row>
    <row r="6785" spans="1:1" x14ac:dyDescent="0.25">
      <c r="A6785" s="66"/>
    </row>
    <row r="6786" spans="1:1" x14ac:dyDescent="0.25">
      <c r="A6786" s="66"/>
    </row>
    <row r="6787" spans="1:1" x14ac:dyDescent="0.25">
      <c r="A6787" s="66"/>
    </row>
    <row r="6788" spans="1:1" x14ac:dyDescent="0.25">
      <c r="A6788" s="66"/>
    </row>
    <row r="6789" spans="1:1" x14ac:dyDescent="0.25">
      <c r="A6789" s="66"/>
    </row>
    <row r="6790" spans="1:1" x14ac:dyDescent="0.25">
      <c r="A6790" s="66"/>
    </row>
    <row r="6791" spans="1:1" x14ac:dyDescent="0.25">
      <c r="A6791" s="66"/>
    </row>
    <row r="6792" spans="1:1" x14ac:dyDescent="0.25">
      <c r="A6792" s="66"/>
    </row>
    <row r="6793" spans="1:1" x14ac:dyDescent="0.25">
      <c r="A6793" s="66"/>
    </row>
    <row r="6794" spans="1:1" x14ac:dyDescent="0.25">
      <c r="A6794" s="66"/>
    </row>
    <row r="6795" spans="1:1" x14ac:dyDescent="0.25">
      <c r="A6795" s="66"/>
    </row>
    <row r="6796" spans="1:1" x14ac:dyDescent="0.25">
      <c r="A6796" s="66"/>
    </row>
    <row r="6797" spans="1:1" x14ac:dyDescent="0.25">
      <c r="A6797" s="66"/>
    </row>
    <row r="6798" spans="1:1" x14ac:dyDescent="0.25">
      <c r="A6798" s="66"/>
    </row>
    <row r="6799" spans="1:1" x14ac:dyDescent="0.25">
      <c r="A6799" s="66"/>
    </row>
    <row r="6800" spans="1:1" x14ac:dyDescent="0.25">
      <c r="A6800" s="66"/>
    </row>
    <row r="6801" spans="1:1" x14ac:dyDescent="0.25">
      <c r="A6801" s="66"/>
    </row>
    <row r="6802" spans="1:1" x14ac:dyDescent="0.25">
      <c r="A6802" s="66"/>
    </row>
    <row r="6803" spans="1:1" x14ac:dyDescent="0.25">
      <c r="A6803" s="66"/>
    </row>
    <row r="6804" spans="1:1" x14ac:dyDescent="0.25">
      <c r="A6804" s="66"/>
    </row>
    <row r="6805" spans="1:1" x14ac:dyDescent="0.25">
      <c r="A6805" s="66"/>
    </row>
    <row r="6806" spans="1:1" x14ac:dyDescent="0.25">
      <c r="A6806" s="66"/>
    </row>
    <row r="6807" spans="1:1" x14ac:dyDescent="0.25">
      <c r="A6807" s="66"/>
    </row>
    <row r="6808" spans="1:1" x14ac:dyDescent="0.25">
      <c r="A6808" s="66"/>
    </row>
    <row r="6809" spans="1:1" x14ac:dyDescent="0.25">
      <c r="A6809" s="66"/>
    </row>
    <row r="6810" spans="1:1" x14ac:dyDescent="0.25">
      <c r="A6810" s="66"/>
    </row>
    <row r="6811" spans="1:1" x14ac:dyDescent="0.25">
      <c r="A6811" s="66"/>
    </row>
    <row r="6812" spans="1:1" x14ac:dyDescent="0.25">
      <c r="A6812" s="66"/>
    </row>
    <row r="6813" spans="1:1" x14ac:dyDescent="0.25">
      <c r="A6813" s="66"/>
    </row>
    <row r="6814" spans="1:1" x14ac:dyDescent="0.25">
      <c r="A6814" s="66"/>
    </row>
    <row r="6815" spans="1:1" x14ac:dyDescent="0.25">
      <c r="A6815" s="66"/>
    </row>
    <row r="6816" spans="1:1" x14ac:dyDescent="0.25">
      <c r="A6816" s="66"/>
    </row>
    <row r="6817" spans="1:1" x14ac:dyDescent="0.25">
      <c r="A6817" s="66"/>
    </row>
    <row r="6818" spans="1:1" x14ac:dyDescent="0.25">
      <c r="A6818" s="66"/>
    </row>
    <row r="6819" spans="1:1" x14ac:dyDescent="0.25">
      <c r="A6819" s="66"/>
    </row>
    <row r="6820" spans="1:1" x14ac:dyDescent="0.25">
      <c r="A6820" s="66"/>
    </row>
    <row r="6821" spans="1:1" x14ac:dyDescent="0.25">
      <c r="A6821" s="66"/>
    </row>
    <row r="6822" spans="1:1" x14ac:dyDescent="0.25">
      <c r="A6822" s="66"/>
    </row>
    <row r="6823" spans="1:1" x14ac:dyDescent="0.25">
      <c r="A6823" s="66"/>
    </row>
    <row r="6824" spans="1:1" x14ac:dyDescent="0.25">
      <c r="A6824" s="66"/>
    </row>
    <row r="6825" spans="1:1" x14ac:dyDescent="0.25">
      <c r="A6825" s="66"/>
    </row>
    <row r="6826" spans="1:1" x14ac:dyDescent="0.25">
      <c r="A6826" s="66"/>
    </row>
    <row r="6827" spans="1:1" x14ac:dyDescent="0.25">
      <c r="A6827" s="66"/>
    </row>
    <row r="6828" spans="1:1" x14ac:dyDescent="0.25">
      <c r="A6828" s="66"/>
    </row>
    <row r="6829" spans="1:1" x14ac:dyDescent="0.25">
      <c r="A6829" s="66"/>
    </row>
    <row r="6830" spans="1:1" x14ac:dyDescent="0.25">
      <c r="A6830" s="66"/>
    </row>
    <row r="6831" spans="1:1" x14ac:dyDescent="0.25">
      <c r="A6831" s="66"/>
    </row>
    <row r="6832" spans="1:1" x14ac:dyDescent="0.25">
      <c r="A6832" s="66"/>
    </row>
    <row r="6833" spans="1:1" x14ac:dyDescent="0.25">
      <c r="A6833" s="66"/>
    </row>
    <row r="6834" spans="1:1" x14ac:dyDescent="0.25">
      <c r="A6834" s="66"/>
    </row>
    <row r="6835" spans="1:1" x14ac:dyDescent="0.25">
      <c r="A6835" s="66"/>
    </row>
    <row r="6836" spans="1:1" x14ac:dyDescent="0.25">
      <c r="A6836" s="66"/>
    </row>
    <row r="6837" spans="1:1" x14ac:dyDescent="0.25">
      <c r="A6837" s="66"/>
    </row>
    <row r="6838" spans="1:1" x14ac:dyDescent="0.25">
      <c r="A6838" s="66"/>
    </row>
    <row r="6839" spans="1:1" x14ac:dyDescent="0.25">
      <c r="A6839" s="66"/>
    </row>
    <row r="6840" spans="1:1" x14ac:dyDescent="0.25">
      <c r="A6840" s="66"/>
    </row>
    <row r="6841" spans="1:1" x14ac:dyDescent="0.25">
      <c r="A6841" s="66"/>
    </row>
    <row r="6842" spans="1:1" x14ac:dyDescent="0.25">
      <c r="A6842" s="66"/>
    </row>
    <row r="6843" spans="1:1" x14ac:dyDescent="0.25">
      <c r="A6843" s="66"/>
    </row>
    <row r="6844" spans="1:1" x14ac:dyDescent="0.25">
      <c r="A6844" s="66"/>
    </row>
    <row r="6845" spans="1:1" x14ac:dyDescent="0.25">
      <c r="A6845" s="66"/>
    </row>
    <row r="6846" spans="1:1" x14ac:dyDescent="0.25">
      <c r="A6846" s="66"/>
    </row>
    <row r="6847" spans="1:1" x14ac:dyDescent="0.25">
      <c r="A6847" s="66"/>
    </row>
    <row r="6848" spans="1:1" x14ac:dyDescent="0.25">
      <c r="A6848" s="66"/>
    </row>
    <row r="6849" spans="1:1" x14ac:dyDescent="0.25">
      <c r="A6849" s="66"/>
    </row>
    <row r="6850" spans="1:1" x14ac:dyDescent="0.25">
      <c r="A6850" s="66"/>
    </row>
    <row r="6851" spans="1:1" x14ac:dyDescent="0.25">
      <c r="A6851" s="66"/>
    </row>
    <row r="6852" spans="1:1" x14ac:dyDescent="0.25">
      <c r="A6852" s="66"/>
    </row>
    <row r="6853" spans="1:1" x14ac:dyDescent="0.25">
      <c r="A6853" s="66"/>
    </row>
    <row r="6854" spans="1:1" x14ac:dyDescent="0.25">
      <c r="A6854" s="66"/>
    </row>
    <row r="6855" spans="1:1" x14ac:dyDescent="0.25">
      <c r="A6855" s="66"/>
    </row>
    <row r="6856" spans="1:1" x14ac:dyDescent="0.25">
      <c r="A6856" s="66"/>
    </row>
    <row r="6857" spans="1:1" x14ac:dyDescent="0.25">
      <c r="A6857" s="66"/>
    </row>
    <row r="6858" spans="1:1" x14ac:dyDescent="0.25">
      <c r="A6858" s="66"/>
    </row>
    <row r="6859" spans="1:1" x14ac:dyDescent="0.25">
      <c r="A6859" s="66"/>
    </row>
    <row r="6860" spans="1:1" x14ac:dyDescent="0.25">
      <c r="A6860" s="66"/>
    </row>
    <row r="6861" spans="1:1" x14ac:dyDescent="0.25">
      <c r="A6861" s="66"/>
    </row>
    <row r="6862" spans="1:1" x14ac:dyDescent="0.25">
      <c r="A6862" s="66"/>
    </row>
    <row r="6863" spans="1:1" x14ac:dyDescent="0.25">
      <c r="A6863" s="66"/>
    </row>
    <row r="6864" spans="1:1" x14ac:dyDescent="0.25">
      <c r="A6864" s="66"/>
    </row>
    <row r="6865" spans="1:1" x14ac:dyDescent="0.25">
      <c r="A6865" s="66"/>
    </row>
    <row r="6866" spans="1:1" x14ac:dyDescent="0.25">
      <c r="A6866" s="66"/>
    </row>
    <row r="6867" spans="1:1" x14ac:dyDescent="0.25">
      <c r="A6867" s="66"/>
    </row>
    <row r="6868" spans="1:1" x14ac:dyDescent="0.25">
      <c r="A6868" s="66"/>
    </row>
    <row r="6869" spans="1:1" x14ac:dyDescent="0.25">
      <c r="A6869" s="66"/>
    </row>
    <row r="6870" spans="1:1" x14ac:dyDescent="0.25">
      <c r="A6870" s="66"/>
    </row>
    <row r="6871" spans="1:1" x14ac:dyDescent="0.25">
      <c r="A6871" s="66"/>
    </row>
    <row r="6872" spans="1:1" x14ac:dyDescent="0.25">
      <c r="A6872" s="66"/>
    </row>
    <row r="6873" spans="1:1" x14ac:dyDescent="0.25">
      <c r="A6873" s="66"/>
    </row>
    <row r="6874" spans="1:1" x14ac:dyDescent="0.25">
      <c r="A6874" s="66"/>
    </row>
    <row r="6875" spans="1:1" x14ac:dyDescent="0.25">
      <c r="A6875" s="66"/>
    </row>
    <row r="6876" spans="1:1" x14ac:dyDescent="0.25">
      <c r="A6876" s="66"/>
    </row>
    <row r="6877" spans="1:1" x14ac:dyDescent="0.25">
      <c r="A6877" s="66"/>
    </row>
    <row r="6878" spans="1:1" x14ac:dyDescent="0.25">
      <c r="A6878" s="66"/>
    </row>
    <row r="6879" spans="1:1" x14ac:dyDescent="0.25">
      <c r="A6879" s="66"/>
    </row>
    <row r="6880" spans="1:1" x14ac:dyDescent="0.25">
      <c r="A6880" s="66"/>
    </row>
    <row r="6881" spans="1:1" x14ac:dyDescent="0.25">
      <c r="A6881" s="66"/>
    </row>
    <row r="6882" spans="1:1" x14ac:dyDescent="0.25">
      <c r="A6882" s="66"/>
    </row>
    <row r="6883" spans="1:1" x14ac:dyDescent="0.25">
      <c r="A6883" s="66"/>
    </row>
    <row r="6884" spans="1:1" x14ac:dyDescent="0.25">
      <c r="A6884" s="66"/>
    </row>
    <row r="6885" spans="1:1" x14ac:dyDescent="0.25">
      <c r="A6885" s="66"/>
    </row>
    <row r="6886" spans="1:1" x14ac:dyDescent="0.25">
      <c r="A6886" s="66"/>
    </row>
    <row r="6887" spans="1:1" x14ac:dyDescent="0.25">
      <c r="A6887" s="66"/>
    </row>
    <row r="6888" spans="1:1" x14ac:dyDescent="0.25">
      <c r="A6888" s="66"/>
    </row>
    <row r="6889" spans="1:1" x14ac:dyDescent="0.25">
      <c r="A6889" s="66"/>
    </row>
    <row r="6890" spans="1:1" x14ac:dyDescent="0.25">
      <c r="A6890" s="66"/>
    </row>
    <row r="6891" spans="1:1" x14ac:dyDescent="0.25">
      <c r="A6891" s="66"/>
    </row>
    <row r="6892" spans="1:1" x14ac:dyDescent="0.25">
      <c r="A6892" s="66"/>
    </row>
    <row r="6893" spans="1:1" x14ac:dyDescent="0.25">
      <c r="A6893" s="66"/>
    </row>
    <row r="6894" spans="1:1" x14ac:dyDescent="0.25">
      <c r="A6894" s="66"/>
    </row>
    <row r="6895" spans="1:1" x14ac:dyDescent="0.25">
      <c r="A6895" s="66"/>
    </row>
    <row r="6896" spans="1:1" x14ac:dyDescent="0.25">
      <c r="A6896" s="66"/>
    </row>
    <row r="6897" spans="1:1" x14ac:dyDescent="0.25">
      <c r="A6897" s="66"/>
    </row>
    <row r="6898" spans="1:1" x14ac:dyDescent="0.25">
      <c r="A6898" s="66"/>
    </row>
    <row r="6899" spans="1:1" x14ac:dyDescent="0.25">
      <c r="A6899" s="66"/>
    </row>
    <row r="6900" spans="1:1" x14ac:dyDescent="0.25">
      <c r="A6900" s="66"/>
    </row>
    <row r="6901" spans="1:1" x14ac:dyDescent="0.25">
      <c r="A6901" s="66"/>
    </row>
    <row r="6902" spans="1:1" x14ac:dyDescent="0.25">
      <c r="A6902" s="66"/>
    </row>
    <row r="6903" spans="1:1" x14ac:dyDescent="0.25">
      <c r="A6903" s="66"/>
    </row>
    <row r="6904" spans="1:1" x14ac:dyDescent="0.25">
      <c r="A6904" s="66"/>
    </row>
    <row r="6905" spans="1:1" x14ac:dyDescent="0.25">
      <c r="A6905" s="66"/>
    </row>
    <row r="6906" spans="1:1" x14ac:dyDescent="0.25">
      <c r="A6906" s="66"/>
    </row>
    <row r="6907" spans="1:1" x14ac:dyDescent="0.25">
      <c r="A6907" s="66"/>
    </row>
    <row r="6908" spans="1:1" x14ac:dyDescent="0.25">
      <c r="A6908" s="66"/>
    </row>
    <row r="6909" spans="1:1" x14ac:dyDescent="0.25">
      <c r="A6909" s="66"/>
    </row>
    <row r="6910" spans="1:1" x14ac:dyDescent="0.25">
      <c r="A6910" s="66"/>
    </row>
    <row r="6911" spans="1:1" x14ac:dyDescent="0.25">
      <c r="A6911" s="66"/>
    </row>
    <row r="6912" spans="1:1" x14ac:dyDescent="0.25">
      <c r="A6912" s="66"/>
    </row>
    <row r="6913" spans="1:1" x14ac:dyDescent="0.25">
      <c r="A6913" s="66"/>
    </row>
    <row r="6914" spans="1:1" x14ac:dyDescent="0.25">
      <c r="A6914" s="66"/>
    </row>
    <row r="6915" spans="1:1" x14ac:dyDescent="0.25">
      <c r="A6915" s="66"/>
    </row>
    <row r="6916" spans="1:1" x14ac:dyDescent="0.25">
      <c r="A6916" s="66"/>
    </row>
    <row r="6917" spans="1:1" x14ac:dyDescent="0.25">
      <c r="A6917" s="66"/>
    </row>
    <row r="6918" spans="1:1" x14ac:dyDescent="0.25">
      <c r="A6918" s="66"/>
    </row>
    <row r="6919" spans="1:1" x14ac:dyDescent="0.25">
      <c r="A6919" s="66"/>
    </row>
    <row r="6920" spans="1:1" x14ac:dyDescent="0.25">
      <c r="A6920" s="66"/>
    </row>
    <row r="6921" spans="1:1" x14ac:dyDescent="0.25">
      <c r="A6921" s="66"/>
    </row>
    <row r="6922" spans="1:1" x14ac:dyDescent="0.25">
      <c r="A6922" s="66"/>
    </row>
    <row r="6923" spans="1:1" x14ac:dyDescent="0.25">
      <c r="A6923" s="66"/>
    </row>
    <row r="6924" spans="1:1" x14ac:dyDescent="0.25">
      <c r="A6924" s="66"/>
    </row>
    <row r="6925" spans="1:1" x14ac:dyDescent="0.25">
      <c r="A6925" s="66"/>
    </row>
    <row r="6926" spans="1:1" x14ac:dyDescent="0.25">
      <c r="A6926" s="66"/>
    </row>
    <row r="6927" spans="1:1" x14ac:dyDescent="0.25">
      <c r="A6927" s="66"/>
    </row>
    <row r="6928" spans="1:1" x14ac:dyDescent="0.25">
      <c r="A6928" s="66"/>
    </row>
    <row r="6929" spans="1:1" x14ac:dyDescent="0.25">
      <c r="A6929" s="66"/>
    </row>
    <row r="6930" spans="1:1" x14ac:dyDescent="0.25">
      <c r="A6930" s="66"/>
    </row>
    <row r="6931" spans="1:1" x14ac:dyDescent="0.25">
      <c r="A6931" s="66"/>
    </row>
    <row r="6932" spans="1:1" x14ac:dyDescent="0.25">
      <c r="A6932" s="66"/>
    </row>
    <row r="6933" spans="1:1" x14ac:dyDescent="0.25">
      <c r="A6933" s="66"/>
    </row>
    <row r="6934" spans="1:1" x14ac:dyDescent="0.25">
      <c r="A6934" s="66"/>
    </row>
    <row r="6935" spans="1:1" x14ac:dyDescent="0.25">
      <c r="A6935" s="66"/>
    </row>
    <row r="6936" spans="1:1" x14ac:dyDescent="0.25">
      <c r="A6936" s="66"/>
    </row>
    <row r="6937" spans="1:1" x14ac:dyDescent="0.25">
      <c r="A6937" s="66"/>
    </row>
    <row r="6938" spans="1:1" x14ac:dyDescent="0.25">
      <c r="A6938" s="66"/>
    </row>
    <row r="6939" spans="1:1" x14ac:dyDescent="0.25">
      <c r="A6939" s="66"/>
    </row>
    <row r="6940" spans="1:1" x14ac:dyDescent="0.25">
      <c r="A6940" s="66"/>
    </row>
    <row r="6941" spans="1:1" x14ac:dyDescent="0.25">
      <c r="A6941" s="66"/>
    </row>
    <row r="6942" spans="1:1" x14ac:dyDescent="0.25">
      <c r="A6942" s="66"/>
    </row>
    <row r="6943" spans="1:1" x14ac:dyDescent="0.25">
      <c r="A6943" s="66"/>
    </row>
    <row r="6944" spans="1:1" x14ac:dyDescent="0.25">
      <c r="A6944" s="66"/>
    </row>
    <row r="6945" spans="1:1" x14ac:dyDescent="0.25">
      <c r="A6945" s="66"/>
    </row>
    <row r="6946" spans="1:1" x14ac:dyDescent="0.25">
      <c r="A6946" s="66"/>
    </row>
    <row r="6947" spans="1:1" x14ac:dyDescent="0.25">
      <c r="A6947" s="66"/>
    </row>
    <row r="6948" spans="1:1" x14ac:dyDescent="0.25">
      <c r="A6948" s="66"/>
    </row>
    <row r="6949" spans="1:1" x14ac:dyDescent="0.25">
      <c r="A6949" s="66"/>
    </row>
    <row r="6950" spans="1:1" x14ac:dyDescent="0.25">
      <c r="A6950" s="66"/>
    </row>
    <row r="6951" spans="1:1" x14ac:dyDescent="0.25">
      <c r="A6951" s="66"/>
    </row>
    <row r="6952" spans="1:1" x14ac:dyDescent="0.25">
      <c r="A6952" s="66"/>
    </row>
    <row r="6953" spans="1:1" x14ac:dyDescent="0.25">
      <c r="A6953" s="66"/>
    </row>
    <row r="6954" spans="1:1" x14ac:dyDescent="0.25">
      <c r="A6954" s="66"/>
    </row>
    <row r="6955" spans="1:1" x14ac:dyDescent="0.25">
      <c r="A6955" s="66"/>
    </row>
    <row r="6956" spans="1:1" x14ac:dyDescent="0.25">
      <c r="A6956" s="66"/>
    </row>
    <row r="6957" spans="1:1" x14ac:dyDescent="0.25">
      <c r="A6957" s="66"/>
    </row>
    <row r="6958" spans="1:1" x14ac:dyDescent="0.25">
      <c r="A6958" s="66"/>
    </row>
    <row r="6959" spans="1:1" x14ac:dyDescent="0.25">
      <c r="A6959" s="66"/>
    </row>
    <row r="6960" spans="1:1" x14ac:dyDescent="0.25">
      <c r="A6960" s="66"/>
    </row>
    <row r="6961" spans="1:1" x14ac:dyDescent="0.25">
      <c r="A6961" s="66"/>
    </row>
    <row r="6962" spans="1:1" x14ac:dyDescent="0.25">
      <c r="A6962" s="66"/>
    </row>
    <row r="6963" spans="1:1" x14ac:dyDescent="0.25">
      <c r="A6963" s="66"/>
    </row>
    <row r="6964" spans="1:1" x14ac:dyDescent="0.25">
      <c r="A6964" s="66"/>
    </row>
    <row r="6965" spans="1:1" x14ac:dyDescent="0.25">
      <c r="A6965" s="66"/>
    </row>
    <row r="6966" spans="1:1" x14ac:dyDescent="0.25">
      <c r="A6966" s="66"/>
    </row>
    <row r="6967" spans="1:1" x14ac:dyDescent="0.25">
      <c r="A6967" s="66"/>
    </row>
    <row r="6968" spans="1:1" x14ac:dyDescent="0.25">
      <c r="A6968" s="66"/>
    </row>
    <row r="6969" spans="1:1" x14ac:dyDescent="0.25">
      <c r="A6969" s="66"/>
    </row>
    <row r="6970" spans="1:1" x14ac:dyDescent="0.25">
      <c r="A6970" s="66"/>
    </row>
    <row r="6971" spans="1:1" x14ac:dyDescent="0.25">
      <c r="A6971" s="66"/>
    </row>
    <row r="6972" spans="1:1" x14ac:dyDescent="0.25">
      <c r="A6972" s="66"/>
    </row>
    <row r="6973" spans="1:1" x14ac:dyDescent="0.25">
      <c r="A6973" s="66"/>
    </row>
    <row r="6974" spans="1:1" x14ac:dyDescent="0.25">
      <c r="A6974" s="66"/>
    </row>
    <row r="6975" spans="1:1" x14ac:dyDescent="0.25">
      <c r="A6975" s="66"/>
    </row>
    <row r="6976" spans="1:1" x14ac:dyDescent="0.25">
      <c r="A6976" s="66"/>
    </row>
    <row r="6977" spans="1:1" x14ac:dyDescent="0.25">
      <c r="A6977" s="66"/>
    </row>
    <row r="6978" spans="1:1" x14ac:dyDescent="0.25">
      <c r="A6978" s="66"/>
    </row>
    <row r="6979" spans="1:1" x14ac:dyDescent="0.25">
      <c r="A6979" s="66"/>
    </row>
    <row r="6980" spans="1:1" x14ac:dyDescent="0.25">
      <c r="A6980" s="66"/>
    </row>
    <row r="6981" spans="1:1" x14ac:dyDescent="0.25">
      <c r="A6981" s="66"/>
    </row>
    <row r="6982" spans="1:1" x14ac:dyDescent="0.25">
      <c r="A6982" s="66"/>
    </row>
    <row r="6983" spans="1:1" x14ac:dyDescent="0.25">
      <c r="A6983" s="66"/>
    </row>
    <row r="6984" spans="1:1" x14ac:dyDescent="0.25">
      <c r="A6984" s="66"/>
    </row>
    <row r="6985" spans="1:1" x14ac:dyDescent="0.25">
      <c r="A6985" s="66"/>
    </row>
    <row r="6986" spans="1:1" x14ac:dyDescent="0.25">
      <c r="A6986" s="66"/>
    </row>
    <row r="6987" spans="1:1" x14ac:dyDescent="0.25">
      <c r="A6987" s="66"/>
    </row>
    <row r="6988" spans="1:1" x14ac:dyDescent="0.25">
      <c r="A6988" s="66"/>
    </row>
    <row r="6989" spans="1:1" x14ac:dyDescent="0.25">
      <c r="A6989" s="66"/>
    </row>
    <row r="6990" spans="1:1" x14ac:dyDescent="0.25">
      <c r="A6990" s="66"/>
    </row>
    <row r="6991" spans="1:1" x14ac:dyDescent="0.25">
      <c r="A6991" s="66"/>
    </row>
    <row r="6992" spans="1:1" x14ac:dyDescent="0.25">
      <c r="A6992" s="66"/>
    </row>
    <row r="6993" spans="1:1" x14ac:dyDescent="0.25">
      <c r="A6993" s="66"/>
    </row>
    <row r="6994" spans="1:1" x14ac:dyDescent="0.25">
      <c r="A6994" s="66"/>
    </row>
    <row r="6995" spans="1:1" x14ac:dyDescent="0.25">
      <c r="A6995" s="66"/>
    </row>
    <row r="6996" spans="1:1" x14ac:dyDescent="0.25">
      <c r="A6996" s="66"/>
    </row>
    <row r="6997" spans="1:1" x14ac:dyDescent="0.25">
      <c r="A6997" s="66"/>
    </row>
    <row r="6998" spans="1:1" x14ac:dyDescent="0.25">
      <c r="A6998" s="66"/>
    </row>
    <row r="6999" spans="1:1" x14ac:dyDescent="0.25">
      <c r="A6999" s="66"/>
    </row>
    <row r="7000" spans="1:1" x14ac:dyDescent="0.25">
      <c r="A7000" s="66"/>
    </row>
    <row r="7001" spans="1:1" x14ac:dyDescent="0.25">
      <c r="A7001" s="66"/>
    </row>
    <row r="7002" spans="1:1" x14ac:dyDescent="0.25">
      <c r="A7002" s="66"/>
    </row>
    <row r="7003" spans="1:1" x14ac:dyDescent="0.25">
      <c r="A7003" s="66"/>
    </row>
    <row r="7004" spans="1:1" x14ac:dyDescent="0.25">
      <c r="A7004" s="66"/>
    </row>
    <row r="7005" spans="1:1" x14ac:dyDescent="0.25">
      <c r="A7005" s="66"/>
    </row>
    <row r="7006" spans="1:1" x14ac:dyDescent="0.25">
      <c r="A7006" s="66"/>
    </row>
    <row r="7007" spans="1:1" x14ac:dyDescent="0.25">
      <c r="A7007" s="66"/>
    </row>
    <row r="7008" spans="1:1" x14ac:dyDescent="0.25">
      <c r="A7008" s="66"/>
    </row>
    <row r="7009" spans="1:1" x14ac:dyDescent="0.25">
      <c r="A7009" s="66"/>
    </row>
    <row r="7010" spans="1:1" x14ac:dyDescent="0.25">
      <c r="A7010" s="66"/>
    </row>
    <row r="7011" spans="1:1" x14ac:dyDescent="0.25">
      <c r="A7011" s="66"/>
    </row>
    <row r="7012" spans="1:1" x14ac:dyDescent="0.25">
      <c r="A7012" s="66"/>
    </row>
    <row r="7013" spans="1:1" x14ac:dyDescent="0.25">
      <c r="A7013" s="66"/>
    </row>
    <row r="7014" spans="1:1" x14ac:dyDescent="0.25">
      <c r="A7014" s="66"/>
    </row>
    <row r="7015" spans="1:1" x14ac:dyDescent="0.25">
      <c r="A7015" s="66"/>
    </row>
    <row r="7016" spans="1:1" x14ac:dyDescent="0.25">
      <c r="A7016" s="66"/>
    </row>
    <row r="7017" spans="1:1" x14ac:dyDescent="0.25">
      <c r="A7017" s="66"/>
    </row>
    <row r="7018" spans="1:1" x14ac:dyDescent="0.25">
      <c r="A7018" s="66"/>
    </row>
    <row r="7019" spans="1:1" x14ac:dyDescent="0.25">
      <c r="A7019" s="66"/>
    </row>
    <row r="7020" spans="1:1" x14ac:dyDescent="0.25">
      <c r="A7020" s="66"/>
    </row>
    <row r="7021" spans="1:1" x14ac:dyDescent="0.25">
      <c r="A7021" s="66"/>
    </row>
    <row r="7022" spans="1:1" x14ac:dyDescent="0.25">
      <c r="A7022" s="66"/>
    </row>
    <row r="7023" spans="1:1" x14ac:dyDescent="0.25">
      <c r="A7023" s="66"/>
    </row>
    <row r="7024" spans="1:1" x14ac:dyDescent="0.25">
      <c r="A7024" s="66"/>
    </row>
    <row r="7025" spans="1:1" x14ac:dyDescent="0.25">
      <c r="A7025" s="66"/>
    </row>
    <row r="7026" spans="1:1" x14ac:dyDescent="0.25">
      <c r="A7026" s="66"/>
    </row>
    <row r="7027" spans="1:1" x14ac:dyDescent="0.25">
      <c r="A7027" s="66"/>
    </row>
    <row r="7028" spans="1:1" x14ac:dyDescent="0.25">
      <c r="A7028" s="66"/>
    </row>
    <row r="7029" spans="1:1" x14ac:dyDescent="0.25">
      <c r="A7029" s="66"/>
    </row>
    <row r="7030" spans="1:1" x14ac:dyDescent="0.25">
      <c r="A7030" s="66"/>
    </row>
    <row r="7031" spans="1:1" x14ac:dyDescent="0.25">
      <c r="A7031" s="66"/>
    </row>
    <row r="7032" spans="1:1" x14ac:dyDescent="0.25">
      <c r="A7032" s="66"/>
    </row>
    <row r="7033" spans="1:1" x14ac:dyDescent="0.25">
      <c r="A7033" s="66"/>
    </row>
    <row r="7034" spans="1:1" x14ac:dyDescent="0.25">
      <c r="A7034" s="66"/>
    </row>
    <row r="7035" spans="1:1" x14ac:dyDescent="0.25">
      <c r="A7035" s="66"/>
    </row>
    <row r="7036" spans="1:1" x14ac:dyDescent="0.25">
      <c r="A7036" s="66"/>
    </row>
    <row r="7037" spans="1:1" x14ac:dyDescent="0.25">
      <c r="A7037" s="66"/>
    </row>
    <row r="7038" spans="1:1" x14ac:dyDescent="0.25">
      <c r="A7038" s="66"/>
    </row>
    <row r="7039" spans="1:1" x14ac:dyDescent="0.25">
      <c r="A7039" s="66"/>
    </row>
    <row r="7040" spans="1:1" x14ac:dyDescent="0.25">
      <c r="A7040" s="66"/>
    </row>
    <row r="7041" spans="1:1" x14ac:dyDescent="0.25">
      <c r="A7041" s="66"/>
    </row>
    <row r="7042" spans="1:1" x14ac:dyDescent="0.25">
      <c r="A7042" s="66"/>
    </row>
    <row r="7043" spans="1:1" x14ac:dyDescent="0.25">
      <c r="A7043" s="66"/>
    </row>
    <row r="7044" spans="1:1" x14ac:dyDescent="0.25">
      <c r="A7044" s="66"/>
    </row>
    <row r="7045" spans="1:1" x14ac:dyDescent="0.25">
      <c r="A7045" s="66"/>
    </row>
    <row r="7046" spans="1:1" x14ac:dyDescent="0.25">
      <c r="A7046" s="66"/>
    </row>
    <row r="7047" spans="1:1" x14ac:dyDescent="0.25">
      <c r="A7047" s="66"/>
    </row>
    <row r="7048" spans="1:1" x14ac:dyDescent="0.25">
      <c r="A7048" s="66"/>
    </row>
    <row r="7049" spans="1:1" x14ac:dyDescent="0.25">
      <c r="A7049" s="66"/>
    </row>
    <row r="7050" spans="1:1" x14ac:dyDescent="0.25">
      <c r="A7050" s="66"/>
    </row>
    <row r="7051" spans="1:1" x14ac:dyDescent="0.25">
      <c r="A7051" s="66"/>
    </row>
    <row r="7052" spans="1:1" x14ac:dyDescent="0.25">
      <c r="A7052" s="66"/>
    </row>
    <row r="7053" spans="1:1" x14ac:dyDescent="0.25">
      <c r="A7053" s="66"/>
    </row>
    <row r="7054" spans="1:1" x14ac:dyDescent="0.25">
      <c r="A7054" s="66"/>
    </row>
    <row r="7055" spans="1:1" x14ac:dyDescent="0.25">
      <c r="A7055" s="66"/>
    </row>
    <row r="7056" spans="1:1" x14ac:dyDescent="0.25">
      <c r="A7056" s="66"/>
    </row>
    <row r="7057" spans="1:1" x14ac:dyDescent="0.25">
      <c r="A7057" s="66"/>
    </row>
    <row r="7058" spans="1:1" x14ac:dyDescent="0.25">
      <c r="A7058" s="66"/>
    </row>
    <row r="7059" spans="1:1" x14ac:dyDescent="0.25">
      <c r="A7059" s="66"/>
    </row>
    <row r="7060" spans="1:1" x14ac:dyDescent="0.25">
      <c r="A7060" s="66"/>
    </row>
    <row r="7061" spans="1:1" x14ac:dyDescent="0.25">
      <c r="A7061" s="66"/>
    </row>
    <row r="7062" spans="1:1" x14ac:dyDescent="0.25">
      <c r="A7062" s="66"/>
    </row>
    <row r="7063" spans="1:1" x14ac:dyDescent="0.25">
      <c r="A7063" s="66"/>
    </row>
    <row r="7064" spans="1:1" x14ac:dyDescent="0.25">
      <c r="A7064" s="66"/>
    </row>
    <row r="7065" spans="1:1" x14ac:dyDescent="0.25">
      <c r="A7065" s="66"/>
    </row>
    <row r="7066" spans="1:1" x14ac:dyDescent="0.25">
      <c r="A7066" s="66"/>
    </row>
    <row r="7067" spans="1:1" x14ac:dyDescent="0.25">
      <c r="A7067" s="66"/>
    </row>
    <row r="7068" spans="1:1" x14ac:dyDescent="0.25">
      <c r="A7068" s="66"/>
    </row>
    <row r="7069" spans="1:1" x14ac:dyDescent="0.25">
      <c r="A7069" s="66"/>
    </row>
    <row r="7070" spans="1:1" x14ac:dyDescent="0.25">
      <c r="A7070" s="66"/>
    </row>
    <row r="7071" spans="1:1" x14ac:dyDescent="0.25">
      <c r="A7071" s="66"/>
    </row>
    <row r="7072" spans="1:1" x14ac:dyDescent="0.25">
      <c r="A7072" s="66"/>
    </row>
    <row r="7073" spans="1:1" x14ac:dyDescent="0.25">
      <c r="A7073" s="66"/>
    </row>
    <row r="7074" spans="1:1" x14ac:dyDescent="0.25">
      <c r="A7074" s="66"/>
    </row>
    <row r="7075" spans="1:1" x14ac:dyDescent="0.25">
      <c r="A7075" s="66"/>
    </row>
    <row r="7076" spans="1:1" x14ac:dyDescent="0.25">
      <c r="A7076" s="66"/>
    </row>
    <row r="7077" spans="1:1" x14ac:dyDescent="0.25">
      <c r="A7077" s="66"/>
    </row>
    <row r="7078" spans="1:1" x14ac:dyDescent="0.25">
      <c r="A7078" s="66"/>
    </row>
    <row r="7079" spans="1:1" x14ac:dyDescent="0.25">
      <c r="A7079" s="66"/>
    </row>
    <row r="7080" spans="1:1" x14ac:dyDescent="0.25">
      <c r="A7080" s="66"/>
    </row>
    <row r="7081" spans="1:1" x14ac:dyDescent="0.25">
      <c r="A7081" s="66"/>
    </row>
    <row r="7082" spans="1:1" x14ac:dyDescent="0.25">
      <c r="A7082" s="66"/>
    </row>
    <row r="7083" spans="1:1" x14ac:dyDescent="0.25">
      <c r="A7083" s="66"/>
    </row>
    <row r="7084" spans="1:1" x14ac:dyDescent="0.25">
      <c r="A7084" s="66"/>
    </row>
    <row r="7085" spans="1:1" x14ac:dyDescent="0.25">
      <c r="A7085" s="66"/>
    </row>
    <row r="7086" spans="1:1" x14ac:dyDescent="0.25">
      <c r="A7086" s="66"/>
    </row>
    <row r="7087" spans="1:1" x14ac:dyDescent="0.25">
      <c r="A7087" s="66"/>
    </row>
    <row r="7088" spans="1:1" x14ac:dyDescent="0.25">
      <c r="A7088" s="66"/>
    </row>
    <row r="7089" spans="1:1" x14ac:dyDescent="0.25">
      <c r="A7089" s="66"/>
    </row>
    <row r="7090" spans="1:1" x14ac:dyDescent="0.25">
      <c r="A7090" s="66"/>
    </row>
    <row r="7091" spans="1:1" x14ac:dyDescent="0.25">
      <c r="A7091" s="66"/>
    </row>
    <row r="7092" spans="1:1" x14ac:dyDescent="0.25">
      <c r="A7092" s="66"/>
    </row>
    <row r="7093" spans="1:1" x14ac:dyDescent="0.25">
      <c r="A7093" s="66"/>
    </row>
    <row r="7094" spans="1:1" x14ac:dyDescent="0.25">
      <c r="A7094" s="66"/>
    </row>
    <row r="7095" spans="1:1" x14ac:dyDescent="0.25">
      <c r="A7095" s="66"/>
    </row>
    <row r="7096" spans="1:1" x14ac:dyDescent="0.25">
      <c r="A7096" s="66"/>
    </row>
    <row r="7097" spans="1:1" x14ac:dyDescent="0.25">
      <c r="A7097" s="66"/>
    </row>
    <row r="7098" spans="1:1" x14ac:dyDescent="0.25">
      <c r="A7098" s="66"/>
    </row>
    <row r="7099" spans="1:1" x14ac:dyDescent="0.25">
      <c r="A7099" s="66"/>
    </row>
    <row r="7100" spans="1:1" x14ac:dyDescent="0.25">
      <c r="A7100" s="66"/>
    </row>
    <row r="7101" spans="1:1" x14ac:dyDescent="0.25">
      <c r="A7101" s="66"/>
    </row>
    <row r="7102" spans="1:1" x14ac:dyDescent="0.25">
      <c r="A7102" s="66"/>
    </row>
    <row r="7103" spans="1:1" x14ac:dyDescent="0.25">
      <c r="A7103" s="66"/>
    </row>
    <row r="7104" spans="1:1" x14ac:dyDescent="0.25">
      <c r="A7104" s="66"/>
    </row>
    <row r="7105" spans="1:1" x14ac:dyDescent="0.25">
      <c r="A7105" s="66"/>
    </row>
    <row r="7106" spans="1:1" x14ac:dyDescent="0.25">
      <c r="A7106" s="66"/>
    </row>
    <row r="7107" spans="1:1" x14ac:dyDescent="0.25">
      <c r="A7107" s="66"/>
    </row>
    <row r="7108" spans="1:1" x14ac:dyDescent="0.25">
      <c r="A7108" s="66"/>
    </row>
    <row r="7109" spans="1:1" x14ac:dyDescent="0.25">
      <c r="A7109" s="66"/>
    </row>
    <row r="7110" spans="1:1" x14ac:dyDescent="0.25">
      <c r="A7110" s="66"/>
    </row>
    <row r="7111" spans="1:1" x14ac:dyDescent="0.25">
      <c r="A7111" s="66"/>
    </row>
    <row r="7112" spans="1:1" x14ac:dyDescent="0.25">
      <c r="A7112" s="66"/>
    </row>
    <row r="7113" spans="1:1" x14ac:dyDescent="0.25">
      <c r="A7113" s="66"/>
    </row>
    <row r="7114" spans="1:1" x14ac:dyDescent="0.25">
      <c r="A7114" s="66"/>
    </row>
    <row r="7115" spans="1:1" x14ac:dyDescent="0.25">
      <c r="A7115" s="66"/>
    </row>
    <row r="7116" spans="1:1" x14ac:dyDescent="0.25">
      <c r="A7116" s="66"/>
    </row>
    <row r="7117" spans="1:1" x14ac:dyDescent="0.25">
      <c r="A7117" s="66"/>
    </row>
    <row r="7118" spans="1:1" x14ac:dyDescent="0.25">
      <c r="A7118" s="66"/>
    </row>
    <row r="7119" spans="1:1" x14ac:dyDescent="0.25">
      <c r="A7119" s="66"/>
    </row>
    <row r="7120" spans="1:1" x14ac:dyDescent="0.25">
      <c r="A7120" s="66"/>
    </row>
    <row r="7121" spans="1:1" x14ac:dyDescent="0.25">
      <c r="A7121" s="66"/>
    </row>
    <row r="7122" spans="1:1" x14ac:dyDescent="0.25">
      <c r="A7122" s="66"/>
    </row>
    <row r="7123" spans="1:1" x14ac:dyDescent="0.25">
      <c r="A7123" s="66"/>
    </row>
    <row r="7124" spans="1:1" x14ac:dyDescent="0.25">
      <c r="A7124" s="66"/>
    </row>
    <row r="7125" spans="1:1" x14ac:dyDescent="0.25">
      <c r="A7125" s="66"/>
    </row>
    <row r="7126" spans="1:1" x14ac:dyDescent="0.25">
      <c r="A7126" s="66"/>
    </row>
    <row r="7127" spans="1:1" x14ac:dyDescent="0.25">
      <c r="A7127" s="66"/>
    </row>
    <row r="7128" spans="1:1" x14ac:dyDescent="0.25">
      <c r="A7128" s="66"/>
    </row>
    <row r="7129" spans="1:1" x14ac:dyDescent="0.25">
      <c r="A7129" s="66"/>
    </row>
    <row r="7130" spans="1:1" x14ac:dyDescent="0.25">
      <c r="A7130" s="66"/>
    </row>
    <row r="7131" spans="1:1" x14ac:dyDescent="0.25">
      <c r="A7131" s="66"/>
    </row>
    <row r="7132" spans="1:1" x14ac:dyDescent="0.25">
      <c r="A7132" s="66"/>
    </row>
    <row r="7133" spans="1:1" x14ac:dyDescent="0.25">
      <c r="A7133" s="66"/>
    </row>
    <row r="7134" spans="1:1" x14ac:dyDescent="0.25">
      <c r="A7134" s="66"/>
    </row>
    <row r="7135" spans="1:1" x14ac:dyDescent="0.25">
      <c r="A7135" s="66"/>
    </row>
    <row r="7136" spans="1:1" x14ac:dyDescent="0.25">
      <c r="A7136" s="66"/>
    </row>
    <row r="7137" spans="1:1" x14ac:dyDescent="0.25">
      <c r="A7137" s="66"/>
    </row>
    <row r="7138" spans="1:1" x14ac:dyDescent="0.25">
      <c r="A7138" s="66"/>
    </row>
    <row r="7139" spans="1:1" x14ac:dyDescent="0.25">
      <c r="A7139" s="66"/>
    </row>
    <row r="7140" spans="1:1" x14ac:dyDescent="0.25">
      <c r="A7140" s="66"/>
    </row>
    <row r="7141" spans="1:1" x14ac:dyDescent="0.25">
      <c r="A7141" s="66"/>
    </row>
    <row r="7142" spans="1:1" x14ac:dyDescent="0.25">
      <c r="A7142" s="66"/>
    </row>
    <row r="7143" spans="1:1" x14ac:dyDescent="0.25">
      <c r="A7143" s="66"/>
    </row>
    <row r="7144" spans="1:1" x14ac:dyDescent="0.25">
      <c r="A7144" s="66"/>
    </row>
    <row r="7145" spans="1:1" x14ac:dyDescent="0.25">
      <c r="A7145" s="66"/>
    </row>
    <row r="7146" spans="1:1" x14ac:dyDescent="0.25">
      <c r="A7146" s="66"/>
    </row>
    <row r="7147" spans="1:1" x14ac:dyDescent="0.25">
      <c r="A7147" s="66"/>
    </row>
    <row r="7148" spans="1:1" x14ac:dyDescent="0.25">
      <c r="A7148" s="66"/>
    </row>
    <row r="7149" spans="1:1" x14ac:dyDescent="0.25">
      <c r="A7149" s="66"/>
    </row>
    <row r="7150" spans="1:1" x14ac:dyDescent="0.25">
      <c r="A7150" s="66"/>
    </row>
    <row r="7151" spans="1:1" x14ac:dyDescent="0.25">
      <c r="A7151" s="66"/>
    </row>
    <row r="7152" spans="1:1" x14ac:dyDescent="0.25">
      <c r="A7152" s="66"/>
    </row>
    <row r="7153" spans="1:1" x14ac:dyDescent="0.25">
      <c r="A7153" s="66"/>
    </row>
    <row r="7154" spans="1:1" x14ac:dyDescent="0.25">
      <c r="A7154" s="66"/>
    </row>
    <row r="7155" spans="1:1" x14ac:dyDescent="0.25">
      <c r="A7155" s="66"/>
    </row>
    <row r="7156" spans="1:1" x14ac:dyDescent="0.25">
      <c r="A7156" s="66"/>
    </row>
    <row r="7157" spans="1:1" x14ac:dyDescent="0.25">
      <c r="A7157" s="66"/>
    </row>
    <row r="7158" spans="1:1" x14ac:dyDescent="0.25">
      <c r="A7158" s="66"/>
    </row>
    <row r="7159" spans="1:1" x14ac:dyDescent="0.25">
      <c r="A7159" s="66"/>
    </row>
    <row r="7160" spans="1:1" x14ac:dyDescent="0.25">
      <c r="A7160" s="66"/>
    </row>
    <row r="7161" spans="1:1" x14ac:dyDescent="0.25">
      <c r="A7161" s="66"/>
    </row>
    <row r="7162" spans="1:1" x14ac:dyDescent="0.25">
      <c r="A7162" s="66"/>
    </row>
    <row r="7163" spans="1:1" x14ac:dyDescent="0.25">
      <c r="A7163" s="66"/>
    </row>
    <row r="7164" spans="1:1" x14ac:dyDescent="0.25">
      <c r="A7164" s="66"/>
    </row>
    <row r="7165" spans="1:1" x14ac:dyDescent="0.25">
      <c r="A7165" s="66"/>
    </row>
    <row r="7166" spans="1:1" x14ac:dyDescent="0.25">
      <c r="A7166" s="66"/>
    </row>
    <row r="7167" spans="1:1" x14ac:dyDescent="0.25">
      <c r="A7167" s="66"/>
    </row>
    <row r="7168" spans="1:1" x14ac:dyDescent="0.25">
      <c r="A7168" s="66"/>
    </row>
    <row r="7169" spans="1:1" x14ac:dyDescent="0.25">
      <c r="A7169" s="66"/>
    </row>
    <row r="7170" spans="1:1" x14ac:dyDescent="0.25">
      <c r="A7170" s="66"/>
    </row>
    <row r="7171" spans="1:1" x14ac:dyDescent="0.25">
      <c r="A7171" s="66"/>
    </row>
    <row r="7172" spans="1:1" x14ac:dyDescent="0.25">
      <c r="A7172" s="66"/>
    </row>
    <row r="7173" spans="1:1" x14ac:dyDescent="0.25">
      <c r="A7173" s="66"/>
    </row>
    <row r="7174" spans="1:1" x14ac:dyDescent="0.25">
      <c r="A7174" s="66"/>
    </row>
    <row r="7175" spans="1:1" x14ac:dyDescent="0.25">
      <c r="A7175" s="66"/>
    </row>
    <row r="7176" spans="1:1" x14ac:dyDescent="0.25">
      <c r="A7176" s="66"/>
    </row>
    <row r="7177" spans="1:1" x14ac:dyDescent="0.25">
      <c r="A7177" s="66"/>
    </row>
    <row r="7178" spans="1:1" x14ac:dyDescent="0.25">
      <c r="A7178" s="66"/>
    </row>
    <row r="7179" spans="1:1" x14ac:dyDescent="0.25">
      <c r="A7179" s="66"/>
    </row>
    <row r="7180" spans="1:1" x14ac:dyDescent="0.25">
      <c r="A7180" s="66"/>
    </row>
    <row r="7181" spans="1:1" x14ac:dyDescent="0.25">
      <c r="A7181" s="66"/>
    </row>
    <row r="7182" spans="1:1" x14ac:dyDescent="0.25">
      <c r="A7182" s="66"/>
    </row>
    <row r="7183" spans="1:1" x14ac:dyDescent="0.25">
      <c r="A7183" s="66"/>
    </row>
    <row r="7184" spans="1:1" x14ac:dyDescent="0.25">
      <c r="A7184" s="66"/>
    </row>
    <row r="7185" spans="1:1" x14ac:dyDescent="0.25">
      <c r="A7185" s="66"/>
    </row>
    <row r="7186" spans="1:1" x14ac:dyDescent="0.25">
      <c r="A7186" s="66"/>
    </row>
    <row r="7187" spans="1:1" x14ac:dyDescent="0.25">
      <c r="A7187" s="66"/>
    </row>
    <row r="7188" spans="1:1" x14ac:dyDescent="0.25">
      <c r="A7188" s="66"/>
    </row>
    <row r="7189" spans="1:1" x14ac:dyDescent="0.25">
      <c r="A7189" s="66"/>
    </row>
    <row r="7190" spans="1:1" x14ac:dyDescent="0.25">
      <c r="A7190" s="66"/>
    </row>
    <row r="7191" spans="1:1" x14ac:dyDescent="0.25">
      <c r="A7191" s="66"/>
    </row>
    <row r="7192" spans="1:1" x14ac:dyDescent="0.25">
      <c r="A7192" s="66"/>
    </row>
    <row r="7193" spans="1:1" x14ac:dyDescent="0.25">
      <c r="A7193" s="66"/>
    </row>
    <row r="7194" spans="1:1" x14ac:dyDescent="0.25">
      <c r="A7194" s="66"/>
    </row>
    <row r="7195" spans="1:1" x14ac:dyDescent="0.25">
      <c r="A7195" s="66"/>
    </row>
    <row r="7196" spans="1:1" x14ac:dyDescent="0.25">
      <c r="A7196" s="66"/>
    </row>
    <row r="7197" spans="1:1" x14ac:dyDescent="0.25">
      <c r="A7197" s="66"/>
    </row>
    <row r="7198" spans="1:1" x14ac:dyDescent="0.25">
      <c r="A7198" s="66"/>
    </row>
    <row r="7199" spans="1:1" x14ac:dyDescent="0.25">
      <c r="A7199" s="66"/>
    </row>
    <row r="7200" spans="1:1" x14ac:dyDescent="0.25">
      <c r="A7200" s="66"/>
    </row>
    <row r="7201" spans="1:1" x14ac:dyDescent="0.25">
      <c r="A7201" s="66"/>
    </row>
    <row r="7202" spans="1:1" x14ac:dyDescent="0.25">
      <c r="A7202" s="66"/>
    </row>
    <row r="7203" spans="1:1" x14ac:dyDescent="0.25">
      <c r="A7203" s="66"/>
    </row>
    <row r="7204" spans="1:1" x14ac:dyDescent="0.25">
      <c r="A7204" s="66"/>
    </row>
    <row r="7205" spans="1:1" x14ac:dyDescent="0.25">
      <c r="A7205" s="66"/>
    </row>
    <row r="7206" spans="1:1" x14ac:dyDescent="0.25">
      <c r="A7206" s="66"/>
    </row>
    <row r="7207" spans="1:1" x14ac:dyDescent="0.25">
      <c r="A7207" s="66"/>
    </row>
    <row r="7208" spans="1:1" x14ac:dyDescent="0.25">
      <c r="A7208" s="66"/>
    </row>
    <row r="7209" spans="1:1" x14ac:dyDescent="0.25">
      <c r="A7209" s="66"/>
    </row>
    <row r="7210" spans="1:1" x14ac:dyDescent="0.25">
      <c r="A7210" s="66"/>
    </row>
    <row r="7211" spans="1:1" x14ac:dyDescent="0.25">
      <c r="A7211" s="66"/>
    </row>
    <row r="7212" spans="1:1" x14ac:dyDescent="0.25">
      <c r="A7212" s="66"/>
    </row>
    <row r="7213" spans="1:1" x14ac:dyDescent="0.25">
      <c r="A7213" s="66"/>
    </row>
    <row r="7214" spans="1:1" x14ac:dyDescent="0.25">
      <c r="A7214" s="66"/>
    </row>
    <row r="7215" spans="1:1" x14ac:dyDescent="0.25">
      <c r="A7215" s="66"/>
    </row>
    <row r="7216" spans="1:1" x14ac:dyDescent="0.25">
      <c r="A7216" s="66"/>
    </row>
    <row r="7217" spans="1:1" x14ac:dyDescent="0.25">
      <c r="A7217" s="66"/>
    </row>
    <row r="7218" spans="1:1" x14ac:dyDescent="0.25">
      <c r="A7218" s="66"/>
    </row>
    <row r="7219" spans="1:1" x14ac:dyDescent="0.25">
      <c r="A7219" s="66"/>
    </row>
    <row r="7220" spans="1:1" x14ac:dyDescent="0.25">
      <c r="A7220" s="66"/>
    </row>
    <row r="7221" spans="1:1" x14ac:dyDescent="0.25">
      <c r="A7221" s="66"/>
    </row>
    <row r="7222" spans="1:1" x14ac:dyDescent="0.25">
      <c r="A7222" s="66"/>
    </row>
    <row r="7223" spans="1:1" x14ac:dyDescent="0.25">
      <c r="A7223" s="66"/>
    </row>
    <row r="7224" spans="1:1" x14ac:dyDescent="0.25">
      <c r="A7224" s="66"/>
    </row>
    <row r="7225" spans="1:1" x14ac:dyDescent="0.25">
      <c r="A7225" s="66"/>
    </row>
    <row r="7226" spans="1:1" x14ac:dyDescent="0.25">
      <c r="A7226" s="66"/>
    </row>
    <row r="7227" spans="1:1" x14ac:dyDescent="0.25">
      <c r="A7227" s="66"/>
    </row>
    <row r="7228" spans="1:1" x14ac:dyDescent="0.25">
      <c r="A7228" s="66"/>
    </row>
    <row r="7229" spans="1:1" x14ac:dyDescent="0.25">
      <c r="A7229" s="66"/>
    </row>
    <row r="7230" spans="1:1" x14ac:dyDescent="0.25">
      <c r="A7230" s="66"/>
    </row>
    <row r="7231" spans="1:1" x14ac:dyDescent="0.25">
      <c r="A7231" s="66"/>
    </row>
    <row r="7232" spans="1:1" x14ac:dyDescent="0.25">
      <c r="A7232" s="66"/>
    </row>
    <row r="7233" spans="1:1" x14ac:dyDescent="0.25">
      <c r="A7233" s="66"/>
    </row>
    <row r="7234" spans="1:1" x14ac:dyDescent="0.25">
      <c r="A7234" s="66"/>
    </row>
    <row r="7235" spans="1:1" x14ac:dyDescent="0.25">
      <c r="A7235" s="66"/>
    </row>
    <row r="7236" spans="1:1" x14ac:dyDescent="0.25">
      <c r="A7236" s="66"/>
    </row>
    <row r="7237" spans="1:1" x14ac:dyDescent="0.25">
      <c r="A7237" s="66"/>
    </row>
    <row r="7238" spans="1:1" x14ac:dyDescent="0.25">
      <c r="A7238" s="66"/>
    </row>
    <row r="7239" spans="1:1" x14ac:dyDescent="0.25">
      <c r="A7239" s="66"/>
    </row>
    <row r="7240" spans="1:1" x14ac:dyDescent="0.25">
      <c r="A7240" s="66"/>
    </row>
    <row r="7241" spans="1:1" x14ac:dyDescent="0.25">
      <c r="A7241" s="66"/>
    </row>
    <row r="7242" spans="1:1" x14ac:dyDescent="0.25">
      <c r="A7242" s="66"/>
    </row>
    <row r="7243" spans="1:1" x14ac:dyDescent="0.25">
      <c r="A7243" s="66"/>
    </row>
    <row r="7244" spans="1:1" x14ac:dyDescent="0.25">
      <c r="A7244" s="66"/>
    </row>
    <row r="7245" spans="1:1" x14ac:dyDescent="0.25">
      <c r="A7245" s="66"/>
    </row>
    <row r="7246" spans="1:1" x14ac:dyDescent="0.25">
      <c r="A7246" s="66"/>
    </row>
    <row r="7247" spans="1:1" x14ac:dyDescent="0.25">
      <c r="A7247" s="66"/>
    </row>
    <row r="7248" spans="1:1" x14ac:dyDescent="0.25">
      <c r="A7248" s="66"/>
    </row>
    <row r="7249" spans="1:1" x14ac:dyDescent="0.25">
      <c r="A7249" s="66"/>
    </row>
    <row r="7250" spans="1:1" x14ac:dyDescent="0.25">
      <c r="A7250" s="66"/>
    </row>
    <row r="7251" spans="1:1" x14ac:dyDescent="0.25">
      <c r="A7251" s="66"/>
    </row>
    <row r="7252" spans="1:1" x14ac:dyDescent="0.25">
      <c r="A7252" s="66"/>
    </row>
    <row r="7253" spans="1:1" x14ac:dyDescent="0.25">
      <c r="A7253" s="66"/>
    </row>
    <row r="7254" spans="1:1" x14ac:dyDescent="0.25">
      <c r="A7254" s="66"/>
    </row>
    <row r="7255" spans="1:1" x14ac:dyDescent="0.25">
      <c r="A7255" s="66"/>
    </row>
    <row r="7256" spans="1:1" x14ac:dyDescent="0.25">
      <c r="A7256" s="66"/>
    </row>
    <row r="7257" spans="1:1" x14ac:dyDescent="0.25">
      <c r="A7257" s="66"/>
    </row>
    <row r="7258" spans="1:1" x14ac:dyDescent="0.25">
      <c r="A7258" s="66"/>
    </row>
    <row r="7259" spans="1:1" x14ac:dyDescent="0.25">
      <c r="A7259" s="66"/>
    </row>
    <row r="7260" spans="1:1" x14ac:dyDescent="0.25">
      <c r="A7260" s="66"/>
    </row>
    <row r="7261" spans="1:1" x14ac:dyDescent="0.25">
      <c r="A7261" s="66"/>
    </row>
    <row r="7262" spans="1:1" x14ac:dyDescent="0.25">
      <c r="A7262" s="66"/>
    </row>
    <row r="7263" spans="1:1" x14ac:dyDescent="0.25">
      <c r="A7263" s="66"/>
    </row>
    <row r="7264" spans="1:1" x14ac:dyDescent="0.25">
      <c r="A7264" s="66"/>
    </row>
    <row r="7265" spans="1:1" x14ac:dyDescent="0.25">
      <c r="A7265" s="66"/>
    </row>
    <row r="7266" spans="1:1" x14ac:dyDescent="0.25">
      <c r="A7266" s="66"/>
    </row>
    <row r="7267" spans="1:1" x14ac:dyDescent="0.25">
      <c r="A7267" s="66"/>
    </row>
    <row r="7268" spans="1:1" x14ac:dyDescent="0.25">
      <c r="A7268" s="66"/>
    </row>
    <row r="7269" spans="1:1" x14ac:dyDescent="0.25">
      <c r="A7269" s="66"/>
    </row>
    <row r="7270" spans="1:1" x14ac:dyDescent="0.25">
      <c r="A7270" s="66"/>
    </row>
    <row r="7271" spans="1:1" x14ac:dyDescent="0.25">
      <c r="A7271" s="66"/>
    </row>
    <row r="7272" spans="1:1" x14ac:dyDescent="0.25">
      <c r="A7272" s="66"/>
    </row>
    <row r="7273" spans="1:1" x14ac:dyDescent="0.25">
      <c r="A7273" s="66"/>
    </row>
    <row r="7274" spans="1:1" x14ac:dyDescent="0.25">
      <c r="A7274" s="66"/>
    </row>
    <row r="7275" spans="1:1" x14ac:dyDescent="0.25">
      <c r="A7275" s="66"/>
    </row>
    <row r="7276" spans="1:1" x14ac:dyDescent="0.25">
      <c r="A7276" s="66"/>
    </row>
    <row r="7277" spans="1:1" x14ac:dyDescent="0.25">
      <c r="A7277" s="66"/>
    </row>
    <row r="7278" spans="1:1" x14ac:dyDescent="0.25">
      <c r="A7278" s="66"/>
    </row>
    <row r="7279" spans="1:1" x14ac:dyDescent="0.25">
      <c r="A7279" s="66"/>
    </row>
    <row r="7280" spans="1:1" x14ac:dyDescent="0.25">
      <c r="A7280" s="66"/>
    </row>
    <row r="7281" spans="1:1" x14ac:dyDescent="0.25">
      <c r="A7281" s="66"/>
    </row>
    <row r="7282" spans="1:1" x14ac:dyDescent="0.25">
      <c r="A7282" s="66"/>
    </row>
    <row r="7283" spans="1:1" x14ac:dyDescent="0.25">
      <c r="A7283" s="66"/>
    </row>
    <row r="7284" spans="1:1" x14ac:dyDescent="0.25">
      <c r="A7284" s="66"/>
    </row>
    <row r="7285" spans="1:1" x14ac:dyDescent="0.25">
      <c r="A7285" s="66"/>
    </row>
    <row r="7286" spans="1:1" x14ac:dyDescent="0.25">
      <c r="A7286" s="66"/>
    </row>
    <row r="7287" spans="1:1" x14ac:dyDescent="0.25">
      <c r="A7287" s="66"/>
    </row>
    <row r="7288" spans="1:1" x14ac:dyDescent="0.25">
      <c r="A7288" s="66"/>
    </row>
    <row r="7289" spans="1:1" x14ac:dyDescent="0.25">
      <c r="A7289" s="66"/>
    </row>
    <row r="7290" spans="1:1" x14ac:dyDescent="0.25">
      <c r="A7290" s="66"/>
    </row>
    <row r="7291" spans="1:1" x14ac:dyDescent="0.25">
      <c r="A7291" s="66"/>
    </row>
    <row r="7292" spans="1:1" x14ac:dyDescent="0.25">
      <c r="A7292" s="66"/>
    </row>
    <row r="7293" spans="1:1" x14ac:dyDescent="0.25">
      <c r="A7293" s="66"/>
    </row>
    <row r="7294" spans="1:1" x14ac:dyDescent="0.25">
      <c r="A7294" s="66"/>
    </row>
    <row r="7295" spans="1:1" x14ac:dyDescent="0.25">
      <c r="A7295" s="66"/>
    </row>
    <row r="7296" spans="1:1" x14ac:dyDescent="0.25">
      <c r="A7296" s="66"/>
    </row>
    <row r="7297" spans="1:1" x14ac:dyDescent="0.25">
      <c r="A7297" s="66"/>
    </row>
    <row r="7298" spans="1:1" x14ac:dyDescent="0.25">
      <c r="A7298" s="66"/>
    </row>
    <row r="7299" spans="1:1" x14ac:dyDescent="0.25">
      <c r="A7299" s="66"/>
    </row>
    <row r="7300" spans="1:1" x14ac:dyDescent="0.25">
      <c r="A7300" s="66"/>
    </row>
    <row r="7301" spans="1:1" x14ac:dyDescent="0.25">
      <c r="A7301" s="66"/>
    </row>
    <row r="7302" spans="1:1" x14ac:dyDescent="0.25">
      <c r="A7302" s="66"/>
    </row>
    <row r="7303" spans="1:1" x14ac:dyDescent="0.25">
      <c r="A7303" s="66"/>
    </row>
    <row r="7304" spans="1:1" x14ac:dyDescent="0.25">
      <c r="A7304" s="66"/>
    </row>
    <row r="7305" spans="1:1" x14ac:dyDescent="0.25">
      <c r="A7305" s="66"/>
    </row>
    <row r="7306" spans="1:1" x14ac:dyDescent="0.25">
      <c r="A7306" s="66"/>
    </row>
    <row r="7307" spans="1:1" x14ac:dyDescent="0.25">
      <c r="A7307" s="66"/>
    </row>
    <row r="7308" spans="1:1" x14ac:dyDescent="0.25">
      <c r="A7308" s="66"/>
    </row>
    <row r="7309" spans="1:1" x14ac:dyDescent="0.25">
      <c r="A7309" s="66"/>
    </row>
    <row r="7310" spans="1:1" x14ac:dyDescent="0.25">
      <c r="A7310" s="66"/>
    </row>
    <row r="7311" spans="1:1" x14ac:dyDescent="0.25">
      <c r="A7311" s="66"/>
    </row>
    <row r="7312" spans="1:1" x14ac:dyDescent="0.25">
      <c r="A7312" s="66"/>
    </row>
    <row r="7313" spans="1:1" x14ac:dyDescent="0.25">
      <c r="A7313" s="66"/>
    </row>
    <row r="7314" spans="1:1" x14ac:dyDescent="0.25">
      <c r="A7314" s="66"/>
    </row>
    <row r="7315" spans="1:1" x14ac:dyDescent="0.25">
      <c r="A7315" s="66"/>
    </row>
    <row r="7316" spans="1:1" x14ac:dyDescent="0.25">
      <c r="A7316" s="66"/>
    </row>
    <row r="7317" spans="1:1" x14ac:dyDescent="0.25">
      <c r="A7317" s="66"/>
    </row>
    <row r="7318" spans="1:1" x14ac:dyDescent="0.25">
      <c r="A7318" s="66"/>
    </row>
    <row r="7319" spans="1:1" x14ac:dyDescent="0.25">
      <c r="A7319" s="66"/>
    </row>
    <row r="7320" spans="1:1" x14ac:dyDescent="0.25">
      <c r="A7320" s="66"/>
    </row>
    <row r="7321" spans="1:1" x14ac:dyDescent="0.25">
      <c r="A7321" s="66"/>
    </row>
    <row r="7322" spans="1:1" x14ac:dyDescent="0.25">
      <c r="A7322" s="66"/>
    </row>
    <row r="7323" spans="1:1" x14ac:dyDescent="0.25">
      <c r="A7323" s="66"/>
    </row>
    <row r="7324" spans="1:1" x14ac:dyDescent="0.25">
      <c r="A7324" s="66"/>
    </row>
    <row r="7325" spans="1:1" x14ac:dyDescent="0.25">
      <c r="A7325" s="66"/>
    </row>
    <row r="7326" spans="1:1" x14ac:dyDescent="0.25">
      <c r="A7326" s="66"/>
    </row>
    <row r="7327" spans="1:1" x14ac:dyDescent="0.25">
      <c r="A7327" s="66"/>
    </row>
    <row r="7328" spans="1:1" x14ac:dyDescent="0.25">
      <c r="A7328" s="66"/>
    </row>
    <row r="7329" spans="1:1" x14ac:dyDescent="0.25">
      <c r="A7329" s="66"/>
    </row>
    <row r="7330" spans="1:1" x14ac:dyDescent="0.25">
      <c r="A7330" s="66"/>
    </row>
    <row r="7331" spans="1:1" x14ac:dyDescent="0.25">
      <c r="A7331" s="66"/>
    </row>
    <row r="7332" spans="1:1" x14ac:dyDescent="0.25">
      <c r="A7332" s="66"/>
    </row>
    <row r="7333" spans="1:1" x14ac:dyDescent="0.25">
      <c r="A7333" s="66"/>
    </row>
    <row r="7334" spans="1:1" x14ac:dyDescent="0.25">
      <c r="A7334" s="66"/>
    </row>
    <row r="7335" spans="1:1" x14ac:dyDescent="0.25">
      <c r="A7335" s="66"/>
    </row>
    <row r="7336" spans="1:1" x14ac:dyDescent="0.25">
      <c r="A7336" s="66"/>
    </row>
    <row r="7337" spans="1:1" x14ac:dyDescent="0.25">
      <c r="A7337" s="66"/>
    </row>
    <row r="7338" spans="1:1" x14ac:dyDescent="0.25">
      <c r="A7338" s="66"/>
    </row>
    <row r="7339" spans="1:1" x14ac:dyDescent="0.25">
      <c r="A7339" s="66"/>
    </row>
    <row r="7340" spans="1:1" x14ac:dyDescent="0.25">
      <c r="A7340" s="66"/>
    </row>
    <row r="7341" spans="1:1" x14ac:dyDescent="0.25">
      <c r="A7341" s="66"/>
    </row>
    <row r="7342" spans="1:1" x14ac:dyDescent="0.25">
      <c r="A7342" s="66"/>
    </row>
    <row r="7343" spans="1:1" x14ac:dyDescent="0.25">
      <c r="A7343" s="66"/>
    </row>
    <row r="7344" spans="1:1" x14ac:dyDescent="0.25">
      <c r="A7344" s="66"/>
    </row>
    <row r="7345" spans="1:1" x14ac:dyDescent="0.25">
      <c r="A7345" s="66"/>
    </row>
    <row r="7346" spans="1:1" x14ac:dyDescent="0.25">
      <c r="A7346" s="66"/>
    </row>
    <row r="7347" spans="1:1" x14ac:dyDescent="0.25">
      <c r="A7347" s="66"/>
    </row>
    <row r="7348" spans="1:1" x14ac:dyDescent="0.25">
      <c r="A7348" s="66"/>
    </row>
    <row r="7349" spans="1:1" x14ac:dyDescent="0.25">
      <c r="A7349" s="66"/>
    </row>
    <row r="7350" spans="1:1" x14ac:dyDescent="0.25">
      <c r="A7350" s="66"/>
    </row>
    <row r="7351" spans="1:1" x14ac:dyDescent="0.25">
      <c r="A7351" s="66"/>
    </row>
    <row r="7352" spans="1:1" x14ac:dyDescent="0.25">
      <c r="A7352" s="66"/>
    </row>
    <row r="7353" spans="1:1" x14ac:dyDescent="0.25">
      <c r="A7353" s="66"/>
    </row>
    <row r="7354" spans="1:1" x14ac:dyDescent="0.25">
      <c r="A7354" s="66"/>
    </row>
    <row r="7355" spans="1:1" x14ac:dyDescent="0.25">
      <c r="A7355" s="66"/>
    </row>
    <row r="7356" spans="1:1" x14ac:dyDescent="0.25">
      <c r="A7356" s="66"/>
    </row>
    <row r="7357" spans="1:1" x14ac:dyDescent="0.25">
      <c r="A7357" s="66"/>
    </row>
    <row r="7358" spans="1:1" x14ac:dyDescent="0.25">
      <c r="A7358" s="66"/>
    </row>
    <row r="7359" spans="1:1" x14ac:dyDescent="0.25">
      <c r="A7359" s="66"/>
    </row>
    <row r="7360" spans="1:1" x14ac:dyDescent="0.25">
      <c r="A7360" s="66"/>
    </row>
    <row r="7361" spans="1:1" x14ac:dyDescent="0.25">
      <c r="A7361" s="66"/>
    </row>
    <row r="7362" spans="1:1" x14ac:dyDescent="0.25">
      <c r="A7362" s="66"/>
    </row>
    <row r="7363" spans="1:1" x14ac:dyDescent="0.25">
      <c r="A7363" s="66"/>
    </row>
    <row r="7364" spans="1:1" x14ac:dyDescent="0.25">
      <c r="A7364" s="66"/>
    </row>
    <row r="7365" spans="1:1" x14ac:dyDescent="0.25">
      <c r="A7365" s="66"/>
    </row>
    <row r="7366" spans="1:1" x14ac:dyDescent="0.25">
      <c r="A7366" s="66"/>
    </row>
    <row r="7367" spans="1:1" x14ac:dyDescent="0.25">
      <c r="A7367" s="66"/>
    </row>
    <row r="7368" spans="1:1" x14ac:dyDescent="0.25">
      <c r="A7368" s="66"/>
    </row>
    <row r="7369" spans="1:1" x14ac:dyDescent="0.25">
      <c r="A7369" s="66"/>
    </row>
    <row r="7370" spans="1:1" x14ac:dyDescent="0.25">
      <c r="A7370" s="66"/>
    </row>
    <row r="7371" spans="1:1" x14ac:dyDescent="0.25">
      <c r="A7371" s="66"/>
    </row>
    <row r="7372" spans="1:1" x14ac:dyDescent="0.25">
      <c r="A7372" s="66"/>
    </row>
    <row r="7373" spans="1:1" x14ac:dyDescent="0.25">
      <c r="A7373" s="66"/>
    </row>
    <row r="7374" spans="1:1" x14ac:dyDescent="0.25">
      <c r="A7374" s="66"/>
    </row>
    <row r="7375" spans="1:1" x14ac:dyDescent="0.25">
      <c r="A7375" s="66"/>
    </row>
    <row r="7376" spans="1:1" x14ac:dyDescent="0.25">
      <c r="A7376" s="66"/>
    </row>
    <row r="7377" spans="1:1" x14ac:dyDescent="0.25">
      <c r="A7377" s="66"/>
    </row>
    <row r="7378" spans="1:1" x14ac:dyDescent="0.25">
      <c r="A7378" s="66"/>
    </row>
    <row r="7379" spans="1:1" x14ac:dyDescent="0.25">
      <c r="A7379" s="66"/>
    </row>
    <row r="7380" spans="1:1" x14ac:dyDescent="0.25">
      <c r="A7380" s="66"/>
    </row>
    <row r="7381" spans="1:1" x14ac:dyDescent="0.25">
      <c r="A7381" s="66"/>
    </row>
    <row r="7382" spans="1:1" x14ac:dyDescent="0.25">
      <c r="A7382" s="66"/>
    </row>
    <row r="7383" spans="1:1" x14ac:dyDescent="0.25">
      <c r="A7383" s="66"/>
    </row>
    <row r="7384" spans="1:1" x14ac:dyDescent="0.25">
      <c r="A7384" s="66"/>
    </row>
    <row r="7385" spans="1:1" x14ac:dyDescent="0.25">
      <c r="A7385" s="66"/>
    </row>
    <row r="7386" spans="1:1" x14ac:dyDescent="0.25">
      <c r="A7386" s="66"/>
    </row>
    <row r="7387" spans="1:1" x14ac:dyDescent="0.25">
      <c r="A7387" s="66"/>
    </row>
    <row r="7388" spans="1:1" x14ac:dyDescent="0.25">
      <c r="A7388" s="66"/>
    </row>
    <row r="7389" spans="1:1" x14ac:dyDescent="0.25">
      <c r="A7389" s="66"/>
    </row>
    <row r="7390" spans="1:1" x14ac:dyDescent="0.25">
      <c r="A7390" s="66"/>
    </row>
    <row r="7391" spans="1:1" x14ac:dyDescent="0.25">
      <c r="A7391" s="66"/>
    </row>
    <row r="7392" spans="1:1" x14ac:dyDescent="0.25">
      <c r="A7392" s="66"/>
    </row>
    <row r="7393" spans="1:1" x14ac:dyDescent="0.25">
      <c r="A7393" s="66"/>
    </row>
    <row r="7394" spans="1:1" x14ac:dyDescent="0.25">
      <c r="A7394" s="66"/>
    </row>
    <row r="7395" spans="1:1" x14ac:dyDescent="0.25">
      <c r="A7395" s="66"/>
    </row>
    <row r="7396" spans="1:1" x14ac:dyDescent="0.25">
      <c r="A7396" s="66"/>
    </row>
    <row r="7397" spans="1:1" x14ac:dyDescent="0.25">
      <c r="A7397" s="66"/>
    </row>
    <row r="7398" spans="1:1" x14ac:dyDescent="0.25">
      <c r="A7398" s="66"/>
    </row>
    <row r="7399" spans="1:1" x14ac:dyDescent="0.25">
      <c r="A7399" s="66"/>
    </row>
    <row r="7400" spans="1:1" x14ac:dyDescent="0.25">
      <c r="A7400" s="66"/>
    </row>
    <row r="7401" spans="1:1" x14ac:dyDescent="0.25">
      <c r="A7401" s="66"/>
    </row>
    <row r="7402" spans="1:1" x14ac:dyDescent="0.25">
      <c r="A7402" s="66"/>
    </row>
    <row r="7403" spans="1:1" x14ac:dyDescent="0.25">
      <c r="A7403" s="66"/>
    </row>
    <row r="7404" spans="1:1" x14ac:dyDescent="0.25">
      <c r="A7404" s="66"/>
    </row>
    <row r="7405" spans="1:1" x14ac:dyDescent="0.25">
      <c r="A7405" s="66"/>
    </row>
    <row r="7406" spans="1:1" x14ac:dyDescent="0.25">
      <c r="A7406" s="66"/>
    </row>
    <row r="7407" spans="1:1" x14ac:dyDescent="0.25">
      <c r="A7407" s="66"/>
    </row>
    <row r="7408" spans="1:1" x14ac:dyDescent="0.25">
      <c r="A7408" s="66"/>
    </row>
    <row r="7409" spans="1:1" x14ac:dyDescent="0.25">
      <c r="A7409" s="66"/>
    </row>
    <row r="7410" spans="1:1" x14ac:dyDescent="0.25">
      <c r="A7410" s="66"/>
    </row>
    <row r="7411" spans="1:1" x14ac:dyDescent="0.25">
      <c r="A7411" s="66"/>
    </row>
    <row r="7412" spans="1:1" x14ac:dyDescent="0.25">
      <c r="A7412" s="66"/>
    </row>
    <row r="7413" spans="1:1" x14ac:dyDescent="0.25">
      <c r="A7413" s="66"/>
    </row>
    <row r="7414" spans="1:1" x14ac:dyDescent="0.25">
      <c r="A7414" s="66"/>
    </row>
    <row r="7415" spans="1:1" x14ac:dyDescent="0.25">
      <c r="A7415" s="66"/>
    </row>
    <row r="7416" spans="1:1" x14ac:dyDescent="0.25">
      <c r="A7416" s="66"/>
    </row>
    <row r="7417" spans="1:1" x14ac:dyDescent="0.25">
      <c r="A7417" s="66"/>
    </row>
    <row r="7418" spans="1:1" x14ac:dyDescent="0.25">
      <c r="A7418" s="66"/>
    </row>
    <row r="7419" spans="1:1" x14ac:dyDescent="0.25">
      <c r="A7419" s="66"/>
    </row>
    <row r="7420" spans="1:1" x14ac:dyDescent="0.25">
      <c r="A7420" s="66"/>
    </row>
    <row r="7421" spans="1:1" x14ac:dyDescent="0.25">
      <c r="A7421" s="66"/>
    </row>
    <row r="7422" spans="1:1" x14ac:dyDescent="0.25">
      <c r="A7422" s="66"/>
    </row>
    <row r="7423" spans="1:1" x14ac:dyDescent="0.25">
      <c r="A7423" s="66"/>
    </row>
    <row r="7424" spans="1:1" x14ac:dyDescent="0.25">
      <c r="A7424" s="66"/>
    </row>
    <row r="7425" spans="1:1" x14ac:dyDescent="0.25">
      <c r="A7425" s="66"/>
    </row>
    <row r="7426" spans="1:1" x14ac:dyDescent="0.25">
      <c r="A7426" s="66"/>
    </row>
    <row r="7427" spans="1:1" x14ac:dyDescent="0.25">
      <c r="A7427" s="66"/>
    </row>
    <row r="7428" spans="1:1" x14ac:dyDescent="0.25">
      <c r="A7428" s="66"/>
    </row>
    <row r="7429" spans="1:1" x14ac:dyDescent="0.25">
      <c r="A7429" s="66"/>
    </row>
    <row r="7430" spans="1:1" x14ac:dyDescent="0.25">
      <c r="A7430" s="66"/>
    </row>
    <row r="7431" spans="1:1" x14ac:dyDescent="0.25">
      <c r="A7431" s="66"/>
    </row>
    <row r="7432" spans="1:1" x14ac:dyDescent="0.25">
      <c r="A7432" s="66"/>
    </row>
    <row r="7433" spans="1:1" x14ac:dyDescent="0.25">
      <c r="A7433" s="66"/>
    </row>
    <row r="7434" spans="1:1" x14ac:dyDescent="0.25">
      <c r="A7434" s="66"/>
    </row>
    <row r="7435" spans="1:1" x14ac:dyDescent="0.25">
      <c r="A7435" s="66"/>
    </row>
    <row r="7436" spans="1:1" x14ac:dyDescent="0.25">
      <c r="A7436" s="66"/>
    </row>
    <row r="7437" spans="1:1" x14ac:dyDescent="0.25">
      <c r="A7437" s="66"/>
    </row>
    <row r="7438" spans="1:1" x14ac:dyDescent="0.25">
      <c r="A7438" s="66"/>
    </row>
    <row r="7439" spans="1:1" x14ac:dyDescent="0.25">
      <c r="A7439" s="66"/>
    </row>
    <row r="7440" spans="1:1" x14ac:dyDescent="0.25">
      <c r="A7440" s="66"/>
    </row>
    <row r="7441" spans="1:1" x14ac:dyDescent="0.25">
      <c r="A7441" s="66"/>
    </row>
    <row r="7442" spans="1:1" x14ac:dyDescent="0.25">
      <c r="A7442" s="66"/>
    </row>
    <row r="7443" spans="1:1" x14ac:dyDescent="0.25">
      <c r="A7443" s="66"/>
    </row>
    <row r="7444" spans="1:1" x14ac:dyDescent="0.25">
      <c r="A7444" s="66"/>
    </row>
    <row r="7445" spans="1:1" x14ac:dyDescent="0.25">
      <c r="A7445" s="66"/>
    </row>
    <row r="7446" spans="1:1" x14ac:dyDescent="0.25">
      <c r="A7446" s="66"/>
    </row>
    <row r="7447" spans="1:1" x14ac:dyDescent="0.25">
      <c r="A7447" s="66"/>
    </row>
    <row r="7448" spans="1:1" x14ac:dyDescent="0.25">
      <c r="A7448" s="66"/>
    </row>
    <row r="7449" spans="1:1" x14ac:dyDescent="0.25">
      <c r="A7449" s="66"/>
    </row>
    <row r="7450" spans="1:1" x14ac:dyDescent="0.25">
      <c r="A7450" s="66"/>
    </row>
    <row r="7451" spans="1:1" x14ac:dyDescent="0.25">
      <c r="A7451" s="66"/>
    </row>
    <row r="7452" spans="1:1" x14ac:dyDescent="0.25">
      <c r="A7452" s="66"/>
    </row>
    <row r="7453" spans="1:1" x14ac:dyDescent="0.25">
      <c r="A7453" s="66"/>
    </row>
    <row r="7454" spans="1:1" x14ac:dyDescent="0.25">
      <c r="A7454" s="66"/>
    </row>
    <row r="7455" spans="1:1" x14ac:dyDescent="0.25">
      <c r="A7455" s="66"/>
    </row>
    <row r="7456" spans="1:1" x14ac:dyDescent="0.25">
      <c r="A7456" s="66"/>
    </row>
    <row r="7457" spans="1:1" x14ac:dyDescent="0.25">
      <c r="A7457" s="66"/>
    </row>
    <row r="7458" spans="1:1" x14ac:dyDescent="0.25">
      <c r="A7458" s="66"/>
    </row>
    <row r="7459" spans="1:1" x14ac:dyDescent="0.25">
      <c r="A7459" s="66"/>
    </row>
    <row r="7460" spans="1:1" x14ac:dyDescent="0.25">
      <c r="A7460" s="66"/>
    </row>
    <row r="7461" spans="1:1" x14ac:dyDescent="0.25">
      <c r="A7461" s="66"/>
    </row>
    <row r="7462" spans="1:1" x14ac:dyDescent="0.25">
      <c r="A7462" s="66"/>
    </row>
    <row r="7463" spans="1:1" x14ac:dyDescent="0.25">
      <c r="A7463" s="66"/>
    </row>
    <row r="7464" spans="1:1" x14ac:dyDescent="0.25">
      <c r="A7464" s="66"/>
    </row>
    <row r="7465" spans="1:1" x14ac:dyDescent="0.25">
      <c r="A7465" s="66"/>
    </row>
    <row r="7466" spans="1:1" x14ac:dyDescent="0.25">
      <c r="A7466" s="66"/>
    </row>
    <row r="7467" spans="1:1" x14ac:dyDescent="0.25">
      <c r="A7467" s="66"/>
    </row>
    <row r="7468" spans="1:1" x14ac:dyDescent="0.25">
      <c r="A7468" s="66"/>
    </row>
    <row r="7469" spans="1:1" x14ac:dyDescent="0.25">
      <c r="A7469" s="66"/>
    </row>
    <row r="7470" spans="1:1" x14ac:dyDescent="0.25">
      <c r="A7470" s="66"/>
    </row>
    <row r="7471" spans="1:1" x14ac:dyDescent="0.25">
      <c r="A7471" s="66"/>
    </row>
    <row r="7472" spans="1:1" x14ac:dyDescent="0.25">
      <c r="A7472" s="66"/>
    </row>
    <row r="7473" spans="1:1" x14ac:dyDescent="0.25">
      <c r="A7473" s="66"/>
    </row>
    <row r="7474" spans="1:1" x14ac:dyDescent="0.25">
      <c r="A7474" s="66"/>
    </row>
    <row r="7475" spans="1:1" x14ac:dyDescent="0.25">
      <c r="A7475" s="66"/>
    </row>
    <row r="7476" spans="1:1" x14ac:dyDescent="0.25">
      <c r="A7476" s="66"/>
    </row>
    <row r="7477" spans="1:1" x14ac:dyDescent="0.25">
      <c r="A7477" s="66"/>
    </row>
    <row r="7478" spans="1:1" x14ac:dyDescent="0.25">
      <c r="A7478" s="66"/>
    </row>
    <row r="7479" spans="1:1" x14ac:dyDescent="0.25">
      <c r="A7479" s="66"/>
    </row>
    <row r="7480" spans="1:1" x14ac:dyDescent="0.25">
      <c r="A7480" s="66"/>
    </row>
    <row r="7481" spans="1:1" x14ac:dyDescent="0.25">
      <c r="A7481" s="66"/>
    </row>
    <row r="7482" spans="1:1" x14ac:dyDescent="0.25">
      <c r="A7482" s="66"/>
    </row>
    <row r="7483" spans="1:1" x14ac:dyDescent="0.25">
      <c r="A7483" s="66"/>
    </row>
    <row r="7484" spans="1:1" x14ac:dyDescent="0.25">
      <c r="A7484" s="66"/>
    </row>
    <row r="7485" spans="1:1" x14ac:dyDescent="0.25">
      <c r="A7485" s="66"/>
    </row>
    <row r="7486" spans="1:1" x14ac:dyDescent="0.25">
      <c r="A7486" s="66"/>
    </row>
    <row r="7487" spans="1:1" x14ac:dyDescent="0.25">
      <c r="A7487" s="66"/>
    </row>
    <row r="7488" spans="1:1" x14ac:dyDescent="0.25">
      <c r="A7488" s="66"/>
    </row>
    <row r="7489" spans="1:1" x14ac:dyDescent="0.25">
      <c r="A7489" s="66"/>
    </row>
    <row r="7490" spans="1:1" x14ac:dyDescent="0.25">
      <c r="A7490" s="66"/>
    </row>
    <row r="7491" spans="1:1" x14ac:dyDescent="0.25">
      <c r="A7491" s="66"/>
    </row>
    <row r="7492" spans="1:1" x14ac:dyDescent="0.25">
      <c r="A7492" s="66"/>
    </row>
    <row r="7493" spans="1:1" x14ac:dyDescent="0.25">
      <c r="A7493" s="66"/>
    </row>
    <row r="7494" spans="1:1" x14ac:dyDescent="0.25">
      <c r="A7494" s="66"/>
    </row>
    <row r="7495" spans="1:1" x14ac:dyDescent="0.25">
      <c r="A7495" s="66"/>
    </row>
    <row r="7496" spans="1:1" x14ac:dyDescent="0.25">
      <c r="A7496" s="66"/>
    </row>
    <row r="7497" spans="1:1" x14ac:dyDescent="0.25">
      <c r="A7497" s="66"/>
    </row>
    <row r="7498" spans="1:1" x14ac:dyDescent="0.25">
      <c r="A7498" s="66"/>
    </row>
    <row r="7499" spans="1:1" x14ac:dyDescent="0.25">
      <c r="A7499" s="66"/>
    </row>
    <row r="7500" spans="1:1" x14ac:dyDescent="0.25">
      <c r="A7500" s="66"/>
    </row>
    <row r="7501" spans="1:1" x14ac:dyDescent="0.25">
      <c r="A7501" s="66"/>
    </row>
    <row r="7502" spans="1:1" x14ac:dyDescent="0.25">
      <c r="A7502" s="66"/>
    </row>
    <row r="7503" spans="1:1" x14ac:dyDescent="0.25">
      <c r="A7503" s="66"/>
    </row>
    <row r="7504" spans="1:1" x14ac:dyDescent="0.25">
      <c r="A7504" s="66"/>
    </row>
    <row r="7505" spans="1:1" x14ac:dyDescent="0.25">
      <c r="A7505" s="66"/>
    </row>
    <row r="7506" spans="1:1" x14ac:dyDescent="0.25">
      <c r="A7506" s="66"/>
    </row>
    <row r="7507" spans="1:1" x14ac:dyDescent="0.25">
      <c r="A7507" s="66"/>
    </row>
    <row r="7508" spans="1:1" x14ac:dyDescent="0.25">
      <c r="A7508" s="66"/>
    </row>
    <row r="7509" spans="1:1" x14ac:dyDescent="0.25">
      <c r="A7509" s="66"/>
    </row>
    <row r="7510" spans="1:1" x14ac:dyDescent="0.25">
      <c r="A7510" s="66"/>
    </row>
    <row r="7511" spans="1:1" x14ac:dyDescent="0.25">
      <c r="A7511" s="66"/>
    </row>
    <row r="7512" spans="1:1" x14ac:dyDescent="0.25">
      <c r="A7512" s="66"/>
    </row>
    <row r="7513" spans="1:1" x14ac:dyDescent="0.25">
      <c r="A7513" s="66"/>
    </row>
    <row r="7514" spans="1:1" x14ac:dyDescent="0.25">
      <c r="A7514" s="66"/>
    </row>
    <row r="7515" spans="1:1" x14ac:dyDescent="0.25">
      <c r="A7515" s="66"/>
    </row>
    <row r="7516" spans="1:1" x14ac:dyDescent="0.25">
      <c r="A7516" s="66"/>
    </row>
    <row r="7517" spans="1:1" x14ac:dyDescent="0.25">
      <c r="A7517" s="66"/>
    </row>
    <row r="7518" spans="1:1" x14ac:dyDescent="0.25">
      <c r="A7518" s="66"/>
    </row>
    <row r="7519" spans="1:1" x14ac:dyDescent="0.25">
      <c r="A7519" s="66"/>
    </row>
    <row r="7520" spans="1:1" x14ac:dyDescent="0.25">
      <c r="A7520" s="66"/>
    </row>
    <row r="7521" spans="1:1" x14ac:dyDescent="0.25">
      <c r="A7521" s="66"/>
    </row>
    <row r="7522" spans="1:1" x14ac:dyDescent="0.25">
      <c r="A7522" s="66"/>
    </row>
    <row r="7523" spans="1:1" x14ac:dyDescent="0.25">
      <c r="A7523" s="66"/>
    </row>
    <row r="7524" spans="1:1" x14ac:dyDescent="0.25">
      <c r="A7524" s="66"/>
    </row>
    <row r="7525" spans="1:1" x14ac:dyDescent="0.25">
      <c r="A7525" s="66"/>
    </row>
    <row r="7526" spans="1:1" x14ac:dyDescent="0.25">
      <c r="A7526" s="66"/>
    </row>
    <row r="7527" spans="1:1" x14ac:dyDescent="0.25">
      <c r="A7527" s="66"/>
    </row>
    <row r="7528" spans="1:1" x14ac:dyDescent="0.25">
      <c r="A7528" s="66"/>
    </row>
    <row r="7529" spans="1:1" x14ac:dyDescent="0.25">
      <c r="A7529" s="66"/>
    </row>
    <row r="7530" spans="1:1" x14ac:dyDescent="0.25">
      <c r="A7530" s="66"/>
    </row>
    <row r="7531" spans="1:1" x14ac:dyDescent="0.25">
      <c r="A7531" s="66"/>
    </row>
    <row r="7532" spans="1:1" x14ac:dyDescent="0.25">
      <c r="A7532" s="66"/>
    </row>
    <row r="7533" spans="1:1" x14ac:dyDescent="0.25">
      <c r="A7533" s="66"/>
    </row>
    <row r="7534" spans="1:1" x14ac:dyDescent="0.25">
      <c r="A7534" s="66"/>
    </row>
    <row r="7535" spans="1:1" x14ac:dyDescent="0.25">
      <c r="A7535" s="66"/>
    </row>
    <row r="7536" spans="1:1" x14ac:dyDescent="0.25">
      <c r="A7536" s="66"/>
    </row>
    <row r="7537" spans="1:1" x14ac:dyDescent="0.25">
      <c r="A7537" s="66"/>
    </row>
    <row r="7538" spans="1:1" x14ac:dyDescent="0.25">
      <c r="A7538" s="66"/>
    </row>
    <row r="7539" spans="1:1" x14ac:dyDescent="0.25">
      <c r="A7539" s="66"/>
    </row>
    <row r="7540" spans="1:1" x14ac:dyDescent="0.25">
      <c r="A7540" s="66"/>
    </row>
    <row r="7541" spans="1:1" x14ac:dyDescent="0.25">
      <c r="A7541" s="66"/>
    </row>
    <row r="7542" spans="1:1" x14ac:dyDescent="0.25">
      <c r="A7542" s="66"/>
    </row>
    <row r="7543" spans="1:1" x14ac:dyDescent="0.25">
      <c r="A7543" s="66"/>
    </row>
    <row r="7544" spans="1:1" x14ac:dyDescent="0.25">
      <c r="A7544" s="66"/>
    </row>
    <row r="7545" spans="1:1" x14ac:dyDescent="0.25">
      <c r="A7545" s="66"/>
    </row>
    <row r="7546" spans="1:1" x14ac:dyDescent="0.25">
      <c r="A7546" s="66"/>
    </row>
    <row r="7547" spans="1:1" x14ac:dyDescent="0.25">
      <c r="A7547" s="66"/>
    </row>
    <row r="7548" spans="1:1" x14ac:dyDescent="0.25">
      <c r="A7548" s="66"/>
    </row>
    <row r="7549" spans="1:1" x14ac:dyDescent="0.25">
      <c r="A7549" s="66"/>
    </row>
    <row r="7550" spans="1:1" x14ac:dyDescent="0.25">
      <c r="A7550" s="66"/>
    </row>
    <row r="7551" spans="1:1" x14ac:dyDescent="0.25">
      <c r="A7551" s="66"/>
    </row>
    <row r="7552" spans="1:1" x14ac:dyDescent="0.25">
      <c r="A7552" s="66"/>
    </row>
    <row r="7553" spans="1:1" x14ac:dyDescent="0.25">
      <c r="A7553" s="66"/>
    </row>
    <row r="7554" spans="1:1" x14ac:dyDescent="0.25">
      <c r="A7554" s="66"/>
    </row>
    <row r="7555" spans="1:1" x14ac:dyDescent="0.25">
      <c r="A7555" s="66"/>
    </row>
    <row r="7556" spans="1:1" x14ac:dyDescent="0.25">
      <c r="A7556" s="66"/>
    </row>
    <row r="7557" spans="1:1" x14ac:dyDescent="0.25">
      <c r="A7557" s="66"/>
    </row>
    <row r="7558" spans="1:1" x14ac:dyDescent="0.25">
      <c r="A7558" s="66"/>
    </row>
    <row r="7559" spans="1:1" x14ac:dyDescent="0.25">
      <c r="A7559" s="66"/>
    </row>
    <row r="7560" spans="1:1" x14ac:dyDescent="0.25">
      <c r="A7560" s="66"/>
    </row>
    <row r="7561" spans="1:1" x14ac:dyDescent="0.25">
      <c r="A7561" s="66"/>
    </row>
    <row r="7562" spans="1:1" x14ac:dyDescent="0.25">
      <c r="A7562" s="66"/>
    </row>
    <row r="7563" spans="1:1" x14ac:dyDescent="0.25">
      <c r="A7563" s="66"/>
    </row>
    <row r="7564" spans="1:1" x14ac:dyDescent="0.25">
      <c r="A7564" s="66"/>
    </row>
    <row r="7565" spans="1:1" x14ac:dyDescent="0.25">
      <c r="A7565" s="66"/>
    </row>
    <row r="7566" spans="1:1" x14ac:dyDescent="0.25">
      <c r="A7566" s="66"/>
    </row>
    <row r="7567" spans="1:1" x14ac:dyDescent="0.25">
      <c r="A7567" s="66"/>
    </row>
    <row r="7568" spans="1:1" x14ac:dyDescent="0.25">
      <c r="A7568" s="66"/>
    </row>
    <row r="7569" spans="1:1" x14ac:dyDescent="0.25">
      <c r="A7569" s="66"/>
    </row>
    <row r="7570" spans="1:1" x14ac:dyDescent="0.25">
      <c r="A7570" s="66"/>
    </row>
    <row r="7571" spans="1:1" x14ac:dyDescent="0.25">
      <c r="A7571" s="66"/>
    </row>
    <row r="7572" spans="1:1" x14ac:dyDescent="0.25">
      <c r="A7572" s="66"/>
    </row>
    <row r="7573" spans="1:1" x14ac:dyDescent="0.25">
      <c r="A7573" s="66"/>
    </row>
    <row r="7574" spans="1:1" x14ac:dyDescent="0.25">
      <c r="A7574" s="66"/>
    </row>
    <row r="7575" spans="1:1" x14ac:dyDescent="0.25">
      <c r="A7575" s="66"/>
    </row>
    <row r="7576" spans="1:1" x14ac:dyDescent="0.25">
      <c r="A7576" s="66"/>
    </row>
    <row r="7577" spans="1:1" x14ac:dyDescent="0.25">
      <c r="A7577" s="66"/>
    </row>
    <row r="7578" spans="1:1" x14ac:dyDescent="0.25">
      <c r="A7578" s="66"/>
    </row>
    <row r="7579" spans="1:1" x14ac:dyDescent="0.25">
      <c r="A7579" s="66"/>
    </row>
    <row r="7580" spans="1:1" x14ac:dyDescent="0.25">
      <c r="A7580" s="66"/>
    </row>
    <row r="7581" spans="1:1" x14ac:dyDescent="0.25">
      <c r="A7581" s="66"/>
    </row>
    <row r="7582" spans="1:1" x14ac:dyDescent="0.25">
      <c r="A7582" s="66"/>
    </row>
    <row r="7583" spans="1:1" x14ac:dyDescent="0.25">
      <c r="A7583" s="66"/>
    </row>
    <row r="7584" spans="1:1" x14ac:dyDescent="0.25">
      <c r="A7584" s="66"/>
    </row>
    <row r="7585" spans="1:1" x14ac:dyDescent="0.25">
      <c r="A7585" s="66"/>
    </row>
    <row r="7586" spans="1:1" x14ac:dyDescent="0.25">
      <c r="A7586" s="66"/>
    </row>
    <row r="7587" spans="1:1" x14ac:dyDescent="0.25">
      <c r="A7587" s="66"/>
    </row>
    <row r="7588" spans="1:1" x14ac:dyDescent="0.25">
      <c r="A7588" s="66"/>
    </row>
    <row r="7589" spans="1:1" x14ac:dyDescent="0.25">
      <c r="A7589" s="66"/>
    </row>
    <row r="7590" spans="1:1" x14ac:dyDescent="0.25">
      <c r="A7590" s="66"/>
    </row>
    <row r="7591" spans="1:1" x14ac:dyDescent="0.25">
      <c r="A7591" s="66"/>
    </row>
    <row r="7592" spans="1:1" x14ac:dyDescent="0.25">
      <c r="A7592" s="66"/>
    </row>
    <row r="7593" spans="1:1" x14ac:dyDescent="0.25">
      <c r="A7593" s="66"/>
    </row>
    <row r="7594" spans="1:1" x14ac:dyDescent="0.25">
      <c r="A7594" s="66"/>
    </row>
    <row r="7595" spans="1:1" x14ac:dyDescent="0.25">
      <c r="A7595" s="66"/>
    </row>
    <row r="7596" spans="1:1" x14ac:dyDescent="0.25">
      <c r="A7596" s="66"/>
    </row>
    <row r="7597" spans="1:1" x14ac:dyDescent="0.25">
      <c r="A7597" s="66"/>
    </row>
    <row r="7598" spans="1:1" x14ac:dyDescent="0.25">
      <c r="A7598" s="66"/>
    </row>
    <row r="7599" spans="1:1" x14ac:dyDescent="0.25">
      <c r="A7599" s="66"/>
    </row>
    <row r="7600" spans="1:1" x14ac:dyDescent="0.25">
      <c r="A7600" s="66"/>
    </row>
    <row r="7601" spans="1:1" x14ac:dyDescent="0.25">
      <c r="A7601" s="66"/>
    </row>
    <row r="7602" spans="1:1" x14ac:dyDescent="0.25">
      <c r="A7602" s="66"/>
    </row>
    <row r="7603" spans="1:1" x14ac:dyDescent="0.25">
      <c r="A7603" s="66"/>
    </row>
    <row r="7604" spans="1:1" x14ac:dyDescent="0.25">
      <c r="A7604" s="66"/>
    </row>
    <row r="7605" spans="1:1" x14ac:dyDescent="0.25">
      <c r="A7605" s="66"/>
    </row>
    <row r="7606" spans="1:1" x14ac:dyDescent="0.25">
      <c r="A7606" s="66"/>
    </row>
    <row r="7607" spans="1:1" x14ac:dyDescent="0.25">
      <c r="A7607" s="66"/>
    </row>
    <row r="7608" spans="1:1" x14ac:dyDescent="0.25">
      <c r="A7608" s="66"/>
    </row>
    <row r="7609" spans="1:1" x14ac:dyDescent="0.25">
      <c r="A7609" s="66"/>
    </row>
    <row r="7610" spans="1:1" x14ac:dyDescent="0.25">
      <c r="A7610" s="66"/>
    </row>
    <row r="7611" spans="1:1" x14ac:dyDescent="0.25">
      <c r="A7611" s="66"/>
    </row>
    <row r="7612" spans="1:1" x14ac:dyDescent="0.25">
      <c r="A7612" s="66"/>
    </row>
    <row r="7613" spans="1:1" x14ac:dyDescent="0.25">
      <c r="A7613" s="66"/>
    </row>
    <row r="7614" spans="1:1" x14ac:dyDescent="0.25">
      <c r="A7614" s="66"/>
    </row>
    <row r="7615" spans="1:1" x14ac:dyDescent="0.25">
      <c r="A7615" s="66"/>
    </row>
    <row r="7616" spans="1:1" x14ac:dyDescent="0.25">
      <c r="A7616" s="66"/>
    </row>
    <row r="7617" spans="1:1" x14ac:dyDescent="0.25">
      <c r="A7617" s="66"/>
    </row>
    <row r="7618" spans="1:1" x14ac:dyDescent="0.25">
      <c r="A7618" s="66"/>
    </row>
    <row r="7619" spans="1:1" x14ac:dyDescent="0.25">
      <c r="A7619" s="66"/>
    </row>
    <row r="7620" spans="1:1" x14ac:dyDescent="0.25">
      <c r="A7620" s="66"/>
    </row>
    <row r="7621" spans="1:1" x14ac:dyDescent="0.25">
      <c r="A7621" s="66"/>
    </row>
    <row r="7622" spans="1:1" x14ac:dyDescent="0.25">
      <c r="A7622" s="66"/>
    </row>
    <row r="7623" spans="1:1" x14ac:dyDescent="0.25">
      <c r="A7623" s="66"/>
    </row>
    <row r="7624" spans="1:1" x14ac:dyDescent="0.25">
      <c r="A7624" s="66"/>
    </row>
    <row r="7625" spans="1:1" x14ac:dyDescent="0.25">
      <c r="A7625" s="66"/>
    </row>
    <row r="7626" spans="1:1" x14ac:dyDescent="0.25">
      <c r="A7626" s="66"/>
    </row>
    <row r="7627" spans="1:1" x14ac:dyDescent="0.25">
      <c r="A7627" s="66"/>
    </row>
    <row r="7628" spans="1:1" x14ac:dyDescent="0.25">
      <c r="A7628" s="66"/>
    </row>
    <row r="7629" spans="1:1" x14ac:dyDescent="0.25">
      <c r="A7629" s="66"/>
    </row>
    <row r="7630" spans="1:1" x14ac:dyDescent="0.25">
      <c r="A7630" s="66"/>
    </row>
    <row r="7631" spans="1:1" x14ac:dyDescent="0.25">
      <c r="A7631" s="66"/>
    </row>
    <row r="7632" spans="1:1" x14ac:dyDescent="0.25">
      <c r="A7632" s="66"/>
    </row>
    <row r="7633" spans="1:1" x14ac:dyDescent="0.25">
      <c r="A7633" s="66"/>
    </row>
    <row r="7634" spans="1:1" x14ac:dyDescent="0.25">
      <c r="A7634" s="66"/>
    </row>
    <row r="7635" spans="1:1" x14ac:dyDescent="0.25">
      <c r="A7635" s="66"/>
    </row>
    <row r="7636" spans="1:1" x14ac:dyDescent="0.25">
      <c r="A7636" s="66"/>
    </row>
    <row r="7637" spans="1:1" x14ac:dyDescent="0.25">
      <c r="A7637" s="66"/>
    </row>
    <row r="7638" spans="1:1" x14ac:dyDescent="0.25">
      <c r="A7638" s="66"/>
    </row>
    <row r="7639" spans="1:1" x14ac:dyDescent="0.25">
      <c r="A7639" s="66"/>
    </row>
    <row r="7640" spans="1:1" x14ac:dyDescent="0.25">
      <c r="A7640" s="66"/>
    </row>
    <row r="7641" spans="1:1" x14ac:dyDescent="0.25">
      <c r="A7641" s="66"/>
    </row>
    <row r="7642" spans="1:1" x14ac:dyDescent="0.25">
      <c r="A7642" s="66"/>
    </row>
    <row r="7643" spans="1:1" x14ac:dyDescent="0.25">
      <c r="A7643" s="66"/>
    </row>
    <row r="7644" spans="1:1" x14ac:dyDescent="0.25">
      <c r="A7644" s="66"/>
    </row>
    <row r="7645" spans="1:1" x14ac:dyDescent="0.25">
      <c r="A7645" s="66"/>
    </row>
    <row r="7646" spans="1:1" x14ac:dyDescent="0.25">
      <c r="A7646" s="66"/>
    </row>
    <row r="7647" spans="1:1" x14ac:dyDescent="0.25">
      <c r="A7647" s="66"/>
    </row>
    <row r="7648" spans="1:1" x14ac:dyDescent="0.25">
      <c r="A7648" s="66"/>
    </row>
    <row r="7649" spans="1:1" x14ac:dyDescent="0.25">
      <c r="A7649" s="66"/>
    </row>
    <row r="7650" spans="1:1" x14ac:dyDescent="0.25">
      <c r="A7650" s="66"/>
    </row>
    <row r="7651" spans="1:1" x14ac:dyDescent="0.25">
      <c r="A7651" s="66"/>
    </row>
    <row r="7652" spans="1:1" x14ac:dyDescent="0.25">
      <c r="A7652" s="66"/>
    </row>
    <row r="7653" spans="1:1" x14ac:dyDescent="0.25">
      <c r="A7653" s="66"/>
    </row>
    <row r="7654" spans="1:1" x14ac:dyDescent="0.25">
      <c r="A7654" s="66"/>
    </row>
    <row r="7655" spans="1:1" x14ac:dyDescent="0.25">
      <c r="A7655" s="66"/>
    </row>
    <row r="7656" spans="1:1" x14ac:dyDescent="0.25">
      <c r="A7656" s="66"/>
    </row>
    <row r="7657" spans="1:1" x14ac:dyDescent="0.25">
      <c r="A7657" s="66"/>
    </row>
    <row r="7658" spans="1:1" x14ac:dyDescent="0.25">
      <c r="A7658" s="66"/>
    </row>
    <row r="7659" spans="1:1" x14ac:dyDescent="0.25">
      <c r="A7659" s="66"/>
    </row>
    <row r="7660" spans="1:1" x14ac:dyDescent="0.25">
      <c r="A7660" s="66"/>
    </row>
    <row r="7661" spans="1:1" x14ac:dyDescent="0.25">
      <c r="A7661" s="66"/>
    </row>
    <row r="7662" spans="1:1" x14ac:dyDescent="0.25">
      <c r="A7662" s="66"/>
    </row>
    <row r="7663" spans="1:1" x14ac:dyDescent="0.25">
      <c r="A7663" s="66"/>
    </row>
    <row r="7664" spans="1:1" x14ac:dyDescent="0.25">
      <c r="A7664" s="66"/>
    </row>
    <row r="7665" spans="1:1" x14ac:dyDescent="0.25">
      <c r="A7665" s="66"/>
    </row>
    <row r="7666" spans="1:1" x14ac:dyDescent="0.25">
      <c r="A7666" s="66"/>
    </row>
    <row r="7667" spans="1:1" x14ac:dyDescent="0.25">
      <c r="A7667" s="66"/>
    </row>
    <row r="7668" spans="1:1" x14ac:dyDescent="0.25">
      <c r="A7668" s="66"/>
    </row>
    <row r="7669" spans="1:1" x14ac:dyDescent="0.25">
      <c r="A7669" s="66"/>
    </row>
    <row r="7670" spans="1:1" x14ac:dyDescent="0.25">
      <c r="A7670" s="66"/>
    </row>
    <row r="7671" spans="1:1" x14ac:dyDescent="0.25">
      <c r="A7671" s="66"/>
    </row>
    <row r="7672" spans="1:1" x14ac:dyDescent="0.25">
      <c r="A7672" s="66"/>
    </row>
    <row r="7673" spans="1:1" x14ac:dyDescent="0.25">
      <c r="A7673" s="66"/>
    </row>
    <row r="7674" spans="1:1" x14ac:dyDescent="0.25">
      <c r="A7674" s="66"/>
    </row>
    <row r="7675" spans="1:1" x14ac:dyDescent="0.25">
      <c r="A7675" s="66"/>
    </row>
    <row r="7676" spans="1:1" x14ac:dyDescent="0.25">
      <c r="A7676" s="66"/>
    </row>
    <row r="7677" spans="1:1" x14ac:dyDescent="0.25">
      <c r="A7677" s="66"/>
    </row>
    <row r="7678" spans="1:1" x14ac:dyDescent="0.25">
      <c r="A7678" s="66"/>
    </row>
    <row r="7679" spans="1:1" x14ac:dyDescent="0.25">
      <c r="A7679" s="66"/>
    </row>
    <row r="7680" spans="1:1" x14ac:dyDescent="0.25">
      <c r="A7680" s="66"/>
    </row>
    <row r="7681" spans="1:1" x14ac:dyDescent="0.25">
      <c r="A7681" s="66"/>
    </row>
    <row r="7682" spans="1:1" x14ac:dyDescent="0.25">
      <c r="A7682" s="66"/>
    </row>
    <row r="7683" spans="1:1" x14ac:dyDescent="0.25">
      <c r="A7683" s="66"/>
    </row>
    <row r="7684" spans="1:1" x14ac:dyDescent="0.25">
      <c r="A7684" s="66"/>
    </row>
    <row r="7685" spans="1:1" x14ac:dyDescent="0.25">
      <c r="A7685" s="66"/>
    </row>
    <row r="7686" spans="1:1" x14ac:dyDescent="0.25">
      <c r="A7686" s="66"/>
    </row>
    <row r="7687" spans="1:1" x14ac:dyDescent="0.25">
      <c r="A7687" s="66"/>
    </row>
    <row r="7688" spans="1:1" x14ac:dyDescent="0.25">
      <c r="A7688" s="66"/>
    </row>
    <row r="7689" spans="1:1" x14ac:dyDescent="0.25">
      <c r="A7689" s="66"/>
    </row>
    <row r="7690" spans="1:1" x14ac:dyDescent="0.25">
      <c r="A7690" s="66"/>
    </row>
    <row r="7691" spans="1:1" x14ac:dyDescent="0.25">
      <c r="A7691" s="66"/>
    </row>
    <row r="7692" spans="1:1" x14ac:dyDescent="0.25">
      <c r="A7692" s="66"/>
    </row>
    <row r="7693" spans="1:1" x14ac:dyDescent="0.25">
      <c r="A7693" s="66"/>
    </row>
    <row r="7694" spans="1:1" x14ac:dyDescent="0.25">
      <c r="A7694" s="66"/>
    </row>
    <row r="7695" spans="1:1" x14ac:dyDescent="0.25">
      <c r="A7695" s="66"/>
    </row>
    <row r="7696" spans="1:1" x14ac:dyDescent="0.25">
      <c r="A7696" s="66"/>
    </row>
    <row r="7697" spans="1:1" x14ac:dyDescent="0.25">
      <c r="A7697" s="66"/>
    </row>
    <row r="7698" spans="1:1" x14ac:dyDescent="0.25">
      <c r="A7698" s="66"/>
    </row>
    <row r="7699" spans="1:1" x14ac:dyDescent="0.25">
      <c r="A7699" s="66"/>
    </row>
    <row r="7700" spans="1:1" x14ac:dyDescent="0.25">
      <c r="A7700" s="66"/>
    </row>
    <row r="7701" spans="1:1" x14ac:dyDescent="0.25">
      <c r="A7701" s="66"/>
    </row>
    <row r="7702" spans="1:1" x14ac:dyDescent="0.25">
      <c r="A7702" s="66"/>
    </row>
    <row r="7703" spans="1:1" x14ac:dyDescent="0.25">
      <c r="A7703" s="66"/>
    </row>
    <row r="7704" spans="1:1" x14ac:dyDescent="0.25">
      <c r="A7704" s="66"/>
    </row>
    <row r="7705" spans="1:1" x14ac:dyDescent="0.25">
      <c r="A7705" s="66"/>
    </row>
    <row r="7706" spans="1:1" x14ac:dyDescent="0.25">
      <c r="A7706" s="66"/>
    </row>
    <row r="7707" spans="1:1" x14ac:dyDescent="0.25">
      <c r="A7707" s="66"/>
    </row>
    <row r="7708" spans="1:1" x14ac:dyDescent="0.25">
      <c r="A7708" s="66"/>
    </row>
    <row r="7709" spans="1:1" x14ac:dyDescent="0.25">
      <c r="A7709" s="66"/>
    </row>
    <row r="7710" spans="1:1" x14ac:dyDescent="0.25">
      <c r="A7710" s="66"/>
    </row>
    <row r="7711" spans="1:1" x14ac:dyDescent="0.25">
      <c r="A7711" s="66"/>
    </row>
    <row r="7712" spans="1:1" x14ac:dyDescent="0.25">
      <c r="A7712" s="66"/>
    </row>
    <row r="7713" spans="1:1" x14ac:dyDescent="0.25">
      <c r="A7713" s="66"/>
    </row>
    <row r="7714" spans="1:1" x14ac:dyDescent="0.25">
      <c r="A7714" s="66"/>
    </row>
    <row r="7715" spans="1:1" x14ac:dyDescent="0.25">
      <c r="A7715" s="66"/>
    </row>
    <row r="7716" spans="1:1" x14ac:dyDescent="0.25">
      <c r="A7716" s="66"/>
    </row>
    <row r="7717" spans="1:1" x14ac:dyDescent="0.25">
      <c r="A7717" s="66"/>
    </row>
    <row r="7718" spans="1:1" x14ac:dyDescent="0.25">
      <c r="A7718" s="66"/>
    </row>
    <row r="7719" spans="1:1" x14ac:dyDescent="0.25">
      <c r="A7719" s="66"/>
    </row>
    <row r="7720" spans="1:1" x14ac:dyDescent="0.25">
      <c r="A7720" s="66"/>
    </row>
    <row r="7721" spans="1:1" x14ac:dyDescent="0.25">
      <c r="A7721" s="66"/>
    </row>
    <row r="7722" spans="1:1" x14ac:dyDescent="0.25">
      <c r="A7722" s="66"/>
    </row>
    <row r="7723" spans="1:1" x14ac:dyDescent="0.25">
      <c r="A7723" s="66"/>
    </row>
    <row r="7724" spans="1:1" x14ac:dyDescent="0.25">
      <c r="A7724" s="66"/>
    </row>
    <row r="7725" spans="1:1" x14ac:dyDescent="0.25">
      <c r="A7725" s="66"/>
    </row>
    <row r="7726" spans="1:1" x14ac:dyDescent="0.25">
      <c r="A7726" s="66"/>
    </row>
    <row r="7727" spans="1:1" x14ac:dyDescent="0.25">
      <c r="A7727" s="66"/>
    </row>
    <row r="7728" spans="1:1" x14ac:dyDescent="0.25">
      <c r="A7728" s="66"/>
    </row>
    <row r="7729" spans="1:1" x14ac:dyDescent="0.25">
      <c r="A7729" s="66"/>
    </row>
    <row r="7730" spans="1:1" x14ac:dyDescent="0.25">
      <c r="A7730" s="66"/>
    </row>
    <row r="7731" spans="1:1" x14ac:dyDescent="0.25">
      <c r="A7731" s="66"/>
    </row>
    <row r="7732" spans="1:1" x14ac:dyDescent="0.25">
      <c r="A7732" s="66"/>
    </row>
    <row r="7733" spans="1:1" x14ac:dyDescent="0.25">
      <c r="A7733" s="66"/>
    </row>
    <row r="7734" spans="1:1" x14ac:dyDescent="0.25">
      <c r="A7734" s="66"/>
    </row>
    <row r="7735" spans="1:1" x14ac:dyDescent="0.25">
      <c r="A7735" s="66"/>
    </row>
    <row r="7736" spans="1:1" x14ac:dyDescent="0.25">
      <c r="A7736" s="66"/>
    </row>
    <row r="7737" spans="1:1" x14ac:dyDescent="0.25">
      <c r="A7737" s="66"/>
    </row>
    <row r="7738" spans="1:1" x14ac:dyDescent="0.25">
      <c r="A7738" s="66"/>
    </row>
    <row r="7739" spans="1:1" x14ac:dyDescent="0.25">
      <c r="A7739" s="66"/>
    </row>
    <row r="7740" spans="1:1" x14ac:dyDescent="0.25">
      <c r="A7740" s="66"/>
    </row>
    <row r="7741" spans="1:1" x14ac:dyDescent="0.25">
      <c r="A7741" s="66"/>
    </row>
    <row r="7742" spans="1:1" x14ac:dyDescent="0.25">
      <c r="A7742" s="66"/>
    </row>
    <row r="7743" spans="1:1" x14ac:dyDescent="0.25">
      <c r="A7743" s="66"/>
    </row>
    <row r="7744" spans="1:1" x14ac:dyDescent="0.25">
      <c r="A7744" s="66"/>
    </row>
    <row r="7745" spans="1:1" x14ac:dyDescent="0.25">
      <c r="A7745" s="66"/>
    </row>
    <row r="7746" spans="1:1" x14ac:dyDescent="0.25">
      <c r="A7746" s="66"/>
    </row>
    <row r="7747" spans="1:1" x14ac:dyDescent="0.25">
      <c r="A7747" s="66"/>
    </row>
    <row r="7748" spans="1:1" x14ac:dyDescent="0.25">
      <c r="A7748" s="66"/>
    </row>
    <row r="7749" spans="1:1" x14ac:dyDescent="0.25">
      <c r="A7749" s="66"/>
    </row>
    <row r="7750" spans="1:1" x14ac:dyDescent="0.25">
      <c r="A7750" s="66"/>
    </row>
    <row r="7751" spans="1:1" x14ac:dyDescent="0.25">
      <c r="A7751" s="66"/>
    </row>
    <row r="7752" spans="1:1" x14ac:dyDescent="0.25">
      <c r="A7752" s="66"/>
    </row>
    <row r="7753" spans="1:1" x14ac:dyDescent="0.25">
      <c r="A7753" s="66"/>
    </row>
    <row r="7754" spans="1:1" x14ac:dyDescent="0.25">
      <c r="A7754" s="66"/>
    </row>
    <row r="7755" spans="1:1" x14ac:dyDescent="0.25">
      <c r="A7755" s="66"/>
    </row>
    <row r="7756" spans="1:1" x14ac:dyDescent="0.25">
      <c r="A7756" s="66"/>
    </row>
    <row r="7757" spans="1:1" x14ac:dyDescent="0.25">
      <c r="A7757" s="66"/>
    </row>
    <row r="7758" spans="1:1" x14ac:dyDescent="0.25">
      <c r="A7758" s="66"/>
    </row>
    <row r="7759" spans="1:1" x14ac:dyDescent="0.25">
      <c r="A7759" s="66"/>
    </row>
    <row r="7760" spans="1:1" x14ac:dyDescent="0.25">
      <c r="A7760" s="66"/>
    </row>
    <row r="7761" spans="1:1" x14ac:dyDescent="0.25">
      <c r="A7761" s="66"/>
    </row>
    <row r="7762" spans="1:1" x14ac:dyDescent="0.25">
      <c r="A7762" s="66"/>
    </row>
    <row r="7763" spans="1:1" x14ac:dyDescent="0.25">
      <c r="A7763" s="66"/>
    </row>
    <row r="7764" spans="1:1" x14ac:dyDescent="0.25">
      <c r="A7764" s="66"/>
    </row>
    <row r="7765" spans="1:1" x14ac:dyDescent="0.25">
      <c r="A7765" s="66"/>
    </row>
    <row r="7766" spans="1:1" x14ac:dyDescent="0.25">
      <c r="A7766" s="66"/>
    </row>
    <row r="7767" spans="1:1" x14ac:dyDescent="0.25">
      <c r="A7767" s="66"/>
    </row>
    <row r="7768" spans="1:1" x14ac:dyDescent="0.25">
      <c r="A7768" s="66"/>
    </row>
    <row r="7769" spans="1:1" x14ac:dyDescent="0.25">
      <c r="A7769" s="66"/>
    </row>
    <row r="7770" spans="1:1" x14ac:dyDescent="0.25">
      <c r="A7770" s="66"/>
    </row>
    <row r="7771" spans="1:1" x14ac:dyDescent="0.25">
      <c r="A7771" s="66"/>
    </row>
    <row r="7772" spans="1:1" x14ac:dyDescent="0.25">
      <c r="A7772" s="66"/>
    </row>
    <row r="7773" spans="1:1" x14ac:dyDescent="0.25">
      <c r="A7773" s="66"/>
    </row>
    <row r="7774" spans="1:1" x14ac:dyDescent="0.25">
      <c r="A7774" s="66"/>
    </row>
    <row r="7775" spans="1:1" x14ac:dyDescent="0.25">
      <c r="A7775" s="66"/>
    </row>
    <row r="7776" spans="1:1" x14ac:dyDescent="0.25">
      <c r="A7776" s="66"/>
    </row>
    <row r="7777" spans="1:1" x14ac:dyDescent="0.25">
      <c r="A7777" s="66"/>
    </row>
    <row r="7778" spans="1:1" x14ac:dyDescent="0.25">
      <c r="A7778" s="66"/>
    </row>
    <row r="7779" spans="1:1" x14ac:dyDescent="0.25">
      <c r="A7779" s="66"/>
    </row>
    <row r="7780" spans="1:1" x14ac:dyDescent="0.25">
      <c r="A7780" s="66"/>
    </row>
    <row r="7781" spans="1:1" x14ac:dyDescent="0.25">
      <c r="A7781" s="66"/>
    </row>
    <row r="7782" spans="1:1" x14ac:dyDescent="0.25">
      <c r="A7782" s="66"/>
    </row>
    <row r="7783" spans="1:1" x14ac:dyDescent="0.25">
      <c r="A7783" s="66"/>
    </row>
    <row r="7784" spans="1:1" x14ac:dyDescent="0.25">
      <c r="A7784" s="66"/>
    </row>
    <row r="7785" spans="1:1" x14ac:dyDescent="0.25">
      <c r="A7785" s="66"/>
    </row>
    <row r="7786" spans="1:1" x14ac:dyDescent="0.25">
      <c r="A7786" s="66"/>
    </row>
    <row r="7787" spans="1:1" x14ac:dyDescent="0.25">
      <c r="A7787" s="66"/>
    </row>
    <row r="7788" spans="1:1" x14ac:dyDescent="0.25">
      <c r="A7788" s="66"/>
    </row>
    <row r="7789" spans="1:1" x14ac:dyDescent="0.25">
      <c r="A7789" s="66"/>
    </row>
    <row r="7790" spans="1:1" x14ac:dyDescent="0.25">
      <c r="A7790" s="66"/>
    </row>
    <row r="7791" spans="1:1" x14ac:dyDescent="0.25">
      <c r="A7791" s="66"/>
    </row>
    <row r="7792" spans="1:1" x14ac:dyDescent="0.25">
      <c r="A7792" s="66"/>
    </row>
    <row r="7793" spans="1:1" x14ac:dyDescent="0.25">
      <c r="A7793" s="66"/>
    </row>
    <row r="7794" spans="1:1" x14ac:dyDescent="0.25">
      <c r="A7794" s="66"/>
    </row>
    <row r="7795" spans="1:1" x14ac:dyDescent="0.25">
      <c r="A7795" s="66"/>
    </row>
    <row r="7796" spans="1:1" x14ac:dyDescent="0.25">
      <c r="A7796" s="66"/>
    </row>
    <row r="7797" spans="1:1" x14ac:dyDescent="0.25">
      <c r="A7797" s="66"/>
    </row>
    <row r="7798" spans="1:1" x14ac:dyDescent="0.25">
      <c r="A7798" s="66"/>
    </row>
    <row r="7799" spans="1:1" x14ac:dyDescent="0.25">
      <c r="A7799" s="66"/>
    </row>
    <row r="7800" spans="1:1" x14ac:dyDescent="0.25">
      <c r="A7800" s="66"/>
    </row>
    <row r="7801" spans="1:1" x14ac:dyDescent="0.25">
      <c r="A7801" s="66"/>
    </row>
    <row r="7802" spans="1:1" x14ac:dyDescent="0.25">
      <c r="A7802" s="66"/>
    </row>
    <row r="7803" spans="1:1" x14ac:dyDescent="0.25">
      <c r="A7803" s="66"/>
    </row>
    <row r="7804" spans="1:1" x14ac:dyDescent="0.25">
      <c r="A7804" s="66"/>
    </row>
    <row r="7805" spans="1:1" x14ac:dyDescent="0.25">
      <c r="A7805" s="66"/>
    </row>
    <row r="7806" spans="1:1" x14ac:dyDescent="0.25">
      <c r="A7806" s="66"/>
    </row>
    <row r="7807" spans="1:1" x14ac:dyDescent="0.25">
      <c r="A7807" s="66"/>
    </row>
    <row r="7808" spans="1:1" x14ac:dyDescent="0.25">
      <c r="A7808" s="66"/>
    </row>
    <row r="7809" spans="1:1" x14ac:dyDescent="0.25">
      <c r="A7809" s="66"/>
    </row>
    <row r="7810" spans="1:1" x14ac:dyDescent="0.25">
      <c r="A7810" s="66"/>
    </row>
    <row r="7811" spans="1:1" x14ac:dyDescent="0.25">
      <c r="A7811" s="66"/>
    </row>
    <row r="7812" spans="1:1" x14ac:dyDescent="0.25">
      <c r="A7812" s="66"/>
    </row>
    <row r="7813" spans="1:1" x14ac:dyDescent="0.25">
      <c r="A7813" s="66"/>
    </row>
    <row r="7814" spans="1:1" x14ac:dyDescent="0.25">
      <c r="A7814" s="66"/>
    </row>
    <row r="7815" spans="1:1" x14ac:dyDescent="0.25">
      <c r="A7815" s="66"/>
    </row>
    <row r="7816" spans="1:1" x14ac:dyDescent="0.25">
      <c r="A7816" s="66"/>
    </row>
    <row r="7817" spans="1:1" x14ac:dyDescent="0.25">
      <c r="A7817" s="66"/>
    </row>
    <row r="7818" spans="1:1" x14ac:dyDescent="0.25">
      <c r="A7818" s="66"/>
    </row>
    <row r="7819" spans="1:1" x14ac:dyDescent="0.25">
      <c r="A7819" s="66"/>
    </row>
    <row r="7820" spans="1:1" x14ac:dyDescent="0.25">
      <c r="A7820" s="66"/>
    </row>
    <row r="7821" spans="1:1" x14ac:dyDescent="0.25">
      <c r="A7821" s="66"/>
    </row>
    <row r="7822" spans="1:1" x14ac:dyDescent="0.25">
      <c r="A7822" s="66"/>
    </row>
    <row r="7823" spans="1:1" x14ac:dyDescent="0.25">
      <c r="A7823" s="66"/>
    </row>
    <row r="7824" spans="1:1" x14ac:dyDescent="0.25">
      <c r="A7824" s="66"/>
    </row>
    <row r="7825" spans="1:1" x14ac:dyDescent="0.25">
      <c r="A7825" s="66"/>
    </row>
    <row r="7826" spans="1:1" x14ac:dyDescent="0.25">
      <c r="A7826" s="66"/>
    </row>
    <row r="7827" spans="1:1" x14ac:dyDescent="0.25">
      <c r="A7827" s="66"/>
    </row>
    <row r="7828" spans="1:1" x14ac:dyDescent="0.25">
      <c r="A7828" s="66"/>
    </row>
    <row r="7829" spans="1:1" x14ac:dyDescent="0.25">
      <c r="A7829" s="66"/>
    </row>
    <row r="7830" spans="1:1" x14ac:dyDescent="0.25">
      <c r="A7830" s="66"/>
    </row>
    <row r="7831" spans="1:1" x14ac:dyDescent="0.25">
      <c r="A7831" s="66"/>
    </row>
    <row r="7832" spans="1:1" x14ac:dyDescent="0.25">
      <c r="A7832" s="66"/>
    </row>
    <row r="7833" spans="1:1" x14ac:dyDescent="0.25">
      <c r="A7833" s="66"/>
    </row>
    <row r="7834" spans="1:1" x14ac:dyDescent="0.25">
      <c r="A7834" s="66"/>
    </row>
    <row r="7835" spans="1:1" x14ac:dyDescent="0.25">
      <c r="A7835" s="66"/>
    </row>
    <row r="7836" spans="1:1" x14ac:dyDescent="0.25">
      <c r="A7836" s="66"/>
    </row>
    <row r="7837" spans="1:1" x14ac:dyDescent="0.25">
      <c r="A7837" s="66"/>
    </row>
    <row r="7838" spans="1:1" x14ac:dyDescent="0.25">
      <c r="A7838" s="66"/>
    </row>
    <row r="7839" spans="1:1" x14ac:dyDescent="0.25">
      <c r="A7839" s="66"/>
    </row>
    <row r="7840" spans="1:1" x14ac:dyDescent="0.25">
      <c r="A7840" s="66"/>
    </row>
    <row r="7841" spans="1:1" x14ac:dyDescent="0.25">
      <c r="A7841" s="66"/>
    </row>
    <row r="7842" spans="1:1" x14ac:dyDescent="0.25">
      <c r="A7842" s="66"/>
    </row>
    <row r="7843" spans="1:1" x14ac:dyDescent="0.25">
      <c r="A7843" s="66"/>
    </row>
    <row r="7844" spans="1:1" x14ac:dyDescent="0.25">
      <c r="A7844" s="66"/>
    </row>
    <row r="7845" spans="1:1" x14ac:dyDescent="0.25">
      <c r="A7845" s="66"/>
    </row>
    <row r="7846" spans="1:1" x14ac:dyDescent="0.25">
      <c r="A7846" s="66"/>
    </row>
    <row r="7847" spans="1:1" x14ac:dyDescent="0.25">
      <c r="A7847" s="66"/>
    </row>
    <row r="7848" spans="1:1" x14ac:dyDescent="0.25">
      <c r="A7848" s="66"/>
    </row>
    <row r="7849" spans="1:1" x14ac:dyDescent="0.25">
      <c r="A7849" s="66"/>
    </row>
    <row r="7850" spans="1:1" x14ac:dyDescent="0.25">
      <c r="A7850" s="66"/>
    </row>
    <row r="7851" spans="1:1" x14ac:dyDescent="0.25">
      <c r="A7851" s="66"/>
    </row>
    <row r="7852" spans="1:1" x14ac:dyDescent="0.25">
      <c r="A7852" s="66"/>
    </row>
    <row r="7853" spans="1:1" x14ac:dyDescent="0.25">
      <c r="A7853" s="66"/>
    </row>
    <row r="7854" spans="1:1" x14ac:dyDescent="0.25">
      <c r="A7854" s="66"/>
    </row>
    <row r="7855" spans="1:1" x14ac:dyDescent="0.25">
      <c r="A7855" s="66"/>
    </row>
    <row r="7856" spans="1:1" x14ac:dyDescent="0.25">
      <c r="A7856" s="66"/>
    </row>
    <row r="7857" spans="1:1" x14ac:dyDescent="0.25">
      <c r="A7857" s="66"/>
    </row>
    <row r="7858" spans="1:1" x14ac:dyDescent="0.25">
      <c r="A7858" s="66"/>
    </row>
    <row r="7859" spans="1:1" x14ac:dyDescent="0.25">
      <c r="A7859" s="66"/>
    </row>
    <row r="7860" spans="1:1" x14ac:dyDescent="0.25">
      <c r="A7860" s="66"/>
    </row>
    <row r="7861" spans="1:1" x14ac:dyDescent="0.25">
      <c r="A7861" s="66"/>
    </row>
    <row r="7862" spans="1:1" x14ac:dyDescent="0.25">
      <c r="A7862" s="66"/>
    </row>
    <row r="7863" spans="1:1" x14ac:dyDescent="0.25">
      <c r="A7863" s="66"/>
    </row>
    <row r="7864" spans="1:1" x14ac:dyDescent="0.25">
      <c r="A7864" s="66"/>
    </row>
    <row r="7865" spans="1:1" x14ac:dyDescent="0.25">
      <c r="A7865" s="66"/>
    </row>
    <row r="7866" spans="1:1" x14ac:dyDescent="0.25">
      <c r="A7866" s="66"/>
    </row>
    <row r="7867" spans="1:1" x14ac:dyDescent="0.25">
      <c r="A7867" s="66"/>
    </row>
    <row r="7868" spans="1:1" x14ac:dyDescent="0.25">
      <c r="A7868" s="66"/>
    </row>
    <row r="7869" spans="1:1" x14ac:dyDescent="0.25">
      <c r="A7869" s="66"/>
    </row>
    <row r="7870" spans="1:1" x14ac:dyDescent="0.25">
      <c r="A7870" s="66"/>
    </row>
    <row r="7871" spans="1:1" x14ac:dyDescent="0.25">
      <c r="A7871" s="66"/>
    </row>
    <row r="7872" spans="1:1" x14ac:dyDescent="0.25">
      <c r="A7872" s="66"/>
    </row>
    <row r="7873" spans="1:1" x14ac:dyDescent="0.25">
      <c r="A7873" s="66"/>
    </row>
    <row r="7874" spans="1:1" x14ac:dyDescent="0.25">
      <c r="A7874" s="66"/>
    </row>
    <row r="7875" spans="1:1" x14ac:dyDescent="0.25">
      <c r="A7875" s="66"/>
    </row>
    <row r="7876" spans="1:1" x14ac:dyDescent="0.25">
      <c r="A7876" s="66"/>
    </row>
    <row r="7877" spans="1:1" x14ac:dyDescent="0.25">
      <c r="A7877" s="66"/>
    </row>
    <row r="7878" spans="1:1" x14ac:dyDescent="0.25">
      <c r="A7878" s="66"/>
    </row>
    <row r="7879" spans="1:1" x14ac:dyDescent="0.25">
      <c r="A7879" s="66"/>
    </row>
    <row r="7880" spans="1:1" x14ac:dyDescent="0.25">
      <c r="A7880" s="66"/>
    </row>
    <row r="7881" spans="1:1" x14ac:dyDescent="0.25">
      <c r="A7881" s="66"/>
    </row>
    <row r="7882" spans="1:1" x14ac:dyDescent="0.25">
      <c r="A7882" s="66"/>
    </row>
    <row r="7883" spans="1:1" x14ac:dyDescent="0.25">
      <c r="A7883" s="66"/>
    </row>
    <row r="7884" spans="1:1" x14ac:dyDescent="0.25">
      <c r="A7884" s="66"/>
    </row>
    <row r="7885" spans="1:1" x14ac:dyDescent="0.25">
      <c r="A7885" s="66"/>
    </row>
    <row r="7886" spans="1:1" x14ac:dyDescent="0.25">
      <c r="A7886" s="66"/>
    </row>
    <row r="7887" spans="1:1" x14ac:dyDescent="0.25">
      <c r="A7887" s="66"/>
    </row>
    <row r="7888" spans="1:1" x14ac:dyDescent="0.25">
      <c r="A7888" s="66"/>
    </row>
    <row r="7889" spans="1:1" x14ac:dyDescent="0.25">
      <c r="A7889" s="66"/>
    </row>
    <row r="7890" spans="1:1" x14ac:dyDescent="0.25">
      <c r="A7890" s="66"/>
    </row>
    <row r="7891" spans="1:1" x14ac:dyDescent="0.25">
      <c r="A7891" s="66"/>
    </row>
    <row r="7892" spans="1:1" x14ac:dyDescent="0.25">
      <c r="A7892" s="66"/>
    </row>
    <row r="7893" spans="1:1" x14ac:dyDescent="0.25">
      <c r="A7893" s="66"/>
    </row>
    <row r="7894" spans="1:1" x14ac:dyDescent="0.25">
      <c r="A7894" s="66"/>
    </row>
    <row r="7895" spans="1:1" x14ac:dyDescent="0.25">
      <c r="A7895" s="66"/>
    </row>
    <row r="7896" spans="1:1" x14ac:dyDescent="0.25">
      <c r="A7896" s="66"/>
    </row>
    <row r="7897" spans="1:1" x14ac:dyDescent="0.25">
      <c r="A7897" s="66"/>
    </row>
    <row r="7898" spans="1:1" x14ac:dyDescent="0.25">
      <c r="A7898" s="66"/>
    </row>
    <row r="7899" spans="1:1" x14ac:dyDescent="0.25">
      <c r="A7899" s="66"/>
    </row>
    <row r="7900" spans="1:1" x14ac:dyDescent="0.25">
      <c r="A7900" s="66"/>
    </row>
    <row r="7901" spans="1:1" x14ac:dyDescent="0.25">
      <c r="A7901" s="66"/>
    </row>
    <row r="7902" spans="1:1" x14ac:dyDescent="0.25">
      <c r="A7902" s="66"/>
    </row>
    <row r="7903" spans="1:1" x14ac:dyDescent="0.25">
      <c r="A7903" s="66"/>
    </row>
    <row r="7904" spans="1:1" x14ac:dyDescent="0.25">
      <c r="A7904" s="66"/>
    </row>
    <row r="7905" spans="1:1" x14ac:dyDescent="0.25">
      <c r="A7905" s="66"/>
    </row>
    <row r="7906" spans="1:1" x14ac:dyDescent="0.25">
      <c r="A7906" s="66"/>
    </row>
    <row r="7907" spans="1:1" x14ac:dyDescent="0.25">
      <c r="A7907" s="66"/>
    </row>
    <row r="7908" spans="1:1" x14ac:dyDescent="0.25">
      <c r="A7908" s="66"/>
    </row>
    <row r="7909" spans="1:1" x14ac:dyDescent="0.25">
      <c r="A7909" s="66"/>
    </row>
    <row r="7910" spans="1:1" x14ac:dyDescent="0.25">
      <c r="A7910" s="66"/>
    </row>
    <row r="7911" spans="1:1" x14ac:dyDescent="0.25">
      <c r="A7911" s="66"/>
    </row>
    <row r="7912" spans="1:1" x14ac:dyDescent="0.25">
      <c r="A7912" s="66"/>
    </row>
    <row r="7913" spans="1:1" x14ac:dyDescent="0.25">
      <c r="A7913" s="66"/>
    </row>
    <row r="7914" spans="1:1" x14ac:dyDescent="0.25">
      <c r="A7914" s="66"/>
    </row>
    <row r="7915" spans="1:1" x14ac:dyDescent="0.25">
      <c r="A7915" s="66"/>
    </row>
    <row r="7916" spans="1:1" x14ac:dyDescent="0.25">
      <c r="A7916" s="66"/>
    </row>
    <row r="7917" spans="1:1" x14ac:dyDescent="0.25">
      <c r="A7917" s="66"/>
    </row>
    <row r="7918" spans="1:1" x14ac:dyDescent="0.25">
      <c r="A7918" s="66"/>
    </row>
    <row r="7919" spans="1:1" x14ac:dyDescent="0.25">
      <c r="A7919" s="66"/>
    </row>
    <row r="7920" spans="1:1" x14ac:dyDescent="0.25">
      <c r="A7920" s="66"/>
    </row>
    <row r="7921" spans="1:1" x14ac:dyDescent="0.25">
      <c r="A7921" s="66"/>
    </row>
    <row r="7922" spans="1:1" x14ac:dyDescent="0.25">
      <c r="A7922" s="66"/>
    </row>
    <row r="7923" spans="1:1" x14ac:dyDescent="0.25">
      <c r="A7923" s="66"/>
    </row>
    <row r="7924" spans="1:1" x14ac:dyDescent="0.25">
      <c r="A7924" s="66"/>
    </row>
    <row r="7925" spans="1:1" x14ac:dyDescent="0.25">
      <c r="A7925" s="66"/>
    </row>
    <row r="7926" spans="1:1" x14ac:dyDescent="0.25">
      <c r="A7926" s="66"/>
    </row>
    <row r="7927" spans="1:1" x14ac:dyDescent="0.25">
      <c r="A7927" s="66"/>
    </row>
    <row r="7928" spans="1:1" x14ac:dyDescent="0.25">
      <c r="A7928" s="66"/>
    </row>
    <row r="7929" spans="1:1" x14ac:dyDescent="0.25">
      <c r="A7929" s="66"/>
    </row>
    <row r="7930" spans="1:1" x14ac:dyDescent="0.25">
      <c r="A7930" s="66"/>
    </row>
    <row r="7931" spans="1:1" x14ac:dyDescent="0.25">
      <c r="A7931" s="66"/>
    </row>
    <row r="7932" spans="1:1" x14ac:dyDescent="0.25">
      <c r="A7932" s="66"/>
    </row>
    <row r="7933" spans="1:1" x14ac:dyDescent="0.25">
      <c r="A7933" s="66"/>
    </row>
    <row r="7934" spans="1:1" x14ac:dyDescent="0.25">
      <c r="A7934" s="66"/>
    </row>
    <row r="7935" spans="1:1" x14ac:dyDescent="0.25">
      <c r="A7935" s="66"/>
    </row>
    <row r="7936" spans="1:1" x14ac:dyDescent="0.25">
      <c r="A7936" s="66"/>
    </row>
    <row r="7937" spans="1:1" x14ac:dyDescent="0.25">
      <c r="A7937" s="66"/>
    </row>
    <row r="7938" spans="1:1" x14ac:dyDescent="0.25">
      <c r="A7938" s="66"/>
    </row>
    <row r="7939" spans="1:1" x14ac:dyDescent="0.25">
      <c r="A7939" s="66"/>
    </row>
    <row r="7940" spans="1:1" x14ac:dyDescent="0.25">
      <c r="A7940" s="66"/>
    </row>
    <row r="7941" spans="1:1" x14ac:dyDescent="0.25">
      <c r="A7941" s="66"/>
    </row>
    <row r="7942" spans="1:1" x14ac:dyDescent="0.25">
      <c r="A7942" s="66"/>
    </row>
    <row r="7943" spans="1:1" x14ac:dyDescent="0.25">
      <c r="A7943" s="66"/>
    </row>
    <row r="7944" spans="1:1" x14ac:dyDescent="0.25">
      <c r="A7944" s="66"/>
    </row>
    <row r="7945" spans="1:1" x14ac:dyDescent="0.25">
      <c r="A7945" s="66"/>
    </row>
    <row r="7946" spans="1:1" x14ac:dyDescent="0.25">
      <c r="A7946" s="66"/>
    </row>
    <row r="7947" spans="1:1" x14ac:dyDescent="0.25">
      <c r="A7947" s="66"/>
    </row>
    <row r="7948" spans="1:1" x14ac:dyDescent="0.25">
      <c r="A7948" s="66"/>
    </row>
    <row r="7949" spans="1:1" x14ac:dyDescent="0.25">
      <c r="A7949" s="66"/>
    </row>
    <row r="7950" spans="1:1" x14ac:dyDescent="0.25">
      <c r="A7950" s="66"/>
    </row>
    <row r="7951" spans="1:1" x14ac:dyDescent="0.25">
      <c r="A7951" s="66"/>
    </row>
    <row r="7952" spans="1:1" x14ac:dyDescent="0.25">
      <c r="A7952" s="66"/>
    </row>
    <row r="7953" spans="1:1" x14ac:dyDescent="0.25">
      <c r="A7953" s="66"/>
    </row>
    <row r="7954" spans="1:1" x14ac:dyDescent="0.25">
      <c r="A7954" s="66"/>
    </row>
    <row r="7955" spans="1:1" x14ac:dyDescent="0.25">
      <c r="A7955" s="66"/>
    </row>
    <row r="7956" spans="1:1" x14ac:dyDescent="0.25">
      <c r="A7956" s="66"/>
    </row>
    <row r="7957" spans="1:1" x14ac:dyDescent="0.25">
      <c r="A7957" s="66"/>
    </row>
    <row r="7958" spans="1:1" x14ac:dyDescent="0.25">
      <c r="A7958" s="66"/>
    </row>
    <row r="7959" spans="1:1" x14ac:dyDescent="0.25">
      <c r="A7959" s="66"/>
    </row>
    <row r="7960" spans="1:1" x14ac:dyDescent="0.25">
      <c r="A7960" s="66"/>
    </row>
    <row r="7961" spans="1:1" x14ac:dyDescent="0.25">
      <c r="A7961" s="66"/>
    </row>
    <row r="7962" spans="1:1" x14ac:dyDescent="0.25">
      <c r="A7962" s="66"/>
    </row>
    <row r="7963" spans="1:1" x14ac:dyDescent="0.25">
      <c r="A7963" s="66"/>
    </row>
    <row r="7964" spans="1:1" x14ac:dyDescent="0.25">
      <c r="A7964" s="66"/>
    </row>
    <row r="7965" spans="1:1" x14ac:dyDescent="0.25">
      <c r="A7965" s="66"/>
    </row>
    <row r="7966" spans="1:1" x14ac:dyDescent="0.25">
      <c r="A7966" s="66"/>
    </row>
    <row r="7967" spans="1:1" x14ac:dyDescent="0.25">
      <c r="A7967" s="66"/>
    </row>
    <row r="7968" spans="1:1" x14ac:dyDescent="0.25">
      <c r="A7968" s="66"/>
    </row>
    <row r="7969" spans="1:1" x14ac:dyDescent="0.25">
      <c r="A7969" s="66"/>
    </row>
    <row r="7970" spans="1:1" x14ac:dyDescent="0.25">
      <c r="A7970" s="66"/>
    </row>
    <row r="7971" spans="1:1" x14ac:dyDescent="0.25">
      <c r="A7971" s="66"/>
    </row>
    <row r="7972" spans="1:1" x14ac:dyDescent="0.25">
      <c r="A7972" s="66"/>
    </row>
    <row r="7973" spans="1:1" x14ac:dyDescent="0.25">
      <c r="A7973" s="66"/>
    </row>
    <row r="7974" spans="1:1" x14ac:dyDescent="0.25">
      <c r="A7974" s="66"/>
    </row>
    <row r="7975" spans="1:1" x14ac:dyDescent="0.25">
      <c r="A7975" s="66"/>
    </row>
    <row r="7976" spans="1:1" x14ac:dyDescent="0.25">
      <c r="A7976" s="66"/>
    </row>
    <row r="7977" spans="1:1" x14ac:dyDescent="0.25">
      <c r="A7977" s="66"/>
    </row>
    <row r="7978" spans="1:1" x14ac:dyDescent="0.25">
      <c r="A7978" s="66"/>
    </row>
    <row r="7979" spans="1:1" x14ac:dyDescent="0.25">
      <c r="A7979" s="66"/>
    </row>
    <row r="7980" spans="1:1" x14ac:dyDescent="0.25">
      <c r="A7980" s="66"/>
    </row>
    <row r="7981" spans="1:1" x14ac:dyDescent="0.25">
      <c r="A7981" s="66"/>
    </row>
    <row r="7982" spans="1:1" x14ac:dyDescent="0.25">
      <c r="A7982" s="66"/>
    </row>
    <row r="7983" spans="1:1" x14ac:dyDescent="0.25">
      <c r="A7983" s="66"/>
    </row>
    <row r="7984" spans="1:1" x14ac:dyDescent="0.25">
      <c r="A7984" s="66"/>
    </row>
    <row r="7985" spans="1:1" x14ac:dyDescent="0.25">
      <c r="A7985" s="66"/>
    </row>
    <row r="7986" spans="1:1" x14ac:dyDescent="0.25">
      <c r="A7986" s="66"/>
    </row>
    <row r="7987" spans="1:1" x14ac:dyDescent="0.25">
      <c r="A7987" s="66"/>
    </row>
    <row r="7988" spans="1:1" x14ac:dyDescent="0.25">
      <c r="A7988" s="66"/>
    </row>
    <row r="7989" spans="1:1" x14ac:dyDescent="0.25">
      <c r="A7989" s="66"/>
    </row>
    <row r="7990" spans="1:1" x14ac:dyDescent="0.25">
      <c r="A7990" s="66"/>
    </row>
    <row r="7991" spans="1:1" x14ac:dyDescent="0.25">
      <c r="A7991" s="66"/>
    </row>
    <row r="7992" spans="1:1" x14ac:dyDescent="0.25">
      <c r="A7992" s="66"/>
    </row>
    <row r="7993" spans="1:1" x14ac:dyDescent="0.25">
      <c r="A7993" s="66"/>
    </row>
    <row r="7994" spans="1:1" x14ac:dyDescent="0.25">
      <c r="A7994" s="66"/>
    </row>
    <row r="7995" spans="1:1" x14ac:dyDescent="0.25">
      <c r="A7995" s="66"/>
    </row>
    <row r="7996" spans="1:1" x14ac:dyDescent="0.25">
      <c r="A7996" s="66"/>
    </row>
    <row r="7997" spans="1:1" x14ac:dyDescent="0.25">
      <c r="A7997" s="66"/>
    </row>
    <row r="7998" spans="1:1" x14ac:dyDescent="0.25">
      <c r="A7998" s="66"/>
    </row>
    <row r="7999" spans="1:1" x14ac:dyDescent="0.25">
      <c r="A7999" s="66"/>
    </row>
    <row r="8000" spans="1:1" x14ac:dyDescent="0.25">
      <c r="A8000" s="66"/>
    </row>
    <row r="8001" spans="1:1" x14ac:dyDescent="0.25">
      <c r="A8001" s="66"/>
    </row>
    <row r="8002" spans="1:1" x14ac:dyDescent="0.25">
      <c r="A8002" s="66"/>
    </row>
    <row r="8003" spans="1:1" x14ac:dyDescent="0.25">
      <c r="A8003" s="66"/>
    </row>
    <row r="8004" spans="1:1" x14ac:dyDescent="0.25">
      <c r="A8004" s="66"/>
    </row>
    <row r="8005" spans="1:1" x14ac:dyDescent="0.25">
      <c r="A8005" s="66"/>
    </row>
    <row r="8006" spans="1:1" x14ac:dyDescent="0.25">
      <c r="A8006" s="66"/>
    </row>
    <row r="8007" spans="1:1" x14ac:dyDescent="0.25">
      <c r="A8007" s="66"/>
    </row>
    <row r="8008" spans="1:1" x14ac:dyDescent="0.25">
      <c r="A8008" s="66"/>
    </row>
    <row r="8009" spans="1:1" x14ac:dyDescent="0.25">
      <c r="A8009" s="66"/>
    </row>
    <row r="8010" spans="1:1" x14ac:dyDescent="0.25">
      <c r="A8010" s="66"/>
    </row>
    <row r="8011" spans="1:1" x14ac:dyDescent="0.25">
      <c r="A8011" s="66"/>
    </row>
    <row r="8012" spans="1:1" x14ac:dyDescent="0.25">
      <c r="A8012" s="66"/>
    </row>
    <row r="8013" spans="1:1" x14ac:dyDescent="0.25">
      <c r="A8013" s="66"/>
    </row>
    <row r="8014" spans="1:1" x14ac:dyDescent="0.25">
      <c r="A8014" s="66"/>
    </row>
    <row r="8015" spans="1:1" x14ac:dyDescent="0.25">
      <c r="A8015" s="66"/>
    </row>
    <row r="8016" spans="1:1" x14ac:dyDescent="0.25">
      <c r="A8016" s="66"/>
    </row>
    <row r="8017" spans="1:1" x14ac:dyDescent="0.25">
      <c r="A8017" s="66"/>
    </row>
    <row r="8018" spans="1:1" x14ac:dyDescent="0.25">
      <c r="A8018" s="66"/>
    </row>
    <row r="8019" spans="1:1" x14ac:dyDescent="0.25">
      <c r="A8019" s="66"/>
    </row>
    <row r="8020" spans="1:1" x14ac:dyDescent="0.25">
      <c r="A8020" s="66"/>
    </row>
    <row r="8021" spans="1:1" x14ac:dyDescent="0.25">
      <c r="A8021" s="66"/>
    </row>
    <row r="8022" spans="1:1" x14ac:dyDescent="0.25">
      <c r="A8022" s="66"/>
    </row>
    <row r="8023" spans="1:1" x14ac:dyDescent="0.25">
      <c r="A8023" s="66"/>
    </row>
    <row r="8024" spans="1:1" x14ac:dyDescent="0.25">
      <c r="A8024" s="66"/>
    </row>
    <row r="8025" spans="1:1" x14ac:dyDescent="0.25">
      <c r="A8025" s="66"/>
    </row>
    <row r="8026" spans="1:1" x14ac:dyDescent="0.25">
      <c r="A8026" s="66"/>
    </row>
    <row r="8027" spans="1:1" x14ac:dyDescent="0.25">
      <c r="A8027" s="66"/>
    </row>
    <row r="8028" spans="1:1" x14ac:dyDescent="0.25">
      <c r="A8028" s="66"/>
    </row>
    <row r="8029" spans="1:1" x14ac:dyDescent="0.25">
      <c r="A8029" s="66"/>
    </row>
    <row r="8030" spans="1:1" x14ac:dyDescent="0.25">
      <c r="A8030" s="66"/>
    </row>
    <row r="8031" spans="1:1" x14ac:dyDescent="0.25">
      <c r="A8031" s="66"/>
    </row>
    <row r="8032" spans="1:1" x14ac:dyDescent="0.25">
      <c r="A8032" s="66"/>
    </row>
    <row r="8033" spans="1:1" x14ac:dyDescent="0.25">
      <c r="A8033" s="66"/>
    </row>
    <row r="8034" spans="1:1" x14ac:dyDescent="0.25">
      <c r="A8034" s="66"/>
    </row>
    <row r="8035" spans="1:1" x14ac:dyDescent="0.25">
      <c r="A8035" s="66"/>
    </row>
    <row r="8036" spans="1:1" x14ac:dyDescent="0.25">
      <c r="A8036" s="66"/>
    </row>
    <row r="8037" spans="1:1" x14ac:dyDescent="0.25">
      <c r="A8037" s="66"/>
    </row>
    <row r="8038" spans="1:1" x14ac:dyDescent="0.25">
      <c r="A8038" s="66"/>
    </row>
    <row r="8039" spans="1:1" x14ac:dyDescent="0.25">
      <c r="A8039" s="66"/>
    </row>
    <row r="8040" spans="1:1" x14ac:dyDescent="0.25">
      <c r="A8040" s="66"/>
    </row>
    <row r="8041" spans="1:1" x14ac:dyDescent="0.25">
      <c r="A8041" s="66"/>
    </row>
    <row r="8042" spans="1:1" x14ac:dyDescent="0.25">
      <c r="A8042" s="66"/>
    </row>
    <row r="8043" spans="1:1" x14ac:dyDescent="0.25">
      <c r="A8043" s="66"/>
    </row>
    <row r="8044" spans="1:1" x14ac:dyDescent="0.25">
      <c r="A8044" s="66"/>
    </row>
    <row r="8045" spans="1:1" x14ac:dyDescent="0.25">
      <c r="A8045" s="66"/>
    </row>
    <row r="8046" spans="1:1" x14ac:dyDescent="0.25">
      <c r="A8046" s="66"/>
    </row>
    <row r="8047" spans="1:1" x14ac:dyDescent="0.25">
      <c r="A8047" s="66"/>
    </row>
    <row r="8048" spans="1:1" x14ac:dyDescent="0.25">
      <c r="A8048" s="66"/>
    </row>
    <row r="8049" spans="1:1" x14ac:dyDescent="0.25">
      <c r="A8049" s="66"/>
    </row>
    <row r="8050" spans="1:1" x14ac:dyDescent="0.25">
      <c r="A8050" s="66"/>
    </row>
    <row r="8051" spans="1:1" x14ac:dyDescent="0.25">
      <c r="A8051" s="66"/>
    </row>
    <row r="8052" spans="1:1" x14ac:dyDescent="0.25">
      <c r="A8052" s="66"/>
    </row>
    <row r="8053" spans="1:1" x14ac:dyDescent="0.25">
      <c r="A8053" s="66"/>
    </row>
    <row r="8054" spans="1:1" x14ac:dyDescent="0.25">
      <c r="A8054" s="66"/>
    </row>
    <row r="8055" spans="1:1" x14ac:dyDescent="0.25">
      <c r="A8055" s="66"/>
    </row>
    <row r="8056" spans="1:1" x14ac:dyDescent="0.25">
      <c r="A8056" s="66"/>
    </row>
    <row r="8057" spans="1:1" x14ac:dyDescent="0.25">
      <c r="A8057" s="66"/>
    </row>
    <row r="8058" spans="1:1" x14ac:dyDescent="0.25">
      <c r="A8058" s="66"/>
    </row>
    <row r="8059" spans="1:1" x14ac:dyDescent="0.25">
      <c r="A8059" s="66"/>
    </row>
    <row r="8060" spans="1:1" x14ac:dyDescent="0.25">
      <c r="A8060" s="66"/>
    </row>
    <row r="8061" spans="1:1" x14ac:dyDescent="0.25">
      <c r="A8061" s="66"/>
    </row>
    <row r="8062" spans="1:1" x14ac:dyDescent="0.25">
      <c r="A8062" s="66"/>
    </row>
    <row r="8063" spans="1:1" x14ac:dyDescent="0.25">
      <c r="A8063" s="66"/>
    </row>
    <row r="8064" spans="1:1" x14ac:dyDescent="0.25">
      <c r="A8064" s="66"/>
    </row>
    <row r="8065" spans="1:1" x14ac:dyDescent="0.25">
      <c r="A8065" s="66"/>
    </row>
    <row r="8066" spans="1:1" x14ac:dyDescent="0.25">
      <c r="A8066" s="66"/>
    </row>
    <row r="8067" spans="1:1" x14ac:dyDescent="0.25">
      <c r="A8067" s="66"/>
    </row>
    <row r="8068" spans="1:1" x14ac:dyDescent="0.25">
      <c r="A8068" s="66"/>
    </row>
    <row r="8069" spans="1:1" x14ac:dyDescent="0.25">
      <c r="A8069" s="66"/>
    </row>
    <row r="8070" spans="1:1" x14ac:dyDescent="0.25">
      <c r="A8070" s="66"/>
    </row>
    <row r="8071" spans="1:1" x14ac:dyDescent="0.25">
      <c r="A8071" s="66"/>
    </row>
    <row r="8072" spans="1:1" x14ac:dyDescent="0.25">
      <c r="A8072" s="66"/>
    </row>
    <row r="8073" spans="1:1" x14ac:dyDescent="0.25">
      <c r="A8073" s="66"/>
    </row>
    <row r="8074" spans="1:1" x14ac:dyDescent="0.25">
      <c r="A8074" s="66"/>
    </row>
    <row r="8075" spans="1:1" x14ac:dyDescent="0.25">
      <c r="A8075" s="66"/>
    </row>
    <row r="8076" spans="1:1" x14ac:dyDescent="0.25">
      <c r="A8076" s="66"/>
    </row>
    <row r="8077" spans="1:1" x14ac:dyDescent="0.25">
      <c r="A8077" s="66"/>
    </row>
    <row r="8078" spans="1:1" x14ac:dyDescent="0.25">
      <c r="A8078" s="66"/>
    </row>
    <row r="8079" spans="1:1" x14ac:dyDescent="0.25">
      <c r="A8079" s="66"/>
    </row>
    <row r="8080" spans="1:1" x14ac:dyDescent="0.25">
      <c r="A8080" s="66"/>
    </row>
    <row r="8081" spans="1:1" x14ac:dyDescent="0.25">
      <c r="A8081" s="66"/>
    </row>
    <row r="8082" spans="1:1" x14ac:dyDescent="0.25">
      <c r="A8082" s="66"/>
    </row>
    <row r="8083" spans="1:1" x14ac:dyDescent="0.25">
      <c r="A8083" s="66"/>
    </row>
    <row r="8084" spans="1:1" x14ac:dyDescent="0.25">
      <c r="A8084" s="66"/>
    </row>
    <row r="8085" spans="1:1" x14ac:dyDescent="0.25">
      <c r="A8085" s="66"/>
    </row>
    <row r="8086" spans="1:1" x14ac:dyDescent="0.25">
      <c r="A8086" s="66"/>
    </row>
    <row r="8087" spans="1:1" x14ac:dyDescent="0.25">
      <c r="A8087" s="66"/>
    </row>
    <row r="8088" spans="1:1" x14ac:dyDescent="0.25">
      <c r="A8088" s="66"/>
    </row>
    <row r="8089" spans="1:1" x14ac:dyDescent="0.25">
      <c r="A8089" s="66"/>
    </row>
    <row r="8090" spans="1:1" x14ac:dyDescent="0.25">
      <c r="A8090" s="66"/>
    </row>
    <row r="8091" spans="1:1" x14ac:dyDescent="0.25">
      <c r="A8091" s="66"/>
    </row>
    <row r="8092" spans="1:1" x14ac:dyDescent="0.25">
      <c r="A8092" s="66"/>
    </row>
    <row r="8093" spans="1:1" x14ac:dyDescent="0.25">
      <c r="A8093" s="66"/>
    </row>
    <row r="8094" spans="1:1" x14ac:dyDescent="0.25">
      <c r="A8094" s="66"/>
    </row>
    <row r="8095" spans="1:1" x14ac:dyDescent="0.25">
      <c r="A8095" s="66"/>
    </row>
    <row r="8096" spans="1:1" x14ac:dyDescent="0.25">
      <c r="A8096" s="66"/>
    </row>
    <row r="8097" spans="1:1" x14ac:dyDescent="0.25">
      <c r="A8097" s="66"/>
    </row>
    <row r="8098" spans="1:1" x14ac:dyDescent="0.25">
      <c r="A8098" s="66"/>
    </row>
    <row r="8099" spans="1:1" x14ac:dyDescent="0.25">
      <c r="A8099" s="66"/>
    </row>
    <row r="8100" spans="1:1" x14ac:dyDescent="0.25">
      <c r="A8100" s="66"/>
    </row>
    <row r="8101" spans="1:1" x14ac:dyDescent="0.25">
      <c r="A8101" s="66"/>
    </row>
    <row r="8102" spans="1:1" x14ac:dyDescent="0.25">
      <c r="A8102" s="66"/>
    </row>
    <row r="8103" spans="1:1" x14ac:dyDescent="0.25">
      <c r="A8103" s="66"/>
    </row>
    <row r="8104" spans="1:1" x14ac:dyDescent="0.25">
      <c r="A8104" s="66"/>
    </row>
    <row r="8105" spans="1:1" x14ac:dyDescent="0.25">
      <c r="A8105" s="66"/>
    </row>
    <row r="8106" spans="1:1" x14ac:dyDescent="0.25">
      <c r="A8106" s="66"/>
    </row>
    <row r="8107" spans="1:1" x14ac:dyDescent="0.25">
      <c r="A8107" s="66"/>
    </row>
    <row r="8108" spans="1:1" x14ac:dyDescent="0.25">
      <c r="A8108" s="66"/>
    </row>
    <row r="8109" spans="1:1" x14ac:dyDescent="0.25">
      <c r="A8109" s="66"/>
    </row>
    <row r="8110" spans="1:1" x14ac:dyDescent="0.25">
      <c r="A8110" s="66"/>
    </row>
    <row r="8111" spans="1:1" x14ac:dyDescent="0.25">
      <c r="A8111" s="66"/>
    </row>
    <row r="8112" spans="1:1" x14ac:dyDescent="0.25">
      <c r="A8112" s="66"/>
    </row>
    <row r="8113" spans="1:1" x14ac:dyDescent="0.25">
      <c r="A8113" s="66"/>
    </row>
    <row r="8114" spans="1:1" x14ac:dyDescent="0.25">
      <c r="A8114" s="66"/>
    </row>
    <row r="8115" spans="1:1" x14ac:dyDescent="0.25">
      <c r="A8115" s="66"/>
    </row>
    <row r="8116" spans="1:1" x14ac:dyDescent="0.25">
      <c r="A8116" s="66"/>
    </row>
    <row r="8117" spans="1:1" x14ac:dyDescent="0.25">
      <c r="A8117" s="66"/>
    </row>
    <row r="8118" spans="1:1" x14ac:dyDescent="0.25">
      <c r="A8118" s="66"/>
    </row>
    <row r="8119" spans="1:1" x14ac:dyDescent="0.25">
      <c r="A8119" s="66"/>
    </row>
    <row r="8120" spans="1:1" x14ac:dyDescent="0.25">
      <c r="A8120" s="66"/>
    </row>
    <row r="8121" spans="1:1" x14ac:dyDescent="0.25">
      <c r="A8121" s="66"/>
    </row>
    <row r="8122" spans="1:1" x14ac:dyDescent="0.25">
      <c r="A8122" s="66"/>
    </row>
    <row r="8123" spans="1:1" x14ac:dyDescent="0.25">
      <c r="A8123" s="66"/>
    </row>
    <row r="8124" spans="1:1" x14ac:dyDescent="0.25">
      <c r="A8124" s="66"/>
    </row>
    <row r="8125" spans="1:1" x14ac:dyDescent="0.25">
      <c r="A8125" s="66"/>
    </row>
    <row r="8126" spans="1:1" x14ac:dyDescent="0.25">
      <c r="A8126" s="66"/>
    </row>
    <row r="8127" spans="1:1" x14ac:dyDescent="0.25">
      <c r="A8127" s="66"/>
    </row>
    <row r="8128" spans="1:1" x14ac:dyDescent="0.25">
      <c r="A8128" s="66"/>
    </row>
    <row r="8129" spans="1:1" x14ac:dyDescent="0.25">
      <c r="A8129" s="66"/>
    </row>
    <row r="8130" spans="1:1" x14ac:dyDescent="0.25">
      <c r="A8130" s="66"/>
    </row>
    <row r="8131" spans="1:1" x14ac:dyDescent="0.25">
      <c r="A8131" s="66"/>
    </row>
    <row r="8132" spans="1:1" x14ac:dyDescent="0.25">
      <c r="A8132" s="66"/>
    </row>
    <row r="8133" spans="1:1" x14ac:dyDescent="0.25">
      <c r="A8133" s="66"/>
    </row>
    <row r="8134" spans="1:1" x14ac:dyDescent="0.25">
      <c r="A8134" s="66"/>
    </row>
    <row r="8135" spans="1:1" x14ac:dyDescent="0.25">
      <c r="A8135" s="66"/>
    </row>
    <row r="8136" spans="1:1" x14ac:dyDescent="0.25">
      <c r="A8136" s="66"/>
    </row>
    <row r="8137" spans="1:1" x14ac:dyDescent="0.25">
      <c r="A8137" s="66"/>
    </row>
    <row r="8138" spans="1:1" x14ac:dyDescent="0.25">
      <c r="A8138" s="66"/>
    </row>
    <row r="8139" spans="1:1" x14ac:dyDescent="0.25">
      <c r="A8139" s="66"/>
    </row>
    <row r="8140" spans="1:1" x14ac:dyDescent="0.25">
      <c r="A8140" s="66"/>
    </row>
    <row r="8141" spans="1:1" x14ac:dyDescent="0.25">
      <c r="A8141" s="66"/>
    </row>
    <row r="8142" spans="1:1" x14ac:dyDescent="0.25">
      <c r="A8142" s="66"/>
    </row>
    <row r="8143" spans="1:1" x14ac:dyDescent="0.25">
      <c r="A8143" s="66"/>
    </row>
    <row r="8144" spans="1:1" x14ac:dyDescent="0.25">
      <c r="A8144" s="66"/>
    </row>
    <row r="8145" spans="1:1" x14ac:dyDescent="0.25">
      <c r="A8145" s="66"/>
    </row>
    <row r="8146" spans="1:1" x14ac:dyDescent="0.25">
      <c r="A8146" s="66"/>
    </row>
    <row r="8147" spans="1:1" x14ac:dyDescent="0.25">
      <c r="A8147" s="66"/>
    </row>
    <row r="8148" spans="1:1" x14ac:dyDescent="0.25">
      <c r="A8148" s="66"/>
    </row>
    <row r="8149" spans="1:1" x14ac:dyDescent="0.25">
      <c r="A8149" s="66"/>
    </row>
    <row r="8150" spans="1:1" x14ac:dyDescent="0.25">
      <c r="A8150" s="66"/>
    </row>
    <row r="8151" spans="1:1" x14ac:dyDescent="0.25">
      <c r="A8151" s="66"/>
    </row>
    <row r="8152" spans="1:1" x14ac:dyDescent="0.25">
      <c r="A8152" s="66"/>
    </row>
    <row r="8153" spans="1:1" x14ac:dyDescent="0.25">
      <c r="A8153" s="66"/>
    </row>
    <row r="8154" spans="1:1" x14ac:dyDescent="0.25">
      <c r="A8154" s="66"/>
    </row>
    <row r="8155" spans="1:1" x14ac:dyDescent="0.25">
      <c r="A8155" s="66"/>
    </row>
    <row r="8156" spans="1:1" x14ac:dyDescent="0.25">
      <c r="A8156" s="66"/>
    </row>
    <row r="8157" spans="1:1" x14ac:dyDescent="0.25">
      <c r="A8157" s="66"/>
    </row>
    <row r="8158" spans="1:1" x14ac:dyDescent="0.25">
      <c r="A8158" s="66"/>
    </row>
    <row r="8159" spans="1:1" x14ac:dyDescent="0.25">
      <c r="A8159" s="66"/>
    </row>
    <row r="8160" spans="1:1" x14ac:dyDescent="0.25">
      <c r="A8160" s="66"/>
    </row>
    <row r="8161" spans="1:1" x14ac:dyDescent="0.25">
      <c r="A8161" s="66"/>
    </row>
    <row r="8162" spans="1:1" x14ac:dyDescent="0.25">
      <c r="A8162" s="66"/>
    </row>
    <row r="8163" spans="1:1" x14ac:dyDescent="0.25">
      <c r="A8163" s="66"/>
    </row>
    <row r="8164" spans="1:1" x14ac:dyDescent="0.25">
      <c r="A8164" s="66"/>
    </row>
    <row r="8165" spans="1:1" x14ac:dyDescent="0.25">
      <c r="A8165" s="66"/>
    </row>
    <row r="8166" spans="1:1" x14ac:dyDescent="0.25">
      <c r="A8166" s="66"/>
    </row>
    <row r="8167" spans="1:1" x14ac:dyDescent="0.25">
      <c r="A8167" s="66"/>
    </row>
    <row r="8168" spans="1:1" x14ac:dyDescent="0.25">
      <c r="A8168" s="66"/>
    </row>
    <row r="8169" spans="1:1" x14ac:dyDescent="0.25">
      <c r="A8169" s="66"/>
    </row>
    <row r="8170" spans="1:1" x14ac:dyDescent="0.25">
      <c r="A8170" s="66"/>
    </row>
    <row r="8171" spans="1:1" x14ac:dyDescent="0.25">
      <c r="A8171" s="66"/>
    </row>
    <row r="8172" spans="1:1" x14ac:dyDescent="0.25">
      <c r="A8172" s="66"/>
    </row>
    <row r="8173" spans="1:1" x14ac:dyDescent="0.25">
      <c r="A8173" s="66"/>
    </row>
    <row r="8174" spans="1:1" x14ac:dyDescent="0.25">
      <c r="A8174" s="66"/>
    </row>
    <row r="8175" spans="1:1" x14ac:dyDescent="0.25">
      <c r="A8175" s="66"/>
    </row>
    <row r="8176" spans="1:1" x14ac:dyDescent="0.25">
      <c r="A8176" s="66"/>
    </row>
    <row r="8177" spans="1:1" x14ac:dyDescent="0.25">
      <c r="A8177" s="66"/>
    </row>
    <row r="8178" spans="1:1" x14ac:dyDescent="0.25">
      <c r="A8178" s="66"/>
    </row>
    <row r="8179" spans="1:1" x14ac:dyDescent="0.25">
      <c r="A8179" s="66"/>
    </row>
    <row r="8180" spans="1:1" x14ac:dyDescent="0.25">
      <c r="A8180" s="66"/>
    </row>
    <row r="8181" spans="1:1" x14ac:dyDescent="0.25">
      <c r="A8181" s="66"/>
    </row>
    <row r="8182" spans="1:1" x14ac:dyDescent="0.25">
      <c r="A8182" s="66"/>
    </row>
    <row r="8183" spans="1:1" x14ac:dyDescent="0.25">
      <c r="A8183" s="66"/>
    </row>
    <row r="8184" spans="1:1" x14ac:dyDescent="0.25">
      <c r="A8184" s="66"/>
    </row>
    <row r="8185" spans="1:1" x14ac:dyDescent="0.25">
      <c r="A8185" s="66"/>
    </row>
    <row r="8186" spans="1:1" x14ac:dyDescent="0.25">
      <c r="A8186" s="66"/>
    </row>
    <row r="8187" spans="1:1" x14ac:dyDescent="0.25">
      <c r="A8187" s="66"/>
    </row>
    <row r="8188" spans="1:1" x14ac:dyDescent="0.25">
      <c r="A8188" s="66"/>
    </row>
    <row r="8189" spans="1:1" x14ac:dyDescent="0.25">
      <c r="A8189" s="66"/>
    </row>
    <row r="8190" spans="1:1" x14ac:dyDescent="0.25">
      <c r="A8190" s="66"/>
    </row>
    <row r="8191" spans="1:1" x14ac:dyDescent="0.25">
      <c r="A8191" s="66"/>
    </row>
    <row r="8192" spans="1:1" x14ac:dyDescent="0.25">
      <c r="A8192" s="66"/>
    </row>
    <row r="8193" spans="1:1" x14ac:dyDescent="0.25">
      <c r="A8193" s="66"/>
    </row>
    <row r="8194" spans="1:1" x14ac:dyDescent="0.25">
      <c r="A8194" s="66"/>
    </row>
    <row r="8195" spans="1:1" x14ac:dyDescent="0.25">
      <c r="A8195" s="66"/>
    </row>
    <row r="8196" spans="1:1" x14ac:dyDescent="0.25">
      <c r="A8196" s="66"/>
    </row>
    <row r="8197" spans="1:1" x14ac:dyDescent="0.25">
      <c r="A8197" s="66"/>
    </row>
    <row r="8198" spans="1:1" x14ac:dyDescent="0.25">
      <c r="A8198" s="66"/>
    </row>
    <row r="8199" spans="1:1" x14ac:dyDescent="0.25">
      <c r="A8199" s="66"/>
    </row>
    <row r="8200" spans="1:1" x14ac:dyDescent="0.25">
      <c r="A8200" s="66"/>
    </row>
    <row r="8201" spans="1:1" x14ac:dyDescent="0.25">
      <c r="A8201" s="66"/>
    </row>
    <row r="8202" spans="1:1" x14ac:dyDescent="0.25">
      <c r="A8202" s="66"/>
    </row>
    <row r="8203" spans="1:1" x14ac:dyDescent="0.25">
      <c r="A8203" s="66"/>
    </row>
    <row r="8204" spans="1:1" x14ac:dyDescent="0.25">
      <c r="A8204" s="66"/>
    </row>
    <row r="8205" spans="1:1" x14ac:dyDescent="0.25">
      <c r="A8205" s="66"/>
    </row>
    <row r="8206" spans="1:1" x14ac:dyDescent="0.25">
      <c r="A8206" s="66"/>
    </row>
    <row r="8207" spans="1:1" x14ac:dyDescent="0.25">
      <c r="A8207" s="66"/>
    </row>
    <row r="8208" spans="1:1" x14ac:dyDescent="0.25">
      <c r="A8208" s="66"/>
    </row>
    <row r="8209" spans="1:1" x14ac:dyDescent="0.25">
      <c r="A8209" s="66"/>
    </row>
    <row r="8210" spans="1:1" x14ac:dyDescent="0.25">
      <c r="A8210" s="66"/>
    </row>
    <row r="8211" spans="1:1" x14ac:dyDescent="0.25">
      <c r="A8211" s="66"/>
    </row>
    <row r="8212" spans="1:1" x14ac:dyDescent="0.25">
      <c r="A8212" s="66"/>
    </row>
    <row r="8213" spans="1:1" x14ac:dyDescent="0.25">
      <c r="A8213" s="66"/>
    </row>
    <row r="8214" spans="1:1" x14ac:dyDescent="0.25">
      <c r="A8214" s="66"/>
    </row>
    <row r="8215" spans="1:1" x14ac:dyDescent="0.25">
      <c r="A8215" s="66"/>
    </row>
    <row r="8216" spans="1:1" x14ac:dyDescent="0.25">
      <c r="A8216" s="66"/>
    </row>
    <row r="8217" spans="1:1" x14ac:dyDescent="0.25">
      <c r="A8217" s="66"/>
    </row>
    <row r="8218" spans="1:1" x14ac:dyDescent="0.25">
      <c r="A8218" s="66"/>
    </row>
    <row r="8219" spans="1:1" x14ac:dyDescent="0.25">
      <c r="A8219" s="66"/>
    </row>
    <row r="8220" spans="1:1" x14ac:dyDescent="0.25">
      <c r="A8220" s="66"/>
    </row>
    <row r="8221" spans="1:1" x14ac:dyDescent="0.25">
      <c r="A8221" s="66"/>
    </row>
    <row r="8222" spans="1:1" x14ac:dyDescent="0.25">
      <c r="A8222" s="66"/>
    </row>
    <row r="8223" spans="1:1" x14ac:dyDescent="0.25">
      <c r="A8223" s="66"/>
    </row>
    <row r="8224" spans="1:1" x14ac:dyDescent="0.25">
      <c r="A8224" s="66"/>
    </row>
    <row r="8225" spans="1:1" x14ac:dyDescent="0.25">
      <c r="A8225" s="66"/>
    </row>
    <row r="8226" spans="1:1" x14ac:dyDescent="0.25">
      <c r="A8226" s="66"/>
    </row>
    <row r="8227" spans="1:1" x14ac:dyDescent="0.25">
      <c r="A8227" s="66"/>
    </row>
    <row r="8228" spans="1:1" x14ac:dyDescent="0.25">
      <c r="A8228" s="66"/>
    </row>
    <row r="8229" spans="1:1" x14ac:dyDescent="0.25">
      <c r="A8229" s="66"/>
    </row>
    <row r="8230" spans="1:1" x14ac:dyDescent="0.25">
      <c r="A8230" s="66"/>
    </row>
    <row r="8231" spans="1:1" x14ac:dyDescent="0.25">
      <c r="A8231" s="66"/>
    </row>
    <row r="8232" spans="1:1" x14ac:dyDescent="0.25">
      <c r="A8232" s="66"/>
    </row>
    <row r="8233" spans="1:1" x14ac:dyDescent="0.25">
      <c r="A8233" s="66"/>
    </row>
    <row r="8234" spans="1:1" x14ac:dyDescent="0.25">
      <c r="A8234" s="66"/>
    </row>
    <row r="8235" spans="1:1" x14ac:dyDescent="0.25">
      <c r="A8235" s="66"/>
    </row>
    <row r="8236" spans="1:1" x14ac:dyDescent="0.25">
      <c r="A8236" s="66"/>
    </row>
    <row r="8237" spans="1:1" x14ac:dyDescent="0.25">
      <c r="A8237" s="66"/>
    </row>
    <row r="8238" spans="1:1" x14ac:dyDescent="0.25">
      <c r="A8238" s="66"/>
    </row>
    <row r="8239" spans="1:1" x14ac:dyDescent="0.25">
      <c r="A8239" s="66"/>
    </row>
    <row r="8240" spans="1:1" x14ac:dyDescent="0.25">
      <c r="A8240" s="66"/>
    </row>
    <row r="8241" spans="1:1" x14ac:dyDescent="0.25">
      <c r="A8241" s="66"/>
    </row>
    <row r="8242" spans="1:1" x14ac:dyDescent="0.25">
      <c r="A8242" s="66"/>
    </row>
    <row r="8243" spans="1:1" x14ac:dyDescent="0.25">
      <c r="A8243" s="66"/>
    </row>
    <row r="8244" spans="1:1" x14ac:dyDescent="0.25">
      <c r="A8244" s="66"/>
    </row>
    <row r="8245" spans="1:1" x14ac:dyDescent="0.25">
      <c r="A8245" s="66"/>
    </row>
    <row r="8246" spans="1:1" x14ac:dyDescent="0.25">
      <c r="A8246" s="66"/>
    </row>
    <row r="8247" spans="1:1" x14ac:dyDescent="0.25">
      <c r="A8247" s="66"/>
    </row>
    <row r="8248" spans="1:1" x14ac:dyDescent="0.25">
      <c r="A8248" s="66"/>
    </row>
    <row r="8249" spans="1:1" x14ac:dyDescent="0.25">
      <c r="A8249" s="66"/>
    </row>
    <row r="8250" spans="1:1" x14ac:dyDescent="0.25">
      <c r="A8250" s="66"/>
    </row>
    <row r="8251" spans="1:1" x14ac:dyDescent="0.25">
      <c r="A8251" s="66"/>
    </row>
    <row r="8252" spans="1:1" x14ac:dyDescent="0.25">
      <c r="A8252" s="66"/>
    </row>
    <row r="8253" spans="1:1" x14ac:dyDescent="0.25">
      <c r="A8253" s="66"/>
    </row>
    <row r="8254" spans="1:1" x14ac:dyDescent="0.25">
      <c r="A8254" s="66"/>
    </row>
    <row r="8255" spans="1:1" x14ac:dyDescent="0.25">
      <c r="A8255" s="66"/>
    </row>
    <row r="8256" spans="1:1" x14ac:dyDescent="0.25">
      <c r="A8256" s="66"/>
    </row>
    <row r="8257" spans="1:1" x14ac:dyDescent="0.25">
      <c r="A8257" s="66"/>
    </row>
    <row r="8258" spans="1:1" x14ac:dyDescent="0.25">
      <c r="A8258" s="66"/>
    </row>
    <row r="8259" spans="1:1" x14ac:dyDescent="0.25">
      <c r="A8259" s="66"/>
    </row>
    <row r="8260" spans="1:1" x14ac:dyDescent="0.25">
      <c r="A8260" s="66"/>
    </row>
    <row r="8261" spans="1:1" x14ac:dyDescent="0.25">
      <c r="A8261" s="66"/>
    </row>
    <row r="8262" spans="1:1" x14ac:dyDescent="0.25">
      <c r="A8262" s="66"/>
    </row>
    <row r="8263" spans="1:1" x14ac:dyDescent="0.25">
      <c r="A8263" s="66"/>
    </row>
    <row r="8264" spans="1:1" x14ac:dyDescent="0.25">
      <c r="A8264" s="66"/>
    </row>
    <row r="8265" spans="1:1" x14ac:dyDescent="0.25">
      <c r="A8265" s="66"/>
    </row>
    <row r="8266" spans="1:1" x14ac:dyDescent="0.25">
      <c r="A8266" s="66"/>
    </row>
    <row r="8267" spans="1:1" x14ac:dyDescent="0.25">
      <c r="A8267" s="66"/>
    </row>
    <row r="8268" spans="1:1" x14ac:dyDescent="0.25">
      <c r="A8268" s="66"/>
    </row>
    <row r="8269" spans="1:1" x14ac:dyDescent="0.25">
      <c r="A8269" s="66"/>
    </row>
    <row r="8270" spans="1:1" x14ac:dyDescent="0.25">
      <c r="A8270" s="66"/>
    </row>
    <row r="8271" spans="1:1" x14ac:dyDescent="0.25">
      <c r="A8271" s="66"/>
    </row>
    <row r="8272" spans="1:1" x14ac:dyDescent="0.25">
      <c r="A8272" s="66"/>
    </row>
    <row r="8273" spans="1:1" x14ac:dyDescent="0.25">
      <c r="A8273" s="66"/>
    </row>
    <row r="8274" spans="1:1" x14ac:dyDescent="0.25">
      <c r="A8274" s="66"/>
    </row>
    <row r="8275" spans="1:1" x14ac:dyDescent="0.25">
      <c r="A8275" s="66"/>
    </row>
    <row r="8276" spans="1:1" x14ac:dyDescent="0.25">
      <c r="A8276" s="66"/>
    </row>
    <row r="8277" spans="1:1" x14ac:dyDescent="0.25">
      <c r="A8277" s="66"/>
    </row>
    <row r="8278" spans="1:1" x14ac:dyDescent="0.25">
      <c r="A8278" s="66"/>
    </row>
    <row r="8279" spans="1:1" x14ac:dyDescent="0.25">
      <c r="A8279" s="66"/>
    </row>
    <row r="8280" spans="1:1" x14ac:dyDescent="0.25">
      <c r="A8280" s="66"/>
    </row>
    <row r="8281" spans="1:1" x14ac:dyDescent="0.25">
      <c r="A8281" s="66"/>
    </row>
    <row r="8282" spans="1:1" x14ac:dyDescent="0.25">
      <c r="A8282" s="66"/>
    </row>
    <row r="8283" spans="1:1" x14ac:dyDescent="0.25">
      <c r="A8283" s="66"/>
    </row>
    <row r="8284" spans="1:1" x14ac:dyDescent="0.25">
      <c r="A8284" s="66"/>
    </row>
    <row r="8285" spans="1:1" x14ac:dyDescent="0.25">
      <c r="A8285" s="66"/>
    </row>
    <row r="8286" spans="1:1" x14ac:dyDescent="0.25">
      <c r="A8286" s="66"/>
    </row>
    <row r="8287" spans="1:1" x14ac:dyDescent="0.25">
      <c r="A8287" s="66"/>
    </row>
    <row r="8288" spans="1:1" x14ac:dyDescent="0.25">
      <c r="A8288" s="66"/>
    </row>
    <row r="8289" spans="1:1" x14ac:dyDescent="0.25">
      <c r="A8289" s="66"/>
    </row>
    <row r="8290" spans="1:1" x14ac:dyDescent="0.25">
      <c r="A8290" s="66"/>
    </row>
    <row r="8291" spans="1:1" x14ac:dyDescent="0.25">
      <c r="A8291" s="66"/>
    </row>
    <row r="8292" spans="1:1" x14ac:dyDescent="0.25">
      <c r="A8292" s="66"/>
    </row>
    <row r="8293" spans="1:1" x14ac:dyDescent="0.25">
      <c r="A8293" s="66"/>
    </row>
    <row r="8294" spans="1:1" x14ac:dyDescent="0.25">
      <c r="A8294" s="66"/>
    </row>
    <row r="8295" spans="1:1" x14ac:dyDescent="0.25">
      <c r="A8295" s="66"/>
    </row>
    <row r="8296" spans="1:1" x14ac:dyDescent="0.25">
      <c r="A8296" s="66"/>
    </row>
    <row r="8297" spans="1:1" x14ac:dyDescent="0.25">
      <c r="A8297" s="66"/>
    </row>
    <row r="8298" spans="1:1" x14ac:dyDescent="0.25">
      <c r="A8298" s="66"/>
    </row>
    <row r="8299" spans="1:1" x14ac:dyDescent="0.25">
      <c r="A8299" s="66"/>
    </row>
    <row r="8300" spans="1:1" x14ac:dyDescent="0.25">
      <c r="A8300" s="66"/>
    </row>
    <row r="8301" spans="1:1" x14ac:dyDescent="0.25">
      <c r="A8301" s="66"/>
    </row>
    <row r="8302" spans="1:1" x14ac:dyDescent="0.25">
      <c r="A8302" s="66"/>
    </row>
    <row r="8303" spans="1:1" x14ac:dyDescent="0.25">
      <c r="A8303" s="66"/>
    </row>
    <row r="8304" spans="1:1" x14ac:dyDescent="0.25">
      <c r="A8304" s="66"/>
    </row>
    <row r="8305" spans="1:1" x14ac:dyDescent="0.25">
      <c r="A8305" s="66"/>
    </row>
    <row r="8306" spans="1:1" x14ac:dyDescent="0.25">
      <c r="A8306" s="66"/>
    </row>
    <row r="8307" spans="1:1" x14ac:dyDescent="0.25">
      <c r="A8307" s="66"/>
    </row>
    <row r="8308" spans="1:1" x14ac:dyDescent="0.25">
      <c r="A8308" s="66"/>
    </row>
    <row r="8309" spans="1:1" x14ac:dyDescent="0.25">
      <c r="A8309" s="66"/>
    </row>
    <row r="8310" spans="1:1" x14ac:dyDescent="0.25">
      <c r="A8310" s="66"/>
    </row>
    <row r="8311" spans="1:1" x14ac:dyDescent="0.25">
      <c r="A8311" s="66"/>
    </row>
    <row r="8312" spans="1:1" x14ac:dyDescent="0.25">
      <c r="A8312" s="66"/>
    </row>
    <row r="8313" spans="1:1" x14ac:dyDescent="0.25">
      <c r="A8313" s="66"/>
    </row>
    <row r="8314" spans="1:1" x14ac:dyDescent="0.25">
      <c r="A8314" s="66"/>
    </row>
    <row r="8315" spans="1:1" x14ac:dyDescent="0.25">
      <c r="A8315" s="66"/>
    </row>
    <row r="8316" spans="1:1" x14ac:dyDescent="0.25">
      <c r="A8316" s="66"/>
    </row>
    <row r="8317" spans="1:1" x14ac:dyDescent="0.25">
      <c r="A8317" s="66"/>
    </row>
    <row r="8318" spans="1:1" x14ac:dyDescent="0.25">
      <c r="A8318" s="66"/>
    </row>
    <row r="8319" spans="1:1" x14ac:dyDescent="0.25">
      <c r="A8319" s="66"/>
    </row>
    <row r="8320" spans="1:1" x14ac:dyDescent="0.25">
      <c r="A8320" s="66"/>
    </row>
    <row r="8321" spans="1:1" x14ac:dyDescent="0.25">
      <c r="A8321" s="66"/>
    </row>
    <row r="8322" spans="1:1" x14ac:dyDescent="0.25">
      <c r="A8322" s="66"/>
    </row>
    <row r="8323" spans="1:1" x14ac:dyDescent="0.25">
      <c r="A8323" s="66"/>
    </row>
    <row r="8324" spans="1:1" x14ac:dyDescent="0.25">
      <c r="A8324" s="66"/>
    </row>
    <row r="8325" spans="1:1" x14ac:dyDescent="0.25">
      <c r="A8325" s="66"/>
    </row>
    <row r="8326" spans="1:1" x14ac:dyDescent="0.25">
      <c r="A8326" s="66"/>
    </row>
    <row r="8327" spans="1:1" x14ac:dyDescent="0.25">
      <c r="A8327" s="66"/>
    </row>
    <row r="8328" spans="1:1" x14ac:dyDescent="0.25">
      <c r="A8328" s="66"/>
    </row>
    <row r="8329" spans="1:1" x14ac:dyDescent="0.25">
      <c r="A8329" s="66"/>
    </row>
    <row r="8330" spans="1:1" x14ac:dyDescent="0.25">
      <c r="A8330" s="66"/>
    </row>
    <row r="8331" spans="1:1" x14ac:dyDescent="0.25">
      <c r="A8331" s="66"/>
    </row>
    <row r="8332" spans="1:1" x14ac:dyDescent="0.25">
      <c r="A8332" s="66"/>
    </row>
    <row r="8333" spans="1:1" x14ac:dyDescent="0.25">
      <c r="A8333" s="66"/>
    </row>
    <row r="8334" spans="1:1" x14ac:dyDescent="0.25">
      <c r="A8334" s="66"/>
    </row>
    <row r="8335" spans="1:1" x14ac:dyDescent="0.25">
      <c r="A8335" s="66"/>
    </row>
    <row r="8336" spans="1:1" x14ac:dyDescent="0.25">
      <c r="A8336" s="66"/>
    </row>
    <row r="8337" spans="1:1" x14ac:dyDescent="0.25">
      <c r="A8337" s="66"/>
    </row>
    <row r="8338" spans="1:1" x14ac:dyDescent="0.25">
      <c r="A8338" s="66"/>
    </row>
    <row r="8339" spans="1:1" x14ac:dyDescent="0.25">
      <c r="A8339" s="66"/>
    </row>
    <row r="8340" spans="1:1" x14ac:dyDescent="0.25">
      <c r="A8340" s="66"/>
    </row>
    <row r="8341" spans="1:1" x14ac:dyDescent="0.25">
      <c r="A8341" s="66"/>
    </row>
    <row r="8342" spans="1:1" x14ac:dyDescent="0.25">
      <c r="A8342" s="66"/>
    </row>
    <row r="8343" spans="1:1" x14ac:dyDescent="0.25">
      <c r="A8343" s="66"/>
    </row>
    <row r="8344" spans="1:1" x14ac:dyDescent="0.25">
      <c r="A8344" s="66"/>
    </row>
    <row r="8345" spans="1:1" x14ac:dyDescent="0.25">
      <c r="A8345" s="66"/>
    </row>
    <row r="8346" spans="1:1" x14ac:dyDescent="0.25">
      <c r="A8346" s="66"/>
    </row>
    <row r="8347" spans="1:1" x14ac:dyDescent="0.25">
      <c r="A8347" s="66"/>
    </row>
    <row r="8348" spans="1:1" x14ac:dyDescent="0.25">
      <c r="A8348" s="66"/>
    </row>
    <row r="8349" spans="1:1" x14ac:dyDescent="0.25">
      <c r="A8349" s="66"/>
    </row>
    <row r="8350" spans="1:1" x14ac:dyDescent="0.25">
      <c r="A8350" s="66"/>
    </row>
    <row r="8351" spans="1:1" x14ac:dyDescent="0.25">
      <c r="A8351" s="66"/>
    </row>
    <row r="8352" spans="1:1" x14ac:dyDescent="0.25">
      <c r="A8352" s="66"/>
    </row>
    <row r="8353" spans="1:1" x14ac:dyDescent="0.25">
      <c r="A8353" s="66"/>
    </row>
    <row r="8354" spans="1:1" x14ac:dyDescent="0.25">
      <c r="A8354" s="66"/>
    </row>
    <row r="8355" spans="1:1" x14ac:dyDescent="0.25">
      <c r="A8355" s="66"/>
    </row>
    <row r="8356" spans="1:1" x14ac:dyDescent="0.25">
      <c r="A8356" s="66"/>
    </row>
    <row r="8357" spans="1:1" x14ac:dyDescent="0.25">
      <c r="A8357" s="66"/>
    </row>
    <row r="8358" spans="1:1" x14ac:dyDescent="0.25">
      <c r="A8358" s="66"/>
    </row>
    <row r="8359" spans="1:1" x14ac:dyDescent="0.25">
      <c r="A8359" s="66"/>
    </row>
    <row r="8360" spans="1:1" x14ac:dyDescent="0.25">
      <c r="A8360" s="66"/>
    </row>
    <row r="8361" spans="1:1" x14ac:dyDescent="0.25">
      <c r="A8361" s="66"/>
    </row>
    <row r="8362" spans="1:1" x14ac:dyDescent="0.25">
      <c r="A8362" s="66"/>
    </row>
    <row r="8363" spans="1:1" x14ac:dyDescent="0.25">
      <c r="A8363" s="66"/>
    </row>
    <row r="8364" spans="1:1" x14ac:dyDescent="0.25">
      <c r="A8364" s="66"/>
    </row>
    <row r="8365" spans="1:1" x14ac:dyDescent="0.25">
      <c r="A8365" s="66"/>
    </row>
    <row r="8366" spans="1:1" x14ac:dyDescent="0.25">
      <c r="A8366" s="66"/>
    </row>
    <row r="8367" spans="1:1" x14ac:dyDescent="0.25">
      <c r="A8367" s="66"/>
    </row>
    <row r="8368" spans="1:1" x14ac:dyDescent="0.25">
      <c r="A8368" s="66"/>
    </row>
    <row r="8369" spans="1:1" x14ac:dyDescent="0.25">
      <c r="A8369" s="66"/>
    </row>
    <row r="8370" spans="1:1" x14ac:dyDescent="0.25">
      <c r="A8370" s="66"/>
    </row>
    <row r="8371" spans="1:1" x14ac:dyDescent="0.25">
      <c r="A8371" s="66"/>
    </row>
    <row r="8372" spans="1:1" x14ac:dyDescent="0.25">
      <c r="A8372" s="66"/>
    </row>
    <row r="8373" spans="1:1" x14ac:dyDescent="0.25">
      <c r="A8373" s="66"/>
    </row>
    <row r="8374" spans="1:1" x14ac:dyDescent="0.25">
      <c r="A8374" s="66"/>
    </row>
    <row r="8375" spans="1:1" x14ac:dyDescent="0.25">
      <c r="A8375" s="66"/>
    </row>
    <row r="8376" spans="1:1" x14ac:dyDescent="0.25">
      <c r="A8376" s="66"/>
    </row>
    <row r="8377" spans="1:1" x14ac:dyDescent="0.25">
      <c r="A8377" s="66"/>
    </row>
    <row r="8378" spans="1:1" x14ac:dyDescent="0.25">
      <c r="A8378" s="66"/>
    </row>
    <row r="8379" spans="1:1" x14ac:dyDescent="0.25">
      <c r="A8379" s="66"/>
    </row>
    <row r="8380" spans="1:1" x14ac:dyDescent="0.25">
      <c r="A8380" s="66"/>
    </row>
    <row r="8381" spans="1:1" x14ac:dyDescent="0.25">
      <c r="A8381" s="66"/>
    </row>
    <row r="8382" spans="1:1" x14ac:dyDescent="0.25">
      <c r="A8382" s="66"/>
    </row>
    <row r="8383" spans="1:1" x14ac:dyDescent="0.25">
      <c r="A8383" s="66"/>
    </row>
    <row r="8384" spans="1:1" x14ac:dyDescent="0.25">
      <c r="A8384" s="66"/>
    </row>
    <row r="8385" spans="1:1" x14ac:dyDescent="0.25">
      <c r="A8385" s="66"/>
    </row>
    <row r="8386" spans="1:1" x14ac:dyDescent="0.25">
      <c r="A8386" s="66"/>
    </row>
    <row r="8387" spans="1:1" x14ac:dyDescent="0.25">
      <c r="A8387" s="66"/>
    </row>
    <row r="8388" spans="1:1" x14ac:dyDescent="0.25">
      <c r="A8388" s="66"/>
    </row>
    <row r="8389" spans="1:1" x14ac:dyDescent="0.25">
      <c r="A8389" s="66"/>
    </row>
    <row r="8390" spans="1:1" x14ac:dyDescent="0.25">
      <c r="A8390" s="66"/>
    </row>
    <row r="8391" spans="1:1" x14ac:dyDescent="0.25">
      <c r="A8391" s="66"/>
    </row>
    <row r="8392" spans="1:1" x14ac:dyDescent="0.25">
      <c r="A8392" s="66"/>
    </row>
    <row r="8393" spans="1:1" x14ac:dyDescent="0.25">
      <c r="A8393" s="66"/>
    </row>
    <row r="8394" spans="1:1" x14ac:dyDescent="0.25">
      <c r="A8394" s="66"/>
    </row>
    <row r="8395" spans="1:1" x14ac:dyDescent="0.25">
      <c r="A8395" s="66"/>
    </row>
    <row r="8396" spans="1:1" x14ac:dyDescent="0.25">
      <c r="A8396" s="66"/>
    </row>
    <row r="8397" spans="1:1" x14ac:dyDescent="0.25">
      <c r="A8397" s="66"/>
    </row>
    <row r="8398" spans="1:1" x14ac:dyDescent="0.25">
      <c r="A8398" s="66"/>
    </row>
    <row r="8399" spans="1:1" x14ac:dyDescent="0.25">
      <c r="A8399" s="66"/>
    </row>
    <row r="8400" spans="1:1" x14ac:dyDescent="0.25">
      <c r="A8400" s="66"/>
    </row>
    <row r="8401" spans="1:1" x14ac:dyDescent="0.25">
      <c r="A8401" s="66"/>
    </row>
    <row r="8402" spans="1:1" x14ac:dyDescent="0.25">
      <c r="A8402" s="66"/>
    </row>
    <row r="8403" spans="1:1" x14ac:dyDescent="0.25">
      <c r="A8403" s="66"/>
    </row>
    <row r="8404" spans="1:1" x14ac:dyDescent="0.25">
      <c r="A8404" s="66"/>
    </row>
    <row r="8405" spans="1:1" x14ac:dyDescent="0.25">
      <c r="A8405" s="66"/>
    </row>
    <row r="8406" spans="1:1" x14ac:dyDescent="0.25">
      <c r="A8406" s="66"/>
    </row>
    <row r="8407" spans="1:1" x14ac:dyDescent="0.25">
      <c r="A8407" s="66"/>
    </row>
    <row r="8408" spans="1:1" x14ac:dyDescent="0.25">
      <c r="A8408" s="66"/>
    </row>
    <row r="8409" spans="1:1" x14ac:dyDescent="0.25">
      <c r="A8409" s="66"/>
    </row>
    <row r="8410" spans="1:1" x14ac:dyDescent="0.25">
      <c r="A8410" s="66"/>
    </row>
    <row r="8411" spans="1:1" x14ac:dyDescent="0.25">
      <c r="A8411" s="66"/>
    </row>
    <row r="8412" spans="1:1" x14ac:dyDescent="0.25">
      <c r="A8412" s="66"/>
    </row>
    <row r="8413" spans="1:1" x14ac:dyDescent="0.25">
      <c r="A8413" s="66"/>
    </row>
    <row r="8414" spans="1:1" x14ac:dyDescent="0.25">
      <c r="A8414" s="66"/>
    </row>
    <row r="8415" spans="1:1" x14ac:dyDescent="0.25">
      <c r="A8415" s="66"/>
    </row>
    <row r="8416" spans="1:1" x14ac:dyDescent="0.25">
      <c r="A8416" s="66"/>
    </row>
    <row r="8417" spans="1:1" x14ac:dyDescent="0.25">
      <c r="A8417" s="66"/>
    </row>
    <row r="8418" spans="1:1" x14ac:dyDescent="0.25">
      <c r="A8418" s="66"/>
    </row>
    <row r="8419" spans="1:1" x14ac:dyDescent="0.25">
      <c r="A8419" s="66"/>
    </row>
    <row r="8420" spans="1:1" x14ac:dyDescent="0.25">
      <c r="A8420" s="66"/>
    </row>
    <row r="8421" spans="1:1" x14ac:dyDescent="0.25">
      <c r="A8421" s="66"/>
    </row>
    <row r="8422" spans="1:1" x14ac:dyDescent="0.25">
      <c r="A8422" s="66"/>
    </row>
    <row r="8423" spans="1:1" x14ac:dyDescent="0.25">
      <c r="A8423" s="66"/>
    </row>
    <row r="8424" spans="1:1" x14ac:dyDescent="0.25">
      <c r="A8424" s="66"/>
    </row>
    <row r="8425" spans="1:1" x14ac:dyDescent="0.25">
      <c r="A8425" s="66"/>
    </row>
    <row r="8426" spans="1:1" x14ac:dyDescent="0.25">
      <c r="A8426" s="66"/>
    </row>
    <row r="8427" spans="1:1" x14ac:dyDescent="0.25">
      <c r="A8427" s="66"/>
    </row>
    <row r="8428" spans="1:1" x14ac:dyDescent="0.25">
      <c r="A8428" s="66"/>
    </row>
    <row r="8429" spans="1:1" x14ac:dyDescent="0.25">
      <c r="A8429" s="66"/>
    </row>
    <row r="8430" spans="1:1" x14ac:dyDescent="0.25">
      <c r="A8430" s="66"/>
    </row>
    <row r="8431" spans="1:1" x14ac:dyDescent="0.25">
      <c r="A8431" s="66"/>
    </row>
    <row r="8432" spans="1:1" x14ac:dyDescent="0.25">
      <c r="A8432" s="66"/>
    </row>
    <row r="8433" spans="1:1" x14ac:dyDescent="0.25">
      <c r="A8433" s="66"/>
    </row>
    <row r="8434" spans="1:1" x14ac:dyDescent="0.25">
      <c r="A8434" s="66"/>
    </row>
    <row r="8435" spans="1:1" x14ac:dyDescent="0.25">
      <c r="A8435" s="66"/>
    </row>
    <row r="8436" spans="1:1" x14ac:dyDescent="0.25">
      <c r="A8436" s="66"/>
    </row>
    <row r="8437" spans="1:1" x14ac:dyDescent="0.25">
      <c r="A8437" s="66"/>
    </row>
    <row r="8438" spans="1:1" x14ac:dyDescent="0.25">
      <c r="A8438" s="66"/>
    </row>
    <row r="8439" spans="1:1" x14ac:dyDescent="0.25">
      <c r="A8439" s="66"/>
    </row>
    <row r="8440" spans="1:1" x14ac:dyDescent="0.25">
      <c r="A8440" s="66"/>
    </row>
    <row r="8441" spans="1:1" x14ac:dyDescent="0.25">
      <c r="A8441" s="66"/>
    </row>
    <row r="8442" spans="1:1" x14ac:dyDescent="0.25">
      <c r="A8442" s="66"/>
    </row>
    <row r="8443" spans="1:1" x14ac:dyDescent="0.25">
      <c r="A8443" s="66"/>
    </row>
    <row r="8444" spans="1:1" x14ac:dyDescent="0.25">
      <c r="A8444" s="66"/>
    </row>
    <row r="8445" spans="1:1" x14ac:dyDescent="0.25">
      <c r="A8445" s="66"/>
    </row>
    <row r="8446" spans="1:1" x14ac:dyDescent="0.25">
      <c r="A8446" s="66"/>
    </row>
    <row r="8447" spans="1:1" x14ac:dyDescent="0.25">
      <c r="A8447" s="66"/>
    </row>
    <row r="8448" spans="1:1" x14ac:dyDescent="0.25">
      <c r="A8448" s="66"/>
    </row>
    <row r="8449" spans="1:1" x14ac:dyDescent="0.25">
      <c r="A8449" s="66"/>
    </row>
    <row r="8450" spans="1:1" x14ac:dyDescent="0.25">
      <c r="A8450" s="66"/>
    </row>
    <row r="8451" spans="1:1" x14ac:dyDescent="0.25">
      <c r="A8451" s="66"/>
    </row>
    <row r="8452" spans="1:1" x14ac:dyDescent="0.25">
      <c r="A8452" s="66"/>
    </row>
    <row r="8453" spans="1:1" x14ac:dyDescent="0.25">
      <c r="A8453" s="66"/>
    </row>
    <row r="8454" spans="1:1" x14ac:dyDescent="0.25">
      <c r="A8454" s="66"/>
    </row>
    <row r="8455" spans="1:1" x14ac:dyDescent="0.25">
      <c r="A8455" s="66"/>
    </row>
    <row r="8456" spans="1:1" x14ac:dyDescent="0.25">
      <c r="A8456" s="66"/>
    </row>
    <row r="8457" spans="1:1" x14ac:dyDescent="0.25">
      <c r="A8457" s="66"/>
    </row>
    <row r="8458" spans="1:1" x14ac:dyDescent="0.25">
      <c r="A8458" s="66"/>
    </row>
    <row r="8459" spans="1:1" x14ac:dyDescent="0.25">
      <c r="A8459" s="66"/>
    </row>
    <row r="8460" spans="1:1" x14ac:dyDescent="0.25">
      <c r="A8460" s="66"/>
    </row>
    <row r="8461" spans="1:1" x14ac:dyDescent="0.25">
      <c r="A8461" s="66"/>
    </row>
    <row r="8462" spans="1:1" x14ac:dyDescent="0.25">
      <c r="A8462" s="66"/>
    </row>
    <row r="8463" spans="1:1" x14ac:dyDescent="0.25">
      <c r="A8463" s="66"/>
    </row>
    <row r="8464" spans="1:1" x14ac:dyDescent="0.25">
      <c r="A8464" s="66"/>
    </row>
    <row r="8465" spans="1:1" x14ac:dyDescent="0.25">
      <c r="A8465" s="66"/>
    </row>
    <row r="8466" spans="1:1" x14ac:dyDescent="0.25">
      <c r="A8466" s="66"/>
    </row>
    <row r="8467" spans="1:1" x14ac:dyDescent="0.25">
      <c r="A8467" s="66"/>
    </row>
    <row r="8468" spans="1:1" x14ac:dyDescent="0.25">
      <c r="A8468" s="66"/>
    </row>
    <row r="8469" spans="1:1" x14ac:dyDescent="0.25">
      <c r="A8469" s="66"/>
    </row>
    <row r="8470" spans="1:1" x14ac:dyDescent="0.25">
      <c r="A8470" s="66"/>
    </row>
    <row r="8471" spans="1:1" x14ac:dyDescent="0.25">
      <c r="A8471" s="66"/>
    </row>
    <row r="8472" spans="1:1" x14ac:dyDescent="0.25">
      <c r="A8472" s="66"/>
    </row>
    <row r="8473" spans="1:1" x14ac:dyDescent="0.25">
      <c r="A8473" s="66"/>
    </row>
    <row r="8474" spans="1:1" x14ac:dyDescent="0.25">
      <c r="A8474" s="66"/>
    </row>
    <row r="8475" spans="1:1" x14ac:dyDescent="0.25">
      <c r="A8475" s="66"/>
    </row>
    <row r="8476" spans="1:1" x14ac:dyDescent="0.25">
      <c r="A8476" s="66"/>
    </row>
    <row r="8477" spans="1:1" x14ac:dyDescent="0.25">
      <c r="A8477" s="66"/>
    </row>
    <row r="8478" spans="1:1" x14ac:dyDescent="0.25">
      <c r="A8478" s="66"/>
    </row>
    <row r="8479" spans="1:1" x14ac:dyDescent="0.25">
      <c r="A8479" s="66"/>
    </row>
    <row r="8480" spans="1:1" x14ac:dyDescent="0.25">
      <c r="A8480" s="66"/>
    </row>
    <row r="8481" spans="1:1" x14ac:dyDescent="0.25">
      <c r="A8481" s="66"/>
    </row>
    <row r="8482" spans="1:1" x14ac:dyDescent="0.25">
      <c r="A8482" s="66"/>
    </row>
    <row r="8483" spans="1:1" x14ac:dyDescent="0.25">
      <c r="A8483" s="66"/>
    </row>
    <row r="8484" spans="1:1" x14ac:dyDescent="0.25">
      <c r="A8484" s="66"/>
    </row>
    <row r="8485" spans="1:1" x14ac:dyDescent="0.25">
      <c r="A8485" s="66"/>
    </row>
    <row r="8486" spans="1:1" x14ac:dyDescent="0.25">
      <c r="A8486" s="66"/>
    </row>
    <row r="8487" spans="1:1" x14ac:dyDescent="0.25">
      <c r="A8487" s="66"/>
    </row>
    <row r="8488" spans="1:1" x14ac:dyDescent="0.25">
      <c r="A8488" s="66"/>
    </row>
    <row r="8489" spans="1:1" x14ac:dyDescent="0.25">
      <c r="A8489" s="66"/>
    </row>
    <row r="8490" spans="1:1" x14ac:dyDescent="0.25">
      <c r="A8490" s="66"/>
    </row>
    <row r="8491" spans="1:1" x14ac:dyDescent="0.25">
      <c r="A8491" s="66"/>
    </row>
    <row r="8492" spans="1:1" x14ac:dyDescent="0.25">
      <c r="A8492" s="66"/>
    </row>
    <row r="8493" spans="1:1" x14ac:dyDescent="0.25">
      <c r="A8493" s="66"/>
    </row>
    <row r="8494" spans="1:1" x14ac:dyDescent="0.25">
      <c r="A8494" s="66"/>
    </row>
    <row r="8495" spans="1:1" x14ac:dyDescent="0.25">
      <c r="A8495" s="66"/>
    </row>
    <row r="8496" spans="1:1" x14ac:dyDescent="0.25">
      <c r="A8496" s="66"/>
    </row>
    <row r="8497" spans="1:1" x14ac:dyDescent="0.25">
      <c r="A8497" s="66"/>
    </row>
    <row r="8498" spans="1:1" x14ac:dyDescent="0.25">
      <c r="A8498" s="66"/>
    </row>
    <row r="8499" spans="1:1" x14ac:dyDescent="0.25">
      <c r="A8499" s="66"/>
    </row>
    <row r="8500" spans="1:1" x14ac:dyDescent="0.25">
      <c r="A8500" s="66"/>
    </row>
    <row r="8501" spans="1:1" x14ac:dyDescent="0.25">
      <c r="A8501" s="66"/>
    </row>
    <row r="8502" spans="1:1" x14ac:dyDescent="0.25">
      <c r="A8502" s="66"/>
    </row>
    <row r="8503" spans="1:1" x14ac:dyDescent="0.25">
      <c r="A8503" s="66"/>
    </row>
    <row r="8504" spans="1:1" x14ac:dyDescent="0.25">
      <c r="A8504" s="66"/>
    </row>
    <row r="8505" spans="1:1" x14ac:dyDescent="0.25">
      <c r="A8505" s="66"/>
    </row>
    <row r="8506" spans="1:1" x14ac:dyDescent="0.25">
      <c r="A8506" s="66"/>
    </row>
    <row r="8507" spans="1:1" x14ac:dyDescent="0.25">
      <c r="A8507" s="66"/>
    </row>
    <row r="8508" spans="1:1" x14ac:dyDescent="0.25">
      <c r="A8508" s="66"/>
    </row>
    <row r="8509" spans="1:1" x14ac:dyDescent="0.25">
      <c r="A8509" s="66"/>
    </row>
    <row r="8510" spans="1:1" x14ac:dyDescent="0.25">
      <c r="A8510" s="66"/>
    </row>
    <row r="8511" spans="1:1" x14ac:dyDescent="0.25">
      <c r="A8511" s="66"/>
    </row>
    <row r="8512" spans="1:1" x14ac:dyDescent="0.25">
      <c r="A8512" s="66"/>
    </row>
    <row r="8513" spans="1:1" x14ac:dyDescent="0.25">
      <c r="A8513" s="66"/>
    </row>
    <row r="8514" spans="1:1" x14ac:dyDescent="0.25">
      <c r="A8514" s="66"/>
    </row>
    <row r="8515" spans="1:1" x14ac:dyDescent="0.25">
      <c r="A8515" s="66"/>
    </row>
    <row r="8516" spans="1:1" x14ac:dyDescent="0.25">
      <c r="A8516" s="66"/>
    </row>
    <row r="8517" spans="1:1" x14ac:dyDescent="0.25">
      <c r="A8517" s="66"/>
    </row>
    <row r="8518" spans="1:1" x14ac:dyDescent="0.25">
      <c r="A8518" s="66"/>
    </row>
    <row r="8519" spans="1:1" x14ac:dyDescent="0.25">
      <c r="A8519" s="66"/>
    </row>
    <row r="8520" spans="1:1" x14ac:dyDescent="0.25">
      <c r="A8520" s="66"/>
    </row>
    <row r="8521" spans="1:1" x14ac:dyDescent="0.25">
      <c r="A8521" s="66"/>
    </row>
    <row r="8522" spans="1:1" x14ac:dyDescent="0.25">
      <c r="A8522" s="66"/>
    </row>
    <row r="8523" spans="1:1" x14ac:dyDescent="0.25">
      <c r="A8523" s="66"/>
    </row>
    <row r="8524" spans="1:1" x14ac:dyDescent="0.25">
      <c r="A8524" s="66"/>
    </row>
    <row r="8525" spans="1:1" x14ac:dyDescent="0.25">
      <c r="A8525" s="66"/>
    </row>
    <row r="8526" spans="1:1" x14ac:dyDescent="0.25">
      <c r="A8526" s="66"/>
    </row>
    <row r="8527" spans="1:1" x14ac:dyDescent="0.25">
      <c r="A8527" s="66"/>
    </row>
    <row r="8528" spans="1:1" x14ac:dyDescent="0.25">
      <c r="A8528" s="66"/>
    </row>
    <row r="8529" spans="1:1" x14ac:dyDescent="0.25">
      <c r="A8529" s="66"/>
    </row>
    <row r="8530" spans="1:1" x14ac:dyDescent="0.25">
      <c r="A8530" s="66"/>
    </row>
    <row r="8531" spans="1:1" x14ac:dyDescent="0.25">
      <c r="A8531" s="66"/>
    </row>
    <row r="8532" spans="1:1" x14ac:dyDescent="0.25">
      <c r="A8532" s="66"/>
    </row>
    <row r="8533" spans="1:1" x14ac:dyDescent="0.25">
      <c r="A8533" s="66"/>
    </row>
    <row r="8534" spans="1:1" x14ac:dyDescent="0.25">
      <c r="A8534" s="66"/>
    </row>
    <row r="8535" spans="1:1" x14ac:dyDescent="0.25">
      <c r="A8535" s="66"/>
    </row>
    <row r="8536" spans="1:1" x14ac:dyDescent="0.25">
      <c r="A8536" s="66"/>
    </row>
    <row r="8537" spans="1:1" x14ac:dyDescent="0.25">
      <c r="A8537" s="66"/>
    </row>
    <row r="8538" spans="1:1" x14ac:dyDescent="0.25">
      <c r="A8538" s="66"/>
    </row>
    <row r="8539" spans="1:1" x14ac:dyDescent="0.25">
      <c r="A8539" s="66"/>
    </row>
    <row r="8540" spans="1:1" x14ac:dyDescent="0.25">
      <c r="A8540" s="66"/>
    </row>
    <row r="8541" spans="1:1" x14ac:dyDescent="0.25">
      <c r="A8541" s="66"/>
    </row>
    <row r="8542" spans="1:1" x14ac:dyDescent="0.25">
      <c r="A8542" s="66"/>
    </row>
    <row r="8543" spans="1:1" x14ac:dyDescent="0.25">
      <c r="A8543" s="66"/>
    </row>
    <row r="8544" spans="1:1" x14ac:dyDescent="0.25">
      <c r="A8544" s="66"/>
    </row>
    <row r="8545" spans="1:1" x14ac:dyDescent="0.25">
      <c r="A8545" s="66"/>
    </row>
    <row r="8546" spans="1:1" x14ac:dyDescent="0.25">
      <c r="A8546" s="66"/>
    </row>
    <row r="8547" spans="1:1" x14ac:dyDescent="0.25">
      <c r="A8547" s="66"/>
    </row>
    <row r="8548" spans="1:1" x14ac:dyDescent="0.25">
      <c r="A8548" s="66"/>
    </row>
    <row r="8549" spans="1:1" x14ac:dyDescent="0.25">
      <c r="A8549" s="66"/>
    </row>
    <row r="8550" spans="1:1" x14ac:dyDescent="0.25">
      <c r="A8550" s="66"/>
    </row>
    <row r="8551" spans="1:1" x14ac:dyDescent="0.25">
      <c r="A8551" s="66"/>
    </row>
    <row r="8552" spans="1:1" x14ac:dyDescent="0.25">
      <c r="A8552" s="66"/>
    </row>
    <row r="8553" spans="1:1" x14ac:dyDescent="0.25">
      <c r="A8553" s="66"/>
    </row>
    <row r="8554" spans="1:1" x14ac:dyDescent="0.25">
      <c r="A8554" s="66"/>
    </row>
    <row r="8555" spans="1:1" x14ac:dyDescent="0.25">
      <c r="A8555" s="66"/>
    </row>
    <row r="8556" spans="1:1" x14ac:dyDescent="0.25">
      <c r="A8556" s="66"/>
    </row>
    <row r="8557" spans="1:1" x14ac:dyDescent="0.25">
      <c r="A8557" s="66"/>
    </row>
    <row r="8558" spans="1:1" x14ac:dyDescent="0.25">
      <c r="A8558" s="66"/>
    </row>
    <row r="8559" spans="1:1" x14ac:dyDescent="0.25">
      <c r="A8559" s="66"/>
    </row>
    <row r="8560" spans="1:1" x14ac:dyDescent="0.25">
      <c r="A8560" s="66"/>
    </row>
    <row r="8561" spans="1:1" x14ac:dyDescent="0.25">
      <c r="A8561" s="66"/>
    </row>
    <row r="8562" spans="1:1" x14ac:dyDescent="0.25">
      <c r="A8562" s="66"/>
    </row>
    <row r="8563" spans="1:1" x14ac:dyDescent="0.25">
      <c r="A8563" s="66"/>
    </row>
    <row r="8564" spans="1:1" x14ac:dyDescent="0.25">
      <c r="A8564" s="66"/>
    </row>
    <row r="8565" spans="1:1" x14ac:dyDescent="0.25">
      <c r="A8565" s="66"/>
    </row>
    <row r="8566" spans="1:1" x14ac:dyDescent="0.25">
      <c r="A8566" s="66"/>
    </row>
    <row r="8567" spans="1:1" x14ac:dyDescent="0.25">
      <c r="A8567" s="66"/>
    </row>
    <row r="8568" spans="1:1" x14ac:dyDescent="0.25">
      <c r="A8568" s="66"/>
    </row>
    <row r="8569" spans="1:1" x14ac:dyDescent="0.25">
      <c r="A8569" s="66"/>
    </row>
    <row r="8570" spans="1:1" x14ac:dyDescent="0.25">
      <c r="A8570" s="66"/>
    </row>
    <row r="8571" spans="1:1" x14ac:dyDescent="0.25">
      <c r="A8571" s="66"/>
    </row>
    <row r="8572" spans="1:1" x14ac:dyDescent="0.25">
      <c r="A8572" s="66"/>
    </row>
    <row r="8573" spans="1:1" x14ac:dyDescent="0.25">
      <c r="A8573" s="66"/>
    </row>
    <row r="8574" spans="1:1" x14ac:dyDescent="0.25">
      <c r="A8574" s="66"/>
    </row>
    <row r="8575" spans="1:1" x14ac:dyDescent="0.25">
      <c r="A8575" s="66"/>
    </row>
    <row r="8576" spans="1:1" x14ac:dyDescent="0.25">
      <c r="A8576" s="66"/>
    </row>
    <row r="8577" spans="1:1" x14ac:dyDescent="0.25">
      <c r="A8577" s="66"/>
    </row>
    <row r="8578" spans="1:1" x14ac:dyDescent="0.25">
      <c r="A8578" s="66"/>
    </row>
    <row r="8579" spans="1:1" x14ac:dyDescent="0.25">
      <c r="A8579" s="66"/>
    </row>
    <row r="8580" spans="1:1" x14ac:dyDescent="0.25">
      <c r="A8580" s="66"/>
    </row>
    <row r="8581" spans="1:1" x14ac:dyDescent="0.25">
      <c r="A8581" s="66"/>
    </row>
    <row r="8582" spans="1:1" x14ac:dyDescent="0.25">
      <c r="A8582" s="66"/>
    </row>
    <row r="8583" spans="1:1" x14ac:dyDescent="0.25">
      <c r="A8583" s="66"/>
    </row>
    <row r="8584" spans="1:1" x14ac:dyDescent="0.25">
      <c r="A8584" s="66"/>
    </row>
    <row r="8585" spans="1:1" x14ac:dyDescent="0.25">
      <c r="A8585" s="66"/>
    </row>
    <row r="8586" spans="1:1" x14ac:dyDescent="0.25">
      <c r="A8586" s="66"/>
    </row>
    <row r="8587" spans="1:1" x14ac:dyDescent="0.25">
      <c r="A8587" s="66"/>
    </row>
    <row r="8588" spans="1:1" x14ac:dyDescent="0.25">
      <c r="A8588" s="66"/>
    </row>
    <row r="8589" spans="1:1" x14ac:dyDescent="0.25">
      <c r="A8589" s="66"/>
    </row>
    <row r="8590" spans="1:1" x14ac:dyDescent="0.25">
      <c r="A8590" s="66"/>
    </row>
    <row r="8591" spans="1:1" x14ac:dyDescent="0.25">
      <c r="A8591" s="66"/>
    </row>
    <row r="8592" spans="1:1" x14ac:dyDescent="0.25">
      <c r="A8592" s="66"/>
    </row>
    <row r="8593" spans="1:1" x14ac:dyDescent="0.25">
      <c r="A8593" s="66"/>
    </row>
    <row r="8594" spans="1:1" x14ac:dyDescent="0.25">
      <c r="A8594" s="66"/>
    </row>
    <row r="8595" spans="1:1" x14ac:dyDescent="0.25">
      <c r="A8595" s="66"/>
    </row>
    <row r="8596" spans="1:1" x14ac:dyDescent="0.25">
      <c r="A8596" s="66"/>
    </row>
    <row r="8597" spans="1:1" x14ac:dyDescent="0.25">
      <c r="A8597" s="66"/>
    </row>
    <row r="8598" spans="1:1" x14ac:dyDescent="0.25">
      <c r="A8598" s="66"/>
    </row>
    <row r="8599" spans="1:1" x14ac:dyDescent="0.25">
      <c r="A8599" s="66"/>
    </row>
    <row r="8600" spans="1:1" x14ac:dyDescent="0.25">
      <c r="A8600" s="66"/>
    </row>
    <row r="8601" spans="1:1" x14ac:dyDescent="0.25">
      <c r="A8601" s="66"/>
    </row>
    <row r="8602" spans="1:1" x14ac:dyDescent="0.25">
      <c r="A8602" s="66"/>
    </row>
    <row r="8603" spans="1:1" x14ac:dyDescent="0.25">
      <c r="A8603" s="66"/>
    </row>
    <row r="8604" spans="1:1" x14ac:dyDescent="0.25">
      <c r="A8604" s="66"/>
    </row>
    <row r="8605" spans="1:1" x14ac:dyDescent="0.25">
      <c r="A8605" s="66"/>
    </row>
    <row r="8606" spans="1:1" x14ac:dyDescent="0.25">
      <c r="A8606" s="66"/>
    </row>
    <row r="8607" spans="1:1" x14ac:dyDescent="0.25">
      <c r="A8607" s="66"/>
    </row>
    <row r="8608" spans="1:1" x14ac:dyDescent="0.25">
      <c r="A8608" s="66"/>
    </row>
    <row r="8609" spans="1:1" x14ac:dyDescent="0.25">
      <c r="A8609" s="66"/>
    </row>
    <row r="8610" spans="1:1" x14ac:dyDescent="0.25">
      <c r="A8610" s="66"/>
    </row>
    <row r="8611" spans="1:1" x14ac:dyDescent="0.25">
      <c r="A8611" s="66"/>
    </row>
    <row r="8612" spans="1:1" x14ac:dyDescent="0.25">
      <c r="A8612" s="66"/>
    </row>
    <row r="8613" spans="1:1" x14ac:dyDescent="0.25">
      <c r="A8613" s="66"/>
    </row>
    <row r="8614" spans="1:1" x14ac:dyDescent="0.25">
      <c r="A8614" s="66"/>
    </row>
    <row r="8615" spans="1:1" x14ac:dyDescent="0.25">
      <c r="A8615" s="66"/>
    </row>
    <row r="8616" spans="1:1" x14ac:dyDescent="0.25">
      <c r="A8616" s="66"/>
    </row>
    <row r="8617" spans="1:1" x14ac:dyDescent="0.25">
      <c r="A8617" s="66"/>
    </row>
    <row r="8618" spans="1:1" x14ac:dyDescent="0.25">
      <c r="A8618" s="66"/>
    </row>
    <row r="8619" spans="1:1" x14ac:dyDescent="0.25">
      <c r="A8619" s="66"/>
    </row>
    <row r="8620" spans="1:1" x14ac:dyDescent="0.25">
      <c r="A8620" s="66"/>
    </row>
    <row r="8621" spans="1:1" x14ac:dyDescent="0.25">
      <c r="A8621" s="66"/>
    </row>
    <row r="8622" spans="1:1" x14ac:dyDescent="0.25">
      <c r="A8622" s="66"/>
    </row>
    <row r="8623" spans="1:1" x14ac:dyDescent="0.25">
      <c r="A8623" s="66"/>
    </row>
    <row r="8624" spans="1:1" x14ac:dyDescent="0.25">
      <c r="A8624" s="66"/>
    </row>
    <row r="8625" spans="1:1" x14ac:dyDescent="0.25">
      <c r="A8625" s="66"/>
    </row>
    <row r="8626" spans="1:1" x14ac:dyDescent="0.25">
      <c r="A8626" s="66"/>
    </row>
    <row r="8627" spans="1:1" x14ac:dyDescent="0.25">
      <c r="A8627" s="66"/>
    </row>
    <row r="8628" spans="1:1" x14ac:dyDescent="0.25">
      <c r="A8628" s="66"/>
    </row>
    <row r="8629" spans="1:1" x14ac:dyDescent="0.25">
      <c r="A8629" s="66"/>
    </row>
    <row r="8630" spans="1:1" x14ac:dyDescent="0.25">
      <c r="A8630" s="66"/>
    </row>
    <row r="8631" spans="1:1" x14ac:dyDescent="0.25">
      <c r="A8631" s="66"/>
    </row>
    <row r="8632" spans="1:1" x14ac:dyDescent="0.25">
      <c r="A8632" s="66"/>
    </row>
    <row r="8633" spans="1:1" x14ac:dyDescent="0.25">
      <c r="A8633" s="66"/>
    </row>
    <row r="8634" spans="1:1" x14ac:dyDescent="0.25">
      <c r="A8634" s="66"/>
    </row>
    <row r="8635" spans="1:1" x14ac:dyDescent="0.25">
      <c r="A8635" s="66"/>
    </row>
    <row r="8636" spans="1:1" x14ac:dyDescent="0.25">
      <c r="A8636" s="66"/>
    </row>
    <row r="8637" spans="1:1" x14ac:dyDescent="0.25">
      <c r="A8637" s="66"/>
    </row>
    <row r="8638" spans="1:1" x14ac:dyDescent="0.25">
      <c r="A8638" s="66"/>
    </row>
    <row r="8639" spans="1:1" x14ac:dyDescent="0.25">
      <c r="A8639" s="66"/>
    </row>
    <row r="8640" spans="1:1" x14ac:dyDescent="0.25">
      <c r="A8640" s="66"/>
    </row>
    <row r="8641" spans="1:1" x14ac:dyDescent="0.25">
      <c r="A8641" s="66"/>
    </row>
    <row r="8642" spans="1:1" x14ac:dyDescent="0.25">
      <c r="A8642" s="66"/>
    </row>
    <row r="8643" spans="1:1" x14ac:dyDescent="0.25">
      <c r="A8643" s="66"/>
    </row>
    <row r="8644" spans="1:1" x14ac:dyDescent="0.25">
      <c r="A8644" s="66"/>
    </row>
    <row r="8645" spans="1:1" x14ac:dyDescent="0.25">
      <c r="A8645" s="66"/>
    </row>
    <row r="8646" spans="1:1" x14ac:dyDescent="0.25">
      <c r="A8646" s="66"/>
    </row>
    <row r="8647" spans="1:1" x14ac:dyDescent="0.25">
      <c r="A8647" s="66"/>
    </row>
    <row r="8648" spans="1:1" x14ac:dyDescent="0.25">
      <c r="A8648" s="66"/>
    </row>
    <row r="8649" spans="1:1" x14ac:dyDescent="0.25">
      <c r="A8649" s="66"/>
    </row>
    <row r="8650" spans="1:1" x14ac:dyDescent="0.25">
      <c r="A8650" s="66"/>
    </row>
    <row r="8651" spans="1:1" x14ac:dyDescent="0.25">
      <c r="A8651" s="66"/>
    </row>
    <row r="8652" spans="1:1" x14ac:dyDescent="0.25">
      <c r="A8652" s="66"/>
    </row>
    <row r="8653" spans="1:1" x14ac:dyDescent="0.25">
      <c r="A8653" s="66"/>
    </row>
    <row r="8654" spans="1:1" x14ac:dyDescent="0.25">
      <c r="A8654" s="66"/>
    </row>
    <row r="8655" spans="1:1" x14ac:dyDescent="0.25">
      <c r="A8655" s="66"/>
    </row>
    <row r="8656" spans="1:1" x14ac:dyDescent="0.25">
      <c r="A8656" s="66"/>
    </row>
    <row r="8657" spans="1:1" x14ac:dyDescent="0.25">
      <c r="A8657" s="66"/>
    </row>
    <row r="8658" spans="1:1" x14ac:dyDescent="0.25">
      <c r="A8658" s="66"/>
    </row>
    <row r="8659" spans="1:1" x14ac:dyDescent="0.25">
      <c r="A8659" s="66"/>
    </row>
    <row r="8660" spans="1:1" x14ac:dyDescent="0.25">
      <c r="A8660" s="66"/>
    </row>
    <row r="8661" spans="1:1" x14ac:dyDescent="0.25">
      <c r="A8661" s="66"/>
    </row>
    <row r="8662" spans="1:1" x14ac:dyDescent="0.25">
      <c r="A8662" s="66"/>
    </row>
    <row r="8663" spans="1:1" x14ac:dyDescent="0.25">
      <c r="A8663" s="66"/>
    </row>
    <row r="8664" spans="1:1" x14ac:dyDescent="0.25">
      <c r="A8664" s="66"/>
    </row>
    <row r="8665" spans="1:1" x14ac:dyDescent="0.25">
      <c r="A8665" s="66"/>
    </row>
    <row r="8666" spans="1:1" x14ac:dyDescent="0.25">
      <c r="A8666" s="66"/>
    </row>
    <row r="8667" spans="1:1" x14ac:dyDescent="0.25">
      <c r="A8667" s="66"/>
    </row>
    <row r="8668" spans="1:1" x14ac:dyDescent="0.25">
      <c r="A8668" s="66"/>
    </row>
    <row r="8669" spans="1:1" x14ac:dyDescent="0.25">
      <c r="A8669" s="66"/>
    </row>
    <row r="8670" spans="1:1" x14ac:dyDescent="0.25">
      <c r="A8670" s="66"/>
    </row>
    <row r="8671" spans="1:1" x14ac:dyDescent="0.25">
      <c r="A8671" s="66"/>
    </row>
    <row r="8672" spans="1:1" x14ac:dyDescent="0.25">
      <c r="A8672" s="66"/>
    </row>
    <row r="8673" spans="1:1" x14ac:dyDescent="0.25">
      <c r="A8673" s="66"/>
    </row>
    <row r="8674" spans="1:1" x14ac:dyDescent="0.25">
      <c r="A8674" s="66"/>
    </row>
    <row r="8675" spans="1:1" x14ac:dyDescent="0.25">
      <c r="A8675" s="66"/>
    </row>
    <row r="8676" spans="1:1" x14ac:dyDescent="0.25">
      <c r="A8676" s="66"/>
    </row>
    <row r="8677" spans="1:1" x14ac:dyDescent="0.25">
      <c r="A8677" s="66"/>
    </row>
    <row r="8678" spans="1:1" x14ac:dyDescent="0.25">
      <c r="A8678" s="66"/>
    </row>
    <row r="8679" spans="1:1" x14ac:dyDescent="0.25">
      <c r="A8679" s="66"/>
    </row>
    <row r="8680" spans="1:1" x14ac:dyDescent="0.25">
      <c r="A8680" s="66"/>
    </row>
    <row r="8681" spans="1:1" x14ac:dyDescent="0.25">
      <c r="A8681" s="66"/>
    </row>
    <row r="8682" spans="1:1" x14ac:dyDescent="0.25">
      <c r="A8682" s="66"/>
    </row>
    <row r="8683" spans="1:1" x14ac:dyDescent="0.25">
      <c r="A8683" s="66"/>
    </row>
    <row r="8684" spans="1:1" x14ac:dyDescent="0.25">
      <c r="A8684" s="66"/>
    </row>
    <row r="8685" spans="1:1" x14ac:dyDescent="0.25">
      <c r="A8685" s="66"/>
    </row>
    <row r="8686" spans="1:1" x14ac:dyDescent="0.25">
      <c r="A8686" s="66"/>
    </row>
    <row r="8687" spans="1:1" x14ac:dyDescent="0.25">
      <c r="A8687" s="66"/>
    </row>
    <row r="8688" spans="1:1" x14ac:dyDescent="0.25">
      <c r="A8688" s="66"/>
    </row>
    <row r="8689" spans="1:1" x14ac:dyDescent="0.25">
      <c r="A8689" s="66"/>
    </row>
    <row r="8690" spans="1:1" x14ac:dyDescent="0.25">
      <c r="A8690" s="66"/>
    </row>
    <row r="8691" spans="1:1" x14ac:dyDescent="0.25">
      <c r="A8691" s="66"/>
    </row>
    <row r="8692" spans="1:1" x14ac:dyDescent="0.25">
      <c r="A8692" s="66"/>
    </row>
    <row r="8693" spans="1:1" x14ac:dyDescent="0.25">
      <c r="A8693" s="66"/>
    </row>
    <row r="8694" spans="1:1" x14ac:dyDescent="0.25">
      <c r="A8694" s="66"/>
    </row>
    <row r="8695" spans="1:1" x14ac:dyDescent="0.25">
      <c r="A8695" s="66"/>
    </row>
    <row r="8696" spans="1:1" x14ac:dyDescent="0.25">
      <c r="A8696" s="66"/>
    </row>
    <row r="8697" spans="1:1" x14ac:dyDescent="0.25">
      <c r="A8697" s="66"/>
    </row>
    <row r="8698" spans="1:1" x14ac:dyDescent="0.25">
      <c r="A8698" s="66"/>
    </row>
    <row r="8699" spans="1:1" x14ac:dyDescent="0.25">
      <c r="A8699" s="66"/>
    </row>
    <row r="8700" spans="1:1" x14ac:dyDescent="0.25">
      <c r="A8700" s="66"/>
    </row>
    <row r="8701" spans="1:1" x14ac:dyDescent="0.25">
      <c r="A8701" s="66"/>
    </row>
    <row r="8702" spans="1:1" x14ac:dyDescent="0.25">
      <c r="A8702" s="66"/>
    </row>
    <row r="8703" spans="1:1" x14ac:dyDescent="0.25">
      <c r="A8703" s="66"/>
    </row>
    <row r="8704" spans="1:1" x14ac:dyDescent="0.25">
      <c r="A8704" s="66"/>
    </row>
    <row r="8705" spans="1:1" x14ac:dyDescent="0.25">
      <c r="A8705" s="66"/>
    </row>
    <row r="8706" spans="1:1" x14ac:dyDescent="0.25">
      <c r="A8706" s="66"/>
    </row>
    <row r="8707" spans="1:1" x14ac:dyDescent="0.25">
      <c r="A8707" s="66"/>
    </row>
    <row r="8708" spans="1:1" x14ac:dyDescent="0.25">
      <c r="A8708" s="66"/>
    </row>
    <row r="8709" spans="1:1" x14ac:dyDescent="0.25">
      <c r="A8709" s="66"/>
    </row>
    <row r="8710" spans="1:1" x14ac:dyDescent="0.25">
      <c r="A8710" s="66"/>
    </row>
    <row r="8711" spans="1:1" x14ac:dyDescent="0.25">
      <c r="A8711" s="66"/>
    </row>
    <row r="8712" spans="1:1" x14ac:dyDescent="0.25">
      <c r="A8712" s="66"/>
    </row>
    <row r="8713" spans="1:1" x14ac:dyDescent="0.25">
      <c r="A8713" s="66"/>
    </row>
    <row r="8714" spans="1:1" x14ac:dyDescent="0.25">
      <c r="A8714" s="66"/>
    </row>
    <row r="8715" spans="1:1" x14ac:dyDescent="0.25">
      <c r="A8715" s="66"/>
    </row>
    <row r="8716" spans="1:1" x14ac:dyDescent="0.25">
      <c r="A8716" s="66"/>
    </row>
    <row r="8717" spans="1:1" x14ac:dyDescent="0.25">
      <c r="A8717" s="66"/>
    </row>
    <row r="8718" spans="1:1" x14ac:dyDescent="0.25">
      <c r="A8718" s="66"/>
    </row>
    <row r="8719" spans="1:1" x14ac:dyDescent="0.25">
      <c r="A8719" s="66"/>
    </row>
    <row r="8720" spans="1:1" x14ac:dyDescent="0.25">
      <c r="A8720" s="66"/>
    </row>
    <row r="8721" spans="1:1" x14ac:dyDescent="0.25">
      <c r="A8721" s="66"/>
    </row>
    <row r="8722" spans="1:1" x14ac:dyDescent="0.25">
      <c r="A8722" s="66"/>
    </row>
    <row r="8723" spans="1:1" x14ac:dyDescent="0.25">
      <c r="A8723" s="66"/>
    </row>
    <row r="8724" spans="1:1" x14ac:dyDescent="0.25">
      <c r="A8724" s="66"/>
    </row>
    <row r="8725" spans="1:1" x14ac:dyDescent="0.25">
      <c r="A8725" s="66"/>
    </row>
    <row r="8726" spans="1:1" x14ac:dyDescent="0.25">
      <c r="A8726" s="66"/>
    </row>
    <row r="8727" spans="1:1" x14ac:dyDescent="0.25">
      <c r="A8727" s="66"/>
    </row>
    <row r="8728" spans="1:1" x14ac:dyDescent="0.25">
      <c r="A8728" s="66"/>
    </row>
    <row r="8729" spans="1:1" x14ac:dyDescent="0.25">
      <c r="A8729" s="66"/>
    </row>
    <row r="8730" spans="1:1" x14ac:dyDescent="0.25">
      <c r="A8730" s="66"/>
    </row>
    <row r="8731" spans="1:1" x14ac:dyDescent="0.25">
      <c r="A8731" s="66"/>
    </row>
    <row r="8732" spans="1:1" x14ac:dyDescent="0.25">
      <c r="A8732" s="66"/>
    </row>
    <row r="8733" spans="1:1" x14ac:dyDescent="0.25">
      <c r="A8733" s="66"/>
    </row>
    <row r="8734" spans="1:1" x14ac:dyDescent="0.25">
      <c r="A8734" s="66"/>
    </row>
    <row r="8735" spans="1:1" x14ac:dyDescent="0.25">
      <c r="A8735" s="66"/>
    </row>
    <row r="8736" spans="1:1" x14ac:dyDescent="0.25">
      <c r="A8736" s="66"/>
    </row>
    <row r="8737" spans="1:1" x14ac:dyDescent="0.25">
      <c r="A8737" s="66"/>
    </row>
    <row r="8738" spans="1:1" x14ac:dyDescent="0.25">
      <c r="A8738" s="66"/>
    </row>
    <row r="8739" spans="1:1" x14ac:dyDescent="0.25">
      <c r="A8739" s="66"/>
    </row>
    <row r="8740" spans="1:1" x14ac:dyDescent="0.25">
      <c r="A8740" s="66"/>
    </row>
    <row r="8741" spans="1:1" x14ac:dyDescent="0.25">
      <c r="A8741" s="66"/>
    </row>
    <row r="8742" spans="1:1" x14ac:dyDescent="0.25">
      <c r="A8742" s="66"/>
    </row>
    <row r="8743" spans="1:1" x14ac:dyDescent="0.25">
      <c r="A8743" s="66"/>
    </row>
    <row r="8744" spans="1:1" x14ac:dyDescent="0.25">
      <c r="A8744" s="66"/>
    </row>
    <row r="8745" spans="1:1" x14ac:dyDescent="0.25">
      <c r="A8745" s="66"/>
    </row>
    <row r="8746" spans="1:1" x14ac:dyDescent="0.25">
      <c r="A8746" s="66"/>
    </row>
    <row r="8747" spans="1:1" x14ac:dyDescent="0.25">
      <c r="A8747" s="66"/>
    </row>
    <row r="8748" spans="1:1" x14ac:dyDescent="0.25">
      <c r="A8748" s="66"/>
    </row>
    <row r="8749" spans="1:1" x14ac:dyDescent="0.25">
      <c r="A8749" s="66"/>
    </row>
    <row r="8750" spans="1:1" x14ac:dyDescent="0.25">
      <c r="A8750" s="66"/>
    </row>
    <row r="8751" spans="1:1" x14ac:dyDescent="0.25">
      <c r="A8751" s="66"/>
    </row>
    <row r="8752" spans="1:1" x14ac:dyDescent="0.25">
      <c r="A8752" s="66"/>
    </row>
    <row r="8753" spans="1:1" x14ac:dyDescent="0.25">
      <c r="A8753" s="66"/>
    </row>
    <row r="8754" spans="1:1" x14ac:dyDescent="0.25">
      <c r="A8754" s="66"/>
    </row>
    <row r="8755" spans="1:1" x14ac:dyDescent="0.25">
      <c r="A8755" s="66"/>
    </row>
    <row r="8756" spans="1:1" x14ac:dyDescent="0.25">
      <c r="A8756" s="66"/>
    </row>
    <row r="8757" spans="1:1" x14ac:dyDescent="0.25">
      <c r="A8757" s="66"/>
    </row>
    <row r="8758" spans="1:1" x14ac:dyDescent="0.25">
      <c r="A8758" s="66"/>
    </row>
    <row r="8759" spans="1:1" x14ac:dyDescent="0.25">
      <c r="A8759" s="66"/>
    </row>
    <row r="8760" spans="1:1" x14ac:dyDescent="0.25">
      <c r="A8760" s="66"/>
    </row>
    <row r="8761" spans="1:1" x14ac:dyDescent="0.25">
      <c r="A8761" s="66"/>
    </row>
    <row r="8762" spans="1:1" x14ac:dyDescent="0.25">
      <c r="A8762" s="66"/>
    </row>
    <row r="8763" spans="1:1" x14ac:dyDescent="0.25">
      <c r="A8763" s="66"/>
    </row>
    <row r="8764" spans="1:1" x14ac:dyDescent="0.25">
      <c r="A8764" s="66"/>
    </row>
    <row r="8765" spans="1:1" x14ac:dyDescent="0.25">
      <c r="A8765" s="66"/>
    </row>
    <row r="8766" spans="1:1" x14ac:dyDescent="0.25">
      <c r="A8766" s="66"/>
    </row>
    <row r="8767" spans="1:1" x14ac:dyDescent="0.25">
      <c r="A8767" s="66"/>
    </row>
    <row r="8768" spans="1:1" x14ac:dyDescent="0.25">
      <c r="A8768" s="66"/>
    </row>
    <row r="8769" spans="1:1" x14ac:dyDescent="0.25">
      <c r="A8769" s="66"/>
    </row>
    <row r="8770" spans="1:1" x14ac:dyDescent="0.25">
      <c r="A8770" s="66"/>
    </row>
    <row r="8771" spans="1:1" x14ac:dyDescent="0.25">
      <c r="A8771" s="66"/>
    </row>
    <row r="8772" spans="1:1" x14ac:dyDescent="0.25">
      <c r="A8772" s="66"/>
    </row>
    <row r="8773" spans="1:1" x14ac:dyDescent="0.25">
      <c r="A8773" s="66"/>
    </row>
    <row r="8774" spans="1:1" x14ac:dyDescent="0.25">
      <c r="A8774" s="66"/>
    </row>
    <row r="8775" spans="1:1" x14ac:dyDescent="0.25">
      <c r="A8775" s="66"/>
    </row>
    <row r="8776" spans="1:1" x14ac:dyDescent="0.25">
      <c r="A8776" s="66"/>
    </row>
    <row r="8777" spans="1:1" x14ac:dyDescent="0.25">
      <c r="A8777" s="66"/>
    </row>
    <row r="8778" spans="1:1" x14ac:dyDescent="0.25">
      <c r="A8778" s="66"/>
    </row>
    <row r="8779" spans="1:1" x14ac:dyDescent="0.25">
      <c r="A8779" s="66"/>
    </row>
    <row r="8780" spans="1:1" x14ac:dyDescent="0.25">
      <c r="A8780" s="66"/>
    </row>
    <row r="8781" spans="1:1" x14ac:dyDescent="0.25">
      <c r="A8781" s="66"/>
    </row>
    <row r="8782" spans="1:1" x14ac:dyDescent="0.25">
      <c r="A8782" s="66"/>
    </row>
    <row r="8783" spans="1:1" x14ac:dyDescent="0.25">
      <c r="A8783" s="66"/>
    </row>
    <row r="8784" spans="1:1" x14ac:dyDescent="0.25">
      <c r="A8784" s="66"/>
    </row>
    <row r="8785" spans="1:1" x14ac:dyDescent="0.25">
      <c r="A8785" s="66"/>
    </row>
    <row r="8786" spans="1:1" x14ac:dyDescent="0.25">
      <c r="A8786" s="66"/>
    </row>
    <row r="8787" spans="1:1" x14ac:dyDescent="0.25">
      <c r="A8787" s="66"/>
    </row>
    <row r="8788" spans="1:1" x14ac:dyDescent="0.25">
      <c r="A8788" s="66"/>
    </row>
    <row r="8789" spans="1:1" x14ac:dyDescent="0.25">
      <c r="A8789" s="66"/>
    </row>
    <row r="8790" spans="1:1" x14ac:dyDescent="0.25">
      <c r="A8790" s="66"/>
    </row>
    <row r="8791" spans="1:1" x14ac:dyDescent="0.25">
      <c r="A8791" s="66"/>
    </row>
    <row r="8792" spans="1:1" x14ac:dyDescent="0.25">
      <c r="A8792" s="66"/>
    </row>
    <row r="8793" spans="1:1" x14ac:dyDescent="0.25">
      <c r="A8793" s="66"/>
    </row>
    <row r="8794" spans="1:1" x14ac:dyDescent="0.25">
      <c r="A8794" s="66"/>
    </row>
    <row r="8795" spans="1:1" x14ac:dyDescent="0.25">
      <c r="A8795" s="66"/>
    </row>
    <row r="8796" spans="1:1" x14ac:dyDescent="0.25">
      <c r="A8796" s="66"/>
    </row>
    <row r="8797" spans="1:1" x14ac:dyDescent="0.25">
      <c r="A8797" s="66"/>
    </row>
    <row r="8798" spans="1:1" x14ac:dyDescent="0.25">
      <c r="A8798" s="66"/>
    </row>
    <row r="8799" spans="1:1" x14ac:dyDescent="0.25">
      <c r="A8799" s="66"/>
    </row>
    <row r="8800" spans="1:1" x14ac:dyDescent="0.25">
      <c r="A8800" s="66"/>
    </row>
    <row r="8801" spans="1:1" x14ac:dyDescent="0.25">
      <c r="A8801" s="66"/>
    </row>
    <row r="8802" spans="1:1" x14ac:dyDescent="0.25">
      <c r="A8802" s="66"/>
    </row>
    <row r="8803" spans="1:1" x14ac:dyDescent="0.25">
      <c r="A8803" s="66"/>
    </row>
    <row r="8804" spans="1:1" x14ac:dyDescent="0.25">
      <c r="A8804" s="66"/>
    </row>
    <row r="8805" spans="1:1" x14ac:dyDescent="0.25">
      <c r="A8805" s="66"/>
    </row>
    <row r="8806" spans="1:1" x14ac:dyDescent="0.25">
      <c r="A8806" s="66"/>
    </row>
    <row r="8807" spans="1:1" x14ac:dyDescent="0.25">
      <c r="A8807" s="66"/>
    </row>
    <row r="8808" spans="1:1" x14ac:dyDescent="0.25">
      <c r="A8808" s="66"/>
    </row>
    <row r="8809" spans="1:1" x14ac:dyDescent="0.25">
      <c r="A8809" s="66"/>
    </row>
    <row r="8810" spans="1:1" x14ac:dyDescent="0.25">
      <c r="A8810" s="66"/>
    </row>
    <row r="8811" spans="1:1" x14ac:dyDescent="0.25">
      <c r="A8811" s="66"/>
    </row>
    <row r="8812" spans="1:1" x14ac:dyDescent="0.25">
      <c r="A8812" s="66"/>
    </row>
    <row r="8813" spans="1:1" x14ac:dyDescent="0.25">
      <c r="A8813" s="66"/>
    </row>
    <row r="8814" spans="1:1" x14ac:dyDescent="0.25">
      <c r="A8814" s="66"/>
    </row>
    <row r="8815" spans="1:1" x14ac:dyDescent="0.25">
      <c r="A8815" s="66"/>
    </row>
    <row r="8816" spans="1:1" x14ac:dyDescent="0.25">
      <c r="A8816" s="66"/>
    </row>
    <row r="8817" spans="1:1" x14ac:dyDescent="0.25">
      <c r="A8817" s="66"/>
    </row>
    <row r="8818" spans="1:1" x14ac:dyDescent="0.25">
      <c r="A8818" s="66"/>
    </row>
    <row r="8819" spans="1:1" x14ac:dyDescent="0.25">
      <c r="A8819" s="66"/>
    </row>
    <row r="8820" spans="1:1" x14ac:dyDescent="0.25">
      <c r="A8820" s="66"/>
    </row>
    <row r="8821" spans="1:1" x14ac:dyDescent="0.25">
      <c r="A8821" s="66"/>
    </row>
    <row r="8822" spans="1:1" x14ac:dyDescent="0.25">
      <c r="A8822" s="66"/>
    </row>
    <row r="8823" spans="1:1" x14ac:dyDescent="0.25">
      <c r="A8823" s="66"/>
    </row>
    <row r="8824" spans="1:1" x14ac:dyDescent="0.25">
      <c r="A8824" s="66"/>
    </row>
    <row r="8825" spans="1:1" x14ac:dyDescent="0.25">
      <c r="A8825" s="66"/>
    </row>
    <row r="8826" spans="1:1" x14ac:dyDescent="0.25">
      <c r="A8826" s="66"/>
    </row>
    <row r="8827" spans="1:1" x14ac:dyDescent="0.25">
      <c r="A8827" s="66"/>
    </row>
    <row r="8828" spans="1:1" x14ac:dyDescent="0.25">
      <c r="A8828" s="66"/>
    </row>
    <row r="8829" spans="1:1" x14ac:dyDescent="0.25">
      <c r="A8829" s="66"/>
    </row>
    <row r="8830" spans="1:1" x14ac:dyDescent="0.25">
      <c r="A8830" s="66"/>
    </row>
    <row r="8831" spans="1:1" x14ac:dyDescent="0.25">
      <c r="A8831" s="66"/>
    </row>
    <row r="8832" spans="1:1" x14ac:dyDescent="0.25">
      <c r="A8832" s="66"/>
    </row>
    <row r="8833" spans="1:1" x14ac:dyDescent="0.25">
      <c r="A8833" s="66"/>
    </row>
    <row r="8834" spans="1:1" x14ac:dyDescent="0.25">
      <c r="A8834" s="66"/>
    </row>
    <row r="8835" spans="1:1" x14ac:dyDescent="0.25">
      <c r="A8835" s="66"/>
    </row>
    <row r="8836" spans="1:1" x14ac:dyDescent="0.25">
      <c r="A8836" s="66"/>
    </row>
    <row r="8837" spans="1:1" x14ac:dyDescent="0.25">
      <c r="A8837" s="66"/>
    </row>
    <row r="8838" spans="1:1" x14ac:dyDescent="0.25">
      <c r="A8838" s="66"/>
    </row>
    <row r="8839" spans="1:1" x14ac:dyDescent="0.25">
      <c r="A8839" s="66"/>
    </row>
    <row r="8840" spans="1:1" x14ac:dyDescent="0.25">
      <c r="A8840" s="66"/>
    </row>
    <row r="8841" spans="1:1" x14ac:dyDescent="0.25">
      <c r="A8841" s="66"/>
    </row>
    <row r="8842" spans="1:1" x14ac:dyDescent="0.25">
      <c r="A8842" s="66"/>
    </row>
    <row r="8843" spans="1:1" x14ac:dyDescent="0.25">
      <c r="A8843" s="66"/>
    </row>
    <row r="8844" spans="1:1" x14ac:dyDescent="0.25">
      <c r="A8844" s="66"/>
    </row>
    <row r="8845" spans="1:1" x14ac:dyDescent="0.25">
      <c r="A8845" s="66"/>
    </row>
    <row r="8846" spans="1:1" x14ac:dyDescent="0.25">
      <c r="A8846" s="66"/>
    </row>
    <row r="8847" spans="1:1" x14ac:dyDescent="0.25">
      <c r="A8847" s="66"/>
    </row>
    <row r="8848" spans="1:1" x14ac:dyDescent="0.25">
      <c r="A8848" s="66"/>
    </row>
    <row r="8849" spans="1:1" x14ac:dyDescent="0.25">
      <c r="A8849" s="66"/>
    </row>
    <row r="8850" spans="1:1" x14ac:dyDescent="0.25">
      <c r="A8850" s="66"/>
    </row>
    <row r="8851" spans="1:1" x14ac:dyDescent="0.25">
      <c r="A8851" s="66"/>
    </row>
    <row r="8852" spans="1:1" x14ac:dyDescent="0.25">
      <c r="A8852" s="66"/>
    </row>
    <row r="8853" spans="1:1" x14ac:dyDescent="0.25">
      <c r="A8853" s="66"/>
    </row>
    <row r="8854" spans="1:1" x14ac:dyDescent="0.25">
      <c r="A8854" s="66"/>
    </row>
    <row r="8855" spans="1:1" x14ac:dyDescent="0.25">
      <c r="A8855" s="66"/>
    </row>
    <row r="8856" spans="1:1" x14ac:dyDescent="0.25">
      <c r="A8856" s="66"/>
    </row>
    <row r="8857" spans="1:1" x14ac:dyDescent="0.25">
      <c r="A8857" s="66"/>
    </row>
    <row r="8858" spans="1:1" x14ac:dyDescent="0.25">
      <c r="A8858" s="66"/>
    </row>
    <row r="8859" spans="1:1" x14ac:dyDescent="0.25">
      <c r="A8859" s="66"/>
    </row>
    <row r="8860" spans="1:1" x14ac:dyDescent="0.25">
      <c r="A8860" s="66"/>
    </row>
    <row r="8861" spans="1:1" x14ac:dyDescent="0.25">
      <c r="A8861" s="66"/>
    </row>
    <row r="8862" spans="1:1" x14ac:dyDescent="0.25">
      <c r="A8862" s="66"/>
    </row>
    <row r="8863" spans="1:1" x14ac:dyDescent="0.25">
      <c r="A8863" s="66"/>
    </row>
    <row r="8864" spans="1:1" x14ac:dyDescent="0.25">
      <c r="A8864" s="66"/>
    </row>
    <row r="8865" spans="1:1" x14ac:dyDescent="0.25">
      <c r="A8865" s="66"/>
    </row>
    <row r="8866" spans="1:1" x14ac:dyDescent="0.25">
      <c r="A8866" s="66"/>
    </row>
    <row r="8867" spans="1:1" x14ac:dyDescent="0.25">
      <c r="A8867" s="66"/>
    </row>
    <row r="8868" spans="1:1" x14ac:dyDescent="0.25">
      <c r="A8868" s="66"/>
    </row>
    <row r="8869" spans="1:1" x14ac:dyDescent="0.25">
      <c r="A8869" s="66"/>
    </row>
    <row r="8870" spans="1:1" x14ac:dyDescent="0.25">
      <c r="A8870" s="66"/>
    </row>
    <row r="8871" spans="1:1" x14ac:dyDescent="0.25">
      <c r="A8871" s="66"/>
    </row>
    <row r="8872" spans="1:1" x14ac:dyDescent="0.25">
      <c r="A8872" s="66"/>
    </row>
    <row r="8873" spans="1:1" x14ac:dyDescent="0.25">
      <c r="A8873" s="66"/>
    </row>
    <row r="8874" spans="1:1" x14ac:dyDescent="0.25">
      <c r="A8874" s="66"/>
    </row>
    <row r="8875" spans="1:1" x14ac:dyDescent="0.25">
      <c r="A8875" s="66"/>
    </row>
    <row r="8876" spans="1:1" x14ac:dyDescent="0.25">
      <c r="A8876" s="66"/>
    </row>
    <row r="8877" spans="1:1" x14ac:dyDescent="0.25">
      <c r="A8877" s="66"/>
    </row>
    <row r="8878" spans="1:1" x14ac:dyDescent="0.25">
      <c r="A8878" s="66"/>
    </row>
    <row r="8879" spans="1:1" x14ac:dyDescent="0.25">
      <c r="A8879" s="66"/>
    </row>
    <row r="8880" spans="1:1" x14ac:dyDescent="0.25">
      <c r="A8880" s="66"/>
    </row>
    <row r="8881" spans="1:1" x14ac:dyDescent="0.25">
      <c r="A8881" s="66"/>
    </row>
    <row r="8882" spans="1:1" x14ac:dyDescent="0.25">
      <c r="A8882" s="66"/>
    </row>
    <row r="8883" spans="1:1" x14ac:dyDescent="0.25">
      <c r="A8883" s="66"/>
    </row>
    <row r="8884" spans="1:1" x14ac:dyDescent="0.25">
      <c r="A8884" s="66"/>
    </row>
    <row r="8885" spans="1:1" x14ac:dyDescent="0.25">
      <c r="A8885" s="66"/>
    </row>
    <row r="8886" spans="1:1" x14ac:dyDescent="0.25">
      <c r="A8886" s="66"/>
    </row>
    <row r="8887" spans="1:1" x14ac:dyDescent="0.25">
      <c r="A8887" s="66"/>
    </row>
    <row r="8888" spans="1:1" x14ac:dyDescent="0.25">
      <c r="A8888" s="66"/>
    </row>
    <row r="8889" spans="1:1" x14ac:dyDescent="0.25">
      <c r="A8889" s="66"/>
    </row>
    <row r="8890" spans="1:1" x14ac:dyDescent="0.25">
      <c r="A8890" s="66"/>
    </row>
    <row r="8891" spans="1:1" x14ac:dyDescent="0.25">
      <c r="A8891" s="66"/>
    </row>
    <row r="8892" spans="1:1" x14ac:dyDescent="0.25">
      <c r="A8892" s="66"/>
    </row>
    <row r="8893" spans="1:1" x14ac:dyDescent="0.25">
      <c r="A8893" s="66"/>
    </row>
    <row r="8894" spans="1:1" x14ac:dyDescent="0.25">
      <c r="A8894" s="66"/>
    </row>
    <row r="8895" spans="1:1" x14ac:dyDescent="0.25">
      <c r="A8895" s="66"/>
    </row>
    <row r="8896" spans="1:1" x14ac:dyDescent="0.25">
      <c r="A8896" s="66"/>
    </row>
    <row r="8897" spans="1:1" x14ac:dyDescent="0.25">
      <c r="A8897" s="66"/>
    </row>
    <row r="8898" spans="1:1" x14ac:dyDescent="0.25">
      <c r="A8898" s="66"/>
    </row>
    <row r="8899" spans="1:1" x14ac:dyDescent="0.25">
      <c r="A8899" s="66"/>
    </row>
    <row r="8900" spans="1:1" x14ac:dyDescent="0.25">
      <c r="A8900" s="66"/>
    </row>
    <row r="8901" spans="1:1" x14ac:dyDescent="0.25">
      <c r="A8901" s="66"/>
    </row>
    <row r="8902" spans="1:1" x14ac:dyDescent="0.25">
      <c r="A8902" s="66"/>
    </row>
    <row r="8903" spans="1:1" x14ac:dyDescent="0.25">
      <c r="A8903" s="66"/>
    </row>
    <row r="8904" spans="1:1" x14ac:dyDescent="0.25">
      <c r="A8904" s="66"/>
    </row>
    <row r="8905" spans="1:1" x14ac:dyDescent="0.25">
      <c r="A8905" s="66"/>
    </row>
    <row r="8906" spans="1:1" x14ac:dyDescent="0.25">
      <c r="A8906" s="66"/>
    </row>
    <row r="8907" spans="1:1" x14ac:dyDescent="0.25">
      <c r="A8907" s="66"/>
    </row>
    <row r="8908" spans="1:1" x14ac:dyDescent="0.25">
      <c r="A8908" s="66"/>
    </row>
    <row r="8909" spans="1:1" x14ac:dyDescent="0.25">
      <c r="A8909" s="66"/>
    </row>
    <row r="8910" spans="1:1" x14ac:dyDescent="0.25">
      <c r="A8910" s="66"/>
    </row>
    <row r="8911" spans="1:1" x14ac:dyDescent="0.25">
      <c r="A8911" s="66"/>
    </row>
    <row r="8912" spans="1:1" x14ac:dyDescent="0.25">
      <c r="A8912" s="66"/>
    </row>
    <row r="8913" spans="1:1" x14ac:dyDescent="0.25">
      <c r="A8913" s="66"/>
    </row>
    <row r="8914" spans="1:1" x14ac:dyDescent="0.25">
      <c r="A8914" s="66"/>
    </row>
    <row r="8915" spans="1:1" x14ac:dyDescent="0.25">
      <c r="A8915" s="66"/>
    </row>
    <row r="8916" spans="1:1" x14ac:dyDescent="0.25">
      <c r="A8916" s="66"/>
    </row>
    <row r="8917" spans="1:1" x14ac:dyDescent="0.25">
      <c r="A8917" s="66"/>
    </row>
    <row r="8918" spans="1:1" x14ac:dyDescent="0.25">
      <c r="A8918" s="66"/>
    </row>
    <row r="8919" spans="1:1" x14ac:dyDescent="0.25">
      <c r="A8919" s="66"/>
    </row>
    <row r="8920" spans="1:1" x14ac:dyDescent="0.25">
      <c r="A8920" s="66"/>
    </row>
    <row r="8921" spans="1:1" x14ac:dyDescent="0.25">
      <c r="A8921" s="66"/>
    </row>
    <row r="8922" spans="1:1" x14ac:dyDescent="0.25">
      <c r="A8922" s="66"/>
    </row>
    <row r="8923" spans="1:1" x14ac:dyDescent="0.25">
      <c r="A8923" s="66"/>
    </row>
    <row r="8924" spans="1:1" x14ac:dyDescent="0.25">
      <c r="A8924" s="66"/>
    </row>
    <row r="8925" spans="1:1" x14ac:dyDescent="0.25">
      <c r="A8925" s="66"/>
    </row>
    <row r="8926" spans="1:1" x14ac:dyDescent="0.25">
      <c r="A8926" s="66"/>
    </row>
    <row r="8927" spans="1:1" x14ac:dyDescent="0.25">
      <c r="A8927" s="66"/>
    </row>
    <row r="8928" spans="1:1" x14ac:dyDescent="0.25">
      <c r="A8928" s="66"/>
    </row>
    <row r="8929" spans="1:1" x14ac:dyDescent="0.25">
      <c r="A8929" s="66"/>
    </row>
    <row r="8930" spans="1:1" x14ac:dyDescent="0.25">
      <c r="A8930" s="66"/>
    </row>
    <row r="8931" spans="1:1" x14ac:dyDescent="0.25">
      <c r="A8931" s="66"/>
    </row>
    <row r="8932" spans="1:1" x14ac:dyDescent="0.25">
      <c r="A8932" s="66"/>
    </row>
    <row r="8933" spans="1:1" x14ac:dyDescent="0.25">
      <c r="A8933" s="66"/>
    </row>
    <row r="8934" spans="1:1" x14ac:dyDescent="0.25">
      <c r="A8934" s="66"/>
    </row>
    <row r="8935" spans="1:1" x14ac:dyDescent="0.25">
      <c r="A8935" s="66"/>
    </row>
    <row r="8936" spans="1:1" x14ac:dyDescent="0.25">
      <c r="A8936" s="66"/>
    </row>
    <row r="8937" spans="1:1" x14ac:dyDescent="0.25">
      <c r="A8937" s="66"/>
    </row>
    <row r="8938" spans="1:1" x14ac:dyDescent="0.25">
      <c r="A8938" s="66"/>
    </row>
    <row r="8939" spans="1:1" x14ac:dyDescent="0.25">
      <c r="A8939" s="66"/>
    </row>
    <row r="8940" spans="1:1" x14ac:dyDescent="0.25">
      <c r="A8940" s="66"/>
    </row>
    <row r="8941" spans="1:1" x14ac:dyDescent="0.25">
      <c r="A8941" s="66"/>
    </row>
    <row r="8942" spans="1:1" x14ac:dyDescent="0.25">
      <c r="A8942" s="66"/>
    </row>
    <row r="8943" spans="1:1" x14ac:dyDescent="0.25">
      <c r="A8943" s="66"/>
    </row>
    <row r="8944" spans="1:1" x14ac:dyDescent="0.25">
      <c r="A8944" s="66"/>
    </row>
    <row r="8945" spans="1:1" x14ac:dyDescent="0.25">
      <c r="A8945" s="66"/>
    </row>
    <row r="8946" spans="1:1" x14ac:dyDescent="0.25">
      <c r="A8946" s="66"/>
    </row>
    <row r="8947" spans="1:1" x14ac:dyDescent="0.25">
      <c r="A8947" s="66"/>
    </row>
    <row r="8948" spans="1:1" x14ac:dyDescent="0.25">
      <c r="A8948" s="66"/>
    </row>
    <row r="8949" spans="1:1" x14ac:dyDescent="0.25">
      <c r="A8949" s="66"/>
    </row>
    <row r="8950" spans="1:1" x14ac:dyDescent="0.25">
      <c r="A8950" s="66"/>
    </row>
    <row r="8951" spans="1:1" x14ac:dyDescent="0.25">
      <c r="A8951" s="66"/>
    </row>
    <row r="8952" spans="1:1" x14ac:dyDescent="0.25">
      <c r="A8952" s="66"/>
    </row>
    <row r="8953" spans="1:1" x14ac:dyDescent="0.25">
      <c r="A8953" s="66"/>
    </row>
    <row r="8954" spans="1:1" x14ac:dyDescent="0.25">
      <c r="A8954" s="66"/>
    </row>
    <row r="8955" spans="1:1" x14ac:dyDescent="0.25">
      <c r="A8955" s="66"/>
    </row>
    <row r="8956" spans="1:1" x14ac:dyDescent="0.25">
      <c r="A8956" s="66"/>
    </row>
    <row r="8957" spans="1:1" x14ac:dyDescent="0.25">
      <c r="A8957" s="66"/>
    </row>
    <row r="8958" spans="1:1" x14ac:dyDescent="0.25">
      <c r="A8958" s="66"/>
    </row>
    <row r="8959" spans="1:1" x14ac:dyDescent="0.25">
      <c r="A8959" s="66"/>
    </row>
    <row r="8960" spans="1:1" x14ac:dyDescent="0.25">
      <c r="A8960" s="66"/>
    </row>
    <row r="8961" spans="1:1" x14ac:dyDescent="0.25">
      <c r="A8961" s="66"/>
    </row>
    <row r="8962" spans="1:1" x14ac:dyDescent="0.25">
      <c r="A8962" s="66"/>
    </row>
    <row r="8963" spans="1:1" x14ac:dyDescent="0.25">
      <c r="A8963" s="66"/>
    </row>
    <row r="8964" spans="1:1" x14ac:dyDescent="0.25">
      <c r="A8964" s="66"/>
    </row>
    <row r="8965" spans="1:1" x14ac:dyDescent="0.25">
      <c r="A8965" s="66"/>
    </row>
    <row r="8966" spans="1:1" x14ac:dyDescent="0.25">
      <c r="A8966" s="66"/>
    </row>
    <row r="8967" spans="1:1" x14ac:dyDescent="0.25">
      <c r="A8967" s="66"/>
    </row>
    <row r="8968" spans="1:1" x14ac:dyDescent="0.25">
      <c r="A8968" s="66"/>
    </row>
    <row r="8969" spans="1:1" x14ac:dyDescent="0.25">
      <c r="A8969" s="66"/>
    </row>
    <row r="8970" spans="1:1" x14ac:dyDescent="0.25">
      <c r="A8970" s="66"/>
    </row>
    <row r="8971" spans="1:1" x14ac:dyDescent="0.25">
      <c r="A8971" s="66"/>
    </row>
    <row r="8972" spans="1:1" x14ac:dyDescent="0.25">
      <c r="A8972" s="66"/>
    </row>
    <row r="8973" spans="1:1" x14ac:dyDescent="0.25">
      <c r="A8973" s="66"/>
    </row>
    <row r="8974" spans="1:1" x14ac:dyDescent="0.25">
      <c r="A8974" s="66"/>
    </row>
    <row r="8975" spans="1:1" x14ac:dyDescent="0.25">
      <c r="A8975" s="66"/>
    </row>
    <row r="8976" spans="1:1" x14ac:dyDescent="0.25">
      <c r="A8976" s="66"/>
    </row>
    <row r="8977" spans="1:1" x14ac:dyDescent="0.25">
      <c r="A8977" s="66"/>
    </row>
    <row r="8978" spans="1:1" x14ac:dyDescent="0.25">
      <c r="A8978" s="66"/>
    </row>
    <row r="8979" spans="1:1" x14ac:dyDescent="0.25">
      <c r="A8979" s="66"/>
    </row>
    <row r="8980" spans="1:1" x14ac:dyDescent="0.25">
      <c r="A8980" s="66"/>
    </row>
    <row r="8981" spans="1:1" x14ac:dyDescent="0.25">
      <c r="A8981" s="66"/>
    </row>
    <row r="8982" spans="1:1" x14ac:dyDescent="0.25">
      <c r="A8982" s="66"/>
    </row>
    <row r="8983" spans="1:1" x14ac:dyDescent="0.25">
      <c r="A8983" s="66"/>
    </row>
    <row r="8984" spans="1:1" x14ac:dyDescent="0.25">
      <c r="A8984" s="66"/>
    </row>
    <row r="8985" spans="1:1" x14ac:dyDescent="0.25">
      <c r="A8985" s="66"/>
    </row>
    <row r="8986" spans="1:1" x14ac:dyDescent="0.25">
      <c r="A8986" s="66"/>
    </row>
    <row r="8987" spans="1:1" x14ac:dyDescent="0.25">
      <c r="A8987" s="66"/>
    </row>
    <row r="8988" spans="1:1" x14ac:dyDescent="0.25">
      <c r="A8988" s="66"/>
    </row>
    <row r="8989" spans="1:1" x14ac:dyDescent="0.25">
      <c r="A8989" s="66"/>
    </row>
    <row r="8990" spans="1:1" x14ac:dyDescent="0.25">
      <c r="A8990" s="66"/>
    </row>
    <row r="8991" spans="1:1" x14ac:dyDescent="0.25">
      <c r="A8991" s="66"/>
    </row>
    <row r="8992" spans="1:1" x14ac:dyDescent="0.25">
      <c r="A8992" s="66"/>
    </row>
    <row r="8993" spans="1:1" x14ac:dyDescent="0.25">
      <c r="A8993" s="66"/>
    </row>
    <row r="8994" spans="1:1" x14ac:dyDescent="0.25">
      <c r="A8994" s="66"/>
    </row>
    <row r="8995" spans="1:1" x14ac:dyDescent="0.25">
      <c r="A8995" s="66"/>
    </row>
    <row r="8996" spans="1:1" x14ac:dyDescent="0.25">
      <c r="A8996" s="66"/>
    </row>
    <row r="8997" spans="1:1" x14ac:dyDescent="0.25">
      <c r="A8997" s="66"/>
    </row>
    <row r="8998" spans="1:1" x14ac:dyDescent="0.25">
      <c r="A8998" s="66"/>
    </row>
    <row r="8999" spans="1:1" x14ac:dyDescent="0.25">
      <c r="A8999" s="66"/>
    </row>
    <row r="9000" spans="1:1" x14ac:dyDescent="0.25">
      <c r="A9000" s="66"/>
    </row>
    <row r="9001" spans="1:1" x14ac:dyDescent="0.25">
      <c r="A9001" s="66"/>
    </row>
    <row r="9002" spans="1:1" x14ac:dyDescent="0.25">
      <c r="A9002" s="66"/>
    </row>
    <row r="9003" spans="1:1" x14ac:dyDescent="0.25">
      <c r="A9003" s="66"/>
    </row>
    <row r="9004" spans="1:1" x14ac:dyDescent="0.25">
      <c r="A9004" s="66"/>
    </row>
    <row r="9005" spans="1:1" x14ac:dyDescent="0.25">
      <c r="A9005" s="66"/>
    </row>
    <row r="9006" spans="1:1" x14ac:dyDescent="0.25">
      <c r="A9006" s="66"/>
    </row>
    <row r="9007" spans="1:1" x14ac:dyDescent="0.25">
      <c r="A9007" s="66"/>
    </row>
    <row r="9008" spans="1:1" x14ac:dyDescent="0.25">
      <c r="A9008" s="66"/>
    </row>
    <row r="9009" spans="1:1" x14ac:dyDescent="0.25">
      <c r="A9009" s="66"/>
    </row>
    <row r="9010" spans="1:1" x14ac:dyDescent="0.25">
      <c r="A9010" s="66"/>
    </row>
    <row r="9011" spans="1:1" x14ac:dyDescent="0.25">
      <c r="A9011" s="66"/>
    </row>
    <row r="9012" spans="1:1" x14ac:dyDescent="0.25">
      <c r="A9012" s="66"/>
    </row>
    <row r="9013" spans="1:1" x14ac:dyDescent="0.25">
      <c r="A9013" s="66"/>
    </row>
    <row r="9014" spans="1:1" x14ac:dyDescent="0.25">
      <c r="A9014" s="66"/>
    </row>
    <row r="9015" spans="1:1" x14ac:dyDescent="0.25">
      <c r="A9015" s="66"/>
    </row>
    <row r="9016" spans="1:1" x14ac:dyDescent="0.25">
      <c r="A9016" s="66"/>
    </row>
    <row r="9017" spans="1:1" x14ac:dyDescent="0.25">
      <c r="A9017" s="66"/>
    </row>
    <row r="9018" spans="1:1" x14ac:dyDescent="0.25">
      <c r="A9018" s="66"/>
    </row>
    <row r="9019" spans="1:1" x14ac:dyDescent="0.25">
      <c r="A9019" s="66"/>
    </row>
    <row r="9020" spans="1:1" x14ac:dyDescent="0.25">
      <c r="A9020" s="66"/>
    </row>
    <row r="9021" spans="1:1" x14ac:dyDescent="0.25">
      <c r="A9021" s="66"/>
    </row>
    <row r="9022" spans="1:1" x14ac:dyDescent="0.25">
      <c r="A9022" s="66"/>
    </row>
    <row r="9023" spans="1:1" x14ac:dyDescent="0.25">
      <c r="A9023" s="66"/>
    </row>
    <row r="9024" spans="1:1" x14ac:dyDescent="0.25">
      <c r="A9024" s="66"/>
    </row>
    <row r="9025" spans="1:1" x14ac:dyDescent="0.25">
      <c r="A9025" s="66"/>
    </row>
    <row r="9026" spans="1:1" x14ac:dyDescent="0.25">
      <c r="A9026" s="66"/>
    </row>
    <row r="9027" spans="1:1" x14ac:dyDescent="0.25">
      <c r="A9027" s="66"/>
    </row>
    <row r="9028" spans="1:1" x14ac:dyDescent="0.25">
      <c r="A9028" s="66"/>
    </row>
    <row r="9029" spans="1:1" x14ac:dyDescent="0.25">
      <c r="A9029" s="66"/>
    </row>
    <row r="9030" spans="1:1" x14ac:dyDescent="0.25">
      <c r="A9030" s="66"/>
    </row>
    <row r="9031" spans="1:1" x14ac:dyDescent="0.25">
      <c r="A9031" s="66"/>
    </row>
    <row r="9032" spans="1:1" x14ac:dyDescent="0.25">
      <c r="A9032" s="66"/>
    </row>
    <row r="9033" spans="1:1" x14ac:dyDescent="0.25">
      <c r="A9033" s="66"/>
    </row>
    <row r="9034" spans="1:1" x14ac:dyDescent="0.25">
      <c r="A9034" s="66"/>
    </row>
    <row r="9035" spans="1:1" x14ac:dyDescent="0.25">
      <c r="A9035" s="66"/>
    </row>
    <row r="9036" spans="1:1" x14ac:dyDescent="0.25">
      <c r="A9036" s="66"/>
    </row>
    <row r="9037" spans="1:1" x14ac:dyDescent="0.25">
      <c r="A9037" s="66"/>
    </row>
    <row r="9038" spans="1:1" x14ac:dyDescent="0.25">
      <c r="A9038" s="66"/>
    </row>
    <row r="9039" spans="1:1" x14ac:dyDescent="0.25">
      <c r="A9039" s="66"/>
    </row>
    <row r="9040" spans="1:1" x14ac:dyDescent="0.25">
      <c r="A9040" s="66"/>
    </row>
    <row r="9041" spans="1:1" x14ac:dyDescent="0.25">
      <c r="A9041" s="66"/>
    </row>
    <row r="9042" spans="1:1" x14ac:dyDescent="0.25">
      <c r="A9042" s="66"/>
    </row>
    <row r="9043" spans="1:1" x14ac:dyDescent="0.25">
      <c r="A9043" s="66"/>
    </row>
    <row r="9044" spans="1:1" x14ac:dyDescent="0.25">
      <c r="A9044" s="66"/>
    </row>
    <row r="9045" spans="1:1" x14ac:dyDescent="0.25">
      <c r="A9045" s="66"/>
    </row>
    <row r="9046" spans="1:1" x14ac:dyDescent="0.25">
      <c r="A9046" s="66"/>
    </row>
    <row r="9047" spans="1:1" x14ac:dyDescent="0.25">
      <c r="A9047" s="66"/>
    </row>
    <row r="9048" spans="1:1" x14ac:dyDescent="0.25">
      <c r="A9048" s="66"/>
    </row>
    <row r="9049" spans="1:1" x14ac:dyDescent="0.25">
      <c r="A9049" s="66"/>
    </row>
    <row r="9050" spans="1:1" x14ac:dyDescent="0.25">
      <c r="A9050" s="66"/>
    </row>
    <row r="9051" spans="1:1" x14ac:dyDescent="0.25">
      <c r="A9051" s="66"/>
    </row>
    <row r="9052" spans="1:1" x14ac:dyDescent="0.25">
      <c r="A9052" s="66"/>
    </row>
    <row r="9053" spans="1:1" x14ac:dyDescent="0.25">
      <c r="A9053" s="66"/>
    </row>
    <row r="9054" spans="1:1" x14ac:dyDescent="0.25">
      <c r="A9054" s="66"/>
    </row>
    <row r="9055" spans="1:1" x14ac:dyDescent="0.25">
      <c r="A9055" s="66"/>
    </row>
    <row r="9056" spans="1:1" x14ac:dyDescent="0.25">
      <c r="A9056" s="66"/>
    </row>
    <row r="9057" spans="1:1" x14ac:dyDescent="0.25">
      <c r="A9057" s="66"/>
    </row>
    <row r="9058" spans="1:1" x14ac:dyDescent="0.25">
      <c r="A9058" s="66"/>
    </row>
    <row r="9059" spans="1:1" x14ac:dyDescent="0.25">
      <c r="A9059" s="66"/>
    </row>
    <row r="9060" spans="1:1" x14ac:dyDescent="0.25">
      <c r="A9060" s="66"/>
    </row>
    <row r="9061" spans="1:1" x14ac:dyDescent="0.25">
      <c r="A9061" s="66"/>
    </row>
    <row r="9062" spans="1:1" x14ac:dyDescent="0.25">
      <c r="A9062" s="66"/>
    </row>
    <row r="9063" spans="1:1" x14ac:dyDescent="0.25">
      <c r="A9063" s="66"/>
    </row>
    <row r="9064" spans="1:1" x14ac:dyDescent="0.25">
      <c r="A9064" s="66"/>
    </row>
    <row r="9065" spans="1:1" x14ac:dyDescent="0.25">
      <c r="A9065" s="66"/>
    </row>
    <row r="9066" spans="1:1" x14ac:dyDescent="0.25">
      <c r="A9066" s="66"/>
    </row>
    <row r="9067" spans="1:1" x14ac:dyDescent="0.25">
      <c r="A9067" s="66"/>
    </row>
    <row r="9068" spans="1:1" x14ac:dyDescent="0.25">
      <c r="A9068" s="66"/>
    </row>
    <row r="9069" spans="1:1" x14ac:dyDescent="0.25">
      <c r="A9069" s="66"/>
    </row>
    <row r="9070" spans="1:1" x14ac:dyDescent="0.25">
      <c r="A9070" s="66"/>
    </row>
    <row r="9071" spans="1:1" x14ac:dyDescent="0.25">
      <c r="A9071" s="66"/>
    </row>
    <row r="9072" spans="1:1" x14ac:dyDescent="0.25">
      <c r="A9072" s="66"/>
    </row>
    <row r="9073" spans="1:1" x14ac:dyDescent="0.25">
      <c r="A9073" s="66"/>
    </row>
    <row r="9074" spans="1:1" x14ac:dyDescent="0.25">
      <c r="A9074" s="66"/>
    </row>
    <row r="9075" spans="1:1" x14ac:dyDescent="0.25">
      <c r="A9075" s="66"/>
    </row>
    <row r="9076" spans="1:1" x14ac:dyDescent="0.25">
      <c r="A9076" s="66"/>
    </row>
    <row r="9077" spans="1:1" x14ac:dyDescent="0.25">
      <c r="A9077" s="66"/>
    </row>
    <row r="9078" spans="1:1" x14ac:dyDescent="0.25">
      <c r="A9078" s="66"/>
    </row>
    <row r="9079" spans="1:1" x14ac:dyDescent="0.25">
      <c r="A9079" s="66"/>
    </row>
    <row r="9080" spans="1:1" x14ac:dyDescent="0.25">
      <c r="A9080" s="66"/>
    </row>
    <row r="9081" spans="1:1" x14ac:dyDescent="0.25">
      <c r="A9081" s="66"/>
    </row>
    <row r="9082" spans="1:1" x14ac:dyDescent="0.25">
      <c r="A9082" s="66"/>
    </row>
    <row r="9083" spans="1:1" x14ac:dyDescent="0.25">
      <c r="A9083" s="66"/>
    </row>
    <row r="9084" spans="1:1" x14ac:dyDescent="0.25">
      <c r="A9084" s="66"/>
    </row>
    <row r="9085" spans="1:1" x14ac:dyDescent="0.25">
      <c r="A9085" s="66"/>
    </row>
    <row r="9086" spans="1:1" x14ac:dyDescent="0.25">
      <c r="A9086" s="66"/>
    </row>
    <row r="9087" spans="1:1" x14ac:dyDescent="0.25">
      <c r="A9087" s="66"/>
    </row>
    <row r="9088" spans="1:1" x14ac:dyDescent="0.25">
      <c r="A9088" s="66"/>
    </row>
    <row r="9089" spans="1:1" x14ac:dyDescent="0.25">
      <c r="A9089" s="66"/>
    </row>
    <row r="9090" spans="1:1" x14ac:dyDescent="0.25">
      <c r="A9090" s="66"/>
    </row>
    <row r="9091" spans="1:1" x14ac:dyDescent="0.25">
      <c r="A9091" s="66"/>
    </row>
    <row r="9092" spans="1:1" x14ac:dyDescent="0.25">
      <c r="A9092" s="66"/>
    </row>
    <row r="9093" spans="1:1" x14ac:dyDescent="0.25">
      <c r="A9093" s="66"/>
    </row>
    <row r="9094" spans="1:1" x14ac:dyDescent="0.25">
      <c r="A9094" s="66"/>
    </row>
    <row r="9095" spans="1:1" x14ac:dyDescent="0.25">
      <c r="A9095" s="66"/>
    </row>
    <row r="9096" spans="1:1" x14ac:dyDescent="0.25">
      <c r="A9096" s="66"/>
    </row>
    <row r="9097" spans="1:1" x14ac:dyDescent="0.25">
      <c r="A9097" s="66"/>
    </row>
    <row r="9098" spans="1:1" x14ac:dyDescent="0.25">
      <c r="A9098" s="66"/>
    </row>
    <row r="9099" spans="1:1" x14ac:dyDescent="0.25">
      <c r="A9099" s="66"/>
    </row>
    <row r="9100" spans="1:1" x14ac:dyDescent="0.25">
      <c r="A9100" s="66"/>
    </row>
    <row r="9101" spans="1:1" x14ac:dyDescent="0.25">
      <c r="A9101" s="66"/>
    </row>
    <row r="9102" spans="1:1" x14ac:dyDescent="0.25">
      <c r="A9102" s="66"/>
    </row>
    <row r="9103" spans="1:1" x14ac:dyDescent="0.25">
      <c r="A9103" s="66"/>
    </row>
    <row r="9104" spans="1:1" x14ac:dyDescent="0.25">
      <c r="A9104" s="66"/>
    </row>
    <row r="9105" spans="1:1" x14ac:dyDescent="0.25">
      <c r="A9105" s="66"/>
    </row>
    <row r="9106" spans="1:1" x14ac:dyDescent="0.25">
      <c r="A9106" s="66"/>
    </row>
    <row r="9107" spans="1:1" x14ac:dyDescent="0.25">
      <c r="A9107" s="66"/>
    </row>
    <row r="9108" spans="1:1" x14ac:dyDescent="0.25">
      <c r="A9108" s="66"/>
    </row>
    <row r="9109" spans="1:1" x14ac:dyDescent="0.25">
      <c r="A9109" s="66"/>
    </row>
    <row r="9110" spans="1:1" x14ac:dyDescent="0.25">
      <c r="A9110" s="66"/>
    </row>
    <row r="9111" spans="1:1" x14ac:dyDescent="0.25">
      <c r="A9111" s="66"/>
    </row>
    <row r="9112" spans="1:1" x14ac:dyDescent="0.25">
      <c r="A9112" s="66"/>
    </row>
    <row r="9113" spans="1:1" x14ac:dyDescent="0.25">
      <c r="A9113" s="66"/>
    </row>
    <row r="9114" spans="1:1" x14ac:dyDescent="0.25">
      <c r="A9114" s="66"/>
    </row>
    <row r="9115" spans="1:1" x14ac:dyDescent="0.25">
      <c r="A9115" s="66"/>
    </row>
    <row r="9116" spans="1:1" x14ac:dyDescent="0.25">
      <c r="A9116" s="66"/>
    </row>
    <row r="9117" spans="1:1" x14ac:dyDescent="0.25">
      <c r="A9117" s="66"/>
    </row>
    <row r="9118" spans="1:1" x14ac:dyDescent="0.25">
      <c r="A9118" s="66"/>
    </row>
    <row r="9119" spans="1:1" x14ac:dyDescent="0.25">
      <c r="A9119" s="66"/>
    </row>
    <row r="9120" spans="1:1" x14ac:dyDescent="0.25">
      <c r="A9120" s="66"/>
    </row>
    <row r="9121" spans="1:1" x14ac:dyDescent="0.25">
      <c r="A9121" s="66"/>
    </row>
    <row r="9122" spans="1:1" x14ac:dyDescent="0.25">
      <c r="A9122" s="66"/>
    </row>
    <row r="9123" spans="1:1" x14ac:dyDescent="0.25">
      <c r="A9123" s="66"/>
    </row>
    <row r="9124" spans="1:1" x14ac:dyDescent="0.25">
      <c r="A9124" s="66"/>
    </row>
    <row r="9125" spans="1:1" x14ac:dyDescent="0.25">
      <c r="A9125" s="66"/>
    </row>
    <row r="9126" spans="1:1" x14ac:dyDescent="0.25">
      <c r="A9126" s="66"/>
    </row>
    <row r="9127" spans="1:1" x14ac:dyDescent="0.25">
      <c r="A9127" s="66"/>
    </row>
    <row r="9128" spans="1:1" x14ac:dyDescent="0.25">
      <c r="A9128" s="66"/>
    </row>
    <row r="9129" spans="1:1" x14ac:dyDescent="0.25">
      <c r="A9129" s="66"/>
    </row>
    <row r="9130" spans="1:1" x14ac:dyDescent="0.25">
      <c r="A9130" s="66"/>
    </row>
    <row r="9131" spans="1:1" x14ac:dyDescent="0.25">
      <c r="A9131" s="66"/>
    </row>
    <row r="9132" spans="1:1" x14ac:dyDescent="0.25">
      <c r="A9132" s="66"/>
    </row>
    <row r="9133" spans="1:1" x14ac:dyDescent="0.25">
      <c r="A9133" s="66"/>
    </row>
    <row r="9134" spans="1:1" x14ac:dyDescent="0.25">
      <c r="A9134" s="66"/>
    </row>
    <row r="9135" spans="1:1" x14ac:dyDescent="0.25">
      <c r="A9135" s="66"/>
    </row>
    <row r="9136" spans="1:1" x14ac:dyDescent="0.25">
      <c r="A9136" s="66"/>
    </row>
    <row r="9137" spans="1:1" x14ac:dyDescent="0.25">
      <c r="A9137" s="66"/>
    </row>
    <row r="9138" spans="1:1" x14ac:dyDescent="0.25">
      <c r="A9138" s="66"/>
    </row>
    <row r="9139" spans="1:1" x14ac:dyDescent="0.25">
      <c r="A9139" s="66"/>
    </row>
    <row r="9140" spans="1:1" x14ac:dyDescent="0.25">
      <c r="A9140" s="66"/>
    </row>
    <row r="9141" spans="1:1" x14ac:dyDescent="0.25">
      <c r="A9141" s="66"/>
    </row>
    <row r="9142" spans="1:1" x14ac:dyDescent="0.25">
      <c r="A9142" s="66"/>
    </row>
    <row r="9143" spans="1:1" x14ac:dyDescent="0.25">
      <c r="A9143" s="66"/>
    </row>
    <row r="9144" spans="1:1" x14ac:dyDescent="0.25">
      <c r="A9144" s="66"/>
    </row>
    <row r="9145" spans="1:1" x14ac:dyDescent="0.25">
      <c r="A9145" s="66"/>
    </row>
    <row r="9146" spans="1:1" x14ac:dyDescent="0.25">
      <c r="A9146" s="66"/>
    </row>
    <row r="9147" spans="1:1" x14ac:dyDescent="0.25">
      <c r="A9147" s="66"/>
    </row>
    <row r="9148" spans="1:1" x14ac:dyDescent="0.25">
      <c r="A9148" s="66"/>
    </row>
    <row r="9149" spans="1:1" x14ac:dyDescent="0.25">
      <c r="A9149" s="66"/>
    </row>
    <row r="9150" spans="1:1" x14ac:dyDescent="0.25">
      <c r="A9150" s="66"/>
    </row>
    <row r="9151" spans="1:1" x14ac:dyDescent="0.25">
      <c r="A9151" s="66"/>
    </row>
    <row r="9152" spans="1:1" x14ac:dyDescent="0.25">
      <c r="A9152" s="66"/>
    </row>
    <row r="9153" spans="1:1" x14ac:dyDescent="0.25">
      <c r="A9153" s="66"/>
    </row>
    <row r="9154" spans="1:1" x14ac:dyDescent="0.25">
      <c r="A9154" s="66"/>
    </row>
    <row r="9155" spans="1:1" x14ac:dyDescent="0.25">
      <c r="A9155" s="66"/>
    </row>
    <row r="9156" spans="1:1" x14ac:dyDescent="0.25">
      <c r="A9156" s="66"/>
    </row>
    <row r="9157" spans="1:1" x14ac:dyDescent="0.25">
      <c r="A9157" s="66"/>
    </row>
    <row r="9158" spans="1:1" x14ac:dyDescent="0.25">
      <c r="A9158" s="66"/>
    </row>
    <row r="9159" spans="1:1" x14ac:dyDescent="0.25">
      <c r="A9159" s="66"/>
    </row>
    <row r="9160" spans="1:1" x14ac:dyDescent="0.25">
      <c r="A9160" s="66"/>
    </row>
    <row r="9161" spans="1:1" x14ac:dyDescent="0.25">
      <c r="A9161" s="66"/>
    </row>
    <row r="9162" spans="1:1" x14ac:dyDescent="0.25">
      <c r="A9162" s="66"/>
    </row>
    <row r="9163" spans="1:1" x14ac:dyDescent="0.25">
      <c r="A9163" s="66"/>
    </row>
    <row r="9164" spans="1:1" x14ac:dyDescent="0.25">
      <c r="A9164" s="66"/>
    </row>
    <row r="9165" spans="1:1" x14ac:dyDescent="0.25">
      <c r="A9165" s="66"/>
    </row>
    <row r="9166" spans="1:1" x14ac:dyDescent="0.25">
      <c r="A9166" s="66"/>
    </row>
    <row r="9167" spans="1:1" x14ac:dyDescent="0.25">
      <c r="A9167" s="66"/>
    </row>
    <row r="9168" spans="1:1" x14ac:dyDescent="0.25">
      <c r="A9168" s="66"/>
    </row>
    <row r="9169" spans="1:1" x14ac:dyDescent="0.25">
      <c r="A9169" s="66"/>
    </row>
    <row r="9170" spans="1:1" x14ac:dyDescent="0.25">
      <c r="A9170" s="66"/>
    </row>
    <row r="9171" spans="1:1" x14ac:dyDescent="0.25">
      <c r="A9171" s="66"/>
    </row>
    <row r="9172" spans="1:1" x14ac:dyDescent="0.25">
      <c r="A9172" s="66"/>
    </row>
    <row r="9173" spans="1:1" x14ac:dyDescent="0.25">
      <c r="A9173" s="66"/>
    </row>
    <row r="9174" spans="1:1" x14ac:dyDescent="0.25">
      <c r="A9174" s="66"/>
    </row>
    <row r="9175" spans="1:1" x14ac:dyDescent="0.25">
      <c r="A9175" s="66"/>
    </row>
    <row r="9176" spans="1:1" x14ac:dyDescent="0.25">
      <c r="A9176" s="66"/>
    </row>
    <row r="9177" spans="1:1" x14ac:dyDescent="0.25">
      <c r="A9177" s="66"/>
    </row>
    <row r="9178" spans="1:1" x14ac:dyDescent="0.25">
      <c r="A9178" s="66"/>
    </row>
    <row r="9179" spans="1:1" x14ac:dyDescent="0.25">
      <c r="A9179" s="66"/>
    </row>
    <row r="9180" spans="1:1" x14ac:dyDescent="0.25">
      <c r="A9180" s="66"/>
    </row>
    <row r="9181" spans="1:1" x14ac:dyDescent="0.25">
      <c r="A9181" s="66"/>
    </row>
    <row r="9182" spans="1:1" x14ac:dyDescent="0.25">
      <c r="A9182" s="66"/>
    </row>
    <row r="9183" spans="1:1" x14ac:dyDescent="0.25">
      <c r="A9183" s="66"/>
    </row>
    <row r="9184" spans="1:1" x14ac:dyDescent="0.25">
      <c r="A9184" s="66"/>
    </row>
    <row r="9185" spans="1:1" x14ac:dyDescent="0.25">
      <c r="A9185" s="66"/>
    </row>
    <row r="9186" spans="1:1" x14ac:dyDescent="0.25">
      <c r="A9186" s="66"/>
    </row>
    <row r="9187" spans="1:1" x14ac:dyDescent="0.25">
      <c r="A9187" s="66"/>
    </row>
    <row r="9188" spans="1:1" x14ac:dyDescent="0.25">
      <c r="A9188" s="66"/>
    </row>
    <row r="9189" spans="1:1" x14ac:dyDescent="0.25">
      <c r="A9189" s="66"/>
    </row>
    <row r="9190" spans="1:1" x14ac:dyDescent="0.25">
      <c r="A9190" s="66"/>
    </row>
    <row r="9191" spans="1:1" x14ac:dyDescent="0.25">
      <c r="A9191" s="66"/>
    </row>
    <row r="9192" spans="1:1" x14ac:dyDescent="0.25">
      <c r="A9192" s="66"/>
    </row>
    <row r="9193" spans="1:1" x14ac:dyDescent="0.25">
      <c r="A9193" s="66"/>
    </row>
    <row r="9194" spans="1:1" x14ac:dyDescent="0.25">
      <c r="A9194" s="66"/>
    </row>
    <row r="9195" spans="1:1" x14ac:dyDescent="0.25">
      <c r="A9195" s="66"/>
    </row>
    <row r="9196" spans="1:1" x14ac:dyDescent="0.25">
      <c r="A9196" s="66"/>
    </row>
    <row r="9197" spans="1:1" x14ac:dyDescent="0.25">
      <c r="A9197" s="66"/>
    </row>
    <row r="9198" spans="1:1" x14ac:dyDescent="0.25">
      <c r="A9198" s="66"/>
    </row>
    <row r="9199" spans="1:1" x14ac:dyDescent="0.25">
      <c r="A9199" s="66"/>
    </row>
    <row r="9200" spans="1:1" x14ac:dyDescent="0.25">
      <c r="A9200" s="66"/>
    </row>
    <row r="9201" spans="1:1" x14ac:dyDescent="0.25">
      <c r="A9201" s="66"/>
    </row>
    <row r="9202" spans="1:1" x14ac:dyDescent="0.25">
      <c r="A9202" s="66"/>
    </row>
    <row r="9203" spans="1:1" x14ac:dyDescent="0.25">
      <c r="A9203" s="66"/>
    </row>
    <row r="9204" spans="1:1" x14ac:dyDescent="0.25">
      <c r="A9204" s="66"/>
    </row>
    <row r="9205" spans="1:1" x14ac:dyDescent="0.25">
      <c r="A9205" s="66"/>
    </row>
    <row r="9206" spans="1:1" x14ac:dyDescent="0.25">
      <c r="A9206" s="66"/>
    </row>
    <row r="9207" spans="1:1" x14ac:dyDescent="0.25">
      <c r="A9207" s="66"/>
    </row>
    <row r="9208" spans="1:1" x14ac:dyDescent="0.25">
      <c r="A9208" s="66"/>
    </row>
    <row r="9209" spans="1:1" x14ac:dyDescent="0.25">
      <c r="A9209" s="66"/>
    </row>
    <row r="9210" spans="1:1" x14ac:dyDescent="0.25">
      <c r="A9210" s="66"/>
    </row>
    <row r="9211" spans="1:1" x14ac:dyDescent="0.25">
      <c r="A9211" s="66"/>
    </row>
    <row r="9212" spans="1:1" x14ac:dyDescent="0.25">
      <c r="A9212" s="66"/>
    </row>
    <row r="9213" spans="1:1" x14ac:dyDescent="0.25">
      <c r="A9213" s="66"/>
    </row>
    <row r="9214" spans="1:1" x14ac:dyDescent="0.25">
      <c r="A9214" s="66"/>
    </row>
    <row r="9215" spans="1:1" x14ac:dyDescent="0.25">
      <c r="A9215" s="66"/>
    </row>
    <row r="9216" spans="1:1" x14ac:dyDescent="0.25">
      <c r="A9216" s="66"/>
    </row>
    <row r="9217" spans="1:1" x14ac:dyDescent="0.25">
      <c r="A9217" s="66"/>
    </row>
    <row r="9218" spans="1:1" x14ac:dyDescent="0.25">
      <c r="A9218" s="66"/>
    </row>
    <row r="9219" spans="1:1" x14ac:dyDescent="0.25">
      <c r="A9219" s="66"/>
    </row>
    <row r="9220" spans="1:1" x14ac:dyDescent="0.25">
      <c r="A9220" s="66"/>
    </row>
    <row r="9221" spans="1:1" x14ac:dyDescent="0.25">
      <c r="A9221" s="66"/>
    </row>
    <row r="9222" spans="1:1" x14ac:dyDescent="0.25">
      <c r="A9222" s="66"/>
    </row>
    <row r="9223" spans="1:1" x14ac:dyDescent="0.25">
      <c r="A9223" s="66"/>
    </row>
    <row r="9224" spans="1:1" x14ac:dyDescent="0.25">
      <c r="A9224" s="66"/>
    </row>
    <row r="9225" spans="1:1" x14ac:dyDescent="0.25">
      <c r="A9225" s="66"/>
    </row>
    <row r="9226" spans="1:1" x14ac:dyDescent="0.25">
      <c r="A9226" s="66"/>
    </row>
    <row r="9227" spans="1:1" x14ac:dyDescent="0.25">
      <c r="A9227" s="66"/>
    </row>
    <row r="9228" spans="1:1" x14ac:dyDescent="0.25">
      <c r="A9228" s="66"/>
    </row>
    <row r="9229" spans="1:1" x14ac:dyDescent="0.25">
      <c r="A9229" s="66"/>
    </row>
    <row r="9230" spans="1:1" x14ac:dyDescent="0.25">
      <c r="A9230" s="66"/>
    </row>
    <row r="9231" spans="1:1" x14ac:dyDescent="0.25">
      <c r="A9231" s="66"/>
    </row>
    <row r="9232" spans="1:1" x14ac:dyDescent="0.25">
      <c r="A9232" s="66"/>
    </row>
    <row r="9233" spans="1:1" x14ac:dyDescent="0.25">
      <c r="A9233" s="66"/>
    </row>
    <row r="9234" spans="1:1" x14ac:dyDescent="0.25">
      <c r="A9234" s="66"/>
    </row>
    <row r="9235" spans="1:1" x14ac:dyDescent="0.25">
      <c r="A9235" s="66"/>
    </row>
    <row r="9236" spans="1:1" x14ac:dyDescent="0.25">
      <c r="A9236" s="66"/>
    </row>
    <row r="9237" spans="1:1" x14ac:dyDescent="0.25">
      <c r="A9237" s="66"/>
    </row>
    <row r="9238" spans="1:1" x14ac:dyDescent="0.25">
      <c r="A9238" s="66"/>
    </row>
    <row r="9239" spans="1:1" x14ac:dyDescent="0.25">
      <c r="A9239" s="66"/>
    </row>
    <row r="9240" spans="1:1" x14ac:dyDescent="0.25">
      <c r="A9240" s="66"/>
    </row>
    <row r="9241" spans="1:1" x14ac:dyDescent="0.25">
      <c r="A9241" s="66"/>
    </row>
    <row r="9242" spans="1:1" x14ac:dyDescent="0.25">
      <c r="A9242" s="66"/>
    </row>
    <row r="9243" spans="1:1" x14ac:dyDescent="0.25">
      <c r="A9243" s="66"/>
    </row>
    <row r="9244" spans="1:1" x14ac:dyDescent="0.25">
      <c r="A9244" s="66"/>
    </row>
    <row r="9245" spans="1:1" x14ac:dyDescent="0.25">
      <c r="A9245" s="66"/>
    </row>
    <row r="9246" spans="1:1" x14ac:dyDescent="0.25">
      <c r="A9246" s="66"/>
    </row>
    <row r="9247" spans="1:1" x14ac:dyDescent="0.25">
      <c r="A9247" s="66"/>
    </row>
    <row r="9248" spans="1:1" x14ac:dyDescent="0.25">
      <c r="A9248" s="66"/>
    </row>
    <row r="9249" spans="1:1" x14ac:dyDescent="0.25">
      <c r="A9249" s="66"/>
    </row>
    <row r="9250" spans="1:1" x14ac:dyDescent="0.25">
      <c r="A9250" s="66"/>
    </row>
    <row r="9251" spans="1:1" x14ac:dyDescent="0.25">
      <c r="A9251" s="66"/>
    </row>
    <row r="9252" spans="1:1" x14ac:dyDescent="0.25">
      <c r="A9252" s="66"/>
    </row>
    <row r="9253" spans="1:1" x14ac:dyDescent="0.25">
      <c r="A9253" s="66"/>
    </row>
    <row r="9254" spans="1:1" x14ac:dyDescent="0.25">
      <c r="A9254" s="66"/>
    </row>
    <row r="9255" spans="1:1" x14ac:dyDescent="0.25">
      <c r="A9255" s="66"/>
    </row>
    <row r="9256" spans="1:1" x14ac:dyDescent="0.25">
      <c r="A9256" s="66"/>
    </row>
    <row r="9257" spans="1:1" x14ac:dyDescent="0.25">
      <c r="A9257" s="66"/>
    </row>
    <row r="9258" spans="1:1" x14ac:dyDescent="0.25">
      <c r="A9258" s="66"/>
    </row>
    <row r="9259" spans="1:1" x14ac:dyDescent="0.25">
      <c r="A9259" s="66"/>
    </row>
    <row r="9260" spans="1:1" x14ac:dyDescent="0.25">
      <c r="A9260" s="66"/>
    </row>
    <row r="9261" spans="1:1" x14ac:dyDescent="0.25">
      <c r="A9261" s="66"/>
    </row>
    <row r="9262" spans="1:1" x14ac:dyDescent="0.25">
      <c r="A9262" s="66"/>
    </row>
    <row r="9263" spans="1:1" x14ac:dyDescent="0.25">
      <c r="A9263" s="66"/>
    </row>
    <row r="9264" spans="1:1" x14ac:dyDescent="0.25">
      <c r="A9264" s="66"/>
    </row>
    <row r="9265" spans="1:1" x14ac:dyDescent="0.25">
      <c r="A9265" s="66"/>
    </row>
    <row r="9266" spans="1:1" x14ac:dyDescent="0.25">
      <c r="A9266" s="66"/>
    </row>
    <row r="9267" spans="1:1" x14ac:dyDescent="0.25">
      <c r="A9267" s="66"/>
    </row>
    <row r="9268" spans="1:1" x14ac:dyDescent="0.25">
      <c r="A9268" s="66"/>
    </row>
    <row r="9269" spans="1:1" x14ac:dyDescent="0.25">
      <c r="A9269" s="66"/>
    </row>
    <row r="9270" spans="1:1" x14ac:dyDescent="0.25">
      <c r="A9270" s="66"/>
    </row>
    <row r="9271" spans="1:1" x14ac:dyDescent="0.25">
      <c r="A9271" s="66"/>
    </row>
    <row r="9272" spans="1:1" x14ac:dyDescent="0.25">
      <c r="A9272" s="66"/>
    </row>
    <row r="9273" spans="1:1" x14ac:dyDescent="0.25">
      <c r="A9273" s="66"/>
    </row>
    <row r="9274" spans="1:1" x14ac:dyDescent="0.25">
      <c r="A9274" s="66"/>
    </row>
    <row r="9275" spans="1:1" x14ac:dyDescent="0.25">
      <c r="A9275" s="66"/>
    </row>
    <row r="9276" spans="1:1" x14ac:dyDescent="0.25">
      <c r="A9276" s="66"/>
    </row>
    <row r="9277" spans="1:1" x14ac:dyDescent="0.25">
      <c r="A9277" s="66"/>
    </row>
    <row r="9278" spans="1:1" x14ac:dyDescent="0.25">
      <c r="A9278" s="66"/>
    </row>
    <row r="9279" spans="1:1" x14ac:dyDescent="0.25">
      <c r="A9279" s="66"/>
    </row>
    <row r="9280" spans="1:1" x14ac:dyDescent="0.25">
      <c r="A9280" s="66"/>
    </row>
    <row r="9281" spans="1:1" x14ac:dyDescent="0.25">
      <c r="A9281" s="66"/>
    </row>
    <row r="9282" spans="1:1" x14ac:dyDescent="0.25">
      <c r="A9282" s="66"/>
    </row>
    <row r="9283" spans="1:1" x14ac:dyDescent="0.25">
      <c r="A9283" s="66"/>
    </row>
    <row r="9284" spans="1:1" x14ac:dyDescent="0.25">
      <c r="A9284" s="66"/>
    </row>
    <row r="9285" spans="1:1" x14ac:dyDescent="0.25">
      <c r="A9285" s="66"/>
    </row>
    <row r="9286" spans="1:1" x14ac:dyDescent="0.25">
      <c r="A9286" s="66"/>
    </row>
    <row r="9287" spans="1:1" x14ac:dyDescent="0.25">
      <c r="A9287" s="66"/>
    </row>
    <row r="9288" spans="1:1" x14ac:dyDescent="0.25">
      <c r="A9288" s="66"/>
    </row>
    <row r="9289" spans="1:1" x14ac:dyDescent="0.25">
      <c r="A9289" s="66"/>
    </row>
    <row r="9290" spans="1:1" x14ac:dyDescent="0.25">
      <c r="A9290" s="66"/>
    </row>
    <row r="9291" spans="1:1" x14ac:dyDescent="0.25">
      <c r="A9291" s="66"/>
    </row>
    <row r="9292" spans="1:1" x14ac:dyDescent="0.25">
      <c r="A9292" s="66"/>
    </row>
    <row r="9293" spans="1:1" x14ac:dyDescent="0.25">
      <c r="A9293" s="66"/>
    </row>
    <row r="9294" spans="1:1" x14ac:dyDescent="0.25">
      <c r="A9294" s="66"/>
    </row>
    <row r="9295" spans="1:1" x14ac:dyDescent="0.25">
      <c r="A9295" s="66"/>
    </row>
    <row r="9296" spans="1:1" x14ac:dyDescent="0.25">
      <c r="A9296" s="66"/>
    </row>
    <row r="9297" spans="1:1" x14ac:dyDescent="0.25">
      <c r="A9297" s="66"/>
    </row>
    <row r="9298" spans="1:1" x14ac:dyDescent="0.25">
      <c r="A9298" s="66"/>
    </row>
    <row r="9299" spans="1:1" x14ac:dyDescent="0.25">
      <c r="A9299" s="66"/>
    </row>
    <row r="9300" spans="1:1" x14ac:dyDescent="0.25">
      <c r="A9300" s="66"/>
    </row>
    <row r="9301" spans="1:1" x14ac:dyDescent="0.25">
      <c r="A9301" s="66"/>
    </row>
    <row r="9302" spans="1:1" x14ac:dyDescent="0.25">
      <c r="A9302" s="66"/>
    </row>
    <row r="9303" spans="1:1" x14ac:dyDescent="0.25">
      <c r="A9303" s="66"/>
    </row>
    <row r="9304" spans="1:1" x14ac:dyDescent="0.25">
      <c r="A9304" s="66"/>
    </row>
    <row r="9305" spans="1:1" x14ac:dyDescent="0.25">
      <c r="A9305" s="66"/>
    </row>
    <row r="9306" spans="1:1" x14ac:dyDescent="0.25">
      <c r="A9306" s="66"/>
    </row>
    <row r="9307" spans="1:1" x14ac:dyDescent="0.25">
      <c r="A9307" s="66"/>
    </row>
    <row r="9308" spans="1:1" x14ac:dyDescent="0.25">
      <c r="A9308" s="66"/>
    </row>
    <row r="9309" spans="1:1" x14ac:dyDescent="0.25">
      <c r="A9309" s="66"/>
    </row>
    <row r="9310" spans="1:1" x14ac:dyDescent="0.25">
      <c r="A9310" s="66"/>
    </row>
    <row r="9311" spans="1:1" x14ac:dyDescent="0.25">
      <c r="A9311" s="66"/>
    </row>
    <row r="9312" spans="1:1" x14ac:dyDescent="0.25">
      <c r="A9312" s="66"/>
    </row>
    <row r="9313" spans="1:1" x14ac:dyDescent="0.25">
      <c r="A9313" s="66"/>
    </row>
    <row r="9314" spans="1:1" x14ac:dyDescent="0.25">
      <c r="A9314" s="66"/>
    </row>
    <row r="9315" spans="1:1" x14ac:dyDescent="0.25">
      <c r="A9315" s="66"/>
    </row>
    <row r="9316" spans="1:1" x14ac:dyDescent="0.25">
      <c r="A9316" s="66"/>
    </row>
    <row r="9317" spans="1:1" x14ac:dyDescent="0.25">
      <c r="A9317" s="66"/>
    </row>
    <row r="9318" spans="1:1" x14ac:dyDescent="0.25">
      <c r="A9318" s="66"/>
    </row>
    <row r="9319" spans="1:1" x14ac:dyDescent="0.25">
      <c r="A9319" s="66"/>
    </row>
    <row r="9320" spans="1:1" x14ac:dyDescent="0.25">
      <c r="A9320" s="66"/>
    </row>
    <row r="9321" spans="1:1" x14ac:dyDescent="0.25">
      <c r="A9321" s="66"/>
    </row>
    <row r="9322" spans="1:1" x14ac:dyDescent="0.25">
      <c r="A9322" s="66"/>
    </row>
    <row r="9323" spans="1:1" x14ac:dyDescent="0.25">
      <c r="A9323" s="66"/>
    </row>
    <row r="9324" spans="1:1" x14ac:dyDescent="0.25">
      <c r="A9324" s="66"/>
    </row>
    <row r="9325" spans="1:1" x14ac:dyDescent="0.25">
      <c r="A9325" s="66"/>
    </row>
    <row r="9326" spans="1:1" x14ac:dyDescent="0.25">
      <c r="A9326" s="66"/>
    </row>
    <row r="9327" spans="1:1" x14ac:dyDescent="0.25">
      <c r="A9327" s="66"/>
    </row>
    <row r="9328" spans="1:1" x14ac:dyDescent="0.25">
      <c r="A9328" s="66"/>
    </row>
    <row r="9329" spans="1:1" x14ac:dyDescent="0.25">
      <c r="A9329" s="66"/>
    </row>
    <row r="9330" spans="1:1" x14ac:dyDescent="0.25">
      <c r="A9330" s="66"/>
    </row>
    <row r="9331" spans="1:1" x14ac:dyDescent="0.25">
      <c r="A9331" s="66"/>
    </row>
    <row r="9332" spans="1:1" x14ac:dyDescent="0.25">
      <c r="A9332" s="66"/>
    </row>
    <row r="9333" spans="1:1" x14ac:dyDescent="0.25">
      <c r="A9333" s="66"/>
    </row>
    <row r="9334" spans="1:1" x14ac:dyDescent="0.25">
      <c r="A9334" s="66"/>
    </row>
    <row r="9335" spans="1:1" x14ac:dyDescent="0.25">
      <c r="A9335" s="66"/>
    </row>
    <row r="9336" spans="1:1" x14ac:dyDescent="0.25">
      <c r="A9336" s="66"/>
    </row>
    <row r="9337" spans="1:1" x14ac:dyDescent="0.25">
      <c r="A9337" s="66"/>
    </row>
    <row r="9338" spans="1:1" x14ac:dyDescent="0.25">
      <c r="A9338" s="66"/>
    </row>
    <row r="9339" spans="1:1" x14ac:dyDescent="0.25">
      <c r="A9339" s="66"/>
    </row>
    <row r="9340" spans="1:1" x14ac:dyDescent="0.25">
      <c r="A9340" s="66"/>
    </row>
    <row r="9341" spans="1:1" x14ac:dyDescent="0.25">
      <c r="A9341" s="66"/>
    </row>
    <row r="9342" spans="1:1" x14ac:dyDescent="0.25">
      <c r="A9342" s="66"/>
    </row>
    <row r="9343" spans="1:1" x14ac:dyDescent="0.25">
      <c r="A9343" s="66"/>
    </row>
    <row r="9344" spans="1:1" x14ac:dyDescent="0.25">
      <c r="A9344" s="66"/>
    </row>
    <row r="9345" spans="1:1" x14ac:dyDescent="0.25">
      <c r="A9345" s="66"/>
    </row>
    <row r="9346" spans="1:1" x14ac:dyDescent="0.25">
      <c r="A9346" s="66"/>
    </row>
    <row r="9347" spans="1:1" x14ac:dyDescent="0.25">
      <c r="A9347" s="66"/>
    </row>
    <row r="9348" spans="1:1" x14ac:dyDescent="0.25">
      <c r="A9348" s="66"/>
    </row>
    <row r="9349" spans="1:1" x14ac:dyDescent="0.25">
      <c r="A9349" s="66"/>
    </row>
    <row r="9350" spans="1:1" x14ac:dyDescent="0.25">
      <c r="A9350" s="66"/>
    </row>
    <row r="9351" spans="1:1" x14ac:dyDescent="0.25">
      <c r="A9351" s="66"/>
    </row>
    <row r="9352" spans="1:1" x14ac:dyDescent="0.25">
      <c r="A9352" s="66"/>
    </row>
    <row r="9353" spans="1:1" x14ac:dyDescent="0.25">
      <c r="A9353" s="66"/>
    </row>
    <row r="9354" spans="1:1" x14ac:dyDescent="0.25">
      <c r="A9354" s="66"/>
    </row>
    <row r="9355" spans="1:1" x14ac:dyDescent="0.25">
      <c r="A9355" s="66"/>
    </row>
    <row r="9356" spans="1:1" x14ac:dyDescent="0.25">
      <c r="A9356" s="66"/>
    </row>
    <row r="9357" spans="1:1" x14ac:dyDescent="0.25">
      <c r="A9357" s="66"/>
    </row>
    <row r="9358" spans="1:1" x14ac:dyDescent="0.25">
      <c r="A9358" s="66"/>
    </row>
    <row r="9359" spans="1:1" x14ac:dyDescent="0.25">
      <c r="A9359" s="66"/>
    </row>
    <row r="9360" spans="1:1" x14ac:dyDescent="0.25">
      <c r="A9360" s="66"/>
    </row>
    <row r="9361" spans="1:1" x14ac:dyDescent="0.25">
      <c r="A9361" s="66"/>
    </row>
    <row r="9362" spans="1:1" x14ac:dyDescent="0.25">
      <c r="A9362" s="66"/>
    </row>
    <row r="9363" spans="1:1" x14ac:dyDescent="0.25">
      <c r="A9363" s="66"/>
    </row>
    <row r="9364" spans="1:1" x14ac:dyDescent="0.25">
      <c r="A9364" s="66"/>
    </row>
    <row r="9365" spans="1:1" x14ac:dyDescent="0.25">
      <c r="A9365" s="66"/>
    </row>
    <row r="9366" spans="1:1" x14ac:dyDescent="0.25">
      <c r="A9366" s="66"/>
    </row>
    <row r="9367" spans="1:1" x14ac:dyDescent="0.25">
      <c r="A9367" s="66"/>
    </row>
    <row r="9368" spans="1:1" x14ac:dyDescent="0.25">
      <c r="A9368" s="66"/>
    </row>
    <row r="9369" spans="1:1" x14ac:dyDescent="0.25">
      <c r="A9369" s="66"/>
    </row>
    <row r="9370" spans="1:1" x14ac:dyDescent="0.25">
      <c r="A9370" s="66"/>
    </row>
    <row r="9371" spans="1:1" x14ac:dyDescent="0.25">
      <c r="A9371" s="66"/>
    </row>
    <row r="9372" spans="1:1" x14ac:dyDescent="0.25">
      <c r="A9372" s="66"/>
    </row>
    <row r="9373" spans="1:1" x14ac:dyDescent="0.25">
      <c r="A9373" s="66"/>
    </row>
    <row r="9374" spans="1:1" x14ac:dyDescent="0.25">
      <c r="A9374" s="66"/>
    </row>
    <row r="9375" spans="1:1" x14ac:dyDescent="0.25">
      <c r="A9375" s="66"/>
    </row>
    <row r="9376" spans="1:1" x14ac:dyDescent="0.25">
      <c r="A9376" s="66"/>
    </row>
    <row r="9377" spans="1:1" x14ac:dyDescent="0.25">
      <c r="A9377" s="66"/>
    </row>
    <row r="9378" spans="1:1" x14ac:dyDescent="0.25">
      <c r="A9378" s="66"/>
    </row>
    <row r="9379" spans="1:1" x14ac:dyDescent="0.25">
      <c r="A9379" s="66"/>
    </row>
    <row r="9380" spans="1:1" x14ac:dyDescent="0.25">
      <c r="A9380" s="66"/>
    </row>
    <row r="9381" spans="1:1" x14ac:dyDescent="0.25">
      <c r="A9381" s="66"/>
    </row>
    <row r="9382" spans="1:1" x14ac:dyDescent="0.25">
      <c r="A9382" s="66"/>
    </row>
    <row r="9383" spans="1:1" x14ac:dyDescent="0.25">
      <c r="A9383" s="66"/>
    </row>
    <row r="9384" spans="1:1" x14ac:dyDescent="0.25">
      <c r="A9384" s="66"/>
    </row>
    <row r="9385" spans="1:1" x14ac:dyDescent="0.25">
      <c r="A9385" s="66"/>
    </row>
    <row r="9386" spans="1:1" x14ac:dyDescent="0.25">
      <c r="A9386" s="66"/>
    </row>
    <row r="9387" spans="1:1" x14ac:dyDescent="0.25">
      <c r="A9387" s="66"/>
    </row>
    <row r="9388" spans="1:1" x14ac:dyDescent="0.25">
      <c r="A9388" s="66"/>
    </row>
    <row r="9389" spans="1:1" x14ac:dyDescent="0.25">
      <c r="A9389" s="66"/>
    </row>
    <row r="9390" spans="1:1" x14ac:dyDescent="0.25">
      <c r="A9390" s="66"/>
    </row>
    <row r="9391" spans="1:1" x14ac:dyDescent="0.25">
      <c r="A9391" s="66"/>
    </row>
    <row r="9392" spans="1:1" x14ac:dyDescent="0.25">
      <c r="A9392" s="66"/>
    </row>
    <row r="9393" spans="1:1" x14ac:dyDescent="0.25">
      <c r="A9393" s="66"/>
    </row>
    <row r="9394" spans="1:1" x14ac:dyDescent="0.25">
      <c r="A9394" s="66"/>
    </row>
    <row r="9395" spans="1:1" x14ac:dyDescent="0.25">
      <c r="A9395" s="66"/>
    </row>
    <row r="9396" spans="1:1" x14ac:dyDescent="0.25">
      <c r="A9396" s="66"/>
    </row>
    <row r="9397" spans="1:1" x14ac:dyDescent="0.25">
      <c r="A9397" s="66"/>
    </row>
    <row r="9398" spans="1:1" x14ac:dyDescent="0.25">
      <c r="A9398" s="66"/>
    </row>
    <row r="9399" spans="1:1" x14ac:dyDescent="0.25">
      <c r="A9399" s="66"/>
    </row>
    <row r="9400" spans="1:1" x14ac:dyDescent="0.25">
      <c r="A9400" s="66"/>
    </row>
    <row r="9401" spans="1:1" x14ac:dyDescent="0.25">
      <c r="A9401" s="66"/>
    </row>
    <row r="9402" spans="1:1" x14ac:dyDescent="0.25">
      <c r="A9402" s="66"/>
    </row>
    <row r="9403" spans="1:1" x14ac:dyDescent="0.25">
      <c r="A9403" s="66"/>
    </row>
    <row r="9404" spans="1:1" x14ac:dyDescent="0.25">
      <c r="A9404" s="66"/>
    </row>
    <row r="9405" spans="1:1" x14ac:dyDescent="0.25">
      <c r="A9405" s="66"/>
    </row>
    <row r="9406" spans="1:1" x14ac:dyDescent="0.25">
      <c r="A9406" s="66"/>
    </row>
    <row r="9407" spans="1:1" x14ac:dyDescent="0.25">
      <c r="A9407" s="66"/>
    </row>
    <row r="9408" spans="1:1" x14ac:dyDescent="0.25">
      <c r="A9408" s="66"/>
    </row>
    <row r="9409" spans="1:1" x14ac:dyDescent="0.25">
      <c r="A9409" s="66"/>
    </row>
    <row r="9410" spans="1:1" x14ac:dyDescent="0.25">
      <c r="A9410" s="66"/>
    </row>
    <row r="9411" spans="1:1" x14ac:dyDescent="0.25">
      <c r="A9411" s="66"/>
    </row>
    <row r="9412" spans="1:1" x14ac:dyDescent="0.25">
      <c r="A9412" s="66"/>
    </row>
    <row r="9413" spans="1:1" x14ac:dyDescent="0.25">
      <c r="A9413" s="66"/>
    </row>
    <row r="9414" spans="1:1" x14ac:dyDescent="0.25">
      <c r="A9414" s="66"/>
    </row>
    <row r="9415" spans="1:1" x14ac:dyDescent="0.25">
      <c r="A9415" s="66"/>
    </row>
    <row r="9416" spans="1:1" x14ac:dyDescent="0.25">
      <c r="A9416" s="66"/>
    </row>
    <row r="9417" spans="1:1" x14ac:dyDescent="0.25">
      <c r="A9417" s="66"/>
    </row>
    <row r="9418" spans="1:1" x14ac:dyDescent="0.25">
      <c r="A9418" s="66"/>
    </row>
    <row r="9419" spans="1:1" x14ac:dyDescent="0.25">
      <c r="A9419" s="66"/>
    </row>
    <row r="9420" spans="1:1" x14ac:dyDescent="0.25">
      <c r="A9420" s="66"/>
    </row>
    <row r="9421" spans="1:1" x14ac:dyDescent="0.25">
      <c r="A9421" s="66"/>
    </row>
    <row r="9422" spans="1:1" x14ac:dyDescent="0.25">
      <c r="A9422" s="66"/>
    </row>
    <row r="9423" spans="1:1" x14ac:dyDescent="0.25">
      <c r="A9423" s="66"/>
    </row>
    <row r="9424" spans="1:1" x14ac:dyDescent="0.25">
      <c r="A9424" s="66"/>
    </row>
    <row r="9425" spans="1:1" x14ac:dyDescent="0.25">
      <c r="A9425" s="66"/>
    </row>
    <row r="9426" spans="1:1" x14ac:dyDescent="0.25">
      <c r="A9426" s="66"/>
    </row>
    <row r="9427" spans="1:1" x14ac:dyDescent="0.25">
      <c r="A9427" s="66"/>
    </row>
    <row r="9428" spans="1:1" x14ac:dyDescent="0.25">
      <c r="A9428" s="66"/>
    </row>
    <row r="9429" spans="1:1" x14ac:dyDescent="0.25">
      <c r="A9429" s="66"/>
    </row>
    <row r="9430" spans="1:1" x14ac:dyDescent="0.25">
      <c r="A9430" s="66"/>
    </row>
    <row r="9431" spans="1:1" x14ac:dyDescent="0.25">
      <c r="A9431" s="66"/>
    </row>
    <row r="9432" spans="1:1" x14ac:dyDescent="0.25">
      <c r="A9432" s="66"/>
    </row>
    <row r="9433" spans="1:1" x14ac:dyDescent="0.25">
      <c r="A9433" s="66"/>
    </row>
    <row r="9434" spans="1:1" x14ac:dyDescent="0.25">
      <c r="A9434" s="66"/>
    </row>
    <row r="9435" spans="1:1" x14ac:dyDescent="0.25">
      <c r="A9435" s="66"/>
    </row>
    <row r="9436" spans="1:1" x14ac:dyDescent="0.25">
      <c r="A9436" s="66"/>
    </row>
    <row r="9437" spans="1:1" x14ac:dyDescent="0.25">
      <c r="A9437" s="66"/>
    </row>
    <row r="9438" spans="1:1" x14ac:dyDescent="0.25">
      <c r="A9438" s="66"/>
    </row>
    <row r="9439" spans="1:1" x14ac:dyDescent="0.25">
      <c r="A9439" s="66"/>
    </row>
    <row r="9440" spans="1:1" x14ac:dyDescent="0.25">
      <c r="A9440" s="66"/>
    </row>
    <row r="9441" spans="1:1" x14ac:dyDescent="0.25">
      <c r="A9441" s="66"/>
    </row>
    <row r="9442" spans="1:1" x14ac:dyDescent="0.25">
      <c r="A9442" s="66"/>
    </row>
    <row r="9443" spans="1:1" x14ac:dyDescent="0.25">
      <c r="A9443" s="66"/>
    </row>
    <row r="9444" spans="1:1" x14ac:dyDescent="0.25">
      <c r="A9444" s="66"/>
    </row>
    <row r="9445" spans="1:1" x14ac:dyDescent="0.25">
      <c r="A9445" s="66"/>
    </row>
    <row r="9446" spans="1:1" x14ac:dyDescent="0.25">
      <c r="A9446" s="66"/>
    </row>
    <row r="9447" spans="1:1" x14ac:dyDescent="0.25">
      <c r="A9447" s="66"/>
    </row>
    <row r="9448" spans="1:1" x14ac:dyDescent="0.25">
      <c r="A9448" s="66"/>
    </row>
    <row r="9449" spans="1:1" x14ac:dyDescent="0.25">
      <c r="A9449" s="66"/>
    </row>
    <row r="9450" spans="1:1" x14ac:dyDescent="0.25">
      <c r="A9450" s="66"/>
    </row>
    <row r="9451" spans="1:1" x14ac:dyDescent="0.25">
      <c r="A9451" s="66"/>
    </row>
    <row r="9452" spans="1:1" x14ac:dyDescent="0.25">
      <c r="A9452" s="66"/>
    </row>
    <row r="9453" spans="1:1" x14ac:dyDescent="0.25">
      <c r="A9453" s="66"/>
    </row>
    <row r="9454" spans="1:1" x14ac:dyDescent="0.25">
      <c r="A9454" s="66"/>
    </row>
    <row r="9455" spans="1:1" x14ac:dyDescent="0.25">
      <c r="A9455" s="66"/>
    </row>
    <row r="9456" spans="1:1" x14ac:dyDescent="0.25">
      <c r="A9456" s="66"/>
    </row>
    <row r="9457" spans="1:1" x14ac:dyDescent="0.25">
      <c r="A9457" s="66"/>
    </row>
    <row r="9458" spans="1:1" x14ac:dyDescent="0.25">
      <c r="A9458" s="66"/>
    </row>
    <row r="9459" spans="1:1" x14ac:dyDescent="0.25">
      <c r="A9459" s="66"/>
    </row>
    <row r="9460" spans="1:1" x14ac:dyDescent="0.25">
      <c r="A9460" s="66"/>
    </row>
    <row r="9461" spans="1:1" x14ac:dyDescent="0.25">
      <c r="A9461" s="66"/>
    </row>
    <row r="9462" spans="1:1" x14ac:dyDescent="0.25">
      <c r="A9462" s="66"/>
    </row>
    <row r="9463" spans="1:1" x14ac:dyDescent="0.25">
      <c r="A9463" s="66"/>
    </row>
    <row r="9464" spans="1:1" x14ac:dyDescent="0.25">
      <c r="A9464" s="66"/>
    </row>
    <row r="9465" spans="1:1" x14ac:dyDescent="0.25">
      <c r="A9465" s="66"/>
    </row>
    <row r="9466" spans="1:1" x14ac:dyDescent="0.25">
      <c r="A9466" s="66"/>
    </row>
    <row r="9467" spans="1:1" x14ac:dyDescent="0.25">
      <c r="A9467" s="66"/>
    </row>
    <row r="9468" spans="1:1" x14ac:dyDescent="0.25">
      <c r="A9468" s="66"/>
    </row>
    <row r="9469" spans="1:1" x14ac:dyDescent="0.25">
      <c r="A9469" s="66"/>
    </row>
    <row r="9470" spans="1:1" x14ac:dyDescent="0.25">
      <c r="A9470" s="66"/>
    </row>
    <row r="9471" spans="1:1" x14ac:dyDescent="0.25">
      <c r="A9471" s="66"/>
    </row>
    <row r="9472" spans="1:1" x14ac:dyDescent="0.25">
      <c r="A9472" s="66"/>
    </row>
    <row r="9473" spans="1:1" x14ac:dyDescent="0.25">
      <c r="A9473" s="66"/>
    </row>
    <row r="9474" spans="1:1" x14ac:dyDescent="0.25">
      <c r="A9474" s="66"/>
    </row>
    <row r="9475" spans="1:1" x14ac:dyDescent="0.25">
      <c r="A9475" s="66"/>
    </row>
    <row r="9476" spans="1:1" x14ac:dyDescent="0.25">
      <c r="A9476" s="66"/>
    </row>
    <row r="9477" spans="1:1" x14ac:dyDescent="0.25">
      <c r="A9477" s="66"/>
    </row>
    <row r="9478" spans="1:1" x14ac:dyDescent="0.25">
      <c r="A9478" s="66"/>
    </row>
    <row r="9479" spans="1:1" x14ac:dyDescent="0.25">
      <c r="A9479" s="66"/>
    </row>
    <row r="9480" spans="1:1" x14ac:dyDescent="0.25">
      <c r="A9480" s="66"/>
    </row>
    <row r="9481" spans="1:1" x14ac:dyDescent="0.25">
      <c r="A9481" s="66"/>
    </row>
    <row r="9482" spans="1:1" x14ac:dyDescent="0.25">
      <c r="A9482" s="66"/>
    </row>
    <row r="9483" spans="1:1" x14ac:dyDescent="0.25">
      <c r="A9483" s="66"/>
    </row>
    <row r="9484" spans="1:1" x14ac:dyDescent="0.25">
      <c r="A9484" s="66"/>
    </row>
    <row r="9485" spans="1:1" x14ac:dyDescent="0.25">
      <c r="A9485" s="66"/>
    </row>
    <row r="9486" spans="1:1" x14ac:dyDescent="0.25">
      <c r="A9486" s="66"/>
    </row>
    <row r="9487" spans="1:1" x14ac:dyDescent="0.25">
      <c r="A9487" s="66"/>
    </row>
    <row r="9488" spans="1:1" x14ac:dyDescent="0.25">
      <c r="A9488" s="66"/>
    </row>
    <row r="9489" spans="1:1" x14ac:dyDescent="0.25">
      <c r="A9489" s="66"/>
    </row>
    <row r="9490" spans="1:1" x14ac:dyDescent="0.25">
      <c r="A9490" s="66"/>
    </row>
    <row r="9491" spans="1:1" x14ac:dyDescent="0.25">
      <c r="A9491" s="66"/>
    </row>
    <row r="9492" spans="1:1" x14ac:dyDescent="0.25">
      <c r="A9492" s="66"/>
    </row>
    <row r="9493" spans="1:1" x14ac:dyDescent="0.25">
      <c r="A9493" s="66"/>
    </row>
    <row r="9494" spans="1:1" x14ac:dyDescent="0.25">
      <c r="A9494" s="66"/>
    </row>
    <row r="9495" spans="1:1" x14ac:dyDescent="0.25">
      <c r="A9495" s="66"/>
    </row>
    <row r="9496" spans="1:1" x14ac:dyDescent="0.25">
      <c r="A9496" s="66"/>
    </row>
    <row r="9497" spans="1:1" x14ac:dyDescent="0.25">
      <c r="A9497" s="66"/>
    </row>
    <row r="9498" spans="1:1" x14ac:dyDescent="0.25">
      <c r="A9498" s="66"/>
    </row>
    <row r="9499" spans="1:1" x14ac:dyDescent="0.25">
      <c r="A9499" s="66"/>
    </row>
    <row r="9500" spans="1:1" x14ac:dyDescent="0.25">
      <c r="A9500" s="66"/>
    </row>
    <row r="9501" spans="1:1" x14ac:dyDescent="0.25">
      <c r="A9501" s="66"/>
    </row>
    <row r="9502" spans="1:1" x14ac:dyDescent="0.25">
      <c r="A9502" s="66"/>
    </row>
    <row r="9503" spans="1:1" x14ac:dyDescent="0.25">
      <c r="A9503" s="66"/>
    </row>
    <row r="9504" spans="1:1" x14ac:dyDescent="0.25">
      <c r="A9504" s="66"/>
    </row>
    <row r="9505" spans="1:1" x14ac:dyDescent="0.25">
      <c r="A9505" s="66"/>
    </row>
    <row r="9506" spans="1:1" x14ac:dyDescent="0.25">
      <c r="A9506" s="66"/>
    </row>
    <row r="9507" spans="1:1" x14ac:dyDescent="0.25">
      <c r="A9507" s="66"/>
    </row>
    <row r="9508" spans="1:1" x14ac:dyDescent="0.25">
      <c r="A9508" s="66"/>
    </row>
    <row r="9509" spans="1:1" x14ac:dyDescent="0.25">
      <c r="A9509" s="66"/>
    </row>
    <row r="9510" spans="1:1" x14ac:dyDescent="0.25">
      <c r="A9510" s="66"/>
    </row>
    <row r="9511" spans="1:1" x14ac:dyDescent="0.25">
      <c r="A9511" s="66"/>
    </row>
    <row r="9512" spans="1:1" x14ac:dyDescent="0.25">
      <c r="A9512" s="66"/>
    </row>
    <row r="9513" spans="1:1" x14ac:dyDescent="0.25">
      <c r="A9513" s="66"/>
    </row>
    <row r="9514" spans="1:1" x14ac:dyDescent="0.25">
      <c r="A9514" s="66"/>
    </row>
    <row r="9515" spans="1:1" x14ac:dyDescent="0.25">
      <c r="A9515" s="66"/>
    </row>
    <row r="9516" spans="1:1" x14ac:dyDescent="0.25">
      <c r="A9516" s="66"/>
    </row>
    <row r="9517" spans="1:1" x14ac:dyDescent="0.25">
      <c r="A9517" s="66"/>
    </row>
    <row r="9518" spans="1:1" x14ac:dyDescent="0.25">
      <c r="A9518" s="66"/>
    </row>
    <row r="9519" spans="1:1" x14ac:dyDescent="0.25">
      <c r="A9519" s="66"/>
    </row>
    <row r="9520" spans="1:1" x14ac:dyDescent="0.25">
      <c r="A9520" s="66"/>
    </row>
    <row r="9521" spans="1:1" x14ac:dyDescent="0.25">
      <c r="A9521" s="66"/>
    </row>
    <row r="9522" spans="1:1" x14ac:dyDescent="0.25">
      <c r="A9522" s="66"/>
    </row>
    <row r="9523" spans="1:1" x14ac:dyDescent="0.25">
      <c r="A9523" s="66"/>
    </row>
    <row r="9524" spans="1:1" x14ac:dyDescent="0.25">
      <c r="A9524" s="66"/>
    </row>
    <row r="9525" spans="1:1" x14ac:dyDescent="0.25">
      <c r="A9525" s="66"/>
    </row>
    <row r="9526" spans="1:1" x14ac:dyDescent="0.25">
      <c r="A9526" s="66"/>
    </row>
    <row r="9527" spans="1:1" x14ac:dyDescent="0.25">
      <c r="A9527" s="66"/>
    </row>
    <row r="9528" spans="1:1" x14ac:dyDescent="0.25">
      <c r="A9528" s="66"/>
    </row>
    <row r="9529" spans="1:1" x14ac:dyDescent="0.25">
      <c r="A9529" s="66"/>
    </row>
    <row r="9530" spans="1:1" x14ac:dyDescent="0.25">
      <c r="A9530" s="66"/>
    </row>
    <row r="9531" spans="1:1" x14ac:dyDescent="0.25">
      <c r="A9531" s="66"/>
    </row>
    <row r="9532" spans="1:1" x14ac:dyDescent="0.25">
      <c r="A9532" s="66"/>
    </row>
    <row r="9533" spans="1:1" x14ac:dyDescent="0.25">
      <c r="A9533" s="66"/>
    </row>
    <row r="9534" spans="1:1" x14ac:dyDescent="0.25">
      <c r="A9534" s="66"/>
    </row>
    <row r="9535" spans="1:1" x14ac:dyDescent="0.25">
      <c r="A9535" s="66"/>
    </row>
    <row r="9536" spans="1:1" x14ac:dyDescent="0.25">
      <c r="A9536" s="66"/>
    </row>
    <row r="9537" spans="1:1" x14ac:dyDescent="0.25">
      <c r="A9537" s="66"/>
    </row>
    <row r="9538" spans="1:1" x14ac:dyDescent="0.25">
      <c r="A9538" s="66"/>
    </row>
    <row r="9539" spans="1:1" x14ac:dyDescent="0.25">
      <c r="A9539" s="66"/>
    </row>
    <row r="9540" spans="1:1" x14ac:dyDescent="0.25">
      <c r="A9540" s="66"/>
    </row>
    <row r="9541" spans="1:1" x14ac:dyDescent="0.25">
      <c r="A9541" s="66"/>
    </row>
    <row r="9542" spans="1:1" x14ac:dyDescent="0.25">
      <c r="A9542" s="66"/>
    </row>
    <row r="9543" spans="1:1" x14ac:dyDescent="0.25">
      <c r="A9543" s="66"/>
    </row>
    <row r="9544" spans="1:1" x14ac:dyDescent="0.25">
      <c r="A9544" s="66"/>
    </row>
    <row r="9545" spans="1:1" x14ac:dyDescent="0.25">
      <c r="A9545" s="66"/>
    </row>
    <row r="9546" spans="1:1" x14ac:dyDescent="0.25">
      <c r="A9546" s="66"/>
    </row>
    <row r="9547" spans="1:1" x14ac:dyDescent="0.25">
      <c r="A9547" s="66"/>
    </row>
    <row r="9548" spans="1:1" x14ac:dyDescent="0.25">
      <c r="A9548" s="66"/>
    </row>
    <row r="9549" spans="1:1" x14ac:dyDescent="0.25">
      <c r="A9549" s="66"/>
    </row>
    <row r="9550" spans="1:1" x14ac:dyDescent="0.25">
      <c r="A9550" s="66"/>
    </row>
    <row r="9551" spans="1:1" x14ac:dyDescent="0.25">
      <c r="A9551" s="66"/>
    </row>
    <row r="9552" spans="1:1" x14ac:dyDescent="0.25">
      <c r="A9552" s="66"/>
    </row>
    <row r="9553" spans="1:1" x14ac:dyDescent="0.25">
      <c r="A9553" s="66"/>
    </row>
    <row r="9554" spans="1:1" x14ac:dyDescent="0.25">
      <c r="A9554" s="66"/>
    </row>
    <row r="9555" spans="1:1" x14ac:dyDescent="0.25">
      <c r="A9555" s="66"/>
    </row>
    <row r="9556" spans="1:1" x14ac:dyDescent="0.25">
      <c r="A9556" s="66"/>
    </row>
    <row r="9557" spans="1:1" x14ac:dyDescent="0.25">
      <c r="A9557" s="66"/>
    </row>
    <row r="9558" spans="1:1" x14ac:dyDescent="0.25">
      <c r="A9558" s="66"/>
    </row>
    <row r="9559" spans="1:1" x14ac:dyDescent="0.25">
      <c r="A9559" s="66"/>
    </row>
    <row r="9560" spans="1:1" x14ac:dyDescent="0.25">
      <c r="A9560" s="66"/>
    </row>
    <row r="9561" spans="1:1" x14ac:dyDescent="0.25">
      <c r="A9561" s="66"/>
    </row>
    <row r="9562" spans="1:1" x14ac:dyDescent="0.25">
      <c r="A9562" s="66"/>
    </row>
    <row r="9563" spans="1:1" x14ac:dyDescent="0.25">
      <c r="A9563" s="66"/>
    </row>
    <row r="9564" spans="1:1" x14ac:dyDescent="0.25">
      <c r="A9564" s="66"/>
    </row>
    <row r="9565" spans="1:1" x14ac:dyDescent="0.25">
      <c r="A9565" s="66"/>
    </row>
    <row r="9566" spans="1:1" x14ac:dyDescent="0.25">
      <c r="A9566" s="66"/>
    </row>
    <row r="9567" spans="1:1" x14ac:dyDescent="0.25">
      <c r="A9567" s="66"/>
    </row>
    <row r="9568" spans="1:1" x14ac:dyDescent="0.25">
      <c r="A9568" s="66"/>
    </row>
    <row r="9569" spans="1:1" x14ac:dyDescent="0.25">
      <c r="A9569" s="66"/>
    </row>
    <row r="9570" spans="1:1" x14ac:dyDescent="0.25">
      <c r="A9570" s="66"/>
    </row>
    <row r="9571" spans="1:1" x14ac:dyDescent="0.25">
      <c r="A9571" s="66"/>
    </row>
    <row r="9572" spans="1:1" x14ac:dyDescent="0.25">
      <c r="A9572" s="66"/>
    </row>
    <row r="9573" spans="1:1" x14ac:dyDescent="0.25">
      <c r="A9573" s="66"/>
    </row>
    <row r="9574" spans="1:1" x14ac:dyDescent="0.25">
      <c r="A9574" s="66"/>
    </row>
    <row r="9575" spans="1:1" x14ac:dyDescent="0.25">
      <c r="A9575" s="66"/>
    </row>
    <row r="9576" spans="1:1" x14ac:dyDescent="0.25">
      <c r="A9576" s="66"/>
    </row>
    <row r="9577" spans="1:1" x14ac:dyDescent="0.25">
      <c r="A9577" s="66"/>
    </row>
    <row r="9578" spans="1:1" x14ac:dyDescent="0.25">
      <c r="A9578" s="66"/>
    </row>
    <row r="9579" spans="1:1" x14ac:dyDescent="0.25">
      <c r="A9579" s="66"/>
    </row>
    <row r="9580" spans="1:1" x14ac:dyDescent="0.25">
      <c r="A9580" s="66"/>
    </row>
    <row r="9581" spans="1:1" x14ac:dyDescent="0.25">
      <c r="A9581" s="66"/>
    </row>
    <row r="9582" spans="1:1" x14ac:dyDescent="0.25">
      <c r="A9582" s="66"/>
    </row>
    <row r="9583" spans="1:1" x14ac:dyDescent="0.25">
      <c r="A9583" s="66"/>
    </row>
    <row r="9584" spans="1:1" x14ac:dyDescent="0.25">
      <c r="A9584" s="66"/>
    </row>
    <row r="9585" spans="1:1" x14ac:dyDescent="0.25">
      <c r="A9585" s="66"/>
    </row>
    <row r="9586" spans="1:1" x14ac:dyDescent="0.25">
      <c r="A9586" s="66"/>
    </row>
    <row r="9587" spans="1:1" x14ac:dyDescent="0.25">
      <c r="A9587" s="66"/>
    </row>
    <row r="9588" spans="1:1" x14ac:dyDescent="0.25">
      <c r="A9588" s="66"/>
    </row>
    <row r="9589" spans="1:1" x14ac:dyDescent="0.25">
      <c r="A9589" s="66"/>
    </row>
    <row r="9590" spans="1:1" x14ac:dyDescent="0.25">
      <c r="A9590" s="66"/>
    </row>
    <row r="9591" spans="1:1" x14ac:dyDescent="0.25">
      <c r="A9591" s="66"/>
    </row>
    <row r="9592" spans="1:1" x14ac:dyDescent="0.25">
      <c r="A9592" s="66"/>
    </row>
    <row r="9593" spans="1:1" x14ac:dyDescent="0.25">
      <c r="A9593" s="66"/>
    </row>
    <row r="9594" spans="1:1" x14ac:dyDescent="0.25">
      <c r="A9594" s="66"/>
    </row>
    <row r="9595" spans="1:1" x14ac:dyDescent="0.25">
      <c r="A9595" s="66"/>
    </row>
    <row r="9596" spans="1:1" x14ac:dyDescent="0.25">
      <c r="A9596" s="66"/>
    </row>
    <row r="9597" spans="1:1" x14ac:dyDescent="0.25">
      <c r="A9597" s="66"/>
    </row>
    <row r="9598" spans="1:1" x14ac:dyDescent="0.25">
      <c r="A9598" s="66"/>
    </row>
    <row r="9599" spans="1:1" x14ac:dyDescent="0.25">
      <c r="A9599" s="66"/>
    </row>
    <row r="9600" spans="1:1" x14ac:dyDescent="0.25">
      <c r="A9600" s="66"/>
    </row>
    <row r="9601" spans="1:1" x14ac:dyDescent="0.25">
      <c r="A9601" s="66"/>
    </row>
    <row r="9602" spans="1:1" x14ac:dyDescent="0.25">
      <c r="A9602" s="66"/>
    </row>
    <row r="9603" spans="1:1" x14ac:dyDescent="0.25">
      <c r="A9603" s="66"/>
    </row>
    <row r="9604" spans="1:1" x14ac:dyDescent="0.25">
      <c r="A9604" s="66"/>
    </row>
    <row r="9605" spans="1:1" x14ac:dyDescent="0.25">
      <c r="A9605" s="66"/>
    </row>
    <row r="9606" spans="1:1" x14ac:dyDescent="0.25">
      <c r="A9606" s="66"/>
    </row>
    <row r="9607" spans="1:1" x14ac:dyDescent="0.25">
      <c r="A9607" s="66"/>
    </row>
    <row r="9608" spans="1:1" x14ac:dyDescent="0.25">
      <c r="A9608" s="66"/>
    </row>
    <row r="9609" spans="1:1" x14ac:dyDescent="0.25">
      <c r="A9609" s="66"/>
    </row>
    <row r="9610" spans="1:1" x14ac:dyDescent="0.25">
      <c r="A9610" s="66"/>
    </row>
    <row r="9611" spans="1:1" x14ac:dyDescent="0.25">
      <c r="A9611" s="66"/>
    </row>
    <row r="9612" spans="1:1" x14ac:dyDescent="0.25">
      <c r="A9612" s="66"/>
    </row>
    <row r="9613" spans="1:1" x14ac:dyDescent="0.25">
      <c r="A9613" s="66"/>
    </row>
    <row r="9614" spans="1:1" x14ac:dyDescent="0.25">
      <c r="A9614" s="66"/>
    </row>
    <row r="9615" spans="1:1" x14ac:dyDescent="0.25">
      <c r="A9615" s="66"/>
    </row>
    <row r="9616" spans="1:1" x14ac:dyDescent="0.25">
      <c r="A9616" s="66"/>
    </row>
    <row r="9617" spans="1:1" x14ac:dyDescent="0.25">
      <c r="A9617" s="66"/>
    </row>
    <row r="9618" spans="1:1" x14ac:dyDescent="0.25">
      <c r="A9618" s="66"/>
    </row>
    <row r="9619" spans="1:1" x14ac:dyDescent="0.25">
      <c r="A9619" s="66"/>
    </row>
    <row r="9620" spans="1:1" x14ac:dyDescent="0.25">
      <c r="A9620" s="66"/>
    </row>
    <row r="9621" spans="1:1" x14ac:dyDescent="0.25">
      <c r="A9621" s="66"/>
    </row>
    <row r="9622" spans="1:1" x14ac:dyDescent="0.25">
      <c r="A9622" s="66"/>
    </row>
    <row r="9623" spans="1:1" x14ac:dyDescent="0.25">
      <c r="A9623" s="66"/>
    </row>
    <row r="9624" spans="1:1" x14ac:dyDescent="0.25">
      <c r="A9624" s="66"/>
    </row>
    <row r="9625" spans="1:1" x14ac:dyDescent="0.25">
      <c r="A9625" s="66"/>
    </row>
    <row r="9626" spans="1:1" x14ac:dyDescent="0.25">
      <c r="A9626" s="66"/>
    </row>
    <row r="9627" spans="1:1" x14ac:dyDescent="0.25">
      <c r="A9627" s="66"/>
    </row>
    <row r="9628" spans="1:1" x14ac:dyDescent="0.25">
      <c r="A9628" s="66"/>
    </row>
    <row r="9629" spans="1:1" x14ac:dyDescent="0.25">
      <c r="A9629" s="66"/>
    </row>
    <row r="9630" spans="1:1" x14ac:dyDescent="0.25">
      <c r="A9630" s="66"/>
    </row>
    <row r="9631" spans="1:1" x14ac:dyDescent="0.25">
      <c r="A9631" s="66"/>
    </row>
    <row r="9632" spans="1:1" x14ac:dyDescent="0.25">
      <c r="A9632" s="66"/>
    </row>
    <row r="9633" spans="1:1" x14ac:dyDescent="0.25">
      <c r="A9633" s="66"/>
    </row>
    <row r="9634" spans="1:1" x14ac:dyDescent="0.25">
      <c r="A9634" s="66"/>
    </row>
    <row r="9635" spans="1:1" x14ac:dyDescent="0.25">
      <c r="A9635" s="66"/>
    </row>
    <row r="9636" spans="1:1" x14ac:dyDescent="0.25">
      <c r="A9636" s="66"/>
    </row>
    <row r="9637" spans="1:1" x14ac:dyDescent="0.25">
      <c r="A9637" s="66"/>
    </row>
    <row r="9638" spans="1:1" x14ac:dyDescent="0.25">
      <c r="A9638" s="66"/>
    </row>
    <row r="9639" spans="1:1" x14ac:dyDescent="0.25">
      <c r="A9639" s="66"/>
    </row>
    <row r="9640" spans="1:1" x14ac:dyDescent="0.25">
      <c r="A9640" s="66"/>
    </row>
    <row r="9641" spans="1:1" x14ac:dyDescent="0.25">
      <c r="A9641" s="66"/>
    </row>
    <row r="9642" spans="1:1" x14ac:dyDescent="0.25">
      <c r="A9642" s="66"/>
    </row>
    <row r="9643" spans="1:1" x14ac:dyDescent="0.25">
      <c r="A9643" s="66"/>
    </row>
    <row r="9644" spans="1:1" x14ac:dyDescent="0.25">
      <c r="A9644" s="66"/>
    </row>
    <row r="9645" spans="1:1" x14ac:dyDescent="0.25">
      <c r="A9645" s="66"/>
    </row>
    <row r="9646" spans="1:1" x14ac:dyDescent="0.25">
      <c r="A9646" s="66"/>
    </row>
    <row r="9647" spans="1:1" x14ac:dyDescent="0.25">
      <c r="A9647" s="66"/>
    </row>
    <row r="9648" spans="1:1" x14ac:dyDescent="0.25">
      <c r="A9648" s="66"/>
    </row>
    <row r="9649" spans="1:1" x14ac:dyDescent="0.25">
      <c r="A9649" s="66"/>
    </row>
    <row r="9650" spans="1:1" x14ac:dyDescent="0.25">
      <c r="A9650" s="66"/>
    </row>
    <row r="9651" spans="1:1" x14ac:dyDescent="0.25">
      <c r="A9651" s="66"/>
    </row>
    <row r="9652" spans="1:1" x14ac:dyDescent="0.25">
      <c r="A9652" s="66"/>
    </row>
    <row r="9653" spans="1:1" x14ac:dyDescent="0.25">
      <c r="A9653" s="66"/>
    </row>
    <row r="9654" spans="1:1" x14ac:dyDescent="0.25">
      <c r="A9654" s="66"/>
    </row>
    <row r="9655" spans="1:1" x14ac:dyDescent="0.25">
      <c r="A9655" s="66"/>
    </row>
    <row r="9656" spans="1:1" x14ac:dyDescent="0.25">
      <c r="A9656" s="66"/>
    </row>
    <row r="9657" spans="1:1" x14ac:dyDescent="0.25">
      <c r="A9657" s="66"/>
    </row>
    <row r="9658" spans="1:1" x14ac:dyDescent="0.25">
      <c r="A9658" s="66"/>
    </row>
    <row r="9659" spans="1:1" x14ac:dyDescent="0.25">
      <c r="A9659" s="66"/>
    </row>
    <row r="9660" spans="1:1" x14ac:dyDescent="0.25">
      <c r="A9660" s="66"/>
    </row>
    <row r="9661" spans="1:1" x14ac:dyDescent="0.25">
      <c r="A9661" s="66"/>
    </row>
    <row r="9662" spans="1:1" x14ac:dyDescent="0.25">
      <c r="A9662" s="66"/>
    </row>
    <row r="9663" spans="1:1" x14ac:dyDescent="0.25">
      <c r="A9663" s="66"/>
    </row>
    <row r="9664" spans="1:1" x14ac:dyDescent="0.25">
      <c r="A9664" s="66"/>
    </row>
    <row r="9665" spans="1:1" x14ac:dyDescent="0.25">
      <c r="A9665" s="66"/>
    </row>
    <row r="9666" spans="1:1" x14ac:dyDescent="0.25">
      <c r="A9666" s="66"/>
    </row>
    <row r="9667" spans="1:1" x14ac:dyDescent="0.25">
      <c r="A9667" s="66"/>
    </row>
    <row r="9668" spans="1:1" x14ac:dyDescent="0.25">
      <c r="A9668" s="66"/>
    </row>
    <row r="9669" spans="1:1" x14ac:dyDescent="0.25">
      <c r="A9669" s="66"/>
    </row>
    <row r="9670" spans="1:1" x14ac:dyDescent="0.25">
      <c r="A9670" s="66"/>
    </row>
    <row r="9671" spans="1:1" x14ac:dyDescent="0.25">
      <c r="A9671" s="66"/>
    </row>
    <row r="9672" spans="1:1" x14ac:dyDescent="0.25">
      <c r="A9672" s="66"/>
    </row>
    <row r="9673" spans="1:1" x14ac:dyDescent="0.25">
      <c r="A9673" s="66"/>
    </row>
    <row r="9674" spans="1:1" x14ac:dyDescent="0.25">
      <c r="A9674" s="66"/>
    </row>
    <row r="9675" spans="1:1" x14ac:dyDescent="0.25">
      <c r="A9675" s="66"/>
    </row>
    <row r="9676" spans="1:1" x14ac:dyDescent="0.25">
      <c r="A9676" s="66"/>
    </row>
    <row r="9677" spans="1:1" x14ac:dyDescent="0.25">
      <c r="A9677" s="66"/>
    </row>
    <row r="9678" spans="1:1" x14ac:dyDescent="0.25">
      <c r="A9678" s="66"/>
    </row>
    <row r="9679" spans="1:1" x14ac:dyDescent="0.25">
      <c r="A9679" s="66"/>
    </row>
    <row r="9680" spans="1:1" x14ac:dyDescent="0.25">
      <c r="A9680" s="66"/>
    </row>
    <row r="9681" spans="1:1" x14ac:dyDescent="0.25">
      <c r="A9681" s="66"/>
    </row>
    <row r="9682" spans="1:1" x14ac:dyDescent="0.25">
      <c r="A9682" s="66"/>
    </row>
    <row r="9683" spans="1:1" x14ac:dyDescent="0.25">
      <c r="A9683" s="66"/>
    </row>
    <row r="9684" spans="1:1" x14ac:dyDescent="0.25">
      <c r="A9684" s="66"/>
    </row>
    <row r="9685" spans="1:1" x14ac:dyDescent="0.25">
      <c r="A9685" s="66"/>
    </row>
    <row r="9686" spans="1:1" x14ac:dyDescent="0.25">
      <c r="A9686" s="66"/>
    </row>
    <row r="9687" spans="1:1" x14ac:dyDescent="0.25">
      <c r="A9687" s="66"/>
    </row>
    <row r="9688" spans="1:1" x14ac:dyDescent="0.25">
      <c r="A9688" s="66"/>
    </row>
    <row r="9689" spans="1:1" x14ac:dyDescent="0.25">
      <c r="A9689" s="66"/>
    </row>
    <row r="9690" spans="1:1" x14ac:dyDescent="0.25">
      <c r="A9690" s="66"/>
    </row>
    <row r="9691" spans="1:1" x14ac:dyDescent="0.25">
      <c r="A9691" s="66"/>
    </row>
    <row r="9692" spans="1:1" x14ac:dyDescent="0.25">
      <c r="A9692" s="66"/>
    </row>
    <row r="9693" spans="1:1" x14ac:dyDescent="0.25">
      <c r="A9693" s="66"/>
    </row>
    <row r="9694" spans="1:1" x14ac:dyDescent="0.25">
      <c r="A9694" s="66"/>
    </row>
    <row r="9695" spans="1:1" x14ac:dyDescent="0.25">
      <c r="A9695" s="66"/>
    </row>
    <row r="9696" spans="1:1" x14ac:dyDescent="0.25">
      <c r="A9696" s="66"/>
    </row>
    <row r="9697" spans="1:1" x14ac:dyDescent="0.25">
      <c r="A9697" s="66"/>
    </row>
    <row r="9698" spans="1:1" x14ac:dyDescent="0.25">
      <c r="A9698" s="66"/>
    </row>
    <row r="9699" spans="1:1" x14ac:dyDescent="0.25">
      <c r="A9699" s="66"/>
    </row>
    <row r="9700" spans="1:1" x14ac:dyDescent="0.25">
      <c r="A9700" s="66"/>
    </row>
    <row r="9701" spans="1:1" x14ac:dyDescent="0.25">
      <c r="A9701" s="66"/>
    </row>
    <row r="9702" spans="1:1" x14ac:dyDescent="0.25">
      <c r="A9702" s="66"/>
    </row>
    <row r="9703" spans="1:1" x14ac:dyDescent="0.25">
      <c r="A9703" s="66"/>
    </row>
    <row r="9704" spans="1:1" x14ac:dyDescent="0.25">
      <c r="A9704" s="66"/>
    </row>
    <row r="9705" spans="1:1" x14ac:dyDescent="0.25">
      <c r="A9705" s="66"/>
    </row>
    <row r="9706" spans="1:1" x14ac:dyDescent="0.25">
      <c r="A9706" s="66"/>
    </row>
    <row r="9707" spans="1:1" x14ac:dyDescent="0.25">
      <c r="A9707" s="66"/>
    </row>
    <row r="9708" spans="1:1" x14ac:dyDescent="0.25">
      <c r="A9708" s="66"/>
    </row>
    <row r="9709" spans="1:1" x14ac:dyDescent="0.25">
      <c r="A9709" s="66"/>
    </row>
    <row r="9710" spans="1:1" x14ac:dyDescent="0.25">
      <c r="A9710" s="66"/>
    </row>
    <row r="9711" spans="1:1" x14ac:dyDescent="0.25">
      <c r="A9711" s="66"/>
    </row>
    <row r="9712" spans="1:1" x14ac:dyDescent="0.25">
      <c r="A9712" s="66"/>
    </row>
    <row r="9713" spans="1:1" x14ac:dyDescent="0.25">
      <c r="A9713" s="66"/>
    </row>
    <row r="9714" spans="1:1" x14ac:dyDescent="0.25">
      <c r="A9714" s="66"/>
    </row>
    <row r="9715" spans="1:1" x14ac:dyDescent="0.25">
      <c r="A9715" s="66"/>
    </row>
    <row r="9716" spans="1:1" x14ac:dyDescent="0.25">
      <c r="A9716" s="66"/>
    </row>
    <row r="9717" spans="1:1" x14ac:dyDescent="0.25">
      <c r="A9717" s="66"/>
    </row>
    <row r="9718" spans="1:1" x14ac:dyDescent="0.25">
      <c r="A9718" s="66"/>
    </row>
    <row r="9719" spans="1:1" x14ac:dyDescent="0.25">
      <c r="A9719" s="66"/>
    </row>
    <row r="9720" spans="1:1" x14ac:dyDescent="0.25">
      <c r="A9720" s="66"/>
    </row>
    <row r="9721" spans="1:1" x14ac:dyDescent="0.25">
      <c r="A9721" s="66"/>
    </row>
    <row r="9722" spans="1:1" x14ac:dyDescent="0.25">
      <c r="A9722" s="66"/>
    </row>
    <row r="9723" spans="1:1" x14ac:dyDescent="0.25">
      <c r="A9723" s="66"/>
    </row>
    <row r="9724" spans="1:1" x14ac:dyDescent="0.25">
      <c r="A9724" s="66"/>
    </row>
    <row r="9725" spans="1:1" x14ac:dyDescent="0.25">
      <c r="A9725" s="66"/>
    </row>
    <row r="9726" spans="1:1" x14ac:dyDescent="0.25">
      <c r="A9726" s="66"/>
    </row>
    <row r="9727" spans="1:1" x14ac:dyDescent="0.25">
      <c r="A9727" s="66"/>
    </row>
    <row r="9728" spans="1:1" x14ac:dyDescent="0.25">
      <c r="A9728" s="66"/>
    </row>
    <row r="9729" spans="1:1" x14ac:dyDescent="0.25">
      <c r="A9729" s="66"/>
    </row>
    <row r="9730" spans="1:1" x14ac:dyDescent="0.25">
      <c r="A9730" s="66"/>
    </row>
    <row r="9731" spans="1:1" x14ac:dyDescent="0.25">
      <c r="A9731" s="66"/>
    </row>
    <row r="9732" spans="1:1" x14ac:dyDescent="0.25">
      <c r="A9732" s="66"/>
    </row>
    <row r="9733" spans="1:1" x14ac:dyDescent="0.25">
      <c r="A9733" s="66"/>
    </row>
    <row r="9734" spans="1:1" x14ac:dyDescent="0.25">
      <c r="A9734" s="66"/>
    </row>
    <row r="9735" spans="1:1" x14ac:dyDescent="0.25">
      <c r="A9735" s="66"/>
    </row>
    <row r="9736" spans="1:1" x14ac:dyDescent="0.25">
      <c r="A9736" s="66"/>
    </row>
    <row r="9737" spans="1:1" x14ac:dyDescent="0.25">
      <c r="A9737" s="66"/>
    </row>
    <row r="9738" spans="1:1" x14ac:dyDescent="0.25">
      <c r="A9738" s="66"/>
    </row>
    <row r="9739" spans="1:1" x14ac:dyDescent="0.25">
      <c r="A9739" s="66"/>
    </row>
    <row r="9740" spans="1:1" x14ac:dyDescent="0.25">
      <c r="A9740" s="66"/>
    </row>
    <row r="9741" spans="1:1" x14ac:dyDescent="0.25">
      <c r="A9741" s="66"/>
    </row>
    <row r="9742" spans="1:1" x14ac:dyDescent="0.25">
      <c r="A9742" s="66"/>
    </row>
    <row r="9743" spans="1:1" x14ac:dyDescent="0.25">
      <c r="A9743" s="66"/>
    </row>
    <row r="9744" spans="1:1" x14ac:dyDescent="0.25">
      <c r="A9744" s="66"/>
    </row>
    <row r="9745" spans="1:1" x14ac:dyDescent="0.25">
      <c r="A9745" s="66"/>
    </row>
    <row r="9746" spans="1:1" x14ac:dyDescent="0.25">
      <c r="A9746" s="66"/>
    </row>
    <row r="9747" spans="1:1" x14ac:dyDescent="0.25">
      <c r="A9747" s="66"/>
    </row>
    <row r="9748" spans="1:1" x14ac:dyDescent="0.25">
      <c r="A9748" s="66"/>
    </row>
    <row r="9749" spans="1:1" x14ac:dyDescent="0.25">
      <c r="A9749" s="66"/>
    </row>
    <row r="9750" spans="1:1" x14ac:dyDescent="0.25">
      <c r="A9750" s="66"/>
    </row>
    <row r="9751" spans="1:1" x14ac:dyDescent="0.25">
      <c r="A9751" s="66"/>
    </row>
    <row r="9752" spans="1:1" x14ac:dyDescent="0.25">
      <c r="A9752" s="66"/>
    </row>
    <row r="9753" spans="1:1" x14ac:dyDescent="0.25">
      <c r="A9753" s="66"/>
    </row>
    <row r="9754" spans="1:1" x14ac:dyDescent="0.25">
      <c r="A9754" s="66"/>
    </row>
    <row r="9755" spans="1:1" x14ac:dyDescent="0.25">
      <c r="A9755" s="66"/>
    </row>
    <row r="9756" spans="1:1" x14ac:dyDescent="0.25">
      <c r="A9756" s="66"/>
    </row>
    <row r="9757" spans="1:1" x14ac:dyDescent="0.25">
      <c r="A9757" s="66"/>
    </row>
    <row r="9758" spans="1:1" x14ac:dyDescent="0.25">
      <c r="A9758" s="66"/>
    </row>
    <row r="9759" spans="1:1" x14ac:dyDescent="0.25">
      <c r="A9759" s="66"/>
    </row>
    <row r="9760" spans="1:1" x14ac:dyDescent="0.25">
      <c r="A9760" s="66"/>
    </row>
    <row r="9761" spans="1:1" x14ac:dyDescent="0.25">
      <c r="A9761" s="66"/>
    </row>
    <row r="9762" spans="1:1" x14ac:dyDescent="0.25">
      <c r="A9762" s="66"/>
    </row>
    <row r="9763" spans="1:1" x14ac:dyDescent="0.25">
      <c r="A9763" s="66"/>
    </row>
    <row r="9764" spans="1:1" x14ac:dyDescent="0.25">
      <c r="A9764" s="66"/>
    </row>
    <row r="9765" spans="1:1" x14ac:dyDescent="0.25">
      <c r="A9765" s="66"/>
    </row>
    <row r="9766" spans="1:1" x14ac:dyDescent="0.25">
      <c r="A9766" s="66"/>
    </row>
    <row r="9767" spans="1:1" x14ac:dyDescent="0.25">
      <c r="A9767" s="66"/>
    </row>
    <row r="9768" spans="1:1" x14ac:dyDescent="0.25">
      <c r="A9768" s="66"/>
    </row>
    <row r="9769" spans="1:1" x14ac:dyDescent="0.25">
      <c r="A9769" s="66"/>
    </row>
    <row r="9770" spans="1:1" x14ac:dyDescent="0.25">
      <c r="A9770" s="66"/>
    </row>
    <row r="9771" spans="1:1" x14ac:dyDescent="0.25">
      <c r="A9771" s="66"/>
    </row>
    <row r="9772" spans="1:1" x14ac:dyDescent="0.25">
      <c r="A9772" s="66"/>
    </row>
    <row r="9773" spans="1:1" x14ac:dyDescent="0.25">
      <c r="A9773" s="66"/>
    </row>
    <row r="9774" spans="1:1" x14ac:dyDescent="0.25">
      <c r="A9774" s="66"/>
    </row>
    <row r="9775" spans="1:1" x14ac:dyDescent="0.25">
      <c r="A9775" s="66"/>
    </row>
    <row r="9776" spans="1:1" x14ac:dyDescent="0.25">
      <c r="A9776" s="66"/>
    </row>
    <row r="9777" spans="1:1" x14ac:dyDescent="0.25">
      <c r="A9777" s="66"/>
    </row>
    <row r="9778" spans="1:1" x14ac:dyDescent="0.25">
      <c r="A9778" s="66"/>
    </row>
    <row r="9779" spans="1:1" x14ac:dyDescent="0.25">
      <c r="A9779" s="66"/>
    </row>
    <row r="9780" spans="1:1" x14ac:dyDescent="0.25">
      <c r="A9780" s="66"/>
    </row>
    <row r="9781" spans="1:1" x14ac:dyDescent="0.25">
      <c r="A9781" s="66"/>
    </row>
    <row r="9782" spans="1:1" x14ac:dyDescent="0.25">
      <c r="A9782" s="66"/>
    </row>
    <row r="9783" spans="1:1" x14ac:dyDescent="0.25">
      <c r="A9783" s="66"/>
    </row>
    <row r="9784" spans="1:1" x14ac:dyDescent="0.25">
      <c r="A9784" s="66"/>
    </row>
    <row r="9785" spans="1:1" x14ac:dyDescent="0.25">
      <c r="A9785" s="66"/>
    </row>
    <row r="9786" spans="1:1" x14ac:dyDescent="0.25">
      <c r="A9786" s="66"/>
    </row>
    <row r="9787" spans="1:1" x14ac:dyDescent="0.25">
      <c r="A9787" s="66"/>
    </row>
    <row r="9788" spans="1:1" x14ac:dyDescent="0.25">
      <c r="A9788" s="66"/>
    </row>
    <row r="9789" spans="1:1" x14ac:dyDescent="0.25">
      <c r="A9789" s="66"/>
    </row>
    <row r="9790" spans="1:1" x14ac:dyDescent="0.25">
      <c r="A9790" s="66"/>
    </row>
    <row r="9791" spans="1:1" x14ac:dyDescent="0.25">
      <c r="A9791" s="66"/>
    </row>
    <row r="9792" spans="1:1" x14ac:dyDescent="0.25">
      <c r="A9792" s="66"/>
    </row>
    <row r="9793" spans="1:1" x14ac:dyDescent="0.25">
      <c r="A9793" s="66"/>
    </row>
    <row r="9794" spans="1:1" x14ac:dyDescent="0.25">
      <c r="A9794" s="66"/>
    </row>
    <row r="9795" spans="1:1" x14ac:dyDescent="0.25">
      <c r="A9795" s="66"/>
    </row>
    <row r="9796" spans="1:1" x14ac:dyDescent="0.25">
      <c r="A9796" s="66"/>
    </row>
    <row r="9797" spans="1:1" x14ac:dyDescent="0.25">
      <c r="A9797" s="66"/>
    </row>
    <row r="9798" spans="1:1" x14ac:dyDescent="0.25">
      <c r="A9798" s="66"/>
    </row>
    <row r="9799" spans="1:1" x14ac:dyDescent="0.25">
      <c r="A9799" s="66"/>
    </row>
    <row r="9800" spans="1:1" x14ac:dyDescent="0.25">
      <c r="A9800" s="66"/>
    </row>
    <row r="9801" spans="1:1" x14ac:dyDescent="0.25">
      <c r="A9801" s="66"/>
    </row>
    <row r="9802" spans="1:1" x14ac:dyDescent="0.25">
      <c r="A9802" s="66"/>
    </row>
    <row r="9803" spans="1:1" x14ac:dyDescent="0.25">
      <c r="A9803" s="66"/>
    </row>
    <row r="9804" spans="1:1" x14ac:dyDescent="0.25">
      <c r="A9804" s="66"/>
    </row>
    <row r="9805" spans="1:1" x14ac:dyDescent="0.25">
      <c r="A9805" s="66"/>
    </row>
    <row r="9806" spans="1:1" x14ac:dyDescent="0.25">
      <c r="A9806" s="66"/>
    </row>
    <row r="9807" spans="1:1" x14ac:dyDescent="0.25">
      <c r="A9807" s="66"/>
    </row>
    <row r="9808" spans="1:1" x14ac:dyDescent="0.25">
      <c r="A9808" s="66"/>
    </row>
    <row r="9809" spans="1:1" x14ac:dyDescent="0.25">
      <c r="A9809" s="66"/>
    </row>
    <row r="9810" spans="1:1" x14ac:dyDescent="0.25">
      <c r="A9810" s="66"/>
    </row>
    <row r="9811" spans="1:1" x14ac:dyDescent="0.25">
      <c r="A9811" s="66"/>
    </row>
    <row r="9812" spans="1:1" x14ac:dyDescent="0.25">
      <c r="A9812" s="66"/>
    </row>
    <row r="9813" spans="1:1" x14ac:dyDescent="0.25">
      <c r="A9813" s="66"/>
    </row>
    <row r="9814" spans="1:1" x14ac:dyDescent="0.25">
      <c r="A9814" s="66"/>
    </row>
    <row r="9815" spans="1:1" x14ac:dyDescent="0.25">
      <c r="A9815" s="66"/>
    </row>
    <row r="9816" spans="1:1" x14ac:dyDescent="0.25">
      <c r="A9816" s="66"/>
    </row>
    <row r="9817" spans="1:1" x14ac:dyDescent="0.25">
      <c r="A9817" s="66"/>
    </row>
    <row r="9818" spans="1:1" x14ac:dyDescent="0.25">
      <c r="A9818" s="66"/>
    </row>
    <row r="9819" spans="1:1" x14ac:dyDescent="0.25">
      <c r="A9819" s="66"/>
    </row>
    <row r="9820" spans="1:1" x14ac:dyDescent="0.25">
      <c r="A9820" s="66"/>
    </row>
    <row r="9821" spans="1:1" x14ac:dyDescent="0.25">
      <c r="A9821" s="66"/>
    </row>
    <row r="9822" spans="1:1" x14ac:dyDescent="0.25">
      <c r="A9822" s="66"/>
    </row>
    <row r="9823" spans="1:1" x14ac:dyDescent="0.25">
      <c r="A9823" s="66"/>
    </row>
    <row r="9824" spans="1:1" x14ac:dyDescent="0.25">
      <c r="A9824" s="66"/>
    </row>
    <row r="9825" spans="1:1" x14ac:dyDescent="0.25">
      <c r="A9825" s="66"/>
    </row>
    <row r="9826" spans="1:1" x14ac:dyDescent="0.25">
      <c r="A9826" s="66"/>
    </row>
    <row r="9827" spans="1:1" x14ac:dyDescent="0.25">
      <c r="A9827" s="66"/>
    </row>
    <row r="9828" spans="1:1" x14ac:dyDescent="0.25">
      <c r="A9828" s="66"/>
    </row>
    <row r="9829" spans="1:1" x14ac:dyDescent="0.25">
      <c r="A9829" s="66"/>
    </row>
    <row r="9830" spans="1:1" x14ac:dyDescent="0.25">
      <c r="A9830" s="66"/>
    </row>
    <row r="9831" spans="1:1" x14ac:dyDescent="0.25">
      <c r="A9831" s="66"/>
    </row>
    <row r="9832" spans="1:1" x14ac:dyDescent="0.25">
      <c r="A9832" s="66"/>
    </row>
    <row r="9833" spans="1:1" x14ac:dyDescent="0.25">
      <c r="A9833" s="66"/>
    </row>
    <row r="9834" spans="1:1" x14ac:dyDescent="0.25">
      <c r="A9834" s="66"/>
    </row>
    <row r="9835" spans="1:1" x14ac:dyDescent="0.25">
      <c r="A9835" s="66"/>
    </row>
    <row r="9836" spans="1:1" x14ac:dyDescent="0.25">
      <c r="A9836" s="66"/>
    </row>
    <row r="9837" spans="1:1" x14ac:dyDescent="0.25">
      <c r="A9837" s="66"/>
    </row>
    <row r="9838" spans="1:1" x14ac:dyDescent="0.25">
      <c r="A9838" s="66"/>
    </row>
    <row r="9839" spans="1:1" x14ac:dyDescent="0.25">
      <c r="A9839" s="66"/>
    </row>
    <row r="9840" spans="1:1" x14ac:dyDescent="0.25">
      <c r="A9840" s="66"/>
    </row>
    <row r="9841" spans="1:1" x14ac:dyDescent="0.25">
      <c r="A9841" s="66"/>
    </row>
    <row r="9842" spans="1:1" x14ac:dyDescent="0.25">
      <c r="A9842" s="66"/>
    </row>
    <row r="9843" spans="1:1" x14ac:dyDescent="0.25">
      <c r="A9843" s="66"/>
    </row>
    <row r="9844" spans="1:1" x14ac:dyDescent="0.25">
      <c r="A9844" s="66"/>
    </row>
    <row r="9845" spans="1:1" x14ac:dyDescent="0.25">
      <c r="A9845" s="66"/>
    </row>
    <row r="9846" spans="1:1" x14ac:dyDescent="0.25">
      <c r="A9846" s="66"/>
    </row>
    <row r="9847" spans="1:1" x14ac:dyDescent="0.25">
      <c r="A9847" s="66"/>
    </row>
    <row r="9848" spans="1:1" x14ac:dyDescent="0.25">
      <c r="A9848" s="66"/>
    </row>
    <row r="9849" spans="1:1" x14ac:dyDescent="0.25">
      <c r="A9849" s="66"/>
    </row>
    <row r="9850" spans="1:1" x14ac:dyDescent="0.25">
      <c r="A9850" s="66"/>
    </row>
    <row r="9851" spans="1:1" x14ac:dyDescent="0.25">
      <c r="A9851" s="66"/>
    </row>
    <row r="9852" spans="1:1" x14ac:dyDescent="0.25">
      <c r="A9852" s="66"/>
    </row>
    <row r="9853" spans="1:1" x14ac:dyDescent="0.25">
      <c r="A9853" s="66"/>
    </row>
    <row r="9854" spans="1:1" x14ac:dyDescent="0.25">
      <c r="A9854" s="66"/>
    </row>
    <row r="9855" spans="1:1" x14ac:dyDescent="0.25">
      <c r="A9855" s="66"/>
    </row>
    <row r="9856" spans="1:1" x14ac:dyDescent="0.25">
      <c r="A9856" s="66"/>
    </row>
    <row r="9857" spans="1:1" x14ac:dyDescent="0.25">
      <c r="A9857" s="66"/>
    </row>
    <row r="9858" spans="1:1" x14ac:dyDescent="0.25">
      <c r="A9858" s="66"/>
    </row>
    <row r="9859" spans="1:1" x14ac:dyDescent="0.25">
      <c r="A9859" s="66"/>
    </row>
    <row r="9860" spans="1:1" x14ac:dyDescent="0.25">
      <c r="A9860" s="66"/>
    </row>
    <row r="9861" spans="1:1" x14ac:dyDescent="0.25">
      <c r="A9861" s="66"/>
    </row>
    <row r="9862" spans="1:1" x14ac:dyDescent="0.25">
      <c r="A9862" s="66"/>
    </row>
    <row r="9863" spans="1:1" x14ac:dyDescent="0.25">
      <c r="A9863" s="66"/>
    </row>
    <row r="9864" spans="1:1" x14ac:dyDescent="0.25">
      <c r="A9864" s="66"/>
    </row>
    <row r="9865" spans="1:1" x14ac:dyDescent="0.25">
      <c r="A9865" s="66"/>
    </row>
    <row r="9866" spans="1:1" x14ac:dyDescent="0.25">
      <c r="A9866" s="66"/>
    </row>
    <row r="9867" spans="1:1" x14ac:dyDescent="0.25">
      <c r="A9867" s="66"/>
    </row>
    <row r="9868" spans="1:1" x14ac:dyDescent="0.25">
      <c r="A9868" s="66"/>
    </row>
    <row r="9869" spans="1:1" x14ac:dyDescent="0.25">
      <c r="A9869" s="66"/>
    </row>
    <row r="9870" spans="1:1" x14ac:dyDescent="0.25">
      <c r="A9870" s="66"/>
    </row>
    <row r="9871" spans="1:1" x14ac:dyDescent="0.25">
      <c r="A9871" s="66"/>
    </row>
    <row r="9872" spans="1:1" x14ac:dyDescent="0.25">
      <c r="A9872" s="66"/>
    </row>
    <row r="9873" spans="1:1" x14ac:dyDescent="0.25">
      <c r="A9873" s="66"/>
    </row>
    <row r="9874" spans="1:1" x14ac:dyDescent="0.25">
      <c r="A9874" s="66"/>
    </row>
    <row r="9875" spans="1:1" x14ac:dyDescent="0.25">
      <c r="A9875" s="66"/>
    </row>
    <row r="9876" spans="1:1" x14ac:dyDescent="0.25">
      <c r="A9876" s="66"/>
    </row>
    <row r="9877" spans="1:1" x14ac:dyDescent="0.25">
      <c r="A9877" s="66"/>
    </row>
    <row r="9878" spans="1:1" x14ac:dyDescent="0.25">
      <c r="A9878" s="66"/>
    </row>
    <row r="9879" spans="1:1" x14ac:dyDescent="0.25">
      <c r="A9879" s="66"/>
    </row>
    <row r="9880" spans="1:1" x14ac:dyDescent="0.25">
      <c r="A9880" s="66"/>
    </row>
    <row r="9881" spans="1:1" x14ac:dyDescent="0.25">
      <c r="A9881" s="66"/>
    </row>
    <row r="9882" spans="1:1" x14ac:dyDescent="0.25">
      <c r="A9882" s="66"/>
    </row>
    <row r="9883" spans="1:1" x14ac:dyDescent="0.25">
      <c r="A9883" s="66"/>
    </row>
    <row r="9884" spans="1:1" x14ac:dyDescent="0.25">
      <c r="A9884" s="66"/>
    </row>
    <row r="9885" spans="1:1" x14ac:dyDescent="0.25">
      <c r="A9885" s="66"/>
    </row>
    <row r="9886" spans="1:1" x14ac:dyDescent="0.25">
      <c r="A9886" s="66"/>
    </row>
    <row r="9887" spans="1:1" x14ac:dyDescent="0.25">
      <c r="A9887" s="66"/>
    </row>
    <row r="9888" spans="1:1" x14ac:dyDescent="0.25">
      <c r="A9888" s="66"/>
    </row>
    <row r="9889" spans="1:1" x14ac:dyDescent="0.25">
      <c r="A9889" s="66"/>
    </row>
    <row r="9890" spans="1:1" x14ac:dyDescent="0.25">
      <c r="A9890" s="66"/>
    </row>
    <row r="9891" spans="1:1" x14ac:dyDescent="0.25">
      <c r="A9891" s="66"/>
    </row>
    <row r="9892" spans="1:1" x14ac:dyDescent="0.25">
      <c r="A9892" s="66"/>
    </row>
    <row r="9893" spans="1:1" x14ac:dyDescent="0.25">
      <c r="A9893" s="66"/>
    </row>
    <row r="9894" spans="1:1" x14ac:dyDescent="0.25">
      <c r="A9894" s="66"/>
    </row>
    <row r="9895" spans="1:1" x14ac:dyDescent="0.25">
      <c r="A9895" s="66"/>
    </row>
    <row r="9896" spans="1:1" x14ac:dyDescent="0.25">
      <c r="A9896" s="66"/>
    </row>
    <row r="9897" spans="1:1" x14ac:dyDescent="0.25">
      <c r="A9897" s="66"/>
    </row>
    <row r="9898" spans="1:1" x14ac:dyDescent="0.25">
      <c r="A9898" s="66"/>
    </row>
    <row r="9899" spans="1:1" x14ac:dyDescent="0.25">
      <c r="A9899" s="66"/>
    </row>
    <row r="9900" spans="1:1" x14ac:dyDescent="0.25">
      <c r="A9900" s="66"/>
    </row>
    <row r="9901" spans="1:1" x14ac:dyDescent="0.25">
      <c r="A9901" s="66"/>
    </row>
    <row r="9902" spans="1:1" x14ac:dyDescent="0.25">
      <c r="A9902" s="66"/>
    </row>
    <row r="9903" spans="1:1" x14ac:dyDescent="0.25">
      <c r="A9903" s="66"/>
    </row>
    <row r="9904" spans="1:1" x14ac:dyDescent="0.25">
      <c r="A9904" s="66"/>
    </row>
    <row r="9905" spans="1:1" x14ac:dyDescent="0.25">
      <c r="A9905" s="66"/>
    </row>
    <row r="9906" spans="1:1" x14ac:dyDescent="0.25">
      <c r="A9906" s="66"/>
    </row>
    <row r="9907" spans="1:1" x14ac:dyDescent="0.25">
      <c r="A9907" s="66"/>
    </row>
    <row r="9908" spans="1:1" x14ac:dyDescent="0.25">
      <c r="A9908" s="66"/>
    </row>
    <row r="9909" spans="1:1" x14ac:dyDescent="0.25">
      <c r="A9909" s="66"/>
    </row>
    <row r="9910" spans="1:1" x14ac:dyDescent="0.25">
      <c r="A9910" s="66"/>
    </row>
    <row r="9911" spans="1:1" x14ac:dyDescent="0.25">
      <c r="A9911" s="66"/>
    </row>
    <row r="9912" spans="1:1" x14ac:dyDescent="0.25">
      <c r="A9912" s="66"/>
    </row>
    <row r="9913" spans="1:1" x14ac:dyDescent="0.25">
      <c r="A9913" s="66"/>
    </row>
    <row r="9914" spans="1:1" x14ac:dyDescent="0.25">
      <c r="A9914" s="66"/>
    </row>
    <row r="9915" spans="1:1" x14ac:dyDescent="0.25">
      <c r="A9915" s="66"/>
    </row>
    <row r="9916" spans="1:1" x14ac:dyDescent="0.25">
      <c r="A9916" s="66"/>
    </row>
    <row r="9917" spans="1:1" x14ac:dyDescent="0.25">
      <c r="A9917" s="66"/>
    </row>
    <row r="9918" spans="1:1" x14ac:dyDescent="0.25">
      <c r="A9918" s="66"/>
    </row>
    <row r="9919" spans="1:1" x14ac:dyDescent="0.25">
      <c r="A9919" s="66"/>
    </row>
    <row r="9920" spans="1:1" x14ac:dyDescent="0.25">
      <c r="A9920" s="66"/>
    </row>
    <row r="9921" spans="1:1" x14ac:dyDescent="0.25">
      <c r="A9921" s="66"/>
    </row>
    <row r="9922" spans="1:1" x14ac:dyDescent="0.25">
      <c r="A9922" s="66"/>
    </row>
    <row r="9923" spans="1:1" x14ac:dyDescent="0.25">
      <c r="A9923" s="66"/>
    </row>
    <row r="9924" spans="1:1" x14ac:dyDescent="0.25">
      <c r="A9924" s="66"/>
    </row>
    <row r="9925" spans="1:1" x14ac:dyDescent="0.25">
      <c r="A9925" s="66"/>
    </row>
    <row r="9926" spans="1:1" x14ac:dyDescent="0.25">
      <c r="A9926" s="66"/>
    </row>
    <row r="9927" spans="1:1" x14ac:dyDescent="0.25">
      <c r="A9927" s="66"/>
    </row>
    <row r="9928" spans="1:1" x14ac:dyDescent="0.25">
      <c r="A9928" s="66"/>
    </row>
    <row r="9929" spans="1:1" x14ac:dyDescent="0.25">
      <c r="A9929" s="66"/>
    </row>
    <row r="9930" spans="1:1" x14ac:dyDescent="0.25">
      <c r="A9930" s="66"/>
    </row>
    <row r="9931" spans="1:1" x14ac:dyDescent="0.25">
      <c r="A9931" s="66"/>
    </row>
    <row r="9932" spans="1:1" x14ac:dyDescent="0.25">
      <c r="A9932" s="66"/>
    </row>
    <row r="9933" spans="1:1" x14ac:dyDescent="0.25">
      <c r="A9933" s="66"/>
    </row>
    <row r="9934" spans="1:1" x14ac:dyDescent="0.25">
      <c r="A9934" s="66"/>
    </row>
    <row r="9935" spans="1:1" x14ac:dyDescent="0.25">
      <c r="A9935" s="66"/>
    </row>
    <row r="9936" spans="1:1" x14ac:dyDescent="0.25">
      <c r="A9936" s="66"/>
    </row>
    <row r="9937" spans="1:1" x14ac:dyDescent="0.25">
      <c r="A9937" s="66"/>
    </row>
    <row r="9938" spans="1:1" x14ac:dyDescent="0.25">
      <c r="A9938" s="66"/>
    </row>
    <row r="9939" spans="1:1" x14ac:dyDescent="0.25">
      <c r="A9939" s="66"/>
    </row>
    <row r="9940" spans="1:1" x14ac:dyDescent="0.25">
      <c r="A9940" s="66"/>
    </row>
    <row r="9941" spans="1:1" x14ac:dyDescent="0.25">
      <c r="A9941" s="66"/>
    </row>
    <row r="9942" spans="1:1" x14ac:dyDescent="0.25">
      <c r="A9942" s="66"/>
    </row>
    <row r="9943" spans="1:1" x14ac:dyDescent="0.25">
      <c r="A9943" s="66"/>
    </row>
    <row r="9944" spans="1:1" x14ac:dyDescent="0.25">
      <c r="A9944" s="66"/>
    </row>
    <row r="9945" spans="1:1" x14ac:dyDescent="0.25">
      <c r="A9945" s="66"/>
    </row>
    <row r="9946" spans="1:1" x14ac:dyDescent="0.25">
      <c r="A9946" s="66"/>
    </row>
    <row r="9947" spans="1:1" x14ac:dyDescent="0.25">
      <c r="A9947" s="66"/>
    </row>
    <row r="9948" spans="1:1" x14ac:dyDescent="0.25">
      <c r="A9948" s="66"/>
    </row>
    <row r="9949" spans="1:1" x14ac:dyDescent="0.25">
      <c r="A9949" s="66"/>
    </row>
    <row r="9950" spans="1:1" x14ac:dyDescent="0.25">
      <c r="A9950" s="66"/>
    </row>
    <row r="9951" spans="1:1" x14ac:dyDescent="0.25">
      <c r="A9951" s="66"/>
    </row>
    <row r="9952" spans="1:1" x14ac:dyDescent="0.25">
      <c r="A9952" s="66"/>
    </row>
    <row r="9953" spans="1:1" x14ac:dyDescent="0.25">
      <c r="A9953" s="66"/>
    </row>
    <row r="9954" spans="1:1" x14ac:dyDescent="0.25">
      <c r="A9954" s="66"/>
    </row>
    <row r="9955" spans="1:1" x14ac:dyDescent="0.25">
      <c r="A9955" s="66"/>
    </row>
    <row r="9956" spans="1:1" x14ac:dyDescent="0.25">
      <c r="A9956" s="66"/>
    </row>
    <row r="9957" spans="1:1" x14ac:dyDescent="0.25">
      <c r="A9957" s="66"/>
    </row>
    <row r="9958" spans="1:1" x14ac:dyDescent="0.25">
      <c r="A9958" s="66"/>
    </row>
    <row r="9959" spans="1:1" x14ac:dyDescent="0.25">
      <c r="A9959" s="66"/>
    </row>
    <row r="9960" spans="1:1" x14ac:dyDescent="0.25">
      <c r="A9960" s="66"/>
    </row>
    <row r="9961" spans="1:1" x14ac:dyDescent="0.25">
      <c r="A9961" s="66"/>
    </row>
    <row r="9962" spans="1:1" x14ac:dyDescent="0.25">
      <c r="A9962" s="66"/>
    </row>
    <row r="9963" spans="1:1" x14ac:dyDescent="0.25">
      <c r="A9963" s="66"/>
    </row>
    <row r="9964" spans="1:1" x14ac:dyDescent="0.25">
      <c r="A9964" s="66"/>
    </row>
    <row r="9965" spans="1:1" x14ac:dyDescent="0.25">
      <c r="A9965" s="66"/>
    </row>
    <row r="9966" spans="1:1" x14ac:dyDescent="0.25">
      <c r="A9966" s="66"/>
    </row>
    <row r="9967" spans="1:1" x14ac:dyDescent="0.25">
      <c r="A9967" s="66"/>
    </row>
    <row r="9968" spans="1:1" x14ac:dyDescent="0.25">
      <c r="A9968" s="66"/>
    </row>
    <row r="9969" spans="1:1" x14ac:dyDescent="0.25">
      <c r="A9969" s="66"/>
    </row>
    <row r="9970" spans="1:1" x14ac:dyDescent="0.25">
      <c r="A9970" s="66"/>
    </row>
    <row r="9971" spans="1:1" x14ac:dyDescent="0.25">
      <c r="A9971" s="66"/>
    </row>
    <row r="9972" spans="1:1" x14ac:dyDescent="0.25">
      <c r="A9972" s="66"/>
    </row>
    <row r="9973" spans="1:1" x14ac:dyDescent="0.25">
      <c r="A9973" s="66"/>
    </row>
    <row r="9974" spans="1:1" x14ac:dyDescent="0.25">
      <c r="A9974" s="66"/>
    </row>
    <row r="9975" spans="1:1" x14ac:dyDescent="0.25">
      <c r="A9975" s="66"/>
    </row>
    <row r="9976" spans="1:1" x14ac:dyDescent="0.25">
      <c r="A9976" s="66"/>
    </row>
    <row r="9977" spans="1:1" x14ac:dyDescent="0.25">
      <c r="A9977" s="66"/>
    </row>
    <row r="9978" spans="1:1" x14ac:dyDescent="0.25">
      <c r="A9978" s="66"/>
    </row>
    <row r="9979" spans="1:1" x14ac:dyDescent="0.25">
      <c r="A9979" s="66"/>
    </row>
    <row r="9980" spans="1:1" x14ac:dyDescent="0.25">
      <c r="A9980" s="66"/>
    </row>
    <row r="9981" spans="1:1" x14ac:dyDescent="0.25">
      <c r="A9981" s="66"/>
    </row>
    <row r="9982" spans="1:1" x14ac:dyDescent="0.25">
      <c r="A9982" s="66"/>
    </row>
    <row r="9983" spans="1:1" x14ac:dyDescent="0.25">
      <c r="A9983" s="66"/>
    </row>
    <row r="9984" spans="1:1" x14ac:dyDescent="0.25">
      <c r="A9984" s="66"/>
    </row>
    <row r="9985" spans="1:1" x14ac:dyDescent="0.25">
      <c r="A9985" s="66"/>
    </row>
    <row r="9986" spans="1:1" x14ac:dyDescent="0.25">
      <c r="A9986" s="66"/>
    </row>
    <row r="9987" spans="1:1" x14ac:dyDescent="0.25">
      <c r="A9987" s="66"/>
    </row>
    <row r="9988" spans="1:1" x14ac:dyDescent="0.25">
      <c r="A9988" s="66"/>
    </row>
    <row r="9989" spans="1:1" x14ac:dyDescent="0.25">
      <c r="A9989" s="66"/>
    </row>
    <row r="9990" spans="1:1" x14ac:dyDescent="0.25">
      <c r="A9990" s="66"/>
    </row>
    <row r="9991" spans="1:1" x14ac:dyDescent="0.25">
      <c r="A9991" s="66"/>
    </row>
    <row r="9992" spans="1:1" x14ac:dyDescent="0.25">
      <c r="A9992" s="66"/>
    </row>
    <row r="9993" spans="1:1" x14ac:dyDescent="0.25">
      <c r="A9993" s="66"/>
    </row>
    <row r="9994" spans="1:1" x14ac:dyDescent="0.25">
      <c r="A9994" s="66"/>
    </row>
    <row r="9995" spans="1:1" x14ac:dyDescent="0.25">
      <c r="A9995" s="66"/>
    </row>
    <row r="9996" spans="1:1" x14ac:dyDescent="0.25">
      <c r="A9996" s="66"/>
    </row>
    <row r="9997" spans="1:1" x14ac:dyDescent="0.25">
      <c r="A9997" s="66"/>
    </row>
    <row r="9998" spans="1:1" x14ac:dyDescent="0.25">
      <c r="A9998" s="66"/>
    </row>
    <row r="9999" spans="1:1" x14ac:dyDescent="0.25">
      <c r="A9999" s="66"/>
    </row>
    <row r="10000" spans="1:1" x14ac:dyDescent="0.25">
      <c r="A10000" s="66"/>
    </row>
  </sheetData>
  <autoFilter ref="A19:J29"/>
  <dataValidations count="2">
    <dataValidation type="list" allowBlank="1" showInputMessage="1" showErrorMessage="1" sqref="F20:F10000">
      <formula1>ProfileType</formula1>
    </dataValidation>
    <dataValidation type="list" allowBlank="1" showInputMessage="1" showErrorMessage="1" sqref="G20:G10000">
      <formula1>INDIRECT($F20)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-0.499984740745262"/>
  </sheetPr>
  <dimension ref="A1:L10000"/>
  <sheetViews>
    <sheetView workbookViewId="0">
      <pane ySplit="19" topLeftCell="A20" activePane="bottomLeft" state="frozen"/>
      <selection pane="bottomLeft" activeCell="E33" sqref="E33"/>
    </sheetView>
  </sheetViews>
  <sheetFormatPr defaultColWidth="0" defaultRowHeight="15" zeroHeight="1" x14ac:dyDescent="0.25"/>
  <cols>
    <col min="1" max="1" width="11.5703125" customWidth="1"/>
    <col min="2" max="2" width="9.140625" customWidth="1"/>
    <col min="3" max="3" width="14.28515625" customWidth="1"/>
    <col min="4" max="4" width="25.140625" bestFit="1" customWidth="1"/>
    <col min="5" max="5" width="20.5703125" customWidth="1"/>
    <col min="6" max="6" width="8.28515625" customWidth="1"/>
    <col min="7" max="7" width="8.5703125" bestFit="1" customWidth="1"/>
    <col min="8" max="8" width="24.85546875" bestFit="1" customWidth="1"/>
    <col min="9" max="11" width="9.140625" customWidth="1"/>
    <col min="12" max="12" width="21.5703125" customWidth="1"/>
    <col min="13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1:12" hidden="1" x14ac:dyDescent="0.25"/>
    <row r="18" spans="1:12" hidden="1" x14ac:dyDescent="0.25"/>
    <row r="19" spans="1:12" ht="38.25" x14ac:dyDescent="0.25">
      <c r="A19" s="21" t="s">
        <v>55</v>
      </c>
      <c r="B19" s="19" t="s">
        <v>56</v>
      </c>
      <c r="C19" s="19" t="s">
        <v>57</v>
      </c>
      <c r="D19" s="19" t="s">
        <v>87</v>
      </c>
      <c r="E19" s="19" t="s">
        <v>88</v>
      </c>
      <c r="F19" s="19" t="s">
        <v>89</v>
      </c>
      <c r="G19" s="19" t="s">
        <v>0</v>
      </c>
      <c r="H19" s="20" t="s">
        <v>92</v>
      </c>
      <c r="I19" s="55" t="s">
        <v>81</v>
      </c>
      <c r="J19" s="55" t="s">
        <v>82</v>
      </c>
      <c r="K19" s="55" t="s">
        <v>83</v>
      </c>
      <c r="L19" s="54" t="s">
        <v>84</v>
      </c>
    </row>
    <row r="20" spans="1:12" x14ac:dyDescent="0.25">
      <c r="A20" s="66"/>
    </row>
    <row r="21" spans="1:12" x14ac:dyDescent="0.25">
      <c r="A21" s="66"/>
    </row>
    <row r="22" spans="1:12" x14ac:dyDescent="0.25">
      <c r="A22" s="66"/>
    </row>
    <row r="23" spans="1:12" x14ac:dyDescent="0.25">
      <c r="A23" s="66"/>
    </row>
    <row r="24" spans="1:12" x14ac:dyDescent="0.25">
      <c r="A24" s="66"/>
    </row>
    <row r="25" spans="1:12" x14ac:dyDescent="0.25">
      <c r="A25" s="66"/>
    </row>
    <row r="26" spans="1:12" x14ac:dyDescent="0.25">
      <c r="A26" s="66"/>
    </row>
    <row r="27" spans="1:12" x14ac:dyDescent="0.25">
      <c r="A27" s="66"/>
    </row>
    <row r="28" spans="1:12" x14ac:dyDescent="0.25">
      <c r="A28" s="66"/>
    </row>
    <row r="29" spans="1:12" x14ac:dyDescent="0.25">
      <c r="A29" s="66"/>
    </row>
    <row r="30" spans="1:12" x14ac:dyDescent="0.25">
      <c r="A30" s="66"/>
    </row>
    <row r="31" spans="1:12" x14ac:dyDescent="0.25">
      <c r="A31" s="66"/>
    </row>
    <row r="32" spans="1:12" x14ac:dyDescent="0.25">
      <c r="A32" s="66"/>
    </row>
    <row r="33" spans="1:1" x14ac:dyDescent="0.25">
      <c r="A33" s="66"/>
    </row>
    <row r="34" spans="1:1" x14ac:dyDescent="0.25">
      <c r="A34" s="66"/>
    </row>
    <row r="35" spans="1:1" x14ac:dyDescent="0.25">
      <c r="A35" s="66"/>
    </row>
    <row r="36" spans="1:1" x14ac:dyDescent="0.25">
      <c r="A36" s="66"/>
    </row>
    <row r="37" spans="1:1" x14ac:dyDescent="0.25">
      <c r="A37" s="66"/>
    </row>
    <row r="38" spans="1:1" x14ac:dyDescent="0.25">
      <c r="A38" s="66"/>
    </row>
    <row r="39" spans="1:1" x14ac:dyDescent="0.25">
      <c r="A39" s="66"/>
    </row>
    <row r="40" spans="1:1" x14ac:dyDescent="0.25">
      <c r="A40" s="66"/>
    </row>
    <row r="41" spans="1:1" x14ac:dyDescent="0.25">
      <c r="A41" s="66"/>
    </row>
    <row r="42" spans="1:1" x14ac:dyDescent="0.25">
      <c r="A42" s="66"/>
    </row>
    <row r="43" spans="1:1" x14ac:dyDescent="0.25">
      <c r="A43" s="66"/>
    </row>
    <row r="44" spans="1:1" x14ac:dyDescent="0.25">
      <c r="A44" s="66"/>
    </row>
    <row r="45" spans="1:1" x14ac:dyDescent="0.25">
      <c r="A45" s="66"/>
    </row>
    <row r="46" spans="1:1" x14ac:dyDescent="0.25">
      <c r="A46" s="66"/>
    </row>
    <row r="47" spans="1:1" x14ac:dyDescent="0.25">
      <c r="A47" s="66"/>
    </row>
    <row r="48" spans="1:1" x14ac:dyDescent="0.25">
      <c r="A48" s="66"/>
    </row>
    <row r="49" spans="1:1" x14ac:dyDescent="0.25">
      <c r="A49" s="66"/>
    </row>
    <row r="50" spans="1:1" x14ac:dyDescent="0.25">
      <c r="A50" s="66"/>
    </row>
    <row r="51" spans="1:1" x14ac:dyDescent="0.25">
      <c r="A51" s="66"/>
    </row>
    <row r="52" spans="1:1" x14ac:dyDescent="0.25">
      <c r="A52" s="66"/>
    </row>
    <row r="53" spans="1:1" x14ac:dyDescent="0.25">
      <c r="A53" s="66"/>
    </row>
    <row r="54" spans="1:1" x14ac:dyDescent="0.25">
      <c r="A54" s="66"/>
    </row>
    <row r="55" spans="1:1" x14ac:dyDescent="0.25">
      <c r="A55" s="66"/>
    </row>
    <row r="56" spans="1:1" x14ac:dyDescent="0.25">
      <c r="A56" s="66"/>
    </row>
    <row r="57" spans="1:1" x14ac:dyDescent="0.25">
      <c r="A57" s="66"/>
    </row>
    <row r="58" spans="1:1" x14ac:dyDescent="0.25">
      <c r="A58" s="66"/>
    </row>
    <row r="59" spans="1:1" x14ac:dyDescent="0.25">
      <c r="A59" s="66"/>
    </row>
    <row r="60" spans="1:1" x14ac:dyDescent="0.25">
      <c r="A60" s="66"/>
    </row>
    <row r="61" spans="1:1" x14ac:dyDescent="0.25">
      <c r="A61" s="66"/>
    </row>
    <row r="62" spans="1:1" x14ac:dyDescent="0.25">
      <c r="A62" s="66"/>
    </row>
    <row r="63" spans="1:1" x14ac:dyDescent="0.25">
      <c r="A63" s="66"/>
    </row>
    <row r="64" spans="1:1" x14ac:dyDescent="0.25">
      <c r="A64" s="66"/>
    </row>
    <row r="65" spans="1:1" x14ac:dyDescent="0.25">
      <c r="A65" s="66"/>
    </row>
    <row r="66" spans="1:1" x14ac:dyDescent="0.25">
      <c r="A66" s="66"/>
    </row>
    <row r="67" spans="1:1" x14ac:dyDescent="0.25">
      <c r="A67" s="66"/>
    </row>
    <row r="68" spans="1:1" x14ac:dyDescent="0.25">
      <c r="A68" s="66"/>
    </row>
    <row r="69" spans="1:1" x14ac:dyDescent="0.25">
      <c r="A69" s="66"/>
    </row>
    <row r="70" spans="1:1" x14ac:dyDescent="0.25">
      <c r="A70" s="66"/>
    </row>
    <row r="71" spans="1:1" x14ac:dyDescent="0.25">
      <c r="A71" s="66"/>
    </row>
    <row r="72" spans="1:1" x14ac:dyDescent="0.25">
      <c r="A72" s="66"/>
    </row>
    <row r="73" spans="1:1" x14ac:dyDescent="0.25">
      <c r="A73" s="66"/>
    </row>
    <row r="74" spans="1:1" x14ac:dyDescent="0.25">
      <c r="A74" s="66"/>
    </row>
    <row r="75" spans="1:1" x14ac:dyDescent="0.25">
      <c r="A75" s="66"/>
    </row>
    <row r="76" spans="1:1" x14ac:dyDescent="0.25">
      <c r="A76" s="66"/>
    </row>
    <row r="77" spans="1:1" x14ac:dyDescent="0.25">
      <c r="A77" s="66"/>
    </row>
    <row r="78" spans="1:1" x14ac:dyDescent="0.25">
      <c r="A78" s="66"/>
    </row>
    <row r="79" spans="1:1" x14ac:dyDescent="0.25">
      <c r="A79" s="66"/>
    </row>
    <row r="80" spans="1:1" x14ac:dyDescent="0.25">
      <c r="A80" s="66"/>
    </row>
    <row r="81" spans="1:1" x14ac:dyDescent="0.25">
      <c r="A81" s="66"/>
    </row>
    <row r="82" spans="1:1" x14ac:dyDescent="0.25">
      <c r="A82" s="66"/>
    </row>
    <row r="83" spans="1:1" x14ac:dyDescent="0.25">
      <c r="A83" s="66"/>
    </row>
    <row r="84" spans="1:1" x14ac:dyDescent="0.25">
      <c r="A84" s="66"/>
    </row>
    <row r="85" spans="1:1" x14ac:dyDescent="0.25">
      <c r="A85" s="66"/>
    </row>
    <row r="86" spans="1:1" x14ac:dyDescent="0.25">
      <c r="A86" s="66"/>
    </row>
    <row r="87" spans="1:1" x14ac:dyDescent="0.25">
      <c r="A87" s="66"/>
    </row>
    <row r="88" spans="1:1" x14ac:dyDescent="0.25">
      <c r="A88" s="66"/>
    </row>
    <row r="89" spans="1:1" x14ac:dyDescent="0.25">
      <c r="A89" s="66"/>
    </row>
    <row r="90" spans="1:1" x14ac:dyDescent="0.25">
      <c r="A90" s="66"/>
    </row>
    <row r="91" spans="1:1" x14ac:dyDescent="0.25">
      <c r="A91" s="66"/>
    </row>
    <row r="92" spans="1:1" x14ac:dyDescent="0.25">
      <c r="A92" s="66"/>
    </row>
    <row r="93" spans="1:1" x14ac:dyDescent="0.25">
      <c r="A93" s="66"/>
    </row>
    <row r="94" spans="1:1" x14ac:dyDescent="0.25">
      <c r="A94" s="66"/>
    </row>
    <row r="95" spans="1:1" x14ac:dyDescent="0.25">
      <c r="A95" s="66"/>
    </row>
    <row r="96" spans="1:1" x14ac:dyDescent="0.25">
      <c r="A96" s="66"/>
    </row>
    <row r="97" spans="1:1" x14ac:dyDescent="0.25">
      <c r="A97" s="66"/>
    </row>
    <row r="98" spans="1:1" x14ac:dyDescent="0.25">
      <c r="A98" s="66"/>
    </row>
    <row r="99" spans="1:1" x14ac:dyDescent="0.25">
      <c r="A99" s="66"/>
    </row>
    <row r="100" spans="1:1" x14ac:dyDescent="0.25">
      <c r="A100" s="66"/>
    </row>
    <row r="101" spans="1:1" x14ac:dyDescent="0.25">
      <c r="A101" s="66"/>
    </row>
    <row r="102" spans="1:1" x14ac:dyDescent="0.25">
      <c r="A102" s="66"/>
    </row>
    <row r="103" spans="1:1" x14ac:dyDescent="0.25">
      <c r="A103" s="66"/>
    </row>
    <row r="104" spans="1:1" x14ac:dyDescent="0.25">
      <c r="A104" s="66"/>
    </row>
    <row r="105" spans="1:1" x14ac:dyDescent="0.25">
      <c r="A105" s="66"/>
    </row>
    <row r="106" spans="1:1" x14ac:dyDescent="0.25">
      <c r="A106" s="66"/>
    </row>
    <row r="107" spans="1:1" x14ac:dyDescent="0.25">
      <c r="A107" s="66"/>
    </row>
    <row r="108" spans="1:1" x14ac:dyDescent="0.25">
      <c r="A108" s="66"/>
    </row>
    <row r="109" spans="1:1" x14ac:dyDescent="0.25">
      <c r="A109" s="66"/>
    </row>
    <row r="110" spans="1:1" x14ac:dyDescent="0.25">
      <c r="A110" s="66"/>
    </row>
    <row r="111" spans="1:1" x14ac:dyDescent="0.25">
      <c r="A111" s="66"/>
    </row>
    <row r="112" spans="1:1" x14ac:dyDescent="0.25">
      <c r="A112" s="66"/>
    </row>
    <row r="113" spans="1:1" x14ac:dyDescent="0.25">
      <c r="A113" s="66"/>
    </row>
    <row r="114" spans="1:1" x14ac:dyDescent="0.25">
      <c r="A114" s="66"/>
    </row>
    <row r="115" spans="1:1" x14ac:dyDescent="0.25">
      <c r="A115" s="66"/>
    </row>
    <row r="116" spans="1:1" x14ac:dyDescent="0.25">
      <c r="A116" s="66"/>
    </row>
    <row r="117" spans="1:1" x14ac:dyDescent="0.25">
      <c r="A117" s="66"/>
    </row>
    <row r="118" spans="1:1" x14ac:dyDescent="0.25">
      <c r="A118" s="66"/>
    </row>
    <row r="119" spans="1:1" x14ac:dyDescent="0.25">
      <c r="A119" s="66"/>
    </row>
    <row r="120" spans="1:1" x14ac:dyDescent="0.25">
      <c r="A120" s="66"/>
    </row>
    <row r="121" spans="1:1" x14ac:dyDescent="0.25">
      <c r="A121" s="66"/>
    </row>
    <row r="122" spans="1:1" x14ac:dyDescent="0.25">
      <c r="A122" s="66"/>
    </row>
    <row r="123" spans="1:1" x14ac:dyDescent="0.25">
      <c r="A123" s="66"/>
    </row>
    <row r="124" spans="1:1" x14ac:dyDescent="0.25">
      <c r="A124" s="66"/>
    </row>
    <row r="125" spans="1:1" x14ac:dyDescent="0.25">
      <c r="A125" s="66"/>
    </row>
    <row r="126" spans="1:1" x14ac:dyDescent="0.25">
      <c r="A126" s="66"/>
    </row>
    <row r="127" spans="1:1" x14ac:dyDescent="0.25">
      <c r="A127" s="66"/>
    </row>
    <row r="128" spans="1:1" x14ac:dyDescent="0.25">
      <c r="A128" s="66"/>
    </row>
    <row r="129" spans="1:1" x14ac:dyDescent="0.25">
      <c r="A129" s="66"/>
    </row>
    <row r="130" spans="1:1" x14ac:dyDescent="0.25">
      <c r="A130" s="66"/>
    </row>
    <row r="131" spans="1:1" x14ac:dyDescent="0.25">
      <c r="A131" s="66"/>
    </row>
    <row r="132" spans="1:1" x14ac:dyDescent="0.25">
      <c r="A132" s="66"/>
    </row>
    <row r="133" spans="1:1" x14ac:dyDescent="0.25">
      <c r="A133" s="66"/>
    </row>
    <row r="134" spans="1:1" x14ac:dyDescent="0.25">
      <c r="A134" s="66"/>
    </row>
    <row r="135" spans="1:1" x14ac:dyDescent="0.25">
      <c r="A135" s="66"/>
    </row>
    <row r="136" spans="1:1" x14ac:dyDescent="0.25">
      <c r="A136" s="66"/>
    </row>
    <row r="137" spans="1:1" x14ac:dyDescent="0.25">
      <c r="A137" s="66"/>
    </row>
    <row r="138" spans="1:1" x14ac:dyDescent="0.25">
      <c r="A138" s="66"/>
    </row>
    <row r="139" spans="1:1" x14ac:dyDescent="0.25">
      <c r="A139" s="66"/>
    </row>
    <row r="140" spans="1:1" x14ac:dyDescent="0.25">
      <c r="A140" s="66"/>
    </row>
    <row r="141" spans="1:1" x14ac:dyDescent="0.25">
      <c r="A141" s="66"/>
    </row>
    <row r="142" spans="1:1" x14ac:dyDescent="0.25">
      <c r="A142" s="66"/>
    </row>
    <row r="143" spans="1:1" x14ac:dyDescent="0.25">
      <c r="A143" s="66"/>
    </row>
    <row r="144" spans="1:1" x14ac:dyDescent="0.25">
      <c r="A144" s="66"/>
    </row>
    <row r="145" spans="1:1" x14ac:dyDescent="0.25">
      <c r="A145" s="66"/>
    </row>
    <row r="146" spans="1:1" x14ac:dyDescent="0.25">
      <c r="A146" s="66"/>
    </row>
    <row r="147" spans="1:1" x14ac:dyDescent="0.25">
      <c r="A147" s="66"/>
    </row>
    <row r="148" spans="1:1" x14ac:dyDescent="0.25">
      <c r="A148" s="66"/>
    </row>
    <row r="149" spans="1:1" x14ac:dyDescent="0.25">
      <c r="A149" s="66"/>
    </row>
    <row r="150" spans="1:1" x14ac:dyDescent="0.25">
      <c r="A150" s="66"/>
    </row>
    <row r="151" spans="1:1" x14ac:dyDescent="0.25">
      <c r="A151" s="66"/>
    </row>
    <row r="152" spans="1:1" x14ac:dyDescent="0.25">
      <c r="A152" s="66"/>
    </row>
    <row r="153" spans="1:1" x14ac:dyDescent="0.25">
      <c r="A153" s="66"/>
    </row>
    <row r="154" spans="1:1" x14ac:dyDescent="0.25">
      <c r="A154" s="66"/>
    </row>
    <row r="155" spans="1:1" x14ac:dyDescent="0.25">
      <c r="A155" s="66"/>
    </row>
    <row r="156" spans="1:1" x14ac:dyDescent="0.25">
      <c r="A156" s="66"/>
    </row>
    <row r="157" spans="1:1" x14ac:dyDescent="0.25">
      <c r="A157" s="66"/>
    </row>
    <row r="158" spans="1:1" x14ac:dyDescent="0.25">
      <c r="A158" s="66"/>
    </row>
    <row r="159" spans="1:1" x14ac:dyDescent="0.25">
      <c r="A159" s="66"/>
    </row>
    <row r="160" spans="1:1" x14ac:dyDescent="0.25">
      <c r="A160" s="66"/>
    </row>
    <row r="161" spans="1:1" x14ac:dyDescent="0.25">
      <c r="A161" s="66"/>
    </row>
    <row r="162" spans="1:1" x14ac:dyDescent="0.25">
      <c r="A162" s="66"/>
    </row>
    <row r="163" spans="1:1" x14ac:dyDescent="0.25">
      <c r="A163" s="66"/>
    </row>
    <row r="164" spans="1:1" x14ac:dyDescent="0.25">
      <c r="A164" s="66"/>
    </row>
    <row r="165" spans="1:1" x14ac:dyDescent="0.25">
      <c r="A165" s="66"/>
    </row>
    <row r="166" spans="1:1" x14ac:dyDescent="0.25">
      <c r="A166" s="66"/>
    </row>
    <row r="167" spans="1:1" x14ac:dyDescent="0.25">
      <c r="A167" s="66"/>
    </row>
    <row r="168" spans="1:1" x14ac:dyDescent="0.25">
      <c r="A168" s="66"/>
    </row>
    <row r="169" spans="1:1" x14ac:dyDescent="0.25">
      <c r="A169" s="66"/>
    </row>
    <row r="170" spans="1:1" x14ac:dyDescent="0.25">
      <c r="A170" s="66"/>
    </row>
    <row r="171" spans="1:1" x14ac:dyDescent="0.25">
      <c r="A171" s="66"/>
    </row>
    <row r="172" spans="1:1" x14ac:dyDescent="0.25">
      <c r="A172" s="66"/>
    </row>
    <row r="173" spans="1:1" x14ac:dyDescent="0.25">
      <c r="A173" s="66"/>
    </row>
    <row r="174" spans="1:1" x14ac:dyDescent="0.25">
      <c r="A174" s="66"/>
    </row>
    <row r="175" spans="1:1" x14ac:dyDescent="0.25">
      <c r="A175" s="66"/>
    </row>
    <row r="176" spans="1:1" x14ac:dyDescent="0.25">
      <c r="A176" s="66"/>
    </row>
    <row r="177" spans="1:1" x14ac:dyDescent="0.25">
      <c r="A177" s="66"/>
    </row>
    <row r="178" spans="1:1" x14ac:dyDescent="0.25">
      <c r="A178" s="66"/>
    </row>
    <row r="179" spans="1:1" x14ac:dyDescent="0.25">
      <c r="A179" s="66"/>
    </row>
    <row r="180" spans="1:1" x14ac:dyDescent="0.25">
      <c r="A180" s="66"/>
    </row>
    <row r="181" spans="1:1" x14ac:dyDescent="0.25">
      <c r="A181" s="66"/>
    </row>
    <row r="182" spans="1:1" x14ac:dyDescent="0.25">
      <c r="A182" s="66"/>
    </row>
    <row r="183" spans="1:1" x14ac:dyDescent="0.25">
      <c r="A183" s="66"/>
    </row>
    <row r="184" spans="1:1" x14ac:dyDescent="0.25">
      <c r="A184" s="66"/>
    </row>
    <row r="185" spans="1:1" x14ac:dyDescent="0.25">
      <c r="A185" s="66"/>
    </row>
    <row r="186" spans="1:1" x14ac:dyDescent="0.25">
      <c r="A186" s="66"/>
    </row>
    <row r="187" spans="1:1" x14ac:dyDescent="0.25">
      <c r="A187" s="66"/>
    </row>
    <row r="188" spans="1:1" x14ac:dyDescent="0.25">
      <c r="A188" s="66"/>
    </row>
    <row r="189" spans="1:1" x14ac:dyDescent="0.25">
      <c r="A189" s="66"/>
    </row>
    <row r="190" spans="1:1" x14ac:dyDescent="0.25">
      <c r="A190" s="66"/>
    </row>
    <row r="191" spans="1:1" x14ac:dyDescent="0.25">
      <c r="A191" s="66"/>
    </row>
    <row r="192" spans="1:1" x14ac:dyDescent="0.25">
      <c r="A192" s="66"/>
    </row>
    <row r="193" spans="1:1" x14ac:dyDescent="0.25">
      <c r="A193" s="66"/>
    </row>
    <row r="194" spans="1:1" x14ac:dyDescent="0.25">
      <c r="A194" s="66"/>
    </row>
    <row r="195" spans="1:1" x14ac:dyDescent="0.25">
      <c r="A195" s="66"/>
    </row>
    <row r="196" spans="1:1" x14ac:dyDescent="0.25">
      <c r="A196" s="66"/>
    </row>
    <row r="197" spans="1:1" x14ac:dyDescent="0.25">
      <c r="A197" s="66"/>
    </row>
    <row r="198" spans="1:1" x14ac:dyDescent="0.25">
      <c r="A198" s="66"/>
    </row>
    <row r="199" spans="1:1" x14ac:dyDescent="0.25">
      <c r="A199" s="66"/>
    </row>
    <row r="200" spans="1:1" x14ac:dyDescent="0.25">
      <c r="A200" s="66"/>
    </row>
    <row r="201" spans="1:1" x14ac:dyDescent="0.25">
      <c r="A201" s="66"/>
    </row>
    <row r="202" spans="1:1" x14ac:dyDescent="0.25">
      <c r="A202" s="66"/>
    </row>
    <row r="203" spans="1:1" x14ac:dyDescent="0.25">
      <c r="A203" s="66"/>
    </row>
    <row r="204" spans="1:1" x14ac:dyDescent="0.25">
      <c r="A204" s="66"/>
    </row>
    <row r="205" spans="1:1" x14ac:dyDescent="0.25">
      <c r="A205" s="66"/>
    </row>
    <row r="206" spans="1:1" x14ac:dyDescent="0.25">
      <c r="A206" s="66"/>
    </row>
    <row r="207" spans="1:1" x14ac:dyDescent="0.25">
      <c r="A207" s="66"/>
    </row>
    <row r="208" spans="1:1" x14ac:dyDescent="0.25">
      <c r="A208" s="66"/>
    </row>
    <row r="209" spans="1:1" x14ac:dyDescent="0.25">
      <c r="A209" s="66"/>
    </row>
    <row r="210" spans="1:1" x14ac:dyDescent="0.25">
      <c r="A210" s="66"/>
    </row>
    <row r="211" spans="1:1" x14ac:dyDescent="0.25">
      <c r="A211" s="66"/>
    </row>
    <row r="212" spans="1:1" x14ac:dyDescent="0.25">
      <c r="A212" s="66"/>
    </row>
    <row r="213" spans="1:1" x14ac:dyDescent="0.25">
      <c r="A213" s="66"/>
    </row>
    <row r="214" spans="1:1" x14ac:dyDescent="0.25">
      <c r="A214" s="66"/>
    </row>
    <row r="215" spans="1:1" x14ac:dyDescent="0.25">
      <c r="A215" s="66"/>
    </row>
    <row r="216" spans="1:1" x14ac:dyDescent="0.25">
      <c r="A216" s="66"/>
    </row>
    <row r="217" spans="1:1" x14ac:dyDescent="0.25">
      <c r="A217" s="66"/>
    </row>
    <row r="218" spans="1:1" x14ac:dyDescent="0.25">
      <c r="A218" s="66"/>
    </row>
    <row r="219" spans="1:1" x14ac:dyDescent="0.25">
      <c r="A219" s="66"/>
    </row>
    <row r="220" spans="1:1" x14ac:dyDescent="0.25">
      <c r="A220" s="66"/>
    </row>
    <row r="221" spans="1:1" x14ac:dyDescent="0.25">
      <c r="A221" s="66"/>
    </row>
    <row r="222" spans="1:1" x14ac:dyDescent="0.25">
      <c r="A222" s="66"/>
    </row>
    <row r="223" spans="1:1" x14ac:dyDescent="0.25">
      <c r="A223" s="66"/>
    </row>
    <row r="224" spans="1:1" x14ac:dyDescent="0.25">
      <c r="A224" s="66"/>
    </row>
    <row r="225" spans="1:1" x14ac:dyDescent="0.25">
      <c r="A225" s="66"/>
    </row>
    <row r="226" spans="1:1" x14ac:dyDescent="0.25">
      <c r="A226" s="66"/>
    </row>
    <row r="227" spans="1:1" x14ac:dyDescent="0.25">
      <c r="A227" s="66"/>
    </row>
    <row r="228" spans="1:1" x14ac:dyDescent="0.25">
      <c r="A228" s="66"/>
    </row>
    <row r="229" spans="1:1" x14ac:dyDescent="0.25">
      <c r="A229" s="66"/>
    </row>
    <row r="230" spans="1:1" x14ac:dyDescent="0.25">
      <c r="A230" s="66"/>
    </row>
    <row r="231" spans="1:1" x14ac:dyDescent="0.25">
      <c r="A231" s="66"/>
    </row>
    <row r="232" spans="1:1" x14ac:dyDescent="0.25">
      <c r="A232" s="66"/>
    </row>
    <row r="233" spans="1:1" x14ac:dyDescent="0.25">
      <c r="A233" s="66"/>
    </row>
    <row r="234" spans="1:1" x14ac:dyDescent="0.25">
      <c r="A234" s="66"/>
    </row>
    <row r="235" spans="1:1" x14ac:dyDescent="0.25">
      <c r="A235" s="66"/>
    </row>
    <row r="236" spans="1:1" x14ac:dyDescent="0.25">
      <c r="A236" s="66"/>
    </row>
    <row r="237" spans="1:1" x14ac:dyDescent="0.25">
      <c r="A237" s="66"/>
    </row>
    <row r="238" spans="1:1" x14ac:dyDescent="0.25">
      <c r="A238" s="66"/>
    </row>
    <row r="239" spans="1:1" x14ac:dyDescent="0.25">
      <c r="A239" s="66"/>
    </row>
    <row r="240" spans="1:1" x14ac:dyDescent="0.25">
      <c r="A240" s="66"/>
    </row>
    <row r="241" spans="1:1" x14ac:dyDescent="0.25">
      <c r="A241" s="66"/>
    </row>
    <row r="242" spans="1:1" x14ac:dyDescent="0.25">
      <c r="A242" s="66"/>
    </row>
    <row r="243" spans="1:1" x14ac:dyDescent="0.25">
      <c r="A243" s="66"/>
    </row>
    <row r="244" spans="1:1" x14ac:dyDescent="0.25">
      <c r="A244" s="66"/>
    </row>
    <row r="245" spans="1:1" x14ac:dyDescent="0.25">
      <c r="A245" s="66"/>
    </row>
    <row r="246" spans="1:1" x14ac:dyDescent="0.25">
      <c r="A246" s="66"/>
    </row>
    <row r="247" spans="1:1" x14ac:dyDescent="0.25">
      <c r="A247" s="66"/>
    </row>
    <row r="248" spans="1:1" x14ac:dyDescent="0.25">
      <c r="A248" s="66"/>
    </row>
    <row r="249" spans="1:1" x14ac:dyDescent="0.25">
      <c r="A249" s="66"/>
    </row>
    <row r="250" spans="1:1" x14ac:dyDescent="0.25">
      <c r="A250" s="66"/>
    </row>
    <row r="251" spans="1:1" x14ac:dyDescent="0.25">
      <c r="A251" s="66"/>
    </row>
    <row r="252" spans="1:1" x14ac:dyDescent="0.25">
      <c r="A252" s="66"/>
    </row>
    <row r="253" spans="1:1" x14ac:dyDescent="0.25">
      <c r="A253" s="66"/>
    </row>
    <row r="254" spans="1:1" x14ac:dyDescent="0.25">
      <c r="A254" s="66"/>
    </row>
    <row r="255" spans="1:1" x14ac:dyDescent="0.25">
      <c r="A255" s="66"/>
    </row>
    <row r="256" spans="1:1" x14ac:dyDescent="0.25">
      <c r="A256" s="66"/>
    </row>
    <row r="257" spans="1:1" x14ac:dyDescent="0.25">
      <c r="A257" s="66"/>
    </row>
    <row r="258" spans="1:1" x14ac:dyDescent="0.25">
      <c r="A258" s="66"/>
    </row>
    <row r="259" spans="1:1" x14ac:dyDescent="0.25">
      <c r="A259" s="66"/>
    </row>
    <row r="260" spans="1:1" x14ac:dyDescent="0.25">
      <c r="A260" s="66"/>
    </row>
    <row r="261" spans="1:1" x14ac:dyDescent="0.25">
      <c r="A261" s="66"/>
    </row>
    <row r="262" spans="1:1" x14ac:dyDescent="0.25">
      <c r="A262" s="66"/>
    </row>
    <row r="263" spans="1:1" x14ac:dyDescent="0.25">
      <c r="A263" s="66"/>
    </row>
    <row r="264" spans="1:1" x14ac:dyDescent="0.25">
      <c r="A264" s="66"/>
    </row>
    <row r="265" spans="1:1" x14ac:dyDescent="0.25">
      <c r="A265" s="66"/>
    </row>
    <row r="266" spans="1:1" x14ac:dyDescent="0.25">
      <c r="A266" s="66"/>
    </row>
    <row r="267" spans="1:1" x14ac:dyDescent="0.25">
      <c r="A267" s="66"/>
    </row>
    <row r="268" spans="1:1" x14ac:dyDescent="0.25">
      <c r="A268" s="66"/>
    </row>
    <row r="269" spans="1:1" x14ac:dyDescent="0.25">
      <c r="A269" s="66"/>
    </row>
    <row r="270" spans="1:1" x14ac:dyDescent="0.25">
      <c r="A270" s="66"/>
    </row>
    <row r="271" spans="1:1" x14ac:dyDescent="0.25">
      <c r="A271" s="66"/>
    </row>
    <row r="272" spans="1:1" x14ac:dyDescent="0.25">
      <c r="A272" s="66"/>
    </row>
    <row r="273" spans="1:1" x14ac:dyDescent="0.25">
      <c r="A273" s="66"/>
    </row>
    <row r="274" spans="1:1" x14ac:dyDescent="0.25">
      <c r="A274" s="66"/>
    </row>
    <row r="275" spans="1:1" x14ac:dyDescent="0.25">
      <c r="A275" s="66"/>
    </row>
    <row r="276" spans="1:1" x14ac:dyDescent="0.25">
      <c r="A276" s="66"/>
    </row>
    <row r="277" spans="1:1" x14ac:dyDescent="0.25">
      <c r="A277" s="66"/>
    </row>
    <row r="278" spans="1:1" x14ac:dyDescent="0.25">
      <c r="A278" s="66"/>
    </row>
    <row r="279" spans="1:1" x14ac:dyDescent="0.25">
      <c r="A279" s="66"/>
    </row>
    <row r="280" spans="1:1" x14ac:dyDescent="0.25">
      <c r="A280" s="66"/>
    </row>
    <row r="281" spans="1:1" x14ac:dyDescent="0.25">
      <c r="A281" s="66"/>
    </row>
    <row r="282" spans="1:1" x14ac:dyDescent="0.25">
      <c r="A282" s="66"/>
    </row>
    <row r="283" spans="1:1" x14ac:dyDescent="0.25">
      <c r="A283" s="66"/>
    </row>
    <row r="284" spans="1:1" x14ac:dyDescent="0.25">
      <c r="A284" s="66"/>
    </row>
    <row r="285" spans="1:1" x14ac:dyDescent="0.25">
      <c r="A285" s="66"/>
    </row>
    <row r="286" spans="1:1" x14ac:dyDescent="0.25">
      <c r="A286" s="66"/>
    </row>
    <row r="287" spans="1:1" x14ac:dyDescent="0.25">
      <c r="A287" s="66"/>
    </row>
    <row r="288" spans="1:1" x14ac:dyDescent="0.25">
      <c r="A288" s="66"/>
    </row>
    <row r="289" spans="1:1" x14ac:dyDescent="0.25">
      <c r="A289" s="66"/>
    </row>
    <row r="290" spans="1:1" x14ac:dyDescent="0.25">
      <c r="A290" s="66"/>
    </row>
    <row r="291" spans="1:1" x14ac:dyDescent="0.25">
      <c r="A291" s="66"/>
    </row>
    <row r="292" spans="1:1" x14ac:dyDescent="0.25">
      <c r="A292" s="66"/>
    </row>
    <row r="293" spans="1:1" x14ac:dyDescent="0.25">
      <c r="A293" s="66"/>
    </row>
    <row r="294" spans="1:1" x14ac:dyDescent="0.25">
      <c r="A294" s="66"/>
    </row>
    <row r="295" spans="1:1" x14ac:dyDescent="0.25">
      <c r="A295" s="66"/>
    </row>
    <row r="296" spans="1:1" x14ac:dyDescent="0.25">
      <c r="A296" s="66"/>
    </row>
    <row r="297" spans="1:1" x14ac:dyDescent="0.25">
      <c r="A297" s="66"/>
    </row>
    <row r="298" spans="1:1" x14ac:dyDescent="0.25">
      <c r="A298" s="66"/>
    </row>
    <row r="299" spans="1:1" x14ac:dyDescent="0.25">
      <c r="A299" s="66"/>
    </row>
    <row r="300" spans="1:1" x14ac:dyDescent="0.25">
      <c r="A300" s="66"/>
    </row>
    <row r="301" spans="1:1" x14ac:dyDescent="0.25">
      <c r="A301" s="66"/>
    </row>
    <row r="302" spans="1:1" x14ac:dyDescent="0.25">
      <c r="A302" s="66"/>
    </row>
    <row r="303" spans="1:1" x14ac:dyDescent="0.25">
      <c r="A303" s="66"/>
    </row>
    <row r="304" spans="1:1" x14ac:dyDescent="0.25">
      <c r="A304" s="66"/>
    </row>
    <row r="305" spans="1:1" x14ac:dyDescent="0.25">
      <c r="A305" s="66"/>
    </row>
    <row r="306" spans="1:1" x14ac:dyDescent="0.25">
      <c r="A306" s="66"/>
    </row>
    <row r="307" spans="1:1" x14ac:dyDescent="0.25">
      <c r="A307" s="66"/>
    </row>
    <row r="308" spans="1:1" x14ac:dyDescent="0.25">
      <c r="A308" s="66"/>
    </row>
    <row r="309" spans="1:1" x14ac:dyDescent="0.25">
      <c r="A309" s="66"/>
    </row>
    <row r="310" spans="1:1" x14ac:dyDescent="0.25">
      <c r="A310" s="66"/>
    </row>
    <row r="311" spans="1:1" x14ac:dyDescent="0.25">
      <c r="A311" s="66"/>
    </row>
    <row r="312" spans="1:1" x14ac:dyDescent="0.25">
      <c r="A312" s="66"/>
    </row>
    <row r="313" spans="1:1" x14ac:dyDescent="0.25">
      <c r="A313" s="66"/>
    </row>
    <row r="314" spans="1:1" x14ac:dyDescent="0.25">
      <c r="A314" s="66"/>
    </row>
    <row r="315" spans="1:1" x14ac:dyDescent="0.25">
      <c r="A315" s="66"/>
    </row>
    <row r="316" spans="1:1" x14ac:dyDescent="0.25">
      <c r="A316" s="66"/>
    </row>
    <row r="317" spans="1:1" x14ac:dyDescent="0.25">
      <c r="A317" s="66"/>
    </row>
    <row r="318" spans="1:1" x14ac:dyDescent="0.25">
      <c r="A318" s="66"/>
    </row>
    <row r="319" spans="1:1" x14ac:dyDescent="0.25">
      <c r="A319" s="66"/>
    </row>
    <row r="320" spans="1:1" x14ac:dyDescent="0.25">
      <c r="A320" s="66"/>
    </row>
    <row r="321" spans="1:1" x14ac:dyDescent="0.25">
      <c r="A321" s="66"/>
    </row>
    <row r="322" spans="1:1" x14ac:dyDescent="0.25">
      <c r="A322" s="66"/>
    </row>
    <row r="323" spans="1:1" x14ac:dyDescent="0.25">
      <c r="A323" s="66"/>
    </row>
    <row r="324" spans="1:1" x14ac:dyDescent="0.25">
      <c r="A324" s="66"/>
    </row>
    <row r="325" spans="1:1" x14ac:dyDescent="0.25">
      <c r="A325" s="66"/>
    </row>
    <row r="326" spans="1:1" x14ac:dyDescent="0.25">
      <c r="A326" s="66"/>
    </row>
    <row r="327" spans="1:1" x14ac:dyDescent="0.25">
      <c r="A327" s="66"/>
    </row>
    <row r="328" spans="1:1" x14ac:dyDescent="0.25">
      <c r="A328" s="66"/>
    </row>
    <row r="329" spans="1:1" x14ac:dyDescent="0.25">
      <c r="A329" s="66"/>
    </row>
    <row r="330" spans="1:1" x14ac:dyDescent="0.25">
      <c r="A330" s="66"/>
    </row>
    <row r="331" spans="1:1" x14ac:dyDescent="0.25">
      <c r="A331" s="66"/>
    </row>
    <row r="332" spans="1:1" x14ac:dyDescent="0.25">
      <c r="A332" s="66"/>
    </row>
    <row r="333" spans="1:1" x14ac:dyDescent="0.25">
      <c r="A333" s="66"/>
    </row>
    <row r="334" spans="1:1" x14ac:dyDescent="0.25">
      <c r="A334" s="66"/>
    </row>
    <row r="335" spans="1:1" x14ac:dyDescent="0.25">
      <c r="A335" s="66"/>
    </row>
    <row r="336" spans="1:1" x14ac:dyDescent="0.25">
      <c r="A336" s="66"/>
    </row>
    <row r="337" spans="1:1" x14ac:dyDescent="0.25">
      <c r="A337" s="66"/>
    </row>
    <row r="338" spans="1:1" x14ac:dyDescent="0.25">
      <c r="A338" s="66"/>
    </row>
    <row r="339" spans="1:1" x14ac:dyDescent="0.25">
      <c r="A339" s="66"/>
    </row>
    <row r="340" spans="1:1" x14ac:dyDescent="0.25">
      <c r="A340" s="66"/>
    </row>
    <row r="341" spans="1:1" x14ac:dyDescent="0.25">
      <c r="A341" s="66"/>
    </row>
    <row r="342" spans="1:1" x14ac:dyDescent="0.25">
      <c r="A342" s="66"/>
    </row>
    <row r="343" spans="1:1" x14ac:dyDescent="0.25">
      <c r="A343" s="66"/>
    </row>
    <row r="344" spans="1:1" x14ac:dyDescent="0.25">
      <c r="A344" s="66"/>
    </row>
    <row r="345" spans="1:1" x14ac:dyDescent="0.25">
      <c r="A345" s="66"/>
    </row>
    <row r="346" spans="1:1" x14ac:dyDescent="0.25">
      <c r="A346" s="66"/>
    </row>
    <row r="347" spans="1:1" x14ac:dyDescent="0.25">
      <c r="A347" s="66"/>
    </row>
    <row r="348" spans="1:1" x14ac:dyDescent="0.25">
      <c r="A348" s="66"/>
    </row>
    <row r="349" spans="1:1" x14ac:dyDescent="0.25">
      <c r="A349" s="66"/>
    </row>
    <row r="350" spans="1:1" x14ac:dyDescent="0.25">
      <c r="A350" s="66"/>
    </row>
    <row r="351" spans="1:1" x14ac:dyDescent="0.25">
      <c r="A351" s="66"/>
    </row>
    <row r="352" spans="1:1" x14ac:dyDescent="0.25">
      <c r="A352" s="66"/>
    </row>
    <row r="353" spans="1:1" x14ac:dyDescent="0.25">
      <c r="A353" s="66"/>
    </row>
    <row r="354" spans="1:1" x14ac:dyDescent="0.25">
      <c r="A354" s="66"/>
    </row>
    <row r="355" spans="1:1" x14ac:dyDescent="0.25">
      <c r="A355" s="66"/>
    </row>
    <row r="356" spans="1:1" x14ac:dyDescent="0.25">
      <c r="A356" s="66"/>
    </row>
    <row r="357" spans="1:1" x14ac:dyDescent="0.25">
      <c r="A357" s="66"/>
    </row>
    <row r="358" spans="1:1" x14ac:dyDescent="0.25">
      <c r="A358" s="66"/>
    </row>
    <row r="359" spans="1:1" x14ac:dyDescent="0.25">
      <c r="A359" s="66"/>
    </row>
    <row r="360" spans="1:1" x14ac:dyDescent="0.25">
      <c r="A360" s="66"/>
    </row>
    <row r="361" spans="1:1" x14ac:dyDescent="0.25">
      <c r="A361" s="66"/>
    </row>
    <row r="362" spans="1:1" x14ac:dyDescent="0.25">
      <c r="A362" s="66"/>
    </row>
    <row r="363" spans="1:1" x14ac:dyDescent="0.25">
      <c r="A363" s="66"/>
    </row>
    <row r="364" spans="1:1" x14ac:dyDescent="0.25">
      <c r="A364" s="66"/>
    </row>
    <row r="365" spans="1:1" x14ac:dyDescent="0.25">
      <c r="A365" s="66"/>
    </row>
    <row r="366" spans="1:1" x14ac:dyDescent="0.25">
      <c r="A366" s="66"/>
    </row>
    <row r="367" spans="1:1" x14ac:dyDescent="0.25">
      <c r="A367" s="66"/>
    </row>
    <row r="368" spans="1:1" x14ac:dyDescent="0.25">
      <c r="A368" s="66"/>
    </row>
    <row r="369" spans="1:1" x14ac:dyDescent="0.25">
      <c r="A369" s="66"/>
    </row>
    <row r="370" spans="1:1" x14ac:dyDescent="0.25">
      <c r="A370" s="66"/>
    </row>
    <row r="371" spans="1:1" x14ac:dyDescent="0.25">
      <c r="A371" s="66"/>
    </row>
    <row r="372" spans="1:1" x14ac:dyDescent="0.25">
      <c r="A372" s="66"/>
    </row>
    <row r="373" spans="1:1" x14ac:dyDescent="0.25">
      <c r="A373" s="66"/>
    </row>
    <row r="374" spans="1:1" x14ac:dyDescent="0.25">
      <c r="A374" s="66"/>
    </row>
    <row r="375" spans="1:1" x14ac:dyDescent="0.25">
      <c r="A375" s="66"/>
    </row>
    <row r="376" spans="1:1" x14ac:dyDescent="0.25">
      <c r="A376" s="66"/>
    </row>
    <row r="377" spans="1:1" x14ac:dyDescent="0.25">
      <c r="A377" s="66"/>
    </row>
    <row r="378" spans="1:1" x14ac:dyDescent="0.25">
      <c r="A378" s="66"/>
    </row>
    <row r="379" spans="1:1" x14ac:dyDescent="0.25">
      <c r="A379" s="66"/>
    </row>
    <row r="380" spans="1:1" x14ac:dyDescent="0.25">
      <c r="A380" s="66"/>
    </row>
    <row r="381" spans="1:1" x14ac:dyDescent="0.25">
      <c r="A381" s="66"/>
    </row>
    <row r="382" spans="1:1" x14ac:dyDescent="0.25">
      <c r="A382" s="66"/>
    </row>
    <row r="383" spans="1:1" x14ac:dyDescent="0.25">
      <c r="A383" s="66"/>
    </row>
    <row r="384" spans="1:1" x14ac:dyDescent="0.25">
      <c r="A384" s="66"/>
    </row>
    <row r="385" spans="1:1" x14ac:dyDescent="0.25">
      <c r="A385" s="66"/>
    </row>
    <row r="386" spans="1:1" x14ac:dyDescent="0.25">
      <c r="A386" s="66"/>
    </row>
    <row r="387" spans="1:1" x14ac:dyDescent="0.25">
      <c r="A387" s="66"/>
    </row>
    <row r="388" spans="1:1" x14ac:dyDescent="0.25">
      <c r="A388" s="66"/>
    </row>
    <row r="389" spans="1:1" x14ac:dyDescent="0.25">
      <c r="A389" s="66"/>
    </row>
    <row r="390" spans="1:1" x14ac:dyDescent="0.25">
      <c r="A390" s="66"/>
    </row>
    <row r="391" spans="1:1" x14ac:dyDescent="0.25">
      <c r="A391" s="66"/>
    </row>
    <row r="392" spans="1:1" x14ac:dyDescent="0.25">
      <c r="A392" s="66"/>
    </row>
    <row r="393" spans="1:1" x14ac:dyDescent="0.25">
      <c r="A393" s="66"/>
    </row>
    <row r="394" spans="1:1" x14ac:dyDescent="0.25">
      <c r="A394" s="66"/>
    </row>
    <row r="395" spans="1:1" x14ac:dyDescent="0.25">
      <c r="A395" s="66"/>
    </row>
    <row r="396" spans="1:1" x14ac:dyDescent="0.25">
      <c r="A396" s="66"/>
    </row>
    <row r="397" spans="1:1" x14ac:dyDescent="0.25">
      <c r="A397" s="66"/>
    </row>
    <row r="398" spans="1:1" x14ac:dyDescent="0.25">
      <c r="A398" s="66"/>
    </row>
    <row r="399" spans="1:1" x14ac:dyDescent="0.25">
      <c r="A399" s="66"/>
    </row>
    <row r="400" spans="1:1" x14ac:dyDescent="0.25">
      <c r="A400" s="66"/>
    </row>
    <row r="401" spans="1:1" x14ac:dyDescent="0.25">
      <c r="A401" s="66"/>
    </row>
    <row r="402" spans="1:1" x14ac:dyDescent="0.25">
      <c r="A402" s="66"/>
    </row>
    <row r="403" spans="1:1" x14ac:dyDescent="0.25">
      <c r="A403" s="66"/>
    </row>
    <row r="404" spans="1:1" x14ac:dyDescent="0.25">
      <c r="A404" s="66"/>
    </row>
    <row r="405" spans="1:1" x14ac:dyDescent="0.25">
      <c r="A405" s="66"/>
    </row>
    <row r="406" spans="1:1" x14ac:dyDescent="0.25">
      <c r="A406" s="66"/>
    </row>
    <row r="407" spans="1:1" x14ac:dyDescent="0.25">
      <c r="A407" s="66"/>
    </row>
    <row r="408" spans="1:1" x14ac:dyDescent="0.25">
      <c r="A408" s="66"/>
    </row>
    <row r="409" spans="1:1" x14ac:dyDescent="0.25">
      <c r="A409" s="66"/>
    </row>
    <row r="410" spans="1:1" x14ac:dyDescent="0.25">
      <c r="A410" s="66"/>
    </row>
    <row r="411" spans="1:1" x14ac:dyDescent="0.25">
      <c r="A411" s="66"/>
    </row>
    <row r="412" spans="1:1" x14ac:dyDescent="0.25">
      <c r="A412" s="66"/>
    </row>
    <row r="413" spans="1:1" x14ac:dyDescent="0.25">
      <c r="A413" s="66"/>
    </row>
    <row r="414" spans="1:1" x14ac:dyDescent="0.25">
      <c r="A414" s="66"/>
    </row>
    <row r="415" spans="1:1" x14ac:dyDescent="0.25">
      <c r="A415" s="66"/>
    </row>
    <row r="416" spans="1:1" x14ac:dyDescent="0.25">
      <c r="A416" s="66"/>
    </row>
    <row r="417" spans="1:1" x14ac:dyDescent="0.25">
      <c r="A417" s="66"/>
    </row>
    <row r="418" spans="1:1" x14ac:dyDescent="0.25">
      <c r="A418" s="66"/>
    </row>
    <row r="419" spans="1:1" x14ac:dyDescent="0.25">
      <c r="A419" s="66"/>
    </row>
    <row r="420" spans="1:1" x14ac:dyDescent="0.25">
      <c r="A420" s="66"/>
    </row>
    <row r="421" spans="1:1" x14ac:dyDescent="0.25">
      <c r="A421" s="66"/>
    </row>
    <row r="422" spans="1:1" x14ac:dyDescent="0.25">
      <c r="A422" s="66"/>
    </row>
    <row r="423" spans="1:1" x14ac:dyDescent="0.25">
      <c r="A423" s="66"/>
    </row>
    <row r="424" spans="1:1" x14ac:dyDescent="0.25">
      <c r="A424" s="66"/>
    </row>
    <row r="425" spans="1:1" x14ac:dyDescent="0.25">
      <c r="A425" s="66"/>
    </row>
    <row r="426" spans="1:1" x14ac:dyDescent="0.25">
      <c r="A426" s="66"/>
    </row>
    <row r="427" spans="1:1" x14ac:dyDescent="0.25">
      <c r="A427" s="66"/>
    </row>
    <row r="428" spans="1:1" x14ac:dyDescent="0.25">
      <c r="A428" s="66"/>
    </row>
    <row r="429" spans="1:1" x14ac:dyDescent="0.25">
      <c r="A429" s="66"/>
    </row>
    <row r="430" spans="1:1" x14ac:dyDescent="0.25">
      <c r="A430" s="66"/>
    </row>
    <row r="431" spans="1:1" x14ac:dyDescent="0.25">
      <c r="A431" s="66"/>
    </row>
    <row r="432" spans="1:1" x14ac:dyDescent="0.25">
      <c r="A432" s="66"/>
    </row>
    <row r="433" spans="1:1" x14ac:dyDescent="0.25">
      <c r="A433" s="66"/>
    </row>
    <row r="434" spans="1:1" x14ac:dyDescent="0.25">
      <c r="A434" s="66"/>
    </row>
    <row r="435" spans="1:1" x14ac:dyDescent="0.25">
      <c r="A435" s="66"/>
    </row>
    <row r="436" spans="1:1" x14ac:dyDescent="0.25">
      <c r="A436" s="66"/>
    </row>
    <row r="437" spans="1:1" x14ac:dyDescent="0.25">
      <c r="A437" s="66"/>
    </row>
    <row r="438" spans="1:1" x14ac:dyDescent="0.25">
      <c r="A438" s="66"/>
    </row>
    <row r="439" spans="1:1" x14ac:dyDescent="0.25">
      <c r="A439" s="66"/>
    </row>
    <row r="440" spans="1:1" x14ac:dyDescent="0.25">
      <c r="A440" s="66"/>
    </row>
    <row r="441" spans="1:1" x14ac:dyDescent="0.25">
      <c r="A441" s="66"/>
    </row>
    <row r="442" spans="1:1" x14ac:dyDescent="0.25">
      <c r="A442" s="66"/>
    </row>
    <row r="443" spans="1:1" x14ac:dyDescent="0.25">
      <c r="A443" s="66"/>
    </row>
    <row r="444" spans="1:1" x14ac:dyDescent="0.25">
      <c r="A444" s="66"/>
    </row>
    <row r="445" spans="1:1" x14ac:dyDescent="0.25">
      <c r="A445" s="66"/>
    </row>
    <row r="446" spans="1:1" x14ac:dyDescent="0.25">
      <c r="A446" s="66"/>
    </row>
    <row r="447" spans="1:1" x14ac:dyDescent="0.25">
      <c r="A447" s="66"/>
    </row>
    <row r="448" spans="1:1" x14ac:dyDescent="0.25">
      <c r="A448" s="66"/>
    </row>
    <row r="449" spans="1:1" x14ac:dyDescent="0.25">
      <c r="A449" s="66"/>
    </row>
    <row r="450" spans="1:1" x14ac:dyDescent="0.25">
      <c r="A450" s="66"/>
    </row>
    <row r="451" spans="1:1" x14ac:dyDescent="0.25">
      <c r="A451" s="66"/>
    </row>
    <row r="452" spans="1:1" x14ac:dyDescent="0.25">
      <c r="A452" s="66"/>
    </row>
    <row r="453" spans="1:1" x14ac:dyDescent="0.25">
      <c r="A453" s="66"/>
    </row>
    <row r="454" spans="1:1" x14ac:dyDescent="0.25">
      <c r="A454" s="66"/>
    </row>
    <row r="455" spans="1:1" x14ac:dyDescent="0.25">
      <c r="A455" s="66"/>
    </row>
    <row r="456" spans="1:1" x14ac:dyDescent="0.25">
      <c r="A456" s="66"/>
    </row>
    <row r="457" spans="1:1" x14ac:dyDescent="0.25">
      <c r="A457" s="66"/>
    </row>
    <row r="458" spans="1:1" x14ac:dyDescent="0.25">
      <c r="A458" s="66"/>
    </row>
    <row r="459" spans="1:1" x14ac:dyDescent="0.25">
      <c r="A459" s="66"/>
    </row>
    <row r="460" spans="1:1" x14ac:dyDescent="0.25">
      <c r="A460" s="66"/>
    </row>
    <row r="461" spans="1:1" x14ac:dyDescent="0.25">
      <c r="A461" s="66"/>
    </row>
    <row r="462" spans="1:1" x14ac:dyDescent="0.25">
      <c r="A462" s="66"/>
    </row>
    <row r="463" spans="1:1" x14ac:dyDescent="0.25">
      <c r="A463" s="66"/>
    </row>
    <row r="464" spans="1:1" x14ac:dyDescent="0.25">
      <c r="A464" s="66"/>
    </row>
    <row r="465" spans="1:1" x14ac:dyDescent="0.25">
      <c r="A465" s="66"/>
    </row>
    <row r="466" spans="1:1" x14ac:dyDescent="0.25">
      <c r="A466" s="66"/>
    </row>
    <row r="467" spans="1:1" x14ac:dyDescent="0.25">
      <c r="A467" s="66"/>
    </row>
    <row r="468" spans="1:1" x14ac:dyDescent="0.25">
      <c r="A468" s="66"/>
    </row>
    <row r="469" spans="1:1" x14ac:dyDescent="0.25">
      <c r="A469" s="66"/>
    </row>
    <row r="470" spans="1:1" x14ac:dyDescent="0.25">
      <c r="A470" s="66"/>
    </row>
    <row r="471" spans="1:1" x14ac:dyDescent="0.25">
      <c r="A471" s="66"/>
    </row>
    <row r="472" spans="1:1" x14ac:dyDescent="0.25">
      <c r="A472" s="66"/>
    </row>
    <row r="473" spans="1:1" x14ac:dyDescent="0.25">
      <c r="A473" s="66"/>
    </row>
    <row r="474" spans="1:1" x14ac:dyDescent="0.25">
      <c r="A474" s="66"/>
    </row>
    <row r="475" spans="1:1" x14ac:dyDescent="0.25">
      <c r="A475" s="66"/>
    </row>
    <row r="476" spans="1:1" x14ac:dyDescent="0.25">
      <c r="A476" s="66"/>
    </row>
    <row r="477" spans="1:1" x14ac:dyDescent="0.25">
      <c r="A477" s="66"/>
    </row>
    <row r="478" spans="1:1" x14ac:dyDescent="0.25">
      <c r="A478" s="66"/>
    </row>
    <row r="479" spans="1:1" x14ac:dyDescent="0.25">
      <c r="A479" s="66"/>
    </row>
    <row r="480" spans="1:1" x14ac:dyDescent="0.25">
      <c r="A480" s="66"/>
    </row>
    <row r="481" spans="1:1" x14ac:dyDescent="0.25">
      <c r="A481" s="66"/>
    </row>
    <row r="482" spans="1:1" x14ac:dyDescent="0.25">
      <c r="A482" s="66"/>
    </row>
    <row r="483" spans="1:1" x14ac:dyDescent="0.25">
      <c r="A483" s="66"/>
    </row>
    <row r="484" spans="1:1" x14ac:dyDescent="0.25">
      <c r="A484" s="66"/>
    </row>
    <row r="485" spans="1:1" x14ac:dyDescent="0.25">
      <c r="A485" s="66"/>
    </row>
    <row r="486" spans="1:1" x14ac:dyDescent="0.25">
      <c r="A486" s="66"/>
    </row>
    <row r="487" spans="1:1" x14ac:dyDescent="0.25">
      <c r="A487" s="66"/>
    </row>
    <row r="488" spans="1:1" x14ac:dyDescent="0.25">
      <c r="A488" s="66"/>
    </row>
    <row r="489" spans="1:1" x14ac:dyDescent="0.25">
      <c r="A489" s="66"/>
    </row>
    <row r="490" spans="1:1" x14ac:dyDescent="0.25">
      <c r="A490" s="66"/>
    </row>
    <row r="491" spans="1:1" x14ac:dyDescent="0.25">
      <c r="A491" s="66"/>
    </row>
    <row r="492" spans="1:1" x14ac:dyDescent="0.25">
      <c r="A492" s="66"/>
    </row>
    <row r="493" spans="1:1" x14ac:dyDescent="0.25">
      <c r="A493" s="66"/>
    </row>
    <row r="494" spans="1:1" x14ac:dyDescent="0.25">
      <c r="A494" s="66"/>
    </row>
    <row r="495" spans="1:1" x14ac:dyDescent="0.25">
      <c r="A495" s="66"/>
    </row>
    <row r="496" spans="1:1" x14ac:dyDescent="0.25">
      <c r="A496" s="66"/>
    </row>
    <row r="497" spans="1:1" x14ac:dyDescent="0.25">
      <c r="A497" s="66"/>
    </row>
    <row r="498" spans="1:1" x14ac:dyDescent="0.25">
      <c r="A498" s="66"/>
    </row>
    <row r="499" spans="1:1" x14ac:dyDescent="0.25">
      <c r="A499" s="66"/>
    </row>
    <row r="500" spans="1:1" x14ac:dyDescent="0.25">
      <c r="A500" s="66"/>
    </row>
    <row r="501" spans="1:1" x14ac:dyDescent="0.25">
      <c r="A501" s="66"/>
    </row>
    <row r="502" spans="1:1" x14ac:dyDescent="0.25">
      <c r="A502" s="66"/>
    </row>
    <row r="503" spans="1:1" x14ac:dyDescent="0.25">
      <c r="A503" s="66"/>
    </row>
    <row r="504" spans="1:1" x14ac:dyDescent="0.25">
      <c r="A504" s="66"/>
    </row>
    <row r="505" spans="1:1" x14ac:dyDescent="0.25">
      <c r="A505" s="66"/>
    </row>
    <row r="506" spans="1:1" x14ac:dyDescent="0.25">
      <c r="A506" s="66"/>
    </row>
    <row r="507" spans="1:1" x14ac:dyDescent="0.25">
      <c r="A507" s="66"/>
    </row>
    <row r="508" spans="1:1" x14ac:dyDescent="0.25">
      <c r="A508" s="66"/>
    </row>
    <row r="509" spans="1:1" x14ac:dyDescent="0.25">
      <c r="A509" s="66"/>
    </row>
    <row r="510" spans="1:1" x14ac:dyDescent="0.25">
      <c r="A510" s="66"/>
    </row>
    <row r="511" spans="1:1" x14ac:dyDescent="0.25">
      <c r="A511" s="66"/>
    </row>
    <row r="512" spans="1:1" x14ac:dyDescent="0.25">
      <c r="A512" s="66"/>
    </row>
    <row r="513" spans="1:1" x14ac:dyDescent="0.25">
      <c r="A513" s="66"/>
    </row>
    <row r="514" spans="1:1" x14ac:dyDescent="0.25">
      <c r="A514" s="66"/>
    </row>
    <row r="515" spans="1:1" x14ac:dyDescent="0.25">
      <c r="A515" s="66"/>
    </row>
    <row r="516" spans="1:1" x14ac:dyDescent="0.25">
      <c r="A516" s="66"/>
    </row>
    <row r="517" spans="1:1" x14ac:dyDescent="0.25">
      <c r="A517" s="66"/>
    </row>
    <row r="518" spans="1:1" x14ac:dyDescent="0.25">
      <c r="A518" s="66"/>
    </row>
    <row r="519" spans="1:1" x14ac:dyDescent="0.25">
      <c r="A519" s="66"/>
    </row>
    <row r="520" spans="1:1" x14ac:dyDescent="0.25">
      <c r="A520" s="66"/>
    </row>
    <row r="521" spans="1:1" x14ac:dyDescent="0.25">
      <c r="A521" s="66"/>
    </row>
    <row r="522" spans="1:1" x14ac:dyDescent="0.25">
      <c r="A522" s="66"/>
    </row>
    <row r="523" spans="1:1" x14ac:dyDescent="0.25">
      <c r="A523" s="66"/>
    </row>
    <row r="524" spans="1:1" x14ac:dyDescent="0.25">
      <c r="A524" s="66"/>
    </row>
    <row r="525" spans="1:1" x14ac:dyDescent="0.25">
      <c r="A525" s="66"/>
    </row>
    <row r="526" spans="1:1" x14ac:dyDescent="0.25">
      <c r="A526" s="66"/>
    </row>
    <row r="527" spans="1:1" x14ac:dyDescent="0.25">
      <c r="A527" s="66"/>
    </row>
    <row r="528" spans="1:1" x14ac:dyDescent="0.25">
      <c r="A528" s="66"/>
    </row>
    <row r="529" spans="1:1" x14ac:dyDescent="0.25">
      <c r="A529" s="66"/>
    </row>
    <row r="530" spans="1:1" x14ac:dyDescent="0.25">
      <c r="A530" s="66"/>
    </row>
    <row r="531" spans="1:1" x14ac:dyDescent="0.25">
      <c r="A531" s="66"/>
    </row>
    <row r="532" spans="1:1" x14ac:dyDescent="0.25">
      <c r="A532" s="66"/>
    </row>
    <row r="533" spans="1:1" x14ac:dyDescent="0.25">
      <c r="A533" s="66"/>
    </row>
    <row r="534" spans="1:1" x14ac:dyDescent="0.25">
      <c r="A534" s="66"/>
    </row>
    <row r="535" spans="1:1" x14ac:dyDescent="0.25">
      <c r="A535" s="66"/>
    </row>
    <row r="536" spans="1:1" x14ac:dyDescent="0.25">
      <c r="A536" s="66"/>
    </row>
    <row r="537" spans="1:1" x14ac:dyDescent="0.25">
      <c r="A537" s="66"/>
    </row>
    <row r="538" spans="1:1" x14ac:dyDescent="0.25">
      <c r="A538" s="66"/>
    </row>
    <row r="539" spans="1:1" x14ac:dyDescent="0.25">
      <c r="A539" s="66"/>
    </row>
    <row r="540" spans="1:1" x14ac:dyDescent="0.25">
      <c r="A540" s="66"/>
    </row>
    <row r="541" spans="1:1" x14ac:dyDescent="0.25">
      <c r="A541" s="66"/>
    </row>
    <row r="542" spans="1:1" x14ac:dyDescent="0.25">
      <c r="A542" s="66"/>
    </row>
    <row r="543" spans="1:1" x14ac:dyDescent="0.25">
      <c r="A543" s="66"/>
    </row>
    <row r="544" spans="1:1" x14ac:dyDescent="0.25">
      <c r="A544" s="66"/>
    </row>
    <row r="545" spans="1:1" x14ac:dyDescent="0.25">
      <c r="A545" s="66"/>
    </row>
    <row r="546" spans="1:1" x14ac:dyDescent="0.25">
      <c r="A546" s="66"/>
    </row>
    <row r="547" spans="1:1" x14ac:dyDescent="0.25">
      <c r="A547" s="66"/>
    </row>
    <row r="548" spans="1:1" x14ac:dyDescent="0.25">
      <c r="A548" s="66"/>
    </row>
    <row r="549" spans="1:1" x14ac:dyDescent="0.25">
      <c r="A549" s="66"/>
    </row>
    <row r="550" spans="1:1" x14ac:dyDescent="0.25">
      <c r="A550" s="66"/>
    </row>
    <row r="551" spans="1:1" x14ac:dyDescent="0.25">
      <c r="A551" s="66"/>
    </row>
    <row r="552" spans="1:1" x14ac:dyDescent="0.25">
      <c r="A552" s="66"/>
    </row>
    <row r="553" spans="1:1" x14ac:dyDescent="0.25">
      <c r="A553" s="66"/>
    </row>
    <row r="554" spans="1:1" x14ac:dyDescent="0.25">
      <c r="A554" s="66"/>
    </row>
    <row r="555" spans="1:1" x14ac:dyDescent="0.25">
      <c r="A555" s="66"/>
    </row>
    <row r="556" spans="1:1" x14ac:dyDescent="0.25">
      <c r="A556" s="66"/>
    </row>
    <row r="557" spans="1:1" x14ac:dyDescent="0.25">
      <c r="A557" s="66"/>
    </row>
    <row r="558" spans="1:1" x14ac:dyDescent="0.25">
      <c r="A558" s="66"/>
    </row>
    <row r="559" spans="1:1" x14ac:dyDescent="0.25">
      <c r="A559" s="66"/>
    </row>
    <row r="560" spans="1:1" x14ac:dyDescent="0.25">
      <c r="A560" s="66"/>
    </row>
    <row r="561" spans="1:1" x14ac:dyDescent="0.25">
      <c r="A561" s="66"/>
    </row>
    <row r="562" spans="1:1" x14ac:dyDescent="0.25">
      <c r="A562" s="66"/>
    </row>
    <row r="563" spans="1:1" x14ac:dyDescent="0.25">
      <c r="A563" s="66"/>
    </row>
    <row r="564" spans="1:1" x14ac:dyDescent="0.25">
      <c r="A564" s="66"/>
    </row>
    <row r="565" spans="1:1" x14ac:dyDescent="0.25">
      <c r="A565" s="66"/>
    </row>
    <row r="566" spans="1:1" x14ac:dyDescent="0.25">
      <c r="A566" s="66"/>
    </row>
    <row r="567" spans="1:1" x14ac:dyDescent="0.25">
      <c r="A567" s="66"/>
    </row>
    <row r="568" spans="1:1" x14ac:dyDescent="0.25">
      <c r="A568" s="66"/>
    </row>
    <row r="569" spans="1:1" x14ac:dyDescent="0.25">
      <c r="A569" s="66"/>
    </row>
    <row r="570" spans="1:1" x14ac:dyDescent="0.25">
      <c r="A570" s="66"/>
    </row>
    <row r="571" spans="1:1" x14ac:dyDescent="0.25">
      <c r="A571" s="66"/>
    </row>
    <row r="572" spans="1:1" x14ac:dyDescent="0.25">
      <c r="A572" s="66"/>
    </row>
    <row r="573" spans="1:1" x14ac:dyDescent="0.25">
      <c r="A573" s="66"/>
    </row>
    <row r="574" spans="1:1" x14ac:dyDescent="0.25">
      <c r="A574" s="66"/>
    </row>
    <row r="575" spans="1:1" x14ac:dyDescent="0.25">
      <c r="A575" s="66"/>
    </row>
    <row r="576" spans="1:1" x14ac:dyDescent="0.25">
      <c r="A576" s="66"/>
    </row>
    <row r="577" spans="1:1" x14ac:dyDescent="0.25">
      <c r="A577" s="66"/>
    </row>
    <row r="578" spans="1:1" x14ac:dyDescent="0.25">
      <c r="A578" s="66"/>
    </row>
    <row r="579" spans="1:1" x14ac:dyDescent="0.25">
      <c r="A579" s="66"/>
    </row>
    <row r="580" spans="1:1" x14ac:dyDescent="0.25">
      <c r="A580" s="66"/>
    </row>
    <row r="581" spans="1:1" x14ac:dyDescent="0.25">
      <c r="A581" s="66"/>
    </row>
    <row r="582" spans="1:1" x14ac:dyDescent="0.25">
      <c r="A582" s="66"/>
    </row>
    <row r="583" spans="1:1" x14ac:dyDescent="0.25">
      <c r="A583" s="66"/>
    </row>
    <row r="584" spans="1:1" x14ac:dyDescent="0.25">
      <c r="A584" s="66"/>
    </row>
    <row r="585" spans="1:1" x14ac:dyDescent="0.25">
      <c r="A585" s="66"/>
    </row>
    <row r="586" spans="1:1" x14ac:dyDescent="0.25">
      <c r="A586" s="66"/>
    </row>
    <row r="587" spans="1:1" x14ac:dyDescent="0.25">
      <c r="A587" s="66"/>
    </row>
    <row r="588" spans="1:1" x14ac:dyDescent="0.25">
      <c r="A588" s="66"/>
    </row>
    <row r="589" spans="1:1" x14ac:dyDescent="0.25">
      <c r="A589" s="66"/>
    </row>
    <row r="590" spans="1:1" x14ac:dyDescent="0.25">
      <c r="A590" s="66"/>
    </row>
    <row r="591" spans="1:1" x14ac:dyDescent="0.25">
      <c r="A591" s="66"/>
    </row>
    <row r="592" spans="1:1" x14ac:dyDescent="0.25">
      <c r="A592" s="66"/>
    </row>
    <row r="593" spans="1:1" x14ac:dyDescent="0.25">
      <c r="A593" s="66"/>
    </row>
    <row r="594" spans="1:1" x14ac:dyDescent="0.25">
      <c r="A594" s="66"/>
    </row>
    <row r="595" spans="1:1" x14ac:dyDescent="0.25">
      <c r="A595" s="66"/>
    </row>
    <row r="596" spans="1:1" x14ac:dyDescent="0.25">
      <c r="A596" s="66"/>
    </row>
    <row r="597" spans="1:1" x14ac:dyDescent="0.25">
      <c r="A597" s="66"/>
    </row>
    <row r="598" spans="1:1" x14ac:dyDescent="0.25">
      <c r="A598" s="66"/>
    </row>
    <row r="599" spans="1:1" x14ac:dyDescent="0.25">
      <c r="A599" s="66"/>
    </row>
    <row r="600" spans="1:1" x14ac:dyDescent="0.25">
      <c r="A600" s="66"/>
    </row>
    <row r="601" spans="1:1" x14ac:dyDescent="0.25">
      <c r="A601" s="66"/>
    </row>
    <row r="602" spans="1:1" x14ac:dyDescent="0.25">
      <c r="A602" s="66"/>
    </row>
    <row r="603" spans="1:1" x14ac:dyDescent="0.25">
      <c r="A603" s="66"/>
    </row>
    <row r="604" spans="1:1" x14ac:dyDescent="0.25">
      <c r="A604" s="66"/>
    </row>
    <row r="605" spans="1:1" x14ac:dyDescent="0.25">
      <c r="A605" s="66"/>
    </row>
    <row r="606" spans="1:1" x14ac:dyDescent="0.25">
      <c r="A606" s="66"/>
    </row>
    <row r="607" spans="1:1" x14ac:dyDescent="0.25">
      <c r="A607" s="66"/>
    </row>
    <row r="608" spans="1:1" x14ac:dyDescent="0.25">
      <c r="A608" s="66"/>
    </row>
    <row r="609" spans="1:1" x14ac:dyDescent="0.25">
      <c r="A609" s="66"/>
    </row>
    <row r="610" spans="1:1" x14ac:dyDescent="0.25">
      <c r="A610" s="66"/>
    </row>
    <row r="611" spans="1:1" x14ac:dyDescent="0.25">
      <c r="A611" s="66"/>
    </row>
    <row r="612" spans="1:1" x14ac:dyDescent="0.25">
      <c r="A612" s="66"/>
    </row>
    <row r="613" spans="1:1" x14ac:dyDescent="0.25">
      <c r="A613" s="66"/>
    </row>
    <row r="614" spans="1:1" x14ac:dyDescent="0.25">
      <c r="A614" s="66"/>
    </row>
    <row r="615" spans="1:1" x14ac:dyDescent="0.25">
      <c r="A615" s="66"/>
    </row>
    <row r="616" spans="1:1" x14ac:dyDescent="0.25">
      <c r="A616" s="66"/>
    </row>
    <row r="617" spans="1:1" x14ac:dyDescent="0.25">
      <c r="A617" s="66"/>
    </row>
    <row r="618" spans="1:1" x14ac:dyDescent="0.25">
      <c r="A618" s="66"/>
    </row>
    <row r="619" spans="1:1" x14ac:dyDescent="0.25">
      <c r="A619" s="66"/>
    </row>
    <row r="620" spans="1:1" x14ac:dyDescent="0.25">
      <c r="A620" s="66"/>
    </row>
    <row r="621" spans="1:1" x14ac:dyDescent="0.25">
      <c r="A621" s="66"/>
    </row>
    <row r="622" spans="1:1" x14ac:dyDescent="0.25">
      <c r="A622" s="66"/>
    </row>
    <row r="623" spans="1:1" x14ac:dyDescent="0.25">
      <c r="A623" s="66"/>
    </row>
    <row r="624" spans="1:1" x14ac:dyDescent="0.25">
      <c r="A624" s="66"/>
    </row>
    <row r="625" spans="1:1" x14ac:dyDescent="0.25">
      <c r="A625" s="66"/>
    </row>
    <row r="626" spans="1:1" x14ac:dyDescent="0.25">
      <c r="A626" s="66"/>
    </row>
    <row r="627" spans="1:1" x14ac:dyDescent="0.25">
      <c r="A627" s="66"/>
    </row>
    <row r="628" spans="1:1" x14ac:dyDescent="0.25">
      <c r="A628" s="66"/>
    </row>
    <row r="629" spans="1:1" x14ac:dyDescent="0.25">
      <c r="A629" s="66"/>
    </row>
    <row r="630" spans="1:1" x14ac:dyDescent="0.25">
      <c r="A630" s="66"/>
    </row>
    <row r="631" spans="1:1" x14ac:dyDescent="0.25">
      <c r="A631" s="66"/>
    </row>
    <row r="632" spans="1:1" x14ac:dyDescent="0.25">
      <c r="A632" s="66"/>
    </row>
    <row r="633" spans="1:1" x14ac:dyDescent="0.25">
      <c r="A633" s="66"/>
    </row>
    <row r="634" spans="1:1" x14ac:dyDescent="0.25">
      <c r="A634" s="66"/>
    </row>
    <row r="635" spans="1:1" x14ac:dyDescent="0.25">
      <c r="A635" s="66"/>
    </row>
    <row r="636" spans="1:1" x14ac:dyDescent="0.25">
      <c r="A636" s="66"/>
    </row>
    <row r="637" spans="1:1" x14ac:dyDescent="0.25">
      <c r="A637" s="66"/>
    </row>
    <row r="638" spans="1:1" x14ac:dyDescent="0.25">
      <c r="A638" s="66"/>
    </row>
    <row r="639" spans="1:1" x14ac:dyDescent="0.25">
      <c r="A639" s="66"/>
    </row>
    <row r="640" spans="1:1" x14ac:dyDescent="0.25">
      <c r="A640" s="66"/>
    </row>
    <row r="641" spans="1:1" x14ac:dyDescent="0.25">
      <c r="A641" s="66"/>
    </row>
    <row r="642" spans="1:1" x14ac:dyDescent="0.25">
      <c r="A642" s="66"/>
    </row>
    <row r="643" spans="1:1" x14ac:dyDescent="0.25">
      <c r="A643" s="66"/>
    </row>
    <row r="644" spans="1:1" x14ac:dyDescent="0.25">
      <c r="A644" s="66"/>
    </row>
    <row r="645" spans="1:1" x14ac:dyDescent="0.25">
      <c r="A645" s="66"/>
    </row>
    <row r="646" spans="1:1" x14ac:dyDescent="0.25">
      <c r="A646" s="66"/>
    </row>
    <row r="647" spans="1:1" x14ac:dyDescent="0.25">
      <c r="A647" s="66"/>
    </row>
    <row r="648" spans="1:1" x14ac:dyDescent="0.25">
      <c r="A648" s="66"/>
    </row>
    <row r="649" spans="1:1" x14ac:dyDescent="0.25">
      <c r="A649" s="66"/>
    </row>
    <row r="650" spans="1:1" x14ac:dyDescent="0.25">
      <c r="A650" s="66"/>
    </row>
    <row r="651" spans="1:1" x14ac:dyDescent="0.25">
      <c r="A651" s="66"/>
    </row>
    <row r="652" spans="1:1" x14ac:dyDescent="0.25">
      <c r="A652" s="66"/>
    </row>
    <row r="653" spans="1:1" x14ac:dyDescent="0.25">
      <c r="A653" s="66"/>
    </row>
    <row r="654" spans="1:1" x14ac:dyDescent="0.25">
      <c r="A654" s="66"/>
    </row>
    <row r="655" spans="1:1" x14ac:dyDescent="0.25">
      <c r="A655" s="66"/>
    </row>
    <row r="656" spans="1:1" x14ac:dyDescent="0.25">
      <c r="A656" s="66"/>
    </row>
    <row r="657" spans="1:1" x14ac:dyDescent="0.25">
      <c r="A657" s="66"/>
    </row>
    <row r="658" spans="1:1" x14ac:dyDescent="0.25">
      <c r="A658" s="66"/>
    </row>
    <row r="659" spans="1:1" x14ac:dyDescent="0.25">
      <c r="A659" s="66"/>
    </row>
    <row r="660" spans="1:1" x14ac:dyDescent="0.25">
      <c r="A660" s="66"/>
    </row>
    <row r="661" spans="1:1" x14ac:dyDescent="0.25">
      <c r="A661" s="66"/>
    </row>
    <row r="662" spans="1:1" x14ac:dyDescent="0.25">
      <c r="A662" s="66"/>
    </row>
    <row r="663" spans="1:1" x14ac:dyDescent="0.25">
      <c r="A663" s="66"/>
    </row>
    <row r="664" spans="1:1" x14ac:dyDescent="0.25">
      <c r="A664" s="66"/>
    </row>
    <row r="665" spans="1:1" x14ac:dyDescent="0.25">
      <c r="A665" s="66"/>
    </row>
    <row r="666" spans="1:1" x14ac:dyDescent="0.25">
      <c r="A666" s="66"/>
    </row>
    <row r="667" spans="1:1" x14ac:dyDescent="0.25">
      <c r="A667" s="66"/>
    </row>
    <row r="668" spans="1:1" x14ac:dyDescent="0.25">
      <c r="A668" s="66"/>
    </row>
    <row r="669" spans="1:1" x14ac:dyDescent="0.25">
      <c r="A669" s="66"/>
    </row>
    <row r="670" spans="1:1" x14ac:dyDescent="0.25">
      <c r="A670" s="66"/>
    </row>
    <row r="671" spans="1:1" x14ac:dyDescent="0.25">
      <c r="A671" s="66"/>
    </row>
    <row r="672" spans="1:1" x14ac:dyDescent="0.25">
      <c r="A672" s="66"/>
    </row>
    <row r="673" spans="1:1" x14ac:dyDescent="0.25">
      <c r="A673" s="66"/>
    </row>
    <row r="674" spans="1:1" x14ac:dyDescent="0.25">
      <c r="A674" s="66"/>
    </row>
    <row r="675" spans="1:1" x14ac:dyDescent="0.25">
      <c r="A675" s="66"/>
    </row>
    <row r="676" spans="1:1" x14ac:dyDescent="0.25">
      <c r="A676" s="66"/>
    </row>
    <row r="677" spans="1:1" x14ac:dyDescent="0.25">
      <c r="A677" s="66"/>
    </row>
    <row r="678" spans="1:1" x14ac:dyDescent="0.25">
      <c r="A678" s="66"/>
    </row>
    <row r="679" spans="1:1" x14ac:dyDescent="0.25">
      <c r="A679" s="66"/>
    </row>
    <row r="680" spans="1:1" x14ac:dyDescent="0.25">
      <c r="A680" s="66"/>
    </row>
    <row r="681" spans="1:1" x14ac:dyDescent="0.25">
      <c r="A681" s="66"/>
    </row>
    <row r="682" spans="1:1" x14ac:dyDescent="0.25">
      <c r="A682" s="66"/>
    </row>
    <row r="683" spans="1:1" x14ac:dyDescent="0.25">
      <c r="A683" s="66"/>
    </row>
    <row r="684" spans="1:1" x14ac:dyDescent="0.25">
      <c r="A684" s="66"/>
    </row>
    <row r="685" spans="1:1" x14ac:dyDescent="0.25">
      <c r="A685" s="66"/>
    </row>
    <row r="686" spans="1:1" x14ac:dyDescent="0.25">
      <c r="A686" s="66"/>
    </row>
    <row r="687" spans="1:1" x14ac:dyDescent="0.25">
      <c r="A687" s="66"/>
    </row>
    <row r="688" spans="1:1" x14ac:dyDescent="0.25">
      <c r="A688" s="66"/>
    </row>
    <row r="689" spans="1:1" x14ac:dyDescent="0.25">
      <c r="A689" s="66"/>
    </row>
    <row r="690" spans="1:1" x14ac:dyDescent="0.25">
      <c r="A690" s="66"/>
    </row>
    <row r="691" spans="1:1" x14ac:dyDescent="0.25">
      <c r="A691" s="66"/>
    </row>
    <row r="692" spans="1:1" x14ac:dyDescent="0.25">
      <c r="A692" s="66"/>
    </row>
    <row r="693" spans="1:1" x14ac:dyDescent="0.25">
      <c r="A693" s="66"/>
    </row>
    <row r="694" spans="1:1" x14ac:dyDescent="0.25">
      <c r="A694" s="66"/>
    </row>
    <row r="695" spans="1:1" x14ac:dyDescent="0.25">
      <c r="A695" s="66"/>
    </row>
    <row r="696" spans="1:1" x14ac:dyDescent="0.25">
      <c r="A696" s="66"/>
    </row>
    <row r="697" spans="1:1" x14ac:dyDescent="0.25">
      <c r="A697" s="66"/>
    </row>
    <row r="698" spans="1:1" x14ac:dyDescent="0.25">
      <c r="A698" s="66"/>
    </row>
    <row r="699" spans="1:1" x14ac:dyDescent="0.25">
      <c r="A699" s="66"/>
    </row>
    <row r="700" spans="1:1" x14ac:dyDescent="0.25">
      <c r="A700" s="66"/>
    </row>
    <row r="701" spans="1:1" x14ac:dyDescent="0.25">
      <c r="A701" s="66"/>
    </row>
    <row r="702" spans="1:1" x14ac:dyDescent="0.25">
      <c r="A702" s="66"/>
    </row>
    <row r="703" spans="1:1" x14ac:dyDescent="0.25">
      <c r="A703" s="66"/>
    </row>
    <row r="704" spans="1:1" x14ac:dyDescent="0.25">
      <c r="A704" s="66"/>
    </row>
    <row r="705" spans="1:1" x14ac:dyDescent="0.25">
      <c r="A705" s="66"/>
    </row>
    <row r="706" spans="1:1" x14ac:dyDescent="0.25">
      <c r="A706" s="66"/>
    </row>
    <row r="707" spans="1:1" x14ac:dyDescent="0.25">
      <c r="A707" s="66"/>
    </row>
    <row r="708" spans="1:1" x14ac:dyDescent="0.25">
      <c r="A708" s="66"/>
    </row>
    <row r="709" spans="1:1" x14ac:dyDescent="0.25">
      <c r="A709" s="66"/>
    </row>
    <row r="710" spans="1:1" x14ac:dyDescent="0.25">
      <c r="A710" s="66"/>
    </row>
    <row r="711" spans="1:1" x14ac:dyDescent="0.25">
      <c r="A711" s="66"/>
    </row>
    <row r="712" spans="1:1" x14ac:dyDescent="0.25">
      <c r="A712" s="66"/>
    </row>
    <row r="713" spans="1:1" x14ac:dyDescent="0.25">
      <c r="A713" s="66"/>
    </row>
    <row r="714" spans="1:1" x14ac:dyDescent="0.25">
      <c r="A714" s="66"/>
    </row>
    <row r="715" spans="1:1" x14ac:dyDescent="0.25">
      <c r="A715" s="66"/>
    </row>
    <row r="716" spans="1:1" x14ac:dyDescent="0.25">
      <c r="A716" s="66"/>
    </row>
    <row r="717" spans="1:1" x14ac:dyDescent="0.25">
      <c r="A717" s="66"/>
    </row>
    <row r="718" spans="1:1" x14ac:dyDescent="0.25">
      <c r="A718" s="66"/>
    </row>
    <row r="719" spans="1:1" x14ac:dyDescent="0.25">
      <c r="A719" s="66"/>
    </row>
    <row r="720" spans="1:1" x14ac:dyDescent="0.25">
      <c r="A720" s="66"/>
    </row>
    <row r="721" spans="1:1" x14ac:dyDescent="0.25">
      <c r="A721" s="66"/>
    </row>
    <row r="722" spans="1:1" x14ac:dyDescent="0.25">
      <c r="A722" s="66"/>
    </row>
    <row r="723" spans="1:1" x14ac:dyDescent="0.25">
      <c r="A723" s="66"/>
    </row>
    <row r="724" spans="1:1" x14ac:dyDescent="0.25">
      <c r="A724" s="66"/>
    </row>
    <row r="725" spans="1:1" x14ac:dyDescent="0.25">
      <c r="A725" s="66"/>
    </row>
    <row r="726" spans="1:1" x14ac:dyDescent="0.25">
      <c r="A726" s="66"/>
    </row>
    <row r="727" spans="1:1" x14ac:dyDescent="0.25">
      <c r="A727" s="66"/>
    </row>
    <row r="728" spans="1:1" x14ac:dyDescent="0.25">
      <c r="A728" s="66"/>
    </row>
    <row r="729" spans="1:1" x14ac:dyDescent="0.25">
      <c r="A729" s="66"/>
    </row>
    <row r="730" spans="1:1" x14ac:dyDescent="0.25">
      <c r="A730" s="66"/>
    </row>
    <row r="731" spans="1:1" x14ac:dyDescent="0.25">
      <c r="A731" s="66"/>
    </row>
    <row r="732" spans="1:1" x14ac:dyDescent="0.25">
      <c r="A732" s="66"/>
    </row>
    <row r="733" spans="1:1" x14ac:dyDescent="0.25">
      <c r="A733" s="66"/>
    </row>
    <row r="734" spans="1:1" x14ac:dyDescent="0.25">
      <c r="A734" s="66"/>
    </row>
    <row r="735" spans="1:1" x14ac:dyDescent="0.25">
      <c r="A735" s="66"/>
    </row>
    <row r="736" spans="1:1" x14ac:dyDescent="0.25">
      <c r="A736" s="66"/>
    </row>
    <row r="737" spans="1:1" x14ac:dyDescent="0.25">
      <c r="A737" s="66"/>
    </row>
    <row r="738" spans="1:1" x14ac:dyDescent="0.25">
      <c r="A738" s="66"/>
    </row>
    <row r="739" spans="1:1" x14ac:dyDescent="0.25">
      <c r="A739" s="66"/>
    </row>
    <row r="740" spans="1:1" x14ac:dyDescent="0.25">
      <c r="A740" s="66"/>
    </row>
    <row r="741" spans="1:1" x14ac:dyDescent="0.25">
      <c r="A741" s="66"/>
    </row>
    <row r="742" spans="1:1" x14ac:dyDescent="0.25">
      <c r="A742" s="66"/>
    </row>
    <row r="743" spans="1:1" x14ac:dyDescent="0.25">
      <c r="A743" s="66"/>
    </row>
    <row r="744" spans="1:1" x14ac:dyDescent="0.25">
      <c r="A744" s="66"/>
    </row>
    <row r="745" spans="1:1" x14ac:dyDescent="0.25">
      <c r="A745" s="66"/>
    </row>
    <row r="746" spans="1:1" x14ac:dyDescent="0.25">
      <c r="A746" s="66"/>
    </row>
    <row r="747" spans="1:1" x14ac:dyDescent="0.25">
      <c r="A747" s="66"/>
    </row>
    <row r="748" spans="1:1" x14ac:dyDescent="0.25">
      <c r="A748" s="66"/>
    </row>
    <row r="749" spans="1:1" x14ac:dyDescent="0.25">
      <c r="A749" s="66"/>
    </row>
    <row r="750" spans="1:1" x14ac:dyDescent="0.25">
      <c r="A750" s="66"/>
    </row>
    <row r="751" spans="1:1" x14ac:dyDescent="0.25">
      <c r="A751" s="66"/>
    </row>
    <row r="752" spans="1:1" x14ac:dyDescent="0.25">
      <c r="A752" s="66"/>
    </row>
    <row r="753" spans="1:1" x14ac:dyDescent="0.25">
      <c r="A753" s="66"/>
    </row>
    <row r="754" spans="1:1" x14ac:dyDescent="0.25">
      <c r="A754" s="66"/>
    </row>
    <row r="755" spans="1:1" x14ac:dyDescent="0.25">
      <c r="A755" s="66"/>
    </row>
    <row r="756" spans="1:1" x14ac:dyDescent="0.25">
      <c r="A756" s="66"/>
    </row>
    <row r="757" spans="1:1" x14ac:dyDescent="0.25">
      <c r="A757" s="66"/>
    </row>
    <row r="758" spans="1:1" x14ac:dyDescent="0.25">
      <c r="A758" s="66"/>
    </row>
    <row r="759" spans="1:1" x14ac:dyDescent="0.25">
      <c r="A759" s="66"/>
    </row>
    <row r="760" spans="1:1" x14ac:dyDescent="0.25">
      <c r="A760" s="66"/>
    </row>
    <row r="761" spans="1:1" x14ac:dyDescent="0.25">
      <c r="A761" s="66"/>
    </row>
    <row r="762" spans="1:1" x14ac:dyDescent="0.25">
      <c r="A762" s="66"/>
    </row>
    <row r="763" spans="1:1" x14ac:dyDescent="0.25">
      <c r="A763" s="66"/>
    </row>
    <row r="764" spans="1:1" x14ac:dyDescent="0.25">
      <c r="A764" s="66"/>
    </row>
    <row r="765" spans="1:1" x14ac:dyDescent="0.25">
      <c r="A765" s="66"/>
    </row>
    <row r="766" spans="1:1" x14ac:dyDescent="0.25">
      <c r="A766" s="66"/>
    </row>
    <row r="767" spans="1:1" x14ac:dyDescent="0.25">
      <c r="A767" s="66"/>
    </row>
    <row r="768" spans="1:1" x14ac:dyDescent="0.25">
      <c r="A768" s="66"/>
    </row>
    <row r="769" spans="1:1" x14ac:dyDescent="0.25">
      <c r="A769" s="66"/>
    </row>
    <row r="770" spans="1:1" x14ac:dyDescent="0.25">
      <c r="A770" s="66"/>
    </row>
    <row r="771" spans="1:1" x14ac:dyDescent="0.25">
      <c r="A771" s="66"/>
    </row>
    <row r="772" spans="1:1" x14ac:dyDescent="0.25">
      <c r="A772" s="66"/>
    </row>
    <row r="773" spans="1:1" x14ac:dyDescent="0.25">
      <c r="A773" s="66"/>
    </row>
    <row r="774" spans="1:1" x14ac:dyDescent="0.25">
      <c r="A774" s="66"/>
    </row>
    <row r="775" spans="1:1" x14ac:dyDescent="0.25">
      <c r="A775" s="66"/>
    </row>
    <row r="776" spans="1:1" x14ac:dyDescent="0.25">
      <c r="A776" s="66"/>
    </row>
    <row r="777" spans="1:1" x14ac:dyDescent="0.25">
      <c r="A777" s="66"/>
    </row>
    <row r="778" spans="1:1" x14ac:dyDescent="0.25">
      <c r="A778" s="66"/>
    </row>
    <row r="779" spans="1:1" x14ac:dyDescent="0.25">
      <c r="A779" s="66"/>
    </row>
    <row r="780" spans="1:1" x14ac:dyDescent="0.25">
      <c r="A780" s="66"/>
    </row>
    <row r="781" spans="1:1" x14ac:dyDescent="0.25">
      <c r="A781" s="66"/>
    </row>
    <row r="782" spans="1:1" x14ac:dyDescent="0.25">
      <c r="A782" s="66"/>
    </row>
    <row r="783" spans="1:1" x14ac:dyDescent="0.25">
      <c r="A783" s="66"/>
    </row>
    <row r="784" spans="1:1" x14ac:dyDescent="0.25">
      <c r="A784" s="66"/>
    </row>
    <row r="785" spans="1:1" x14ac:dyDescent="0.25">
      <c r="A785" s="66"/>
    </row>
    <row r="786" spans="1:1" x14ac:dyDescent="0.25">
      <c r="A786" s="66"/>
    </row>
    <row r="787" spans="1:1" x14ac:dyDescent="0.25">
      <c r="A787" s="66"/>
    </row>
    <row r="788" spans="1:1" x14ac:dyDescent="0.25">
      <c r="A788" s="66"/>
    </row>
    <row r="789" spans="1:1" x14ac:dyDescent="0.25">
      <c r="A789" s="66"/>
    </row>
    <row r="790" spans="1:1" x14ac:dyDescent="0.25">
      <c r="A790" s="66"/>
    </row>
    <row r="791" spans="1:1" x14ac:dyDescent="0.25">
      <c r="A791" s="66"/>
    </row>
    <row r="792" spans="1:1" x14ac:dyDescent="0.25">
      <c r="A792" s="66"/>
    </row>
    <row r="793" spans="1:1" x14ac:dyDescent="0.25">
      <c r="A793" s="66"/>
    </row>
    <row r="794" spans="1:1" x14ac:dyDescent="0.25">
      <c r="A794" s="66"/>
    </row>
    <row r="795" spans="1:1" x14ac:dyDescent="0.25">
      <c r="A795" s="66"/>
    </row>
    <row r="796" spans="1:1" x14ac:dyDescent="0.25">
      <c r="A796" s="66"/>
    </row>
    <row r="797" spans="1:1" x14ac:dyDescent="0.25">
      <c r="A797" s="66"/>
    </row>
    <row r="798" spans="1:1" x14ac:dyDescent="0.25">
      <c r="A798" s="66"/>
    </row>
    <row r="799" spans="1:1" x14ac:dyDescent="0.25">
      <c r="A799" s="66"/>
    </row>
    <row r="800" spans="1:1" x14ac:dyDescent="0.25">
      <c r="A800" s="66"/>
    </row>
    <row r="801" spans="1:1" x14ac:dyDescent="0.25">
      <c r="A801" s="66"/>
    </row>
    <row r="802" spans="1:1" x14ac:dyDescent="0.25">
      <c r="A802" s="66"/>
    </row>
    <row r="803" spans="1:1" x14ac:dyDescent="0.25">
      <c r="A803" s="66"/>
    </row>
    <row r="804" spans="1:1" x14ac:dyDescent="0.25">
      <c r="A804" s="66"/>
    </row>
    <row r="805" spans="1:1" x14ac:dyDescent="0.25">
      <c r="A805" s="66"/>
    </row>
    <row r="806" spans="1:1" x14ac:dyDescent="0.25">
      <c r="A806" s="66"/>
    </row>
    <row r="807" spans="1:1" x14ac:dyDescent="0.25">
      <c r="A807" s="66"/>
    </row>
    <row r="808" spans="1:1" x14ac:dyDescent="0.25">
      <c r="A808" s="66"/>
    </row>
    <row r="809" spans="1:1" x14ac:dyDescent="0.25">
      <c r="A809" s="66"/>
    </row>
    <row r="810" spans="1:1" x14ac:dyDescent="0.25">
      <c r="A810" s="66"/>
    </row>
    <row r="811" spans="1:1" x14ac:dyDescent="0.25">
      <c r="A811" s="66"/>
    </row>
    <row r="812" spans="1:1" x14ac:dyDescent="0.25">
      <c r="A812" s="66"/>
    </row>
    <row r="813" spans="1:1" x14ac:dyDescent="0.25">
      <c r="A813" s="66"/>
    </row>
    <row r="814" spans="1:1" x14ac:dyDescent="0.25">
      <c r="A814" s="66"/>
    </row>
    <row r="815" spans="1:1" x14ac:dyDescent="0.25">
      <c r="A815" s="66"/>
    </row>
    <row r="816" spans="1:1" x14ac:dyDescent="0.25">
      <c r="A816" s="66"/>
    </row>
    <row r="817" spans="1:1" x14ac:dyDescent="0.25">
      <c r="A817" s="66"/>
    </row>
    <row r="818" spans="1:1" x14ac:dyDescent="0.25">
      <c r="A818" s="66"/>
    </row>
    <row r="819" spans="1:1" x14ac:dyDescent="0.25">
      <c r="A819" s="66"/>
    </row>
    <row r="820" spans="1:1" x14ac:dyDescent="0.25">
      <c r="A820" s="66"/>
    </row>
    <row r="821" spans="1:1" x14ac:dyDescent="0.25">
      <c r="A821" s="66"/>
    </row>
    <row r="822" spans="1:1" x14ac:dyDescent="0.25">
      <c r="A822" s="66"/>
    </row>
    <row r="823" spans="1:1" x14ac:dyDescent="0.25">
      <c r="A823" s="66"/>
    </row>
    <row r="824" spans="1:1" x14ac:dyDescent="0.25">
      <c r="A824" s="66"/>
    </row>
    <row r="825" spans="1:1" x14ac:dyDescent="0.25">
      <c r="A825" s="66"/>
    </row>
    <row r="826" spans="1:1" x14ac:dyDescent="0.25">
      <c r="A826" s="66"/>
    </row>
    <row r="827" spans="1:1" x14ac:dyDescent="0.25">
      <c r="A827" s="66"/>
    </row>
    <row r="828" spans="1:1" x14ac:dyDescent="0.25">
      <c r="A828" s="66"/>
    </row>
    <row r="829" spans="1:1" x14ac:dyDescent="0.25">
      <c r="A829" s="66"/>
    </row>
    <row r="830" spans="1:1" x14ac:dyDescent="0.25">
      <c r="A830" s="66"/>
    </row>
    <row r="831" spans="1:1" x14ac:dyDescent="0.25">
      <c r="A831" s="66"/>
    </row>
    <row r="832" spans="1:1" x14ac:dyDescent="0.25">
      <c r="A832" s="66"/>
    </row>
    <row r="833" spans="1:1" x14ac:dyDescent="0.25">
      <c r="A833" s="66"/>
    </row>
    <row r="834" spans="1:1" x14ac:dyDescent="0.25">
      <c r="A834" s="66"/>
    </row>
    <row r="835" spans="1:1" x14ac:dyDescent="0.25">
      <c r="A835" s="66"/>
    </row>
    <row r="836" spans="1:1" x14ac:dyDescent="0.25">
      <c r="A836" s="66"/>
    </row>
    <row r="837" spans="1:1" x14ac:dyDescent="0.25">
      <c r="A837" s="66"/>
    </row>
    <row r="838" spans="1:1" x14ac:dyDescent="0.25">
      <c r="A838" s="66"/>
    </row>
    <row r="839" spans="1:1" x14ac:dyDescent="0.25">
      <c r="A839" s="66"/>
    </row>
    <row r="840" spans="1:1" x14ac:dyDescent="0.25">
      <c r="A840" s="66"/>
    </row>
    <row r="841" spans="1:1" x14ac:dyDescent="0.25">
      <c r="A841" s="66"/>
    </row>
    <row r="842" spans="1:1" x14ac:dyDescent="0.25">
      <c r="A842" s="66"/>
    </row>
    <row r="843" spans="1:1" x14ac:dyDescent="0.25">
      <c r="A843" s="66"/>
    </row>
    <row r="844" spans="1:1" x14ac:dyDescent="0.25">
      <c r="A844" s="66"/>
    </row>
    <row r="845" spans="1:1" x14ac:dyDescent="0.25">
      <c r="A845" s="66"/>
    </row>
    <row r="846" spans="1:1" x14ac:dyDescent="0.25">
      <c r="A846" s="66"/>
    </row>
    <row r="847" spans="1:1" x14ac:dyDescent="0.25">
      <c r="A847" s="66"/>
    </row>
    <row r="848" spans="1:1" x14ac:dyDescent="0.25">
      <c r="A848" s="66"/>
    </row>
    <row r="849" spans="1:1" x14ac:dyDescent="0.25">
      <c r="A849" s="66"/>
    </row>
    <row r="850" spans="1:1" x14ac:dyDescent="0.25">
      <c r="A850" s="66"/>
    </row>
    <row r="851" spans="1:1" x14ac:dyDescent="0.25">
      <c r="A851" s="66"/>
    </row>
    <row r="852" spans="1:1" x14ac:dyDescent="0.25">
      <c r="A852" s="66"/>
    </row>
    <row r="853" spans="1:1" x14ac:dyDescent="0.25">
      <c r="A853" s="66"/>
    </row>
    <row r="854" spans="1:1" x14ac:dyDescent="0.25">
      <c r="A854" s="66"/>
    </row>
    <row r="855" spans="1:1" x14ac:dyDescent="0.25">
      <c r="A855" s="66"/>
    </row>
    <row r="856" spans="1:1" x14ac:dyDescent="0.25">
      <c r="A856" s="66"/>
    </row>
    <row r="857" spans="1:1" x14ac:dyDescent="0.25">
      <c r="A857" s="66"/>
    </row>
    <row r="858" spans="1:1" x14ac:dyDescent="0.25">
      <c r="A858" s="66"/>
    </row>
    <row r="859" spans="1:1" x14ac:dyDescent="0.25">
      <c r="A859" s="66"/>
    </row>
    <row r="860" spans="1:1" x14ac:dyDescent="0.25">
      <c r="A860" s="66"/>
    </row>
    <row r="861" spans="1:1" x14ac:dyDescent="0.25">
      <c r="A861" s="66"/>
    </row>
    <row r="862" spans="1:1" x14ac:dyDescent="0.25">
      <c r="A862" s="66"/>
    </row>
    <row r="863" spans="1:1" x14ac:dyDescent="0.25">
      <c r="A863" s="66"/>
    </row>
    <row r="864" spans="1:1" x14ac:dyDescent="0.25">
      <c r="A864" s="66"/>
    </row>
    <row r="865" spans="1:1" x14ac:dyDescent="0.25">
      <c r="A865" s="66"/>
    </row>
    <row r="866" spans="1:1" x14ac:dyDescent="0.25">
      <c r="A866" s="66"/>
    </row>
    <row r="867" spans="1:1" x14ac:dyDescent="0.25">
      <c r="A867" s="66"/>
    </row>
    <row r="868" spans="1:1" x14ac:dyDescent="0.25">
      <c r="A868" s="66"/>
    </row>
    <row r="869" spans="1:1" x14ac:dyDescent="0.25">
      <c r="A869" s="66"/>
    </row>
    <row r="870" spans="1:1" x14ac:dyDescent="0.25">
      <c r="A870" s="66"/>
    </row>
    <row r="871" spans="1:1" x14ac:dyDescent="0.25">
      <c r="A871" s="66"/>
    </row>
    <row r="872" spans="1:1" x14ac:dyDescent="0.25">
      <c r="A872" s="66"/>
    </row>
    <row r="873" spans="1:1" x14ac:dyDescent="0.25">
      <c r="A873" s="66"/>
    </row>
    <row r="874" spans="1:1" x14ac:dyDescent="0.25">
      <c r="A874" s="66"/>
    </row>
    <row r="875" spans="1:1" x14ac:dyDescent="0.25">
      <c r="A875" s="66"/>
    </row>
    <row r="876" spans="1:1" x14ac:dyDescent="0.25">
      <c r="A876" s="66"/>
    </row>
    <row r="877" spans="1:1" x14ac:dyDescent="0.25">
      <c r="A877" s="66"/>
    </row>
    <row r="878" spans="1:1" x14ac:dyDescent="0.25">
      <c r="A878" s="66"/>
    </row>
    <row r="879" spans="1:1" x14ac:dyDescent="0.25">
      <c r="A879" s="66"/>
    </row>
    <row r="880" spans="1:1" x14ac:dyDescent="0.25">
      <c r="A880" s="66"/>
    </row>
    <row r="881" spans="1:1" x14ac:dyDescent="0.25">
      <c r="A881" s="66"/>
    </row>
    <row r="882" spans="1:1" x14ac:dyDescent="0.25">
      <c r="A882" s="66"/>
    </row>
    <row r="883" spans="1:1" x14ac:dyDescent="0.25">
      <c r="A883" s="66"/>
    </row>
    <row r="884" spans="1:1" x14ac:dyDescent="0.25">
      <c r="A884" s="66"/>
    </row>
    <row r="885" spans="1:1" x14ac:dyDescent="0.25">
      <c r="A885" s="66"/>
    </row>
    <row r="886" spans="1:1" x14ac:dyDescent="0.25">
      <c r="A886" s="66"/>
    </row>
    <row r="887" spans="1:1" x14ac:dyDescent="0.25">
      <c r="A887" s="66"/>
    </row>
    <row r="888" spans="1:1" x14ac:dyDescent="0.25">
      <c r="A888" s="66"/>
    </row>
    <row r="889" spans="1:1" x14ac:dyDescent="0.25">
      <c r="A889" s="66"/>
    </row>
    <row r="890" spans="1:1" x14ac:dyDescent="0.25">
      <c r="A890" s="66"/>
    </row>
    <row r="891" spans="1:1" x14ac:dyDescent="0.25">
      <c r="A891" s="66"/>
    </row>
    <row r="892" spans="1:1" x14ac:dyDescent="0.25">
      <c r="A892" s="66"/>
    </row>
    <row r="893" spans="1:1" x14ac:dyDescent="0.25">
      <c r="A893" s="66"/>
    </row>
    <row r="894" spans="1:1" x14ac:dyDescent="0.25">
      <c r="A894" s="66"/>
    </row>
    <row r="895" spans="1:1" x14ac:dyDescent="0.25">
      <c r="A895" s="66"/>
    </row>
    <row r="896" spans="1:1" x14ac:dyDescent="0.25">
      <c r="A896" s="66"/>
    </row>
    <row r="897" spans="1:1" x14ac:dyDescent="0.25">
      <c r="A897" s="66"/>
    </row>
    <row r="898" spans="1:1" x14ac:dyDescent="0.25">
      <c r="A898" s="66"/>
    </row>
    <row r="899" spans="1:1" x14ac:dyDescent="0.25">
      <c r="A899" s="66"/>
    </row>
    <row r="900" spans="1:1" x14ac:dyDescent="0.25">
      <c r="A900" s="66"/>
    </row>
    <row r="901" spans="1:1" x14ac:dyDescent="0.25">
      <c r="A901" s="66"/>
    </row>
    <row r="902" spans="1:1" x14ac:dyDescent="0.25">
      <c r="A902" s="66"/>
    </row>
    <row r="903" spans="1:1" x14ac:dyDescent="0.25">
      <c r="A903" s="66"/>
    </row>
    <row r="904" spans="1:1" x14ac:dyDescent="0.25">
      <c r="A904" s="66"/>
    </row>
    <row r="905" spans="1:1" x14ac:dyDescent="0.25">
      <c r="A905" s="66"/>
    </row>
    <row r="906" spans="1:1" x14ac:dyDescent="0.25">
      <c r="A906" s="66"/>
    </row>
    <row r="907" spans="1:1" x14ac:dyDescent="0.25">
      <c r="A907" s="66"/>
    </row>
    <row r="908" spans="1:1" x14ac:dyDescent="0.25">
      <c r="A908" s="66"/>
    </row>
    <row r="909" spans="1:1" x14ac:dyDescent="0.25">
      <c r="A909" s="66"/>
    </row>
    <row r="910" spans="1:1" x14ac:dyDescent="0.25">
      <c r="A910" s="66"/>
    </row>
    <row r="911" spans="1:1" x14ac:dyDescent="0.25">
      <c r="A911" s="66"/>
    </row>
    <row r="912" spans="1:1" x14ac:dyDescent="0.25">
      <c r="A912" s="66"/>
    </row>
    <row r="913" spans="1:1" x14ac:dyDescent="0.25">
      <c r="A913" s="66"/>
    </row>
    <row r="914" spans="1:1" x14ac:dyDescent="0.25">
      <c r="A914" s="66"/>
    </row>
    <row r="915" spans="1:1" x14ac:dyDescent="0.25">
      <c r="A915" s="66"/>
    </row>
    <row r="916" spans="1:1" x14ac:dyDescent="0.25">
      <c r="A916" s="66"/>
    </row>
    <row r="917" spans="1:1" x14ac:dyDescent="0.25">
      <c r="A917" s="66"/>
    </row>
    <row r="918" spans="1:1" x14ac:dyDescent="0.25">
      <c r="A918" s="66"/>
    </row>
    <row r="919" spans="1:1" x14ac:dyDescent="0.25">
      <c r="A919" s="66"/>
    </row>
    <row r="920" spans="1:1" x14ac:dyDescent="0.25">
      <c r="A920" s="66"/>
    </row>
    <row r="921" spans="1:1" x14ac:dyDescent="0.25">
      <c r="A921" s="66"/>
    </row>
    <row r="922" spans="1:1" x14ac:dyDescent="0.25">
      <c r="A922" s="66"/>
    </row>
    <row r="923" spans="1:1" x14ac:dyDescent="0.25">
      <c r="A923" s="66"/>
    </row>
    <row r="924" spans="1:1" x14ac:dyDescent="0.25">
      <c r="A924" s="66"/>
    </row>
    <row r="925" spans="1:1" x14ac:dyDescent="0.25">
      <c r="A925" s="66"/>
    </row>
    <row r="926" spans="1:1" x14ac:dyDescent="0.25">
      <c r="A926" s="66"/>
    </row>
    <row r="927" spans="1:1" x14ac:dyDescent="0.25">
      <c r="A927" s="66"/>
    </row>
    <row r="928" spans="1:1" x14ac:dyDescent="0.25">
      <c r="A928" s="66"/>
    </row>
    <row r="929" spans="1:1" x14ac:dyDescent="0.25">
      <c r="A929" s="66"/>
    </row>
    <row r="930" spans="1:1" x14ac:dyDescent="0.25">
      <c r="A930" s="66"/>
    </row>
    <row r="931" spans="1:1" x14ac:dyDescent="0.25">
      <c r="A931" s="66"/>
    </row>
    <row r="932" spans="1:1" x14ac:dyDescent="0.25">
      <c r="A932" s="66"/>
    </row>
    <row r="933" spans="1:1" x14ac:dyDescent="0.25">
      <c r="A933" s="66"/>
    </row>
    <row r="934" spans="1:1" x14ac:dyDescent="0.25">
      <c r="A934" s="66"/>
    </row>
    <row r="935" spans="1:1" x14ac:dyDescent="0.25">
      <c r="A935" s="66"/>
    </row>
    <row r="936" spans="1:1" x14ac:dyDescent="0.25">
      <c r="A936" s="66"/>
    </row>
    <row r="937" spans="1:1" x14ac:dyDescent="0.25">
      <c r="A937" s="66"/>
    </row>
    <row r="938" spans="1:1" x14ac:dyDescent="0.25">
      <c r="A938" s="66"/>
    </row>
    <row r="939" spans="1:1" x14ac:dyDescent="0.25">
      <c r="A939" s="66"/>
    </row>
    <row r="940" spans="1:1" x14ac:dyDescent="0.25">
      <c r="A940" s="66"/>
    </row>
    <row r="941" spans="1:1" x14ac:dyDescent="0.25">
      <c r="A941" s="66"/>
    </row>
    <row r="942" spans="1:1" x14ac:dyDescent="0.25">
      <c r="A942" s="66"/>
    </row>
    <row r="943" spans="1:1" x14ac:dyDescent="0.25">
      <c r="A943" s="66"/>
    </row>
    <row r="944" spans="1:1" x14ac:dyDescent="0.25">
      <c r="A944" s="66"/>
    </row>
    <row r="945" spans="1:1" x14ac:dyDescent="0.25">
      <c r="A945" s="66"/>
    </row>
    <row r="946" spans="1:1" x14ac:dyDescent="0.25">
      <c r="A946" s="66"/>
    </row>
    <row r="947" spans="1:1" x14ac:dyDescent="0.25">
      <c r="A947" s="66"/>
    </row>
    <row r="948" spans="1:1" x14ac:dyDescent="0.25">
      <c r="A948" s="66"/>
    </row>
    <row r="949" spans="1:1" x14ac:dyDescent="0.25">
      <c r="A949" s="66"/>
    </row>
    <row r="950" spans="1:1" x14ac:dyDescent="0.25">
      <c r="A950" s="66"/>
    </row>
    <row r="951" spans="1:1" x14ac:dyDescent="0.25">
      <c r="A951" s="66"/>
    </row>
    <row r="952" spans="1:1" x14ac:dyDescent="0.25">
      <c r="A952" s="66"/>
    </row>
    <row r="953" spans="1:1" x14ac:dyDescent="0.25">
      <c r="A953" s="66"/>
    </row>
    <row r="954" spans="1:1" x14ac:dyDescent="0.25">
      <c r="A954" s="66"/>
    </row>
    <row r="955" spans="1:1" x14ac:dyDescent="0.25">
      <c r="A955" s="66"/>
    </row>
    <row r="956" spans="1:1" x14ac:dyDescent="0.25">
      <c r="A956" s="66"/>
    </row>
    <row r="957" spans="1:1" x14ac:dyDescent="0.25">
      <c r="A957" s="66"/>
    </row>
    <row r="958" spans="1:1" x14ac:dyDescent="0.25">
      <c r="A958" s="66"/>
    </row>
    <row r="959" spans="1:1" x14ac:dyDescent="0.25">
      <c r="A959" s="66"/>
    </row>
    <row r="960" spans="1:1" x14ac:dyDescent="0.25">
      <c r="A960" s="66"/>
    </row>
    <row r="961" spans="1:1" x14ac:dyDescent="0.25">
      <c r="A961" s="66"/>
    </row>
    <row r="962" spans="1:1" x14ac:dyDescent="0.25">
      <c r="A962" s="66"/>
    </row>
    <row r="963" spans="1:1" x14ac:dyDescent="0.25">
      <c r="A963" s="66"/>
    </row>
    <row r="964" spans="1:1" x14ac:dyDescent="0.25">
      <c r="A964" s="66"/>
    </row>
    <row r="965" spans="1:1" x14ac:dyDescent="0.25">
      <c r="A965" s="66"/>
    </row>
    <row r="966" spans="1:1" x14ac:dyDescent="0.25">
      <c r="A966" s="66"/>
    </row>
    <row r="967" spans="1:1" x14ac:dyDescent="0.25">
      <c r="A967" s="66"/>
    </row>
    <row r="968" spans="1:1" x14ac:dyDescent="0.25">
      <c r="A968" s="66"/>
    </row>
    <row r="969" spans="1:1" x14ac:dyDescent="0.25">
      <c r="A969" s="66"/>
    </row>
    <row r="970" spans="1:1" x14ac:dyDescent="0.25">
      <c r="A970" s="66"/>
    </row>
    <row r="971" spans="1:1" x14ac:dyDescent="0.25">
      <c r="A971" s="66"/>
    </row>
    <row r="972" spans="1:1" x14ac:dyDescent="0.25">
      <c r="A972" s="66"/>
    </row>
    <row r="973" spans="1:1" x14ac:dyDescent="0.25">
      <c r="A973" s="66"/>
    </row>
    <row r="974" spans="1:1" x14ac:dyDescent="0.25">
      <c r="A974" s="66"/>
    </row>
    <row r="975" spans="1:1" x14ac:dyDescent="0.25">
      <c r="A975" s="66"/>
    </row>
    <row r="976" spans="1:1" x14ac:dyDescent="0.25">
      <c r="A976" s="66"/>
    </row>
    <row r="977" spans="1:1" x14ac:dyDescent="0.25">
      <c r="A977" s="66"/>
    </row>
    <row r="978" spans="1:1" x14ac:dyDescent="0.25">
      <c r="A978" s="66"/>
    </row>
    <row r="979" spans="1:1" x14ac:dyDescent="0.25">
      <c r="A979" s="66"/>
    </row>
    <row r="980" spans="1:1" x14ac:dyDescent="0.25">
      <c r="A980" s="66"/>
    </row>
    <row r="981" spans="1:1" x14ac:dyDescent="0.25">
      <c r="A981" s="66"/>
    </row>
    <row r="982" spans="1:1" x14ac:dyDescent="0.25">
      <c r="A982" s="66"/>
    </row>
    <row r="983" spans="1:1" x14ac:dyDescent="0.25">
      <c r="A983" s="66"/>
    </row>
    <row r="984" spans="1:1" x14ac:dyDescent="0.25">
      <c r="A984" s="66"/>
    </row>
    <row r="985" spans="1:1" x14ac:dyDescent="0.25">
      <c r="A985" s="66"/>
    </row>
    <row r="986" spans="1:1" x14ac:dyDescent="0.25">
      <c r="A986" s="66"/>
    </row>
    <row r="987" spans="1:1" x14ac:dyDescent="0.25">
      <c r="A987" s="66"/>
    </row>
    <row r="988" spans="1:1" x14ac:dyDescent="0.25">
      <c r="A988" s="66"/>
    </row>
    <row r="989" spans="1:1" x14ac:dyDescent="0.25">
      <c r="A989" s="66"/>
    </row>
    <row r="990" spans="1:1" x14ac:dyDescent="0.25">
      <c r="A990" s="66"/>
    </row>
    <row r="991" spans="1:1" x14ac:dyDescent="0.25">
      <c r="A991" s="66"/>
    </row>
    <row r="992" spans="1:1" x14ac:dyDescent="0.25">
      <c r="A992" s="66"/>
    </row>
    <row r="993" spans="1:1" x14ac:dyDescent="0.25">
      <c r="A993" s="66"/>
    </row>
    <row r="994" spans="1:1" x14ac:dyDescent="0.25">
      <c r="A994" s="66"/>
    </row>
    <row r="995" spans="1:1" x14ac:dyDescent="0.25">
      <c r="A995" s="66"/>
    </row>
    <row r="996" spans="1:1" x14ac:dyDescent="0.25">
      <c r="A996" s="66"/>
    </row>
    <row r="997" spans="1:1" x14ac:dyDescent="0.25">
      <c r="A997" s="66"/>
    </row>
    <row r="998" spans="1:1" x14ac:dyDescent="0.25">
      <c r="A998" s="66"/>
    </row>
    <row r="999" spans="1:1" x14ac:dyDescent="0.25">
      <c r="A999" s="66"/>
    </row>
    <row r="1000" spans="1:1" x14ac:dyDescent="0.25">
      <c r="A1000" s="66"/>
    </row>
    <row r="1001" spans="1:1" x14ac:dyDescent="0.25">
      <c r="A1001" s="66"/>
    </row>
    <row r="1002" spans="1:1" x14ac:dyDescent="0.25">
      <c r="A1002" s="66"/>
    </row>
    <row r="1003" spans="1:1" x14ac:dyDescent="0.25">
      <c r="A1003" s="66"/>
    </row>
    <row r="1004" spans="1:1" x14ac:dyDescent="0.25">
      <c r="A1004" s="66"/>
    </row>
    <row r="1005" spans="1:1" x14ac:dyDescent="0.25">
      <c r="A1005" s="66"/>
    </row>
    <row r="1006" spans="1:1" x14ac:dyDescent="0.25">
      <c r="A1006" s="66"/>
    </row>
    <row r="1007" spans="1:1" x14ac:dyDescent="0.25">
      <c r="A1007" s="66"/>
    </row>
    <row r="1008" spans="1:1" x14ac:dyDescent="0.25">
      <c r="A1008" s="66"/>
    </row>
    <row r="1009" spans="1:1" x14ac:dyDescent="0.25">
      <c r="A1009" s="66"/>
    </row>
    <row r="1010" spans="1:1" x14ac:dyDescent="0.25">
      <c r="A1010" s="66"/>
    </row>
    <row r="1011" spans="1:1" x14ac:dyDescent="0.25">
      <c r="A1011" s="66"/>
    </row>
    <row r="1012" spans="1:1" x14ac:dyDescent="0.25">
      <c r="A1012" s="66"/>
    </row>
    <row r="1013" spans="1:1" x14ac:dyDescent="0.25">
      <c r="A1013" s="66"/>
    </row>
    <row r="1014" spans="1:1" x14ac:dyDescent="0.25">
      <c r="A1014" s="66"/>
    </row>
    <row r="1015" spans="1:1" x14ac:dyDescent="0.25">
      <c r="A1015" s="66"/>
    </row>
    <row r="1016" spans="1:1" x14ac:dyDescent="0.25">
      <c r="A1016" s="66"/>
    </row>
    <row r="1017" spans="1:1" x14ac:dyDescent="0.25">
      <c r="A1017" s="66"/>
    </row>
    <row r="1018" spans="1:1" x14ac:dyDescent="0.25">
      <c r="A1018" s="66"/>
    </row>
    <row r="1019" spans="1:1" x14ac:dyDescent="0.25">
      <c r="A1019" s="66"/>
    </row>
    <row r="1020" spans="1:1" x14ac:dyDescent="0.25">
      <c r="A1020" s="66"/>
    </row>
    <row r="1021" spans="1:1" x14ac:dyDescent="0.25">
      <c r="A1021" s="66"/>
    </row>
    <row r="1022" spans="1:1" x14ac:dyDescent="0.25">
      <c r="A1022" s="66"/>
    </row>
    <row r="1023" spans="1:1" x14ac:dyDescent="0.25">
      <c r="A1023" s="66"/>
    </row>
    <row r="1024" spans="1:1" x14ac:dyDescent="0.25">
      <c r="A1024" s="66"/>
    </row>
    <row r="1025" spans="1:1" x14ac:dyDescent="0.25">
      <c r="A1025" s="66"/>
    </row>
    <row r="1026" spans="1:1" x14ac:dyDescent="0.25">
      <c r="A1026" s="66"/>
    </row>
    <row r="1027" spans="1:1" x14ac:dyDescent="0.25">
      <c r="A1027" s="66"/>
    </row>
    <row r="1028" spans="1:1" x14ac:dyDescent="0.25">
      <c r="A1028" s="66"/>
    </row>
    <row r="1029" spans="1:1" x14ac:dyDescent="0.25">
      <c r="A1029" s="66"/>
    </row>
    <row r="1030" spans="1:1" x14ac:dyDescent="0.25">
      <c r="A1030" s="66"/>
    </row>
    <row r="1031" spans="1:1" x14ac:dyDescent="0.25">
      <c r="A1031" s="66"/>
    </row>
    <row r="1032" spans="1:1" x14ac:dyDescent="0.25">
      <c r="A1032" s="66"/>
    </row>
    <row r="1033" spans="1:1" x14ac:dyDescent="0.25">
      <c r="A1033" s="66"/>
    </row>
    <row r="1034" spans="1:1" x14ac:dyDescent="0.25">
      <c r="A1034" s="66"/>
    </row>
    <row r="1035" spans="1:1" x14ac:dyDescent="0.25">
      <c r="A1035" s="66"/>
    </row>
    <row r="1036" spans="1:1" x14ac:dyDescent="0.25">
      <c r="A1036" s="66"/>
    </row>
    <row r="1037" spans="1:1" x14ac:dyDescent="0.25">
      <c r="A1037" s="66"/>
    </row>
    <row r="1038" spans="1:1" x14ac:dyDescent="0.25">
      <c r="A1038" s="66"/>
    </row>
    <row r="1039" spans="1:1" x14ac:dyDescent="0.25">
      <c r="A1039" s="66"/>
    </row>
    <row r="1040" spans="1:1" x14ac:dyDescent="0.25">
      <c r="A1040" s="66"/>
    </row>
    <row r="1041" spans="1:1" x14ac:dyDescent="0.25">
      <c r="A1041" s="66"/>
    </row>
    <row r="1042" spans="1:1" x14ac:dyDescent="0.25">
      <c r="A1042" s="66"/>
    </row>
    <row r="1043" spans="1:1" x14ac:dyDescent="0.25">
      <c r="A1043" s="66"/>
    </row>
    <row r="1044" spans="1:1" x14ac:dyDescent="0.25">
      <c r="A1044" s="66"/>
    </row>
    <row r="1045" spans="1:1" x14ac:dyDescent="0.25">
      <c r="A1045" s="66"/>
    </row>
    <row r="1046" spans="1:1" x14ac:dyDescent="0.25">
      <c r="A1046" s="66"/>
    </row>
    <row r="1047" spans="1:1" x14ac:dyDescent="0.25">
      <c r="A1047" s="66"/>
    </row>
    <row r="1048" spans="1:1" x14ac:dyDescent="0.25">
      <c r="A1048" s="66"/>
    </row>
    <row r="1049" spans="1:1" x14ac:dyDescent="0.25">
      <c r="A1049" s="66"/>
    </row>
    <row r="1050" spans="1:1" x14ac:dyDescent="0.25">
      <c r="A1050" s="66"/>
    </row>
    <row r="1051" spans="1:1" x14ac:dyDescent="0.25">
      <c r="A1051" s="66"/>
    </row>
    <row r="1052" spans="1:1" x14ac:dyDescent="0.25">
      <c r="A1052" s="66"/>
    </row>
    <row r="1053" spans="1:1" x14ac:dyDescent="0.25">
      <c r="A1053" s="66"/>
    </row>
    <row r="1054" spans="1:1" x14ac:dyDescent="0.25">
      <c r="A1054" s="66"/>
    </row>
    <row r="1055" spans="1:1" x14ac:dyDescent="0.25">
      <c r="A1055" s="66"/>
    </row>
    <row r="1056" spans="1:1" x14ac:dyDescent="0.25">
      <c r="A1056" s="66"/>
    </row>
    <row r="1057" spans="1:1" x14ac:dyDescent="0.25">
      <c r="A1057" s="66"/>
    </row>
    <row r="1058" spans="1:1" x14ac:dyDescent="0.25">
      <c r="A1058" s="66"/>
    </row>
    <row r="1059" spans="1:1" x14ac:dyDescent="0.25">
      <c r="A1059" s="66"/>
    </row>
    <row r="1060" spans="1:1" x14ac:dyDescent="0.25">
      <c r="A1060" s="66"/>
    </row>
    <row r="1061" spans="1:1" x14ac:dyDescent="0.25">
      <c r="A1061" s="66"/>
    </row>
    <row r="1062" spans="1:1" x14ac:dyDescent="0.25">
      <c r="A1062" s="66"/>
    </row>
    <row r="1063" spans="1:1" x14ac:dyDescent="0.25">
      <c r="A1063" s="66"/>
    </row>
    <row r="1064" spans="1:1" x14ac:dyDescent="0.25">
      <c r="A1064" s="66"/>
    </row>
    <row r="1065" spans="1:1" x14ac:dyDescent="0.25">
      <c r="A1065" s="66"/>
    </row>
    <row r="1066" spans="1:1" x14ac:dyDescent="0.25">
      <c r="A1066" s="66"/>
    </row>
    <row r="1067" spans="1:1" x14ac:dyDescent="0.25">
      <c r="A1067" s="66"/>
    </row>
    <row r="1068" spans="1:1" x14ac:dyDescent="0.25">
      <c r="A1068" s="66"/>
    </row>
    <row r="1069" spans="1:1" x14ac:dyDescent="0.25">
      <c r="A1069" s="66"/>
    </row>
    <row r="1070" spans="1:1" x14ac:dyDescent="0.25">
      <c r="A1070" s="66"/>
    </row>
    <row r="1071" spans="1:1" x14ac:dyDescent="0.25">
      <c r="A1071" s="66"/>
    </row>
    <row r="1072" spans="1:1" x14ac:dyDescent="0.25">
      <c r="A1072" s="66"/>
    </row>
    <row r="1073" spans="1:1" x14ac:dyDescent="0.25">
      <c r="A1073" s="66"/>
    </row>
    <row r="1074" spans="1:1" x14ac:dyDescent="0.25">
      <c r="A1074" s="66"/>
    </row>
    <row r="1075" spans="1:1" x14ac:dyDescent="0.25">
      <c r="A1075" s="66"/>
    </row>
    <row r="1076" spans="1:1" x14ac:dyDescent="0.25">
      <c r="A1076" s="66"/>
    </row>
    <row r="1077" spans="1:1" x14ac:dyDescent="0.25">
      <c r="A1077" s="66"/>
    </row>
    <row r="1078" spans="1:1" x14ac:dyDescent="0.25">
      <c r="A1078" s="66"/>
    </row>
    <row r="1079" spans="1:1" x14ac:dyDescent="0.25">
      <c r="A1079" s="66"/>
    </row>
    <row r="1080" spans="1:1" x14ac:dyDescent="0.25">
      <c r="A1080" s="66"/>
    </row>
    <row r="1081" spans="1:1" x14ac:dyDescent="0.25">
      <c r="A1081" s="66"/>
    </row>
    <row r="1082" spans="1:1" x14ac:dyDescent="0.25">
      <c r="A1082" s="66"/>
    </row>
    <row r="1083" spans="1:1" x14ac:dyDescent="0.25">
      <c r="A1083" s="66"/>
    </row>
    <row r="1084" spans="1:1" x14ac:dyDescent="0.25">
      <c r="A1084" s="66"/>
    </row>
    <row r="1085" spans="1:1" x14ac:dyDescent="0.25">
      <c r="A1085" s="66"/>
    </row>
    <row r="1086" spans="1:1" x14ac:dyDescent="0.25">
      <c r="A1086" s="66"/>
    </row>
    <row r="1087" spans="1:1" x14ac:dyDescent="0.25">
      <c r="A1087" s="66"/>
    </row>
    <row r="1088" spans="1:1" x14ac:dyDescent="0.25">
      <c r="A1088" s="66"/>
    </row>
    <row r="1089" spans="1:1" x14ac:dyDescent="0.25">
      <c r="A1089" s="66"/>
    </row>
    <row r="1090" spans="1:1" x14ac:dyDescent="0.25">
      <c r="A1090" s="66"/>
    </row>
    <row r="1091" spans="1:1" x14ac:dyDescent="0.25">
      <c r="A1091" s="66"/>
    </row>
    <row r="1092" spans="1:1" x14ac:dyDescent="0.25">
      <c r="A1092" s="66"/>
    </row>
    <row r="1093" spans="1:1" x14ac:dyDescent="0.25">
      <c r="A1093" s="66"/>
    </row>
    <row r="1094" spans="1:1" x14ac:dyDescent="0.25">
      <c r="A1094" s="66"/>
    </row>
    <row r="1095" spans="1:1" x14ac:dyDescent="0.25">
      <c r="A1095" s="66"/>
    </row>
    <row r="1096" spans="1:1" x14ac:dyDescent="0.25">
      <c r="A1096" s="66"/>
    </row>
    <row r="1097" spans="1:1" x14ac:dyDescent="0.25">
      <c r="A1097" s="66"/>
    </row>
    <row r="1098" spans="1:1" x14ac:dyDescent="0.25">
      <c r="A1098" s="66"/>
    </row>
    <row r="1099" spans="1:1" x14ac:dyDescent="0.25">
      <c r="A1099" s="66"/>
    </row>
    <row r="1100" spans="1:1" x14ac:dyDescent="0.25">
      <c r="A1100" s="66"/>
    </row>
    <row r="1101" spans="1:1" x14ac:dyDescent="0.25">
      <c r="A1101" s="66"/>
    </row>
    <row r="1102" spans="1:1" x14ac:dyDescent="0.25">
      <c r="A1102" s="66"/>
    </row>
    <row r="1103" spans="1:1" x14ac:dyDescent="0.25">
      <c r="A1103" s="66"/>
    </row>
    <row r="1104" spans="1:1" x14ac:dyDescent="0.25">
      <c r="A1104" s="66"/>
    </row>
    <row r="1105" spans="1:1" x14ac:dyDescent="0.25">
      <c r="A1105" s="66"/>
    </row>
    <row r="1106" spans="1:1" x14ac:dyDescent="0.25">
      <c r="A1106" s="66"/>
    </row>
    <row r="1107" spans="1:1" x14ac:dyDescent="0.25">
      <c r="A1107" s="66"/>
    </row>
    <row r="1108" spans="1:1" x14ac:dyDescent="0.25">
      <c r="A1108" s="66"/>
    </row>
    <row r="1109" spans="1:1" x14ac:dyDescent="0.25">
      <c r="A1109" s="66"/>
    </row>
    <row r="1110" spans="1:1" x14ac:dyDescent="0.25">
      <c r="A1110" s="66"/>
    </row>
    <row r="1111" spans="1:1" x14ac:dyDescent="0.25">
      <c r="A1111" s="66"/>
    </row>
    <row r="1112" spans="1:1" x14ac:dyDescent="0.25">
      <c r="A1112" s="66"/>
    </row>
    <row r="1113" spans="1:1" x14ac:dyDescent="0.25">
      <c r="A1113" s="66"/>
    </row>
    <row r="1114" spans="1:1" x14ac:dyDescent="0.25">
      <c r="A1114" s="66"/>
    </row>
    <row r="1115" spans="1:1" x14ac:dyDescent="0.25">
      <c r="A1115" s="66"/>
    </row>
    <row r="1116" spans="1:1" x14ac:dyDescent="0.25">
      <c r="A1116" s="66"/>
    </row>
    <row r="1117" spans="1:1" x14ac:dyDescent="0.25">
      <c r="A1117" s="66"/>
    </row>
    <row r="1118" spans="1:1" x14ac:dyDescent="0.25">
      <c r="A1118" s="66"/>
    </row>
    <row r="1119" spans="1:1" x14ac:dyDescent="0.25">
      <c r="A1119" s="66"/>
    </row>
    <row r="1120" spans="1:1" x14ac:dyDescent="0.25">
      <c r="A1120" s="66"/>
    </row>
    <row r="1121" spans="1:1" x14ac:dyDescent="0.25">
      <c r="A1121" s="66"/>
    </row>
    <row r="1122" spans="1:1" x14ac:dyDescent="0.25">
      <c r="A1122" s="66"/>
    </row>
    <row r="1123" spans="1:1" x14ac:dyDescent="0.25">
      <c r="A1123" s="66"/>
    </row>
    <row r="1124" spans="1:1" x14ac:dyDescent="0.25">
      <c r="A1124" s="66"/>
    </row>
    <row r="1125" spans="1:1" x14ac:dyDescent="0.25">
      <c r="A1125" s="66"/>
    </row>
    <row r="1126" spans="1:1" x14ac:dyDescent="0.25">
      <c r="A1126" s="66"/>
    </row>
    <row r="1127" spans="1:1" x14ac:dyDescent="0.25">
      <c r="A1127" s="66"/>
    </row>
    <row r="1128" spans="1:1" x14ac:dyDescent="0.25">
      <c r="A1128" s="66"/>
    </row>
    <row r="1129" spans="1:1" x14ac:dyDescent="0.25">
      <c r="A1129" s="66"/>
    </row>
    <row r="1130" spans="1:1" x14ac:dyDescent="0.25">
      <c r="A1130" s="66"/>
    </row>
    <row r="1131" spans="1:1" x14ac:dyDescent="0.25">
      <c r="A1131" s="66"/>
    </row>
    <row r="1132" spans="1:1" x14ac:dyDescent="0.25">
      <c r="A1132" s="66"/>
    </row>
    <row r="1133" spans="1:1" x14ac:dyDescent="0.25">
      <c r="A1133" s="66"/>
    </row>
    <row r="1134" spans="1:1" x14ac:dyDescent="0.25">
      <c r="A1134" s="66"/>
    </row>
    <row r="1135" spans="1:1" x14ac:dyDescent="0.25">
      <c r="A1135" s="66"/>
    </row>
    <row r="1136" spans="1:1" x14ac:dyDescent="0.25">
      <c r="A1136" s="66"/>
    </row>
    <row r="1137" spans="1:1" x14ac:dyDescent="0.25">
      <c r="A1137" s="66"/>
    </row>
    <row r="1138" spans="1:1" x14ac:dyDescent="0.25">
      <c r="A1138" s="66"/>
    </row>
    <row r="1139" spans="1:1" x14ac:dyDescent="0.25">
      <c r="A1139" s="66"/>
    </row>
    <row r="1140" spans="1:1" x14ac:dyDescent="0.25">
      <c r="A1140" s="66"/>
    </row>
    <row r="1141" spans="1:1" x14ac:dyDescent="0.25">
      <c r="A1141" s="66"/>
    </row>
    <row r="1142" spans="1:1" x14ac:dyDescent="0.25">
      <c r="A1142" s="66"/>
    </row>
    <row r="1143" spans="1:1" x14ac:dyDescent="0.25">
      <c r="A1143" s="66"/>
    </row>
    <row r="1144" spans="1:1" x14ac:dyDescent="0.25">
      <c r="A1144" s="66"/>
    </row>
    <row r="1145" spans="1:1" x14ac:dyDescent="0.25">
      <c r="A1145" s="66"/>
    </row>
    <row r="1146" spans="1:1" x14ac:dyDescent="0.25">
      <c r="A1146" s="66"/>
    </row>
    <row r="1147" spans="1:1" x14ac:dyDescent="0.25">
      <c r="A1147" s="66"/>
    </row>
    <row r="1148" spans="1:1" x14ac:dyDescent="0.25">
      <c r="A1148" s="66"/>
    </row>
    <row r="1149" spans="1:1" x14ac:dyDescent="0.25">
      <c r="A1149" s="66"/>
    </row>
    <row r="1150" spans="1:1" x14ac:dyDescent="0.25">
      <c r="A1150" s="66"/>
    </row>
    <row r="1151" spans="1:1" x14ac:dyDescent="0.25">
      <c r="A1151" s="66"/>
    </row>
    <row r="1152" spans="1:1" x14ac:dyDescent="0.25">
      <c r="A1152" s="66"/>
    </row>
    <row r="1153" spans="1:1" x14ac:dyDescent="0.25">
      <c r="A1153" s="66"/>
    </row>
    <row r="1154" spans="1:1" x14ac:dyDescent="0.25">
      <c r="A1154" s="66"/>
    </row>
    <row r="1155" spans="1:1" x14ac:dyDescent="0.25">
      <c r="A1155" s="66"/>
    </row>
    <row r="1156" spans="1:1" x14ac:dyDescent="0.25">
      <c r="A1156" s="66"/>
    </row>
    <row r="1157" spans="1:1" x14ac:dyDescent="0.25">
      <c r="A1157" s="66"/>
    </row>
    <row r="1158" spans="1:1" x14ac:dyDescent="0.25">
      <c r="A1158" s="66"/>
    </row>
    <row r="1159" spans="1:1" x14ac:dyDescent="0.25">
      <c r="A1159" s="66"/>
    </row>
    <row r="1160" spans="1:1" x14ac:dyDescent="0.25">
      <c r="A1160" s="66"/>
    </row>
    <row r="1161" spans="1:1" x14ac:dyDescent="0.25">
      <c r="A1161" s="66"/>
    </row>
    <row r="1162" spans="1:1" x14ac:dyDescent="0.25">
      <c r="A1162" s="66"/>
    </row>
    <row r="1163" spans="1:1" x14ac:dyDescent="0.25">
      <c r="A1163" s="66"/>
    </row>
    <row r="1164" spans="1:1" x14ac:dyDescent="0.25">
      <c r="A1164" s="66"/>
    </row>
    <row r="1165" spans="1:1" x14ac:dyDescent="0.25">
      <c r="A1165" s="66"/>
    </row>
    <row r="1166" spans="1:1" x14ac:dyDescent="0.25">
      <c r="A1166" s="66"/>
    </row>
    <row r="1167" spans="1:1" x14ac:dyDescent="0.25">
      <c r="A1167" s="66"/>
    </row>
    <row r="1168" spans="1:1" x14ac:dyDescent="0.25">
      <c r="A1168" s="66"/>
    </row>
    <row r="1169" spans="1:1" x14ac:dyDescent="0.25">
      <c r="A1169" s="66"/>
    </row>
    <row r="1170" spans="1:1" x14ac:dyDescent="0.25">
      <c r="A1170" s="66"/>
    </row>
    <row r="1171" spans="1:1" x14ac:dyDescent="0.25">
      <c r="A1171" s="66"/>
    </row>
    <row r="1172" spans="1:1" x14ac:dyDescent="0.25">
      <c r="A1172" s="66"/>
    </row>
    <row r="1173" spans="1:1" x14ac:dyDescent="0.25">
      <c r="A1173" s="66"/>
    </row>
    <row r="1174" spans="1:1" x14ac:dyDescent="0.25">
      <c r="A1174" s="66"/>
    </row>
    <row r="1175" spans="1:1" x14ac:dyDescent="0.25">
      <c r="A1175" s="66"/>
    </row>
    <row r="1176" spans="1:1" x14ac:dyDescent="0.25">
      <c r="A1176" s="66"/>
    </row>
    <row r="1177" spans="1:1" x14ac:dyDescent="0.25">
      <c r="A1177" s="66"/>
    </row>
    <row r="1178" spans="1:1" x14ac:dyDescent="0.25">
      <c r="A1178" s="66"/>
    </row>
    <row r="1179" spans="1:1" x14ac:dyDescent="0.25">
      <c r="A1179" s="66"/>
    </row>
    <row r="1180" spans="1:1" x14ac:dyDescent="0.25">
      <c r="A1180" s="66"/>
    </row>
    <row r="1181" spans="1:1" x14ac:dyDescent="0.25">
      <c r="A1181" s="66"/>
    </row>
    <row r="1182" spans="1:1" x14ac:dyDescent="0.25">
      <c r="A1182" s="66"/>
    </row>
    <row r="1183" spans="1:1" x14ac:dyDescent="0.25">
      <c r="A1183" s="66"/>
    </row>
    <row r="1184" spans="1:1" x14ac:dyDescent="0.25">
      <c r="A1184" s="66"/>
    </row>
    <row r="1185" spans="1:1" x14ac:dyDescent="0.25">
      <c r="A1185" s="66"/>
    </row>
    <row r="1186" spans="1:1" x14ac:dyDescent="0.25">
      <c r="A1186" s="66"/>
    </row>
    <row r="1187" spans="1:1" x14ac:dyDescent="0.25">
      <c r="A1187" s="66"/>
    </row>
    <row r="1188" spans="1:1" x14ac:dyDescent="0.25">
      <c r="A1188" s="66"/>
    </row>
    <row r="1189" spans="1:1" x14ac:dyDescent="0.25">
      <c r="A1189" s="66"/>
    </row>
    <row r="1190" spans="1:1" x14ac:dyDescent="0.25">
      <c r="A1190" s="66"/>
    </row>
    <row r="1191" spans="1:1" x14ac:dyDescent="0.25">
      <c r="A1191" s="66"/>
    </row>
    <row r="1192" spans="1:1" x14ac:dyDescent="0.25">
      <c r="A1192" s="66"/>
    </row>
    <row r="1193" spans="1:1" x14ac:dyDescent="0.25">
      <c r="A1193" s="66"/>
    </row>
    <row r="1194" spans="1:1" x14ac:dyDescent="0.25">
      <c r="A1194" s="66"/>
    </row>
    <row r="1195" spans="1:1" x14ac:dyDescent="0.25">
      <c r="A1195" s="66"/>
    </row>
    <row r="1196" spans="1:1" x14ac:dyDescent="0.25">
      <c r="A1196" s="66"/>
    </row>
    <row r="1197" spans="1:1" x14ac:dyDescent="0.25">
      <c r="A1197" s="66"/>
    </row>
    <row r="1198" spans="1:1" x14ac:dyDescent="0.25">
      <c r="A1198" s="66"/>
    </row>
    <row r="1199" spans="1:1" x14ac:dyDescent="0.25">
      <c r="A1199" s="66"/>
    </row>
    <row r="1200" spans="1:1" x14ac:dyDescent="0.25">
      <c r="A1200" s="66"/>
    </row>
    <row r="1201" spans="1:1" x14ac:dyDescent="0.25">
      <c r="A1201" s="66"/>
    </row>
    <row r="1202" spans="1:1" x14ac:dyDescent="0.25">
      <c r="A1202" s="66"/>
    </row>
    <row r="1203" spans="1:1" x14ac:dyDescent="0.25">
      <c r="A1203" s="66"/>
    </row>
    <row r="1204" spans="1:1" x14ac:dyDescent="0.25">
      <c r="A1204" s="66"/>
    </row>
    <row r="1205" spans="1:1" x14ac:dyDescent="0.25">
      <c r="A1205" s="66"/>
    </row>
    <row r="1206" spans="1:1" x14ac:dyDescent="0.25">
      <c r="A1206" s="66"/>
    </row>
    <row r="1207" spans="1:1" x14ac:dyDescent="0.25">
      <c r="A1207" s="66"/>
    </row>
    <row r="1208" spans="1:1" x14ac:dyDescent="0.25">
      <c r="A1208" s="66"/>
    </row>
    <row r="1209" spans="1:1" x14ac:dyDescent="0.25">
      <c r="A1209" s="66"/>
    </row>
    <row r="1210" spans="1:1" x14ac:dyDescent="0.25">
      <c r="A1210" s="66"/>
    </row>
    <row r="1211" spans="1:1" x14ac:dyDescent="0.25">
      <c r="A1211" s="66"/>
    </row>
    <row r="1212" spans="1:1" x14ac:dyDescent="0.25">
      <c r="A1212" s="66"/>
    </row>
    <row r="1213" spans="1:1" x14ac:dyDescent="0.25">
      <c r="A1213" s="66"/>
    </row>
    <row r="1214" spans="1:1" x14ac:dyDescent="0.25">
      <c r="A1214" s="66"/>
    </row>
    <row r="1215" spans="1:1" x14ac:dyDescent="0.25">
      <c r="A1215" s="66"/>
    </row>
    <row r="1216" spans="1:1" x14ac:dyDescent="0.25">
      <c r="A1216" s="66"/>
    </row>
    <row r="1217" spans="1:1" x14ac:dyDescent="0.25">
      <c r="A1217" s="66"/>
    </row>
    <row r="1218" spans="1:1" x14ac:dyDescent="0.25">
      <c r="A1218" s="66"/>
    </row>
    <row r="1219" spans="1:1" x14ac:dyDescent="0.25">
      <c r="A1219" s="66"/>
    </row>
    <row r="1220" spans="1:1" x14ac:dyDescent="0.25">
      <c r="A1220" s="66"/>
    </row>
    <row r="1221" spans="1:1" x14ac:dyDescent="0.25">
      <c r="A1221" s="66"/>
    </row>
    <row r="1222" spans="1:1" x14ac:dyDescent="0.25">
      <c r="A1222" s="66"/>
    </row>
    <row r="1223" spans="1:1" x14ac:dyDescent="0.25">
      <c r="A1223" s="66"/>
    </row>
    <row r="1224" spans="1:1" x14ac:dyDescent="0.25">
      <c r="A1224" s="66"/>
    </row>
    <row r="1225" spans="1:1" x14ac:dyDescent="0.25">
      <c r="A1225" s="66"/>
    </row>
    <row r="1226" spans="1:1" x14ac:dyDescent="0.25">
      <c r="A1226" s="66"/>
    </row>
    <row r="1227" spans="1:1" x14ac:dyDescent="0.25">
      <c r="A1227" s="66"/>
    </row>
    <row r="1228" spans="1:1" x14ac:dyDescent="0.25">
      <c r="A1228" s="66"/>
    </row>
    <row r="1229" spans="1:1" x14ac:dyDescent="0.25">
      <c r="A1229" s="66"/>
    </row>
    <row r="1230" spans="1:1" x14ac:dyDescent="0.25">
      <c r="A1230" s="66"/>
    </row>
    <row r="1231" spans="1:1" x14ac:dyDescent="0.25">
      <c r="A1231" s="66"/>
    </row>
    <row r="1232" spans="1:1" x14ac:dyDescent="0.25">
      <c r="A1232" s="66"/>
    </row>
    <row r="1233" spans="1:1" x14ac:dyDescent="0.25">
      <c r="A1233" s="66"/>
    </row>
    <row r="1234" spans="1:1" x14ac:dyDescent="0.25">
      <c r="A1234" s="66"/>
    </row>
    <row r="1235" spans="1:1" x14ac:dyDescent="0.25">
      <c r="A1235" s="66"/>
    </row>
    <row r="1236" spans="1:1" x14ac:dyDescent="0.25">
      <c r="A1236" s="66"/>
    </row>
    <row r="1237" spans="1:1" x14ac:dyDescent="0.25">
      <c r="A1237" s="66"/>
    </row>
    <row r="1238" spans="1:1" x14ac:dyDescent="0.25">
      <c r="A1238" s="66"/>
    </row>
    <row r="1239" spans="1:1" x14ac:dyDescent="0.25">
      <c r="A1239" s="66"/>
    </row>
    <row r="1240" spans="1:1" x14ac:dyDescent="0.25">
      <c r="A1240" s="66"/>
    </row>
    <row r="1241" spans="1:1" x14ac:dyDescent="0.25">
      <c r="A1241" s="66"/>
    </row>
    <row r="1242" spans="1:1" x14ac:dyDescent="0.25">
      <c r="A1242" s="66"/>
    </row>
    <row r="1243" spans="1:1" x14ac:dyDescent="0.25">
      <c r="A1243" s="66"/>
    </row>
    <row r="1244" spans="1:1" x14ac:dyDescent="0.25">
      <c r="A1244" s="66"/>
    </row>
    <row r="1245" spans="1:1" x14ac:dyDescent="0.25">
      <c r="A1245" s="66"/>
    </row>
    <row r="1246" spans="1:1" x14ac:dyDescent="0.25">
      <c r="A1246" s="66"/>
    </row>
    <row r="1247" spans="1:1" x14ac:dyDescent="0.25">
      <c r="A1247" s="66"/>
    </row>
    <row r="1248" spans="1:1" x14ac:dyDescent="0.25">
      <c r="A1248" s="66"/>
    </row>
    <row r="1249" spans="1:1" x14ac:dyDescent="0.25">
      <c r="A1249" s="66"/>
    </row>
    <row r="1250" spans="1:1" x14ac:dyDescent="0.25">
      <c r="A1250" s="66"/>
    </row>
    <row r="1251" spans="1:1" x14ac:dyDescent="0.25">
      <c r="A1251" s="66"/>
    </row>
    <row r="1252" spans="1:1" x14ac:dyDescent="0.25">
      <c r="A1252" s="66"/>
    </row>
    <row r="1253" spans="1:1" x14ac:dyDescent="0.25">
      <c r="A1253" s="66"/>
    </row>
    <row r="1254" spans="1:1" x14ac:dyDescent="0.25">
      <c r="A1254" s="66"/>
    </row>
    <row r="1255" spans="1:1" x14ac:dyDescent="0.25">
      <c r="A1255" s="66"/>
    </row>
    <row r="1256" spans="1:1" x14ac:dyDescent="0.25">
      <c r="A1256" s="66"/>
    </row>
    <row r="1257" spans="1:1" x14ac:dyDescent="0.25">
      <c r="A1257" s="66"/>
    </row>
    <row r="1258" spans="1:1" x14ac:dyDescent="0.25">
      <c r="A1258" s="66"/>
    </row>
    <row r="1259" spans="1:1" x14ac:dyDescent="0.25">
      <c r="A1259" s="66"/>
    </row>
    <row r="1260" spans="1:1" x14ac:dyDescent="0.25">
      <c r="A1260" s="66"/>
    </row>
    <row r="1261" spans="1:1" x14ac:dyDescent="0.25">
      <c r="A1261" s="66"/>
    </row>
    <row r="1262" spans="1:1" x14ac:dyDescent="0.25">
      <c r="A1262" s="66"/>
    </row>
    <row r="1263" spans="1:1" x14ac:dyDescent="0.25">
      <c r="A1263" s="66"/>
    </row>
    <row r="1264" spans="1:1" x14ac:dyDescent="0.25">
      <c r="A1264" s="66"/>
    </row>
    <row r="1265" spans="1:1" x14ac:dyDescent="0.25">
      <c r="A1265" s="66"/>
    </row>
    <row r="1266" spans="1:1" x14ac:dyDescent="0.25">
      <c r="A1266" s="66"/>
    </row>
    <row r="1267" spans="1:1" x14ac:dyDescent="0.25">
      <c r="A1267" s="66"/>
    </row>
    <row r="1268" spans="1:1" x14ac:dyDescent="0.25">
      <c r="A1268" s="66"/>
    </row>
    <row r="1269" spans="1:1" x14ac:dyDescent="0.25">
      <c r="A1269" s="66"/>
    </row>
    <row r="1270" spans="1:1" x14ac:dyDescent="0.25">
      <c r="A1270" s="66"/>
    </row>
    <row r="1271" spans="1:1" x14ac:dyDescent="0.25">
      <c r="A1271" s="66"/>
    </row>
    <row r="1272" spans="1:1" x14ac:dyDescent="0.25">
      <c r="A1272" s="66"/>
    </row>
    <row r="1273" spans="1:1" x14ac:dyDescent="0.25">
      <c r="A1273" s="66"/>
    </row>
    <row r="1274" spans="1:1" x14ac:dyDescent="0.25">
      <c r="A1274" s="66"/>
    </row>
    <row r="1275" spans="1:1" x14ac:dyDescent="0.25">
      <c r="A1275" s="66"/>
    </row>
    <row r="1276" spans="1:1" x14ac:dyDescent="0.25">
      <c r="A1276" s="66"/>
    </row>
    <row r="1277" spans="1:1" x14ac:dyDescent="0.25">
      <c r="A1277" s="66"/>
    </row>
    <row r="1278" spans="1:1" x14ac:dyDescent="0.25">
      <c r="A1278" s="66"/>
    </row>
    <row r="1279" spans="1:1" x14ac:dyDescent="0.25">
      <c r="A1279" s="66"/>
    </row>
    <row r="1280" spans="1:1" x14ac:dyDescent="0.25">
      <c r="A1280" s="66"/>
    </row>
    <row r="1281" spans="1:1" x14ac:dyDescent="0.25">
      <c r="A1281" s="66"/>
    </row>
    <row r="1282" spans="1:1" x14ac:dyDescent="0.25">
      <c r="A1282" s="66"/>
    </row>
    <row r="1283" spans="1:1" x14ac:dyDescent="0.25">
      <c r="A1283" s="66"/>
    </row>
    <row r="1284" spans="1:1" x14ac:dyDescent="0.25">
      <c r="A1284" s="66"/>
    </row>
    <row r="1285" spans="1:1" x14ac:dyDescent="0.25">
      <c r="A1285" s="66"/>
    </row>
    <row r="1286" spans="1:1" x14ac:dyDescent="0.25">
      <c r="A1286" s="66"/>
    </row>
    <row r="1287" spans="1:1" x14ac:dyDescent="0.25">
      <c r="A1287" s="66"/>
    </row>
    <row r="1288" spans="1:1" x14ac:dyDescent="0.25">
      <c r="A1288" s="66"/>
    </row>
    <row r="1289" spans="1:1" x14ac:dyDescent="0.25">
      <c r="A1289" s="66"/>
    </row>
    <row r="1290" spans="1:1" x14ac:dyDescent="0.25">
      <c r="A1290" s="66"/>
    </row>
    <row r="1291" spans="1:1" x14ac:dyDescent="0.25">
      <c r="A1291" s="66"/>
    </row>
    <row r="1292" spans="1:1" x14ac:dyDescent="0.25">
      <c r="A1292" s="66"/>
    </row>
    <row r="1293" spans="1:1" x14ac:dyDescent="0.25">
      <c r="A1293" s="66"/>
    </row>
    <row r="1294" spans="1:1" x14ac:dyDescent="0.25">
      <c r="A1294" s="66"/>
    </row>
    <row r="1295" spans="1:1" x14ac:dyDescent="0.25">
      <c r="A1295" s="66"/>
    </row>
    <row r="1296" spans="1:1" x14ac:dyDescent="0.25">
      <c r="A1296" s="66"/>
    </row>
    <row r="1297" spans="1:1" x14ac:dyDescent="0.25">
      <c r="A1297" s="66"/>
    </row>
    <row r="1298" spans="1:1" x14ac:dyDescent="0.25">
      <c r="A1298" s="66"/>
    </row>
    <row r="1299" spans="1:1" x14ac:dyDescent="0.25">
      <c r="A1299" s="66"/>
    </row>
    <row r="1300" spans="1:1" x14ac:dyDescent="0.25">
      <c r="A1300" s="66"/>
    </row>
    <row r="1301" spans="1:1" x14ac:dyDescent="0.25">
      <c r="A1301" s="66"/>
    </row>
    <row r="1302" spans="1:1" x14ac:dyDescent="0.25">
      <c r="A1302" s="66"/>
    </row>
    <row r="1303" spans="1:1" x14ac:dyDescent="0.25">
      <c r="A1303" s="66"/>
    </row>
    <row r="1304" spans="1:1" x14ac:dyDescent="0.25">
      <c r="A1304" s="66"/>
    </row>
    <row r="1305" spans="1:1" x14ac:dyDescent="0.25">
      <c r="A1305" s="66"/>
    </row>
    <row r="1306" spans="1:1" x14ac:dyDescent="0.25">
      <c r="A1306" s="66"/>
    </row>
    <row r="1307" spans="1:1" x14ac:dyDescent="0.25">
      <c r="A1307" s="66"/>
    </row>
    <row r="1308" spans="1:1" x14ac:dyDescent="0.25">
      <c r="A1308" s="66"/>
    </row>
    <row r="1309" spans="1:1" x14ac:dyDescent="0.25">
      <c r="A1309" s="66"/>
    </row>
    <row r="1310" spans="1:1" x14ac:dyDescent="0.25">
      <c r="A1310" s="66"/>
    </row>
    <row r="1311" spans="1:1" x14ac:dyDescent="0.25">
      <c r="A1311" s="66"/>
    </row>
    <row r="1312" spans="1:1" x14ac:dyDescent="0.25">
      <c r="A1312" s="66"/>
    </row>
    <row r="1313" spans="1:1" x14ac:dyDescent="0.25">
      <c r="A1313" s="66"/>
    </row>
    <row r="1314" spans="1:1" x14ac:dyDescent="0.25">
      <c r="A1314" s="66"/>
    </row>
    <row r="1315" spans="1:1" x14ac:dyDescent="0.25">
      <c r="A1315" s="66"/>
    </row>
    <row r="1316" spans="1:1" x14ac:dyDescent="0.25">
      <c r="A1316" s="66"/>
    </row>
    <row r="1317" spans="1:1" x14ac:dyDescent="0.25">
      <c r="A1317" s="66"/>
    </row>
    <row r="1318" spans="1:1" x14ac:dyDescent="0.25">
      <c r="A1318" s="66"/>
    </row>
    <row r="1319" spans="1:1" x14ac:dyDescent="0.25">
      <c r="A1319" s="66"/>
    </row>
    <row r="1320" spans="1:1" x14ac:dyDescent="0.25">
      <c r="A1320" s="66"/>
    </row>
    <row r="1321" spans="1:1" x14ac:dyDescent="0.25">
      <c r="A1321" s="66"/>
    </row>
    <row r="1322" spans="1:1" x14ac:dyDescent="0.25">
      <c r="A1322" s="66"/>
    </row>
    <row r="1323" spans="1:1" x14ac:dyDescent="0.25">
      <c r="A1323" s="66"/>
    </row>
    <row r="1324" spans="1:1" x14ac:dyDescent="0.25">
      <c r="A1324" s="66"/>
    </row>
    <row r="1325" spans="1:1" x14ac:dyDescent="0.25">
      <c r="A1325" s="66"/>
    </row>
    <row r="1326" spans="1:1" x14ac:dyDescent="0.25">
      <c r="A1326" s="66"/>
    </row>
    <row r="1327" spans="1:1" x14ac:dyDescent="0.25">
      <c r="A1327" s="66"/>
    </row>
    <row r="1328" spans="1:1" x14ac:dyDescent="0.25">
      <c r="A1328" s="66"/>
    </row>
    <row r="1329" spans="1:1" x14ac:dyDescent="0.25">
      <c r="A1329" s="66"/>
    </row>
    <row r="1330" spans="1:1" x14ac:dyDescent="0.25">
      <c r="A1330" s="66"/>
    </row>
    <row r="1331" spans="1:1" x14ac:dyDescent="0.25">
      <c r="A1331" s="66"/>
    </row>
    <row r="1332" spans="1:1" x14ac:dyDescent="0.25">
      <c r="A1332" s="66"/>
    </row>
    <row r="1333" spans="1:1" x14ac:dyDescent="0.25">
      <c r="A1333" s="66"/>
    </row>
    <row r="1334" spans="1:1" x14ac:dyDescent="0.25">
      <c r="A1334" s="66"/>
    </row>
    <row r="1335" spans="1:1" x14ac:dyDescent="0.25">
      <c r="A1335" s="66"/>
    </row>
    <row r="1336" spans="1:1" x14ac:dyDescent="0.25">
      <c r="A1336" s="66"/>
    </row>
    <row r="1337" spans="1:1" x14ac:dyDescent="0.25">
      <c r="A1337" s="66"/>
    </row>
    <row r="1338" spans="1:1" x14ac:dyDescent="0.25">
      <c r="A1338" s="66"/>
    </row>
    <row r="1339" spans="1:1" x14ac:dyDescent="0.25">
      <c r="A1339" s="66"/>
    </row>
    <row r="1340" spans="1:1" x14ac:dyDescent="0.25">
      <c r="A1340" s="66"/>
    </row>
    <row r="1341" spans="1:1" x14ac:dyDescent="0.25">
      <c r="A1341" s="66"/>
    </row>
    <row r="1342" spans="1:1" x14ac:dyDescent="0.25">
      <c r="A1342" s="66"/>
    </row>
    <row r="1343" spans="1:1" x14ac:dyDescent="0.25">
      <c r="A1343" s="66"/>
    </row>
    <row r="1344" spans="1:1" x14ac:dyDescent="0.25">
      <c r="A1344" s="66"/>
    </row>
    <row r="1345" spans="1:1" x14ac:dyDescent="0.25">
      <c r="A1345" s="66"/>
    </row>
    <row r="1346" spans="1:1" x14ac:dyDescent="0.25">
      <c r="A1346" s="66"/>
    </row>
    <row r="1347" spans="1:1" x14ac:dyDescent="0.25">
      <c r="A1347" s="66"/>
    </row>
    <row r="1348" spans="1:1" x14ac:dyDescent="0.25">
      <c r="A1348" s="66"/>
    </row>
    <row r="1349" spans="1:1" x14ac:dyDescent="0.25">
      <c r="A1349" s="66"/>
    </row>
    <row r="1350" spans="1:1" x14ac:dyDescent="0.25">
      <c r="A1350" s="66"/>
    </row>
    <row r="1351" spans="1:1" x14ac:dyDescent="0.25">
      <c r="A1351" s="66"/>
    </row>
    <row r="1352" spans="1:1" x14ac:dyDescent="0.25">
      <c r="A1352" s="66"/>
    </row>
    <row r="1353" spans="1:1" x14ac:dyDescent="0.25">
      <c r="A1353" s="66"/>
    </row>
    <row r="1354" spans="1:1" x14ac:dyDescent="0.25">
      <c r="A1354" s="66"/>
    </row>
    <row r="1355" spans="1:1" x14ac:dyDescent="0.25">
      <c r="A1355" s="66"/>
    </row>
    <row r="1356" spans="1:1" x14ac:dyDescent="0.25">
      <c r="A1356" s="66"/>
    </row>
    <row r="1357" spans="1:1" x14ac:dyDescent="0.25">
      <c r="A1357" s="66"/>
    </row>
    <row r="1358" spans="1:1" x14ac:dyDescent="0.25">
      <c r="A1358" s="66"/>
    </row>
    <row r="1359" spans="1:1" x14ac:dyDescent="0.25">
      <c r="A1359" s="66"/>
    </row>
    <row r="1360" spans="1:1" x14ac:dyDescent="0.25">
      <c r="A1360" s="66"/>
    </row>
    <row r="1361" spans="1:1" x14ac:dyDescent="0.25">
      <c r="A1361" s="66"/>
    </row>
    <row r="1362" spans="1:1" x14ac:dyDescent="0.25">
      <c r="A1362" s="66"/>
    </row>
    <row r="1363" spans="1:1" x14ac:dyDescent="0.25">
      <c r="A1363" s="66"/>
    </row>
    <row r="1364" spans="1:1" x14ac:dyDescent="0.25">
      <c r="A1364" s="66"/>
    </row>
    <row r="1365" spans="1:1" x14ac:dyDescent="0.25">
      <c r="A1365" s="66"/>
    </row>
    <row r="1366" spans="1:1" x14ac:dyDescent="0.25">
      <c r="A1366" s="66"/>
    </row>
    <row r="1367" spans="1:1" x14ac:dyDescent="0.25">
      <c r="A1367" s="66"/>
    </row>
    <row r="1368" spans="1:1" x14ac:dyDescent="0.25">
      <c r="A1368" s="66"/>
    </row>
    <row r="1369" spans="1:1" x14ac:dyDescent="0.25">
      <c r="A1369" s="66"/>
    </row>
    <row r="1370" spans="1:1" x14ac:dyDescent="0.25">
      <c r="A1370" s="66"/>
    </row>
    <row r="1371" spans="1:1" x14ac:dyDescent="0.25">
      <c r="A1371" s="66"/>
    </row>
    <row r="1372" spans="1:1" x14ac:dyDescent="0.25">
      <c r="A1372" s="66"/>
    </row>
    <row r="1373" spans="1:1" x14ac:dyDescent="0.25">
      <c r="A1373" s="66"/>
    </row>
    <row r="1374" spans="1:1" x14ac:dyDescent="0.25">
      <c r="A1374" s="66"/>
    </row>
    <row r="1375" spans="1:1" x14ac:dyDescent="0.25">
      <c r="A1375" s="66"/>
    </row>
    <row r="1376" spans="1:1" x14ac:dyDescent="0.25">
      <c r="A1376" s="66"/>
    </row>
    <row r="1377" spans="1:1" x14ac:dyDescent="0.25">
      <c r="A1377" s="66"/>
    </row>
    <row r="1378" spans="1:1" x14ac:dyDescent="0.25">
      <c r="A1378" s="66"/>
    </row>
    <row r="1379" spans="1:1" x14ac:dyDescent="0.25">
      <c r="A1379" s="66"/>
    </row>
    <row r="1380" spans="1:1" x14ac:dyDescent="0.25">
      <c r="A1380" s="66"/>
    </row>
    <row r="1381" spans="1:1" x14ac:dyDescent="0.25">
      <c r="A1381" s="66"/>
    </row>
    <row r="1382" spans="1:1" x14ac:dyDescent="0.25">
      <c r="A1382" s="66"/>
    </row>
    <row r="1383" spans="1:1" x14ac:dyDescent="0.25">
      <c r="A1383" s="66"/>
    </row>
    <row r="1384" spans="1:1" x14ac:dyDescent="0.25">
      <c r="A1384" s="66"/>
    </row>
    <row r="1385" spans="1:1" x14ac:dyDescent="0.25">
      <c r="A1385" s="66"/>
    </row>
    <row r="1386" spans="1:1" x14ac:dyDescent="0.25">
      <c r="A1386" s="66"/>
    </row>
    <row r="1387" spans="1:1" x14ac:dyDescent="0.25">
      <c r="A1387" s="66"/>
    </row>
    <row r="1388" spans="1:1" x14ac:dyDescent="0.25">
      <c r="A1388" s="66"/>
    </row>
    <row r="1389" spans="1:1" x14ac:dyDescent="0.25">
      <c r="A1389" s="66"/>
    </row>
    <row r="1390" spans="1:1" x14ac:dyDescent="0.25">
      <c r="A1390" s="66"/>
    </row>
    <row r="1391" spans="1:1" x14ac:dyDescent="0.25">
      <c r="A1391" s="66"/>
    </row>
    <row r="1392" spans="1:1" x14ac:dyDescent="0.25">
      <c r="A1392" s="66"/>
    </row>
    <row r="1393" spans="1:1" x14ac:dyDescent="0.25">
      <c r="A1393" s="66"/>
    </row>
    <row r="1394" spans="1:1" x14ac:dyDescent="0.25">
      <c r="A1394" s="66"/>
    </row>
    <row r="1395" spans="1:1" x14ac:dyDescent="0.25">
      <c r="A1395" s="66"/>
    </row>
    <row r="1396" spans="1:1" x14ac:dyDescent="0.25">
      <c r="A1396" s="66"/>
    </row>
    <row r="1397" spans="1:1" x14ac:dyDescent="0.25">
      <c r="A1397" s="66"/>
    </row>
    <row r="1398" spans="1:1" x14ac:dyDescent="0.25">
      <c r="A1398" s="66"/>
    </row>
    <row r="1399" spans="1:1" x14ac:dyDescent="0.25">
      <c r="A1399" s="66"/>
    </row>
    <row r="1400" spans="1:1" x14ac:dyDescent="0.25">
      <c r="A1400" s="66"/>
    </row>
    <row r="1401" spans="1:1" x14ac:dyDescent="0.25">
      <c r="A1401" s="66"/>
    </row>
    <row r="1402" spans="1:1" x14ac:dyDescent="0.25">
      <c r="A1402" s="66"/>
    </row>
    <row r="1403" spans="1:1" x14ac:dyDescent="0.25">
      <c r="A1403" s="66"/>
    </row>
    <row r="1404" spans="1:1" x14ac:dyDescent="0.25">
      <c r="A1404" s="66"/>
    </row>
    <row r="1405" spans="1:1" x14ac:dyDescent="0.25">
      <c r="A1405" s="66"/>
    </row>
    <row r="1406" spans="1:1" x14ac:dyDescent="0.25">
      <c r="A1406" s="66"/>
    </row>
    <row r="1407" spans="1:1" x14ac:dyDescent="0.25">
      <c r="A1407" s="66"/>
    </row>
    <row r="1408" spans="1:1" x14ac:dyDescent="0.25">
      <c r="A1408" s="66"/>
    </row>
    <row r="1409" spans="1:1" x14ac:dyDescent="0.25">
      <c r="A1409" s="66"/>
    </row>
    <row r="1410" spans="1:1" x14ac:dyDescent="0.25">
      <c r="A1410" s="66"/>
    </row>
    <row r="1411" spans="1:1" x14ac:dyDescent="0.25">
      <c r="A1411" s="66"/>
    </row>
    <row r="1412" spans="1:1" x14ac:dyDescent="0.25">
      <c r="A1412" s="66"/>
    </row>
    <row r="1413" spans="1:1" x14ac:dyDescent="0.25">
      <c r="A1413" s="66"/>
    </row>
    <row r="1414" spans="1:1" x14ac:dyDescent="0.25">
      <c r="A1414" s="66"/>
    </row>
    <row r="1415" spans="1:1" x14ac:dyDescent="0.25">
      <c r="A1415" s="66"/>
    </row>
    <row r="1416" spans="1:1" x14ac:dyDescent="0.25">
      <c r="A1416" s="66"/>
    </row>
    <row r="1417" spans="1:1" x14ac:dyDescent="0.25">
      <c r="A1417" s="66"/>
    </row>
    <row r="1418" spans="1:1" x14ac:dyDescent="0.25">
      <c r="A1418" s="66"/>
    </row>
    <row r="1419" spans="1:1" x14ac:dyDescent="0.25">
      <c r="A1419" s="66"/>
    </row>
    <row r="1420" spans="1:1" x14ac:dyDescent="0.25">
      <c r="A1420" s="66"/>
    </row>
    <row r="1421" spans="1:1" x14ac:dyDescent="0.25">
      <c r="A1421" s="66"/>
    </row>
    <row r="1422" spans="1:1" x14ac:dyDescent="0.25">
      <c r="A1422" s="66"/>
    </row>
    <row r="1423" spans="1:1" x14ac:dyDescent="0.25">
      <c r="A1423" s="66"/>
    </row>
    <row r="1424" spans="1:1" x14ac:dyDescent="0.25">
      <c r="A1424" s="66"/>
    </row>
    <row r="1425" spans="1:1" x14ac:dyDescent="0.25">
      <c r="A1425" s="66"/>
    </row>
    <row r="1426" spans="1:1" x14ac:dyDescent="0.25">
      <c r="A1426" s="66"/>
    </row>
    <row r="1427" spans="1:1" x14ac:dyDescent="0.25">
      <c r="A1427" s="66"/>
    </row>
    <row r="1428" spans="1:1" x14ac:dyDescent="0.25">
      <c r="A1428" s="66"/>
    </row>
    <row r="1429" spans="1:1" x14ac:dyDescent="0.25">
      <c r="A1429" s="66"/>
    </row>
    <row r="1430" spans="1:1" x14ac:dyDescent="0.25">
      <c r="A1430" s="66"/>
    </row>
    <row r="1431" spans="1:1" x14ac:dyDescent="0.25">
      <c r="A1431" s="66"/>
    </row>
    <row r="1432" spans="1:1" x14ac:dyDescent="0.25">
      <c r="A1432" s="66"/>
    </row>
    <row r="1433" spans="1:1" x14ac:dyDescent="0.25">
      <c r="A1433" s="66"/>
    </row>
    <row r="1434" spans="1:1" x14ac:dyDescent="0.25">
      <c r="A1434" s="66"/>
    </row>
    <row r="1435" spans="1:1" x14ac:dyDescent="0.25">
      <c r="A1435" s="66"/>
    </row>
    <row r="1436" spans="1:1" x14ac:dyDescent="0.25">
      <c r="A1436" s="66"/>
    </row>
    <row r="1437" spans="1:1" x14ac:dyDescent="0.25">
      <c r="A1437" s="66"/>
    </row>
    <row r="1438" spans="1:1" x14ac:dyDescent="0.25">
      <c r="A1438" s="66"/>
    </row>
    <row r="1439" spans="1:1" x14ac:dyDescent="0.25">
      <c r="A1439" s="66"/>
    </row>
    <row r="1440" spans="1:1" x14ac:dyDescent="0.25">
      <c r="A1440" s="66"/>
    </row>
    <row r="1441" spans="1:1" x14ac:dyDescent="0.25">
      <c r="A1441" s="66"/>
    </row>
    <row r="1442" spans="1:1" x14ac:dyDescent="0.25">
      <c r="A1442" s="66"/>
    </row>
    <row r="1443" spans="1:1" x14ac:dyDescent="0.25">
      <c r="A1443" s="66"/>
    </row>
    <row r="1444" spans="1:1" x14ac:dyDescent="0.25">
      <c r="A1444" s="66"/>
    </row>
    <row r="1445" spans="1:1" x14ac:dyDescent="0.25">
      <c r="A1445" s="66"/>
    </row>
    <row r="1446" spans="1:1" x14ac:dyDescent="0.25">
      <c r="A1446" s="66"/>
    </row>
    <row r="1447" spans="1:1" x14ac:dyDescent="0.25">
      <c r="A1447" s="66"/>
    </row>
    <row r="1448" spans="1:1" x14ac:dyDescent="0.25">
      <c r="A1448" s="66"/>
    </row>
    <row r="1449" spans="1:1" x14ac:dyDescent="0.25">
      <c r="A1449" s="66"/>
    </row>
    <row r="1450" spans="1:1" x14ac:dyDescent="0.25">
      <c r="A1450" s="66"/>
    </row>
    <row r="1451" spans="1:1" x14ac:dyDescent="0.25">
      <c r="A1451" s="66"/>
    </row>
    <row r="1452" spans="1:1" x14ac:dyDescent="0.25">
      <c r="A1452" s="66"/>
    </row>
    <row r="1453" spans="1:1" x14ac:dyDescent="0.25">
      <c r="A1453" s="66"/>
    </row>
    <row r="1454" spans="1:1" x14ac:dyDescent="0.25">
      <c r="A1454" s="66"/>
    </row>
    <row r="1455" spans="1:1" x14ac:dyDescent="0.25">
      <c r="A1455" s="66"/>
    </row>
    <row r="1456" spans="1:1" x14ac:dyDescent="0.25">
      <c r="A1456" s="66"/>
    </row>
    <row r="1457" spans="1:1" x14ac:dyDescent="0.25">
      <c r="A1457" s="66"/>
    </row>
    <row r="1458" spans="1:1" x14ac:dyDescent="0.25">
      <c r="A1458" s="66"/>
    </row>
    <row r="1459" spans="1:1" x14ac:dyDescent="0.25">
      <c r="A1459" s="66"/>
    </row>
    <row r="1460" spans="1:1" x14ac:dyDescent="0.25">
      <c r="A1460" s="66"/>
    </row>
    <row r="1461" spans="1:1" x14ac:dyDescent="0.25">
      <c r="A1461" s="66"/>
    </row>
    <row r="1462" spans="1:1" x14ac:dyDescent="0.25">
      <c r="A1462" s="66"/>
    </row>
    <row r="1463" spans="1:1" x14ac:dyDescent="0.25">
      <c r="A1463" s="66"/>
    </row>
    <row r="1464" spans="1:1" x14ac:dyDescent="0.25">
      <c r="A1464" s="66"/>
    </row>
    <row r="1465" spans="1:1" x14ac:dyDescent="0.25">
      <c r="A1465" s="66"/>
    </row>
    <row r="1466" spans="1:1" x14ac:dyDescent="0.25">
      <c r="A1466" s="66"/>
    </row>
    <row r="1467" spans="1:1" x14ac:dyDescent="0.25">
      <c r="A1467" s="66"/>
    </row>
    <row r="1468" spans="1:1" x14ac:dyDescent="0.25">
      <c r="A1468" s="66"/>
    </row>
    <row r="1469" spans="1:1" x14ac:dyDescent="0.25">
      <c r="A1469" s="66"/>
    </row>
    <row r="1470" spans="1:1" x14ac:dyDescent="0.25">
      <c r="A1470" s="66"/>
    </row>
    <row r="1471" spans="1:1" x14ac:dyDescent="0.25">
      <c r="A1471" s="66"/>
    </row>
    <row r="1472" spans="1:1" x14ac:dyDescent="0.25">
      <c r="A1472" s="66"/>
    </row>
    <row r="1473" spans="1:1" x14ac:dyDescent="0.25">
      <c r="A1473" s="66"/>
    </row>
    <row r="1474" spans="1:1" x14ac:dyDescent="0.25">
      <c r="A1474" s="66"/>
    </row>
    <row r="1475" spans="1:1" x14ac:dyDescent="0.25">
      <c r="A1475" s="66"/>
    </row>
    <row r="1476" spans="1:1" x14ac:dyDescent="0.25">
      <c r="A1476" s="66"/>
    </row>
    <row r="1477" spans="1:1" x14ac:dyDescent="0.25">
      <c r="A1477" s="66"/>
    </row>
    <row r="1478" spans="1:1" x14ac:dyDescent="0.25">
      <c r="A1478" s="66"/>
    </row>
    <row r="1479" spans="1:1" x14ac:dyDescent="0.25">
      <c r="A1479" s="66"/>
    </row>
    <row r="1480" spans="1:1" x14ac:dyDescent="0.25">
      <c r="A1480" s="66"/>
    </row>
    <row r="1481" spans="1:1" x14ac:dyDescent="0.25">
      <c r="A1481" s="66"/>
    </row>
    <row r="1482" spans="1:1" x14ac:dyDescent="0.25">
      <c r="A1482" s="66"/>
    </row>
    <row r="1483" spans="1:1" x14ac:dyDescent="0.25">
      <c r="A1483" s="66"/>
    </row>
    <row r="1484" spans="1:1" x14ac:dyDescent="0.25">
      <c r="A1484" s="66"/>
    </row>
    <row r="1485" spans="1:1" x14ac:dyDescent="0.25">
      <c r="A1485" s="66"/>
    </row>
    <row r="1486" spans="1:1" x14ac:dyDescent="0.25">
      <c r="A1486" s="66"/>
    </row>
    <row r="1487" spans="1:1" x14ac:dyDescent="0.25">
      <c r="A1487" s="66"/>
    </row>
    <row r="1488" spans="1:1" x14ac:dyDescent="0.25">
      <c r="A1488" s="66"/>
    </row>
    <row r="1489" spans="1:1" x14ac:dyDescent="0.25">
      <c r="A1489" s="66"/>
    </row>
    <row r="1490" spans="1:1" x14ac:dyDescent="0.25">
      <c r="A1490" s="66"/>
    </row>
    <row r="1491" spans="1:1" x14ac:dyDescent="0.25">
      <c r="A1491" s="66"/>
    </row>
    <row r="1492" spans="1:1" x14ac:dyDescent="0.25">
      <c r="A1492" s="66"/>
    </row>
    <row r="1493" spans="1:1" x14ac:dyDescent="0.25">
      <c r="A1493" s="66"/>
    </row>
    <row r="1494" spans="1:1" x14ac:dyDescent="0.25">
      <c r="A1494" s="66"/>
    </row>
    <row r="1495" spans="1:1" x14ac:dyDescent="0.25">
      <c r="A1495" s="66"/>
    </row>
    <row r="1496" spans="1:1" x14ac:dyDescent="0.25">
      <c r="A1496" s="66"/>
    </row>
    <row r="1497" spans="1:1" x14ac:dyDescent="0.25">
      <c r="A1497" s="66"/>
    </row>
    <row r="1498" spans="1:1" x14ac:dyDescent="0.25">
      <c r="A1498" s="66"/>
    </row>
    <row r="1499" spans="1:1" x14ac:dyDescent="0.25">
      <c r="A1499" s="66"/>
    </row>
    <row r="1500" spans="1:1" x14ac:dyDescent="0.25">
      <c r="A1500" s="66"/>
    </row>
    <row r="1501" spans="1:1" x14ac:dyDescent="0.25">
      <c r="A1501" s="66"/>
    </row>
    <row r="1502" spans="1:1" x14ac:dyDescent="0.25">
      <c r="A1502" s="66"/>
    </row>
    <row r="1503" spans="1:1" x14ac:dyDescent="0.25">
      <c r="A1503" s="66"/>
    </row>
    <row r="1504" spans="1:1" x14ac:dyDescent="0.25">
      <c r="A1504" s="66"/>
    </row>
    <row r="1505" spans="1:1" x14ac:dyDescent="0.25">
      <c r="A1505" s="66"/>
    </row>
    <row r="1506" spans="1:1" x14ac:dyDescent="0.25">
      <c r="A1506" s="66"/>
    </row>
    <row r="1507" spans="1:1" x14ac:dyDescent="0.25">
      <c r="A1507" s="66"/>
    </row>
    <row r="1508" spans="1:1" x14ac:dyDescent="0.25">
      <c r="A1508" s="66"/>
    </row>
    <row r="1509" spans="1:1" x14ac:dyDescent="0.25">
      <c r="A1509" s="66"/>
    </row>
    <row r="1510" spans="1:1" x14ac:dyDescent="0.25">
      <c r="A1510" s="66"/>
    </row>
    <row r="1511" spans="1:1" x14ac:dyDescent="0.25">
      <c r="A1511" s="66"/>
    </row>
    <row r="1512" spans="1:1" x14ac:dyDescent="0.25">
      <c r="A1512" s="66"/>
    </row>
    <row r="1513" spans="1:1" x14ac:dyDescent="0.25">
      <c r="A1513" s="66"/>
    </row>
    <row r="1514" spans="1:1" x14ac:dyDescent="0.25">
      <c r="A1514" s="66"/>
    </row>
    <row r="1515" spans="1:1" x14ac:dyDescent="0.25">
      <c r="A1515" s="66"/>
    </row>
    <row r="1516" spans="1:1" x14ac:dyDescent="0.25">
      <c r="A1516" s="66"/>
    </row>
    <row r="1517" spans="1:1" x14ac:dyDescent="0.25">
      <c r="A1517" s="66"/>
    </row>
    <row r="1518" spans="1:1" x14ac:dyDescent="0.25">
      <c r="A1518" s="66"/>
    </row>
    <row r="1519" spans="1:1" x14ac:dyDescent="0.25">
      <c r="A1519" s="66"/>
    </row>
    <row r="1520" spans="1:1" x14ac:dyDescent="0.25">
      <c r="A1520" s="66"/>
    </row>
    <row r="1521" spans="1:1" x14ac:dyDescent="0.25">
      <c r="A1521" s="66"/>
    </row>
    <row r="1522" spans="1:1" x14ac:dyDescent="0.25">
      <c r="A1522" s="66"/>
    </row>
    <row r="1523" spans="1:1" x14ac:dyDescent="0.25">
      <c r="A1523" s="66"/>
    </row>
    <row r="1524" spans="1:1" x14ac:dyDescent="0.25">
      <c r="A1524" s="66"/>
    </row>
    <row r="1525" spans="1:1" x14ac:dyDescent="0.25">
      <c r="A1525" s="66"/>
    </row>
    <row r="1526" spans="1:1" x14ac:dyDescent="0.25">
      <c r="A1526" s="66"/>
    </row>
    <row r="1527" spans="1:1" x14ac:dyDescent="0.25">
      <c r="A1527" s="66"/>
    </row>
    <row r="1528" spans="1:1" x14ac:dyDescent="0.25">
      <c r="A1528" s="66"/>
    </row>
    <row r="1529" spans="1:1" x14ac:dyDescent="0.25">
      <c r="A1529" s="66"/>
    </row>
    <row r="1530" spans="1:1" x14ac:dyDescent="0.25">
      <c r="A1530" s="66"/>
    </row>
    <row r="1531" spans="1:1" x14ac:dyDescent="0.25">
      <c r="A1531" s="66"/>
    </row>
    <row r="1532" spans="1:1" x14ac:dyDescent="0.25">
      <c r="A1532" s="66"/>
    </row>
    <row r="1533" spans="1:1" x14ac:dyDescent="0.25">
      <c r="A1533" s="66"/>
    </row>
    <row r="1534" spans="1:1" x14ac:dyDescent="0.25">
      <c r="A1534" s="66"/>
    </row>
    <row r="1535" spans="1:1" x14ac:dyDescent="0.25">
      <c r="A1535" s="66"/>
    </row>
    <row r="1536" spans="1:1" x14ac:dyDescent="0.25">
      <c r="A1536" s="66"/>
    </row>
    <row r="1537" spans="1:1" x14ac:dyDescent="0.25">
      <c r="A1537" s="66"/>
    </row>
    <row r="1538" spans="1:1" x14ac:dyDescent="0.25">
      <c r="A1538" s="66"/>
    </row>
    <row r="1539" spans="1:1" x14ac:dyDescent="0.25">
      <c r="A1539" s="66"/>
    </row>
    <row r="1540" spans="1:1" x14ac:dyDescent="0.25">
      <c r="A1540" s="66"/>
    </row>
    <row r="1541" spans="1:1" x14ac:dyDescent="0.25">
      <c r="A1541" s="66"/>
    </row>
    <row r="1542" spans="1:1" x14ac:dyDescent="0.25">
      <c r="A1542" s="66"/>
    </row>
    <row r="1543" spans="1:1" x14ac:dyDescent="0.25">
      <c r="A1543" s="66"/>
    </row>
    <row r="1544" spans="1:1" x14ac:dyDescent="0.25">
      <c r="A1544" s="66"/>
    </row>
    <row r="1545" spans="1:1" x14ac:dyDescent="0.25">
      <c r="A1545" s="66"/>
    </row>
    <row r="1546" spans="1:1" x14ac:dyDescent="0.25">
      <c r="A1546" s="66"/>
    </row>
    <row r="1547" spans="1:1" x14ac:dyDescent="0.25">
      <c r="A1547" s="66"/>
    </row>
    <row r="1548" spans="1:1" x14ac:dyDescent="0.25">
      <c r="A1548" s="66"/>
    </row>
    <row r="1549" spans="1:1" x14ac:dyDescent="0.25">
      <c r="A1549" s="66"/>
    </row>
    <row r="1550" spans="1:1" x14ac:dyDescent="0.25">
      <c r="A1550" s="66"/>
    </row>
    <row r="1551" spans="1:1" x14ac:dyDescent="0.25">
      <c r="A1551" s="66"/>
    </row>
    <row r="1552" spans="1:1" x14ac:dyDescent="0.25">
      <c r="A1552" s="66"/>
    </row>
    <row r="1553" spans="1:1" x14ac:dyDescent="0.25">
      <c r="A1553" s="66"/>
    </row>
    <row r="1554" spans="1:1" x14ac:dyDescent="0.25">
      <c r="A1554" s="66"/>
    </row>
    <row r="1555" spans="1:1" x14ac:dyDescent="0.25">
      <c r="A1555" s="66"/>
    </row>
    <row r="1556" spans="1:1" x14ac:dyDescent="0.25">
      <c r="A1556" s="66"/>
    </row>
    <row r="1557" spans="1:1" x14ac:dyDescent="0.25">
      <c r="A1557" s="66"/>
    </row>
    <row r="1558" spans="1:1" x14ac:dyDescent="0.25">
      <c r="A1558" s="66"/>
    </row>
    <row r="1559" spans="1:1" x14ac:dyDescent="0.25">
      <c r="A1559" s="66"/>
    </row>
    <row r="1560" spans="1:1" x14ac:dyDescent="0.25">
      <c r="A1560" s="66"/>
    </row>
    <row r="1561" spans="1:1" x14ac:dyDescent="0.25">
      <c r="A1561" s="66"/>
    </row>
    <row r="1562" spans="1:1" x14ac:dyDescent="0.25">
      <c r="A1562" s="66"/>
    </row>
    <row r="1563" spans="1:1" x14ac:dyDescent="0.25">
      <c r="A1563" s="66"/>
    </row>
    <row r="1564" spans="1:1" x14ac:dyDescent="0.25">
      <c r="A1564" s="66"/>
    </row>
    <row r="1565" spans="1:1" x14ac:dyDescent="0.25">
      <c r="A1565" s="66"/>
    </row>
    <row r="1566" spans="1:1" x14ac:dyDescent="0.25">
      <c r="A1566" s="66"/>
    </row>
    <row r="1567" spans="1:1" x14ac:dyDescent="0.25">
      <c r="A1567" s="66"/>
    </row>
    <row r="1568" spans="1:1" x14ac:dyDescent="0.25">
      <c r="A1568" s="66"/>
    </row>
    <row r="1569" spans="1:1" x14ac:dyDescent="0.25">
      <c r="A1569" s="66"/>
    </row>
    <row r="1570" spans="1:1" x14ac:dyDescent="0.25">
      <c r="A1570" s="66"/>
    </row>
    <row r="1571" spans="1:1" x14ac:dyDescent="0.25">
      <c r="A1571" s="66"/>
    </row>
    <row r="1572" spans="1:1" x14ac:dyDescent="0.25">
      <c r="A1572" s="66"/>
    </row>
    <row r="1573" spans="1:1" x14ac:dyDescent="0.25">
      <c r="A1573" s="66"/>
    </row>
    <row r="1574" spans="1:1" x14ac:dyDescent="0.25">
      <c r="A1574" s="66"/>
    </row>
    <row r="1575" spans="1:1" x14ac:dyDescent="0.25">
      <c r="A1575" s="66"/>
    </row>
    <row r="1576" spans="1:1" x14ac:dyDescent="0.25">
      <c r="A1576" s="66"/>
    </row>
    <row r="1577" spans="1:1" x14ac:dyDescent="0.25">
      <c r="A1577" s="66"/>
    </row>
    <row r="1578" spans="1:1" x14ac:dyDescent="0.25">
      <c r="A1578" s="66"/>
    </row>
    <row r="1579" spans="1:1" x14ac:dyDescent="0.25">
      <c r="A1579" s="66"/>
    </row>
    <row r="1580" spans="1:1" x14ac:dyDescent="0.25">
      <c r="A1580" s="66"/>
    </row>
    <row r="1581" spans="1:1" x14ac:dyDescent="0.25">
      <c r="A1581" s="66"/>
    </row>
    <row r="1582" spans="1:1" x14ac:dyDescent="0.25">
      <c r="A1582" s="66"/>
    </row>
    <row r="1583" spans="1:1" x14ac:dyDescent="0.25">
      <c r="A1583" s="66"/>
    </row>
    <row r="1584" spans="1:1" x14ac:dyDescent="0.25">
      <c r="A1584" s="66"/>
    </row>
    <row r="1585" spans="1:1" x14ac:dyDescent="0.25">
      <c r="A1585" s="66"/>
    </row>
    <row r="1586" spans="1:1" x14ac:dyDescent="0.25">
      <c r="A1586" s="66"/>
    </row>
    <row r="1587" spans="1:1" x14ac:dyDescent="0.25">
      <c r="A1587" s="66"/>
    </row>
    <row r="1588" spans="1:1" x14ac:dyDescent="0.25">
      <c r="A1588" s="66"/>
    </row>
    <row r="1589" spans="1:1" x14ac:dyDescent="0.25">
      <c r="A1589" s="66"/>
    </row>
    <row r="1590" spans="1:1" x14ac:dyDescent="0.25">
      <c r="A1590" s="66"/>
    </row>
    <row r="1591" spans="1:1" x14ac:dyDescent="0.25">
      <c r="A1591" s="66"/>
    </row>
    <row r="1592" spans="1:1" x14ac:dyDescent="0.25">
      <c r="A1592" s="66"/>
    </row>
    <row r="1593" spans="1:1" x14ac:dyDescent="0.25">
      <c r="A1593" s="66"/>
    </row>
    <row r="1594" spans="1:1" x14ac:dyDescent="0.25">
      <c r="A1594" s="66"/>
    </row>
    <row r="1595" spans="1:1" x14ac:dyDescent="0.25">
      <c r="A1595" s="66"/>
    </row>
    <row r="1596" spans="1:1" x14ac:dyDescent="0.25">
      <c r="A1596" s="66"/>
    </row>
    <row r="1597" spans="1:1" x14ac:dyDescent="0.25">
      <c r="A1597" s="66"/>
    </row>
    <row r="1598" spans="1:1" x14ac:dyDescent="0.25">
      <c r="A1598" s="66"/>
    </row>
    <row r="1599" spans="1:1" x14ac:dyDescent="0.25">
      <c r="A1599" s="66"/>
    </row>
    <row r="1600" spans="1:1" x14ac:dyDescent="0.25">
      <c r="A1600" s="66"/>
    </row>
    <row r="1601" spans="1:1" x14ac:dyDescent="0.25">
      <c r="A1601" s="66"/>
    </row>
    <row r="1602" spans="1:1" x14ac:dyDescent="0.25">
      <c r="A1602" s="66"/>
    </row>
    <row r="1603" spans="1:1" x14ac:dyDescent="0.25">
      <c r="A1603" s="66"/>
    </row>
    <row r="1604" spans="1:1" x14ac:dyDescent="0.25">
      <c r="A1604" s="66"/>
    </row>
    <row r="1605" spans="1:1" x14ac:dyDescent="0.25">
      <c r="A1605" s="66"/>
    </row>
    <row r="1606" spans="1:1" x14ac:dyDescent="0.25">
      <c r="A1606" s="66"/>
    </row>
    <row r="1607" spans="1:1" x14ac:dyDescent="0.25">
      <c r="A1607" s="66"/>
    </row>
    <row r="1608" spans="1:1" x14ac:dyDescent="0.25">
      <c r="A1608" s="66"/>
    </row>
    <row r="1609" spans="1:1" x14ac:dyDescent="0.25">
      <c r="A1609" s="66"/>
    </row>
    <row r="1610" spans="1:1" x14ac:dyDescent="0.25">
      <c r="A1610" s="66"/>
    </row>
    <row r="1611" spans="1:1" x14ac:dyDescent="0.25">
      <c r="A1611" s="66"/>
    </row>
    <row r="1612" spans="1:1" x14ac:dyDescent="0.25">
      <c r="A1612" s="66"/>
    </row>
    <row r="1613" spans="1:1" x14ac:dyDescent="0.25">
      <c r="A1613" s="66"/>
    </row>
    <row r="1614" spans="1:1" x14ac:dyDescent="0.25">
      <c r="A1614" s="66"/>
    </row>
    <row r="1615" spans="1:1" x14ac:dyDescent="0.25">
      <c r="A1615" s="66"/>
    </row>
    <row r="1616" spans="1:1" x14ac:dyDescent="0.25">
      <c r="A1616" s="66"/>
    </row>
    <row r="1617" spans="1:1" x14ac:dyDescent="0.25">
      <c r="A1617" s="66"/>
    </row>
    <row r="1618" spans="1:1" x14ac:dyDescent="0.25">
      <c r="A1618" s="66"/>
    </row>
    <row r="1619" spans="1:1" x14ac:dyDescent="0.25">
      <c r="A1619" s="66"/>
    </row>
    <row r="1620" spans="1:1" x14ac:dyDescent="0.25">
      <c r="A1620" s="66"/>
    </row>
    <row r="1621" spans="1:1" x14ac:dyDescent="0.25">
      <c r="A1621" s="66"/>
    </row>
    <row r="1622" spans="1:1" x14ac:dyDescent="0.25">
      <c r="A1622" s="66"/>
    </row>
    <row r="1623" spans="1:1" x14ac:dyDescent="0.25">
      <c r="A1623" s="66"/>
    </row>
    <row r="1624" spans="1:1" x14ac:dyDescent="0.25">
      <c r="A1624" s="66"/>
    </row>
    <row r="1625" spans="1:1" x14ac:dyDescent="0.25">
      <c r="A1625" s="66"/>
    </row>
    <row r="1626" spans="1:1" x14ac:dyDescent="0.25">
      <c r="A1626" s="66"/>
    </row>
    <row r="1627" spans="1:1" x14ac:dyDescent="0.25">
      <c r="A1627" s="66"/>
    </row>
    <row r="1628" spans="1:1" x14ac:dyDescent="0.25">
      <c r="A1628" s="66"/>
    </row>
    <row r="1629" spans="1:1" x14ac:dyDescent="0.25">
      <c r="A1629" s="66"/>
    </row>
    <row r="1630" spans="1:1" x14ac:dyDescent="0.25">
      <c r="A1630" s="66"/>
    </row>
    <row r="1631" spans="1:1" x14ac:dyDescent="0.25">
      <c r="A1631" s="66"/>
    </row>
    <row r="1632" spans="1:1" x14ac:dyDescent="0.25">
      <c r="A1632" s="66"/>
    </row>
    <row r="1633" spans="1:1" x14ac:dyDescent="0.25">
      <c r="A1633" s="66"/>
    </row>
    <row r="1634" spans="1:1" x14ac:dyDescent="0.25">
      <c r="A1634" s="66"/>
    </row>
    <row r="1635" spans="1:1" x14ac:dyDescent="0.25">
      <c r="A1635" s="66"/>
    </row>
    <row r="1636" spans="1:1" x14ac:dyDescent="0.25">
      <c r="A1636" s="66"/>
    </row>
    <row r="1637" spans="1:1" x14ac:dyDescent="0.25">
      <c r="A1637" s="66"/>
    </row>
    <row r="1638" spans="1:1" x14ac:dyDescent="0.25">
      <c r="A1638" s="66"/>
    </row>
    <row r="1639" spans="1:1" x14ac:dyDescent="0.25">
      <c r="A1639" s="66"/>
    </row>
    <row r="1640" spans="1:1" x14ac:dyDescent="0.25">
      <c r="A1640" s="66"/>
    </row>
    <row r="1641" spans="1:1" x14ac:dyDescent="0.25">
      <c r="A1641" s="66"/>
    </row>
    <row r="1642" spans="1:1" x14ac:dyDescent="0.25">
      <c r="A1642" s="66"/>
    </row>
    <row r="1643" spans="1:1" x14ac:dyDescent="0.25">
      <c r="A1643" s="66"/>
    </row>
    <row r="1644" spans="1:1" x14ac:dyDescent="0.25">
      <c r="A1644" s="66"/>
    </row>
    <row r="1645" spans="1:1" x14ac:dyDescent="0.25">
      <c r="A1645" s="66"/>
    </row>
    <row r="1646" spans="1:1" x14ac:dyDescent="0.25">
      <c r="A1646" s="66"/>
    </row>
    <row r="1647" spans="1:1" x14ac:dyDescent="0.25">
      <c r="A1647" s="66"/>
    </row>
    <row r="1648" spans="1:1" x14ac:dyDescent="0.25">
      <c r="A1648" s="66"/>
    </row>
    <row r="1649" spans="1:1" x14ac:dyDescent="0.25">
      <c r="A1649" s="66"/>
    </row>
    <row r="1650" spans="1:1" x14ac:dyDescent="0.25">
      <c r="A1650" s="66"/>
    </row>
    <row r="1651" spans="1:1" x14ac:dyDescent="0.25">
      <c r="A1651" s="66"/>
    </row>
    <row r="1652" spans="1:1" x14ac:dyDescent="0.25">
      <c r="A1652" s="66"/>
    </row>
    <row r="1653" spans="1:1" x14ac:dyDescent="0.25">
      <c r="A1653" s="66"/>
    </row>
    <row r="1654" spans="1:1" x14ac:dyDescent="0.25">
      <c r="A1654" s="66"/>
    </row>
    <row r="1655" spans="1:1" x14ac:dyDescent="0.25">
      <c r="A1655" s="66"/>
    </row>
    <row r="1656" spans="1:1" x14ac:dyDescent="0.25">
      <c r="A1656" s="66"/>
    </row>
    <row r="1657" spans="1:1" x14ac:dyDescent="0.25">
      <c r="A1657" s="66"/>
    </row>
    <row r="1658" spans="1:1" x14ac:dyDescent="0.25">
      <c r="A1658" s="66"/>
    </row>
    <row r="1659" spans="1:1" x14ac:dyDescent="0.25">
      <c r="A1659" s="66"/>
    </row>
    <row r="1660" spans="1:1" x14ac:dyDescent="0.25">
      <c r="A1660" s="66"/>
    </row>
    <row r="1661" spans="1:1" x14ac:dyDescent="0.25">
      <c r="A1661" s="66"/>
    </row>
    <row r="1662" spans="1:1" x14ac:dyDescent="0.25">
      <c r="A1662" s="66"/>
    </row>
    <row r="1663" spans="1:1" x14ac:dyDescent="0.25">
      <c r="A1663" s="66"/>
    </row>
    <row r="1664" spans="1:1" x14ac:dyDescent="0.25">
      <c r="A1664" s="66"/>
    </row>
    <row r="1665" spans="1:1" x14ac:dyDescent="0.25">
      <c r="A1665" s="66"/>
    </row>
    <row r="1666" spans="1:1" x14ac:dyDescent="0.25">
      <c r="A1666" s="66"/>
    </row>
    <row r="1667" spans="1:1" x14ac:dyDescent="0.25">
      <c r="A1667" s="66"/>
    </row>
    <row r="1668" spans="1:1" x14ac:dyDescent="0.25">
      <c r="A1668" s="66"/>
    </row>
    <row r="1669" spans="1:1" x14ac:dyDescent="0.25">
      <c r="A1669" s="66"/>
    </row>
    <row r="1670" spans="1:1" x14ac:dyDescent="0.25">
      <c r="A1670" s="66"/>
    </row>
    <row r="1671" spans="1:1" x14ac:dyDescent="0.25">
      <c r="A1671" s="66"/>
    </row>
    <row r="1672" spans="1:1" x14ac:dyDescent="0.25">
      <c r="A1672" s="66"/>
    </row>
    <row r="1673" spans="1:1" x14ac:dyDescent="0.25">
      <c r="A1673" s="66"/>
    </row>
    <row r="1674" spans="1:1" x14ac:dyDescent="0.25">
      <c r="A1674" s="66"/>
    </row>
    <row r="1675" spans="1:1" x14ac:dyDescent="0.25">
      <c r="A1675" s="66"/>
    </row>
    <row r="1676" spans="1:1" x14ac:dyDescent="0.25">
      <c r="A1676" s="66"/>
    </row>
    <row r="1677" spans="1:1" x14ac:dyDescent="0.25">
      <c r="A1677" s="66"/>
    </row>
    <row r="1678" spans="1:1" x14ac:dyDescent="0.25">
      <c r="A1678" s="66"/>
    </row>
    <row r="1679" spans="1:1" x14ac:dyDescent="0.25">
      <c r="A1679" s="66"/>
    </row>
    <row r="1680" spans="1:1" x14ac:dyDescent="0.25">
      <c r="A1680" s="66"/>
    </row>
    <row r="1681" spans="1:1" x14ac:dyDescent="0.25">
      <c r="A1681" s="66"/>
    </row>
    <row r="1682" spans="1:1" x14ac:dyDescent="0.25">
      <c r="A1682" s="66"/>
    </row>
    <row r="1683" spans="1:1" x14ac:dyDescent="0.25">
      <c r="A1683" s="66"/>
    </row>
    <row r="1684" spans="1:1" x14ac:dyDescent="0.25">
      <c r="A1684" s="66"/>
    </row>
    <row r="1685" spans="1:1" x14ac:dyDescent="0.25">
      <c r="A1685" s="66"/>
    </row>
    <row r="1686" spans="1:1" x14ac:dyDescent="0.25">
      <c r="A1686" s="66"/>
    </row>
    <row r="1687" spans="1:1" x14ac:dyDescent="0.25">
      <c r="A1687" s="66"/>
    </row>
    <row r="1688" spans="1:1" x14ac:dyDescent="0.25">
      <c r="A1688" s="66"/>
    </row>
    <row r="1689" spans="1:1" x14ac:dyDescent="0.25">
      <c r="A1689" s="66"/>
    </row>
    <row r="1690" spans="1:1" x14ac:dyDescent="0.25">
      <c r="A1690" s="66"/>
    </row>
    <row r="1691" spans="1:1" x14ac:dyDescent="0.25">
      <c r="A1691" s="66"/>
    </row>
    <row r="1692" spans="1:1" x14ac:dyDescent="0.25">
      <c r="A1692" s="66"/>
    </row>
    <row r="1693" spans="1:1" x14ac:dyDescent="0.25">
      <c r="A1693" s="66"/>
    </row>
    <row r="1694" spans="1:1" x14ac:dyDescent="0.25">
      <c r="A1694" s="66"/>
    </row>
    <row r="1695" spans="1:1" x14ac:dyDescent="0.25">
      <c r="A1695" s="66"/>
    </row>
    <row r="1696" spans="1:1" x14ac:dyDescent="0.25">
      <c r="A1696" s="66"/>
    </row>
    <row r="1697" spans="1:1" x14ac:dyDescent="0.25">
      <c r="A1697" s="66"/>
    </row>
    <row r="1698" spans="1:1" x14ac:dyDescent="0.25">
      <c r="A1698" s="66"/>
    </row>
    <row r="1699" spans="1:1" x14ac:dyDescent="0.25">
      <c r="A1699" s="66"/>
    </row>
    <row r="1700" spans="1:1" x14ac:dyDescent="0.25">
      <c r="A1700" s="66"/>
    </row>
    <row r="1701" spans="1:1" x14ac:dyDescent="0.25">
      <c r="A1701" s="66"/>
    </row>
    <row r="1702" spans="1:1" x14ac:dyDescent="0.25">
      <c r="A1702" s="66"/>
    </row>
    <row r="1703" spans="1:1" x14ac:dyDescent="0.25">
      <c r="A1703" s="66"/>
    </row>
    <row r="1704" spans="1:1" x14ac:dyDescent="0.25">
      <c r="A1704" s="66"/>
    </row>
    <row r="1705" spans="1:1" x14ac:dyDescent="0.25">
      <c r="A1705" s="66"/>
    </row>
    <row r="1706" spans="1:1" x14ac:dyDescent="0.25">
      <c r="A1706" s="66"/>
    </row>
    <row r="1707" spans="1:1" x14ac:dyDescent="0.25">
      <c r="A1707" s="66"/>
    </row>
    <row r="1708" spans="1:1" x14ac:dyDescent="0.25">
      <c r="A1708" s="66"/>
    </row>
    <row r="1709" spans="1:1" x14ac:dyDescent="0.25">
      <c r="A1709" s="66"/>
    </row>
    <row r="1710" spans="1:1" x14ac:dyDescent="0.25">
      <c r="A1710" s="66"/>
    </row>
    <row r="1711" spans="1:1" x14ac:dyDescent="0.25">
      <c r="A1711" s="66"/>
    </row>
    <row r="1712" spans="1:1" x14ac:dyDescent="0.25">
      <c r="A1712" s="66"/>
    </row>
    <row r="1713" spans="1:1" x14ac:dyDescent="0.25">
      <c r="A1713" s="66"/>
    </row>
    <row r="1714" spans="1:1" x14ac:dyDescent="0.25">
      <c r="A1714" s="66"/>
    </row>
    <row r="1715" spans="1:1" x14ac:dyDescent="0.25">
      <c r="A1715" s="66"/>
    </row>
    <row r="1716" spans="1:1" x14ac:dyDescent="0.25">
      <c r="A1716" s="66"/>
    </row>
    <row r="1717" spans="1:1" x14ac:dyDescent="0.25">
      <c r="A1717" s="66"/>
    </row>
    <row r="1718" spans="1:1" x14ac:dyDescent="0.25">
      <c r="A1718" s="66"/>
    </row>
    <row r="1719" spans="1:1" x14ac:dyDescent="0.25">
      <c r="A1719" s="66"/>
    </row>
    <row r="1720" spans="1:1" x14ac:dyDescent="0.25">
      <c r="A1720" s="66"/>
    </row>
    <row r="1721" spans="1:1" x14ac:dyDescent="0.25">
      <c r="A1721" s="66"/>
    </row>
    <row r="1722" spans="1:1" x14ac:dyDescent="0.25">
      <c r="A1722" s="66"/>
    </row>
    <row r="1723" spans="1:1" x14ac:dyDescent="0.25">
      <c r="A1723" s="66"/>
    </row>
    <row r="1724" spans="1:1" x14ac:dyDescent="0.25">
      <c r="A1724" s="66"/>
    </row>
    <row r="1725" spans="1:1" x14ac:dyDescent="0.25">
      <c r="A1725" s="66"/>
    </row>
    <row r="1726" spans="1:1" x14ac:dyDescent="0.25">
      <c r="A1726" s="66"/>
    </row>
    <row r="1727" spans="1:1" x14ac:dyDescent="0.25">
      <c r="A1727" s="66"/>
    </row>
    <row r="1728" spans="1:1" x14ac:dyDescent="0.25">
      <c r="A1728" s="66"/>
    </row>
    <row r="1729" spans="1:1" x14ac:dyDescent="0.25">
      <c r="A1729" s="66"/>
    </row>
    <row r="1730" spans="1:1" x14ac:dyDescent="0.25">
      <c r="A1730" s="66"/>
    </row>
    <row r="1731" spans="1:1" x14ac:dyDescent="0.25">
      <c r="A1731" s="66"/>
    </row>
    <row r="1732" spans="1:1" x14ac:dyDescent="0.25">
      <c r="A1732" s="66"/>
    </row>
    <row r="1733" spans="1:1" x14ac:dyDescent="0.25">
      <c r="A1733" s="66"/>
    </row>
    <row r="1734" spans="1:1" x14ac:dyDescent="0.25">
      <c r="A1734" s="66"/>
    </row>
    <row r="1735" spans="1:1" x14ac:dyDescent="0.25">
      <c r="A1735" s="66"/>
    </row>
    <row r="1736" spans="1:1" x14ac:dyDescent="0.25">
      <c r="A1736" s="66"/>
    </row>
    <row r="1737" spans="1:1" x14ac:dyDescent="0.25">
      <c r="A1737" s="66"/>
    </row>
    <row r="1738" spans="1:1" x14ac:dyDescent="0.25">
      <c r="A1738" s="66"/>
    </row>
    <row r="1739" spans="1:1" x14ac:dyDescent="0.25">
      <c r="A1739" s="66"/>
    </row>
    <row r="1740" spans="1:1" x14ac:dyDescent="0.25">
      <c r="A1740" s="66"/>
    </row>
    <row r="1741" spans="1:1" x14ac:dyDescent="0.25">
      <c r="A1741" s="66"/>
    </row>
    <row r="1742" spans="1:1" x14ac:dyDescent="0.25">
      <c r="A1742" s="66"/>
    </row>
    <row r="1743" spans="1:1" x14ac:dyDescent="0.25">
      <c r="A1743" s="66"/>
    </row>
    <row r="1744" spans="1:1" x14ac:dyDescent="0.25">
      <c r="A1744" s="66"/>
    </row>
    <row r="1745" spans="1:1" x14ac:dyDescent="0.25">
      <c r="A1745" s="66"/>
    </row>
    <row r="1746" spans="1:1" x14ac:dyDescent="0.25">
      <c r="A1746" s="66"/>
    </row>
    <row r="1747" spans="1:1" x14ac:dyDescent="0.25">
      <c r="A1747" s="66"/>
    </row>
    <row r="1748" spans="1:1" x14ac:dyDescent="0.25">
      <c r="A1748" s="66"/>
    </row>
    <row r="1749" spans="1:1" x14ac:dyDescent="0.25">
      <c r="A1749" s="66"/>
    </row>
    <row r="1750" spans="1:1" x14ac:dyDescent="0.25">
      <c r="A1750" s="66"/>
    </row>
    <row r="1751" spans="1:1" x14ac:dyDescent="0.25">
      <c r="A1751" s="66"/>
    </row>
    <row r="1752" spans="1:1" x14ac:dyDescent="0.25">
      <c r="A1752" s="66"/>
    </row>
    <row r="1753" spans="1:1" x14ac:dyDescent="0.25">
      <c r="A1753" s="66"/>
    </row>
    <row r="1754" spans="1:1" x14ac:dyDescent="0.25">
      <c r="A1754" s="66"/>
    </row>
    <row r="1755" spans="1:1" x14ac:dyDescent="0.25">
      <c r="A1755" s="66"/>
    </row>
    <row r="1756" spans="1:1" x14ac:dyDescent="0.25">
      <c r="A1756" s="66"/>
    </row>
    <row r="1757" spans="1:1" x14ac:dyDescent="0.25">
      <c r="A1757" s="66"/>
    </row>
    <row r="1758" spans="1:1" x14ac:dyDescent="0.25">
      <c r="A1758" s="66"/>
    </row>
    <row r="1759" spans="1:1" x14ac:dyDescent="0.25">
      <c r="A1759" s="66"/>
    </row>
    <row r="1760" spans="1:1" x14ac:dyDescent="0.25">
      <c r="A1760" s="66"/>
    </row>
    <row r="1761" spans="1:1" x14ac:dyDescent="0.25">
      <c r="A1761" s="66"/>
    </row>
    <row r="1762" spans="1:1" x14ac:dyDescent="0.25">
      <c r="A1762" s="66"/>
    </row>
    <row r="1763" spans="1:1" x14ac:dyDescent="0.25">
      <c r="A1763" s="66"/>
    </row>
    <row r="1764" spans="1:1" x14ac:dyDescent="0.25">
      <c r="A1764" s="66"/>
    </row>
    <row r="1765" spans="1:1" x14ac:dyDescent="0.25">
      <c r="A1765" s="66"/>
    </row>
    <row r="1766" spans="1:1" x14ac:dyDescent="0.25">
      <c r="A1766" s="66"/>
    </row>
    <row r="1767" spans="1:1" x14ac:dyDescent="0.25">
      <c r="A1767" s="66"/>
    </row>
    <row r="1768" spans="1:1" x14ac:dyDescent="0.25">
      <c r="A1768" s="66"/>
    </row>
    <row r="1769" spans="1:1" x14ac:dyDescent="0.25">
      <c r="A1769" s="66"/>
    </row>
    <row r="1770" spans="1:1" x14ac:dyDescent="0.25">
      <c r="A1770" s="66"/>
    </row>
    <row r="1771" spans="1:1" x14ac:dyDescent="0.25">
      <c r="A1771" s="66"/>
    </row>
    <row r="1772" spans="1:1" x14ac:dyDescent="0.25">
      <c r="A1772" s="66"/>
    </row>
    <row r="1773" spans="1:1" x14ac:dyDescent="0.25">
      <c r="A1773" s="66"/>
    </row>
    <row r="1774" spans="1:1" x14ac:dyDescent="0.25">
      <c r="A1774" s="66"/>
    </row>
    <row r="1775" spans="1:1" x14ac:dyDescent="0.25">
      <c r="A1775" s="66"/>
    </row>
    <row r="1776" spans="1:1" x14ac:dyDescent="0.25">
      <c r="A1776" s="66"/>
    </row>
    <row r="1777" spans="1:1" x14ac:dyDescent="0.25">
      <c r="A1777" s="66"/>
    </row>
    <row r="1778" spans="1:1" x14ac:dyDescent="0.25">
      <c r="A1778" s="66"/>
    </row>
    <row r="1779" spans="1:1" x14ac:dyDescent="0.25">
      <c r="A1779" s="66"/>
    </row>
    <row r="1780" spans="1:1" x14ac:dyDescent="0.25">
      <c r="A1780" s="66"/>
    </row>
    <row r="1781" spans="1:1" x14ac:dyDescent="0.25">
      <c r="A1781" s="66"/>
    </row>
    <row r="1782" spans="1:1" x14ac:dyDescent="0.25">
      <c r="A1782" s="66"/>
    </row>
    <row r="1783" spans="1:1" x14ac:dyDescent="0.25">
      <c r="A1783" s="66"/>
    </row>
    <row r="1784" spans="1:1" x14ac:dyDescent="0.25">
      <c r="A1784" s="66"/>
    </row>
    <row r="1785" spans="1:1" x14ac:dyDescent="0.25">
      <c r="A1785" s="66"/>
    </row>
    <row r="1786" spans="1:1" x14ac:dyDescent="0.25">
      <c r="A1786" s="66"/>
    </row>
    <row r="1787" spans="1:1" x14ac:dyDescent="0.25">
      <c r="A1787" s="66"/>
    </row>
    <row r="1788" spans="1:1" x14ac:dyDescent="0.25">
      <c r="A1788" s="66"/>
    </row>
    <row r="1789" spans="1:1" x14ac:dyDescent="0.25">
      <c r="A1789" s="66"/>
    </row>
    <row r="1790" spans="1:1" x14ac:dyDescent="0.25">
      <c r="A1790" s="66"/>
    </row>
    <row r="1791" spans="1:1" x14ac:dyDescent="0.25">
      <c r="A1791" s="66"/>
    </row>
    <row r="1792" spans="1:1" x14ac:dyDescent="0.25">
      <c r="A1792" s="66"/>
    </row>
    <row r="1793" spans="1:1" x14ac:dyDescent="0.25">
      <c r="A1793" s="66"/>
    </row>
    <row r="1794" spans="1:1" x14ac:dyDescent="0.25">
      <c r="A1794" s="66"/>
    </row>
    <row r="1795" spans="1:1" x14ac:dyDescent="0.25">
      <c r="A1795" s="66"/>
    </row>
    <row r="1796" spans="1:1" x14ac:dyDescent="0.25">
      <c r="A1796" s="66"/>
    </row>
    <row r="1797" spans="1:1" x14ac:dyDescent="0.25">
      <c r="A1797" s="66"/>
    </row>
    <row r="1798" spans="1:1" x14ac:dyDescent="0.25">
      <c r="A1798" s="66"/>
    </row>
    <row r="1799" spans="1:1" x14ac:dyDescent="0.25">
      <c r="A1799" s="66"/>
    </row>
    <row r="1800" spans="1:1" x14ac:dyDescent="0.25">
      <c r="A1800" s="66"/>
    </row>
    <row r="1801" spans="1:1" x14ac:dyDescent="0.25">
      <c r="A1801" s="66"/>
    </row>
    <row r="1802" spans="1:1" x14ac:dyDescent="0.25">
      <c r="A1802" s="66"/>
    </row>
    <row r="1803" spans="1:1" x14ac:dyDescent="0.25">
      <c r="A1803" s="66"/>
    </row>
    <row r="1804" spans="1:1" x14ac:dyDescent="0.25">
      <c r="A1804" s="66"/>
    </row>
    <row r="1805" spans="1:1" x14ac:dyDescent="0.25">
      <c r="A1805" s="66"/>
    </row>
    <row r="1806" spans="1:1" x14ac:dyDescent="0.25">
      <c r="A1806" s="66"/>
    </row>
    <row r="1807" spans="1:1" x14ac:dyDescent="0.25">
      <c r="A1807" s="66"/>
    </row>
    <row r="1808" spans="1:1" x14ac:dyDescent="0.25">
      <c r="A1808" s="66"/>
    </row>
    <row r="1809" spans="1:1" x14ac:dyDescent="0.25">
      <c r="A1809" s="66"/>
    </row>
    <row r="1810" spans="1:1" x14ac:dyDescent="0.25">
      <c r="A1810" s="66"/>
    </row>
    <row r="1811" spans="1:1" x14ac:dyDescent="0.25">
      <c r="A1811" s="66"/>
    </row>
    <row r="1812" spans="1:1" x14ac:dyDescent="0.25">
      <c r="A1812" s="66"/>
    </row>
    <row r="1813" spans="1:1" x14ac:dyDescent="0.25">
      <c r="A1813" s="66"/>
    </row>
    <row r="1814" spans="1:1" x14ac:dyDescent="0.25">
      <c r="A1814" s="66"/>
    </row>
    <row r="1815" spans="1:1" x14ac:dyDescent="0.25">
      <c r="A1815" s="66"/>
    </row>
    <row r="1816" spans="1:1" x14ac:dyDescent="0.25">
      <c r="A1816" s="66"/>
    </row>
    <row r="1817" spans="1:1" x14ac:dyDescent="0.25">
      <c r="A1817" s="66"/>
    </row>
    <row r="1818" spans="1:1" x14ac:dyDescent="0.25">
      <c r="A1818" s="66"/>
    </row>
    <row r="1819" spans="1:1" x14ac:dyDescent="0.25">
      <c r="A1819" s="66"/>
    </row>
    <row r="1820" spans="1:1" x14ac:dyDescent="0.25">
      <c r="A1820" s="66"/>
    </row>
    <row r="1821" spans="1:1" x14ac:dyDescent="0.25">
      <c r="A1821" s="66"/>
    </row>
    <row r="1822" spans="1:1" x14ac:dyDescent="0.25">
      <c r="A1822" s="66"/>
    </row>
    <row r="1823" spans="1:1" x14ac:dyDescent="0.25">
      <c r="A1823" s="66"/>
    </row>
    <row r="1824" spans="1:1" x14ac:dyDescent="0.25">
      <c r="A1824" s="66"/>
    </row>
    <row r="1825" spans="1:1" x14ac:dyDescent="0.25">
      <c r="A1825" s="66"/>
    </row>
    <row r="1826" spans="1:1" x14ac:dyDescent="0.25">
      <c r="A1826" s="66"/>
    </row>
    <row r="1827" spans="1:1" x14ac:dyDescent="0.25">
      <c r="A1827" s="66"/>
    </row>
    <row r="1828" spans="1:1" x14ac:dyDescent="0.25">
      <c r="A1828" s="66"/>
    </row>
    <row r="1829" spans="1:1" x14ac:dyDescent="0.25">
      <c r="A1829" s="66"/>
    </row>
    <row r="1830" spans="1:1" x14ac:dyDescent="0.25">
      <c r="A1830" s="66"/>
    </row>
    <row r="1831" spans="1:1" x14ac:dyDescent="0.25">
      <c r="A1831" s="66"/>
    </row>
    <row r="1832" spans="1:1" x14ac:dyDescent="0.25">
      <c r="A1832" s="66"/>
    </row>
    <row r="1833" spans="1:1" x14ac:dyDescent="0.25">
      <c r="A1833" s="66"/>
    </row>
    <row r="1834" spans="1:1" x14ac:dyDescent="0.25">
      <c r="A1834" s="66"/>
    </row>
    <row r="1835" spans="1:1" x14ac:dyDescent="0.25">
      <c r="A1835" s="66"/>
    </row>
    <row r="1836" spans="1:1" x14ac:dyDescent="0.25">
      <c r="A1836" s="66"/>
    </row>
    <row r="1837" spans="1:1" x14ac:dyDescent="0.25">
      <c r="A1837" s="66"/>
    </row>
    <row r="1838" spans="1:1" x14ac:dyDescent="0.25">
      <c r="A1838" s="66"/>
    </row>
    <row r="1839" spans="1:1" x14ac:dyDescent="0.25">
      <c r="A1839" s="66"/>
    </row>
    <row r="1840" spans="1:1" x14ac:dyDescent="0.25">
      <c r="A1840" s="66"/>
    </row>
    <row r="1841" spans="1:1" x14ac:dyDescent="0.25">
      <c r="A1841" s="66"/>
    </row>
    <row r="1842" spans="1:1" x14ac:dyDescent="0.25">
      <c r="A1842" s="66"/>
    </row>
    <row r="1843" spans="1:1" x14ac:dyDescent="0.25">
      <c r="A1843" s="66"/>
    </row>
    <row r="1844" spans="1:1" x14ac:dyDescent="0.25">
      <c r="A1844" s="66"/>
    </row>
    <row r="1845" spans="1:1" x14ac:dyDescent="0.25">
      <c r="A1845" s="66"/>
    </row>
    <row r="1846" spans="1:1" x14ac:dyDescent="0.25">
      <c r="A1846" s="66"/>
    </row>
    <row r="1847" spans="1:1" x14ac:dyDescent="0.25">
      <c r="A1847" s="66"/>
    </row>
    <row r="1848" spans="1:1" x14ac:dyDescent="0.25">
      <c r="A1848" s="66"/>
    </row>
    <row r="1849" spans="1:1" x14ac:dyDescent="0.25">
      <c r="A1849" s="66"/>
    </row>
    <row r="1850" spans="1:1" x14ac:dyDescent="0.25">
      <c r="A1850" s="66"/>
    </row>
    <row r="1851" spans="1:1" x14ac:dyDescent="0.25">
      <c r="A1851" s="66"/>
    </row>
    <row r="1852" spans="1:1" x14ac:dyDescent="0.25">
      <c r="A1852" s="66"/>
    </row>
    <row r="1853" spans="1:1" x14ac:dyDescent="0.25">
      <c r="A1853" s="66"/>
    </row>
    <row r="1854" spans="1:1" x14ac:dyDescent="0.25">
      <c r="A1854" s="66"/>
    </row>
    <row r="1855" spans="1:1" x14ac:dyDescent="0.25">
      <c r="A1855" s="66"/>
    </row>
    <row r="1856" spans="1:1" x14ac:dyDescent="0.25">
      <c r="A1856" s="66"/>
    </row>
    <row r="1857" spans="1:1" x14ac:dyDescent="0.25">
      <c r="A1857" s="66"/>
    </row>
    <row r="1858" spans="1:1" x14ac:dyDescent="0.25">
      <c r="A1858" s="66"/>
    </row>
    <row r="1859" spans="1:1" x14ac:dyDescent="0.25">
      <c r="A1859" s="66"/>
    </row>
    <row r="1860" spans="1:1" x14ac:dyDescent="0.25">
      <c r="A1860" s="66"/>
    </row>
    <row r="1861" spans="1:1" x14ac:dyDescent="0.25">
      <c r="A1861" s="66"/>
    </row>
    <row r="1862" spans="1:1" x14ac:dyDescent="0.25">
      <c r="A1862" s="66"/>
    </row>
    <row r="1863" spans="1:1" x14ac:dyDescent="0.25">
      <c r="A1863" s="66"/>
    </row>
    <row r="1864" spans="1:1" x14ac:dyDescent="0.25">
      <c r="A1864" s="66"/>
    </row>
    <row r="1865" spans="1:1" x14ac:dyDescent="0.25">
      <c r="A1865" s="66"/>
    </row>
    <row r="1866" spans="1:1" x14ac:dyDescent="0.25">
      <c r="A1866" s="66"/>
    </row>
    <row r="1867" spans="1:1" x14ac:dyDescent="0.25">
      <c r="A1867" s="66"/>
    </row>
    <row r="1868" spans="1:1" x14ac:dyDescent="0.25">
      <c r="A1868" s="66"/>
    </row>
    <row r="1869" spans="1:1" x14ac:dyDescent="0.25">
      <c r="A1869" s="66"/>
    </row>
    <row r="1870" spans="1:1" x14ac:dyDescent="0.25">
      <c r="A1870" s="66"/>
    </row>
    <row r="1871" spans="1:1" x14ac:dyDescent="0.25">
      <c r="A1871" s="66"/>
    </row>
    <row r="1872" spans="1:1" x14ac:dyDescent="0.25">
      <c r="A1872" s="66"/>
    </row>
    <row r="1873" spans="1:1" x14ac:dyDescent="0.25">
      <c r="A1873" s="66"/>
    </row>
    <row r="1874" spans="1:1" x14ac:dyDescent="0.25">
      <c r="A1874" s="66"/>
    </row>
    <row r="1875" spans="1:1" x14ac:dyDescent="0.25">
      <c r="A1875" s="66"/>
    </row>
    <row r="1876" spans="1:1" x14ac:dyDescent="0.25">
      <c r="A1876" s="66"/>
    </row>
    <row r="1877" spans="1:1" x14ac:dyDescent="0.25">
      <c r="A1877" s="66"/>
    </row>
    <row r="1878" spans="1:1" x14ac:dyDescent="0.25">
      <c r="A1878" s="66"/>
    </row>
    <row r="1879" spans="1:1" x14ac:dyDescent="0.25">
      <c r="A1879" s="66"/>
    </row>
    <row r="1880" spans="1:1" x14ac:dyDescent="0.25">
      <c r="A1880" s="66"/>
    </row>
    <row r="1881" spans="1:1" x14ac:dyDescent="0.25">
      <c r="A1881" s="66"/>
    </row>
    <row r="1882" spans="1:1" x14ac:dyDescent="0.25">
      <c r="A1882" s="66"/>
    </row>
    <row r="1883" spans="1:1" x14ac:dyDescent="0.25">
      <c r="A1883" s="66"/>
    </row>
    <row r="1884" spans="1:1" x14ac:dyDescent="0.25">
      <c r="A1884" s="66"/>
    </row>
    <row r="1885" spans="1:1" x14ac:dyDescent="0.25">
      <c r="A1885" s="66"/>
    </row>
    <row r="1886" spans="1:1" x14ac:dyDescent="0.25">
      <c r="A1886" s="66"/>
    </row>
    <row r="1887" spans="1:1" x14ac:dyDescent="0.25">
      <c r="A1887" s="66"/>
    </row>
    <row r="1888" spans="1:1" x14ac:dyDescent="0.25">
      <c r="A1888" s="66"/>
    </row>
    <row r="1889" spans="1:1" x14ac:dyDescent="0.25">
      <c r="A1889" s="66"/>
    </row>
    <row r="1890" spans="1:1" x14ac:dyDescent="0.25">
      <c r="A1890" s="66"/>
    </row>
    <row r="1891" spans="1:1" x14ac:dyDescent="0.25">
      <c r="A1891" s="66"/>
    </row>
    <row r="1892" spans="1:1" x14ac:dyDescent="0.25">
      <c r="A1892" s="66"/>
    </row>
    <row r="1893" spans="1:1" x14ac:dyDescent="0.25">
      <c r="A1893" s="66"/>
    </row>
    <row r="1894" spans="1:1" x14ac:dyDescent="0.25">
      <c r="A1894" s="66"/>
    </row>
    <row r="1895" spans="1:1" x14ac:dyDescent="0.25">
      <c r="A1895" s="66"/>
    </row>
    <row r="1896" spans="1:1" x14ac:dyDescent="0.25">
      <c r="A1896" s="66"/>
    </row>
    <row r="1897" spans="1:1" x14ac:dyDescent="0.25">
      <c r="A1897" s="66"/>
    </row>
    <row r="1898" spans="1:1" x14ac:dyDescent="0.25">
      <c r="A1898" s="66"/>
    </row>
    <row r="1899" spans="1:1" x14ac:dyDescent="0.25">
      <c r="A1899" s="66"/>
    </row>
    <row r="1900" spans="1:1" x14ac:dyDescent="0.25">
      <c r="A1900" s="66"/>
    </row>
    <row r="1901" spans="1:1" x14ac:dyDescent="0.25">
      <c r="A1901" s="66"/>
    </row>
    <row r="1902" spans="1:1" x14ac:dyDescent="0.25">
      <c r="A1902" s="66"/>
    </row>
    <row r="1903" spans="1:1" x14ac:dyDescent="0.25">
      <c r="A1903" s="66"/>
    </row>
    <row r="1904" spans="1:1" x14ac:dyDescent="0.25">
      <c r="A1904" s="66"/>
    </row>
    <row r="1905" spans="1:1" x14ac:dyDescent="0.25">
      <c r="A1905" s="66"/>
    </row>
    <row r="1906" spans="1:1" x14ac:dyDescent="0.25">
      <c r="A1906" s="66"/>
    </row>
    <row r="1907" spans="1:1" x14ac:dyDescent="0.25">
      <c r="A1907" s="66"/>
    </row>
    <row r="1908" spans="1:1" x14ac:dyDescent="0.25">
      <c r="A1908" s="66"/>
    </row>
    <row r="1909" spans="1:1" x14ac:dyDescent="0.25">
      <c r="A1909" s="66"/>
    </row>
    <row r="1910" spans="1:1" x14ac:dyDescent="0.25">
      <c r="A1910" s="66"/>
    </row>
    <row r="1911" spans="1:1" x14ac:dyDescent="0.25">
      <c r="A1911" s="66"/>
    </row>
    <row r="1912" spans="1:1" x14ac:dyDescent="0.25">
      <c r="A1912" s="66"/>
    </row>
    <row r="1913" spans="1:1" x14ac:dyDescent="0.25">
      <c r="A1913" s="66"/>
    </row>
    <row r="1914" spans="1:1" x14ac:dyDescent="0.25">
      <c r="A1914" s="66"/>
    </row>
    <row r="1915" spans="1:1" x14ac:dyDescent="0.25">
      <c r="A1915" s="66"/>
    </row>
    <row r="1916" spans="1:1" x14ac:dyDescent="0.25">
      <c r="A1916" s="66"/>
    </row>
    <row r="1917" spans="1:1" x14ac:dyDescent="0.25">
      <c r="A1917" s="66"/>
    </row>
    <row r="1918" spans="1:1" x14ac:dyDescent="0.25">
      <c r="A1918" s="66"/>
    </row>
    <row r="1919" spans="1:1" x14ac:dyDescent="0.25">
      <c r="A1919" s="66"/>
    </row>
    <row r="1920" spans="1:1" x14ac:dyDescent="0.25">
      <c r="A1920" s="66"/>
    </row>
    <row r="1921" spans="1:1" x14ac:dyDescent="0.25">
      <c r="A1921" s="66"/>
    </row>
    <row r="1922" spans="1:1" x14ac:dyDescent="0.25">
      <c r="A1922" s="66"/>
    </row>
    <row r="1923" spans="1:1" x14ac:dyDescent="0.25">
      <c r="A1923" s="66"/>
    </row>
    <row r="1924" spans="1:1" x14ac:dyDescent="0.25">
      <c r="A1924" s="66"/>
    </row>
    <row r="1925" spans="1:1" x14ac:dyDescent="0.25">
      <c r="A1925" s="66"/>
    </row>
    <row r="1926" spans="1:1" x14ac:dyDescent="0.25">
      <c r="A1926" s="66"/>
    </row>
    <row r="1927" spans="1:1" x14ac:dyDescent="0.25">
      <c r="A1927" s="66"/>
    </row>
    <row r="1928" spans="1:1" x14ac:dyDescent="0.25">
      <c r="A1928" s="66"/>
    </row>
    <row r="1929" spans="1:1" x14ac:dyDescent="0.25">
      <c r="A1929" s="66"/>
    </row>
    <row r="1930" spans="1:1" x14ac:dyDescent="0.25">
      <c r="A1930" s="66"/>
    </row>
    <row r="1931" spans="1:1" x14ac:dyDescent="0.25">
      <c r="A1931" s="66"/>
    </row>
    <row r="1932" spans="1:1" x14ac:dyDescent="0.25">
      <c r="A1932" s="66"/>
    </row>
    <row r="1933" spans="1:1" x14ac:dyDescent="0.25">
      <c r="A1933" s="66"/>
    </row>
    <row r="1934" spans="1:1" x14ac:dyDescent="0.25">
      <c r="A1934" s="66"/>
    </row>
    <row r="1935" spans="1:1" x14ac:dyDescent="0.25">
      <c r="A1935" s="66"/>
    </row>
    <row r="1936" spans="1:1" x14ac:dyDescent="0.25">
      <c r="A1936" s="66"/>
    </row>
    <row r="1937" spans="1:1" x14ac:dyDescent="0.25">
      <c r="A1937" s="66"/>
    </row>
    <row r="1938" spans="1:1" x14ac:dyDescent="0.25">
      <c r="A1938" s="66"/>
    </row>
    <row r="1939" spans="1:1" x14ac:dyDescent="0.25">
      <c r="A1939" s="66"/>
    </row>
    <row r="1940" spans="1:1" x14ac:dyDescent="0.25">
      <c r="A1940" s="66"/>
    </row>
    <row r="1941" spans="1:1" x14ac:dyDescent="0.25">
      <c r="A1941" s="66"/>
    </row>
    <row r="1942" spans="1:1" x14ac:dyDescent="0.25">
      <c r="A1942" s="66"/>
    </row>
    <row r="1943" spans="1:1" x14ac:dyDescent="0.25">
      <c r="A1943" s="66"/>
    </row>
    <row r="1944" spans="1:1" x14ac:dyDescent="0.25">
      <c r="A1944" s="66"/>
    </row>
    <row r="1945" spans="1:1" x14ac:dyDescent="0.25">
      <c r="A1945" s="66"/>
    </row>
    <row r="1946" spans="1:1" x14ac:dyDescent="0.25">
      <c r="A1946" s="66"/>
    </row>
    <row r="1947" spans="1:1" x14ac:dyDescent="0.25">
      <c r="A1947" s="66"/>
    </row>
    <row r="1948" spans="1:1" x14ac:dyDescent="0.25">
      <c r="A1948" s="66"/>
    </row>
    <row r="1949" spans="1:1" x14ac:dyDescent="0.25">
      <c r="A1949" s="66"/>
    </row>
    <row r="1950" spans="1:1" x14ac:dyDescent="0.25">
      <c r="A1950" s="66"/>
    </row>
    <row r="1951" spans="1:1" x14ac:dyDescent="0.25">
      <c r="A1951" s="66"/>
    </row>
    <row r="1952" spans="1:1" x14ac:dyDescent="0.25">
      <c r="A1952" s="66"/>
    </row>
    <row r="1953" spans="1:1" x14ac:dyDescent="0.25">
      <c r="A1953" s="66"/>
    </row>
    <row r="1954" spans="1:1" x14ac:dyDescent="0.25">
      <c r="A1954" s="66"/>
    </row>
    <row r="1955" spans="1:1" x14ac:dyDescent="0.25">
      <c r="A1955" s="66"/>
    </row>
    <row r="1956" spans="1:1" x14ac:dyDescent="0.25">
      <c r="A1956" s="66"/>
    </row>
    <row r="1957" spans="1:1" x14ac:dyDescent="0.25">
      <c r="A1957" s="66"/>
    </row>
    <row r="1958" spans="1:1" x14ac:dyDescent="0.25">
      <c r="A1958" s="66"/>
    </row>
    <row r="1959" spans="1:1" x14ac:dyDescent="0.25">
      <c r="A1959" s="66"/>
    </row>
    <row r="1960" spans="1:1" x14ac:dyDescent="0.25">
      <c r="A1960" s="66"/>
    </row>
    <row r="1961" spans="1:1" x14ac:dyDescent="0.25">
      <c r="A1961" s="66"/>
    </row>
    <row r="1962" spans="1:1" x14ac:dyDescent="0.25">
      <c r="A1962" s="66"/>
    </row>
    <row r="1963" spans="1:1" x14ac:dyDescent="0.25">
      <c r="A1963" s="66"/>
    </row>
    <row r="1964" spans="1:1" x14ac:dyDescent="0.25">
      <c r="A1964" s="66"/>
    </row>
    <row r="1965" spans="1:1" x14ac:dyDescent="0.25">
      <c r="A1965" s="66"/>
    </row>
    <row r="1966" spans="1:1" x14ac:dyDescent="0.25">
      <c r="A1966" s="66"/>
    </row>
    <row r="1967" spans="1:1" x14ac:dyDescent="0.25">
      <c r="A1967" s="66"/>
    </row>
    <row r="1968" spans="1:1" x14ac:dyDescent="0.25">
      <c r="A1968" s="66"/>
    </row>
    <row r="1969" spans="1:1" x14ac:dyDescent="0.25">
      <c r="A1969" s="66"/>
    </row>
    <row r="1970" spans="1:1" x14ac:dyDescent="0.25">
      <c r="A1970" s="66"/>
    </row>
    <row r="1971" spans="1:1" x14ac:dyDescent="0.25">
      <c r="A1971" s="66"/>
    </row>
    <row r="1972" spans="1:1" x14ac:dyDescent="0.25">
      <c r="A1972" s="66"/>
    </row>
    <row r="1973" spans="1:1" x14ac:dyDescent="0.25">
      <c r="A1973" s="66"/>
    </row>
    <row r="1974" spans="1:1" x14ac:dyDescent="0.25">
      <c r="A1974" s="66"/>
    </row>
    <row r="1975" spans="1:1" x14ac:dyDescent="0.25">
      <c r="A1975" s="66"/>
    </row>
    <row r="1976" spans="1:1" x14ac:dyDescent="0.25">
      <c r="A1976" s="66"/>
    </row>
    <row r="1977" spans="1:1" x14ac:dyDescent="0.25">
      <c r="A1977" s="66"/>
    </row>
    <row r="1978" spans="1:1" x14ac:dyDescent="0.25">
      <c r="A1978" s="66"/>
    </row>
    <row r="1979" spans="1:1" x14ac:dyDescent="0.25">
      <c r="A1979" s="66"/>
    </row>
    <row r="1980" spans="1:1" x14ac:dyDescent="0.25">
      <c r="A1980" s="66"/>
    </row>
    <row r="1981" spans="1:1" x14ac:dyDescent="0.25">
      <c r="A1981" s="66"/>
    </row>
    <row r="1982" spans="1:1" x14ac:dyDescent="0.25">
      <c r="A1982" s="66"/>
    </row>
    <row r="1983" spans="1:1" x14ac:dyDescent="0.25">
      <c r="A1983" s="66"/>
    </row>
    <row r="1984" spans="1:1" x14ac:dyDescent="0.25">
      <c r="A1984" s="66"/>
    </row>
    <row r="1985" spans="1:1" x14ac:dyDescent="0.25">
      <c r="A1985" s="66"/>
    </row>
    <row r="1986" spans="1:1" x14ac:dyDescent="0.25">
      <c r="A1986" s="66"/>
    </row>
    <row r="1987" spans="1:1" x14ac:dyDescent="0.25">
      <c r="A1987" s="66"/>
    </row>
    <row r="1988" spans="1:1" x14ac:dyDescent="0.25">
      <c r="A1988" s="66"/>
    </row>
    <row r="1989" spans="1:1" x14ac:dyDescent="0.25">
      <c r="A1989" s="66"/>
    </row>
    <row r="1990" spans="1:1" x14ac:dyDescent="0.25">
      <c r="A1990" s="66"/>
    </row>
    <row r="1991" spans="1:1" x14ac:dyDescent="0.25">
      <c r="A1991" s="66"/>
    </row>
    <row r="1992" spans="1:1" x14ac:dyDescent="0.25">
      <c r="A1992" s="66"/>
    </row>
    <row r="1993" spans="1:1" x14ac:dyDescent="0.25">
      <c r="A1993" s="66"/>
    </row>
    <row r="1994" spans="1:1" x14ac:dyDescent="0.25">
      <c r="A1994" s="66"/>
    </row>
    <row r="1995" spans="1:1" x14ac:dyDescent="0.25">
      <c r="A1995" s="66"/>
    </row>
    <row r="1996" spans="1:1" x14ac:dyDescent="0.25">
      <c r="A1996" s="66"/>
    </row>
    <row r="1997" spans="1:1" x14ac:dyDescent="0.25">
      <c r="A1997" s="66"/>
    </row>
    <row r="1998" spans="1:1" x14ac:dyDescent="0.25">
      <c r="A1998" s="66"/>
    </row>
    <row r="1999" spans="1:1" x14ac:dyDescent="0.25">
      <c r="A1999" s="66"/>
    </row>
    <row r="2000" spans="1:1" x14ac:dyDescent="0.25">
      <c r="A2000" s="66"/>
    </row>
    <row r="2001" spans="1:1" x14ac:dyDescent="0.25">
      <c r="A2001" s="66"/>
    </row>
    <row r="2002" spans="1:1" x14ac:dyDescent="0.25">
      <c r="A2002" s="66"/>
    </row>
    <row r="2003" spans="1:1" x14ac:dyDescent="0.25">
      <c r="A2003" s="66"/>
    </row>
    <row r="2004" spans="1:1" x14ac:dyDescent="0.25">
      <c r="A2004" s="66"/>
    </row>
    <row r="2005" spans="1:1" x14ac:dyDescent="0.25">
      <c r="A2005" s="66"/>
    </row>
    <row r="2006" spans="1:1" x14ac:dyDescent="0.25">
      <c r="A2006" s="66"/>
    </row>
    <row r="2007" spans="1:1" x14ac:dyDescent="0.25">
      <c r="A2007" s="66"/>
    </row>
    <row r="2008" spans="1:1" x14ac:dyDescent="0.25">
      <c r="A2008" s="66"/>
    </row>
    <row r="2009" spans="1:1" x14ac:dyDescent="0.25">
      <c r="A2009" s="66"/>
    </row>
    <row r="2010" spans="1:1" x14ac:dyDescent="0.25">
      <c r="A2010" s="66"/>
    </row>
    <row r="2011" spans="1:1" x14ac:dyDescent="0.25">
      <c r="A2011" s="66"/>
    </row>
    <row r="2012" spans="1:1" x14ac:dyDescent="0.25">
      <c r="A2012" s="66"/>
    </row>
    <row r="2013" spans="1:1" x14ac:dyDescent="0.25">
      <c r="A2013" s="66"/>
    </row>
    <row r="2014" spans="1:1" x14ac:dyDescent="0.25">
      <c r="A2014" s="66"/>
    </row>
    <row r="2015" spans="1:1" x14ac:dyDescent="0.25">
      <c r="A2015" s="66"/>
    </row>
    <row r="2016" spans="1:1" x14ac:dyDescent="0.25">
      <c r="A2016" s="66"/>
    </row>
    <row r="2017" spans="1:1" x14ac:dyDescent="0.25">
      <c r="A2017" s="66"/>
    </row>
    <row r="2018" spans="1:1" x14ac:dyDescent="0.25">
      <c r="A2018" s="66"/>
    </row>
    <row r="2019" spans="1:1" x14ac:dyDescent="0.25">
      <c r="A2019" s="66"/>
    </row>
    <row r="2020" spans="1:1" x14ac:dyDescent="0.25">
      <c r="A2020" s="66"/>
    </row>
    <row r="2021" spans="1:1" x14ac:dyDescent="0.25">
      <c r="A2021" s="66"/>
    </row>
    <row r="2022" spans="1:1" x14ac:dyDescent="0.25">
      <c r="A2022" s="66"/>
    </row>
    <row r="2023" spans="1:1" x14ac:dyDescent="0.25">
      <c r="A2023" s="66"/>
    </row>
    <row r="2024" spans="1:1" x14ac:dyDescent="0.25">
      <c r="A2024" s="66"/>
    </row>
    <row r="2025" spans="1:1" x14ac:dyDescent="0.25">
      <c r="A2025" s="66"/>
    </row>
    <row r="2026" spans="1:1" x14ac:dyDescent="0.25">
      <c r="A2026" s="66"/>
    </row>
    <row r="2027" spans="1:1" x14ac:dyDescent="0.25">
      <c r="A2027" s="66"/>
    </row>
    <row r="2028" spans="1:1" x14ac:dyDescent="0.25">
      <c r="A2028" s="66"/>
    </row>
    <row r="2029" spans="1:1" x14ac:dyDescent="0.25">
      <c r="A2029" s="66"/>
    </row>
    <row r="2030" spans="1:1" x14ac:dyDescent="0.25">
      <c r="A2030" s="66"/>
    </row>
    <row r="2031" spans="1:1" x14ac:dyDescent="0.25">
      <c r="A2031" s="66"/>
    </row>
    <row r="2032" spans="1:1" x14ac:dyDescent="0.25">
      <c r="A2032" s="66"/>
    </row>
    <row r="2033" spans="1:1" x14ac:dyDescent="0.25">
      <c r="A2033" s="66"/>
    </row>
    <row r="2034" spans="1:1" x14ac:dyDescent="0.25">
      <c r="A2034" s="66"/>
    </row>
    <row r="2035" spans="1:1" x14ac:dyDescent="0.25">
      <c r="A2035" s="66"/>
    </row>
    <row r="2036" spans="1:1" x14ac:dyDescent="0.25">
      <c r="A2036" s="66"/>
    </row>
    <row r="2037" spans="1:1" x14ac:dyDescent="0.25">
      <c r="A2037" s="66"/>
    </row>
    <row r="2038" spans="1:1" x14ac:dyDescent="0.25">
      <c r="A2038" s="66"/>
    </row>
    <row r="2039" spans="1:1" x14ac:dyDescent="0.25">
      <c r="A2039" s="66"/>
    </row>
    <row r="2040" spans="1:1" x14ac:dyDescent="0.25">
      <c r="A2040" s="66"/>
    </row>
    <row r="2041" spans="1:1" x14ac:dyDescent="0.25">
      <c r="A2041" s="66"/>
    </row>
    <row r="2042" spans="1:1" x14ac:dyDescent="0.25">
      <c r="A2042" s="66"/>
    </row>
    <row r="2043" spans="1:1" x14ac:dyDescent="0.25">
      <c r="A2043" s="66"/>
    </row>
    <row r="2044" spans="1:1" x14ac:dyDescent="0.25">
      <c r="A2044" s="66"/>
    </row>
    <row r="2045" spans="1:1" x14ac:dyDescent="0.25">
      <c r="A2045" s="66"/>
    </row>
    <row r="2046" spans="1:1" x14ac:dyDescent="0.25">
      <c r="A2046" s="66"/>
    </row>
    <row r="2047" spans="1:1" x14ac:dyDescent="0.25">
      <c r="A2047" s="66"/>
    </row>
    <row r="2048" spans="1:1" x14ac:dyDescent="0.25">
      <c r="A2048" s="66"/>
    </row>
    <row r="2049" spans="1:1" x14ac:dyDescent="0.25">
      <c r="A2049" s="66"/>
    </row>
    <row r="2050" spans="1:1" x14ac:dyDescent="0.25">
      <c r="A2050" s="66"/>
    </row>
    <row r="2051" spans="1:1" x14ac:dyDescent="0.25">
      <c r="A2051" s="66"/>
    </row>
    <row r="2052" spans="1:1" x14ac:dyDescent="0.25">
      <c r="A2052" s="66"/>
    </row>
    <row r="2053" spans="1:1" x14ac:dyDescent="0.25">
      <c r="A2053" s="66"/>
    </row>
    <row r="2054" spans="1:1" x14ac:dyDescent="0.25">
      <c r="A2054" s="66"/>
    </row>
    <row r="2055" spans="1:1" x14ac:dyDescent="0.25">
      <c r="A2055" s="66"/>
    </row>
    <row r="2056" spans="1:1" x14ac:dyDescent="0.25">
      <c r="A2056" s="66"/>
    </row>
    <row r="2057" spans="1:1" x14ac:dyDescent="0.25">
      <c r="A2057" s="66"/>
    </row>
    <row r="2058" spans="1:1" x14ac:dyDescent="0.25">
      <c r="A2058" s="66"/>
    </row>
    <row r="2059" spans="1:1" x14ac:dyDescent="0.25">
      <c r="A2059" s="66"/>
    </row>
    <row r="2060" spans="1:1" x14ac:dyDescent="0.25">
      <c r="A2060" s="66"/>
    </row>
    <row r="2061" spans="1:1" x14ac:dyDescent="0.25">
      <c r="A2061" s="66"/>
    </row>
    <row r="2062" spans="1:1" x14ac:dyDescent="0.25">
      <c r="A2062" s="66"/>
    </row>
    <row r="2063" spans="1:1" x14ac:dyDescent="0.25">
      <c r="A2063" s="66"/>
    </row>
    <row r="2064" spans="1:1" x14ac:dyDescent="0.25">
      <c r="A2064" s="66"/>
    </row>
    <row r="2065" spans="1:1" x14ac:dyDescent="0.25">
      <c r="A2065" s="66"/>
    </row>
    <row r="2066" spans="1:1" x14ac:dyDescent="0.25">
      <c r="A2066" s="66"/>
    </row>
    <row r="2067" spans="1:1" x14ac:dyDescent="0.25">
      <c r="A2067" s="66"/>
    </row>
    <row r="2068" spans="1:1" x14ac:dyDescent="0.25">
      <c r="A2068" s="66"/>
    </row>
    <row r="2069" spans="1:1" x14ac:dyDescent="0.25">
      <c r="A2069" s="66"/>
    </row>
    <row r="2070" spans="1:1" x14ac:dyDescent="0.25">
      <c r="A2070" s="66"/>
    </row>
    <row r="2071" spans="1:1" x14ac:dyDescent="0.25">
      <c r="A2071" s="66"/>
    </row>
    <row r="2072" spans="1:1" x14ac:dyDescent="0.25">
      <c r="A2072" s="66"/>
    </row>
    <row r="2073" spans="1:1" x14ac:dyDescent="0.25">
      <c r="A2073" s="66"/>
    </row>
    <row r="2074" spans="1:1" x14ac:dyDescent="0.25">
      <c r="A2074" s="66"/>
    </row>
    <row r="2075" spans="1:1" x14ac:dyDescent="0.25">
      <c r="A2075" s="66"/>
    </row>
    <row r="2076" spans="1:1" x14ac:dyDescent="0.25">
      <c r="A2076" s="66"/>
    </row>
    <row r="2077" spans="1:1" x14ac:dyDescent="0.25">
      <c r="A2077" s="66"/>
    </row>
    <row r="2078" spans="1:1" x14ac:dyDescent="0.25">
      <c r="A2078" s="66"/>
    </row>
    <row r="2079" spans="1:1" x14ac:dyDescent="0.25">
      <c r="A2079" s="66"/>
    </row>
    <row r="2080" spans="1:1" x14ac:dyDescent="0.25">
      <c r="A2080" s="66"/>
    </row>
    <row r="2081" spans="1:1" x14ac:dyDescent="0.25">
      <c r="A2081" s="66"/>
    </row>
    <row r="2082" spans="1:1" x14ac:dyDescent="0.25">
      <c r="A2082" s="66"/>
    </row>
    <row r="2083" spans="1:1" x14ac:dyDescent="0.25">
      <c r="A2083" s="66"/>
    </row>
    <row r="2084" spans="1:1" x14ac:dyDescent="0.25">
      <c r="A2084" s="66"/>
    </row>
    <row r="2085" spans="1:1" x14ac:dyDescent="0.25">
      <c r="A2085" s="66"/>
    </row>
    <row r="2086" spans="1:1" x14ac:dyDescent="0.25">
      <c r="A2086" s="66"/>
    </row>
    <row r="2087" spans="1:1" x14ac:dyDescent="0.25">
      <c r="A2087" s="66"/>
    </row>
    <row r="2088" spans="1:1" x14ac:dyDescent="0.25">
      <c r="A2088" s="66"/>
    </row>
    <row r="2089" spans="1:1" x14ac:dyDescent="0.25">
      <c r="A2089" s="66"/>
    </row>
    <row r="2090" spans="1:1" x14ac:dyDescent="0.25">
      <c r="A2090" s="66"/>
    </row>
    <row r="2091" spans="1:1" x14ac:dyDescent="0.25">
      <c r="A2091" s="66"/>
    </row>
    <row r="2092" spans="1:1" x14ac:dyDescent="0.25">
      <c r="A2092" s="66"/>
    </row>
    <row r="2093" spans="1:1" x14ac:dyDescent="0.25">
      <c r="A2093" s="66"/>
    </row>
    <row r="2094" spans="1:1" x14ac:dyDescent="0.25">
      <c r="A2094" s="66"/>
    </row>
    <row r="2095" spans="1:1" x14ac:dyDescent="0.25">
      <c r="A2095" s="66"/>
    </row>
    <row r="2096" spans="1:1" x14ac:dyDescent="0.25">
      <c r="A2096" s="66"/>
    </row>
    <row r="2097" spans="1:1" x14ac:dyDescent="0.25">
      <c r="A2097" s="66"/>
    </row>
    <row r="2098" spans="1:1" x14ac:dyDescent="0.25">
      <c r="A2098" s="66"/>
    </row>
    <row r="2099" spans="1:1" x14ac:dyDescent="0.25">
      <c r="A2099" s="66"/>
    </row>
    <row r="2100" spans="1:1" x14ac:dyDescent="0.25">
      <c r="A2100" s="66"/>
    </row>
    <row r="2101" spans="1:1" x14ac:dyDescent="0.25">
      <c r="A2101" s="66"/>
    </row>
    <row r="2102" spans="1:1" x14ac:dyDescent="0.25">
      <c r="A2102" s="66"/>
    </row>
    <row r="2103" spans="1:1" x14ac:dyDescent="0.25">
      <c r="A2103" s="66"/>
    </row>
    <row r="2104" spans="1:1" x14ac:dyDescent="0.25">
      <c r="A2104" s="66"/>
    </row>
    <row r="2105" spans="1:1" x14ac:dyDescent="0.25">
      <c r="A2105" s="66"/>
    </row>
    <row r="2106" spans="1:1" x14ac:dyDescent="0.25">
      <c r="A2106" s="66"/>
    </row>
    <row r="2107" spans="1:1" x14ac:dyDescent="0.25">
      <c r="A2107" s="66"/>
    </row>
    <row r="2108" spans="1:1" x14ac:dyDescent="0.25">
      <c r="A2108" s="66"/>
    </row>
    <row r="2109" spans="1:1" x14ac:dyDescent="0.25">
      <c r="A2109" s="66"/>
    </row>
    <row r="2110" spans="1:1" x14ac:dyDescent="0.25">
      <c r="A2110" s="66"/>
    </row>
    <row r="2111" spans="1:1" x14ac:dyDescent="0.25">
      <c r="A2111" s="66"/>
    </row>
    <row r="2112" spans="1:1" x14ac:dyDescent="0.25">
      <c r="A2112" s="66"/>
    </row>
    <row r="2113" spans="1:1" x14ac:dyDescent="0.25">
      <c r="A2113" s="66"/>
    </row>
    <row r="2114" spans="1:1" x14ac:dyDescent="0.25">
      <c r="A2114" s="66"/>
    </row>
    <row r="2115" spans="1:1" x14ac:dyDescent="0.25">
      <c r="A2115" s="66"/>
    </row>
    <row r="2116" spans="1:1" x14ac:dyDescent="0.25">
      <c r="A2116" s="66"/>
    </row>
    <row r="2117" spans="1:1" x14ac:dyDescent="0.25">
      <c r="A2117" s="66"/>
    </row>
    <row r="2118" spans="1:1" x14ac:dyDescent="0.25">
      <c r="A2118" s="66"/>
    </row>
    <row r="2119" spans="1:1" x14ac:dyDescent="0.25">
      <c r="A2119" s="66"/>
    </row>
    <row r="2120" spans="1:1" x14ac:dyDescent="0.25">
      <c r="A2120" s="66"/>
    </row>
    <row r="2121" spans="1:1" x14ac:dyDescent="0.25">
      <c r="A2121" s="66"/>
    </row>
    <row r="2122" spans="1:1" x14ac:dyDescent="0.25">
      <c r="A2122" s="66"/>
    </row>
    <row r="2123" spans="1:1" x14ac:dyDescent="0.25">
      <c r="A2123" s="66"/>
    </row>
    <row r="2124" spans="1:1" x14ac:dyDescent="0.25">
      <c r="A2124" s="66"/>
    </row>
    <row r="2125" spans="1:1" x14ac:dyDescent="0.25">
      <c r="A2125" s="66"/>
    </row>
    <row r="2126" spans="1:1" x14ac:dyDescent="0.25">
      <c r="A2126" s="66"/>
    </row>
    <row r="2127" spans="1:1" x14ac:dyDescent="0.25">
      <c r="A2127" s="66"/>
    </row>
    <row r="2128" spans="1:1" x14ac:dyDescent="0.25">
      <c r="A2128" s="66"/>
    </row>
    <row r="2129" spans="1:1" x14ac:dyDescent="0.25">
      <c r="A2129" s="66"/>
    </row>
    <row r="2130" spans="1:1" x14ac:dyDescent="0.25">
      <c r="A2130" s="66"/>
    </row>
    <row r="2131" spans="1:1" x14ac:dyDescent="0.25">
      <c r="A2131" s="66"/>
    </row>
    <row r="2132" spans="1:1" x14ac:dyDescent="0.25">
      <c r="A2132" s="66"/>
    </row>
    <row r="2133" spans="1:1" x14ac:dyDescent="0.25">
      <c r="A2133" s="66"/>
    </row>
    <row r="2134" spans="1:1" x14ac:dyDescent="0.25">
      <c r="A2134" s="66"/>
    </row>
    <row r="2135" spans="1:1" x14ac:dyDescent="0.25">
      <c r="A2135" s="66"/>
    </row>
    <row r="2136" spans="1:1" x14ac:dyDescent="0.25">
      <c r="A2136" s="66"/>
    </row>
    <row r="2137" spans="1:1" x14ac:dyDescent="0.25">
      <c r="A2137" s="66"/>
    </row>
    <row r="2138" spans="1:1" x14ac:dyDescent="0.25">
      <c r="A2138" s="66"/>
    </row>
    <row r="2139" spans="1:1" x14ac:dyDescent="0.25">
      <c r="A2139" s="66"/>
    </row>
    <row r="2140" spans="1:1" x14ac:dyDescent="0.25">
      <c r="A2140" s="66"/>
    </row>
    <row r="2141" spans="1:1" x14ac:dyDescent="0.25">
      <c r="A2141" s="66"/>
    </row>
    <row r="2142" spans="1:1" x14ac:dyDescent="0.25">
      <c r="A2142" s="66"/>
    </row>
    <row r="2143" spans="1:1" x14ac:dyDescent="0.25">
      <c r="A2143" s="66"/>
    </row>
    <row r="2144" spans="1:1" x14ac:dyDescent="0.25">
      <c r="A2144" s="66"/>
    </row>
    <row r="2145" spans="1:1" x14ac:dyDescent="0.25">
      <c r="A2145" s="66"/>
    </row>
    <row r="2146" spans="1:1" x14ac:dyDescent="0.25">
      <c r="A2146" s="66"/>
    </row>
    <row r="2147" spans="1:1" x14ac:dyDescent="0.25">
      <c r="A2147" s="66"/>
    </row>
    <row r="2148" spans="1:1" x14ac:dyDescent="0.25">
      <c r="A2148" s="66"/>
    </row>
    <row r="2149" spans="1:1" x14ac:dyDescent="0.25">
      <c r="A2149" s="66"/>
    </row>
    <row r="2150" spans="1:1" x14ac:dyDescent="0.25">
      <c r="A2150" s="66"/>
    </row>
    <row r="2151" spans="1:1" x14ac:dyDescent="0.25">
      <c r="A2151" s="66"/>
    </row>
    <row r="2152" spans="1:1" x14ac:dyDescent="0.25">
      <c r="A2152" s="66"/>
    </row>
    <row r="2153" spans="1:1" x14ac:dyDescent="0.25">
      <c r="A2153" s="66"/>
    </row>
    <row r="2154" spans="1:1" x14ac:dyDescent="0.25">
      <c r="A2154" s="66"/>
    </row>
    <row r="2155" spans="1:1" x14ac:dyDescent="0.25">
      <c r="A2155" s="66"/>
    </row>
    <row r="2156" spans="1:1" x14ac:dyDescent="0.25">
      <c r="A2156" s="66"/>
    </row>
    <row r="2157" spans="1:1" x14ac:dyDescent="0.25">
      <c r="A2157" s="66"/>
    </row>
    <row r="2158" spans="1:1" x14ac:dyDescent="0.25">
      <c r="A2158" s="66"/>
    </row>
    <row r="2159" spans="1:1" x14ac:dyDescent="0.25">
      <c r="A2159" s="66"/>
    </row>
    <row r="2160" spans="1:1" x14ac:dyDescent="0.25">
      <c r="A2160" s="66"/>
    </row>
    <row r="2161" spans="1:1" x14ac:dyDescent="0.25">
      <c r="A2161" s="66"/>
    </row>
    <row r="2162" spans="1:1" x14ac:dyDescent="0.25">
      <c r="A2162" s="66"/>
    </row>
    <row r="2163" spans="1:1" x14ac:dyDescent="0.25">
      <c r="A2163" s="66"/>
    </row>
    <row r="2164" spans="1:1" x14ac:dyDescent="0.25">
      <c r="A2164" s="66"/>
    </row>
    <row r="2165" spans="1:1" x14ac:dyDescent="0.25">
      <c r="A2165" s="66"/>
    </row>
    <row r="2166" spans="1:1" x14ac:dyDescent="0.25">
      <c r="A2166" s="66"/>
    </row>
    <row r="2167" spans="1:1" x14ac:dyDescent="0.25">
      <c r="A2167" s="66"/>
    </row>
    <row r="2168" spans="1:1" x14ac:dyDescent="0.25">
      <c r="A2168" s="66"/>
    </row>
    <row r="2169" spans="1:1" x14ac:dyDescent="0.25">
      <c r="A2169" s="66"/>
    </row>
    <row r="2170" spans="1:1" x14ac:dyDescent="0.25">
      <c r="A2170" s="66"/>
    </row>
    <row r="2171" spans="1:1" x14ac:dyDescent="0.25">
      <c r="A2171" s="66"/>
    </row>
    <row r="2172" spans="1:1" x14ac:dyDescent="0.25">
      <c r="A2172" s="66"/>
    </row>
    <row r="2173" spans="1:1" x14ac:dyDescent="0.25">
      <c r="A2173" s="66"/>
    </row>
    <row r="2174" spans="1:1" x14ac:dyDescent="0.25">
      <c r="A2174" s="66"/>
    </row>
    <row r="2175" spans="1:1" x14ac:dyDescent="0.25">
      <c r="A2175" s="66"/>
    </row>
    <row r="2176" spans="1:1" x14ac:dyDescent="0.25">
      <c r="A2176" s="66"/>
    </row>
    <row r="2177" spans="1:1" x14ac:dyDescent="0.25">
      <c r="A2177" s="66"/>
    </row>
    <row r="2178" spans="1:1" x14ac:dyDescent="0.25">
      <c r="A2178" s="66"/>
    </row>
    <row r="2179" spans="1:1" x14ac:dyDescent="0.25">
      <c r="A2179" s="66"/>
    </row>
    <row r="2180" spans="1:1" x14ac:dyDescent="0.25">
      <c r="A2180" s="66"/>
    </row>
    <row r="2181" spans="1:1" x14ac:dyDescent="0.25">
      <c r="A2181" s="66"/>
    </row>
    <row r="2182" spans="1:1" x14ac:dyDescent="0.25">
      <c r="A2182" s="66"/>
    </row>
    <row r="2183" spans="1:1" x14ac:dyDescent="0.25">
      <c r="A2183" s="66"/>
    </row>
    <row r="2184" spans="1:1" x14ac:dyDescent="0.25">
      <c r="A2184" s="66"/>
    </row>
    <row r="2185" spans="1:1" x14ac:dyDescent="0.25">
      <c r="A2185" s="66"/>
    </row>
    <row r="2186" spans="1:1" x14ac:dyDescent="0.25">
      <c r="A2186" s="66"/>
    </row>
    <row r="2187" spans="1:1" x14ac:dyDescent="0.25">
      <c r="A2187" s="66"/>
    </row>
    <row r="2188" spans="1:1" x14ac:dyDescent="0.25">
      <c r="A2188" s="66"/>
    </row>
    <row r="2189" spans="1:1" x14ac:dyDescent="0.25">
      <c r="A2189" s="66"/>
    </row>
    <row r="2190" spans="1:1" x14ac:dyDescent="0.25">
      <c r="A2190" s="66"/>
    </row>
    <row r="2191" spans="1:1" x14ac:dyDescent="0.25">
      <c r="A2191" s="66"/>
    </row>
    <row r="2192" spans="1:1" x14ac:dyDescent="0.25">
      <c r="A2192" s="66"/>
    </row>
    <row r="2193" spans="1:1" x14ac:dyDescent="0.25">
      <c r="A2193" s="66"/>
    </row>
    <row r="2194" spans="1:1" x14ac:dyDescent="0.25">
      <c r="A2194" s="66"/>
    </row>
    <row r="2195" spans="1:1" x14ac:dyDescent="0.25">
      <c r="A2195" s="66"/>
    </row>
    <row r="2196" spans="1:1" x14ac:dyDescent="0.25">
      <c r="A2196" s="66"/>
    </row>
    <row r="2197" spans="1:1" x14ac:dyDescent="0.25">
      <c r="A2197" s="66"/>
    </row>
    <row r="2198" spans="1:1" x14ac:dyDescent="0.25">
      <c r="A2198" s="66"/>
    </row>
    <row r="2199" spans="1:1" x14ac:dyDescent="0.25">
      <c r="A2199" s="66"/>
    </row>
    <row r="2200" spans="1:1" x14ac:dyDescent="0.25">
      <c r="A2200" s="66"/>
    </row>
    <row r="2201" spans="1:1" x14ac:dyDescent="0.25">
      <c r="A2201" s="66"/>
    </row>
    <row r="2202" spans="1:1" x14ac:dyDescent="0.25">
      <c r="A2202" s="66"/>
    </row>
    <row r="2203" spans="1:1" x14ac:dyDescent="0.25">
      <c r="A2203" s="66"/>
    </row>
    <row r="2204" spans="1:1" x14ac:dyDescent="0.25">
      <c r="A2204" s="66"/>
    </row>
    <row r="2205" spans="1:1" x14ac:dyDescent="0.25">
      <c r="A2205" s="66"/>
    </row>
    <row r="2206" spans="1:1" x14ac:dyDescent="0.25">
      <c r="A2206" s="66"/>
    </row>
    <row r="2207" spans="1:1" x14ac:dyDescent="0.25">
      <c r="A2207" s="66"/>
    </row>
    <row r="2208" spans="1:1" x14ac:dyDescent="0.25">
      <c r="A2208" s="66"/>
    </row>
    <row r="2209" spans="1:1" x14ac:dyDescent="0.25">
      <c r="A2209" s="66"/>
    </row>
    <row r="2210" spans="1:1" x14ac:dyDescent="0.25">
      <c r="A2210" s="66"/>
    </row>
    <row r="2211" spans="1:1" x14ac:dyDescent="0.25">
      <c r="A2211" s="66"/>
    </row>
    <row r="2212" spans="1:1" x14ac:dyDescent="0.25">
      <c r="A2212" s="66"/>
    </row>
    <row r="2213" spans="1:1" x14ac:dyDescent="0.25">
      <c r="A2213" s="66"/>
    </row>
    <row r="2214" spans="1:1" x14ac:dyDescent="0.25">
      <c r="A2214" s="66"/>
    </row>
    <row r="2215" spans="1:1" x14ac:dyDescent="0.25">
      <c r="A2215" s="66"/>
    </row>
    <row r="2216" spans="1:1" x14ac:dyDescent="0.25">
      <c r="A2216" s="66"/>
    </row>
    <row r="2217" spans="1:1" x14ac:dyDescent="0.25">
      <c r="A2217" s="66"/>
    </row>
    <row r="2218" spans="1:1" x14ac:dyDescent="0.25">
      <c r="A2218" s="66"/>
    </row>
    <row r="2219" spans="1:1" x14ac:dyDescent="0.25">
      <c r="A2219" s="66"/>
    </row>
    <row r="2220" spans="1:1" x14ac:dyDescent="0.25">
      <c r="A2220" s="66"/>
    </row>
    <row r="2221" spans="1:1" x14ac:dyDescent="0.25">
      <c r="A2221" s="66"/>
    </row>
    <row r="2222" spans="1:1" x14ac:dyDescent="0.25">
      <c r="A2222" s="66"/>
    </row>
    <row r="2223" spans="1:1" x14ac:dyDescent="0.25">
      <c r="A2223" s="66"/>
    </row>
    <row r="2224" spans="1:1" x14ac:dyDescent="0.25">
      <c r="A2224" s="66"/>
    </row>
    <row r="2225" spans="1:1" x14ac:dyDescent="0.25">
      <c r="A2225" s="66"/>
    </row>
    <row r="2226" spans="1:1" x14ac:dyDescent="0.25">
      <c r="A2226" s="66"/>
    </row>
    <row r="2227" spans="1:1" x14ac:dyDescent="0.25">
      <c r="A2227" s="66"/>
    </row>
    <row r="2228" spans="1:1" x14ac:dyDescent="0.25">
      <c r="A2228" s="66"/>
    </row>
    <row r="2229" spans="1:1" x14ac:dyDescent="0.25">
      <c r="A2229" s="66"/>
    </row>
    <row r="2230" spans="1:1" x14ac:dyDescent="0.25">
      <c r="A2230" s="66"/>
    </row>
    <row r="2231" spans="1:1" x14ac:dyDescent="0.25">
      <c r="A2231" s="66"/>
    </row>
    <row r="2232" spans="1:1" x14ac:dyDescent="0.25">
      <c r="A2232" s="66"/>
    </row>
    <row r="2233" spans="1:1" x14ac:dyDescent="0.25">
      <c r="A2233" s="66"/>
    </row>
    <row r="2234" spans="1:1" x14ac:dyDescent="0.25">
      <c r="A2234" s="66"/>
    </row>
    <row r="2235" spans="1:1" x14ac:dyDescent="0.25">
      <c r="A2235" s="66"/>
    </row>
    <row r="2236" spans="1:1" x14ac:dyDescent="0.25">
      <c r="A2236" s="66"/>
    </row>
    <row r="2237" spans="1:1" x14ac:dyDescent="0.25">
      <c r="A2237" s="66"/>
    </row>
    <row r="2238" spans="1:1" x14ac:dyDescent="0.25">
      <c r="A2238" s="66"/>
    </row>
    <row r="2239" spans="1:1" x14ac:dyDescent="0.25">
      <c r="A2239" s="66"/>
    </row>
    <row r="2240" spans="1:1" x14ac:dyDescent="0.25">
      <c r="A2240" s="66"/>
    </row>
    <row r="2241" spans="1:1" x14ac:dyDescent="0.25">
      <c r="A2241" s="66"/>
    </row>
    <row r="2242" spans="1:1" x14ac:dyDescent="0.25">
      <c r="A2242" s="66"/>
    </row>
    <row r="2243" spans="1:1" x14ac:dyDescent="0.25">
      <c r="A2243" s="66"/>
    </row>
    <row r="2244" spans="1:1" x14ac:dyDescent="0.25">
      <c r="A2244" s="66"/>
    </row>
    <row r="2245" spans="1:1" x14ac:dyDescent="0.25">
      <c r="A2245" s="66"/>
    </row>
    <row r="2246" spans="1:1" x14ac:dyDescent="0.25">
      <c r="A2246" s="66"/>
    </row>
    <row r="2247" spans="1:1" x14ac:dyDescent="0.25">
      <c r="A2247" s="66"/>
    </row>
    <row r="2248" spans="1:1" x14ac:dyDescent="0.25">
      <c r="A2248" s="66"/>
    </row>
    <row r="2249" spans="1:1" x14ac:dyDescent="0.25">
      <c r="A2249" s="66"/>
    </row>
    <row r="2250" spans="1:1" x14ac:dyDescent="0.25">
      <c r="A2250" s="66"/>
    </row>
    <row r="2251" spans="1:1" x14ac:dyDescent="0.25">
      <c r="A2251" s="66"/>
    </row>
    <row r="2252" spans="1:1" x14ac:dyDescent="0.25">
      <c r="A2252" s="66"/>
    </row>
    <row r="2253" spans="1:1" x14ac:dyDescent="0.25">
      <c r="A2253" s="66"/>
    </row>
    <row r="2254" spans="1:1" x14ac:dyDescent="0.25">
      <c r="A2254" s="66"/>
    </row>
    <row r="2255" spans="1:1" x14ac:dyDescent="0.25">
      <c r="A2255" s="66"/>
    </row>
    <row r="2256" spans="1:1" x14ac:dyDescent="0.25">
      <c r="A2256" s="66"/>
    </row>
    <row r="2257" spans="1:1" x14ac:dyDescent="0.25">
      <c r="A2257" s="66"/>
    </row>
    <row r="2258" spans="1:1" x14ac:dyDescent="0.25">
      <c r="A2258" s="66"/>
    </row>
    <row r="2259" spans="1:1" x14ac:dyDescent="0.25">
      <c r="A2259" s="66"/>
    </row>
    <row r="2260" spans="1:1" x14ac:dyDescent="0.25">
      <c r="A2260" s="66"/>
    </row>
    <row r="2261" spans="1:1" x14ac:dyDescent="0.25">
      <c r="A2261" s="66"/>
    </row>
    <row r="2262" spans="1:1" x14ac:dyDescent="0.25">
      <c r="A2262" s="66"/>
    </row>
    <row r="2263" spans="1:1" x14ac:dyDescent="0.25">
      <c r="A2263" s="66"/>
    </row>
    <row r="2264" spans="1:1" x14ac:dyDescent="0.25">
      <c r="A2264" s="66"/>
    </row>
    <row r="2265" spans="1:1" x14ac:dyDescent="0.25">
      <c r="A2265" s="66"/>
    </row>
    <row r="2266" spans="1:1" x14ac:dyDescent="0.25">
      <c r="A2266" s="66"/>
    </row>
    <row r="2267" spans="1:1" x14ac:dyDescent="0.25">
      <c r="A2267" s="66"/>
    </row>
    <row r="2268" spans="1:1" x14ac:dyDescent="0.25">
      <c r="A2268" s="66"/>
    </row>
    <row r="2269" spans="1:1" x14ac:dyDescent="0.25">
      <c r="A2269" s="66"/>
    </row>
    <row r="2270" spans="1:1" x14ac:dyDescent="0.25">
      <c r="A2270" s="66"/>
    </row>
    <row r="2271" spans="1:1" x14ac:dyDescent="0.25">
      <c r="A2271" s="66"/>
    </row>
    <row r="2272" spans="1:1" x14ac:dyDescent="0.25">
      <c r="A2272" s="66"/>
    </row>
    <row r="2273" spans="1:1" x14ac:dyDescent="0.25">
      <c r="A2273" s="66"/>
    </row>
    <row r="2274" spans="1:1" x14ac:dyDescent="0.25">
      <c r="A2274" s="66"/>
    </row>
    <row r="2275" spans="1:1" x14ac:dyDescent="0.25">
      <c r="A2275" s="66"/>
    </row>
    <row r="2276" spans="1:1" x14ac:dyDescent="0.25">
      <c r="A2276" s="66"/>
    </row>
    <row r="2277" spans="1:1" x14ac:dyDescent="0.25">
      <c r="A2277" s="66"/>
    </row>
    <row r="2278" spans="1:1" x14ac:dyDescent="0.25">
      <c r="A2278" s="66"/>
    </row>
    <row r="2279" spans="1:1" x14ac:dyDescent="0.25">
      <c r="A2279" s="66"/>
    </row>
    <row r="2280" spans="1:1" x14ac:dyDescent="0.25">
      <c r="A2280" s="66"/>
    </row>
    <row r="2281" spans="1:1" x14ac:dyDescent="0.25">
      <c r="A2281" s="66"/>
    </row>
    <row r="2282" spans="1:1" x14ac:dyDescent="0.25">
      <c r="A2282" s="66"/>
    </row>
    <row r="2283" spans="1:1" x14ac:dyDescent="0.25">
      <c r="A2283" s="66"/>
    </row>
    <row r="2284" spans="1:1" x14ac:dyDescent="0.25">
      <c r="A2284" s="66"/>
    </row>
    <row r="2285" spans="1:1" x14ac:dyDescent="0.25">
      <c r="A2285" s="66"/>
    </row>
    <row r="2286" spans="1:1" x14ac:dyDescent="0.25">
      <c r="A2286" s="66"/>
    </row>
    <row r="2287" spans="1:1" x14ac:dyDescent="0.25">
      <c r="A2287" s="66"/>
    </row>
    <row r="2288" spans="1:1" x14ac:dyDescent="0.25">
      <c r="A2288" s="66"/>
    </row>
    <row r="2289" spans="1:1" x14ac:dyDescent="0.25">
      <c r="A2289" s="66"/>
    </row>
    <row r="2290" spans="1:1" x14ac:dyDescent="0.25">
      <c r="A2290" s="66"/>
    </row>
    <row r="2291" spans="1:1" x14ac:dyDescent="0.25">
      <c r="A2291" s="66"/>
    </row>
    <row r="2292" spans="1:1" x14ac:dyDescent="0.25">
      <c r="A2292" s="66"/>
    </row>
    <row r="2293" spans="1:1" x14ac:dyDescent="0.25">
      <c r="A2293" s="66"/>
    </row>
    <row r="2294" spans="1:1" x14ac:dyDescent="0.25">
      <c r="A2294" s="66"/>
    </row>
    <row r="2295" spans="1:1" x14ac:dyDescent="0.25">
      <c r="A2295" s="66"/>
    </row>
    <row r="2296" spans="1:1" x14ac:dyDescent="0.25">
      <c r="A2296" s="66"/>
    </row>
    <row r="2297" spans="1:1" x14ac:dyDescent="0.25">
      <c r="A2297" s="66"/>
    </row>
    <row r="2298" spans="1:1" x14ac:dyDescent="0.25">
      <c r="A2298" s="66"/>
    </row>
    <row r="2299" spans="1:1" x14ac:dyDescent="0.25">
      <c r="A2299" s="66"/>
    </row>
    <row r="2300" spans="1:1" x14ac:dyDescent="0.25">
      <c r="A2300" s="66"/>
    </row>
    <row r="2301" spans="1:1" x14ac:dyDescent="0.25">
      <c r="A2301" s="66"/>
    </row>
    <row r="2302" spans="1:1" x14ac:dyDescent="0.25">
      <c r="A2302" s="66"/>
    </row>
    <row r="2303" spans="1:1" x14ac:dyDescent="0.25">
      <c r="A2303" s="66"/>
    </row>
    <row r="2304" spans="1:1" x14ac:dyDescent="0.25">
      <c r="A2304" s="66"/>
    </row>
    <row r="2305" spans="1:1" x14ac:dyDescent="0.25">
      <c r="A2305" s="66"/>
    </row>
    <row r="2306" spans="1:1" x14ac:dyDescent="0.25">
      <c r="A2306" s="66"/>
    </row>
    <row r="2307" spans="1:1" x14ac:dyDescent="0.25">
      <c r="A2307" s="66"/>
    </row>
    <row r="2308" spans="1:1" x14ac:dyDescent="0.25">
      <c r="A2308" s="66"/>
    </row>
    <row r="2309" spans="1:1" x14ac:dyDescent="0.25">
      <c r="A2309" s="66"/>
    </row>
    <row r="2310" spans="1:1" x14ac:dyDescent="0.25">
      <c r="A2310" s="66"/>
    </row>
    <row r="2311" spans="1:1" x14ac:dyDescent="0.25">
      <c r="A2311" s="66"/>
    </row>
    <row r="2312" spans="1:1" x14ac:dyDescent="0.25">
      <c r="A2312" s="66"/>
    </row>
    <row r="2313" spans="1:1" x14ac:dyDescent="0.25">
      <c r="A2313" s="66"/>
    </row>
    <row r="2314" spans="1:1" x14ac:dyDescent="0.25">
      <c r="A2314" s="66"/>
    </row>
    <row r="2315" spans="1:1" x14ac:dyDescent="0.25">
      <c r="A2315" s="66"/>
    </row>
    <row r="2316" spans="1:1" x14ac:dyDescent="0.25">
      <c r="A2316" s="66"/>
    </row>
    <row r="2317" spans="1:1" x14ac:dyDescent="0.25">
      <c r="A2317" s="66"/>
    </row>
    <row r="2318" spans="1:1" x14ac:dyDescent="0.25">
      <c r="A2318" s="66"/>
    </row>
    <row r="2319" spans="1:1" x14ac:dyDescent="0.25">
      <c r="A2319" s="66"/>
    </row>
    <row r="2320" spans="1:1" x14ac:dyDescent="0.25">
      <c r="A2320" s="66"/>
    </row>
    <row r="2321" spans="1:1" x14ac:dyDescent="0.25">
      <c r="A2321" s="66"/>
    </row>
    <row r="2322" spans="1:1" x14ac:dyDescent="0.25">
      <c r="A2322" s="66"/>
    </row>
    <row r="2323" spans="1:1" x14ac:dyDescent="0.25">
      <c r="A2323" s="66"/>
    </row>
    <row r="2324" spans="1:1" x14ac:dyDescent="0.25">
      <c r="A2324" s="66"/>
    </row>
    <row r="2325" spans="1:1" x14ac:dyDescent="0.25">
      <c r="A2325" s="66"/>
    </row>
    <row r="2326" spans="1:1" x14ac:dyDescent="0.25">
      <c r="A2326" s="66"/>
    </row>
    <row r="2327" spans="1:1" x14ac:dyDescent="0.25">
      <c r="A2327" s="66"/>
    </row>
    <row r="2328" spans="1:1" x14ac:dyDescent="0.25">
      <c r="A2328" s="66"/>
    </row>
    <row r="2329" spans="1:1" x14ac:dyDescent="0.25">
      <c r="A2329" s="66"/>
    </row>
    <row r="2330" spans="1:1" x14ac:dyDescent="0.25">
      <c r="A2330" s="66"/>
    </row>
    <row r="2331" spans="1:1" x14ac:dyDescent="0.25">
      <c r="A2331" s="66"/>
    </row>
    <row r="2332" spans="1:1" x14ac:dyDescent="0.25">
      <c r="A2332" s="66"/>
    </row>
    <row r="2333" spans="1:1" x14ac:dyDescent="0.25">
      <c r="A2333" s="66"/>
    </row>
    <row r="2334" spans="1:1" x14ac:dyDescent="0.25">
      <c r="A2334" s="66"/>
    </row>
    <row r="2335" spans="1:1" x14ac:dyDescent="0.25">
      <c r="A2335" s="66"/>
    </row>
    <row r="2336" spans="1:1" x14ac:dyDescent="0.25">
      <c r="A2336" s="66"/>
    </row>
    <row r="2337" spans="1:1" x14ac:dyDescent="0.25">
      <c r="A2337" s="66"/>
    </row>
    <row r="2338" spans="1:1" x14ac:dyDescent="0.25">
      <c r="A2338" s="66"/>
    </row>
    <row r="2339" spans="1:1" x14ac:dyDescent="0.25">
      <c r="A2339" s="66"/>
    </row>
    <row r="2340" spans="1:1" x14ac:dyDescent="0.25">
      <c r="A2340" s="66"/>
    </row>
    <row r="2341" spans="1:1" x14ac:dyDescent="0.25">
      <c r="A2341" s="66"/>
    </row>
    <row r="2342" spans="1:1" x14ac:dyDescent="0.25">
      <c r="A2342" s="66"/>
    </row>
    <row r="2343" spans="1:1" x14ac:dyDescent="0.25">
      <c r="A2343" s="66"/>
    </row>
    <row r="2344" spans="1:1" x14ac:dyDescent="0.25">
      <c r="A2344" s="66"/>
    </row>
    <row r="2345" spans="1:1" x14ac:dyDescent="0.25">
      <c r="A2345" s="66"/>
    </row>
    <row r="2346" spans="1:1" x14ac:dyDescent="0.25">
      <c r="A2346" s="66"/>
    </row>
    <row r="2347" spans="1:1" x14ac:dyDescent="0.25">
      <c r="A2347" s="66"/>
    </row>
    <row r="2348" spans="1:1" x14ac:dyDescent="0.25">
      <c r="A2348" s="66"/>
    </row>
    <row r="2349" spans="1:1" x14ac:dyDescent="0.25">
      <c r="A2349" s="66"/>
    </row>
    <row r="2350" spans="1:1" x14ac:dyDescent="0.25">
      <c r="A2350" s="66"/>
    </row>
    <row r="2351" spans="1:1" x14ac:dyDescent="0.25">
      <c r="A2351" s="66"/>
    </row>
    <row r="2352" spans="1:1" x14ac:dyDescent="0.25">
      <c r="A2352" s="66"/>
    </row>
    <row r="2353" spans="1:1" x14ac:dyDescent="0.25">
      <c r="A2353" s="66"/>
    </row>
    <row r="2354" spans="1:1" x14ac:dyDescent="0.25">
      <c r="A2354" s="66"/>
    </row>
    <row r="2355" spans="1:1" x14ac:dyDescent="0.25">
      <c r="A2355" s="66"/>
    </row>
    <row r="2356" spans="1:1" x14ac:dyDescent="0.25">
      <c r="A2356" s="66"/>
    </row>
    <row r="2357" spans="1:1" x14ac:dyDescent="0.25">
      <c r="A2357" s="66"/>
    </row>
    <row r="2358" spans="1:1" x14ac:dyDescent="0.25">
      <c r="A2358" s="66"/>
    </row>
    <row r="2359" spans="1:1" x14ac:dyDescent="0.25">
      <c r="A2359" s="66"/>
    </row>
    <row r="2360" spans="1:1" x14ac:dyDescent="0.25">
      <c r="A2360" s="66"/>
    </row>
    <row r="2361" spans="1:1" x14ac:dyDescent="0.25">
      <c r="A2361" s="66"/>
    </row>
    <row r="2362" spans="1:1" x14ac:dyDescent="0.25">
      <c r="A2362" s="66"/>
    </row>
    <row r="2363" spans="1:1" x14ac:dyDescent="0.25">
      <c r="A2363" s="66"/>
    </row>
    <row r="2364" spans="1:1" x14ac:dyDescent="0.25">
      <c r="A2364" s="66"/>
    </row>
    <row r="2365" spans="1:1" x14ac:dyDescent="0.25">
      <c r="A2365" s="66"/>
    </row>
    <row r="2366" spans="1:1" x14ac:dyDescent="0.25">
      <c r="A2366" s="66"/>
    </row>
    <row r="2367" spans="1:1" x14ac:dyDescent="0.25">
      <c r="A2367" s="66"/>
    </row>
    <row r="2368" spans="1:1" x14ac:dyDescent="0.25">
      <c r="A2368" s="66"/>
    </row>
    <row r="2369" spans="1:1" x14ac:dyDescent="0.25">
      <c r="A2369" s="66"/>
    </row>
    <row r="2370" spans="1:1" x14ac:dyDescent="0.25">
      <c r="A2370" s="66"/>
    </row>
    <row r="2371" spans="1:1" x14ac:dyDescent="0.25">
      <c r="A2371" s="66"/>
    </row>
    <row r="2372" spans="1:1" x14ac:dyDescent="0.25">
      <c r="A2372" s="66"/>
    </row>
    <row r="2373" spans="1:1" x14ac:dyDescent="0.25">
      <c r="A2373" s="66"/>
    </row>
    <row r="2374" spans="1:1" x14ac:dyDescent="0.25">
      <c r="A2374" s="66"/>
    </row>
    <row r="2375" spans="1:1" x14ac:dyDescent="0.25">
      <c r="A2375" s="66"/>
    </row>
    <row r="2376" spans="1:1" x14ac:dyDescent="0.25">
      <c r="A2376" s="66"/>
    </row>
    <row r="2377" spans="1:1" x14ac:dyDescent="0.25">
      <c r="A2377" s="66"/>
    </row>
    <row r="2378" spans="1:1" x14ac:dyDescent="0.25">
      <c r="A2378" s="66"/>
    </row>
    <row r="2379" spans="1:1" x14ac:dyDescent="0.25">
      <c r="A2379" s="66"/>
    </row>
    <row r="2380" spans="1:1" x14ac:dyDescent="0.25">
      <c r="A2380" s="66"/>
    </row>
    <row r="2381" spans="1:1" x14ac:dyDescent="0.25">
      <c r="A2381" s="66"/>
    </row>
    <row r="2382" spans="1:1" x14ac:dyDescent="0.25">
      <c r="A2382" s="66"/>
    </row>
    <row r="2383" spans="1:1" x14ac:dyDescent="0.25">
      <c r="A2383" s="66"/>
    </row>
    <row r="2384" spans="1:1" x14ac:dyDescent="0.25">
      <c r="A2384" s="66"/>
    </row>
    <row r="2385" spans="1:1" x14ac:dyDescent="0.25">
      <c r="A2385" s="66"/>
    </row>
    <row r="2386" spans="1:1" x14ac:dyDescent="0.25">
      <c r="A2386" s="66"/>
    </row>
    <row r="2387" spans="1:1" x14ac:dyDescent="0.25">
      <c r="A2387" s="66"/>
    </row>
    <row r="2388" spans="1:1" x14ac:dyDescent="0.25">
      <c r="A2388" s="66"/>
    </row>
    <row r="2389" spans="1:1" x14ac:dyDescent="0.25">
      <c r="A2389" s="66"/>
    </row>
    <row r="2390" spans="1:1" x14ac:dyDescent="0.25">
      <c r="A2390" s="66"/>
    </row>
    <row r="2391" spans="1:1" x14ac:dyDescent="0.25">
      <c r="A2391" s="66"/>
    </row>
    <row r="2392" spans="1:1" x14ac:dyDescent="0.25">
      <c r="A2392" s="66"/>
    </row>
    <row r="2393" spans="1:1" x14ac:dyDescent="0.25">
      <c r="A2393" s="66"/>
    </row>
    <row r="2394" spans="1:1" x14ac:dyDescent="0.25">
      <c r="A2394" s="66"/>
    </row>
    <row r="2395" spans="1:1" x14ac:dyDescent="0.25">
      <c r="A2395" s="66"/>
    </row>
    <row r="2396" spans="1:1" x14ac:dyDescent="0.25">
      <c r="A2396" s="66"/>
    </row>
    <row r="2397" spans="1:1" x14ac:dyDescent="0.25">
      <c r="A2397" s="66"/>
    </row>
    <row r="2398" spans="1:1" x14ac:dyDescent="0.25">
      <c r="A2398" s="66"/>
    </row>
    <row r="2399" spans="1:1" x14ac:dyDescent="0.25">
      <c r="A2399" s="66"/>
    </row>
    <row r="2400" spans="1:1" x14ac:dyDescent="0.25">
      <c r="A2400" s="66"/>
    </row>
    <row r="2401" spans="1:1" x14ac:dyDescent="0.25">
      <c r="A2401" s="66"/>
    </row>
    <row r="2402" spans="1:1" x14ac:dyDescent="0.25">
      <c r="A2402" s="66"/>
    </row>
    <row r="2403" spans="1:1" x14ac:dyDescent="0.25">
      <c r="A2403" s="66"/>
    </row>
    <row r="2404" spans="1:1" x14ac:dyDescent="0.25">
      <c r="A2404" s="66"/>
    </row>
    <row r="2405" spans="1:1" x14ac:dyDescent="0.25">
      <c r="A2405" s="66"/>
    </row>
    <row r="2406" spans="1:1" x14ac:dyDescent="0.25">
      <c r="A2406" s="66"/>
    </row>
    <row r="2407" spans="1:1" x14ac:dyDescent="0.25">
      <c r="A2407" s="66"/>
    </row>
    <row r="2408" spans="1:1" x14ac:dyDescent="0.25">
      <c r="A2408" s="66"/>
    </row>
    <row r="2409" spans="1:1" x14ac:dyDescent="0.25">
      <c r="A2409" s="66"/>
    </row>
    <row r="2410" spans="1:1" x14ac:dyDescent="0.25">
      <c r="A2410" s="66"/>
    </row>
    <row r="2411" spans="1:1" x14ac:dyDescent="0.25">
      <c r="A2411" s="66"/>
    </row>
    <row r="2412" spans="1:1" x14ac:dyDescent="0.25">
      <c r="A2412" s="66"/>
    </row>
    <row r="2413" spans="1:1" x14ac:dyDescent="0.25">
      <c r="A2413" s="66"/>
    </row>
    <row r="2414" spans="1:1" x14ac:dyDescent="0.25">
      <c r="A2414" s="66"/>
    </row>
    <row r="2415" spans="1:1" x14ac:dyDescent="0.25">
      <c r="A2415" s="66"/>
    </row>
    <row r="2416" spans="1:1" x14ac:dyDescent="0.25">
      <c r="A2416" s="66"/>
    </row>
    <row r="2417" spans="1:1" x14ac:dyDescent="0.25">
      <c r="A2417" s="66"/>
    </row>
    <row r="2418" spans="1:1" x14ac:dyDescent="0.25">
      <c r="A2418" s="66"/>
    </row>
    <row r="2419" spans="1:1" x14ac:dyDescent="0.25">
      <c r="A2419" s="66"/>
    </row>
    <row r="2420" spans="1:1" x14ac:dyDescent="0.25">
      <c r="A2420" s="66"/>
    </row>
    <row r="2421" spans="1:1" x14ac:dyDescent="0.25">
      <c r="A2421" s="66"/>
    </row>
    <row r="2422" spans="1:1" x14ac:dyDescent="0.25">
      <c r="A2422" s="66"/>
    </row>
    <row r="2423" spans="1:1" x14ac:dyDescent="0.25">
      <c r="A2423" s="66"/>
    </row>
    <row r="2424" spans="1:1" x14ac:dyDescent="0.25">
      <c r="A2424" s="66"/>
    </row>
    <row r="2425" spans="1:1" x14ac:dyDescent="0.25">
      <c r="A2425" s="66"/>
    </row>
    <row r="2426" spans="1:1" x14ac:dyDescent="0.25">
      <c r="A2426" s="66"/>
    </row>
    <row r="2427" spans="1:1" x14ac:dyDescent="0.25">
      <c r="A2427" s="66"/>
    </row>
    <row r="2428" spans="1:1" x14ac:dyDescent="0.25">
      <c r="A2428" s="66"/>
    </row>
    <row r="2429" spans="1:1" x14ac:dyDescent="0.25">
      <c r="A2429" s="66"/>
    </row>
    <row r="2430" spans="1:1" x14ac:dyDescent="0.25">
      <c r="A2430" s="66"/>
    </row>
    <row r="2431" spans="1:1" x14ac:dyDescent="0.25">
      <c r="A2431" s="66"/>
    </row>
    <row r="2432" spans="1:1" x14ac:dyDescent="0.25">
      <c r="A2432" s="66"/>
    </row>
    <row r="2433" spans="1:1" x14ac:dyDescent="0.25">
      <c r="A2433" s="66"/>
    </row>
    <row r="2434" spans="1:1" x14ac:dyDescent="0.25">
      <c r="A2434" s="66"/>
    </row>
    <row r="2435" spans="1:1" x14ac:dyDescent="0.25">
      <c r="A2435" s="66"/>
    </row>
    <row r="2436" spans="1:1" x14ac:dyDescent="0.25">
      <c r="A2436" s="66"/>
    </row>
    <row r="2437" spans="1:1" x14ac:dyDescent="0.25">
      <c r="A2437" s="66"/>
    </row>
    <row r="2438" spans="1:1" x14ac:dyDescent="0.25">
      <c r="A2438" s="66"/>
    </row>
    <row r="2439" spans="1:1" x14ac:dyDescent="0.25">
      <c r="A2439" s="66"/>
    </row>
    <row r="2440" spans="1:1" x14ac:dyDescent="0.25">
      <c r="A2440" s="66"/>
    </row>
    <row r="2441" spans="1:1" x14ac:dyDescent="0.25">
      <c r="A2441" s="66"/>
    </row>
    <row r="2442" spans="1:1" x14ac:dyDescent="0.25">
      <c r="A2442" s="66"/>
    </row>
    <row r="2443" spans="1:1" x14ac:dyDescent="0.25">
      <c r="A2443" s="66"/>
    </row>
    <row r="2444" spans="1:1" x14ac:dyDescent="0.25">
      <c r="A2444" s="66"/>
    </row>
    <row r="2445" spans="1:1" x14ac:dyDescent="0.25">
      <c r="A2445" s="66"/>
    </row>
    <row r="2446" spans="1:1" x14ac:dyDescent="0.25">
      <c r="A2446" s="66"/>
    </row>
    <row r="2447" spans="1:1" x14ac:dyDescent="0.25">
      <c r="A2447" s="66"/>
    </row>
    <row r="2448" spans="1:1" x14ac:dyDescent="0.25">
      <c r="A2448" s="66"/>
    </row>
    <row r="2449" spans="1:1" x14ac:dyDescent="0.25">
      <c r="A2449" s="66"/>
    </row>
    <row r="2450" spans="1:1" x14ac:dyDescent="0.25">
      <c r="A2450" s="66"/>
    </row>
    <row r="2451" spans="1:1" x14ac:dyDescent="0.25">
      <c r="A2451" s="66"/>
    </row>
    <row r="2452" spans="1:1" x14ac:dyDescent="0.25">
      <c r="A2452" s="66"/>
    </row>
    <row r="2453" spans="1:1" x14ac:dyDescent="0.25">
      <c r="A2453" s="66"/>
    </row>
    <row r="2454" spans="1:1" x14ac:dyDescent="0.25">
      <c r="A2454" s="66"/>
    </row>
    <row r="2455" spans="1:1" x14ac:dyDescent="0.25">
      <c r="A2455" s="66"/>
    </row>
    <row r="2456" spans="1:1" x14ac:dyDescent="0.25">
      <c r="A2456" s="66"/>
    </row>
    <row r="2457" spans="1:1" x14ac:dyDescent="0.25">
      <c r="A2457" s="66"/>
    </row>
    <row r="2458" spans="1:1" x14ac:dyDescent="0.25">
      <c r="A2458" s="66"/>
    </row>
    <row r="2459" spans="1:1" x14ac:dyDescent="0.25">
      <c r="A2459" s="66"/>
    </row>
    <row r="2460" spans="1:1" x14ac:dyDescent="0.25">
      <c r="A2460" s="66"/>
    </row>
    <row r="2461" spans="1:1" x14ac:dyDescent="0.25">
      <c r="A2461" s="66"/>
    </row>
    <row r="2462" spans="1:1" x14ac:dyDescent="0.25">
      <c r="A2462" s="66"/>
    </row>
    <row r="2463" spans="1:1" x14ac:dyDescent="0.25">
      <c r="A2463" s="66"/>
    </row>
    <row r="2464" spans="1:1" x14ac:dyDescent="0.25">
      <c r="A2464" s="66"/>
    </row>
    <row r="2465" spans="1:1" x14ac:dyDescent="0.25">
      <c r="A2465" s="66"/>
    </row>
    <row r="2466" spans="1:1" x14ac:dyDescent="0.25">
      <c r="A2466" s="66"/>
    </row>
    <row r="2467" spans="1:1" x14ac:dyDescent="0.25">
      <c r="A2467" s="66"/>
    </row>
    <row r="2468" spans="1:1" x14ac:dyDescent="0.25">
      <c r="A2468" s="66"/>
    </row>
    <row r="2469" spans="1:1" x14ac:dyDescent="0.25">
      <c r="A2469" s="66"/>
    </row>
    <row r="2470" spans="1:1" x14ac:dyDescent="0.25">
      <c r="A2470" s="66"/>
    </row>
    <row r="2471" spans="1:1" x14ac:dyDescent="0.25">
      <c r="A2471" s="66"/>
    </row>
    <row r="2472" spans="1:1" x14ac:dyDescent="0.25">
      <c r="A2472" s="66"/>
    </row>
    <row r="2473" spans="1:1" x14ac:dyDescent="0.25">
      <c r="A2473" s="66"/>
    </row>
    <row r="2474" spans="1:1" x14ac:dyDescent="0.25">
      <c r="A2474" s="66"/>
    </row>
    <row r="2475" spans="1:1" x14ac:dyDescent="0.25">
      <c r="A2475" s="66"/>
    </row>
    <row r="2476" spans="1:1" x14ac:dyDescent="0.25">
      <c r="A2476" s="66"/>
    </row>
    <row r="2477" spans="1:1" x14ac:dyDescent="0.25">
      <c r="A2477" s="66"/>
    </row>
    <row r="2478" spans="1:1" x14ac:dyDescent="0.25">
      <c r="A2478" s="66"/>
    </row>
    <row r="2479" spans="1:1" x14ac:dyDescent="0.25">
      <c r="A2479" s="66"/>
    </row>
    <row r="2480" spans="1:1" x14ac:dyDescent="0.25">
      <c r="A2480" s="66"/>
    </row>
    <row r="2481" spans="1:1" x14ac:dyDescent="0.25">
      <c r="A2481" s="66"/>
    </row>
    <row r="2482" spans="1:1" x14ac:dyDescent="0.25">
      <c r="A2482" s="66"/>
    </row>
    <row r="2483" spans="1:1" x14ac:dyDescent="0.25">
      <c r="A2483" s="66"/>
    </row>
    <row r="2484" spans="1:1" x14ac:dyDescent="0.25">
      <c r="A2484" s="66"/>
    </row>
    <row r="2485" spans="1:1" x14ac:dyDescent="0.25">
      <c r="A2485" s="66"/>
    </row>
    <row r="2486" spans="1:1" x14ac:dyDescent="0.25">
      <c r="A2486" s="66"/>
    </row>
    <row r="2487" spans="1:1" x14ac:dyDescent="0.25">
      <c r="A2487" s="66"/>
    </row>
    <row r="2488" spans="1:1" x14ac:dyDescent="0.25">
      <c r="A2488" s="66"/>
    </row>
    <row r="2489" spans="1:1" x14ac:dyDescent="0.25">
      <c r="A2489" s="66"/>
    </row>
    <row r="2490" spans="1:1" x14ac:dyDescent="0.25">
      <c r="A2490" s="66"/>
    </row>
    <row r="2491" spans="1:1" x14ac:dyDescent="0.25">
      <c r="A2491" s="66"/>
    </row>
    <row r="2492" spans="1:1" x14ac:dyDescent="0.25">
      <c r="A2492" s="66"/>
    </row>
    <row r="2493" spans="1:1" x14ac:dyDescent="0.25">
      <c r="A2493" s="66"/>
    </row>
    <row r="2494" spans="1:1" x14ac:dyDescent="0.25">
      <c r="A2494" s="66"/>
    </row>
    <row r="2495" spans="1:1" x14ac:dyDescent="0.25">
      <c r="A2495" s="66"/>
    </row>
    <row r="2496" spans="1:1" x14ac:dyDescent="0.25">
      <c r="A2496" s="66"/>
    </row>
    <row r="2497" spans="1:1" x14ac:dyDescent="0.25">
      <c r="A2497" s="66"/>
    </row>
    <row r="2498" spans="1:1" x14ac:dyDescent="0.25">
      <c r="A2498" s="66"/>
    </row>
    <row r="2499" spans="1:1" x14ac:dyDescent="0.25">
      <c r="A2499" s="66"/>
    </row>
    <row r="2500" spans="1:1" x14ac:dyDescent="0.25">
      <c r="A2500" s="66"/>
    </row>
    <row r="2501" spans="1:1" x14ac:dyDescent="0.25">
      <c r="A2501" s="66"/>
    </row>
    <row r="2502" spans="1:1" x14ac:dyDescent="0.25">
      <c r="A2502" s="66"/>
    </row>
    <row r="2503" spans="1:1" x14ac:dyDescent="0.25">
      <c r="A2503" s="66"/>
    </row>
    <row r="2504" spans="1:1" x14ac:dyDescent="0.25">
      <c r="A2504" s="66"/>
    </row>
    <row r="2505" spans="1:1" x14ac:dyDescent="0.25">
      <c r="A2505" s="66"/>
    </row>
    <row r="2506" spans="1:1" x14ac:dyDescent="0.25">
      <c r="A2506" s="66"/>
    </row>
    <row r="2507" spans="1:1" x14ac:dyDescent="0.25">
      <c r="A2507" s="66"/>
    </row>
    <row r="2508" spans="1:1" x14ac:dyDescent="0.25">
      <c r="A2508" s="66"/>
    </row>
    <row r="2509" spans="1:1" x14ac:dyDescent="0.25">
      <c r="A2509" s="66"/>
    </row>
    <row r="2510" spans="1:1" x14ac:dyDescent="0.25">
      <c r="A2510" s="66"/>
    </row>
    <row r="2511" spans="1:1" x14ac:dyDescent="0.25">
      <c r="A2511" s="66"/>
    </row>
    <row r="2512" spans="1:1" x14ac:dyDescent="0.25">
      <c r="A2512" s="66"/>
    </row>
    <row r="2513" spans="1:1" x14ac:dyDescent="0.25">
      <c r="A2513" s="66"/>
    </row>
    <row r="2514" spans="1:1" x14ac:dyDescent="0.25">
      <c r="A2514" s="66"/>
    </row>
    <row r="2515" spans="1:1" x14ac:dyDescent="0.25">
      <c r="A2515" s="66"/>
    </row>
    <row r="2516" spans="1:1" x14ac:dyDescent="0.25">
      <c r="A2516" s="66"/>
    </row>
    <row r="2517" spans="1:1" x14ac:dyDescent="0.25">
      <c r="A2517" s="66"/>
    </row>
    <row r="2518" spans="1:1" x14ac:dyDescent="0.25">
      <c r="A2518" s="66"/>
    </row>
    <row r="2519" spans="1:1" x14ac:dyDescent="0.25">
      <c r="A2519" s="66"/>
    </row>
    <row r="2520" spans="1:1" x14ac:dyDescent="0.25">
      <c r="A2520" s="66"/>
    </row>
    <row r="2521" spans="1:1" x14ac:dyDescent="0.25">
      <c r="A2521" s="66"/>
    </row>
    <row r="2522" spans="1:1" x14ac:dyDescent="0.25">
      <c r="A2522" s="66"/>
    </row>
    <row r="2523" spans="1:1" x14ac:dyDescent="0.25">
      <c r="A2523" s="66"/>
    </row>
    <row r="2524" spans="1:1" x14ac:dyDescent="0.25">
      <c r="A2524" s="66"/>
    </row>
    <row r="2525" spans="1:1" x14ac:dyDescent="0.25">
      <c r="A2525" s="66"/>
    </row>
    <row r="2526" spans="1:1" x14ac:dyDescent="0.25">
      <c r="A2526" s="66"/>
    </row>
    <row r="2527" spans="1:1" x14ac:dyDescent="0.25">
      <c r="A2527" s="66"/>
    </row>
    <row r="2528" spans="1:1" x14ac:dyDescent="0.25">
      <c r="A2528" s="66"/>
    </row>
    <row r="2529" spans="1:1" x14ac:dyDescent="0.25">
      <c r="A2529" s="66"/>
    </row>
    <row r="2530" spans="1:1" x14ac:dyDescent="0.25">
      <c r="A2530" s="66"/>
    </row>
    <row r="2531" spans="1:1" x14ac:dyDescent="0.25">
      <c r="A2531" s="66"/>
    </row>
    <row r="2532" spans="1:1" x14ac:dyDescent="0.25">
      <c r="A2532" s="66"/>
    </row>
    <row r="2533" spans="1:1" x14ac:dyDescent="0.25">
      <c r="A2533" s="66"/>
    </row>
    <row r="2534" spans="1:1" x14ac:dyDescent="0.25">
      <c r="A2534" s="66"/>
    </row>
    <row r="2535" spans="1:1" x14ac:dyDescent="0.25">
      <c r="A2535" s="66"/>
    </row>
    <row r="2536" spans="1:1" x14ac:dyDescent="0.25">
      <c r="A2536" s="66"/>
    </row>
    <row r="2537" spans="1:1" x14ac:dyDescent="0.25">
      <c r="A2537" s="66"/>
    </row>
    <row r="2538" spans="1:1" x14ac:dyDescent="0.25">
      <c r="A2538" s="66"/>
    </row>
    <row r="2539" spans="1:1" x14ac:dyDescent="0.25">
      <c r="A2539" s="66"/>
    </row>
    <row r="2540" spans="1:1" x14ac:dyDescent="0.25">
      <c r="A2540" s="66"/>
    </row>
    <row r="2541" spans="1:1" x14ac:dyDescent="0.25">
      <c r="A2541" s="66"/>
    </row>
    <row r="2542" spans="1:1" x14ac:dyDescent="0.25">
      <c r="A2542" s="66"/>
    </row>
    <row r="2543" spans="1:1" x14ac:dyDescent="0.25">
      <c r="A2543" s="66"/>
    </row>
    <row r="2544" spans="1:1" x14ac:dyDescent="0.25">
      <c r="A2544" s="66"/>
    </row>
    <row r="2545" spans="1:1" x14ac:dyDescent="0.25">
      <c r="A2545" s="66"/>
    </row>
    <row r="2546" spans="1:1" x14ac:dyDescent="0.25">
      <c r="A2546" s="66"/>
    </row>
    <row r="2547" spans="1:1" x14ac:dyDescent="0.25">
      <c r="A2547" s="66"/>
    </row>
    <row r="2548" spans="1:1" x14ac:dyDescent="0.25">
      <c r="A2548" s="66"/>
    </row>
    <row r="2549" spans="1:1" x14ac:dyDescent="0.25">
      <c r="A2549" s="66"/>
    </row>
    <row r="2550" spans="1:1" x14ac:dyDescent="0.25">
      <c r="A2550" s="66"/>
    </row>
    <row r="2551" spans="1:1" x14ac:dyDescent="0.25">
      <c r="A2551" s="66"/>
    </row>
    <row r="2552" spans="1:1" x14ac:dyDescent="0.25">
      <c r="A2552" s="66"/>
    </row>
    <row r="2553" spans="1:1" x14ac:dyDescent="0.25">
      <c r="A2553" s="66"/>
    </row>
    <row r="2554" spans="1:1" x14ac:dyDescent="0.25">
      <c r="A2554" s="66"/>
    </row>
    <row r="2555" spans="1:1" x14ac:dyDescent="0.25">
      <c r="A2555" s="66"/>
    </row>
    <row r="2556" spans="1:1" x14ac:dyDescent="0.25">
      <c r="A2556" s="66"/>
    </row>
    <row r="2557" spans="1:1" x14ac:dyDescent="0.25">
      <c r="A2557" s="66"/>
    </row>
    <row r="2558" spans="1:1" x14ac:dyDescent="0.25">
      <c r="A2558" s="66"/>
    </row>
    <row r="2559" spans="1:1" x14ac:dyDescent="0.25">
      <c r="A2559" s="66"/>
    </row>
    <row r="2560" spans="1:1" x14ac:dyDescent="0.25">
      <c r="A2560" s="66"/>
    </row>
    <row r="2561" spans="1:1" x14ac:dyDescent="0.25">
      <c r="A2561" s="66"/>
    </row>
    <row r="2562" spans="1:1" x14ac:dyDescent="0.25">
      <c r="A2562" s="66"/>
    </row>
    <row r="2563" spans="1:1" x14ac:dyDescent="0.25">
      <c r="A2563" s="66"/>
    </row>
    <row r="2564" spans="1:1" x14ac:dyDescent="0.25">
      <c r="A2564" s="66"/>
    </row>
    <row r="2565" spans="1:1" x14ac:dyDescent="0.25">
      <c r="A2565" s="66"/>
    </row>
    <row r="2566" spans="1:1" x14ac:dyDescent="0.25">
      <c r="A2566" s="66"/>
    </row>
    <row r="2567" spans="1:1" x14ac:dyDescent="0.25">
      <c r="A2567" s="66"/>
    </row>
    <row r="2568" spans="1:1" x14ac:dyDescent="0.25">
      <c r="A2568" s="66"/>
    </row>
    <row r="2569" spans="1:1" x14ac:dyDescent="0.25">
      <c r="A2569" s="66"/>
    </row>
    <row r="2570" spans="1:1" x14ac:dyDescent="0.25">
      <c r="A2570" s="66"/>
    </row>
    <row r="2571" spans="1:1" x14ac:dyDescent="0.25">
      <c r="A2571" s="66"/>
    </row>
    <row r="2572" spans="1:1" x14ac:dyDescent="0.25">
      <c r="A2572" s="66"/>
    </row>
    <row r="2573" spans="1:1" x14ac:dyDescent="0.25">
      <c r="A2573" s="66"/>
    </row>
    <row r="2574" spans="1:1" x14ac:dyDescent="0.25">
      <c r="A2574" s="66"/>
    </row>
    <row r="2575" spans="1:1" x14ac:dyDescent="0.25">
      <c r="A2575" s="66"/>
    </row>
    <row r="2576" spans="1:1" x14ac:dyDescent="0.25">
      <c r="A2576" s="66"/>
    </row>
    <row r="2577" spans="1:1" x14ac:dyDescent="0.25">
      <c r="A2577" s="66"/>
    </row>
    <row r="2578" spans="1:1" x14ac:dyDescent="0.25">
      <c r="A2578" s="66"/>
    </row>
    <row r="2579" spans="1:1" x14ac:dyDescent="0.25">
      <c r="A2579" s="66"/>
    </row>
    <row r="2580" spans="1:1" x14ac:dyDescent="0.25">
      <c r="A2580" s="66"/>
    </row>
    <row r="2581" spans="1:1" x14ac:dyDescent="0.25">
      <c r="A2581" s="66"/>
    </row>
    <row r="2582" spans="1:1" x14ac:dyDescent="0.25">
      <c r="A2582" s="66"/>
    </row>
    <row r="2583" spans="1:1" x14ac:dyDescent="0.25">
      <c r="A2583" s="66"/>
    </row>
    <row r="2584" spans="1:1" x14ac:dyDescent="0.25">
      <c r="A2584" s="66"/>
    </row>
    <row r="2585" spans="1:1" x14ac:dyDescent="0.25">
      <c r="A2585" s="66"/>
    </row>
    <row r="2586" spans="1:1" x14ac:dyDescent="0.25">
      <c r="A2586" s="66"/>
    </row>
    <row r="2587" spans="1:1" x14ac:dyDescent="0.25">
      <c r="A2587" s="66"/>
    </row>
    <row r="2588" spans="1:1" x14ac:dyDescent="0.25">
      <c r="A2588" s="66"/>
    </row>
    <row r="2589" spans="1:1" x14ac:dyDescent="0.25">
      <c r="A2589" s="66"/>
    </row>
    <row r="2590" spans="1:1" x14ac:dyDescent="0.25">
      <c r="A2590" s="66"/>
    </row>
    <row r="2591" spans="1:1" x14ac:dyDescent="0.25">
      <c r="A2591" s="66"/>
    </row>
    <row r="2592" spans="1:1" x14ac:dyDescent="0.25">
      <c r="A2592" s="66"/>
    </row>
    <row r="2593" spans="1:1" x14ac:dyDescent="0.25">
      <c r="A2593" s="66"/>
    </row>
    <row r="2594" spans="1:1" x14ac:dyDescent="0.25">
      <c r="A2594" s="66"/>
    </row>
    <row r="2595" spans="1:1" x14ac:dyDescent="0.25">
      <c r="A2595" s="66"/>
    </row>
    <row r="2596" spans="1:1" x14ac:dyDescent="0.25">
      <c r="A2596" s="66"/>
    </row>
    <row r="2597" spans="1:1" x14ac:dyDescent="0.25">
      <c r="A2597" s="66"/>
    </row>
    <row r="2598" spans="1:1" x14ac:dyDescent="0.25">
      <c r="A2598" s="66"/>
    </row>
    <row r="2599" spans="1:1" x14ac:dyDescent="0.25">
      <c r="A2599" s="66"/>
    </row>
    <row r="2600" spans="1:1" x14ac:dyDescent="0.25">
      <c r="A2600" s="66"/>
    </row>
    <row r="2601" spans="1:1" x14ac:dyDescent="0.25">
      <c r="A2601" s="66"/>
    </row>
    <row r="2602" spans="1:1" x14ac:dyDescent="0.25">
      <c r="A2602" s="66"/>
    </row>
    <row r="2603" spans="1:1" x14ac:dyDescent="0.25">
      <c r="A2603" s="66"/>
    </row>
    <row r="2604" spans="1:1" x14ac:dyDescent="0.25">
      <c r="A2604" s="66"/>
    </row>
    <row r="2605" spans="1:1" x14ac:dyDescent="0.25">
      <c r="A2605" s="66"/>
    </row>
    <row r="2606" spans="1:1" x14ac:dyDescent="0.25">
      <c r="A2606" s="66"/>
    </row>
    <row r="2607" spans="1:1" x14ac:dyDescent="0.25">
      <c r="A2607" s="66"/>
    </row>
    <row r="2608" spans="1:1" x14ac:dyDescent="0.25">
      <c r="A2608" s="66"/>
    </row>
    <row r="2609" spans="1:1" x14ac:dyDescent="0.25">
      <c r="A2609" s="66"/>
    </row>
    <row r="2610" spans="1:1" x14ac:dyDescent="0.25">
      <c r="A2610" s="66"/>
    </row>
    <row r="2611" spans="1:1" x14ac:dyDescent="0.25">
      <c r="A2611" s="66"/>
    </row>
    <row r="2612" spans="1:1" x14ac:dyDescent="0.25">
      <c r="A2612" s="66"/>
    </row>
    <row r="2613" spans="1:1" x14ac:dyDescent="0.25">
      <c r="A2613" s="66"/>
    </row>
    <row r="2614" spans="1:1" x14ac:dyDescent="0.25">
      <c r="A2614" s="66"/>
    </row>
    <row r="2615" spans="1:1" x14ac:dyDescent="0.25">
      <c r="A2615" s="66"/>
    </row>
    <row r="2616" spans="1:1" x14ac:dyDescent="0.25">
      <c r="A2616" s="66"/>
    </row>
    <row r="2617" spans="1:1" x14ac:dyDescent="0.25">
      <c r="A2617" s="66"/>
    </row>
    <row r="2618" spans="1:1" x14ac:dyDescent="0.25">
      <c r="A2618" s="66"/>
    </row>
    <row r="2619" spans="1:1" x14ac:dyDescent="0.25">
      <c r="A2619" s="66"/>
    </row>
    <row r="2620" spans="1:1" x14ac:dyDescent="0.25">
      <c r="A2620" s="66"/>
    </row>
    <row r="2621" spans="1:1" x14ac:dyDescent="0.25">
      <c r="A2621" s="66"/>
    </row>
    <row r="2622" spans="1:1" x14ac:dyDescent="0.25">
      <c r="A2622" s="66"/>
    </row>
    <row r="2623" spans="1:1" x14ac:dyDescent="0.25">
      <c r="A2623" s="66"/>
    </row>
    <row r="2624" spans="1:1" x14ac:dyDescent="0.25">
      <c r="A2624" s="66"/>
    </row>
    <row r="2625" spans="1:1" x14ac:dyDescent="0.25">
      <c r="A2625" s="66"/>
    </row>
    <row r="2626" spans="1:1" x14ac:dyDescent="0.25">
      <c r="A2626" s="66"/>
    </row>
    <row r="2627" spans="1:1" x14ac:dyDescent="0.25">
      <c r="A2627" s="66"/>
    </row>
    <row r="2628" spans="1:1" x14ac:dyDescent="0.25">
      <c r="A2628" s="66"/>
    </row>
    <row r="2629" spans="1:1" x14ac:dyDescent="0.25">
      <c r="A2629" s="66"/>
    </row>
    <row r="2630" spans="1:1" x14ac:dyDescent="0.25">
      <c r="A2630" s="66"/>
    </row>
    <row r="2631" spans="1:1" x14ac:dyDescent="0.25">
      <c r="A2631" s="66"/>
    </row>
    <row r="2632" spans="1:1" x14ac:dyDescent="0.25">
      <c r="A2632" s="66"/>
    </row>
    <row r="2633" spans="1:1" x14ac:dyDescent="0.25">
      <c r="A2633" s="66"/>
    </row>
    <row r="2634" spans="1:1" x14ac:dyDescent="0.25">
      <c r="A2634" s="66"/>
    </row>
    <row r="2635" spans="1:1" x14ac:dyDescent="0.25">
      <c r="A2635" s="66"/>
    </row>
    <row r="2636" spans="1:1" x14ac:dyDescent="0.25">
      <c r="A2636" s="66"/>
    </row>
    <row r="2637" spans="1:1" x14ac:dyDescent="0.25">
      <c r="A2637" s="66"/>
    </row>
    <row r="2638" spans="1:1" x14ac:dyDescent="0.25">
      <c r="A2638" s="66"/>
    </row>
    <row r="2639" spans="1:1" x14ac:dyDescent="0.25">
      <c r="A2639" s="66"/>
    </row>
    <row r="2640" spans="1:1" x14ac:dyDescent="0.25">
      <c r="A2640" s="66"/>
    </row>
    <row r="2641" spans="1:1" x14ac:dyDescent="0.25">
      <c r="A2641" s="66"/>
    </row>
    <row r="2642" spans="1:1" x14ac:dyDescent="0.25">
      <c r="A2642" s="66"/>
    </row>
    <row r="2643" spans="1:1" x14ac:dyDescent="0.25">
      <c r="A2643" s="66"/>
    </row>
    <row r="2644" spans="1:1" x14ac:dyDescent="0.25">
      <c r="A2644" s="66"/>
    </row>
    <row r="2645" spans="1:1" x14ac:dyDescent="0.25">
      <c r="A2645" s="66"/>
    </row>
    <row r="2646" spans="1:1" x14ac:dyDescent="0.25">
      <c r="A2646" s="66"/>
    </row>
    <row r="2647" spans="1:1" x14ac:dyDescent="0.25">
      <c r="A2647" s="66"/>
    </row>
    <row r="2648" spans="1:1" x14ac:dyDescent="0.25">
      <c r="A2648" s="66"/>
    </row>
    <row r="2649" spans="1:1" x14ac:dyDescent="0.25">
      <c r="A2649" s="66"/>
    </row>
    <row r="2650" spans="1:1" x14ac:dyDescent="0.25">
      <c r="A2650" s="66"/>
    </row>
    <row r="2651" spans="1:1" x14ac:dyDescent="0.25">
      <c r="A2651" s="66"/>
    </row>
    <row r="2652" spans="1:1" x14ac:dyDescent="0.25">
      <c r="A2652" s="66"/>
    </row>
    <row r="2653" spans="1:1" x14ac:dyDescent="0.25">
      <c r="A2653" s="66"/>
    </row>
    <row r="2654" spans="1:1" x14ac:dyDescent="0.25">
      <c r="A2654" s="66"/>
    </row>
    <row r="2655" spans="1:1" x14ac:dyDescent="0.25">
      <c r="A2655" s="66"/>
    </row>
    <row r="2656" spans="1:1" x14ac:dyDescent="0.25">
      <c r="A2656" s="66"/>
    </row>
    <row r="2657" spans="1:1" x14ac:dyDescent="0.25">
      <c r="A2657" s="66"/>
    </row>
    <row r="2658" spans="1:1" x14ac:dyDescent="0.25">
      <c r="A2658" s="66"/>
    </row>
    <row r="2659" spans="1:1" x14ac:dyDescent="0.25">
      <c r="A2659" s="66"/>
    </row>
    <row r="2660" spans="1:1" x14ac:dyDescent="0.25">
      <c r="A2660" s="66"/>
    </row>
    <row r="2661" spans="1:1" x14ac:dyDescent="0.25">
      <c r="A2661" s="66"/>
    </row>
    <row r="2662" spans="1:1" x14ac:dyDescent="0.25">
      <c r="A2662" s="66"/>
    </row>
    <row r="2663" spans="1:1" x14ac:dyDescent="0.25">
      <c r="A2663" s="66"/>
    </row>
    <row r="2664" spans="1:1" x14ac:dyDescent="0.25">
      <c r="A2664" s="66"/>
    </row>
    <row r="2665" spans="1:1" x14ac:dyDescent="0.25">
      <c r="A2665" s="66"/>
    </row>
    <row r="2666" spans="1:1" x14ac:dyDescent="0.25">
      <c r="A2666" s="66"/>
    </row>
    <row r="2667" spans="1:1" x14ac:dyDescent="0.25">
      <c r="A2667" s="66"/>
    </row>
    <row r="2668" spans="1:1" x14ac:dyDescent="0.25">
      <c r="A2668" s="66"/>
    </row>
    <row r="2669" spans="1:1" x14ac:dyDescent="0.25">
      <c r="A2669" s="66"/>
    </row>
    <row r="2670" spans="1:1" x14ac:dyDescent="0.25">
      <c r="A2670" s="66"/>
    </row>
    <row r="2671" spans="1:1" x14ac:dyDescent="0.25">
      <c r="A2671" s="66"/>
    </row>
    <row r="2672" spans="1:1" x14ac:dyDescent="0.25">
      <c r="A2672" s="66"/>
    </row>
    <row r="2673" spans="1:1" x14ac:dyDescent="0.25">
      <c r="A2673" s="66"/>
    </row>
    <row r="2674" spans="1:1" x14ac:dyDescent="0.25">
      <c r="A2674" s="66"/>
    </row>
    <row r="2675" spans="1:1" x14ac:dyDescent="0.25">
      <c r="A2675" s="66"/>
    </row>
    <row r="2676" spans="1:1" x14ac:dyDescent="0.25">
      <c r="A2676" s="66"/>
    </row>
    <row r="2677" spans="1:1" x14ac:dyDescent="0.25">
      <c r="A2677" s="66"/>
    </row>
    <row r="2678" spans="1:1" x14ac:dyDescent="0.25">
      <c r="A2678" s="66"/>
    </row>
    <row r="2679" spans="1:1" x14ac:dyDescent="0.25">
      <c r="A2679" s="66"/>
    </row>
    <row r="2680" spans="1:1" x14ac:dyDescent="0.25">
      <c r="A2680" s="66"/>
    </row>
    <row r="2681" spans="1:1" x14ac:dyDescent="0.25">
      <c r="A2681" s="66"/>
    </row>
    <row r="2682" spans="1:1" x14ac:dyDescent="0.25">
      <c r="A2682" s="66"/>
    </row>
    <row r="2683" spans="1:1" x14ac:dyDescent="0.25">
      <c r="A2683" s="66"/>
    </row>
    <row r="2684" spans="1:1" x14ac:dyDescent="0.25">
      <c r="A2684" s="66"/>
    </row>
    <row r="2685" spans="1:1" x14ac:dyDescent="0.25">
      <c r="A2685" s="66"/>
    </row>
    <row r="2686" spans="1:1" x14ac:dyDescent="0.25">
      <c r="A2686" s="66"/>
    </row>
    <row r="2687" spans="1:1" x14ac:dyDescent="0.25">
      <c r="A2687" s="66"/>
    </row>
    <row r="2688" spans="1:1" x14ac:dyDescent="0.25">
      <c r="A2688" s="66"/>
    </row>
    <row r="2689" spans="1:1" x14ac:dyDescent="0.25">
      <c r="A2689" s="66"/>
    </row>
    <row r="2690" spans="1:1" x14ac:dyDescent="0.25">
      <c r="A2690" s="66"/>
    </row>
    <row r="2691" spans="1:1" x14ac:dyDescent="0.25">
      <c r="A2691" s="66"/>
    </row>
    <row r="2692" spans="1:1" x14ac:dyDescent="0.25">
      <c r="A2692" s="66"/>
    </row>
    <row r="2693" spans="1:1" x14ac:dyDescent="0.25">
      <c r="A2693" s="66"/>
    </row>
    <row r="2694" spans="1:1" x14ac:dyDescent="0.25">
      <c r="A2694" s="66"/>
    </row>
    <row r="2695" spans="1:1" x14ac:dyDescent="0.25">
      <c r="A2695" s="66"/>
    </row>
    <row r="2696" spans="1:1" x14ac:dyDescent="0.25">
      <c r="A2696" s="66"/>
    </row>
    <row r="2697" spans="1:1" x14ac:dyDescent="0.25">
      <c r="A2697" s="66"/>
    </row>
    <row r="2698" spans="1:1" x14ac:dyDescent="0.25">
      <c r="A2698" s="66"/>
    </row>
    <row r="2699" spans="1:1" x14ac:dyDescent="0.25">
      <c r="A2699" s="66"/>
    </row>
    <row r="2700" spans="1:1" x14ac:dyDescent="0.25">
      <c r="A2700" s="66"/>
    </row>
    <row r="2701" spans="1:1" x14ac:dyDescent="0.25">
      <c r="A2701" s="66"/>
    </row>
    <row r="2702" spans="1:1" x14ac:dyDescent="0.25">
      <c r="A2702" s="66"/>
    </row>
    <row r="2703" spans="1:1" x14ac:dyDescent="0.25">
      <c r="A2703" s="66"/>
    </row>
    <row r="2704" spans="1:1" x14ac:dyDescent="0.25">
      <c r="A2704" s="66"/>
    </row>
    <row r="2705" spans="1:1" x14ac:dyDescent="0.25">
      <c r="A2705" s="66"/>
    </row>
    <row r="2706" spans="1:1" x14ac:dyDescent="0.25">
      <c r="A2706" s="66"/>
    </row>
    <row r="2707" spans="1:1" x14ac:dyDescent="0.25">
      <c r="A2707" s="66"/>
    </row>
    <row r="2708" spans="1:1" x14ac:dyDescent="0.25">
      <c r="A2708" s="66"/>
    </row>
    <row r="2709" spans="1:1" x14ac:dyDescent="0.25">
      <c r="A2709" s="66"/>
    </row>
    <row r="2710" spans="1:1" x14ac:dyDescent="0.25">
      <c r="A2710" s="66"/>
    </row>
    <row r="2711" spans="1:1" x14ac:dyDescent="0.25">
      <c r="A2711" s="66"/>
    </row>
    <row r="2712" spans="1:1" x14ac:dyDescent="0.25">
      <c r="A2712" s="66"/>
    </row>
    <row r="2713" spans="1:1" x14ac:dyDescent="0.25">
      <c r="A2713" s="66"/>
    </row>
    <row r="2714" spans="1:1" x14ac:dyDescent="0.25">
      <c r="A2714" s="66"/>
    </row>
    <row r="2715" spans="1:1" x14ac:dyDescent="0.25">
      <c r="A2715" s="66"/>
    </row>
    <row r="2716" spans="1:1" x14ac:dyDescent="0.25">
      <c r="A2716" s="66"/>
    </row>
    <row r="2717" spans="1:1" x14ac:dyDescent="0.25">
      <c r="A2717" s="66"/>
    </row>
    <row r="2718" spans="1:1" x14ac:dyDescent="0.25">
      <c r="A2718" s="66"/>
    </row>
    <row r="2719" spans="1:1" x14ac:dyDescent="0.25">
      <c r="A2719" s="66"/>
    </row>
    <row r="2720" spans="1:1" x14ac:dyDescent="0.25">
      <c r="A2720" s="66"/>
    </row>
    <row r="2721" spans="1:1" x14ac:dyDescent="0.25">
      <c r="A2721" s="66"/>
    </row>
    <row r="2722" spans="1:1" x14ac:dyDescent="0.25">
      <c r="A2722" s="66"/>
    </row>
    <row r="2723" spans="1:1" x14ac:dyDescent="0.25">
      <c r="A2723" s="66"/>
    </row>
    <row r="2724" spans="1:1" x14ac:dyDescent="0.25">
      <c r="A2724" s="66"/>
    </row>
    <row r="2725" spans="1:1" x14ac:dyDescent="0.25">
      <c r="A2725" s="66"/>
    </row>
    <row r="2726" spans="1:1" x14ac:dyDescent="0.25">
      <c r="A2726" s="66"/>
    </row>
    <row r="2727" spans="1:1" x14ac:dyDescent="0.25">
      <c r="A2727" s="66"/>
    </row>
    <row r="2728" spans="1:1" x14ac:dyDescent="0.25">
      <c r="A2728" s="66"/>
    </row>
    <row r="2729" spans="1:1" x14ac:dyDescent="0.25">
      <c r="A2729" s="66"/>
    </row>
    <row r="2730" spans="1:1" x14ac:dyDescent="0.25">
      <c r="A2730" s="66"/>
    </row>
    <row r="2731" spans="1:1" x14ac:dyDescent="0.25">
      <c r="A2731" s="66"/>
    </row>
    <row r="2732" spans="1:1" x14ac:dyDescent="0.25">
      <c r="A2732" s="66"/>
    </row>
    <row r="2733" spans="1:1" x14ac:dyDescent="0.25">
      <c r="A2733" s="66"/>
    </row>
    <row r="2734" spans="1:1" x14ac:dyDescent="0.25">
      <c r="A2734" s="66"/>
    </row>
    <row r="2735" spans="1:1" x14ac:dyDescent="0.25">
      <c r="A2735" s="66"/>
    </row>
    <row r="2736" spans="1:1" x14ac:dyDescent="0.25">
      <c r="A2736" s="66"/>
    </row>
    <row r="2737" spans="1:1" x14ac:dyDescent="0.25">
      <c r="A2737" s="66"/>
    </row>
    <row r="2738" spans="1:1" x14ac:dyDescent="0.25">
      <c r="A2738" s="66"/>
    </row>
    <row r="2739" spans="1:1" x14ac:dyDescent="0.25">
      <c r="A2739" s="66"/>
    </row>
    <row r="2740" spans="1:1" x14ac:dyDescent="0.25">
      <c r="A2740" s="66"/>
    </row>
    <row r="2741" spans="1:1" x14ac:dyDescent="0.25">
      <c r="A2741" s="66"/>
    </row>
    <row r="2742" spans="1:1" x14ac:dyDescent="0.25">
      <c r="A2742" s="66"/>
    </row>
    <row r="2743" spans="1:1" x14ac:dyDescent="0.25">
      <c r="A2743" s="66"/>
    </row>
    <row r="2744" spans="1:1" x14ac:dyDescent="0.25">
      <c r="A2744" s="66"/>
    </row>
    <row r="2745" spans="1:1" x14ac:dyDescent="0.25">
      <c r="A2745" s="66"/>
    </row>
    <row r="2746" spans="1:1" x14ac:dyDescent="0.25">
      <c r="A2746" s="66"/>
    </row>
    <row r="2747" spans="1:1" x14ac:dyDescent="0.25">
      <c r="A2747" s="66"/>
    </row>
    <row r="2748" spans="1:1" x14ac:dyDescent="0.25">
      <c r="A2748" s="66"/>
    </row>
    <row r="2749" spans="1:1" x14ac:dyDescent="0.25">
      <c r="A2749" s="66"/>
    </row>
    <row r="2750" spans="1:1" x14ac:dyDescent="0.25">
      <c r="A2750" s="66"/>
    </row>
    <row r="2751" spans="1:1" x14ac:dyDescent="0.25">
      <c r="A2751" s="66"/>
    </row>
    <row r="2752" spans="1:1" x14ac:dyDescent="0.25">
      <c r="A2752" s="66"/>
    </row>
    <row r="2753" spans="1:1" x14ac:dyDescent="0.25">
      <c r="A2753" s="66"/>
    </row>
    <row r="2754" spans="1:1" x14ac:dyDescent="0.25">
      <c r="A2754" s="66"/>
    </row>
    <row r="2755" spans="1:1" x14ac:dyDescent="0.25">
      <c r="A2755" s="66"/>
    </row>
    <row r="2756" spans="1:1" x14ac:dyDescent="0.25">
      <c r="A2756" s="66"/>
    </row>
    <row r="2757" spans="1:1" x14ac:dyDescent="0.25">
      <c r="A2757" s="66"/>
    </row>
    <row r="2758" spans="1:1" x14ac:dyDescent="0.25">
      <c r="A2758" s="66"/>
    </row>
    <row r="2759" spans="1:1" x14ac:dyDescent="0.25">
      <c r="A2759" s="66"/>
    </row>
    <row r="2760" spans="1:1" x14ac:dyDescent="0.25">
      <c r="A2760" s="66"/>
    </row>
    <row r="2761" spans="1:1" x14ac:dyDescent="0.25">
      <c r="A2761" s="66"/>
    </row>
    <row r="2762" spans="1:1" x14ac:dyDescent="0.25">
      <c r="A2762" s="66"/>
    </row>
    <row r="2763" spans="1:1" x14ac:dyDescent="0.25">
      <c r="A2763" s="66"/>
    </row>
    <row r="2764" spans="1:1" x14ac:dyDescent="0.25">
      <c r="A2764" s="66"/>
    </row>
    <row r="2765" spans="1:1" x14ac:dyDescent="0.25">
      <c r="A2765" s="66"/>
    </row>
    <row r="2766" spans="1:1" x14ac:dyDescent="0.25">
      <c r="A2766" s="66"/>
    </row>
    <row r="2767" spans="1:1" x14ac:dyDescent="0.25">
      <c r="A2767" s="66"/>
    </row>
    <row r="2768" spans="1:1" x14ac:dyDescent="0.25">
      <c r="A2768" s="66"/>
    </row>
    <row r="2769" spans="1:1" x14ac:dyDescent="0.25">
      <c r="A2769" s="66"/>
    </row>
    <row r="2770" spans="1:1" x14ac:dyDescent="0.25">
      <c r="A2770" s="66"/>
    </row>
    <row r="2771" spans="1:1" x14ac:dyDescent="0.25">
      <c r="A2771" s="66"/>
    </row>
    <row r="2772" spans="1:1" x14ac:dyDescent="0.25">
      <c r="A2772" s="66"/>
    </row>
    <row r="2773" spans="1:1" x14ac:dyDescent="0.25">
      <c r="A2773" s="66"/>
    </row>
    <row r="2774" spans="1:1" x14ac:dyDescent="0.25">
      <c r="A2774" s="66"/>
    </row>
    <row r="2775" spans="1:1" x14ac:dyDescent="0.25">
      <c r="A2775" s="66"/>
    </row>
    <row r="2776" spans="1:1" x14ac:dyDescent="0.25">
      <c r="A2776" s="66"/>
    </row>
    <row r="2777" spans="1:1" x14ac:dyDescent="0.25">
      <c r="A2777" s="66"/>
    </row>
    <row r="2778" spans="1:1" x14ac:dyDescent="0.25">
      <c r="A2778" s="66"/>
    </row>
    <row r="2779" spans="1:1" x14ac:dyDescent="0.25">
      <c r="A2779" s="66"/>
    </row>
    <row r="2780" spans="1:1" x14ac:dyDescent="0.25">
      <c r="A2780" s="66"/>
    </row>
    <row r="2781" spans="1:1" x14ac:dyDescent="0.25">
      <c r="A2781" s="66"/>
    </row>
    <row r="2782" spans="1:1" x14ac:dyDescent="0.25">
      <c r="A2782" s="66"/>
    </row>
    <row r="2783" spans="1:1" x14ac:dyDescent="0.25">
      <c r="A2783" s="66"/>
    </row>
    <row r="2784" spans="1:1" x14ac:dyDescent="0.25">
      <c r="A2784" s="66"/>
    </row>
    <row r="2785" spans="1:1" x14ac:dyDescent="0.25">
      <c r="A2785" s="66"/>
    </row>
    <row r="2786" spans="1:1" x14ac:dyDescent="0.25">
      <c r="A2786" s="66"/>
    </row>
    <row r="2787" spans="1:1" x14ac:dyDescent="0.25">
      <c r="A2787" s="66"/>
    </row>
    <row r="2788" spans="1:1" x14ac:dyDescent="0.25">
      <c r="A2788" s="66"/>
    </row>
    <row r="2789" spans="1:1" x14ac:dyDescent="0.25">
      <c r="A2789" s="66"/>
    </row>
    <row r="2790" spans="1:1" x14ac:dyDescent="0.25">
      <c r="A2790" s="66"/>
    </row>
    <row r="2791" spans="1:1" x14ac:dyDescent="0.25">
      <c r="A2791" s="66"/>
    </row>
    <row r="2792" spans="1:1" x14ac:dyDescent="0.25">
      <c r="A2792" s="66"/>
    </row>
    <row r="2793" spans="1:1" x14ac:dyDescent="0.25">
      <c r="A2793" s="66"/>
    </row>
    <row r="2794" spans="1:1" x14ac:dyDescent="0.25">
      <c r="A2794" s="66"/>
    </row>
    <row r="2795" spans="1:1" x14ac:dyDescent="0.25">
      <c r="A2795" s="66"/>
    </row>
    <row r="2796" spans="1:1" x14ac:dyDescent="0.25">
      <c r="A2796" s="66"/>
    </row>
    <row r="2797" spans="1:1" x14ac:dyDescent="0.25">
      <c r="A2797" s="66"/>
    </row>
    <row r="2798" spans="1:1" x14ac:dyDescent="0.25">
      <c r="A2798" s="66"/>
    </row>
    <row r="2799" spans="1:1" x14ac:dyDescent="0.25">
      <c r="A2799" s="66"/>
    </row>
    <row r="2800" spans="1:1" x14ac:dyDescent="0.25">
      <c r="A2800" s="66"/>
    </row>
    <row r="2801" spans="1:1" x14ac:dyDescent="0.25">
      <c r="A2801" s="66"/>
    </row>
    <row r="2802" spans="1:1" x14ac:dyDescent="0.25">
      <c r="A2802" s="66"/>
    </row>
    <row r="2803" spans="1:1" x14ac:dyDescent="0.25">
      <c r="A2803" s="66"/>
    </row>
    <row r="2804" spans="1:1" x14ac:dyDescent="0.25">
      <c r="A2804" s="66"/>
    </row>
    <row r="2805" spans="1:1" x14ac:dyDescent="0.25">
      <c r="A2805" s="66"/>
    </row>
    <row r="2806" spans="1:1" x14ac:dyDescent="0.25">
      <c r="A2806" s="66"/>
    </row>
    <row r="2807" spans="1:1" x14ac:dyDescent="0.25">
      <c r="A2807" s="66"/>
    </row>
    <row r="2808" spans="1:1" x14ac:dyDescent="0.25">
      <c r="A2808" s="66"/>
    </row>
    <row r="2809" spans="1:1" x14ac:dyDescent="0.25">
      <c r="A2809" s="66"/>
    </row>
    <row r="2810" spans="1:1" x14ac:dyDescent="0.25">
      <c r="A2810" s="66"/>
    </row>
    <row r="2811" spans="1:1" x14ac:dyDescent="0.25">
      <c r="A2811" s="66"/>
    </row>
    <row r="2812" spans="1:1" x14ac:dyDescent="0.25">
      <c r="A2812" s="66"/>
    </row>
    <row r="2813" spans="1:1" x14ac:dyDescent="0.25">
      <c r="A2813" s="66"/>
    </row>
    <row r="2814" spans="1:1" x14ac:dyDescent="0.25">
      <c r="A2814" s="66"/>
    </row>
    <row r="2815" spans="1:1" x14ac:dyDescent="0.25">
      <c r="A2815" s="66"/>
    </row>
    <row r="2816" spans="1:1" x14ac:dyDescent="0.25">
      <c r="A2816" s="66"/>
    </row>
    <row r="2817" spans="1:1" x14ac:dyDescent="0.25">
      <c r="A2817" s="66"/>
    </row>
    <row r="2818" spans="1:1" x14ac:dyDescent="0.25">
      <c r="A2818" s="66"/>
    </row>
    <row r="2819" spans="1:1" x14ac:dyDescent="0.25">
      <c r="A2819" s="66"/>
    </row>
    <row r="2820" spans="1:1" x14ac:dyDescent="0.25">
      <c r="A2820" s="66"/>
    </row>
    <row r="2821" spans="1:1" x14ac:dyDescent="0.25">
      <c r="A2821" s="66"/>
    </row>
    <row r="2822" spans="1:1" x14ac:dyDescent="0.25">
      <c r="A2822" s="66"/>
    </row>
    <row r="2823" spans="1:1" x14ac:dyDescent="0.25">
      <c r="A2823" s="66"/>
    </row>
    <row r="2824" spans="1:1" x14ac:dyDescent="0.25">
      <c r="A2824" s="66"/>
    </row>
    <row r="2825" spans="1:1" x14ac:dyDescent="0.25">
      <c r="A2825" s="66"/>
    </row>
    <row r="2826" spans="1:1" x14ac:dyDescent="0.25">
      <c r="A2826" s="66"/>
    </row>
    <row r="2827" spans="1:1" x14ac:dyDescent="0.25">
      <c r="A2827" s="66"/>
    </row>
    <row r="2828" spans="1:1" x14ac:dyDescent="0.25">
      <c r="A2828" s="66"/>
    </row>
    <row r="2829" spans="1:1" x14ac:dyDescent="0.25">
      <c r="A2829" s="66"/>
    </row>
    <row r="2830" spans="1:1" x14ac:dyDescent="0.25">
      <c r="A2830" s="66"/>
    </row>
    <row r="2831" spans="1:1" x14ac:dyDescent="0.25">
      <c r="A2831" s="66"/>
    </row>
    <row r="2832" spans="1:1" x14ac:dyDescent="0.25">
      <c r="A2832" s="66"/>
    </row>
    <row r="2833" spans="1:1" x14ac:dyDescent="0.25">
      <c r="A2833" s="66"/>
    </row>
    <row r="2834" spans="1:1" x14ac:dyDescent="0.25">
      <c r="A2834" s="66"/>
    </row>
    <row r="2835" spans="1:1" x14ac:dyDescent="0.25">
      <c r="A2835" s="66"/>
    </row>
    <row r="2836" spans="1:1" x14ac:dyDescent="0.25">
      <c r="A2836" s="66"/>
    </row>
    <row r="2837" spans="1:1" x14ac:dyDescent="0.25">
      <c r="A2837" s="66"/>
    </row>
    <row r="2838" spans="1:1" x14ac:dyDescent="0.25">
      <c r="A2838" s="66"/>
    </row>
    <row r="2839" spans="1:1" x14ac:dyDescent="0.25">
      <c r="A2839" s="66"/>
    </row>
    <row r="2840" spans="1:1" x14ac:dyDescent="0.25">
      <c r="A2840" s="66"/>
    </row>
    <row r="2841" spans="1:1" x14ac:dyDescent="0.25">
      <c r="A2841" s="66"/>
    </row>
    <row r="2842" spans="1:1" x14ac:dyDescent="0.25">
      <c r="A2842" s="66"/>
    </row>
    <row r="2843" spans="1:1" x14ac:dyDescent="0.25">
      <c r="A2843" s="66"/>
    </row>
    <row r="2844" spans="1:1" x14ac:dyDescent="0.25">
      <c r="A2844" s="66"/>
    </row>
    <row r="2845" spans="1:1" x14ac:dyDescent="0.25">
      <c r="A2845" s="66"/>
    </row>
    <row r="2846" spans="1:1" x14ac:dyDescent="0.25">
      <c r="A2846" s="66"/>
    </row>
    <row r="2847" spans="1:1" x14ac:dyDescent="0.25">
      <c r="A2847" s="66"/>
    </row>
    <row r="2848" spans="1:1" x14ac:dyDescent="0.25">
      <c r="A2848" s="66"/>
    </row>
    <row r="2849" spans="1:1" x14ac:dyDescent="0.25">
      <c r="A2849" s="66"/>
    </row>
    <row r="2850" spans="1:1" x14ac:dyDescent="0.25">
      <c r="A2850" s="66"/>
    </row>
    <row r="2851" spans="1:1" x14ac:dyDescent="0.25">
      <c r="A2851" s="66"/>
    </row>
    <row r="2852" spans="1:1" x14ac:dyDescent="0.25">
      <c r="A2852" s="66"/>
    </row>
    <row r="2853" spans="1:1" x14ac:dyDescent="0.25">
      <c r="A2853" s="66"/>
    </row>
    <row r="2854" spans="1:1" x14ac:dyDescent="0.25">
      <c r="A2854" s="66"/>
    </row>
    <row r="2855" spans="1:1" x14ac:dyDescent="0.25">
      <c r="A2855" s="66"/>
    </row>
    <row r="2856" spans="1:1" x14ac:dyDescent="0.25">
      <c r="A2856" s="66"/>
    </row>
    <row r="2857" spans="1:1" x14ac:dyDescent="0.25">
      <c r="A2857" s="66"/>
    </row>
    <row r="2858" spans="1:1" x14ac:dyDescent="0.25">
      <c r="A2858" s="66"/>
    </row>
    <row r="2859" spans="1:1" x14ac:dyDescent="0.25">
      <c r="A2859" s="66"/>
    </row>
    <row r="2860" spans="1:1" x14ac:dyDescent="0.25">
      <c r="A2860" s="66"/>
    </row>
    <row r="2861" spans="1:1" x14ac:dyDescent="0.25">
      <c r="A2861" s="66"/>
    </row>
    <row r="2862" spans="1:1" x14ac:dyDescent="0.25">
      <c r="A2862" s="66"/>
    </row>
    <row r="2863" spans="1:1" x14ac:dyDescent="0.25">
      <c r="A2863" s="66"/>
    </row>
    <row r="2864" spans="1:1" x14ac:dyDescent="0.25">
      <c r="A2864" s="66"/>
    </row>
    <row r="2865" spans="1:1" x14ac:dyDescent="0.25">
      <c r="A2865" s="66"/>
    </row>
    <row r="2866" spans="1:1" x14ac:dyDescent="0.25">
      <c r="A2866" s="66"/>
    </row>
    <row r="2867" spans="1:1" x14ac:dyDescent="0.25">
      <c r="A2867" s="66"/>
    </row>
    <row r="2868" spans="1:1" x14ac:dyDescent="0.25">
      <c r="A2868" s="66"/>
    </row>
    <row r="2869" spans="1:1" x14ac:dyDescent="0.25">
      <c r="A2869" s="66"/>
    </row>
    <row r="2870" spans="1:1" x14ac:dyDescent="0.25">
      <c r="A2870" s="66"/>
    </row>
    <row r="2871" spans="1:1" x14ac:dyDescent="0.25">
      <c r="A2871" s="66"/>
    </row>
    <row r="2872" spans="1:1" x14ac:dyDescent="0.25">
      <c r="A2872" s="66"/>
    </row>
    <row r="2873" spans="1:1" x14ac:dyDescent="0.25">
      <c r="A2873" s="66"/>
    </row>
    <row r="2874" spans="1:1" x14ac:dyDescent="0.25">
      <c r="A2874" s="66"/>
    </row>
    <row r="2875" spans="1:1" x14ac:dyDescent="0.25">
      <c r="A2875" s="66"/>
    </row>
    <row r="2876" spans="1:1" x14ac:dyDescent="0.25">
      <c r="A2876" s="66"/>
    </row>
    <row r="2877" spans="1:1" x14ac:dyDescent="0.25">
      <c r="A2877" s="66"/>
    </row>
    <row r="2878" spans="1:1" x14ac:dyDescent="0.25">
      <c r="A2878" s="66"/>
    </row>
    <row r="2879" spans="1:1" x14ac:dyDescent="0.25">
      <c r="A2879" s="66"/>
    </row>
    <row r="2880" spans="1:1" x14ac:dyDescent="0.25">
      <c r="A2880" s="66"/>
    </row>
    <row r="2881" spans="1:1" x14ac:dyDescent="0.25">
      <c r="A2881" s="66"/>
    </row>
    <row r="2882" spans="1:1" x14ac:dyDescent="0.25">
      <c r="A2882" s="66"/>
    </row>
    <row r="2883" spans="1:1" x14ac:dyDescent="0.25">
      <c r="A2883" s="66"/>
    </row>
    <row r="2884" spans="1:1" x14ac:dyDescent="0.25">
      <c r="A2884" s="66"/>
    </row>
    <row r="2885" spans="1:1" x14ac:dyDescent="0.25">
      <c r="A2885" s="66"/>
    </row>
    <row r="2886" spans="1:1" x14ac:dyDescent="0.25">
      <c r="A2886" s="66"/>
    </row>
    <row r="2887" spans="1:1" x14ac:dyDescent="0.25">
      <c r="A2887" s="66"/>
    </row>
    <row r="2888" spans="1:1" x14ac:dyDescent="0.25">
      <c r="A2888" s="66"/>
    </row>
    <row r="2889" spans="1:1" x14ac:dyDescent="0.25">
      <c r="A2889" s="66"/>
    </row>
    <row r="2890" spans="1:1" x14ac:dyDescent="0.25">
      <c r="A2890" s="66"/>
    </row>
    <row r="2891" spans="1:1" x14ac:dyDescent="0.25">
      <c r="A2891" s="66"/>
    </row>
    <row r="2892" spans="1:1" x14ac:dyDescent="0.25">
      <c r="A2892" s="66"/>
    </row>
    <row r="2893" spans="1:1" x14ac:dyDescent="0.25">
      <c r="A2893" s="66"/>
    </row>
    <row r="2894" spans="1:1" x14ac:dyDescent="0.25">
      <c r="A2894" s="66"/>
    </row>
    <row r="2895" spans="1:1" x14ac:dyDescent="0.25">
      <c r="A2895" s="66"/>
    </row>
    <row r="2896" spans="1:1" x14ac:dyDescent="0.25">
      <c r="A2896" s="66"/>
    </row>
    <row r="2897" spans="1:1" x14ac:dyDescent="0.25">
      <c r="A2897" s="66"/>
    </row>
    <row r="2898" spans="1:1" x14ac:dyDescent="0.25">
      <c r="A2898" s="66"/>
    </row>
    <row r="2899" spans="1:1" x14ac:dyDescent="0.25">
      <c r="A2899" s="66"/>
    </row>
    <row r="2900" spans="1:1" x14ac:dyDescent="0.25">
      <c r="A2900" s="66"/>
    </row>
    <row r="2901" spans="1:1" x14ac:dyDescent="0.25">
      <c r="A2901" s="66"/>
    </row>
    <row r="2902" spans="1:1" x14ac:dyDescent="0.25">
      <c r="A2902" s="66"/>
    </row>
    <row r="2903" spans="1:1" x14ac:dyDescent="0.25">
      <c r="A2903" s="66"/>
    </row>
    <row r="2904" spans="1:1" x14ac:dyDescent="0.25">
      <c r="A2904" s="66"/>
    </row>
    <row r="2905" spans="1:1" x14ac:dyDescent="0.25">
      <c r="A2905" s="66"/>
    </row>
    <row r="2906" spans="1:1" x14ac:dyDescent="0.25">
      <c r="A2906" s="66"/>
    </row>
    <row r="2907" spans="1:1" x14ac:dyDescent="0.25">
      <c r="A2907" s="66"/>
    </row>
    <row r="2908" spans="1:1" x14ac:dyDescent="0.25">
      <c r="A2908" s="66"/>
    </row>
    <row r="2909" spans="1:1" x14ac:dyDescent="0.25">
      <c r="A2909" s="66"/>
    </row>
    <row r="2910" spans="1:1" x14ac:dyDescent="0.25">
      <c r="A2910" s="66"/>
    </row>
    <row r="2911" spans="1:1" x14ac:dyDescent="0.25">
      <c r="A2911" s="66"/>
    </row>
    <row r="2912" spans="1:1" x14ac:dyDescent="0.25">
      <c r="A2912" s="66"/>
    </row>
    <row r="2913" spans="1:1" x14ac:dyDescent="0.25">
      <c r="A2913" s="66"/>
    </row>
    <row r="2914" spans="1:1" x14ac:dyDescent="0.25">
      <c r="A2914" s="66"/>
    </row>
    <row r="2915" spans="1:1" x14ac:dyDescent="0.25">
      <c r="A2915" s="66"/>
    </row>
    <row r="2916" spans="1:1" x14ac:dyDescent="0.25">
      <c r="A2916" s="66"/>
    </row>
    <row r="2917" spans="1:1" x14ac:dyDescent="0.25">
      <c r="A2917" s="66"/>
    </row>
    <row r="2918" spans="1:1" x14ac:dyDescent="0.25">
      <c r="A2918" s="66"/>
    </row>
    <row r="2919" spans="1:1" x14ac:dyDescent="0.25">
      <c r="A2919" s="66"/>
    </row>
    <row r="2920" spans="1:1" x14ac:dyDescent="0.25">
      <c r="A2920" s="66"/>
    </row>
    <row r="2921" spans="1:1" x14ac:dyDescent="0.25">
      <c r="A2921" s="66"/>
    </row>
    <row r="2922" spans="1:1" x14ac:dyDescent="0.25">
      <c r="A2922" s="66"/>
    </row>
    <row r="2923" spans="1:1" x14ac:dyDescent="0.25">
      <c r="A2923" s="66"/>
    </row>
    <row r="2924" spans="1:1" x14ac:dyDescent="0.25">
      <c r="A2924" s="66"/>
    </row>
    <row r="2925" spans="1:1" x14ac:dyDescent="0.25">
      <c r="A2925" s="66"/>
    </row>
    <row r="2926" spans="1:1" x14ac:dyDescent="0.25">
      <c r="A2926" s="66"/>
    </row>
    <row r="2927" spans="1:1" x14ac:dyDescent="0.25">
      <c r="A2927" s="66"/>
    </row>
    <row r="2928" spans="1:1" x14ac:dyDescent="0.25">
      <c r="A2928" s="66"/>
    </row>
    <row r="2929" spans="1:1" x14ac:dyDescent="0.25">
      <c r="A2929" s="66"/>
    </row>
    <row r="2930" spans="1:1" x14ac:dyDescent="0.25">
      <c r="A2930" s="66"/>
    </row>
    <row r="2931" spans="1:1" x14ac:dyDescent="0.25">
      <c r="A2931" s="66"/>
    </row>
    <row r="2932" spans="1:1" x14ac:dyDescent="0.25">
      <c r="A2932" s="66"/>
    </row>
    <row r="2933" spans="1:1" x14ac:dyDescent="0.25">
      <c r="A2933" s="66"/>
    </row>
    <row r="2934" spans="1:1" x14ac:dyDescent="0.25">
      <c r="A2934" s="66"/>
    </row>
    <row r="2935" spans="1:1" x14ac:dyDescent="0.25">
      <c r="A2935" s="66"/>
    </row>
    <row r="2936" spans="1:1" x14ac:dyDescent="0.25">
      <c r="A2936" s="66"/>
    </row>
    <row r="2937" spans="1:1" x14ac:dyDescent="0.25">
      <c r="A2937" s="66"/>
    </row>
    <row r="2938" spans="1:1" x14ac:dyDescent="0.25">
      <c r="A2938" s="66"/>
    </row>
    <row r="2939" spans="1:1" x14ac:dyDescent="0.25">
      <c r="A2939" s="66"/>
    </row>
    <row r="2940" spans="1:1" x14ac:dyDescent="0.25">
      <c r="A2940" s="66"/>
    </row>
    <row r="2941" spans="1:1" x14ac:dyDescent="0.25">
      <c r="A2941" s="66"/>
    </row>
    <row r="2942" spans="1:1" x14ac:dyDescent="0.25">
      <c r="A2942" s="66"/>
    </row>
    <row r="2943" spans="1:1" x14ac:dyDescent="0.25">
      <c r="A2943" s="66"/>
    </row>
    <row r="2944" spans="1:1" x14ac:dyDescent="0.25">
      <c r="A2944" s="66"/>
    </row>
    <row r="2945" spans="1:1" x14ac:dyDescent="0.25">
      <c r="A2945" s="66"/>
    </row>
    <row r="2946" spans="1:1" x14ac:dyDescent="0.25">
      <c r="A2946" s="66"/>
    </row>
    <row r="2947" spans="1:1" x14ac:dyDescent="0.25">
      <c r="A2947" s="66"/>
    </row>
    <row r="2948" spans="1:1" x14ac:dyDescent="0.25">
      <c r="A2948" s="66"/>
    </row>
    <row r="2949" spans="1:1" x14ac:dyDescent="0.25">
      <c r="A2949" s="66"/>
    </row>
    <row r="2950" spans="1:1" x14ac:dyDescent="0.25">
      <c r="A2950" s="66"/>
    </row>
    <row r="2951" spans="1:1" x14ac:dyDescent="0.25">
      <c r="A2951" s="66"/>
    </row>
    <row r="2952" spans="1:1" x14ac:dyDescent="0.25">
      <c r="A2952" s="66"/>
    </row>
    <row r="2953" spans="1:1" x14ac:dyDescent="0.25">
      <c r="A2953" s="66"/>
    </row>
    <row r="2954" spans="1:1" x14ac:dyDescent="0.25">
      <c r="A2954" s="66"/>
    </row>
    <row r="2955" spans="1:1" x14ac:dyDescent="0.25">
      <c r="A2955" s="66"/>
    </row>
    <row r="2956" spans="1:1" x14ac:dyDescent="0.25">
      <c r="A2956" s="66"/>
    </row>
    <row r="2957" spans="1:1" x14ac:dyDescent="0.25">
      <c r="A2957" s="66"/>
    </row>
    <row r="2958" spans="1:1" x14ac:dyDescent="0.25">
      <c r="A2958" s="66"/>
    </row>
    <row r="2959" spans="1:1" x14ac:dyDescent="0.25">
      <c r="A2959" s="66"/>
    </row>
    <row r="2960" spans="1:1" x14ac:dyDescent="0.25">
      <c r="A2960" s="66"/>
    </row>
    <row r="2961" spans="1:1" x14ac:dyDescent="0.25">
      <c r="A2961" s="66"/>
    </row>
    <row r="2962" spans="1:1" x14ac:dyDescent="0.25">
      <c r="A2962" s="66"/>
    </row>
    <row r="2963" spans="1:1" x14ac:dyDescent="0.25">
      <c r="A2963" s="66"/>
    </row>
    <row r="2964" spans="1:1" x14ac:dyDescent="0.25">
      <c r="A2964" s="66"/>
    </row>
    <row r="2965" spans="1:1" x14ac:dyDescent="0.25">
      <c r="A2965" s="66"/>
    </row>
    <row r="2966" spans="1:1" x14ac:dyDescent="0.25">
      <c r="A2966" s="66"/>
    </row>
    <row r="2967" spans="1:1" x14ac:dyDescent="0.25">
      <c r="A2967" s="66"/>
    </row>
    <row r="2968" spans="1:1" x14ac:dyDescent="0.25">
      <c r="A2968" s="66"/>
    </row>
    <row r="2969" spans="1:1" x14ac:dyDescent="0.25">
      <c r="A2969" s="66"/>
    </row>
    <row r="2970" spans="1:1" x14ac:dyDescent="0.25">
      <c r="A2970" s="66"/>
    </row>
    <row r="2971" spans="1:1" x14ac:dyDescent="0.25">
      <c r="A2971" s="66"/>
    </row>
    <row r="2972" spans="1:1" x14ac:dyDescent="0.25">
      <c r="A2972" s="66"/>
    </row>
    <row r="2973" spans="1:1" x14ac:dyDescent="0.25">
      <c r="A2973" s="66"/>
    </row>
    <row r="2974" spans="1:1" x14ac:dyDescent="0.25">
      <c r="A2974" s="66"/>
    </row>
    <row r="2975" spans="1:1" x14ac:dyDescent="0.25">
      <c r="A2975" s="66"/>
    </row>
    <row r="2976" spans="1:1" x14ac:dyDescent="0.25">
      <c r="A2976" s="66"/>
    </row>
    <row r="2977" spans="1:1" x14ac:dyDescent="0.25">
      <c r="A2977" s="66"/>
    </row>
    <row r="2978" spans="1:1" x14ac:dyDescent="0.25">
      <c r="A2978" s="66"/>
    </row>
    <row r="2979" spans="1:1" x14ac:dyDescent="0.25">
      <c r="A2979" s="66"/>
    </row>
    <row r="2980" spans="1:1" x14ac:dyDescent="0.25">
      <c r="A2980" s="66"/>
    </row>
    <row r="2981" spans="1:1" x14ac:dyDescent="0.25">
      <c r="A2981" s="66"/>
    </row>
    <row r="2982" spans="1:1" x14ac:dyDescent="0.25">
      <c r="A2982" s="66"/>
    </row>
    <row r="2983" spans="1:1" x14ac:dyDescent="0.25">
      <c r="A2983" s="66"/>
    </row>
    <row r="2984" spans="1:1" x14ac:dyDescent="0.25">
      <c r="A2984" s="66"/>
    </row>
    <row r="2985" spans="1:1" x14ac:dyDescent="0.25">
      <c r="A2985" s="66"/>
    </row>
    <row r="2986" spans="1:1" x14ac:dyDescent="0.25">
      <c r="A2986" s="66"/>
    </row>
    <row r="2987" spans="1:1" x14ac:dyDescent="0.25">
      <c r="A2987" s="66"/>
    </row>
    <row r="2988" spans="1:1" x14ac:dyDescent="0.25">
      <c r="A2988" s="66"/>
    </row>
    <row r="2989" spans="1:1" x14ac:dyDescent="0.25">
      <c r="A2989" s="66"/>
    </row>
    <row r="2990" spans="1:1" x14ac:dyDescent="0.25">
      <c r="A2990" s="66"/>
    </row>
    <row r="2991" spans="1:1" x14ac:dyDescent="0.25">
      <c r="A2991" s="66"/>
    </row>
    <row r="2992" spans="1:1" x14ac:dyDescent="0.25">
      <c r="A2992" s="66"/>
    </row>
    <row r="2993" spans="1:1" x14ac:dyDescent="0.25">
      <c r="A2993" s="66"/>
    </row>
    <row r="2994" spans="1:1" x14ac:dyDescent="0.25">
      <c r="A2994" s="66"/>
    </row>
    <row r="2995" spans="1:1" x14ac:dyDescent="0.25">
      <c r="A2995" s="66"/>
    </row>
    <row r="2996" spans="1:1" x14ac:dyDescent="0.25">
      <c r="A2996" s="66"/>
    </row>
    <row r="2997" spans="1:1" x14ac:dyDescent="0.25">
      <c r="A2997" s="66"/>
    </row>
    <row r="2998" spans="1:1" x14ac:dyDescent="0.25">
      <c r="A2998" s="66"/>
    </row>
    <row r="2999" spans="1:1" x14ac:dyDescent="0.25">
      <c r="A2999" s="66"/>
    </row>
    <row r="3000" spans="1:1" x14ac:dyDescent="0.25">
      <c r="A3000" s="66"/>
    </row>
    <row r="3001" spans="1:1" x14ac:dyDescent="0.25">
      <c r="A3001" s="66"/>
    </row>
    <row r="3002" spans="1:1" x14ac:dyDescent="0.25">
      <c r="A3002" s="66"/>
    </row>
    <row r="3003" spans="1:1" x14ac:dyDescent="0.25">
      <c r="A3003" s="66"/>
    </row>
    <row r="3004" spans="1:1" x14ac:dyDescent="0.25">
      <c r="A3004" s="66"/>
    </row>
    <row r="3005" spans="1:1" x14ac:dyDescent="0.25">
      <c r="A3005" s="66"/>
    </row>
    <row r="3006" spans="1:1" x14ac:dyDescent="0.25">
      <c r="A3006" s="66"/>
    </row>
    <row r="3007" spans="1:1" x14ac:dyDescent="0.25">
      <c r="A3007" s="66"/>
    </row>
    <row r="3008" spans="1:1" x14ac:dyDescent="0.25">
      <c r="A3008" s="66"/>
    </row>
    <row r="3009" spans="1:1" x14ac:dyDescent="0.25">
      <c r="A3009" s="66"/>
    </row>
    <row r="3010" spans="1:1" x14ac:dyDescent="0.25">
      <c r="A3010" s="66"/>
    </row>
    <row r="3011" spans="1:1" x14ac:dyDescent="0.25">
      <c r="A3011" s="66"/>
    </row>
    <row r="3012" spans="1:1" x14ac:dyDescent="0.25">
      <c r="A3012" s="66"/>
    </row>
    <row r="3013" spans="1:1" x14ac:dyDescent="0.25">
      <c r="A3013" s="66"/>
    </row>
    <row r="3014" spans="1:1" x14ac:dyDescent="0.25">
      <c r="A3014" s="66"/>
    </row>
    <row r="3015" spans="1:1" x14ac:dyDescent="0.25">
      <c r="A3015" s="66"/>
    </row>
    <row r="3016" spans="1:1" x14ac:dyDescent="0.25">
      <c r="A3016" s="66"/>
    </row>
    <row r="3017" spans="1:1" x14ac:dyDescent="0.25">
      <c r="A3017" s="66"/>
    </row>
    <row r="3018" spans="1:1" x14ac:dyDescent="0.25">
      <c r="A3018" s="66"/>
    </row>
    <row r="3019" spans="1:1" x14ac:dyDescent="0.25">
      <c r="A3019" s="66"/>
    </row>
    <row r="3020" spans="1:1" x14ac:dyDescent="0.25">
      <c r="A3020" s="66"/>
    </row>
    <row r="3021" spans="1:1" x14ac:dyDescent="0.25">
      <c r="A3021" s="66"/>
    </row>
    <row r="3022" spans="1:1" x14ac:dyDescent="0.25">
      <c r="A3022" s="66"/>
    </row>
    <row r="3023" spans="1:1" x14ac:dyDescent="0.25">
      <c r="A3023" s="66"/>
    </row>
    <row r="3024" spans="1:1" x14ac:dyDescent="0.25">
      <c r="A3024" s="66"/>
    </row>
    <row r="3025" spans="1:1" x14ac:dyDescent="0.25">
      <c r="A3025" s="66"/>
    </row>
    <row r="3026" spans="1:1" x14ac:dyDescent="0.25">
      <c r="A3026" s="66"/>
    </row>
    <row r="3027" spans="1:1" x14ac:dyDescent="0.25">
      <c r="A3027" s="66"/>
    </row>
    <row r="3028" spans="1:1" x14ac:dyDescent="0.25">
      <c r="A3028" s="66"/>
    </row>
    <row r="3029" spans="1:1" x14ac:dyDescent="0.25">
      <c r="A3029" s="66"/>
    </row>
    <row r="3030" spans="1:1" x14ac:dyDescent="0.25">
      <c r="A3030" s="66"/>
    </row>
    <row r="3031" spans="1:1" x14ac:dyDescent="0.25">
      <c r="A3031" s="66"/>
    </row>
    <row r="3032" spans="1:1" x14ac:dyDescent="0.25">
      <c r="A3032" s="66"/>
    </row>
    <row r="3033" spans="1:1" x14ac:dyDescent="0.25">
      <c r="A3033" s="66"/>
    </row>
    <row r="3034" spans="1:1" x14ac:dyDescent="0.25">
      <c r="A3034" s="66"/>
    </row>
    <row r="3035" spans="1:1" x14ac:dyDescent="0.25">
      <c r="A3035" s="66"/>
    </row>
    <row r="3036" spans="1:1" x14ac:dyDescent="0.25">
      <c r="A3036" s="66"/>
    </row>
    <row r="3037" spans="1:1" x14ac:dyDescent="0.25">
      <c r="A3037" s="66"/>
    </row>
    <row r="3038" spans="1:1" x14ac:dyDescent="0.25">
      <c r="A3038" s="66"/>
    </row>
    <row r="3039" spans="1:1" x14ac:dyDescent="0.25">
      <c r="A3039" s="66"/>
    </row>
    <row r="3040" spans="1:1" x14ac:dyDescent="0.25">
      <c r="A3040" s="66"/>
    </row>
    <row r="3041" spans="1:1" x14ac:dyDescent="0.25">
      <c r="A3041" s="66"/>
    </row>
    <row r="3042" spans="1:1" x14ac:dyDescent="0.25">
      <c r="A3042" s="66"/>
    </row>
    <row r="3043" spans="1:1" x14ac:dyDescent="0.25">
      <c r="A3043" s="66"/>
    </row>
    <row r="3044" spans="1:1" x14ac:dyDescent="0.25">
      <c r="A3044" s="66"/>
    </row>
    <row r="3045" spans="1:1" x14ac:dyDescent="0.25">
      <c r="A3045" s="66"/>
    </row>
    <row r="3046" spans="1:1" x14ac:dyDescent="0.25">
      <c r="A3046" s="66"/>
    </row>
    <row r="3047" spans="1:1" x14ac:dyDescent="0.25">
      <c r="A3047" s="66"/>
    </row>
    <row r="3048" spans="1:1" x14ac:dyDescent="0.25">
      <c r="A3048" s="66"/>
    </row>
    <row r="3049" spans="1:1" x14ac:dyDescent="0.25">
      <c r="A3049" s="66"/>
    </row>
    <row r="3050" spans="1:1" x14ac:dyDescent="0.25">
      <c r="A3050" s="66"/>
    </row>
    <row r="3051" spans="1:1" x14ac:dyDescent="0.25">
      <c r="A3051" s="66"/>
    </row>
    <row r="3052" spans="1:1" x14ac:dyDescent="0.25">
      <c r="A3052" s="66"/>
    </row>
    <row r="3053" spans="1:1" x14ac:dyDescent="0.25">
      <c r="A3053" s="66"/>
    </row>
    <row r="3054" spans="1:1" x14ac:dyDescent="0.25">
      <c r="A3054" s="66"/>
    </row>
    <row r="3055" spans="1:1" x14ac:dyDescent="0.25">
      <c r="A3055" s="66"/>
    </row>
    <row r="3056" spans="1:1" x14ac:dyDescent="0.25">
      <c r="A3056" s="66"/>
    </row>
    <row r="3057" spans="1:1" x14ac:dyDescent="0.25">
      <c r="A3057" s="66"/>
    </row>
    <row r="3058" spans="1:1" x14ac:dyDescent="0.25">
      <c r="A3058" s="66"/>
    </row>
    <row r="3059" spans="1:1" x14ac:dyDescent="0.25">
      <c r="A3059" s="66"/>
    </row>
    <row r="3060" spans="1:1" x14ac:dyDescent="0.25">
      <c r="A3060" s="66"/>
    </row>
    <row r="3061" spans="1:1" x14ac:dyDescent="0.25">
      <c r="A3061" s="66"/>
    </row>
    <row r="3062" spans="1:1" x14ac:dyDescent="0.25">
      <c r="A3062" s="66"/>
    </row>
    <row r="3063" spans="1:1" x14ac:dyDescent="0.25">
      <c r="A3063" s="66"/>
    </row>
    <row r="3064" spans="1:1" x14ac:dyDescent="0.25">
      <c r="A3064" s="66"/>
    </row>
    <row r="3065" spans="1:1" x14ac:dyDescent="0.25">
      <c r="A3065" s="66"/>
    </row>
    <row r="3066" spans="1:1" x14ac:dyDescent="0.25">
      <c r="A3066" s="66"/>
    </row>
    <row r="3067" spans="1:1" x14ac:dyDescent="0.25">
      <c r="A3067" s="66"/>
    </row>
    <row r="3068" spans="1:1" x14ac:dyDescent="0.25">
      <c r="A3068" s="66"/>
    </row>
    <row r="3069" spans="1:1" x14ac:dyDescent="0.25">
      <c r="A3069" s="66"/>
    </row>
    <row r="3070" spans="1:1" x14ac:dyDescent="0.25">
      <c r="A3070" s="66"/>
    </row>
    <row r="3071" spans="1:1" x14ac:dyDescent="0.25">
      <c r="A3071" s="66"/>
    </row>
    <row r="3072" spans="1:1" x14ac:dyDescent="0.25">
      <c r="A3072" s="66"/>
    </row>
    <row r="3073" spans="1:1" x14ac:dyDescent="0.25">
      <c r="A3073" s="66"/>
    </row>
    <row r="3074" spans="1:1" x14ac:dyDescent="0.25">
      <c r="A3074" s="66"/>
    </row>
    <row r="3075" spans="1:1" x14ac:dyDescent="0.25">
      <c r="A3075" s="66"/>
    </row>
    <row r="3076" spans="1:1" x14ac:dyDescent="0.25">
      <c r="A3076" s="66"/>
    </row>
    <row r="3077" spans="1:1" x14ac:dyDescent="0.25">
      <c r="A3077" s="66"/>
    </row>
    <row r="3078" spans="1:1" x14ac:dyDescent="0.25">
      <c r="A3078" s="66"/>
    </row>
    <row r="3079" spans="1:1" x14ac:dyDescent="0.25">
      <c r="A3079" s="66"/>
    </row>
    <row r="3080" spans="1:1" x14ac:dyDescent="0.25">
      <c r="A3080" s="66"/>
    </row>
    <row r="3081" spans="1:1" x14ac:dyDescent="0.25">
      <c r="A3081" s="66"/>
    </row>
    <row r="3082" spans="1:1" x14ac:dyDescent="0.25">
      <c r="A3082" s="66"/>
    </row>
    <row r="3083" spans="1:1" x14ac:dyDescent="0.25">
      <c r="A3083" s="66"/>
    </row>
    <row r="3084" spans="1:1" x14ac:dyDescent="0.25">
      <c r="A3084" s="66"/>
    </row>
    <row r="3085" spans="1:1" x14ac:dyDescent="0.25">
      <c r="A3085" s="66"/>
    </row>
    <row r="3086" spans="1:1" x14ac:dyDescent="0.25">
      <c r="A3086" s="66"/>
    </row>
    <row r="3087" spans="1:1" x14ac:dyDescent="0.25">
      <c r="A3087" s="66"/>
    </row>
    <row r="3088" spans="1:1" x14ac:dyDescent="0.25">
      <c r="A3088" s="66"/>
    </row>
    <row r="3089" spans="1:1" x14ac:dyDescent="0.25">
      <c r="A3089" s="66"/>
    </row>
    <row r="3090" spans="1:1" x14ac:dyDescent="0.25">
      <c r="A3090" s="66"/>
    </row>
    <row r="3091" spans="1:1" x14ac:dyDescent="0.25">
      <c r="A3091" s="66"/>
    </row>
    <row r="3092" spans="1:1" x14ac:dyDescent="0.25">
      <c r="A3092" s="66"/>
    </row>
    <row r="3093" spans="1:1" x14ac:dyDescent="0.25">
      <c r="A3093" s="66"/>
    </row>
    <row r="3094" spans="1:1" x14ac:dyDescent="0.25">
      <c r="A3094" s="66"/>
    </row>
    <row r="3095" spans="1:1" x14ac:dyDescent="0.25">
      <c r="A3095" s="66"/>
    </row>
    <row r="3096" spans="1:1" x14ac:dyDescent="0.25">
      <c r="A3096" s="66"/>
    </row>
    <row r="3097" spans="1:1" x14ac:dyDescent="0.25">
      <c r="A3097" s="66"/>
    </row>
    <row r="3098" spans="1:1" x14ac:dyDescent="0.25">
      <c r="A3098" s="66"/>
    </row>
    <row r="3099" spans="1:1" x14ac:dyDescent="0.25">
      <c r="A3099" s="66"/>
    </row>
    <row r="3100" spans="1:1" x14ac:dyDescent="0.25">
      <c r="A3100" s="66"/>
    </row>
    <row r="3101" spans="1:1" x14ac:dyDescent="0.25">
      <c r="A3101" s="66"/>
    </row>
    <row r="3102" spans="1:1" x14ac:dyDescent="0.25">
      <c r="A3102" s="66"/>
    </row>
    <row r="3103" spans="1:1" x14ac:dyDescent="0.25">
      <c r="A3103" s="66"/>
    </row>
    <row r="3104" spans="1:1" x14ac:dyDescent="0.25">
      <c r="A3104" s="66"/>
    </row>
    <row r="3105" spans="1:1" x14ac:dyDescent="0.25">
      <c r="A3105" s="66"/>
    </row>
    <row r="3106" spans="1:1" x14ac:dyDescent="0.25">
      <c r="A3106" s="66"/>
    </row>
    <row r="3107" spans="1:1" x14ac:dyDescent="0.25">
      <c r="A3107" s="66"/>
    </row>
    <row r="3108" spans="1:1" x14ac:dyDescent="0.25">
      <c r="A3108" s="66"/>
    </row>
    <row r="3109" spans="1:1" x14ac:dyDescent="0.25">
      <c r="A3109" s="66"/>
    </row>
    <row r="3110" spans="1:1" x14ac:dyDescent="0.25">
      <c r="A3110" s="66"/>
    </row>
    <row r="3111" spans="1:1" x14ac:dyDescent="0.25">
      <c r="A3111" s="66"/>
    </row>
    <row r="3112" spans="1:1" x14ac:dyDescent="0.25">
      <c r="A3112" s="66"/>
    </row>
    <row r="3113" spans="1:1" x14ac:dyDescent="0.25">
      <c r="A3113" s="66"/>
    </row>
    <row r="3114" spans="1:1" x14ac:dyDescent="0.25">
      <c r="A3114" s="66"/>
    </row>
    <row r="3115" spans="1:1" x14ac:dyDescent="0.25">
      <c r="A3115" s="66"/>
    </row>
    <row r="3116" spans="1:1" x14ac:dyDescent="0.25">
      <c r="A3116" s="66"/>
    </row>
    <row r="3117" spans="1:1" x14ac:dyDescent="0.25">
      <c r="A3117" s="66"/>
    </row>
    <row r="3118" spans="1:1" x14ac:dyDescent="0.25">
      <c r="A3118" s="66"/>
    </row>
    <row r="3119" spans="1:1" x14ac:dyDescent="0.25">
      <c r="A3119" s="66"/>
    </row>
    <row r="3120" spans="1:1" x14ac:dyDescent="0.25">
      <c r="A3120" s="66"/>
    </row>
    <row r="3121" spans="1:1" x14ac:dyDescent="0.25">
      <c r="A3121" s="66"/>
    </row>
    <row r="3122" spans="1:1" x14ac:dyDescent="0.25">
      <c r="A3122" s="66"/>
    </row>
    <row r="3123" spans="1:1" x14ac:dyDescent="0.25">
      <c r="A3123" s="66"/>
    </row>
    <row r="3124" spans="1:1" x14ac:dyDescent="0.25">
      <c r="A3124" s="66"/>
    </row>
    <row r="3125" spans="1:1" x14ac:dyDescent="0.25">
      <c r="A3125" s="66"/>
    </row>
    <row r="3126" spans="1:1" x14ac:dyDescent="0.25">
      <c r="A3126" s="66"/>
    </row>
    <row r="3127" spans="1:1" x14ac:dyDescent="0.25">
      <c r="A3127" s="66"/>
    </row>
    <row r="3128" spans="1:1" x14ac:dyDescent="0.25">
      <c r="A3128" s="66"/>
    </row>
    <row r="3129" spans="1:1" x14ac:dyDescent="0.25">
      <c r="A3129" s="66"/>
    </row>
    <row r="3130" spans="1:1" x14ac:dyDescent="0.25">
      <c r="A3130" s="66"/>
    </row>
    <row r="3131" spans="1:1" x14ac:dyDescent="0.25">
      <c r="A3131" s="66"/>
    </row>
    <row r="3132" spans="1:1" x14ac:dyDescent="0.25">
      <c r="A3132" s="66"/>
    </row>
    <row r="3133" spans="1:1" x14ac:dyDescent="0.25">
      <c r="A3133" s="66"/>
    </row>
    <row r="3134" spans="1:1" x14ac:dyDescent="0.25">
      <c r="A3134" s="66"/>
    </row>
    <row r="3135" spans="1:1" x14ac:dyDescent="0.25">
      <c r="A3135" s="66"/>
    </row>
    <row r="3136" spans="1:1" x14ac:dyDescent="0.25">
      <c r="A3136" s="66"/>
    </row>
    <row r="3137" spans="1:1" x14ac:dyDescent="0.25">
      <c r="A3137" s="66"/>
    </row>
    <row r="3138" spans="1:1" x14ac:dyDescent="0.25">
      <c r="A3138" s="66"/>
    </row>
    <row r="3139" spans="1:1" x14ac:dyDescent="0.25">
      <c r="A3139" s="66"/>
    </row>
    <row r="3140" spans="1:1" x14ac:dyDescent="0.25">
      <c r="A3140" s="66"/>
    </row>
    <row r="3141" spans="1:1" x14ac:dyDescent="0.25">
      <c r="A3141" s="66"/>
    </row>
    <row r="3142" spans="1:1" x14ac:dyDescent="0.25">
      <c r="A3142" s="66"/>
    </row>
    <row r="3143" spans="1:1" x14ac:dyDescent="0.25">
      <c r="A3143" s="66"/>
    </row>
    <row r="3144" spans="1:1" x14ac:dyDescent="0.25">
      <c r="A3144" s="66"/>
    </row>
    <row r="3145" spans="1:1" x14ac:dyDescent="0.25">
      <c r="A3145" s="66"/>
    </row>
    <row r="3146" spans="1:1" x14ac:dyDescent="0.25">
      <c r="A3146" s="66"/>
    </row>
    <row r="3147" spans="1:1" x14ac:dyDescent="0.25">
      <c r="A3147" s="66"/>
    </row>
    <row r="3148" spans="1:1" x14ac:dyDescent="0.25">
      <c r="A3148" s="66"/>
    </row>
    <row r="3149" spans="1:1" x14ac:dyDescent="0.25">
      <c r="A3149" s="66"/>
    </row>
    <row r="3150" spans="1:1" x14ac:dyDescent="0.25">
      <c r="A3150" s="66"/>
    </row>
    <row r="3151" spans="1:1" x14ac:dyDescent="0.25">
      <c r="A3151" s="66"/>
    </row>
    <row r="3152" spans="1:1" x14ac:dyDescent="0.25">
      <c r="A3152" s="66"/>
    </row>
    <row r="3153" spans="1:1" x14ac:dyDescent="0.25">
      <c r="A3153" s="66"/>
    </row>
    <row r="3154" spans="1:1" x14ac:dyDescent="0.25">
      <c r="A3154" s="66"/>
    </row>
    <row r="3155" spans="1:1" x14ac:dyDescent="0.25">
      <c r="A3155" s="66"/>
    </row>
    <row r="3156" spans="1:1" x14ac:dyDescent="0.25">
      <c r="A3156" s="66"/>
    </row>
    <row r="3157" spans="1:1" x14ac:dyDescent="0.25">
      <c r="A3157" s="66"/>
    </row>
    <row r="3158" spans="1:1" x14ac:dyDescent="0.25">
      <c r="A3158" s="66"/>
    </row>
    <row r="3159" spans="1:1" x14ac:dyDescent="0.25">
      <c r="A3159" s="66"/>
    </row>
    <row r="3160" spans="1:1" x14ac:dyDescent="0.25">
      <c r="A3160" s="66"/>
    </row>
    <row r="3161" spans="1:1" x14ac:dyDescent="0.25">
      <c r="A3161" s="66"/>
    </row>
    <row r="3162" spans="1:1" x14ac:dyDescent="0.25">
      <c r="A3162" s="66"/>
    </row>
    <row r="3163" spans="1:1" x14ac:dyDescent="0.25">
      <c r="A3163" s="66"/>
    </row>
    <row r="3164" spans="1:1" x14ac:dyDescent="0.25">
      <c r="A3164" s="66"/>
    </row>
    <row r="3165" spans="1:1" x14ac:dyDescent="0.25">
      <c r="A3165" s="66"/>
    </row>
    <row r="3166" spans="1:1" x14ac:dyDescent="0.25">
      <c r="A3166" s="66"/>
    </row>
    <row r="3167" spans="1:1" x14ac:dyDescent="0.25">
      <c r="A3167" s="66"/>
    </row>
    <row r="3168" spans="1:1" x14ac:dyDescent="0.25">
      <c r="A3168" s="66"/>
    </row>
    <row r="3169" spans="1:1" x14ac:dyDescent="0.25">
      <c r="A3169" s="66"/>
    </row>
    <row r="3170" spans="1:1" x14ac:dyDescent="0.25">
      <c r="A3170" s="66"/>
    </row>
    <row r="3171" spans="1:1" x14ac:dyDescent="0.25">
      <c r="A3171" s="66"/>
    </row>
    <row r="3172" spans="1:1" x14ac:dyDescent="0.25">
      <c r="A3172" s="66"/>
    </row>
    <row r="3173" spans="1:1" x14ac:dyDescent="0.25">
      <c r="A3173" s="66"/>
    </row>
    <row r="3174" spans="1:1" x14ac:dyDescent="0.25">
      <c r="A3174" s="66"/>
    </row>
    <row r="3175" spans="1:1" x14ac:dyDescent="0.25">
      <c r="A3175" s="66"/>
    </row>
    <row r="3176" spans="1:1" x14ac:dyDescent="0.25">
      <c r="A3176" s="66"/>
    </row>
    <row r="3177" spans="1:1" x14ac:dyDescent="0.25">
      <c r="A3177" s="66"/>
    </row>
    <row r="3178" spans="1:1" x14ac:dyDescent="0.25">
      <c r="A3178" s="66"/>
    </row>
    <row r="3179" spans="1:1" x14ac:dyDescent="0.25">
      <c r="A3179" s="66"/>
    </row>
    <row r="3180" spans="1:1" x14ac:dyDescent="0.25">
      <c r="A3180" s="66"/>
    </row>
    <row r="3181" spans="1:1" x14ac:dyDescent="0.25">
      <c r="A3181" s="66"/>
    </row>
    <row r="3182" spans="1:1" x14ac:dyDescent="0.25">
      <c r="A3182" s="66"/>
    </row>
    <row r="3183" spans="1:1" x14ac:dyDescent="0.25">
      <c r="A3183" s="66"/>
    </row>
    <row r="3184" spans="1:1" x14ac:dyDescent="0.25">
      <c r="A3184" s="66"/>
    </row>
    <row r="3185" spans="1:1" x14ac:dyDescent="0.25">
      <c r="A3185" s="66"/>
    </row>
    <row r="3186" spans="1:1" x14ac:dyDescent="0.25">
      <c r="A3186" s="66"/>
    </row>
    <row r="3187" spans="1:1" x14ac:dyDescent="0.25">
      <c r="A3187" s="66"/>
    </row>
    <row r="3188" spans="1:1" x14ac:dyDescent="0.25">
      <c r="A3188" s="66"/>
    </row>
    <row r="3189" spans="1:1" x14ac:dyDescent="0.25">
      <c r="A3189" s="66"/>
    </row>
    <row r="3190" spans="1:1" x14ac:dyDescent="0.25">
      <c r="A3190" s="66"/>
    </row>
    <row r="3191" spans="1:1" x14ac:dyDescent="0.25">
      <c r="A3191" s="66"/>
    </row>
    <row r="3192" spans="1:1" x14ac:dyDescent="0.25">
      <c r="A3192" s="66"/>
    </row>
    <row r="3193" spans="1:1" x14ac:dyDescent="0.25">
      <c r="A3193" s="66"/>
    </row>
    <row r="3194" spans="1:1" x14ac:dyDescent="0.25">
      <c r="A3194" s="66"/>
    </row>
    <row r="3195" spans="1:1" x14ac:dyDescent="0.25">
      <c r="A3195" s="66"/>
    </row>
    <row r="3196" spans="1:1" x14ac:dyDescent="0.25">
      <c r="A3196" s="66"/>
    </row>
    <row r="3197" spans="1:1" x14ac:dyDescent="0.25">
      <c r="A3197" s="66"/>
    </row>
    <row r="3198" spans="1:1" x14ac:dyDescent="0.25">
      <c r="A3198" s="66"/>
    </row>
    <row r="3199" spans="1:1" x14ac:dyDescent="0.25">
      <c r="A3199" s="66"/>
    </row>
    <row r="3200" spans="1:1" x14ac:dyDescent="0.25">
      <c r="A3200" s="66"/>
    </row>
    <row r="3201" spans="1:1" x14ac:dyDescent="0.25">
      <c r="A3201" s="66"/>
    </row>
    <row r="3202" spans="1:1" x14ac:dyDescent="0.25">
      <c r="A3202" s="66"/>
    </row>
    <row r="3203" spans="1:1" x14ac:dyDescent="0.25">
      <c r="A3203" s="66"/>
    </row>
    <row r="3204" spans="1:1" x14ac:dyDescent="0.25">
      <c r="A3204" s="66"/>
    </row>
    <row r="3205" spans="1:1" x14ac:dyDescent="0.25">
      <c r="A3205" s="66"/>
    </row>
    <row r="3206" spans="1:1" x14ac:dyDescent="0.25">
      <c r="A3206" s="66"/>
    </row>
    <row r="3207" spans="1:1" x14ac:dyDescent="0.25">
      <c r="A3207" s="66"/>
    </row>
    <row r="3208" spans="1:1" x14ac:dyDescent="0.25">
      <c r="A3208" s="66"/>
    </row>
    <row r="3209" spans="1:1" x14ac:dyDescent="0.25">
      <c r="A3209" s="66"/>
    </row>
    <row r="3210" spans="1:1" x14ac:dyDescent="0.25">
      <c r="A3210" s="66"/>
    </row>
    <row r="3211" spans="1:1" x14ac:dyDescent="0.25">
      <c r="A3211" s="66"/>
    </row>
    <row r="3212" spans="1:1" x14ac:dyDescent="0.25">
      <c r="A3212" s="66"/>
    </row>
    <row r="3213" spans="1:1" x14ac:dyDescent="0.25">
      <c r="A3213" s="66"/>
    </row>
    <row r="3214" spans="1:1" x14ac:dyDescent="0.25">
      <c r="A3214" s="66"/>
    </row>
    <row r="3215" spans="1:1" x14ac:dyDescent="0.25">
      <c r="A3215" s="66"/>
    </row>
    <row r="3216" spans="1:1" x14ac:dyDescent="0.25">
      <c r="A3216" s="66"/>
    </row>
    <row r="3217" spans="1:1" x14ac:dyDescent="0.25">
      <c r="A3217" s="66"/>
    </row>
    <row r="3218" spans="1:1" x14ac:dyDescent="0.25">
      <c r="A3218" s="66"/>
    </row>
    <row r="3219" spans="1:1" x14ac:dyDescent="0.25">
      <c r="A3219" s="66"/>
    </row>
    <row r="3220" spans="1:1" x14ac:dyDescent="0.25">
      <c r="A3220" s="66"/>
    </row>
    <row r="3221" spans="1:1" x14ac:dyDescent="0.25">
      <c r="A3221" s="66"/>
    </row>
    <row r="3222" spans="1:1" x14ac:dyDescent="0.25">
      <c r="A3222" s="66"/>
    </row>
    <row r="3223" spans="1:1" x14ac:dyDescent="0.25">
      <c r="A3223" s="66"/>
    </row>
    <row r="3224" spans="1:1" x14ac:dyDescent="0.25">
      <c r="A3224" s="66"/>
    </row>
    <row r="3225" spans="1:1" x14ac:dyDescent="0.25">
      <c r="A3225" s="66"/>
    </row>
    <row r="3226" spans="1:1" x14ac:dyDescent="0.25">
      <c r="A3226" s="66"/>
    </row>
    <row r="3227" spans="1:1" x14ac:dyDescent="0.25">
      <c r="A3227" s="66"/>
    </row>
    <row r="3228" spans="1:1" x14ac:dyDescent="0.25">
      <c r="A3228" s="66"/>
    </row>
    <row r="3229" spans="1:1" x14ac:dyDescent="0.25">
      <c r="A3229" s="66"/>
    </row>
    <row r="3230" spans="1:1" x14ac:dyDescent="0.25">
      <c r="A3230" s="66"/>
    </row>
    <row r="3231" spans="1:1" x14ac:dyDescent="0.25">
      <c r="A3231" s="66"/>
    </row>
    <row r="3232" spans="1:1" x14ac:dyDescent="0.25">
      <c r="A3232" s="66"/>
    </row>
    <row r="3233" spans="1:1" x14ac:dyDescent="0.25">
      <c r="A3233" s="66"/>
    </row>
    <row r="3234" spans="1:1" x14ac:dyDescent="0.25">
      <c r="A3234" s="66"/>
    </row>
    <row r="3235" spans="1:1" x14ac:dyDescent="0.25">
      <c r="A3235" s="66"/>
    </row>
    <row r="3236" spans="1:1" x14ac:dyDescent="0.25">
      <c r="A3236" s="66"/>
    </row>
    <row r="3237" spans="1:1" x14ac:dyDescent="0.25">
      <c r="A3237" s="66"/>
    </row>
    <row r="3238" spans="1:1" x14ac:dyDescent="0.25">
      <c r="A3238" s="66"/>
    </row>
    <row r="3239" spans="1:1" x14ac:dyDescent="0.25">
      <c r="A3239" s="66"/>
    </row>
    <row r="3240" spans="1:1" x14ac:dyDescent="0.25">
      <c r="A3240" s="66"/>
    </row>
    <row r="3241" spans="1:1" x14ac:dyDescent="0.25">
      <c r="A3241" s="66"/>
    </row>
    <row r="3242" spans="1:1" x14ac:dyDescent="0.25">
      <c r="A3242" s="66"/>
    </row>
    <row r="3243" spans="1:1" x14ac:dyDescent="0.25">
      <c r="A3243" s="66"/>
    </row>
    <row r="3244" spans="1:1" x14ac:dyDescent="0.25">
      <c r="A3244" s="66"/>
    </row>
    <row r="3245" spans="1:1" x14ac:dyDescent="0.25">
      <c r="A3245" s="66"/>
    </row>
    <row r="3246" spans="1:1" x14ac:dyDescent="0.25">
      <c r="A3246" s="66"/>
    </row>
    <row r="3247" spans="1:1" x14ac:dyDescent="0.25">
      <c r="A3247" s="66"/>
    </row>
    <row r="3248" spans="1:1" x14ac:dyDescent="0.25">
      <c r="A3248" s="66"/>
    </row>
    <row r="3249" spans="1:1" x14ac:dyDescent="0.25">
      <c r="A3249" s="66"/>
    </row>
    <row r="3250" spans="1:1" x14ac:dyDescent="0.25">
      <c r="A3250" s="66"/>
    </row>
    <row r="3251" spans="1:1" x14ac:dyDescent="0.25">
      <c r="A3251" s="66"/>
    </row>
    <row r="3252" spans="1:1" x14ac:dyDescent="0.25">
      <c r="A3252" s="66"/>
    </row>
    <row r="3253" spans="1:1" x14ac:dyDescent="0.25">
      <c r="A3253" s="66"/>
    </row>
    <row r="3254" spans="1:1" x14ac:dyDescent="0.25">
      <c r="A3254" s="66"/>
    </row>
    <row r="3255" spans="1:1" x14ac:dyDescent="0.25">
      <c r="A3255" s="66"/>
    </row>
    <row r="3256" spans="1:1" x14ac:dyDescent="0.25">
      <c r="A3256" s="66"/>
    </row>
    <row r="3257" spans="1:1" x14ac:dyDescent="0.25">
      <c r="A3257" s="66"/>
    </row>
    <row r="3258" spans="1:1" x14ac:dyDescent="0.25">
      <c r="A3258" s="66"/>
    </row>
    <row r="3259" spans="1:1" x14ac:dyDescent="0.25">
      <c r="A3259" s="66"/>
    </row>
    <row r="3260" spans="1:1" x14ac:dyDescent="0.25">
      <c r="A3260" s="66"/>
    </row>
    <row r="3261" spans="1:1" x14ac:dyDescent="0.25">
      <c r="A3261" s="66"/>
    </row>
    <row r="3262" spans="1:1" x14ac:dyDescent="0.25">
      <c r="A3262" s="66"/>
    </row>
    <row r="3263" spans="1:1" x14ac:dyDescent="0.25">
      <c r="A3263" s="66"/>
    </row>
    <row r="3264" spans="1:1" x14ac:dyDescent="0.25">
      <c r="A3264" s="66"/>
    </row>
    <row r="3265" spans="1:1" x14ac:dyDescent="0.25">
      <c r="A3265" s="66"/>
    </row>
    <row r="3266" spans="1:1" x14ac:dyDescent="0.25">
      <c r="A3266" s="66"/>
    </row>
    <row r="3267" spans="1:1" x14ac:dyDescent="0.25">
      <c r="A3267" s="66"/>
    </row>
    <row r="3268" spans="1:1" x14ac:dyDescent="0.25">
      <c r="A3268" s="66"/>
    </row>
    <row r="3269" spans="1:1" x14ac:dyDescent="0.25">
      <c r="A3269" s="66"/>
    </row>
    <row r="3270" spans="1:1" x14ac:dyDescent="0.25">
      <c r="A3270" s="66"/>
    </row>
    <row r="3271" spans="1:1" x14ac:dyDescent="0.25">
      <c r="A3271" s="66"/>
    </row>
    <row r="3272" spans="1:1" x14ac:dyDescent="0.25">
      <c r="A3272" s="66"/>
    </row>
    <row r="3273" spans="1:1" x14ac:dyDescent="0.25">
      <c r="A3273" s="66"/>
    </row>
    <row r="3274" spans="1:1" x14ac:dyDescent="0.25">
      <c r="A3274" s="66"/>
    </row>
    <row r="3275" spans="1:1" x14ac:dyDescent="0.25">
      <c r="A3275" s="66"/>
    </row>
    <row r="3276" spans="1:1" x14ac:dyDescent="0.25">
      <c r="A3276" s="66"/>
    </row>
    <row r="3277" spans="1:1" x14ac:dyDescent="0.25">
      <c r="A3277" s="66"/>
    </row>
    <row r="3278" spans="1:1" x14ac:dyDescent="0.25">
      <c r="A3278" s="66"/>
    </row>
    <row r="3279" spans="1:1" x14ac:dyDescent="0.25">
      <c r="A3279" s="66"/>
    </row>
    <row r="3280" spans="1:1" x14ac:dyDescent="0.25">
      <c r="A3280" s="66"/>
    </row>
    <row r="3281" spans="1:1" x14ac:dyDescent="0.25">
      <c r="A3281" s="66"/>
    </row>
    <row r="3282" spans="1:1" x14ac:dyDescent="0.25">
      <c r="A3282" s="66"/>
    </row>
    <row r="3283" spans="1:1" x14ac:dyDescent="0.25">
      <c r="A3283" s="66"/>
    </row>
    <row r="3284" spans="1:1" x14ac:dyDescent="0.25">
      <c r="A3284" s="66"/>
    </row>
    <row r="3285" spans="1:1" x14ac:dyDescent="0.25">
      <c r="A3285" s="66"/>
    </row>
    <row r="3286" spans="1:1" x14ac:dyDescent="0.25">
      <c r="A3286" s="66"/>
    </row>
    <row r="3287" spans="1:1" x14ac:dyDescent="0.25">
      <c r="A3287" s="66"/>
    </row>
    <row r="3288" spans="1:1" x14ac:dyDescent="0.25">
      <c r="A3288" s="66"/>
    </row>
    <row r="3289" spans="1:1" x14ac:dyDescent="0.25">
      <c r="A3289" s="66"/>
    </row>
    <row r="3290" spans="1:1" x14ac:dyDescent="0.25">
      <c r="A3290" s="66"/>
    </row>
    <row r="3291" spans="1:1" x14ac:dyDescent="0.25">
      <c r="A3291" s="66"/>
    </row>
    <row r="3292" spans="1:1" x14ac:dyDescent="0.25">
      <c r="A3292" s="66"/>
    </row>
    <row r="3293" spans="1:1" x14ac:dyDescent="0.25">
      <c r="A3293" s="66"/>
    </row>
    <row r="3294" spans="1:1" x14ac:dyDescent="0.25">
      <c r="A3294" s="66"/>
    </row>
    <row r="3295" spans="1:1" x14ac:dyDescent="0.25">
      <c r="A3295" s="66"/>
    </row>
    <row r="3296" spans="1:1" x14ac:dyDescent="0.25">
      <c r="A3296" s="66"/>
    </row>
    <row r="3297" spans="1:1" x14ac:dyDescent="0.25">
      <c r="A3297" s="66"/>
    </row>
    <row r="3298" spans="1:1" x14ac:dyDescent="0.25">
      <c r="A3298" s="66"/>
    </row>
    <row r="3299" spans="1:1" x14ac:dyDescent="0.25">
      <c r="A3299" s="66"/>
    </row>
    <row r="3300" spans="1:1" x14ac:dyDescent="0.25">
      <c r="A3300" s="66"/>
    </row>
    <row r="3301" spans="1:1" x14ac:dyDescent="0.25">
      <c r="A3301" s="66"/>
    </row>
    <row r="3302" spans="1:1" x14ac:dyDescent="0.25">
      <c r="A3302" s="66"/>
    </row>
    <row r="3303" spans="1:1" x14ac:dyDescent="0.25">
      <c r="A3303" s="66"/>
    </row>
    <row r="3304" spans="1:1" x14ac:dyDescent="0.25">
      <c r="A3304" s="66"/>
    </row>
    <row r="3305" spans="1:1" x14ac:dyDescent="0.25">
      <c r="A3305" s="66"/>
    </row>
    <row r="3306" spans="1:1" x14ac:dyDescent="0.25">
      <c r="A3306" s="66"/>
    </row>
    <row r="3307" spans="1:1" x14ac:dyDescent="0.25">
      <c r="A3307" s="66"/>
    </row>
    <row r="3308" spans="1:1" x14ac:dyDescent="0.25">
      <c r="A3308" s="66"/>
    </row>
    <row r="3309" spans="1:1" x14ac:dyDescent="0.25">
      <c r="A3309" s="66"/>
    </row>
    <row r="3310" spans="1:1" x14ac:dyDescent="0.25">
      <c r="A3310" s="66"/>
    </row>
    <row r="3311" spans="1:1" x14ac:dyDescent="0.25">
      <c r="A3311" s="66"/>
    </row>
    <row r="3312" spans="1:1" x14ac:dyDescent="0.25">
      <c r="A3312" s="66"/>
    </row>
    <row r="3313" spans="1:1" x14ac:dyDescent="0.25">
      <c r="A3313" s="66"/>
    </row>
    <row r="3314" spans="1:1" x14ac:dyDescent="0.25">
      <c r="A3314" s="66"/>
    </row>
    <row r="3315" spans="1:1" x14ac:dyDescent="0.25">
      <c r="A3315" s="66"/>
    </row>
    <row r="3316" spans="1:1" x14ac:dyDescent="0.25">
      <c r="A3316" s="66"/>
    </row>
    <row r="3317" spans="1:1" x14ac:dyDescent="0.25">
      <c r="A3317" s="66"/>
    </row>
    <row r="3318" spans="1:1" x14ac:dyDescent="0.25">
      <c r="A3318" s="66"/>
    </row>
    <row r="3319" spans="1:1" x14ac:dyDescent="0.25">
      <c r="A3319" s="66"/>
    </row>
    <row r="3320" spans="1:1" x14ac:dyDescent="0.25">
      <c r="A3320" s="66"/>
    </row>
    <row r="3321" spans="1:1" x14ac:dyDescent="0.25">
      <c r="A3321" s="66"/>
    </row>
    <row r="3322" spans="1:1" x14ac:dyDescent="0.25">
      <c r="A3322" s="66"/>
    </row>
    <row r="3323" spans="1:1" x14ac:dyDescent="0.25">
      <c r="A3323" s="66"/>
    </row>
    <row r="3324" spans="1:1" x14ac:dyDescent="0.25">
      <c r="A3324" s="66"/>
    </row>
    <row r="3325" spans="1:1" x14ac:dyDescent="0.25">
      <c r="A3325" s="66"/>
    </row>
    <row r="3326" spans="1:1" x14ac:dyDescent="0.25">
      <c r="A3326" s="66"/>
    </row>
    <row r="3327" spans="1:1" x14ac:dyDescent="0.25">
      <c r="A3327" s="66"/>
    </row>
    <row r="3328" spans="1:1" x14ac:dyDescent="0.25">
      <c r="A3328" s="66"/>
    </row>
    <row r="3329" spans="1:1" x14ac:dyDescent="0.25">
      <c r="A3329" s="66"/>
    </row>
    <row r="3330" spans="1:1" x14ac:dyDescent="0.25">
      <c r="A3330" s="66"/>
    </row>
    <row r="3331" spans="1:1" x14ac:dyDescent="0.25">
      <c r="A3331" s="66"/>
    </row>
    <row r="3332" spans="1:1" x14ac:dyDescent="0.25">
      <c r="A3332" s="66"/>
    </row>
    <row r="3333" spans="1:1" x14ac:dyDescent="0.25">
      <c r="A3333" s="66"/>
    </row>
    <row r="3334" spans="1:1" x14ac:dyDescent="0.25">
      <c r="A3334" s="66"/>
    </row>
    <row r="3335" spans="1:1" x14ac:dyDescent="0.25">
      <c r="A3335" s="66"/>
    </row>
    <row r="3336" spans="1:1" x14ac:dyDescent="0.25">
      <c r="A3336" s="66"/>
    </row>
    <row r="3337" spans="1:1" x14ac:dyDescent="0.25">
      <c r="A3337" s="66"/>
    </row>
    <row r="3338" spans="1:1" x14ac:dyDescent="0.25">
      <c r="A3338" s="66"/>
    </row>
    <row r="3339" spans="1:1" x14ac:dyDescent="0.25">
      <c r="A3339" s="66"/>
    </row>
    <row r="3340" spans="1:1" x14ac:dyDescent="0.25">
      <c r="A3340" s="66"/>
    </row>
    <row r="3341" spans="1:1" x14ac:dyDescent="0.25">
      <c r="A3341" s="66"/>
    </row>
    <row r="3342" spans="1:1" x14ac:dyDescent="0.25">
      <c r="A3342" s="66"/>
    </row>
    <row r="3343" spans="1:1" x14ac:dyDescent="0.25">
      <c r="A3343" s="66"/>
    </row>
    <row r="3344" spans="1:1" x14ac:dyDescent="0.25">
      <c r="A3344" s="66"/>
    </row>
    <row r="3345" spans="1:1" x14ac:dyDescent="0.25">
      <c r="A3345" s="66"/>
    </row>
    <row r="3346" spans="1:1" x14ac:dyDescent="0.25">
      <c r="A3346" s="66"/>
    </row>
    <row r="3347" spans="1:1" x14ac:dyDescent="0.25">
      <c r="A3347" s="66"/>
    </row>
    <row r="3348" spans="1:1" x14ac:dyDescent="0.25">
      <c r="A3348" s="66"/>
    </row>
    <row r="3349" spans="1:1" x14ac:dyDescent="0.25">
      <c r="A3349" s="66"/>
    </row>
    <row r="3350" spans="1:1" x14ac:dyDescent="0.25">
      <c r="A3350" s="66"/>
    </row>
    <row r="3351" spans="1:1" x14ac:dyDescent="0.25">
      <c r="A3351" s="66"/>
    </row>
    <row r="3352" spans="1:1" x14ac:dyDescent="0.25">
      <c r="A3352" s="66"/>
    </row>
    <row r="3353" spans="1:1" x14ac:dyDescent="0.25">
      <c r="A3353" s="66"/>
    </row>
    <row r="3354" spans="1:1" x14ac:dyDescent="0.25">
      <c r="A3354" s="66"/>
    </row>
    <row r="3355" spans="1:1" x14ac:dyDescent="0.25">
      <c r="A3355" s="66"/>
    </row>
    <row r="3356" spans="1:1" x14ac:dyDescent="0.25">
      <c r="A3356" s="66"/>
    </row>
    <row r="3357" spans="1:1" x14ac:dyDescent="0.25">
      <c r="A3357" s="66"/>
    </row>
    <row r="3358" spans="1:1" x14ac:dyDescent="0.25">
      <c r="A3358" s="66"/>
    </row>
    <row r="3359" spans="1:1" x14ac:dyDescent="0.25">
      <c r="A3359" s="66"/>
    </row>
    <row r="3360" spans="1:1" x14ac:dyDescent="0.25">
      <c r="A3360" s="66"/>
    </row>
    <row r="3361" spans="1:1" x14ac:dyDescent="0.25">
      <c r="A3361" s="66"/>
    </row>
    <row r="3362" spans="1:1" x14ac:dyDescent="0.25">
      <c r="A3362" s="66"/>
    </row>
    <row r="3363" spans="1:1" x14ac:dyDescent="0.25">
      <c r="A3363" s="66"/>
    </row>
    <row r="3364" spans="1:1" x14ac:dyDescent="0.25">
      <c r="A3364" s="66"/>
    </row>
    <row r="3365" spans="1:1" x14ac:dyDescent="0.25">
      <c r="A3365" s="66"/>
    </row>
    <row r="3366" spans="1:1" x14ac:dyDescent="0.25">
      <c r="A3366" s="66"/>
    </row>
    <row r="3367" spans="1:1" x14ac:dyDescent="0.25">
      <c r="A3367" s="66"/>
    </row>
    <row r="3368" spans="1:1" x14ac:dyDescent="0.25">
      <c r="A3368" s="66"/>
    </row>
    <row r="3369" spans="1:1" x14ac:dyDescent="0.25">
      <c r="A3369" s="66"/>
    </row>
    <row r="3370" spans="1:1" x14ac:dyDescent="0.25">
      <c r="A3370" s="66"/>
    </row>
    <row r="3371" spans="1:1" x14ac:dyDescent="0.25">
      <c r="A3371" s="66"/>
    </row>
    <row r="3372" spans="1:1" x14ac:dyDescent="0.25">
      <c r="A3372" s="66"/>
    </row>
    <row r="3373" spans="1:1" x14ac:dyDescent="0.25">
      <c r="A3373" s="66"/>
    </row>
    <row r="3374" spans="1:1" x14ac:dyDescent="0.25">
      <c r="A3374" s="66"/>
    </row>
    <row r="3375" spans="1:1" x14ac:dyDescent="0.25">
      <c r="A3375" s="66"/>
    </row>
    <row r="3376" spans="1:1" x14ac:dyDescent="0.25">
      <c r="A3376" s="66"/>
    </row>
    <row r="3377" spans="1:1" x14ac:dyDescent="0.25">
      <c r="A3377" s="66"/>
    </row>
    <row r="3378" spans="1:1" x14ac:dyDescent="0.25">
      <c r="A3378" s="66"/>
    </row>
    <row r="3379" spans="1:1" x14ac:dyDescent="0.25">
      <c r="A3379" s="66"/>
    </row>
    <row r="3380" spans="1:1" x14ac:dyDescent="0.25">
      <c r="A3380" s="66"/>
    </row>
    <row r="3381" spans="1:1" x14ac:dyDescent="0.25">
      <c r="A3381" s="66"/>
    </row>
    <row r="3382" spans="1:1" x14ac:dyDescent="0.25">
      <c r="A3382" s="66"/>
    </row>
    <row r="3383" spans="1:1" x14ac:dyDescent="0.25">
      <c r="A3383" s="66"/>
    </row>
    <row r="3384" spans="1:1" x14ac:dyDescent="0.25">
      <c r="A3384" s="66"/>
    </row>
    <row r="3385" spans="1:1" x14ac:dyDescent="0.25">
      <c r="A3385" s="66"/>
    </row>
    <row r="3386" spans="1:1" x14ac:dyDescent="0.25">
      <c r="A3386" s="66"/>
    </row>
    <row r="3387" spans="1:1" x14ac:dyDescent="0.25">
      <c r="A3387" s="66"/>
    </row>
    <row r="3388" spans="1:1" x14ac:dyDescent="0.25">
      <c r="A3388" s="66"/>
    </row>
    <row r="3389" spans="1:1" x14ac:dyDescent="0.25">
      <c r="A3389" s="66"/>
    </row>
    <row r="3390" spans="1:1" x14ac:dyDescent="0.25">
      <c r="A3390" s="66"/>
    </row>
    <row r="3391" spans="1:1" x14ac:dyDescent="0.25">
      <c r="A3391" s="66"/>
    </row>
    <row r="3392" spans="1:1" x14ac:dyDescent="0.25">
      <c r="A3392" s="66"/>
    </row>
    <row r="3393" spans="1:1" x14ac:dyDescent="0.25">
      <c r="A3393" s="66"/>
    </row>
    <row r="3394" spans="1:1" x14ac:dyDescent="0.25">
      <c r="A3394" s="66"/>
    </row>
    <row r="3395" spans="1:1" x14ac:dyDescent="0.25">
      <c r="A3395" s="66"/>
    </row>
    <row r="3396" spans="1:1" x14ac:dyDescent="0.25">
      <c r="A3396" s="66"/>
    </row>
    <row r="3397" spans="1:1" x14ac:dyDescent="0.25">
      <c r="A3397" s="66"/>
    </row>
    <row r="3398" spans="1:1" x14ac:dyDescent="0.25">
      <c r="A3398" s="66"/>
    </row>
    <row r="3399" spans="1:1" x14ac:dyDescent="0.25">
      <c r="A3399" s="66"/>
    </row>
    <row r="3400" spans="1:1" x14ac:dyDescent="0.25">
      <c r="A3400" s="66"/>
    </row>
    <row r="3401" spans="1:1" x14ac:dyDescent="0.25">
      <c r="A3401" s="66"/>
    </row>
    <row r="3402" spans="1:1" x14ac:dyDescent="0.25">
      <c r="A3402" s="66"/>
    </row>
    <row r="3403" spans="1:1" x14ac:dyDescent="0.25">
      <c r="A3403" s="66"/>
    </row>
    <row r="3404" spans="1:1" x14ac:dyDescent="0.25">
      <c r="A3404" s="66"/>
    </row>
    <row r="3405" spans="1:1" x14ac:dyDescent="0.25">
      <c r="A3405" s="66"/>
    </row>
    <row r="3406" spans="1:1" x14ac:dyDescent="0.25">
      <c r="A3406" s="66"/>
    </row>
    <row r="3407" spans="1:1" x14ac:dyDescent="0.25">
      <c r="A3407" s="66"/>
    </row>
    <row r="3408" spans="1:1" x14ac:dyDescent="0.25">
      <c r="A3408" s="66"/>
    </row>
    <row r="3409" spans="1:1" x14ac:dyDescent="0.25">
      <c r="A3409" s="66"/>
    </row>
    <row r="3410" spans="1:1" x14ac:dyDescent="0.25">
      <c r="A3410" s="66"/>
    </row>
    <row r="3411" spans="1:1" x14ac:dyDescent="0.25">
      <c r="A3411" s="66"/>
    </row>
    <row r="3412" spans="1:1" x14ac:dyDescent="0.25">
      <c r="A3412" s="66"/>
    </row>
    <row r="3413" spans="1:1" x14ac:dyDescent="0.25">
      <c r="A3413" s="66"/>
    </row>
    <row r="3414" spans="1:1" x14ac:dyDescent="0.25">
      <c r="A3414" s="66"/>
    </row>
    <row r="3415" spans="1:1" x14ac:dyDescent="0.25">
      <c r="A3415" s="66"/>
    </row>
    <row r="3416" spans="1:1" x14ac:dyDescent="0.25">
      <c r="A3416" s="66"/>
    </row>
    <row r="3417" spans="1:1" x14ac:dyDescent="0.25">
      <c r="A3417" s="66"/>
    </row>
    <row r="3418" spans="1:1" x14ac:dyDescent="0.25">
      <c r="A3418" s="66"/>
    </row>
    <row r="3419" spans="1:1" x14ac:dyDescent="0.25">
      <c r="A3419" s="66"/>
    </row>
    <row r="3420" spans="1:1" x14ac:dyDescent="0.25">
      <c r="A3420" s="66"/>
    </row>
    <row r="3421" spans="1:1" x14ac:dyDescent="0.25">
      <c r="A3421" s="66"/>
    </row>
    <row r="3422" spans="1:1" x14ac:dyDescent="0.25">
      <c r="A3422" s="66"/>
    </row>
    <row r="3423" spans="1:1" x14ac:dyDescent="0.25">
      <c r="A3423" s="66"/>
    </row>
    <row r="3424" spans="1:1" x14ac:dyDescent="0.25">
      <c r="A3424" s="66"/>
    </row>
    <row r="3425" spans="1:1" x14ac:dyDescent="0.25">
      <c r="A3425" s="66"/>
    </row>
    <row r="3426" spans="1:1" x14ac:dyDescent="0.25">
      <c r="A3426" s="66"/>
    </row>
    <row r="3427" spans="1:1" x14ac:dyDescent="0.25">
      <c r="A3427" s="66"/>
    </row>
    <row r="3428" spans="1:1" x14ac:dyDescent="0.25">
      <c r="A3428" s="66"/>
    </row>
    <row r="3429" spans="1:1" x14ac:dyDescent="0.25">
      <c r="A3429" s="66"/>
    </row>
    <row r="3430" spans="1:1" x14ac:dyDescent="0.25">
      <c r="A3430" s="66"/>
    </row>
    <row r="3431" spans="1:1" x14ac:dyDescent="0.25">
      <c r="A3431" s="66"/>
    </row>
    <row r="3432" spans="1:1" x14ac:dyDescent="0.25">
      <c r="A3432" s="66"/>
    </row>
    <row r="3433" spans="1:1" x14ac:dyDescent="0.25">
      <c r="A3433" s="66"/>
    </row>
    <row r="3434" spans="1:1" x14ac:dyDescent="0.25">
      <c r="A3434" s="66"/>
    </row>
    <row r="3435" spans="1:1" x14ac:dyDescent="0.25">
      <c r="A3435" s="66"/>
    </row>
    <row r="3436" spans="1:1" x14ac:dyDescent="0.25">
      <c r="A3436" s="66"/>
    </row>
    <row r="3437" spans="1:1" x14ac:dyDescent="0.25">
      <c r="A3437" s="66"/>
    </row>
    <row r="3438" spans="1:1" x14ac:dyDescent="0.25">
      <c r="A3438" s="66"/>
    </row>
    <row r="3439" spans="1:1" x14ac:dyDescent="0.25">
      <c r="A3439" s="66"/>
    </row>
    <row r="3440" spans="1:1" x14ac:dyDescent="0.25">
      <c r="A3440" s="66"/>
    </row>
    <row r="3441" spans="1:1" x14ac:dyDescent="0.25">
      <c r="A3441" s="66"/>
    </row>
    <row r="3442" spans="1:1" x14ac:dyDescent="0.25">
      <c r="A3442" s="66"/>
    </row>
    <row r="3443" spans="1:1" x14ac:dyDescent="0.25">
      <c r="A3443" s="66"/>
    </row>
    <row r="3444" spans="1:1" x14ac:dyDescent="0.25">
      <c r="A3444" s="66"/>
    </row>
    <row r="3445" spans="1:1" x14ac:dyDescent="0.25">
      <c r="A3445" s="66"/>
    </row>
    <row r="3446" spans="1:1" x14ac:dyDescent="0.25">
      <c r="A3446" s="66"/>
    </row>
    <row r="3447" spans="1:1" x14ac:dyDescent="0.25">
      <c r="A3447" s="66"/>
    </row>
    <row r="3448" spans="1:1" x14ac:dyDescent="0.25">
      <c r="A3448" s="66"/>
    </row>
    <row r="3449" spans="1:1" x14ac:dyDescent="0.25">
      <c r="A3449" s="66"/>
    </row>
    <row r="3450" spans="1:1" x14ac:dyDescent="0.25">
      <c r="A3450" s="66"/>
    </row>
    <row r="3451" spans="1:1" x14ac:dyDescent="0.25">
      <c r="A3451" s="66"/>
    </row>
    <row r="3452" spans="1:1" x14ac:dyDescent="0.25">
      <c r="A3452" s="66"/>
    </row>
    <row r="3453" spans="1:1" x14ac:dyDescent="0.25">
      <c r="A3453" s="66"/>
    </row>
    <row r="3454" spans="1:1" x14ac:dyDescent="0.25">
      <c r="A3454" s="66"/>
    </row>
    <row r="3455" spans="1:1" x14ac:dyDescent="0.25">
      <c r="A3455" s="66"/>
    </row>
    <row r="3456" spans="1:1" x14ac:dyDescent="0.25">
      <c r="A3456" s="66"/>
    </row>
    <row r="3457" spans="1:1" x14ac:dyDescent="0.25">
      <c r="A3457" s="66"/>
    </row>
    <row r="3458" spans="1:1" x14ac:dyDescent="0.25">
      <c r="A3458" s="66"/>
    </row>
    <row r="3459" spans="1:1" x14ac:dyDescent="0.25">
      <c r="A3459" s="66"/>
    </row>
    <row r="3460" spans="1:1" x14ac:dyDescent="0.25">
      <c r="A3460" s="66"/>
    </row>
    <row r="3461" spans="1:1" x14ac:dyDescent="0.25">
      <c r="A3461" s="66"/>
    </row>
    <row r="3462" spans="1:1" x14ac:dyDescent="0.25">
      <c r="A3462" s="66"/>
    </row>
    <row r="3463" spans="1:1" x14ac:dyDescent="0.25">
      <c r="A3463" s="66"/>
    </row>
    <row r="3464" spans="1:1" x14ac:dyDescent="0.25">
      <c r="A3464" s="66"/>
    </row>
    <row r="3465" spans="1:1" x14ac:dyDescent="0.25">
      <c r="A3465" s="66"/>
    </row>
    <row r="3466" spans="1:1" x14ac:dyDescent="0.25">
      <c r="A3466" s="66"/>
    </row>
    <row r="3467" spans="1:1" x14ac:dyDescent="0.25">
      <c r="A3467" s="66"/>
    </row>
    <row r="3468" spans="1:1" x14ac:dyDescent="0.25">
      <c r="A3468" s="66"/>
    </row>
    <row r="3469" spans="1:1" x14ac:dyDescent="0.25">
      <c r="A3469" s="66"/>
    </row>
    <row r="3470" spans="1:1" x14ac:dyDescent="0.25">
      <c r="A3470" s="66"/>
    </row>
    <row r="3471" spans="1:1" x14ac:dyDescent="0.25">
      <c r="A3471" s="66"/>
    </row>
    <row r="3472" spans="1:1" x14ac:dyDescent="0.25">
      <c r="A3472" s="66"/>
    </row>
    <row r="3473" spans="1:1" x14ac:dyDescent="0.25">
      <c r="A3473" s="66"/>
    </row>
    <row r="3474" spans="1:1" x14ac:dyDescent="0.25">
      <c r="A3474" s="66"/>
    </row>
    <row r="3475" spans="1:1" x14ac:dyDescent="0.25">
      <c r="A3475" s="66"/>
    </row>
    <row r="3476" spans="1:1" x14ac:dyDescent="0.25">
      <c r="A3476" s="66"/>
    </row>
    <row r="3477" spans="1:1" x14ac:dyDescent="0.25">
      <c r="A3477" s="66"/>
    </row>
    <row r="3478" spans="1:1" x14ac:dyDescent="0.25">
      <c r="A3478" s="66"/>
    </row>
    <row r="3479" spans="1:1" x14ac:dyDescent="0.25">
      <c r="A3479" s="66"/>
    </row>
    <row r="3480" spans="1:1" x14ac:dyDescent="0.25">
      <c r="A3480" s="66"/>
    </row>
    <row r="3481" spans="1:1" x14ac:dyDescent="0.25">
      <c r="A3481" s="66"/>
    </row>
    <row r="3482" spans="1:1" x14ac:dyDescent="0.25">
      <c r="A3482" s="66"/>
    </row>
    <row r="3483" spans="1:1" x14ac:dyDescent="0.25">
      <c r="A3483" s="66"/>
    </row>
    <row r="3484" spans="1:1" x14ac:dyDescent="0.25">
      <c r="A3484" s="66"/>
    </row>
    <row r="3485" spans="1:1" x14ac:dyDescent="0.25">
      <c r="A3485" s="66"/>
    </row>
    <row r="3486" spans="1:1" x14ac:dyDescent="0.25">
      <c r="A3486" s="66"/>
    </row>
    <row r="3487" spans="1:1" x14ac:dyDescent="0.25">
      <c r="A3487" s="66"/>
    </row>
    <row r="3488" spans="1:1" x14ac:dyDescent="0.25">
      <c r="A3488" s="66"/>
    </row>
    <row r="3489" spans="1:1" x14ac:dyDescent="0.25">
      <c r="A3489" s="66"/>
    </row>
    <row r="3490" spans="1:1" x14ac:dyDescent="0.25">
      <c r="A3490" s="66"/>
    </row>
    <row r="3491" spans="1:1" x14ac:dyDescent="0.25">
      <c r="A3491" s="66"/>
    </row>
    <row r="3492" spans="1:1" x14ac:dyDescent="0.25">
      <c r="A3492" s="66"/>
    </row>
    <row r="3493" spans="1:1" x14ac:dyDescent="0.25">
      <c r="A3493" s="66"/>
    </row>
    <row r="3494" spans="1:1" x14ac:dyDescent="0.25">
      <c r="A3494" s="66"/>
    </row>
    <row r="3495" spans="1:1" x14ac:dyDescent="0.25">
      <c r="A3495" s="66"/>
    </row>
    <row r="3496" spans="1:1" x14ac:dyDescent="0.25">
      <c r="A3496" s="66"/>
    </row>
    <row r="3497" spans="1:1" x14ac:dyDescent="0.25">
      <c r="A3497" s="66"/>
    </row>
    <row r="3498" spans="1:1" x14ac:dyDescent="0.25">
      <c r="A3498" s="66"/>
    </row>
    <row r="3499" spans="1:1" x14ac:dyDescent="0.25">
      <c r="A3499" s="66"/>
    </row>
    <row r="3500" spans="1:1" x14ac:dyDescent="0.25">
      <c r="A3500" s="66"/>
    </row>
    <row r="3501" spans="1:1" x14ac:dyDescent="0.25">
      <c r="A3501" s="66"/>
    </row>
    <row r="3502" spans="1:1" x14ac:dyDescent="0.25">
      <c r="A3502" s="66"/>
    </row>
    <row r="3503" spans="1:1" x14ac:dyDescent="0.25">
      <c r="A3503" s="66"/>
    </row>
    <row r="3504" spans="1:1" x14ac:dyDescent="0.25">
      <c r="A3504" s="66"/>
    </row>
    <row r="3505" spans="1:1" x14ac:dyDescent="0.25">
      <c r="A3505" s="66"/>
    </row>
    <row r="3506" spans="1:1" x14ac:dyDescent="0.25">
      <c r="A3506" s="66"/>
    </row>
    <row r="3507" spans="1:1" x14ac:dyDescent="0.25">
      <c r="A3507" s="66"/>
    </row>
    <row r="3508" spans="1:1" x14ac:dyDescent="0.25">
      <c r="A3508" s="66"/>
    </row>
    <row r="3509" spans="1:1" x14ac:dyDescent="0.25">
      <c r="A3509" s="66"/>
    </row>
    <row r="3510" spans="1:1" x14ac:dyDescent="0.25">
      <c r="A3510" s="66"/>
    </row>
    <row r="3511" spans="1:1" x14ac:dyDescent="0.25">
      <c r="A3511" s="66"/>
    </row>
    <row r="3512" spans="1:1" x14ac:dyDescent="0.25">
      <c r="A3512" s="66"/>
    </row>
    <row r="3513" spans="1:1" x14ac:dyDescent="0.25">
      <c r="A3513" s="66"/>
    </row>
    <row r="3514" spans="1:1" x14ac:dyDescent="0.25">
      <c r="A3514" s="66"/>
    </row>
    <row r="3515" spans="1:1" x14ac:dyDescent="0.25">
      <c r="A3515" s="66"/>
    </row>
    <row r="3516" spans="1:1" x14ac:dyDescent="0.25">
      <c r="A3516" s="66"/>
    </row>
    <row r="3517" spans="1:1" x14ac:dyDescent="0.25">
      <c r="A3517" s="66"/>
    </row>
    <row r="3518" spans="1:1" x14ac:dyDescent="0.25">
      <c r="A3518" s="66"/>
    </row>
    <row r="3519" spans="1:1" x14ac:dyDescent="0.25">
      <c r="A3519" s="66"/>
    </row>
    <row r="3520" spans="1:1" x14ac:dyDescent="0.25">
      <c r="A3520" s="66"/>
    </row>
    <row r="3521" spans="1:1" x14ac:dyDescent="0.25">
      <c r="A3521" s="66"/>
    </row>
    <row r="3522" spans="1:1" x14ac:dyDescent="0.25">
      <c r="A3522" s="66"/>
    </row>
    <row r="3523" spans="1:1" x14ac:dyDescent="0.25">
      <c r="A3523" s="66"/>
    </row>
    <row r="3524" spans="1:1" x14ac:dyDescent="0.25">
      <c r="A3524" s="66"/>
    </row>
    <row r="3525" spans="1:1" x14ac:dyDescent="0.25">
      <c r="A3525" s="66"/>
    </row>
    <row r="3526" spans="1:1" x14ac:dyDescent="0.25">
      <c r="A3526" s="66"/>
    </row>
    <row r="3527" spans="1:1" x14ac:dyDescent="0.25">
      <c r="A3527" s="66"/>
    </row>
    <row r="3528" spans="1:1" x14ac:dyDescent="0.25">
      <c r="A3528" s="66"/>
    </row>
    <row r="3529" spans="1:1" x14ac:dyDescent="0.25">
      <c r="A3529" s="66"/>
    </row>
    <row r="3530" spans="1:1" x14ac:dyDescent="0.25">
      <c r="A3530" s="66"/>
    </row>
    <row r="3531" spans="1:1" x14ac:dyDescent="0.25">
      <c r="A3531" s="66"/>
    </row>
    <row r="3532" spans="1:1" x14ac:dyDescent="0.25">
      <c r="A3532" s="66"/>
    </row>
    <row r="3533" spans="1:1" x14ac:dyDescent="0.25">
      <c r="A3533" s="66"/>
    </row>
    <row r="3534" spans="1:1" x14ac:dyDescent="0.25">
      <c r="A3534" s="66"/>
    </row>
    <row r="3535" spans="1:1" x14ac:dyDescent="0.25">
      <c r="A3535" s="66"/>
    </row>
    <row r="3536" spans="1:1" x14ac:dyDescent="0.25">
      <c r="A3536" s="66"/>
    </row>
    <row r="3537" spans="1:1" x14ac:dyDescent="0.25">
      <c r="A3537" s="66"/>
    </row>
    <row r="3538" spans="1:1" x14ac:dyDescent="0.25">
      <c r="A3538" s="66"/>
    </row>
    <row r="3539" spans="1:1" x14ac:dyDescent="0.25">
      <c r="A3539" s="66"/>
    </row>
    <row r="3540" spans="1:1" x14ac:dyDescent="0.25">
      <c r="A3540" s="66"/>
    </row>
    <row r="3541" spans="1:1" x14ac:dyDescent="0.25">
      <c r="A3541" s="66"/>
    </row>
    <row r="3542" spans="1:1" x14ac:dyDescent="0.25">
      <c r="A3542" s="66"/>
    </row>
    <row r="3543" spans="1:1" x14ac:dyDescent="0.25">
      <c r="A3543" s="66"/>
    </row>
    <row r="3544" spans="1:1" x14ac:dyDescent="0.25">
      <c r="A3544" s="66"/>
    </row>
    <row r="3545" spans="1:1" x14ac:dyDescent="0.25">
      <c r="A3545" s="66"/>
    </row>
    <row r="3546" spans="1:1" x14ac:dyDescent="0.25">
      <c r="A3546" s="66"/>
    </row>
    <row r="3547" spans="1:1" x14ac:dyDescent="0.25">
      <c r="A3547" s="66"/>
    </row>
    <row r="3548" spans="1:1" x14ac:dyDescent="0.25">
      <c r="A3548" s="66"/>
    </row>
    <row r="3549" spans="1:1" x14ac:dyDescent="0.25">
      <c r="A3549" s="66"/>
    </row>
    <row r="3550" spans="1:1" x14ac:dyDescent="0.25">
      <c r="A3550" s="66"/>
    </row>
    <row r="3551" spans="1:1" x14ac:dyDescent="0.25">
      <c r="A3551" s="66"/>
    </row>
    <row r="3552" spans="1:1" x14ac:dyDescent="0.25">
      <c r="A3552" s="66"/>
    </row>
    <row r="3553" spans="1:1" x14ac:dyDescent="0.25">
      <c r="A3553" s="66"/>
    </row>
    <row r="3554" spans="1:1" x14ac:dyDescent="0.25">
      <c r="A3554" s="66"/>
    </row>
    <row r="3555" spans="1:1" x14ac:dyDescent="0.25">
      <c r="A3555" s="66"/>
    </row>
    <row r="3556" spans="1:1" x14ac:dyDescent="0.25">
      <c r="A3556" s="66"/>
    </row>
    <row r="3557" spans="1:1" x14ac:dyDescent="0.25">
      <c r="A3557" s="66"/>
    </row>
    <row r="3558" spans="1:1" x14ac:dyDescent="0.25">
      <c r="A3558" s="66"/>
    </row>
    <row r="3559" spans="1:1" x14ac:dyDescent="0.25">
      <c r="A3559" s="66"/>
    </row>
    <row r="3560" spans="1:1" x14ac:dyDescent="0.25">
      <c r="A3560" s="66"/>
    </row>
    <row r="3561" spans="1:1" x14ac:dyDescent="0.25">
      <c r="A3561" s="66"/>
    </row>
    <row r="3562" spans="1:1" x14ac:dyDescent="0.25">
      <c r="A3562" s="66"/>
    </row>
    <row r="3563" spans="1:1" x14ac:dyDescent="0.25">
      <c r="A3563" s="66"/>
    </row>
    <row r="3564" spans="1:1" x14ac:dyDescent="0.25">
      <c r="A3564" s="66"/>
    </row>
    <row r="3565" spans="1:1" x14ac:dyDescent="0.25">
      <c r="A3565" s="66"/>
    </row>
    <row r="3566" spans="1:1" x14ac:dyDescent="0.25">
      <c r="A3566" s="66"/>
    </row>
    <row r="3567" spans="1:1" x14ac:dyDescent="0.25">
      <c r="A3567" s="66"/>
    </row>
    <row r="3568" spans="1:1" x14ac:dyDescent="0.25">
      <c r="A3568" s="66"/>
    </row>
    <row r="3569" spans="1:1" x14ac:dyDescent="0.25">
      <c r="A3569" s="66"/>
    </row>
    <row r="3570" spans="1:1" x14ac:dyDescent="0.25">
      <c r="A3570" s="66"/>
    </row>
    <row r="3571" spans="1:1" x14ac:dyDescent="0.25">
      <c r="A3571" s="66"/>
    </row>
    <row r="3572" spans="1:1" x14ac:dyDescent="0.25">
      <c r="A3572" s="66"/>
    </row>
    <row r="3573" spans="1:1" x14ac:dyDescent="0.25">
      <c r="A3573" s="66"/>
    </row>
    <row r="3574" spans="1:1" x14ac:dyDescent="0.25">
      <c r="A3574" s="66"/>
    </row>
    <row r="3575" spans="1:1" x14ac:dyDescent="0.25">
      <c r="A3575" s="66"/>
    </row>
    <row r="3576" spans="1:1" x14ac:dyDescent="0.25">
      <c r="A3576" s="66"/>
    </row>
    <row r="3577" spans="1:1" x14ac:dyDescent="0.25">
      <c r="A3577" s="66"/>
    </row>
    <row r="3578" spans="1:1" x14ac:dyDescent="0.25">
      <c r="A3578" s="66"/>
    </row>
    <row r="3579" spans="1:1" x14ac:dyDescent="0.25">
      <c r="A3579" s="66"/>
    </row>
    <row r="3580" spans="1:1" x14ac:dyDescent="0.25">
      <c r="A3580" s="66"/>
    </row>
    <row r="3581" spans="1:1" x14ac:dyDescent="0.25">
      <c r="A3581" s="66"/>
    </row>
    <row r="3582" spans="1:1" x14ac:dyDescent="0.25">
      <c r="A3582" s="66"/>
    </row>
    <row r="3583" spans="1:1" x14ac:dyDescent="0.25">
      <c r="A3583" s="66"/>
    </row>
    <row r="3584" spans="1:1" x14ac:dyDescent="0.25">
      <c r="A3584" s="66"/>
    </row>
    <row r="3585" spans="1:1" x14ac:dyDescent="0.25">
      <c r="A3585" s="66"/>
    </row>
    <row r="3586" spans="1:1" x14ac:dyDescent="0.25">
      <c r="A3586" s="66"/>
    </row>
    <row r="3587" spans="1:1" x14ac:dyDescent="0.25">
      <c r="A3587" s="66"/>
    </row>
    <row r="3588" spans="1:1" x14ac:dyDescent="0.25">
      <c r="A3588" s="66"/>
    </row>
    <row r="3589" spans="1:1" x14ac:dyDescent="0.25">
      <c r="A3589" s="66"/>
    </row>
    <row r="3590" spans="1:1" x14ac:dyDescent="0.25">
      <c r="A3590" s="66"/>
    </row>
    <row r="3591" spans="1:1" x14ac:dyDescent="0.25">
      <c r="A3591" s="66"/>
    </row>
    <row r="3592" spans="1:1" x14ac:dyDescent="0.25">
      <c r="A3592" s="66"/>
    </row>
    <row r="3593" spans="1:1" x14ac:dyDescent="0.25">
      <c r="A3593" s="66"/>
    </row>
    <row r="3594" spans="1:1" x14ac:dyDescent="0.25">
      <c r="A3594" s="66"/>
    </row>
    <row r="3595" spans="1:1" x14ac:dyDescent="0.25">
      <c r="A3595" s="66"/>
    </row>
    <row r="3596" spans="1:1" x14ac:dyDescent="0.25">
      <c r="A3596" s="66"/>
    </row>
    <row r="3597" spans="1:1" x14ac:dyDescent="0.25">
      <c r="A3597" s="66"/>
    </row>
    <row r="3598" spans="1:1" x14ac:dyDescent="0.25">
      <c r="A3598" s="66"/>
    </row>
    <row r="3599" spans="1:1" x14ac:dyDescent="0.25">
      <c r="A3599" s="66"/>
    </row>
    <row r="3600" spans="1:1" x14ac:dyDescent="0.25">
      <c r="A3600" s="66"/>
    </row>
    <row r="3601" spans="1:1" x14ac:dyDescent="0.25">
      <c r="A3601" s="66"/>
    </row>
    <row r="3602" spans="1:1" x14ac:dyDescent="0.25">
      <c r="A3602" s="66"/>
    </row>
    <row r="3603" spans="1:1" x14ac:dyDescent="0.25">
      <c r="A3603" s="66"/>
    </row>
    <row r="3604" spans="1:1" x14ac:dyDescent="0.25">
      <c r="A3604" s="66"/>
    </row>
    <row r="3605" spans="1:1" x14ac:dyDescent="0.25">
      <c r="A3605" s="66"/>
    </row>
    <row r="3606" spans="1:1" x14ac:dyDescent="0.25">
      <c r="A3606" s="66"/>
    </row>
    <row r="3607" spans="1:1" x14ac:dyDescent="0.25">
      <c r="A3607" s="66"/>
    </row>
    <row r="3608" spans="1:1" x14ac:dyDescent="0.25">
      <c r="A3608" s="66"/>
    </row>
    <row r="3609" spans="1:1" x14ac:dyDescent="0.25">
      <c r="A3609" s="66"/>
    </row>
    <row r="3610" spans="1:1" x14ac:dyDescent="0.25">
      <c r="A3610" s="66"/>
    </row>
    <row r="3611" spans="1:1" x14ac:dyDescent="0.25">
      <c r="A3611" s="66"/>
    </row>
    <row r="3612" spans="1:1" x14ac:dyDescent="0.25">
      <c r="A3612" s="66"/>
    </row>
    <row r="3613" spans="1:1" x14ac:dyDescent="0.25">
      <c r="A3613" s="66"/>
    </row>
    <row r="3614" spans="1:1" x14ac:dyDescent="0.25">
      <c r="A3614" s="66"/>
    </row>
    <row r="3615" spans="1:1" x14ac:dyDescent="0.25">
      <c r="A3615" s="66"/>
    </row>
    <row r="3616" spans="1:1" x14ac:dyDescent="0.25">
      <c r="A3616" s="66"/>
    </row>
    <row r="3617" spans="1:1" x14ac:dyDescent="0.25">
      <c r="A3617" s="66"/>
    </row>
    <row r="3618" spans="1:1" x14ac:dyDescent="0.25">
      <c r="A3618" s="66"/>
    </row>
    <row r="3619" spans="1:1" x14ac:dyDescent="0.25">
      <c r="A3619" s="66"/>
    </row>
    <row r="3620" spans="1:1" x14ac:dyDescent="0.25">
      <c r="A3620" s="66"/>
    </row>
    <row r="3621" spans="1:1" x14ac:dyDescent="0.25">
      <c r="A3621" s="66"/>
    </row>
    <row r="3622" spans="1:1" x14ac:dyDescent="0.25">
      <c r="A3622" s="66"/>
    </row>
    <row r="3623" spans="1:1" x14ac:dyDescent="0.25">
      <c r="A3623" s="66"/>
    </row>
    <row r="3624" spans="1:1" x14ac:dyDescent="0.25">
      <c r="A3624" s="66"/>
    </row>
    <row r="3625" spans="1:1" x14ac:dyDescent="0.25">
      <c r="A3625" s="66"/>
    </row>
    <row r="3626" spans="1:1" x14ac:dyDescent="0.25">
      <c r="A3626" s="66"/>
    </row>
    <row r="3627" spans="1:1" x14ac:dyDescent="0.25">
      <c r="A3627" s="66"/>
    </row>
    <row r="3628" spans="1:1" x14ac:dyDescent="0.25">
      <c r="A3628" s="66"/>
    </row>
    <row r="3629" spans="1:1" x14ac:dyDescent="0.25">
      <c r="A3629" s="66"/>
    </row>
    <row r="3630" spans="1:1" x14ac:dyDescent="0.25">
      <c r="A3630" s="66"/>
    </row>
    <row r="3631" spans="1:1" x14ac:dyDescent="0.25">
      <c r="A3631" s="66"/>
    </row>
    <row r="3632" spans="1:1" x14ac:dyDescent="0.25">
      <c r="A3632" s="66"/>
    </row>
    <row r="3633" spans="1:1" x14ac:dyDescent="0.25">
      <c r="A3633" s="66"/>
    </row>
    <row r="3634" spans="1:1" x14ac:dyDescent="0.25">
      <c r="A3634" s="66"/>
    </row>
    <row r="3635" spans="1:1" x14ac:dyDescent="0.25">
      <c r="A3635" s="66"/>
    </row>
    <row r="3636" spans="1:1" x14ac:dyDescent="0.25">
      <c r="A3636" s="66"/>
    </row>
    <row r="3637" spans="1:1" x14ac:dyDescent="0.25">
      <c r="A3637" s="66"/>
    </row>
    <row r="3638" spans="1:1" x14ac:dyDescent="0.25">
      <c r="A3638" s="66"/>
    </row>
    <row r="3639" spans="1:1" x14ac:dyDescent="0.25">
      <c r="A3639" s="66"/>
    </row>
    <row r="3640" spans="1:1" x14ac:dyDescent="0.25">
      <c r="A3640" s="66"/>
    </row>
    <row r="3641" spans="1:1" x14ac:dyDescent="0.25">
      <c r="A3641" s="66"/>
    </row>
    <row r="3642" spans="1:1" x14ac:dyDescent="0.25">
      <c r="A3642" s="66"/>
    </row>
    <row r="3643" spans="1:1" x14ac:dyDescent="0.25">
      <c r="A3643" s="66"/>
    </row>
    <row r="3644" spans="1:1" x14ac:dyDescent="0.25">
      <c r="A3644" s="66"/>
    </row>
    <row r="3645" spans="1:1" x14ac:dyDescent="0.25">
      <c r="A3645" s="66"/>
    </row>
    <row r="3646" spans="1:1" x14ac:dyDescent="0.25">
      <c r="A3646" s="66"/>
    </row>
    <row r="3647" spans="1:1" x14ac:dyDescent="0.25">
      <c r="A3647" s="66"/>
    </row>
    <row r="3648" spans="1:1" x14ac:dyDescent="0.25">
      <c r="A3648" s="66"/>
    </row>
    <row r="3649" spans="1:1" x14ac:dyDescent="0.25">
      <c r="A3649" s="66"/>
    </row>
    <row r="3650" spans="1:1" x14ac:dyDescent="0.25">
      <c r="A3650" s="66"/>
    </row>
    <row r="3651" spans="1:1" x14ac:dyDescent="0.25">
      <c r="A3651" s="66"/>
    </row>
    <row r="3652" spans="1:1" x14ac:dyDescent="0.25">
      <c r="A3652" s="66"/>
    </row>
    <row r="3653" spans="1:1" x14ac:dyDescent="0.25">
      <c r="A3653" s="66"/>
    </row>
    <row r="3654" spans="1:1" x14ac:dyDescent="0.25">
      <c r="A3654" s="66"/>
    </row>
    <row r="3655" spans="1:1" x14ac:dyDescent="0.25">
      <c r="A3655" s="66"/>
    </row>
    <row r="3656" spans="1:1" x14ac:dyDescent="0.25">
      <c r="A3656" s="66"/>
    </row>
    <row r="3657" spans="1:1" x14ac:dyDescent="0.25">
      <c r="A3657" s="66"/>
    </row>
    <row r="3658" spans="1:1" x14ac:dyDescent="0.25">
      <c r="A3658" s="66"/>
    </row>
    <row r="3659" spans="1:1" x14ac:dyDescent="0.25">
      <c r="A3659" s="66"/>
    </row>
    <row r="3660" spans="1:1" x14ac:dyDescent="0.25">
      <c r="A3660" s="66"/>
    </row>
    <row r="3661" spans="1:1" x14ac:dyDescent="0.25">
      <c r="A3661" s="66"/>
    </row>
    <row r="3662" spans="1:1" x14ac:dyDescent="0.25">
      <c r="A3662" s="66"/>
    </row>
    <row r="3663" spans="1:1" x14ac:dyDescent="0.25">
      <c r="A3663" s="66"/>
    </row>
    <row r="3664" spans="1:1" x14ac:dyDescent="0.25">
      <c r="A3664" s="66"/>
    </row>
    <row r="3665" spans="1:1" x14ac:dyDescent="0.25">
      <c r="A3665" s="66"/>
    </row>
    <row r="3666" spans="1:1" x14ac:dyDescent="0.25">
      <c r="A3666" s="66"/>
    </row>
    <row r="3667" spans="1:1" x14ac:dyDescent="0.25">
      <c r="A3667" s="66"/>
    </row>
    <row r="3668" spans="1:1" x14ac:dyDescent="0.25">
      <c r="A3668" s="66"/>
    </row>
    <row r="3669" spans="1:1" x14ac:dyDescent="0.25">
      <c r="A3669" s="66"/>
    </row>
    <row r="3670" spans="1:1" x14ac:dyDescent="0.25">
      <c r="A3670" s="66"/>
    </row>
    <row r="3671" spans="1:1" x14ac:dyDescent="0.25">
      <c r="A3671" s="66"/>
    </row>
    <row r="3672" spans="1:1" x14ac:dyDescent="0.25">
      <c r="A3672" s="66"/>
    </row>
    <row r="3673" spans="1:1" x14ac:dyDescent="0.25">
      <c r="A3673" s="66"/>
    </row>
    <row r="3674" spans="1:1" x14ac:dyDescent="0.25">
      <c r="A3674" s="66"/>
    </row>
    <row r="3675" spans="1:1" x14ac:dyDescent="0.25">
      <c r="A3675" s="66"/>
    </row>
    <row r="3676" spans="1:1" x14ac:dyDescent="0.25">
      <c r="A3676" s="66"/>
    </row>
    <row r="3677" spans="1:1" x14ac:dyDescent="0.25">
      <c r="A3677" s="66"/>
    </row>
    <row r="3678" spans="1:1" x14ac:dyDescent="0.25">
      <c r="A3678" s="66"/>
    </row>
    <row r="3679" spans="1:1" x14ac:dyDescent="0.25">
      <c r="A3679" s="66"/>
    </row>
    <row r="3680" spans="1:1" x14ac:dyDescent="0.25">
      <c r="A3680" s="66"/>
    </row>
    <row r="3681" spans="1:1" x14ac:dyDescent="0.25">
      <c r="A3681" s="66"/>
    </row>
    <row r="3682" spans="1:1" x14ac:dyDescent="0.25">
      <c r="A3682" s="66"/>
    </row>
    <row r="3683" spans="1:1" x14ac:dyDescent="0.25">
      <c r="A3683" s="66"/>
    </row>
    <row r="3684" spans="1:1" x14ac:dyDescent="0.25">
      <c r="A3684" s="66"/>
    </row>
    <row r="3685" spans="1:1" x14ac:dyDescent="0.25">
      <c r="A3685" s="66"/>
    </row>
    <row r="3686" spans="1:1" x14ac:dyDescent="0.25">
      <c r="A3686" s="66"/>
    </row>
    <row r="3687" spans="1:1" x14ac:dyDescent="0.25">
      <c r="A3687" s="66"/>
    </row>
    <row r="3688" spans="1:1" x14ac:dyDescent="0.25">
      <c r="A3688" s="66"/>
    </row>
    <row r="3689" spans="1:1" x14ac:dyDescent="0.25">
      <c r="A3689" s="66"/>
    </row>
    <row r="3690" spans="1:1" x14ac:dyDescent="0.25">
      <c r="A3690" s="66"/>
    </row>
    <row r="3691" spans="1:1" x14ac:dyDescent="0.25">
      <c r="A3691" s="66"/>
    </row>
    <row r="3692" spans="1:1" x14ac:dyDescent="0.25">
      <c r="A3692" s="66"/>
    </row>
    <row r="3693" spans="1:1" x14ac:dyDescent="0.25">
      <c r="A3693" s="66"/>
    </row>
    <row r="3694" spans="1:1" x14ac:dyDescent="0.25">
      <c r="A3694" s="66"/>
    </row>
    <row r="3695" spans="1:1" x14ac:dyDescent="0.25">
      <c r="A3695" s="66"/>
    </row>
    <row r="3696" spans="1:1" x14ac:dyDescent="0.25">
      <c r="A3696" s="66"/>
    </row>
    <row r="3697" spans="1:1" x14ac:dyDescent="0.25">
      <c r="A3697" s="66"/>
    </row>
    <row r="3698" spans="1:1" x14ac:dyDescent="0.25">
      <c r="A3698" s="66"/>
    </row>
    <row r="3699" spans="1:1" x14ac:dyDescent="0.25">
      <c r="A3699" s="66"/>
    </row>
    <row r="3700" spans="1:1" x14ac:dyDescent="0.25">
      <c r="A3700" s="66"/>
    </row>
    <row r="3701" spans="1:1" x14ac:dyDescent="0.25">
      <c r="A3701" s="66"/>
    </row>
    <row r="3702" spans="1:1" x14ac:dyDescent="0.25">
      <c r="A3702" s="66"/>
    </row>
    <row r="3703" spans="1:1" x14ac:dyDescent="0.25">
      <c r="A3703" s="66"/>
    </row>
    <row r="3704" spans="1:1" x14ac:dyDescent="0.25">
      <c r="A3704" s="66"/>
    </row>
    <row r="3705" spans="1:1" x14ac:dyDescent="0.25">
      <c r="A3705" s="66"/>
    </row>
    <row r="3706" spans="1:1" x14ac:dyDescent="0.25">
      <c r="A3706" s="66"/>
    </row>
    <row r="3707" spans="1:1" x14ac:dyDescent="0.25">
      <c r="A3707" s="66"/>
    </row>
    <row r="3708" spans="1:1" x14ac:dyDescent="0.25">
      <c r="A3708" s="66"/>
    </row>
    <row r="3709" spans="1:1" x14ac:dyDescent="0.25">
      <c r="A3709" s="66"/>
    </row>
    <row r="3710" spans="1:1" x14ac:dyDescent="0.25">
      <c r="A3710" s="66"/>
    </row>
    <row r="3711" spans="1:1" x14ac:dyDescent="0.25">
      <c r="A3711" s="66"/>
    </row>
    <row r="3712" spans="1:1" x14ac:dyDescent="0.25">
      <c r="A3712" s="66"/>
    </row>
    <row r="3713" spans="1:1" x14ac:dyDescent="0.25">
      <c r="A3713" s="66"/>
    </row>
    <row r="3714" spans="1:1" x14ac:dyDescent="0.25">
      <c r="A3714" s="66"/>
    </row>
    <row r="3715" spans="1:1" x14ac:dyDescent="0.25">
      <c r="A3715" s="66"/>
    </row>
    <row r="3716" spans="1:1" x14ac:dyDescent="0.25">
      <c r="A3716" s="66"/>
    </row>
    <row r="3717" spans="1:1" x14ac:dyDescent="0.25">
      <c r="A3717" s="66"/>
    </row>
    <row r="3718" spans="1:1" x14ac:dyDescent="0.25">
      <c r="A3718" s="66"/>
    </row>
    <row r="3719" spans="1:1" x14ac:dyDescent="0.25">
      <c r="A3719" s="66"/>
    </row>
    <row r="3720" spans="1:1" x14ac:dyDescent="0.25">
      <c r="A3720" s="66"/>
    </row>
    <row r="3721" spans="1:1" x14ac:dyDescent="0.25">
      <c r="A3721" s="66"/>
    </row>
    <row r="3722" spans="1:1" x14ac:dyDescent="0.25">
      <c r="A3722" s="66"/>
    </row>
    <row r="3723" spans="1:1" x14ac:dyDescent="0.25">
      <c r="A3723" s="66"/>
    </row>
    <row r="3724" spans="1:1" x14ac:dyDescent="0.25">
      <c r="A3724" s="66"/>
    </row>
    <row r="3725" spans="1:1" x14ac:dyDescent="0.25">
      <c r="A3725" s="66"/>
    </row>
    <row r="3726" spans="1:1" x14ac:dyDescent="0.25">
      <c r="A3726" s="66"/>
    </row>
    <row r="3727" spans="1:1" x14ac:dyDescent="0.25">
      <c r="A3727" s="66"/>
    </row>
    <row r="3728" spans="1:1" x14ac:dyDescent="0.25">
      <c r="A3728" s="66"/>
    </row>
    <row r="3729" spans="1:1" x14ac:dyDescent="0.25">
      <c r="A3729" s="66"/>
    </row>
    <row r="3730" spans="1:1" x14ac:dyDescent="0.25">
      <c r="A3730" s="66"/>
    </row>
    <row r="3731" spans="1:1" x14ac:dyDescent="0.25">
      <c r="A3731" s="66"/>
    </row>
    <row r="3732" spans="1:1" x14ac:dyDescent="0.25">
      <c r="A3732" s="66"/>
    </row>
    <row r="3733" spans="1:1" x14ac:dyDescent="0.25">
      <c r="A3733" s="66"/>
    </row>
    <row r="3734" spans="1:1" x14ac:dyDescent="0.25">
      <c r="A3734" s="66"/>
    </row>
    <row r="3735" spans="1:1" x14ac:dyDescent="0.25">
      <c r="A3735" s="66"/>
    </row>
    <row r="3736" spans="1:1" x14ac:dyDescent="0.25">
      <c r="A3736" s="66"/>
    </row>
    <row r="3737" spans="1:1" x14ac:dyDescent="0.25">
      <c r="A3737" s="66"/>
    </row>
    <row r="3738" spans="1:1" x14ac:dyDescent="0.25">
      <c r="A3738" s="66"/>
    </row>
    <row r="3739" spans="1:1" x14ac:dyDescent="0.25">
      <c r="A3739" s="66"/>
    </row>
    <row r="3740" spans="1:1" x14ac:dyDescent="0.25">
      <c r="A3740" s="66"/>
    </row>
    <row r="3741" spans="1:1" x14ac:dyDescent="0.25">
      <c r="A3741" s="66"/>
    </row>
    <row r="3742" spans="1:1" x14ac:dyDescent="0.25">
      <c r="A3742" s="66"/>
    </row>
    <row r="3743" spans="1:1" x14ac:dyDescent="0.25">
      <c r="A3743" s="66"/>
    </row>
    <row r="3744" spans="1:1" x14ac:dyDescent="0.25">
      <c r="A3744" s="66"/>
    </row>
    <row r="3745" spans="1:1" x14ac:dyDescent="0.25">
      <c r="A3745" s="66"/>
    </row>
    <row r="3746" spans="1:1" x14ac:dyDescent="0.25">
      <c r="A3746" s="66"/>
    </row>
    <row r="3747" spans="1:1" x14ac:dyDescent="0.25">
      <c r="A3747" s="66"/>
    </row>
    <row r="3748" spans="1:1" x14ac:dyDescent="0.25">
      <c r="A3748" s="66"/>
    </row>
    <row r="3749" spans="1:1" x14ac:dyDescent="0.25">
      <c r="A3749" s="66"/>
    </row>
    <row r="3750" spans="1:1" x14ac:dyDescent="0.25">
      <c r="A3750" s="66"/>
    </row>
    <row r="3751" spans="1:1" x14ac:dyDescent="0.25">
      <c r="A3751" s="66"/>
    </row>
    <row r="3752" spans="1:1" x14ac:dyDescent="0.25">
      <c r="A3752" s="66"/>
    </row>
    <row r="3753" spans="1:1" x14ac:dyDescent="0.25">
      <c r="A3753" s="66"/>
    </row>
    <row r="3754" spans="1:1" x14ac:dyDescent="0.25">
      <c r="A3754" s="66"/>
    </row>
    <row r="3755" spans="1:1" x14ac:dyDescent="0.25">
      <c r="A3755" s="66"/>
    </row>
    <row r="3756" spans="1:1" x14ac:dyDescent="0.25">
      <c r="A3756" s="66"/>
    </row>
    <row r="3757" spans="1:1" x14ac:dyDescent="0.25">
      <c r="A3757" s="66"/>
    </row>
    <row r="3758" spans="1:1" x14ac:dyDescent="0.25">
      <c r="A3758" s="66"/>
    </row>
    <row r="3759" spans="1:1" x14ac:dyDescent="0.25">
      <c r="A3759" s="66"/>
    </row>
    <row r="3760" spans="1:1" x14ac:dyDescent="0.25">
      <c r="A3760" s="66"/>
    </row>
    <row r="3761" spans="1:1" x14ac:dyDescent="0.25">
      <c r="A3761" s="66"/>
    </row>
    <row r="3762" spans="1:1" x14ac:dyDescent="0.25">
      <c r="A3762" s="66"/>
    </row>
    <row r="3763" spans="1:1" x14ac:dyDescent="0.25">
      <c r="A3763" s="66"/>
    </row>
    <row r="3764" spans="1:1" x14ac:dyDescent="0.25">
      <c r="A3764" s="66"/>
    </row>
    <row r="3765" spans="1:1" x14ac:dyDescent="0.25">
      <c r="A3765" s="66"/>
    </row>
    <row r="3766" spans="1:1" x14ac:dyDescent="0.25">
      <c r="A3766" s="66"/>
    </row>
    <row r="3767" spans="1:1" x14ac:dyDescent="0.25">
      <c r="A3767" s="66"/>
    </row>
    <row r="3768" spans="1:1" x14ac:dyDescent="0.25">
      <c r="A3768" s="66"/>
    </row>
    <row r="3769" spans="1:1" x14ac:dyDescent="0.25">
      <c r="A3769" s="66"/>
    </row>
    <row r="3770" spans="1:1" x14ac:dyDescent="0.25">
      <c r="A3770" s="66"/>
    </row>
    <row r="3771" spans="1:1" x14ac:dyDescent="0.25">
      <c r="A3771" s="66"/>
    </row>
    <row r="3772" spans="1:1" x14ac:dyDescent="0.25">
      <c r="A3772" s="66"/>
    </row>
    <row r="3773" spans="1:1" x14ac:dyDescent="0.25">
      <c r="A3773" s="66"/>
    </row>
    <row r="3774" spans="1:1" x14ac:dyDescent="0.25">
      <c r="A3774" s="66"/>
    </row>
    <row r="3775" spans="1:1" x14ac:dyDescent="0.25">
      <c r="A3775" s="66"/>
    </row>
    <row r="3776" spans="1:1" x14ac:dyDescent="0.25">
      <c r="A3776" s="66"/>
    </row>
    <row r="3777" spans="1:1" x14ac:dyDescent="0.25">
      <c r="A3777" s="66"/>
    </row>
    <row r="3778" spans="1:1" x14ac:dyDescent="0.25">
      <c r="A3778" s="66"/>
    </row>
    <row r="3779" spans="1:1" x14ac:dyDescent="0.25">
      <c r="A3779" s="66"/>
    </row>
    <row r="3780" spans="1:1" x14ac:dyDescent="0.25">
      <c r="A3780" s="66"/>
    </row>
    <row r="3781" spans="1:1" x14ac:dyDescent="0.25">
      <c r="A3781" s="66"/>
    </row>
    <row r="3782" spans="1:1" x14ac:dyDescent="0.25">
      <c r="A3782" s="66"/>
    </row>
    <row r="3783" spans="1:1" x14ac:dyDescent="0.25">
      <c r="A3783" s="66"/>
    </row>
    <row r="3784" spans="1:1" x14ac:dyDescent="0.25">
      <c r="A3784" s="66"/>
    </row>
    <row r="3785" spans="1:1" x14ac:dyDescent="0.25">
      <c r="A3785" s="66"/>
    </row>
    <row r="3786" spans="1:1" x14ac:dyDescent="0.25">
      <c r="A3786" s="66"/>
    </row>
    <row r="3787" spans="1:1" x14ac:dyDescent="0.25">
      <c r="A3787" s="66"/>
    </row>
    <row r="3788" spans="1:1" x14ac:dyDescent="0.25">
      <c r="A3788" s="66"/>
    </row>
    <row r="3789" spans="1:1" x14ac:dyDescent="0.25">
      <c r="A3789" s="66"/>
    </row>
    <row r="3790" spans="1:1" x14ac:dyDescent="0.25">
      <c r="A3790" s="66"/>
    </row>
    <row r="3791" spans="1:1" x14ac:dyDescent="0.25">
      <c r="A3791" s="66"/>
    </row>
    <row r="3792" spans="1:1" x14ac:dyDescent="0.25">
      <c r="A3792" s="66"/>
    </row>
    <row r="3793" spans="1:1" x14ac:dyDescent="0.25">
      <c r="A3793" s="66"/>
    </row>
    <row r="3794" spans="1:1" x14ac:dyDescent="0.25">
      <c r="A3794" s="66"/>
    </row>
    <row r="3795" spans="1:1" x14ac:dyDescent="0.25">
      <c r="A3795" s="66"/>
    </row>
    <row r="3796" spans="1:1" x14ac:dyDescent="0.25">
      <c r="A3796" s="66"/>
    </row>
    <row r="3797" spans="1:1" x14ac:dyDescent="0.25">
      <c r="A3797" s="66"/>
    </row>
    <row r="3798" spans="1:1" x14ac:dyDescent="0.25">
      <c r="A3798" s="66"/>
    </row>
    <row r="3799" spans="1:1" x14ac:dyDescent="0.25">
      <c r="A3799" s="66"/>
    </row>
    <row r="3800" spans="1:1" x14ac:dyDescent="0.25">
      <c r="A3800" s="66"/>
    </row>
    <row r="3801" spans="1:1" x14ac:dyDescent="0.25">
      <c r="A3801" s="66"/>
    </row>
    <row r="3802" spans="1:1" x14ac:dyDescent="0.25">
      <c r="A3802" s="66"/>
    </row>
    <row r="3803" spans="1:1" x14ac:dyDescent="0.25">
      <c r="A3803" s="66"/>
    </row>
    <row r="3804" spans="1:1" x14ac:dyDescent="0.25">
      <c r="A3804" s="66"/>
    </row>
    <row r="3805" spans="1:1" x14ac:dyDescent="0.25">
      <c r="A3805" s="66"/>
    </row>
    <row r="3806" spans="1:1" x14ac:dyDescent="0.25">
      <c r="A3806" s="66"/>
    </row>
    <row r="3807" spans="1:1" x14ac:dyDescent="0.25">
      <c r="A3807" s="66"/>
    </row>
    <row r="3808" spans="1:1" x14ac:dyDescent="0.25">
      <c r="A3808" s="66"/>
    </row>
    <row r="3809" spans="1:1" x14ac:dyDescent="0.25">
      <c r="A3809" s="66"/>
    </row>
    <row r="3810" spans="1:1" x14ac:dyDescent="0.25">
      <c r="A3810" s="66"/>
    </row>
    <row r="3811" spans="1:1" x14ac:dyDescent="0.25">
      <c r="A3811" s="66"/>
    </row>
    <row r="3812" spans="1:1" x14ac:dyDescent="0.25">
      <c r="A3812" s="66"/>
    </row>
    <row r="3813" spans="1:1" x14ac:dyDescent="0.25">
      <c r="A3813" s="66"/>
    </row>
    <row r="3814" spans="1:1" x14ac:dyDescent="0.25">
      <c r="A3814" s="66"/>
    </row>
    <row r="3815" spans="1:1" x14ac:dyDescent="0.25">
      <c r="A3815" s="66"/>
    </row>
    <row r="3816" spans="1:1" x14ac:dyDescent="0.25">
      <c r="A3816" s="66"/>
    </row>
    <row r="3817" spans="1:1" x14ac:dyDescent="0.25">
      <c r="A3817" s="66"/>
    </row>
    <row r="3818" spans="1:1" x14ac:dyDescent="0.25">
      <c r="A3818" s="66"/>
    </row>
    <row r="3819" spans="1:1" x14ac:dyDescent="0.25">
      <c r="A3819" s="66"/>
    </row>
    <row r="3820" spans="1:1" x14ac:dyDescent="0.25">
      <c r="A3820" s="66"/>
    </row>
    <row r="3821" spans="1:1" x14ac:dyDescent="0.25">
      <c r="A3821" s="66"/>
    </row>
    <row r="3822" spans="1:1" x14ac:dyDescent="0.25">
      <c r="A3822" s="66"/>
    </row>
    <row r="3823" spans="1:1" x14ac:dyDescent="0.25">
      <c r="A3823" s="66"/>
    </row>
    <row r="3824" spans="1:1" x14ac:dyDescent="0.25">
      <c r="A3824" s="66"/>
    </row>
    <row r="3825" spans="1:1" x14ac:dyDescent="0.25">
      <c r="A3825" s="66"/>
    </row>
    <row r="3826" spans="1:1" x14ac:dyDescent="0.25">
      <c r="A3826" s="66"/>
    </row>
    <row r="3827" spans="1:1" x14ac:dyDescent="0.25">
      <c r="A3827" s="66"/>
    </row>
    <row r="3828" spans="1:1" x14ac:dyDescent="0.25">
      <c r="A3828" s="66"/>
    </row>
    <row r="3829" spans="1:1" x14ac:dyDescent="0.25">
      <c r="A3829" s="66"/>
    </row>
    <row r="3830" spans="1:1" x14ac:dyDescent="0.25">
      <c r="A3830" s="66"/>
    </row>
    <row r="3831" spans="1:1" x14ac:dyDescent="0.25">
      <c r="A3831" s="66"/>
    </row>
    <row r="3832" spans="1:1" x14ac:dyDescent="0.25">
      <c r="A3832" s="66"/>
    </row>
    <row r="3833" spans="1:1" x14ac:dyDescent="0.25">
      <c r="A3833" s="66"/>
    </row>
    <row r="3834" spans="1:1" x14ac:dyDescent="0.25">
      <c r="A3834" s="66"/>
    </row>
    <row r="3835" spans="1:1" x14ac:dyDescent="0.25">
      <c r="A3835" s="66"/>
    </row>
    <row r="3836" spans="1:1" x14ac:dyDescent="0.25">
      <c r="A3836" s="66"/>
    </row>
    <row r="3837" spans="1:1" x14ac:dyDescent="0.25">
      <c r="A3837" s="66"/>
    </row>
    <row r="3838" spans="1:1" x14ac:dyDescent="0.25">
      <c r="A3838" s="66"/>
    </row>
    <row r="3839" spans="1:1" x14ac:dyDescent="0.25">
      <c r="A3839" s="66"/>
    </row>
    <row r="3840" spans="1:1" x14ac:dyDescent="0.25">
      <c r="A3840" s="66"/>
    </row>
    <row r="3841" spans="1:1" x14ac:dyDescent="0.25">
      <c r="A3841" s="66"/>
    </row>
    <row r="3842" spans="1:1" x14ac:dyDescent="0.25">
      <c r="A3842" s="66"/>
    </row>
    <row r="3843" spans="1:1" x14ac:dyDescent="0.25">
      <c r="A3843" s="66"/>
    </row>
    <row r="3844" spans="1:1" x14ac:dyDescent="0.25">
      <c r="A3844" s="66"/>
    </row>
    <row r="3845" spans="1:1" x14ac:dyDescent="0.25">
      <c r="A3845" s="66"/>
    </row>
    <row r="3846" spans="1:1" x14ac:dyDescent="0.25">
      <c r="A3846" s="66"/>
    </row>
    <row r="3847" spans="1:1" x14ac:dyDescent="0.25">
      <c r="A3847" s="66"/>
    </row>
    <row r="3848" spans="1:1" x14ac:dyDescent="0.25">
      <c r="A3848" s="66"/>
    </row>
    <row r="3849" spans="1:1" x14ac:dyDescent="0.25">
      <c r="A3849" s="66"/>
    </row>
    <row r="3850" spans="1:1" x14ac:dyDescent="0.25">
      <c r="A3850" s="66"/>
    </row>
    <row r="3851" spans="1:1" x14ac:dyDescent="0.25">
      <c r="A3851" s="66"/>
    </row>
    <row r="3852" spans="1:1" x14ac:dyDescent="0.25">
      <c r="A3852" s="66"/>
    </row>
    <row r="3853" spans="1:1" x14ac:dyDescent="0.25">
      <c r="A3853" s="66"/>
    </row>
    <row r="3854" spans="1:1" x14ac:dyDescent="0.25">
      <c r="A3854" s="66"/>
    </row>
    <row r="3855" spans="1:1" x14ac:dyDescent="0.25">
      <c r="A3855" s="66"/>
    </row>
    <row r="3856" spans="1:1" x14ac:dyDescent="0.25">
      <c r="A3856" s="66"/>
    </row>
    <row r="3857" spans="1:1" x14ac:dyDescent="0.25">
      <c r="A3857" s="66"/>
    </row>
    <row r="3858" spans="1:1" x14ac:dyDescent="0.25">
      <c r="A3858" s="66"/>
    </row>
    <row r="3859" spans="1:1" x14ac:dyDescent="0.25">
      <c r="A3859" s="66"/>
    </row>
    <row r="3860" spans="1:1" x14ac:dyDescent="0.25">
      <c r="A3860" s="66"/>
    </row>
    <row r="3861" spans="1:1" x14ac:dyDescent="0.25">
      <c r="A3861" s="66"/>
    </row>
    <row r="3862" spans="1:1" x14ac:dyDescent="0.25">
      <c r="A3862" s="66"/>
    </row>
    <row r="3863" spans="1:1" x14ac:dyDescent="0.25">
      <c r="A3863" s="66"/>
    </row>
    <row r="3864" spans="1:1" x14ac:dyDescent="0.25">
      <c r="A3864" s="66"/>
    </row>
    <row r="3865" spans="1:1" x14ac:dyDescent="0.25">
      <c r="A3865" s="66"/>
    </row>
    <row r="3866" spans="1:1" x14ac:dyDescent="0.25">
      <c r="A3866" s="66"/>
    </row>
    <row r="3867" spans="1:1" x14ac:dyDescent="0.25">
      <c r="A3867" s="66"/>
    </row>
    <row r="3868" spans="1:1" x14ac:dyDescent="0.25">
      <c r="A3868" s="66"/>
    </row>
    <row r="3869" spans="1:1" x14ac:dyDescent="0.25">
      <c r="A3869" s="66"/>
    </row>
    <row r="3870" spans="1:1" x14ac:dyDescent="0.25">
      <c r="A3870" s="66"/>
    </row>
    <row r="3871" spans="1:1" x14ac:dyDescent="0.25">
      <c r="A3871" s="66"/>
    </row>
    <row r="3872" spans="1:1" x14ac:dyDescent="0.25">
      <c r="A3872" s="66"/>
    </row>
    <row r="3873" spans="1:1" x14ac:dyDescent="0.25">
      <c r="A3873" s="66"/>
    </row>
    <row r="3874" spans="1:1" x14ac:dyDescent="0.25">
      <c r="A3874" s="66"/>
    </row>
    <row r="3875" spans="1:1" x14ac:dyDescent="0.25">
      <c r="A3875" s="66"/>
    </row>
    <row r="3876" spans="1:1" x14ac:dyDescent="0.25">
      <c r="A3876" s="66"/>
    </row>
    <row r="3877" spans="1:1" x14ac:dyDescent="0.25">
      <c r="A3877" s="66"/>
    </row>
    <row r="3878" spans="1:1" x14ac:dyDescent="0.25">
      <c r="A3878" s="66"/>
    </row>
    <row r="3879" spans="1:1" x14ac:dyDescent="0.25">
      <c r="A3879" s="66"/>
    </row>
    <row r="3880" spans="1:1" x14ac:dyDescent="0.25">
      <c r="A3880" s="66"/>
    </row>
    <row r="3881" spans="1:1" x14ac:dyDescent="0.25">
      <c r="A3881" s="66"/>
    </row>
    <row r="3882" spans="1:1" x14ac:dyDescent="0.25">
      <c r="A3882" s="66"/>
    </row>
    <row r="3883" spans="1:1" x14ac:dyDescent="0.25">
      <c r="A3883" s="66"/>
    </row>
    <row r="3884" spans="1:1" x14ac:dyDescent="0.25">
      <c r="A3884" s="66"/>
    </row>
    <row r="3885" spans="1:1" x14ac:dyDescent="0.25">
      <c r="A3885" s="66"/>
    </row>
    <row r="3886" spans="1:1" x14ac:dyDescent="0.25">
      <c r="A3886" s="66"/>
    </row>
    <row r="3887" spans="1:1" x14ac:dyDescent="0.25">
      <c r="A3887" s="66"/>
    </row>
    <row r="3888" spans="1:1" x14ac:dyDescent="0.25">
      <c r="A3888" s="66"/>
    </row>
    <row r="3889" spans="1:1" x14ac:dyDescent="0.25">
      <c r="A3889" s="66"/>
    </row>
    <row r="3890" spans="1:1" x14ac:dyDescent="0.25">
      <c r="A3890" s="66"/>
    </row>
    <row r="3891" spans="1:1" x14ac:dyDescent="0.25">
      <c r="A3891" s="66"/>
    </row>
    <row r="3892" spans="1:1" x14ac:dyDescent="0.25">
      <c r="A3892" s="66"/>
    </row>
    <row r="3893" spans="1:1" x14ac:dyDescent="0.25">
      <c r="A3893" s="66"/>
    </row>
    <row r="3894" spans="1:1" x14ac:dyDescent="0.25">
      <c r="A3894" s="66"/>
    </row>
    <row r="3895" spans="1:1" x14ac:dyDescent="0.25">
      <c r="A3895" s="66"/>
    </row>
    <row r="3896" spans="1:1" x14ac:dyDescent="0.25">
      <c r="A3896" s="66"/>
    </row>
    <row r="3897" spans="1:1" x14ac:dyDescent="0.25">
      <c r="A3897" s="66"/>
    </row>
    <row r="3898" spans="1:1" x14ac:dyDescent="0.25">
      <c r="A3898" s="66"/>
    </row>
    <row r="3899" spans="1:1" x14ac:dyDescent="0.25">
      <c r="A3899" s="66"/>
    </row>
    <row r="3900" spans="1:1" x14ac:dyDescent="0.25">
      <c r="A3900" s="66"/>
    </row>
    <row r="3901" spans="1:1" x14ac:dyDescent="0.25">
      <c r="A3901" s="66"/>
    </row>
    <row r="3902" spans="1:1" x14ac:dyDescent="0.25">
      <c r="A3902" s="66"/>
    </row>
    <row r="3903" spans="1:1" x14ac:dyDescent="0.25">
      <c r="A3903" s="66"/>
    </row>
    <row r="3904" spans="1:1" x14ac:dyDescent="0.25">
      <c r="A3904" s="66"/>
    </row>
    <row r="3905" spans="1:1" x14ac:dyDescent="0.25">
      <c r="A3905" s="66"/>
    </row>
    <row r="3906" spans="1:1" x14ac:dyDescent="0.25">
      <c r="A3906" s="66"/>
    </row>
    <row r="3907" spans="1:1" x14ac:dyDescent="0.25">
      <c r="A3907" s="66"/>
    </row>
    <row r="3908" spans="1:1" x14ac:dyDescent="0.25">
      <c r="A3908" s="66"/>
    </row>
    <row r="3909" spans="1:1" x14ac:dyDescent="0.25">
      <c r="A3909" s="66"/>
    </row>
    <row r="3910" spans="1:1" x14ac:dyDescent="0.25">
      <c r="A3910" s="66"/>
    </row>
    <row r="3911" spans="1:1" x14ac:dyDescent="0.25">
      <c r="A3911" s="66"/>
    </row>
    <row r="3912" spans="1:1" x14ac:dyDescent="0.25">
      <c r="A3912" s="66"/>
    </row>
    <row r="3913" spans="1:1" x14ac:dyDescent="0.25">
      <c r="A3913" s="66"/>
    </row>
    <row r="3914" spans="1:1" x14ac:dyDescent="0.25">
      <c r="A3914" s="66"/>
    </row>
    <row r="3915" spans="1:1" x14ac:dyDescent="0.25">
      <c r="A3915" s="66"/>
    </row>
    <row r="3916" spans="1:1" x14ac:dyDescent="0.25">
      <c r="A3916" s="66"/>
    </row>
    <row r="3917" spans="1:1" x14ac:dyDescent="0.25">
      <c r="A3917" s="66"/>
    </row>
    <row r="3918" spans="1:1" x14ac:dyDescent="0.25">
      <c r="A3918" s="66"/>
    </row>
    <row r="3919" spans="1:1" x14ac:dyDescent="0.25">
      <c r="A3919" s="66"/>
    </row>
    <row r="3920" spans="1:1" x14ac:dyDescent="0.25">
      <c r="A3920" s="66"/>
    </row>
    <row r="3921" spans="1:1" x14ac:dyDescent="0.25">
      <c r="A3921" s="66"/>
    </row>
    <row r="3922" spans="1:1" x14ac:dyDescent="0.25">
      <c r="A3922" s="66"/>
    </row>
    <row r="3923" spans="1:1" x14ac:dyDescent="0.25">
      <c r="A3923" s="66"/>
    </row>
    <row r="3924" spans="1:1" x14ac:dyDescent="0.25">
      <c r="A3924" s="66"/>
    </row>
    <row r="3925" spans="1:1" x14ac:dyDescent="0.25">
      <c r="A3925" s="66"/>
    </row>
    <row r="3926" spans="1:1" x14ac:dyDescent="0.25">
      <c r="A3926" s="66"/>
    </row>
    <row r="3927" spans="1:1" x14ac:dyDescent="0.25">
      <c r="A3927" s="66"/>
    </row>
    <row r="3928" spans="1:1" x14ac:dyDescent="0.25">
      <c r="A3928" s="66"/>
    </row>
    <row r="3929" spans="1:1" x14ac:dyDescent="0.25">
      <c r="A3929" s="66"/>
    </row>
    <row r="3930" spans="1:1" x14ac:dyDescent="0.25">
      <c r="A3930" s="66"/>
    </row>
    <row r="3931" spans="1:1" x14ac:dyDescent="0.25">
      <c r="A3931" s="66"/>
    </row>
    <row r="3932" spans="1:1" x14ac:dyDescent="0.25">
      <c r="A3932" s="66"/>
    </row>
    <row r="3933" spans="1:1" x14ac:dyDescent="0.25">
      <c r="A3933" s="66"/>
    </row>
    <row r="3934" spans="1:1" x14ac:dyDescent="0.25">
      <c r="A3934" s="66"/>
    </row>
    <row r="3935" spans="1:1" x14ac:dyDescent="0.25">
      <c r="A3935" s="66"/>
    </row>
    <row r="3936" spans="1:1" x14ac:dyDescent="0.25">
      <c r="A3936" s="66"/>
    </row>
    <row r="3937" spans="1:1" x14ac:dyDescent="0.25">
      <c r="A3937" s="66"/>
    </row>
    <row r="3938" spans="1:1" x14ac:dyDescent="0.25">
      <c r="A3938" s="66"/>
    </row>
    <row r="3939" spans="1:1" x14ac:dyDescent="0.25">
      <c r="A3939" s="66"/>
    </row>
    <row r="3940" spans="1:1" x14ac:dyDescent="0.25">
      <c r="A3940" s="66"/>
    </row>
    <row r="3941" spans="1:1" x14ac:dyDescent="0.25">
      <c r="A3941" s="66"/>
    </row>
    <row r="3942" spans="1:1" x14ac:dyDescent="0.25">
      <c r="A3942" s="66"/>
    </row>
    <row r="3943" spans="1:1" x14ac:dyDescent="0.25">
      <c r="A3943" s="66"/>
    </row>
    <row r="3944" spans="1:1" x14ac:dyDescent="0.25">
      <c r="A3944" s="66"/>
    </row>
    <row r="3945" spans="1:1" x14ac:dyDescent="0.25">
      <c r="A3945" s="66"/>
    </row>
    <row r="3946" spans="1:1" x14ac:dyDescent="0.25">
      <c r="A3946" s="66"/>
    </row>
    <row r="3947" spans="1:1" x14ac:dyDescent="0.25">
      <c r="A3947" s="66"/>
    </row>
    <row r="3948" spans="1:1" x14ac:dyDescent="0.25">
      <c r="A3948" s="66"/>
    </row>
    <row r="3949" spans="1:1" x14ac:dyDescent="0.25">
      <c r="A3949" s="66"/>
    </row>
    <row r="3950" spans="1:1" x14ac:dyDescent="0.25">
      <c r="A3950" s="66"/>
    </row>
    <row r="3951" spans="1:1" x14ac:dyDescent="0.25">
      <c r="A3951" s="66"/>
    </row>
    <row r="3952" spans="1:1" x14ac:dyDescent="0.25">
      <c r="A3952" s="66"/>
    </row>
    <row r="3953" spans="1:1" x14ac:dyDescent="0.25">
      <c r="A3953" s="66"/>
    </row>
    <row r="3954" spans="1:1" x14ac:dyDescent="0.25">
      <c r="A3954" s="66"/>
    </row>
    <row r="3955" spans="1:1" x14ac:dyDescent="0.25">
      <c r="A3955" s="66"/>
    </row>
    <row r="3956" spans="1:1" x14ac:dyDescent="0.25">
      <c r="A3956" s="66"/>
    </row>
    <row r="3957" spans="1:1" x14ac:dyDescent="0.25">
      <c r="A3957" s="66"/>
    </row>
    <row r="3958" spans="1:1" x14ac:dyDescent="0.25">
      <c r="A3958" s="66"/>
    </row>
    <row r="3959" spans="1:1" x14ac:dyDescent="0.25">
      <c r="A3959" s="66"/>
    </row>
    <row r="3960" spans="1:1" x14ac:dyDescent="0.25">
      <c r="A3960" s="66"/>
    </row>
    <row r="3961" spans="1:1" x14ac:dyDescent="0.25">
      <c r="A3961" s="66"/>
    </row>
    <row r="3962" spans="1:1" x14ac:dyDescent="0.25">
      <c r="A3962" s="66"/>
    </row>
    <row r="3963" spans="1:1" x14ac:dyDescent="0.25">
      <c r="A3963" s="66"/>
    </row>
    <row r="3964" spans="1:1" x14ac:dyDescent="0.25">
      <c r="A3964" s="66"/>
    </row>
    <row r="3965" spans="1:1" x14ac:dyDescent="0.25">
      <c r="A3965" s="66"/>
    </row>
    <row r="3966" spans="1:1" x14ac:dyDescent="0.25">
      <c r="A3966" s="66"/>
    </row>
    <row r="3967" spans="1:1" x14ac:dyDescent="0.25">
      <c r="A3967" s="66"/>
    </row>
    <row r="3968" spans="1:1" x14ac:dyDescent="0.25">
      <c r="A3968" s="66"/>
    </row>
    <row r="3969" spans="1:1" x14ac:dyDescent="0.25">
      <c r="A3969" s="66"/>
    </row>
    <row r="3970" spans="1:1" x14ac:dyDescent="0.25">
      <c r="A3970" s="66"/>
    </row>
    <row r="3971" spans="1:1" x14ac:dyDescent="0.25">
      <c r="A3971" s="66"/>
    </row>
    <row r="3972" spans="1:1" x14ac:dyDescent="0.25">
      <c r="A3972" s="66"/>
    </row>
    <row r="3973" spans="1:1" x14ac:dyDescent="0.25">
      <c r="A3973" s="66"/>
    </row>
    <row r="3974" spans="1:1" x14ac:dyDescent="0.25">
      <c r="A3974" s="66"/>
    </row>
    <row r="3975" spans="1:1" x14ac:dyDescent="0.25">
      <c r="A3975" s="66"/>
    </row>
    <row r="3976" spans="1:1" x14ac:dyDescent="0.25">
      <c r="A3976" s="66"/>
    </row>
    <row r="3977" spans="1:1" x14ac:dyDescent="0.25">
      <c r="A3977" s="66"/>
    </row>
    <row r="3978" spans="1:1" x14ac:dyDescent="0.25">
      <c r="A3978" s="66"/>
    </row>
    <row r="3979" spans="1:1" x14ac:dyDescent="0.25">
      <c r="A3979" s="66"/>
    </row>
    <row r="3980" spans="1:1" x14ac:dyDescent="0.25">
      <c r="A3980" s="66"/>
    </row>
    <row r="3981" spans="1:1" x14ac:dyDescent="0.25">
      <c r="A3981" s="66"/>
    </row>
    <row r="3982" spans="1:1" x14ac:dyDescent="0.25">
      <c r="A3982" s="66"/>
    </row>
    <row r="3983" spans="1:1" x14ac:dyDescent="0.25">
      <c r="A3983" s="66"/>
    </row>
    <row r="3984" spans="1:1" x14ac:dyDescent="0.25">
      <c r="A3984" s="66"/>
    </row>
    <row r="3985" spans="1:1" x14ac:dyDescent="0.25">
      <c r="A3985" s="66"/>
    </row>
    <row r="3986" spans="1:1" x14ac:dyDescent="0.25">
      <c r="A3986" s="66"/>
    </row>
    <row r="3987" spans="1:1" x14ac:dyDescent="0.25">
      <c r="A3987" s="66"/>
    </row>
    <row r="3988" spans="1:1" x14ac:dyDescent="0.25">
      <c r="A3988" s="66"/>
    </row>
    <row r="3989" spans="1:1" x14ac:dyDescent="0.25">
      <c r="A3989" s="66"/>
    </row>
    <row r="3990" spans="1:1" x14ac:dyDescent="0.25">
      <c r="A3990" s="66"/>
    </row>
    <row r="3991" spans="1:1" x14ac:dyDescent="0.25">
      <c r="A3991" s="66"/>
    </row>
    <row r="3992" spans="1:1" x14ac:dyDescent="0.25">
      <c r="A3992" s="66"/>
    </row>
    <row r="3993" spans="1:1" x14ac:dyDescent="0.25">
      <c r="A3993" s="66"/>
    </row>
    <row r="3994" spans="1:1" x14ac:dyDescent="0.25">
      <c r="A3994" s="66"/>
    </row>
    <row r="3995" spans="1:1" x14ac:dyDescent="0.25">
      <c r="A3995" s="66"/>
    </row>
    <row r="3996" spans="1:1" x14ac:dyDescent="0.25">
      <c r="A3996" s="66"/>
    </row>
    <row r="3997" spans="1:1" x14ac:dyDescent="0.25">
      <c r="A3997" s="66"/>
    </row>
    <row r="3998" spans="1:1" x14ac:dyDescent="0.25">
      <c r="A3998" s="66"/>
    </row>
    <row r="3999" spans="1:1" x14ac:dyDescent="0.25">
      <c r="A3999" s="66"/>
    </row>
    <row r="4000" spans="1:1" x14ac:dyDescent="0.25">
      <c r="A4000" s="66"/>
    </row>
    <row r="4001" spans="1:1" x14ac:dyDescent="0.25">
      <c r="A4001" s="66"/>
    </row>
    <row r="4002" spans="1:1" x14ac:dyDescent="0.25">
      <c r="A4002" s="66"/>
    </row>
    <row r="4003" spans="1:1" x14ac:dyDescent="0.25">
      <c r="A4003" s="66"/>
    </row>
    <row r="4004" spans="1:1" x14ac:dyDescent="0.25">
      <c r="A4004" s="66"/>
    </row>
    <row r="4005" spans="1:1" x14ac:dyDescent="0.25">
      <c r="A4005" s="66"/>
    </row>
    <row r="4006" spans="1:1" x14ac:dyDescent="0.25">
      <c r="A4006" s="66"/>
    </row>
    <row r="4007" spans="1:1" x14ac:dyDescent="0.25">
      <c r="A4007" s="66"/>
    </row>
    <row r="4008" spans="1:1" x14ac:dyDescent="0.25">
      <c r="A4008" s="66"/>
    </row>
    <row r="4009" spans="1:1" x14ac:dyDescent="0.25">
      <c r="A4009" s="66"/>
    </row>
    <row r="4010" spans="1:1" x14ac:dyDescent="0.25">
      <c r="A4010" s="66"/>
    </row>
    <row r="4011" spans="1:1" x14ac:dyDescent="0.25">
      <c r="A4011" s="66"/>
    </row>
    <row r="4012" spans="1:1" x14ac:dyDescent="0.25">
      <c r="A4012" s="66"/>
    </row>
    <row r="4013" spans="1:1" x14ac:dyDescent="0.25">
      <c r="A4013" s="66"/>
    </row>
    <row r="4014" spans="1:1" x14ac:dyDescent="0.25">
      <c r="A4014" s="66"/>
    </row>
    <row r="4015" spans="1:1" x14ac:dyDescent="0.25">
      <c r="A4015" s="66"/>
    </row>
    <row r="4016" spans="1:1" x14ac:dyDescent="0.25">
      <c r="A4016" s="66"/>
    </row>
    <row r="4017" spans="1:1" x14ac:dyDescent="0.25">
      <c r="A4017" s="66"/>
    </row>
    <row r="4018" spans="1:1" x14ac:dyDescent="0.25">
      <c r="A4018" s="66"/>
    </row>
    <row r="4019" spans="1:1" x14ac:dyDescent="0.25">
      <c r="A4019" s="66"/>
    </row>
    <row r="4020" spans="1:1" x14ac:dyDescent="0.25">
      <c r="A4020" s="66"/>
    </row>
    <row r="4021" spans="1:1" x14ac:dyDescent="0.25">
      <c r="A4021" s="66"/>
    </row>
    <row r="4022" spans="1:1" x14ac:dyDescent="0.25">
      <c r="A4022" s="66"/>
    </row>
    <row r="4023" spans="1:1" x14ac:dyDescent="0.25">
      <c r="A4023" s="66"/>
    </row>
    <row r="4024" spans="1:1" x14ac:dyDescent="0.25">
      <c r="A4024" s="66"/>
    </row>
    <row r="4025" spans="1:1" x14ac:dyDescent="0.25">
      <c r="A4025" s="66"/>
    </row>
    <row r="4026" spans="1:1" x14ac:dyDescent="0.25">
      <c r="A4026" s="66"/>
    </row>
    <row r="4027" spans="1:1" x14ac:dyDescent="0.25">
      <c r="A4027" s="66"/>
    </row>
    <row r="4028" spans="1:1" x14ac:dyDescent="0.25">
      <c r="A4028" s="66"/>
    </row>
    <row r="4029" spans="1:1" x14ac:dyDescent="0.25">
      <c r="A4029" s="66"/>
    </row>
    <row r="4030" spans="1:1" x14ac:dyDescent="0.25">
      <c r="A4030" s="66"/>
    </row>
    <row r="4031" spans="1:1" x14ac:dyDescent="0.25">
      <c r="A4031" s="66"/>
    </row>
    <row r="4032" spans="1:1" x14ac:dyDescent="0.25">
      <c r="A4032" s="66"/>
    </row>
    <row r="4033" spans="1:1" x14ac:dyDescent="0.25">
      <c r="A4033" s="66"/>
    </row>
    <row r="4034" spans="1:1" x14ac:dyDescent="0.25">
      <c r="A4034" s="66"/>
    </row>
    <row r="4035" spans="1:1" x14ac:dyDescent="0.25">
      <c r="A4035" s="66"/>
    </row>
    <row r="4036" spans="1:1" x14ac:dyDescent="0.25">
      <c r="A4036" s="66"/>
    </row>
    <row r="4037" spans="1:1" x14ac:dyDescent="0.25">
      <c r="A4037" s="66"/>
    </row>
    <row r="4038" spans="1:1" x14ac:dyDescent="0.25">
      <c r="A4038" s="66"/>
    </row>
    <row r="4039" spans="1:1" x14ac:dyDescent="0.25">
      <c r="A4039" s="66"/>
    </row>
    <row r="4040" spans="1:1" x14ac:dyDescent="0.25">
      <c r="A4040" s="66"/>
    </row>
    <row r="4041" spans="1:1" x14ac:dyDescent="0.25">
      <c r="A4041" s="66"/>
    </row>
    <row r="4042" spans="1:1" x14ac:dyDescent="0.25">
      <c r="A4042" s="66"/>
    </row>
    <row r="4043" spans="1:1" x14ac:dyDescent="0.25">
      <c r="A4043" s="66"/>
    </row>
    <row r="4044" spans="1:1" x14ac:dyDescent="0.25">
      <c r="A4044" s="66"/>
    </row>
    <row r="4045" spans="1:1" x14ac:dyDescent="0.25">
      <c r="A4045" s="66"/>
    </row>
    <row r="4046" spans="1:1" x14ac:dyDescent="0.25">
      <c r="A4046" s="66"/>
    </row>
    <row r="4047" spans="1:1" x14ac:dyDescent="0.25">
      <c r="A4047" s="66"/>
    </row>
    <row r="4048" spans="1:1" x14ac:dyDescent="0.25">
      <c r="A4048" s="66"/>
    </row>
    <row r="4049" spans="1:1" x14ac:dyDescent="0.25">
      <c r="A4049" s="66"/>
    </row>
    <row r="4050" spans="1:1" x14ac:dyDescent="0.25">
      <c r="A4050" s="66"/>
    </row>
    <row r="4051" spans="1:1" x14ac:dyDescent="0.25">
      <c r="A4051" s="66"/>
    </row>
    <row r="4052" spans="1:1" x14ac:dyDescent="0.25">
      <c r="A4052" s="66"/>
    </row>
    <row r="4053" spans="1:1" x14ac:dyDescent="0.25">
      <c r="A4053" s="66"/>
    </row>
    <row r="4054" spans="1:1" x14ac:dyDescent="0.25">
      <c r="A4054" s="66"/>
    </row>
    <row r="4055" spans="1:1" x14ac:dyDescent="0.25">
      <c r="A4055" s="66"/>
    </row>
    <row r="4056" spans="1:1" x14ac:dyDescent="0.25">
      <c r="A4056" s="66"/>
    </row>
    <row r="4057" spans="1:1" x14ac:dyDescent="0.25">
      <c r="A4057" s="66"/>
    </row>
    <row r="4058" spans="1:1" x14ac:dyDescent="0.25">
      <c r="A4058" s="66"/>
    </row>
    <row r="4059" spans="1:1" x14ac:dyDescent="0.25">
      <c r="A4059" s="66"/>
    </row>
    <row r="4060" spans="1:1" x14ac:dyDescent="0.25">
      <c r="A4060" s="66"/>
    </row>
    <row r="4061" spans="1:1" x14ac:dyDescent="0.25">
      <c r="A4061" s="66"/>
    </row>
    <row r="4062" spans="1:1" x14ac:dyDescent="0.25">
      <c r="A4062" s="66"/>
    </row>
    <row r="4063" spans="1:1" x14ac:dyDescent="0.25">
      <c r="A4063" s="66"/>
    </row>
    <row r="4064" spans="1:1" x14ac:dyDescent="0.25">
      <c r="A4064" s="66"/>
    </row>
    <row r="4065" spans="1:1" x14ac:dyDescent="0.25">
      <c r="A4065" s="66"/>
    </row>
    <row r="4066" spans="1:1" x14ac:dyDescent="0.25">
      <c r="A4066" s="66"/>
    </row>
    <row r="4067" spans="1:1" x14ac:dyDescent="0.25">
      <c r="A4067" s="66"/>
    </row>
    <row r="4068" spans="1:1" x14ac:dyDescent="0.25">
      <c r="A4068" s="66"/>
    </row>
    <row r="4069" spans="1:1" x14ac:dyDescent="0.25">
      <c r="A4069" s="66"/>
    </row>
    <row r="4070" spans="1:1" x14ac:dyDescent="0.25">
      <c r="A4070" s="66"/>
    </row>
    <row r="4071" spans="1:1" x14ac:dyDescent="0.25">
      <c r="A4071" s="66"/>
    </row>
    <row r="4072" spans="1:1" x14ac:dyDescent="0.25">
      <c r="A4072" s="66"/>
    </row>
    <row r="4073" spans="1:1" x14ac:dyDescent="0.25">
      <c r="A4073" s="66"/>
    </row>
    <row r="4074" spans="1:1" x14ac:dyDescent="0.25">
      <c r="A4074" s="66"/>
    </row>
    <row r="4075" spans="1:1" x14ac:dyDescent="0.25">
      <c r="A4075" s="66"/>
    </row>
    <row r="4076" spans="1:1" x14ac:dyDescent="0.25">
      <c r="A4076" s="66"/>
    </row>
    <row r="4077" spans="1:1" x14ac:dyDescent="0.25">
      <c r="A4077" s="66"/>
    </row>
    <row r="4078" spans="1:1" x14ac:dyDescent="0.25">
      <c r="A4078" s="66"/>
    </row>
    <row r="4079" spans="1:1" x14ac:dyDescent="0.25">
      <c r="A4079" s="66"/>
    </row>
    <row r="4080" spans="1:1" x14ac:dyDescent="0.25">
      <c r="A4080" s="66"/>
    </row>
    <row r="4081" spans="1:1" x14ac:dyDescent="0.25">
      <c r="A4081" s="66"/>
    </row>
    <row r="4082" spans="1:1" x14ac:dyDescent="0.25">
      <c r="A4082" s="66"/>
    </row>
    <row r="4083" spans="1:1" x14ac:dyDescent="0.25">
      <c r="A4083" s="66"/>
    </row>
    <row r="4084" spans="1:1" x14ac:dyDescent="0.25">
      <c r="A4084" s="66"/>
    </row>
    <row r="4085" spans="1:1" x14ac:dyDescent="0.25">
      <c r="A4085" s="66"/>
    </row>
    <row r="4086" spans="1:1" x14ac:dyDescent="0.25">
      <c r="A4086" s="66"/>
    </row>
    <row r="4087" spans="1:1" x14ac:dyDescent="0.25">
      <c r="A4087" s="66"/>
    </row>
    <row r="4088" spans="1:1" x14ac:dyDescent="0.25">
      <c r="A4088" s="66"/>
    </row>
    <row r="4089" spans="1:1" x14ac:dyDescent="0.25">
      <c r="A4089" s="66"/>
    </row>
    <row r="4090" spans="1:1" x14ac:dyDescent="0.25">
      <c r="A4090" s="66"/>
    </row>
    <row r="4091" spans="1:1" x14ac:dyDescent="0.25">
      <c r="A4091" s="66"/>
    </row>
    <row r="4092" spans="1:1" x14ac:dyDescent="0.25">
      <c r="A4092" s="66"/>
    </row>
    <row r="4093" spans="1:1" x14ac:dyDescent="0.25">
      <c r="A4093" s="66"/>
    </row>
    <row r="4094" spans="1:1" x14ac:dyDescent="0.25">
      <c r="A4094" s="66"/>
    </row>
    <row r="4095" spans="1:1" x14ac:dyDescent="0.25">
      <c r="A4095" s="66"/>
    </row>
    <row r="4096" spans="1:1" x14ac:dyDescent="0.25">
      <c r="A4096" s="66"/>
    </row>
    <row r="4097" spans="1:1" x14ac:dyDescent="0.25">
      <c r="A4097" s="66"/>
    </row>
    <row r="4098" spans="1:1" x14ac:dyDescent="0.25">
      <c r="A4098" s="66"/>
    </row>
    <row r="4099" spans="1:1" x14ac:dyDescent="0.25">
      <c r="A4099" s="66"/>
    </row>
    <row r="4100" spans="1:1" x14ac:dyDescent="0.25">
      <c r="A4100" s="66"/>
    </row>
    <row r="4101" spans="1:1" x14ac:dyDescent="0.25">
      <c r="A4101" s="66"/>
    </row>
    <row r="4102" spans="1:1" x14ac:dyDescent="0.25">
      <c r="A4102" s="66"/>
    </row>
    <row r="4103" spans="1:1" x14ac:dyDescent="0.25">
      <c r="A4103" s="66"/>
    </row>
    <row r="4104" spans="1:1" x14ac:dyDescent="0.25">
      <c r="A4104" s="66"/>
    </row>
    <row r="4105" spans="1:1" x14ac:dyDescent="0.25">
      <c r="A4105" s="66"/>
    </row>
    <row r="4106" spans="1:1" x14ac:dyDescent="0.25">
      <c r="A4106" s="66"/>
    </row>
    <row r="4107" spans="1:1" x14ac:dyDescent="0.25">
      <c r="A4107" s="66"/>
    </row>
    <row r="4108" spans="1:1" x14ac:dyDescent="0.25">
      <c r="A4108" s="66"/>
    </row>
    <row r="4109" spans="1:1" x14ac:dyDescent="0.25">
      <c r="A4109" s="66"/>
    </row>
    <row r="4110" spans="1:1" x14ac:dyDescent="0.25">
      <c r="A4110" s="66"/>
    </row>
    <row r="4111" spans="1:1" x14ac:dyDescent="0.25">
      <c r="A4111" s="66"/>
    </row>
    <row r="4112" spans="1:1" x14ac:dyDescent="0.25">
      <c r="A4112" s="66"/>
    </row>
    <row r="4113" spans="1:1" x14ac:dyDescent="0.25">
      <c r="A4113" s="66"/>
    </row>
    <row r="4114" spans="1:1" x14ac:dyDescent="0.25">
      <c r="A4114" s="66"/>
    </row>
    <row r="4115" spans="1:1" x14ac:dyDescent="0.25">
      <c r="A4115" s="66"/>
    </row>
    <row r="4116" spans="1:1" x14ac:dyDescent="0.25">
      <c r="A4116" s="66"/>
    </row>
    <row r="4117" spans="1:1" x14ac:dyDescent="0.25">
      <c r="A4117" s="66"/>
    </row>
    <row r="4118" spans="1:1" x14ac:dyDescent="0.25">
      <c r="A4118" s="66"/>
    </row>
    <row r="4119" spans="1:1" x14ac:dyDescent="0.25">
      <c r="A4119" s="66"/>
    </row>
    <row r="4120" spans="1:1" x14ac:dyDescent="0.25">
      <c r="A4120" s="66"/>
    </row>
    <row r="4121" spans="1:1" x14ac:dyDescent="0.25">
      <c r="A4121" s="66"/>
    </row>
    <row r="4122" spans="1:1" x14ac:dyDescent="0.25">
      <c r="A4122" s="66"/>
    </row>
    <row r="4123" spans="1:1" x14ac:dyDescent="0.25">
      <c r="A4123" s="66"/>
    </row>
    <row r="4124" spans="1:1" x14ac:dyDescent="0.25">
      <c r="A4124" s="66"/>
    </row>
    <row r="4125" spans="1:1" x14ac:dyDescent="0.25">
      <c r="A4125" s="66"/>
    </row>
    <row r="4126" spans="1:1" x14ac:dyDescent="0.25">
      <c r="A4126" s="66"/>
    </row>
    <row r="4127" spans="1:1" x14ac:dyDescent="0.25">
      <c r="A4127" s="66"/>
    </row>
    <row r="4128" spans="1:1" x14ac:dyDescent="0.25">
      <c r="A4128" s="66"/>
    </row>
    <row r="4129" spans="1:1" x14ac:dyDescent="0.25">
      <c r="A4129" s="66"/>
    </row>
    <row r="4130" spans="1:1" x14ac:dyDescent="0.25">
      <c r="A4130" s="66"/>
    </row>
    <row r="4131" spans="1:1" x14ac:dyDescent="0.25">
      <c r="A4131" s="66"/>
    </row>
    <row r="4132" spans="1:1" x14ac:dyDescent="0.25">
      <c r="A4132" s="66"/>
    </row>
    <row r="4133" spans="1:1" x14ac:dyDescent="0.25">
      <c r="A4133" s="66"/>
    </row>
    <row r="4134" spans="1:1" x14ac:dyDescent="0.25">
      <c r="A4134" s="66"/>
    </row>
    <row r="4135" spans="1:1" x14ac:dyDescent="0.25">
      <c r="A4135" s="66"/>
    </row>
    <row r="4136" spans="1:1" x14ac:dyDescent="0.25">
      <c r="A4136" s="66"/>
    </row>
    <row r="4137" spans="1:1" x14ac:dyDescent="0.25">
      <c r="A4137" s="66"/>
    </row>
    <row r="4138" spans="1:1" x14ac:dyDescent="0.25">
      <c r="A4138" s="66"/>
    </row>
    <row r="4139" spans="1:1" x14ac:dyDescent="0.25">
      <c r="A4139" s="66"/>
    </row>
    <row r="4140" spans="1:1" x14ac:dyDescent="0.25">
      <c r="A4140" s="66"/>
    </row>
    <row r="4141" spans="1:1" x14ac:dyDescent="0.25">
      <c r="A4141" s="66"/>
    </row>
    <row r="4142" spans="1:1" x14ac:dyDescent="0.25">
      <c r="A4142" s="66"/>
    </row>
    <row r="4143" spans="1:1" x14ac:dyDescent="0.25">
      <c r="A4143" s="66"/>
    </row>
    <row r="4144" spans="1:1" x14ac:dyDescent="0.25">
      <c r="A4144" s="66"/>
    </row>
    <row r="4145" spans="1:1" x14ac:dyDescent="0.25">
      <c r="A4145" s="66"/>
    </row>
    <row r="4146" spans="1:1" x14ac:dyDescent="0.25">
      <c r="A4146" s="66"/>
    </row>
    <row r="4147" spans="1:1" x14ac:dyDescent="0.25">
      <c r="A4147" s="66"/>
    </row>
    <row r="4148" spans="1:1" x14ac:dyDescent="0.25">
      <c r="A4148" s="66"/>
    </row>
    <row r="4149" spans="1:1" x14ac:dyDescent="0.25">
      <c r="A4149" s="66"/>
    </row>
    <row r="4150" spans="1:1" x14ac:dyDescent="0.25">
      <c r="A4150" s="66"/>
    </row>
    <row r="4151" spans="1:1" x14ac:dyDescent="0.25">
      <c r="A4151" s="66"/>
    </row>
    <row r="4152" spans="1:1" x14ac:dyDescent="0.25">
      <c r="A4152" s="66"/>
    </row>
    <row r="4153" spans="1:1" x14ac:dyDescent="0.25">
      <c r="A4153" s="66"/>
    </row>
    <row r="4154" spans="1:1" x14ac:dyDescent="0.25">
      <c r="A4154" s="66"/>
    </row>
    <row r="4155" spans="1:1" x14ac:dyDescent="0.25">
      <c r="A4155" s="66"/>
    </row>
    <row r="4156" spans="1:1" x14ac:dyDescent="0.25">
      <c r="A4156" s="66"/>
    </row>
    <row r="4157" spans="1:1" x14ac:dyDescent="0.25">
      <c r="A4157" s="66"/>
    </row>
    <row r="4158" spans="1:1" x14ac:dyDescent="0.25">
      <c r="A4158" s="66"/>
    </row>
    <row r="4159" spans="1:1" x14ac:dyDescent="0.25">
      <c r="A4159" s="66"/>
    </row>
    <row r="4160" spans="1:1" x14ac:dyDescent="0.25">
      <c r="A4160" s="66"/>
    </row>
    <row r="4161" spans="1:1" x14ac:dyDescent="0.25">
      <c r="A4161" s="66"/>
    </row>
    <row r="4162" spans="1:1" x14ac:dyDescent="0.25">
      <c r="A4162" s="66"/>
    </row>
    <row r="4163" spans="1:1" x14ac:dyDescent="0.25">
      <c r="A4163" s="66"/>
    </row>
    <row r="4164" spans="1:1" x14ac:dyDescent="0.25">
      <c r="A4164" s="66"/>
    </row>
    <row r="4165" spans="1:1" x14ac:dyDescent="0.25">
      <c r="A4165" s="66"/>
    </row>
    <row r="4166" spans="1:1" x14ac:dyDescent="0.25">
      <c r="A4166" s="66"/>
    </row>
    <row r="4167" spans="1:1" x14ac:dyDescent="0.25">
      <c r="A4167" s="66"/>
    </row>
    <row r="4168" spans="1:1" x14ac:dyDescent="0.25">
      <c r="A4168" s="66"/>
    </row>
    <row r="4169" spans="1:1" x14ac:dyDescent="0.25">
      <c r="A4169" s="66"/>
    </row>
    <row r="4170" spans="1:1" x14ac:dyDescent="0.25">
      <c r="A4170" s="66"/>
    </row>
    <row r="4171" spans="1:1" x14ac:dyDescent="0.25">
      <c r="A4171" s="66"/>
    </row>
    <row r="4172" spans="1:1" x14ac:dyDescent="0.25">
      <c r="A4172" s="66"/>
    </row>
    <row r="4173" spans="1:1" x14ac:dyDescent="0.25">
      <c r="A4173" s="66"/>
    </row>
    <row r="4174" spans="1:1" x14ac:dyDescent="0.25">
      <c r="A4174" s="66"/>
    </row>
    <row r="4175" spans="1:1" x14ac:dyDescent="0.25">
      <c r="A4175" s="66"/>
    </row>
    <row r="4176" spans="1:1" x14ac:dyDescent="0.25">
      <c r="A4176" s="66"/>
    </row>
    <row r="4177" spans="1:1" x14ac:dyDescent="0.25">
      <c r="A4177" s="66"/>
    </row>
    <row r="4178" spans="1:1" x14ac:dyDescent="0.25">
      <c r="A4178" s="66"/>
    </row>
    <row r="4179" spans="1:1" x14ac:dyDescent="0.25">
      <c r="A4179" s="66"/>
    </row>
    <row r="4180" spans="1:1" x14ac:dyDescent="0.25">
      <c r="A4180" s="66"/>
    </row>
    <row r="4181" spans="1:1" x14ac:dyDescent="0.25">
      <c r="A4181" s="66"/>
    </row>
    <row r="4182" spans="1:1" x14ac:dyDescent="0.25">
      <c r="A4182" s="66"/>
    </row>
    <row r="4183" spans="1:1" x14ac:dyDescent="0.25">
      <c r="A4183" s="66"/>
    </row>
    <row r="4184" spans="1:1" x14ac:dyDescent="0.25">
      <c r="A4184" s="66"/>
    </row>
    <row r="4185" spans="1:1" x14ac:dyDescent="0.25">
      <c r="A4185" s="66"/>
    </row>
    <row r="4186" spans="1:1" x14ac:dyDescent="0.25">
      <c r="A4186" s="66"/>
    </row>
    <row r="4187" spans="1:1" x14ac:dyDescent="0.25">
      <c r="A4187" s="66"/>
    </row>
    <row r="4188" spans="1:1" x14ac:dyDescent="0.25">
      <c r="A4188" s="66"/>
    </row>
    <row r="4189" spans="1:1" x14ac:dyDescent="0.25">
      <c r="A4189" s="66"/>
    </row>
    <row r="4190" spans="1:1" x14ac:dyDescent="0.25">
      <c r="A4190" s="66"/>
    </row>
    <row r="4191" spans="1:1" x14ac:dyDescent="0.25">
      <c r="A4191" s="66"/>
    </row>
    <row r="4192" spans="1:1" x14ac:dyDescent="0.25">
      <c r="A4192" s="66"/>
    </row>
    <row r="4193" spans="1:1" x14ac:dyDescent="0.25">
      <c r="A4193" s="66"/>
    </row>
    <row r="4194" spans="1:1" x14ac:dyDescent="0.25">
      <c r="A4194" s="66"/>
    </row>
    <row r="4195" spans="1:1" x14ac:dyDescent="0.25">
      <c r="A4195" s="66"/>
    </row>
    <row r="4196" spans="1:1" x14ac:dyDescent="0.25">
      <c r="A4196" s="66"/>
    </row>
    <row r="4197" spans="1:1" x14ac:dyDescent="0.25">
      <c r="A4197" s="66"/>
    </row>
    <row r="4198" spans="1:1" x14ac:dyDescent="0.25">
      <c r="A4198" s="66"/>
    </row>
    <row r="4199" spans="1:1" x14ac:dyDescent="0.25">
      <c r="A4199" s="66"/>
    </row>
    <row r="4200" spans="1:1" x14ac:dyDescent="0.25">
      <c r="A4200" s="66"/>
    </row>
    <row r="4201" spans="1:1" x14ac:dyDescent="0.25">
      <c r="A4201" s="66"/>
    </row>
    <row r="4202" spans="1:1" x14ac:dyDescent="0.25">
      <c r="A4202" s="66"/>
    </row>
    <row r="4203" spans="1:1" x14ac:dyDescent="0.25">
      <c r="A4203" s="66"/>
    </row>
    <row r="4204" spans="1:1" x14ac:dyDescent="0.25">
      <c r="A4204" s="66"/>
    </row>
    <row r="4205" spans="1:1" x14ac:dyDescent="0.25">
      <c r="A4205" s="66"/>
    </row>
    <row r="4206" spans="1:1" x14ac:dyDescent="0.25">
      <c r="A4206" s="66"/>
    </row>
    <row r="4207" spans="1:1" x14ac:dyDescent="0.25">
      <c r="A4207" s="66"/>
    </row>
    <row r="4208" spans="1:1" x14ac:dyDescent="0.25">
      <c r="A4208" s="66"/>
    </row>
    <row r="4209" spans="1:1" x14ac:dyDescent="0.25">
      <c r="A4209" s="66"/>
    </row>
    <row r="4210" spans="1:1" x14ac:dyDescent="0.25">
      <c r="A4210" s="66"/>
    </row>
    <row r="4211" spans="1:1" x14ac:dyDescent="0.25">
      <c r="A4211" s="66"/>
    </row>
    <row r="4212" spans="1:1" x14ac:dyDescent="0.25">
      <c r="A4212" s="66"/>
    </row>
    <row r="4213" spans="1:1" x14ac:dyDescent="0.25">
      <c r="A4213" s="66"/>
    </row>
    <row r="4214" spans="1:1" x14ac:dyDescent="0.25">
      <c r="A4214" s="66"/>
    </row>
    <row r="4215" spans="1:1" x14ac:dyDescent="0.25">
      <c r="A4215" s="66"/>
    </row>
    <row r="4216" spans="1:1" x14ac:dyDescent="0.25">
      <c r="A4216" s="66"/>
    </row>
    <row r="4217" spans="1:1" x14ac:dyDescent="0.25">
      <c r="A4217" s="66"/>
    </row>
    <row r="4218" spans="1:1" x14ac:dyDescent="0.25">
      <c r="A4218" s="66"/>
    </row>
    <row r="4219" spans="1:1" x14ac:dyDescent="0.25">
      <c r="A4219" s="66"/>
    </row>
    <row r="4220" spans="1:1" x14ac:dyDescent="0.25">
      <c r="A4220" s="66"/>
    </row>
    <row r="4221" spans="1:1" x14ac:dyDescent="0.25">
      <c r="A4221" s="66"/>
    </row>
    <row r="4222" spans="1:1" x14ac:dyDescent="0.25">
      <c r="A4222" s="66"/>
    </row>
    <row r="4223" spans="1:1" x14ac:dyDescent="0.25">
      <c r="A4223" s="66"/>
    </row>
    <row r="4224" spans="1:1" x14ac:dyDescent="0.25">
      <c r="A4224" s="66"/>
    </row>
    <row r="4225" spans="1:1" x14ac:dyDescent="0.25">
      <c r="A4225" s="66"/>
    </row>
    <row r="4226" spans="1:1" x14ac:dyDescent="0.25">
      <c r="A4226" s="66"/>
    </row>
    <row r="4227" spans="1:1" x14ac:dyDescent="0.25">
      <c r="A4227" s="66"/>
    </row>
    <row r="4228" spans="1:1" x14ac:dyDescent="0.25">
      <c r="A4228" s="66"/>
    </row>
    <row r="4229" spans="1:1" x14ac:dyDescent="0.25">
      <c r="A4229" s="66"/>
    </row>
    <row r="4230" spans="1:1" x14ac:dyDescent="0.25">
      <c r="A4230" s="66"/>
    </row>
    <row r="4231" spans="1:1" x14ac:dyDescent="0.25">
      <c r="A4231" s="66"/>
    </row>
    <row r="4232" spans="1:1" x14ac:dyDescent="0.25">
      <c r="A4232" s="66"/>
    </row>
    <row r="4233" spans="1:1" x14ac:dyDescent="0.25">
      <c r="A4233" s="66"/>
    </row>
    <row r="4234" spans="1:1" x14ac:dyDescent="0.25">
      <c r="A4234" s="66"/>
    </row>
    <row r="4235" spans="1:1" x14ac:dyDescent="0.25">
      <c r="A4235" s="66"/>
    </row>
    <row r="4236" spans="1:1" x14ac:dyDescent="0.25">
      <c r="A4236" s="66"/>
    </row>
    <row r="4237" spans="1:1" x14ac:dyDescent="0.25">
      <c r="A4237" s="66"/>
    </row>
    <row r="4238" spans="1:1" x14ac:dyDescent="0.25">
      <c r="A4238" s="66"/>
    </row>
    <row r="4239" spans="1:1" x14ac:dyDescent="0.25">
      <c r="A4239" s="66"/>
    </row>
    <row r="4240" spans="1:1" x14ac:dyDescent="0.25">
      <c r="A4240" s="66"/>
    </row>
    <row r="4241" spans="1:1" x14ac:dyDescent="0.25">
      <c r="A4241" s="66"/>
    </row>
    <row r="4242" spans="1:1" x14ac:dyDescent="0.25">
      <c r="A4242" s="66"/>
    </row>
    <row r="4243" spans="1:1" x14ac:dyDescent="0.25">
      <c r="A4243" s="66"/>
    </row>
    <row r="4244" spans="1:1" x14ac:dyDescent="0.25">
      <c r="A4244" s="66"/>
    </row>
    <row r="4245" spans="1:1" x14ac:dyDescent="0.25">
      <c r="A4245" s="66"/>
    </row>
    <row r="4246" spans="1:1" x14ac:dyDescent="0.25">
      <c r="A4246" s="66"/>
    </row>
    <row r="4247" spans="1:1" x14ac:dyDescent="0.25">
      <c r="A4247" s="66"/>
    </row>
    <row r="4248" spans="1:1" x14ac:dyDescent="0.25">
      <c r="A4248" s="66"/>
    </row>
    <row r="4249" spans="1:1" x14ac:dyDescent="0.25">
      <c r="A4249" s="66"/>
    </row>
    <row r="4250" spans="1:1" x14ac:dyDescent="0.25">
      <c r="A4250" s="66"/>
    </row>
    <row r="4251" spans="1:1" x14ac:dyDescent="0.25">
      <c r="A4251" s="66"/>
    </row>
    <row r="4252" spans="1:1" x14ac:dyDescent="0.25">
      <c r="A4252" s="66"/>
    </row>
    <row r="4253" spans="1:1" x14ac:dyDescent="0.25">
      <c r="A4253" s="66"/>
    </row>
    <row r="4254" spans="1:1" x14ac:dyDescent="0.25">
      <c r="A4254" s="66"/>
    </row>
    <row r="4255" spans="1:1" x14ac:dyDescent="0.25">
      <c r="A4255" s="66"/>
    </row>
    <row r="4256" spans="1:1" x14ac:dyDescent="0.25">
      <c r="A4256" s="66"/>
    </row>
    <row r="4257" spans="1:1" x14ac:dyDescent="0.25">
      <c r="A4257" s="66"/>
    </row>
    <row r="4258" spans="1:1" x14ac:dyDescent="0.25">
      <c r="A4258" s="66"/>
    </row>
    <row r="4259" spans="1:1" x14ac:dyDescent="0.25">
      <c r="A4259" s="66"/>
    </row>
    <row r="4260" spans="1:1" x14ac:dyDescent="0.25">
      <c r="A4260" s="66"/>
    </row>
    <row r="4261" spans="1:1" x14ac:dyDescent="0.25">
      <c r="A4261" s="66"/>
    </row>
    <row r="4262" spans="1:1" x14ac:dyDescent="0.25">
      <c r="A4262" s="66"/>
    </row>
    <row r="4263" spans="1:1" x14ac:dyDescent="0.25">
      <c r="A4263" s="66"/>
    </row>
    <row r="4264" spans="1:1" x14ac:dyDescent="0.25">
      <c r="A4264" s="66"/>
    </row>
    <row r="4265" spans="1:1" x14ac:dyDescent="0.25">
      <c r="A4265" s="66"/>
    </row>
    <row r="4266" spans="1:1" x14ac:dyDescent="0.25">
      <c r="A4266" s="66"/>
    </row>
    <row r="4267" spans="1:1" x14ac:dyDescent="0.25">
      <c r="A4267" s="66"/>
    </row>
    <row r="4268" spans="1:1" x14ac:dyDescent="0.25">
      <c r="A4268" s="66"/>
    </row>
    <row r="4269" spans="1:1" x14ac:dyDescent="0.25">
      <c r="A4269" s="66"/>
    </row>
    <row r="4270" spans="1:1" x14ac:dyDescent="0.25">
      <c r="A4270" s="66"/>
    </row>
    <row r="4271" spans="1:1" x14ac:dyDescent="0.25">
      <c r="A4271" s="66"/>
    </row>
    <row r="4272" spans="1:1" x14ac:dyDescent="0.25">
      <c r="A4272" s="66"/>
    </row>
    <row r="4273" spans="1:1" x14ac:dyDescent="0.25">
      <c r="A4273" s="66"/>
    </row>
    <row r="4274" spans="1:1" x14ac:dyDescent="0.25">
      <c r="A4274" s="66"/>
    </row>
    <row r="4275" spans="1:1" x14ac:dyDescent="0.25">
      <c r="A4275" s="66"/>
    </row>
    <row r="4276" spans="1:1" x14ac:dyDescent="0.25">
      <c r="A4276" s="66"/>
    </row>
    <row r="4277" spans="1:1" x14ac:dyDescent="0.25">
      <c r="A4277" s="66"/>
    </row>
    <row r="4278" spans="1:1" x14ac:dyDescent="0.25">
      <c r="A4278" s="66"/>
    </row>
    <row r="4279" spans="1:1" x14ac:dyDescent="0.25">
      <c r="A4279" s="66"/>
    </row>
    <row r="4280" spans="1:1" x14ac:dyDescent="0.25">
      <c r="A4280" s="66"/>
    </row>
    <row r="4281" spans="1:1" x14ac:dyDescent="0.25">
      <c r="A4281" s="66"/>
    </row>
    <row r="4282" spans="1:1" x14ac:dyDescent="0.25">
      <c r="A4282" s="66"/>
    </row>
    <row r="4283" spans="1:1" x14ac:dyDescent="0.25">
      <c r="A4283" s="66"/>
    </row>
    <row r="4284" spans="1:1" x14ac:dyDescent="0.25">
      <c r="A4284" s="66"/>
    </row>
    <row r="4285" spans="1:1" x14ac:dyDescent="0.25">
      <c r="A4285" s="66"/>
    </row>
    <row r="4286" spans="1:1" x14ac:dyDescent="0.25">
      <c r="A4286" s="66"/>
    </row>
    <row r="4287" spans="1:1" x14ac:dyDescent="0.25">
      <c r="A4287" s="66"/>
    </row>
    <row r="4288" spans="1:1" x14ac:dyDescent="0.25">
      <c r="A4288" s="66"/>
    </row>
    <row r="4289" spans="1:1" x14ac:dyDescent="0.25">
      <c r="A4289" s="66"/>
    </row>
    <row r="4290" spans="1:1" x14ac:dyDescent="0.25">
      <c r="A4290" s="66"/>
    </row>
    <row r="4291" spans="1:1" x14ac:dyDescent="0.25">
      <c r="A4291" s="66"/>
    </row>
    <row r="4292" spans="1:1" x14ac:dyDescent="0.25">
      <c r="A4292" s="66"/>
    </row>
    <row r="4293" spans="1:1" x14ac:dyDescent="0.25">
      <c r="A4293" s="66"/>
    </row>
    <row r="4294" spans="1:1" x14ac:dyDescent="0.25">
      <c r="A4294" s="66"/>
    </row>
    <row r="4295" spans="1:1" x14ac:dyDescent="0.25">
      <c r="A4295" s="66"/>
    </row>
    <row r="4296" spans="1:1" x14ac:dyDescent="0.25">
      <c r="A4296" s="66"/>
    </row>
    <row r="4297" spans="1:1" x14ac:dyDescent="0.25">
      <c r="A4297" s="66"/>
    </row>
    <row r="4298" spans="1:1" x14ac:dyDescent="0.25">
      <c r="A4298" s="66"/>
    </row>
    <row r="4299" spans="1:1" x14ac:dyDescent="0.25">
      <c r="A4299" s="66"/>
    </row>
    <row r="4300" spans="1:1" x14ac:dyDescent="0.25">
      <c r="A4300" s="66"/>
    </row>
    <row r="4301" spans="1:1" x14ac:dyDescent="0.25">
      <c r="A4301" s="66"/>
    </row>
    <row r="4302" spans="1:1" x14ac:dyDescent="0.25">
      <c r="A4302" s="66"/>
    </row>
    <row r="4303" spans="1:1" x14ac:dyDescent="0.25">
      <c r="A4303" s="66"/>
    </row>
    <row r="4304" spans="1:1" x14ac:dyDescent="0.25">
      <c r="A4304" s="66"/>
    </row>
    <row r="4305" spans="1:1" x14ac:dyDescent="0.25">
      <c r="A4305" s="66"/>
    </row>
    <row r="4306" spans="1:1" x14ac:dyDescent="0.25">
      <c r="A4306" s="66"/>
    </row>
    <row r="4307" spans="1:1" x14ac:dyDescent="0.25">
      <c r="A4307" s="66"/>
    </row>
    <row r="4308" spans="1:1" x14ac:dyDescent="0.25">
      <c r="A4308" s="66"/>
    </row>
    <row r="4309" spans="1:1" x14ac:dyDescent="0.25">
      <c r="A4309" s="66"/>
    </row>
    <row r="4310" spans="1:1" x14ac:dyDescent="0.25">
      <c r="A4310" s="66"/>
    </row>
    <row r="4311" spans="1:1" x14ac:dyDescent="0.25">
      <c r="A4311" s="66"/>
    </row>
    <row r="4312" spans="1:1" x14ac:dyDescent="0.25">
      <c r="A4312" s="66"/>
    </row>
    <row r="4313" spans="1:1" x14ac:dyDescent="0.25">
      <c r="A4313" s="66"/>
    </row>
    <row r="4314" spans="1:1" x14ac:dyDescent="0.25">
      <c r="A4314" s="66"/>
    </row>
    <row r="4315" spans="1:1" x14ac:dyDescent="0.25">
      <c r="A4315" s="66"/>
    </row>
    <row r="4316" spans="1:1" x14ac:dyDescent="0.25">
      <c r="A4316" s="66"/>
    </row>
    <row r="4317" spans="1:1" x14ac:dyDescent="0.25">
      <c r="A4317" s="66"/>
    </row>
    <row r="4318" spans="1:1" x14ac:dyDescent="0.25">
      <c r="A4318" s="66"/>
    </row>
    <row r="4319" spans="1:1" x14ac:dyDescent="0.25">
      <c r="A4319" s="66"/>
    </row>
    <row r="4320" spans="1:1" x14ac:dyDescent="0.25">
      <c r="A4320" s="66"/>
    </row>
    <row r="4321" spans="1:1" x14ac:dyDescent="0.25">
      <c r="A4321" s="66"/>
    </row>
    <row r="4322" spans="1:1" x14ac:dyDescent="0.25">
      <c r="A4322" s="66"/>
    </row>
    <row r="4323" spans="1:1" x14ac:dyDescent="0.25">
      <c r="A4323" s="66"/>
    </row>
    <row r="4324" spans="1:1" x14ac:dyDescent="0.25">
      <c r="A4324" s="66"/>
    </row>
    <row r="4325" spans="1:1" x14ac:dyDescent="0.25">
      <c r="A4325" s="66"/>
    </row>
    <row r="4326" spans="1:1" x14ac:dyDescent="0.25">
      <c r="A4326" s="66"/>
    </row>
    <row r="4327" spans="1:1" x14ac:dyDescent="0.25">
      <c r="A4327" s="66"/>
    </row>
    <row r="4328" spans="1:1" x14ac:dyDescent="0.25">
      <c r="A4328" s="66"/>
    </row>
    <row r="4329" spans="1:1" x14ac:dyDescent="0.25">
      <c r="A4329" s="66"/>
    </row>
    <row r="4330" spans="1:1" x14ac:dyDescent="0.25">
      <c r="A4330" s="66"/>
    </row>
    <row r="4331" spans="1:1" x14ac:dyDescent="0.25">
      <c r="A4331" s="66"/>
    </row>
    <row r="4332" spans="1:1" x14ac:dyDescent="0.25">
      <c r="A4332" s="66"/>
    </row>
    <row r="4333" spans="1:1" x14ac:dyDescent="0.25">
      <c r="A4333" s="66"/>
    </row>
    <row r="4334" spans="1:1" x14ac:dyDescent="0.25">
      <c r="A4334" s="66"/>
    </row>
    <row r="4335" spans="1:1" x14ac:dyDescent="0.25">
      <c r="A4335" s="66"/>
    </row>
    <row r="4336" spans="1:1" x14ac:dyDescent="0.25">
      <c r="A4336" s="66"/>
    </row>
    <row r="4337" spans="1:1" x14ac:dyDescent="0.25">
      <c r="A4337" s="66"/>
    </row>
    <row r="4338" spans="1:1" x14ac:dyDescent="0.25">
      <c r="A4338" s="66"/>
    </row>
    <row r="4339" spans="1:1" x14ac:dyDescent="0.25">
      <c r="A4339" s="66"/>
    </row>
    <row r="4340" spans="1:1" x14ac:dyDescent="0.25">
      <c r="A4340" s="66"/>
    </row>
    <row r="4341" spans="1:1" x14ac:dyDescent="0.25">
      <c r="A4341" s="66"/>
    </row>
    <row r="4342" spans="1:1" x14ac:dyDescent="0.25">
      <c r="A4342" s="66"/>
    </row>
    <row r="4343" spans="1:1" x14ac:dyDescent="0.25">
      <c r="A4343" s="66"/>
    </row>
    <row r="4344" spans="1:1" x14ac:dyDescent="0.25">
      <c r="A4344" s="66"/>
    </row>
    <row r="4345" spans="1:1" x14ac:dyDescent="0.25">
      <c r="A4345" s="66"/>
    </row>
    <row r="4346" spans="1:1" x14ac:dyDescent="0.25">
      <c r="A4346" s="66"/>
    </row>
    <row r="4347" spans="1:1" x14ac:dyDescent="0.25">
      <c r="A4347" s="66"/>
    </row>
    <row r="4348" spans="1:1" x14ac:dyDescent="0.25">
      <c r="A4348" s="66"/>
    </row>
    <row r="4349" spans="1:1" x14ac:dyDescent="0.25">
      <c r="A4349" s="66"/>
    </row>
    <row r="4350" spans="1:1" x14ac:dyDescent="0.25">
      <c r="A4350" s="66"/>
    </row>
    <row r="4351" spans="1:1" x14ac:dyDescent="0.25">
      <c r="A4351" s="66"/>
    </row>
    <row r="4352" spans="1:1" x14ac:dyDescent="0.25">
      <c r="A4352" s="66"/>
    </row>
    <row r="4353" spans="1:1" x14ac:dyDescent="0.25">
      <c r="A4353" s="66"/>
    </row>
    <row r="4354" spans="1:1" x14ac:dyDescent="0.25">
      <c r="A4354" s="66"/>
    </row>
    <row r="4355" spans="1:1" x14ac:dyDescent="0.25">
      <c r="A4355" s="66"/>
    </row>
    <row r="4356" spans="1:1" x14ac:dyDescent="0.25">
      <c r="A4356" s="66"/>
    </row>
    <row r="4357" spans="1:1" x14ac:dyDescent="0.25">
      <c r="A4357" s="66"/>
    </row>
    <row r="4358" spans="1:1" x14ac:dyDescent="0.25">
      <c r="A4358" s="66"/>
    </row>
    <row r="4359" spans="1:1" x14ac:dyDescent="0.25">
      <c r="A4359" s="66"/>
    </row>
    <row r="4360" spans="1:1" x14ac:dyDescent="0.25">
      <c r="A4360" s="66"/>
    </row>
    <row r="4361" spans="1:1" x14ac:dyDescent="0.25">
      <c r="A4361" s="66"/>
    </row>
    <row r="4362" spans="1:1" x14ac:dyDescent="0.25">
      <c r="A4362" s="66"/>
    </row>
    <row r="4363" spans="1:1" x14ac:dyDescent="0.25">
      <c r="A4363" s="66"/>
    </row>
    <row r="4364" spans="1:1" x14ac:dyDescent="0.25">
      <c r="A4364" s="66"/>
    </row>
    <row r="4365" spans="1:1" x14ac:dyDescent="0.25">
      <c r="A4365" s="66"/>
    </row>
    <row r="4366" spans="1:1" x14ac:dyDescent="0.25">
      <c r="A4366" s="66"/>
    </row>
    <row r="4367" spans="1:1" x14ac:dyDescent="0.25">
      <c r="A4367" s="66"/>
    </row>
    <row r="4368" spans="1:1" x14ac:dyDescent="0.25">
      <c r="A4368" s="66"/>
    </row>
    <row r="4369" spans="1:1" x14ac:dyDescent="0.25">
      <c r="A4369" s="66"/>
    </row>
    <row r="4370" spans="1:1" x14ac:dyDescent="0.25">
      <c r="A4370" s="66"/>
    </row>
    <row r="4371" spans="1:1" x14ac:dyDescent="0.25">
      <c r="A4371" s="66"/>
    </row>
    <row r="4372" spans="1:1" x14ac:dyDescent="0.25">
      <c r="A4372" s="66"/>
    </row>
    <row r="4373" spans="1:1" x14ac:dyDescent="0.25">
      <c r="A4373" s="66"/>
    </row>
    <row r="4374" spans="1:1" x14ac:dyDescent="0.25">
      <c r="A4374" s="66"/>
    </row>
    <row r="4375" spans="1:1" x14ac:dyDescent="0.25">
      <c r="A4375" s="66"/>
    </row>
    <row r="4376" spans="1:1" x14ac:dyDescent="0.25">
      <c r="A4376" s="66"/>
    </row>
    <row r="4377" spans="1:1" x14ac:dyDescent="0.25">
      <c r="A4377" s="66"/>
    </row>
    <row r="4378" spans="1:1" x14ac:dyDescent="0.25">
      <c r="A4378" s="66"/>
    </row>
    <row r="4379" spans="1:1" x14ac:dyDescent="0.25">
      <c r="A4379" s="66"/>
    </row>
    <row r="4380" spans="1:1" x14ac:dyDescent="0.25">
      <c r="A4380" s="66"/>
    </row>
    <row r="4381" spans="1:1" x14ac:dyDescent="0.25">
      <c r="A4381" s="66"/>
    </row>
    <row r="4382" spans="1:1" x14ac:dyDescent="0.25">
      <c r="A4382" s="66"/>
    </row>
    <row r="4383" spans="1:1" x14ac:dyDescent="0.25">
      <c r="A4383" s="66"/>
    </row>
    <row r="4384" spans="1:1" x14ac:dyDescent="0.25">
      <c r="A4384" s="66"/>
    </row>
    <row r="4385" spans="1:1" x14ac:dyDescent="0.25">
      <c r="A4385" s="66"/>
    </row>
    <row r="4386" spans="1:1" x14ac:dyDescent="0.25">
      <c r="A4386" s="66"/>
    </row>
    <row r="4387" spans="1:1" x14ac:dyDescent="0.25">
      <c r="A4387" s="66"/>
    </row>
    <row r="4388" spans="1:1" x14ac:dyDescent="0.25">
      <c r="A4388" s="66"/>
    </row>
    <row r="4389" spans="1:1" x14ac:dyDescent="0.25">
      <c r="A4389" s="66"/>
    </row>
    <row r="4390" spans="1:1" x14ac:dyDescent="0.25">
      <c r="A4390" s="66"/>
    </row>
    <row r="4391" spans="1:1" x14ac:dyDescent="0.25">
      <c r="A4391" s="66"/>
    </row>
    <row r="4392" spans="1:1" x14ac:dyDescent="0.25">
      <c r="A4392" s="66"/>
    </row>
    <row r="4393" spans="1:1" x14ac:dyDescent="0.25">
      <c r="A4393" s="66"/>
    </row>
    <row r="4394" spans="1:1" x14ac:dyDescent="0.25">
      <c r="A4394" s="66"/>
    </row>
    <row r="4395" spans="1:1" x14ac:dyDescent="0.25">
      <c r="A4395" s="66"/>
    </row>
    <row r="4396" spans="1:1" x14ac:dyDescent="0.25">
      <c r="A4396" s="66"/>
    </row>
    <row r="4397" spans="1:1" x14ac:dyDescent="0.25">
      <c r="A4397" s="66"/>
    </row>
    <row r="4398" spans="1:1" x14ac:dyDescent="0.25">
      <c r="A4398" s="66"/>
    </row>
    <row r="4399" spans="1:1" x14ac:dyDescent="0.25">
      <c r="A4399" s="66"/>
    </row>
    <row r="4400" spans="1:1" x14ac:dyDescent="0.25">
      <c r="A4400" s="66"/>
    </row>
    <row r="4401" spans="1:1" x14ac:dyDescent="0.25">
      <c r="A4401" s="66"/>
    </row>
    <row r="4402" spans="1:1" x14ac:dyDescent="0.25">
      <c r="A4402" s="66"/>
    </row>
    <row r="4403" spans="1:1" x14ac:dyDescent="0.25">
      <c r="A4403" s="66"/>
    </row>
    <row r="4404" spans="1:1" x14ac:dyDescent="0.25">
      <c r="A4404" s="66"/>
    </row>
    <row r="4405" spans="1:1" x14ac:dyDescent="0.25">
      <c r="A4405" s="66"/>
    </row>
    <row r="4406" spans="1:1" x14ac:dyDescent="0.25">
      <c r="A4406" s="66"/>
    </row>
    <row r="4407" spans="1:1" x14ac:dyDescent="0.25">
      <c r="A4407" s="66"/>
    </row>
    <row r="4408" spans="1:1" x14ac:dyDescent="0.25">
      <c r="A4408" s="66"/>
    </row>
    <row r="4409" spans="1:1" x14ac:dyDescent="0.25">
      <c r="A4409" s="66"/>
    </row>
    <row r="4410" spans="1:1" x14ac:dyDescent="0.25">
      <c r="A4410" s="66"/>
    </row>
    <row r="4411" spans="1:1" x14ac:dyDescent="0.25">
      <c r="A4411" s="66"/>
    </row>
    <row r="4412" spans="1:1" x14ac:dyDescent="0.25">
      <c r="A4412" s="66"/>
    </row>
    <row r="4413" spans="1:1" x14ac:dyDescent="0.25">
      <c r="A4413" s="66"/>
    </row>
    <row r="4414" spans="1:1" x14ac:dyDescent="0.25">
      <c r="A4414" s="66"/>
    </row>
    <row r="4415" spans="1:1" x14ac:dyDescent="0.25">
      <c r="A4415" s="66"/>
    </row>
    <row r="4416" spans="1:1" x14ac:dyDescent="0.25">
      <c r="A4416" s="66"/>
    </row>
    <row r="4417" spans="1:1" x14ac:dyDescent="0.25">
      <c r="A4417" s="66"/>
    </row>
    <row r="4418" spans="1:1" x14ac:dyDescent="0.25">
      <c r="A4418" s="66"/>
    </row>
    <row r="4419" spans="1:1" x14ac:dyDescent="0.25">
      <c r="A4419" s="66"/>
    </row>
    <row r="4420" spans="1:1" x14ac:dyDescent="0.25">
      <c r="A4420" s="66"/>
    </row>
    <row r="4421" spans="1:1" x14ac:dyDescent="0.25">
      <c r="A4421" s="66"/>
    </row>
    <row r="4422" spans="1:1" x14ac:dyDescent="0.25">
      <c r="A4422" s="66"/>
    </row>
    <row r="4423" spans="1:1" x14ac:dyDescent="0.25">
      <c r="A4423" s="66"/>
    </row>
    <row r="4424" spans="1:1" x14ac:dyDescent="0.25">
      <c r="A4424" s="66"/>
    </row>
    <row r="4425" spans="1:1" x14ac:dyDescent="0.25">
      <c r="A4425" s="66"/>
    </row>
    <row r="4426" spans="1:1" x14ac:dyDescent="0.25">
      <c r="A4426" s="66"/>
    </row>
    <row r="4427" spans="1:1" x14ac:dyDescent="0.25">
      <c r="A4427" s="66"/>
    </row>
    <row r="4428" spans="1:1" x14ac:dyDescent="0.25">
      <c r="A4428" s="66"/>
    </row>
    <row r="4429" spans="1:1" x14ac:dyDescent="0.25">
      <c r="A4429" s="66"/>
    </row>
    <row r="4430" spans="1:1" x14ac:dyDescent="0.25">
      <c r="A4430" s="66"/>
    </row>
    <row r="4431" spans="1:1" x14ac:dyDescent="0.25">
      <c r="A4431" s="66"/>
    </row>
    <row r="4432" spans="1:1" x14ac:dyDescent="0.25">
      <c r="A4432" s="66"/>
    </row>
    <row r="4433" spans="1:1" x14ac:dyDescent="0.25">
      <c r="A4433" s="66"/>
    </row>
    <row r="4434" spans="1:1" x14ac:dyDescent="0.25">
      <c r="A4434" s="66"/>
    </row>
    <row r="4435" spans="1:1" x14ac:dyDescent="0.25">
      <c r="A4435" s="66"/>
    </row>
    <row r="4436" spans="1:1" x14ac:dyDescent="0.25">
      <c r="A4436" s="66"/>
    </row>
    <row r="4437" spans="1:1" x14ac:dyDescent="0.25">
      <c r="A4437" s="66"/>
    </row>
    <row r="4438" spans="1:1" x14ac:dyDescent="0.25">
      <c r="A4438" s="66"/>
    </row>
    <row r="4439" spans="1:1" x14ac:dyDescent="0.25">
      <c r="A4439" s="66"/>
    </row>
    <row r="4440" spans="1:1" x14ac:dyDescent="0.25">
      <c r="A4440" s="66"/>
    </row>
    <row r="4441" spans="1:1" x14ac:dyDescent="0.25">
      <c r="A4441" s="66"/>
    </row>
    <row r="4442" spans="1:1" x14ac:dyDescent="0.25">
      <c r="A4442" s="66"/>
    </row>
    <row r="4443" spans="1:1" x14ac:dyDescent="0.25">
      <c r="A4443" s="66"/>
    </row>
    <row r="4444" spans="1:1" x14ac:dyDescent="0.25">
      <c r="A4444" s="66"/>
    </row>
    <row r="4445" spans="1:1" x14ac:dyDescent="0.25">
      <c r="A4445" s="66"/>
    </row>
    <row r="4446" spans="1:1" x14ac:dyDescent="0.25">
      <c r="A4446" s="66"/>
    </row>
    <row r="4447" spans="1:1" x14ac:dyDescent="0.25">
      <c r="A4447" s="66"/>
    </row>
    <row r="4448" spans="1:1" x14ac:dyDescent="0.25">
      <c r="A4448" s="66"/>
    </row>
    <row r="4449" spans="1:1" x14ac:dyDescent="0.25">
      <c r="A4449" s="66"/>
    </row>
    <row r="4450" spans="1:1" x14ac:dyDescent="0.25">
      <c r="A4450" s="66"/>
    </row>
    <row r="4451" spans="1:1" x14ac:dyDescent="0.25">
      <c r="A4451" s="66"/>
    </row>
    <row r="4452" spans="1:1" x14ac:dyDescent="0.25">
      <c r="A4452" s="66"/>
    </row>
    <row r="4453" spans="1:1" x14ac:dyDescent="0.25">
      <c r="A4453" s="66"/>
    </row>
    <row r="4454" spans="1:1" x14ac:dyDescent="0.25">
      <c r="A4454" s="66"/>
    </row>
    <row r="4455" spans="1:1" x14ac:dyDescent="0.25">
      <c r="A4455" s="66"/>
    </row>
    <row r="4456" spans="1:1" x14ac:dyDescent="0.25">
      <c r="A4456" s="66"/>
    </row>
    <row r="4457" spans="1:1" x14ac:dyDescent="0.25">
      <c r="A4457" s="66"/>
    </row>
    <row r="4458" spans="1:1" x14ac:dyDescent="0.25">
      <c r="A4458" s="66"/>
    </row>
    <row r="4459" spans="1:1" x14ac:dyDescent="0.25">
      <c r="A4459" s="66"/>
    </row>
    <row r="4460" spans="1:1" x14ac:dyDescent="0.25">
      <c r="A4460" s="66"/>
    </row>
    <row r="4461" spans="1:1" x14ac:dyDescent="0.25">
      <c r="A4461" s="66"/>
    </row>
    <row r="4462" spans="1:1" x14ac:dyDescent="0.25">
      <c r="A4462" s="66"/>
    </row>
    <row r="4463" spans="1:1" x14ac:dyDescent="0.25">
      <c r="A4463" s="66"/>
    </row>
    <row r="4464" spans="1:1" x14ac:dyDescent="0.25">
      <c r="A4464" s="66"/>
    </row>
    <row r="4465" spans="1:1" x14ac:dyDescent="0.25">
      <c r="A4465" s="66"/>
    </row>
    <row r="4466" spans="1:1" x14ac:dyDescent="0.25">
      <c r="A4466" s="66"/>
    </row>
    <row r="4467" spans="1:1" x14ac:dyDescent="0.25">
      <c r="A4467" s="66"/>
    </row>
    <row r="4468" spans="1:1" x14ac:dyDescent="0.25">
      <c r="A4468" s="66"/>
    </row>
    <row r="4469" spans="1:1" x14ac:dyDescent="0.25">
      <c r="A4469" s="66"/>
    </row>
    <row r="4470" spans="1:1" x14ac:dyDescent="0.25">
      <c r="A4470" s="66"/>
    </row>
    <row r="4471" spans="1:1" x14ac:dyDescent="0.25">
      <c r="A4471" s="66"/>
    </row>
    <row r="4472" spans="1:1" x14ac:dyDescent="0.25">
      <c r="A4472" s="66"/>
    </row>
    <row r="4473" spans="1:1" x14ac:dyDescent="0.25">
      <c r="A4473" s="66"/>
    </row>
    <row r="4474" spans="1:1" x14ac:dyDescent="0.25">
      <c r="A4474" s="66"/>
    </row>
    <row r="4475" spans="1:1" x14ac:dyDescent="0.25">
      <c r="A4475" s="66"/>
    </row>
    <row r="4476" spans="1:1" x14ac:dyDescent="0.25">
      <c r="A4476" s="66"/>
    </row>
    <row r="4477" spans="1:1" x14ac:dyDescent="0.25">
      <c r="A4477" s="66"/>
    </row>
    <row r="4478" spans="1:1" x14ac:dyDescent="0.25">
      <c r="A4478" s="66"/>
    </row>
    <row r="4479" spans="1:1" x14ac:dyDescent="0.25">
      <c r="A4479" s="66"/>
    </row>
    <row r="4480" spans="1:1" x14ac:dyDescent="0.25">
      <c r="A4480" s="66"/>
    </row>
    <row r="4481" spans="1:1" x14ac:dyDescent="0.25">
      <c r="A4481" s="66"/>
    </row>
    <row r="4482" spans="1:1" x14ac:dyDescent="0.25">
      <c r="A4482" s="66"/>
    </row>
    <row r="4483" spans="1:1" x14ac:dyDescent="0.25">
      <c r="A4483" s="66"/>
    </row>
    <row r="4484" spans="1:1" x14ac:dyDescent="0.25">
      <c r="A4484" s="66"/>
    </row>
    <row r="4485" spans="1:1" x14ac:dyDescent="0.25">
      <c r="A4485" s="66"/>
    </row>
    <row r="4486" spans="1:1" x14ac:dyDescent="0.25">
      <c r="A4486" s="66"/>
    </row>
    <row r="4487" spans="1:1" x14ac:dyDescent="0.25">
      <c r="A4487" s="66"/>
    </row>
    <row r="4488" spans="1:1" x14ac:dyDescent="0.25">
      <c r="A4488" s="66"/>
    </row>
    <row r="4489" spans="1:1" x14ac:dyDescent="0.25">
      <c r="A4489" s="66"/>
    </row>
    <row r="4490" spans="1:1" x14ac:dyDescent="0.25">
      <c r="A4490" s="66"/>
    </row>
    <row r="4491" spans="1:1" x14ac:dyDescent="0.25">
      <c r="A4491" s="66"/>
    </row>
    <row r="4492" spans="1:1" x14ac:dyDescent="0.25">
      <c r="A4492" s="66"/>
    </row>
    <row r="4493" spans="1:1" x14ac:dyDescent="0.25">
      <c r="A4493" s="66"/>
    </row>
    <row r="4494" spans="1:1" x14ac:dyDescent="0.25">
      <c r="A4494" s="66"/>
    </row>
    <row r="4495" spans="1:1" x14ac:dyDescent="0.25">
      <c r="A4495" s="66"/>
    </row>
    <row r="4496" spans="1:1" x14ac:dyDescent="0.25">
      <c r="A4496" s="66"/>
    </row>
    <row r="4497" spans="1:1" x14ac:dyDescent="0.25">
      <c r="A4497" s="66"/>
    </row>
    <row r="4498" spans="1:1" x14ac:dyDescent="0.25">
      <c r="A4498" s="66"/>
    </row>
    <row r="4499" spans="1:1" x14ac:dyDescent="0.25">
      <c r="A4499" s="66"/>
    </row>
    <row r="4500" spans="1:1" x14ac:dyDescent="0.25">
      <c r="A4500" s="66"/>
    </row>
    <row r="4501" spans="1:1" x14ac:dyDescent="0.25">
      <c r="A4501" s="66"/>
    </row>
    <row r="4502" spans="1:1" x14ac:dyDescent="0.25">
      <c r="A4502" s="66"/>
    </row>
    <row r="4503" spans="1:1" x14ac:dyDescent="0.25">
      <c r="A4503" s="66"/>
    </row>
    <row r="4504" spans="1:1" x14ac:dyDescent="0.25">
      <c r="A4504" s="66"/>
    </row>
    <row r="4505" spans="1:1" x14ac:dyDescent="0.25">
      <c r="A4505" s="66"/>
    </row>
    <row r="4506" spans="1:1" x14ac:dyDescent="0.25">
      <c r="A4506" s="66"/>
    </row>
    <row r="4507" spans="1:1" x14ac:dyDescent="0.25">
      <c r="A4507" s="66"/>
    </row>
    <row r="4508" spans="1:1" x14ac:dyDescent="0.25">
      <c r="A4508" s="66"/>
    </row>
    <row r="4509" spans="1:1" x14ac:dyDescent="0.25">
      <c r="A4509" s="66"/>
    </row>
    <row r="4510" spans="1:1" x14ac:dyDescent="0.25">
      <c r="A4510" s="66"/>
    </row>
    <row r="4511" spans="1:1" x14ac:dyDescent="0.25">
      <c r="A4511" s="66"/>
    </row>
    <row r="4512" spans="1:1" x14ac:dyDescent="0.25">
      <c r="A4512" s="66"/>
    </row>
    <row r="4513" spans="1:1" x14ac:dyDescent="0.25">
      <c r="A4513" s="66"/>
    </row>
    <row r="4514" spans="1:1" x14ac:dyDescent="0.25">
      <c r="A4514" s="66"/>
    </row>
    <row r="4515" spans="1:1" x14ac:dyDescent="0.25">
      <c r="A4515" s="66"/>
    </row>
    <row r="4516" spans="1:1" x14ac:dyDescent="0.25">
      <c r="A4516" s="66"/>
    </row>
    <row r="4517" spans="1:1" x14ac:dyDescent="0.25">
      <c r="A4517" s="66"/>
    </row>
    <row r="4518" spans="1:1" x14ac:dyDescent="0.25">
      <c r="A4518" s="66"/>
    </row>
    <row r="4519" spans="1:1" x14ac:dyDescent="0.25">
      <c r="A4519" s="66"/>
    </row>
    <row r="4520" spans="1:1" x14ac:dyDescent="0.25">
      <c r="A4520" s="66"/>
    </row>
    <row r="4521" spans="1:1" x14ac:dyDescent="0.25">
      <c r="A4521" s="66"/>
    </row>
    <row r="4522" spans="1:1" x14ac:dyDescent="0.25">
      <c r="A4522" s="66"/>
    </row>
    <row r="4523" spans="1:1" x14ac:dyDescent="0.25">
      <c r="A4523" s="66"/>
    </row>
    <row r="4524" spans="1:1" x14ac:dyDescent="0.25">
      <c r="A4524" s="66"/>
    </row>
    <row r="4525" spans="1:1" x14ac:dyDescent="0.25">
      <c r="A4525" s="66"/>
    </row>
    <row r="4526" spans="1:1" x14ac:dyDescent="0.25">
      <c r="A4526" s="66"/>
    </row>
    <row r="4527" spans="1:1" x14ac:dyDescent="0.25">
      <c r="A4527" s="66"/>
    </row>
    <row r="4528" spans="1:1" x14ac:dyDescent="0.25">
      <c r="A4528" s="66"/>
    </row>
    <row r="4529" spans="1:1" x14ac:dyDescent="0.25">
      <c r="A4529" s="66"/>
    </row>
    <row r="4530" spans="1:1" x14ac:dyDescent="0.25">
      <c r="A4530" s="66"/>
    </row>
    <row r="4531" spans="1:1" x14ac:dyDescent="0.25">
      <c r="A4531" s="66"/>
    </row>
    <row r="4532" spans="1:1" x14ac:dyDescent="0.25">
      <c r="A4532" s="66"/>
    </row>
    <row r="4533" spans="1:1" x14ac:dyDescent="0.25">
      <c r="A4533" s="66"/>
    </row>
    <row r="4534" spans="1:1" x14ac:dyDescent="0.25">
      <c r="A4534" s="66"/>
    </row>
    <row r="4535" spans="1:1" x14ac:dyDescent="0.25">
      <c r="A4535" s="66"/>
    </row>
    <row r="4536" spans="1:1" x14ac:dyDescent="0.25">
      <c r="A4536" s="66"/>
    </row>
    <row r="4537" spans="1:1" x14ac:dyDescent="0.25">
      <c r="A4537" s="66"/>
    </row>
    <row r="4538" spans="1:1" x14ac:dyDescent="0.25">
      <c r="A4538" s="66"/>
    </row>
    <row r="4539" spans="1:1" x14ac:dyDescent="0.25">
      <c r="A4539" s="66"/>
    </row>
    <row r="4540" spans="1:1" x14ac:dyDescent="0.25">
      <c r="A4540" s="66"/>
    </row>
    <row r="4541" spans="1:1" x14ac:dyDescent="0.25">
      <c r="A4541" s="66"/>
    </row>
    <row r="4542" spans="1:1" x14ac:dyDescent="0.25">
      <c r="A4542" s="66"/>
    </row>
    <row r="4543" spans="1:1" x14ac:dyDescent="0.25">
      <c r="A4543" s="66"/>
    </row>
    <row r="4544" spans="1:1" x14ac:dyDescent="0.25">
      <c r="A4544" s="66"/>
    </row>
    <row r="4545" spans="1:1" x14ac:dyDescent="0.25">
      <c r="A4545" s="66"/>
    </row>
    <row r="4546" spans="1:1" x14ac:dyDescent="0.25">
      <c r="A4546" s="66"/>
    </row>
    <row r="4547" spans="1:1" x14ac:dyDescent="0.25">
      <c r="A4547" s="66"/>
    </row>
    <row r="4548" spans="1:1" x14ac:dyDescent="0.25">
      <c r="A4548" s="66"/>
    </row>
    <row r="4549" spans="1:1" x14ac:dyDescent="0.25">
      <c r="A4549" s="66"/>
    </row>
    <row r="4550" spans="1:1" x14ac:dyDescent="0.25">
      <c r="A4550" s="66"/>
    </row>
    <row r="4551" spans="1:1" x14ac:dyDescent="0.25">
      <c r="A4551" s="66"/>
    </row>
    <row r="4552" spans="1:1" x14ac:dyDescent="0.25">
      <c r="A4552" s="66"/>
    </row>
    <row r="4553" spans="1:1" x14ac:dyDescent="0.25">
      <c r="A4553" s="66"/>
    </row>
    <row r="4554" spans="1:1" x14ac:dyDescent="0.25">
      <c r="A4554" s="66"/>
    </row>
    <row r="4555" spans="1:1" x14ac:dyDescent="0.25">
      <c r="A4555" s="66"/>
    </row>
    <row r="4556" spans="1:1" x14ac:dyDescent="0.25">
      <c r="A4556" s="66"/>
    </row>
    <row r="4557" spans="1:1" x14ac:dyDescent="0.25">
      <c r="A4557" s="66"/>
    </row>
    <row r="4558" spans="1:1" x14ac:dyDescent="0.25">
      <c r="A4558" s="66"/>
    </row>
    <row r="4559" spans="1:1" x14ac:dyDescent="0.25">
      <c r="A4559" s="66"/>
    </row>
    <row r="4560" spans="1:1" x14ac:dyDescent="0.25">
      <c r="A4560" s="66"/>
    </row>
    <row r="4561" spans="1:1" x14ac:dyDescent="0.25">
      <c r="A4561" s="66"/>
    </row>
    <row r="4562" spans="1:1" x14ac:dyDescent="0.25">
      <c r="A4562" s="66"/>
    </row>
    <row r="4563" spans="1:1" x14ac:dyDescent="0.25">
      <c r="A4563" s="66"/>
    </row>
    <row r="4564" spans="1:1" x14ac:dyDescent="0.25">
      <c r="A4564" s="66"/>
    </row>
    <row r="4565" spans="1:1" x14ac:dyDescent="0.25">
      <c r="A4565" s="66"/>
    </row>
    <row r="4566" spans="1:1" x14ac:dyDescent="0.25">
      <c r="A4566" s="66"/>
    </row>
    <row r="4567" spans="1:1" x14ac:dyDescent="0.25">
      <c r="A4567" s="66"/>
    </row>
    <row r="4568" spans="1:1" x14ac:dyDescent="0.25">
      <c r="A4568" s="66"/>
    </row>
    <row r="4569" spans="1:1" x14ac:dyDescent="0.25">
      <c r="A4569" s="66"/>
    </row>
    <row r="4570" spans="1:1" x14ac:dyDescent="0.25">
      <c r="A4570" s="66"/>
    </row>
    <row r="4571" spans="1:1" x14ac:dyDescent="0.25">
      <c r="A4571" s="66"/>
    </row>
    <row r="4572" spans="1:1" x14ac:dyDescent="0.25">
      <c r="A4572" s="66"/>
    </row>
    <row r="4573" spans="1:1" x14ac:dyDescent="0.25">
      <c r="A4573" s="66"/>
    </row>
    <row r="4574" spans="1:1" x14ac:dyDescent="0.25">
      <c r="A4574" s="66"/>
    </row>
    <row r="4575" spans="1:1" x14ac:dyDescent="0.25">
      <c r="A4575" s="66"/>
    </row>
    <row r="4576" spans="1:1" x14ac:dyDescent="0.25">
      <c r="A4576" s="66"/>
    </row>
    <row r="4577" spans="1:1" x14ac:dyDescent="0.25">
      <c r="A4577" s="66"/>
    </row>
    <row r="4578" spans="1:1" x14ac:dyDescent="0.25">
      <c r="A4578" s="66"/>
    </row>
    <row r="4579" spans="1:1" x14ac:dyDescent="0.25">
      <c r="A4579" s="66"/>
    </row>
    <row r="4580" spans="1:1" x14ac:dyDescent="0.25">
      <c r="A4580" s="66"/>
    </row>
    <row r="4581" spans="1:1" x14ac:dyDescent="0.25">
      <c r="A4581" s="66"/>
    </row>
    <row r="4582" spans="1:1" x14ac:dyDescent="0.25">
      <c r="A4582" s="66"/>
    </row>
    <row r="4583" spans="1:1" x14ac:dyDescent="0.25">
      <c r="A4583" s="66"/>
    </row>
    <row r="4584" spans="1:1" x14ac:dyDescent="0.25">
      <c r="A4584" s="66"/>
    </row>
    <row r="4585" spans="1:1" x14ac:dyDescent="0.25">
      <c r="A4585" s="66"/>
    </row>
    <row r="4586" spans="1:1" x14ac:dyDescent="0.25">
      <c r="A4586" s="66"/>
    </row>
    <row r="4587" spans="1:1" x14ac:dyDescent="0.25">
      <c r="A4587" s="66"/>
    </row>
    <row r="4588" spans="1:1" x14ac:dyDescent="0.25">
      <c r="A4588" s="66"/>
    </row>
    <row r="4589" spans="1:1" x14ac:dyDescent="0.25">
      <c r="A4589" s="66"/>
    </row>
    <row r="4590" spans="1:1" x14ac:dyDescent="0.25">
      <c r="A4590" s="66"/>
    </row>
    <row r="4591" spans="1:1" x14ac:dyDescent="0.25">
      <c r="A4591" s="66"/>
    </row>
    <row r="4592" spans="1:1" x14ac:dyDescent="0.25">
      <c r="A4592" s="66"/>
    </row>
    <row r="4593" spans="1:1" x14ac:dyDescent="0.25">
      <c r="A4593" s="66"/>
    </row>
    <row r="4594" spans="1:1" x14ac:dyDescent="0.25">
      <c r="A4594" s="66"/>
    </row>
    <row r="4595" spans="1:1" x14ac:dyDescent="0.25">
      <c r="A4595" s="66"/>
    </row>
    <row r="4596" spans="1:1" x14ac:dyDescent="0.25">
      <c r="A4596" s="66"/>
    </row>
    <row r="4597" spans="1:1" x14ac:dyDescent="0.25">
      <c r="A4597" s="66"/>
    </row>
    <row r="4598" spans="1:1" x14ac:dyDescent="0.25">
      <c r="A4598" s="66"/>
    </row>
    <row r="4599" spans="1:1" x14ac:dyDescent="0.25">
      <c r="A4599" s="66"/>
    </row>
    <row r="4600" spans="1:1" x14ac:dyDescent="0.25">
      <c r="A4600" s="66"/>
    </row>
    <row r="4601" spans="1:1" x14ac:dyDescent="0.25">
      <c r="A4601" s="66"/>
    </row>
    <row r="4602" spans="1:1" x14ac:dyDescent="0.25">
      <c r="A4602" s="66"/>
    </row>
    <row r="4603" spans="1:1" x14ac:dyDescent="0.25">
      <c r="A4603" s="66"/>
    </row>
    <row r="4604" spans="1:1" x14ac:dyDescent="0.25">
      <c r="A4604" s="66"/>
    </row>
    <row r="4605" spans="1:1" x14ac:dyDescent="0.25">
      <c r="A4605" s="66"/>
    </row>
    <row r="4606" spans="1:1" x14ac:dyDescent="0.25">
      <c r="A4606" s="66"/>
    </row>
    <row r="4607" spans="1:1" x14ac:dyDescent="0.25">
      <c r="A4607" s="66"/>
    </row>
    <row r="4608" spans="1:1" x14ac:dyDescent="0.25">
      <c r="A4608" s="66"/>
    </row>
    <row r="4609" spans="1:1" x14ac:dyDescent="0.25">
      <c r="A4609" s="66"/>
    </row>
    <row r="4610" spans="1:1" x14ac:dyDescent="0.25">
      <c r="A4610" s="66"/>
    </row>
    <row r="4611" spans="1:1" x14ac:dyDescent="0.25">
      <c r="A4611" s="66"/>
    </row>
    <row r="4612" spans="1:1" x14ac:dyDescent="0.25">
      <c r="A4612" s="66"/>
    </row>
    <row r="4613" spans="1:1" x14ac:dyDescent="0.25">
      <c r="A4613" s="66"/>
    </row>
    <row r="4614" spans="1:1" x14ac:dyDescent="0.25">
      <c r="A4614" s="66"/>
    </row>
    <row r="4615" spans="1:1" x14ac:dyDescent="0.25">
      <c r="A4615" s="66"/>
    </row>
    <row r="4616" spans="1:1" x14ac:dyDescent="0.25">
      <c r="A4616" s="66"/>
    </row>
    <row r="4617" spans="1:1" x14ac:dyDescent="0.25">
      <c r="A4617" s="66"/>
    </row>
    <row r="4618" spans="1:1" x14ac:dyDescent="0.25">
      <c r="A4618" s="66"/>
    </row>
    <row r="4619" spans="1:1" x14ac:dyDescent="0.25">
      <c r="A4619" s="66"/>
    </row>
    <row r="4620" spans="1:1" x14ac:dyDescent="0.25">
      <c r="A4620" s="66"/>
    </row>
    <row r="4621" spans="1:1" x14ac:dyDescent="0.25">
      <c r="A4621" s="66"/>
    </row>
    <row r="4622" spans="1:1" x14ac:dyDescent="0.25">
      <c r="A4622" s="66"/>
    </row>
    <row r="4623" spans="1:1" x14ac:dyDescent="0.25">
      <c r="A4623" s="66"/>
    </row>
    <row r="4624" spans="1:1" x14ac:dyDescent="0.25">
      <c r="A4624" s="66"/>
    </row>
    <row r="4625" spans="1:1" x14ac:dyDescent="0.25">
      <c r="A4625" s="66"/>
    </row>
    <row r="4626" spans="1:1" x14ac:dyDescent="0.25">
      <c r="A4626" s="66"/>
    </row>
    <row r="4627" spans="1:1" x14ac:dyDescent="0.25">
      <c r="A4627" s="66"/>
    </row>
    <row r="4628" spans="1:1" x14ac:dyDescent="0.25">
      <c r="A4628" s="66"/>
    </row>
    <row r="4629" spans="1:1" x14ac:dyDescent="0.25">
      <c r="A4629" s="66"/>
    </row>
    <row r="4630" spans="1:1" x14ac:dyDescent="0.25">
      <c r="A4630" s="66"/>
    </row>
    <row r="4631" spans="1:1" x14ac:dyDescent="0.25">
      <c r="A4631" s="66"/>
    </row>
    <row r="4632" spans="1:1" x14ac:dyDescent="0.25">
      <c r="A4632" s="66"/>
    </row>
    <row r="4633" spans="1:1" x14ac:dyDescent="0.25">
      <c r="A4633" s="66"/>
    </row>
    <row r="4634" spans="1:1" x14ac:dyDescent="0.25">
      <c r="A4634" s="66"/>
    </row>
    <row r="4635" spans="1:1" x14ac:dyDescent="0.25">
      <c r="A4635" s="66"/>
    </row>
    <row r="4636" spans="1:1" x14ac:dyDescent="0.25">
      <c r="A4636" s="66"/>
    </row>
    <row r="4637" spans="1:1" x14ac:dyDescent="0.25">
      <c r="A4637" s="66"/>
    </row>
    <row r="4638" spans="1:1" x14ac:dyDescent="0.25">
      <c r="A4638" s="66"/>
    </row>
    <row r="4639" spans="1:1" x14ac:dyDescent="0.25">
      <c r="A4639" s="66"/>
    </row>
    <row r="4640" spans="1:1" x14ac:dyDescent="0.25">
      <c r="A4640" s="66"/>
    </row>
    <row r="4641" spans="1:1" x14ac:dyDescent="0.25">
      <c r="A4641" s="66"/>
    </row>
    <row r="4642" spans="1:1" x14ac:dyDescent="0.25">
      <c r="A4642" s="66"/>
    </row>
    <row r="4643" spans="1:1" x14ac:dyDescent="0.25">
      <c r="A4643" s="66"/>
    </row>
    <row r="4644" spans="1:1" x14ac:dyDescent="0.25">
      <c r="A4644" s="66"/>
    </row>
    <row r="4645" spans="1:1" x14ac:dyDescent="0.25">
      <c r="A4645" s="66"/>
    </row>
    <row r="4646" spans="1:1" x14ac:dyDescent="0.25">
      <c r="A4646" s="66"/>
    </row>
    <row r="4647" spans="1:1" x14ac:dyDescent="0.25">
      <c r="A4647" s="66"/>
    </row>
    <row r="4648" spans="1:1" x14ac:dyDescent="0.25">
      <c r="A4648" s="66"/>
    </row>
    <row r="4649" spans="1:1" x14ac:dyDescent="0.25">
      <c r="A4649" s="66"/>
    </row>
    <row r="4650" spans="1:1" x14ac:dyDescent="0.25">
      <c r="A4650" s="66"/>
    </row>
    <row r="4651" spans="1:1" x14ac:dyDescent="0.25">
      <c r="A4651" s="66"/>
    </row>
    <row r="4652" spans="1:1" x14ac:dyDescent="0.25">
      <c r="A4652" s="66"/>
    </row>
    <row r="4653" spans="1:1" x14ac:dyDescent="0.25">
      <c r="A4653" s="66"/>
    </row>
    <row r="4654" spans="1:1" x14ac:dyDescent="0.25">
      <c r="A4654" s="66"/>
    </row>
    <row r="4655" spans="1:1" x14ac:dyDescent="0.25">
      <c r="A4655" s="66"/>
    </row>
    <row r="4656" spans="1:1" x14ac:dyDescent="0.25">
      <c r="A4656" s="66"/>
    </row>
    <row r="4657" spans="1:1" x14ac:dyDescent="0.25">
      <c r="A4657" s="66"/>
    </row>
    <row r="4658" spans="1:1" x14ac:dyDescent="0.25">
      <c r="A4658" s="66"/>
    </row>
    <row r="4659" spans="1:1" x14ac:dyDescent="0.25">
      <c r="A4659" s="66"/>
    </row>
    <row r="4660" spans="1:1" x14ac:dyDescent="0.25">
      <c r="A4660" s="66"/>
    </row>
    <row r="4661" spans="1:1" x14ac:dyDescent="0.25">
      <c r="A4661" s="66"/>
    </row>
    <row r="4662" spans="1:1" x14ac:dyDescent="0.25">
      <c r="A4662" s="66"/>
    </row>
    <row r="4663" spans="1:1" x14ac:dyDescent="0.25">
      <c r="A4663" s="66"/>
    </row>
    <row r="4664" spans="1:1" x14ac:dyDescent="0.25">
      <c r="A4664" s="66"/>
    </row>
    <row r="4665" spans="1:1" x14ac:dyDescent="0.25">
      <c r="A4665" s="66"/>
    </row>
    <row r="4666" spans="1:1" x14ac:dyDescent="0.25">
      <c r="A4666" s="66"/>
    </row>
    <row r="4667" spans="1:1" x14ac:dyDescent="0.25">
      <c r="A4667" s="66"/>
    </row>
    <row r="4668" spans="1:1" x14ac:dyDescent="0.25">
      <c r="A4668" s="66"/>
    </row>
    <row r="4669" spans="1:1" x14ac:dyDescent="0.25">
      <c r="A4669" s="66"/>
    </row>
    <row r="4670" spans="1:1" x14ac:dyDescent="0.25">
      <c r="A4670" s="66"/>
    </row>
    <row r="4671" spans="1:1" x14ac:dyDescent="0.25">
      <c r="A4671" s="66"/>
    </row>
    <row r="4672" spans="1:1" x14ac:dyDescent="0.25">
      <c r="A4672" s="66"/>
    </row>
    <row r="4673" spans="1:1" x14ac:dyDescent="0.25">
      <c r="A4673" s="66"/>
    </row>
    <row r="4674" spans="1:1" x14ac:dyDescent="0.25">
      <c r="A4674" s="66"/>
    </row>
    <row r="4675" spans="1:1" x14ac:dyDescent="0.25">
      <c r="A4675" s="66"/>
    </row>
    <row r="4676" spans="1:1" x14ac:dyDescent="0.25">
      <c r="A4676" s="66"/>
    </row>
    <row r="4677" spans="1:1" x14ac:dyDescent="0.25">
      <c r="A4677" s="66"/>
    </row>
    <row r="4678" spans="1:1" x14ac:dyDescent="0.25">
      <c r="A4678" s="66"/>
    </row>
    <row r="4679" spans="1:1" x14ac:dyDescent="0.25">
      <c r="A4679" s="66"/>
    </row>
    <row r="4680" spans="1:1" x14ac:dyDescent="0.25">
      <c r="A4680" s="66"/>
    </row>
    <row r="4681" spans="1:1" x14ac:dyDescent="0.25">
      <c r="A4681" s="66"/>
    </row>
    <row r="4682" spans="1:1" x14ac:dyDescent="0.25">
      <c r="A4682" s="66"/>
    </row>
    <row r="4683" spans="1:1" x14ac:dyDescent="0.25">
      <c r="A4683" s="66"/>
    </row>
    <row r="4684" spans="1:1" x14ac:dyDescent="0.25">
      <c r="A4684" s="66"/>
    </row>
    <row r="4685" spans="1:1" x14ac:dyDescent="0.25">
      <c r="A4685" s="66"/>
    </row>
    <row r="4686" spans="1:1" x14ac:dyDescent="0.25">
      <c r="A4686" s="66"/>
    </row>
    <row r="4687" spans="1:1" x14ac:dyDescent="0.25">
      <c r="A4687" s="66"/>
    </row>
    <row r="4688" spans="1:1" x14ac:dyDescent="0.25">
      <c r="A4688" s="66"/>
    </row>
    <row r="4689" spans="1:1" x14ac:dyDescent="0.25">
      <c r="A4689" s="66"/>
    </row>
    <row r="4690" spans="1:1" x14ac:dyDescent="0.25">
      <c r="A4690" s="66"/>
    </row>
    <row r="4691" spans="1:1" x14ac:dyDescent="0.25">
      <c r="A4691" s="66"/>
    </row>
    <row r="4692" spans="1:1" x14ac:dyDescent="0.25">
      <c r="A4692" s="66"/>
    </row>
    <row r="4693" spans="1:1" x14ac:dyDescent="0.25">
      <c r="A4693" s="66"/>
    </row>
    <row r="4694" spans="1:1" x14ac:dyDescent="0.25">
      <c r="A4694" s="66"/>
    </row>
    <row r="4695" spans="1:1" x14ac:dyDescent="0.25">
      <c r="A4695" s="66"/>
    </row>
    <row r="4696" spans="1:1" x14ac:dyDescent="0.25">
      <c r="A4696" s="66"/>
    </row>
    <row r="4697" spans="1:1" x14ac:dyDescent="0.25">
      <c r="A4697" s="66"/>
    </row>
    <row r="4698" spans="1:1" x14ac:dyDescent="0.25">
      <c r="A4698" s="66"/>
    </row>
    <row r="4699" spans="1:1" x14ac:dyDescent="0.25">
      <c r="A4699" s="66"/>
    </row>
    <row r="4700" spans="1:1" x14ac:dyDescent="0.25">
      <c r="A4700" s="66"/>
    </row>
    <row r="4701" spans="1:1" x14ac:dyDescent="0.25">
      <c r="A4701" s="66"/>
    </row>
    <row r="4702" spans="1:1" x14ac:dyDescent="0.25">
      <c r="A4702" s="66"/>
    </row>
    <row r="4703" spans="1:1" x14ac:dyDescent="0.25">
      <c r="A4703" s="66"/>
    </row>
    <row r="4704" spans="1:1" x14ac:dyDescent="0.25">
      <c r="A4704" s="66"/>
    </row>
    <row r="4705" spans="1:1" x14ac:dyDescent="0.25">
      <c r="A4705" s="66"/>
    </row>
    <row r="4706" spans="1:1" x14ac:dyDescent="0.25">
      <c r="A4706" s="66"/>
    </row>
    <row r="4707" spans="1:1" x14ac:dyDescent="0.25">
      <c r="A4707" s="66"/>
    </row>
    <row r="4708" spans="1:1" x14ac:dyDescent="0.25">
      <c r="A4708" s="66"/>
    </row>
    <row r="4709" spans="1:1" x14ac:dyDescent="0.25">
      <c r="A4709" s="66"/>
    </row>
    <row r="4710" spans="1:1" x14ac:dyDescent="0.25">
      <c r="A4710" s="66"/>
    </row>
    <row r="4711" spans="1:1" x14ac:dyDescent="0.25">
      <c r="A4711" s="66"/>
    </row>
    <row r="4712" spans="1:1" x14ac:dyDescent="0.25">
      <c r="A4712" s="66"/>
    </row>
    <row r="4713" spans="1:1" x14ac:dyDescent="0.25">
      <c r="A4713" s="66"/>
    </row>
    <row r="4714" spans="1:1" x14ac:dyDescent="0.25">
      <c r="A4714" s="66"/>
    </row>
    <row r="4715" spans="1:1" x14ac:dyDescent="0.25">
      <c r="A4715" s="66"/>
    </row>
    <row r="4716" spans="1:1" x14ac:dyDescent="0.25">
      <c r="A4716" s="66"/>
    </row>
    <row r="4717" spans="1:1" x14ac:dyDescent="0.25">
      <c r="A4717" s="66"/>
    </row>
    <row r="4718" spans="1:1" x14ac:dyDescent="0.25">
      <c r="A4718" s="66"/>
    </row>
    <row r="4719" spans="1:1" x14ac:dyDescent="0.25">
      <c r="A4719" s="66"/>
    </row>
    <row r="4720" spans="1:1" x14ac:dyDescent="0.25">
      <c r="A4720" s="66"/>
    </row>
    <row r="4721" spans="1:1" x14ac:dyDescent="0.25">
      <c r="A4721" s="66"/>
    </row>
    <row r="4722" spans="1:1" x14ac:dyDescent="0.25">
      <c r="A4722" s="66"/>
    </row>
    <row r="4723" spans="1:1" x14ac:dyDescent="0.25">
      <c r="A4723" s="66"/>
    </row>
    <row r="4724" spans="1:1" x14ac:dyDescent="0.25">
      <c r="A4724" s="66"/>
    </row>
    <row r="4725" spans="1:1" x14ac:dyDescent="0.25">
      <c r="A4725" s="66"/>
    </row>
    <row r="4726" spans="1:1" x14ac:dyDescent="0.25">
      <c r="A4726" s="66"/>
    </row>
    <row r="4727" spans="1:1" x14ac:dyDescent="0.25">
      <c r="A4727" s="66"/>
    </row>
    <row r="4728" spans="1:1" x14ac:dyDescent="0.25">
      <c r="A4728" s="66"/>
    </row>
    <row r="4729" spans="1:1" x14ac:dyDescent="0.25">
      <c r="A4729" s="66"/>
    </row>
    <row r="4730" spans="1:1" x14ac:dyDescent="0.25">
      <c r="A4730" s="66"/>
    </row>
    <row r="4731" spans="1:1" x14ac:dyDescent="0.25">
      <c r="A4731" s="66"/>
    </row>
    <row r="4732" spans="1:1" x14ac:dyDescent="0.25">
      <c r="A4732" s="66"/>
    </row>
    <row r="4733" spans="1:1" x14ac:dyDescent="0.25">
      <c r="A4733" s="66"/>
    </row>
    <row r="4734" spans="1:1" x14ac:dyDescent="0.25">
      <c r="A4734" s="66"/>
    </row>
    <row r="4735" spans="1:1" x14ac:dyDescent="0.25">
      <c r="A4735" s="66"/>
    </row>
    <row r="4736" spans="1:1" x14ac:dyDescent="0.25">
      <c r="A4736" s="66"/>
    </row>
    <row r="4737" spans="1:1" x14ac:dyDescent="0.25">
      <c r="A4737" s="66"/>
    </row>
    <row r="4738" spans="1:1" x14ac:dyDescent="0.25">
      <c r="A4738" s="66"/>
    </row>
    <row r="4739" spans="1:1" x14ac:dyDescent="0.25">
      <c r="A4739" s="66"/>
    </row>
    <row r="4740" spans="1:1" x14ac:dyDescent="0.25">
      <c r="A4740" s="66"/>
    </row>
    <row r="4741" spans="1:1" x14ac:dyDescent="0.25">
      <c r="A4741" s="66"/>
    </row>
    <row r="4742" spans="1:1" x14ac:dyDescent="0.25">
      <c r="A4742" s="66"/>
    </row>
    <row r="4743" spans="1:1" x14ac:dyDescent="0.25">
      <c r="A4743" s="66"/>
    </row>
    <row r="4744" spans="1:1" x14ac:dyDescent="0.25">
      <c r="A4744" s="66"/>
    </row>
    <row r="4745" spans="1:1" x14ac:dyDescent="0.25">
      <c r="A4745" s="66"/>
    </row>
    <row r="4746" spans="1:1" x14ac:dyDescent="0.25">
      <c r="A4746" s="66"/>
    </row>
    <row r="4747" spans="1:1" x14ac:dyDescent="0.25">
      <c r="A4747" s="66"/>
    </row>
    <row r="4748" spans="1:1" x14ac:dyDescent="0.25">
      <c r="A4748" s="66"/>
    </row>
    <row r="4749" spans="1:1" x14ac:dyDescent="0.25">
      <c r="A4749" s="66"/>
    </row>
    <row r="4750" spans="1:1" x14ac:dyDescent="0.25">
      <c r="A4750" s="66"/>
    </row>
    <row r="4751" spans="1:1" x14ac:dyDescent="0.25">
      <c r="A4751" s="66"/>
    </row>
    <row r="4752" spans="1:1" x14ac:dyDescent="0.25">
      <c r="A4752" s="66"/>
    </row>
    <row r="4753" spans="1:1" x14ac:dyDescent="0.25">
      <c r="A4753" s="66"/>
    </row>
    <row r="4754" spans="1:1" x14ac:dyDescent="0.25">
      <c r="A4754" s="66"/>
    </row>
    <row r="4755" spans="1:1" x14ac:dyDescent="0.25">
      <c r="A4755" s="66"/>
    </row>
    <row r="4756" spans="1:1" x14ac:dyDescent="0.25">
      <c r="A4756" s="66"/>
    </row>
    <row r="4757" spans="1:1" x14ac:dyDescent="0.25">
      <c r="A4757" s="66"/>
    </row>
    <row r="4758" spans="1:1" x14ac:dyDescent="0.25">
      <c r="A4758" s="66"/>
    </row>
    <row r="4759" spans="1:1" x14ac:dyDescent="0.25">
      <c r="A4759" s="66"/>
    </row>
    <row r="4760" spans="1:1" x14ac:dyDescent="0.25">
      <c r="A4760" s="66"/>
    </row>
    <row r="4761" spans="1:1" x14ac:dyDescent="0.25">
      <c r="A4761" s="66"/>
    </row>
    <row r="4762" spans="1:1" x14ac:dyDescent="0.25">
      <c r="A4762" s="66"/>
    </row>
    <row r="4763" spans="1:1" x14ac:dyDescent="0.25">
      <c r="A4763" s="66"/>
    </row>
    <row r="4764" spans="1:1" x14ac:dyDescent="0.25">
      <c r="A4764" s="66"/>
    </row>
    <row r="4765" spans="1:1" x14ac:dyDescent="0.25">
      <c r="A4765" s="66"/>
    </row>
    <row r="4766" spans="1:1" x14ac:dyDescent="0.25">
      <c r="A4766" s="66"/>
    </row>
    <row r="4767" spans="1:1" x14ac:dyDescent="0.25">
      <c r="A4767" s="66"/>
    </row>
    <row r="4768" spans="1:1" x14ac:dyDescent="0.25">
      <c r="A4768" s="66"/>
    </row>
    <row r="4769" spans="1:1" x14ac:dyDescent="0.25">
      <c r="A4769" s="66"/>
    </row>
    <row r="4770" spans="1:1" x14ac:dyDescent="0.25">
      <c r="A4770" s="66"/>
    </row>
    <row r="4771" spans="1:1" x14ac:dyDescent="0.25">
      <c r="A4771" s="66"/>
    </row>
    <row r="4772" spans="1:1" x14ac:dyDescent="0.25">
      <c r="A4772" s="66"/>
    </row>
    <row r="4773" spans="1:1" x14ac:dyDescent="0.25">
      <c r="A4773" s="66"/>
    </row>
    <row r="4774" spans="1:1" x14ac:dyDescent="0.25">
      <c r="A4774" s="66"/>
    </row>
    <row r="4775" spans="1:1" x14ac:dyDescent="0.25">
      <c r="A4775" s="66"/>
    </row>
    <row r="4776" spans="1:1" x14ac:dyDescent="0.25">
      <c r="A4776" s="66"/>
    </row>
    <row r="4777" spans="1:1" x14ac:dyDescent="0.25">
      <c r="A4777" s="66"/>
    </row>
    <row r="4778" spans="1:1" x14ac:dyDescent="0.25">
      <c r="A4778" s="66"/>
    </row>
    <row r="4779" spans="1:1" x14ac:dyDescent="0.25">
      <c r="A4779" s="66"/>
    </row>
    <row r="4780" spans="1:1" x14ac:dyDescent="0.25">
      <c r="A4780" s="66"/>
    </row>
    <row r="4781" spans="1:1" x14ac:dyDescent="0.25">
      <c r="A4781" s="66"/>
    </row>
    <row r="4782" spans="1:1" x14ac:dyDescent="0.25">
      <c r="A4782" s="66"/>
    </row>
    <row r="4783" spans="1:1" x14ac:dyDescent="0.25">
      <c r="A4783" s="66"/>
    </row>
    <row r="4784" spans="1:1" x14ac:dyDescent="0.25">
      <c r="A4784" s="66"/>
    </row>
    <row r="4785" spans="1:1" x14ac:dyDescent="0.25">
      <c r="A4785" s="66"/>
    </row>
    <row r="4786" spans="1:1" x14ac:dyDescent="0.25">
      <c r="A4786" s="66"/>
    </row>
    <row r="4787" spans="1:1" x14ac:dyDescent="0.25">
      <c r="A4787" s="66"/>
    </row>
    <row r="4788" spans="1:1" x14ac:dyDescent="0.25">
      <c r="A4788" s="66"/>
    </row>
    <row r="4789" spans="1:1" x14ac:dyDescent="0.25">
      <c r="A4789" s="66"/>
    </row>
    <row r="4790" spans="1:1" x14ac:dyDescent="0.25">
      <c r="A4790" s="66"/>
    </row>
    <row r="4791" spans="1:1" x14ac:dyDescent="0.25">
      <c r="A4791" s="66"/>
    </row>
    <row r="4792" spans="1:1" x14ac:dyDescent="0.25">
      <c r="A4792" s="66"/>
    </row>
    <row r="4793" spans="1:1" x14ac:dyDescent="0.25">
      <c r="A4793" s="66"/>
    </row>
    <row r="4794" spans="1:1" x14ac:dyDescent="0.25">
      <c r="A4794" s="66"/>
    </row>
    <row r="4795" spans="1:1" x14ac:dyDescent="0.25">
      <c r="A4795" s="66"/>
    </row>
    <row r="4796" spans="1:1" x14ac:dyDescent="0.25">
      <c r="A4796" s="66"/>
    </row>
    <row r="4797" spans="1:1" x14ac:dyDescent="0.25">
      <c r="A4797" s="66"/>
    </row>
    <row r="4798" spans="1:1" x14ac:dyDescent="0.25">
      <c r="A4798" s="66"/>
    </row>
    <row r="4799" spans="1:1" x14ac:dyDescent="0.25">
      <c r="A4799" s="66"/>
    </row>
    <row r="4800" spans="1:1" x14ac:dyDescent="0.25">
      <c r="A4800" s="66"/>
    </row>
    <row r="4801" spans="1:1" x14ac:dyDescent="0.25">
      <c r="A4801" s="66"/>
    </row>
    <row r="4802" spans="1:1" x14ac:dyDescent="0.25">
      <c r="A4802" s="66"/>
    </row>
    <row r="4803" spans="1:1" x14ac:dyDescent="0.25">
      <c r="A4803" s="66"/>
    </row>
    <row r="4804" spans="1:1" x14ac:dyDescent="0.25">
      <c r="A4804" s="66"/>
    </row>
    <row r="4805" spans="1:1" x14ac:dyDescent="0.25">
      <c r="A4805" s="66"/>
    </row>
    <row r="4806" spans="1:1" x14ac:dyDescent="0.25">
      <c r="A4806" s="66"/>
    </row>
    <row r="4807" spans="1:1" x14ac:dyDescent="0.25">
      <c r="A4807" s="66"/>
    </row>
    <row r="4808" spans="1:1" x14ac:dyDescent="0.25">
      <c r="A4808" s="66"/>
    </row>
    <row r="4809" spans="1:1" x14ac:dyDescent="0.25">
      <c r="A4809" s="66"/>
    </row>
    <row r="4810" spans="1:1" x14ac:dyDescent="0.25">
      <c r="A4810" s="66"/>
    </row>
    <row r="4811" spans="1:1" x14ac:dyDescent="0.25">
      <c r="A4811" s="66"/>
    </row>
    <row r="4812" spans="1:1" x14ac:dyDescent="0.25">
      <c r="A4812" s="66"/>
    </row>
    <row r="4813" spans="1:1" x14ac:dyDescent="0.25">
      <c r="A4813" s="66"/>
    </row>
    <row r="4814" spans="1:1" x14ac:dyDescent="0.25">
      <c r="A4814" s="66"/>
    </row>
    <row r="4815" spans="1:1" x14ac:dyDescent="0.25">
      <c r="A4815" s="66"/>
    </row>
    <row r="4816" spans="1:1" x14ac:dyDescent="0.25">
      <c r="A4816" s="66"/>
    </row>
    <row r="4817" spans="1:1" x14ac:dyDescent="0.25">
      <c r="A4817" s="66"/>
    </row>
    <row r="4818" spans="1:1" x14ac:dyDescent="0.25">
      <c r="A4818" s="66"/>
    </row>
    <row r="4819" spans="1:1" x14ac:dyDescent="0.25">
      <c r="A4819" s="66"/>
    </row>
    <row r="4820" spans="1:1" x14ac:dyDescent="0.25">
      <c r="A4820" s="66"/>
    </row>
    <row r="4821" spans="1:1" x14ac:dyDescent="0.25">
      <c r="A4821" s="66"/>
    </row>
    <row r="4822" spans="1:1" x14ac:dyDescent="0.25">
      <c r="A4822" s="66"/>
    </row>
    <row r="4823" spans="1:1" x14ac:dyDescent="0.25">
      <c r="A4823" s="66"/>
    </row>
    <row r="4824" spans="1:1" x14ac:dyDescent="0.25">
      <c r="A4824" s="66"/>
    </row>
    <row r="4825" spans="1:1" x14ac:dyDescent="0.25">
      <c r="A4825" s="66"/>
    </row>
    <row r="4826" spans="1:1" x14ac:dyDescent="0.25">
      <c r="A4826" s="66"/>
    </row>
    <row r="4827" spans="1:1" x14ac:dyDescent="0.25">
      <c r="A4827" s="66"/>
    </row>
    <row r="4828" spans="1:1" x14ac:dyDescent="0.25">
      <c r="A4828" s="66"/>
    </row>
    <row r="4829" spans="1:1" x14ac:dyDescent="0.25">
      <c r="A4829" s="66"/>
    </row>
    <row r="4830" spans="1:1" x14ac:dyDescent="0.25">
      <c r="A4830" s="66"/>
    </row>
    <row r="4831" spans="1:1" x14ac:dyDescent="0.25">
      <c r="A4831" s="66"/>
    </row>
    <row r="4832" spans="1:1" x14ac:dyDescent="0.25">
      <c r="A4832" s="66"/>
    </row>
    <row r="4833" spans="1:1" x14ac:dyDescent="0.25">
      <c r="A4833" s="66"/>
    </row>
    <row r="4834" spans="1:1" x14ac:dyDescent="0.25">
      <c r="A4834" s="66"/>
    </row>
    <row r="4835" spans="1:1" x14ac:dyDescent="0.25">
      <c r="A4835" s="66"/>
    </row>
    <row r="4836" spans="1:1" x14ac:dyDescent="0.25">
      <c r="A4836" s="66"/>
    </row>
    <row r="4837" spans="1:1" x14ac:dyDescent="0.25">
      <c r="A4837" s="66"/>
    </row>
    <row r="4838" spans="1:1" x14ac:dyDescent="0.25">
      <c r="A4838" s="66"/>
    </row>
    <row r="4839" spans="1:1" x14ac:dyDescent="0.25">
      <c r="A4839" s="66"/>
    </row>
    <row r="4840" spans="1:1" x14ac:dyDescent="0.25">
      <c r="A4840" s="66"/>
    </row>
    <row r="4841" spans="1:1" x14ac:dyDescent="0.25">
      <c r="A4841" s="66"/>
    </row>
    <row r="4842" spans="1:1" x14ac:dyDescent="0.25">
      <c r="A4842" s="66"/>
    </row>
    <row r="4843" spans="1:1" x14ac:dyDescent="0.25">
      <c r="A4843" s="66"/>
    </row>
    <row r="4844" spans="1:1" x14ac:dyDescent="0.25">
      <c r="A4844" s="66"/>
    </row>
    <row r="4845" spans="1:1" x14ac:dyDescent="0.25">
      <c r="A4845" s="66"/>
    </row>
    <row r="4846" spans="1:1" x14ac:dyDescent="0.25">
      <c r="A4846" s="66"/>
    </row>
    <row r="4847" spans="1:1" x14ac:dyDescent="0.25">
      <c r="A4847" s="66"/>
    </row>
    <row r="4848" spans="1:1" x14ac:dyDescent="0.25">
      <c r="A4848" s="66"/>
    </row>
    <row r="4849" spans="1:1" x14ac:dyDescent="0.25">
      <c r="A4849" s="66"/>
    </row>
    <row r="4850" spans="1:1" x14ac:dyDescent="0.25">
      <c r="A4850" s="66"/>
    </row>
    <row r="4851" spans="1:1" x14ac:dyDescent="0.25">
      <c r="A4851" s="66"/>
    </row>
    <row r="4852" spans="1:1" x14ac:dyDescent="0.25">
      <c r="A4852" s="66"/>
    </row>
    <row r="4853" spans="1:1" x14ac:dyDescent="0.25">
      <c r="A4853" s="66"/>
    </row>
    <row r="4854" spans="1:1" x14ac:dyDescent="0.25">
      <c r="A4854" s="66"/>
    </row>
    <row r="4855" spans="1:1" x14ac:dyDescent="0.25">
      <c r="A4855" s="66"/>
    </row>
    <row r="4856" spans="1:1" x14ac:dyDescent="0.25">
      <c r="A4856" s="66"/>
    </row>
    <row r="4857" spans="1:1" x14ac:dyDescent="0.25">
      <c r="A4857" s="66"/>
    </row>
    <row r="4858" spans="1:1" x14ac:dyDescent="0.25">
      <c r="A4858" s="66"/>
    </row>
    <row r="4859" spans="1:1" x14ac:dyDescent="0.25">
      <c r="A4859" s="66"/>
    </row>
    <row r="4860" spans="1:1" x14ac:dyDescent="0.25">
      <c r="A4860" s="66"/>
    </row>
    <row r="4861" spans="1:1" x14ac:dyDescent="0.25">
      <c r="A4861" s="66"/>
    </row>
    <row r="4862" spans="1:1" x14ac:dyDescent="0.25">
      <c r="A4862" s="66"/>
    </row>
    <row r="4863" spans="1:1" x14ac:dyDescent="0.25">
      <c r="A4863" s="66"/>
    </row>
    <row r="4864" spans="1:1" x14ac:dyDescent="0.25">
      <c r="A4864" s="66"/>
    </row>
    <row r="4865" spans="1:1" x14ac:dyDescent="0.25">
      <c r="A4865" s="66"/>
    </row>
    <row r="4866" spans="1:1" x14ac:dyDescent="0.25">
      <c r="A4866" s="66"/>
    </row>
    <row r="4867" spans="1:1" x14ac:dyDescent="0.25">
      <c r="A4867" s="66"/>
    </row>
    <row r="4868" spans="1:1" x14ac:dyDescent="0.25">
      <c r="A4868" s="66"/>
    </row>
    <row r="4869" spans="1:1" x14ac:dyDescent="0.25">
      <c r="A4869" s="66"/>
    </row>
    <row r="4870" spans="1:1" x14ac:dyDescent="0.25">
      <c r="A4870" s="66"/>
    </row>
    <row r="4871" spans="1:1" x14ac:dyDescent="0.25">
      <c r="A4871" s="66"/>
    </row>
    <row r="4872" spans="1:1" x14ac:dyDescent="0.25">
      <c r="A4872" s="66"/>
    </row>
    <row r="4873" spans="1:1" x14ac:dyDescent="0.25">
      <c r="A4873" s="66"/>
    </row>
    <row r="4874" spans="1:1" x14ac:dyDescent="0.25">
      <c r="A4874" s="66"/>
    </row>
    <row r="4875" spans="1:1" x14ac:dyDescent="0.25">
      <c r="A4875" s="66"/>
    </row>
    <row r="4876" spans="1:1" x14ac:dyDescent="0.25">
      <c r="A4876" s="66"/>
    </row>
    <row r="4877" spans="1:1" x14ac:dyDescent="0.25">
      <c r="A4877" s="66"/>
    </row>
    <row r="4878" spans="1:1" x14ac:dyDescent="0.25">
      <c r="A4878" s="66"/>
    </row>
    <row r="4879" spans="1:1" x14ac:dyDescent="0.25">
      <c r="A4879" s="66"/>
    </row>
    <row r="4880" spans="1:1" x14ac:dyDescent="0.25">
      <c r="A4880" s="66"/>
    </row>
    <row r="4881" spans="1:1" x14ac:dyDescent="0.25">
      <c r="A4881" s="66"/>
    </row>
    <row r="4882" spans="1:1" x14ac:dyDescent="0.25">
      <c r="A4882" s="66"/>
    </row>
    <row r="4883" spans="1:1" x14ac:dyDescent="0.25">
      <c r="A4883" s="66"/>
    </row>
    <row r="4884" spans="1:1" x14ac:dyDescent="0.25">
      <c r="A4884" s="66"/>
    </row>
    <row r="4885" spans="1:1" x14ac:dyDescent="0.25">
      <c r="A4885" s="66"/>
    </row>
    <row r="4886" spans="1:1" x14ac:dyDescent="0.25">
      <c r="A4886" s="66"/>
    </row>
    <row r="4887" spans="1:1" x14ac:dyDescent="0.25">
      <c r="A4887" s="66"/>
    </row>
    <row r="4888" spans="1:1" x14ac:dyDescent="0.25">
      <c r="A4888" s="66"/>
    </row>
    <row r="4889" spans="1:1" x14ac:dyDescent="0.25">
      <c r="A4889" s="66"/>
    </row>
    <row r="4890" spans="1:1" x14ac:dyDescent="0.25">
      <c r="A4890" s="66"/>
    </row>
    <row r="4891" spans="1:1" x14ac:dyDescent="0.25">
      <c r="A4891" s="66"/>
    </row>
    <row r="4892" spans="1:1" x14ac:dyDescent="0.25">
      <c r="A4892" s="66"/>
    </row>
    <row r="4893" spans="1:1" x14ac:dyDescent="0.25">
      <c r="A4893" s="66"/>
    </row>
    <row r="4894" spans="1:1" x14ac:dyDescent="0.25">
      <c r="A4894" s="66"/>
    </row>
    <row r="4895" spans="1:1" x14ac:dyDescent="0.25">
      <c r="A4895" s="66"/>
    </row>
    <row r="4896" spans="1:1" x14ac:dyDescent="0.25">
      <c r="A4896" s="66"/>
    </row>
    <row r="4897" spans="1:1" x14ac:dyDescent="0.25">
      <c r="A4897" s="66"/>
    </row>
    <row r="4898" spans="1:1" x14ac:dyDescent="0.25">
      <c r="A4898" s="66"/>
    </row>
    <row r="4899" spans="1:1" x14ac:dyDescent="0.25">
      <c r="A4899" s="66"/>
    </row>
    <row r="4900" spans="1:1" x14ac:dyDescent="0.25">
      <c r="A4900" s="66"/>
    </row>
    <row r="4901" spans="1:1" x14ac:dyDescent="0.25">
      <c r="A4901" s="66"/>
    </row>
    <row r="4902" spans="1:1" x14ac:dyDescent="0.25">
      <c r="A4902" s="66"/>
    </row>
    <row r="4903" spans="1:1" x14ac:dyDescent="0.25">
      <c r="A4903" s="66"/>
    </row>
    <row r="4904" spans="1:1" x14ac:dyDescent="0.25">
      <c r="A4904" s="66"/>
    </row>
    <row r="4905" spans="1:1" x14ac:dyDescent="0.25">
      <c r="A4905" s="66"/>
    </row>
    <row r="4906" spans="1:1" x14ac:dyDescent="0.25">
      <c r="A4906" s="66"/>
    </row>
    <row r="4907" spans="1:1" x14ac:dyDescent="0.25">
      <c r="A4907" s="66"/>
    </row>
    <row r="4908" spans="1:1" x14ac:dyDescent="0.25">
      <c r="A4908" s="66"/>
    </row>
    <row r="4909" spans="1:1" x14ac:dyDescent="0.25">
      <c r="A4909" s="66"/>
    </row>
    <row r="4910" spans="1:1" x14ac:dyDescent="0.25">
      <c r="A4910" s="66"/>
    </row>
    <row r="4911" spans="1:1" x14ac:dyDescent="0.25">
      <c r="A4911" s="66"/>
    </row>
    <row r="4912" spans="1:1" x14ac:dyDescent="0.25">
      <c r="A4912" s="66"/>
    </row>
    <row r="4913" spans="1:1" x14ac:dyDescent="0.25">
      <c r="A4913" s="66"/>
    </row>
    <row r="4914" spans="1:1" x14ac:dyDescent="0.25">
      <c r="A4914" s="66"/>
    </row>
    <row r="4915" spans="1:1" x14ac:dyDescent="0.25">
      <c r="A4915" s="66"/>
    </row>
    <row r="4916" spans="1:1" x14ac:dyDescent="0.25">
      <c r="A4916" s="66"/>
    </row>
    <row r="4917" spans="1:1" x14ac:dyDescent="0.25">
      <c r="A4917" s="66"/>
    </row>
    <row r="4918" spans="1:1" x14ac:dyDescent="0.25">
      <c r="A4918" s="66"/>
    </row>
    <row r="4919" spans="1:1" x14ac:dyDescent="0.25">
      <c r="A4919" s="66"/>
    </row>
    <row r="4920" spans="1:1" x14ac:dyDescent="0.25">
      <c r="A4920" s="66"/>
    </row>
    <row r="4921" spans="1:1" x14ac:dyDescent="0.25">
      <c r="A4921" s="66"/>
    </row>
    <row r="4922" spans="1:1" x14ac:dyDescent="0.25">
      <c r="A4922" s="66"/>
    </row>
    <row r="4923" spans="1:1" x14ac:dyDescent="0.25">
      <c r="A4923" s="66"/>
    </row>
    <row r="4924" spans="1:1" x14ac:dyDescent="0.25">
      <c r="A4924" s="66"/>
    </row>
    <row r="4925" spans="1:1" x14ac:dyDescent="0.25">
      <c r="A4925" s="66"/>
    </row>
    <row r="4926" spans="1:1" x14ac:dyDescent="0.25">
      <c r="A4926" s="66"/>
    </row>
    <row r="4927" spans="1:1" x14ac:dyDescent="0.25">
      <c r="A4927" s="66"/>
    </row>
    <row r="4928" spans="1:1" x14ac:dyDescent="0.25">
      <c r="A4928" s="66"/>
    </row>
    <row r="4929" spans="1:1" x14ac:dyDescent="0.25">
      <c r="A4929" s="66"/>
    </row>
    <row r="4930" spans="1:1" x14ac:dyDescent="0.25">
      <c r="A4930" s="66"/>
    </row>
    <row r="4931" spans="1:1" x14ac:dyDescent="0.25">
      <c r="A4931" s="66"/>
    </row>
    <row r="4932" spans="1:1" x14ac:dyDescent="0.25">
      <c r="A4932" s="66"/>
    </row>
    <row r="4933" spans="1:1" x14ac:dyDescent="0.25">
      <c r="A4933" s="66"/>
    </row>
    <row r="4934" spans="1:1" x14ac:dyDescent="0.25">
      <c r="A4934" s="66"/>
    </row>
    <row r="4935" spans="1:1" x14ac:dyDescent="0.25">
      <c r="A4935" s="66"/>
    </row>
    <row r="4936" spans="1:1" x14ac:dyDescent="0.25">
      <c r="A4936" s="66"/>
    </row>
    <row r="4937" spans="1:1" x14ac:dyDescent="0.25">
      <c r="A4937" s="66"/>
    </row>
    <row r="4938" spans="1:1" x14ac:dyDescent="0.25">
      <c r="A4938" s="66"/>
    </row>
    <row r="4939" spans="1:1" x14ac:dyDescent="0.25">
      <c r="A4939" s="66"/>
    </row>
    <row r="4940" spans="1:1" x14ac:dyDescent="0.25">
      <c r="A4940" s="66"/>
    </row>
    <row r="4941" spans="1:1" x14ac:dyDescent="0.25">
      <c r="A4941" s="66"/>
    </row>
    <row r="4942" spans="1:1" x14ac:dyDescent="0.25">
      <c r="A4942" s="66"/>
    </row>
    <row r="4943" spans="1:1" x14ac:dyDescent="0.25">
      <c r="A4943" s="66"/>
    </row>
    <row r="4944" spans="1:1" x14ac:dyDescent="0.25">
      <c r="A4944" s="66"/>
    </row>
    <row r="4945" spans="1:1" x14ac:dyDescent="0.25">
      <c r="A4945" s="66"/>
    </row>
    <row r="4946" spans="1:1" x14ac:dyDescent="0.25">
      <c r="A4946" s="66"/>
    </row>
    <row r="4947" spans="1:1" x14ac:dyDescent="0.25">
      <c r="A4947" s="66"/>
    </row>
    <row r="4948" spans="1:1" x14ac:dyDescent="0.25">
      <c r="A4948" s="66"/>
    </row>
    <row r="4949" spans="1:1" x14ac:dyDescent="0.25">
      <c r="A4949" s="66"/>
    </row>
    <row r="4950" spans="1:1" x14ac:dyDescent="0.25">
      <c r="A4950" s="66"/>
    </row>
    <row r="4951" spans="1:1" x14ac:dyDescent="0.25">
      <c r="A4951" s="66"/>
    </row>
    <row r="4952" spans="1:1" x14ac:dyDescent="0.25">
      <c r="A4952" s="66"/>
    </row>
    <row r="4953" spans="1:1" x14ac:dyDescent="0.25">
      <c r="A4953" s="66"/>
    </row>
    <row r="4954" spans="1:1" x14ac:dyDescent="0.25">
      <c r="A4954" s="66"/>
    </row>
    <row r="4955" spans="1:1" x14ac:dyDescent="0.25">
      <c r="A4955" s="66"/>
    </row>
    <row r="4956" spans="1:1" x14ac:dyDescent="0.25">
      <c r="A4956" s="66"/>
    </row>
    <row r="4957" spans="1:1" x14ac:dyDescent="0.25">
      <c r="A4957" s="66"/>
    </row>
    <row r="4958" spans="1:1" x14ac:dyDescent="0.25">
      <c r="A4958" s="66"/>
    </row>
    <row r="4959" spans="1:1" x14ac:dyDescent="0.25">
      <c r="A4959" s="66"/>
    </row>
    <row r="4960" spans="1:1" x14ac:dyDescent="0.25">
      <c r="A4960" s="66"/>
    </row>
    <row r="4961" spans="1:1" x14ac:dyDescent="0.25">
      <c r="A4961" s="66"/>
    </row>
    <row r="4962" spans="1:1" x14ac:dyDescent="0.25">
      <c r="A4962" s="66"/>
    </row>
    <row r="4963" spans="1:1" x14ac:dyDescent="0.25">
      <c r="A4963" s="66"/>
    </row>
    <row r="4964" spans="1:1" x14ac:dyDescent="0.25">
      <c r="A4964" s="66"/>
    </row>
    <row r="4965" spans="1:1" x14ac:dyDescent="0.25">
      <c r="A4965" s="66"/>
    </row>
    <row r="4966" spans="1:1" x14ac:dyDescent="0.25">
      <c r="A4966" s="66"/>
    </row>
    <row r="4967" spans="1:1" x14ac:dyDescent="0.25">
      <c r="A4967" s="66"/>
    </row>
    <row r="4968" spans="1:1" x14ac:dyDescent="0.25">
      <c r="A4968" s="66"/>
    </row>
    <row r="4969" spans="1:1" x14ac:dyDescent="0.25">
      <c r="A4969" s="66"/>
    </row>
    <row r="4970" spans="1:1" x14ac:dyDescent="0.25">
      <c r="A4970" s="66"/>
    </row>
    <row r="4971" spans="1:1" x14ac:dyDescent="0.25">
      <c r="A4971" s="66"/>
    </row>
    <row r="4972" spans="1:1" x14ac:dyDescent="0.25">
      <c r="A4972" s="66"/>
    </row>
    <row r="4973" spans="1:1" x14ac:dyDescent="0.25">
      <c r="A4973" s="66"/>
    </row>
    <row r="4974" spans="1:1" x14ac:dyDescent="0.25">
      <c r="A4974" s="66"/>
    </row>
    <row r="4975" spans="1:1" x14ac:dyDescent="0.25">
      <c r="A4975" s="66"/>
    </row>
    <row r="4976" spans="1:1" x14ac:dyDescent="0.25">
      <c r="A4976" s="66"/>
    </row>
    <row r="4977" spans="1:1" x14ac:dyDescent="0.25">
      <c r="A4977" s="66"/>
    </row>
    <row r="4978" spans="1:1" x14ac:dyDescent="0.25">
      <c r="A4978" s="66"/>
    </row>
    <row r="4979" spans="1:1" x14ac:dyDescent="0.25">
      <c r="A4979" s="66"/>
    </row>
    <row r="4980" spans="1:1" x14ac:dyDescent="0.25">
      <c r="A4980" s="66"/>
    </row>
    <row r="4981" spans="1:1" x14ac:dyDescent="0.25">
      <c r="A4981" s="66"/>
    </row>
    <row r="4982" spans="1:1" x14ac:dyDescent="0.25">
      <c r="A4982" s="66"/>
    </row>
    <row r="4983" spans="1:1" x14ac:dyDescent="0.25">
      <c r="A4983" s="66"/>
    </row>
    <row r="4984" spans="1:1" x14ac:dyDescent="0.25">
      <c r="A4984" s="66"/>
    </row>
    <row r="4985" spans="1:1" x14ac:dyDescent="0.25">
      <c r="A4985" s="66"/>
    </row>
    <row r="4986" spans="1:1" x14ac:dyDescent="0.25">
      <c r="A4986" s="66"/>
    </row>
    <row r="4987" spans="1:1" x14ac:dyDescent="0.25">
      <c r="A4987" s="66"/>
    </row>
    <row r="4988" spans="1:1" x14ac:dyDescent="0.25">
      <c r="A4988" s="66"/>
    </row>
    <row r="4989" spans="1:1" x14ac:dyDescent="0.25">
      <c r="A4989" s="66"/>
    </row>
    <row r="4990" spans="1:1" x14ac:dyDescent="0.25">
      <c r="A4990" s="66"/>
    </row>
    <row r="4991" spans="1:1" x14ac:dyDescent="0.25">
      <c r="A4991" s="66"/>
    </row>
    <row r="4992" spans="1:1" x14ac:dyDescent="0.25">
      <c r="A4992" s="66"/>
    </row>
    <row r="4993" spans="1:1" x14ac:dyDescent="0.25">
      <c r="A4993" s="66"/>
    </row>
    <row r="4994" spans="1:1" x14ac:dyDescent="0.25">
      <c r="A4994" s="66"/>
    </row>
    <row r="4995" spans="1:1" x14ac:dyDescent="0.25">
      <c r="A4995" s="66"/>
    </row>
    <row r="4996" spans="1:1" x14ac:dyDescent="0.25">
      <c r="A4996" s="66"/>
    </row>
    <row r="4997" spans="1:1" x14ac:dyDescent="0.25">
      <c r="A4997" s="66"/>
    </row>
    <row r="4998" spans="1:1" x14ac:dyDescent="0.25">
      <c r="A4998" s="66"/>
    </row>
    <row r="4999" spans="1:1" x14ac:dyDescent="0.25">
      <c r="A4999" s="66"/>
    </row>
    <row r="5000" spans="1:1" x14ac:dyDescent="0.25">
      <c r="A5000" s="66"/>
    </row>
    <row r="5001" spans="1:1" x14ac:dyDescent="0.25">
      <c r="A5001" s="66"/>
    </row>
    <row r="5002" spans="1:1" x14ac:dyDescent="0.25">
      <c r="A5002" s="66"/>
    </row>
    <row r="5003" spans="1:1" x14ac:dyDescent="0.25">
      <c r="A5003" s="66"/>
    </row>
    <row r="5004" spans="1:1" x14ac:dyDescent="0.25">
      <c r="A5004" s="66"/>
    </row>
    <row r="5005" spans="1:1" x14ac:dyDescent="0.25">
      <c r="A5005" s="66"/>
    </row>
    <row r="5006" spans="1:1" x14ac:dyDescent="0.25">
      <c r="A5006" s="66"/>
    </row>
    <row r="5007" spans="1:1" x14ac:dyDescent="0.25">
      <c r="A5007" s="66"/>
    </row>
    <row r="5008" spans="1:1" x14ac:dyDescent="0.25">
      <c r="A5008" s="66"/>
    </row>
    <row r="5009" spans="1:1" x14ac:dyDescent="0.25">
      <c r="A5009" s="66"/>
    </row>
    <row r="5010" spans="1:1" x14ac:dyDescent="0.25">
      <c r="A5010" s="66"/>
    </row>
    <row r="5011" spans="1:1" x14ac:dyDescent="0.25">
      <c r="A5011" s="66"/>
    </row>
    <row r="5012" spans="1:1" x14ac:dyDescent="0.25">
      <c r="A5012" s="66"/>
    </row>
    <row r="5013" spans="1:1" x14ac:dyDescent="0.25">
      <c r="A5013" s="66"/>
    </row>
    <row r="5014" spans="1:1" x14ac:dyDescent="0.25">
      <c r="A5014" s="66"/>
    </row>
    <row r="5015" spans="1:1" x14ac:dyDescent="0.25">
      <c r="A5015" s="66"/>
    </row>
    <row r="5016" spans="1:1" x14ac:dyDescent="0.25">
      <c r="A5016" s="66"/>
    </row>
    <row r="5017" spans="1:1" x14ac:dyDescent="0.25">
      <c r="A5017" s="66"/>
    </row>
    <row r="5018" spans="1:1" x14ac:dyDescent="0.25">
      <c r="A5018" s="66"/>
    </row>
    <row r="5019" spans="1:1" x14ac:dyDescent="0.25">
      <c r="A5019" s="66"/>
    </row>
    <row r="5020" spans="1:1" x14ac:dyDescent="0.25">
      <c r="A5020" s="66"/>
    </row>
    <row r="5021" spans="1:1" x14ac:dyDescent="0.25">
      <c r="A5021" s="66"/>
    </row>
    <row r="5022" spans="1:1" x14ac:dyDescent="0.25">
      <c r="A5022" s="66"/>
    </row>
    <row r="5023" spans="1:1" x14ac:dyDescent="0.25">
      <c r="A5023" s="66"/>
    </row>
    <row r="5024" spans="1:1" x14ac:dyDescent="0.25">
      <c r="A5024" s="66"/>
    </row>
    <row r="5025" spans="1:1" x14ac:dyDescent="0.25">
      <c r="A5025" s="66"/>
    </row>
    <row r="5026" spans="1:1" x14ac:dyDescent="0.25">
      <c r="A5026" s="66"/>
    </row>
    <row r="5027" spans="1:1" x14ac:dyDescent="0.25">
      <c r="A5027" s="66"/>
    </row>
    <row r="5028" spans="1:1" x14ac:dyDescent="0.25">
      <c r="A5028" s="66"/>
    </row>
    <row r="5029" spans="1:1" x14ac:dyDescent="0.25">
      <c r="A5029" s="66"/>
    </row>
    <row r="5030" spans="1:1" x14ac:dyDescent="0.25">
      <c r="A5030" s="66"/>
    </row>
    <row r="5031" spans="1:1" x14ac:dyDescent="0.25">
      <c r="A5031" s="66"/>
    </row>
    <row r="5032" spans="1:1" x14ac:dyDescent="0.25">
      <c r="A5032" s="66"/>
    </row>
    <row r="5033" spans="1:1" x14ac:dyDescent="0.25">
      <c r="A5033" s="66"/>
    </row>
    <row r="5034" spans="1:1" x14ac:dyDescent="0.25">
      <c r="A5034" s="66"/>
    </row>
    <row r="5035" spans="1:1" x14ac:dyDescent="0.25">
      <c r="A5035" s="66"/>
    </row>
    <row r="5036" spans="1:1" x14ac:dyDescent="0.25">
      <c r="A5036" s="66"/>
    </row>
    <row r="5037" spans="1:1" x14ac:dyDescent="0.25">
      <c r="A5037" s="66"/>
    </row>
    <row r="5038" spans="1:1" x14ac:dyDescent="0.25">
      <c r="A5038" s="66"/>
    </row>
    <row r="5039" spans="1:1" x14ac:dyDescent="0.25">
      <c r="A5039" s="66"/>
    </row>
    <row r="5040" spans="1:1" x14ac:dyDescent="0.25">
      <c r="A5040" s="66"/>
    </row>
    <row r="5041" spans="1:1" x14ac:dyDescent="0.25">
      <c r="A5041" s="66"/>
    </row>
    <row r="5042" spans="1:1" x14ac:dyDescent="0.25">
      <c r="A5042" s="66"/>
    </row>
    <row r="5043" spans="1:1" x14ac:dyDescent="0.25">
      <c r="A5043" s="66"/>
    </row>
    <row r="5044" spans="1:1" x14ac:dyDescent="0.25">
      <c r="A5044" s="66"/>
    </row>
    <row r="5045" spans="1:1" x14ac:dyDescent="0.25">
      <c r="A5045" s="66"/>
    </row>
    <row r="5046" spans="1:1" x14ac:dyDescent="0.25">
      <c r="A5046" s="66"/>
    </row>
    <row r="5047" spans="1:1" x14ac:dyDescent="0.25">
      <c r="A5047" s="66"/>
    </row>
    <row r="5048" spans="1:1" x14ac:dyDescent="0.25">
      <c r="A5048" s="66"/>
    </row>
    <row r="5049" spans="1:1" x14ac:dyDescent="0.25">
      <c r="A5049" s="66"/>
    </row>
    <row r="5050" spans="1:1" x14ac:dyDescent="0.25">
      <c r="A5050" s="66"/>
    </row>
    <row r="5051" spans="1:1" x14ac:dyDescent="0.25">
      <c r="A5051" s="66"/>
    </row>
    <row r="5052" spans="1:1" x14ac:dyDescent="0.25">
      <c r="A5052" s="66"/>
    </row>
    <row r="5053" spans="1:1" x14ac:dyDescent="0.25">
      <c r="A5053" s="66"/>
    </row>
    <row r="5054" spans="1:1" x14ac:dyDescent="0.25">
      <c r="A5054" s="66"/>
    </row>
    <row r="5055" spans="1:1" x14ac:dyDescent="0.25">
      <c r="A5055" s="66"/>
    </row>
    <row r="5056" spans="1:1" x14ac:dyDescent="0.25">
      <c r="A5056" s="66"/>
    </row>
    <row r="5057" spans="1:1" x14ac:dyDescent="0.25">
      <c r="A5057" s="66"/>
    </row>
    <row r="5058" spans="1:1" x14ac:dyDescent="0.25">
      <c r="A5058" s="66"/>
    </row>
    <row r="5059" spans="1:1" x14ac:dyDescent="0.25">
      <c r="A5059" s="66"/>
    </row>
    <row r="5060" spans="1:1" x14ac:dyDescent="0.25">
      <c r="A5060" s="66"/>
    </row>
    <row r="5061" spans="1:1" x14ac:dyDescent="0.25">
      <c r="A5061" s="66"/>
    </row>
    <row r="5062" spans="1:1" x14ac:dyDescent="0.25">
      <c r="A5062" s="66"/>
    </row>
    <row r="5063" spans="1:1" x14ac:dyDescent="0.25">
      <c r="A5063" s="66"/>
    </row>
    <row r="5064" spans="1:1" x14ac:dyDescent="0.25">
      <c r="A5064" s="66"/>
    </row>
    <row r="5065" spans="1:1" x14ac:dyDescent="0.25">
      <c r="A5065" s="66"/>
    </row>
    <row r="5066" spans="1:1" x14ac:dyDescent="0.25">
      <c r="A5066" s="66"/>
    </row>
    <row r="5067" spans="1:1" x14ac:dyDescent="0.25">
      <c r="A5067" s="66"/>
    </row>
    <row r="5068" spans="1:1" x14ac:dyDescent="0.25">
      <c r="A5068" s="66"/>
    </row>
    <row r="5069" spans="1:1" x14ac:dyDescent="0.25">
      <c r="A5069" s="66"/>
    </row>
    <row r="5070" spans="1:1" x14ac:dyDescent="0.25">
      <c r="A5070" s="66"/>
    </row>
    <row r="5071" spans="1:1" x14ac:dyDescent="0.25">
      <c r="A5071" s="66"/>
    </row>
    <row r="5072" spans="1:1" x14ac:dyDescent="0.25">
      <c r="A5072" s="66"/>
    </row>
    <row r="5073" spans="1:1" x14ac:dyDescent="0.25">
      <c r="A5073" s="66"/>
    </row>
    <row r="5074" spans="1:1" x14ac:dyDescent="0.25">
      <c r="A5074" s="66"/>
    </row>
    <row r="5075" spans="1:1" x14ac:dyDescent="0.25">
      <c r="A5075" s="66"/>
    </row>
    <row r="5076" spans="1:1" x14ac:dyDescent="0.25">
      <c r="A5076" s="66"/>
    </row>
    <row r="5077" spans="1:1" x14ac:dyDescent="0.25">
      <c r="A5077" s="66"/>
    </row>
    <row r="5078" spans="1:1" x14ac:dyDescent="0.25">
      <c r="A5078" s="66"/>
    </row>
    <row r="5079" spans="1:1" x14ac:dyDescent="0.25">
      <c r="A5079" s="66"/>
    </row>
    <row r="5080" spans="1:1" x14ac:dyDescent="0.25">
      <c r="A5080" s="66"/>
    </row>
    <row r="5081" spans="1:1" x14ac:dyDescent="0.25">
      <c r="A5081" s="66"/>
    </row>
    <row r="5082" spans="1:1" x14ac:dyDescent="0.25">
      <c r="A5082" s="66"/>
    </row>
    <row r="5083" spans="1:1" x14ac:dyDescent="0.25">
      <c r="A5083" s="66"/>
    </row>
    <row r="5084" spans="1:1" x14ac:dyDescent="0.25">
      <c r="A5084" s="66"/>
    </row>
    <row r="5085" spans="1:1" x14ac:dyDescent="0.25">
      <c r="A5085" s="66"/>
    </row>
    <row r="5086" spans="1:1" x14ac:dyDescent="0.25">
      <c r="A5086" s="66"/>
    </row>
    <row r="5087" spans="1:1" x14ac:dyDescent="0.25">
      <c r="A5087" s="66"/>
    </row>
    <row r="5088" spans="1:1" x14ac:dyDescent="0.25">
      <c r="A5088" s="66"/>
    </row>
    <row r="5089" spans="1:1" x14ac:dyDescent="0.25">
      <c r="A5089" s="66"/>
    </row>
    <row r="5090" spans="1:1" x14ac:dyDescent="0.25">
      <c r="A5090" s="66"/>
    </row>
    <row r="5091" spans="1:1" x14ac:dyDescent="0.25">
      <c r="A5091" s="66"/>
    </row>
    <row r="5092" spans="1:1" x14ac:dyDescent="0.25">
      <c r="A5092" s="66"/>
    </row>
    <row r="5093" spans="1:1" x14ac:dyDescent="0.25">
      <c r="A5093" s="66"/>
    </row>
    <row r="5094" spans="1:1" x14ac:dyDescent="0.25">
      <c r="A5094" s="66"/>
    </row>
    <row r="5095" spans="1:1" x14ac:dyDescent="0.25">
      <c r="A5095" s="66"/>
    </row>
    <row r="5096" spans="1:1" x14ac:dyDescent="0.25">
      <c r="A5096" s="66"/>
    </row>
    <row r="5097" spans="1:1" x14ac:dyDescent="0.25">
      <c r="A5097" s="66"/>
    </row>
    <row r="5098" spans="1:1" x14ac:dyDescent="0.25">
      <c r="A5098" s="66"/>
    </row>
    <row r="5099" spans="1:1" x14ac:dyDescent="0.25">
      <c r="A5099" s="66"/>
    </row>
    <row r="5100" spans="1:1" x14ac:dyDescent="0.25">
      <c r="A5100" s="66"/>
    </row>
    <row r="5101" spans="1:1" x14ac:dyDescent="0.25">
      <c r="A5101" s="66"/>
    </row>
    <row r="5102" spans="1:1" x14ac:dyDescent="0.25">
      <c r="A5102" s="66"/>
    </row>
    <row r="5103" spans="1:1" x14ac:dyDescent="0.25">
      <c r="A5103" s="66"/>
    </row>
    <row r="5104" spans="1:1" x14ac:dyDescent="0.25">
      <c r="A5104" s="66"/>
    </row>
    <row r="5105" spans="1:1" x14ac:dyDescent="0.25">
      <c r="A5105" s="66"/>
    </row>
    <row r="5106" spans="1:1" x14ac:dyDescent="0.25">
      <c r="A5106" s="66"/>
    </row>
    <row r="5107" spans="1:1" x14ac:dyDescent="0.25">
      <c r="A5107" s="66"/>
    </row>
    <row r="5108" spans="1:1" x14ac:dyDescent="0.25">
      <c r="A5108" s="66"/>
    </row>
    <row r="5109" spans="1:1" x14ac:dyDescent="0.25">
      <c r="A5109" s="66"/>
    </row>
    <row r="5110" spans="1:1" x14ac:dyDescent="0.25">
      <c r="A5110" s="66"/>
    </row>
    <row r="5111" spans="1:1" x14ac:dyDescent="0.25">
      <c r="A5111" s="66"/>
    </row>
    <row r="5112" spans="1:1" x14ac:dyDescent="0.25">
      <c r="A5112" s="66"/>
    </row>
    <row r="5113" spans="1:1" x14ac:dyDescent="0.25">
      <c r="A5113" s="66"/>
    </row>
    <row r="5114" spans="1:1" x14ac:dyDescent="0.25">
      <c r="A5114" s="66"/>
    </row>
    <row r="5115" spans="1:1" x14ac:dyDescent="0.25">
      <c r="A5115" s="66"/>
    </row>
    <row r="5116" spans="1:1" x14ac:dyDescent="0.25">
      <c r="A5116" s="66"/>
    </row>
    <row r="5117" spans="1:1" x14ac:dyDescent="0.25">
      <c r="A5117" s="66"/>
    </row>
    <row r="5118" spans="1:1" x14ac:dyDescent="0.25">
      <c r="A5118" s="66"/>
    </row>
    <row r="5119" spans="1:1" x14ac:dyDescent="0.25">
      <c r="A5119" s="66"/>
    </row>
    <row r="5120" spans="1:1" x14ac:dyDescent="0.25">
      <c r="A5120" s="66"/>
    </row>
    <row r="5121" spans="1:1" x14ac:dyDescent="0.25">
      <c r="A5121" s="66"/>
    </row>
    <row r="5122" spans="1:1" x14ac:dyDescent="0.25">
      <c r="A5122" s="66"/>
    </row>
    <row r="5123" spans="1:1" x14ac:dyDescent="0.25">
      <c r="A5123" s="66"/>
    </row>
    <row r="5124" spans="1:1" x14ac:dyDescent="0.25">
      <c r="A5124" s="66"/>
    </row>
    <row r="5125" spans="1:1" x14ac:dyDescent="0.25">
      <c r="A5125" s="66"/>
    </row>
    <row r="5126" spans="1:1" x14ac:dyDescent="0.25">
      <c r="A5126" s="66"/>
    </row>
    <row r="5127" spans="1:1" x14ac:dyDescent="0.25">
      <c r="A5127" s="66"/>
    </row>
    <row r="5128" spans="1:1" x14ac:dyDescent="0.25">
      <c r="A5128" s="66"/>
    </row>
    <row r="5129" spans="1:1" x14ac:dyDescent="0.25">
      <c r="A5129" s="66"/>
    </row>
    <row r="5130" spans="1:1" x14ac:dyDescent="0.25">
      <c r="A5130" s="66"/>
    </row>
    <row r="5131" spans="1:1" x14ac:dyDescent="0.25">
      <c r="A5131" s="66"/>
    </row>
    <row r="5132" spans="1:1" x14ac:dyDescent="0.25">
      <c r="A5132" s="66"/>
    </row>
    <row r="5133" spans="1:1" x14ac:dyDescent="0.25">
      <c r="A5133" s="66"/>
    </row>
    <row r="5134" spans="1:1" x14ac:dyDescent="0.25">
      <c r="A5134" s="66"/>
    </row>
    <row r="5135" spans="1:1" x14ac:dyDescent="0.25">
      <c r="A5135" s="66"/>
    </row>
    <row r="5136" spans="1:1" x14ac:dyDescent="0.25">
      <c r="A5136" s="66"/>
    </row>
    <row r="5137" spans="1:1" x14ac:dyDescent="0.25">
      <c r="A5137" s="66"/>
    </row>
    <row r="5138" spans="1:1" x14ac:dyDescent="0.25">
      <c r="A5138" s="66"/>
    </row>
    <row r="5139" spans="1:1" x14ac:dyDescent="0.25">
      <c r="A5139" s="66"/>
    </row>
    <row r="5140" spans="1:1" x14ac:dyDescent="0.25">
      <c r="A5140" s="66"/>
    </row>
    <row r="5141" spans="1:1" x14ac:dyDescent="0.25">
      <c r="A5141" s="66"/>
    </row>
    <row r="5142" spans="1:1" x14ac:dyDescent="0.25">
      <c r="A5142" s="66"/>
    </row>
    <row r="5143" spans="1:1" x14ac:dyDescent="0.25">
      <c r="A5143" s="66"/>
    </row>
    <row r="5144" spans="1:1" x14ac:dyDescent="0.25">
      <c r="A5144" s="66"/>
    </row>
    <row r="5145" spans="1:1" x14ac:dyDescent="0.25">
      <c r="A5145" s="66"/>
    </row>
    <row r="5146" spans="1:1" x14ac:dyDescent="0.25">
      <c r="A5146" s="66"/>
    </row>
    <row r="5147" spans="1:1" x14ac:dyDescent="0.25">
      <c r="A5147" s="66"/>
    </row>
    <row r="5148" spans="1:1" x14ac:dyDescent="0.25">
      <c r="A5148" s="66"/>
    </row>
    <row r="5149" spans="1:1" x14ac:dyDescent="0.25">
      <c r="A5149" s="66"/>
    </row>
    <row r="5150" spans="1:1" x14ac:dyDescent="0.25">
      <c r="A5150" s="66"/>
    </row>
    <row r="5151" spans="1:1" x14ac:dyDescent="0.25">
      <c r="A5151" s="66"/>
    </row>
    <row r="5152" spans="1:1" x14ac:dyDescent="0.25">
      <c r="A5152" s="66"/>
    </row>
    <row r="5153" spans="1:1" x14ac:dyDescent="0.25">
      <c r="A5153" s="66"/>
    </row>
    <row r="5154" spans="1:1" x14ac:dyDescent="0.25">
      <c r="A5154" s="66"/>
    </row>
    <row r="5155" spans="1:1" x14ac:dyDescent="0.25">
      <c r="A5155" s="66"/>
    </row>
    <row r="5156" spans="1:1" x14ac:dyDescent="0.25">
      <c r="A5156" s="66"/>
    </row>
    <row r="5157" spans="1:1" x14ac:dyDescent="0.25">
      <c r="A5157" s="66"/>
    </row>
    <row r="5158" spans="1:1" x14ac:dyDescent="0.25">
      <c r="A5158" s="66"/>
    </row>
    <row r="5159" spans="1:1" x14ac:dyDescent="0.25">
      <c r="A5159" s="66"/>
    </row>
    <row r="5160" spans="1:1" x14ac:dyDescent="0.25">
      <c r="A5160" s="66"/>
    </row>
    <row r="5161" spans="1:1" x14ac:dyDescent="0.25">
      <c r="A5161" s="66"/>
    </row>
    <row r="5162" spans="1:1" x14ac:dyDescent="0.25">
      <c r="A5162" s="66"/>
    </row>
    <row r="5163" spans="1:1" x14ac:dyDescent="0.25">
      <c r="A5163" s="66"/>
    </row>
    <row r="5164" spans="1:1" x14ac:dyDescent="0.25">
      <c r="A5164" s="66"/>
    </row>
    <row r="5165" spans="1:1" x14ac:dyDescent="0.25">
      <c r="A5165" s="66"/>
    </row>
    <row r="5166" spans="1:1" x14ac:dyDescent="0.25">
      <c r="A5166" s="66"/>
    </row>
    <row r="5167" spans="1:1" x14ac:dyDescent="0.25">
      <c r="A5167" s="66"/>
    </row>
    <row r="5168" spans="1:1" x14ac:dyDescent="0.25">
      <c r="A5168" s="66"/>
    </row>
    <row r="5169" spans="1:1" x14ac:dyDescent="0.25">
      <c r="A5169" s="66"/>
    </row>
    <row r="5170" spans="1:1" x14ac:dyDescent="0.25">
      <c r="A5170" s="66"/>
    </row>
    <row r="5171" spans="1:1" x14ac:dyDescent="0.25">
      <c r="A5171" s="66"/>
    </row>
    <row r="5172" spans="1:1" x14ac:dyDescent="0.25">
      <c r="A5172" s="66"/>
    </row>
    <row r="5173" spans="1:1" x14ac:dyDescent="0.25">
      <c r="A5173" s="66"/>
    </row>
    <row r="5174" spans="1:1" x14ac:dyDescent="0.25">
      <c r="A5174" s="66"/>
    </row>
    <row r="5175" spans="1:1" x14ac:dyDescent="0.25">
      <c r="A5175" s="66"/>
    </row>
    <row r="5176" spans="1:1" x14ac:dyDescent="0.25">
      <c r="A5176" s="66"/>
    </row>
    <row r="5177" spans="1:1" x14ac:dyDescent="0.25">
      <c r="A5177" s="66"/>
    </row>
    <row r="5178" spans="1:1" x14ac:dyDescent="0.25">
      <c r="A5178" s="66"/>
    </row>
    <row r="5179" spans="1:1" x14ac:dyDescent="0.25">
      <c r="A5179" s="66"/>
    </row>
    <row r="5180" spans="1:1" x14ac:dyDescent="0.25">
      <c r="A5180" s="66"/>
    </row>
    <row r="5181" spans="1:1" x14ac:dyDescent="0.25">
      <c r="A5181" s="66"/>
    </row>
    <row r="5182" spans="1:1" x14ac:dyDescent="0.25">
      <c r="A5182" s="66"/>
    </row>
    <row r="5183" spans="1:1" x14ac:dyDescent="0.25">
      <c r="A5183" s="66"/>
    </row>
    <row r="5184" spans="1:1" x14ac:dyDescent="0.25">
      <c r="A5184" s="66"/>
    </row>
    <row r="5185" spans="1:1" x14ac:dyDescent="0.25">
      <c r="A5185" s="66"/>
    </row>
    <row r="5186" spans="1:1" x14ac:dyDescent="0.25">
      <c r="A5186" s="66"/>
    </row>
    <row r="5187" spans="1:1" x14ac:dyDescent="0.25">
      <c r="A5187" s="66"/>
    </row>
    <row r="5188" spans="1:1" x14ac:dyDescent="0.25">
      <c r="A5188" s="66"/>
    </row>
    <row r="5189" spans="1:1" x14ac:dyDescent="0.25">
      <c r="A5189" s="66"/>
    </row>
    <row r="5190" spans="1:1" x14ac:dyDescent="0.25">
      <c r="A5190" s="66"/>
    </row>
    <row r="5191" spans="1:1" x14ac:dyDescent="0.25">
      <c r="A5191" s="66"/>
    </row>
    <row r="5192" spans="1:1" x14ac:dyDescent="0.25">
      <c r="A5192" s="66"/>
    </row>
    <row r="5193" spans="1:1" x14ac:dyDescent="0.25">
      <c r="A5193" s="66"/>
    </row>
    <row r="5194" spans="1:1" x14ac:dyDescent="0.25">
      <c r="A5194" s="66"/>
    </row>
    <row r="5195" spans="1:1" x14ac:dyDescent="0.25">
      <c r="A5195" s="66"/>
    </row>
    <row r="5196" spans="1:1" x14ac:dyDescent="0.25">
      <c r="A5196" s="66"/>
    </row>
    <row r="5197" spans="1:1" x14ac:dyDescent="0.25">
      <c r="A5197" s="66"/>
    </row>
    <row r="5198" spans="1:1" x14ac:dyDescent="0.25">
      <c r="A5198" s="66"/>
    </row>
    <row r="5199" spans="1:1" x14ac:dyDescent="0.25">
      <c r="A5199" s="66"/>
    </row>
    <row r="5200" spans="1:1" x14ac:dyDescent="0.25">
      <c r="A5200" s="66"/>
    </row>
    <row r="5201" spans="1:1" x14ac:dyDescent="0.25">
      <c r="A5201" s="66"/>
    </row>
    <row r="5202" spans="1:1" x14ac:dyDescent="0.25">
      <c r="A5202" s="66"/>
    </row>
    <row r="5203" spans="1:1" x14ac:dyDescent="0.25">
      <c r="A5203" s="66"/>
    </row>
    <row r="5204" spans="1:1" x14ac:dyDescent="0.25">
      <c r="A5204" s="66"/>
    </row>
    <row r="5205" spans="1:1" x14ac:dyDescent="0.25">
      <c r="A5205" s="66"/>
    </row>
    <row r="5206" spans="1:1" x14ac:dyDescent="0.25">
      <c r="A5206" s="66"/>
    </row>
    <row r="5207" spans="1:1" x14ac:dyDescent="0.25">
      <c r="A5207" s="66"/>
    </row>
    <row r="5208" spans="1:1" x14ac:dyDescent="0.25">
      <c r="A5208" s="66"/>
    </row>
    <row r="5209" spans="1:1" x14ac:dyDescent="0.25">
      <c r="A5209" s="66"/>
    </row>
    <row r="5210" spans="1:1" x14ac:dyDescent="0.25">
      <c r="A5210" s="66"/>
    </row>
    <row r="5211" spans="1:1" x14ac:dyDescent="0.25">
      <c r="A5211" s="66"/>
    </row>
    <row r="5212" spans="1:1" x14ac:dyDescent="0.25">
      <c r="A5212" s="66"/>
    </row>
    <row r="5213" spans="1:1" x14ac:dyDescent="0.25">
      <c r="A5213" s="66"/>
    </row>
    <row r="5214" spans="1:1" x14ac:dyDescent="0.25">
      <c r="A5214" s="66"/>
    </row>
    <row r="5215" spans="1:1" x14ac:dyDescent="0.25">
      <c r="A5215" s="66"/>
    </row>
    <row r="5216" spans="1:1" x14ac:dyDescent="0.25">
      <c r="A5216" s="66"/>
    </row>
    <row r="5217" spans="1:1" x14ac:dyDescent="0.25">
      <c r="A5217" s="66"/>
    </row>
    <row r="5218" spans="1:1" x14ac:dyDescent="0.25">
      <c r="A5218" s="66"/>
    </row>
    <row r="5219" spans="1:1" x14ac:dyDescent="0.25">
      <c r="A5219" s="66"/>
    </row>
    <row r="5220" spans="1:1" x14ac:dyDescent="0.25">
      <c r="A5220" s="66"/>
    </row>
    <row r="5221" spans="1:1" x14ac:dyDescent="0.25">
      <c r="A5221" s="66"/>
    </row>
    <row r="5222" spans="1:1" x14ac:dyDescent="0.25">
      <c r="A5222" s="66"/>
    </row>
    <row r="5223" spans="1:1" x14ac:dyDescent="0.25">
      <c r="A5223" s="66"/>
    </row>
    <row r="5224" spans="1:1" x14ac:dyDescent="0.25">
      <c r="A5224" s="66"/>
    </row>
    <row r="5225" spans="1:1" x14ac:dyDescent="0.25">
      <c r="A5225" s="66"/>
    </row>
    <row r="5226" spans="1:1" x14ac:dyDescent="0.25">
      <c r="A5226" s="66"/>
    </row>
    <row r="5227" spans="1:1" x14ac:dyDescent="0.25">
      <c r="A5227" s="66"/>
    </row>
    <row r="5228" spans="1:1" x14ac:dyDescent="0.25">
      <c r="A5228" s="66"/>
    </row>
    <row r="5229" spans="1:1" x14ac:dyDescent="0.25">
      <c r="A5229" s="66"/>
    </row>
    <row r="5230" spans="1:1" x14ac:dyDescent="0.25">
      <c r="A5230" s="66"/>
    </row>
    <row r="5231" spans="1:1" x14ac:dyDescent="0.25">
      <c r="A5231" s="66"/>
    </row>
    <row r="5232" spans="1:1" x14ac:dyDescent="0.25">
      <c r="A5232" s="66"/>
    </row>
    <row r="5233" spans="1:1" x14ac:dyDescent="0.25">
      <c r="A5233" s="66"/>
    </row>
    <row r="5234" spans="1:1" x14ac:dyDescent="0.25">
      <c r="A5234" s="66"/>
    </row>
    <row r="5235" spans="1:1" x14ac:dyDescent="0.25">
      <c r="A5235" s="66"/>
    </row>
    <row r="5236" spans="1:1" x14ac:dyDescent="0.25">
      <c r="A5236" s="66"/>
    </row>
    <row r="5237" spans="1:1" x14ac:dyDescent="0.25">
      <c r="A5237" s="66"/>
    </row>
    <row r="5238" spans="1:1" x14ac:dyDescent="0.25">
      <c r="A5238" s="66"/>
    </row>
    <row r="5239" spans="1:1" x14ac:dyDescent="0.25">
      <c r="A5239" s="66"/>
    </row>
    <row r="5240" spans="1:1" x14ac:dyDescent="0.25">
      <c r="A5240" s="66"/>
    </row>
    <row r="5241" spans="1:1" x14ac:dyDescent="0.25">
      <c r="A5241" s="66"/>
    </row>
    <row r="5242" spans="1:1" x14ac:dyDescent="0.25">
      <c r="A5242" s="66"/>
    </row>
    <row r="5243" spans="1:1" x14ac:dyDescent="0.25">
      <c r="A5243" s="66"/>
    </row>
    <row r="5244" spans="1:1" x14ac:dyDescent="0.25">
      <c r="A5244" s="66"/>
    </row>
    <row r="5245" spans="1:1" x14ac:dyDescent="0.25">
      <c r="A5245" s="66"/>
    </row>
    <row r="5246" spans="1:1" x14ac:dyDescent="0.25">
      <c r="A5246" s="66"/>
    </row>
    <row r="5247" spans="1:1" x14ac:dyDescent="0.25">
      <c r="A5247" s="66"/>
    </row>
    <row r="5248" spans="1:1" x14ac:dyDescent="0.25">
      <c r="A5248" s="66"/>
    </row>
    <row r="5249" spans="1:1" x14ac:dyDescent="0.25">
      <c r="A5249" s="66"/>
    </row>
    <row r="5250" spans="1:1" x14ac:dyDescent="0.25">
      <c r="A5250" s="66"/>
    </row>
    <row r="5251" spans="1:1" x14ac:dyDescent="0.25">
      <c r="A5251" s="66"/>
    </row>
    <row r="5252" spans="1:1" x14ac:dyDescent="0.25">
      <c r="A5252" s="66"/>
    </row>
    <row r="5253" spans="1:1" x14ac:dyDescent="0.25">
      <c r="A5253" s="66"/>
    </row>
    <row r="5254" spans="1:1" x14ac:dyDescent="0.25">
      <c r="A5254" s="66"/>
    </row>
    <row r="5255" spans="1:1" x14ac:dyDescent="0.25">
      <c r="A5255" s="66"/>
    </row>
    <row r="5256" spans="1:1" x14ac:dyDescent="0.25">
      <c r="A5256" s="66"/>
    </row>
    <row r="5257" spans="1:1" x14ac:dyDescent="0.25">
      <c r="A5257" s="66"/>
    </row>
    <row r="5258" spans="1:1" x14ac:dyDescent="0.25">
      <c r="A5258" s="66"/>
    </row>
    <row r="5259" spans="1:1" x14ac:dyDescent="0.25">
      <c r="A5259" s="66"/>
    </row>
    <row r="5260" spans="1:1" x14ac:dyDescent="0.25">
      <c r="A5260" s="66"/>
    </row>
    <row r="5261" spans="1:1" x14ac:dyDescent="0.25">
      <c r="A5261" s="66"/>
    </row>
    <row r="5262" spans="1:1" x14ac:dyDescent="0.25">
      <c r="A5262" s="66"/>
    </row>
    <row r="5263" spans="1:1" x14ac:dyDescent="0.25">
      <c r="A5263" s="66"/>
    </row>
    <row r="5264" spans="1:1" x14ac:dyDescent="0.25">
      <c r="A5264" s="66"/>
    </row>
    <row r="5265" spans="1:1" x14ac:dyDescent="0.25">
      <c r="A5265" s="66"/>
    </row>
    <row r="5266" spans="1:1" x14ac:dyDescent="0.25">
      <c r="A5266" s="66"/>
    </row>
    <row r="5267" spans="1:1" x14ac:dyDescent="0.25">
      <c r="A5267" s="66"/>
    </row>
    <row r="5268" spans="1:1" x14ac:dyDescent="0.25">
      <c r="A5268" s="66"/>
    </row>
    <row r="5269" spans="1:1" x14ac:dyDescent="0.25">
      <c r="A5269" s="66"/>
    </row>
    <row r="5270" spans="1:1" x14ac:dyDescent="0.25">
      <c r="A5270" s="66"/>
    </row>
    <row r="5271" spans="1:1" x14ac:dyDescent="0.25">
      <c r="A5271" s="66"/>
    </row>
    <row r="5272" spans="1:1" x14ac:dyDescent="0.25">
      <c r="A5272" s="66"/>
    </row>
    <row r="5273" spans="1:1" x14ac:dyDescent="0.25">
      <c r="A5273" s="66"/>
    </row>
    <row r="5274" spans="1:1" x14ac:dyDescent="0.25">
      <c r="A5274" s="66"/>
    </row>
    <row r="5275" spans="1:1" x14ac:dyDescent="0.25">
      <c r="A5275" s="66"/>
    </row>
    <row r="5276" spans="1:1" x14ac:dyDescent="0.25">
      <c r="A5276" s="66"/>
    </row>
    <row r="5277" spans="1:1" x14ac:dyDescent="0.25">
      <c r="A5277" s="66"/>
    </row>
    <row r="5278" spans="1:1" x14ac:dyDescent="0.25">
      <c r="A5278" s="66"/>
    </row>
    <row r="5279" spans="1:1" x14ac:dyDescent="0.25">
      <c r="A5279" s="66"/>
    </row>
    <row r="5280" spans="1:1" x14ac:dyDescent="0.25">
      <c r="A5280" s="66"/>
    </row>
    <row r="5281" spans="1:1" x14ac:dyDescent="0.25">
      <c r="A5281" s="66"/>
    </row>
    <row r="5282" spans="1:1" x14ac:dyDescent="0.25">
      <c r="A5282" s="66"/>
    </row>
    <row r="5283" spans="1:1" x14ac:dyDescent="0.25">
      <c r="A5283" s="66"/>
    </row>
    <row r="5284" spans="1:1" x14ac:dyDescent="0.25">
      <c r="A5284" s="66"/>
    </row>
    <row r="5285" spans="1:1" x14ac:dyDescent="0.25">
      <c r="A5285" s="66"/>
    </row>
    <row r="5286" spans="1:1" x14ac:dyDescent="0.25">
      <c r="A5286" s="66"/>
    </row>
    <row r="5287" spans="1:1" x14ac:dyDescent="0.25">
      <c r="A5287" s="66"/>
    </row>
    <row r="5288" spans="1:1" x14ac:dyDescent="0.25">
      <c r="A5288" s="66"/>
    </row>
    <row r="5289" spans="1:1" x14ac:dyDescent="0.25">
      <c r="A5289" s="66"/>
    </row>
    <row r="5290" spans="1:1" x14ac:dyDescent="0.25">
      <c r="A5290" s="66"/>
    </row>
    <row r="5291" spans="1:1" x14ac:dyDescent="0.25">
      <c r="A5291" s="66"/>
    </row>
    <row r="5292" spans="1:1" x14ac:dyDescent="0.25">
      <c r="A5292" s="66"/>
    </row>
    <row r="5293" spans="1:1" x14ac:dyDescent="0.25">
      <c r="A5293" s="66"/>
    </row>
    <row r="5294" spans="1:1" x14ac:dyDescent="0.25">
      <c r="A5294" s="66"/>
    </row>
    <row r="5295" spans="1:1" x14ac:dyDescent="0.25">
      <c r="A5295" s="66"/>
    </row>
    <row r="5296" spans="1:1" x14ac:dyDescent="0.25">
      <c r="A5296" s="66"/>
    </row>
    <row r="5297" spans="1:1" x14ac:dyDescent="0.25">
      <c r="A5297" s="66"/>
    </row>
    <row r="5298" spans="1:1" x14ac:dyDescent="0.25">
      <c r="A5298" s="66"/>
    </row>
    <row r="5299" spans="1:1" x14ac:dyDescent="0.25">
      <c r="A5299" s="66"/>
    </row>
    <row r="5300" spans="1:1" x14ac:dyDescent="0.25">
      <c r="A5300" s="66"/>
    </row>
    <row r="5301" spans="1:1" x14ac:dyDescent="0.25">
      <c r="A5301" s="66"/>
    </row>
    <row r="5302" spans="1:1" x14ac:dyDescent="0.25">
      <c r="A5302" s="66"/>
    </row>
    <row r="5303" spans="1:1" x14ac:dyDescent="0.25">
      <c r="A5303" s="66"/>
    </row>
    <row r="5304" spans="1:1" x14ac:dyDescent="0.25">
      <c r="A5304" s="66"/>
    </row>
    <row r="5305" spans="1:1" x14ac:dyDescent="0.25">
      <c r="A5305" s="66"/>
    </row>
    <row r="5306" spans="1:1" x14ac:dyDescent="0.25">
      <c r="A5306" s="66"/>
    </row>
    <row r="5307" spans="1:1" x14ac:dyDescent="0.25">
      <c r="A5307" s="66"/>
    </row>
    <row r="5308" spans="1:1" x14ac:dyDescent="0.25">
      <c r="A5308" s="66"/>
    </row>
    <row r="5309" spans="1:1" x14ac:dyDescent="0.25">
      <c r="A5309" s="66"/>
    </row>
    <row r="5310" spans="1:1" x14ac:dyDescent="0.25">
      <c r="A5310" s="66"/>
    </row>
    <row r="5311" spans="1:1" x14ac:dyDescent="0.25">
      <c r="A5311" s="66"/>
    </row>
    <row r="5312" spans="1:1" x14ac:dyDescent="0.25">
      <c r="A5312" s="66"/>
    </row>
    <row r="5313" spans="1:1" x14ac:dyDescent="0.25">
      <c r="A5313" s="66"/>
    </row>
    <row r="5314" spans="1:1" x14ac:dyDescent="0.25">
      <c r="A5314" s="66"/>
    </row>
    <row r="5315" spans="1:1" x14ac:dyDescent="0.25">
      <c r="A5315" s="66"/>
    </row>
    <row r="5316" spans="1:1" x14ac:dyDescent="0.25">
      <c r="A5316" s="66"/>
    </row>
    <row r="5317" spans="1:1" x14ac:dyDescent="0.25">
      <c r="A5317" s="66"/>
    </row>
    <row r="5318" spans="1:1" x14ac:dyDescent="0.25">
      <c r="A5318" s="66"/>
    </row>
    <row r="5319" spans="1:1" x14ac:dyDescent="0.25">
      <c r="A5319" s="66"/>
    </row>
    <row r="5320" spans="1:1" x14ac:dyDescent="0.25">
      <c r="A5320" s="66"/>
    </row>
    <row r="5321" spans="1:1" x14ac:dyDescent="0.25">
      <c r="A5321" s="66"/>
    </row>
    <row r="5322" spans="1:1" x14ac:dyDescent="0.25">
      <c r="A5322" s="66"/>
    </row>
    <row r="5323" spans="1:1" x14ac:dyDescent="0.25">
      <c r="A5323" s="66"/>
    </row>
    <row r="5324" spans="1:1" x14ac:dyDescent="0.25">
      <c r="A5324" s="66"/>
    </row>
    <row r="5325" spans="1:1" x14ac:dyDescent="0.25">
      <c r="A5325" s="66"/>
    </row>
    <row r="5326" spans="1:1" x14ac:dyDescent="0.25">
      <c r="A5326" s="66"/>
    </row>
    <row r="5327" spans="1:1" x14ac:dyDescent="0.25">
      <c r="A5327" s="66"/>
    </row>
    <row r="5328" spans="1:1" x14ac:dyDescent="0.25">
      <c r="A5328" s="66"/>
    </row>
    <row r="5329" spans="1:1" x14ac:dyDescent="0.25">
      <c r="A5329" s="66"/>
    </row>
    <row r="5330" spans="1:1" x14ac:dyDescent="0.25">
      <c r="A5330" s="66"/>
    </row>
    <row r="5331" spans="1:1" x14ac:dyDescent="0.25">
      <c r="A5331" s="66"/>
    </row>
    <row r="5332" spans="1:1" x14ac:dyDescent="0.25">
      <c r="A5332" s="66"/>
    </row>
    <row r="5333" spans="1:1" x14ac:dyDescent="0.25">
      <c r="A5333" s="66"/>
    </row>
    <row r="5334" spans="1:1" x14ac:dyDescent="0.25">
      <c r="A5334" s="66"/>
    </row>
    <row r="5335" spans="1:1" x14ac:dyDescent="0.25">
      <c r="A5335" s="66"/>
    </row>
    <row r="5336" spans="1:1" x14ac:dyDescent="0.25">
      <c r="A5336" s="66"/>
    </row>
    <row r="5337" spans="1:1" x14ac:dyDescent="0.25">
      <c r="A5337" s="66"/>
    </row>
    <row r="5338" spans="1:1" x14ac:dyDescent="0.25">
      <c r="A5338" s="66"/>
    </row>
    <row r="5339" spans="1:1" x14ac:dyDescent="0.25">
      <c r="A5339" s="66"/>
    </row>
    <row r="5340" spans="1:1" x14ac:dyDescent="0.25">
      <c r="A5340" s="66"/>
    </row>
    <row r="5341" spans="1:1" x14ac:dyDescent="0.25">
      <c r="A5341" s="66"/>
    </row>
    <row r="5342" spans="1:1" x14ac:dyDescent="0.25">
      <c r="A5342" s="66"/>
    </row>
    <row r="5343" spans="1:1" x14ac:dyDescent="0.25">
      <c r="A5343" s="66"/>
    </row>
    <row r="5344" spans="1:1" x14ac:dyDescent="0.25">
      <c r="A5344" s="66"/>
    </row>
    <row r="5345" spans="1:1" x14ac:dyDescent="0.25">
      <c r="A5345" s="66"/>
    </row>
    <row r="5346" spans="1:1" x14ac:dyDescent="0.25">
      <c r="A5346" s="66"/>
    </row>
    <row r="5347" spans="1:1" x14ac:dyDescent="0.25">
      <c r="A5347" s="66"/>
    </row>
    <row r="5348" spans="1:1" x14ac:dyDescent="0.25">
      <c r="A5348" s="66"/>
    </row>
    <row r="5349" spans="1:1" x14ac:dyDescent="0.25">
      <c r="A5349" s="66"/>
    </row>
    <row r="5350" spans="1:1" x14ac:dyDescent="0.25">
      <c r="A5350" s="66"/>
    </row>
    <row r="5351" spans="1:1" x14ac:dyDescent="0.25">
      <c r="A5351" s="66"/>
    </row>
    <row r="5352" spans="1:1" x14ac:dyDescent="0.25">
      <c r="A5352" s="66"/>
    </row>
    <row r="5353" spans="1:1" x14ac:dyDescent="0.25">
      <c r="A5353" s="66"/>
    </row>
    <row r="5354" spans="1:1" x14ac:dyDescent="0.25">
      <c r="A5354" s="66"/>
    </row>
    <row r="5355" spans="1:1" x14ac:dyDescent="0.25">
      <c r="A5355" s="66"/>
    </row>
    <row r="5356" spans="1:1" x14ac:dyDescent="0.25">
      <c r="A5356" s="66"/>
    </row>
    <row r="5357" spans="1:1" x14ac:dyDescent="0.25">
      <c r="A5357" s="66"/>
    </row>
    <row r="5358" spans="1:1" x14ac:dyDescent="0.25">
      <c r="A5358" s="66"/>
    </row>
    <row r="5359" spans="1:1" x14ac:dyDescent="0.25">
      <c r="A5359" s="66"/>
    </row>
    <row r="5360" spans="1:1" x14ac:dyDescent="0.25">
      <c r="A5360" s="66"/>
    </row>
    <row r="5361" spans="1:1" x14ac:dyDescent="0.25">
      <c r="A5361" s="66"/>
    </row>
    <row r="5362" spans="1:1" x14ac:dyDescent="0.25">
      <c r="A5362" s="66"/>
    </row>
    <row r="5363" spans="1:1" x14ac:dyDescent="0.25">
      <c r="A5363" s="66"/>
    </row>
    <row r="5364" spans="1:1" x14ac:dyDescent="0.25">
      <c r="A5364" s="66"/>
    </row>
    <row r="5365" spans="1:1" x14ac:dyDescent="0.25">
      <c r="A5365" s="66"/>
    </row>
    <row r="5366" spans="1:1" x14ac:dyDescent="0.25">
      <c r="A5366" s="66"/>
    </row>
    <row r="5367" spans="1:1" x14ac:dyDescent="0.25">
      <c r="A5367" s="66"/>
    </row>
    <row r="5368" spans="1:1" x14ac:dyDescent="0.25">
      <c r="A5368" s="66"/>
    </row>
    <row r="5369" spans="1:1" x14ac:dyDescent="0.25">
      <c r="A5369" s="66"/>
    </row>
    <row r="5370" spans="1:1" x14ac:dyDescent="0.25">
      <c r="A5370" s="66"/>
    </row>
    <row r="5371" spans="1:1" x14ac:dyDescent="0.25">
      <c r="A5371" s="66"/>
    </row>
    <row r="5372" spans="1:1" x14ac:dyDescent="0.25">
      <c r="A5372" s="66"/>
    </row>
    <row r="5373" spans="1:1" x14ac:dyDescent="0.25">
      <c r="A5373" s="66"/>
    </row>
    <row r="5374" spans="1:1" x14ac:dyDescent="0.25">
      <c r="A5374" s="66"/>
    </row>
    <row r="5375" spans="1:1" x14ac:dyDescent="0.25">
      <c r="A5375" s="66"/>
    </row>
    <row r="5376" spans="1:1" x14ac:dyDescent="0.25">
      <c r="A5376" s="66"/>
    </row>
    <row r="5377" spans="1:1" x14ac:dyDescent="0.25">
      <c r="A5377" s="66"/>
    </row>
    <row r="5378" spans="1:1" x14ac:dyDescent="0.25">
      <c r="A5378" s="66"/>
    </row>
    <row r="5379" spans="1:1" x14ac:dyDescent="0.25">
      <c r="A5379" s="66"/>
    </row>
    <row r="5380" spans="1:1" x14ac:dyDescent="0.25">
      <c r="A5380" s="66"/>
    </row>
    <row r="5381" spans="1:1" x14ac:dyDescent="0.25">
      <c r="A5381" s="66"/>
    </row>
    <row r="5382" spans="1:1" x14ac:dyDescent="0.25">
      <c r="A5382" s="66"/>
    </row>
    <row r="5383" spans="1:1" x14ac:dyDescent="0.25">
      <c r="A5383" s="66"/>
    </row>
    <row r="5384" spans="1:1" x14ac:dyDescent="0.25">
      <c r="A5384" s="66"/>
    </row>
    <row r="5385" spans="1:1" x14ac:dyDescent="0.25">
      <c r="A5385" s="66"/>
    </row>
    <row r="5386" spans="1:1" x14ac:dyDescent="0.25">
      <c r="A5386" s="66"/>
    </row>
    <row r="5387" spans="1:1" x14ac:dyDescent="0.25">
      <c r="A5387" s="66"/>
    </row>
    <row r="5388" spans="1:1" x14ac:dyDescent="0.25">
      <c r="A5388" s="66"/>
    </row>
    <row r="5389" spans="1:1" x14ac:dyDescent="0.25">
      <c r="A5389" s="66"/>
    </row>
    <row r="5390" spans="1:1" x14ac:dyDescent="0.25">
      <c r="A5390" s="66"/>
    </row>
    <row r="5391" spans="1:1" x14ac:dyDescent="0.25">
      <c r="A5391" s="66"/>
    </row>
    <row r="5392" spans="1:1" x14ac:dyDescent="0.25">
      <c r="A5392" s="66"/>
    </row>
    <row r="5393" spans="1:1" x14ac:dyDescent="0.25">
      <c r="A5393" s="66"/>
    </row>
    <row r="5394" spans="1:1" x14ac:dyDescent="0.25">
      <c r="A5394" s="66"/>
    </row>
    <row r="5395" spans="1:1" x14ac:dyDescent="0.25">
      <c r="A5395" s="66"/>
    </row>
    <row r="5396" spans="1:1" x14ac:dyDescent="0.25">
      <c r="A5396" s="66"/>
    </row>
    <row r="5397" spans="1:1" x14ac:dyDescent="0.25">
      <c r="A5397" s="66"/>
    </row>
    <row r="5398" spans="1:1" x14ac:dyDescent="0.25">
      <c r="A5398" s="66"/>
    </row>
    <row r="5399" spans="1:1" x14ac:dyDescent="0.25">
      <c r="A5399" s="66"/>
    </row>
    <row r="5400" spans="1:1" x14ac:dyDescent="0.25">
      <c r="A5400" s="66"/>
    </row>
    <row r="5401" spans="1:1" x14ac:dyDescent="0.25">
      <c r="A5401" s="66"/>
    </row>
    <row r="5402" spans="1:1" x14ac:dyDescent="0.25">
      <c r="A5402" s="66"/>
    </row>
    <row r="5403" spans="1:1" x14ac:dyDescent="0.25">
      <c r="A5403" s="66"/>
    </row>
    <row r="5404" spans="1:1" x14ac:dyDescent="0.25">
      <c r="A5404" s="66"/>
    </row>
    <row r="5405" spans="1:1" x14ac:dyDescent="0.25">
      <c r="A5405" s="66"/>
    </row>
    <row r="5406" spans="1:1" x14ac:dyDescent="0.25">
      <c r="A5406" s="66"/>
    </row>
    <row r="5407" spans="1:1" x14ac:dyDescent="0.25">
      <c r="A5407" s="66"/>
    </row>
    <row r="5408" spans="1:1" x14ac:dyDescent="0.25">
      <c r="A5408" s="66"/>
    </row>
    <row r="5409" spans="1:1" x14ac:dyDescent="0.25">
      <c r="A5409" s="66"/>
    </row>
    <row r="5410" spans="1:1" x14ac:dyDescent="0.25">
      <c r="A5410" s="66"/>
    </row>
    <row r="5411" spans="1:1" x14ac:dyDescent="0.25">
      <c r="A5411" s="66"/>
    </row>
    <row r="5412" spans="1:1" x14ac:dyDescent="0.25">
      <c r="A5412" s="66"/>
    </row>
    <row r="5413" spans="1:1" x14ac:dyDescent="0.25">
      <c r="A5413" s="66"/>
    </row>
    <row r="5414" spans="1:1" x14ac:dyDescent="0.25">
      <c r="A5414" s="66"/>
    </row>
    <row r="5415" spans="1:1" x14ac:dyDescent="0.25">
      <c r="A5415" s="66"/>
    </row>
    <row r="5416" spans="1:1" x14ac:dyDescent="0.25">
      <c r="A5416" s="66"/>
    </row>
    <row r="5417" spans="1:1" x14ac:dyDescent="0.25">
      <c r="A5417" s="66"/>
    </row>
    <row r="5418" spans="1:1" x14ac:dyDescent="0.25">
      <c r="A5418" s="66"/>
    </row>
    <row r="5419" spans="1:1" x14ac:dyDescent="0.25">
      <c r="A5419" s="66"/>
    </row>
    <row r="5420" spans="1:1" x14ac:dyDescent="0.25">
      <c r="A5420" s="66"/>
    </row>
    <row r="5421" spans="1:1" x14ac:dyDescent="0.25">
      <c r="A5421" s="66"/>
    </row>
    <row r="5422" spans="1:1" x14ac:dyDescent="0.25">
      <c r="A5422" s="66"/>
    </row>
    <row r="5423" spans="1:1" x14ac:dyDescent="0.25">
      <c r="A5423" s="66"/>
    </row>
    <row r="5424" spans="1:1" x14ac:dyDescent="0.25">
      <c r="A5424" s="66"/>
    </row>
    <row r="5425" spans="1:1" x14ac:dyDescent="0.25">
      <c r="A5425" s="66"/>
    </row>
    <row r="5426" spans="1:1" x14ac:dyDescent="0.25">
      <c r="A5426" s="66"/>
    </row>
    <row r="5427" spans="1:1" x14ac:dyDescent="0.25">
      <c r="A5427" s="66"/>
    </row>
    <row r="5428" spans="1:1" x14ac:dyDescent="0.25">
      <c r="A5428" s="66"/>
    </row>
    <row r="5429" spans="1:1" x14ac:dyDescent="0.25">
      <c r="A5429" s="66"/>
    </row>
    <row r="5430" spans="1:1" x14ac:dyDescent="0.25">
      <c r="A5430" s="66"/>
    </row>
    <row r="5431" spans="1:1" x14ac:dyDescent="0.25">
      <c r="A5431" s="66"/>
    </row>
    <row r="5432" spans="1:1" x14ac:dyDescent="0.25">
      <c r="A5432" s="66"/>
    </row>
    <row r="5433" spans="1:1" x14ac:dyDescent="0.25">
      <c r="A5433" s="66"/>
    </row>
    <row r="5434" spans="1:1" x14ac:dyDescent="0.25">
      <c r="A5434" s="66"/>
    </row>
    <row r="5435" spans="1:1" x14ac:dyDescent="0.25">
      <c r="A5435" s="66"/>
    </row>
    <row r="5436" spans="1:1" x14ac:dyDescent="0.25">
      <c r="A5436" s="66"/>
    </row>
    <row r="5437" spans="1:1" x14ac:dyDescent="0.25">
      <c r="A5437" s="66"/>
    </row>
    <row r="5438" spans="1:1" x14ac:dyDescent="0.25">
      <c r="A5438" s="66"/>
    </row>
    <row r="5439" spans="1:1" x14ac:dyDescent="0.25">
      <c r="A5439" s="66"/>
    </row>
    <row r="5440" spans="1:1" x14ac:dyDescent="0.25">
      <c r="A5440" s="66"/>
    </row>
    <row r="5441" spans="1:1" x14ac:dyDescent="0.25">
      <c r="A5441" s="66"/>
    </row>
    <row r="5442" spans="1:1" x14ac:dyDescent="0.25">
      <c r="A5442" s="66"/>
    </row>
    <row r="5443" spans="1:1" x14ac:dyDescent="0.25">
      <c r="A5443" s="66"/>
    </row>
    <row r="5444" spans="1:1" x14ac:dyDescent="0.25">
      <c r="A5444" s="66"/>
    </row>
    <row r="5445" spans="1:1" x14ac:dyDescent="0.25">
      <c r="A5445" s="66"/>
    </row>
    <row r="5446" spans="1:1" x14ac:dyDescent="0.25">
      <c r="A5446" s="66"/>
    </row>
    <row r="5447" spans="1:1" x14ac:dyDescent="0.25">
      <c r="A5447" s="66"/>
    </row>
    <row r="5448" spans="1:1" x14ac:dyDescent="0.25">
      <c r="A5448" s="66"/>
    </row>
    <row r="5449" spans="1:1" x14ac:dyDescent="0.25">
      <c r="A5449" s="66"/>
    </row>
    <row r="5450" spans="1:1" x14ac:dyDescent="0.25">
      <c r="A5450" s="66"/>
    </row>
    <row r="5451" spans="1:1" x14ac:dyDescent="0.25">
      <c r="A5451" s="66"/>
    </row>
    <row r="5452" spans="1:1" x14ac:dyDescent="0.25">
      <c r="A5452" s="66"/>
    </row>
    <row r="5453" spans="1:1" x14ac:dyDescent="0.25">
      <c r="A5453" s="66"/>
    </row>
    <row r="5454" spans="1:1" x14ac:dyDescent="0.25">
      <c r="A5454" s="66"/>
    </row>
    <row r="5455" spans="1:1" x14ac:dyDescent="0.25">
      <c r="A5455" s="66"/>
    </row>
    <row r="5456" spans="1:1" x14ac:dyDescent="0.25">
      <c r="A5456" s="66"/>
    </row>
    <row r="5457" spans="1:1" x14ac:dyDescent="0.25">
      <c r="A5457" s="66"/>
    </row>
    <row r="5458" spans="1:1" x14ac:dyDescent="0.25">
      <c r="A5458" s="66"/>
    </row>
    <row r="5459" spans="1:1" x14ac:dyDescent="0.25">
      <c r="A5459" s="66"/>
    </row>
    <row r="5460" spans="1:1" x14ac:dyDescent="0.25">
      <c r="A5460" s="66"/>
    </row>
    <row r="5461" spans="1:1" x14ac:dyDescent="0.25">
      <c r="A5461" s="66"/>
    </row>
    <row r="5462" spans="1:1" x14ac:dyDescent="0.25">
      <c r="A5462" s="66"/>
    </row>
    <row r="5463" spans="1:1" x14ac:dyDescent="0.25">
      <c r="A5463" s="66"/>
    </row>
    <row r="5464" spans="1:1" x14ac:dyDescent="0.25">
      <c r="A5464" s="66"/>
    </row>
    <row r="5465" spans="1:1" x14ac:dyDescent="0.25">
      <c r="A5465" s="66"/>
    </row>
    <row r="5466" spans="1:1" x14ac:dyDescent="0.25">
      <c r="A5466" s="66"/>
    </row>
    <row r="5467" spans="1:1" x14ac:dyDescent="0.25">
      <c r="A5467" s="66"/>
    </row>
    <row r="5468" spans="1:1" x14ac:dyDescent="0.25">
      <c r="A5468" s="66"/>
    </row>
    <row r="5469" spans="1:1" x14ac:dyDescent="0.25">
      <c r="A5469" s="66"/>
    </row>
    <row r="5470" spans="1:1" x14ac:dyDescent="0.25">
      <c r="A5470" s="66"/>
    </row>
    <row r="5471" spans="1:1" x14ac:dyDescent="0.25">
      <c r="A5471" s="66"/>
    </row>
    <row r="5472" spans="1:1" x14ac:dyDescent="0.25">
      <c r="A5472" s="66"/>
    </row>
    <row r="5473" spans="1:1" x14ac:dyDescent="0.25">
      <c r="A5473" s="66"/>
    </row>
    <row r="5474" spans="1:1" x14ac:dyDescent="0.25">
      <c r="A5474" s="66"/>
    </row>
    <row r="5475" spans="1:1" x14ac:dyDescent="0.25">
      <c r="A5475" s="66"/>
    </row>
    <row r="5476" spans="1:1" x14ac:dyDescent="0.25">
      <c r="A5476" s="66"/>
    </row>
    <row r="5477" spans="1:1" x14ac:dyDescent="0.25">
      <c r="A5477" s="66"/>
    </row>
    <row r="5478" spans="1:1" x14ac:dyDescent="0.25">
      <c r="A5478" s="66"/>
    </row>
    <row r="5479" spans="1:1" x14ac:dyDescent="0.25">
      <c r="A5479" s="66"/>
    </row>
    <row r="5480" spans="1:1" x14ac:dyDescent="0.25">
      <c r="A5480" s="66"/>
    </row>
    <row r="5481" spans="1:1" x14ac:dyDescent="0.25">
      <c r="A5481" s="66"/>
    </row>
    <row r="5482" spans="1:1" x14ac:dyDescent="0.25">
      <c r="A5482" s="66"/>
    </row>
    <row r="5483" spans="1:1" x14ac:dyDescent="0.25">
      <c r="A5483" s="66"/>
    </row>
    <row r="5484" spans="1:1" x14ac:dyDescent="0.25">
      <c r="A5484" s="66"/>
    </row>
    <row r="5485" spans="1:1" x14ac:dyDescent="0.25">
      <c r="A5485" s="66"/>
    </row>
    <row r="5486" spans="1:1" x14ac:dyDescent="0.25">
      <c r="A5486" s="66"/>
    </row>
    <row r="5487" spans="1:1" x14ac:dyDescent="0.25">
      <c r="A5487" s="66"/>
    </row>
    <row r="5488" spans="1:1" x14ac:dyDescent="0.25">
      <c r="A5488" s="66"/>
    </row>
    <row r="5489" spans="1:1" x14ac:dyDescent="0.25">
      <c r="A5489" s="66"/>
    </row>
    <row r="5490" spans="1:1" x14ac:dyDescent="0.25">
      <c r="A5490" s="66"/>
    </row>
    <row r="5491" spans="1:1" x14ac:dyDescent="0.25">
      <c r="A5491" s="66"/>
    </row>
    <row r="5492" spans="1:1" x14ac:dyDescent="0.25">
      <c r="A5492" s="66"/>
    </row>
    <row r="5493" spans="1:1" x14ac:dyDescent="0.25">
      <c r="A5493" s="66"/>
    </row>
    <row r="5494" spans="1:1" x14ac:dyDescent="0.25">
      <c r="A5494" s="66"/>
    </row>
    <row r="5495" spans="1:1" x14ac:dyDescent="0.25">
      <c r="A5495" s="66"/>
    </row>
    <row r="5496" spans="1:1" x14ac:dyDescent="0.25">
      <c r="A5496" s="66"/>
    </row>
    <row r="5497" spans="1:1" x14ac:dyDescent="0.25">
      <c r="A5497" s="66"/>
    </row>
    <row r="5498" spans="1:1" x14ac:dyDescent="0.25">
      <c r="A5498" s="66"/>
    </row>
    <row r="5499" spans="1:1" x14ac:dyDescent="0.25">
      <c r="A5499" s="66"/>
    </row>
    <row r="5500" spans="1:1" x14ac:dyDescent="0.25">
      <c r="A5500" s="66"/>
    </row>
    <row r="5501" spans="1:1" x14ac:dyDescent="0.25">
      <c r="A5501" s="66"/>
    </row>
    <row r="5502" spans="1:1" x14ac:dyDescent="0.25">
      <c r="A5502" s="66"/>
    </row>
    <row r="5503" spans="1:1" x14ac:dyDescent="0.25">
      <c r="A5503" s="66"/>
    </row>
    <row r="5504" spans="1:1" x14ac:dyDescent="0.25">
      <c r="A5504" s="66"/>
    </row>
    <row r="5505" spans="1:1" x14ac:dyDescent="0.25">
      <c r="A5505" s="66"/>
    </row>
    <row r="5506" spans="1:1" x14ac:dyDescent="0.25">
      <c r="A5506" s="66"/>
    </row>
    <row r="5507" spans="1:1" x14ac:dyDescent="0.25">
      <c r="A5507" s="66"/>
    </row>
    <row r="5508" spans="1:1" x14ac:dyDescent="0.25">
      <c r="A5508" s="66"/>
    </row>
    <row r="5509" spans="1:1" x14ac:dyDescent="0.25">
      <c r="A5509" s="66"/>
    </row>
    <row r="5510" spans="1:1" x14ac:dyDescent="0.25">
      <c r="A5510" s="66"/>
    </row>
    <row r="5511" spans="1:1" x14ac:dyDescent="0.25">
      <c r="A5511" s="66"/>
    </row>
    <row r="5512" spans="1:1" x14ac:dyDescent="0.25">
      <c r="A5512" s="66"/>
    </row>
    <row r="5513" spans="1:1" x14ac:dyDescent="0.25">
      <c r="A5513" s="66"/>
    </row>
    <row r="5514" spans="1:1" x14ac:dyDescent="0.25">
      <c r="A5514" s="66"/>
    </row>
    <row r="5515" spans="1:1" x14ac:dyDescent="0.25">
      <c r="A5515" s="66"/>
    </row>
    <row r="5516" spans="1:1" x14ac:dyDescent="0.25">
      <c r="A5516" s="66"/>
    </row>
    <row r="5517" spans="1:1" x14ac:dyDescent="0.25">
      <c r="A5517" s="66"/>
    </row>
    <row r="5518" spans="1:1" x14ac:dyDescent="0.25">
      <c r="A5518" s="66"/>
    </row>
    <row r="5519" spans="1:1" x14ac:dyDescent="0.25">
      <c r="A5519" s="66"/>
    </row>
    <row r="5520" spans="1:1" x14ac:dyDescent="0.25">
      <c r="A5520" s="66"/>
    </row>
    <row r="5521" spans="1:1" x14ac:dyDescent="0.25">
      <c r="A5521" s="66"/>
    </row>
    <row r="5522" spans="1:1" x14ac:dyDescent="0.25">
      <c r="A5522" s="66"/>
    </row>
    <row r="5523" spans="1:1" x14ac:dyDescent="0.25">
      <c r="A5523" s="66"/>
    </row>
    <row r="5524" spans="1:1" x14ac:dyDescent="0.25">
      <c r="A5524" s="66"/>
    </row>
    <row r="5525" spans="1:1" x14ac:dyDescent="0.25">
      <c r="A5525" s="66"/>
    </row>
    <row r="5526" spans="1:1" x14ac:dyDescent="0.25">
      <c r="A5526" s="66"/>
    </row>
    <row r="5527" spans="1:1" x14ac:dyDescent="0.25">
      <c r="A5527" s="66"/>
    </row>
    <row r="5528" spans="1:1" x14ac:dyDescent="0.25">
      <c r="A5528" s="66"/>
    </row>
    <row r="5529" spans="1:1" x14ac:dyDescent="0.25">
      <c r="A5529" s="66"/>
    </row>
    <row r="5530" spans="1:1" x14ac:dyDescent="0.25">
      <c r="A5530" s="66"/>
    </row>
    <row r="5531" spans="1:1" x14ac:dyDescent="0.25">
      <c r="A5531" s="66"/>
    </row>
    <row r="5532" spans="1:1" x14ac:dyDescent="0.25">
      <c r="A5532" s="66"/>
    </row>
    <row r="5533" spans="1:1" x14ac:dyDescent="0.25">
      <c r="A5533" s="66"/>
    </row>
    <row r="5534" spans="1:1" x14ac:dyDescent="0.25">
      <c r="A5534" s="66"/>
    </row>
    <row r="5535" spans="1:1" x14ac:dyDescent="0.25">
      <c r="A5535" s="66"/>
    </row>
    <row r="5536" spans="1:1" x14ac:dyDescent="0.25">
      <c r="A5536" s="66"/>
    </row>
    <row r="5537" spans="1:1" x14ac:dyDescent="0.25">
      <c r="A5537" s="66"/>
    </row>
    <row r="5538" spans="1:1" x14ac:dyDescent="0.25">
      <c r="A5538" s="66"/>
    </row>
    <row r="5539" spans="1:1" x14ac:dyDescent="0.25">
      <c r="A5539" s="66"/>
    </row>
    <row r="5540" spans="1:1" x14ac:dyDescent="0.25">
      <c r="A5540" s="66"/>
    </row>
    <row r="5541" spans="1:1" x14ac:dyDescent="0.25">
      <c r="A5541" s="66"/>
    </row>
    <row r="5542" spans="1:1" x14ac:dyDescent="0.25">
      <c r="A5542" s="66"/>
    </row>
    <row r="5543" spans="1:1" x14ac:dyDescent="0.25">
      <c r="A5543" s="66"/>
    </row>
    <row r="5544" spans="1:1" x14ac:dyDescent="0.25">
      <c r="A5544" s="66"/>
    </row>
    <row r="5545" spans="1:1" x14ac:dyDescent="0.25">
      <c r="A5545" s="66"/>
    </row>
    <row r="5546" spans="1:1" x14ac:dyDescent="0.25">
      <c r="A5546" s="66"/>
    </row>
    <row r="5547" spans="1:1" x14ac:dyDescent="0.25">
      <c r="A5547" s="66"/>
    </row>
    <row r="5548" spans="1:1" x14ac:dyDescent="0.25">
      <c r="A5548" s="66"/>
    </row>
    <row r="5549" spans="1:1" x14ac:dyDescent="0.25">
      <c r="A5549" s="66"/>
    </row>
    <row r="5550" spans="1:1" x14ac:dyDescent="0.25">
      <c r="A5550" s="66"/>
    </row>
    <row r="5551" spans="1:1" x14ac:dyDescent="0.25">
      <c r="A5551" s="66"/>
    </row>
    <row r="5552" spans="1:1" x14ac:dyDescent="0.25">
      <c r="A5552" s="66"/>
    </row>
    <row r="5553" spans="1:1" x14ac:dyDescent="0.25">
      <c r="A5553" s="66"/>
    </row>
    <row r="5554" spans="1:1" x14ac:dyDescent="0.25">
      <c r="A5554" s="66"/>
    </row>
    <row r="5555" spans="1:1" x14ac:dyDescent="0.25">
      <c r="A5555" s="66"/>
    </row>
    <row r="5556" spans="1:1" x14ac:dyDescent="0.25">
      <c r="A5556" s="66"/>
    </row>
    <row r="5557" spans="1:1" x14ac:dyDescent="0.25">
      <c r="A5557" s="66"/>
    </row>
    <row r="5558" spans="1:1" x14ac:dyDescent="0.25">
      <c r="A5558" s="66"/>
    </row>
    <row r="5559" spans="1:1" x14ac:dyDescent="0.25">
      <c r="A5559" s="66"/>
    </row>
    <row r="5560" spans="1:1" x14ac:dyDescent="0.25">
      <c r="A5560" s="66"/>
    </row>
    <row r="5561" spans="1:1" x14ac:dyDescent="0.25">
      <c r="A5561" s="66"/>
    </row>
    <row r="5562" spans="1:1" x14ac:dyDescent="0.25">
      <c r="A5562" s="66"/>
    </row>
    <row r="5563" spans="1:1" x14ac:dyDescent="0.25">
      <c r="A5563" s="66"/>
    </row>
    <row r="5564" spans="1:1" x14ac:dyDescent="0.25">
      <c r="A5564" s="66"/>
    </row>
    <row r="5565" spans="1:1" x14ac:dyDescent="0.25">
      <c r="A5565" s="66"/>
    </row>
    <row r="5566" spans="1:1" x14ac:dyDescent="0.25">
      <c r="A5566" s="66"/>
    </row>
    <row r="5567" spans="1:1" x14ac:dyDescent="0.25">
      <c r="A5567" s="66"/>
    </row>
    <row r="5568" spans="1:1" x14ac:dyDescent="0.25">
      <c r="A5568" s="66"/>
    </row>
    <row r="5569" spans="1:1" x14ac:dyDescent="0.25">
      <c r="A5569" s="66"/>
    </row>
    <row r="5570" spans="1:1" x14ac:dyDescent="0.25">
      <c r="A5570" s="66"/>
    </row>
    <row r="5571" spans="1:1" x14ac:dyDescent="0.25">
      <c r="A5571" s="66"/>
    </row>
    <row r="5572" spans="1:1" x14ac:dyDescent="0.25">
      <c r="A5572" s="66"/>
    </row>
    <row r="5573" spans="1:1" x14ac:dyDescent="0.25">
      <c r="A5573" s="66"/>
    </row>
    <row r="5574" spans="1:1" x14ac:dyDescent="0.25">
      <c r="A5574" s="66"/>
    </row>
    <row r="5575" spans="1:1" x14ac:dyDescent="0.25">
      <c r="A5575" s="66"/>
    </row>
    <row r="5576" spans="1:1" x14ac:dyDescent="0.25">
      <c r="A5576" s="66"/>
    </row>
    <row r="5577" spans="1:1" x14ac:dyDescent="0.25">
      <c r="A5577" s="66"/>
    </row>
    <row r="5578" spans="1:1" x14ac:dyDescent="0.25">
      <c r="A5578" s="66"/>
    </row>
    <row r="5579" spans="1:1" x14ac:dyDescent="0.25">
      <c r="A5579" s="66"/>
    </row>
    <row r="5580" spans="1:1" x14ac:dyDescent="0.25">
      <c r="A5580" s="66"/>
    </row>
    <row r="5581" spans="1:1" x14ac:dyDescent="0.25">
      <c r="A5581" s="66"/>
    </row>
    <row r="5582" spans="1:1" x14ac:dyDescent="0.25">
      <c r="A5582" s="66"/>
    </row>
    <row r="5583" spans="1:1" x14ac:dyDescent="0.25">
      <c r="A5583" s="66"/>
    </row>
    <row r="5584" spans="1:1" x14ac:dyDescent="0.25">
      <c r="A5584" s="66"/>
    </row>
    <row r="5585" spans="1:1" x14ac:dyDescent="0.25">
      <c r="A5585" s="66"/>
    </row>
    <row r="5586" spans="1:1" x14ac:dyDescent="0.25">
      <c r="A5586" s="66"/>
    </row>
    <row r="5587" spans="1:1" x14ac:dyDescent="0.25">
      <c r="A5587" s="66"/>
    </row>
    <row r="5588" spans="1:1" x14ac:dyDescent="0.25">
      <c r="A5588" s="66"/>
    </row>
    <row r="5589" spans="1:1" x14ac:dyDescent="0.25">
      <c r="A5589" s="66"/>
    </row>
    <row r="5590" spans="1:1" x14ac:dyDescent="0.25">
      <c r="A5590" s="66"/>
    </row>
    <row r="5591" spans="1:1" x14ac:dyDescent="0.25">
      <c r="A5591" s="66"/>
    </row>
    <row r="5592" spans="1:1" x14ac:dyDescent="0.25">
      <c r="A5592" s="66"/>
    </row>
    <row r="5593" spans="1:1" x14ac:dyDescent="0.25">
      <c r="A5593" s="66"/>
    </row>
    <row r="5594" spans="1:1" x14ac:dyDescent="0.25">
      <c r="A5594" s="66"/>
    </row>
    <row r="5595" spans="1:1" x14ac:dyDescent="0.25">
      <c r="A5595" s="66"/>
    </row>
    <row r="5596" spans="1:1" x14ac:dyDescent="0.25">
      <c r="A5596" s="66"/>
    </row>
    <row r="5597" spans="1:1" x14ac:dyDescent="0.25">
      <c r="A5597" s="66"/>
    </row>
    <row r="5598" spans="1:1" x14ac:dyDescent="0.25">
      <c r="A5598" s="66"/>
    </row>
    <row r="5599" spans="1:1" x14ac:dyDescent="0.25">
      <c r="A5599" s="66"/>
    </row>
    <row r="5600" spans="1:1" x14ac:dyDescent="0.25">
      <c r="A5600" s="66"/>
    </row>
    <row r="5601" spans="1:1" x14ac:dyDescent="0.25">
      <c r="A5601" s="66"/>
    </row>
    <row r="5602" spans="1:1" x14ac:dyDescent="0.25">
      <c r="A5602" s="66"/>
    </row>
    <row r="5603" spans="1:1" x14ac:dyDescent="0.25">
      <c r="A5603" s="66"/>
    </row>
    <row r="5604" spans="1:1" x14ac:dyDescent="0.25">
      <c r="A5604" s="66"/>
    </row>
    <row r="5605" spans="1:1" x14ac:dyDescent="0.25">
      <c r="A5605" s="66"/>
    </row>
    <row r="5606" spans="1:1" x14ac:dyDescent="0.25">
      <c r="A5606" s="66"/>
    </row>
    <row r="5607" spans="1:1" x14ac:dyDescent="0.25">
      <c r="A5607" s="66"/>
    </row>
    <row r="5608" spans="1:1" x14ac:dyDescent="0.25">
      <c r="A5608" s="66"/>
    </row>
    <row r="5609" spans="1:1" x14ac:dyDescent="0.25">
      <c r="A5609" s="66"/>
    </row>
    <row r="5610" spans="1:1" x14ac:dyDescent="0.25">
      <c r="A5610" s="66"/>
    </row>
    <row r="5611" spans="1:1" x14ac:dyDescent="0.25">
      <c r="A5611" s="66"/>
    </row>
    <row r="5612" spans="1:1" x14ac:dyDescent="0.25">
      <c r="A5612" s="66"/>
    </row>
    <row r="5613" spans="1:1" x14ac:dyDescent="0.25">
      <c r="A5613" s="66"/>
    </row>
    <row r="5614" spans="1:1" x14ac:dyDescent="0.25">
      <c r="A5614" s="66"/>
    </row>
    <row r="5615" spans="1:1" x14ac:dyDescent="0.25">
      <c r="A5615" s="66"/>
    </row>
    <row r="5616" spans="1:1" x14ac:dyDescent="0.25">
      <c r="A5616" s="66"/>
    </row>
    <row r="5617" spans="1:1" x14ac:dyDescent="0.25">
      <c r="A5617" s="66"/>
    </row>
    <row r="5618" spans="1:1" x14ac:dyDescent="0.25">
      <c r="A5618" s="66"/>
    </row>
    <row r="5619" spans="1:1" x14ac:dyDescent="0.25">
      <c r="A5619" s="66"/>
    </row>
    <row r="5620" spans="1:1" x14ac:dyDescent="0.25">
      <c r="A5620" s="66"/>
    </row>
    <row r="5621" spans="1:1" x14ac:dyDescent="0.25">
      <c r="A5621" s="66"/>
    </row>
    <row r="5622" spans="1:1" x14ac:dyDescent="0.25">
      <c r="A5622" s="66"/>
    </row>
    <row r="5623" spans="1:1" x14ac:dyDescent="0.25">
      <c r="A5623" s="66"/>
    </row>
    <row r="5624" spans="1:1" x14ac:dyDescent="0.25">
      <c r="A5624" s="66"/>
    </row>
    <row r="5625" spans="1:1" x14ac:dyDescent="0.25">
      <c r="A5625" s="66"/>
    </row>
    <row r="5626" spans="1:1" x14ac:dyDescent="0.25">
      <c r="A5626" s="66"/>
    </row>
    <row r="5627" spans="1:1" x14ac:dyDescent="0.25">
      <c r="A5627" s="66"/>
    </row>
    <row r="5628" spans="1:1" x14ac:dyDescent="0.25">
      <c r="A5628" s="66"/>
    </row>
    <row r="5629" spans="1:1" x14ac:dyDescent="0.25">
      <c r="A5629" s="66"/>
    </row>
    <row r="5630" spans="1:1" x14ac:dyDescent="0.25">
      <c r="A5630" s="66"/>
    </row>
    <row r="5631" spans="1:1" x14ac:dyDescent="0.25">
      <c r="A5631" s="66"/>
    </row>
    <row r="5632" spans="1:1" x14ac:dyDescent="0.25">
      <c r="A5632" s="66"/>
    </row>
    <row r="5633" spans="1:1" x14ac:dyDescent="0.25">
      <c r="A5633" s="66"/>
    </row>
    <row r="5634" spans="1:1" x14ac:dyDescent="0.25">
      <c r="A5634" s="66"/>
    </row>
    <row r="5635" spans="1:1" x14ac:dyDescent="0.25">
      <c r="A5635" s="66"/>
    </row>
    <row r="5636" spans="1:1" x14ac:dyDescent="0.25">
      <c r="A5636" s="66"/>
    </row>
    <row r="5637" spans="1:1" x14ac:dyDescent="0.25">
      <c r="A5637" s="66"/>
    </row>
    <row r="5638" spans="1:1" x14ac:dyDescent="0.25">
      <c r="A5638" s="66"/>
    </row>
    <row r="5639" spans="1:1" x14ac:dyDescent="0.25">
      <c r="A5639" s="66"/>
    </row>
    <row r="5640" spans="1:1" x14ac:dyDescent="0.25">
      <c r="A5640" s="66"/>
    </row>
    <row r="5641" spans="1:1" x14ac:dyDescent="0.25">
      <c r="A5641" s="66"/>
    </row>
    <row r="5642" spans="1:1" x14ac:dyDescent="0.25">
      <c r="A5642" s="66"/>
    </row>
    <row r="5643" spans="1:1" x14ac:dyDescent="0.25">
      <c r="A5643" s="66"/>
    </row>
    <row r="5644" spans="1:1" x14ac:dyDescent="0.25">
      <c r="A5644" s="66"/>
    </row>
    <row r="5645" spans="1:1" x14ac:dyDescent="0.25">
      <c r="A5645" s="66"/>
    </row>
    <row r="5646" spans="1:1" x14ac:dyDescent="0.25">
      <c r="A5646" s="66"/>
    </row>
    <row r="5647" spans="1:1" x14ac:dyDescent="0.25">
      <c r="A5647" s="66"/>
    </row>
    <row r="5648" spans="1:1" x14ac:dyDescent="0.25">
      <c r="A5648" s="66"/>
    </row>
    <row r="5649" spans="1:1" x14ac:dyDescent="0.25">
      <c r="A5649" s="66"/>
    </row>
    <row r="5650" spans="1:1" x14ac:dyDescent="0.25">
      <c r="A5650" s="66"/>
    </row>
    <row r="5651" spans="1:1" x14ac:dyDescent="0.25">
      <c r="A5651" s="66"/>
    </row>
    <row r="5652" spans="1:1" x14ac:dyDescent="0.25">
      <c r="A5652" s="66"/>
    </row>
    <row r="5653" spans="1:1" x14ac:dyDescent="0.25">
      <c r="A5653" s="66"/>
    </row>
    <row r="5654" spans="1:1" x14ac:dyDescent="0.25">
      <c r="A5654" s="66"/>
    </row>
    <row r="5655" spans="1:1" x14ac:dyDescent="0.25">
      <c r="A5655" s="66"/>
    </row>
    <row r="5656" spans="1:1" x14ac:dyDescent="0.25">
      <c r="A5656" s="66"/>
    </row>
    <row r="5657" spans="1:1" x14ac:dyDescent="0.25">
      <c r="A5657" s="66"/>
    </row>
    <row r="5658" spans="1:1" x14ac:dyDescent="0.25">
      <c r="A5658" s="66"/>
    </row>
    <row r="5659" spans="1:1" x14ac:dyDescent="0.25">
      <c r="A5659" s="66"/>
    </row>
    <row r="5660" spans="1:1" x14ac:dyDescent="0.25">
      <c r="A5660" s="66"/>
    </row>
    <row r="5661" spans="1:1" x14ac:dyDescent="0.25">
      <c r="A5661" s="66"/>
    </row>
    <row r="5662" spans="1:1" x14ac:dyDescent="0.25">
      <c r="A5662" s="66"/>
    </row>
    <row r="5663" spans="1:1" x14ac:dyDescent="0.25">
      <c r="A5663" s="66"/>
    </row>
    <row r="5664" spans="1:1" x14ac:dyDescent="0.25">
      <c r="A5664" s="66"/>
    </row>
    <row r="5665" spans="1:1" x14ac:dyDescent="0.25">
      <c r="A5665" s="66"/>
    </row>
    <row r="5666" spans="1:1" x14ac:dyDescent="0.25">
      <c r="A5666" s="66"/>
    </row>
    <row r="5667" spans="1:1" x14ac:dyDescent="0.25">
      <c r="A5667" s="66"/>
    </row>
    <row r="5668" spans="1:1" x14ac:dyDescent="0.25">
      <c r="A5668" s="66"/>
    </row>
    <row r="5669" spans="1:1" x14ac:dyDescent="0.25">
      <c r="A5669" s="66"/>
    </row>
    <row r="5670" spans="1:1" x14ac:dyDescent="0.25">
      <c r="A5670" s="66"/>
    </row>
    <row r="5671" spans="1:1" x14ac:dyDescent="0.25">
      <c r="A5671" s="66"/>
    </row>
    <row r="5672" spans="1:1" x14ac:dyDescent="0.25">
      <c r="A5672" s="66"/>
    </row>
    <row r="5673" spans="1:1" x14ac:dyDescent="0.25">
      <c r="A5673" s="66"/>
    </row>
    <row r="5674" spans="1:1" x14ac:dyDescent="0.25">
      <c r="A5674" s="66"/>
    </row>
    <row r="5675" spans="1:1" x14ac:dyDescent="0.25">
      <c r="A5675" s="66"/>
    </row>
    <row r="5676" spans="1:1" x14ac:dyDescent="0.25">
      <c r="A5676" s="66"/>
    </row>
    <row r="5677" spans="1:1" x14ac:dyDescent="0.25">
      <c r="A5677" s="66"/>
    </row>
    <row r="5678" spans="1:1" x14ac:dyDescent="0.25">
      <c r="A5678" s="66"/>
    </row>
    <row r="5679" spans="1:1" x14ac:dyDescent="0.25">
      <c r="A5679" s="66"/>
    </row>
    <row r="5680" spans="1:1" x14ac:dyDescent="0.25">
      <c r="A5680" s="66"/>
    </row>
    <row r="5681" spans="1:1" x14ac:dyDescent="0.25">
      <c r="A5681" s="66"/>
    </row>
    <row r="5682" spans="1:1" x14ac:dyDescent="0.25">
      <c r="A5682" s="66"/>
    </row>
    <row r="5683" spans="1:1" x14ac:dyDescent="0.25">
      <c r="A5683" s="66"/>
    </row>
    <row r="5684" spans="1:1" x14ac:dyDescent="0.25">
      <c r="A5684" s="66"/>
    </row>
    <row r="5685" spans="1:1" x14ac:dyDescent="0.25">
      <c r="A5685" s="66"/>
    </row>
    <row r="5686" spans="1:1" x14ac:dyDescent="0.25">
      <c r="A5686" s="66"/>
    </row>
    <row r="5687" spans="1:1" x14ac:dyDescent="0.25">
      <c r="A5687" s="66"/>
    </row>
    <row r="5688" spans="1:1" x14ac:dyDescent="0.25">
      <c r="A5688" s="66"/>
    </row>
    <row r="5689" spans="1:1" x14ac:dyDescent="0.25">
      <c r="A5689" s="66"/>
    </row>
    <row r="5690" spans="1:1" x14ac:dyDescent="0.25">
      <c r="A5690" s="66"/>
    </row>
    <row r="5691" spans="1:1" x14ac:dyDescent="0.25">
      <c r="A5691" s="66"/>
    </row>
    <row r="5692" spans="1:1" x14ac:dyDescent="0.25">
      <c r="A5692" s="66"/>
    </row>
    <row r="5693" spans="1:1" x14ac:dyDescent="0.25">
      <c r="A5693" s="66"/>
    </row>
    <row r="5694" spans="1:1" x14ac:dyDescent="0.25">
      <c r="A5694" s="66"/>
    </row>
    <row r="5695" spans="1:1" x14ac:dyDescent="0.25">
      <c r="A5695" s="66"/>
    </row>
    <row r="5696" spans="1:1" x14ac:dyDescent="0.25">
      <c r="A5696" s="66"/>
    </row>
    <row r="5697" spans="1:1" x14ac:dyDescent="0.25">
      <c r="A5697" s="66"/>
    </row>
    <row r="5698" spans="1:1" x14ac:dyDescent="0.25">
      <c r="A5698" s="66"/>
    </row>
    <row r="5699" spans="1:1" x14ac:dyDescent="0.25">
      <c r="A5699" s="66"/>
    </row>
    <row r="5700" spans="1:1" x14ac:dyDescent="0.25">
      <c r="A5700" s="66"/>
    </row>
    <row r="5701" spans="1:1" x14ac:dyDescent="0.25">
      <c r="A5701" s="66"/>
    </row>
    <row r="5702" spans="1:1" x14ac:dyDescent="0.25">
      <c r="A5702" s="66"/>
    </row>
    <row r="5703" spans="1:1" x14ac:dyDescent="0.25">
      <c r="A5703" s="66"/>
    </row>
    <row r="5704" spans="1:1" x14ac:dyDescent="0.25">
      <c r="A5704" s="66"/>
    </row>
    <row r="5705" spans="1:1" x14ac:dyDescent="0.25">
      <c r="A5705" s="66"/>
    </row>
    <row r="5706" spans="1:1" x14ac:dyDescent="0.25">
      <c r="A5706" s="66"/>
    </row>
    <row r="5707" spans="1:1" x14ac:dyDescent="0.25">
      <c r="A5707" s="66"/>
    </row>
    <row r="5708" spans="1:1" x14ac:dyDescent="0.25">
      <c r="A5708" s="66"/>
    </row>
    <row r="5709" spans="1:1" x14ac:dyDescent="0.25">
      <c r="A5709" s="66"/>
    </row>
    <row r="5710" spans="1:1" x14ac:dyDescent="0.25">
      <c r="A5710" s="66"/>
    </row>
    <row r="5711" spans="1:1" x14ac:dyDescent="0.25">
      <c r="A5711" s="66"/>
    </row>
    <row r="5712" spans="1:1" x14ac:dyDescent="0.25">
      <c r="A5712" s="66"/>
    </row>
    <row r="5713" spans="1:1" x14ac:dyDescent="0.25">
      <c r="A5713" s="66"/>
    </row>
    <row r="5714" spans="1:1" x14ac:dyDescent="0.25">
      <c r="A5714" s="66"/>
    </row>
    <row r="5715" spans="1:1" x14ac:dyDescent="0.25">
      <c r="A5715" s="66"/>
    </row>
    <row r="5716" spans="1:1" x14ac:dyDescent="0.25">
      <c r="A5716" s="66"/>
    </row>
    <row r="5717" spans="1:1" x14ac:dyDescent="0.25">
      <c r="A5717" s="66"/>
    </row>
    <row r="5718" spans="1:1" x14ac:dyDescent="0.25">
      <c r="A5718" s="66"/>
    </row>
    <row r="5719" spans="1:1" x14ac:dyDescent="0.25">
      <c r="A5719" s="66"/>
    </row>
    <row r="5720" spans="1:1" x14ac:dyDescent="0.25">
      <c r="A5720" s="66"/>
    </row>
    <row r="5721" spans="1:1" x14ac:dyDescent="0.25">
      <c r="A5721" s="66"/>
    </row>
    <row r="5722" spans="1:1" x14ac:dyDescent="0.25">
      <c r="A5722" s="66"/>
    </row>
    <row r="5723" spans="1:1" x14ac:dyDescent="0.25">
      <c r="A5723" s="66"/>
    </row>
    <row r="5724" spans="1:1" x14ac:dyDescent="0.25">
      <c r="A5724" s="66"/>
    </row>
    <row r="5725" spans="1:1" x14ac:dyDescent="0.25">
      <c r="A5725" s="66"/>
    </row>
    <row r="5726" spans="1:1" x14ac:dyDescent="0.25">
      <c r="A5726" s="66"/>
    </row>
    <row r="5727" spans="1:1" x14ac:dyDescent="0.25">
      <c r="A5727" s="66"/>
    </row>
    <row r="5728" spans="1:1" x14ac:dyDescent="0.25">
      <c r="A5728" s="66"/>
    </row>
    <row r="5729" spans="1:1" x14ac:dyDescent="0.25">
      <c r="A5729" s="66"/>
    </row>
    <row r="5730" spans="1:1" x14ac:dyDescent="0.25">
      <c r="A5730" s="66"/>
    </row>
    <row r="5731" spans="1:1" x14ac:dyDescent="0.25">
      <c r="A5731" s="66"/>
    </row>
    <row r="5732" spans="1:1" x14ac:dyDescent="0.25">
      <c r="A5732" s="66"/>
    </row>
    <row r="5733" spans="1:1" x14ac:dyDescent="0.25">
      <c r="A5733" s="66"/>
    </row>
    <row r="5734" spans="1:1" x14ac:dyDescent="0.25">
      <c r="A5734" s="66"/>
    </row>
    <row r="5735" spans="1:1" x14ac:dyDescent="0.25">
      <c r="A5735" s="66"/>
    </row>
    <row r="5736" spans="1:1" x14ac:dyDescent="0.25">
      <c r="A5736" s="66"/>
    </row>
    <row r="5737" spans="1:1" x14ac:dyDescent="0.25">
      <c r="A5737" s="66"/>
    </row>
    <row r="5738" spans="1:1" x14ac:dyDescent="0.25">
      <c r="A5738" s="66"/>
    </row>
    <row r="5739" spans="1:1" x14ac:dyDescent="0.25">
      <c r="A5739" s="66"/>
    </row>
    <row r="5740" spans="1:1" x14ac:dyDescent="0.25">
      <c r="A5740" s="66"/>
    </row>
    <row r="5741" spans="1:1" x14ac:dyDescent="0.25">
      <c r="A5741" s="66"/>
    </row>
    <row r="5742" spans="1:1" x14ac:dyDescent="0.25">
      <c r="A5742" s="66"/>
    </row>
    <row r="5743" spans="1:1" x14ac:dyDescent="0.25">
      <c r="A5743" s="66"/>
    </row>
    <row r="5744" spans="1:1" x14ac:dyDescent="0.25">
      <c r="A5744" s="66"/>
    </row>
    <row r="5745" spans="1:1" x14ac:dyDescent="0.25">
      <c r="A5745" s="66"/>
    </row>
    <row r="5746" spans="1:1" x14ac:dyDescent="0.25">
      <c r="A5746" s="66"/>
    </row>
    <row r="5747" spans="1:1" x14ac:dyDescent="0.25">
      <c r="A5747" s="66"/>
    </row>
    <row r="5748" spans="1:1" x14ac:dyDescent="0.25">
      <c r="A5748" s="66"/>
    </row>
    <row r="5749" spans="1:1" x14ac:dyDescent="0.25">
      <c r="A5749" s="66"/>
    </row>
    <row r="5750" spans="1:1" x14ac:dyDescent="0.25">
      <c r="A5750" s="66"/>
    </row>
    <row r="5751" spans="1:1" x14ac:dyDescent="0.25">
      <c r="A5751" s="66"/>
    </row>
    <row r="5752" spans="1:1" x14ac:dyDescent="0.25">
      <c r="A5752" s="66"/>
    </row>
    <row r="5753" spans="1:1" x14ac:dyDescent="0.25">
      <c r="A5753" s="66"/>
    </row>
    <row r="5754" spans="1:1" x14ac:dyDescent="0.25">
      <c r="A5754" s="66"/>
    </row>
    <row r="5755" spans="1:1" x14ac:dyDescent="0.25">
      <c r="A5755" s="66"/>
    </row>
    <row r="5756" spans="1:1" x14ac:dyDescent="0.25">
      <c r="A5756" s="66"/>
    </row>
    <row r="5757" spans="1:1" x14ac:dyDescent="0.25">
      <c r="A5757" s="66"/>
    </row>
    <row r="5758" spans="1:1" x14ac:dyDescent="0.25">
      <c r="A5758" s="66"/>
    </row>
    <row r="5759" spans="1:1" x14ac:dyDescent="0.25">
      <c r="A5759" s="66"/>
    </row>
    <row r="5760" spans="1:1" x14ac:dyDescent="0.25">
      <c r="A5760" s="66"/>
    </row>
    <row r="5761" spans="1:1" x14ac:dyDescent="0.25">
      <c r="A5761" s="66"/>
    </row>
    <row r="5762" spans="1:1" x14ac:dyDescent="0.25">
      <c r="A5762" s="66"/>
    </row>
    <row r="5763" spans="1:1" x14ac:dyDescent="0.25">
      <c r="A5763" s="66"/>
    </row>
    <row r="5764" spans="1:1" x14ac:dyDescent="0.25">
      <c r="A5764" s="66"/>
    </row>
    <row r="5765" spans="1:1" x14ac:dyDescent="0.25">
      <c r="A5765" s="66"/>
    </row>
    <row r="5766" spans="1:1" x14ac:dyDescent="0.25">
      <c r="A5766" s="66"/>
    </row>
    <row r="5767" spans="1:1" x14ac:dyDescent="0.25">
      <c r="A5767" s="66"/>
    </row>
    <row r="5768" spans="1:1" x14ac:dyDescent="0.25">
      <c r="A5768" s="66"/>
    </row>
    <row r="5769" spans="1:1" x14ac:dyDescent="0.25">
      <c r="A5769" s="66"/>
    </row>
    <row r="5770" spans="1:1" x14ac:dyDescent="0.25">
      <c r="A5770" s="66"/>
    </row>
    <row r="5771" spans="1:1" x14ac:dyDescent="0.25">
      <c r="A5771" s="66"/>
    </row>
    <row r="5772" spans="1:1" x14ac:dyDescent="0.25">
      <c r="A5772" s="66"/>
    </row>
    <row r="5773" spans="1:1" x14ac:dyDescent="0.25">
      <c r="A5773" s="66"/>
    </row>
    <row r="5774" spans="1:1" x14ac:dyDescent="0.25">
      <c r="A5774" s="66"/>
    </row>
    <row r="5775" spans="1:1" x14ac:dyDescent="0.25">
      <c r="A5775" s="66"/>
    </row>
    <row r="5776" spans="1:1" x14ac:dyDescent="0.25">
      <c r="A5776" s="66"/>
    </row>
    <row r="5777" spans="1:1" x14ac:dyDescent="0.25">
      <c r="A5777" s="66"/>
    </row>
    <row r="5778" spans="1:1" x14ac:dyDescent="0.25">
      <c r="A5778" s="66"/>
    </row>
    <row r="5779" spans="1:1" x14ac:dyDescent="0.25">
      <c r="A5779" s="66"/>
    </row>
    <row r="5780" spans="1:1" x14ac:dyDescent="0.25">
      <c r="A5780" s="66"/>
    </row>
    <row r="5781" spans="1:1" x14ac:dyDescent="0.25">
      <c r="A5781" s="66"/>
    </row>
    <row r="5782" spans="1:1" x14ac:dyDescent="0.25">
      <c r="A5782" s="66"/>
    </row>
    <row r="5783" spans="1:1" x14ac:dyDescent="0.25">
      <c r="A5783" s="66"/>
    </row>
    <row r="5784" spans="1:1" x14ac:dyDescent="0.25">
      <c r="A5784" s="66"/>
    </row>
    <row r="5785" spans="1:1" x14ac:dyDescent="0.25">
      <c r="A5785" s="66"/>
    </row>
    <row r="5786" spans="1:1" x14ac:dyDescent="0.25">
      <c r="A5786" s="66"/>
    </row>
    <row r="5787" spans="1:1" x14ac:dyDescent="0.25">
      <c r="A5787" s="66"/>
    </row>
    <row r="5788" spans="1:1" x14ac:dyDescent="0.25">
      <c r="A5788" s="66"/>
    </row>
    <row r="5789" spans="1:1" x14ac:dyDescent="0.25">
      <c r="A5789" s="66"/>
    </row>
    <row r="5790" spans="1:1" x14ac:dyDescent="0.25">
      <c r="A5790" s="66"/>
    </row>
    <row r="5791" spans="1:1" x14ac:dyDescent="0.25">
      <c r="A5791" s="66"/>
    </row>
    <row r="5792" spans="1:1" x14ac:dyDescent="0.25">
      <c r="A5792" s="66"/>
    </row>
    <row r="5793" spans="1:1" x14ac:dyDescent="0.25">
      <c r="A5793" s="66"/>
    </row>
    <row r="5794" spans="1:1" x14ac:dyDescent="0.25">
      <c r="A5794" s="66"/>
    </row>
    <row r="5795" spans="1:1" x14ac:dyDescent="0.25">
      <c r="A5795" s="66"/>
    </row>
    <row r="5796" spans="1:1" x14ac:dyDescent="0.25">
      <c r="A5796" s="66"/>
    </row>
    <row r="5797" spans="1:1" x14ac:dyDescent="0.25">
      <c r="A5797" s="66"/>
    </row>
    <row r="5798" spans="1:1" x14ac:dyDescent="0.25">
      <c r="A5798" s="66"/>
    </row>
    <row r="5799" spans="1:1" x14ac:dyDescent="0.25">
      <c r="A5799" s="66"/>
    </row>
    <row r="5800" spans="1:1" x14ac:dyDescent="0.25">
      <c r="A5800" s="66"/>
    </row>
    <row r="5801" spans="1:1" x14ac:dyDescent="0.25">
      <c r="A5801" s="66"/>
    </row>
    <row r="5802" spans="1:1" x14ac:dyDescent="0.25">
      <c r="A5802" s="66"/>
    </row>
    <row r="5803" spans="1:1" x14ac:dyDescent="0.25">
      <c r="A5803" s="66"/>
    </row>
    <row r="5804" spans="1:1" x14ac:dyDescent="0.25">
      <c r="A5804" s="66"/>
    </row>
    <row r="5805" spans="1:1" x14ac:dyDescent="0.25">
      <c r="A5805" s="66"/>
    </row>
    <row r="5806" spans="1:1" x14ac:dyDescent="0.25">
      <c r="A5806" s="66"/>
    </row>
    <row r="5807" spans="1:1" x14ac:dyDescent="0.25">
      <c r="A5807" s="66"/>
    </row>
    <row r="5808" spans="1:1" x14ac:dyDescent="0.25">
      <c r="A5808" s="66"/>
    </row>
    <row r="5809" spans="1:1" x14ac:dyDescent="0.25">
      <c r="A5809" s="66"/>
    </row>
    <row r="5810" spans="1:1" x14ac:dyDescent="0.25">
      <c r="A5810" s="66"/>
    </row>
    <row r="5811" spans="1:1" x14ac:dyDescent="0.25">
      <c r="A5811" s="66"/>
    </row>
    <row r="5812" spans="1:1" x14ac:dyDescent="0.25">
      <c r="A5812" s="66"/>
    </row>
    <row r="5813" spans="1:1" x14ac:dyDescent="0.25">
      <c r="A5813" s="66"/>
    </row>
    <row r="5814" spans="1:1" x14ac:dyDescent="0.25">
      <c r="A5814" s="66"/>
    </row>
    <row r="5815" spans="1:1" x14ac:dyDescent="0.25">
      <c r="A5815" s="66"/>
    </row>
    <row r="5816" spans="1:1" x14ac:dyDescent="0.25">
      <c r="A5816" s="66"/>
    </row>
    <row r="5817" spans="1:1" x14ac:dyDescent="0.25">
      <c r="A5817" s="66"/>
    </row>
    <row r="5818" spans="1:1" x14ac:dyDescent="0.25">
      <c r="A5818" s="66"/>
    </row>
    <row r="5819" spans="1:1" x14ac:dyDescent="0.25">
      <c r="A5819" s="66"/>
    </row>
    <row r="5820" spans="1:1" x14ac:dyDescent="0.25">
      <c r="A5820" s="66"/>
    </row>
    <row r="5821" spans="1:1" x14ac:dyDescent="0.25">
      <c r="A5821" s="66"/>
    </row>
    <row r="5822" spans="1:1" x14ac:dyDescent="0.25">
      <c r="A5822" s="66"/>
    </row>
    <row r="5823" spans="1:1" x14ac:dyDescent="0.25">
      <c r="A5823" s="66"/>
    </row>
    <row r="5824" spans="1:1" x14ac:dyDescent="0.25">
      <c r="A5824" s="66"/>
    </row>
    <row r="5825" spans="1:1" x14ac:dyDescent="0.25">
      <c r="A5825" s="66"/>
    </row>
    <row r="5826" spans="1:1" x14ac:dyDescent="0.25">
      <c r="A5826" s="66"/>
    </row>
    <row r="5827" spans="1:1" x14ac:dyDescent="0.25">
      <c r="A5827" s="66"/>
    </row>
    <row r="5828" spans="1:1" x14ac:dyDescent="0.25">
      <c r="A5828" s="66"/>
    </row>
    <row r="5829" spans="1:1" x14ac:dyDescent="0.25">
      <c r="A5829" s="66"/>
    </row>
    <row r="5830" spans="1:1" x14ac:dyDescent="0.25">
      <c r="A5830" s="66"/>
    </row>
    <row r="5831" spans="1:1" x14ac:dyDescent="0.25">
      <c r="A5831" s="66"/>
    </row>
    <row r="5832" spans="1:1" x14ac:dyDescent="0.25">
      <c r="A5832" s="66"/>
    </row>
    <row r="5833" spans="1:1" x14ac:dyDescent="0.25">
      <c r="A5833" s="66"/>
    </row>
    <row r="5834" spans="1:1" x14ac:dyDescent="0.25">
      <c r="A5834" s="66"/>
    </row>
    <row r="5835" spans="1:1" x14ac:dyDescent="0.25">
      <c r="A5835" s="66"/>
    </row>
    <row r="5836" spans="1:1" x14ac:dyDescent="0.25">
      <c r="A5836" s="66"/>
    </row>
    <row r="5837" spans="1:1" x14ac:dyDescent="0.25">
      <c r="A5837" s="66"/>
    </row>
    <row r="5838" spans="1:1" x14ac:dyDescent="0.25">
      <c r="A5838" s="66"/>
    </row>
    <row r="5839" spans="1:1" x14ac:dyDescent="0.25">
      <c r="A5839" s="66"/>
    </row>
    <row r="5840" spans="1:1" x14ac:dyDescent="0.25">
      <c r="A5840" s="66"/>
    </row>
    <row r="5841" spans="1:1" x14ac:dyDescent="0.25">
      <c r="A5841" s="66"/>
    </row>
    <row r="5842" spans="1:1" x14ac:dyDescent="0.25">
      <c r="A5842" s="66"/>
    </row>
    <row r="5843" spans="1:1" x14ac:dyDescent="0.25">
      <c r="A5843" s="66"/>
    </row>
    <row r="5844" spans="1:1" x14ac:dyDescent="0.25">
      <c r="A5844" s="66"/>
    </row>
    <row r="5845" spans="1:1" x14ac:dyDescent="0.25">
      <c r="A5845" s="66"/>
    </row>
    <row r="5846" spans="1:1" x14ac:dyDescent="0.25">
      <c r="A5846" s="66"/>
    </row>
    <row r="5847" spans="1:1" x14ac:dyDescent="0.25">
      <c r="A5847" s="66"/>
    </row>
    <row r="5848" spans="1:1" x14ac:dyDescent="0.25">
      <c r="A5848" s="66"/>
    </row>
    <row r="5849" spans="1:1" x14ac:dyDescent="0.25">
      <c r="A5849" s="66"/>
    </row>
    <row r="5850" spans="1:1" x14ac:dyDescent="0.25">
      <c r="A5850" s="66"/>
    </row>
    <row r="5851" spans="1:1" x14ac:dyDescent="0.25">
      <c r="A5851" s="66"/>
    </row>
    <row r="5852" spans="1:1" x14ac:dyDescent="0.25">
      <c r="A5852" s="66"/>
    </row>
    <row r="5853" spans="1:1" x14ac:dyDescent="0.25">
      <c r="A5853" s="66"/>
    </row>
    <row r="5854" spans="1:1" x14ac:dyDescent="0.25">
      <c r="A5854" s="66"/>
    </row>
    <row r="5855" spans="1:1" x14ac:dyDescent="0.25">
      <c r="A5855" s="66"/>
    </row>
    <row r="5856" spans="1:1" x14ac:dyDescent="0.25">
      <c r="A5856" s="66"/>
    </row>
    <row r="5857" spans="1:1" x14ac:dyDescent="0.25">
      <c r="A5857" s="66"/>
    </row>
    <row r="5858" spans="1:1" x14ac:dyDescent="0.25">
      <c r="A5858" s="66"/>
    </row>
    <row r="5859" spans="1:1" x14ac:dyDescent="0.25">
      <c r="A5859" s="66"/>
    </row>
    <row r="5860" spans="1:1" x14ac:dyDescent="0.25">
      <c r="A5860" s="66"/>
    </row>
    <row r="5861" spans="1:1" x14ac:dyDescent="0.25">
      <c r="A5861" s="66"/>
    </row>
    <row r="5862" spans="1:1" x14ac:dyDescent="0.25">
      <c r="A5862" s="66"/>
    </row>
    <row r="5863" spans="1:1" x14ac:dyDescent="0.25">
      <c r="A5863" s="66"/>
    </row>
    <row r="5864" spans="1:1" x14ac:dyDescent="0.25">
      <c r="A5864" s="66"/>
    </row>
    <row r="5865" spans="1:1" x14ac:dyDescent="0.25">
      <c r="A5865" s="66"/>
    </row>
    <row r="5866" spans="1:1" x14ac:dyDescent="0.25">
      <c r="A5866" s="66"/>
    </row>
    <row r="5867" spans="1:1" x14ac:dyDescent="0.25">
      <c r="A5867" s="66"/>
    </row>
    <row r="5868" spans="1:1" x14ac:dyDescent="0.25">
      <c r="A5868" s="66"/>
    </row>
    <row r="5869" spans="1:1" x14ac:dyDescent="0.25">
      <c r="A5869" s="66"/>
    </row>
    <row r="5870" spans="1:1" x14ac:dyDescent="0.25">
      <c r="A5870" s="66"/>
    </row>
    <row r="5871" spans="1:1" x14ac:dyDescent="0.25">
      <c r="A5871" s="66"/>
    </row>
    <row r="5872" spans="1:1" x14ac:dyDescent="0.25">
      <c r="A5872" s="66"/>
    </row>
    <row r="5873" spans="1:1" x14ac:dyDescent="0.25">
      <c r="A5873" s="66"/>
    </row>
    <row r="5874" spans="1:1" x14ac:dyDescent="0.25">
      <c r="A5874" s="66"/>
    </row>
    <row r="5875" spans="1:1" x14ac:dyDescent="0.25">
      <c r="A5875" s="66"/>
    </row>
    <row r="5876" spans="1:1" x14ac:dyDescent="0.25">
      <c r="A5876" s="66"/>
    </row>
    <row r="5877" spans="1:1" x14ac:dyDescent="0.25">
      <c r="A5877" s="66"/>
    </row>
    <row r="5878" spans="1:1" x14ac:dyDescent="0.25">
      <c r="A5878" s="66"/>
    </row>
    <row r="5879" spans="1:1" x14ac:dyDescent="0.25">
      <c r="A5879" s="66"/>
    </row>
    <row r="5880" spans="1:1" x14ac:dyDescent="0.25">
      <c r="A5880" s="66"/>
    </row>
    <row r="5881" spans="1:1" x14ac:dyDescent="0.25">
      <c r="A5881" s="66"/>
    </row>
    <row r="5882" spans="1:1" x14ac:dyDescent="0.25">
      <c r="A5882" s="66"/>
    </row>
    <row r="5883" spans="1:1" x14ac:dyDescent="0.25">
      <c r="A5883" s="66"/>
    </row>
    <row r="5884" spans="1:1" x14ac:dyDescent="0.25">
      <c r="A5884" s="66"/>
    </row>
    <row r="5885" spans="1:1" x14ac:dyDescent="0.25">
      <c r="A5885" s="66"/>
    </row>
    <row r="5886" spans="1:1" x14ac:dyDescent="0.25">
      <c r="A5886" s="66"/>
    </row>
    <row r="5887" spans="1:1" x14ac:dyDescent="0.25">
      <c r="A5887" s="66"/>
    </row>
    <row r="5888" spans="1:1" x14ac:dyDescent="0.25">
      <c r="A5888" s="66"/>
    </row>
    <row r="5889" spans="1:1" x14ac:dyDescent="0.25">
      <c r="A5889" s="66"/>
    </row>
    <row r="5890" spans="1:1" x14ac:dyDescent="0.25">
      <c r="A5890" s="66"/>
    </row>
    <row r="5891" spans="1:1" x14ac:dyDescent="0.25">
      <c r="A5891" s="66"/>
    </row>
    <row r="5892" spans="1:1" x14ac:dyDescent="0.25">
      <c r="A5892" s="66"/>
    </row>
    <row r="5893" spans="1:1" x14ac:dyDescent="0.25">
      <c r="A5893" s="66"/>
    </row>
    <row r="5894" spans="1:1" x14ac:dyDescent="0.25">
      <c r="A5894" s="66"/>
    </row>
    <row r="5895" spans="1:1" x14ac:dyDescent="0.25">
      <c r="A5895" s="66"/>
    </row>
    <row r="5896" spans="1:1" x14ac:dyDescent="0.25">
      <c r="A5896" s="66"/>
    </row>
    <row r="5897" spans="1:1" x14ac:dyDescent="0.25">
      <c r="A5897" s="66"/>
    </row>
    <row r="5898" spans="1:1" x14ac:dyDescent="0.25">
      <c r="A5898" s="66"/>
    </row>
    <row r="5899" spans="1:1" x14ac:dyDescent="0.25">
      <c r="A5899" s="66"/>
    </row>
    <row r="5900" spans="1:1" x14ac:dyDescent="0.25">
      <c r="A5900" s="66"/>
    </row>
    <row r="5901" spans="1:1" x14ac:dyDescent="0.25">
      <c r="A5901" s="66"/>
    </row>
    <row r="5902" spans="1:1" x14ac:dyDescent="0.25">
      <c r="A5902" s="66"/>
    </row>
    <row r="5903" spans="1:1" x14ac:dyDescent="0.25">
      <c r="A5903" s="66"/>
    </row>
    <row r="5904" spans="1:1" x14ac:dyDescent="0.25">
      <c r="A5904" s="66"/>
    </row>
    <row r="5905" spans="1:1" x14ac:dyDescent="0.25">
      <c r="A5905" s="66"/>
    </row>
    <row r="5906" spans="1:1" x14ac:dyDescent="0.25">
      <c r="A5906" s="66"/>
    </row>
    <row r="5907" spans="1:1" x14ac:dyDescent="0.25">
      <c r="A5907" s="66"/>
    </row>
    <row r="5908" spans="1:1" x14ac:dyDescent="0.25">
      <c r="A5908" s="66"/>
    </row>
    <row r="5909" spans="1:1" x14ac:dyDescent="0.25">
      <c r="A5909" s="66"/>
    </row>
    <row r="5910" spans="1:1" x14ac:dyDescent="0.25">
      <c r="A5910" s="66"/>
    </row>
    <row r="5911" spans="1:1" x14ac:dyDescent="0.25">
      <c r="A5911" s="66"/>
    </row>
    <row r="5912" spans="1:1" x14ac:dyDescent="0.25">
      <c r="A5912" s="66"/>
    </row>
    <row r="5913" spans="1:1" x14ac:dyDescent="0.25">
      <c r="A5913" s="66"/>
    </row>
    <row r="5914" spans="1:1" x14ac:dyDescent="0.25">
      <c r="A5914" s="66"/>
    </row>
    <row r="5915" spans="1:1" x14ac:dyDescent="0.25">
      <c r="A5915" s="66"/>
    </row>
    <row r="5916" spans="1:1" x14ac:dyDescent="0.25">
      <c r="A5916" s="66"/>
    </row>
    <row r="5917" spans="1:1" x14ac:dyDescent="0.25">
      <c r="A5917" s="66"/>
    </row>
    <row r="5918" spans="1:1" x14ac:dyDescent="0.25">
      <c r="A5918" s="66"/>
    </row>
    <row r="5919" spans="1:1" x14ac:dyDescent="0.25">
      <c r="A5919" s="66"/>
    </row>
    <row r="5920" spans="1:1" x14ac:dyDescent="0.25">
      <c r="A5920" s="66"/>
    </row>
    <row r="5921" spans="1:1" x14ac:dyDescent="0.25">
      <c r="A5921" s="66"/>
    </row>
    <row r="5922" spans="1:1" x14ac:dyDescent="0.25">
      <c r="A5922" s="66"/>
    </row>
    <row r="5923" spans="1:1" x14ac:dyDescent="0.25">
      <c r="A5923" s="66"/>
    </row>
    <row r="5924" spans="1:1" x14ac:dyDescent="0.25">
      <c r="A5924" s="66"/>
    </row>
    <row r="5925" spans="1:1" x14ac:dyDescent="0.25">
      <c r="A5925" s="66"/>
    </row>
    <row r="5926" spans="1:1" x14ac:dyDescent="0.25">
      <c r="A5926" s="66"/>
    </row>
    <row r="5927" spans="1:1" x14ac:dyDescent="0.25">
      <c r="A5927" s="66"/>
    </row>
    <row r="5928" spans="1:1" x14ac:dyDescent="0.25">
      <c r="A5928" s="66"/>
    </row>
    <row r="5929" spans="1:1" x14ac:dyDescent="0.25">
      <c r="A5929" s="66"/>
    </row>
    <row r="5930" spans="1:1" x14ac:dyDescent="0.25">
      <c r="A5930" s="66"/>
    </row>
    <row r="5931" spans="1:1" x14ac:dyDescent="0.25">
      <c r="A5931" s="66"/>
    </row>
    <row r="5932" spans="1:1" x14ac:dyDescent="0.25">
      <c r="A5932" s="66"/>
    </row>
    <row r="5933" spans="1:1" x14ac:dyDescent="0.25">
      <c r="A5933" s="66"/>
    </row>
    <row r="5934" spans="1:1" x14ac:dyDescent="0.25">
      <c r="A5934" s="66"/>
    </row>
    <row r="5935" spans="1:1" x14ac:dyDescent="0.25">
      <c r="A5935" s="66"/>
    </row>
    <row r="5936" spans="1:1" x14ac:dyDescent="0.25">
      <c r="A5936" s="66"/>
    </row>
    <row r="5937" spans="1:1" x14ac:dyDescent="0.25">
      <c r="A5937" s="66"/>
    </row>
    <row r="5938" spans="1:1" x14ac:dyDescent="0.25">
      <c r="A5938" s="66"/>
    </row>
    <row r="5939" spans="1:1" x14ac:dyDescent="0.25">
      <c r="A5939" s="66"/>
    </row>
    <row r="5940" spans="1:1" x14ac:dyDescent="0.25">
      <c r="A5940" s="66"/>
    </row>
    <row r="5941" spans="1:1" x14ac:dyDescent="0.25">
      <c r="A5941" s="66"/>
    </row>
    <row r="5942" spans="1:1" x14ac:dyDescent="0.25">
      <c r="A5942" s="66"/>
    </row>
    <row r="5943" spans="1:1" x14ac:dyDescent="0.25">
      <c r="A5943" s="66"/>
    </row>
    <row r="5944" spans="1:1" x14ac:dyDescent="0.25">
      <c r="A5944" s="66"/>
    </row>
    <row r="5945" spans="1:1" x14ac:dyDescent="0.25">
      <c r="A5945" s="66"/>
    </row>
    <row r="5946" spans="1:1" x14ac:dyDescent="0.25">
      <c r="A5946" s="66"/>
    </row>
    <row r="5947" spans="1:1" x14ac:dyDescent="0.25">
      <c r="A5947" s="66"/>
    </row>
    <row r="5948" spans="1:1" x14ac:dyDescent="0.25">
      <c r="A5948" s="66"/>
    </row>
    <row r="5949" spans="1:1" x14ac:dyDescent="0.25">
      <c r="A5949" s="66"/>
    </row>
    <row r="5950" spans="1:1" x14ac:dyDescent="0.25">
      <c r="A5950" s="66"/>
    </row>
    <row r="5951" spans="1:1" x14ac:dyDescent="0.25">
      <c r="A5951" s="66"/>
    </row>
    <row r="5952" spans="1:1" x14ac:dyDescent="0.25">
      <c r="A5952" s="66"/>
    </row>
    <row r="5953" spans="1:1" x14ac:dyDescent="0.25">
      <c r="A5953" s="66"/>
    </row>
    <row r="5954" spans="1:1" x14ac:dyDescent="0.25">
      <c r="A5954" s="66"/>
    </row>
    <row r="5955" spans="1:1" x14ac:dyDescent="0.25">
      <c r="A5955" s="66"/>
    </row>
    <row r="5956" spans="1:1" x14ac:dyDescent="0.25">
      <c r="A5956" s="66"/>
    </row>
    <row r="5957" spans="1:1" x14ac:dyDescent="0.25">
      <c r="A5957" s="66"/>
    </row>
    <row r="5958" spans="1:1" x14ac:dyDescent="0.25">
      <c r="A5958" s="66"/>
    </row>
    <row r="5959" spans="1:1" x14ac:dyDescent="0.25">
      <c r="A5959" s="66"/>
    </row>
    <row r="5960" spans="1:1" x14ac:dyDescent="0.25">
      <c r="A5960" s="66"/>
    </row>
    <row r="5961" spans="1:1" x14ac:dyDescent="0.25">
      <c r="A5961" s="66"/>
    </row>
    <row r="5962" spans="1:1" x14ac:dyDescent="0.25">
      <c r="A5962" s="66"/>
    </row>
    <row r="5963" spans="1:1" x14ac:dyDescent="0.25">
      <c r="A5963" s="66"/>
    </row>
    <row r="5964" spans="1:1" x14ac:dyDescent="0.25">
      <c r="A5964" s="66"/>
    </row>
    <row r="5965" spans="1:1" x14ac:dyDescent="0.25">
      <c r="A5965" s="66"/>
    </row>
    <row r="5966" spans="1:1" x14ac:dyDescent="0.25">
      <c r="A5966" s="66"/>
    </row>
    <row r="5967" spans="1:1" x14ac:dyDescent="0.25">
      <c r="A5967" s="66"/>
    </row>
    <row r="5968" spans="1:1" x14ac:dyDescent="0.25">
      <c r="A5968" s="66"/>
    </row>
    <row r="5969" spans="1:1" x14ac:dyDescent="0.25">
      <c r="A5969" s="66"/>
    </row>
    <row r="5970" spans="1:1" x14ac:dyDescent="0.25">
      <c r="A5970" s="66"/>
    </row>
    <row r="5971" spans="1:1" x14ac:dyDescent="0.25">
      <c r="A5971" s="66"/>
    </row>
    <row r="5972" spans="1:1" x14ac:dyDescent="0.25">
      <c r="A5972" s="66"/>
    </row>
    <row r="5973" spans="1:1" x14ac:dyDescent="0.25">
      <c r="A5973" s="66"/>
    </row>
    <row r="5974" spans="1:1" x14ac:dyDescent="0.25">
      <c r="A5974" s="66"/>
    </row>
    <row r="5975" spans="1:1" x14ac:dyDescent="0.25">
      <c r="A5975" s="66"/>
    </row>
    <row r="5976" spans="1:1" x14ac:dyDescent="0.25">
      <c r="A5976" s="66"/>
    </row>
    <row r="5977" spans="1:1" x14ac:dyDescent="0.25">
      <c r="A5977" s="66"/>
    </row>
    <row r="5978" spans="1:1" x14ac:dyDescent="0.25">
      <c r="A5978" s="66"/>
    </row>
    <row r="5979" spans="1:1" x14ac:dyDescent="0.25">
      <c r="A5979" s="66"/>
    </row>
    <row r="5980" spans="1:1" x14ac:dyDescent="0.25">
      <c r="A5980" s="66"/>
    </row>
    <row r="5981" spans="1:1" x14ac:dyDescent="0.25">
      <c r="A5981" s="66"/>
    </row>
    <row r="5982" spans="1:1" x14ac:dyDescent="0.25">
      <c r="A5982" s="66"/>
    </row>
    <row r="5983" spans="1:1" x14ac:dyDescent="0.25">
      <c r="A5983" s="66"/>
    </row>
    <row r="5984" spans="1:1" x14ac:dyDescent="0.25">
      <c r="A5984" s="66"/>
    </row>
    <row r="5985" spans="1:1" x14ac:dyDescent="0.25">
      <c r="A5985" s="66"/>
    </row>
    <row r="5986" spans="1:1" x14ac:dyDescent="0.25">
      <c r="A5986" s="66"/>
    </row>
    <row r="5987" spans="1:1" x14ac:dyDescent="0.25">
      <c r="A5987" s="66"/>
    </row>
    <row r="5988" spans="1:1" x14ac:dyDescent="0.25">
      <c r="A5988" s="66"/>
    </row>
    <row r="5989" spans="1:1" x14ac:dyDescent="0.25">
      <c r="A5989" s="66"/>
    </row>
    <row r="5990" spans="1:1" x14ac:dyDescent="0.25">
      <c r="A5990" s="66"/>
    </row>
    <row r="5991" spans="1:1" x14ac:dyDescent="0.25">
      <c r="A5991" s="66"/>
    </row>
    <row r="5992" spans="1:1" x14ac:dyDescent="0.25">
      <c r="A5992" s="66"/>
    </row>
    <row r="5993" spans="1:1" x14ac:dyDescent="0.25">
      <c r="A5993" s="66"/>
    </row>
    <row r="5994" spans="1:1" x14ac:dyDescent="0.25">
      <c r="A5994" s="66"/>
    </row>
    <row r="5995" spans="1:1" x14ac:dyDescent="0.25">
      <c r="A5995" s="66"/>
    </row>
    <row r="5996" spans="1:1" x14ac:dyDescent="0.25">
      <c r="A5996" s="66"/>
    </row>
    <row r="5997" spans="1:1" x14ac:dyDescent="0.25">
      <c r="A5997" s="66"/>
    </row>
    <row r="5998" spans="1:1" x14ac:dyDescent="0.25">
      <c r="A5998" s="66"/>
    </row>
    <row r="5999" spans="1:1" x14ac:dyDescent="0.25">
      <c r="A5999" s="66"/>
    </row>
    <row r="6000" spans="1:1" x14ac:dyDescent="0.25">
      <c r="A6000" s="66"/>
    </row>
    <row r="6001" spans="1:1" x14ac:dyDescent="0.25">
      <c r="A6001" s="66"/>
    </row>
    <row r="6002" spans="1:1" x14ac:dyDescent="0.25">
      <c r="A6002" s="66"/>
    </row>
    <row r="6003" spans="1:1" x14ac:dyDescent="0.25">
      <c r="A6003" s="66"/>
    </row>
    <row r="6004" spans="1:1" x14ac:dyDescent="0.25">
      <c r="A6004" s="66"/>
    </row>
    <row r="6005" spans="1:1" x14ac:dyDescent="0.25">
      <c r="A6005" s="66"/>
    </row>
    <row r="6006" spans="1:1" x14ac:dyDescent="0.25">
      <c r="A6006" s="66"/>
    </row>
    <row r="6007" spans="1:1" x14ac:dyDescent="0.25">
      <c r="A6007" s="66"/>
    </row>
    <row r="6008" spans="1:1" x14ac:dyDescent="0.25">
      <c r="A6008" s="66"/>
    </row>
    <row r="6009" spans="1:1" x14ac:dyDescent="0.25">
      <c r="A6009" s="66"/>
    </row>
    <row r="6010" spans="1:1" x14ac:dyDescent="0.25">
      <c r="A6010" s="66"/>
    </row>
    <row r="6011" spans="1:1" x14ac:dyDescent="0.25">
      <c r="A6011" s="66"/>
    </row>
    <row r="6012" spans="1:1" x14ac:dyDescent="0.25">
      <c r="A6012" s="66"/>
    </row>
    <row r="6013" spans="1:1" x14ac:dyDescent="0.25">
      <c r="A6013" s="66"/>
    </row>
    <row r="6014" spans="1:1" x14ac:dyDescent="0.25">
      <c r="A6014" s="66"/>
    </row>
    <row r="6015" spans="1:1" x14ac:dyDescent="0.25">
      <c r="A6015" s="66"/>
    </row>
    <row r="6016" spans="1:1" x14ac:dyDescent="0.25">
      <c r="A6016" s="66"/>
    </row>
    <row r="6017" spans="1:1" x14ac:dyDescent="0.25">
      <c r="A6017" s="66"/>
    </row>
    <row r="6018" spans="1:1" x14ac:dyDescent="0.25">
      <c r="A6018" s="66"/>
    </row>
    <row r="6019" spans="1:1" x14ac:dyDescent="0.25">
      <c r="A6019" s="66"/>
    </row>
    <row r="6020" spans="1:1" x14ac:dyDescent="0.25">
      <c r="A6020" s="66"/>
    </row>
    <row r="6021" spans="1:1" x14ac:dyDescent="0.25">
      <c r="A6021" s="66"/>
    </row>
    <row r="6022" spans="1:1" x14ac:dyDescent="0.25">
      <c r="A6022" s="66"/>
    </row>
    <row r="6023" spans="1:1" x14ac:dyDescent="0.25">
      <c r="A6023" s="66"/>
    </row>
    <row r="6024" spans="1:1" x14ac:dyDescent="0.25">
      <c r="A6024" s="66"/>
    </row>
    <row r="6025" spans="1:1" x14ac:dyDescent="0.25">
      <c r="A6025" s="66"/>
    </row>
    <row r="6026" spans="1:1" x14ac:dyDescent="0.25">
      <c r="A6026" s="66"/>
    </row>
    <row r="6027" spans="1:1" x14ac:dyDescent="0.25">
      <c r="A6027" s="66"/>
    </row>
    <row r="6028" spans="1:1" x14ac:dyDescent="0.25">
      <c r="A6028" s="66"/>
    </row>
    <row r="6029" spans="1:1" x14ac:dyDescent="0.25">
      <c r="A6029" s="66"/>
    </row>
    <row r="6030" spans="1:1" x14ac:dyDescent="0.25">
      <c r="A6030" s="66"/>
    </row>
    <row r="6031" spans="1:1" x14ac:dyDescent="0.25">
      <c r="A6031" s="66"/>
    </row>
    <row r="6032" spans="1:1" x14ac:dyDescent="0.25">
      <c r="A6032" s="66"/>
    </row>
    <row r="6033" spans="1:1" x14ac:dyDescent="0.25">
      <c r="A6033" s="66"/>
    </row>
    <row r="6034" spans="1:1" x14ac:dyDescent="0.25">
      <c r="A6034" s="66"/>
    </row>
    <row r="6035" spans="1:1" x14ac:dyDescent="0.25">
      <c r="A6035" s="66"/>
    </row>
    <row r="6036" spans="1:1" x14ac:dyDescent="0.25">
      <c r="A6036" s="66"/>
    </row>
    <row r="6037" spans="1:1" x14ac:dyDescent="0.25">
      <c r="A6037" s="66"/>
    </row>
    <row r="6038" spans="1:1" x14ac:dyDescent="0.25">
      <c r="A6038" s="66"/>
    </row>
    <row r="6039" spans="1:1" x14ac:dyDescent="0.25">
      <c r="A6039" s="66"/>
    </row>
    <row r="6040" spans="1:1" x14ac:dyDescent="0.25">
      <c r="A6040" s="66"/>
    </row>
    <row r="6041" spans="1:1" x14ac:dyDescent="0.25">
      <c r="A6041" s="66"/>
    </row>
    <row r="6042" spans="1:1" x14ac:dyDescent="0.25">
      <c r="A6042" s="66"/>
    </row>
    <row r="6043" spans="1:1" x14ac:dyDescent="0.25">
      <c r="A6043" s="66"/>
    </row>
    <row r="6044" spans="1:1" x14ac:dyDescent="0.25">
      <c r="A6044" s="66"/>
    </row>
    <row r="6045" spans="1:1" x14ac:dyDescent="0.25">
      <c r="A6045" s="66"/>
    </row>
    <row r="6046" spans="1:1" x14ac:dyDescent="0.25">
      <c r="A6046" s="66"/>
    </row>
    <row r="6047" spans="1:1" x14ac:dyDescent="0.25">
      <c r="A6047" s="66"/>
    </row>
    <row r="6048" spans="1:1" x14ac:dyDescent="0.25">
      <c r="A6048" s="66"/>
    </row>
    <row r="6049" spans="1:1" x14ac:dyDescent="0.25">
      <c r="A6049" s="66"/>
    </row>
    <row r="6050" spans="1:1" x14ac:dyDescent="0.25">
      <c r="A6050" s="66"/>
    </row>
    <row r="6051" spans="1:1" x14ac:dyDescent="0.25">
      <c r="A6051" s="66"/>
    </row>
    <row r="6052" spans="1:1" x14ac:dyDescent="0.25">
      <c r="A6052" s="66"/>
    </row>
    <row r="6053" spans="1:1" x14ac:dyDescent="0.25">
      <c r="A6053" s="66"/>
    </row>
    <row r="6054" spans="1:1" x14ac:dyDescent="0.25">
      <c r="A6054" s="66"/>
    </row>
    <row r="6055" spans="1:1" x14ac:dyDescent="0.25">
      <c r="A6055" s="66"/>
    </row>
    <row r="6056" spans="1:1" x14ac:dyDescent="0.25">
      <c r="A6056" s="66"/>
    </row>
    <row r="6057" spans="1:1" x14ac:dyDescent="0.25">
      <c r="A6057" s="66"/>
    </row>
    <row r="6058" spans="1:1" x14ac:dyDescent="0.25">
      <c r="A6058" s="66"/>
    </row>
    <row r="6059" spans="1:1" x14ac:dyDescent="0.25">
      <c r="A6059" s="66"/>
    </row>
    <row r="6060" spans="1:1" x14ac:dyDescent="0.25">
      <c r="A6060" s="66"/>
    </row>
    <row r="6061" spans="1:1" x14ac:dyDescent="0.25">
      <c r="A6061" s="66"/>
    </row>
    <row r="6062" spans="1:1" x14ac:dyDescent="0.25">
      <c r="A6062" s="66"/>
    </row>
    <row r="6063" spans="1:1" x14ac:dyDescent="0.25">
      <c r="A6063" s="66"/>
    </row>
    <row r="6064" spans="1:1" x14ac:dyDescent="0.25">
      <c r="A6064" s="66"/>
    </row>
    <row r="6065" spans="1:1" x14ac:dyDescent="0.25">
      <c r="A6065" s="66"/>
    </row>
    <row r="6066" spans="1:1" x14ac:dyDescent="0.25">
      <c r="A6066" s="66"/>
    </row>
    <row r="6067" spans="1:1" x14ac:dyDescent="0.25">
      <c r="A6067" s="66"/>
    </row>
    <row r="6068" spans="1:1" x14ac:dyDescent="0.25">
      <c r="A6068" s="66"/>
    </row>
    <row r="6069" spans="1:1" x14ac:dyDescent="0.25">
      <c r="A6069" s="66"/>
    </row>
    <row r="6070" spans="1:1" x14ac:dyDescent="0.25">
      <c r="A6070" s="66"/>
    </row>
    <row r="6071" spans="1:1" x14ac:dyDescent="0.25">
      <c r="A6071" s="66"/>
    </row>
    <row r="6072" spans="1:1" x14ac:dyDescent="0.25">
      <c r="A6072" s="66"/>
    </row>
    <row r="6073" spans="1:1" x14ac:dyDescent="0.25">
      <c r="A6073" s="66"/>
    </row>
    <row r="6074" spans="1:1" x14ac:dyDescent="0.25">
      <c r="A6074" s="66"/>
    </row>
    <row r="6075" spans="1:1" x14ac:dyDescent="0.25">
      <c r="A6075" s="66"/>
    </row>
    <row r="6076" spans="1:1" x14ac:dyDescent="0.25">
      <c r="A6076" s="66"/>
    </row>
    <row r="6077" spans="1:1" x14ac:dyDescent="0.25">
      <c r="A6077" s="66"/>
    </row>
    <row r="6078" spans="1:1" x14ac:dyDescent="0.25">
      <c r="A6078" s="66"/>
    </row>
    <row r="6079" spans="1:1" x14ac:dyDescent="0.25">
      <c r="A6079" s="66"/>
    </row>
    <row r="6080" spans="1:1" x14ac:dyDescent="0.25">
      <c r="A6080" s="66"/>
    </row>
    <row r="6081" spans="1:1" x14ac:dyDescent="0.25">
      <c r="A6081" s="66"/>
    </row>
    <row r="6082" spans="1:1" x14ac:dyDescent="0.25">
      <c r="A6082" s="66"/>
    </row>
    <row r="6083" spans="1:1" x14ac:dyDescent="0.25">
      <c r="A6083" s="66"/>
    </row>
    <row r="6084" spans="1:1" x14ac:dyDescent="0.25">
      <c r="A6084" s="66"/>
    </row>
    <row r="6085" spans="1:1" x14ac:dyDescent="0.25">
      <c r="A6085" s="66"/>
    </row>
    <row r="6086" spans="1:1" x14ac:dyDescent="0.25">
      <c r="A6086" s="66"/>
    </row>
    <row r="6087" spans="1:1" x14ac:dyDescent="0.25">
      <c r="A6087" s="66"/>
    </row>
    <row r="6088" spans="1:1" x14ac:dyDescent="0.25">
      <c r="A6088" s="66"/>
    </row>
    <row r="6089" spans="1:1" x14ac:dyDescent="0.25">
      <c r="A6089" s="66"/>
    </row>
    <row r="6090" spans="1:1" x14ac:dyDescent="0.25">
      <c r="A6090" s="66"/>
    </row>
    <row r="6091" spans="1:1" x14ac:dyDescent="0.25">
      <c r="A6091" s="66"/>
    </row>
    <row r="6092" spans="1:1" x14ac:dyDescent="0.25">
      <c r="A6092" s="66"/>
    </row>
    <row r="6093" spans="1:1" x14ac:dyDescent="0.25">
      <c r="A6093" s="66"/>
    </row>
    <row r="6094" spans="1:1" x14ac:dyDescent="0.25">
      <c r="A6094" s="66"/>
    </row>
    <row r="6095" spans="1:1" x14ac:dyDescent="0.25">
      <c r="A6095" s="66"/>
    </row>
    <row r="6096" spans="1:1" x14ac:dyDescent="0.25">
      <c r="A6096" s="66"/>
    </row>
    <row r="6097" spans="1:1" x14ac:dyDescent="0.25">
      <c r="A6097" s="66"/>
    </row>
    <row r="6098" spans="1:1" x14ac:dyDescent="0.25">
      <c r="A6098" s="66"/>
    </row>
    <row r="6099" spans="1:1" x14ac:dyDescent="0.25">
      <c r="A6099" s="66"/>
    </row>
    <row r="6100" spans="1:1" x14ac:dyDescent="0.25">
      <c r="A6100" s="66"/>
    </row>
    <row r="6101" spans="1:1" x14ac:dyDescent="0.25">
      <c r="A6101" s="66"/>
    </row>
    <row r="6102" spans="1:1" x14ac:dyDescent="0.25">
      <c r="A6102" s="66"/>
    </row>
    <row r="6103" spans="1:1" x14ac:dyDescent="0.25">
      <c r="A6103" s="66"/>
    </row>
    <row r="6104" spans="1:1" x14ac:dyDescent="0.25">
      <c r="A6104" s="66"/>
    </row>
    <row r="6105" spans="1:1" x14ac:dyDescent="0.25">
      <c r="A6105" s="66"/>
    </row>
    <row r="6106" spans="1:1" x14ac:dyDescent="0.25">
      <c r="A6106" s="66"/>
    </row>
    <row r="6107" spans="1:1" x14ac:dyDescent="0.25">
      <c r="A6107" s="66"/>
    </row>
    <row r="6108" spans="1:1" x14ac:dyDescent="0.25">
      <c r="A6108" s="66"/>
    </row>
    <row r="6109" spans="1:1" x14ac:dyDescent="0.25">
      <c r="A6109" s="66"/>
    </row>
    <row r="6110" spans="1:1" x14ac:dyDescent="0.25">
      <c r="A6110" s="66"/>
    </row>
    <row r="6111" spans="1:1" x14ac:dyDescent="0.25">
      <c r="A6111" s="66"/>
    </row>
    <row r="6112" spans="1:1" x14ac:dyDescent="0.25">
      <c r="A6112" s="66"/>
    </row>
    <row r="6113" spans="1:1" x14ac:dyDescent="0.25">
      <c r="A6113" s="66"/>
    </row>
    <row r="6114" spans="1:1" x14ac:dyDescent="0.25">
      <c r="A6114" s="66"/>
    </row>
    <row r="6115" spans="1:1" x14ac:dyDescent="0.25">
      <c r="A6115" s="66"/>
    </row>
    <row r="6116" spans="1:1" x14ac:dyDescent="0.25">
      <c r="A6116" s="66"/>
    </row>
    <row r="6117" spans="1:1" x14ac:dyDescent="0.25">
      <c r="A6117" s="66"/>
    </row>
    <row r="6118" spans="1:1" x14ac:dyDescent="0.25">
      <c r="A6118" s="66"/>
    </row>
    <row r="6119" spans="1:1" x14ac:dyDescent="0.25">
      <c r="A6119" s="66"/>
    </row>
    <row r="6120" spans="1:1" x14ac:dyDescent="0.25">
      <c r="A6120" s="66"/>
    </row>
    <row r="6121" spans="1:1" x14ac:dyDescent="0.25">
      <c r="A6121" s="66"/>
    </row>
    <row r="6122" spans="1:1" x14ac:dyDescent="0.25">
      <c r="A6122" s="66"/>
    </row>
    <row r="6123" spans="1:1" x14ac:dyDescent="0.25">
      <c r="A6123" s="66"/>
    </row>
    <row r="6124" spans="1:1" x14ac:dyDescent="0.25">
      <c r="A6124" s="66"/>
    </row>
    <row r="6125" spans="1:1" x14ac:dyDescent="0.25">
      <c r="A6125" s="66"/>
    </row>
    <row r="6126" spans="1:1" x14ac:dyDescent="0.25">
      <c r="A6126" s="66"/>
    </row>
    <row r="6127" spans="1:1" x14ac:dyDescent="0.25">
      <c r="A6127" s="66"/>
    </row>
    <row r="6128" spans="1:1" x14ac:dyDescent="0.25">
      <c r="A6128" s="66"/>
    </row>
    <row r="6129" spans="1:1" x14ac:dyDescent="0.25">
      <c r="A6129" s="66"/>
    </row>
    <row r="6130" spans="1:1" x14ac:dyDescent="0.25">
      <c r="A6130" s="66"/>
    </row>
    <row r="6131" spans="1:1" x14ac:dyDescent="0.25">
      <c r="A6131" s="66"/>
    </row>
    <row r="6132" spans="1:1" x14ac:dyDescent="0.25">
      <c r="A6132" s="66"/>
    </row>
    <row r="6133" spans="1:1" x14ac:dyDescent="0.25">
      <c r="A6133" s="66"/>
    </row>
    <row r="6134" spans="1:1" x14ac:dyDescent="0.25">
      <c r="A6134" s="66"/>
    </row>
    <row r="6135" spans="1:1" x14ac:dyDescent="0.25">
      <c r="A6135" s="66"/>
    </row>
    <row r="6136" spans="1:1" x14ac:dyDescent="0.25">
      <c r="A6136" s="66"/>
    </row>
    <row r="6137" spans="1:1" x14ac:dyDescent="0.25">
      <c r="A6137" s="66"/>
    </row>
    <row r="6138" spans="1:1" x14ac:dyDescent="0.25">
      <c r="A6138" s="66"/>
    </row>
    <row r="6139" spans="1:1" x14ac:dyDescent="0.25">
      <c r="A6139" s="66"/>
    </row>
    <row r="6140" spans="1:1" x14ac:dyDescent="0.25">
      <c r="A6140" s="66"/>
    </row>
    <row r="6141" spans="1:1" x14ac:dyDescent="0.25">
      <c r="A6141" s="66"/>
    </row>
    <row r="6142" spans="1:1" x14ac:dyDescent="0.25">
      <c r="A6142" s="66"/>
    </row>
    <row r="6143" spans="1:1" x14ac:dyDescent="0.25">
      <c r="A6143" s="66"/>
    </row>
    <row r="6144" spans="1:1" x14ac:dyDescent="0.25">
      <c r="A6144" s="66"/>
    </row>
    <row r="6145" spans="1:1" x14ac:dyDescent="0.25">
      <c r="A6145" s="66"/>
    </row>
    <row r="6146" spans="1:1" x14ac:dyDescent="0.25">
      <c r="A6146" s="66"/>
    </row>
    <row r="6147" spans="1:1" x14ac:dyDescent="0.25">
      <c r="A6147" s="66"/>
    </row>
    <row r="6148" spans="1:1" x14ac:dyDescent="0.25">
      <c r="A6148" s="66"/>
    </row>
    <row r="6149" spans="1:1" x14ac:dyDescent="0.25">
      <c r="A6149" s="66"/>
    </row>
    <row r="6150" spans="1:1" x14ac:dyDescent="0.25">
      <c r="A6150" s="66"/>
    </row>
    <row r="6151" spans="1:1" x14ac:dyDescent="0.25">
      <c r="A6151" s="66"/>
    </row>
    <row r="6152" spans="1:1" x14ac:dyDescent="0.25">
      <c r="A6152" s="66"/>
    </row>
    <row r="6153" spans="1:1" x14ac:dyDescent="0.25">
      <c r="A6153" s="66"/>
    </row>
    <row r="6154" spans="1:1" x14ac:dyDescent="0.25">
      <c r="A6154" s="66"/>
    </row>
    <row r="6155" spans="1:1" x14ac:dyDescent="0.25">
      <c r="A6155" s="66"/>
    </row>
    <row r="6156" spans="1:1" x14ac:dyDescent="0.25">
      <c r="A6156" s="66"/>
    </row>
    <row r="6157" spans="1:1" x14ac:dyDescent="0.25">
      <c r="A6157" s="66"/>
    </row>
    <row r="6158" spans="1:1" x14ac:dyDescent="0.25">
      <c r="A6158" s="66"/>
    </row>
    <row r="6159" spans="1:1" x14ac:dyDescent="0.25">
      <c r="A6159" s="66"/>
    </row>
    <row r="6160" spans="1:1" x14ac:dyDescent="0.25">
      <c r="A6160" s="66"/>
    </row>
    <row r="6161" spans="1:1" x14ac:dyDescent="0.25">
      <c r="A6161" s="66"/>
    </row>
    <row r="6162" spans="1:1" x14ac:dyDescent="0.25">
      <c r="A6162" s="66"/>
    </row>
    <row r="6163" spans="1:1" x14ac:dyDescent="0.25">
      <c r="A6163" s="66"/>
    </row>
    <row r="6164" spans="1:1" x14ac:dyDescent="0.25">
      <c r="A6164" s="66"/>
    </row>
    <row r="6165" spans="1:1" x14ac:dyDescent="0.25">
      <c r="A6165" s="66"/>
    </row>
    <row r="6166" spans="1:1" x14ac:dyDescent="0.25">
      <c r="A6166" s="66"/>
    </row>
    <row r="6167" spans="1:1" x14ac:dyDescent="0.25">
      <c r="A6167" s="66"/>
    </row>
    <row r="6168" spans="1:1" x14ac:dyDescent="0.25">
      <c r="A6168" s="66"/>
    </row>
    <row r="6169" spans="1:1" x14ac:dyDescent="0.25">
      <c r="A6169" s="66"/>
    </row>
    <row r="6170" spans="1:1" x14ac:dyDescent="0.25">
      <c r="A6170" s="66"/>
    </row>
    <row r="6171" spans="1:1" x14ac:dyDescent="0.25">
      <c r="A6171" s="66"/>
    </row>
    <row r="6172" spans="1:1" x14ac:dyDescent="0.25">
      <c r="A6172" s="66"/>
    </row>
    <row r="6173" spans="1:1" x14ac:dyDescent="0.25">
      <c r="A6173" s="66"/>
    </row>
    <row r="6174" spans="1:1" x14ac:dyDescent="0.25">
      <c r="A6174" s="66"/>
    </row>
    <row r="6175" spans="1:1" x14ac:dyDescent="0.25">
      <c r="A6175" s="66"/>
    </row>
    <row r="6176" spans="1:1" x14ac:dyDescent="0.25">
      <c r="A6176" s="66"/>
    </row>
    <row r="6177" spans="1:1" x14ac:dyDescent="0.25">
      <c r="A6177" s="66"/>
    </row>
    <row r="6178" spans="1:1" x14ac:dyDescent="0.25">
      <c r="A6178" s="66"/>
    </row>
    <row r="6179" spans="1:1" x14ac:dyDescent="0.25">
      <c r="A6179" s="66"/>
    </row>
    <row r="6180" spans="1:1" x14ac:dyDescent="0.25">
      <c r="A6180" s="66"/>
    </row>
    <row r="6181" spans="1:1" x14ac:dyDescent="0.25">
      <c r="A6181" s="66"/>
    </row>
    <row r="6182" spans="1:1" x14ac:dyDescent="0.25">
      <c r="A6182" s="66"/>
    </row>
    <row r="6183" spans="1:1" x14ac:dyDescent="0.25">
      <c r="A6183" s="66"/>
    </row>
    <row r="6184" spans="1:1" x14ac:dyDescent="0.25">
      <c r="A6184" s="66"/>
    </row>
    <row r="6185" spans="1:1" x14ac:dyDescent="0.25">
      <c r="A6185" s="66"/>
    </row>
    <row r="6186" spans="1:1" x14ac:dyDescent="0.25">
      <c r="A6186" s="66"/>
    </row>
    <row r="6187" spans="1:1" x14ac:dyDescent="0.25">
      <c r="A6187" s="66"/>
    </row>
    <row r="6188" spans="1:1" x14ac:dyDescent="0.25">
      <c r="A6188" s="66"/>
    </row>
    <row r="6189" spans="1:1" x14ac:dyDescent="0.25">
      <c r="A6189" s="66"/>
    </row>
    <row r="6190" spans="1:1" x14ac:dyDescent="0.25">
      <c r="A6190" s="66"/>
    </row>
    <row r="6191" spans="1:1" x14ac:dyDescent="0.25">
      <c r="A6191" s="66"/>
    </row>
    <row r="6192" spans="1:1" x14ac:dyDescent="0.25">
      <c r="A6192" s="66"/>
    </row>
    <row r="6193" spans="1:1" x14ac:dyDescent="0.25">
      <c r="A6193" s="66"/>
    </row>
    <row r="6194" spans="1:1" x14ac:dyDescent="0.25">
      <c r="A6194" s="66"/>
    </row>
    <row r="6195" spans="1:1" x14ac:dyDescent="0.25">
      <c r="A6195" s="66"/>
    </row>
    <row r="6196" spans="1:1" x14ac:dyDescent="0.25">
      <c r="A6196" s="66"/>
    </row>
    <row r="6197" spans="1:1" x14ac:dyDescent="0.25">
      <c r="A6197" s="66"/>
    </row>
    <row r="6198" spans="1:1" x14ac:dyDescent="0.25">
      <c r="A6198" s="66"/>
    </row>
    <row r="6199" spans="1:1" x14ac:dyDescent="0.25">
      <c r="A6199" s="66"/>
    </row>
    <row r="6200" spans="1:1" x14ac:dyDescent="0.25">
      <c r="A6200" s="66"/>
    </row>
    <row r="6201" spans="1:1" x14ac:dyDescent="0.25">
      <c r="A6201" s="66"/>
    </row>
    <row r="6202" spans="1:1" x14ac:dyDescent="0.25">
      <c r="A6202" s="66"/>
    </row>
    <row r="6203" spans="1:1" x14ac:dyDescent="0.25">
      <c r="A6203" s="66"/>
    </row>
    <row r="6204" spans="1:1" x14ac:dyDescent="0.25">
      <c r="A6204" s="66"/>
    </row>
    <row r="6205" spans="1:1" x14ac:dyDescent="0.25">
      <c r="A6205" s="66"/>
    </row>
    <row r="6206" spans="1:1" x14ac:dyDescent="0.25">
      <c r="A6206" s="66"/>
    </row>
    <row r="6207" spans="1:1" x14ac:dyDescent="0.25">
      <c r="A6207" s="66"/>
    </row>
    <row r="6208" spans="1:1" x14ac:dyDescent="0.25">
      <c r="A6208" s="66"/>
    </row>
    <row r="6209" spans="1:1" x14ac:dyDescent="0.25">
      <c r="A6209" s="66"/>
    </row>
    <row r="6210" spans="1:1" x14ac:dyDescent="0.25">
      <c r="A6210" s="66"/>
    </row>
    <row r="6211" spans="1:1" x14ac:dyDescent="0.25">
      <c r="A6211" s="66"/>
    </row>
    <row r="6212" spans="1:1" x14ac:dyDescent="0.25">
      <c r="A6212" s="66"/>
    </row>
    <row r="6213" spans="1:1" x14ac:dyDescent="0.25">
      <c r="A6213" s="66"/>
    </row>
    <row r="6214" spans="1:1" x14ac:dyDescent="0.25">
      <c r="A6214" s="66"/>
    </row>
    <row r="6215" spans="1:1" x14ac:dyDescent="0.25">
      <c r="A6215" s="66"/>
    </row>
    <row r="6216" spans="1:1" x14ac:dyDescent="0.25">
      <c r="A6216" s="66"/>
    </row>
    <row r="6217" spans="1:1" x14ac:dyDescent="0.25">
      <c r="A6217" s="66"/>
    </row>
    <row r="6218" spans="1:1" x14ac:dyDescent="0.25">
      <c r="A6218" s="66"/>
    </row>
    <row r="6219" spans="1:1" x14ac:dyDescent="0.25">
      <c r="A6219" s="66"/>
    </row>
    <row r="6220" spans="1:1" x14ac:dyDescent="0.25">
      <c r="A6220" s="66"/>
    </row>
    <row r="6221" spans="1:1" x14ac:dyDescent="0.25">
      <c r="A6221" s="66"/>
    </row>
    <row r="6222" spans="1:1" x14ac:dyDescent="0.25">
      <c r="A6222" s="66"/>
    </row>
    <row r="6223" spans="1:1" x14ac:dyDescent="0.25">
      <c r="A6223" s="66"/>
    </row>
    <row r="6224" spans="1:1" x14ac:dyDescent="0.25">
      <c r="A6224" s="66"/>
    </row>
    <row r="6225" spans="1:1" x14ac:dyDescent="0.25">
      <c r="A6225" s="66"/>
    </row>
    <row r="6226" spans="1:1" x14ac:dyDescent="0.25">
      <c r="A6226" s="66"/>
    </row>
    <row r="6227" spans="1:1" x14ac:dyDescent="0.25">
      <c r="A6227" s="66"/>
    </row>
    <row r="6228" spans="1:1" x14ac:dyDescent="0.25">
      <c r="A6228" s="66"/>
    </row>
    <row r="6229" spans="1:1" x14ac:dyDescent="0.25">
      <c r="A6229" s="66"/>
    </row>
    <row r="6230" spans="1:1" x14ac:dyDescent="0.25">
      <c r="A6230" s="66"/>
    </row>
    <row r="6231" spans="1:1" x14ac:dyDescent="0.25">
      <c r="A6231" s="66"/>
    </row>
    <row r="6232" spans="1:1" x14ac:dyDescent="0.25">
      <c r="A6232" s="66"/>
    </row>
    <row r="6233" spans="1:1" x14ac:dyDescent="0.25">
      <c r="A6233" s="66"/>
    </row>
    <row r="6234" spans="1:1" x14ac:dyDescent="0.25">
      <c r="A6234" s="66"/>
    </row>
    <row r="6235" spans="1:1" x14ac:dyDescent="0.25">
      <c r="A6235" s="66"/>
    </row>
    <row r="6236" spans="1:1" x14ac:dyDescent="0.25">
      <c r="A6236" s="66"/>
    </row>
    <row r="6237" spans="1:1" x14ac:dyDescent="0.25">
      <c r="A6237" s="66"/>
    </row>
    <row r="6238" spans="1:1" x14ac:dyDescent="0.25">
      <c r="A6238" s="66"/>
    </row>
    <row r="6239" spans="1:1" x14ac:dyDescent="0.25">
      <c r="A6239" s="66"/>
    </row>
    <row r="6240" spans="1:1" x14ac:dyDescent="0.25">
      <c r="A6240" s="66"/>
    </row>
    <row r="6241" spans="1:1" x14ac:dyDescent="0.25">
      <c r="A6241" s="66"/>
    </row>
    <row r="6242" spans="1:1" x14ac:dyDescent="0.25">
      <c r="A6242" s="66"/>
    </row>
    <row r="6243" spans="1:1" x14ac:dyDescent="0.25">
      <c r="A6243" s="66"/>
    </row>
    <row r="6244" spans="1:1" x14ac:dyDescent="0.25">
      <c r="A6244" s="66"/>
    </row>
    <row r="6245" spans="1:1" x14ac:dyDescent="0.25">
      <c r="A6245" s="66"/>
    </row>
    <row r="6246" spans="1:1" x14ac:dyDescent="0.25">
      <c r="A6246" s="66"/>
    </row>
    <row r="6247" spans="1:1" x14ac:dyDescent="0.25">
      <c r="A6247" s="66"/>
    </row>
    <row r="6248" spans="1:1" x14ac:dyDescent="0.25">
      <c r="A6248" s="66"/>
    </row>
    <row r="6249" spans="1:1" x14ac:dyDescent="0.25">
      <c r="A6249" s="66"/>
    </row>
    <row r="6250" spans="1:1" x14ac:dyDescent="0.25">
      <c r="A6250" s="66"/>
    </row>
    <row r="6251" spans="1:1" x14ac:dyDescent="0.25">
      <c r="A6251" s="66"/>
    </row>
    <row r="6252" spans="1:1" x14ac:dyDescent="0.25">
      <c r="A6252" s="66"/>
    </row>
    <row r="6253" spans="1:1" x14ac:dyDescent="0.25">
      <c r="A6253" s="66"/>
    </row>
    <row r="6254" spans="1:1" x14ac:dyDescent="0.25">
      <c r="A6254" s="66"/>
    </row>
    <row r="6255" spans="1:1" x14ac:dyDescent="0.25">
      <c r="A6255" s="66"/>
    </row>
    <row r="6256" spans="1:1" x14ac:dyDescent="0.25">
      <c r="A6256" s="66"/>
    </row>
    <row r="6257" spans="1:1" x14ac:dyDescent="0.25">
      <c r="A6257" s="66"/>
    </row>
    <row r="6258" spans="1:1" x14ac:dyDescent="0.25">
      <c r="A6258" s="66"/>
    </row>
    <row r="6259" spans="1:1" x14ac:dyDescent="0.25">
      <c r="A6259" s="66"/>
    </row>
    <row r="6260" spans="1:1" x14ac:dyDescent="0.25">
      <c r="A6260" s="66"/>
    </row>
    <row r="6261" spans="1:1" x14ac:dyDescent="0.25">
      <c r="A6261" s="66"/>
    </row>
    <row r="6262" spans="1:1" x14ac:dyDescent="0.25">
      <c r="A6262" s="66"/>
    </row>
    <row r="6263" spans="1:1" x14ac:dyDescent="0.25">
      <c r="A6263" s="66"/>
    </row>
    <row r="6264" spans="1:1" x14ac:dyDescent="0.25">
      <c r="A6264" s="66"/>
    </row>
    <row r="6265" spans="1:1" x14ac:dyDescent="0.25">
      <c r="A6265" s="66"/>
    </row>
    <row r="6266" spans="1:1" x14ac:dyDescent="0.25">
      <c r="A6266" s="66"/>
    </row>
    <row r="6267" spans="1:1" x14ac:dyDescent="0.25">
      <c r="A6267" s="66"/>
    </row>
    <row r="6268" spans="1:1" x14ac:dyDescent="0.25">
      <c r="A6268" s="66"/>
    </row>
    <row r="6269" spans="1:1" x14ac:dyDescent="0.25">
      <c r="A6269" s="66"/>
    </row>
    <row r="6270" spans="1:1" x14ac:dyDescent="0.25">
      <c r="A6270" s="66"/>
    </row>
    <row r="6271" spans="1:1" x14ac:dyDescent="0.25">
      <c r="A6271" s="66"/>
    </row>
    <row r="6272" spans="1:1" x14ac:dyDescent="0.25">
      <c r="A6272" s="66"/>
    </row>
    <row r="6273" spans="1:1" x14ac:dyDescent="0.25">
      <c r="A6273" s="66"/>
    </row>
    <row r="6274" spans="1:1" x14ac:dyDescent="0.25">
      <c r="A6274" s="66"/>
    </row>
    <row r="6275" spans="1:1" x14ac:dyDescent="0.25">
      <c r="A6275" s="66"/>
    </row>
    <row r="6276" spans="1:1" x14ac:dyDescent="0.25">
      <c r="A6276" s="66"/>
    </row>
    <row r="6277" spans="1:1" x14ac:dyDescent="0.25">
      <c r="A6277" s="66"/>
    </row>
    <row r="6278" spans="1:1" x14ac:dyDescent="0.25">
      <c r="A6278" s="66"/>
    </row>
    <row r="6279" spans="1:1" x14ac:dyDescent="0.25">
      <c r="A6279" s="66"/>
    </row>
    <row r="6280" spans="1:1" x14ac:dyDescent="0.25">
      <c r="A6280" s="66"/>
    </row>
    <row r="6281" spans="1:1" x14ac:dyDescent="0.25">
      <c r="A6281" s="66"/>
    </row>
    <row r="6282" spans="1:1" x14ac:dyDescent="0.25">
      <c r="A6282" s="66"/>
    </row>
    <row r="6283" spans="1:1" x14ac:dyDescent="0.25">
      <c r="A6283" s="66"/>
    </row>
    <row r="6284" spans="1:1" x14ac:dyDescent="0.25">
      <c r="A6284" s="66"/>
    </row>
    <row r="6285" spans="1:1" x14ac:dyDescent="0.25">
      <c r="A6285" s="66"/>
    </row>
    <row r="6286" spans="1:1" x14ac:dyDescent="0.25">
      <c r="A6286" s="66"/>
    </row>
    <row r="6287" spans="1:1" x14ac:dyDescent="0.25">
      <c r="A6287" s="66"/>
    </row>
    <row r="6288" spans="1:1" x14ac:dyDescent="0.25">
      <c r="A6288" s="66"/>
    </row>
    <row r="6289" spans="1:1" x14ac:dyDescent="0.25">
      <c r="A6289" s="66"/>
    </row>
    <row r="6290" spans="1:1" x14ac:dyDescent="0.25">
      <c r="A6290" s="66"/>
    </row>
    <row r="6291" spans="1:1" x14ac:dyDescent="0.25">
      <c r="A6291" s="66"/>
    </row>
    <row r="6292" spans="1:1" x14ac:dyDescent="0.25">
      <c r="A6292" s="66"/>
    </row>
    <row r="6293" spans="1:1" x14ac:dyDescent="0.25">
      <c r="A6293" s="66"/>
    </row>
    <row r="6294" spans="1:1" x14ac:dyDescent="0.25">
      <c r="A6294" s="66"/>
    </row>
    <row r="6295" spans="1:1" x14ac:dyDescent="0.25">
      <c r="A6295" s="66"/>
    </row>
    <row r="6296" spans="1:1" x14ac:dyDescent="0.25">
      <c r="A6296" s="66"/>
    </row>
    <row r="6297" spans="1:1" x14ac:dyDescent="0.25">
      <c r="A6297" s="66"/>
    </row>
    <row r="6298" spans="1:1" x14ac:dyDescent="0.25">
      <c r="A6298" s="66"/>
    </row>
    <row r="6299" spans="1:1" x14ac:dyDescent="0.25">
      <c r="A6299" s="66"/>
    </row>
    <row r="6300" spans="1:1" x14ac:dyDescent="0.25">
      <c r="A6300" s="66"/>
    </row>
    <row r="6301" spans="1:1" x14ac:dyDescent="0.25">
      <c r="A6301" s="66"/>
    </row>
    <row r="6302" spans="1:1" x14ac:dyDescent="0.25">
      <c r="A6302" s="66"/>
    </row>
    <row r="6303" spans="1:1" x14ac:dyDescent="0.25">
      <c r="A6303" s="66"/>
    </row>
    <row r="6304" spans="1:1" x14ac:dyDescent="0.25">
      <c r="A6304" s="66"/>
    </row>
    <row r="6305" spans="1:1" x14ac:dyDescent="0.25">
      <c r="A6305" s="66"/>
    </row>
    <row r="6306" spans="1:1" x14ac:dyDescent="0.25">
      <c r="A6306" s="66"/>
    </row>
    <row r="6307" spans="1:1" x14ac:dyDescent="0.25">
      <c r="A6307" s="66"/>
    </row>
    <row r="6308" spans="1:1" x14ac:dyDescent="0.25">
      <c r="A6308" s="66"/>
    </row>
    <row r="6309" spans="1:1" x14ac:dyDescent="0.25">
      <c r="A6309" s="66"/>
    </row>
    <row r="6310" spans="1:1" x14ac:dyDescent="0.25">
      <c r="A6310" s="66"/>
    </row>
    <row r="6311" spans="1:1" x14ac:dyDescent="0.25">
      <c r="A6311" s="66"/>
    </row>
    <row r="6312" spans="1:1" x14ac:dyDescent="0.25">
      <c r="A6312" s="66"/>
    </row>
    <row r="6313" spans="1:1" x14ac:dyDescent="0.25">
      <c r="A6313" s="66"/>
    </row>
    <row r="6314" spans="1:1" x14ac:dyDescent="0.25">
      <c r="A6314" s="66"/>
    </row>
    <row r="6315" spans="1:1" x14ac:dyDescent="0.25">
      <c r="A6315" s="66"/>
    </row>
    <row r="6316" spans="1:1" x14ac:dyDescent="0.25">
      <c r="A6316" s="66"/>
    </row>
    <row r="6317" spans="1:1" x14ac:dyDescent="0.25">
      <c r="A6317" s="66"/>
    </row>
    <row r="6318" spans="1:1" x14ac:dyDescent="0.25">
      <c r="A6318" s="66"/>
    </row>
    <row r="6319" spans="1:1" x14ac:dyDescent="0.25">
      <c r="A6319" s="66"/>
    </row>
    <row r="6320" spans="1:1" x14ac:dyDescent="0.25">
      <c r="A6320" s="66"/>
    </row>
    <row r="6321" spans="1:1" x14ac:dyDescent="0.25">
      <c r="A6321" s="66"/>
    </row>
    <row r="6322" spans="1:1" x14ac:dyDescent="0.25">
      <c r="A6322" s="66"/>
    </row>
    <row r="6323" spans="1:1" x14ac:dyDescent="0.25">
      <c r="A6323" s="66"/>
    </row>
    <row r="6324" spans="1:1" x14ac:dyDescent="0.25">
      <c r="A6324" s="66"/>
    </row>
    <row r="6325" spans="1:1" x14ac:dyDescent="0.25">
      <c r="A6325" s="66"/>
    </row>
    <row r="6326" spans="1:1" x14ac:dyDescent="0.25">
      <c r="A6326" s="66"/>
    </row>
    <row r="6327" spans="1:1" x14ac:dyDescent="0.25">
      <c r="A6327" s="66"/>
    </row>
    <row r="6328" spans="1:1" x14ac:dyDescent="0.25">
      <c r="A6328" s="66"/>
    </row>
    <row r="6329" spans="1:1" x14ac:dyDescent="0.25">
      <c r="A6329" s="66"/>
    </row>
    <row r="6330" spans="1:1" x14ac:dyDescent="0.25">
      <c r="A6330" s="66"/>
    </row>
    <row r="6331" spans="1:1" x14ac:dyDescent="0.25">
      <c r="A6331" s="66"/>
    </row>
    <row r="6332" spans="1:1" x14ac:dyDescent="0.25">
      <c r="A6332" s="66"/>
    </row>
    <row r="6333" spans="1:1" x14ac:dyDescent="0.25">
      <c r="A6333" s="66"/>
    </row>
    <row r="6334" spans="1:1" x14ac:dyDescent="0.25">
      <c r="A6334" s="66"/>
    </row>
    <row r="6335" spans="1:1" x14ac:dyDescent="0.25">
      <c r="A6335" s="66"/>
    </row>
    <row r="6336" spans="1:1" x14ac:dyDescent="0.25">
      <c r="A6336" s="66"/>
    </row>
    <row r="6337" spans="1:1" x14ac:dyDescent="0.25">
      <c r="A6337" s="66"/>
    </row>
    <row r="6338" spans="1:1" x14ac:dyDescent="0.25">
      <c r="A6338" s="66"/>
    </row>
    <row r="6339" spans="1:1" x14ac:dyDescent="0.25">
      <c r="A6339" s="66"/>
    </row>
    <row r="6340" spans="1:1" x14ac:dyDescent="0.25">
      <c r="A6340" s="66"/>
    </row>
    <row r="6341" spans="1:1" x14ac:dyDescent="0.25">
      <c r="A6341" s="66"/>
    </row>
    <row r="6342" spans="1:1" x14ac:dyDescent="0.25">
      <c r="A6342" s="66"/>
    </row>
    <row r="6343" spans="1:1" x14ac:dyDescent="0.25">
      <c r="A6343" s="66"/>
    </row>
    <row r="6344" spans="1:1" x14ac:dyDescent="0.25">
      <c r="A6344" s="66"/>
    </row>
    <row r="6345" spans="1:1" x14ac:dyDescent="0.25">
      <c r="A6345" s="66"/>
    </row>
    <row r="6346" spans="1:1" x14ac:dyDescent="0.25">
      <c r="A6346" s="66"/>
    </row>
    <row r="6347" spans="1:1" x14ac:dyDescent="0.25">
      <c r="A6347" s="66"/>
    </row>
    <row r="6348" spans="1:1" x14ac:dyDescent="0.25">
      <c r="A6348" s="66"/>
    </row>
    <row r="6349" spans="1:1" x14ac:dyDescent="0.25">
      <c r="A6349" s="66"/>
    </row>
    <row r="6350" spans="1:1" x14ac:dyDescent="0.25">
      <c r="A6350" s="66"/>
    </row>
    <row r="6351" spans="1:1" x14ac:dyDescent="0.25">
      <c r="A6351" s="66"/>
    </row>
    <row r="6352" spans="1:1" x14ac:dyDescent="0.25">
      <c r="A6352" s="66"/>
    </row>
    <row r="6353" spans="1:1" x14ac:dyDescent="0.25">
      <c r="A6353" s="66"/>
    </row>
    <row r="6354" spans="1:1" x14ac:dyDescent="0.25">
      <c r="A6354" s="66"/>
    </row>
    <row r="6355" spans="1:1" x14ac:dyDescent="0.25">
      <c r="A6355" s="66"/>
    </row>
    <row r="6356" spans="1:1" x14ac:dyDescent="0.25">
      <c r="A6356" s="66"/>
    </row>
    <row r="6357" spans="1:1" x14ac:dyDescent="0.25">
      <c r="A6357" s="66"/>
    </row>
    <row r="6358" spans="1:1" x14ac:dyDescent="0.25">
      <c r="A6358" s="66"/>
    </row>
    <row r="6359" spans="1:1" x14ac:dyDescent="0.25">
      <c r="A6359" s="66"/>
    </row>
    <row r="6360" spans="1:1" x14ac:dyDescent="0.25">
      <c r="A6360" s="66"/>
    </row>
    <row r="6361" spans="1:1" x14ac:dyDescent="0.25">
      <c r="A6361" s="66"/>
    </row>
    <row r="6362" spans="1:1" x14ac:dyDescent="0.25">
      <c r="A6362" s="66"/>
    </row>
    <row r="6363" spans="1:1" x14ac:dyDescent="0.25">
      <c r="A6363" s="66"/>
    </row>
    <row r="6364" spans="1:1" x14ac:dyDescent="0.25">
      <c r="A6364" s="66"/>
    </row>
    <row r="6365" spans="1:1" x14ac:dyDescent="0.25">
      <c r="A6365" s="66"/>
    </row>
    <row r="6366" spans="1:1" x14ac:dyDescent="0.25">
      <c r="A6366" s="66"/>
    </row>
    <row r="6367" spans="1:1" x14ac:dyDescent="0.25">
      <c r="A6367" s="66"/>
    </row>
    <row r="6368" spans="1:1" x14ac:dyDescent="0.25">
      <c r="A6368" s="66"/>
    </row>
    <row r="6369" spans="1:1" x14ac:dyDescent="0.25">
      <c r="A6369" s="66"/>
    </row>
    <row r="6370" spans="1:1" x14ac:dyDescent="0.25">
      <c r="A6370" s="66"/>
    </row>
    <row r="6371" spans="1:1" x14ac:dyDescent="0.25">
      <c r="A6371" s="66"/>
    </row>
    <row r="6372" spans="1:1" x14ac:dyDescent="0.25">
      <c r="A6372" s="66"/>
    </row>
    <row r="6373" spans="1:1" x14ac:dyDescent="0.25">
      <c r="A6373" s="66"/>
    </row>
    <row r="6374" spans="1:1" x14ac:dyDescent="0.25">
      <c r="A6374" s="66"/>
    </row>
    <row r="6375" spans="1:1" x14ac:dyDescent="0.25">
      <c r="A6375" s="66"/>
    </row>
    <row r="6376" spans="1:1" x14ac:dyDescent="0.25">
      <c r="A6376" s="66"/>
    </row>
    <row r="6377" spans="1:1" x14ac:dyDescent="0.25">
      <c r="A6377" s="66"/>
    </row>
    <row r="6378" spans="1:1" x14ac:dyDescent="0.25">
      <c r="A6378" s="66"/>
    </row>
    <row r="6379" spans="1:1" x14ac:dyDescent="0.25">
      <c r="A6379" s="66"/>
    </row>
    <row r="6380" spans="1:1" x14ac:dyDescent="0.25">
      <c r="A6380" s="66"/>
    </row>
    <row r="6381" spans="1:1" x14ac:dyDescent="0.25">
      <c r="A6381" s="66"/>
    </row>
    <row r="6382" spans="1:1" x14ac:dyDescent="0.25">
      <c r="A6382" s="66"/>
    </row>
    <row r="6383" spans="1:1" x14ac:dyDescent="0.25">
      <c r="A6383" s="66"/>
    </row>
    <row r="6384" spans="1:1" x14ac:dyDescent="0.25">
      <c r="A6384" s="66"/>
    </row>
    <row r="6385" spans="1:1" x14ac:dyDescent="0.25">
      <c r="A6385" s="66"/>
    </row>
    <row r="6386" spans="1:1" x14ac:dyDescent="0.25">
      <c r="A6386" s="66"/>
    </row>
    <row r="6387" spans="1:1" x14ac:dyDescent="0.25">
      <c r="A6387" s="66"/>
    </row>
    <row r="6388" spans="1:1" x14ac:dyDescent="0.25">
      <c r="A6388" s="66"/>
    </row>
    <row r="6389" spans="1:1" x14ac:dyDescent="0.25">
      <c r="A6389" s="66"/>
    </row>
    <row r="6390" spans="1:1" x14ac:dyDescent="0.25">
      <c r="A6390" s="66"/>
    </row>
    <row r="6391" spans="1:1" x14ac:dyDescent="0.25">
      <c r="A6391" s="66"/>
    </row>
    <row r="6392" spans="1:1" x14ac:dyDescent="0.25">
      <c r="A6392" s="66"/>
    </row>
    <row r="6393" spans="1:1" x14ac:dyDescent="0.25">
      <c r="A6393" s="66"/>
    </row>
    <row r="6394" spans="1:1" x14ac:dyDescent="0.25">
      <c r="A6394" s="66"/>
    </row>
    <row r="6395" spans="1:1" x14ac:dyDescent="0.25">
      <c r="A6395" s="66"/>
    </row>
    <row r="6396" spans="1:1" x14ac:dyDescent="0.25">
      <c r="A6396" s="66"/>
    </row>
    <row r="6397" spans="1:1" x14ac:dyDescent="0.25">
      <c r="A6397" s="66"/>
    </row>
    <row r="6398" spans="1:1" x14ac:dyDescent="0.25">
      <c r="A6398" s="66"/>
    </row>
    <row r="6399" spans="1:1" x14ac:dyDescent="0.25">
      <c r="A6399" s="66"/>
    </row>
    <row r="6400" spans="1:1" x14ac:dyDescent="0.25">
      <c r="A6400" s="66"/>
    </row>
    <row r="6401" spans="1:1" x14ac:dyDescent="0.25">
      <c r="A6401" s="66"/>
    </row>
    <row r="6402" spans="1:1" x14ac:dyDescent="0.25">
      <c r="A6402" s="66"/>
    </row>
    <row r="6403" spans="1:1" x14ac:dyDescent="0.25">
      <c r="A6403" s="66"/>
    </row>
    <row r="6404" spans="1:1" x14ac:dyDescent="0.25">
      <c r="A6404" s="66"/>
    </row>
    <row r="6405" spans="1:1" x14ac:dyDescent="0.25">
      <c r="A6405" s="66"/>
    </row>
    <row r="6406" spans="1:1" x14ac:dyDescent="0.25">
      <c r="A6406" s="66"/>
    </row>
    <row r="6407" spans="1:1" x14ac:dyDescent="0.25">
      <c r="A6407" s="66"/>
    </row>
    <row r="6408" spans="1:1" x14ac:dyDescent="0.25">
      <c r="A6408" s="66"/>
    </row>
    <row r="6409" spans="1:1" x14ac:dyDescent="0.25">
      <c r="A6409" s="66"/>
    </row>
    <row r="6410" spans="1:1" x14ac:dyDescent="0.25">
      <c r="A6410" s="66"/>
    </row>
    <row r="6411" spans="1:1" x14ac:dyDescent="0.25">
      <c r="A6411" s="66"/>
    </row>
    <row r="6412" spans="1:1" x14ac:dyDescent="0.25">
      <c r="A6412" s="66"/>
    </row>
    <row r="6413" spans="1:1" x14ac:dyDescent="0.25">
      <c r="A6413" s="66"/>
    </row>
    <row r="6414" spans="1:1" x14ac:dyDescent="0.25">
      <c r="A6414" s="66"/>
    </row>
    <row r="6415" spans="1:1" x14ac:dyDescent="0.25">
      <c r="A6415" s="66"/>
    </row>
    <row r="6416" spans="1:1" x14ac:dyDescent="0.25">
      <c r="A6416" s="66"/>
    </row>
    <row r="6417" spans="1:1" x14ac:dyDescent="0.25">
      <c r="A6417" s="66"/>
    </row>
    <row r="6418" spans="1:1" x14ac:dyDescent="0.25">
      <c r="A6418" s="66"/>
    </row>
    <row r="6419" spans="1:1" x14ac:dyDescent="0.25">
      <c r="A6419" s="66"/>
    </row>
    <row r="6420" spans="1:1" x14ac:dyDescent="0.25">
      <c r="A6420" s="66"/>
    </row>
    <row r="6421" spans="1:1" x14ac:dyDescent="0.25">
      <c r="A6421" s="66"/>
    </row>
    <row r="6422" spans="1:1" x14ac:dyDescent="0.25">
      <c r="A6422" s="66"/>
    </row>
    <row r="6423" spans="1:1" x14ac:dyDescent="0.25">
      <c r="A6423" s="66"/>
    </row>
    <row r="6424" spans="1:1" x14ac:dyDescent="0.25">
      <c r="A6424" s="66"/>
    </row>
    <row r="6425" spans="1:1" x14ac:dyDescent="0.25">
      <c r="A6425" s="66"/>
    </row>
    <row r="6426" spans="1:1" x14ac:dyDescent="0.25">
      <c r="A6426" s="66"/>
    </row>
    <row r="6427" spans="1:1" x14ac:dyDescent="0.25">
      <c r="A6427" s="66"/>
    </row>
    <row r="6428" spans="1:1" x14ac:dyDescent="0.25">
      <c r="A6428" s="66"/>
    </row>
    <row r="6429" spans="1:1" x14ac:dyDescent="0.25">
      <c r="A6429" s="66"/>
    </row>
    <row r="6430" spans="1:1" x14ac:dyDescent="0.25">
      <c r="A6430" s="66"/>
    </row>
    <row r="6431" spans="1:1" x14ac:dyDescent="0.25">
      <c r="A6431" s="66"/>
    </row>
    <row r="6432" spans="1:1" x14ac:dyDescent="0.25">
      <c r="A6432" s="66"/>
    </row>
    <row r="6433" spans="1:1" x14ac:dyDescent="0.25">
      <c r="A6433" s="66"/>
    </row>
    <row r="6434" spans="1:1" x14ac:dyDescent="0.25">
      <c r="A6434" s="66"/>
    </row>
    <row r="6435" spans="1:1" x14ac:dyDescent="0.25">
      <c r="A6435" s="66"/>
    </row>
    <row r="6436" spans="1:1" x14ac:dyDescent="0.25">
      <c r="A6436" s="66"/>
    </row>
    <row r="6437" spans="1:1" x14ac:dyDescent="0.25">
      <c r="A6437" s="66"/>
    </row>
    <row r="6438" spans="1:1" x14ac:dyDescent="0.25">
      <c r="A6438" s="66"/>
    </row>
    <row r="6439" spans="1:1" x14ac:dyDescent="0.25">
      <c r="A6439" s="66"/>
    </row>
    <row r="6440" spans="1:1" x14ac:dyDescent="0.25">
      <c r="A6440" s="66"/>
    </row>
    <row r="6441" spans="1:1" x14ac:dyDescent="0.25">
      <c r="A6441" s="66"/>
    </row>
    <row r="6442" spans="1:1" x14ac:dyDescent="0.25">
      <c r="A6442" s="66"/>
    </row>
    <row r="6443" spans="1:1" x14ac:dyDescent="0.25">
      <c r="A6443" s="66"/>
    </row>
    <row r="6444" spans="1:1" x14ac:dyDescent="0.25">
      <c r="A6444" s="66"/>
    </row>
    <row r="6445" spans="1:1" x14ac:dyDescent="0.25">
      <c r="A6445" s="66"/>
    </row>
    <row r="6446" spans="1:1" x14ac:dyDescent="0.25">
      <c r="A6446" s="66"/>
    </row>
    <row r="6447" spans="1:1" x14ac:dyDescent="0.25">
      <c r="A6447" s="66"/>
    </row>
    <row r="6448" spans="1:1" x14ac:dyDescent="0.25">
      <c r="A6448" s="66"/>
    </row>
    <row r="6449" spans="1:1" x14ac:dyDescent="0.25">
      <c r="A6449" s="66"/>
    </row>
    <row r="6450" spans="1:1" x14ac:dyDescent="0.25">
      <c r="A6450" s="66"/>
    </row>
    <row r="6451" spans="1:1" x14ac:dyDescent="0.25">
      <c r="A6451" s="66"/>
    </row>
    <row r="6452" spans="1:1" x14ac:dyDescent="0.25">
      <c r="A6452" s="66"/>
    </row>
    <row r="6453" spans="1:1" x14ac:dyDescent="0.25">
      <c r="A6453" s="66"/>
    </row>
    <row r="6454" spans="1:1" x14ac:dyDescent="0.25">
      <c r="A6454" s="66"/>
    </row>
    <row r="6455" spans="1:1" x14ac:dyDescent="0.25">
      <c r="A6455" s="66"/>
    </row>
    <row r="6456" spans="1:1" x14ac:dyDescent="0.25">
      <c r="A6456" s="66"/>
    </row>
    <row r="6457" spans="1:1" x14ac:dyDescent="0.25">
      <c r="A6457" s="66"/>
    </row>
    <row r="6458" spans="1:1" x14ac:dyDescent="0.25">
      <c r="A6458" s="66"/>
    </row>
    <row r="6459" spans="1:1" x14ac:dyDescent="0.25">
      <c r="A6459" s="66"/>
    </row>
    <row r="6460" spans="1:1" x14ac:dyDescent="0.25">
      <c r="A6460" s="66"/>
    </row>
    <row r="6461" spans="1:1" x14ac:dyDescent="0.25">
      <c r="A6461" s="66"/>
    </row>
    <row r="6462" spans="1:1" x14ac:dyDescent="0.25">
      <c r="A6462" s="66"/>
    </row>
    <row r="6463" spans="1:1" x14ac:dyDescent="0.25">
      <c r="A6463" s="66"/>
    </row>
    <row r="6464" spans="1:1" x14ac:dyDescent="0.25">
      <c r="A6464" s="66"/>
    </row>
    <row r="6465" spans="1:1" x14ac:dyDescent="0.25">
      <c r="A6465" s="66"/>
    </row>
    <row r="6466" spans="1:1" x14ac:dyDescent="0.25">
      <c r="A6466" s="66"/>
    </row>
    <row r="6467" spans="1:1" x14ac:dyDescent="0.25">
      <c r="A6467" s="66"/>
    </row>
    <row r="6468" spans="1:1" x14ac:dyDescent="0.25">
      <c r="A6468" s="66"/>
    </row>
    <row r="6469" spans="1:1" x14ac:dyDescent="0.25">
      <c r="A6469" s="66"/>
    </row>
    <row r="6470" spans="1:1" x14ac:dyDescent="0.25">
      <c r="A6470" s="66"/>
    </row>
    <row r="6471" spans="1:1" x14ac:dyDescent="0.25">
      <c r="A6471" s="66"/>
    </row>
    <row r="6472" spans="1:1" x14ac:dyDescent="0.25">
      <c r="A6472" s="66"/>
    </row>
    <row r="6473" spans="1:1" x14ac:dyDescent="0.25">
      <c r="A6473" s="66"/>
    </row>
    <row r="6474" spans="1:1" x14ac:dyDescent="0.25">
      <c r="A6474" s="66"/>
    </row>
    <row r="6475" spans="1:1" x14ac:dyDescent="0.25">
      <c r="A6475" s="66"/>
    </row>
    <row r="6476" spans="1:1" x14ac:dyDescent="0.25">
      <c r="A6476" s="66"/>
    </row>
    <row r="6477" spans="1:1" x14ac:dyDescent="0.25">
      <c r="A6477" s="66"/>
    </row>
    <row r="6478" spans="1:1" x14ac:dyDescent="0.25">
      <c r="A6478" s="66"/>
    </row>
    <row r="6479" spans="1:1" x14ac:dyDescent="0.25">
      <c r="A6479" s="66"/>
    </row>
    <row r="6480" spans="1:1" x14ac:dyDescent="0.25">
      <c r="A6480" s="66"/>
    </row>
    <row r="6481" spans="1:1" x14ac:dyDescent="0.25">
      <c r="A6481" s="66"/>
    </row>
    <row r="6482" spans="1:1" x14ac:dyDescent="0.25">
      <c r="A6482" s="66"/>
    </row>
    <row r="6483" spans="1:1" x14ac:dyDescent="0.25">
      <c r="A6483" s="66"/>
    </row>
    <row r="6484" spans="1:1" x14ac:dyDescent="0.25">
      <c r="A6484" s="66"/>
    </row>
    <row r="6485" spans="1:1" x14ac:dyDescent="0.25">
      <c r="A6485" s="66"/>
    </row>
    <row r="6486" spans="1:1" x14ac:dyDescent="0.25">
      <c r="A6486" s="66"/>
    </row>
    <row r="6487" spans="1:1" x14ac:dyDescent="0.25">
      <c r="A6487" s="66"/>
    </row>
    <row r="6488" spans="1:1" x14ac:dyDescent="0.25">
      <c r="A6488" s="66"/>
    </row>
    <row r="6489" spans="1:1" x14ac:dyDescent="0.25">
      <c r="A6489" s="66"/>
    </row>
    <row r="6490" spans="1:1" x14ac:dyDescent="0.25">
      <c r="A6490" s="66"/>
    </row>
    <row r="6491" spans="1:1" x14ac:dyDescent="0.25">
      <c r="A6491" s="66"/>
    </row>
    <row r="6492" spans="1:1" x14ac:dyDescent="0.25">
      <c r="A6492" s="66"/>
    </row>
    <row r="6493" spans="1:1" x14ac:dyDescent="0.25">
      <c r="A6493" s="66"/>
    </row>
    <row r="6494" spans="1:1" x14ac:dyDescent="0.25">
      <c r="A6494" s="66"/>
    </row>
    <row r="6495" spans="1:1" x14ac:dyDescent="0.25">
      <c r="A6495" s="66"/>
    </row>
    <row r="6496" spans="1:1" x14ac:dyDescent="0.25">
      <c r="A6496" s="66"/>
    </row>
    <row r="6497" spans="1:1" x14ac:dyDescent="0.25">
      <c r="A6497" s="66"/>
    </row>
    <row r="6498" spans="1:1" x14ac:dyDescent="0.25">
      <c r="A6498" s="66"/>
    </row>
    <row r="6499" spans="1:1" x14ac:dyDescent="0.25">
      <c r="A6499" s="66"/>
    </row>
    <row r="6500" spans="1:1" x14ac:dyDescent="0.25">
      <c r="A6500" s="66"/>
    </row>
    <row r="6501" spans="1:1" x14ac:dyDescent="0.25">
      <c r="A6501" s="66"/>
    </row>
    <row r="6502" spans="1:1" x14ac:dyDescent="0.25">
      <c r="A6502" s="66"/>
    </row>
    <row r="6503" spans="1:1" x14ac:dyDescent="0.25">
      <c r="A6503" s="66"/>
    </row>
    <row r="6504" spans="1:1" x14ac:dyDescent="0.25">
      <c r="A6504" s="66"/>
    </row>
    <row r="6505" spans="1:1" x14ac:dyDescent="0.25">
      <c r="A6505" s="66"/>
    </row>
    <row r="6506" spans="1:1" x14ac:dyDescent="0.25">
      <c r="A6506" s="66"/>
    </row>
    <row r="6507" spans="1:1" x14ac:dyDescent="0.25">
      <c r="A6507" s="66"/>
    </row>
    <row r="6508" spans="1:1" x14ac:dyDescent="0.25">
      <c r="A6508" s="66"/>
    </row>
    <row r="6509" spans="1:1" x14ac:dyDescent="0.25">
      <c r="A6509" s="66"/>
    </row>
    <row r="6510" spans="1:1" x14ac:dyDescent="0.25">
      <c r="A6510" s="66"/>
    </row>
    <row r="6511" spans="1:1" x14ac:dyDescent="0.25">
      <c r="A6511" s="66"/>
    </row>
    <row r="6512" spans="1:1" x14ac:dyDescent="0.25">
      <c r="A6512" s="66"/>
    </row>
    <row r="6513" spans="1:1" x14ac:dyDescent="0.25">
      <c r="A6513" s="66"/>
    </row>
    <row r="6514" spans="1:1" x14ac:dyDescent="0.25">
      <c r="A6514" s="66"/>
    </row>
    <row r="6515" spans="1:1" x14ac:dyDescent="0.25">
      <c r="A6515" s="66"/>
    </row>
    <row r="6516" spans="1:1" x14ac:dyDescent="0.25">
      <c r="A6516" s="66"/>
    </row>
    <row r="6517" spans="1:1" x14ac:dyDescent="0.25">
      <c r="A6517" s="66"/>
    </row>
    <row r="6518" spans="1:1" x14ac:dyDescent="0.25">
      <c r="A6518" s="66"/>
    </row>
    <row r="6519" spans="1:1" x14ac:dyDescent="0.25">
      <c r="A6519" s="66"/>
    </row>
    <row r="6520" spans="1:1" x14ac:dyDescent="0.25">
      <c r="A6520" s="66"/>
    </row>
    <row r="6521" spans="1:1" x14ac:dyDescent="0.25">
      <c r="A6521" s="66"/>
    </row>
    <row r="6522" spans="1:1" x14ac:dyDescent="0.25">
      <c r="A6522" s="66"/>
    </row>
    <row r="6523" spans="1:1" x14ac:dyDescent="0.25">
      <c r="A6523" s="66"/>
    </row>
    <row r="6524" spans="1:1" x14ac:dyDescent="0.25">
      <c r="A6524" s="66"/>
    </row>
    <row r="6525" spans="1:1" x14ac:dyDescent="0.25">
      <c r="A6525" s="66"/>
    </row>
    <row r="6526" spans="1:1" x14ac:dyDescent="0.25">
      <c r="A6526" s="66"/>
    </row>
    <row r="6527" spans="1:1" x14ac:dyDescent="0.25">
      <c r="A6527" s="66"/>
    </row>
    <row r="6528" spans="1:1" x14ac:dyDescent="0.25">
      <c r="A6528" s="66"/>
    </row>
    <row r="6529" spans="1:1" x14ac:dyDescent="0.25">
      <c r="A6529" s="66"/>
    </row>
    <row r="6530" spans="1:1" x14ac:dyDescent="0.25">
      <c r="A6530" s="66"/>
    </row>
    <row r="6531" spans="1:1" x14ac:dyDescent="0.25">
      <c r="A6531" s="66"/>
    </row>
    <row r="6532" spans="1:1" x14ac:dyDescent="0.25">
      <c r="A6532" s="66"/>
    </row>
    <row r="6533" spans="1:1" x14ac:dyDescent="0.25">
      <c r="A6533" s="66"/>
    </row>
    <row r="6534" spans="1:1" x14ac:dyDescent="0.25">
      <c r="A6534" s="66"/>
    </row>
    <row r="6535" spans="1:1" x14ac:dyDescent="0.25">
      <c r="A6535" s="66"/>
    </row>
    <row r="6536" spans="1:1" x14ac:dyDescent="0.25">
      <c r="A6536" s="66"/>
    </row>
    <row r="6537" spans="1:1" x14ac:dyDescent="0.25">
      <c r="A6537" s="66"/>
    </row>
    <row r="6538" spans="1:1" x14ac:dyDescent="0.25">
      <c r="A6538" s="66"/>
    </row>
    <row r="6539" spans="1:1" x14ac:dyDescent="0.25">
      <c r="A6539" s="66"/>
    </row>
    <row r="6540" spans="1:1" x14ac:dyDescent="0.25">
      <c r="A6540" s="66"/>
    </row>
    <row r="6541" spans="1:1" x14ac:dyDescent="0.25">
      <c r="A6541" s="66"/>
    </row>
    <row r="6542" spans="1:1" x14ac:dyDescent="0.25">
      <c r="A6542" s="66"/>
    </row>
    <row r="6543" spans="1:1" x14ac:dyDescent="0.25">
      <c r="A6543" s="66"/>
    </row>
    <row r="6544" spans="1:1" x14ac:dyDescent="0.25">
      <c r="A6544" s="66"/>
    </row>
    <row r="6545" spans="1:1" x14ac:dyDescent="0.25">
      <c r="A6545" s="66"/>
    </row>
    <row r="6546" spans="1:1" x14ac:dyDescent="0.25">
      <c r="A6546" s="66"/>
    </row>
    <row r="6547" spans="1:1" x14ac:dyDescent="0.25">
      <c r="A6547" s="66"/>
    </row>
    <row r="6548" spans="1:1" x14ac:dyDescent="0.25">
      <c r="A6548" s="66"/>
    </row>
    <row r="6549" spans="1:1" x14ac:dyDescent="0.25">
      <c r="A6549" s="66"/>
    </row>
    <row r="6550" spans="1:1" x14ac:dyDescent="0.25">
      <c r="A6550" s="66"/>
    </row>
    <row r="6551" spans="1:1" x14ac:dyDescent="0.25">
      <c r="A6551" s="66"/>
    </row>
    <row r="6552" spans="1:1" x14ac:dyDescent="0.25">
      <c r="A6552" s="66"/>
    </row>
    <row r="6553" spans="1:1" x14ac:dyDescent="0.25">
      <c r="A6553" s="66"/>
    </row>
    <row r="6554" spans="1:1" x14ac:dyDescent="0.25">
      <c r="A6554" s="66"/>
    </row>
    <row r="6555" spans="1:1" x14ac:dyDescent="0.25">
      <c r="A6555" s="66"/>
    </row>
    <row r="6556" spans="1:1" x14ac:dyDescent="0.25">
      <c r="A6556" s="66"/>
    </row>
    <row r="6557" spans="1:1" x14ac:dyDescent="0.25">
      <c r="A6557" s="66"/>
    </row>
    <row r="6558" spans="1:1" x14ac:dyDescent="0.25">
      <c r="A6558" s="66"/>
    </row>
    <row r="6559" spans="1:1" x14ac:dyDescent="0.25">
      <c r="A6559" s="66"/>
    </row>
    <row r="6560" spans="1:1" x14ac:dyDescent="0.25">
      <c r="A6560" s="66"/>
    </row>
    <row r="6561" spans="1:1" x14ac:dyDescent="0.25">
      <c r="A6561" s="66"/>
    </row>
    <row r="6562" spans="1:1" x14ac:dyDescent="0.25">
      <c r="A6562" s="66"/>
    </row>
    <row r="6563" spans="1:1" x14ac:dyDescent="0.25">
      <c r="A6563" s="66"/>
    </row>
    <row r="6564" spans="1:1" x14ac:dyDescent="0.25">
      <c r="A6564" s="66"/>
    </row>
    <row r="6565" spans="1:1" x14ac:dyDescent="0.25">
      <c r="A6565" s="66"/>
    </row>
    <row r="6566" spans="1:1" x14ac:dyDescent="0.25">
      <c r="A6566" s="66"/>
    </row>
    <row r="6567" spans="1:1" x14ac:dyDescent="0.25">
      <c r="A6567" s="66"/>
    </row>
    <row r="6568" spans="1:1" x14ac:dyDescent="0.25">
      <c r="A6568" s="66"/>
    </row>
    <row r="6569" spans="1:1" x14ac:dyDescent="0.25">
      <c r="A6569" s="66"/>
    </row>
    <row r="6570" spans="1:1" x14ac:dyDescent="0.25">
      <c r="A6570" s="66"/>
    </row>
    <row r="6571" spans="1:1" x14ac:dyDescent="0.25">
      <c r="A6571" s="66"/>
    </row>
    <row r="6572" spans="1:1" x14ac:dyDescent="0.25">
      <c r="A6572" s="66"/>
    </row>
    <row r="6573" spans="1:1" x14ac:dyDescent="0.25">
      <c r="A6573" s="66"/>
    </row>
    <row r="6574" spans="1:1" x14ac:dyDescent="0.25">
      <c r="A6574" s="66"/>
    </row>
    <row r="6575" spans="1:1" x14ac:dyDescent="0.25">
      <c r="A6575" s="66"/>
    </row>
    <row r="6576" spans="1:1" x14ac:dyDescent="0.25">
      <c r="A6576" s="66"/>
    </row>
    <row r="6577" spans="1:1" x14ac:dyDescent="0.25">
      <c r="A6577" s="66"/>
    </row>
    <row r="6578" spans="1:1" x14ac:dyDescent="0.25">
      <c r="A6578" s="66"/>
    </row>
    <row r="6579" spans="1:1" x14ac:dyDescent="0.25">
      <c r="A6579" s="66"/>
    </row>
    <row r="6580" spans="1:1" x14ac:dyDescent="0.25">
      <c r="A6580" s="66"/>
    </row>
    <row r="6581" spans="1:1" x14ac:dyDescent="0.25">
      <c r="A6581" s="66"/>
    </row>
    <row r="6582" spans="1:1" x14ac:dyDescent="0.25">
      <c r="A6582" s="66"/>
    </row>
    <row r="6583" spans="1:1" x14ac:dyDescent="0.25">
      <c r="A6583" s="66"/>
    </row>
    <row r="6584" spans="1:1" x14ac:dyDescent="0.25">
      <c r="A6584" s="66"/>
    </row>
    <row r="6585" spans="1:1" x14ac:dyDescent="0.25">
      <c r="A6585" s="66"/>
    </row>
    <row r="6586" spans="1:1" x14ac:dyDescent="0.25">
      <c r="A6586" s="66"/>
    </row>
    <row r="6587" spans="1:1" x14ac:dyDescent="0.25">
      <c r="A6587" s="66"/>
    </row>
    <row r="6588" spans="1:1" x14ac:dyDescent="0.25">
      <c r="A6588" s="66"/>
    </row>
    <row r="6589" spans="1:1" x14ac:dyDescent="0.25">
      <c r="A6589" s="66"/>
    </row>
    <row r="6590" spans="1:1" x14ac:dyDescent="0.25">
      <c r="A6590" s="66"/>
    </row>
    <row r="6591" spans="1:1" x14ac:dyDescent="0.25">
      <c r="A6591" s="66"/>
    </row>
    <row r="6592" spans="1:1" x14ac:dyDescent="0.25">
      <c r="A6592" s="66"/>
    </row>
    <row r="6593" spans="1:1" x14ac:dyDescent="0.25">
      <c r="A6593" s="66"/>
    </row>
    <row r="6594" spans="1:1" x14ac:dyDescent="0.25">
      <c r="A6594" s="66"/>
    </row>
    <row r="6595" spans="1:1" x14ac:dyDescent="0.25">
      <c r="A6595" s="66"/>
    </row>
    <row r="6596" spans="1:1" x14ac:dyDescent="0.25">
      <c r="A6596" s="66"/>
    </row>
    <row r="6597" spans="1:1" x14ac:dyDescent="0.25">
      <c r="A6597" s="66"/>
    </row>
    <row r="6598" spans="1:1" x14ac:dyDescent="0.25">
      <c r="A6598" s="66"/>
    </row>
    <row r="6599" spans="1:1" x14ac:dyDescent="0.25">
      <c r="A6599" s="66"/>
    </row>
    <row r="6600" spans="1:1" x14ac:dyDescent="0.25">
      <c r="A6600" s="66"/>
    </row>
    <row r="6601" spans="1:1" x14ac:dyDescent="0.25">
      <c r="A6601" s="66"/>
    </row>
    <row r="6602" spans="1:1" x14ac:dyDescent="0.25">
      <c r="A6602" s="66"/>
    </row>
    <row r="6603" spans="1:1" x14ac:dyDescent="0.25">
      <c r="A6603" s="66"/>
    </row>
    <row r="6604" spans="1:1" x14ac:dyDescent="0.25">
      <c r="A6604" s="66"/>
    </row>
    <row r="6605" spans="1:1" x14ac:dyDescent="0.25">
      <c r="A6605" s="66"/>
    </row>
    <row r="6606" spans="1:1" x14ac:dyDescent="0.25">
      <c r="A6606" s="66"/>
    </row>
    <row r="6607" spans="1:1" x14ac:dyDescent="0.25">
      <c r="A6607" s="66"/>
    </row>
    <row r="6608" spans="1:1" x14ac:dyDescent="0.25">
      <c r="A6608" s="66"/>
    </row>
    <row r="6609" spans="1:1" x14ac:dyDescent="0.25">
      <c r="A6609" s="66"/>
    </row>
    <row r="6610" spans="1:1" x14ac:dyDescent="0.25">
      <c r="A6610" s="66"/>
    </row>
    <row r="6611" spans="1:1" x14ac:dyDescent="0.25">
      <c r="A6611" s="66"/>
    </row>
    <row r="6612" spans="1:1" x14ac:dyDescent="0.25">
      <c r="A6612" s="66"/>
    </row>
    <row r="6613" spans="1:1" x14ac:dyDescent="0.25">
      <c r="A6613" s="66"/>
    </row>
    <row r="6614" spans="1:1" x14ac:dyDescent="0.25">
      <c r="A6614" s="66"/>
    </row>
    <row r="6615" spans="1:1" x14ac:dyDescent="0.25">
      <c r="A6615" s="66"/>
    </row>
    <row r="6616" spans="1:1" x14ac:dyDescent="0.25">
      <c r="A6616" s="66"/>
    </row>
    <row r="6617" spans="1:1" x14ac:dyDescent="0.25">
      <c r="A6617" s="66"/>
    </row>
    <row r="6618" spans="1:1" x14ac:dyDescent="0.25">
      <c r="A6618" s="66"/>
    </row>
    <row r="6619" spans="1:1" x14ac:dyDescent="0.25">
      <c r="A6619" s="66"/>
    </row>
    <row r="6620" spans="1:1" x14ac:dyDescent="0.25">
      <c r="A6620" s="66"/>
    </row>
    <row r="6621" spans="1:1" x14ac:dyDescent="0.25">
      <c r="A6621" s="66"/>
    </row>
    <row r="6622" spans="1:1" x14ac:dyDescent="0.25">
      <c r="A6622" s="66"/>
    </row>
    <row r="6623" spans="1:1" x14ac:dyDescent="0.25">
      <c r="A6623" s="66"/>
    </row>
    <row r="6624" spans="1:1" x14ac:dyDescent="0.25">
      <c r="A6624" s="66"/>
    </row>
    <row r="6625" spans="1:1" x14ac:dyDescent="0.25">
      <c r="A6625" s="66"/>
    </row>
    <row r="6626" spans="1:1" x14ac:dyDescent="0.25">
      <c r="A6626" s="66"/>
    </row>
    <row r="6627" spans="1:1" x14ac:dyDescent="0.25">
      <c r="A6627" s="66"/>
    </row>
    <row r="6628" spans="1:1" x14ac:dyDescent="0.25">
      <c r="A6628" s="66"/>
    </row>
    <row r="6629" spans="1:1" x14ac:dyDescent="0.25">
      <c r="A6629" s="66"/>
    </row>
    <row r="6630" spans="1:1" x14ac:dyDescent="0.25">
      <c r="A6630" s="66"/>
    </row>
    <row r="6631" spans="1:1" x14ac:dyDescent="0.25">
      <c r="A6631" s="66"/>
    </row>
    <row r="6632" spans="1:1" x14ac:dyDescent="0.25">
      <c r="A6632" s="66"/>
    </row>
    <row r="6633" spans="1:1" x14ac:dyDescent="0.25">
      <c r="A6633" s="66"/>
    </row>
    <row r="6634" spans="1:1" x14ac:dyDescent="0.25">
      <c r="A6634" s="66"/>
    </row>
    <row r="6635" spans="1:1" x14ac:dyDescent="0.25">
      <c r="A6635" s="66"/>
    </row>
    <row r="6636" spans="1:1" x14ac:dyDescent="0.25">
      <c r="A6636" s="66"/>
    </row>
    <row r="6637" spans="1:1" x14ac:dyDescent="0.25">
      <c r="A6637" s="66"/>
    </row>
    <row r="6638" spans="1:1" x14ac:dyDescent="0.25">
      <c r="A6638" s="66"/>
    </row>
    <row r="6639" spans="1:1" x14ac:dyDescent="0.25">
      <c r="A6639" s="66"/>
    </row>
    <row r="6640" spans="1:1" x14ac:dyDescent="0.25">
      <c r="A6640" s="66"/>
    </row>
    <row r="6641" spans="1:1" x14ac:dyDescent="0.25">
      <c r="A6641" s="66"/>
    </row>
    <row r="6642" spans="1:1" x14ac:dyDescent="0.25">
      <c r="A6642" s="66"/>
    </row>
    <row r="6643" spans="1:1" x14ac:dyDescent="0.25">
      <c r="A6643" s="66"/>
    </row>
    <row r="6644" spans="1:1" x14ac:dyDescent="0.25">
      <c r="A6644" s="66"/>
    </row>
    <row r="6645" spans="1:1" x14ac:dyDescent="0.25">
      <c r="A6645" s="66"/>
    </row>
    <row r="6646" spans="1:1" x14ac:dyDescent="0.25">
      <c r="A6646" s="66"/>
    </row>
    <row r="6647" spans="1:1" x14ac:dyDescent="0.25">
      <c r="A6647" s="66"/>
    </row>
    <row r="6648" spans="1:1" x14ac:dyDescent="0.25">
      <c r="A6648" s="66"/>
    </row>
    <row r="6649" spans="1:1" x14ac:dyDescent="0.25">
      <c r="A6649" s="66"/>
    </row>
    <row r="6650" spans="1:1" x14ac:dyDescent="0.25">
      <c r="A6650" s="66"/>
    </row>
    <row r="6651" spans="1:1" x14ac:dyDescent="0.25">
      <c r="A6651" s="66"/>
    </row>
    <row r="6652" spans="1:1" x14ac:dyDescent="0.25">
      <c r="A6652" s="66"/>
    </row>
    <row r="6653" spans="1:1" x14ac:dyDescent="0.25">
      <c r="A6653" s="66"/>
    </row>
    <row r="6654" spans="1:1" x14ac:dyDescent="0.25">
      <c r="A6654" s="66"/>
    </row>
    <row r="6655" spans="1:1" x14ac:dyDescent="0.25">
      <c r="A6655" s="66"/>
    </row>
    <row r="6656" spans="1:1" x14ac:dyDescent="0.25">
      <c r="A6656" s="66"/>
    </row>
    <row r="6657" spans="1:1" x14ac:dyDescent="0.25">
      <c r="A6657" s="66"/>
    </row>
    <row r="6658" spans="1:1" x14ac:dyDescent="0.25">
      <c r="A6658" s="66"/>
    </row>
    <row r="6659" spans="1:1" x14ac:dyDescent="0.25">
      <c r="A6659" s="66"/>
    </row>
    <row r="6660" spans="1:1" x14ac:dyDescent="0.25">
      <c r="A6660" s="66"/>
    </row>
    <row r="6661" spans="1:1" x14ac:dyDescent="0.25">
      <c r="A6661" s="66"/>
    </row>
    <row r="6662" spans="1:1" x14ac:dyDescent="0.25">
      <c r="A6662" s="66"/>
    </row>
    <row r="6663" spans="1:1" x14ac:dyDescent="0.25">
      <c r="A6663" s="66"/>
    </row>
    <row r="6664" spans="1:1" x14ac:dyDescent="0.25">
      <c r="A6664" s="66"/>
    </row>
    <row r="6665" spans="1:1" x14ac:dyDescent="0.25">
      <c r="A6665" s="66"/>
    </row>
    <row r="6666" spans="1:1" x14ac:dyDescent="0.25">
      <c r="A6666" s="66"/>
    </row>
    <row r="6667" spans="1:1" x14ac:dyDescent="0.25">
      <c r="A6667" s="66"/>
    </row>
    <row r="6668" spans="1:1" x14ac:dyDescent="0.25">
      <c r="A6668" s="66"/>
    </row>
    <row r="6669" spans="1:1" x14ac:dyDescent="0.25">
      <c r="A6669" s="66"/>
    </row>
    <row r="6670" spans="1:1" x14ac:dyDescent="0.25">
      <c r="A6670" s="66"/>
    </row>
    <row r="6671" spans="1:1" x14ac:dyDescent="0.25">
      <c r="A6671" s="66"/>
    </row>
    <row r="6672" spans="1:1" x14ac:dyDescent="0.25">
      <c r="A6672" s="66"/>
    </row>
    <row r="6673" spans="1:1" x14ac:dyDescent="0.25">
      <c r="A6673" s="66"/>
    </row>
    <row r="6674" spans="1:1" x14ac:dyDescent="0.25">
      <c r="A6674" s="66"/>
    </row>
    <row r="6675" spans="1:1" x14ac:dyDescent="0.25">
      <c r="A6675" s="66"/>
    </row>
    <row r="6676" spans="1:1" x14ac:dyDescent="0.25">
      <c r="A6676" s="66"/>
    </row>
    <row r="6677" spans="1:1" x14ac:dyDescent="0.25">
      <c r="A6677" s="66"/>
    </row>
    <row r="6678" spans="1:1" x14ac:dyDescent="0.25">
      <c r="A6678" s="66"/>
    </row>
    <row r="6679" spans="1:1" x14ac:dyDescent="0.25">
      <c r="A6679" s="66"/>
    </row>
    <row r="6680" spans="1:1" x14ac:dyDescent="0.25">
      <c r="A6680" s="66"/>
    </row>
    <row r="6681" spans="1:1" x14ac:dyDescent="0.25">
      <c r="A6681" s="66"/>
    </row>
    <row r="6682" spans="1:1" x14ac:dyDescent="0.25">
      <c r="A6682" s="66"/>
    </row>
    <row r="6683" spans="1:1" x14ac:dyDescent="0.25">
      <c r="A6683" s="66"/>
    </row>
    <row r="6684" spans="1:1" x14ac:dyDescent="0.25">
      <c r="A6684" s="66"/>
    </row>
    <row r="6685" spans="1:1" x14ac:dyDescent="0.25">
      <c r="A6685" s="66"/>
    </row>
    <row r="6686" spans="1:1" x14ac:dyDescent="0.25">
      <c r="A6686" s="66"/>
    </row>
    <row r="6687" spans="1:1" x14ac:dyDescent="0.25">
      <c r="A6687" s="66"/>
    </row>
    <row r="6688" spans="1:1" x14ac:dyDescent="0.25">
      <c r="A6688" s="66"/>
    </row>
    <row r="6689" spans="1:1" x14ac:dyDescent="0.25">
      <c r="A6689" s="66"/>
    </row>
    <row r="6690" spans="1:1" x14ac:dyDescent="0.25">
      <c r="A6690" s="66"/>
    </row>
    <row r="6691" spans="1:1" x14ac:dyDescent="0.25">
      <c r="A6691" s="66"/>
    </row>
    <row r="6692" spans="1:1" x14ac:dyDescent="0.25">
      <c r="A6692" s="66"/>
    </row>
    <row r="6693" spans="1:1" x14ac:dyDescent="0.25">
      <c r="A6693" s="66"/>
    </row>
    <row r="6694" spans="1:1" x14ac:dyDescent="0.25">
      <c r="A6694" s="66"/>
    </row>
    <row r="6695" spans="1:1" x14ac:dyDescent="0.25">
      <c r="A6695" s="66"/>
    </row>
    <row r="6696" spans="1:1" x14ac:dyDescent="0.25">
      <c r="A6696" s="66"/>
    </row>
    <row r="6697" spans="1:1" x14ac:dyDescent="0.25">
      <c r="A6697" s="66"/>
    </row>
    <row r="6698" spans="1:1" x14ac:dyDescent="0.25">
      <c r="A6698" s="66"/>
    </row>
    <row r="6699" spans="1:1" x14ac:dyDescent="0.25">
      <c r="A6699" s="66"/>
    </row>
    <row r="6700" spans="1:1" x14ac:dyDescent="0.25">
      <c r="A6700" s="66"/>
    </row>
    <row r="6701" spans="1:1" x14ac:dyDescent="0.25">
      <c r="A6701" s="66"/>
    </row>
    <row r="6702" spans="1:1" x14ac:dyDescent="0.25">
      <c r="A6702" s="66"/>
    </row>
    <row r="6703" spans="1:1" x14ac:dyDescent="0.25">
      <c r="A6703" s="66"/>
    </row>
    <row r="6704" spans="1:1" x14ac:dyDescent="0.25">
      <c r="A6704" s="66"/>
    </row>
    <row r="6705" spans="1:1" x14ac:dyDescent="0.25">
      <c r="A6705" s="66"/>
    </row>
    <row r="6706" spans="1:1" x14ac:dyDescent="0.25">
      <c r="A6706" s="66"/>
    </row>
    <row r="6707" spans="1:1" x14ac:dyDescent="0.25">
      <c r="A6707" s="66"/>
    </row>
    <row r="6708" spans="1:1" x14ac:dyDescent="0.25">
      <c r="A6708" s="66"/>
    </row>
    <row r="6709" spans="1:1" x14ac:dyDescent="0.25">
      <c r="A6709" s="66"/>
    </row>
    <row r="6710" spans="1:1" x14ac:dyDescent="0.25">
      <c r="A6710" s="66"/>
    </row>
    <row r="6711" spans="1:1" x14ac:dyDescent="0.25">
      <c r="A6711" s="66"/>
    </row>
    <row r="6712" spans="1:1" x14ac:dyDescent="0.25">
      <c r="A6712" s="66"/>
    </row>
    <row r="6713" spans="1:1" x14ac:dyDescent="0.25">
      <c r="A6713" s="66"/>
    </row>
    <row r="6714" spans="1:1" x14ac:dyDescent="0.25">
      <c r="A6714" s="66"/>
    </row>
    <row r="6715" spans="1:1" x14ac:dyDescent="0.25">
      <c r="A6715" s="66"/>
    </row>
    <row r="6716" spans="1:1" x14ac:dyDescent="0.25">
      <c r="A6716" s="66"/>
    </row>
    <row r="6717" spans="1:1" x14ac:dyDescent="0.25">
      <c r="A6717" s="66"/>
    </row>
    <row r="6718" spans="1:1" x14ac:dyDescent="0.25">
      <c r="A6718" s="66"/>
    </row>
    <row r="6719" spans="1:1" x14ac:dyDescent="0.25">
      <c r="A6719" s="66"/>
    </row>
    <row r="6720" spans="1:1" x14ac:dyDescent="0.25">
      <c r="A6720" s="66"/>
    </row>
    <row r="6721" spans="1:1" x14ac:dyDescent="0.25">
      <c r="A6721" s="66"/>
    </row>
    <row r="6722" spans="1:1" x14ac:dyDescent="0.25">
      <c r="A6722" s="66"/>
    </row>
    <row r="6723" spans="1:1" x14ac:dyDescent="0.25">
      <c r="A6723" s="66"/>
    </row>
    <row r="6724" spans="1:1" x14ac:dyDescent="0.25">
      <c r="A6724" s="66"/>
    </row>
    <row r="6725" spans="1:1" x14ac:dyDescent="0.25">
      <c r="A6725" s="66"/>
    </row>
    <row r="6726" spans="1:1" x14ac:dyDescent="0.25">
      <c r="A6726" s="66"/>
    </row>
    <row r="6727" spans="1:1" x14ac:dyDescent="0.25">
      <c r="A6727" s="66"/>
    </row>
    <row r="6728" spans="1:1" x14ac:dyDescent="0.25">
      <c r="A6728" s="66"/>
    </row>
    <row r="6729" spans="1:1" x14ac:dyDescent="0.25">
      <c r="A6729" s="66"/>
    </row>
    <row r="6730" spans="1:1" x14ac:dyDescent="0.25">
      <c r="A6730" s="66"/>
    </row>
    <row r="6731" spans="1:1" x14ac:dyDescent="0.25">
      <c r="A6731" s="66"/>
    </row>
    <row r="6732" spans="1:1" x14ac:dyDescent="0.25">
      <c r="A6732" s="66"/>
    </row>
    <row r="6733" spans="1:1" x14ac:dyDescent="0.25">
      <c r="A6733" s="66"/>
    </row>
    <row r="6734" spans="1:1" x14ac:dyDescent="0.25">
      <c r="A6734" s="66"/>
    </row>
    <row r="6735" spans="1:1" x14ac:dyDescent="0.25">
      <c r="A6735" s="66"/>
    </row>
    <row r="6736" spans="1:1" x14ac:dyDescent="0.25">
      <c r="A6736" s="66"/>
    </row>
    <row r="6737" spans="1:1" x14ac:dyDescent="0.25">
      <c r="A6737" s="66"/>
    </row>
    <row r="6738" spans="1:1" x14ac:dyDescent="0.25">
      <c r="A6738" s="66"/>
    </row>
    <row r="6739" spans="1:1" x14ac:dyDescent="0.25">
      <c r="A6739" s="66"/>
    </row>
    <row r="6740" spans="1:1" x14ac:dyDescent="0.25">
      <c r="A6740" s="66"/>
    </row>
    <row r="6741" spans="1:1" x14ac:dyDescent="0.25">
      <c r="A6741" s="66"/>
    </row>
    <row r="6742" spans="1:1" x14ac:dyDescent="0.25">
      <c r="A6742" s="66"/>
    </row>
    <row r="6743" spans="1:1" x14ac:dyDescent="0.25">
      <c r="A6743" s="66"/>
    </row>
    <row r="6744" spans="1:1" x14ac:dyDescent="0.25">
      <c r="A6744" s="66"/>
    </row>
    <row r="6745" spans="1:1" x14ac:dyDescent="0.25">
      <c r="A6745" s="66"/>
    </row>
    <row r="6746" spans="1:1" x14ac:dyDescent="0.25">
      <c r="A6746" s="66"/>
    </row>
    <row r="6747" spans="1:1" x14ac:dyDescent="0.25">
      <c r="A6747" s="66"/>
    </row>
    <row r="6748" spans="1:1" x14ac:dyDescent="0.25">
      <c r="A6748" s="66"/>
    </row>
    <row r="6749" spans="1:1" x14ac:dyDescent="0.25">
      <c r="A6749" s="66"/>
    </row>
    <row r="6750" spans="1:1" x14ac:dyDescent="0.25">
      <c r="A6750" s="66"/>
    </row>
    <row r="6751" spans="1:1" x14ac:dyDescent="0.25">
      <c r="A6751" s="66"/>
    </row>
    <row r="6752" spans="1:1" x14ac:dyDescent="0.25">
      <c r="A6752" s="66"/>
    </row>
    <row r="6753" spans="1:1" x14ac:dyDescent="0.25">
      <c r="A6753" s="66"/>
    </row>
    <row r="6754" spans="1:1" x14ac:dyDescent="0.25">
      <c r="A6754" s="66"/>
    </row>
    <row r="6755" spans="1:1" x14ac:dyDescent="0.25">
      <c r="A6755" s="66"/>
    </row>
    <row r="6756" spans="1:1" x14ac:dyDescent="0.25">
      <c r="A6756" s="66"/>
    </row>
    <row r="6757" spans="1:1" x14ac:dyDescent="0.25">
      <c r="A6757" s="66"/>
    </row>
    <row r="6758" spans="1:1" x14ac:dyDescent="0.25">
      <c r="A6758" s="66"/>
    </row>
    <row r="6759" spans="1:1" x14ac:dyDescent="0.25">
      <c r="A6759" s="66"/>
    </row>
    <row r="6760" spans="1:1" x14ac:dyDescent="0.25">
      <c r="A6760" s="66"/>
    </row>
    <row r="6761" spans="1:1" x14ac:dyDescent="0.25">
      <c r="A6761" s="66"/>
    </row>
    <row r="6762" spans="1:1" x14ac:dyDescent="0.25">
      <c r="A6762" s="66"/>
    </row>
    <row r="6763" spans="1:1" x14ac:dyDescent="0.25">
      <c r="A6763" s="66"/>
    </row>
    <row r="6764" spans="1:1" x14ac:dyDescent="0.25">
      <c r="A6764" s="66"/>
    </row>
    <row r="6765" spans="1:1" x14ac:dyDescent="0.25">
      <c r="A6765" s="66"/>
    </row>
    <row r="6766" spans="1:1" x14ac:dyDescent="0.25">
      <c r="A6766" s="66"/>
    </row>
    <row r="6767" spans="1:1" x14ac:dyDescent="0.25">
      <c r="A6767" s="66"/>
    </row>
    <row r="6768" spans="1:1" x14ac:dyDescent="0.25">
      <c r="A6768" s="66"/>
    </row>
    <row r="6769" spans="1:1" x14ac:dyDescent="0.25">
      <c r="A6769" s="66"/>
    </row>
    <row r="6770" spans="1:1" x14ac:dyDescent="0.25">
      <c r="A6770" s="66"/>
    </row>
    <row r="6771" spans="1:1" x14ac:dyDescent="0.25">
      <c r="A6771" s="66"/>
    </row>
    <row r="6772" spans="1:1" x14ac:dyDescent="0.25">
      <c r="A6772" s="66"/>
    </row>
    <row r="6773" spans="1:1" x14ac:dyDescent="0.25">
      <c r="A6773" s="66"/>
    </row>
    <row r="6774" spans="1:1" x14ac:dyDescent="0.25">
      <c r="A6774" s="66"/>
    </row>
    <row r="6775" spans="1:1" x14ac:dyDescent="0.25">
      <c r="A6775" s="66"/>
    </row>
    <row r="6776" spans="1:1" x14ac:dyDescent="0.25">
      <c r="A6776" s="66"/>
    </row>
    <row r="6777" spans="1:1" x14ac:dyDescent="0.25">
      <c r="A6777" s="66"/>
    </row>
    <row r="6778" spans="1:1" x14ac:dyDescent="0.25">
      <c r="A6778" s="66"/>
    </row>
    <row r="6779" spans="1:1" x14ac:dyDescent="0.25">
      <c r="A6779" s="66"/>
    </row>
    <row r="6780" spans="1:1" x14ac:dyDescent="0.25">
      <c r="A6780" s="66"/>
    </row>
    <row r="6781" spans="1:1" x14ac:dyDescent="0.25">
      <c r="A6781" s="66"/>
    </row>
    <row r="6782" spans="1:1" x14ac:dyDescent="0.25">
      <c r="A6782" s="66"/>
    </row>
    <row r="6783" spans="1:1" x14ac:dyDescent="0.25">
      <c r="A6783" s="66"/>
    </row>
    <row r="6784" spans="1:1" x14ac:dyDescent="0.25">
      <c r="A6784" s="66"/>
    </row>
    <row r="6785" spans="1:1" x14ac:dyDescent="0.25">
      <c r="A6785" s="66"/>
    </row>
    <row r="6786" spans="1:1" x14ac:dyDescent="0.25">
      <c r="A6786" s="66"/>
    </row>
    <row r="6787" spans="1:1" x14ac:dyDescent="0.25">
      <c r="A6787" s="66"/>
    </row>
    <row r="6788" spans="1:1" x14ac:dyDescent="0.25">
      <c r="A6788" s="66"/>
    </row>
    <row r="6789" spans="1:1" x14ac:dyDescent="0.25">
      <c r="A6789" s="66"/>
    </row>
    <row r="6790" spans="1:1" x14ac:dyDescent="0.25">
      <c r="A6790" s="66"/>
    </row>
    <row r="6791" spans="1:1" x14ac:dyDescent="0.25">
      <c r="A6791" s="66"/>
    </row>
    <row r="6792" spans="1:1" x14ac:dyDescent="0.25">
      <c r="A6792" s="66"/>
    </row>
    <row r="6793" spans="1:1" x14ac:dyDescent="0.25">
      <c r="A6793" s="66"/>
    </row>
    <row r="6794" spans="1:1" x14ac:dyDescent="0.25">
      <c r="A6794" s="66"/>
    </row>
    <row r="6795" spans="1:1" x14ac:dyDescent="0.25">
      <c r="A6795" s="66"/>
    </row>
    <row r="6796" spans="1:1" x14ac:dyDescent="0.25">
      <c r="A6796" s="66"/>
    </row>
    <row r="6797" spans="1:1" x14ac:dyDescent="0.25">
      <c r="A6797" s="66"/>
    </row>
    <row r="6798" spans="1:1" x14ac:dyDescent="0.25">
      <c r="A6798" s="66"/>
    </row>
    <row r="6799" spans="1:1" x14ac:dyDescent="0.25">
      <c r="A6799" s="66"/>
    </row>
    <row r="6800" spans="1:1" x14ac:dyDescent="0.25">
      <c r="A6800" s="66"/>
    </row>
    <row r="6801" spans="1:1" x14ac:dyDescent="0.25">
      <c r="A6801" s="66"/>
    </row>
    <row r="6802" spans="1:1" x14ac:dyDescent="0.25">
      <c r="A6802" s="66"/>
    </row>
    <row r="6803" spans="1:1" x14ac:dyDescent="0.25">
      <c r="A6803" s="66"/>
    </row>
    <row r="6804" spans="1:1" x14ac:dyDescent="0.25">
      <c r="A6804" s="66"/>
    </row>
    <row r="6805" spans="1:1" x14ac:dyDescent="0.25">
      <c r="A6805" s="66"/>
    </row>
    <row r="6806" spans="1:1" x14ac:dyDescent="0.25">
      <c r="A6806" s="66"/>
    </row>
    <row r="6807" spans="1:1" x14ac:dyDescent="0.25">
      <c r="A6807" s="66"/>
    </row>
    <row r="6808" spans="1:1" x14ac:dyDescent="0.25">
      <c r="A6808" s="66"/>
    </row>
    <row r="6809" spans="1:1" x14ac:dyDescent="0.25">
      <c r="A6809" s="66"/>
    </row>
    <row r="6810" spans="1:1" x14ac:dyDescent="0.25">
      <c r="A6810" s="66"/>
    </row>
    <row r="6811" spans="1:1" x14ac:dyDescent="0.25">
      <c r="A6811" s="66"/>
    </row>
    <row r="6812" spans="1:1" x14ac:dyDescent="0.25">
      <c r="A6812" s="66"/>
    </row>
    <row r="6813" spans="1:1" x14ac:dyDescent="0.25">
      <c r="A6813" s="66"/>
    </row>
    <row r="6814" spans="1:1" x14ac:dyDescent="0.25">
      <c r="A6814" s="66"/>
    </row>
    <row r="6815" spans="1:1" x14ac:dyDescent="0.25">
      <c r="A6815" s="66"/>
    </row>
    <row r="6816" spans="1:1" x14ac:dyDescent="0.25">
      <c r="A6816" s="66"/>
    </row>
    <row r="6817" spans="1:1" x14ac:dyDescent="0.25">
      <c r="A6817" s="66"/>
    </row>
    <row r="6818" spans="1:1" x14ac:dyDescent="0.25">
      <c r="A6818" s="66"/>
    </row>
    <row r="6819" spans="1:1" x14ac:dyDescent="0.25">
      <c r="A6819" s="66"/>
    </row>
    <row r="6820" spans="1:1" x14ac:dyDescent="0.25">
      <c r="A6820" s="66"/>
    </row>
    <row r="6821" spans="1:1" x14ac:dyDescent="0.25">
      <c r="A6821" s="66"/>
    </row>
    <row r="6822" spans="1:1" x14ac:dyDescent="0.25">
      <c r="A6822" s="66"/>
    </row>
    <row r="6823" spans="1:1" x14ac:dyDescent="0.25">
      <c r="A6823" s="66"/>
    </row>
    <row r="6824" spans="1:1" x14ac:dyDescent="0.25">
      <c r="A6824" s="66"/>
    </row>
    <row r="6825" spans="1:1" x14ac:dyDescent="0.25">
      <c r="A6825" s="66"/>
    </row>
    <row r="6826" spans="1:1" x14ac:dyDescent="0.25">
      <c r="A6826" s="66"/>
    </row>
    <row r="6827" spans="1:1" x14ac:dyDescent="0.25">
      <c r="A6827" s="66"/>
    </row>
    <row r="6828" spans="1:1" x14ac:dyDescent="0.25">
      <c r="A6828" s="66"/>
    </row>
    <row r="6829" spans="1:1" x14ac:dyDescent="0.25">
      <c r="A6829" s="66"/>
    </row>
    <row r="6830" spans="1:1" x14ac:dyDescent="0.25">
      <c r="A6830" s="66"/>
    </row>
    <row r="6831" spans="1:1" x14ac:dyDescent="0.25">
      <c r="A6831" s="66"/>
    </row>
    <row r="6832" spans="1:1" x14ac:dyDescent="0.25">
      <c r="A6832" s="66"/>
    </row>
    <row r="6833" spans="1:1" x14ac:dyDescent="0.25">
      <c r="A6833" s="66"/>
    </row>
    <row r="6834" spans="1:1" x14ac:dyDescent="0.25">
      <c r="A6834" s="66"/>
    </row>
    <row r="6835" spans="1:1" x14ac:dyDescent="0.25">
      <c r="A6835" s="66"/>
    </row>
    <row r="6836" spans="1:1" x14ac:dyDescent="0.25">
      <c r="A6836" s="66"/>
    </row>
    <row r="6837" spans="1:1" x14ac:dyDescent="0.25">
      <c r="A6837" s="66"/>
    </row>
    <row r="6838" spans="1:1" x14ac:dyDescent="0.25">
      <c r="A6838" s="66"/>
    </row>
    <row r="6839" spans="1:1" x14ac:dyDescent="0.25">
      <c r="A6839" s="66"/>
    </row>
    <row r="6840" spans="1:1" x14ac:dyDescent="0.25">
      <c r="A6840" s="66"/>
    </row>
    <row r="6841" spans="1:1" x14ac:dyDescent="0.25">
      <c r="A6841" s="66"/>
    </row>
    <row r="6842" spans="1:1" x14ac:dyDescent="0.25">
      <c r="A6842" s="66"/>
    </row>
    <row r="6843" spans="1:1" x14ac:dyDescent="0.25">
      <c r="A6843" s="66"/>
    </row>
    <row r="6844" spans="1:1" x14ac:dyDescent="0.25">
      <c r="A6844" s="66"/>
    </row>
    <row r="6845" spans="1:1" x14ac:dyDescent="0.25">
      <c r="A6845" s="66"/>
    </row>
    <row r="6846" spans="1:1" x14ac:dyDescent="0.25">
      <c r="A6846" s="66"/>
    </row>
    <row r="6847" spans="1:1" x14ac:dyDescent="0.25">
      <c r="A6847" s="66"/>
    </row>
    <row r="6848" spans="1:1" x14ac:dyDescent="0.25">
      <c r="A6848" s="66"/>
    </row>
    <row r="6849" spans="1:1" x14ac:dyDescent="0.25">
      <c r="A6849" s="66"/>
    </row>
    <row r="6850" spans="1:1" x14ac:dyDescent="0.25">
      <c r="A6850" s="66"/>
    </row>
    <row r="6851" spans="1:1" x14ac:dyDescent="0.25">
      <c r="A6851" s="66"/>
    </row>
    <row r="6852" spans="1:1" x14ac:dyDescent="0.25">
      <c r="A6852" s="66"/>
    </row>
    <row r="6853" spans="1:1" x14ac:dyDescent="0.25">
      <c r="A6853" s="66"/>
    </row>
    <row r="6854" spans="1:1" x14ac:dyDescent="0.25">
      <c r="A6854" s="66"/>
    </row>
    <row r="6855" spans="1:1" x14ac:dyDescent="0.25">
      <c r="A6855" s="66"/>
    </row>
    <row r="6856" spans="1:1" x14ac:dyDescent="0.25">
      <c r="A6856" s="66"/>
    </row>
    <row r="6857" spans="1:1" x14ac:dyDescent="0.25">
      <c r="A6857" s="66"/>
    </row>
    <row r="6858" spans="1:1" x14ac:dyDescent="0.25">
      <c r="A6858" s="66"/>
    </row>
    <row r="6859" spans="1:1" x14ac:dyDescent="0.25">
      <c r="A6859" s="66"/>
    </row>
    <row r="6860" spans="1:1" x14ac:dyDescent="0.25">
      <c r="A6860" s="66"/>
    </row>
    <row r="6861" spans="1:1" x14ac:dyDescent="0.25">
      <c r="A6861" s="66"/>
    </row>
    <row r="6862" spans="1:1" x14ac:dyDescent="0.25">
      <c r="A6862" s="66"/>
    </row>
    <row r="6863" spans="1:1" x14ac:dyDescent="0.25">
      <c r="A6863" s="66"/>
    </row>
    <row r="6864" spans="1:1" x14ac:dyDescent="0.25">
      <c r="A6864" s="66"/>
    </row>
    <row r="6865" spans="1:1" x14ac:dyDescent="0.25">
      <c r="A6865" s="66"/>
    </row>
    <row r="6866" spans="1:1" x14ac:dyDescent="0.25">
      <c r="A6866" s="66"/>
    </row>
    <row r="6867" spans="1:1" x14ac:dyDescent="0.25">
      <c r="A6867" s="66"/>
    </row>
    <row r="6868" spans="1:1" x14ac:dyDescent="0.25">
      <c r="A6868" s="66"/>
    </row>
    <row r="6869" spans="1:1" x14ac:dyDescent="0.25">
      <c r="A6869" s="66"/>
    </row>
    <row r="6870" spans="1:1" x14ac:dyDescent="0.25">
      <c r="A6870" s="66"/>
    </row>
    <row r="6871" spans="1:1" x14ac:dyDescent="0.25">
      <c r="A6871" s="66"/>
    </row>
    <row r="6872" spans="1:1" x14ac:dyDescent="0.25">
      <c r="A6872" s="66"/>
    </row>
    <row r="6873" spans="1:1" x14ac:dyDescent="0.25">
      <c r="A6873" s="66"/>
    </row>
    <row r="6874" spans="1:1" x14ac:dyDescent="0.25">
      <c r="A6874" s="66"/>
    </row>
    <row r="6875" spans="1:1" x14ac:dyDescent="0.25">
      <c r="A6875" s="66"/>
    </row>
    <row r="6876" spans="1:1" x14ac:dyDescent="0.25">
      <c r="A6876" s="66"/>
    </row>
    <row r="6877" spans="1:1" x14ac:dyDescent="0.25">
      <c r="A6877" s="66"/>
    </row>
    <row r="6878" spans="1:1" x14ac:dyDescent="0.25">
      <c r="A6878" s="66"/>
    </row>
    <row r="6879" spans="1:1" x14ac:dyDescent="0.25">
      <c r="A6879" s="66"/>
    </row>
    <row r="6880" spans="1:1" x14ac:dyDescent="0.25">
      <c r="A6880" s="66"/>
    </row>
    <row r="6881" spans="1:1" x14ac:dyDescent="0.25">
      <c r="A6881" s="66"/>
    </row>
    <row r="6882" spans="1:1" x14ac:dyDescent="0.25">
      <c r="A6882" s="66"/>
    </row>
    <row r="6883" spans="1:1" x14ac:dyDescent="0.25">
      <c r="A6883" s="66"/>
    </row>
    <row r="6884" spans="1:1" x14ac:dyDescent="0.25">
      <c r="A6884" s="66"/>
    </row>
    <row r="6885" spans="1:1" x14ac:dyDescent="0.25">
      <c r="A6885" s="66"/>
    </row>
    <row r="6886" spans="1:1" x14ac:dyDescent="0.25">
      <c r="A6886" s="66"/>
    </row>
    <row r="6887" spans="1:1" x14ac:dyDescent="0.25">
      <c r="A6887" s="66"/>
    </row>
    <row r="6888" spans="1:1" x14ac:dyDescent="0.25">
      <c r="A6888" s="66"/>
    </row>
    <row r="6889" spans="1:1" x14ac:dyDescent="0.25">
      <c r="A6889" s="66"/>
    </row>
    <row r="6890" spans="1:1" x14ac:dyDescent="0.25">
      <c r="A6890" s="66"/>
    </row>
    <row r="6891" spans="1:1" x14ac:dyDescent="0.25">
      <c r="A6891" s="66"/>
    </row>
    <row r="6892" spans="1:1" x14ac:dyDescent="0.25">
      <c r="A6892" s="66"/>
    </row>
    <row r="6893" spans="1:1" x14ac:dyDescent="0.25">
      <c r="A6893" s="66"/>
    </row>
    <row r="6894" spans="1:1" x14ac:dyDescent="0.25">
      <c r="A6894" s="66"/>
    </row>
    <row r="6895" spans="1:1" x14ac:dyDescent="0.25">
      <c r="A6895" s="66"/>
    </row>
    <row r="6896" spans="1:1" x14ac:dyDescent="0.25">
      <c r="A6896" s="66"/>
    </row>
    <row r="6897" spans="1:1" x14ac:dyDescent="0.25">
      <c r="A6897" s="66"/>
    </row>
    <row r="6898" spans="1:1" x14ac:dyDescent="0.25">
      <c r="A6898" s="66"/>
    </row>
    <row r="6899" spans="1:1" x14ac:dyDescent="0.25">
      <c r="A6899" s="66"/>
    </row>
    <row r="6900" spans="1:1" x14ac:dyDescent="0.25">
      <c r="A6900" s="66"/>
    </row>
    <row r="6901" spans="1:1" x14ac:dyDescent="0.25">
      <c r="A6901" s="66"/>
    </row>
    <row r="6902" spans="1:1" x14ac:dyDescent="0.25">
      <c r="A6902" s="66"/>
    </row>
    <row r="6903" spans="1:1" x14ac:dyDescent="0.25">
      <c r="A6903" s="66"/>
    </row>
    <row r="6904" spans="1:1" x14ac:dyDescent="0.25">
      <c r="A6904" s="66"/>
    </row>
    <row r="6905" spans="1:1" x14ac:dyDescent="0.25">
      <c r="A6905" s="66"/>
    </row>
    <row r="6906" spans="1:1" x14ac:dyDescent="0.25">
      <c r="A6906" s="66"/>
    </row>
    <row r="6907" spans="1:1" x14ac:dyDescent="0.25">
      <c r="A6907" s="66"/>
    </row>
    <row r="6908" spans="1:1" x14ac:dyDescent="0.25">
      <c r="A6908" s="66"/>
    </row>
    <row r="6909" spans="1:1" x14ac:dyDescent="0.25">
      <c r="A6909" s="66"/>
    </row>
    <row r="6910" spans="1:1" x14ac:dyDescent="0.25">
      <c r="A6910" s="66"/>
    </row>
    <row r="6911" spans="1:1" x14ac:dyDescent="0.25">
      <c r="A6911" s="66"/>
    </row>
    <row r="6912" spans="1:1" x14ac:dyDescent="0.25">
      <c r="A6912" s="66"/>
    </row>
    <row r="6913" spans="1:1" x14ac:dyDescent="0.25">
      <c r="A6913" s="66"/>
    </row>
    <row r="6914" spans="1:1" x14ac:dyDescent="0.25">
      <c r="A6914" s="66"/>
    </row>
    <row r="6915" spans="1:1" x14ac:dyDescent="0.25">
      <c r="A6915" s="66"/>
    </row>
    <row r="6916" spans="1:1" x14ac:dyDescent="0.25">
      <c r="A6916" s="66"/>
    </row>
    <row r="6917" spans="1:1" x14ac:dyDescent="0.25">
      <c r="A6917" s="66"/>
    </row>
    <row r="6918" spans="1:1" x14ac:dyDescent="0.25">
      <c r="A6918" s="66"/>
    </row>
    <row r="6919" spans="1:1" x14ac:dyDescent="0.25">
      <c r="A6919" s="66"/>
    </row>
    <row r="6920" spans="1:1" x14ac:dyDescent="0.25">
      <c r="A6920" s="66"/>
    </row>
    <row r="6921" spans="1:1" x14ac:dyDescent="0.25">
      <c r="A6921" s="66"/>
    </row>
    <row r="6922" spans="1:1" x14ac:dyDescent="0.25">
      <c r="A6922" s="66"/>
    </row>
    <row r="6923" spans="1:1" x14ac:dyDescent="0.25">
      <c r="A6923" s="66"/>
    </row>
    <row r="6924" spans="1:1" x14ac:dyDescent="0.25">
      <c r="A6924" s="66"/>
    </row>
    <row r="6925" spans="1:1" x14ac:dyDescent="0.25">
      <c r="A6925" s="66"/>
    </row>
    <row r="6926" spans="1:1" x14ac:dyDescent="0.25">
      <c r="A6926" s="66"/>
    </row>
    <row r="6927" spans="1:1" x14ac:dyDescent="0.25">
      <c r="A6927" s="66"/>
    </row>
    <row r="6928" spans="1:1" x14ac:dyDescent="0.25">
      <c r="A6928" s="66"/>
    </row>
    <row r="6929" spans="1:1" x14ac:dyDescent="0.25">
      <c r="A6929" s="66"/>
    </row>
    <row r="6930" spans="1:1" x14ac:dyDescent="0.25">
      <c r="A6930" s="66"/>
    </row>
    <row r="6931" spans="1:1" x14ac:dyDescent="0.25">
      <c r="A6931" s="66"/>
    </row>
    <row r="6932" spans="1:1" x14ac:dyDescent="0.25">
      <c r="A6932" s="66"/>
    </row>
    <row r="6933" spans="1:1" x14ac:dyDescent="0.25">
      <c r="A6933" s="66"/>
    </row>
    <row r="6934" spans="1:1" x14ac:dyDescent="0.25">
      <c r="A6934" s="66"/>
    </row>
    <row r="6935" spans="1:1" x14ac:dyDescent="0.25">
      <c r="A6935" s="66"/>
    </row>
    <row r="6936" spans="1:1" x14ac:dyDescent="0.25">
      <c r="A6936" s="66"/>
    </row>
    <row r="6937" spans="1:1" x14ac:dyDescent="0.25">
      <c r="A6937" s="66"/>
    </row>
    <row r="6938" spans="1:1" x14ac:dyDescent="0.25">
      <c r="A6938" s="66"/>
    </row>
    <row r="6939" spans="1:1" x14ac:dyDescent="0.25">
      <c r="A6939" s="66"/>
    </row>
    <row r="6940" spans="1:1" x14ac:dyDescent="0.25">
      <c r="A6940" s="66"/>
    </row>
    <row r="6941" spans="1:1" x14ac:dyDescent="0.25">
      <c r="A6941" s="66"/>
    </row>
    <row r="6942" spans="1:1" x14ac:dyDescent="0.25">
      <c r="A6942" s="66"/>
    </row>
    <row r="6943" spans="1:1" x14ac:dyDescent="0.25">
      <c r="A6943" s="66"/>
    </row>
    <row r="6944" spans="1:1" x14ac:dyDescent="0.25">
      <c r="A6944" s="66"/>
    </row>
    <row r="6945" spans="1:1" x14ac:dyDescent="0.25">
      <c r="A6945" s="66"/>
    </row>
    <row r="6946" spans="1:1" x14ac:dyDescent="0.25">
      <c r="A6946" s="66"/>
    </row>
    <row r="6947" spans="1:1" x14ac:dyDescent="0.25">
      <c r="A6947" s="66"/>
    </row>
    <row r="6948" spans="1:1" x14ac:dyDescent="0.25">
      <c r="A6948" s="66"/>
    </row>
    <row r="6949" spans="1:1" x14ac:dyDescent="0.25">
      <c r="A6949" s="66"/>
    </row>
    <row r="6950" spans="1:1" x14ac:dyDescent="0.25">
      <c r="A6950" s="66"/>
    </row>
    <row r="6951" spans="1:1" x14ac:dyDescent="0.25">
      <c r="A6951" s="66"/>
    </row>
    <row r="6952" spans="1:1" x14ac:dyDescent="0.25">
      <c r="A6952" s="66"/>
    </row>
    <row r="6953" spans="1:1" x14ac:dyDescent="0.25">
      <c r="A6953" s="66"/>
    </row>
    <row r="6954" spans="1:1" x14ac:dyDescent="0.25">
      <c r="A6954" s="66"/>
    </row>
    <row r="6955" spans="1:1" x14ac:dyDescent="0.25">
      <c r="A6955" s="66"/>
    </row>
    <row r="6956" spans="1:1" x14ac:dyDescent="0.25">
      <c r="A6956" s="66"/>
    </row>
    <row r="6957" spans="1:1" x14ac:dyDescent="0.25">
      <c r="A6957" s="66"/>
    </row>
    <row r="6958" spans="1:1" x14ac:dyDescent="0.25">
      <c r="A6958" s="66"/>
    </row>
    <row r="6959" spans="1:1" x14ac:dyDescent="0.25">
      <c r="A6959" s="66"/>
    </row>
    <row r="6960" spans="1:1" x14ac:dyDescent="0.25">
      <c r="A6960" s="66"/>
    </row>
    <row r="6961" spans="1:1" x14ac:dyDescent="0.25">
      <c r="A6961" s="66"/>
    </row>
    <row r="6962" spans="1:1" x14ac:dyDescent="0.25">
      <c r="A6962" s="66"/>
    </row>
    <row r="6963" spans="1:1" x14ac:dyDescent="0.25">
      <c r="A6963" s="66"/>
    </row>
    <row r="6964" spans="1:1" x14ac:dyDescent="0.25">
      <c r="A6964" s="66"/>
    </row>
    <row r="6965" spans="1:1" x14ac:dyDescent="0.25">
      <c r="A6965" s="66"/>
    </row>
    <row r="6966" spans="1:1" x14ac:dyDescent="0.25">
      <c r="A6966" s="66"/>
    </row>
    <row r="6967" spans="1:1" x14ac:dyDescent="0.25">
      <c r="A6967" s="66"/>
    </row>
    <row r="6968" spans="1:1" x14ac:dyDescent="0.25">
      <c r="A6968" s="66"/>
    </row>
    <row r="6969" spans="1:1" x14ac:dyDescent="0.25">
      <c r="A6969" s="66"/>
    </row>
    <row r="6970" spans="1:1" x14ac:dyDescent="0.25">
      <c r="A6970" s="66"/>
    </row>
    <row r="6971" spans="1:1" x14ac:dyDescent="0.25">
      <c r="A6971" s="66"/>
    </row>
    <row r="6972" spans="1:1" x14ac:dyDescent="0.25">
      <c r="A6972" s="66"/>
    </row>
    <row r="6973" spans="1:1" x14ac:dyDescent="0.25">
      <c r="A6973" s="66"/>
    </row>
    <row r="6974" spans="1:1" x14ac:dyDescent="0.25">
      <c r="A6974" s="66"/>
    </row>
    <row r="6975" spans="1:1" x14ac:dyDescent="0.25">
      <c r="A6975" s="66"/>
    </row>
    <row r="6976" spans="1:1" x14ac:dyDescent="0.25">
      <c r="A6976" s="66"/>
    </row>
    <row r="6977" spans="1:1" x14ac:dyDescent="0.25">
      <c r="A6977" s="66"/>
    </row>
    <row r="6978" spans="1:1" x14ac:dyDescent="0.25">
      <c r="A6978" s="66"/>
    </row>
    <row r="6979" spans="1:1" x14ac:dyDescent="0.25">
      <c r="A6979" s="66"/>
    </row>
    <row r="6980" spans="1:1" x14ac:dyDescent="0.25">
      <c r="A6980" s="66"/>
    </row>
    <row r="6981" spans="1:1" x14ac:dyDescent="0.25">
      <c r="A6981" s="66"/>
    </row>
    <row r="6982" spans="1:1" x14ac:dyDescent="0.25">
      <c r="A6982" s="66"/>
    </row>
    <row r="6983" spans="1:1" x14ac:dyDescent="0.25">
      <c r="A6983" s="66"/>
    </row>
    <row r="6984" spans="1:1" x14ac:dyDescent="0.25">
      <c r="A6984" s="66"/>
    </row>
    <row r="6985" spans="1:1" x14ac:dyDescent="0.25">
      <c r="A6985" s="66"/>
    </row>
    <row r="6986" spans="1:1" x14ac:dyDescent="0.25">
      <c r="A6986" s="66"/>
    </row>
    <row r="6987" spans="1:1" x14ac:dyDescent="0.25">
      <c r="A6987" s="66"/>
    </row>
    <row r="6988" spans="1:1" x14ac:dyDescent="0.25">
      <c r="A6988" s="66"/>
    </row>
    <row r="6989" spans="1:1" x14ac:dyDescent="0.25">
      <c r="A6989" s="66"/>
    </row>
    <row r="6990" spans="1:1" x14ac:dyDescent="0.25">
      <c r="A6990" s="66"/>
    </row>
    <row r="6991" spans="1:1" x14ac:dyDescent="0.25">
      <c r="A6991" s="66"/>
    </row>
    <row r="6992" spans="1:1" x14ac:dyDescent="0.25">
      <c r="A6992" s="66"/>
    </row>
    <row r="6993" spans="1:1" x14ac:dyDescent="0.25">
      <c r="A6993" s="66"/>
    </row>
    <row r="6994" spans="1:1" x14ac:dyDescent="0.25">
      <c r="A6994" s="66"/>
    </row>
    <row r="6995" spans="1:1" x14ac:dyDescent="0.25">
      <c r="A6995" s="66"/>
    </row>
    <row r="6996" spans="1:1" x14ac:dyDescent="0.25">
      <c r="A6996" s="66"/>
    </row>
    <row r="6997" spans="1:1" x14ac:dyDescent="0.25">
      <c r="A6997" s="66"/>
    </row>
    <row r="6998" spans="1:1" x14ac:dyDescent="0.25">
      <c r="A6998" s="66"/>
    </row>
    <row r="6999" spans="1:1" x14ac:dyDescent="0.25">
      <c r="A6999" s="66"/>
    </row>
    <row r="7000" spans="1:1" x14ac:dyDescent="0.25">
      <c r="A7000" s="66"/>
    </row>
    <row r="7001" spans="1:1" x14ac:dyDescent="0.25">
      <c r="A7001" s="66"/>
    </row>
    <row r="7002" spans="1:1" x14ac:dyDescent="0.25">
      <c r="A7002" s="66"/>
    </row>
    <row r="7003" spans="1:1" x14ac:dyDescent="0.25">
      <c r="A7003" s="66"/>
    </row>
    <row r="7004" spans="1:1" x14ac:dyDescent="0.25">
      <c r="A7004" s="66"/>
    </row>
    <row r="7005" spans="1:1" x14ac:dyDescent="0.25">
      <c r="A7005" s="66"/>
    </row>
    <row r="7006" spans="1:1" x14ac:dyDescent="0.25">
      <c r="A7006" s="66"/>
    </row>
    <row r="7007" spans="1:1" x14ac:dyDescent="0.25">
      <c r="A7007" s="66"/>
    </row>
    <row r="7008" spans="1:1" x14ac:dyDescent="0.25">
      <c r="A7008" s="66"/>
    </row>
    <row r="7009" spans="1:1" x14ac:dyDescent="0.25">
      <c r="A7009" s="66"/>
    </row>
    <row r="7010" spans="1:1" x14ac:dyDescent="0.25">
      <c r="A7010" s="66"/>
    </row>
    <row r="7011" spans="1:1" x14ac:dyDescent="0.25">
      <c r="A7011" s="66"/>
    </row>
    <row r="7012" spans="1:1" x14ac:dyDescent="0.25">
      <c r="A7012" s="66"/>
    </row>
    <row r="7013" spans="1:1" x14ac:dyDescent="0.25">
      <c r="A7013" s="66"/>
    </row>
    <row r="7014" spans="1:1" x14ac:dyDescent="0.25">
      <c r="A7014" s="66"/>
    </row>
    <row r="7015" spans="1:1" x14ac:dyDescent="0.25">
      <c r="A7015" s="66"/>
    </row>
    <row r="7016" spans="1:1" x14ac:dyDescent="0.25">
      <c r="A7016" s="66"/>
    </row>
    <row r="7017" spans="1:1" x14ac:dyDescent="0.25">
      <c r="A7017" s="66"/>
    </row>
    <row r="7018" spans="1:1" x14ac:dyDescent="0.25">
      <c r="A7018" s="66"/>
    </row>
    <row r="7019" spans="1:1" x14ac:dyDescent="0.25">
      <c r="A7019" s="66"/>
    </row>
    <row r="7020" spans="1:1" x14ac:dyDescent="0.25">
      <c r="A7020" s="66"/>
    </row>
    <row r="7021" spans="1:1" x14ac:dyDescent="0.25">
      <c r="A7021" s="66"/>
    </row>
    <row r="7022" spans="1:1" x14ac:dyDescent="0.25">
      <c r="A7022" s="66"/>
    </row>
    <row r="7023" spans="1:1" x14ac:dyDescent="0.25">
      <c r="A7023" s="66"/>
    </row>
    <row r="7024" spans="1:1" x14ac:dyDescent="0.25">
      <c r="A7024" s="66"/>
    </row>
    <row r="7025" spans="1:1" x14ac:dyDescent="0.25">
      <c r="A7025" s="66"/>
    </row>
    <row r="7026" spans="1:1" x14ac:dyDescent="0.25">
      <c r="A7026" s="66"/>
    </row>
    <row r="7027" spans="1:1" x14ac:dyDescent="0.25">
      <c r="A7027" s="66"/>
    </row>
    <row r="7028" spans="1:1" x14ac:dyDescent="0.25">
      <c r="A7028" s="66"/>
    </row>
    <row r="7029" spans="1:1" x14ac:dyDescent="0.25">
      <c r="A7029" s="66"/>
    </row>
    <row r="7030" spans="1:1" x14ac:dyDescent="0.25">
      <c r="A7030" s="66"/>
    </row>
    <row r="7031" spans="1:1" x14ac:dyDescent="0.25">
      <c r="A7031" s="66"/>
    </row>
    <row r="7032" spans="1:1" x14ac:dyDescent="0.25">
      <c r="A7032" s="66"/>
    </row>
    <row r="7033" spans="1:1" x14ac:dyDescent="0.25">
      <c r="A7033" s="66"/>
    </row>
    <row r="7034" spans="1:1" x14ac:dyDescent="0.25">
      <c r="A7034" s="66"/>
    </row>
    <row r="7035" spans="1:1" x14ac:dyDescent="0.25">
      <c r="A7035" s="66"/>
    </row>
    <row r="7036" spans="1:1" x14ac:dyDescent="0.25">
      <c r="A7036" s="66"/>
    </row>
    <row r="7037" spans="1:1" x14ac:dyDescent="0.25">
      <c r="A7037" s="66"/>
    </row>
    <row r="7038" spans="1:1" x14ac:dyDescent="0.25">
      <c r="A7038" s="66"/>
    </row>
    <row r="7039" spans="1:1" x14ac:dyDescent="0.25">
      <c r="A7039" s="66"/>
    </row>
    <row r="7040" spans="1:1" x14ac:dyDescent="0.25">
      <c r="A7040" s="66"/>
    </row>
    <row r="7041" spans="1:1" x14ac:dyDescent="0.25">
      <c r="A7041" s="66"/>
    </row>
    <row r="7042" spans="1:1" x14ac:dyDescent="0.25">
      <c r="A7042" s="66"/>
    </row>
    <row r="7043" spans="1:1" x14ac:dyDescent="0.25">
      <c r="A7043" s="66"/>
    </row>
    <row r="7044" spans="1:1" x14ac:dyDescent="0.25">
      <c r="A7044" s="66"/>
    </row>
    <row r="7045" spans="1:1" x14ac:dyDescent="0.25">
      <c r="A7045" s="66"/>
    </row>
    <row r="7046" spans="1:1" x14ac:dyDescent="0.25">
      <c r="A7046" s="66"/>
    </row>
    <row r="7047" spans="1:1" x14ac:dyDescent="0.25">
      <c r="A7047" s="66"/>
    </row>
    <row r="7048" spans="1:1" x14ac:dyDescent="0.25">
      <c r="A7048" s="66"/>
    </row>
    <row r="7049" spans="1:1" x14ac:dyDescent="0.25">
      <c r="A7049" s="66"/>
    </row>
    <row r="7050" spans="1:1" x14ac:dyDescent="0.25">
      <c r="A7050" s="66"/>
    </row>
    <row r="7051" spans="1:1" x14ac:dyDescent="0.25">
      <c r="A7051" s="66"/>
    </row>
    <row r="7052" spans="1:1" x14ac:dyDescent="0.25">
      <c r="A7052" s="66"/>
    </row>
    <row r="7053" spans="1:1" x14ac:dyDescent="0.25">
      <c r="A7053" s="66"/>
    </row>
    <row r="7054" spans="1:1" x14ac:dyDescent="0.25">
      <c r="A7054" s="66"/>
    </row>
    <row r="7055" spans="1:1" x14ac:dyDescent="0.25">
      <c r="A7055" s="66"/>
    </row>
    <row r="7056" spans="1:1" x14ac:dyDescent="0.25">
      <c r="A7056" s="66"/>
    </row>
    <row r="7057" spans="1:1" x14ac:dyDescent="0.25">
      <c r="A7057" s="66"/>
    </row>
    <row r="7058" spans="1:1" x14ac:dyDescent="0.25">
      <c r="A7058" s="66"/>
    </row>
    <row r="7059" spans="1:1" x14ac:dyDescent="0.25">
      <c r="A7059" s="66"/>
    </row>
    <row r="7060" spans="1:1" x14ac:dyDescent="0.25">
      <c r="A7060" s="66"/>
    </row>
    <row r="7061" spans="1:1" x14ac:dyDescent="0.25">
      <c r="A7061" s="66"/>
    </row>
    <row r="7062" spans="1:1" x14ac:dyDescent="0.25">
      <c r="A7062" s="66"/>
    </row>
    <row r="7063" spans="1:1" x14ac:dyDescent="0.25">
      <c r="A7063" s="66"/>
    </row>
    <row r="7064" spans="1:1" x14ac:dyDescent="0.25">
      <c r="A7064" s="66"/>
    </row>
    <row r="7065" spans="1:1" x14ac:dyDescent="0.25">
      <c r="A7065" s="66"/>
    </row>
    <row r="7066" spans="1:1" x14ac:dyDescent="0.25">
      <c r="A7066" s="66"/>
    </row>
    <row r="7067" spans="1:1" x14ac:dyDescent="0.25">
      <c r="A7067" s="66"/>
    </row>
    <row r="7068" spans="1:1" x14ac:dyDescent="0.25">
      <c r="A7068" s="66"/>
    </row>
    <row r="7069" spans="1:1" x14ac:dyDescent="0.25">
      <c r="A7069" s="66"/>
    </row>
    <row r="7070" spans="1:1" x14ac:dyDescent="0.25">
      <c r="A7070" s="66"/>
    </row>
    <row r="7071" spans="1:1" x14ac:dyDescent="0.25">
      <c r="A7071" s="66"/>
    </row>
    <row r="7072" spans="1:1" x14ac:dyDescent="0.25">
      <c r="A7072" s="66"/>
    </row>
    <row r="7073" spans="1:1" x14ac:dyDescent="0.25">
      <c r="A7073" s="66"/>
    </row>
    <row r="7074" spans="1:1" x14ac:dyDescent="0.25">
      <c r="A7074" s="66"/>
    </row>
    <row r="7075" spans="1:1" x14ac:dyDescent="0.25">
      <c r="A7075" s="66"/>
    </row>
    <row r="7076" spans="1:1" x14ac:dyDescent="0.25">
      <c r="A7076" s="66"/>
    </row>
    <row r="7077" spans="1:1" x14ac:dyDescent="0.25">
      <c r="A7077" s="66"/>
    </row>
    <row r="7078" spans="1:1" x14ac:dyDescent="0.25">
      <c r="A7078" s="66"/>
    </row>
    <row r="7079" spans="1:1" x14ac:dyDescent="0.25">
      <c r="A7079" s="66"/>
    </row>
    <row r="7080" spans="1:1" x14ac:dyDescent="0.25">
      <c r="A7080" s="66"/>
    </row>
    <row r="7081" spans="1:1" x14ac:dyDescent="0.25">
      <c r="A7081" s="66"/>
    </row>
    <row r="7082" spans="1:1" x14ac:dyDescent="0.25">
      <c r="A7082" s="66"/>
    </row>
    <row r="7083" spans="1:1" x14ac:dyDescent="0.25">
      <c r="A7083" s="66"/>
    </row>
    <row r="7084" spans="1:1" x14ac:dyDescent="0.25">
      <c r="A7084" s="66"/>
    </row>
    <row r="7085" spans="1:1" x14ac:dyDescent="0.25">
      <c r="A7085" s="66"/>
    </row>
    <row r="7086" spans="1:1" x14ac:dyDescent="0.25">
      <c r="A7086" s="66"/>
    </row>
    <row r="7087" spans="1:1" x14ac:dyDescent="0.25">
      <c r="A7087" s="66"/>
    </row>
    <row r="7088" spans="1:1" x14ac:dyDescent="0.25">
      <c r="A7088" s="66"/>
    </row>
    <row r="7089" spans="1:1" x14ac:dyDescent="0.25">
      <c r="A7089" s="66"/>
    </row>
    <row r="7090" spans="1:1" x14ac:dyDescent="0.25">
      <c r="A7090" s="66"/>
    </row>
    <row r="7091" spans="1:1" x14ac:dyDescent="0.25">
      <c r="A7091" s="66"/>
    </row>
    <row r="7092" spans="1:1" x14ac:dyDescent="0.25">
      <c r="A7092" s="66"/>
    </row>
    <row r="7093" spans="1:1" x14ac:dyDescent="0.25">
      <c r="A7093" s="66"/>
    </row>
    <row r="7094" spans="1:1" x14ac:dyDescent="0.25">
      <c r="A7094" s="66"/>
    </row>
    <row r="7095" spans="1:1" x14ac:dyDescent="0.25">
      <c r="A7095" s="66"/>
    </row>
    <row r="7096" spans="1:1" x14ac:dyDescent="0.25">
      <c r="A7096" s="66"/>
    </row>
    <row r="7097" spans="1:1" x14ac:dyDescent="0.25">
      <c r="A7097" s="66"/>
    </row>
    <row r="7098" spans="1:1" x14ac:dyDescent="0.25">
      <c r="A7098" s="66"/>
    </row>
    <row r="7099" spans="1:1" x14ac:dyDescent="0.25">
      <c r="A7099" s="66"/>
    </row>
    <row r="7100" spans="1:1" x14ac:dyDescent="0.25">
      <c r="A7100" s="66"/>
    </row>
    <row r="7101" spans="1:1" x14ac:dyDescent="0.25">
      <c r="A7101" s="66"/>
    </row>
    <row r="7102" spans="1:1" x14ac:dyDescent="0.25">
      <c r="A7102" s="66"/>
    </row>
    <row r="7103" spans="1:1" x14ac:dyDescent="0.25">
      <c r="A7103" s="66"/>
    </row>
    <row r="7104" spans="1:1" x14ac:dyDescent="0.25">
      <c r="A7104" s="66"/>
    </row>
    <row r="7105" spans="1:1" x14ac:dyDescent="0.25">
      <c r="A7105" s="66"/>
    </row>
    <row r="7106" spans="1:1" x14ac:dyDescent="0.25">
      <c r="A7106" s="66"/>
    </row>
    <row r="7107" spans="1:1" x14ac:dyDescent="0.25">
      <c r="A7107" s="66"/>
    </row>
    <row r="7108" spans="1:1" x14ac:dyDescent="0.25">
      <c r="A7108" s="66"/>
    </row>
    <row r="7109" spans="1:1" x14ac:dyDescent="0.25">
      <c r="A7109" s="66"/>
    </row>
    <row r="7110" spans="1:1" x14ac:dyDescent="0.25">
      <c r="A7110" s="66"/>
    </row>
    <row r="7111" spans="1:1" x14ac:dyDescent="0.25">
      <c r="A7111" s="66"/>
    </row>
    <row r="7112" spans="1:1" x14ac:dyDescent="0.25">
      <c r="A7112" s="66"/>
    </row>
    <row r="7113" spans="1:1" x14ac:dyDescent="0.25">
      <c r="A7113" s="66"/>
    </row>
    <row r="7114" spans="1:1" x14ac:dyDescent="0.25">
      <c r="A7114" s="66"/>
    </row>
    <row r="7115" spans="1:1" x14ac:dyDescent="0.25">
      <c r="A7115" s="66"/>
    </row>
    <row r="7116" spans="1:1" x14ac:dyDescent="0.25">
      <c r="A7116" s="66"/>
    </row>
    <row r="7117" spans="1:1" x14ac:dyDescent="0.25">
      <c r="A7117" s="66"/>
    </row>
    <row r="7118" spans="1:1" x14ac:dyDescent="0.25">
      <c r="A7118" s="66"/>
    </row>
    <row r="7119" spans="1:1" x14ac:dyDescent="0.25">
      <c r="A7119" s="66"/>
    </row>
    <row r="7120" spans="1:1" x14ac:dyDescent="0.25">
      <c r="A7120" s="66"/>
    </row>
    <row r="7121" spans="1:1" x14ac:dyDescent="0.25">
      <c r="A7121" s="66"/>
    </row>
    <row r="7122" spans="1:1" x14ac:dyDescent="0.25">
      <c r="A7122" s="66"/>
    </row>
    <row r="7123" spans="1:1" x14ac:dyDescent="0.25">
      <c r="A7123" s="66"/>
    </row>
    <row r="7124" spans="1:1" x14ac:dyDescent="0.25">
      <c r="A7124" s="66"/>
    </row>
    <row r="7125" spans="1:1" x14ac:dyDescent="0.25">
      <c r="A7125" s="66"/>
    </row>
    <row r="7126" spans="1:1" x14ac:dyDescent="0.25">
      <c r="A7126" s="66"/>
    </row>
    <row r="7127" spans="1:1" x14ac:dyDescent="0.25">
      <c r="A7127" s="66"/>
    </row>
    <row r="7128" spans="1:1" x14ac:dyDescent="0.25">
      <c r="A7128" s="66"/>
    </row>
    <row r="7129" spans="1:1" x14ac:dyDescent="0.25">
      <c r="A7129" s="66"/>
    </row>
    <row r="7130" spans="1:1" x14ac:dyDescent="0.25">
      <c r="A7130" s="66"/>
    </row>
    <row r="7131" spans="1:1" x14ac:dyDescent="0.25">
      <c r="A7131" s="66"/>
    </row>
    <row r="7132" spans="1:1" x14ac:dyDescent="0.25">
      <c r="A7132" s="66"/>
    </row>
    <row r="7133" spans="1:1" x14ac:dyDescent="0.25">
      <c r="A7133" s="66"/>
    </row>
    <row r="7134" spans="1:1" x14ac:dyDescent="0.25">
      <c r="A7134" s="66"/>
    </row>
    <row r="7135" spans="1:1" x14ac:dyDescent="0.25">
      <c r="A7135" s="66"/>
    </row>
    <row r="7136" spans="1:1" x14ac:dyDescent="0.25">
      <c r="A7136" s="66"/>
    </row>
    <row r="7137" spans="1:1" x14ac:dyDescent="0.25">
      <c r="A7137" s="66"/>
    </row>
    <row r="7138" spans="1:1" x14ac:dyDescent="0.25">
      <c r="A7138" s="66"/>
    </row>
    <row r="7139" spans="1:1" x14ac:dyDescent="0.25">
      <c r="A7139" s="66"/>
    </row>
    <row r="7140" spans="1:1" x14ac:dyDescent="0.25">
      <c r="A7140" s="66"/>
    </row>
    <row r="7141" spans="1:1" x14ac:dyDescent="0.25">
      <c r="A7141" s="66"/>
    </row>
    <row r="7142" spans="1:1" x14ac:dyDescent="0.25">
      <c r="A7142" s="66"/>
    </row>
    <row r="7143" spans="1:1" x14ac:dyDescent="0.25">
      <c r="A7143" s="66"/>
    </row>
    <row r="7144" spans="1:1" x14ac:dyDescent="0.25">
      <c r="A7144" s="66"/>
    </row>
    <row r="7145" spans="1:1" x14ac:dyDescent="0.25">
      <c r="A7145" s="66"/>
    </row>
    <row r="7146" spans="1:1" x14ac:dyDescent="0.25">
      <c r="A7146" s="66"/>
    </row>
    <row r="7147" spans="1:1" x14ac:dyDescent="0.25">
      <c r="A7147" s="66"/>
    </row>
    <row r="7148" spans="1:1" x14ac:dyDescent="0.25">
      <c r="A7148" s="66"/>
    </row>
    <row r="7149" spans="1:1" x14ac:dyDescent="0.25">
      <c r="A7149" s="66"/>
    </row>
    <row r="7150" spans="1:1" x14ac:dyDescent="0.25">
      <c r="A7150" s="66"/>
    </row>
    <row r="7151" spans="1:1" x14ac:dyDescent="0.25">
      <c r="A7151" s="66"/>
    </row>
    <row r="7152" spans="1:1" x14ac:dyDescent="0.25">
      <c r="A7152" s="66"/>
    </row>
    <row r="7153" spans="1:1" x14ac:dyDescent="0.25">
      <c r="A7153" s="66"/>
    </row>
    <row r="7154" spans="1:1" x14ac:dyDescent="0.25">
      <c r="A7154" s="66"/>
    </row>
    <row r="7155" spans="1:1" x14ac:dyDescent="0.25">
      <c r="A7155" s="66"/>
    </row>
    <row r="7156" spans="1:1" x14ac:dyDescent="0.25">
      <c r="A7156" s="66"/>
    </row>
    <row r="7157" spans="1:1" x14ac:dyDescent="0.25">
      <c r="A7157" s="66"/>
    </row>
    <row r="7158" spans="1:1" x14ac:dyDescent="0.25">
      <c r="A7158" s="66"/>
    </row>
    <row r="7159" spans="1:1" x14ac:dyDescent="0.25">
      <c r="A7159" s="66"/>
    </row>
    <row r="7160" spans="1:1" x14ac:dyDescent="0.25">
      <c r="A7160" s="66"/>
    </row>
    <row r="7161" spans="1:1" x14ac:dyDescent="0.25">
      <c r="A7161" s="66"/>
    </row>
    <row r="7162" spans="1:1" x14ac:dyDescent="0.25">
      <c r="A7162" s="66"/>
    </row>
    <row r="7163" spans="1:1" x14ac:dyDescent="0.25">
      <c r="A7163" s="66"/>
    </row>
    <row r="7164" spans="1:1" x14ac:dyDescent="0.25">
      <c r="A7164" s="66"/>
    </row>
    <row r="7165" spans="1:1" x14ac:dyDescent="0.25">
      <c r="A7165" s="66"/>
    </row>
    <row r="7166" spans="1:1" x14ac:dyDescent="0.25">
      <c r="A7166" s="66"/>
    </row>
    <row r="7167" spans="1:1" x14ac:dyDescent="0.25">
      <c r="A7167" s="66"/>
    </row>
    <row r="7168" spans="1:1" x14ac:dyDescent="0.25">
      <c r="A7168" s="66"/>
    </row>
    <row r="7169" spans="1:1" x14ac:dyDescent="0.25">
      <c r="A7169" s="66"/>
    </row>
    <row r="7170" spans="1:1" x14ac:dyDescent="0.25">
      <c r="A7170" s="66"/>
    </row>
    <row r="7171" spans="1:1" x14ac:dyDescent="0.25">
      <c r="A7171" s="66"/>
    </row>
    <row r="7172" spans="1:1" x14ac:dyDescent="0.25">
      <c r="A7172" s="66"/>
    </row>
    <row r="7173" spans="1:1" x14ac:dyDescent="0.25">
      <c r="A7173" s="66"/>
    </row>
    <row r="7174" spans="1:1" x14ac:dyDescent="0.25">
      <c r="A7174" s="66"/>
    </row>
    <row r="7175" spans="1:1" x14ac:dyDescent="0.25">
      <c r="A7175" s="66"/>
    </row>
    <row r="7176" spans="1:1" x14ac:dyDescent="0.25">
      <c r="A7176" s="66"/>
    </row>
    <row r="7177" spans="1:1" x14ac:dyDescent="0.25">
      <c r="A7177" s="66"/>
    </row>
    <row r="7178" spans="1:1" x14ac:dyDescent="0.25">
      <c r="A7178" s="66"/>
    </row>
    <row r="7179" spans="1:1" x14ac:dyDescent="0.25">
      <c r="A7179" s="66"/>
    </row>
    <row r="7180" spans="1:1" x14ac:dyDescent="0.25">
      <c r="A7180" s="66"/>
    </row>
    <row r="7181" spans="1:1" x14ac:dyDescent="0.25">
      <c r="A7181" s="66"/>
    </row>
    <row r="7182" spans="1:1" x14ac:dyDescent="0.25">
      <c r="A7182" s="66"/>
    </row>
    <row r="7183" spans="1:1" x14ac:dyDescent="0.25">
      <c r="A7183" s="66"/>
    </row>
    <row r="7184" spans="1:1" x14ac:dyDescent="0.25">
      <c r="A7184" s="66"/>
    </row>
    <row r="7185" spans="1:1" x14ac:dyDescent="0.25">
      <c r="A7185" s="66"/>
    </row>
    <row r="7186" spans="1:1" x14ac:dyDescent="0.25">
      <c r="A7186" s="66"/>
    </row>
    <row r="7187" spans="1:1" x14ac:dyDescent="0.25">
      <c r="A7187" s="66"/>
    </row>
    <row r="7188" spans="1:1" x14ac:dyDescent="0.25">
      <c r="A7188" s="66"/>
    </row>
    <row r="7189" spans="1:1" x14ac:dyDescent="0.25">
      <c r="A7189" s="66"/>
    </row>
    <row r="7190" spans="1:1" x14ac:dyDescent="0.25">
      <c r="A7190" s="66"/>
    </row>
    <row r="7191" spans="1:1" x14ac:dyDescent="0.25">
      <c r="A7191" s="66"/>
    </row>
    <row r="7192" spans="1:1" x14ac:dyDescent="0.25">
      <c r="A7192" s="66"/>
    </row>
    <row r="7193" spans="1:1" x14ac:dyDescent="0.25">
      <c r="A7193" s="66"/>
    </row>
    <row r="7194" spans="1:1" x14ac:dyDescent="0.25">
      <c r="A7194" s="66"/>
    </row>
    <row r="7195" spans="1:1" x14ac:dyDescent="0.25">
      <c r="A7195" s="66"/>
    </row>
    <row r="7196" spans="1:1" x14ac:dyDescent="0.25">
      <c r="A7196" s="66"/>
    </row>
    <row r="7197" spans="1:1" x14ac:dyDescent="0.25">
      <c r="A7197" s="66"/>
    </row>
    <row r="7198" spans="1:1" x14ac:dyDescent="0.25">
      <c r="A7198" s="66"/>
    </row>
    <row r="7199" spans="1:1" x14ac:dyDescent="0.25">
      <c r="A7199" s="66"/>
    </row>
    <row r="7200" spans="1:1" x14ac:dyDescent="0.25">
      <c r="A7200" s="66"/>
    </row>
    <row r="7201" spans="1:1" x14ac:dyDescent="0.25">
      <c r="A7201" s="66"/>
    </row>
    <row r="7202" spans="1:1" x14ac:dyDescent="0.25">
      <c r="A7202" s="66"/>
    </row>
    <row r="7203" spans="1:1" x14ac:dyDescent="0.25">
      <c r="A7203" s="66"/>
    </row>
    <row r="7204" spans="1:1" x14ac:dyDescent="0.25">
      <c r="A7204" s="66"/>
    </row>
    <row r="7205" spans="1:1" x14ac:dyDescent="0.25">
      <c r="A7205" s="66"/>
    </row>
    <row r="7206" spans="1:1" x14ac:dyDescent="0.25">
      <c r="A7206" s="66"/>
    </row>
    <row r="7207" spans="1:1" x14ac:dyDescent="0.25">
      <c r="A7207" s="66"/>
    </row>
    <row r="7208" spans="1:1" x14ac:dyDescent="0.25">
      <c r="A7208" s="66"/>
    </row>
    <row r="7209" spans="1:1" x14ac:dyDescent="0.25">
      <c r="A7209" s="66"/>
    </row>
    <row r="7210" spans="1:1" x14ac:dyDescent="0.25">
      <c r="A7210" s="66"/>
    </row>
    <row r="7211" spans="1:1" x14ac:dyDescent="0.25">
      <c r="A7211" s="66"/>
    </row>
    <row r="7212" spans="1:1" x14ac:dyDescent="0.25">
      <c r="A7212" s="66"/>
    </row>
    <row r="7213" spans="1:1" x14ac:dyDescent="0.25">
      <c r="A7213" s="66"/>
    </row>
    <row r="7214" spans="1:1" x14ac:dyDescent="0.25">
      <c r="A7214" s="66"/>
    </row>
    <row r="7215" spans="1:1" x14ac:dyDescent="0.25">
      <c r="A7215" s="66"/>
    </row>
    <row r="7216" spans="1:1" x14ac:dyDescent="0.25">
      <c r="A7216" s="66"/>
    </row>
    <row r="7217" spans="1:1" x14ac:dyDescent="0.25">
      <c r="A7217" s="66"/>
    </row>
    <row r="7218" spans="1:1" x14ac:dyDescent="0.25">
      <c r="A7218" s="66"/>
    </row>
    <row r="7219" spans="1:1" x14ac:dyDescent="0.25">
      <c r="A7219" s="66"/>
    </row>
    <row r="7220" spans="1:1" x14ac:dyDescent="0.25">
      <c r="A7220" s="66"/>
    </row>
    <row r="7221" spans="1:1" x14ac:dyDescent="0.25">
      <c r="A7221" s="66"/>
    </row>
    <row r="7222" spans="1:1" x14ac:dyDescent="0.25">
      <c r="A7222" s="66"/>
    </row>
    <row r="7223" spans="1:1" x14ac:dyDescent="0.25">
      <c r="A7223" s="66"/>
    </row>
    <row r="7224" spans="1:1" x14ac:dyDescent="0.25">
      <c r="A7224" s="66"/>
    </row>
    <row r="7225" spans="1:1" x14ac:dyDescent="0.25">
      <c r="A7225" s="66"/>
    </row>
    <row r="7226" spans="1:1" x14ac:dyDescent="0.25">
      <c r="A7226" s="66"/>
    </row>
    <row r="7227" spans="1:1" x14ac:dyDescent="0.25">
      <c r="A7227" s="66"/>
    </row>
    <row r="7228" spans="1:1" x14ac:dyDescent="0.25">
      <c r="A7228" s="66"/>
    </row>
    <row r="7229" spans="1:1" x14ac:dyDescent="0.25">
      <c r="A7229" s="66"/>
    </row>
    <row r="7230" spans="1:1" x14ac:dyDescent="0.25">
      <c r="A7230" s="66"/>
    </row>
    <row r="7231" spans="1:1" x14ac:dyDescent="0.25">
      <c r="A7231" s="66"/>
    </row>
    <row r="7232" spans="1:1" x14ac:dyDescent="0.25">
      <c r="A7232" s="66"/>
    </row>
    <row r="7233" spans="1:1" x14ac:dyDescent="0.25">
      <c r="A7233" s="66"/>
    </row>
    <row r="7234" spans="1:1" x14ac:dyDescent="0.25">
      <c r="A7234" s="66"/>
    </row>
    <row r="7235" spans="1:1" x14ac:dyDescent="0.25">
      <c r="A7235" s="66"/>
    </row>
    <row r="7236" spans="1:1" x14ac:dyDescent="0.25">
      <c r="A7236" s="66"/>
    </row>
    <row r="7237" spans="1:1" x14ac:dyDescent="0.25">
      <c r="A7237" s="66"/>
    </row>
    <row r="7238" spans="1:1" x14ac:dyDescent="0.25">
      <c r="A7238" s="66"/>
    </row>
    <row r="7239" spans="1:1" x14ac:dyDescent="0.25">
      <c r="A7239" s="66"/>
    </row>
    <row r="7240" spans="1:1" x14ac:dyDescent="0.25">
      <c r="A7240" s="66"/>
    </row>
    <row r="7241" spans="1:1" x14ac:dyDescent="0.25">
      <c r="A7241" s="66"/>
    </row>
    <row r="7242" spans="1:1" x14ac:dyDescent="0.25">
      <c r="A7242" s="66"/>
    </row>
    <row r="7243" spans="1:1" x14ac:dyDescent="0.25">
      <c r="A7243" s="66"/>
    </row>
    <row r="7244" spans="1:1" x14ac:dyDescent="0.25">
      <c r="A7244" s="66"/>
    </row>
    <row r="7245" spans="1:1" x14ac:dyDescent="0.25">
      <c r="A7245" s="66"/>
    </row>
    <row r="7246" spans="1:1" x14ac:dyDescent="0.25">
      <c r="A7246" s="66"/>
    </row>
    <row r="7247" spans="1:1" x14ac:dyDescent="0.25">
      <c r="A7247" s="66"/>
    </row>
    <row r="7248" spans="1:1" x14ac:dyDescent="0.25">
      <c r="A7248" s="66"/>
    </row>
    <row r="7249" spans="1:1" x14ac:dyDescent="0.25">
      <c r="A7249" s="66"/>
    </row>
    <row r="7250" spans="1:1" x14ac:dyDescent="0.25">
      <c r="A7250" s="66"/>
    </row>
    <row r="7251" spans="1:1" x14ac:dyDescent="0.25">
      <c r="A7251" s="66"/>
    </row>
    <row r="7252" spans="1:1" x14ac:dyDescent="0.25">
      <c r="A7252" s="66"/>
    </row>
    <row r="7253" spans="1:1" x14ac:dyDescent="0.25">
      <c r="A7253" s="66"/>
    </row>
    <row r="7254" spans="1:1" x14ac:dyDescent="0.25">
      <c r="A7254" s="66"/>
    </row>
    <row r="7255" spans="1:1" x14ac:dyDescent="0.25">
      <c r="A7255" s="66"/>
    </row>
    <row r="7256" spans="1:1" x14ac:dyDescent="0.25">
      <c r="A7256" s="66"/>
    </row>
    <row r="7257" spans="1:1" x14ac:dyDescent="0.25">
      <c r="A7257" s="66"/>
    </row>
    <row r="7258" spans="1:1" x14ac:dyDescent="0.25">
      <c r="A7258" s="66"/>
    </row>
    <row r="7259" spans="1:1" x14ac:dyDescent="0.25">
      <c r="A7259" s="66"/>
    </row>
    <row r="7260" spans="1:1" x14ac:dyDescent="0.25">
      <c r="A7260" s="66"/>
    </row>
    <row r="7261" spans="1:1" x14ac:dyDescent="0.25">
      <c r="A7261" s="66"/>
    </row>
    <row r="7262" spans="1:1" x14ac:dyDescent="0.25">
      <c r="A7262" s="66"/>
    </row>
    <row r="7263" spans="1:1" x14ac:dyDescent="0.25">
      <c r="A7263" s="66"/>
    </row>
    <row r="7264" spans="1:1" x14ac:dyDescent="0.25">
      <c r="A7264" s="66"/>
    </row>
    <row r="7265" spans="1:1" x14ac:dyDescent="0.25">
      <c r="A7265" s="66"/>
    </row>
    <row r="7266" spans="1:1" x14ac:dyDescent="0.25">
      <c r="A7266" s="66"/>
    </row>
    <row r="7267" spans="1:1" x14ac:dyDescent="0.25">
      <c r="A7267" s="66"/>
    </row>
    <row r="7268" spans="1:1" x14ac:dyDescent="0.25">
      <c r="A7268" s="66"/>
    </row>
    <row r="7269" spans="1:1" x14ac:dyDescent="0.25">
      <c r="A7269" s="66"/>
    </row>
    <row r="7270" spans="1:1" x14ac:dyDescent="0.25">
      <c r="A7270" s="66"/>
    </row>
    <row r="7271" spans="1:1" x14ac:dyDescent="0.25">
      <c r="A7271" s="66"/>
    </row>
    <row r="7272" spans="1:1" x14ac:dyDescent="0.25">
      <c r="A7272" s="66"/>
    </row>
    <row r="7273" spans="1:1" x14ac:dyDescent="0.25">
      <c r="A7273" s="66"/>
    </row>
    <row r="7274" spans="1:1" x14ac:dyDescent="0.25">
      <c r="A7274" s="66"/>
    </row>
    <row r="7275" spans="1:1" x14ac:dyDescent="0.25">
      <c r="A7275" s="66"/>
    </row>
    <row r="7276" spans="1:1" x14ac:dyDescent="0.25">
      <c r="A7276" s="66"/>
    </row>
    <row r="7277" spans="1:1" x14ac:dyDescent="0.25">
      <c r="A7277" s="66"/>
    </row>
    <row r="7278" spans="1:1" x14ac:dyDescent="0.25">
      <c r="A7278" s="66"/>
    </row>
    <row r="7279" spans="1:1" x14ac:dyDescent="0.25">
      <c r="A7279" s="66"/>
    </row>
    <row r="7280" spans="1:1" x14ac:dyDescent="0.25">
      <c r="A7280" s="66"/>
    </row>
    <row r="7281" spans="1:1" x14ac:dyDescent="0.25">
      <c r="A7281" s="66"/>
    </row>
    <row r="7282" spans="1:1" x14ac:dyDescent="0.25">
      <c r="A7282" s="66"/>
    </row>
    <row r="7283" spans="1:1" x14ac:dyDescent="0.25">
      <c r="A7283" s="66"/>
    </row>
    <row r="7284" spans="1:1" x14ac:dyDescent="0.25">
      <c r="A7284" s="66"/>
    </row>
    <row r="7285" spans="1:1" x14ac:dyDescent="0.25">
      <c r="A7285" s="66"/>
    </row>
    <row r="7286" spans="1:1" x14ac:dyDescent="0.25">
      <c r="A7286" s="66"/>
    </row>
    <row r="7287" spans="1:1" x14ac:dyDescent="0.25">
      <c r="A7287" s="66"/>
    </row>
    <row r="7288" spans="1:1" x14ac:dyDescent="0.25">
      <c r="A7288" s="66"/>
    </row>
    <row r="7289" spans="1:1" x14ac:dyDescent="0.25">
      <c r="A7289" s="66"/>
    </row>
    <row r="7290" spans="1:1" x14ac:dyDescent="0.25">
      <c r="A7290" s="66"/>
    </row>
    <row r="7291" spans="1:1" x14ac:dyDescent="0.25">
      <c r="A7291" s="66"/>
    </row>
    <row r="7292" spans="1:1" x14ac:dyDescent="0.25">
      <c r="A7292" s="66"/>
    </row>
    <row r="7293" spans="1:1" x14ac:dyDescent="0.25">
      <c r="A7293" s="66"/>
    </row>
    <row r="7294" spans="1:1" x14ac:dyDescent="0.25">
      <c r="A7294" s="66"/>
    </row>
    <row r="7295" spans="1:1" x14ac:dyDescent="0.25">
      <c r="A7295" s="66"/>
    </row>
    <row r="7296" spans="1:1" x14ac:dyDescent="0.25">
      <c r="A7296" s="66"/>
    </row>
    <row r="7297" spans="1:1" x14ac:dyDescent="0.25">
      <c r="A7297" s="66"/>
    </row>
    <row r="7298" spans="1:1" x14ac:dyDescent="0.25">
      <c r="A7298" s="66"/>
    </row>
    <row r="7299" spans="1:1" x14ac:dyDescent="0.25">
      <c r="A7299" s="66"/>
    </row>
    <row r="7300" spans="1:1" x14ac:dyDescent="0.25">
      <c r="A7300" s="66"/>
    </row>
    <row r="7301" spans="1:1" x14ac:dyDescent="0.25">
      <c r="A7301" s="66"/>
    </row>
    <row r="7302" spans="1:1" x14ac:dyDescent="0.25">
      <c r="A7302" s="66"/>
    </row>
    <row r="7303" spans="1:1" x14ac:dyDescent="0.25">
      <c r="A7303" s="66"/>
    </row>
    <row r="7304" spans="1:1" x14ac:dyDescent="0.25">
      <c r="A7304" s="66"/>
    </row>
    <row r="7305" spans="1:1" x14ac:dyDescent="0.25">
      <c r="A7305" s="66"/>
    </row>
    <row r="7306" spans="1:1" x14ac:dyDescent="0.25">
      <c r="A7306" s="66"/>
    </row>
    <row r="7307" spans="1:1" x14ac:dyDescent="0.25">
      <c r="A7307" s="66"/>
    </row>
    <row r="7308" spans="1:1" x14ac:dyDescent="0.25">
      <c r="A7308" s="66"/>
    </row>
    <row r="7309" spans="1:1" x14ac:dyDescent="0.25">
      <c r="A7309" s="66"/>
    </row>
    <row r="7310" spans="1:1" x14ac:dyDescent="0.25">
      <c r="A7310" s="66"/>
    </row>
    <row r="7311" spans="1:1" x14ac:dyDescent="0.25">
      <c r="A7311" s="66"/>
    </row>
    <row r="7312" spans="1:1" x14ac:dyDescent="0.25">
      <c r="A7312" s="66"/>
    </row>
    <row r="7313" spans="1:1" x14ac:dyDescent="0.25">
      <c r="A7313" s="66"/>
    </row>
    <row r="7314" spans="1:1" x14ac:dyDescent="0.25">
      <c r="A7314" s="66"/>
    </row>
    <row r="7315" spans="1:1" x14ac:dyDescent="0.25">
      <c r="A7315" s="66"/>
    </row>
    <row r="7316" spans="1:1" x14ac:dyDescent="0.25">
      <c r="A7316" s="66"/>
    </row>
    <row r="7317" spans="1:1" x14ac:dyDescent="0.25">
      <c r="A7317" s="66"/>
    </row>
    <row r="7318" spans="1:1" x14ac:dyDescent="0.25">
      <c r="A7318" s="66"/>
    </row>
    <row r="7319" spans="1:1" x14ac:dyDescent="0.25">
      <c r="A7319" s="66"/>
    </row>
    <row r="7320" spans="1:1" x14ac:dyDescent="0.25">
      <c r="A7320" s="66"/>
    </row>
    <row r="7321" spans="1:1" x14ac:dyDescent="0.25">
      <c r="A7321" s="66"/>
    </row>
    <row r="7322" spans="1:1" x14ac:dyDescent="0.25">
      <c r="A7322" s="66"/>
    </row>
    <row r="7323" spans="1:1" x14ac:dyDescent="0.25">
      <c r="A7323" s="66"/>
    </row>
    <row r="7324" spans="1:1" x14ac:dyDescent="0.25">
      <c r="A7324" s="66"/>
    </row>
    <row r="7325" spans="1:1" x14ac:dyDescent="0.25">
      <c r="A7325" s="66"/>
    </row>
    <row r="7326" spans="1:1" x14ac:dyDescent="0.25">
      <c r="A7326" s="66"/>
    </row>
    <row r="7327" spans="1:1" x14ac:dyDescent="0.25">
      <c r="A7327" s="66"/>
    </row>
    <row r="7328" spans="1:1" x14ac:dyDescent="0.25">
      <c r="A7328" s="66"/>
    </row>
    <row r="7329" spans="1:1" x14ac:dyDescent="0.25">
      <c r="A7329" s="66"/>
    </row>
    <row r="7330" spans="1:1" x14ac:dyDescent="0.25">
      <c r="A7330" s="66"/>
    </row>
    <row r="7331" spans="1:1" x14ac:dyDescent="0.25">
      <c r="A7331" s="66"/>
    </row>
    <row r="7332" spans="1:1" x14ac:dyDescent="0.25">
      <c r="A7332" s="66"/>
    </row>
    <row r="7333" spans="1:1" x14ac:dyDescent="0.25">
      <c r="A7333" s="66"/>
    </row>
    <row r="7334" spans="1:1" x14ac:dyDescent="0.25">
      <c r="A7334" s="66"/>
    </row>
    <row r="7335" spans="1:1" x14ac:dyDescent="0.25">
      <c r="A7335" s="66"/>
    </row>
    <row r="7336" spans="1:1" x14ac:dyDescent="0.25">
      <c r="A7336" s="66"/>
    </row>
    <row r="7337" spans="1:1" x14ac:dyDescent="0.25">
      <c r="A7337" s="66"/>
    </row>
    <row r="7338" spans="1:1" x14ac:dyDescent="0.25">
      <c r="A7338" s="66"/>
    </row>
    <row r="7339" spans="1:1" x14ac:dyDescent="0.25">
      <c r="A7339" s="66"/>
    </row>
    <row r="7340" spans="1:1" x14ac:dyDescent="0.25">
      <c r="A7340" s="66"/>
    </row>
    <row r="7341" spans="1:1" x14ac:dyDescent="0.25">
      <c r="A7341" s="66"/>
    </row>
    <row r="7342" spans="1:1" x14ac:dyDescent="0.25">
      <c r="A7342" s="66"/>
    </row>
    <row r="7343" spans="1:1" x14ac:dyDescent="0.25">
      <c r="A7343" s="66"/>
    </row>
    <row r="7344" spans="1:1" x14ac:dyDescent="0.25">
      <c r="A7344" s="66"/>
    </row>
    <row r="7345" spans="1:1" x14ac:dyDescent="0.25">
      <c r="A7345" s="66"/>
    </row>
    <row r="7346" spans="1:1" x14ac:dyDescent="0.25">
      <c r="A7346" s="66"/>
    </row>
    <row r="7347" spans="1:1" x14ac:dyDescent="0.25">
      <c r="A7347" s="66"/>
    </row>
    <row r="7348" spans="1:1" x14ac:dyDescent="0.25">
      <c r="A7348" s="66"/>
    </row>
    <row r="7349" spans="1:1" x14ac:dyDescent="0.25">
      <c r="A7349" s="66"/>
    </row>
    <row r="7350" spans="1:1" x14ac:dyDescent="0.25">
      <c r="A7350" s="66"/>
    </row>
    <row r="7351" spans="1:1" x14ac:dyDescent="0.25">
      <c r="A7351" s="66"/>
    </row>
    <row r="7352" spans="1:1" x14ac:dyDescent="0.25">
      <c r="A7352" s="66"/>
    </row>
    <row r="7353" spans="1:1" x14ac:dyDescent="0.25">
      <c r="A7353" s="66"/>
    </row>
    <row r="7354" spans="1:1" x14ac:dyDescent="0.25">
      <c r="A7354" s="66"/>
    </row>
    <row r="7355" spans="1:1" x14ac:dyDescent="0.25">
      <c r="A7355" s="66"/>
    </row>
    <row r="7356" spans="1:1" x14ac:dyDescent="0.25">
      <c r="A7356" s="66"/>
    </row>
    <row r="7357" spans="1:1" x14ac:dyDescent="0.25">
      <c r="A7357" s="66"/>
    </row>
    <row r="7358" spans="1:1" x14ac:dyDescent="0.25">
      <c r="A7358" s="66"/>
    </row>
    <row r="7359" spans="1:1" x14ac:dyDescent="0.25">
      <c r="A7359" s="66"/>
    </row>
    <row r="7360" spans="1:1" x14ac:dyDescent="0.25">
      <c r="A7360" s="66"/>
    </row>
    <row r="7361" spans="1:1" x14ac:dyDescent="0.25">
      <c r="A7361" s="66"/>
    </row>
    <row r="7362" spans="1:1" x14ac:dyDescent="0.25">
      <c r="A7362" s="66"/>
    </row>
    <row r="7363" spans="1:1" x14ac:dyDescent="0.25">
      <c r="A7363" s="66"/>
    </row>
    <row r="7364" spans="1:1" x14ac:dyDescent="0.25">
      <c r="A7364" s="66"/>
    </row>
    <row r="7365" spans="1:1" x14ac:dyDescent="0.25">
      <c r="A7365" s="66"/>
    </row>
    <row r="7366" spans="1:1" x14ac:dyDescent="0.25">
      <c r="A7366" s="66"/>
    </row>
    <row r="7367" spans="1:1" x14ac:dyDescent="0.25">
      <c r="A7367" s="66"/>
    </row>
    <row r="7368" spans="1:1" x14ac:dyDescent="0.25">
      <c r="A7368" s="66"/>
    </row>
    <row r="7369" spans="1:1" x14ac:dyDescent="0.25">
      <c r="A7369" s="66"/>
    </row>
    <row r="7370" spans="1:1" x14ac:dyDescent="0.25">
      <c r="A7370" s="66"/>
    </row>
    <row r="7371" spans="1:1" x14ac:dyDescent="0.25">
      <c r="A7371" s="66"/>
    </row>
    <row r="7372" spans="1:1" x14ac:dyDescent="0.25">
      <c r="A7372" s="66"/>
    </row>
    <row r="7373" spans="1:1" x14ac:dyDescent="0.25">
      <c r="A7373" s="66"/>
    </row>
    <row r="7374" spans="1:1" x14ac:dyDescent="0.25">
      <c r="A7374" s="66"/>
    </row>
    <row r="7375" spans="1:1" x14ac:dyDescent="0.25">
      <c r="A7375" s="66"/>
    </row>
    <row r="7376" spans="1:1" x14ac:dyDescent="0.25">
      <c r="A7376" s="66"/>
    </row>
    <row r="7377" spans="1:1" x14ac:dyDescent="0.25">
      <c r="A7377" s="66"/>
    </row>
    <row r="7378" spans="1:1" x14ac:dyDescent="0.25">
      <c r="A7378" s="66"/>
    </row>
    <row r="7379" spans="1:1" x14ac:dyDescent="0.25">
      <c r="A7379" s="66"/>
    </row>
    <row r="7380" spans="1:1" x14ac:dyDescent="0.25">
      <c r="A7380" s="66"/>
    </row>
    <row r="7381" spans="1:1" x14ac:dyDescent="0.25">
      <c r="A7381" s="66"/>
    </row>
    <row r="7382" spans="1:1" x14ac:dyDescent="0.25">
      <c r="A7382" s="66"/>
    </row>
    <row r="7383" spans="1:1" x14ac:dyDescent="0.25">
      <c r="A7383" s="66"/>
    </row>
    <row r="7384" spans="1:1" x14ac:dyDescent="0.25">
      <c r="A7384" s="66"/>
    </row>
    <row r="7385" spans="1:1" x14ac:dyDescent="0.25">
      <c r="A7385" s="66"/>
    </row>
    <row r="7386" spans="1:1" x14ac:dyDescent="0.25">
      <c r="A7386" s="66"/>
    </row>
    <row r="7387" spans="1:1" x14ac:dyDescent="0.25">
      <c r="A7387" s="66"/>
    </row>
    <row r="7388" spans="1:1" x14ac:dyDescent="0.25">
      <c r="A7388" s="66"/>
    </row>
    <row r="7389" spans="1:1" x14ac:dyDescent="0.25">
      <c r="A7389" s="66"/>
    </row>
    <row r="7390" spans="1:1" x14ac:dyDescent="0.25">
      <c r="A7390" s="66"/>
    </row>
    <row r="7391" spans="1:1" x14ac:dyDescent="0.25">
      <c r="A7391" s="66"/>
    </row>
    <row r="7392" spans="1:1" x14ac:dyDescent="0.25">
      <c r="A7392" s="66"/>
    </row>
    <row r="7393" spans="1:1" x14ac:dyDescent="0.25">
      <c r="A7393" s="66"/>
    </row>
    <row r="7394" spans="1:1" x14ac:dyDescent="0.25">
      <c r="A7394" s="66"/>
    </row>
    <row r="7395" spans="1:1" x14ac:dyDescent="0.25">
      <c r="A7395" s="66"/>
    </row>
    <row r="7396" spans="1:1" x14ac:dyDescent="0.25">
      <c r="A7396" s="66"/>
    </row>
    <row r="7397" spans="1:1" x14ac:dyDescent="0.25">
      <c r="A7397" s="66"/>
    </row>
    <row r="7398" spans="1:1" x14ac:dyDescent="0.25">
      <c r="A7398" s="66"/>
    </row>
    <row r="7399" spans="1:1" x14ac:dyDescent="0.25">
      <c r="A7399" s="66"/>
    </row>
    <row r="7400" spans="1:1" x14ac:dyDescent="0.25">
      <c r="A7400" s="66"/>
    </row>
    <row r="7401" spans="1:1" x14ac:dyDescent="0.25">
      <c r="A7401" s="66"/>
    </row>
    <row r="7402" spans="1:1" x14ac:dyDescent="0.25">
      <c r="A7402" s="66"/>
    </row>
    <row r="7403" spans="1:1" x14ac:dyDescent="0.25">
      <c r="A7403" s="66"/>
    </row>
    <row r="7404" spans="1:1" x14ac:dyDescent="0.25">
      <c r="A7404" s="66"/>
    </row>
    <row r="7405" spans="1:1" x14ac:dyDescent="0.25">
      <c r="A7405" s="66"/>
    </row>
    <row r="7406" spans="1:1" x14ac:dyDescent="0.25">
      <c r="A7406" s="66"/>
    </row>
    <row r="7407" spans="1:1" x14ac:dyDescent="0.25">
      <c r="A7407" s="66"/>
    </row>
    <row r="7408" spans="1:1" x14ac:dyDescent="0.25">
      <c r="A7408" s="66"/>
    </row>
    <row r="7409" spans="1:1" x14ac:dyDescent="0.25">
      <c r="A7409" s="66"/>
    </row>
    <row r="7410" spans="1:1" x14ac:dyDescent="0.25">
      <c r="A7410" s="66"/>
    </row>
    <row r="7411" spans="1:1" x14ac:dyDescent="0.25">
      <c r="A7411" s="66"/>
    </row>
    <row r="7412" spans="1:1" x14ac:dyDescent="0.25">
      <c r="A7412" s="66"/>
    </row>
    <row r="7413" spans="1:1" x14ac:dyDescent="0.25">
      <c r="A7413" s="66"/>
    </row>
    <row r="7414" spans="1:1" x14ac:dyDescent="0.25">
      <c r="A7414" s="66"/>
    </row>
    <row r="7415" spans="1:1" x14ac:dyDescent="0.25">
      <c r="A7415" s="66"/>
    </row>
    <row r="7416" spans="1:1" x14ac:dyDescent="0.25">
      <c r="A7416" s="66"/>
    </row>
    <row r="7417" spans="1:1" x14ac:dyDescent="0.25">
      <c r="A7417" s="66"/>
    </row>
    <row r="7418" spans="1:1" x14ac:dyDescent="0.25">
      <c r="A7418" s="66"/>
    </row>
    <row r="7419" spans="1:1" x14ac:dyDescent="0.25">
      <c r="A7419" s="66"/>
    </row>
    <row r="7420" spans="1:1" x14ac:dyDescent="0.25">
      <c r="A7420" s="66"/>
    </row>
    <row r="7421" spans="1:1" x14ac:dyDescent="0.25">
      <c r="A7421" s="66"/>
    </row>
    <row r="7422" spans="1:1" x14ac:dyDescent="0.25">
      <c r="A7422" s="66"/>
    </row>
    <row r="7423" spans="1:1" x14ac:dyDescent="0.25">
      <c r="A7423" s="66"/>
    </row>
    <row r="7424" spans="1:1" x14ac:dyDescent="0.25">
      <c r="A7424" s="66"/>
    </row>
    <row r="7425" spans="1:1" x14ac:dyDescent="0.25">
      <c r="A7425" s="66"/>
    </row>
    <row r="7426" spans="1:1" x14ac:dyDescent="0.25">
      <c r="A7426" s="66"/>
    </row>
    <row r="7427" spans="1:1" x14ac:dyDescent="0.25">
      <c r="A7427" s="66"/>
    </row>
    <row r="7428" spans="1:1" x14ac:dyDescent="0.25">
      <c r="A7428" s="66"/>
    </row>
    <row r="7429" spans="1:1" x14ac:dyDescent="0.25">
      <c r="A7429" s="66"/>
    </row>
    <row r="7430" spans="1:1" x14ac:dyDescent="0.25">
      <c r="A7430" s="66"/>
    </row>
    <row r="7431" spans="1:1" x14ac:dyDescent="0.25">
      <c r="A7431" s="66"/>
    </row>
    <row r="7432" spans="1:1" x14ac:dyDescent="0.25">
      <c r="A7432" s="66"/>
    </row>
    <row r="7433" spans="1:1" x14ac:dyDescent="0.25">
      <c r="A7433" s="66"/>
    </row>
    <row r="7434" spans="1:1" x14ac:dyDescent="0.25">
      <c r="A7434" s="66"/>
    </row>
    <row r="7435" spans="1:1" x14ac:dyDescent="0.25">
      <c r="A7435" s="66"/>
    </row>
    <row r="7436" spans="1:1" x14ac:dyDescent="0.25">
      <c r="A7436" s="66"/>
    </row>
    <row r="7437" spans="1:1" x14ac:dyDescent="0.25">
      <c r="A7437" s="66"/>
    </row>
    <row r="7438" spans="1:1" x14ac:dyDescent="0.25">
      <c r="A7438" s="66"/>
    </row>
    <row r="7439" spans="1:1" x14ac:dyDescent="0.25">
      <c r="A7439" s="66"/>
    </row>
    <row r="7440" spans="1:1" x14ac:dyDescent="0.25">
      <c r="A7440" s="66"/>
    </row>
    <row r="7441" spans="1:1" x14ac:dyDescent="0.25">
      <c r="A7441" s="66"/>
    </row>
    <row r="7442" spans="1:1" x14ac:dyDescent="0.25">
      <c r="A7442" s="66"/>
    </row>
    <row r="7443" spans="1:1" x14ac:dyDescent="0.25">
      <c r="A7443" s="66"/>
    </row>
    <row r="7444" spans="1:1" x14ac:dyDescent="0.25">
      <c r="A7444" s="66"/>
    </row>
    <row r="7445" spans="1:1" x14ac:dyDescent="0.25">
      <c r="A7445" s="66"/>
    </row>
    <row r="7446" spans="1:1" x14ac:dyDescent="0.25">
      <c r="A7446" s="66"/>
    </row>
    <row r="7447" spans="1:1" x14ac:dyDescent="0.25">
      <c r="A7447" s="66"/>
    </row>
    <row r="7448" spans="1:1" x14ac:dyDescent="0.25">
      <c r="A7448" s="66"/>
    </row>
    <row r="7449" spans="1:1" x14ac:dyDescent="0.25">
      <c r="A7449" s="66"/>
    </row>
    <row r="7450" spans="1:1" x14ac:dyDescent="0.25">
      <c r="A7450" s="66"/>
    </row>
    <row r="7451" spans="1:1" x14ac:dyDescent="0.25">
      <c r="A7451" s="66"/>
    </row>
    <row r="7452" spans="1:1" x14ac:dyDescent="0.25">
      <c r="A7452" s="66"/>
    </row>
    <row r="7453" spans="1:1" x14ac:dyDescent="0.25">
      <c r="A7453" s="66"/>
    </row>
    <row r="7454" spans="1:1" x14ac:dyDescent="0.25">
      <c r="A7454" s="66"/>
    </row>
    <row r="7455" spans="1:1" x14ac:dyDescent="0.25">
      <c r="A7455" s="66"/>
    </row>
    <row r="7456" spans="1:1" x14ac:dyDescent="0.25">
      <c r="A7456" s="66"/>
    </row>
    <row r="7457" spans="1:1" x14ac:dyDescent="0.25">
      <c r="A7457" s="66"/>
    </row>
    <row r="7458" spans="1:1" x14ac:dyDescent="0.25">
      <c r="A7458" s="66"/>
    </row>
    <row r="7459" spans="1:1" x14ac:dyDescent="0.25">
      <c r="A7459" s="66"/>
    </row>
    <row r="7460" spans="1:1" x14ac:dyDescent="0.25">
      <c r="A7460" s="66"/>
    </row>
    <row r="7461" spans="1:1" x14ac:dyDescent="0.25">
      <c r="A7461" s="66"/>
    </row>
    <row r="7462" spans="1:1" x14ac:dyDescent="0.25">
      <c r="A7462" s="66"/>
    </row>
    <row r="7463" spans="1:1" x14ac:dyDescent="0.25">
      <c r="A7463" s="66"/>
    </row>
    <row r="7464" spans="1:1" x14ac:dyDescent="0.25">
      <c r="A7464" s="66"/>
    </row>
    <row r="7465" spans="1:1" x14ac:dyDescent="0.25">
      <c r="A7465" s="66"/>
    </row>
    <row r="7466" spans="1:1" x14ac:dyDescent="0.25">
      <c r="A7466" s="66"/>
    </row>
    <row r="7467" spans="1:1" x14ac:dyDescent="0.25">
      <c r="A7467" s="66"/>
    </row>
    <row r="7468" spans="1:1" x14ac:dyDescent="0.25">
      <c r="A7468" s="66"/>
    </row>
    <row r="7469" spans="1:1" x14ac:dyDescent="0.25">
      <c r="A7469" s="66"/>
    </row>
    <row r="7470" spans="1:1" x14ac:dyDescent="0.25">
      <c r="A7470" s="66"/>
    </row>
    <row r="7471" spans="1:1" x14ac:dyDescent="0.25">
      <c r="A7471" s="66"/>
    </row>
    <row r="7472" spans="1:1" x14ac:dyDescent="0.25">
      <c r="A7472" s="66"/>
    </row>
    <row r="7473" spans="1:1" x14ac:dyDescent="0.25">
      <c r="A7473" s="66"/>
    </row>
    <row r="7474" spans="1:1" x14ac:dyDescent="0.25">
      <c r="A7474" s="66"/>
    </row>
    <row r="7475" spans="1:1" x14ac:dyDescent="0.25">
      <c r="A7475" s="66"/>
    </row>
    <row r="7476" spans="1:1" x14ac:dyDescent="0.25">
      <c r="A7476" s="66"/>
    </row>
    <row r="7477" spans="1:1" x14ac:dyDescent="0.25">
      <c r="A7477" s="66"/>
    </row>
    <row r="7478" spans="1:1" x14ac:dyDescent="0.25">
      <c r="A7478" s="66"/>
    </row>
    <row r="7479" spans="1:1" x14ac:dyDescent="0.25">
      <c r="A7479" s="66"/>
    </row>
    <row r="7480" spans="1:1" x14ac:dyDescent="0.25">
      <c r="A7480" s="66"/>
    </row>
    <row r="7481" spans="1:1" x14ac:dyDescent="0.25">
      <c r="A7481" s="66"/>
    </row>
    <row r="7482" spans="1:1" x14ac:dyDescent="0.25">
      <c r="A7482" s="66"/>
    </row>
    <row r="7483" spans="1:1" x14ac:dyDescent="0.25">
      <c r="A7483" s="66"/>
    </row>
    <row r="7484" spans="1:1" x14ac:dyDescent="0.25">
      <c r="A7484" s="66"/>
    </row>
    <row r="7485" spans="1:1" x14ac:dyDescent="0.25">
      <c r="A7485" s="66"/>
    </row>
    <row r="7486" spans="1:1" x14ac:dyDescent="0.25">
      <c r="A7486" s="66"/>
    </row>
    <row r="7487" spans="1:1" x14ac:dyDescent="0.25">
      <c r="A7487" s="66"/>
    </row>
    <row r="7488" spans="1:1" x14ac:dyDescent="0.25">
      <c r="A7488" s="66"/>
    </row>
    <row r="7489" spans="1:1" x14ac:dyDescent="0.25">
      <c r="A7489" s="66"/>
    </row>
    <row r="7490" spans="1:1" x14ac:dyDescent="0.25">
      <c r="A7490" s="66"/>
    </row>
    <row r="7491" spans="1:1" x14ac:dyDescent="0.25">
      <c r="A7491" s="66"/>
    </row>
    <row r="7492" spans="1:1" x14ac:dyDescent="0.25">
      <c r="A7492" s="66"/>
    </row>
    <row r="7493" spans="1:1" x14ac:dyDescent="0.25">
      <c r="A7493" s="66"/>
    </row>
    <row r="7494" spans="1:1" x14ac:dyDescent="0.25">
      <c r="A7494" s="66"/>
    </row>
    <row r="7495" spans="1:1" x14ac:dyDescent="0.25">
      <c r="A7495" s="66"/>
    </row>
    <row r="7496" spans="1:1" x14ac:dyDescent="0.25">
      <c r="A7496" s="66"/>
    </row>
    <row r="7497" spans="1:1" x14ac:dyDescent="0.25">
      <c r="A7497" s="66"/>
    </row>
    <row r="7498" spans="1:1" x14ac:dyDescent="0.25">
      <c r="A7498" s="66"/>
    </row>
    <row r="7499" spans="1:1" x14ac:dyDescent="0.25">
      <c r="A7499" s="66"/>
    </row>
    <row r="7500" spans="1:1" x14ac:dyDescent="0.25">
      <c r="A7500" s="66"/>
    </row>
    <row r="7501" spans="1:1" x14ac:dyDescent="0.25">
      <c r="A7501" s="66"/>
    </row>
    <row r="7502" spans="1:1" x14ac:dyDescent="0.25">
      <c r="A7502" s="66"/>
    </row>
    <row r="7503" spans="1:1" x14ac:dyDescent="0.25">
      <c r="A7503" s="66"/>
    </row>
    <row r="7504" spans="1:1" x14ac:dyDescent="0.25">
      <c r="A7504" s="66"/>
    </row>
    <row r="7505" spans="1:1" x14ac:dyDescent="0.25">
      <c r="A7505" s="66"/>
    </row>
    <row r="7506" spans="1:1" x14ac:dyDescent="0.25">
      <c r="A7506" s="66"/>
    </row>
    <row r="7507" spans="1:1" x14ac:dyDescent="0.25">
      <c r="A7507" s="66"/>
    </row>
    <row r="7508" spans="1:1" x14ac:dyDescent="0.25">
      <c r="A7508" s="66"/>
    </row>
    <row r="7509" spans="1:1" x14ac:dyDescent="0.25">
      <c r="A7509" s="66"/>
    </row>
    <row r="7510" spans="1:1" x14ac:dyDescent="0.25">
      <c r="A7510" s="66"/>
    </row>
    <row r="7511" spans="1:1" x14ac:dyDescent="0.25">
      <c r="A7511" s="66"/>
    </row>
    <row r="7512" spans="1:1" x14ac:dyDescent="0.25">
      <c r="A7512" s="66"/>
    </row>
    <row r="7513" spans="1:1" x14ac:dyDescent="0.25">
      <c r="A7513" s="66"/>
    </row>
    <row r="7514" spans="1:1" x14ac:dyDescent="0.25">
      <c r="A7514" s="66"/>
    </row>
    <row r="7515" spans="1:1" x14ac:dyDescent="0.25">
      <c r="A7515" s="66"/>
    </row>
    <row r="7516" spans="1:1" x14ac:dyDescent="0.25">
      <c r="A7516" s="66"/>
    </row>
    <row r="7517" spans="1:1" x14ac:dyDescent="0.25">
      <c r="A7517" s="66"/>
    </row>
    <row r="7518" spans="1:1" x14ac:dyDescent="0.25">
      <c r="A7518" s="66"/>
    </row>
    <row r="7519" spans="1:1" x14ac:dyDescent="0.25">
      <c r="A7519" s="66"/>
    </row>
    <row r="7520" spans="1:1" x14ac:dyDescent="0.25">
      <c r="A7520" s="66"/>
    </row>
    <row r="7521" spans="1:1" x14ac:dyDescent="0.25">
      <c r="A7521" s="66"/>
    </row>
    <row r="7522" spans="1:1" x14ac:dyDescent="0.25">
      <c r="A7522" s="66"/>
    </row>
    <row r="7523" spans="1:1" x14ac:dyDescent="0.25">
      <c r="A7523" s="66"/>
    </row>
    <row r="7524" spans="1:1" x14ac:dyDescent="0.25">
      <c r="A7524" s="66"/>
    </row>
    <row r="7525" spans="1:1" x14ac:dyDescent="0.25">
      <c r="A7525" s="66"/>
    </row>
    <row r="7526" spans="1:1" x14ac:dyDescent="0.25">
      <c r="A7526" s="66"/>
    </row>
    <row r="7527" spans="1:1" x14ac:dyDescent="0.25">
      <c r="A7527" s="66"/>
    </row>
    <row r="7528" spans="1:1" x14ac:dyDescent="0.25">
      <c r="A7528" s="66"/>
    </row>
    <row r="7529" spans="1:1" x14ac:dyDescent="0.25">
      <c r="A7529" s="66"/>
    </row>
    <row r="7530" spans="1:1" x14ac:dyDescent="0.25">
      <c r="A7530" s="66"/>
    </row>
    <row r="7531" spans="1:1" x14ac:dyDescent="0.25">
      <c r="A7531" s="66"/>
    </row>
    <row r="7532" spans="1:1" x14ac:dyDescent="0.25">
      <c r="A7532" s="66"/>
    </row>
    <row r="7533" spans="1:1" x14ac:dyDescent="0.25">
      <c r="A7533" s="66"/>
    </row>
    <row r="7534" spans="1:1" x14ac:dyDescent="0.25">
      <c r="A7534" s="66"/>
    </row>
    <row r="7535" spans="1:1" x14ac:dyDescent="0.25">
      <c r="A7535" s="66"/>
    </row>
    <row r="7536" spans="1:1" x14ac:dyDescent="0.25">
      <c r="A7536" s="66"/>
    </row>
    <row r="7537" spans="1:1" x14ac:dyDescent="0.25">
      <c r="A7537" s="66"/>
    </row>
    <row r="7538" spans="1:1" x14ac:dyDescent="0.25">
      <c r="A7538" s="66"/>
    </row>
    <row r="7539" spans="1:1" x14ac:dyDescent="0.25">
      <c r="A7539" s="66"/>
    </row>
    <row r="7540" spans="1:1" x14ac:dyDescent="0.25">
      <c r="A7540" s="66"/>
    </row>
    <row r="7541" spans="1:1" x14ac:dyDescent="0.25">
      <c r="A7541" s="66"/>
    </row>
    <row r="7542" spans="1:1" x14ac:dyDescent="0.25">
      <c r="A7542" s="66"/>
    </row>
    <row r="7543" spans="1:1" x14ac:dyDescent="0.25">
      <c r="A7543" s="66"/>
    </row>
    <row r="7544" spans="1:1" x14ac:dyDescent="0.25">
      <c r="A7544" s="66"/>
    </row>
    <row r="7545" spans="1:1" x14ac:dyDescent="0.25">
      <c r="A7545" s="66"/>
    </row>
    <row r="7546" spans="1:1" x14ac:dyDescent="0.25">
      <c r="A7546" s="66"/>
    </row>
    <row r="7547" spans="1:1" x14ac:dyDescent="0.25">
      <c r="A7547" s="66"/>
    </row>
    <row r="7548" spans="1:1" x14ac:dyDescent="0.25">
      <c r="A7548" s="66"/>
    </row>
    <row r="7549" spans="1:1" x14ac:dyDescent="0.25">
      <c r="A7549" s="66"/>
    </row>
    <row r="7550" spans="1:1" x14ac:dyDescent="0.25">
      <c r="A7550" s="66"/>
    </row>
    <row r="7551" spans="1:1" x14ac:dyDescent="0.25">
      <c r="A7551" s="66"/>
    </row>
    <row r="7552" spans="1:1" x14ac:dyDescent="0.25">
      <c r="A7552" s="66"/>
    </row>
    <row r="7553" spans="1:1" x14ac:dyDescent="0.25">
      <c r="A7553" s="66"/>
    </row>
    <row r="7554" spans="1:1" x14ac:dyDescent="0.25">
      <c r="A7554" s="66"/>
    </row>
    <row r="7555" spans="1:1" x14ac:dyDescent="0.25">
      <c r="A7555" s="66"/>
    </row>
    <row r="7556" spans="1:1" x14ac:dyDescent="0.25">
      <c r="A7556" s="66"/>
    </row>
    <row r="7557" spans="1:1" x14ac:dyDescent="0.25">
      <c r="A7557" s="66"/>
    </row>
    <row r="7558" spans="1:1" x14ac:dyDescent="0.25">
      <c r="A7558" s="66"/>
    </row>
    <row r="7559" spans="1:1" x14ac:dyDescent="0.25">
      <c r="A7559" s="66"/>
    </row>
    <row r="7560" spans="1:1" x14ac:dyDescent="0.25">
      <c r="A7560" s="66"/>
    </row>
    <row r="7561" spans="1:1" x14ac:dyDescent="0.25">
      <c r="A7561" s="66"/>
    </row>
    <row r="7562" spans="1:1" x14ac:dyDescent="0.25">
      <c r="A7562" s="66"/>
    </row>
    <row r="7563" spans="1:1" x14ac:dyDescent="0.25">
      <c r="A7563" s="66"/>
    </row>
    <row r="7564" spans="1:1" x14ac:dyDescent="0.25">
      <c r="A7564" s="66"/>
    </row>
    <row r="7565" spans="1:1" x14ac:dyDescent="0.25">
      <c r="A7565" s="66"/>
    </row>
    <row r="7566" spans="1:1" x14ac:dyDescent="0.25">
      <c r="A7566" s="66"/>
    </row>
    <row r="7567" spans="1:1" x14ac:dyDescent="0.25">
      <c r="A7567" s="66"/>
    </row>
    <row r="7568" spans="1:1" x14ac:dyDescent="0.25">
      <c r="A7568" s="66"/>
    </row>
    <row r="7569" spans="1:1" x14ac:dyDescent="0.25">
      <c r="A7569" s="66"/>
    </row>
    <row r="7570" spans="1:1" x14ac:dyDescent="0.25">
      <c r="A7570" s="66"/>
    </row>
    <row r="7571" spans="1:1" x14ac:dyDescent="0.25">
      <c r="A7571" s="66"/>
    </row>
    <row r="7572" spans="1:1" x14ac:dyDescent="0.25">
      <c r="A7572" s="66"/>
    </row>
    <row r="7573" spans="1:1" x14ac:dyDescent="0.25">
      <c r="A7573" s="66"/>
    </row>
    <row r="7574" spans="1:1" x14ac:dyDescent="0.25">
      <c r="A7574" s="66"/>
    </row>
    <row r="7575" spans="1:1" x14ac:dyDescent="0.25">
      <c r="A7575" s="66"/>
    </row>
    <row r="7576" spans="1:1" x14ac:dyDescent="0.25">
      <c r="A7576" s="66"/>
    </row>
    <row r="7577" spans="1:1" x14ac:dyDescent="0.25">
      <c r="A7577" s="66"/>
    </row>
    <row r="7578" spans="1:1" x14ac:dyDescent="0.25">
      <c r="A7578" s="66"/>
    </row>
    <row r="7579" spans="1:1" x14ac:dyDescent="0.25">
      <c r="A7579" s="66"/>
    </row>
    <row r="7580" spans="1:1" x14ac:dyDescent="0.25">
      <c r="A7580" s="66"/>
    </row>
    <row r="7581" spans="1:1" x14ac:dyDescent="0.25">
      <c r="A7581" s="66"/>
    </row>
    <row r="7582" spans="1:1" x14ac:dyDescent="0.25">
      <c r="A7582" s="66"/>
    </row>
    <row r="7583" spans="1:1" x14ac:dyDescent="0.25">
      <c r="A7583" s="66"/>
    </row>
    <row r="7584" spans="1:1" x14ac:dyDescent="0.25">
      <c r="A7584" s="66"/>
    </row>
    <row r="7585" spans="1:1" x14ac:dyDescent="0.25">
      <c r="A7585" s="66"/>
    </row>
    <row r="7586" spans="1:1" x14ac:dyDescent="0.25">
      <c r="A7586" s="66"/>
    </row>
    <row r="7587" spans="1:1" x14ac:dyDescent="0.25">
      <c r="A7587" s="66"/>
    </row>
    <row r="7588" spans="1:1" x14ac:dyDescent="0.25">
      <c r="A7588" s="66"/>
    </row>
    <row r="7589" spans="1:1" x14ac:dyDescent="0.25">
      <c r="A7589" s="66"/>
    </row>
    <row r="7590" spans="1:1" x14ac:dyDescent="0.25">
      <c r="A7590" s="66"/>
    </row>
    <row r="7591" spans="1:1" x14ac:dyDescent="0.25">
      <c r="A7591" s="66"/>
    </row>
    <row r="7592" spans="1:1" x14ac:dyDescent="0.25">
      <c r="A7592" s="66"/>
    </row>
    <row r="7593" spans="1:1" x14ac:dyDescent="0.25">
      <c r="A7593" s="66"/>
    </row>
    <row r="7594" spans="1:1" x14ac:dyDescent="0.25">
      <c r="A7594" s="66"/>
    </row>
    <row r="7595" spans="1:1" x14ac:dyDescent="0.25">
      <c r="A7595" s="66"/>
    </row>
    <row r="7596" spans="1:1" x14ac:dyDescent="0.25">
      <c r="A7596" s="66"/>
    </row>
    <row r="7597" spans="1:1" x14ac:dyDescent="0.25">
      <c r="A7597" s="66"/>
    </row>
    <row r="7598" spans="1:1" x14ac:dyDescent="0.25">
      <c r="A7598" s="66"/>
    </row>
    <row r="7599" spans="1:1" x14ac:dyDescent="0.25">
      <c r="A7599" s="66"/>
    </row>
    <row r="7600" spans="1:1" x14ac:dyDescent="0.25">
      <c r="A7600" s="66"/>
    </row>
    <row r="7601" spans="1:1" x14ac:dyDescent="0.25">
      <c r="A7601" s="66"/>
    </row>
    <row r="7602" spans="1:1" x14ac:dyDescent="0.25">
      <c r="A7602" s="66"/>
    </row>
    <row r="7603" spans="1:1" x14ac:dyDescent="0.25">
      <c r="A7603" s="66"/>
    </row>
    <row r="7604" spans="1:1" x14ac:dyDescent="0.25">
      <c r="A7604" s="66"/>
    </row>
    <row r="7605" spans="1:1" x14ac:dyDescent="0.25">
      <c r="A7605" s="66"/>
    </row>
    <row r="7606" spans="1:1" x14ac:dyDescent="0.25">
      <c r="A7606" s="66"/>
    </row>
    <row r="7607" spans="1:1" x14ac:dyDescent="0.25">
      <c r="A7607" s="66"/>
    </row>
    <row r="7608" spans="1:1" x14ac:dyDescent="0.25">
      <c r="A7608" s="66"/>
    </row>
    <row r="7609" spans="1:1" x14ac:dyDescent="0.25">
      <c r="A7609" s="66"/>
    </row>
    <row r="7610" spans="1:1" x14ac:dyDescent="0.25">
      <c r="A7610" s="66"/>
    </row>
    <row r="7611" spans="1:1" x14ac:dyDescent="0.25">
      <c r="A7611" s="66"/>
    </row>
    <row r="7612" spans="1:1" x14ac:dyDescent="0.25">
      <c r="A7612" s="66"/>
    </row>
    <row r="7613" spans="1:1" x14ac:dyDescent="0.25">
      <c r="A7613" s="66"/>
    </row>
    <row r="7614" spans="1:1" x14ac:dyDescent="0.25">
      <c r="A7614" s="66"/>
    </row>
    <row r="7615" spans="1:1" x14ac:dyDescent="0.25">
      <c r="A7615" s="66"/>
    </row>
    <row r="7616" spans="1:1" x14ac:dyDescent="0.25">
      <c r="A7616" s="66"/>
    </row>
    <row r="7617" spans="1:1" x14ac:dyDescent="0.25">
      <c r="A7617" s="66"/>
    </row>
    <row r="7618" spans="1:1" x14ac:dyDescent="0.25">
      <c r="A7618" s="66"/>
    </row>
    <row r="7619" spans="1:1" x14ac:dyDescent="0.25">
      <c r="A7619" s="66"/>
    </row>
    <row r="7620" spans="1:1" x14ac:dyDescent="0.25">
      <c r="A7620" s="66"/>
    </row>
    <row r="7621" spans="1:1" x14ac:dyDescent="0.25">
      <c r="A7621" s="66"/>
    </row>
    <row r="7622" spans="1:1" x14ac:dyDescent="0.25">
      <c r="A7622" s="66"/>
    </row>
    <row r="7623" spans="1:1" x14ac:dyDescent="0.25">
      <c r="A7623" s="66"/>
    </row>
    <row r="7624" spans="1:1" x14ac:dyDescent="0.25">
      <c r="A7624" s="66"/>
    </row>
    <row r="7625" spans="1:1" x14ac:dyDescent="0.25">
      <c r="A7625" s="66"/>
    </row>
    <row r="7626" spans="1:1" x14ac:dyDescent="0.25">
      <c r="A7626" s="66"/>
    </row>
    <row r="7627" spans="1:1" x14ac:dyDescent="0.25">
      <c r="A7627" s="66"/>
    </row>
    <row r="7628" spans="1:1" x14ac:dyDescent="0.25">
      <c r="A7628" s="66"/>
    </row>
    <row r="7629" spans="1:1" x14ac:dyDescent="0.25">
      <c r="A7629" s="66"/>
    </row>
    <row r="7630" spans="1:1" x14ac:dyDescent="0.25">
      <c r="A7630" s="66"/>
    </row>
    <row r="7631" spans="1:1" x14ac:dyDescent="0.25">
      <c r="A7631" s="66"/>
    </row>
    <row r="7632" spans="1:1" x14ac:dyDescent="0.25">
      <c r="A7632" s="66"/>
    </row>
    <row r="7633" spans="1:1" x14ac:dyDescent="0.25">
      <c r="A7633" s="66"/>
    </row>
    <row r="7634" spans="1:1" x14ac:dyDescent="0.25">
      <c r="A7634" s="66"/>
    </row>
    <row r="7635" spans="1:1" x14ac:dyDescent="0.25">
      <c r="A7635" s="66"/>
    </row>
    <row r="7636" spans="1:1" x14ac:dyDescent="0.25">
      <c r="A7636" s="66"/>
    </row>
    <row r="7637" spans="1:1" x14ac:dyDescent="0.25">
      <c r="A7637" s="66"/>
    </row>
    <row r="7638" spans="1:1" x14ac:dyDescent="0.25">
      <c r="A7638" s="66"/>
    </row>
    <row r="7639" spans="1:1" x14ac:dyDescent="0.25">
      <c r="A7639" s="66"/>
    </row>
    <row r="7640" spans="1:1" x14ac:dyDescent="0.25">
      <c r="A7640" s="66"/>
    </row>
    <row r="7641" spans="1:1" x14ac:dyDescent="0.25">
      <c r="A7641" s="66"/>
    </row>
    <row r="7642" spans="1:1" x14ac:dyDescent="0.25">
      <c r="A7642" s="66"/>
    </row>
    <row r="7643" spans="1:1" x14ac:dyDescent="0.25">
      <c r="A7643" s="66"/>
    </row>
    <row r="7644" spans="1:1" x14ac:dyDescent="0.25">
      <c r="A7644" s="66"/>
    </row>
    <row r="7645" spans="1:1" x14ac:dyDescent="0.25">
      <c r="A7645" s="66"/>
    </row>
    <row r="7646" spans="1:1" x14ac:dyDescent="0.25">
      <c r="A7646" s="66"/>
    </row>
    <row r="7647" spans="1:1" x14ac:dyDescent="0.25">
      <c r="A7647" s="66"/>
    </row>
    <row r="7648" spans="1:1" x14ac:dyDescent="0.25">
      <c r="A7648" s="66"/>
    </row>
    <row r="7649" spans="1:1" x14ac:dyDescent="0.25">
      <c r="A7649" s="66"/>
    </row>
    <row r="7650" spans="1:1" x14ac:dyDescent="0.25">
      <c r="A7650" s="66"/>
    </row>
    <row r="7651" spans="1:1" x14ac:dyDescent="0.25">
      <c r="A7651" s="66"/>
    </row>
    <row r="7652" spans="1:1" x14ac:dyDescent="0.25">
      <c r="A7652" s="66"/>
    </row>
    <row r="7653" spans="1:1" x14ac:dyDescent="0.25">
      <c r="A7653" s="66"/>
    </row>
    <row r="7654" spans="1:1" x14ac:dyDescent="0.25">
      <c r="A7654" s="66"/>
    </row>
    <row r="7655" spans="1:1" x14ac:dyDescent="0.25">
      <c r="A7655" s="66"/>
    </row>
    <row r="7656" spans="1:1" x14ac:dyDescent="0.25">
      <c r="A7656" s="66"/>
    </row>
    <row r="7657" spans="1:1" x14ac:dyDescent="0.25">
      <c r="A7657" s="66"/>
    </row>
    <row r="7658" spans="1:1" x14ac:dyDescent="0.25">
      <c r="A7658" s="66"/>
    </row>
    <row r="7659" spans="1:1" x14ac:dyDescent="0.25">
      <c r="A7659" s="66"/>
    </row>
    <row r="7660" spans="1:1" x14ac:dyDescent="0.25">
      <c r="A7660" s="66"/>
    </row>
    <row r="7661" spans="1:1" x14ac:dyDescent="0.25">
      <c r="A7661" s="66"/>
    </row>
    <row r="7662" spans="1:1" x14ac:dyDescent="0.25">
      <c r="A7662" s="66"/>
    </row>
    <row r="7663" spans="1:1" x14ac:dyDescent="0.25">
      <c r="A7663" s="66"/>
    </row>
    <row r="7664" spans="1:1" x14ac:dyDescent="0.25">
      <c r="A7664" s="66"/>
    </row>
    <row r="7665" spans="1:1" x14ac:dyDescent="0.25">
      <c r="A7665" s="66"/>
    </row>
    <row r="7666" spans="1:1" x14ac:dyDescent="0.25">
      <c r="A7666" s="66"/>
    </row>
    <row r="7667" spans="1:1" x14ac:dyDescent="0.25">
      <c r="A7667" s="66"/>
    </row>
    <row r="7668" spans="1:1" x14ac:dyDescent="0.25">
      <c r="A7668" s="66"/>
    </row>
    <row r="7669" spans="1:1" x14ac:dyDescent="0.25">
      <c r="A7669" s="66"/>
    </row>
    <row r="7670" spans="1:1" x14ac:dyDescent="0.25">
      <c r="A7670" s="66"/>
    </row>
    <row r="7671" spans="1:1" x14ac:dyDescent="0.25">
      <c r="A7671" s="66"/>
    </row>
    <row r="7672" spans="1:1" x14ac:dyDescent="0.25">
      <c r="A7672" s="66"/>
    </row>
    <row r="7673" spans="1:1" x14ac:dyDescent="0.25">
      <c r="A7673" s="66"/>
    </row>
    <row r="7674" spans="1:1" x14ac:dyDescent="0.25">
      <c r="A7674" s="66"/>
    </row>
    <row r="7675" spans="1:1" x14ac:dyDescent="0.25">
      <c r="A7675" s="66"/>
    </row>
    <row r="7676" spans="1:1" x14ac:dyDescent="0.25">
      <c r="A7676" s="66"/>
    </row>
    <row r="7677" spans="1:1" x14ac:dyDescent="0.25">
      <c r="A7677" s="66"/>
    </row>
    <row r="7678" spans="1:1" x14ac:dyDescent="0.25">
      <c r="A7678" s="66"/>
    </row>
    <row r="7679" spans="1:1" x14ac:dyDescent="0.25">
      <c r="A7679" s="66"/>
    </row>
    <row r="7680" spans="1:1" x14ac:dyDescent="0.25">
      <c r="A7680" s="66"/>
    </row>
    <row r="7681" spans="1:1" x14ac:dyDescent="0.25">
      <c r="A7681" s="66"/>
    </row>
    <row r="7682" spans="1:1" x14ac:dyDescent="0.25">
      <c r="A7682" s="66"/>
    </row>
    <row r="7683" spans="1:1" x14ac:dyDescent="0.25">
      <c r="A7683" s="66"/>
    </row>
    <row r="7684" spans="1:1" x14ac:dyDescent="0.25">
      <c r="A7684" s="66"/>
    </row>
    <row r="7685" spans="1:1" x14ac:dyDescent="0.25">
      <c r="A7685" s="66"/>
    </row>
    <row r="7686" spans="1:1" x14ac:dyDescent="0.25">
      <c r="A7686" s="66"/>
    </row>
    <row r="7687" spans="1:1" x14ac:dyDescent="0.25">
      <c r="A7687" s="66"/>
    </row>
    <row r="7688" spans="1:1" x14ac:dyDescent="0.25">
      <c r="A7688" s="66"/>
    </row>
    <row r="7689" spans="1:1" x14ac:dyDescent="0.25">
      <c r="A7689" s="66"/>
    </row>
    <row r="7690" spans="1:1" x14ac:dyDescent="0.25">
      <c r="A7690" s="66"/>
    </row>
    <row r="7691" spans="1:1" x14ac:dyDescent="0.25">
      <c r="A7691" s="66"/>
    </row>
    <row r="7692" spans="1:1" x14ac:dyDescent="0.25">
      <c r="A7692" s="66"/>
    </row>
    <row r="7693" spans="1:1" x14ac:dyDescent="0.25">
      <c r="A7693" s="66"/>
    </row>
    <row r="7694" spans="1:1" x14ac:dyDescent="0.25">
      <c r="A7694" s="66"/>
    </row>
    <row r="7695" spans="1:1" x14ac:dyDescent="0.25">
      <c r="A7695" s="66"/>
    </row>
    <row r="7696" spans="1:1" x14ac:dyDescent="0.25">
      <c r="A7696" s="66"/>
    </row>
    <row r="7697" spans="1:1" x14ac:dyDescent="0.25">
      <c r="A7697" s="66"/>
    </row>
    <row r="7698" spans="1:1" x14ac:dyDescent="0.25">
      <c r="A7698" s="66"/>
    </row>
    <row r="7699" spans="1:1" x14ac:dyDescent="0.25">
      <c r="A7699" s="66"/>
    </row>
    <row r="7700" spans="1:1" x14ac:dyDescent="0.25">
      <c r="A7700" s="66"/>
    </row>
    <row r="7701" spans="1:1" x14ac:dyDescent="0.25">
      <c r="A7701" s="66"/>
    </row>
    <row r="7702" spans="1:1" x14ac:dyDescent="0.25">
      <c r="A7702" s="66"/>
    </row>
    <row r="7703" spans="1:1" x14ac:dyDescent="0.25">
      <c r="A7703" s="66"/>
    </row>
    <row r="7704" spans="1:1" x14ac:dyDescent="0.25">
      <c r="A7704" s="66"/>
    </row>
    <row r="7705" spans="1:1" x14ac:dyDescent="0.25">
      <c r="A7705" s="66"/>
    </row>
    <row r="7706" spans="1:1" x14ac:dyDescent="0.25">
      <c r="A7706" s="66"/>
    </row>
    <row r="7707" spans="1:1" x14ac:dyDescent="0.25">
      <c r="A7707" s="66"/>
    </row>
    <row r="7708" spans="1:1" x14ac:dyDescent="0.25">
      <c r="A7708" s="66"/>
    </row>
    <row r="7709" spans="1:1" x14ac:dyDescent="0.25">
      <c r="A7709" s="66"/>
    </row>
    <row r="7710" spans="1:1" x14ac:dyDescent="0.25">
      <c r="A7710" s="66"/>
    </row>
    <row r="7711" spans="1:1" x14ac:dyDescent="0.25">
      <c r="A7711" s="66"/>
    </row>
    <row r="7712" spans="1:1" x14ac:dyDescent="0.25">
      <c r="A7712" s="66"/>
    </row>
    <row r="7713" spans="1:1" x14ac:dyDescent="0.25">
      <c r="A7713" s="66"/>
    </row>
    <row r="7714" spans="1:1" x14ac:dyDescent="0.25">
      <c r="A7714" s="66"/>
    </row>
    <row r="7715" spans="1:1" x14ac:dyDescent="0.25">
      <c r="A7715" s="66"/>
    </row>
    <row r="7716" spans="1:1" x14ac:dyDescent="0.25">
      <c r="A7716" s="66"/>
    </row>
    <row r="7717" spans="1:1" x14ac:dyDescent="0.25">
      <c r="A7717" s="66"/>
    </row>
    <row r="7718" spans="1:1" x14ac:dyDescent="0.25">
      <c r="A7718" s="66"/>
    </row>
    <row r="7719" spans="1:1" x14ac:dyDescent="0.25">
      <c r="A7719" s="66"/>
    </row>
    <row r="7720" spans="1:1" x14ac:dyDescent="0.25">
      <c r="A7720" s="66"/>
    </row>
    <row r="7721" spans="1:1" x14ac:dyDescent="0.25">
      <c r="A7721" s="66"/>
    </row>
    <row r="7722" spans="1:1" x14ac:dyDescent="0.25">
      <c r="A7722" s="66"/>
    </row>
    <row r="7723" spans="1:1" x14ac:dyDescent="0.25">
      <c r="A7723" s="66"/>
    </row>
    <row r="7724" spans="1:1" x14ac:dyDescent="0.25">
      <c r="A7724" s="66"/>
    </row>
    <row r="7725" spans="1:1" x14ac:dyDescent="0.25">
      <c r="A7725" s="66"/>
    </row>
    <row r="7726" spans="1:1" x14ac:dyDescent="0.25">
      <c r="A7726" s="66"/>
    </row>
    <row r="7727" spans="1:1" x14ac:dyDescent="0.25">
      <c r="A7727" s="66"/>
    </row>
    <row r="7728" spans="1:1" x14ac:dyDescent="0.25">
      <c r="A7728" s="66"/>
    </row>
    <row r="7729" spans="1:1" x14ac:dyDescent="0.25">
      <c r="A7729" s="66"/>
    </row>
    <row r="7730" spans="1:1" x14ac:dyDescent="0.25">
      <c r="A7730" s="66"/>
    </row>
    <row r="7731" spans="1:1" x14ac:dyDescent="0.25">
      <c r="A7731" s="66"/>
    </row>
    <row r="7732" spans="1:1" x14ac:dyDescent="0.25">
      <c r="A7732" s="66"/>
    </row>
    <row r="7733" spans="1:1" x14ac:dyDescent="0.25">
      <c r="A7733" s="66"/>
    </row>
    <row r="7734" spans="1:1" x14ac:dyDescent="0.25">
      <c r="A7734" s="66"/>
    </row>
    <row r="7735" spans="1:1" x14ac:dyDescent="0.25">
      <c r="A7735" s="66"/>
    </row>
    <row r="7736" spans="1:1" x14ac:dyDescent="0.25">
      <c r="A7736" s="66"/>
    </row>
    <row r="7737" spans="1:1" x14ac:dyDescent="0.25">
      <c r="A7737" s="66"/>
    </row>
    <row r="7738" spans="1:1" x14ac:dyDescent="0.25">
      <c r="A7738" s="66"/>
    </row>
    <row r="7739" spans="1:1" x14ac:dyDescent="0.25">
      <c r="A7739" s="66"/>
    </row>
    <row r="7740" spans="1:1" x14ac:dyDescent="0.25">
      <c r="A7740" s="66"/>
    </row>
    <row r="7741" spans="1:1" x14ac:dyDescent="0.25">
      <c r="A7741" s="66"/>
    </row>
    <row r="7742" spans="1:1" x14ac:dyDescent="0.25">
      <c r="A7742" s="66"/>
    </row>
    <row r="7743" spans="1:1" x14ac:dyDescent="0.25">
      <c r="A7743" s="66"/>
    </row>
    <row r="7744" spans="1:1" x14ac:dyDescent="0.25">
      <c r="A7744" s="66"/>
    </row>
    <row r="7745" spans="1:1" x14ac:dyDescent="0.25">
      <c r="A7745" s="66"/>
    </row>
    <row r="7746" spans="1:1" x14ac:dyDescent="0.25">
      <c r="A7746" s="66"/>
    </row>
    <row r="7747" spans="1:1" x14ac:dyDescent="0.25">
      <c r="A7747" s="66"/>
    </row>
    <row r="7748" spans="1:1" x14ac:dyDescent="0.25">
      <c r="A7748" s="66"/>
    </row>
    <row r="7749" spans="1:1" x14ac:dyDescent="0.25">
      <c r="A7749" s="66"/>
    </row>
    <row r="7750" spans="1:1" x14ac:dyDescent="0.25">
      <c r="A7750" s="66"/>
    </row>
    <row r="7751" spans="1:1" x14ac:dyDescent="0.25">
      <c r="A7751" s="66"/>
    </row>
    <row r="7752" spans="1:1" x14ac:dyDescent="0.25">
      <c r="A7752" s="66"/>
    </row>
    <row r="7753" spans="1:1" x14ac:dyDescent="0.25">
      <c r="A7753" s="66"/>
    </row>
    <row r="7754" spans="1:1" x14ac:dyDescent="0.25">
      <c r="A7754" s="66"/>
    </row>
    <row r="7755" spans="1:1" x14ac:dyDescent="0.25">
      <c r="A7755" s="66"/>
    </row>
    <row r="7756" spans="1:1" x14ac:dyDescent="0.25">
      <c r="A7756" s="66"/>
    </row>
    <row r="7757" spans="1:1" x14ac:dyDescent="0.25">
      <c r="A7757" s="66"/>
    </row>
    <row r="7758" spans="1:1" x14ac:dyDescent="0.25">
      <c r="A7758" s="66"/>
    </row>
    <row r="7759" spans="1:1" x14ac:dyDescent="0.25">
      <c r="A7759" s="66"/>
    </row>
    <row r="7760" spans="1:1" x14ac:dyDescent="0.25">
      <c r="A7760" s="66"/>
    </row>
    <row r="7761" spans="1:1" x14ac:dyDescent="0.25">
      <c r="A7761" s="66"/>
    </row>
    <row r="7762" spans="1:1" x14ac:dyDescent="0.25">
      <c r="A7762" s="66"/>
    </row>
    <row r="7763" spans="1:1" x14ac:dyDescent="0.25">
      <c r="A7763" s="66"/>
    </row>
    <row r="7764" spans="1:1" x14ac:dyDescent="0.25">
      <c r="A7764" s="66"/>
    </row>
    <row r="7765" spans="1:1" x14ac:dyDescent="0.25">
      <c r="A7765" s="66"/>
    </row>
    <row r="7766" spans="1:1" x14ac:dyDescent="0.25">
      <c r="A7766" s="66"/>
    </row>
    <row r="7767" spans="1:1" x14ac:dyDescent="0.25">
      <c r="A7767" s="66"/>
    </row>
    <row r="7768" spans="1:1" x14ac:dyDescent="0.25">
      <c r="A7768" s="66"/>
    </row>
    <row r="7769" spans="1:1" x14ac:dyDescent="0.25">
      <c r="A7769" s="66"/>
    </row>
    <row r="7770" spans="1:1" x14ac:dyDescent="0.25">
      <c r="A7770" s="66"/>
    </row>
    <row r="7771" spans="1:1" x14ac:dyDescent="0.25">
      <c r="A7771" s="66"/>
    </row>
    <row r="7772" spans="1:1" x14ac:dyDescent="0.25">
      <c r="A7772" s="66"/>
    </row>
    <row r="7773" spans="1:1" x14ac:dyDescent="0.25">
      <c r="A7773" s="66"/>
    </row>
    <row r="7774" spans="1:1" x14ac:dyDescent="0.25">
      <c r="A7774" s="66"/>
    </row>
    <row r="7775" spans="1:1" x14ac:dyDescent="0.25">
      <c r="A7775" s="66"/>
    </row>
    <row r="7776" spans="1:1" x14ac:dyDescent="0.25">
      <c r="A7776" s="66"/>
    </row>
    <row r="7777" spans="1:1" x14ac:dyDescent="0.25">
      <c r="A7777" s="66"/>
    </row>
    <row r="7778" spans="1:1" x14ac:dyDescent="0.25">
      <c r="A7778" s="66"/>
    </row>
    <row r="7779" spans="1:1" x14ac:dyDescent="0.25">
      <c r="A7779" s="66"/>
    </row>
    <row r="7780" spans="1:1" x14ac:dyDescent="0.25">
      <c r="A7780" s="66"/>
    </row>
    <row r="7781" spans="1:1" x14ac:dyDescent="0.25">
      <c r="A7781" s="66"/>
    </row>
    <row r="7782" spans="1:1" x14ac:dyDescent="0.25">
      <c r="A7782" s="66"/>
    </row>
    <row r="7783" spans="1:1" x14ac:dyDescent="0.25">
      <c r="A7783" s="66"/>
    </row>
    <row r="7784" spans="1:1" x14ac:dyDescent="0.25">
      <c r="A7784" s="66"/>
    </row>
    <row r="7785" spans="1:1" x14ac:dyDescent="0.25">
      <c r="A7785" s="66"/>
    </row>
    <row r="7786" spans="1:1" x14ac:dyDescent="0.25">
      <c r="A7786" s="66"/>
    </row>
    <row r="7787" spans="1:1" x14ac:dyDescent="0.25">
      <c r="A7787" s="66"/>
    </row>
    <row r="7788" spans="1:1" x14ac:dyDescent="0.25">
      <c r="A7788" s="66"/>
    </row>
    <row r="7789" spans="1:1" x14ac:dyDescent="0.25">
      <c r="A7789" s="66"/>
    </row>
    <row r="7790" spans="1:1" x14ac:dyDescent="0.25">
      <c r="A7790" s="66"/>
    </row>
    <row r="7791" spans="1:1" x14ac:dyDescent="0.25">
      <c r="A7791" s="66"/>
    </row>
    <row r="7792" spans="1:1" x14ac:dyDescent="0.25">
      <c r="A7792" s="66"/>
    </row>
    <row r="7793" spans="1:1" x14ac:dyDescent="0.25">
      <c r="A7793" s="66"/>
    </row>
    <row r="7794" spans="1:1" x14ac:dyDescent="0.25">
      <c r="A7794" s="66"/>
    </row>
    <row r="7795" spans="1:1" x14ac:dyDescent="0.25">
      <c r="A7795" s="66"/>
    </row>
    <row r="7796" spans="1:1" x14ac:dyDescent="0.25">
      <c r="A7796" s="66"/>
    </row>
    <row r="7797" spans="1:1" x14ac:dyDescent="0.25">
      <c r="A7797" s="66"/>
    </row>
    <row r="7798" spans="1:1" x14ac:dyDescent="0.25">
      <c r="A7798" s="66"/>
    </row>
    <row r="7799" spans="1:1" x14ac:dyDescent="0.25">
      <c r="A7799" s="66"/>
    </row>
    <row r="7800" spans="1:1" x14ac:dyDescent="0.25">
      <c r="A7800" s="66"/>
    </row>
    <row r="7801" spans="1:1" x14ac:dyDescent="0.25">
      <c r="A7801" s="66"/>
    </row>
    <row r="7802" spans="1:1" x14ac:dyDescent="0.25">
      <c r="A7802" s="66"/>
    </row>
    <row r="7803" spans="1:1" x14ac:dyDescent="0.25">
      <c r="A7803" s="66"/>
    </row>
    <row r="7804" spans="1:1" x14ac:dyDescent="0.25">
      <c r="A7804" s="66"/>
    </row>
    <row r="7805" spans="1:1" x14ac:dyDescent="0.25">
      <c r="A7805" s="66"/>
    </row>
    <row r="7806" spans="1:1" x14ac:dyDescent="0.25">
      <c r="A7806" s="66"/>
    </row>
    <row r="7807" spans="1:1" x14ac:dyDescent="0.25">
      <c r="A7807" s="66"/>
    </row>
    <row r="7808" spans="1:1" x14ac:dyDescent="0.25">
      <c r="A7808" s="66"/>
    </row>
    <row r="7809" spans="1:1" x14ac:dyDescent="0.25">
      <c r="A7809" s="66"/>
    </row>
    <row r="7810" spans="1:1" x14ac:dyDescent="0.25">
      <c r="A7810" s="66"/>
    </row>
    <row r="7811" spans="1:1" x14ac:dyDescent="0.25">
      <c r="A7811" s="66"/>
    </row>
    <row r="7812" spans="1:1" x14ac:dyDescent="0.25">
      <c r="A7812" s="66"/>
    </row>
    <row r="7813" spans="1:1" x14ac:dyDescent="0.25">
      <c r="A7813" s="66"/>
    </row>
    <row r="7814" spans="1:1" x14ac:dyDescent="0.25">
      <c r="A7814" s="66"/>
    </row>
    <row r="7815" spans="1:1" x14ac:dyDescent="0.25">
      <c r="A7815" s="66"/>
    </row>
    <row r="7816" spans="1:1" x14ac:dyDescent="0.25">
      <c r="A7816" s="66"/>
    </row>
    <row r="7817" spans="1:1" x14ac:dyDescent="0.25">
      <c r="A7817" s="66"/>
    </row>
    <row r="7818" spans="1:1" x14ac:dyDescent="0.25">
      <c r="A7818" s="66"/>
    </row>
    <row r="7819" spans="1:1" x14ac:dyDescent="0.25">
      <c r="A7819" s="66"/>
    </row>
    <row r="7820" spans="1:1" x14ac:dyDescent="0.25">
      <c r="A7820" s="66"/>
    </row>
    <row r="7821" spans="1:1" x14ac:dyDescent="0.25">
      <c r="A7821" s="66"/>
    </row>
    <row r="7822" spans="1:1" x14ac:dyDescent="0.25">
      <c r="A7822" s="66"/>
    </row>
    <row r="7823" spans="1:1" x14ac:dyDescent="0.25">
      <c r="A7823" s="66"/>
    </row>
    <row r="7824" spans="1:1" x14ac:dyDescent="0.25">
      <c r="A7824" s="66"/>
    </row>
    <row r="7825" spans="1:1" x14ac:dyDescent="0.25">
      <c r="A7825" s="66"/>
    </row>
    <row r="7826" spans="1:1" x14ac:dyDescent="0.25">
      <c r="A7826" s="66"/>
    </row>
    <row r="7827" spans="1:1" x14ac:dyDescent="0.25">
      <c r="A7827" s="66"/>
    </row>
    <row r="7828" spans="1:1" x14ac:dyDescent="0.25">
      <c r="A7828" s="66"/>
    </row>
    <row r="7829" spans="1:1" x14ac:dyDescent="0.25">
      <c r="A7829" s="66"/>
    </row>
    <row r="7830" spans="1:1" x14ac:dyDescent="0.25">
      <c r="A7830" s="66"/>
    </row>
    <row r="7831" spans="1:1" x14ac:dyDescent="0.25">
      <c r="A7831" s="66"/>
    </row>
    <row r="7832" spans="1:1" x14ac:dyDescent="0.25">
      <c r="A7832" s="66"/>
    </row>
    <row r="7833" spans="1:1" x14ac:dyDescent="0.25">
      <c r="A7833" s="66"/>
    </row>
    <row r="7834" spans="1:1" x14ac:dyDescent="0.25">
      <c r="A7834" s="66"/>
    </row>
    <row r="7835" spans="1:1" x14ac:dyDescent="0.25">
      <c r="A7835" s="66"/>
    </row>
    <row r="7836" spans="1:1" x14ac:dyDescent="0.25">
      <c r="A7836" s="66"/>
    </row>
    <row r="7837" spans="1:1" x14ac:dyDescent="0.25">
      <c r="A7837" s="66"/>
    </row>
    <row r="7838" spans="1:1" x14ac:dyDescent="0.25">
      <c r="A7838" s="66"/>
    </row>
    <row r="7839" spans="1:1" x14ac:dyDescent="0.25">
      <c r="A7839" s="66"/>
    </row>
    <row r="7840" spans="1:1" x14ac:dyDescent="0.25">
      <c r="A7840" s="66"/>
    </row>
    <row r="7841" spans="1:1" x14ac:dyDescent="0.25">
      <c r="A7841" s="66"/>
    </row>
    <row r="7842" spans="1:1" x14ac:dyDescent="0.25">
      <c r="A7842" s="66"/>
    </row>
    <row r="7843" spans="1:1" x14ac:dyDescent="0.25">
      <c r="A7843" s="66"/>
    </row>
    <row r="7844" spans="1:1" x14ac:dyDescent="0.25">
      <c r="A7844" s="66"/>
    </row>
    <row r="7845" spans="1:1" x14ac:dyDescent="0.25">
      <c r="A7845" s="66"/>
    </row>
    <row r="7846" spans="1:1" x14ac:dyDescent="0.25">
      <c r="A7846" s="66"/>
    </row>
    <row r="7847" spans="1:1" x14ac:dyDescent="0.25">
      <c r="A7847" s="66"/>
    </row>
    <row r="7848" spans="1:1" x14ac:dyDescent="0.25">
      <c r="A7848" s="66"/>
    </row>
    <row r="7849" spans="1:1" x14ac:dyDescent="0.25">
      <c r="A7849" s="66"/>
    </row>
    <row r="7850" spans="1:1" x14ac:dyDescent="0.25">
      <c r="A7850" s="66"/>
    </row>
    <row r="7851" spans="1:1" x14ac:dyDescent="0.25">
      <c r="A7851" s="66"/>
    </row>
    <row r="7852" spans="1:1" x14ac:dyDescent="0.25">
      <c r="A7852" s="66"/>
    </row>
    <row r="7853" spans="1:1" x14ac:dyDescent="0.25">
      <c r="A7853" s="66"/>
    </row>
    <row r="7854" spans="1:1" x14ac:dyDescent="0.25">
      <c r="A7854" s="66"/>
    </row>
    <row r="7855" spans="1:1" x14ac:dyDescent="0.25">
      <c r="A7855" s="66"/>
    </row>
    <row r="7856" spans="1:1" x14ac:dyDescent="0.25">
      <c r="A7856" s="66"/>
    </row>
    <row r="7857" spans="1:1" x14ac:dyDescent="0.25">
      <c r="A7857" s="66"/>
    </row>
    <row r="7858" spans="1:1" x14ac:dyDescent="0.25">
      <c r="A7858" s="66"/>
    </row>
    <row r="7859" spans="1:1" x14ac:dyDescent="0.25">
      <c r="A7859" s="66"/>
    </row>
    <row r="7860" spans="1:1" x14ac:dyDescent="0.25">
      <c r="A7860" s="66"/>
    </row>
    <row r="7861" spans="1:1" x14ac:dyDescent="0.25">
      <c r="A7861" s="66"/>
    </row>
    <row r="7862" spans="1:1" x14ac:dyDescent="0.25">
      <c r="A7862" s="66"/>
    </row>
    <row r="7863" spans="1:1" x14ac:dyDescent="0.25">
      <c r="A7863" s="66"/>
    </row>
    <row r="7864" spans="1:1" x14ac:dyDescent="0.25">
      <c r="A7864" s="66"/>
    </row>
    <row r="7865" spans="1:1" x14ac:dyDescent="0.25">
      <c r="A7865" s="66"/>
    </row>
    <row r="7866" spans="1:1" x14ac:dyDescent="0.25">
      <c r="A7866" s="66"/>
    </row>
    <row r="7867" spans="1:1" x14ac:dyDescent="0.25">
      <c r="A7867" s="66"/>
    </row>
    <row r="7868" spans="1:1" x14ac:dyDescent="0.25">
      <c r="A7868" s="66"/>
    </row>
    <row r="7869" spans="1:1" x14ac:dyDescent="0.25">
      <c r="A7869" s="66"/>
    </row>
    <row r="7870" spans="1:1" x14ac:dyDescent="0.25">
      <c r="A7870" s="66"/>
    </row>
    <row r="7871" spans="1:1" x14ac:dyDescent="0.25">
      <c r="A7871" s="66"/>
    </row>
    <row r="7872" spans="1:1" x14ac:dyDescent="0.25">
      <c r="A7872" s="66"/>
    </row>
    <row r="7873" spans="1:1" x14ac:dyDescent="0.25">
      <c r="A7873" s="66"/>
    </row>
    <row r="7874" spans="1:1" x14ac:dyDescent="0.25">
      <c r="A7874" s="66"/>
    </row>
    <row r="7875" spans="1:1" x14ac:dyDescent="0.25">
      <c r="A7875" s="66"/>
    </row>
    <row r="7876" spans="1:1" x14ac:dyDescent="0.25">
      <c r="A7876" s="66"/>
    </row>
    <row r="7877" spans="1:1" x14ac:dyDescent="0.25">
      <c r="A7877" s="66"/>
    </row>
    <row r="7878" spans="1:1" x14ac:dyDescent="0.25">
      <c r="A7878" s="66"/>
    </row>
    <row r="7879" spans="1:1" x14ac:dyDescent="0.25">
      <c r="A7879" s="66"/>
    </row>
    <row r="7880" spans="1:1" x14ac:dyDescent="0.25">
      <c r="A7880" s="66"/>
    </row>
    <row r="7881" spans="1:1" x14ac:dyDescent="0.25">
      <c r="A7881" s="66"/>
    </row>
    <row r="7882" spans="1:1" x14ac:dyDescent="0.25">
      <c r="A7882" s="66"/>
    </row>
    <row r="7883" spans="1:1" x14ac:dyDescent="0.25">
      <c r="A7883" s="66"/>
    </row>
    <row r="7884" spans="1:1" x14ac:dyDescent="0.25">
      <c r="A7884" s="66"/>
    </row>
    <row r="7885" spans="1:1" x14ac:dyDescent="0.25">
      <c r="A7885" s="66"/>
    </row>
    <row r="7886" spans="1:1" x14ac:dyDescent="0.25">
      <c r="A7886" s="66"/>
    </row>
    <row r="7887" spans="1:1" x14ac:dyDescent="0.25">
      <c r="A7887" s="66"/>
    </row>
    <row r="7888" spans="1:1" x14ac:dyDescent="0.25">
      <c r="A7888" s="66"/>
    </row>
    <row r="7889" spans="1:1" x14ac:dyDescent="0.25">
      <c r="A7889" s="66"/>
    </row>
    <row r="7890" spans="1:1" x14ac:dyDescent="0.25">
      <c r="A7890" s="66"/>
    </row>
    <row r="7891" spans="1:1" x14ac:dyDescent="0.25">
      <c r="A7891" s="66"/>
    </row>
    <row r="7892" spans="1:1" x14ac:dyDescent="0.25">
      <c r="A7892" s="66"/>
    </row>
    <row r="7893" spans="1:1" x14ac:dyDescent="0.25">
      <c r="A7893" s="66"/>
    </row>
    <row r="7894" spans="1:1" x14ac:dyDescent="0.25">
      <c r="A7894" s="66"/>
    </row>
    <row r="7895" spans="1:1" x14ac:dyDescent="0.25">
      <c r="A7895" s="66"/>
    </row>
    <row r="7896" spans="1:1" x14ac:dyDescent="0.25">
      <c r="A7896" s="66"/>
    </row>
    <row r="7897" spans="1:1" x14ac:dyDescent="0.25">
      <c r="A7897" s="66"/>
    </row>
    <row r="7898" spans="1:1" x14ac:dyDescent="0.25">
      <c r="A7898" s="66"/>
    </row>
    <row r="7899" spans="1:1" x14ac:dyDescent="0.25">
      <c r="A7899" s="66"/>
    </row>
    <row r="7900" spans="1:1" x14ac:dyDescent="0.25">
      <c r="A7900" s="66"/>
    </row>
    <row r="7901" spans="1:1" x14ac:dyDescent="0.25">
      <c r="A7901" s="66"/>
    </row>
    <row r="7902" spans="1:1" x14ac:dyDescent="0.25">
      <c r="A7902" s="66"/>
    </row>
    <row r="7903" spans="1:1" x14ac:dyDescent="0.25">
      <c r="A7903" s="66"/>
    </row>
    <row r="7904" spans="1:1" x14ac:dyDescent="0.25">
      <c r="A7904" s="66"/>
    </row>
    <row r="7905" spans="1:1" x14ac:dyDescent="0.25">
      <c r="A7905" s="66"/>
    </row>
    <row r="7906" spans="1:1" x14ac:dyDescent="0.25">
      <c r="A7906" s="66"/>
    </row>
    <row r="7907" spans="1:1" x14ac:dyDescent="0.25">
      <c r="A7907" s="66"/>
    </row>
    <row r="7908" spans="1:1" x14ac:dyDescent="0.25">
      <c r="A7908" s="66"/>
    </row>
    <row r="7909" spans="1:1" x14ac:dyDescent="0.25">
      <c r="A7909" s="66"/>
    </row>
    <row r="7910" spans="1:1" x14ac:dyDescent="0.25">
      <c r="A7910" s="66"/>
    </row>
    <row r="7911" spans="1:1" x14ac:dyDescent="0.25">
      <c r="A7911" s="66"/>
    </row>
    <row r="7912" spans="1:1" x14ac:dyDescent="0.25">
      <c r="A7912" s="66"/>
    </row>
    <row r="7913" spans="1:1" x14ac:dyDescent="0.25">
      <c r="A7913" s="66"/>
    </row>
    <row r="7914" spans="1:1" x14ac:dyDescent="0.25">
      <c r="A7914" s="66"/>
    </row>
    <row r="7915" spans="1:1" x14ac:dyDescent="0.25">
      <c r="A7915" s="66"/>
    </row>
    <row r="7916" spans="1:1" x14ac:dyDescent="0.25">
      <c r="A7916" s="66"/>
    </row>
    <row r="7917" spans="1:1" x14ac:dyDescent="0.25">
      <c r="A7917" s="66"/>
    </row>
    <row r="7918" spans="1:1" x14ac:dyDescent="0.25">
      <c r="A7918" s="66"/>
    </row>
    <row r="7919" spans="1:1" x14ac:dyDescent="0.25">
      <c r="A7919" s="66"/>
    </row>
    <row r="7920" spans="1:1" x14ac:dyDescent="0.25">
      <c r="A7920" s="66"/>
    </row>
    <row r="7921" spans="1:1" x14ac:dyDescent="0.25">
      <c r="A7921" s="66"/>
    </row>
    <row r="7922" spans="1:1" x14ac:dyDescent="0.25">
      <c r="A7922" s="66"/>
    </row>
    <row r="7923" spans="1:1" x14ac:dyDescent="0.25">
      <c r="A7923" s="66"/>
    </row>
    <row r="7924" spans="1:1" x14ac:dyDescent="0.25">
      <c r="A7924" s="66"/>
    </row>
    <row r="7925" spans="1:1" x14ac:dyDescent="0.25">
      <c r="A7925" s="66"/>
    </row>
    <row r="7926" spans="1:1" x14ac:dyDescent="0.25">
      <c r="A7926" s="66"/>
    </row>
    <row r="7927" spans="1:1" x14ac:dyDescent="0.25">
      <c r="A7927" s="66"/>
    </row>
    <row r="7928" spans="1:1" x14ac:dyDescent="0.25">
      <c r="A7928" s="66"/>
    </row>
    <row r="7929" spans="1:1" x14ac:dyDescent="0.25">
      <c r="A7929" s="66"/>
    </row>
    <row r="7930" spans="1:1" x14ac:dyDescent="0.25">
      <c r="A7930" s="66"/>
    </row>
    <row r="7931" spans="1:1" x14ac:dyDescent="0.25">
      <c r="A7931" s="66"/>
    </row>
    <row r="7932" spans="1:1" x14ac:dyDescent="0.25">
      <c r="A7932" s="66"/>
    </row>
    <row r="7933" spans="1:1" x14ac:dyDescent="0.25">
      <c r="A7933" s="66"/>
    </row>
    <row r="7934" spans="1:1" x14ac:dyDescent="0.25">
      <c r="A7934" s="66"/>
    </row>
    <row r="7935" spans="1:1" x14ac:dyDescent="0.25">
      <c r="A7935" s="66"/>
    </row>
    <row r="7936" spans="1:1" x14ac:dyDescent="0.25">
      <c r="A7936" s="66"/>
    </row>
    <row r="7937" spans="1:1" x14ac:dyDescent="0.25">
      <c r="A7937" s="66"/>
    </row>
    <row r="7938" spans="1:1" x14ac:dyDescent="0.25">
      <c r="A7938" s="66"/>
    </row>
    <row r="7939" spans="1:1" x14ac:dyDescent="0.25">
      <c r="A7939" s="66"/>
    </row>
    <row r="7940" spans="1:1" x14ac:dyDescent="0.25">
      <c r="A7940" s="66"/>
    </row>
    <row r="7941" spans="1:1" x14ac:dyDescent="0.25">
      <c r="A7941" s="66"/>
    </row>
    <row r="7942" spans="1:1" x14ac:dyDescent="0.25">
      <c r="A7942" s="66"/>
    </row>
    <row r="7943" spans="1:1" x14ac:dyDescent="0.25">
      <c r="A7943" s="66"/>
    </row>
    <row r="7944" spans="1:1" x14ac:dyDescent="0.25">
      <c r="A7944" s="66"/>
    </row>
    <row r="7945" spans="1:1" x14ac:dyDescent="0.25">
      <c r="A7945" s="66"/>
    </row>
    <row r="7946" spans="1:1" x14ac:dyDescent="0.25">
      <c r="A7946" s="66"/>
    </row>
    <row r="7947" spans="1:1" x14ac:dyDescent="0.25">
      <c r="A7947" s="66"/>
    </row>
    <row r="7948" spans="1:1" x14ac:dyDescent="0.25">
      <c r="A7948" s="66"/>
    </row>
    <row r="7949" spans="1:1" x14ac:dyDescent="0.25">
      <c r="A7949" s="66"/>
    </row>
    <row r="7950" spans="1:1" x14ac:dyDescent="0.25">
      <c r="A7950" s="66"/>
    </row>
    <row r="7951" spans="1:1" x14ac:dyDescent="0.25">
      <c r="A7951" s="66"/>
    </row>
    <row r="7952" spans="1:1" x14ac:dyDescent="0.25">
      <c r="A7952" s="66"/>
    </row>
    <row r="7953" spans="1:1" x14ac:dyDescent="0.25">
      <c r="A7953" s="66"/>
    </row>
    <row r="7954" spans="1:1" x14ac:dyDescent="0.25">
      <c r="A7954" s="66"/>
    </row>
    <row r="7955" spans="1:1" x14ac:dyDescent="0.25">
      <c r="A7955" s="66"/>
    </row>
    <row r="7956" spans="1:1" x14ac:dyDescent="0.25">
      <c r="A7956" s="66"/>
    </row>
    <row r="7957" spans="1:1" x14ac:dyDescent="0.25">
      <c r="A7957" s="66"/>
    </row>
    <row r="7958" spans="1:1" x14ac:dyDescent="0.25">
      <c r="A7958" s="66"/>
    </row>
    <row r="7959" spans="1:1" x14ac:dyDescent="0.25">
      <c r="A7959" s="66"/>
    </row>
    <row r="7960" spans="1:1" x14ac:dyDescent="0.25">
      <c r="A7960" s="66"/>
    </row>
    <row r="7961" spans="1:1" x14ac:dyDescent="0.25">
      <c r="A7961" s="66"/>
    </row>
    <row r="7962" spans="1:1" x14ac:dyDescent="0.25">
      <c r="A7962" s="66"/>
    </row>
    <row r="7963" spans="1:1" x14ac:dyDescent="0.25">
      <c r="A7963" s="66"/>
    </row>
    <row r="7964" spans="1:1" x14ac:dyDescent="0.25">
      <c r="A7964" s="66"/>
    </row>
    <row r="7965" spans="1:1" x14ac:dyDescent="0.25">
      <c r="A7965" s="66"/>
    </row>
    <row r="7966" spans="1:1" x14ac:dyDescent="0.25">
      <c r="A7966" s="66"/>
    </row>
    <row r="7967" spans="1:1" x14ac:dyDescent="0.25">
      <c r="A7967" s="66"/>
    </row>
    <row r="7968" spans="1:1" x14ac:dyDescent="0.25">
      <c r="A7968" s="66"/>
    </row>
    <row r="7969" spans="1:1" x14ac:dyDescent="0.25">
      <c r="A7969" s="66"/>
    </row>
    <row r="7970" spans="1:1" x14ac:dyDescent="0.25">
      <c r="A7970" s="66"/>
    </row>
    <row r="7971" spans="1:1" x14ac:dyDescent="0.25">
      <c r="A7971" s="66"/>
    </row>
    <row r="7972" spans="1:1" x14ac:dyDescent="0.25">
      <c r="A7972" s="66"/>
    </row>
    <row r="7973" spans="1:1" x14ac:dyDescent="0.25">
      <c r="A7973" s="66"/>
    </row>
    <row r="7974" spans="1:1" x14ac:dyDescent="0.25">
      <c r="A7974" s="66"/>
    </row>
    <row r="7975" spans="1:1" x14ac:dyDescent="0.25">
      <c r="A7975" s="66"/>
    </row>
    <row r="7976" spans="1:1" x14ac:dyDescent="0.25">
      <c r="A7976" s="66"/>
    </row>
    <row r="7977" spans="1:1" x14ac:dyDescent="0.25">
      <c r="A7977" s="66"/>
    </row>
    <row r="7978" spans="1:1" x14ac:dyDescent="0.25">
      <c r="A7978" s="66"/>
    </row>
    <row r="7979" spans="1:1" x14ac:dyDescent="0.25">
      <c r="A7979" s="66"/>
    </row>
    <row r="7980" spans="1:1" x14ac:dyDescent="0.25">
      <c r="A7980" s="66"/>
    </row>
    <row r="7981" spans="1:1" x14ac:dyDescent="0.25">
      <c r="A7981" s="66"/>
    </row>
    <row r="7982" spans="1:1" x14ac:dyDescent="0.25">
      <c r="A7982" s="66"/>
    </row>
    <row r="7983" spans="1:1" x14ac:dyDescent="0.25">
      <c r="A7983" s="66"/>
    </row>
    <row r="7984" spans="1:1" x14ac:dyDescent="0.25">
      <c r="A7984" s="66"/>
    </row>
    <row r="7985" spans="1:1" x14ac:dyDescent="0.25">
      <c r="A7985" s="66"/>
    </row>
    <row r="7986" spans="1:1" x14ac:dyDescent="0.25">
      <c r="A7986" s="66"/>
    </row>
    <row r="7987" spans="1:1" x14ac:dyDescent="0.25">
      <c r="A7987" s="66"/>
    </row>
    <row r="7988" spans="1:1" x14ac:dyDescent="0.25">
      <c r="A7988" s="66"/>
    </row>
    <row r="7989" spans="1:1" x14ac:dyDescent="0.25">
      <c r="A7989" s="66"/>
    </row>
    <row r="7990" spans="1:1" x14ac:dyDescent="0.25">
      <c r="A7990" s="66"/>
    </row>
    <row r="7991" spans="1:1" x14ac:dyDescent="0.25">
      <c r="A7991" s="66"/>
    </row>
    <row r="7992" spans="1:1" x14ac:dyDescent="0.25">
      <c r="A7992" s="66"/>
    </row>
    <row r="7993" spans="1:1" x14ac:dyDescent="0.25">
      <c r="A7993" s="66"/>
    </row>
    <row r="7994" spans="1:1" x14ac:dyDescent="0.25">
      <c r="A7994" s="66"/>
    </row>
    <row r="7995" spans="1:1" x14ac:dyDescent="0.25">
      <c r="A7995" s="66"/>
    </row>
    <row r="7996" spans="1:1" x14ac:dyDescent="0.25">
      <c r="A7996" s="66"/>
    </row>
    <row r="7997" spans="1:1" x14ac:dyDescent="0.25">
      <c r="A7997" s="66"/>
    </row>
    <row r="7998" spans="1:1" x14ac:dyDescent="0.25">
      <c r="A7998" s="66"/>
    </row>
    <row r="7999" spans="1:1" x14ac:dyDescent="0.25">
      <c r="A7999" s="66"/>
    </row>
    <row r="8000" spans="1:1" x14ac:dyDescent="0.25">
      <c r="A8000" s="66"/>
    </row>
    <row r="8001" spans="1:1" x14ac:dyDescent="0.25">
      <c r="A8001" s="66"/>
    </row>
    <row r="8002" spans="1:1" x14ac:dyDescent="0.25">
      <c r="A8002" s="66"/>
    </row>
    <row r="8003" spans="1:1" x14ac:dyDescent="0.25">
      <c r="A8003" s="66"/>
    </row>
    <row r="8004" spans="1:1" x14ac:dyDescent="0.25">
      <c r="A8004" s="66"/>
    </row>
    <row r="8005" spans="1:1" x14ac:dyDescent="0.25">
      <c r="A8005" s="66"/>
    </row>
    <row r="8006" spans="1:1" x14ac:dyDescent="0.25">
      <c r="A8006" s="66"/>
    </row>
    <row r="8007" spans="1:1" x14ac:dyDescent="0.25">
      <c r="A8007" s="66"/>
    </row>
    <row r="8008" spans="1:1" x14ac:dyDescent="0.25">
      <c r="A8008" s="66"/>
    </row>
    <row r="8009" spans="1:1" x14ac:dyDescent="0.25">
      <c r="A8009" s="66"/>
    </row>
    <row r="8010" spans="1:1" x14ac:dyDescent="0.25">
      <c r="A8010" s="66"/>
    </row>
    <row r="8011" spans="1:1" x14ac:dyDescent="0.25">
      <c r="A8011" s="66"/>
    </row>
    <row r="8012" spans="1:1" x14ac:dyDescent="0.25">
      <c r="A8012" s="66"/>
    </row>
    <row r="8013" spans="1:1" x14ac:dyDescent="0.25">
      <c r="A8013" s="66"/>
    </row>
    <row r="8014" spans="1:1" x14ac:dyDescent="0.25">
      <c r="A8014" s="66"/>
    </row>
    <row r="8015" spans="1:1" x14ac:dyDescent="0.25">
      <c r="A8015" s="66"/>
    </row>
    <row r="8016" spans="1:1" x14ac:dyDescent="0.25">
      <c r="A8016" s="66"/>
    </row>
    <row r="8017" spans="1:1" x14ac:dyDescent="0.25">
      <c r="A8017" s="66"/>
    </row>
    <row r="8018" spans="1:1" x14ac:dyDescent="0.25">
      <c r="A8018" s="66"/>
    </row>
    <row r="8019" spans="1:1" x14ac:dyDescent="0.25">
      <c r="A8019" s="66"/>
    </row>
    <row r="8020" spans="1:1" x14ac:dyDescent="0.25">
      <c r="A8020" s="66"/>
    </row>
    <row r="8021" spans="1:1" x14ac:dyDescent="0.25">
      <c r="A8021" s="66"/>
    </row>
    <row r="8022" spans="1:1" x14ac:dyDescent="0.25">
      <c r="A8022" s="66"/>
    </row>
    <row r="8023" spans="1:1" x14ac:dyDescent="0.25">
      <c r="A8023" s="66"/>
    </row>
    <row r="8024" spans="1:1" x14ac:dyDescent="0.25">
      <c r="A8024" s="66"/>
    </row>
    <row r="8025" spans="1:1" x14ac:dyDescent="0.25">
      <c r="A8025" s="66"/>
    </row>
    <row r="8026" spans="1:1" x14ac:dyDescent="0.25">
      <c r="A8026" s="66"/>
    </row>
    <row r="8027" spans="1:1" x14ac:dyDescent="0.25">
      <c r="A8027" s="66"/>
    </row>
    <row r="8028" spans="1:1" x14ac:dyDescent="0.25">
      <c r="A8028" s="66"/>
    </row>
    <row r="8029" spans="1:1" x14ac:dyDescent="0.25">
      <c r="A8029" s="66"/>
    </row>
    <row r="8030" spans="1:1" x14ac:dyDescent="0.25">
      <c r="A8030" s="66"/>
    </row>
    <row r="8031" spans="1:1" x14ac:dyDescent="0.25">
      <c r="A8031" s="66"/>
    </row>
    <row r="8032" spans="1:1" x14ac:dyDescent="0.25">
      <c r="A8032" s="66"/>
    </row>
    <row r="8033" spans="1:1" x14ac:dyDescent="0.25">
      <c r="A8033" s="66"/>
    </row>
    <row r="8034" spans="1:1" x14ac:dyDescent="0.25">
      <c r="A8034" s="66"/>
    </row>
    <row r="8035" spans="1:1" x14ac:dyDescent="0.25">
      <c r="A8035" s="66"/>
    </row>
    <row r="8036" spans="1:1" x14ac:dyDescent="0.25">
      <c r="A8036" s="66"/>
    </row>
    <row r="8037" spans="1:1" x14ac:dyDescent="0.25">
      <c r="A8037" s="66"/>
    </row>
    <row r="8038" spans="1:1" x14ac:dyDescent="0.25">
      <c r="A8038" s="66"/>
    </row>
    <row r="8039" spans="1:1" x14ac:dyDescent="0.25">
      <c r="A8039" s="66"/>
    </row>
    <row r="8040" spans="1:1" x14ac:dyDescent="0.25">
      <c r="A8040" s="66"/>
    </row>
    <row r="8041" spans="1:1" x14ac:dyDescent="0.25">
      <c r="A8041" s="66"/>
    </row>
    <row r="8042" spans="1:1" x14ac:dyDescent="0.25">
      <c r="A8042" s="66"/>
    </row>
    <row r="8043" spans="1:1" x14ac:dyDescent="0.25">
      <c r="A8043" s="66"/>
    </row>
    <row r="8044" spans="1:1" x14ac:dyDescent="0.25">
      <c r="A8044" s="66"/>
    </row>
    <row r="8045" spans="1:1" x14ac:dyDescent="0.25">
      <c r="A8045" s="66"/>
    </row>
    <row r="8046" spans="1:1" x14ac:dyDescent="0.25">
      <c r="A8046" s="66"/>
    </row>
    <row r="8047" spans="1:1" x14ac:dyDescent="0.25">
      <c r="A8047" s="66"/>
    </row>
    <row r="8048" spans="1:1" x14ac:dyDescent="0.25">
      <c r="A8048" s="66"/>
    </row>
    <row r="8049" spans="1:1" x14ac:dyDescent="0.25">
      <c r="A8049" s="66"/>
    </row>
    <row r="8050" spans="1:1" x14ac:dyDescent="0.25">
      <c r="A8050" s="66"/>
    </row>
    <row r="8051" spans="1:1" x14ac:dyDescent="0.25">
      <c r="A8051" s="66"/>
    </row>
    <row r="8052" spans="1:1" x14ac:dyDescent="0.25">
      <c r="A8052" s="66"/>
    </row>
    <row r="8053" spans="1:1" x14ac:dyDescent="0.25">
      <c r="A8053" s="66"/>
    </row>
    <row r="8054" spans="1:1" x14ac:dyDescent="0.25">
      <c r="A8054" s="66"/>
    </row>
    <row r="8055" spans="1:1" x14ac:dyDescent="0.25">
      <c r="A8055" s="66"/>
    </row>
    <row r="8056" spans="1:1" x14ac:dyDescent="0.25">
      <c r="A8056" s="66"/>
    </row>
    <row r="8057" spans="1:1" x14ac:dyDescent="0.25">
      <c r="A8057" s="66"/>
    </row>
    <row r="8058" spans="1:1" x14ac:dyDescent="0.25">
      <c r="A8058" s="66"/>
    </row>
    <row r="8059" spans="1:1" x14ac:dyDescent="0.25">
      <c r="A8059" s="66"/>
    </row>
    <row r="8060" spans="1:1" x14ac:dyDescent="0.25">
      <c r="A8060" s="66"/>
    </row>
    <row r="8061" spans="1:1" x14ac:dyDescent="0.25">
      <c r="A8061" s="66"/>
    </row>
    <row r="8062" spans="1:1" x14ac:dyDescent="0.25">
      <c r="A8062" s="66"/>
    </row>
    <row r="8063" spans="1:1" x14ac:dyDescent="0.25">
      <c r="A8063" s="66"/>
    </row>
    <row r="8064" spans="1:1" x14ac:dyDescent="0.25">
      <c r="A8064" s="66"/>
    </row>
    <row r="8065" spans="1:1" x14ac:dyDescent="0.25">
      <c r="A8065" s="66"/>
    </row>
    <row r="8066" spans="1:1" x14ac:dyDescent="0.25">
      <c r="A8066" s="66"/>
    </row>
    <row r="8067" spans="1:1" x14ac:dyDescent="0.25">
      <c r="A8067" s="66"/>
    </row>
    <row r="8068" spans="1:1" x14ac:dyDescent="0.25">
      <c r="A8068" s="66"/>
    </row>
    <row r="8069" spans="1:1" x14ac:dyDescent="0.25">
      <c r="A8069" s="66"/>
    </row>
    <row r="8070" spans="1:1" x14ac:dyDescent="0.25">
      <c r="A8070" s="66"/>
    </row>
    <row r="8071" spans="1:1" x14ac:dyDescent="0.25">
      <c r="A8071" s="66"/>
    </row>
    <row r="8072" spans="1:1" x14ac:dyDescent="0.25">
      <c r="A8072" s="66"/>
    </row>
    <row r="8073" spans="1:1" x14ac:dyDescent="0.25">
      <c r="A8073" s="66"/>
    </row>
    <row r="8074" spans="1:1" x14ac:dyDescent="0.25">
      <c r="A8074" s="66"/>
    </row>
    <row r="8075" spans="1:1" x14ac:dyDescent="0.25">
      <c r="A8075" s="66"/>
    </row>
    <row r="8076" spans="1:1" x14ac:dyDescent="0.25">
      <c r="A8076" s="66"/>
    </row>
    <row r="8077" spans="1:1" x14ac:dyDescent="0.25">
      <c r="A8077" s="66"/>
    </row>
    <row r="8078" spans="1:1" x14ac:dyDescent="0.25">
      <c r="A8078" s="66"/>
    </row>
    <row r="8079" spans="1:1" x14ac:dyDescent="0.25">
      <c r="A8079" s="66"/>
    </row>
    <row r="8080" spans="1:1" x14ac:dyDescent="0.25">
      <c r="A8080" s="66"/>
    </row>
    <row r="8081" spans="1:1" x14ac:dyDescent="0.25">
      <c r="A8081" s="66"/>
    </row>
    <row r="8082" spans="1:1" x14ac:dyDescent="0.25">
      <c r="A8082" s="66"/>
    </row>
    <row r="8083" spans="1:1" x14ac:dyDescent="0.25">
      <c r="A8083" s="66"/>
    </row>
    <row r="8084" spans="1:1" x14ac:dyDescent="0.25">
      <c r="A8084" s="66"/>
    </row>
    <row r="8085" spans="1:1" x14ac:dyDescent="0.25">
      <c r="A8085" s="66"/>
    </row>
    <row r="8086" spans="1:1" x14ac:dyDescent="0.25">
      <c r="A8086" s="66"/>
    </row>
    <row r="8087" spans="1:1" x14ac:dyDescent="0.25">
      <c r="A8087" s="66"/>
    </row>
    <row r="8088" spans="1:1" x14ac:dyDescent="0.25">
      <c r="A8088" s="66"/>
    </row>
    <row r="8089" spans="1:1" x14ac:dyDescent="0.25">
      <c r="A8089" s="66"/>
    </row>
    <row r="8090" spans="1:1" x14ac:dyDescent="0.25">
      <c r="A8090" s="66"/>
    </row>
    <row r="8091" spans="1:1" x14ac:dyDescent="0.25">
      <c r="A8091" s="66"/>
    </row>
    <row r="8092" spans="1:1" x14ac:dyDescent="0.25">
      <c r="A8092" s="66"/>
    </row>
    <row r="8093" spans="1:1" x14ac:dyDescent="0.25">
      <c r="A8093" s="66"/>
    </row>
    <row r="8094" spans="1:1" x14ac:dyDescent="0.25">
      <c r="A8094" s="66"/>
    </row>
    <row r="8095" spans="1:1" x14ac:dyDescent="0.25">
      <c r="A8095" s="66"/>
    </row>
    <row r="8096" spans="1:1" x14ac:dyDescent="0.25">
      <c r="A8096" s="66"/>
    </row>
    <row r="8097" spans="1:1" x14ac:dyDescent="0.25">
      <c r="A8097" s="66"/>
    </row>
    <row r="8098" spans="1:1" x14ac:dyDescent="0.25">
      <c r="A8098" s="66"/>
    </row>
    <row r="8099" spans="1:1" x14ac:dyDescent="0.25">
      <c r="A8099" s="66"/>
    </row>
    <row r="8100" spans="1:1" x14ac:dyDescent="0.25">
      <c r="A8100" s="66"/>
    </row>
    <row r="8101" spans="1:1" x14ac:dyDescent="0.25">
      <c r="A8101" s="66"/>
    </row>
    <row r="8102" spans="1:1" x14ac:dyDescent="0.25">
      <c r="A8102" s="66"/>
    </row>
    <row r="8103" spans="1:1" x14ac:dyDescent="0.25">
      <c r="A8103" s="66"/>
    </row>
    <row r="8104" spans="1:1" x14ac:dyDescent="0.25">
      <c r="A8104" s="66"/>
    </row>
    <row r="8105" spans="1:1" x14ac:dyDescent="0.25">
      <c r="A8105" s="66"/>
    </row>
    <row r="8106" spans="1:1" x14ac:dyDescent="0.25">
      <c r="A8106" s="66"/>
    </row>
    <row r="8107" spans="1:1" x14ac:dyDescent="0.25">
      <c r="A8107" s="66"/>
    </row>
    <row r="8108" spans="1:1" x14ac:dyDescent="0.25">
      <c r="A8108" s="66"/>
    </row>
    <row r="8109" spans="1:1" x14ac:dyDescent="0.25">
      <c r="A8109" s="66"/>
    </row>
    <row r="8110" spans="1:1" x14ac:dyDescent="0.25">
      <c r="A8110" s="66"/>
    </row>
    <row r="8111" spans="1:1" x14ac:dyDescent="0.25">
      <c r="A8111" s="66"/>
    </row>
    <row r="8112" spans="1:1" x14ac:dyDescent="0.25">
      <c r="A8112" s="66"/>
    </row>
    <row r="8113" spans="1:1" x14ac:dyDescent="0.25">
      <c r="A8113" s="66"/>
    </row>
    <row r="8114" spans="1:1" x14ac:dyDescent="0.25">
      <c r="A8114" s="66"/>
    </row>
    <row r="8115" spans="1:1" x14ac:dyDescent="0.25">
      <c r="A8115" s="66"/>
    </row>
    <row r="8116" spans="1:1" x14ac:dyDescent="0.25">
      <c r="A8116" s="66"/>
    </row>
    <row r="8117" spans="1:1" x14ac:dyDescent="0.25">
      <c r="A8117" s="66"/>
    </row>
    <row r="8118" spans="1:1" x14ac:dyDescent="0.25">
      <c r="A8118" s="66"/>
    </row>
    <row r="8119" spans="1:1" x14ac:dyDescent="0.25">
      <c r="A8119" s="66"/>
    </row>
    <row r="8120" spans="1:1" x14ac:dyDescent="0.25">
      <c r="A8120" s="66"/>
    </row>
    <row r="8121" spans="1:1" x14ac:dyDescent="0.25">
      <c r="A8121" s="66"/>
    </row>
    <row r="8122" spans="1:1" x14ac:dyDescent="0.25">
      <c r="A8122" s="66"/>
    </row>
    <row r="8123" spans="1:1" x14ac:dyDescent="0.25">
      <c r="A8123" s="66"/>
    </row>
    <row r="8124" spans="1:1" x14ac:dyDescent="0.25">
      <c r="A8124" s="66"/>
    </row>
    <row r="8125" spans="1:1" x14ac:dyDescent="0.25">
      <c r="A8125" s="66"/>
    </row>
    <row r="8126" spans="1:1" x14ac:dyDescent="0.25">
      <c r="A8126" s="66"/>
    </row>
    <row r="8127" spans="1:1" x14ac:dyDescent="0.25">
      <c r="A8127" s="66"/>
    </row>
    <row r="8128" spans="1:1" x14ac:dyDescent="0.25">
      <c r="A8128" s="66"/>
    </row>
    <row r="8129" spans="1:1" x14ac:dyDescent="0.25">
      <c r="A8129" s="66"/>
    </row>
    <row r="8130" spans="1:1" x14ac:dyDescent="0.25">
      <c r="A8130" s="66"/>
    </row>
    <row r="8131" spans="1:1" x14ac:dyDescent="0.25">
      <c r="A8131" s="66"/>
    </row>
    <row r="8132" spans="1:1" x14ac:dyDescent="0.25">
      <c r="A8132" s="66"/>
    </row>
    <row r="8133" spans="1:1" x14ac:dyDescent="0.25">
      <c r="A8133" s="66"/>
    </row>
    <row r="8134" spans="1:1" x14ac:dyDescent="0.25">
      <c r="A8134" s="66"/>
    </row>
    <row r="8135" spans="1:1" x14ac:dyDescent="0.25">
      <c r="A8135" s="66"/>
    </row>
    <row r="8136" spans="1:1" x14ac:dyDescent="0.25">
      <c r="A8136" s="66"/>
    </row>
    <row r="8137" spans="1:1" x14ac:dyDescent="0.25">
      <c r="A8137" s="66"/>
    </row>
    <row r="8138" spans="1:1" x14ac:dyDescent="0.25">
      <c r="A8138" s="66"/>
    </row>
    <row r="8139" spans="1:1" x14ac:dyDescent="0.25">
      <c r="A8139" s="66"/>
    </row>
    <row r="8140" spans="1:1" x14ac:dyDescent="0.25">
      <c r="A8140" s="66"/>
    </row>
    <row r="8141" spans="1:1" x14ac:dyDescent="0.25">
      <c r="A8141" s="66"/>
    </row>
    <row r="8142" spans="1:1" x14ac:dyDescent="0.25">
      <c r="A8142" s="66"/>
    </row>
    <row r="8143" spans="1:1" x14ac:dyDescent="0.25">
      <c r="A8143" s="66"/>
    </row>
    <row r="8144" spans="1:1" x14ac:dyDescent="0.25">
      <c r="A8144" s="66"/>
    </row>
    <row r="8145" spans="1:1" x14ac:dyDescent="0.25">
      <c r="A8145" s="66"/>
    </row>
    <row r="8146" spans="1:1" x14ac:dyDescent="0.25">
      <c r="A8146" s="66"/>
    </row>
    <row r="8147" spans="1:1" x14ac:dyDescent="0.25">
      <c r="A8147" s="66"/>
    </row>
    <row r="8148" spans="1:1" x14ac:dyDescent="0.25">
      <c r="A8148" s="66"/>
    </row>
    <row r="8149" spans="1:1" x14ac:dyDescent="0.25">
      <c r="A8149" s="66"/>
    </row>
    <row r="8150" spans="1:1" x14ac:dyDescent="0.25">
      <c r="A8150" s="66"/>
    </row>
    <row r="8151" spans="1:1" x14ac:dyDescent="0.25">
      <c r="A8151" s="66"/>
    </row>
    <row r="8152" spans="1:1" x14ac:dyDescent="0.25">
      <c r="A8152" s="66"/>
    </row>
    <row r="8153" spans="1:1" x14ac:dyDescent="0.25">
      <c r="A8153" s="66"/>
    </row>
    <row r="8154" spans="1:1" x14ac:dyDescent="0.25">
      <c r="A8154" s="66"/>
    </row>
    <row r="8155" spans="1:1" x14ac:dyDescent="0.25">
      <c r="A8155" s="66"/>
    </row>
    <row r="8156" spans="1:1" x14ac:dyDescent="0.25">
      <c r="A8156" s="66"/>
    </row>
    <row r="8157" spans="1:1" x14ac:dyDescent="0.25">
      <c r="A8157" s="66"/>
    </row>
    <row r="8158" spans="1:1" x14ac:dyDescent="0.25">
      <c r="A8158" s="66"/>
    </row>
    <row r="8159" spans="1:1" x14ac:dyDescent="0.25">
      <c r="A8159" s="66"/>
    </row>
    <row r="8160" spans="1:1" x14ac:dyDescent="0.25">
      <c r="A8160" s="66"/>
    </row>
    <row r="8161" spans="1:1" x14ac:dyDescent="0.25">
      <c r="A8161" s="66"/>
    </row>
    <row r="8162" spans="1:1" x14ac:dyDescent="0.25">
      <c r="A8162" s="66"/>
    </row>
    <row r="8163" spans="1:1" x14ac:dyDescent="0.25">
      <c r="A8163" s="66"/>
    </row>
    <row r="8164" spans="1:1" x14ac:dyDescent="0.25">
      <c r="A8164" s="66"/>
    </row>
    <row r="8165" spans="1:1" x14ac:dyDescent="0.25">
      <c r="A8165" s="66"/>
    </row>
    <row r="8166" spans="1:1" x14ac:dyDescent="0.25">
      <c r="A8166" s="66"/>
    </row>
    <row r="8167" spans="1:1" x14ac:dyDescent="0.25">
      <c r="A8167" s="66"/>
    </row>
    <row r="8168" spans="1:1" x14ac:dyDescent="0.25">
      <c r="A8168" s="66"/>
    </row>
    <row r="8169" spans="1:1" x14ac:dyDescent="0.25">
      <c r="A8169" s="66"/>
    </row>
    <row r="8170" spans="1:1" x14ac:dyDescent="0.25">
      <c r="A8170" s="66"/>
    </row>
    <row r="8171" spans="1:1" x14ac:dyDescent="0.25">
      <c r="A8171" s="66"/>
    </row>
    <row r="8172" spans="1:1" x14ac:dyDescent="0.25">
      <c r="A8172" s="66"/>
    </row>
    <row r="8173" spans="1:1" x14ac:dyDescent="0.25">
      <c r="A8173" s="66"/>
    </row>
    <row r="8174" spans="1:1" x14ac:dyDescent="0.25">
      <c r="A8174" s="66"/>
    </row>
    <row r="8175" spans="1:1" x14ac:dyDescent="0.25">
      <c r="A8175" s="66"/>
    </row>
    <row r="8176" spans="1:1" x14ac:dyDescent="0.25">
      <c r="A8176" s="66"/>
    </row>
    <row r="8177" spans="1:1" x14ac:dyDescent="0.25">
      <c r="A8177" s="66"/>
    </row>
    <row r="8178" spans="1:1" x14ac:dyDescent="0.25">
      <c r="A8178" s="66"/>
    </row>
    <row r="8179" spans="1:1" x14ac:dyDescent="0.25">
      <c r="A8179" s="66"/>
    </row>
    <row r="8180" spans="1:1" x14ac:dyDescent="0.25">
      <c r="A8180" s="66"/>
    </row>
    <row r="8181" spans="1:1" x14ac:dyDescent="0.25">
      <c r="A8181" s="66"/>
    </row>
    <row r="8182" spans="1:1" x14ac:dyDescent="0.25">
      <c r="A8182" s="66"/>
    </row>
    <row r="8183" spans="1:1" x14ac:dyDescent="0.25">
      <c r="A8183" s="66"/>
    </row>
    <row r="8184" spans="1:1" x14ac:dyDescent="0.25">
      <c r="A8184" s="66"/>
    </row>
    <row r="8185" spans="1:1" x14ac:dyDescent="0.25">
      <c r="A8185" s="66"/>
    </row>
    <row r="8186" spans="1:1" x14ac:dyDescent="0.25">
      <c r="A8186" s="66"/>
    </row>
    <row r="8187" spans="1:1" x14ac:dyDescent="0.25">
      <c r="A8187" s="66"/>
    </row>
    <row r="8188" spans="1:1" x14ac:dyDescent="0.25">
      <c r="A8188" s="66"/>
    </row>
    <row r="8189" spans="1:1" x14ac:dyDescent="0.25">
      <c r="A8189" s="66"/>
    </row>
    <row r="8190" spans="1:1" x14ac:dyDescent="0.25">
      <c r="A8190" s="66"/>
    </row>
    <row r="8191" spans="1:1" x14ac:dyDescent="0.25">
      <c r="A8191" s="66"/>
    </row>
    <row r="8192" spans="1:1" x14ac:dyDescent="0.25">
      <c r="A8192" s="66"/>
    </row>
    <row r="8193" spans="1:1" x14ac:dyDescent="0.25">
      <c r="A8193" s="66"/>
    </row>
    <row r="8194" spans="1:1" x14ac:dyDescent="0.25">
      <c r="A8194" s="66"/>
    </row>
    <row r="8195" spans="1:1" x14ac:dyDescent="0.25">
      <c r="A8195" s="66"/>
    </row>
    <row r="8196" spans="1:1" x14ac:dyDescent="0.25">
      <c r="A8196" s="66"/>
    </row>
    <row r="8197" spans="1:1" x14ac:dyDescent="0.25">
      <c r="A8197" s="66"/>
    </row>
    <row r="8198" spans="1:1" x14ac:dyDescent="0.25">
      <c r="A8198" s="66"/>
    </row>
    <row r="8199" spans="1:1" x14ac:dyDescent="0.25">
      <c r="A8199" s="66"/>
    </row>
    <row r="8200" spans="1:1" x14ac:dyDescent="0.25">
      <c r="A8200" s="66"/>
    </row>
    <row r="8201" spans="1:1" x14ac:dyDescent="0.25">
      <c r="A8201" s="66"/>
    </row>
    <row r="8202" spans="1:1" x14ac:dyDescent="0.25">
      <c r="A8202" s="66"/>
    </row>
    <row r="8203" spans="1:1" x14ac:dyDescent="0.25">
      <c r="A8203" s="66"/>
    </row>
    <row r="8204" spans="1:1" x14ac:dyDescent="0.25">
      <c r="A8204" s="66"/>
    </row>
    <row r="8205" spans="1:1" x14ac:dyDescent="0.25">
      <c r="A8205" s="66"/>
    </row>
    <row r="8206" spans="1:1" x14ac:dyDescent="0.25">
      <c r="A8206" s="66"/>
    </row>
    <row r="8207" spans="1:1" x14ac:dyDescent="0.25">
      <c r="A8207" s="66"/>
    </row>
    <row r="8208" spans="1:1" x14ac:dyDescent="0.25">
      <c r="A8208" s="66"/>
    </row>
    <row r="8209" spans="1:1" x14ac:dyDescent="0.25">
      <c r="A8209" s="66"/>
    </row>
    <row r="8210" spans="1:1" x14ac:dyDescent="0.25">
      <c r="A8210" s="66"/>
    </row>
    <row r="8211" spans="1:1" x14ac:dyDescent="0.25">
      <c r="A8211" s="66"/>
    </row>
    <row r="8212" spans="1:1" x14ac:dyDescent="0.25">
      <c r="A8212" s="66"/>
    </row>
    <row r="8213" spans="1:1" x14ac:dyDescent="0.25">
      <c r="A8213" s="66"/>
    </row>
    <row r="8214" spans="1:1" x14ac:dyDescent="0.25">
      <c r="A8214" s="66"/>
    </row>
    <row r="8215" spans="1:1" x14ac:dyDescent="0.25">
      <c r="A8215" s="66"/>
    </row>
    <row r="8216" spans="1:1" x14ac:dyDescent="0.25">
      <c r="A8216" s="66"/>
    </row>
    <row r="8217" spans="1:1" x14ac:dyDescent="0.25">
      <c r="A8217" s="66"/>
    </row>
    <row r="8218" spans="1:1" x14ac:dyDescent="0.25">
      <c r="A8218" s="66"/>
    </row>
    <row r="8219" spans="1:1" x14ac:dyDescent="0.25">
      <c r="A8219" s="66"/>
    </row>
    <row r="8220" spans="1:1" x14ac:dyDescent="0.25">
      <c r="A8220" s="66"/>
    </row>
    <row r="8221" spans="1:1" x14ac:dyDescent="0.25">
      <c r="A8221" s="66"/>
    </row>
    <row r="8222" spans="1:1" x14ac:dyDescent="0.25">
      <c r="A8222" s="66"/>
    </row>
    <row r="8223" spans="1:1" x14ac:dyDescent="0.25">
      <c r="A8223" s="66"/>
    </row>
    <row r="8224" spans="1:1" x14ac:dyDescent="0.25">
      <c r="A8224" s="66"/>
    </row>
    <row r="8225" spans="1:1" x14ac:dyDescent="0.25">
      <c r="A8225" s="66"/>
    </row>
    <row r="8226" spans="1:1" x14ac:dyDescent="0.25">
      <c r="A8226" s="66"/>
    </row>
    <row r="8227" spans="1:1" x14ac:dyDescent="0.25">
      <c r="A8227" s="66"/>
    </row>
    <row r="8228" spans="1:1" x14ac:dyDescent="0.25">
      <c r="A8228" s="66"/>
    </row>
    <row r="8229" spans="1:1" x14ac:dyDescent="0.25">
      <c r="A8229" s="66"/>
    </row>
    <row r="8230" spans="1:1" x14ac:dyDescent="0.25">
      <c r="A8230" s="66"/>
    </row>
    <row r="8231" spans="1:1" x14ac:dyDescent="0.25">
      <c r="A8231" s="66"/>
    </row>
    <row r="8232" spans="1:1" x14ac:dyDescent="0.25">
      <c r="A8232" s="66"/>
    </row>
    <row r="8233" spans="1:1" x14ac:dyDescent="0.25">
      <c r="A8233" s="66"/>
    </row>
    <row r="8234" spans="1:1" x14ac:dyDescent="0.25">
      <c r="A8234" s="66"/>
    </row>
    <row r="8235" spans="1:1" x14ac:dyDescent="0.25">
      <c r="A8235" s="66"/>
    </row>
    <row r="8236" spans="1:1" x14ac:dyDescent="0.25">
      <c r="A8236" s="66"/>
    </row>
    <row r="8237" spans="1:1" x14ac:dyDescent="0.25">
      <c r="A8237" s="66"/>
    </row>
    <row r="8238" spans="1:1" x14ac:dyDescent="0.25">
      <c r="A8238" s="66"/>
    </row>
    <row r="8239" spans="1:1" x14ac:dyDescent="0.25">
      <c r="A8239" s="66"/>
    </row>
    <row r="8240" spans="1:1" x14ac:dyDescent="0.25">
      <c r="A8240" s="66"/>
    </row>
    <row r="8241" spans="1:1" x14ac:dyDescent="0.25">
      <c r="A8241" s="66"/>
    </row>
    <row r="8242" spans="1:1" x14ac:dyDescent="0.25">
      <c r="A8242" s="66"/>
    </row>
    <row r="8243" spans="1:1" x14ac:dyDescent="0.25">
      <c r="A8243" s="66"/>
    </row>
    <row r="8244" spans="1:1" x14ac:dyDescent="0.25">
      <c r="A8244" s="66"/>
    </row>
    <row r="8245" spans="1:1" x14ac:dyDescent="0.25">
      <c r="A8245" s="66"/>
    </row>
    <row r="8246" spans="1:1" x14ac:dyDescent="0.25">
      <c r="A8246" s="66"/>
    </row>
    <row r="8247" spans="1:1" x14ac:dyDescent="0.25">
      <c r="A8247" s="66"/>
    </row>
    <row r="8248" spans="1:1" x14ac:dyDescent="0.25">
      <c r="A8248" s="66"/>
    </row>
    <row r="8249" spans="1:1" x14ac:dyDescent="0.25">
      <c r="A8249" s="66"/>
    </row>
    <row r="8250" spans="1:1" x14ac:dyDescent="0.25">
      <c r="A8250" s="66"/>
    </row>
    <row r="8251" spans="1:1" x14ac:dyDescent="0.25">
      <c r="A8251" s="66"/>
    </row>
    <row r="8252" spans="1:1" x14ac:dyDescent="0.25">
      <c r="A8252" s="66"/>
    </row>
    <row r="8253" spans="1:1" x14ac:dyDescent="0.25">
      <c r="A8253" s="66"/>
    </row>
    <row r="8254" spans="1:1" x14ac:dyDescent="0.25">
      <c r="A8254" s="66"/>
    </row>
    <row r="8255" spans="1:1" x14ac:dyDescent="0.25">
      <c r="A8255" s="66"/>
    </row>
    <row r="8256" spans="1:1" x14ac:dyDescent="0.25">
      <c r="A8256" s="66"/>
    </row>
    <row r="8257" spans="1:1" x14ac:dyDescent="0.25">
      <c r="A8257" s="66"/>
    </row>
    <row r="8258" spans="1:1" x14ac:dyDescent="0.25">
      <c r="A8258" s="66"/>
    </row>
    <row r="8259" spans="1:1" x14ac:dyDescent="0.25">
      <c r="A8259" s="66"/>
    </row>
    <row r="8260" spans="1:1" x14ac:dyDescent="0.25">
      <c r="A8260" s="66"/>
    </row>
    <row r="8261" spans="1:1" x14ac:dyDescent="0.25">
      <c r="A8261" s="66"/>
    </row>
    <row r="8262" spans="1:1" x14ac:dyDescent="0.25">
      <c r="A8262" s="66"/>
    </row>
    <row r="8263" spans="1:1" x14ac:dyDescent="0.25">
      <c r="A8263" s="66"/>
    </row>
    <row r="8264" spans="1:1" x14ac:dyDescent="0.25">
      <c r="A8264" s="66"/>
    </row>
    <row r="8265" spans="1:1" x14ac:dyDescent="0.25">
      <c r="A8265" s="66"/>
    </row>
    <row r="8266" spans="1:1" x14ac:dyDescent="0.25">
      <c r="A8266" s="66"/>
    </row>
    <row r="8267" spans="1:1" x14ac:dyDescent="0.25">
      <c r="A8267" s="66"/>
    </row>
    <row r="8268" spans="1:1" x14ac:dyDescent="0.25">
      <c r="A8268" s="66"/>
    </row>
    <row r="8269" spans="1:1" x14ac:dyDescent="0.25">
      <c r="A8269" s="66"/>
    </row>
    <row r="8270" spans="1:1" x14ac:dyDescent="0.25">
      <c r="A8270" s="66"/>
    </row>
    <row r="8271" spans="1:1" x14ac:dyDescent="0.25">
      <c r="A8271" s="66"/>
    </row>
    <row r="8272" spans="1:1" x14ac:dyDescent="0.25">
      <c r="A8272" s="66"/>
    </row>
    <row r="8273" spans="1:1" x14ac:dyDescent="0.25">
      <c r="A8273" s="66"/>
    </row>
    <row r="8274" spans="1:1" x14ac:dyDescent="0.25">
      <c r="A8274" s="66"/>
    </row>
    <row r="8275" spans="1:1" x14ac:dyDescent="0.25">
      <c r="A8275" s="66"/>
    </row>
    <row r="8276" spans="1:1" x14ac:dyDescent="0.25">
      <c r="A8276" s="66"/>
    </row>
    <row r="8277" spans="1:1" x14ac:dyDescent="0.25">
      <c r="A8277" s="66"/>
    </row>
    <row r="8278" spans="1:1" x14ac:dyDescent="0.25">
      <c r="A8278" s="66"/>
    </row>
    <row r="8279" spans="1:1" x14ac:dyDescent="0.25">
      <c r="A8279" s="66"/>
    </row>
    <row r="8280" spans="1:1" x14ac:dyDescent="0.25">
      <c r="A8280" s="66"/>
    </row>
    <row r="8281" spans="1:1" x14ac:dyDescent="0.25">
      <c r="A8281" s="66"/>
    </row>
    <row r="8282" spans="1:1" x14ac:dyDescent="0.25">
      <c r="A8282" s="66"/>
    </row>
    <row r="8283" spans="1:1" x14ac:dyDescent="0.25">
      <c r="A8283" s="66"/>
    </row>
    <row r="8284" spans="1:1" x14ac:dyDescent="0.25">
      <c r="A8284" s="66"/>
    </row>
    <row r="8285" spans="1:1" x14ac:dyDescent="0.25">
      <c r="A8285" s="66"/>
    </row>
    <row r="8286" spans="1:1" x14ac:dyDescent="0.25">
      <c r="A8286" s="66"/>
    </row>
    <row r="8287" spans="1:1" x14ac:dyDescent="0.25">
      <c r="A8287" s="66"/>
    </row>
    <row r="8288" spans="1:1" x14ac:dyDescent="0.25">
      <c r="A8288" s="66"/>
    </row>
    <row r="8289" spans="1:1" x14ac:dyDescent="0.25">
      <c r="A8289" s="66"/>
    </row>
    <row r="8290" spans="1:1" x14ac:dyDescent="0.25">
      <c r="A8290" s="66"/>
    </row>
    <row r="8291" spans="1:1" x14ac:dyDescent="0.25">
      <c r="A8291" s="66"/>
    </row>
    <row r="8292" spans="1:1" x14ac:dyDescent="0.25">
      <c r="A8292" s="66"/>
    </row>
    <row r="8293" spans="1:1" x14ac:dyDescent="0.25">
      <c r="A8293" s="66"/>
    </row>
    <row r="8294" spans="1:1" x14ac:dyDescent="0.25">
      <c r="A8294" s="66"/>
    </row>
    <row r="8295" spans="1:1" x14ac:dyDescent="0.25">
      <c r="A8295" s="66"/>
    </row>
    <row r="8296" spans="1:1" x14ac:dyDescent="0.25">
      <c r="A8296" s="66"/>
    </row>
    <row r="8297" spans="1:1" x14ac:dyDescent="0.25">
      <c r="A8297" s="66"/>
    </row>
    <row r="8298" spans="1:1" x14ac:dyDescent="0.25">
      <c r="A8298" s="66"/>
    </row>
    <row r="8299" spans="1:1" x14ac:dyDescent="0.25">
      <c r="A8299" s="66"/>
    </row>
    <row r="8300" spans="1:1" x14ac:dyDescent="0.25">
      <c r="A8300" s="66"/>
    </row>
    <row r="8301" spans="1:1" x14ac:dyDescent="0.25">
      <c r="A8301" s="66"/>
    </row>
    <row r="8302" spans="1:1" x14ac:dyDescent="0.25">
      <c r="A8302" s="66"/>
    </row>
    <row r="8303" spans="1:1" x14ac:dyDescent="0.25">
      <c r="A8303" s="66"/>
    </row>
    <row r="8304" spans="1:1" x14ac:dyDescent="0.25">
      <c r="A8304" s="66"/>
    </row>
    <row r="8305" spans="1:1" x14ac:dyDescent="0.25">
      <c r="A8305" s="66"/>
    </row>
    <row r="8306" spans="1:1" x14ac:dyDescent="0.25">
      <c r="A8306" s="66"/>
    </row>
    <row r="8307" spans="1:1" x14ac:dyDescent="0.25">
      <c r="A8307" s="66"/>
    </row>
    <row r="8308" spans="1:1" x14ac:dyDescent="0.25">
      <c r="A8308" s="66"/>
    </row>
    <row r="8309" spans="1:1" x14ac:dyDescent="0.25">
      <c r="A8309" s="66"/>
    </row>
    <row r="8310" spans="1:1" x14ac:dyDescent="0.25">
      <c r="A8310" s="66"/>
    </row>
    <row r="8311" spans="1:1" x14ac:dyDescent="0.25">
      <c r="A8311" s="66"/>
    </row>
    <row r="8312" spans="1:1" x14ac:dyDescent="0.25">
      <c r="A8312" s="66"/>
    </row>
    <row r="8313" spans="1:1" x14ac:dyDescent="0.25">
      <c r="A8313" s="66"/>
    </row>
    <row r="8314" spans="1:1" x14ac:dyDescent="0.25">
      <c r="A8314" s="66"/>
    </row>
    <row r="8315" spans="1:1" x14ac:dyDescent="0.25">
      <c r="A8315" s="66"/>
    </row>
    <row r="8316" spans="1:1" x14ac:dyDescent="0.25">
      <c r="A8316" s="66"/>
    </row>
    <row r="8317" spans="1:1" x14ac:dyDescent="0.25">
      <c r="A8317" s="66"/>
    </row>
    <row r="8318" spans="1:1" x14ac:dyDescent="0.25">
      <c r="A8318" s="66"/>
    </row>
    <row r="8319" spans="1:1" x14ac:dyDescent="0.25">
      <c r="A8319" s="66"/>
    </row>
    <row r="8320" spans="1:1" x14ac:dyDescent="0.25">
      <c r="A8320" s="66"/>
    </row>
    <row r="8321" spans="1:1" x14ac:dyDescent="0.25">
      <c r="A8321" s="66"/>
    </row>
    <row r="8322" spans="1:1" x14ac:dyDescent="0.25">
      <c r="A8322" s="66"/>
    </row>
    <row r="8323" spans="1:1" x14ac:dyDescent="0.25">
      <c r="A8323" s="66"/>
    </row>
    <row r="8324" spans="1:1" x14ac:dyDescent="0.25">
      <c r="A8324" s="66"/>
    </row>
    <row r="8325" spans="1:1" x14ac:dyDescent="0.25">
      <c r="A8325" s="66"/>
    </row>
    <row r="8326" spans="1:1" x14ac:dyDescent="0.25">
      <c r="A8326" s="66"/>
    </row>
    <row r="8327" spans="1:1" x14ac:dyDescent="0.25">
      <c r="A8327" s="66"/>
    </row>
    <row r="8328" spans="1:1" x14ac:dyDescent="0.25">
      <c r="A8328" s="66"/>
    </row>
    <row r="8329" spans="1:1" x14ac:dyDescent="0.25">
      <c r="A8329" s="66"/>
    </row>
    <row r="8330" spans="1:1" x14ac:dyDescent="0.25">
      <c r="A8330" s="66"/>
    </row>
    <row r="8331" spans="1:1" x14ac:dyDescent="0.25">
      <c r="A8331" s="66"/>
    </row>
    <row r="8332" spans="1:1" x14ac:dyDescent="0.25">
      <c r="A8332" s="66"/>
    </row>
    <row r="8333" spans="1:1" x14ac:dyDescent="0.25">
      <c r="A8333" s="66"/>
    </row>
    <row r="8334" spans="1:1" x14ac:dyDescent="0.25">
      <c r="A8334" s="66"/>
    </row>
    <row r="8335" spans="1:1" x14ac:dyDescent="0.25">
      <c r="A8335" s="66"/>
    </row>
    <row r="8336" spans="1:1" x14ac:dyDescent="0.25">
      <c r="A8336" s="66"/>
    </row>
    <row r="8337" spans="1:1" x14ac:dyDescent="0.25">
      <c r="A8337" s="66"/>
    </row>
    <row r="8338" spans="1:1" x14ac:dyDescent="0.25">
      <c r="A8338" s="66"/>
    </row>
    <row r="8339" spans="1:1" x14ac:dyDescent="0.25">
      <c r="A8339" s="66"/>
    </row>
    <row r="8340" spans="1:1" x14ac:dyDescent="0.25">
      <c r="A8340" s="66"/>
    </row>
    <row r="8341" spans="1:1" x14ac:dyDescent="0.25">
      <c r="A8341" s="66"/>
    </row>
    <row r="8342" spans="1:1" x14ac:dyDescent="0.25">
      <c r="A8342" s="66"/>
    </row>
    <row r="8343" spans="1:1" x14ac:dyDescent="0.25">
      <c r="A8343" s="66"/>
    </row>
    <row r="8344" spans="1:1" x14ac:dyDescent="0.25">
      <c r="A8344" s="66"/>
    </row>
    <row r="8345" spans="1:1" x14ac:dyDescent="0.25">
      <c r="A8345" s="66"/>
    </row>
    <row r="8346" spans="1:1" x14ac:dyDescent="0.25">
      <c r="A8346" s="66"/>
    </row>
    <row r="8347" spans="1:1" x14ac:dyDescent="0.25">
      <c r="A8347" s="66"/>
    </row>
    <row r="8348" spans="1:1" x14ac:dyDescent="0.25">
      <c r="A8348" s="66"/>
    </row>
    <row r="8349" spans="1:1" x14ac:dyDescent="0.25">
      <c r="A8349" s="66"/>
    </row>
    <row r="8350" spans="1:1" x14ac:dyDescent="0.25">
      <c r="A8350" s="66"/>
    </row>
    <row r="8351" spans="1:1" x14ac:dyDescent="0.25">
      <c r="A8351" s="66"/>
    </row>
    <row r="8352" spans="1:1" x14ac:dyDescent="0.25">
      <c r="A8352" s="66"/>
    </row>
    <row r="8353" spans="1:1" x14ac:dyDescent="0.25">
      <c r="A8353" s="66"/>
    </row>
    <row r="8354" spans="1:1" x14ac:dyDescent="0.25">
      <c r="A8354" s="66"/>
    </row>
    <row r="8355" spans="1:1" x14ac:dyDescent="0.25">
      <c r="A8355" s="66"/>
    </row>
    <row r="8356" spans="1:1" x14ac:dyDescent="0.25">
      <c r="A8356" s="66"/>
    </row>
    <row r="8357" spans="1:1" x14ac:dyDescent="0.25">
      <c r="A8357" s="66"/>
    </row>
    <row r="8358" spans="1:1" x14ac:dyDescent="0.25">
      <c r="A8358" s="66"/>
    </row>
    <row r="8359" spans="1:1" x14ac:dyDescent="0.25">
      <c r="A8359" s="66"/>
    </row>
    <row r="8360" spans="1:1" x14ac:dyDescent="0.25">
      <c r="A8360" s="66"/>
    </row>
    <row r="8361" spans="1:1" x14ac:dyDescent="0.25">
      <c r="A8361" s="66"/>
    </row>
    <row r="8362" spans="1:1" x14ac:dyDescent="0.25">
      <c r="A8362" s="66"/>
    </row>
    <row r="8363" spans="1:1" x14ac:dyDescent="0.25">
      <c r="A8363" s="66"/>
    </row>
    <row r="8364" spans="1:1" x14ac:dyDescent="0.25">
      <c r="A8364" s="66"/>
    </row>
    <row r="8365" spans="1:1" x14ac:dyDescent="0.25">
      <c r="A8365" s="66"/>
    </row>
    <row r="8366" spans="1:1" x14ac:dyDescent="0.25">
      <c r="A8366" s="66"/>
    </row>
    <row r="8367" spans="1:1" x14ac:dyDescent="0.25">
      <c r="A8367" s="66"/>
    </row>
    <row r="8368" spans="1:1" x14ac:dyDescent="0.25">
      <c r="A8368" s="66"/>
    </row>
    <row r="8369" spans="1:1" x14ac:dyDescent="0.25">
      <c r="A8369" s="66"/>
    </row>
    <row r="8370" spans="1:1" x14ac:dyDescent="0.25">
      <c r="A8370" s="66"/>
    </row>
    <row r="8371" spans="1:1" x14ac:dyDescent="0.25">
      <c r="A8371" s="66"/>
    </row>
    <row r="8372" spans="1:1" x14ac:dyDescent="0.25">
      <c r="A8372" s="66"/>
    </row>
    <row r="8373" spans="1:1" x14ac:dyDescent="0.25">
      <c r="A8373" s="66"/>
    </row>
    <row r="8374" spans="1:1" x14ac:dyDescent="0.25">
      <c r="A8374" s="66"/>
    </row>
    <row r="8375" spans="1:1" x14ac:dyDescent="0.25">
      <c r="A8375" s="66"/>
    </row>
    <row r="8376" spans="1:1" x14ac:dyDescent="0.25">
      <c r="A8376" s="66"/>
    </row>
    <row r="8377" spans="1:1" x14ac:dyDescent="0.25">
      <c r="A8377" s="66"/>
    </row>
    <row r="8378" spans="1:1" x14ac:dyDescent="0.25">
      <c r="A8378" s="66"/>
    </row>
    <row r="8379" spans="1:1" x14ac:dyDescent="0.25">
      <c r="A8379" s="66"/>
    </row>
    <row r="8380" spans="1:1" x14ac:dyDescent="0.25">
      <c r="A8380" s="66"/>
    </row>
    <row r="8381" spans="1:1" x14ac:dyDescent="0.25">
      <c r="A8381" s="66"/>
    </row>
    <row r="8382" spans="1:1" x14ac:dyDescent="0.25">
      <c r="A8382" s="66"/>
    </row>
    <row r="8383" spans="1:1" x14ac:dyDescent="0.25">
      <c r="A8383" s="66"/>
    </row>
    <row r="8384" spans="1:1" x14ac:dyDescent="0.25">
      <c r="A8384" s="66"/>
    </row>
    <row r="8385" spans="1:1" x14ac:dyDescent="0.25">
      <c r="A8385" s="66"/>
    </row>
    <row r="8386" spans="1:1" x14ac:dyDescent="0.25">
      <c r="A8386" s="66"/>
    </row>
    <row r="8387" spans="1:1" x14ac:dyDescent="0.25">
      <c r="A8387" s="66"/>
    </row>
    <row r="8388" spans="1:1" x14ac:dyDescent="0.25">
      <c r="A8388" s="66"/>
    </row>
    <row r="8389" spans="1:1" x14ac:dyDescent="0.25">
      <c r="A8389" s="66"/>
    </row>
    <row r="8390" spans="1:1" x14ac:dyDescent="0.25">
      <c r="A8390" s="66"/>
    </row>
    <row r="8391" spans="1:1" x14ac:dyDescent="0.25">
      <c r="A8391" s="66"/>
    </row>
    <row r="8392" spans="1:1" x14ac:dyDescent="0.25">
      <c r="A8392" s="66"/>
    </row>
    <row r="8393" spans="1:1" x14ac:dyDescent="0.25">
      <c r="A8393" s="66"/>
    </row>
    <row r="8394" spans="1:1" x14ac:dyDescent="0.25">
      <c r="A8394" s="66"/>
    </row>
    <row r="8395" spans="1:1" x14ac:dyDescent="0.25">
      <c r="A8395" s="66"/>
    </row>
    <row r="8396" spans="1:1" x14ac:dyDescent="0.25">
      <c r="A8396" s="66"/>
    </row>
    <row r="8397" spans="1:1" x14ac:dyDescent="0.25">
      <c r="A8397" s="66"/>
    </row>
    <row r="8398" spans="1:1" x14ac:dyDescent="0.25">
      <c r="A8398" s="66"/>
    </row>
    <row r="8399" spans="1:1" x14ac:dyDescent="0.25">
      <c r="A8399" s="66"/>
    </row>
    <row r="8400" spans="1:1" x14ac:dyDescent="0.25">
      <c r="A8400" s="66"/>
    </row>
    <row r="8401" spans="1:1" x14ac:dyDescent="0.25">
      <c r="A8401" s="66"/>
    </row>
    <row r="8402" spans="1:1" x14ac:dyDescent="0.25">
      <c r="A8402" s="66"/>
    </row>
    <row r="8403" spans="1:1" x14ac:dyDescent="0.25">
      <c r="A8403" s="66"/>
    </row>
    <row r="8404" spans="1:1" x14ac:dyDescent="0.25">
      <c r="A8404" s="66"/>
    </row>
    <row r="8405" spans="1:1" x14ac:dyDescent="0.25">
      <c r="A8405" s="66"/>
    </row>
    <row r="8406" spans="1:1" x14ac:dyDescent="0.25">
      <c r="A8406" s="66"/>
    </row>
    <row r="8407" spans="1:1" x14ac:dyDescent="0.25">
      <c r="A8407" s="66"/>
    </row>
    <row r="8408" spans="1:1" x14ac:dyDescent="0.25">
      <c r="A8408" s="66"/>
    </row>
    <row r="8409" spans="1:1" x14ac:dyDescent="0.25">
      <c r="A8409" s="66"/>
    </row>
    <row r="8410" spans="1:1" x14ac:dyDescent="0.25">
      <c r="A8410" s="66"/>
    </row>
    <row r="8411" spans="1:1" x14ac:dyDescent="0.25">
      <c r="A8411" s="66"/>
    </row>
    <row r="8412" spans="1:1" x14ac:dyDescent="0.25">
      <c r="A8412" s="66"/>
    </row>
    <row r="8413" spans="1:1" x14ac:dyDescent="0.25">
      <c r="A8413" s="66"/>
    </row>
    <row r="8414" spans="1:1" x14ac:dyDescent="0.25">
      <c r="A8414" s="66"/>
    </row>
    <row r="8415" spans="1:1" x14ac:dyDescent="0.25">
      <c r="A8415" s="66"/>
    </row>
    <row r="8416" spans="1:1" x14ac:dyDescent="0.25">
      <c r="A8416" s="66"/>
    </row>
    <row r="8417" spans="1:1" x14ac:dyDescent="0.25">
      <c r="A8417" s="66"/>
    </row>
    <row r="8418" spans="1:1" x14ac:dyDescent="0.25">
      <c r="A8418" s="66"/>
    </row>
    <row r="8419" spans="1:1" x14ac:dyDescent="0.25">
      <c r="A8419" s="66"/>
    </row>
    <row r="8420" spans="1:1" x14ac:dyDescent="0.25">
      <c r="A8420" s="66"/>
    </row>
    <row r="8421" spans="1:1" x14ac:dyDescent="0.25">
      <c r="A8421" s="66"/>
    </row>
    <row r="8422" spans="1:1" x14ac:dyDescent="0.25">
      <c r="A8422" s="66"/>
    </row>
    <row r="8423" spans="1:1" x14ac:dyDescent="0.25">
      <c r="A8423" s="66"/>
    </row>
    <row r="8424" spans="1:1" x14ac:dyDescent="0.25">
      <c r="A8424" s="66"/>
    </row>
    <row r="8425" spans="1:1" x14ac:dyDescent="0.25">
      <c r="A8425" s="66"/>
    </row>
    <row r="8426" spans="1:1" x14ac:dyDescent="0.25">
      <c r="A8426" s="66"/>
    </row>
    <row r="8427" spans="1:1" x14ac:dyDescent="0.25">
      <c r="A8427" s="66"/>
    </row>
    <row r="8428" spans="1:1" x14ac:dyDescent="0.25">
      <c r="A8428" s="66"/>
    </row>
    <row r="8429" spans="1:1" x14ac:dyDescent="0.25">
      <c r="A8429" s="66"/>
    </row>
    <row r="8430" spans="1:1" x14ac:dyDescent="0.25">
      <c r="A8430" s="66"/>
    </row>
    <row r="8431" spans="1:1" x14ac:dyDescent="0.25">
      <c r="A8431" s="66"/>
    </row>
    <row r="8432" spans="1:1" x14ac:dyDescent="0.25">
      <c r="A8432" s="66"/>
    </row>
    <row r="8433" spans="1:1" x14ac:dyDescent="0.25">
      <c r="A8433" s="66"/>
    </row>
    <row r="8434" spans="1:1" x14ac:dyDescent="0.25">
      <c r="A8434" s="66"/>
    </row>
    <row r="8435" spans="1:1" x14ac:dyDescent="0.25">
      <c r="A8435" s="66"/>
    </row>
    <row r="8436" spans="1:1" x14ac:dyDescent="0.25">
      <c r="A8436" s="66"/>
    </row>
    <row r="8437" spans="1:1" x14ac:dyDescent="0.25">
      <c r="A8437" s="66"/>
    </row>
    <row r="8438" spans="1:1" x14ac:dyDescent="0.25">
      <c r="A8438" s="66"/>
    </row>
    <row r="8439" spans="1:1" x14ac:dyDescent="0.25">
      <c r="A8439" s="66"/>
    </row>
    <row r="8440" spans="1:1" x14ac:dyDescent="0.25">
      <c r="A8440" s="66"/>
    </row>
    <row r="8441" spans="1:1" x14ac:dyDescent="0.25">
      <c r="A8441" s="66"/>
    </row>
    <row r="8442" spans="1:1" x14ac:dyDescent="0.25">
      <c r="A8442" s="66"/>
    </row>
    <row r="8443" spans="1:1" x14ac:dyDescent="0.25">
      <c r="A8443" s="66"/>
    </row>
    <row r="8444" spans="1:1" x14ac:dyDescent="0.25">
      <c r="A8444" s="66"/>
    </row>
    <row r="8445" spans="1:1" x14ac:dyDescent="0.25">
      <c r="A8445" s="66"/>
    </row>
    <row r="8446" spans="1:1" x14ac:dyDescent="0.25">
      <c r="A8446" s="66"/>
    </row>
    <row r="8447" spans="1:1" x14ac:dyDescent="0.25">
      <c r="A8447" s="66"/>
    </row>
    <row r="8448" spans="1:1" x14ac:dyDescent="0.25">
      <c r="A8448" s="66"/>
    </row>
    <row r="8449" spans="1:1" x14ac:dyDescent="0.25">
      <c r="A8449" s="66"/>
    </row>
    <row r="8450" spans="1:1" x14ac:dyDescent="0.25">
      <c r="A8450" s="66"/>
    </row>
    <row r="8451" spans="1:1" x14ac:dyDescent="0.25">
      <c r="A8451" s="66"/>
    </row>
    <row r="8452" spans="1:1" x14ac:dyDescent="0.25">
      <c r="A8452" s="66"/>
    </row>
    <row r="8453" spans="1:1" x14ac:dyDescent="0.25">
      <c r="A8453" s="66"/>
    </row>
    <row r="8454" spans="1:1" x14ac:dyDescent="0.25">
      <c r="A8454" s="66"/>
    </row>
    <row r="8455" spans="1:1" x14ac:dyDescent="0.25">
      <c r="A8455" s="66"/>
    </row>
    <row r="8456" spans="1:1" x14ac:dyDescent="0.25">
      <c r="A8456" s="66"/>
    </row>
    <row r="8457" spans="1:1" x14ac:dyDescent="0.25">
      <c r="A8457" s="66"/>
    </row>
    <row r="8458" spans="1:1" x14ac:dyDescent="0.25">
      <c r="A8458" s="66"/>
    </row>
    <row r="8459" spans="1:1" x14ac:dyDescent="0.25">
      <c r="A8459" s="66"/>
    </row>
    <row r="8460" spans="1:1" x14ac:dyDescent="0.25">
      <c r="A8460" s="66"/>
    </row>
    <row r="8461" spans="1:1" x14ac:dyDescent="0.25">
      <c r="A8461" s="66"/>
    </row>
    <row r="8462" spans="1:1" x14ac:dyDescent="0.25">
      <c r="A8462" s="66"/>
    </row>
    <row r="8463" spans="1:1" x14ac:dyDescent="0.25">
      <c r="A8463" s="66"/>
    </row>
    <row r="8464" spans="1:1" x14ac:dyDescent="0.25">
      <c r="A8464" s="66"/>
    </row>
    <row r="8465" spans="1:1" x14ac:dyDescent="0.25">
      <c r="A8465" s="66"/>
    </row>
    <row r="8466" spans="1:1" x14ac:dyDescent="0.25">
      <c r="A8466" s="66"/>
    </row>
    <row r="8467" spans="1:1" x14ac:dyDescent="0.25">
      <c r="A8467" s="66"/>
    </row>
    <row r="8468" spans="1:1" x14ac:dyDescent="0.25">
      <c r="A8468" s="66"/>
    </row>
    <row r="8469" spans="1:1" x14ac:dyDescent="0.25">
      <c r="A8469" s="66"/>
    </row>
    <row r="8470" spans="1:1" x14ac:dyDescent="0.25">
      <c r="A8470" s="66"/>
    </row>
    <row r="8471" spans="1:1" x14ac:dyDescent="0.25">
      <c r="A8471" s="66"/>
    </row>
    <row r="8472" spans="1:1" x14ac:dyDescent="0.25">
      <c r="A8472" s="66"/>
    </row>
    <row r="8473" spans="1:1" x14ac:dyDescent="0.25">
      <c r="A8473" s="66"/>
    </row>
    <row r="8474" spans="1:1" x14ac:dyDescent="0.25">
      <c r="A8474" s="66"/>
    </row>
    <row r="8475" spans="1:1" x14ac:dyDescent="0.25">
      <c r="A8475" s="66"/>
    </row>
    <row r="8476" spans="1:1" x14ac:dyDescent="0.25">
      <c r="A8476" s="66"/>
    </row>
    <row r="8477" spans="1:1" x14ac:dyDescent="0.25">
      <c r="A8477" s="66"/>
    </row>
    <row r="8478" spans="1:1" x14ac:dyDescent="0.25">
      <c r="A8478" s="66"/>
    </row>
    <row r="8479" spans="1:1" x14ac:dyDescent="0.25">
      <c r="A8479" s="66"/>
    </row>
    <row r="8480" spans="1:1" x14ac:dyDescent="0.25">
      <c r="A8480" s="66"/>
    </row>
    <row r="8481" spans="1:1" x14ac:dyDescent="0.25">
      <c r="A8481" s="66"/>
    </row>
    <row r="8482" spans="1:1" x14ac:dyDescent="0.25">
      <c r="A8482" s="66"/>
    </row>
    <row r="8483" spans="1:1" x14ac:dyDescent="0.25">
      <c r="A8483" s="66"/>
    </row>
    <row r="8484" spans="1:1" x14ac:dyDescent="0.25">
      <c r="A8484" s="66"/>
    </row>
    <row r="8485" spans="1:1" x14ac:dyDescent="0.25">
      <c r="A8485" s="66"/>
    </row>
    <row r="8486" spans="1:1" x14ac:dyDescent="0.25">
      <c r="A8486" s="66"/>
    </row>
    <row r="8487" spans="1:1" x14ac:dyDescent="0.25">
      <c r="A8487" s="66"/>
    </row>
    <row r="8488" spans="1:1" x14ac:dyDescent="0.25">
      <c r="A8488" s="66"/>
    </row>
    <row r="8489" spans="1:1" x14ac:dyDescent="0.25">
      <c r="A8489" s="66"/>
    </row>
    <row r="8490" spans="1:1" x14ac:dyDescent="0.25">
      <c r="A8490" s="66"/>
    </row>
    <row r="8491" spans="1:1" x14ac:dyDescent="0.25">
      <c r="A8491" s="66"/>
    </row>
    <row r="8492" spans="1:1" x14ac:dyDescent="0.25">
      <c r="A8492" s="66"/>
    </row>
    <row r="8493" spans="1:1" x14ac:dyDescent="0.25">
      <c r="A8493" s="66"/>
    </row>
    <row r="8494" spans="1:1" x14ac:dyDescent="0.25">
      <c r="A8494" s="66"/>
    </row>
    <row r="8495" spans="1:1" x14ac:dyDescent="0.25">
      <c r="A8495" s="66"/>
    </row>
    <row r="8496" spans="1:1" x14ac:dyDescent="0.25">
      <c r="A8496" s="66"/>
    </row>
    <row r="8497" spans="1:1" x14ac:dyDescent="0.25">
      <c r="A8497" s="66"/>
    </row>
    <row r="8498" spans="1:1" x14ac:dyDescent="0.25">
      <c r="A8498" s="66"/>
    </row>
    <row r="8499" spans="1:1" x14ac:dyDescent="0.25">
      <c r="A8499" s="66"/>
    </row>
    <row r="8500" spans="1:1" x14ac:dyDescent="0.25">
      <c r="A8500" s="66"/>
    </row>
    <row r="8501" spans="1:1" x14ac:dyDescent="0.25">
      <c r="A8501" s="66"/>
    </row>
    <row r="8502" spans="1:1" x14ac:dyDescent="0.25">
      <c r="A8502" s="66"/>
    </row>
    <row r="8503" spans="1:1" x14ac:dyDescent="0.25">
      <c r="A8503" s="66"/>
    </row>
    <row r="8504" spans="1:1" x14ac:dyDescent="0.25">
      <c r="A8504" s="66"/>
    </row>
    <row r="8505" spans="1:1" x14ac:dyDescent="0.25">
      <c r="A8505" s="66"/>
    </row>
    <row r="8506" spans="1:1" x14ac:dyDescent="0.25">
      <c r="A8506" s="66"/>
    </row>
    <row r="8507" spans="1:1" x14ac:dyDescent="0.25">
      <c r="A8507" s="66"/>
    </row>
    <row r="8508" spans="1:1" x14ac:dyDescent="0.25">
      <c r="A8508" s="66"/>
    </row>
    <row r="8509" spans="1:1" x14ac:dyDescent="0.25">
      <c r="A8509" s="66"/>
    </row>
    <row r="8510" spans="1:1" x14ac:dyDescent="0.25">
      <c r="A8510" s="66"/>
    </row>
    <row r="8511" spans="1:1" x14ac:dyDescent="0.25">
      <c r="A8511" s="66"/>
    </row>
    <row r="8512" spans="1:1" x14ac:dyDescent="0.25">
      <c r="A8512" s="66"/>
    </row>
    <row r="8513" spans="1:1" x14ac:dyDescent="0.25">
      <c r="A8513" s="66"/>
    </row>
    <row r="8514" spans="1:1" x14ac:dyDescent="0.25">
      <c r="A8514" s="66"/>
    </row>
    <row r="8515" spans="1:1" x14ac:dyDescent="0.25">
      <c r="A8515" s="66"/>
    </row>
    <row r="8516" spans="1:1" x14ac:dyDescent="0.25">
      <c r="A8516" s="66"/>
    </row>
    <row r="8517" spans="1:1" x14ac:dyDescent="0.25">
      <c r="A8517" s="66"/>
    </row>
    <row r="8518" spans="1:1" x14ac:dyDescent="0.25">
      <c r="A8518" s="66"/>
    </row>
    <row r="8519" spans="1:1" x14ac:dyDescent="0.25">
      <c r="A8519" s="66"/>
    </row>
    <row r="8520" spans="1:1" x14ac:dyDescent="0.25">
      <c r="A8520" s="66"/>
    </row>
    <row r="8521" spans="1:1" x14ac:dyDescent="0.25">
      <c r="A8521" s="66"/>
    </row>
    <row r="8522" spans="1:1" x14ac:dyDescent="0.25">
      <c r="A8522" s="66"/>
    </row>
    <row r="8523" spans="1:1" x14ac:dyDescent="0.25">
      <c r="A8523" s="66"/>
    </row>
    <row r="8524" spans="1:1" x14ac:dyDescent="0.25">
      <c r="A8524" s="66"/>
    </row>
    <row r="8525" spans="1:1" x14ac:dyDescent="0.25">
      <c r="A8525" s="66"/>
    </row>
    <row r="8526" spans="1:1" x14ac:dyDescent="0.25">
      <c r="A8526" s="66"/>
    </row>
    <row r="8527" spans="1:1" x14ac:dyDescent="0.25">
      <c r="A8527" s="66"/>
    </row>
    <row r="8528" spans="1:1" x14ac:dyDescent="0.25">
      <c r="A8528" s="66"/>
    </row>
    <row r="8529" spans="1:1" x14ac:dyDescent="0.25">
      <c r="A8529" s="66"/>
    </row>
    <row r="8530" spans="1:1" x14ac:dyDescent="0.25">
      <c r="A8530" s="66"/>
    </row>
    <row r="8531" spans="1:1" x14ac:dyDescent="0.25">
      <c r="A8531" s="66"/>
    </row>
    <row r="8532" spans="1:1" x14ac:dyDescent="0.25">
      <c r="A8532" s="66"/>
    </row>
    <row r="8533" spans="1:1" x14ac:dyDescent="0.25">
      <c r="A8533" s="66"/>
    </row>
    <row r="8534" spans="1:1" x14ac:dyDescent="0.25">
      <c r="A8534" s="66"/>
    </row>
    <row r="8535" spans="1:1" x14ac:dyDescent="0.25">
      <c r="A8535" s="66"/>
    </row>
    <row r="8536" spans="1:1" x14ac:dyDescent="0.25">
      <c r="A8536" s="66"/>
    </row>
    <row r="8537" spans="1:1" x14ac:dyDescent="0.25">
      <c r="A8537" s="66"/>
    </row>
    <row r="8538" spans="1:1" x14ac:dyDescent="0.25">
      <c r="A8538" s="66"/>
    </row>
    <row r="8539" spans="1:1" x14ac:dyDescent="0.25">
      <c r="A8539" s="66"/>
    </row>
    <row r="8540" spans="1:1" x14ac:dyDescent="0.25">
      <c r="A8540" s="66"/>
    </row>
    <row r="8541" spans="1:1" x14ac:dyDescent="0.25">
      <c r="A8541" s="66"/>
    </row>
    <row r="8542" spans="1:1" x14ac:dyDescent="0.25">
      <c r="A8542" s="66"/>
    </row>
    <row r="8543" spans="1:1" x14ac:dyDescent="0.25">
      <c r="A8543" s="66"/>
    </row>
    <row r="8544" spans="1:1" x14ac:dyDescent="0.25">
      <c r="A8544" s="66"/>
    </row>
    <row r="8545" spans="1:1" x14ac:dyDescent="0.25">
      <c r="A8545" s="66"/>
    </row>
    <row r="8546" spans="1:1" x14ac:dyDescent="0.25">
      <c r="A8546" s="66"/>
    </row>
    <row r="8547" spans="1:1" x14ac:dyDescent="0.25">
      <c r="A8547" s="66"/>
    </row>
    <row r="8548" spans="1:1" x14ac:dyDescent="0.25">
      <c r="A8548" s="66"/>
    </row>
    <row r="8549" spans="1:1" x14ac:dyDescent="0.25">
      <c r="A8549" s="66"/>
    </row>
    <row r="8550" spans="1:1" x14ac:dyDescent="0.25">
      <c r="A8550" s="66"/>
    </row>
    <row r="8551" spans="1:1" x14ac:dyDescent="0.25">
      <c r="A8551" s="66"/>
    </row>
    <row r="8552" spans="1:1" x14ac:dyDescent="0.25">
      <c r="A8552" s="66"/>
    </row>
    <row r="8553" spans="1:1" x14ac:dyDescent="0.25">
      <c r="A8553" s="66"/>
    </row>
    <row r="8554" spans="1:1" x14ac:dyDescent="0.25">
      <c r="A8554" s="66"/>
    </row>
    <row r="8555" spans="1:1" x14ac:dyDescent="0.25">
      <c r="A8555" s="66"/>
    </row>
    <row r="8556" spans="1:1" x14ac:dyDescent="0.25">
      <c r="A8556" s="66"/>
    </row>
    <row r="8557" spans="1:1" x14ac:dyDescent="0.25">
      <c r="A8557" s="66"/>
    </row>
    <row r="8558" spans="1:1" x14ac:dyDescent="0.25">
      <c r="A8558" s="66"/>
    </row>
    <row r="8559" spans="1:1" x14ac:dyDescent="0.25">
      <c r="A8559" s="66"/>
    </row>
    <row r="8560" spans="1:1" x14ac:dyDescent="0.25">
      <c r="A8560" s="66"/>
    </row>
    <row r="8561" spans="1:1" x14ac:dyDescent="0.25">
      <c r="A8561" s="66"/>
    </row>
    <row r="8562" spans="1:1" x14ac:dyDescent="0.25">
      <c r="A8562" s="66"/>
    </row>
    <row r="8563" spans="1:1" x14ac:dyDescent="0.25">
      <c r="A8563" s="66"/>
    </row>
    <row r="8564" spans="1:1" x14ac:dyDescent="0.25">
      <c r="A8564" s="66"/>
    </row>
    <row r="8565" spans="1:1" x14ac:dyDescent="0.25">
      <c r="A8565" s="66"/>
    </row>
    <row r="8566" spans="1:1" x14ac:dyDescent="0.25">
      <c r="A8566" s="66"/>
    </row>
    <row r="8567" spans="1:1" x14ac:dyDescent="0.25">
      <c r="A8567" s="66"/>
    </row>
    <row r="8568" spans="1:1" x14ac:dyDescent="0.25">
      <c r="A8568" s="66"/>
    </row>
    <row r="8569" spans="1:1" x14ac:dyDescent="0.25">
      <c r="A8569" s="66"/>
    </row>
    <row r="8570" spans="1:1" x14ac:dyDescent="0.25">
      <c r="A8570" s="66"/>
    </row>
    <row r="8571" spans="1:1" x14ac:dyDescent="0.25">
      <c r="A8571" s="66"/>
    </row>
    <row r="8572" spans="1:1" x14ac:dyDescent="0.25">
      <c r="A8572" s="66"/>
    </row>
    <row r="8573" spans="1:1" x14ac:dyDescent="0.25">
      <c r="A8573" s="66"/>
    </row>
    <row r="8574" spans="1:1" x14ac:dyDescent="0.25">
      <c r="A8574" s="66"/>
    </row>
    <row r="8575" spans="1:1" x14ac:dyDescent="0.25">
      <c r="A8575" s="66"/>
    </row>
    <row r="8576" spans="1:1" x14ac:dyDescent="0.25">
      <c r="A8576" s="66"/>
    </row>
    <row r="8577" spans="1:1" x14ac:dyDescent="0.25">
      <c r="A8577" s="66"/>
    </row>
    <row r="8578" spans="1:1" x14ac:dyDescent="0.25">
      <c r="A8578" s="66"/>
    </row>
    <row r="8579" spans="1:1" x14ac:dyDescent="0.25">
      <c r="A8579" s="66"/>
    </row>
    <row r="8580" spans="1:1" x14ac:dyDescent="0.25">
      <c r="A8580" s="66"/>
    </row>
    <row r="8581" spans="1:1" x14ac:dyDescent="0.25">
      <c r="A8581" s="66"/>
    </row>
    <row r="8582" spans="1:1" x14ac:dyDescent="0.25">
      <c r="A8582" s="66"/>
    </row>
    <row r="8583" spans="1:1" x14ac:dyDescent="0.25">
      <c r="A8583" s="66"/>
    </row>
    <row r="8584" spans="1:1" x14ac:dyDescent="0.25">
      <c r="A8584" s="66"/>
    </row>
    <row r="8585" spans="1:1" x14ac:dyDescent="0.25">
      <c r="A8585" s="66"/>
    </row>
    <row r="8586" spans="1:1" x14ac:dyDescent="0.25">
      <c r="A8586" s="66"/>
    </row>
    <row r="8587" spans="1:1" x14ac:dyDescent="0.25">
      <c r="A8587" s="66"/>
    </row>
    <row r="8588" spans="1:1" x14ac:dyDescent="0.25">
      <c r="A8588" s="66"/>
    </row>
    <row r="8589" spans="1:1" x14ac:dyDescent="0.25">
      <c r="A8589" s="66"/>
    </row>
    <row r="8590" spans="1:1" x14ac:dyDescent="0.25">
      <c r="A8590" s="66"/>
    </row>
    <row r="8591" spans="1:1" x14ac:dyDescent="0.25">
      <c r="A8591" s="66"/>
    </row>
    <row r="8592" spans="1:1" x14ac:dyDescent="0.25">
      <c r="A8592" s="66"/>
    </row>
    <row r="8593" spans="1:1" x14ac:dyDescent="0.25">
      <c r="A8593" s="66"/>
    </row>
    <row r="8594" spans="1:1" x14ac:dyDescent="0.25">
      <c r="A8594" s="66"/>
    </row>
    <row r="8595" spans="1:1" x14ac:dyDescent="0.25">
      <c r="A8595" s="66"/>
    </row>
    <row r="8596" spans="1:1" x14ac:dyDescent="0.25">
      <c r="A8596" s="66"/>
    </row>
    <row r="8597" spans="1:1" x14ac:dyDescent="0.25">
      <c r="A8597" s="66"/>
    </row>
    <row r="8598" spans="1:1" x14ac:dyDescent="0.25">
      <c r="A8598" s="66"/>
    </row>
    <row r="8599" spans="1:1" x14ac:dyDescent="0.25">
      <c r="A8599" s="66"/>
    </row>
    <row r="8600" spans="1:1" x14ac:dyDescent="0.25">
      <c r="A8600" s="66"/>
    </row>
    <row r="8601" spans="1:1" x14ac:dyDescent="0.25">
      <c r="A8601" s="66"/>
    </row>
    <row r="8602" spans="1:1" x14ac:dyDescent="0.25">
      <c r="A8602" s="66"/>
    </row>
    <row r="8603" spans="1:1" x14ac:dyDescent="0.25">
      <c r="A8603" s="66"/>
    </row>
    <row r="8604" spans="1:1" x14ac:dyDescent="0.25">
      <c r="A8604" s="66"/>
    </row>
    <row r="8605" spans="1:1" x14ac:dyDescent="0.25">
      <c r="A8605" s="66"/>
    </row>
    <row r="8606" spans="1:1" x14ac:dyDescent="0.25">
      <c r="A8606" s="66"/>
    </row>
    <row r="8607" spans="1:1" x14ac:dyDescent="0.25">
      <c r="A8607" s="66"/>
    </row>
    <row r="8608" spans="1:1" x14ac:dyDescent="0.25">
      <c r="A8608" s="66"/>
    </row>
    <row r="8609" spans="1:1" x14ac:dyDescent="0.25">
      <c r="A8609" s="66"/>
    </row>
    <row r="8610" spans="1:1" x14ac:dyDescent="0.25">
      <c r="A8610" s="66"/>
    </row>
    <row r="8611" spans="1:1" x14ac:dyDescent="0.25">
      <c r="A8611" s="66"/>
    </row>
    <row r="8612" spans="1:1" x14ac:dyDescent="0.25">
      <c r="A8612" s="66"/>
    </row>
    <row r="8613" spans="1:1" x14ac:dyDescent="0.25">
      <c r="A8613" s="66"/>
    </row>
    <row r="8614" spans="1:1" x14ac:dyDescent="0.25">
      <c r="A8614" s="66"/>
    </row>
    <row r="8615" spans="1:1" x14ac:dyDescent="0.25">
      <c r="A8615" s="66"/>
    </row>
    <row r="8616" spans="1:1" x14ac:dyDescent="0.25">
      <c r="A8616" s="66"/>
    </row>
    <row r="8617" spans="1:1" x14ac:dyDescent="0.25">
      <c r="A8617" s="66"/>
    </row>
    <row r="8618" spans="1:1" x14ac:dyDescent="0.25">
      <c r="A8618" s="66"/>
    </row>
    <row r="8619" spans="1:1" x14ac:dyDescent="0.25">
      <c r="A8619" s="66"/>
    </row>
    <row r="8620" spans="1:1" x14ac:dyDescent="0.25">
      <c r="A8620" s="66"/>
    </row>
    <row r="8621" spans="1:1" x14ac:dyDescent="0.25">
      <c r="A8621" s="66"/>
    </row>
    <row r="8622" spans="1:1" x14ac:dyDescent="0.25">
      <c r="A8622" s="66"/>
    </row>
    <row r="8623" spans="1:1" x14ac:dyDescent="0.25">
      <c r="A8623" s="66"/>
    </row>
    <row r="8624" spans="1:1" x14ac:dyDescent="0.25">
      <c r="A8624" s="66"/>
    </row>
    <row r="8625" spans="1:1" x14ac:dyDescent="0.25">
      <c r="A8625" s="66"/>
    </row>
    <row r="8626" spans="1:1" x14ac:dyDescent="0.25">
      <c r="A8626" s="66"/>
    </row>
    <row r="8627" spans="1:1" x14ac:dyDescent="0.25">
      <c r="A8627" s="66"/>
    </row>
    <row r="8628" spans="1:1" x14ac:dyDescent="0.25">
      <c r="A8628" s="66"/>
    </row>
    <row r="8629" spans="1:1" x14ac:dyDescent="0.25">
      <c r="A8629" s="66"/>
    </row>
    <row r="8630" spans="1:1" x14ac:dyDescent="0.25">
      <c r="A8630" s="66"/>
    </row>
    <row r="8631" spans="1:1" x14ac:dyDescent="0.25">
      <c r="A8631" s="66"/>
    </row>
    <row r="8632" spans="1:1" x14ac:dyDescent="0.25">
      <c r="A8632" s="66"/>
    </row>
    <row r="8633" spans="1:1" x14ac:dyDescent="0.25">
      <c r="A8633" s="66"/>
    </row>
    <row r="8634" spans="1:1" x14ac:dyDescent="0.25">
      <c r="A8634" s="66"/>
    </row>
    <row r="8635" spans="1:1" x14ac:dyDescent="0.25">
      <c r="A8635" s="66"/>
    </row>
    <row r="8636" spans="1:1" x14ac:dyDescent="0.25">
      <c r="A8636" s="66"/>
    </row>
    <row r="8637" spans="1:1" x14ac:dyDescent="0.25">
      <c r="A8637" s="66"/>
    </row>
    <row r="8638" spans="1:1" x14ac:dyDescent="0.25">
      <c r="A8638" s="66"/>
    </row>
    <row r="8639" spans="1:1" x14ac:dyDescent="0.25">
      <c r="A8639" s="66"/>
    </row>
    <row r="8640" spans="1:1" x14ac:dyDescent="0.25">
      <c r="A8640" s="66"/>
    </row>
    <row r="8641" spans="1:1" x14ac:dyDescent="0.25">
      <c r="A8641" s="66"/>
    </row>
    <row r="8642" spans="1:1" x14ac:dyDescent="0.25">
      <c r="A8642" s="66"/>
    </row>
    <row r="8643" spans="1:1" x14ac:dyDescent="0.25">
      <c r="A8643" s="66"/>
    </row>
    <row r="8644" spans="1:1" x14ac:dyDescent="0.25">
      <c r="A8644" s="66"/>
    </row>
    <row r="8645" spans="1:1" x14ac:dyDescent="0.25">
      <c r="A8645" s="66"/>
    </row>
    <row r="8646" spans="1:1" x14ac:dyDescent="0.25">
      <c r="A8646" s="66"/>
    </row>
    <row r="8647" spans="1:1" x14ac:dyDescent="0.25">
      <c r="A8647" s="66"/>
    </row>
    <row r="8648" spans="1:1" x14ac:dyDescent="0.25">
      <c r="A8648" s="66"/>
    </row>
    <row r="8649" spans="1:1" x14ac:dyDescent="0.25">
      <c r="A8649" s="66"/>
    </row>
    <row r="8650" spans="1:1" x14ac:dyDescent="0.25">
      <c r="A8650" s="66"/>
    </row>
    <row r="8651" spans="1:1" x14ac:dyDescent="0.25">
      <c r="A8651" s="66"/>
    </row>
    <row r="8652" spans="1:1" x14ac:dyDescent="0.25">
      <c r="A8652" s="66"/>
    </row>
    <row r="8653" spans="1:1" x14ac:dyDescent="0.25">
      <c r="A8653" s="66"/>
    </row>
    <row r="8654" spans="1:1" x14ac:dyDescent="0.25">
      <c r="A8654" s="66"/>
    </row>
    <row r="8655" spans="1:1" x14ac:dyDescent="0.25">
      <c r="A8655" s="66"/>
    </row>
    <row r="8656" spans="1:1" x14ac:dyDescent="0.25">
      <c r="A8656" s="66"/>
    </row>
    <row r="8657" spans="1:1" x14ac:dyDescent="0.25">
      <c r="A8657" s="66"/>
    </row>
    <row r="8658" spans="1:1" x14ac:dyDescent="0.25">
      <c r="A8658" s="66"/>
    </row>
    <row r="8659" spans="1:1" x14ac:dyDescent="0.25">
      <c r="A8659" s="66"/>
    </row>
    <row r="8660" spans="1:1" x14ac:dyDescent="0.25">
      <c r="A8660" s="66"/>
    </row>
    <row r="8661" spans="1:1" x14ac:dyDescent="0.25">
      <c r="A8661" s="66"/>
    </row>
    <row r="8662" spans="1:1" x14ac:dyDescent="0.25">
      <c r="A8662" s="66"/>
    </row>
    <row r="8663" spans="1:1" x14ac:dyDescent="0.25">
      <c r="A8663" s="66"/>
    </row>
    <row r="8664" spans="1:1" x14ac:dyDescent="0.25">
      <c r="A8664" s="66"/>
    </row>
    <row r="8665" spans="1:1" x14ac:dyDescent="0.25">
      <c r="A8665" s="66"/>
    </row>
    <row r="8666" spans="1:1" x14ac:dyDescent="0.25">
      <c r="A8666" s="66"/>
    </row>
    <row r="8667" spans="1:1" x14ac:dyDescent="0.25">
      <c r="A8667" s="66"/>
    </row>
    <row r="8668" spans="1:1" x14ac:dyDescent="0.25">
      <c r="A8668" s="66"/>
    </row>
    <row r="8669" spans="1:1" x14ac:dyDescent="0.25">
      <c r="A8669" s="66"/>
    </row>
    <row r="8670" spans="1:1" x14ac:dyDescent="0.25">
      <c r="A8670" s="66"/>
    </row>
    <row r="8671" spans="1:1" x14ac:dyDescent="0.25">
      <c r="A8671" s="66"/>
    </row>
    <row r="8672" spans="1:1" x14ac:dyDescent="0.25">
      <c r="A8672" s="66"/>
    </row>
    <row r="8673" spans="1:1" x14ac:dyDescent="0.25">
      <c r="A8673" s="66"/>
    </row>
    <row r="8674" spans="1:1" x14ac:dyDescent="0.25">
      <c r="A8674" s="66"/>
    </row>
    <row r="8675" spans="1:1" x14ac:dyDescent="0.25">
      <c r="A8675" s="66"/>
    </row>
    <row r="8676" spans="1:1" x14ac:dyDescent="0.25">
      <c r="A8676" s="66"/>
    </row>
    <row r="8677" spans="1:1" x14ac:dyDescent="0.25">
      <c r="A8677" s="66"/>
    </row>
    <row r="8678" spans="1:1" x14ac:dyDescent="0.25">
      <c r="A8678" s="66"/>
    </row>
    <row r="8679" spans="1:1" x14ac:dyDescent="0.25">
      <c r="A8679" s="66"/>
    </row>
    <row r="8680" spans="1:1" x14ac:dyDescent="0.25">
      <c r="A8680" s="66"/>
    </row>
    <row r="8681" spans="1:1" x14ac:dyDescent="0.25">
      <c r="A8681" s="66"/>
    </row>
    <row r="8682" spans="1:1" x14ac:dyDescent="0.25">
      <c r="A8682" s="66"/>
    </row>
    <row r="8683" spans="1:1" x14ac:dyDescent="0.25">
      <c r="A8683" s="66"/>
    </row>
    <row r="8684" spans="1:1" x14ac:dyDescent="0.25">
      <c r="A8684" s="66"/>
    </row>
    <row r="8685" spans="1:1" x14ac:dyDescent="0.25">
      <c r="A8685" s="66"/>
    </row>
    <row r="8686" spans="1:1" x14ac:dyDescent="0.25">
      <c r="A8686" s="66"/>
    </row>
    <row r="8687" spans="1:1" x14ac:dyDescent="0.25">
      <c r="A8687" s="66"/>
    </row>
    <row r="8688" spans="1:1" x14ac:dyDescent="0.25">
      <c r="A8688" s="66"/>
    </row>
    <row r="8689" spans="1:1" x14ac:dyDescent="0.25">
      <c r="A8689" s="66"/>
    </row>
    <row r="8690" spans="1:1" x14ac:dyDescent="0.25">
      <c r="A8690" s="66"/>
    </row>
    <row r="8691" spans="1:1" x14ac:dyDescent="0.25">
      <c r="A8691" s="66"/>
    </row>
    <row r="8692" spans="1:1" x14ac:dyDescent="0.25">
      <c r="A8692" s="66"/>
    </row>
    <row r="8693" spans="1:1" x14ac:dyDescent="0.25">
      <c r="A8693" s="66"/>
    </row>
    <row r="8694" spans="1:1" x14ac:dyDescent="0.25">
      <c r="A8694" s="66"/>
    </row>
    <row r="8695" spans="1:1" x14ac:dyDescent="0.25">
      <c r="A8695" s="66"/>
    </row>
    <row r="8696" spans="1:1" x14ac:dyDescent="0.25">
      <c r="A8696" s="66"/>
    </row>
    <row r="8697" spans="1:1" x14ac:dyDescent="0.25">
      <c r="A8697" s="66"/>
    </row>
    <row r="8698" spans="1:1" x14ac:dyDescent="0.25">
      <c r="A8698" s="66"/>
    </row>
    <row r="8699" spans="1:1" x14ac:dyDescent="0.25">
      <c r="A8699" s="66"/>
    </row>
    <row r="8700" spans="1:1" x14ac:dyDescent="0.25">
      <c r="A8700" s="66"/>
    </row>
    <row r="8701" spans="1:1" x14ac:dyDescent="0.25">
      <c r="A8701" s="66"/>
    </row>
    <row r="8702" spans="1:1" x14ac:dyDescent="0.25">
      <c r="A8702" s="66"/>
    </row>
    <row r="8703" spans="1:1" x14ac:dyDescent="0.25">
      <c r="A8703" s="66"/>
    </row>
    <row r="8704" spans="1:1" x14ac:dyDescent="0.25">
      <c r="A8704" s="66"/>
    </row>
    <row r="8705" spans="1:1" x14ac:dyDescent="0.25">
      <c r="A8705" s="66"/>
    </row>
    <row r="8706" spans="1:1" x14ac:dyDescent="0.25">
      <c r="A8706" s="66"/>
    </row>
    <row r="8707" spans="1:1" x14ac:dyDescent="0.25">
      <c r="A8707" s="66"/>
    </row>
    <row r="8708" spans="1:1" x14ac:dyDescent="0.25">
      <c r="A8708" s="66"/>
    </row>
    <row r="8709" spans="1:1" x14ac:dyDescent="0.25">
      <c r="A8709" s="66"/>
    </row>
    <row r="8710" spans="1:1" x14ac:dyDescent="0.25">
      <c r="A8710" s="66"/>
    </row>
    <row r="8711" spans="1:1" x14ac:dyDescent="0.25">
      <c r="A8711" s="66"/>
    </row>
    <row r="8712" spans="1:1" x14ac:dyDescent="0.25">
      <c r="A8712" s="66"/>
    </row>
    <row r="8713" spans="1:1" x14ac:dyDescent="0.25">
      <c r="A8713" s="66"/>
    </row>
    <row r="8714" spans="1:1" x14ac:dyDescent="0.25">
      <c r="A8714" s="66"/>
    </row>
    <row r="8715" spans="1:1" x14ac:dyDescent="0.25">
      <c r="A8715" s="66"/>
    </row>
    <row r="8716" spans="1:1" x14ac:dyDescent="0.25">
      <c r="A8716" s="66"/>
    </row>
    <row r="8717" spans="1:1" x14ac:dyDescent="0.25">
      <c r="A8717" s="66"/>
    </row>
    <row r="8718" spans="1:1" x14ac:dyDescent="0.25">
      <c r="A8718" s="66"/>
    </row>
    <row r="8719" spans="1:1" x14ac:dyDescent="0.25">
      <c r="A8719" s="66"/>
    </row>
    <row r="8720" spans="1:1" x14ac:dyDescent="0.25">
      <c r="A8720" s="66"/>
    </row>
    <row r="8721" spans="1:1" x14ac:dyDescent="0.25">
      <c r="A8721" s="66"/>
    </row>
    <row r="8722" spans="1:1" x14ac:dyDescent="0.25">
      <c r="A8722" s="66"/>
    </row>
    <row r="8723" spans="1:1" x14ac:dyDescent="0.25">
      <c r="A8723" s="66"/>
    </row>
    <row r="8724" spans="1:1" x14ac:dyDescent="0.25">
      <c r="A8724" s="66"/>
    </row>
    <row r="8725" spans="1:1" x14ac:dyDescent="0.25">
      <c r="A8725" s="66"/>
    </row>
    <row r="8726" spans="1:1" x14ac:dyDescent="0.25">
      <c r="A8726" s="66"/>
    </row>
    <row r="8727" spans="1:1" x14ac:dyDescent="0.25">
      <c r="A8727" s="66"/>
    </row>
    <row r="8728" spans="1:1" x14ac:dyDescent="0.25">
      <c r="A8728" s="66"/>
    </row>
    <row r="8729" spans="1:1" x14ac:dyDescent="0.25">
      <c r="A8729" s="66"/>
    </row>
    <row r="8730" spans="1:1" x14ac:dyDescent="0.25">
      <c r="A8730" s="66"/>
    </row>
    <row r="8731" spans="1:1" x14ac:dyDescent="0.25">
      <c r="A8731" s="66"/>
    </row>
    <row r="8732" spans="1:1" x14ac:dyDescent="0.25">
      <c r="A8732" s="66"/>
    </row>
    <row r="8733" spans="1:1" x14ac:dyDescent="0.25">
      <c r="A8733" s="66"/>
    </row>
    <row r="8734" spans="1:1" x14ac:dyDescent="0.25">
      <c r="A8734" s="66"/>
    </row>
    <row r="8735" spans="1:1" x14ac:dyDescent="0.25">
      <c r="A8735" s="66"/>
    </row>
    <row r="8736" spans="1:1" x14ac:dyDescent="0.25">
      <c r="A8736" s="66"/>
    </row>
    <row r="8737" spans="1:1" x14ac:dyDescent="0.25">
      <c r="A8737" s="66"/>
    </row>
    <row r="8738" spans="1:1" x14ac:dyDescent="0.25">
      <c r="A8738" s="66"/>
    </row>
    <row r="8739" spans="1:1" x14ac:dyDescent="0.25">
      <c r="A8739" s="66"/>
    </row>
    <row r="8740" spans="1:1" x14ac:dyDescent="0.25">
      <c r="A8740" s="66"/>
    </row>
    <row r="8741" spans="1:1" x14ac:dyDescent="0.25">
      <c r="A8741" s="66"/>
    </row>
    <row r="8742" spans="1:1" x14ac:dyDescent="0.25">
      <c r="A8742" s="66"/>
    </row>
    <row r="8743" spans="1:1" x14ac:dyDescent="0.25">
      <c r="A8743" s="66"/>
    </row>
    <row r="8744" spans="1:1" x14ac:dyDescent="0.25">
      <c r="A8744" s="66"/>
    </row>
    <row r="8745" spans="1:1" x14ac:dyDescent="0.25">
      <c r="A8745" s="66"/>
    </row>
    <row r="8746" spans="1:1" x14ac:dyDescent="0.25">
      <c r="A8746" s="66"/>
    </row>
    <row r="8747" spans="1:1" x14ac:dyDescent="0.25">
      <c r="A8747" s="66"/>
    </row>
    <row r="8748" spans="1:1" x14ac:dyDescent="0.25">
      <c r="A8748" s="66"/>
    </row>
    <row r="8749" spans="1:1" x14ac:dyDescent="0.25">
      <c r="A8749" s="66"/>
    </row>
    <row r="8750" spans="1:1" x14ac:dyDescent="0.25">
      <c r="A8750" s="66"/>
    </row>
    <row r="8751" spans="1:1" x14ac:dyDescent="0.25">
      <c r="A8751" s="66"/>
    </row>
    <row r="8752" spans="1:1" x14ac:dyDescent="0.25">
      <c r="A8752" s="66"/>
    </row>
    <row r="8753" spans="1:1" x14ac:dyDescent="0.25">
      <c r="A8753" s="66"/>
    </row>
    <row r="8754" spans="1:1" x14ac:dyDescent="0.25">
      <c r="A8754" s="66"/>
    </row>
    <row r="8755" spans="1:1" x14ac:dyDescent="0.25">
      <c r="A8755" s="66"/>
    </row>
    <row r="8756" spans="1:1" x14ac:dyDescent="0.25">
      <c r="A8756" s="66"/>
    </row>
    <row r="8757" spans="1:1" x14ac:dyDescent="0.25">
      <c r="A8757" s="66"/>
    </row>
    <row r="8758" spans="1:1" x14ac:dyDescent="0.25">
      <c r="A8758" s="66"/>
    </row>
    <row r="8759" spans="1:1" x14ac:dyDescent="0.25">
      <c r="A8759" s="66"/>
    </row>
    <row r="8760" spans="1:1" x14ac:dyDescent="0.25">
      <c r="A8760" s="66"/>
    </row>
    <row r="8761" spans="1:1" x14ac:dyDescent="0.25">
      <c r="A8761" s="66"/>
    </row>
    <row r="8762" spans="1:1" x14ac:dyDescent="0.25">
      <c r="A8762" s="66"/>
    </row>
    <row r="8763" spans="1:1" x14ac:dyDescent="0.25">
      <c r="A8763" s="66"/>
    </row>
    <row r="8764" spans="1:1" x14ac:dyDescent="0.25">
      <c r="A8764" s="66"/>
    </row>
    <row r="8765" spans="1:1" x14ac:dyDescent="0.25">
      <c r="A8765" s="66"/>
    </row>
    <row r="8766" spans="1:1" x14ac:dyDescent="0.25">
      <c r="A8766" s="66"/>
    </row>
    <row r="8767" spans="1:1" x14ac:dyDescent="0.25">
      <c r="A8767" s="66"/>
    </row>
    <row r="8768" spans="1:1" x14ac:dyDescent="0.25">
      <c r="A8768" s="66"/>
    </row>
    <row r="8769" spans="1:1" x14ac:dyDescent="0.25">
      <c r="A8769" s="66"/>
    </row>
    <row r="8770" spans="1:1" x14ac:dyDescent="0.25">
      <c r="A8770" s="66"/>
    </row>
    <row r="8771" spans="1:1" x14ac:dyDescent="0.25">
      <c r="A8771" s="66"/>
    </row>
    <row r="8772" spans="1:1" x14ac:dyDescent="0.25">
      <c r="A8772" s="66"/>
    </row>
    <row r="8773" spans="1:1" x14ac:dyDescent="0.25">
      <c r="A8773" s="66"/>
    </row>
    <row r="8774" spans="1:1" x14ac:dyDescent="0.25">
      <c r="A8774" s="66"/>
    </row>
    <row r="8775" spans="1:1" x14ac:dyDescent="0.25">
      <c r="A8775" s="66"/>
    </row>
    <row r="8776" spans="1:1" x14ac:dyDescent="0.25">
      <c r="A8776" s="66"/>
    </row>
    <row r="8777" spans="1:1" x14ac:dyDescent="0.25">
      <c r="A8777" s="66"/>
    </row>
    <row r="8778" spans="1:1" x14ac:dyDescent="0.25">
      <c r="A8778" s="66"/>
    </row>
    <row r="8779" spans="1:1" x14ac:dyDescent="0.25">
      <c r="A8779" s="66"/>
    </row>
    <row r="8780" spans="1:1" x14ac:dyDescent="0.25">
      <c r="A8780" s="66"/>
    </row>
    <row r="8781" spans="1:1" x14ac:dyDescent="0.25">
      <c r="A8781" s="66"/>
    </row>
    <row r="8782" spans="1:1" x14ac:dyDescent="0.25">
      <c r="A8782" s="66"/>
    </row>
    <row r="8783" spans="1:1" x14ac:dyDescent="0.25">
      <c r="A8783" s="66"/>
    </row>
    <row r="8784" spans="1:1" x14ac:dyDescent="0.25">
      <c r="A8784" s="66"/>
    </row>
    <row r="8785" spans="1:1" x14ac:dyDescent="0.25">
      <c r="A8785" s="66"/>
    </row>
    <row r="8786" spans="1:1" x14ac:dyDescent="0.25">
      <c r="A8786" s="66"/>
    </row>
    <row r="8787" spans="1:1" x14ac:dyDescent="0.25">
      <c r="A8787" s="66"/>
    </row>
    <row r="8788" spans="1:1" x14ac:dyDescent="0.25">
      <c r="A8788" s="66"/>
    </row>
    <row r="8789" spans="1:1" x14ac:dyDescent="0.25">
      <c r="A8789" s="66"/>
    </row>
    <row r="8790" spans="1:1" x14ac:dyDescent="0.25">
      <c r="A8790" s="66"/>
    </row>
    <row r="8791" spans="1:1" x14ac:dyDescent="0.25">
      <c r="A8791" s="66"/>
    </row>
    <row r="8792" spans="1:1" x14ac:dyDescent="0.25">
      <c r="A8792" s="66"/>
    </row>
    <row r="8793" spans="1:1" x14ac:dyDescent="0.25">
      <c r="A8793" s="66"/>
    </row>
    <row r="8794" spans="1:1" x14ac:dyDescent="0.25">
      <c r="A8794" s="66"/>
    </row>
    <row r="8795" spans="1:1" x14ac:dyDescent="0.25">
      <c r="A8795" s="66"/>
    </row>
    <row r="8796" spans="1:1" x14ac:dyDescent="0.25">
      <c r="A8796" s="66"/>
    </row>
    <row r="8797" spans="1:1" x14ac:dyDescent="0.25">
      <c r="A8797" s="66"/>
    </row>
    <row r="8798" spans="1:1" x14ac:dyDescent="0.25">
      <c r="A8798" s="66"/>
    </row>
    <row r="8799" spans="1:1" x14ac:dyDescent="0.25">
      <c r="A8799" s="66"/>
    </row>
    <row r="8800" spans="1:1" x14ac:dyDescent="0.25">
      <c r="A8800" s="66"/>
    </row>
    <row r="8801" spans="1:1" x14ac:dyDescent="0.25">
      <c r="A8801" s="66"/>
    </row>
    <row r="8802" spans="1:1" x14ac:dyDescent="0.25">
      <c r="A8802" s="66"/>
    </row>
    <row r="8803" spans="1:1" x14ac:dyDescent="0.25">
      <c r="A8803" s="66"/>
    </row>
    <row r="8804" spans="1:1" x14ac:dyDescent="0.25">
      <c r="A8804" s="66"/>
    </row>
    <row r="8805" spans="1:1" x14ac:dyDescent="0.25">
      <c r="A8805" s="66"/>
    </row>
    <row r="8806" spans="1:1" x14ac:dyDescent="0.25">
      <c r="A8806" s="66"/>
    </row>
    <row r="8807" spans="1:1" x14ac:dyDescent="0.25">
      <c r="A8807" s="66"/>
    </row>
    <row r="8808" spans="1:1" x14ac:dyDescent="0.25">
      <c r="A8808" s="66"/>
    </row>
    <row r="8809" spans="1:1" x14ac:dyDescent="0.25">
      <c r="A8809" s="66"/>
    </row>
    <row r="8810" spans="1:1" x14ac:dyDescent="0.25">
      <c r="A8810" s="66"/>
    </row>
    <row r="8811" spans="1:1" x14ac:dyDescent="0.25">
      <c r="A8811" s="66"/>
    </row>
    <row r="8812" spans="1:1" x14ac:dyDescent="0.25">
      <c r="A8812" s="66"/>
    </row>
    <row r="8813" spans="1:1" x14ac:dyDescent="0.25">
      <c r="A8813" s="66"/>
    </row>
    <row r="8814" spans="1:1" x14ac:dyDescent="0.25">
      <c r="A8814" s="66"/>
    </row>
    <row r="8815" spans="1:1" x14ac:dyDescent="0.25">
      <c r="A8815" s="66"/>
    </row>
    <row r="8816" spans="1:1" x14ac:dyDescent="0.25">
      <c r="A8816" s="66"/>
    </row>
    <row r="8817" spans="1:1" x14ac:dyDescent="0.25">
      <c r="A8817" s="66"/>
    </row>
    <row r="8818" spans="1:1" x14ac:dyDescent="0.25">
      <c r="A8818" s="66"/>
    </row>
    <row r="8819" spans="1:1" x14ac:dyDescent="0.25">
      <c r="A8819" s="66"/>
    </row>
    <row r="8820" spans="1:1" x14ac:dyDescent="0.25">
      <c r="A8820" s="66"/>
    </row>
    <row r="8821" spans="1:1" x14ac:dyDescent="0.25">
      <c r="A8821" s="66"/>
    </row>
    <row r="8822" spans="1:1" x14ac:dyDescent="0.25">
      <c r="A8822" s="66"/>
    </row>
    <row r="8823" spans="1:1" x14ac:dyDescent="0.25">
      <c r="A8823" s="66"/>
    </row>
    <row r="8824" spans="1:1" x14ac:dyDescent="0.25">
      <c r="A8824" s="66"/>
    </row>
    <row r="8825" spans="1:1" x14ac:dyDescent="0.25">
      <c r="A8825" s="66"/>
    </row>
    <row r="8826" spans="1:1" x14ac:dyDescent="0.25">
      <c r="A8826" s="66"/>
    </row>
    <row r="8827" spans="1:1" x14ac:dyDescent="0.25">
      <c r="A8827" s="66"/>
    </row>
    <row r="8828" spans="1:1" x14ac:dyDescent="0.25">
      <c r="A8828" s="66"/>
    </row>
    <row r="8829" spans="1:1" x14ac:dyDescent="0.25">
      <c r="A8829" s="66"/>
    </row>
    <row r="8830" spans="1:1" x14ac:dyDescent="0.25">
      <c r="A8830" s="66"/>
    </row>
    <row r="8831" spans="1:1" x14ac:dyDescent="0.25">
      <c r="A8831" s="66"/>
    </row>
    <row r="8832" spans="1:1" x14ac:dyDescent="0.25">
      <c r="A8832" s="66"/>
    </row>
    <row r="8833" spans="1:1" x14ac:dyDescent="0.25">
      <c r="A8833" s="66"/>
    </row>
    <row r="8834" spans="1:1" x14ac:dyDescent="0.25">
      <c r="A8834" s="66"/>
    </row>
    <row r="8835" spans="1:1" x14ac:dyDescent="0.25">
      <c r="A8835" s="66"/>
    </row>
    <row r="8836" spans="1:1" x14ac:dyDescent="0.25">
      <c r="A8836" s="66"/>
    </row>
    <row r="8837" spans="1:1" x14ac:dyDescent="0.25">
      <c r="A8837" s="66"/>
    </row>
    <row r="8838" spans="1:1" x14ac:dyDescent="0.25">
      <c r="A8838" s="66"/>
    </row>
    <row r="8839" spans="1:1" x14ac:dyDescent="0.25">
      <c r="A8839" s="66"/>
    </row>
    <row r="8840" spans="1:1" x14ac:dyDescent="0.25">
      <c r="A8840" s="66"/>
    </row>
    <row r="8841" spans="1:1" x14ac:dyDescent="0.25">
      <c r="A8841" s="66"/>
    </row>
    <row r="8842" spans="1:1" x14ac:dyDescent="0.25">
      <c r="A8842" s="66"/>
    </row>
    <row r="8843" spans="1:1" x14ac:dyDescent="0.25">
      <c r="A8843" s="66"/>
    </row>
    <row r="8844" spans="1:1" x14ac:dyDescent="0.25">
      <c r="A8844" s="66"/>
    </row>
    <row r="8845" spans="1:1" x14ac:dyDescent="0.25">
      <c r="A8845" s="66"/>
    </row>
    <row r="8846" spans="1:1" x14ac:dyDescent="0.25">
      <c r="A8846" s="66"/>
    </row>
    <row r="8847" spans="1:1" x14ac:dyDescent="0.25">
      <c r="A8847" s="66"/>
    </row>
    <row r="8848" spans="1:1" x14ac:dyDescent="0.25">
      <c r="A8848" s="66"/>
    </row>
    <row r="8849" spans="1:1" x14ac:dyDescent="0.25">
      <c r="A8849" s="66"/>
    </row>
    <row r="8850" spans="1:1" x14ac:dyDescent="0.25">
      <c r="A8850" s="66"/>
    </row>
    <row r="8851" spans="1:1" x14ac:dyDescent="0.25">
      <c r="A8851" s="66"/>
    </row>
    <row r="8852" spans="1:1" x14ac:dyDescent="0.25">
      <c r="A8852" s="66"/>
    </row>
    <row r="8853" spans="1:1" x14ac:dyDescent="0.25">
      <c r="A8853" s="66"/>
    </row>
    <row r="8854" spans="1:1" x14ac:dyDescent="0.25">
      <c r="A8854" s="66"/>
    </row>
    <row r="8855" spans="1:1" x14ac:dyDescent="0.25">
      <c r="A8855" s="66"/>
    </row>
    <row r="8856" spans="1:1" x14ac:dyDescent="0.25">
      <c r="A8856" s="66"/>
    </row>
    <row r="8857" spans="1:1" x14ac:dyDescent="0.25">
      <c r="A8857" s="66"/>
    </row>
    <row r="8858" spans="1:1" x14ac:dyDescent="0.25">
      <c r="A8858" s="66"/>
    </row>
    <row r="8859" spans="1:1" x14ac:dyDescent="0.25">
      <c r="A8859" s="66"/>
    </row>
    <row r="8860" spans="1:1" x14ac:dyDescent="0.25">
      <c r="A8860" s="66"/>
    </row>
    <row r="8861" spans="1:1" x14ac:dyDescent="0.25">
      <c r="A8861" s="66"/>
    </row>
    <row r="8862" spans="1:1" x14ac:dyDescent="0.25">
      <c r="A8862" s="66"/>
    </row>
    <row r="8863" spans="1:1" x14ac:dyDescent="0.25">
      <c r="A8863" s="66"/>
    </row>
    <row r="8864" spans="1:1" x14ac:dyDescent="0.25">
      <c r="A8864" s="66"/>
    </row>
    <row r="8865" spans="1:1" x14ac:dyDescent="0.25">
      <c r="A8865" s="66"/>
    </row>
    <row r="8866" spans="1:1" x14ac:dyDescent="0.25">
      <c r="A8866" s="66"/>
    </row>
    <row r="8867" spans="1:1" x14ac:dyDescent="0.25">
      <c r="A8867" s="66"/>
    </row>
    <row r="8868" spans="1:1" x14ac:dyDescent="0.25">
      <c r="A8868" s="66"/>
    </row>
    <row r="8869" spans="1:1" x14ac:dyDescent="0.25">
      <c r="A8869" s="66"/>
    </row>
    <row r="8870" spans="1:1" x14ac:dyDescent="0.25">
      <c r="A8870" s="66"/>
    </row>
    <row r="8871" spans="1:1" x14ac:dyDescent="0.25">
      <c r="A8871" s="66"/>
    </row>
    <row r="8872" spans="1:1" x14ac:dyDescent="0.25">
      <c r="A8872" s="66"/>
    </row>
    <row r="8873" spans="1:1" x14ac:dyDescent="0.25">
      <c r="A8873" s="66"/>
    </row>
    <row r="8874" spans="1:1" x14ac:dyDescent="0.25">
      <c r="A8874" s="66"/>
    </row>
    <row r="8875" spans="1:1" x14ac:dyDescent="0.25">
      <c r="A8875" s="66"/>
    </row>
    <row r="8876" spans="1:1" x14ac:dyDescent="0.25">
      <c r="A8876" s="66"/>
    </row>
    <row r="8877" spans="1:1" x14ac:dyDescent="0.25">
      <c r="A8877" s="66"/>
    </row>
    <row r="8878" spans="1:1" x14ac:dyDescent="0.25">
      <c r="A8878" s="66"/>
    </row>
    <row r="8879" spans="1:1" x14ac:dyDescent="0.25">
      <c r="A8879" s="66"/>
    </row>
    <row r="8880" spans="1:1" x14ac:dyDescent="0.25">
      <c r="A8880" s="66"/>
    </row>
    <row r="8881" spans="1:1" x14ac:dyDescent="0.25">
      <c r="A8881" s="66"/>
    </row>
    <row r="8882" spans="1:1" x14ac:dyDescent="0.25">
      <c r="A8882" s="66"/>
    </row>
    <row r="8883" spans="1:1" x14ac:dyDescent="0.25">
      <c r="A8883" s="66"/>
    </row>
    <row r="8884" spans="1:1" x14ac:dyDescent="0.25">
      <c r="A8884" s="66"/>
    </row>
    <row r="8885" spans="1:1" x14ac:dyDescent="0.25">
      <c r="A8885" s="66"/>
    </row>
    <row r="8886" spans="1:1" x14ac:dyDescent="0.25">
      <c r="A8886" s="66"/>
    </row>
    <row r="8887" spans="1:1" x14ac:dyDescent="0.25">
      <c r="A8887" s="66"/>
    </row>
    <row r="8888" spans="1:1" x14ac:dyDescent="0.25">
      <c r="A8888" s="66"/>
    </row>
    <row r="8889" spans="1:1" x14ac:dyDescent="0.25">
      <c r="A8889" s="66"/>
    </row>
    <row r="8890" spans="1:1" x14ac:dyDescent="0.25">
      <c r="A8890" s="66"/>
    </row>
    <row r="8891" spans="1:1" x14ac:dyDescent="0.25">
      <c r="A8891" s="66"/>
    </row>
    <row r="8892" spans="1:1" x14ac:dyDescent="0.25">
      <c r="A8892" s="66"/>
    </row>
    <row r="8893" spans="1:1" x14ac:dyDescent="0.25">
      <c r="A8893" s="66"/>
    </row>
    <row r="8894" spans="1:1" x14ac:dyDescent="0.25">
      <c r="A8894" s="66"/>
    </row>
    <row r="8895" spans="1:1" x14ac:dyDescent="0.25">
      <c r="A8895" s="66"/>
    </row>
    <row r="8896" spans="1:1" x14ac:dyDescent="0.25">
      <c r="A8896" s="66"/>
    </row>
    <row r="8897" spans="1:1" x14ac:dyDescent="0.25">
      <c r="A8897" s="66"/>
    </row>
    <row r="8898" spans="1:1" x14ac:dyDescent="0.25">
      <c r="A8898" s="66"/>
    </row>
    <row r="8899" spans="1:1" x14ac:dyDescent="0.25">
      <c r="A8899" s="66"/>
    </row>
    <row r="8900" spans="1:1" x14ac:dyDescent="0.25">
      <c r="A8900" s="66"/>
    </row>
    <row r="8901" spans="1:1" x14ac:dyDescent="0.25">
      <c r="A8901" s="66"/>
    </row>
    <row r="8902" spans="1:1" x14ac:dyDescent="0.25">
      <c r="A8902" s="66"/>
    </row>
    <row r="8903" spans="1:1" x14ac:dyDescent="0.25">
      <c r="A8903" s="66"/>
    </row>
    <row r="8904" spans="1:1" x14ac:dyDescent="0.25">
      <c r="A8904" s="66"/>
    </row>
    <row r="8905" spans="1:1" x14ac:dyDescent="0.25">
      <c r="A8905" s="66"/>
    </row>
    <row r="8906" spans="1:1" x14ac:dyDescent="0.25">
      <c r="A8906" s="66"/>
    </row>
    <row r="8907" spans="1:1" x14ac:dyDescent="0.25">
      <c r="A8907" s="66"/>
    </row>
    <row r="8908" spans="1:1" x14ac:dyDescent="0.25">
      <c r="A8908" s="66"/>
    </row>
    <row r="8909" spans="1:1" x14ac:dyDescent="0.25">
      <c r="A8909" s="66"/>
    </row>
    <row r="8910" spans="1:1" x14ac:dyDescent="0.25">
      <c r="A8910" s="66"/>
    </row>
    <row r="8911" spans="1:1" x14ac:dyDescent="0.25">
      <c r="A8911" s="66"/>
    </row>
    <row r="8912" spans="1:1" x14ac:dyDescent="0.25">
      <c r="A8912" s="66"/>
    </row>
    <row r="8913" spans="1:1" x14ac:dyDescent="0.25">
      <c r="A8913" s="66"/>
    </row>
    <row r="8914" spans="1:1" x14ac:dyDescent="0.25">
      <c r="A8914" s="66"/>
    </row>
    <row r="8915" spans="1:1" x14ac:dyDescent="0.25">
      <c r="A8915" s="66"/>
    </row>
    <row r="8916" spans="1:1" x14ac:dyDescent="0.25">
      <c r="A8916" s="66"/>
    </row>
    <row r="8917" spans="1:1" x14ac:dyDescent="0.25">
      <c r="A8917" s="66"/>
    </row>
    <row r="8918" spans="1:1" x14ac:dyDescent="0.25">
      <c r="A8918" s="66"/>
    </row>
    <row r="8919" spans="1:1" x14ac:dyDescent="0.25">
      <c r="A8919" s="66"/>
    </row>
    <row r="8920" spans="1:1" x14ac:dyDescent="0.25">
      <c r="A8920" s="66"/>
    </row>
    <row r="8921" spans="1:1" x14ac:dyDescent="0.25">
      <c r="A8921" s="66"/>
    </row>
    <row r="8922" spans="1:1" x14ac:dyDescent="0.25">
      <c r="A8922" s="66"/>
    </row>
    <row r="8923" spans="1:1" x14ac:dyDescent="0.25">
      <c r="A8923" s="66"/>
    </row>
    <row r="8924" spans="1:1" x14ac:dyDescent="0.25">
      <c r="A8924" s="66"/>
    </row>
    <row r="8925" spans="1:1" x14ac:dyDescent="0.25">
      <c r="A8925" s="66"/>
    </row>
    <row r="8926" spans="1:1" x14ac:dyDescent="0.25">
      <c r="A8926" s="66"/>
    </row>
    <row r="8927" spans="1:1" x14ac:dyDescent="0.25">
      <c r="A8927" s="66"/>
    </row>
    <row r="8928" spans="1:1" x14ac:dyDescent="0.25">
      <c r="A8928" s="66"/>
    </row>
    <row r="8929" spans="1:1" x14ac:dyDescent="0.25">
      <c r="A8929" s="66"/>
    </row>
    <row r="8930" spans="1:1" x14ac:dyDescent="0.25">
      <c r="A8930" s="66"/>
    </row>
    <row r="8931" spans="1:1" x14ac:dyDescent="0.25">
      <c r="A8931" s="66"/>
    </row>
    <row r="8932" spans="1:1" x14ac:dyDescent="0.25">
      <c r="A8932" s="66"/>
    </row>
    <row r="8933" spans="1:1" x14ac:dyDescent="0.25">
      <c r="A8933" s="66"/>
    </row>
    <row r="8934" spans="1:1" x14ac:dyDescent="0.25">
      <c r="A8934" s="66"/>
    </row>
    <row r="8935" spans="1:1" x14ac:dyDescent="0.25">
      <c r="A8935" s="66"/>
    </row>
    <row r="8936" spans="1:1" x14ac:dyDescent="0.25">
      <c r="A8936" s="66"/>
    </row>
    <row r="8937" spans="1:1" x14ac:dyDescent="0.25">
      <c r="A8937" s="66"/>
    </row>
    <row r="8938" spans="1:1" x14ac:dyDescent="0.25">
      <c r="A8938" s="66"/>
    </row>
    <row r="8939" spans="1:1" x14ac:dyDescent="0.25">
      <c r="A8939" s="66"/>
    </row>
    <row r="8940" spans="1:1" x14ac:dyDescent="0.25">
      <c r="A8940" s="66"/>
    </row>
    <row r="8941" spans="1:1" x14ac:dyDescent="0.25">
      <c r="A8941" s="66"/>
    </row>
    <row r="8942" spans="1:1" x14ac:dyDescent="0.25">
      <c r="A8942" s="66"/>
    </row>
    <row r="8943" spans="1:1" x14ac:dyDescent="0.25">
      <c r="A8943" s="66"/>
    </row>
    <row r="8944" spans="1:1" x14ac:dyDescent="0.25">
      <c r="A8944" s="66"/>
    </row>
    <row r="8945" spans="1:1" x14ac:dyDescent="0.25">
      <c r="A8945" s="66"/>
    </row>
    <row r="8946" spans="1:1" x14ac:dyDescent="0.25">
      <c r="A8946" s="66"/>
    </row>
    <row r="8947" spans="1:1" x14ac:dyDescent="0.25">
      <c r="A8947" s="66"/>
    </row>
    <row r="8948" spans="1:1" x14ac:dyDescent="0.25">
      <c r="A8948" s="66"/>
    </row>
    <row r="8949" spans="1:1" x14ac:dyDescent="0.25">
      <c r="A8949" s="66"/>
    </row>
    <row r="8950" spans="1:1" x14ac:dyDescent="0.25">
      <c r="A8950" s="66"/>
    </row>
    <row r="8951" spans="1:1" x14ac:dyDescent="0.25">
      <c r="A8951" s="66"/>
    </row>
    <row r="8952" spans="1:1" x14ac:dyDescent="0.25">
      <c r="A8952" s="66"/>
    </row>
    <row r="8953" spans="1:1" x14ac:dyDescent="0.25">
      <c r="A8953" s="66"/>
    </row>
    <row r="8954" spans="1:1" x14ac:dyDescent="0.25">
      <c r="A8954" s="66"/>
    </row>
    <row r="8955" spans="1:1" x14ac:dyDescent="0.25">
      <c r="A8955" s="66"/>
    </row>
    <row r="8956" spans="1:1" x14ac:dyDescent="0.25">
      <c r="A8956" s="66"/>
    </row>
    <row r="8957" spans="1:1" x14ac:dyDescent="0.25">
      <c r="A8957" s="66"/>
    </row>
    <row r="8958" spans="1:1" x14ac:dyDescent="0.25">
      <c r="A8958" s="66"/>
    </row>
    <row r="8959" spans="1:1" x14ac:dyDescent="0.25">
      <c r="A8959" s="66"/>
    </row>
    <row r="8960" spans="1:1" x14ac:dyDescent="0.25">
      <c r="A8960" s="66"/>
    </row>
    <row r="8961" spans="1:1" x14ac:dyDescent="0.25">
      <c r="A8961" s="66"/>
    </row>
    <row r="8962" spans="1:1" x14ac:dyDescent="0.25">
      <c r="A8962" s="66"/>
    </row>
    <row r="8963" spans="1:1" x14ac:dyDescent="0.25">
      <c r="A8963" s="66"/>
    </row>
    <row r="8964" spans="1:1" x14ac:dyDescent="0.25">
      <c r="A8964" s="66"/>
    </row>
    <row r="8965" spans="1:1" x14ac:dyDescent="0.25">
      <c r="A8965" s="66"/>
    </row>
    <row r="8966" spans="1:1" x14ac:dyDescent="0.25">
      <c r="A8966" s="66"/>
    </row>
    <row r="8967" spans="1:1" x14ac:dyDescent="0.25">
      <c r="A8967" s="66"/>
    </row>
    <row r="8968" spans="1:1" x14ac:dyDescent="0.25">
      <c r="A8968" s="66"/>
    </row>
    <row r="8969" spans="1:1" x14ac:dyDescent="0.25">
      <c r="A8969" s="66"/>
    </row>
    <row r="8970" spans="1:1" x14ac:dyDescent="0.25">
      <c r="A8970" s="66"/>
    </row>
    <row r="8971" spans="1:1" x14ac:dyDescent="0.25">
      <c r="A8971" s="66"/>
    </row>
    <row r="8972" spans="1:1" x14ac:dyDescent="0.25">
      <c r="A8972" s="66"/>
    </row>
    <row r="8973" spans="1:1" x14ac:dyDescent="0.25">
      <c r="A8973" s="66"/>
    </row>
    <row r="8974" spans="1:1" x14ac:dyDescent="0.25">
      <c r="A8974" s="66"/>
    </row>
    <row r="8975" spans="1:1" x14ac:dyDescent="0.25">
      <c r="A8975" s="66"/>
    </row>
    <row r="8976" spans="1:1" x14ac:dyDescent="0.25">
      <c r="A8976" s="66"/>
    </row>
    <row r="8977" spans="1:1" x14ac:dyDescent="0.25">
      <c r="A8977" s="66"/>
    </row>
    <row r="8978" spans="1:1" x14ac:dyDescent="0.25">
      <c r="A8978" s="66"/>
    </row>
    <row r="8979" spans="1:1" x14ac:dyDescent="0.25">
      <c r="A8979" s="66"/>
    </row>
    <row r="8980" spans="1:1" x14ac:dyDescent="0.25">
      <c r="A8980" s="66"/>
    </row>
    <row r="8981" spans="1:1" x14ac:dyDescent="0.25">
      <c r="A8981" s="66"/>
    </row>
    <row r="8982" spans="1:1" x14ac:dyDescent="0.25">
      <c r="A8982" s="66"/>
    </row>
    <row r="8983" spans="1:1" x14ac:dyDescent="0.25">
      <c r="A8983" s="66"/>
    </row>
    <row r="8984" spans="1:1" x14ac:dyDescent="0.25">
      <c r="A8984" s="66"/>
    </row>
    <row r="8985" spans="1:1" x14ac:dyDescent="0.25">
      <c r="A8985" s="66"/>
    </row>
    <row r="8986" spans="1:1" x14ac:dyDescent="0.25">
      <c r="A8986" s="66"/>
    </row>
    <row r="8987" spans="1:1" x14ac:dyDescent="0.25">
      <c r="A8987" s="66"/>
    </row>
    <row r="8988" spans="1:1" x14ac:dyDescent="0.25">
      <c r="A8988" s="66"/>
    </row>
    <row r="8989" spans="1:1" x14ac:dyDescent="0.25">
      <c r="A8989" s="66"/>
    </row>
    <row r="8990" spans="1:1" x14ac:dyDescent="0.25">
      <c r="A8990" s="66"/>
    </row>
    <row r="8991" spans="1:1" x14ac:dyDescent="0.25">
      <c r="A8991" s="66"/>
    </row>
    <row r="8992" spans="1:1" x14ac:dyDescent="0.25">
      <c r="A8992" s="66"/>
    </row>
    <row r="8993" spans="1:1" x14ac:dyDescent="0.25">
      <c r="A8993" s="66"/>
    </row>
    <row r="8994" spans="1:1" x14ac:dyDescent="0.25">
      <c r="A8994" s="66"/>
    </row>
    <row r="8995" spans="1:1" x14ac:dyDescent="0.25">
      <c r="A8995" s="66"/>
    </row>
    <row r="8996" spans="1:1" x14ac:dyDescent="0.25">
      <c r="A8996" s="66"/>
    </row>
    <row r="8997" spans="1:1" x14ac:dyDescent="0.25">
      <c r="A8997" s="66"/>
    </row>
    <row r="8998" spans="1:1" x14ac:dyDescent="0.25">
      <c r="A8998" s="66"/>
    </row>
    <row r="8999" spans="1:1" x14ac:dyDescent="0.25">
      <c r="A8999" s="66"/>
    </row>
    <row r="9000" spans="1:1" x14ac:dyDescent="0.25">
      <c r="A9000" s="66"/>
    </row>
    <row r="9001" spans="1:1" x14ac:dyDescent="0.25">
      <c r="A9001" s="66"/>
    </row>
    <row r="9002" spans="1:1" x14ac:dyDescent="0.25">
      <c r="A9002" s="66"/>
    </row>
    <row r="9003" spans="1:1" x14ac:dyDescent="0.25">
      <c r="A9003" s="66"/>
    </row>
    <row r="9004" spans="1:1" x14ac:dyDescent="0.25">
      <c r="A9004" s="66"/>
    </row>
    <row r="9005" spans="1:1" x14ac:dyDescent="0.25">
      <c r="A9005" s="66"/>
    </row>
    <row r="9006" spans="1:1" x14ac:dyDescent="0.25">
      <c r="A9006" s="66"/>
    </row>
    <row r="9007" spans="1:1" x14ac:dyDescent="0.25">
      <c r="A9007" s="66"/>
    </row>
    <row r="9008" spans="1:1" x14ac:dyDescent="0.25">
      <c r="A9008" s="66"/>
    </row>
    <row r="9009" spans="1:1" x14ac:dyDescent="0.25">
      <c r="A9009" s="66"/>
    </row>
    <row r="9010" spans="1:1" x14ac:dyDescent="0.25">
      <c r="A9010" s="66"/>
    </row>
    <row r="9011" spans="1:1" x14ac:dyDescent="0.25">
      <c r="A9011" s="66"/>
    </row>
    <row r="9012" spans="1:1" x14ac:dyDescent="0.25">
      <c r="A9012" s="66"/>
    </row>
    <row r="9013" spans="1:1" x14ac:dyDescent="0.25">
      <c r="A9013" s="66"/>
    </row>
    <row r="9014" spans="1:1" x14ac:dyDescent="0.25">
      <c r="A9014" s="66"/>
    </row>
    <row r="9015" spans="1:1" x14ac:dyDescent="0.25">
      <c r="A9015" s="66"/>
    </row>
    <row r="9016" spans="1:1" x14ac:dyDescent="0.25">
      <c r="A9016" s="66"/>
    </row>
    <row r="9017" spans="1:1" x14ac:dyDescent="0.25">
      <c r="A9017" s="66"/>
    </row>
    <row r="9018" spans="1:1" x14ac:dyDescent="0.25">
      <c r="A9018" s="66"/>
    </row>
    <row r="9019" spans="1:1" x14ac:dyDescent="0.25">
      <c r="A9019" s="66"/>
    </row>
    <row r="9020" spans="1:1" x14ac:dyDescent="0.25">
      <c r="A9020" s="66"/>
    </row>
    <row r="9021" spans="1:1" x14ac:dyDescent="0.25">
      <c r="A9021" s="66"/>
    </row>
    <row r="9022" spans="1:1" x14ac:dyDescent="0.25">
      <c r="A9022" s="66"/>
    </row>
    <row r="9023" spans="1:1" x14ac:dyDescent="0.25">
      <c r="A9023" s="66"/>
    </row>
    <row r="9024" spans="1:1" x14ac:dyDescent="0.25">
      <c r="A9024" s="66"/>
    </row>
    <row r="9025" spans="1:1" x14ac:dyDescent="0.25">
      <c r="A9025" s="66"/>
    </row>
    <row r="9026" spans="1:1" x14ac:dyDescent="0.25">
      <c r="A9026" s="66"/>
    </row>
    <row r="9027" spans="1:1" x14ac:dyDescent="0.25">
      <c r="A9027" s="66"/>
    </row>
    <row r="9028" spans="1:1" x14ac:dyDescent="0.25">
      <c r="A9028" s="66"/>
    </row>
    <row r="9029" spans="1:1" x14ac:dyDescent="0.25">
      <c r="A9029" s="66"/>
    </row>
    <row r="9030" spans="1:1" x14ac:dyDescent="0.25">
      <c r="A9030" s="66"/>
    </row>
    <row r="9031" spans="1:1" x14ac:dyDescent="0.25">
      <c r="A9031" s="66"/>
    </row>
    <row r="9032" spans="1:1" x14ac:dyDescent="0.25">
      <c r="A9032" s="66"/>
    </row>
    <row r="9033" spans="1:1" x14ac:dyDescent="0.25">
      <c r="A9033" s="66"/>
    </row>
    <row r="9034" spans="1:1" x14ac:dyDescent="0.25">
      <c r="A9034" s="66"/>
    </row>
    <row r="9035" spans="1:1" x14ac:dyDescent="0.25">
      <c r="A9035" s="66"/>
    </row>
    <row r="9036" spans="1:1" x14ac:dyDescent="0.25">
      <c r="A9036" s="66"/>
    </row>
    <row r="9037" spans="1:1" x14ac:dyDescent="0.25">
      <c r="A9037" s="66"/>
    </row>
    <row r="9038" spans="1:1" x14ac:dyDescent="0.25">
      <c r="A9038" s="66"/>
    </row>
    <row r="9039" spans="1:1" x14ac:dyDescent="0.25">
      <c r="A9039" s="66"/>
    </row>
    <row r="9040" spans="1:1" x14ac:dyDescent="0.25">
      <c r="A9040" s="66"/>
    </row>
    <row r="9041" spans="1:1" x14ac:dyDescent="0.25">
      <c r="A9041" s="66"/>
    </row>
    <row r="9042" spans="1:1" x14ac:dyDescent="0.25">
      <c r="A9042" s="66"/>
    </row>
    <row r="9043" spans="1:1" x14ac:dyDescent="0.25">
      <c r="A9043" s="66"/>
    </row>
    <row r="9044" spans="1:1" x14ac:dyDescent="0.25">
      <c r="A9044" s="66"/>
    </row>
    <row r="9045" spans="1:1" x14ac:dyDescent="0.25">
      <c r="A9045" s="66"/>
    </row>
    <row r="9046" spans="1:1" x14ac:dyDescent="0.25">
      <c r="A9046" s="66"/>
    </row>
    <row r="9047" spans="1:1" x14ac:dyDescent="0.25">
      <c r="A9047" s="66"/>
    </row>
    <row r="9048" spans="1:1" x14ac:dyDescent="0.25">
      <c r="A9048" s="66"/>
    </row>
    <row r="9049" spans="1:1" x14ac:dyDescent="0.25">
      <c r="A9049" s="66"/>
    </row>
    <row r="9050" spans="1:1" x14ac:dyDescent="0.25">
      <c r="A9050" s="66"/>
    </row>
    <row r="9051" spans="1:1" x14ac:dyDescent="0.25">
      <c r="A9051" s="66"/>
    </row>
    <row r="9052" spans="1:1" x14ac:dyDescent="0.25">
      <c r="A9052" s="66"/>
    </row>
    <row r="9053" spans="1:1" x14ac:dyDescent="0.25">
      <c r="A9053" s="66"/>
    </row>
    <row r="9054" spans="1:1" x14ac:dyDescent="0.25">
      <c r="A9054" s="66"/>
    </row>
    <row r="9055" spans="1:1" x14ac:dyDescent="0.25">
      <c r="A9055" s="66"/>
    </row>
    <row r="9056" spans="1:1" x14ac:dyDescent="0.25">
      <c r="A9056" s="66"/>
    </row>
    <row r="9057" spans="1:1" x14ac:dyDescent="0.25">
      <c r="A9057" s="66"/>
    </row>
    <row r="9058" spans="1:1" x14ac:dyDescent="0.25">
      <c r="A9058" s="66"/>
    </row>
    <row r="9059" spans="1:1" x14ac:dyDescent="0.25">
      <c r="A9059" s="66"/>
    </row>
    <row r="9060" spans="1:1" x14ac:dyDescent="0.25">
      <c r="A9060" s="66"/>
    </row>
    <row r="9061" spans="1:1" x14ac:dyDescent="0.25">
      <c r="A9061" s="66"/>
    </row>
    <row r="9062" spans="1:1" x14ac:dyDescent="0.25">
      <c r="A9062" s="66"/>
    </row>
    <row r="9063" spans="1:1" x14ac:dyDescent="0.25">
      <c r="A9063" s="66"/>
    </row>
    <row r="9064" spans="1:1" x14ac:dyDescent="0.25">
      <c r="A9064" s="66"/>
    </row>
    <row r="9065" spans="1:1" x14ac:dyDescent="0.25">
      <c r="A9065" s="66"/>
    </row>
    <row r="9066" spans="1:1" x14ac:dyDescent="0.25">
      <c r="A9066" s="66"/>
    </row>
    <row r="9067" spans="1:1" x14ac:dyDescent="0.25">
      <c r="A9067" s="66"/>
    </row>
    <row r="9068" spans="1:1" x14ac:dyDescent="0.25">
      <c r="A9068" s="66"/>
    </row>
    <row r="9069" spans="1:1" x14ac:dyDescent="0.25">
      <c r="A9069" s="66"/>
    </row>
    <row r="9070" spans="1:1" x14ac:dyDescent="0.25">
      <c r="A9070" s="66"/>
    </row>
    <row r="9071" spans="1:1" x14ac:dyDescent="0.25">
      <c r="A9071" s="66"/>
    </row>
    <row r="9072" spans="1:1" x14ac:dyDescent="0.25">
      <c r="A9072" s="66"/>
    </row>
    <row r="9073" spans="1:1" x14ac:dyDescent="0.25">
      <c r="A9073" s="66"/>
    </row>
    <row r="9074" spans="1:1" x14ac:dyDescent="0.25">
      <c r="A9074" s="66"/>
    </row>
    <row r="9075" spans="1:1" x14ac:dyDescent="0.25">
      <c r="A9075" s="66"/>
    </row>
    <row r="9076" spans="1:1" x14ac:dyDescent="0.25">
      <c r="A9076" s="66"/>
    </row>
    <row r="9077" spans="1:1" x14ac:dyDescent="0.25">
      <c r="A9077" s="66"/>
    </row>
    <row r="9078" spans="1:1" x14ac:dyDescent="0.25">
      <c r="A9078" s="66"/>
    </row>
    <row r="9079" spans="1:1" x14ac:dyDescent="0.25">
      <c r="A9079" s="66"/>
    </row>
    <row r="9080" spans="1:1" x14ac:dyDescent="0.25">
      <c r="A9080" s="66"/>
    </row>
    <row r="9081" spans="1:1" x14ac:dyDescent="0.25">
      <c r="A9081" s="66"/>
    </row>
    <row r="9082" spans="1:1" x14ac:dyDescent="0.25">
      <c r="A9082" s="66"/>
    </row>
    <row r="9083" spans="1:1" x14ac:dyDescent="0.25">
      <c r="A9083" s="66"/>
    </row>
    <row r="9084" spans="1:1" x14ac:dyDescent="0.25">
      <c r="A9084" s="66"/>
    </row>
    <row r="9085" spans="1:1" x14ac:dyDescent="0.25">
      <c r="A9085" s="66"/>
    </row>
    <row r="9086" spans="1:1" x14ac:dyDescent="0.25">
      <c r="A9086" s="66"/>
    </row>
    <row r="9087" spans="1:1" x14ac:dyDescent="0.25">
      <c r="A9087" s="66"/>
    </row>
    <row r="9088" spans="1:1" x14ac:dyDescent="0.25">
      <c r="A9088" s="66"/>
    </row>
    <row r="9089" spans="1:1" x14ac:dyDescent="0.25">
      <c r="A9089" s="66"/>
    </row>
    <row r="9090" spans="1:1" x14ac:dyDescent="0.25">
      <c r="A9090" s="66"/>
    </row>
    <row r="9091" spans="1:1" x14ac:dyDescent="0.25">
      <c r="A9091" s="66"/>
    </row>
    <row r="9092" spans="1:1" x14ac:dyDescent="0.25">
      <c r="A9092" s="66"/>
    </row>
    <row r="9093" spans="1:1" x14ac:dyDescent="0.25">
      <c r="A9093" s="66"/>
    </row>
    <row r="9094" spans="1:1" x14ac:dyDescent="0.25">
      <c r="A9094" s="66"/>
    </row>
    <row r="9095" spans="1:1" x14ac:dyDescent="0.25">
      <c r="A9095" s="66"/>
    </row>
    <row r="9096" spans="1:1" x14ac:dyDescent="0.25">
      <c r="A9096" s="66"/>
    </row>
    <row r="9097" spans="1:1" x14ac:dyDescent="0.25">
      <c r="A9097" s="66"/>
    </row>
    <row r="9098" spans="1:1" x14ac:dyDescent="0.25">
      <c r="A9098" s="66"/>
    </row>
    <row r="9099" spans="1:1" x14ac:dyDescent="0.25">
      <c r="A9099" s="66"/>
    </row>
    <row r="9100" spans="1:1" x14ac:dyDescent="0.25">
      <c r="A9100" s="66"/>
    </row>
    <row r="9101" spans="1:1" x14ac:dyDescent="0.25">
      <c r="A9101" s="66"/>
    </row>
    <row r="9102" spans="1:1" x14ac:dyDescent="0.25">
      <c r="A9102" s="66"/>
    </row>
    <row r="9103" spans="1:1" x14ac:dyDescent="0.25">
      <c r="A9103" s="66"/>
    </row>
    <row r="9104" spans="1:1" x14ac:dyDescent="0.25">
      <c r="A9104" s="66"/>
    </row>
    <row r="9105" spans="1:1" x14ac:dyDescent="0.25">
      <c r="A9105" s="66"/>
    </row>
    <row r="9106" spans="1:1" x14ac:dyDescent="0.25">
      <c r="A9106" s="66"/>
    </row>
    <row r="9107" spans="1:1" x14ac:dyDescent="0.25">
      <c r="A9107" s="66"/>
    </row>
    <row r="9108" spans="1:1" x14ac:dyDescent="0.25">
      <c r="A9108" s="66"/>
    </row>
    <row r="9109" spans="1:1" x14ac:dyDescent="0.25">
      <c r="A9109" s="66"/>
    </row>
    <row r="9110" spans="1:1" x14ac:dyDescent="0.25">
      <c r="A9110" s="66"/>
    </row>
    <row r="9111" spans="1:1" x14ac:dyDescent="0.25">
      <c r="A9111" s="66"/>
    </row>
    <row r="9112" spans="1:1" x14ac:dyDescent="0.25">
      <c r="A9112" s="66"/>
    </row>
    <row r="9113" spans="1:1" x14ac:dyDescent="0.25">
      <c r="A9113" s="66"/>
    </row>
    <row r="9114" spans="1:1" x14ac:dyDescent="0.25">
      <c r="A9114" s="66"/>
    </row>
    <row r="9115" spans="1:1" x14ac:dyDescent="0.25">
      <c r="A9115" s="66"/>
    </row>
    <row r="9116" spans="1:1" x14ac:dyDescent="0.25">
      <c r="A9116" s="66"/>
    </row>
    <row r="9117" spans="1:1" x14ac:dyDescent="0.25">
      <c r="A9117" s="66"/>
    </row>
    <row r="9118" spans="1:1" x14ac:dyDescent="0.25">
      <c r="A9118" s="66"/>
    </row>
    <row r="9119" spans="1:1" x14ac:dyDescent="0.25">
      <c r="A9119" s="66"/>
    </row>
    <row r="9120" spans="1:1" x14ac:dyDescent="0.25">
      <c r="A9120" s="66"/>
    </row>
    <row r="9121" spans="1:1" x14ac:dyDescent="0.25">
      <c r="A9121" s="66"/>
    </row>
    <row r="9122" spans="1:1" x14ac:dyDescent="0.25">
      <c r="A9122" s="66"/>
    </row>
    <row r="9123" spans="1:1" x14ac:dyDescent="0.25">
      <c r="A9123" s="66"/>
    </row>
    <row r="9124" spans="1:1" x14ac:dyDescent="0.25">
      <c r="A9124" s="66"/>
    </row>
    <row r="9125" spans="1:1" x14ac:dyDescent="0.25">
      <c r="A9125" s="66"/>
    </row>
    <row r="9126" spans="1:1" x14ac:dyDescent="0.25">
      <c r="A9126" s="66"/>
    </row>
    <row r="9127" spans="1:1" x14ac:dyDescent="0.25">
      <c r="A9127" s="66"/>
    </row>
    <row r="9128" spans="1:1" x14ac:dyDescent="0.25">
      <c r="A9128" s="66"/>
    </row>
    <row r="9129" spans="1:1" x14ac:dyDescent="0.25">
      <c r="A9129" s="66"/>
    </row>
    <row r="9130" spans="1:1" x14ac:dyDescent="0.25">
      <c r="A9130" s="66"/>
    </row>
    <row r="9131" spans="1:1" x14ac:dyDescent="0.25">
      <c r="A9131" s="66"/>
    </row>
    <row r="9132" spans="1:1" x14ac:dyDescent="0.25">
      <c r="A9132" s="66"/>
    </row>
    <row r="9133" spans="1:1" x14ac:dyDescent="0.25">
      <c r="A9133" s="66"/>
    </row>
    <row r="9134" spans="1:1" x14ac:dyDescent="0.25">
      <c r="A9134" s="66"/>
    </row>
    <row r="9135" spans="1:1" x14ac:dyDescent="0.25">
      <c r="A9135" s="66"/>
    </row>
    <row r="9136" spans="1:1" x14ac:dyDescent="0.25">
      <c r="A9136" s="66"/>
    </row>
    <row r="9137" spans="1:1" x14ac:dyDescent="0.25">
      <c r="A9137" s="66"/>
    </row>
    <row r="9138" spans="1:1" x14ac:dyDescent="0.25">
      <c r="A9138" s="66"/>
    </row>
    <row r="9139" spans="1:1" x14ac:dyDescent="0.25">
      <c r="A9139" s="66"/>
    </row>
    <row r="9140" spans="1:1" x14ac:dyDescent="0.25">
      <c r="A9140" s="66"/>
    </row>
    <row r="9141" spans="1:1" x14ac:dyDescent="0.25">
      <c r="A9141" s="66"/>
    </row>
    <row r="9142" spans="1:1" x14ac:dyDescent="0.25">
      <c r="A9142" s="66"/>
    </row>
    <row r="9143" spans="1:1" x14ac:dyDescent="0.25">
      <c r="A9143" s="66"/>
    </row>
    <row r="9144" spans="1:1" x14ac:dyDescent="0.25">
      <c r="A9144" s="66"/>
    </row>
    <row r="9145" spans="1:1" x14ac:dyDescent="0.25">
      <c r="A9145" s="66"/>
    </row>
    <row r="9146" spans="1:1" x14ac:dyDescent="0.25">
      <c r="A9146" s="66"/>
    </row>
    <row r="9147" spans="1:1" x14ac:dyDescent="0.25">
      <c r="A9147" s="66"/>
    </row>
    <row r="9148" spans="1:1" x14ac:dyDescent="0.25">
      <c r="A9148" s="66"/>
    </row>
    <row r="9149" spans="1:1" x14ac:dyDescent="0.25">
      <c r="A9149" s="66"/>
    </row>
    <row r="9150" spans="1:1" x14ac:dyDescent="0.25">
      <c r="A9150" s="66"/>
    </row>
    <row r="9151" spans="1:1" x14ac:dyDescent="0.25">
      <c r="A9151" s="66"/>
    </row>
    <row r="9152" spans="1:1" x14ac:dyDescent="0.25">
      <c r="A9152" s="66"/>
    </row>
    <row r="9153" spans="1:1" x14ac:dyDescent="0.25">
      <c r="A9153" s="66"/>
    </row>
    <row r="9154" spans="1:1" x14ac:dyDescent="0.25">
      <c r="A9154" s="66"/>
    </row>
    <row r="9155" spans="1:1" x14ac:dyDescent="0.25">
      <c r="A9155" s="66"/>
    </row>
    <row r="9156" spans="1:1" x14ac:dyDescent="0.25">
      <c r="A9156" s="66"/>
    </row>
    <row r="9157" spans="1:1" x14ac:dyDescent="0.25">
      <c r="A9157" s="66"/>
    </row>
    <row r="9158" spans="1:1" x14ac:dyDescent="0.25">
      <c r="A9158" s="66"/>
    </row>
    <row r="9159" spans="1:1" x14ac:dyDescent="0.25">
      <c r="A9159" s="66"/>
    </row>
    <row r="9160" spans="1:1" x14ac:dyDescent="0.25">
      <c r="A9160" s="66"/>
    </row>
    <row r="9161" spans="1:1" x14ac:dyDescent="0.25">
      <c r="A9161" s="66"/>
    </row>
    <row r="9162" spans="1:1" x14ac:dyDescent="0.25">
      <c r="A9162" s="66"/>
    </row>
    <row r="9163" spans="1:1" x14ac:dyDescent="0.25">
      <c r="A9163" s="66"/>
    </row>
    <row r="9164" spans="1:1" x14ac:dyDescent="0.25">
      <c r="A9164" s="66"/>
    </row>
    <row r="9165" spans="1:1" x14ac:dyDescent="0.25">
      <c r="A9165" s="66"/>
    </row>
    <row r="9166" spans="1:1" x14ac:dyDescent="0.25">
      <c r="A9166" s="66"/>
    </row>
    <row r="9167" spans="1:1" x14ac:dyDescent="0.25">
      <c r="A9167" s="66"/>
    </row>
    <row r="9168" spans="1:1" x14ac:dyDescent="0.25">
      <c r="A9168" s="66"/>
    </row>
    <row r="9169" spans="1:1" x14ac:dyDescent="0.25">
      <c r="A9169" s="66"/>
    </row>
    <row r="9170" spans="1:1" x14ac:dyDescent="0.25">
      <c r="A9170" s="66"/>
    </row>
    <row r="9171" spans="1:1" x14ac:dyDescent="0.25">
      <c r="A9171" s="66"/>
    </row>
    <row r="9172" spans="1:1" x14ac:dyDescent="0.25">
      <c r="A9172" s="66"/>
    </row>
    <row r="9173" spans="1:1" x14ac:dyDescent="0.25">
      <c r="A9173" s="66"/>
    </row>
    <row r="9174" spans="1:1" x14ac:dyDescent="0.25">
      <c r="A9174" s="66"/>
    </row>
    <row r="9175" spans="1:1" x14ac:dyDescent="0.25">
      <c r="A9175" s="66"/>
    </row>
    <row r="9176" spans="1:1" x14ac:dyDescent="0.25">
      <c r="A9176" s="66"/>
    </row>
    <row r="9177" spans="1:1" x14ac:dyDescent="0.25">
      <c r="A9177" s="66"/>
    </row>
    <row r="9178" spans="1:1" x14ac:dyDescent="0.25">
      <c r="A9178" s="66"/>
    </row>
    <row r="9179" spans="1:1" x14ac:dyDescent="0.25">
      <c r="A9179" s="66"/>
    </row>
    <row r="9180" spans="1:1" x14ac:dyDescent="0.25">
      <c r="A9180" s="66"/>
    </row>
    <row r="9181" spans="1:1" x14ac:dyDescent="0.25">
      <c r="A9181" s="66"/>
    </row>
    <row r="9182" spans="1:1" x14ac:dyDescent="0.25">
      <c r="A9182" s="66"/>
    </row>
    <row r="9183" spans="1:1" x14ac:dyDescent="0.25">
      <c r="A9183" s="66"/>
    </row>
    <row r="9184" spans="1:1" x14ac:dyDescent="0.25">
      <c r="A9184" s="66"/>
    </row>
    <row r="9185" spans="1:1" x14ac:dyDescent="0.25">
      <c r="A9185" s="66"/>
    </row>
    <row r="9186" spans="1:1" x14ac:dyDescent="0.25">
      <c r="A9186" s="66"/>
    </row>
    <row r="9187" spans="1:1" x14ac:dyDescent="0.25">
      <c r="A9187" s="66"/>
    </row>
    <row r="9188" spans="1:1" x14ac:dyDescent="0.25">
      <c r="A9188" s="66"/>
    </row>
    <row r="9189" spans="1:1" x14ac:dyDescent="0.25">
      <c r="A9189" s="66"/>
    </row>
    <row r="9190" spans="1:1" x14ac:dyDescent="0.25">
      <c r="A9190" s="66"/>
    </row>
    <row r="9191" spans="1:1" x14ac:dyDescent="0.25">
      <c r="A9191" s="66"/>
    </row>
    <row r="9192" spans="1:1" x14ac:dyDescent="0.25">
      <c r="A9192" s="66"/>
    </row>
    <row r="9193" spans="1:1" x14ac:dyDescent="0.25">
      <c r="A9193" s="66"/>
    </row>
    <row r="9194" spans="1:1" x14ac:dyDescent="0.25">
      <c r="A9194" s="66"/>
    </row>
    <row r="9195" spans="1:1" x14ac:dyDescent="0.25">
      <c r="A9195" s="66"/>
    </row>
    <row r="9196" spans="1:1" x14ac:dyDescent="0.25">
      <c r="A9196" s="66"/>
    </row>
    <row r="9197" spans="1:1" x14ac:dyDescent="0.25">
      <c r="A9197" s="66"/>
    </row>
    <row r="9198" spans="1:1" x14ac:dyDescent="0.25">
      <c r="A9198" s="66"/>
    </row>
    <row r="9199" spans="1:1" x14ac:dyDescent="0.25">
      <c r="A9199" s="66"/>
    </row>
    <row r="9200" spans="1:1" x14ac:dyDescent="0.25">
      <c r="A9200" s="66"/>
    </row>
    <row r="9201" spans="1:1" x14ac:dyDescent="0.25">
      <c r="A9201" s="66"/>
    </row>
    <row r="9202" spans="1:1" x14ac:dyDescent="0.25">
      <c r="A9202" s="66"/>
    </row>
    <row r="9203" spans="1:1" x14ac:dyDescent="0.25">
      <c r="A9203" s="66"/>
    </row>
    <row r="9204" spans="1:1" x14ac:dyDescent="0.25">
      <c r="A9204" s="66"/>
    </row>
    <row r="9205" spans="1:1" x14ac:dyDescent="0.25">
      <c r="A9205" s="66"/>
    </row>
    <row r="9206" spans="1:1" x14ac:dyDescent="0.25">
      <c r="A9206" s="66"/>
    </row>
    <row r="9207" spans="1:1" x14ac:dyDescent="0.25">
      <c r="A9207" s="66"/>
    </row>
    <row r="9208" spans="1:1" x14ac:dyDescent="0.25">
      <c r="A9208" s="66"/>
    </row>
    <row r="9209" spans="1:1" x14ac:dyDescent="0.25">
      <c r="A9209" s="66"/>
    </row>
    <row r="9210" spans="1:1" x14ac:dyDescent="0.25">
      <c r="A9210" s="66"/>
    </row>
    <row r="9211" spans="1:1" x14ac:dyDescent="0.25">
      <c r="A9211" s="66"/>
    </row>
    <row r="9212" spans="1:1" x14ac:dyDescent="0.25">
      <c r="A9212" s="66"/>
    </row>
    <row r="9213" spans="1:1" x14ac:dyDescent="0.25">
      <c r="A9213" s="66"/>
    </row>
    <row r="9214" spans="1:1" x14ac:dyDescent="0.25">
      <c r="A9214" s="66"/>
    </row>
    <row r="9215" spans="1:1" x14ac:dyDescent="0.25">
      <c r="A9215" s="66"/>
    </row>
    <row r="9216" spans="1:1" x14ac:dyDescent="0.25">
      <c r="A9216" s="66"/>
    </row>
    <row r="9217" spans="1:1" x14ac:dyDescent="0.25">
      <c r="A9217" s="66"/>
    </row>
    <row r="9218" spans="1:1" x14ac:dyDescent="0.25">
      <c r="A9218" s="66"/>
    </row>
    <row r="9219" spans="1:1" x14ac:dyDescent="0.25">
      <c r="A9219" s="66"/>
    </row>
    <row r="9220" spans="1:1" x14ac:dyDescent="0.25">
      <c r="A9220" s="66"/>
    </row>
    <row r="9221" spans="1:1" x14ac:dyDescent="0.25">
      <c r="A9221" s="66"/>
    </row>
    <row r="9222" spans="1:1" x14ac:dyDescent="0.25">
      <c r="A9222" s="66"/>
    </row>
    <row r="9223" spans="1:1" x14ac:dyDescent="0.25">
      <c r="A9223" s="66"/>
    </row>
    <row r="9224" spans="1:1" x14ac:dyDescent="0.25">
      <c r="A9224" s="66"/>
    </row>
    <row r="9225" spans="1:1" x14ac:dyDescent="0.25">
      <c r="A9225" s="66"/>
    </row>
    <row r="9226" spans="1:1" x14ac:dyDescent="0.25">
      <c r="A9226" s="66"/>
    </row>
    <row r="9227" spans="1:1" x14ac:dyDescent="0.25">
      <c r="A9227" s="66"/>
    </row>
    <row r="9228" spans="1:1" x14ac:dyDescent="0.25">
      <c r="A9228" s="66"/>
    </row>
    <row r="9229" spans="1:1" x14ac:dyDescent="0.25">
      <c r="A9229" s="66"/>
    </row>
    <row r="9230" spans="1:1" x14ac:dyDescent="0.25">
      <c r="A9230" s="66"/>
    </row>
    <row r="9231" spans="1:1" x14ac:dyDescent="0.25">
      <c r="A9231" s="66"/>
    </row>
    <row r="9232" spans="1:1" x14ac:dyDescent="0.25">
      <c r="A9232" s="66"/>
    </row>
    <row r="9233" spans="1:1" x14ac:dyDescent="0.25">
      <c r="A9233" s="66"/>
    </row>
    <row r="9234" spans="1:1" x14ac:dyDescent="0.25">
      <c r="A9234" s="66"/>
    </row>
    <row r="9235" spans="1:1" x14ac:dyDescent="0.25">
      <c r="A9235" s="66"/>
    </row>
    <row r="9236" spans="1:1" x14ac:dyDescent="0.25">
      <c r="A9236" s="66"/>
    </row>
    <row r="9237" spans="1:1" x14ac:dyDescent="0.25">
      <c r="A9237" s="66"/>
    </row>
    <row r="9238" spans="1:1" x14ac:dyDescent="0.25">
      <c r="A9238" s="66"/>
    </row>
    <row r="9239" spans="1:1" x14ac:dyDescent="0.25">
      <c r="A9239" s="66"/>
    </row>
    <row r="9240" spans="1:1" x14ac:dyDescent="0.25">
      <c r="A9240" s="66"/>
    </row>
    <row r="9241" spans="1:1" x14ac:dyDescent="0.25">
      <c r="A9241" s="66"/>
    </row>
    <row r="9242" spans="1:1" x14ac:dyDescent="0.25">
      <c r="A9242" s="66"/>
    </row>
    <row r="9243" spans="1:1" x14ac:dyDescent="0.25">
      <c r="A9243" s="66"/>
    </row>
    <row r="9244" spans="1:1" x14ac:dyDescent="0.25">
      <c r="A9244" s="66"/>
    </row>
    <row r="9245" spans="1:1" x14ac:dyDescent="0.25">
      <c r="A9245" s="66"/>
    </row>
    <row r="9246" spans="1:1" x14ac:dyDescent="0.25">
      <c r="A9246" s="66"/>
    </row>
    <row r="9247" spans="1:1" x14ac:dyDescent="0.25">
      <c r="A9247" s="66"/>
    </row>
    <row r="9248" spans="1:1" x14ac:dyDescent="0.25">
      <c r="A9248" s="66"/>
    </row>
    <row r="9249" spans="1:1" x14ac:dyDescent="0.25">
      <c r="A9249" s="66"/>
    </row>
    <row r="9250" spans="1:1" x14ac:dyDescent="0.25">
      <c r="A9250" s="66"/>
    </row>
    <row r="9251" spans="1:1" x14ac:dyDescent="0.25">
      <c r="A9251" s="66"/>
    </row>
    <row r="9252" spans="1:1" x14ac:dyDescent="0.25">
      <c r="A9252" s="66"/>
    </row>
    <row r="9253" spans="1:1" x14ac:dyDescent="0.25">
      <c r="A9253" s="66"/>
    </row>
    <row r="9254" spans="1:1" x14ac:dyDescent="0.25">
      <c r="A9254" s="66"/>
    </row>
    <row r="9255" spans="1:1" x14ac:dyDescent="0.25">
      <c r="A9255" s="66"/>
    </row>
    <row r="9256" spans="1:1" x14ac:dyDescent="0.25">
      <c r="A9256" s="66"/>
    </row>
    <row r="9257" spans="1:1" x14ac:dyDescent="0.25">
      <c r="A9257" s="66"/>
    </row>
    <row r="9258" spans="1:1" x14ac:dyDescent="0.25">
      <c r="A9258" s="66"/>
    </row>
    <row r="9259" spans="1:1" x14ac:dyDescent="0.25">
      <c r="A9259" s="66"/>
    </row>
    <row r="9260" spans="1:1" x14ac:dyDescent="0.25">
      <c r="A9260" s="66"/>
    </row>
    <row r="9261" spans="1:1" x14ac:dyDescent="0.25">
      <c r="A9261" s="66"/>
    </row>
    <row r="9262" spans="1:1" x14ac:dyDescent="0.25">
      <c r="A9262" s="66"/>
    </row>
    <row r="9263" spans="1:1" x14ac:dyDescent="0.25">
      <c r="A9263" s="66"/>
    </row>
    <row r="9264" spans="1:1" x14ac:dyDescent="0.25">
      <c r="A9264" s="66"/>
    </row>
    <row r="9265" spans="1:1" x14ac:dyDescent="0.25">
      <c r="A9265" s="66"/>
    </row>
    <row r="9266" spans="1:1" x14ac:dyDescent="0.25">
      <c r="A9266" s="66"/>
    </row>
    <row r="9267" spans="1:1" x14ac:dyDescent="0.25">
      <c r="A9267" s="66"/>
    </row>
    <row r="9268" spans="1:1" x14ac:dyDescent="0.25">
      <c r="A9268" s="66"/>
    </row>
    <row r="9269" spans="1:1" x14ac:dyDescent="0.25">
      <c r="A9269" s="66"/>
    </row>
    <row r="9270" spans="1:1" x14ac:dyDescent="0.25">
      <c r="A9270" s="66"/>
    </row>
    <row r="9271" spans="1:1" x14ac:dyDescent="0.25">
      <c r="A9271" s="66"/>
    </row>
    <row r="9272" spans="1:1" x14ac:dyDescent="0.25">
      <c r="A9272" s="66"/>
    </row>
    <row r="9273" spans="1:1" x14ac:dyDescent="0.25">
      <c r="A9273" s="66"/>
    </row>
    <row r="9274" spans="1:1" x14ac:dyDescent="0.25">
      <c r="A9274" s="66"/>
    </row>
    <row r="9275" spans="1:1" x14ac:dyDescent="0.25">
      <c r="A9275" s="66"/>
    </row>
    <row r="9276" spans="1:1" x14ac:dyDescent="0.25">
      <c r="A9276" s="66"/>
    </row>
    <row r="9277" spans="1:1" x14ac:dyDescent="0.25">
      <c r="A9277" s="66"/>
    </row>
    <row r="9278" spans="1:1" x14ac:dyDescent="0.25">
      <c r="A9278" s="66"/>
    </row>
    <row r="9279" spans="1:1" x14ac:dyDescent="0.25">
      <c r="A9279" s="66"/>
    </row>
    <row r="9280" spans="1:1" x14ac:dyDescent="0.25">
      <c r="A9280" s="66"/>
    </row>
    <row r="9281" spans="1:1" x14ac:dyDescent="0.25">
      <c r="A9281" s="66"/>
    </row>
    <row r="9282" spans="1:1" x14ac:dyDescent="0.25">
      <c r="A9282" s="66"/>
    </row>
    <row r="9283" spans="1:1" x14ac:dyDescent="0.25">
      <c r="A9283" s="66"/>
    </row>
    <row r="9284" spans="1:1" x14ac:dyDescent="0.25">
      <c r="A9284" s="66"/>
    </row>
    <row r="9285" spans="1:1" x14ac:dyDescent="0.25">
      <c r="A9285" s="66"/>
    </row>
    <row r="9286" spans="1:1" x14ac:dyDescent="0.25">
      <c r="A9286" s="66"/>
    </row>
    <row r="9287" spans="1:1" x14ac:dyDescent="0.25">
      <c r="A9287" s="66"/>
    </row>
    <row r="9288" spans="1:1" x14ac:dyDescent="0.25">
      <c r="A9288" s="66"/>
    </row>
    <row r="9289" spans="1:1" x14ac:dyDescent="0.25">
      <c r="A9289" s="66"/>
    </row>
    <row r="9290" spans="1:1" x14ac:dyDescent="0.25">
      <c r="A9290" s="66"/>
    </row>
    <row r="9291" spans="1:1" x14ac:dyDescent="0.25">
      <c r="A9291" s="66"/>
    </row>
    <row r="9292" spans="1:1" x14ac:dyDescent="0.25">
      <c r="A9292" s="66"/>
    </row>
    <row r="9293" spans="1:1" x14ac:dyDescent="0.25">
      <c r="A9293" s="66"/>
    </row>
    <row r="9294" spans="1:1" x14ac:dyDescent="0.25">
      <c r="A9294" s="66"/>
    </row>
    <row r="9295" spans="1:1" x14ac:dyDescent="0.25">
      <c r="A9295" s="66"/>
    </row>
    <row r="9296" spans="1:1" x14ac:dyDescent="0.25">
      <c r="A9296" s="66"/>
    </row>
    <row r="9297" spans="1:1" x14ac:dyDescent="0.25">
      <c r="A9297" s="66"/>
    </row>
    <row r="9298" spans="1:1" x14ac:dyDescent="0.25">
      <c r="A9298" s="66"/>
    </row>
    <row r="9299" spans="1:1" x14ac:dyDescent="0.25">
      <c r="A9299" s="66"/>
    </row>
    <row r="9300" spans="1:1" x14ac:dyDescent="0.25">
      <c r="A9300" s="66"/>
    </row>
    <row r="9301" spans="1:1" x14ac:dyDescent="0.25">
      <c r="A9301" s="66"/>
    </row>
    <row r="9302" spans="1:1" x14ac:dyDescent="0.25">
      <c r="A9302" s="66"/>
    </row>
    <row r="9303" spans="1:1" x14ac:dyDescent="0.25">
      <c r="A9303" s="66"/>
    </row>
    <row r="9304" spans="1:1" x14ac:dyDescent="0.25">
      <c r="A9304" s="66"/>
    </row>
    <row r="9305" spans="1:1" x14ac:dyDescent="0.25">
      <c r="A9305" s="66"/>
    </row>
    <row r="9306" spans="1:1" x14ac:dyDescent="0.25">
      <c r="A9306" s="66"/>
    </row>
    <row r="9307" spans="1:1" x14ac:dyDescent="0.25">
      <c r="A9307" s="66"/>
    </row>
    <row r="9308" spans="1:1" x14ac:dyDescent="0.25">
      <c r="A9308" s="66"/>
    </row>
    <row r="9309" spans="1:1" x14ac:dyDescent="0.25">
      <c r="A9309" s="66"/>
    </row>
    <row r="9310" spans="1:1" x14ac:dyDescent="0.25">
      <c r="A9310" s="66"/>
    </row>
    <row r="9311" spans="1:1" x14ac:dyDescent="0.25">
      <c r="A9311" s="66"/>
    </row>
    <row r="9312" spans="1:1" x14ac:dyDescent="0.25">
      <c r="A9312" s="66"/>
    </row>
    <row r="9313" spans="1:1" x14ac:dyDescent="0.25">
      <c r="A9313" s="66"/>
    </row>
    <row r="9314" spans="1:1" x14ac:dyDescent="0.25">
      <c r="A9314" s="66"/>
    </row>
    <row r="9315" spans="1:1" x14ac:dyDescent="0.25">
      <c r="A9315" s="66"/>
    </row>
    <row r="9316" spans="1:1" x14ac:dyDescent="0.25">
      <c r="A9316" s="66"/>
    </row>
    <row r="9317" spans="1:1" x14ac:dyDescent="0.25">
      <c r="A9317" s="66"/>
    </row>
    <row r="9318" spans="1:1" x14ac:dyDescent="0.25">
      <c r="A9318" s="66"/>
    </row>
    <row r="9319" spans="1:1" x14ac:dyDescent="0.25">
      <c r="A9319" s="66"/>
    </row>
    <row r="9320" spans="1:1" x14ac:dyDescent="0.25">
      <c r="A9320" s="66"/>
    </row>
    <row r="9321" spans="1:1" x14ac:dyDescent="0.25">
      <c r="A9321" s="66"/>
    </row>
    <row r="9322" spans="1:1" x14ac:dyDescent="0.25">
      <c r="A9322" s="66"/>
    </row>
    <row r="9323" spans="1:1" x14ac:dyDescent="0.25">
      <c r="A9323" s="66"/>
    </row>
    <row r="9324" spans="1:1" x14ac:dyDescent="0.25">
      <c r="A9324" s="66"/>
    </row>
    <row r="9325" spans="1:1" x14ac:dyDescent="0.25">
      <c r="A9325" s="66"/>
    </row>
    <row r="9326" spans="1:1" x14ac:dyDescent="0.25">
      <c r="A9326" s="66"/>
    </row>
    <row r="9327" spans="1:1" x14ac:dyDescent="0.25">
      <c r="A9327" s="66"/>
    </row>
    <row r="9328" spans="1:1" x14ac:dyDescent="0.25">
      <c r="A9328" s="66"/>
    </row>
    <row r="9329" spans="1:1" x14ac:dyDescent="0.25">
      <c r="A9329" s="66"/>
    </row>
    <row r="9330" spans="1:1" x14ac:dyDescent="0.25">
      <c r="A9330" s="66"/>
    </row>
    <row r="9331" spans="1:1" x14ac:dyDescent="0.25">
      <c r="A9331" s="66"/>
    </row>
    <row r="9332" spans="1:1" x14ac:dyDescent="0.25">
      <c r="A9332" s="66"/>
    </row>
    <row r="9333" spans="1:1" x14ac:dyDescent="0.25">
      <c r="A9333" s="66"/>
    </row>
    <row r="9334" spans="1:1" x14ac:dyDescent="0.25">
      <c r="A9334" s="66"/>
    </row>
    <row r="9335" spans="1:1" x14ac:dyDescent="0.25">
      <c r="A9335" s="66"/>
    </row>
    <row r="9336" spans="1:1" x14ac:dyDescent="0.25">
      <c r="A9336" s="66"/>
    </row>
    <row r="9337" spans="1:1" x14ac:dyDescent="0.25">
      <c r="A9337" s="66"/>
    </row>
    <row r="9338" spans="1:1" x14ac:dyDescent="0.25">
      <c r="A9338" s="66"/>
    </row>
    <row r="9339" spans="1:1" x14ac:dyDescent="0.25">
      <c r="A9339" s="66"/>
    </row>
    <row r="9340" spans="1:1" x14ac:dyDescent="0.25">
      <c r="A9340" s="66"/>
    </row>
    <row r="9341" spans="1:1" x14ac:dyDescent="0.25">
      <c r="A9341" s="66"/>
    </row>
    <row r="9342" spans="1:1" x14ac:dyDescent="0.25">
      <c r="A9342" s="66"/>
    </row>
    <row r="9343" spans="1:1" x14ac:dyDescent="0.25">
      <c r="A9343" s="66"/>
    </row>
    <row r="9344" spans="1:1" x14ac:dyDescent="0.25">
      <c r="A9344" s="66"/>
    </row>
    <row r="9345" spans="1:1" x14ac:dyDescent="0.25">
      <c r="A9345" s="66"/>
    </row>
    <row r="9346" spans="1:1" x14ac:dyDescent="0.25">
      <c r="A9346" s="66"/>
    </row>
    <row r="9347" spans="1:1" x14ac:dyDescent="0.25">
      <c r="A9347" s="66"/>
    </row>
    <row r="9348" spans="1:1" x14ac:dyDescent="0.25">
      <c r="A9348" s="66"/>
    </row>
    <row r="9349" spans="1:1" x14ac:dyDescent="0.25">
      <c r="A9349" s="66"/>
    </row>
    <row r="9350" spans="1:1" x14ac:dyDescent="0.25">
      <c r="A9350" s="66"/>
    </row>
    <row r="9351" spans="1:1" x14ac:dyDescent="0.25">
      <c r="A9351" s="66"/>
    </row>
    <row r="9352" spans="1:1" x14ac:dyDescent="0.25">
      <c r="A9352" s="66"/>
    </row>
    <row r="9353" spans="1:1" x14ac:dyDescent="0.25">
      <c r="A9353" s="66"/>
    </row>
    <row r="9354" spans="1:1" x14ac:dyDescent="0.25">
      <c r="A9354" s="66"/>
    </row>
    <row r="9355" spans="1:1" x14ac:dyDescent="0.25">
      <c r="A9355" s="66"/>
    </row>
    <row r="9356" spans="1:1" x14ac:dyDescent="0.25">
      <c r="A9356" s="66"/>
    </row>
    <row r="9357" spans="1:1" x14ac:dyDescent="0.25">
      <c r="A9357" s="66"/>
    </row>
    <row r="9358" spans="1:1" x14ac:dyDescent="0.25">
      <c r="A9358" s="66"/>
    </row>
    <row r="9359" spans="1:1" x14ac:dyDescent="0.25">
      <c r="A9359" s="66"/>
    </row>
    <row r="9360" spans="1:1" x14ac:dyDescent="0.25">
      <c r="A9360" s="66"/>
    </row>
    <row r="9361" spans="1:1" x14ac:dyDescent="0.25">
      <c r="A9361" s="66"/>
    </row>
    <row r="9362" spans="1:1" x14ac:dyDescent="0.25">
      <c r="A9362" s="66"/>
    </row>
    <row r="9363" spans="1:1" x14ac:dyDescent="0.25">
      <c r="A9363" s="66"/>
    </row>
    <row r="9364" spans="1:1" x14ac:dyDescent="0.25">
      <c r="A9364" s="66"/>
    </row>
    <row r="9365" spans="1:1" x14ac:dyDescent="0.25">
      <c r="A9365" s="66"/>
    </row>
    <row r="9366" spans="1:1" x14ac:dyDescent="0.25">
      <c r="A9366" s="66"/>
    </row>
    <row r="9367" spans="1:1" x14ac:dyDescent="0.25">
      <c r="A9367" s="66"/>
    </row>
    <row r="9368" spans="1:1" x14ac:dyDescent="0.25">
      <c r="A9368" s="66"/>
    </row>
    <row r="9369" spans="1:1" x14ac:dyDescent="0.25">
      <c r="A9369" s="66"/>
    </row>
    <row r="9370" spans="1:1" x14ac:dyDescent="0.25">
      <c r="A9370" s="66"/>
    </row>
    <row r="9371" spans="1:1" x14ac:dyDescent="0.25">
      <c r="A9371" s="66"/>
    </row>
    <row r="9372" spans="1:1" x14ac:dyDescent="0.25">
      <c r="A9372" s="66"/>
    </row>
    <row r="9373" spans="1:1" x14ac:dyDescent="0.25">
      <c r="A9373" s="66"/>
    </row>
    <row r="9374" spans="1:1" x14ac:dyDescent="0.25">
      <c r="A9374" s="66"/>
    </row>
    <row r="9375" spans="1:1" x14ac:dyDescent="0.25">
      <c r="A9375" s="66"/>
    </row>
    <row r="9376" spans="1:1" x14ac:dyDescent="0.25">
      <c r="A9376" s="66"/>
    </row>
    <row r="9377" spans="1:1" x14ac:dyDescent="0.25">
      <c r="A9377" s="66"/>
    </row>
    <row r="9378" spans="1:1" x14ac:dyDescent="0.25">
      <c r="A9378" s="66"/>
    </row>
    <row r="9379" spans="1:1" x14ac:dyDescent="0.25">
      <c r="A9379" s="66"/>
    </row>
    <row r="9380" spans="1:1" x14ac:dyDescent="0.25">
      <c r="A9380" s="66"/>
    </row>
    <row r="9381" spans="1:1" x14ac:dyDescent="0.25">
      <c r="A9381" s="66"/>
    </row>
    <row r="9382" spans="1:1" x14ac:dyDescent="0.25">
      <c r="A9382" s="66"/>
    </row>
    <row r="9383" spans="1:1" x14ac:dyDescent="0.25">
      <c r="A9383" s="66"/>
    </row>
    <row r="9384" spans="1:1" x14ac:dyDescent="0.25">
      <c r="A9384" s="66"/>
    </row>
    <row r="9385" spans="1:1" x14ac:dyDescent="0.25">
      <c r="A9385" s="66"/>
    </row>
    <row r="9386" spans="1:1" x14ac:dyDescent="0.25">
      <c r="A9386" s="66"/>
    </row>
    <row r="9387" spans="1:1" x14ac:dyDescent="0.25">
      <c r="A9387" s="66"/>
    </row>
    <row r="9388" spans="1:1" x14ac:dyDescent="0.25">
      <c r="A9388" s="66"/>
    </row>
    <row r="9389" spans="1:1" x14ac:dyDescent="0.25">
      <c r="A9389" s="66"/>
    </row>
    <row r="9390" spans="1:1" x14ac:dyDescent="0.25">
      <c r="A9390" s="66"/>
    </row>
    <row r="9391" spans="1:1" x14ac:dyDescent="0.25">
      <c r="A9391" s="66"/>
    </row>
    <row r="9392" spans="1:1" x14ac:dyDescent="0.25">
      <c r="A9392" s="66"/>
    </row>
    <row r="9393" spans="1:1" x14ac:dyDescent="0.25">
      <c r="A9393" s="66"/>
    </row>
    <row r="9394" spans="1:1" x14ac:dyDescent="0.25">
      <c r="A9394" s="66"/>
    </row>
    <row r="9395" spans="1:1" x14ac:dyDescent="0.25">
      <c r="A9395" s="66"/>
    </row>
    <row r="9396" spans="1:1" x14ac:dyDescent="0.25">
      <c r="A9396" s="66"/>
    </row>
    <row r="9397" spans="1:1" x14ac:dyDescent="0.25">
      <c r="A9397" s="66"/>
    </row>
    <row r="9398" spans="1:1" x14ac:dyDescent="0.25">
      <c r="A9398" s="66"/>
    </row>
    <row r="9399" spans="1:1" x14ac:dyDescent="0.25">
      <c r="A9399" s="66"/>
    </row>
    <row r="9400" spans="1:1" x14ac:dyDescent="0.25">
      <c r="A9400" s="66"/>
    </row>
    <row r="9401" spans="1:1" x14ac:dyDescent="0.25">
      <c r="A9401" s="66"/>
    </row>
    <row r="9402" spans="1:1" x14ac:dyDescent="0.25">
      <c r="A9402" s="66"/>
    </row>
    <row r="9403" spans="1:1" x14ac:dyDescent="0.25">
      <c r="A9403" s="66"/>
    </row>
    <row r="9404" spans="1:1" x14ac:dyDescent="0.25">
      <c r="A9404" s="66"/>
    </row>
    <row r="9405" spans="1:1" x14ac:dyDescent="0.25">
      <c r="A9405" s="66"/>
    </row>
    <row r="9406" spans="1:1" x14ac:dyDescent="0.25">
      <c r="A9406" s="66"/>
    </row>
    <row r="9407" spans="1:1" x14ac:dyDescent="0.25">
      <c r="A9407" s="66"/>
    </row>
    <row r="9408" spans="1:1" x14ac:dyDescent="0.25">
      <c r="A9408" s="66"/>
    </row>
    <row r="9409" spans="1:1" x14ac:dyDescent="0.25">
      <c r="A9409" s="66"/>
    </row>
    <row r="9410" spans="1:1" x14ac:dyDescent="0.25">
      <c r="A9410" s="66"/>
    </row>
    <row r="9411" spans="1:1" x14ac:dyDescent="0.25">
      <c r="A9411" s="66"/>
    </row>
    <row r="9412" spans="1:1" x14ac:dyDescent="0.25">
      <c r="A9412" s="66"/>
    </row>
    <row r="9413" spans="1:1" x14ac:dyDescent="0.25">
      <c r="A9413" s="66"/>
    </row>
    <row r="9414" spans="1:1" x14ac:dyDescent="0.25">
      <c r="A9414" s="66"/>
    </row>
    <row r="9415" spans="1:1" x14ac:dyDescent="0.25">
      <c r="A9415" s="66"/>
    </row>
    <row r="9416" spans="1:1" x14ac:dyDescent="0.25">
      <c r="A9416" s="66"/>
    </row>
    <row r="9417" spans="1:1" x14ac:dyDescent="0.25">
      <c r="A9417" s="66"/>
    </row>
    <row r="9418" spans="1:1" x14ac:dyDescent="0.25">
      <c r="A9418" s="66"/>
    </row>
    <row r="9419" spans="1:1" x14ac:dyDescent="0.25">
      <c r="A9419" s="66"/>
    </row>
    <row r="9420" spans="1:1" x14ac:dyDescent="0.25">
      <c r="A9420" s="66"/>
    </row>
    <row r="9421" spans="1:1" x14ac:dyDescent="0.25">
      <c r="A9421" s="66"/>
    </row>
    <row r="9422" spans="1:1" x14ac:dyDescent="0.25">
      <c r="A9422" s="66"/>
    </row>
    <row r="9423" spans="1:1" x14ac:dyDescent="0.25">
      <c r="A9423" s="66"/>
    </row>
    <row r="9424" spans="1:1" x14ac:dyDescent="0.25">
      <c r="A9424" s="66"/>
    </row>
    <row r="9425" spans="1:1" x14ac:dyDescent="0.25">
      <c r="A9425" s="66"/>
    </row>
    <row r="9426" spans="1:1" x14ac:dyDescent="0.25">
      <c r="A9426" s="66"/>
    </row>
    <row r="9427" spans="1:1" x14ac:dyDescent="0.25">
      <c r="A9427" s="66"/>
    </row>
    <row r="9428" spans="1:1" x14ac:dyDescent="0.25">
      <c r="A9428" s="66"/>
    </row>
    <row r="9429" spans="1:1" x14ac:dyDescent="0.25">
      <c r="A9429" s="66"/>
    </row>
    <row r="9430" spans="1:1" x14ac:dyDescent="0.25">
      <c r="A9430" s="66"/>
    </row>
    <row r="9431" spans="1:1" x14ac:dyDescent="0.25">
      <c r="A9431" s="66"/>
    </row>
    <row r="9432" spans="1:1" x14ac:dyDescent="0.25">
      <c r="A9432" s="66"/>
    </row>
    <row r="9433" spans="1:1" x14ac:dyDescent="0.25">
      <c r="A9433" s="66"/>
    </row>
    <row r="9434" spans="1:1" x14ac:dyDescent="0.25">
      <c r="A9434" s="66"/>
    </row>
    <row r="9435" spans="1:1" x14ac:dyDescent="0.25">
      <c r="A9435" s="66"/>
    </row>
    <row r="9436" spans="1:1" x14ac:dyDescent="0.25">
      <c r="A9436" s="66"/>
    </row>
    <row r="9437" spans="1:1" x14ac:dyDescent="0.25">
      <c r="A9437" s="66"/>
    </row>
    <row r="9438" spans="1:1" x14ac:dyDescent="0.25">
      <c r="A9438" s="66"/>
    </row>
    <row r="9439" spans="1:1" x14ac:dyDescent="0.25">
      <c r="A9439" s="66"/>
    </row>
    <row r="9440" spans="1:1" x14ac:dyDescent="0.25">
      <c r="A9440" s="66"/>
    </row>
    <row r="9441" spans="1:1" x14ac:dyDescent="0.25">
      <c r="A9441" s="66"/>
    </row>
    <row r="9442" spans="1:1" x14ac:dyDescent="0.25">
      <c r="A9442" s="66"/>
    </row>
    <row r="9443" spans="1:1" x14ac:dyDescent="0.25">
      <c r="A9443" s="66"/>
    </row>
    <row r="9444" spans="1:1" x14ac:dyDescent="0.25">
      <c r="A9444" s="66"/>
    </row>
    <row r="9445" spans="1:1" x14ac:dyDescent="0.25">
      <c r="A9445" s="66"/>
    </row>
    <row r="9446" spans="1:1" x14ac:dyDescent="0.25">
      <c r="A9446" s="66"/>
    </row>
    <row r="9447" spans="1:1" x14ac:dyDescent="0.25">
      <c r="A9447" s="66"/>
    </row>
    <row r="9448" spans="1:1" x14ac:dyDescent="0.25">
      <c r="A9448" s="66"/>
    </row>
    <row r="9449" spans="1:1" x14ac:dyDescent="0.25">
      <c r="A9449" s="66"/>
    </row>
    <row r="9450" spans="1:1" x14ac:dyDescent="0.25">
      <c r="A9450" s="66"/>
    </row>
    <row r="9451" spans="1:1" x14ac:dyDescent="0.25">
      <c r="A9451" s="66"/>
    </row>
    <row r="9452" spans="1:1" x14ac:dyDescent="0.25">
      <c r="A9452" s="66"/>
    </row>
    <row r="9453" spans="1:1" x14ac:dyDescent="0.25">
      <c r="A9453" s="66"/>
    </row>
    <row r="9454" spans="1:1" x14ac:dyDescent="0.25">
      <c r="A9454" s="66"/>
    </row>
    <row r="9455" spans="1:1" x14ac:dyDescent="0.25">
      <c r="A9455" s="66"/>
    </row>
    <row r="9456" spans="1:1" x14ac:dyDescent="0.25">
      <c r="A9456" s="66"/>
    </row>
    <row r="9457" spans="1:1" x14ac:dyDescent="0.25">
      <c r="A9457" s="66"/>
    </row>
    <row r="9458" spans="1:1" x14ac:dyDescent="0.25">
      <c r="A9458" s="66"/>
    </row>
    <row r="9459" spans="1:1" x14ac:dyDescent="0.25">
      <c r="A9459" s="66"/>
    </row>
    <row r="9460" spans="1:1" x14ac:dyDescent="0.25">
      <c r="A9460" s="66"/>
    </row>
    <row r="9461" spans="1:1" x14ac:dyDescent="0.25">
      <c r="A9461" s="66"/>
    </row>
    <row r="9462" spans="1:1" x14ac:dyDescent="0.25">
      <c r="A9462" s="66"/>
    </row>
    <row r="9463" spans="1:1" x14ac:dyDescent="0.25">
      <c r="A9463" s="66"/>
    </row>
    <row r="9464" spans="1:1" x14ac:dyDescent="0.25">
      <c r="A9464" s="66"/>
    </row>
    <row r="9465" spans="1:1" x14ac:dyDescent="0.25">
      <c r="A9465" s="66"/>
    </row>
    <row r="9466" spans="1:1" x14ac:dyDescent="0.25">
      <c r="A9466" s="66"/>
    </row>
    <row r="9467" spans="1:1" x14ac:dyDescent="0.25">
      <c r="A9467" s="66"/>
    </row>
    <row r="9468" spans="1:1" x14ac:dyDescent="0.25">
      <c r="A9468" s="66"/>
    </row>
    <row r="9469" spans="1:1" x14ac:dyDescent="0.25">
      <c r="A9469" s="66"/>
    </row>
    <row r="9470" spans="1:1" x14ac:dyDescent="0.25">
      <c r="A9470" s="66"/>
    </row>
    <row r="9471" spans="1:1" x14ac:dyDescent="0.25">
      <c r="A9471" s="66"/>
    </row>
    <row r="9472" spans="1:1" x14ac:dyDescent="0.25">
      <c r="A9472" s="66"/>
    </row>
    <row r="9473" spans="1:1" x14ac:dyDescent="0.25">
      <c r="A9473" s="66"/>
    </row>
    <row r="9474" spans="1:1" x14ac:dyDescent="0.25">
      <c r="A9474" s="66"/>
    </row>
    <row r="9475" spans="1:1" x14ac:dyDescent="0.25">
      <c r="A9475" s="66"/>
    </row>
    <row r="9476" spans="1:1" x14ac:dyDescent="0.25">
      <c r="A9476" s="66"/>
    </row>
    <row r="9477" spans="1:1" x14ac:dyDescent="0.25">
      <c r="A9477" s="66"/>
    </row>
    <row r="9478" spans="1:1" x14ac:dyDescent="0.25">
      <c r="A9478" s="66"/>
    </row>
    <row r="9479" spans="1:1" x14ac:dyDescent="0.25">
      <c r="A9479" s="66"/>
    </row>
    <row r="9480" spans="1:1" x14ac:dyDescent="0.25">
      <c r="A9480" s="66"/>
    </row>
    <row r="9481" spans="1:1" x14ac:dyDescent="0.25">
      <c r="A9481" s="66"/>
    </row>
    <row r="9482" spans="1:1" x14ac:dyDescent="0.25">
      <c r="A9482" s="66"/>
    </row>
    <row r="9483" spans="1:1" x14ac:dyDescent="0.25">
      <c r="A9483" s="66"/>
    </row>
    <row r="9484" spans="1:1" x14ac:dyDescent="0.25">
      <c r="A9484" s="66"/>
    </row>
    <row r="9485" spans="1:1" x14ac:dyDescent="0.25">
      <c r="A9485" s="66"/>
    </row>
    <row r="9486" spans="1:1" x14ac:dyDescent="0.25">
      <c r="A9486" s="66"/>
    </row>
    <row r="9487" spans="1:1" x14ac:dyDescent="0.25">
      <c r="A9487" s="66"/>
    </row>
    <row r="9488" spans="1:1" x14ac:dyDescent="0.25">
      <c r="A9488" s="66"/>
    </row>
    <row r="9489" spans="1:1" x14ac:dyDescent="0.25">
      <c r="A9489" s="66"/>
    </row>
    <row r="9490" spans="1:1" x14ac:dyDescent="0.25">
      <c r="A9490" s="66"/>
    </row>
    <row r="9491" spans="1:1" x14ac:dyDescent="0.25">
      <c r="A9491" s="66"/>
    </row>
    <row r="9492" spans="1:1" x14ac:dyDescent="0.25">
      <c r="A9492" s="66"/>
    </row>
    <row r="9493" spans="1:1" x14ac:dyDescent="0.25">
      <c r="A9493" s="66"/>
    </row>
    <row r="9494" spans="1:1" x14ac:dyDescent="0.25">
      <c r="A9494" s="66"/>
    </row>
    <row r="9495" spans="1:1" x14ac:dyDescent="0.25">
      <c r="A9495" s="66"/>
    </row>
    <row r="9496" spans="1:1" x14ac:dyDescent="0.25">
      <c r="A9496" s="66"/>
    </row>
    <row r="9497" spans="1:1" x14ac:dyDescent="0.25">
      <c r="A9497" s="66"/>
    </row>
    <row r="9498" spans="1:1" x14ac:dyDescent="0.25">
      <c r="A9498" s="66"/>
    </row>
    <row r="9499" spans="1:1" x14ac:dyDescent="0.25">
      <c r="A9499" s="66"/>
    </row>
    <row r="9500" spans="1:1" x14ac:dyDescent="0.25">
      <c r="A9500" s="66"/>
    </row>
    <row r="9501" spans="1:1" x14ac:dyDescent="0.25">
      <c r="A9501" s="66"/>
    </row>
    <row r="9502" spans="1:1" x14ac:dyDescent="0.25">
      <c r="A9502" s="66"/>
    </row>
    <row r="9503" spans="1:1" x14ac:dyDescent="0.25">
      <c r="A9503" s="66"/>
    </row>
    <row r="9504" spans="1:1" x14ac:dyDescent="0.25">
      <c r="A9504" s="66"/>
    </row>
    <row r="9505" spans="1:1" x14ac:dyDescent="0.25">
      <c r="A9505" s="66"/>
    </row>
    <row r="9506" spans="1:1" x14ac:dyDescent="0.25">
      <c r="A9506" s="66"/>
    </row>
    <row r="9507" spans="1:1" x14ac:dyDescent="0.25">
      <c r="A9507" s="66"/>
    </row>
    <row r="9508" spans="1:1" x14ac:dyDescent="0.25">
      <c r="A9508" s="66"/>
    </row>
    <row r="9509" spans="1:1" x14ac:dyDescent="0.25">
      <c r="A9509" s="66"/>
    </row>
    <row r="9510" spans="1:1" x14ac:dyDescent="0.25">
      <c r="A9510" s="66"/>
    </row>
    <row r="9511" spans="1:1" x14ac:dyDescent="0.25">
      <c r="A9511" s="66"/>
    </row>
    <row r="9512" spans="1:1" x14ac:dyDescent="0.25">
      <c r="A9512" s="66"/>
    </row>
    <row r="9513" spans="1:1" x14ac:dyDescent="0.25">
      <c r="A9513" s="66"/>
    </row>
    <row r="9514" spans="1:1" x14ac:dyDescent="0.25">
      <c r="A9514" s="66"/>
    </row>
    <row r="9515" spans="1:1" x14ac:dyDescent="0.25">
      <c r="A9515" s="66"/>
    </row>
    <row r="9516" spans="1:1" x14ac:dyDescent="0.25">
      <c r="A9516" s="66"/>
    </row>
    <row r="9517" spans="1:1" x14ac:dyDescent="0.25">
      <c r="A9517" s="66"/>
    </row>
    <row r="9518" spans="1:1" x14ac:dyDescent="0.25">
      <c r="A9518" s="66"/>
    </row>
    <row r="9519" spans="1:1" x14ac:dyDescent="0.25">
      <c r="A9519" s="66"/>
    </row>
    <row r="9520" spans="1:1" x14ac:dyDescent="0.25">
      <c r="A9520" s="66"/>
    </row>
    <row r="9521" spans="1:1" x14ac:dyDescent="0.25">
      <c r="A9521" s="66"/>
    </row>
    <row r="9522" spans="1:1" x14ac:dyDescent="0.25">
      <c r="A9522" s="66"/>
    </row>
    <row r="9523" spans="1:1" x14ac:dyDescent="0.25">
      <c r="A9523" s="66"/>
    </row>
    <row r="9524" spans="1:1" x14ac:dyDescent="0.25">
      <c r="A9524" s="66"/>
    </row>
    <row r="9525" spans="1:1" x14ac:dyDescent="0.25">
      <c r="A9525" s="66"/>
    </row>
    <row r="9526" spans="1:1" x14ac:dyDescent="0.25">
      <c r="A9526" s="66"/>
    </row>
    <row r="9527" spans="1:1" x14ac:dyDescent="0.25">
      <c r="A9527" s="66"/>
    </row>
    <row r="9528" spans="1:1" x14ac:dyDescent="0.25">
      <c r="A9528" s="66"/>
    </row>
    <row r="9529" spans="1:1" x14ac:dyDescent="0.25">
      <c r="A9529" s="66"/>
    </row>
    <row r="9530" spans="1:1" x14ac:dyDescent="0.25">
      <c r="A9530" s="66"/>
    </row>
    <row r="9531" spans="1:1" x14ac:dyDescent="0.25">
      <c r="A9531" s="66"/>
    </row>
    <row r="9532" spans="1:1" x14ac:dyDescent="0.25">
      <c r="A9532" s="66"/>
    </row>
    <row r="9533" spans="1:1" x14ac:dyDescent="0.25">
      <c r="A9533" s="66"/>
    </row>
    <row r="9534" spans="1:1" x14ac:dyDescent="0.25">
      <c r="A9534" s="66"/>
    </row>
    <row r="9535" spans="1:1" x14ac:dyDescent="0.25">
      <c r="A9535" s="66"/>
    </row>
    <row r="9536" spans="1:1" x14ac:dyDescent="0.25">
      <c r="A9536" s="66"/>
    </row>
    <row r="9537" spans="1:1" x14ac:dyDescent="0.25">
      <c r="A9537" s="66"/>
    </row>
    <row r="9538" spans="1:1" x14ac:dyDescent="0.25">
      <c r="A9538" s="66"/>
    </row>
    <row r="9539" spans="1:1" x14ac:dyDescent="0.25">
      <c r="A9539" s="66"/>
    </row>
    <row r="9540" spans="1:1" x14ac:dyDescent="0.25">
      <c r="A9540" s="66"/>
    </row>
    <row r="9541" spans="1:1" x14ac:dyDescent="0.25">
      <c r="A9541" s="66"/>
    </row>
    <row r="9542" spans="1:1" x14ac:dyDescent="0.25">
      <c r="A9542" s="66"/>
    </row>
    <row r="9543" spans="1:1" x14ac:dyDescent="0.25">
      <c r="A9543" s="66"/>
    </row>
    <row r="9544" spans="1:1" x14ac:dyDescent="0.25">
      <c r="A9544" s="66"/>
    </row>
    <row r="9545" spans="1:1" x14ac:dyDescent="0.25">
      <c r="A9545" s="66"/>
    </row>
    <row r="9546" spans="1:1" x14ac:dyDescent="0.25">
      <c r="A9546" s="66"/>
    </row>
    <row r="9547" spans="1:1" x14ac:dyDescent="0.25">
      <c r="A9547" s="66"/>
    </row>
    <row r="9548" spans="1:1" x14ac:dyDescent="0.25">
      <c r="A9548" s="66"/>
    </row>
    <row r="9549" spans="1:1" x14ac:dyDescent="0.25">
      <c r="A9549" s="66"/>
    </row>
    <row r="9550" spans="1:1" x14ac:dyDescent="0.25">
      <c r="A9550" s="66"/>
    </row>
    <row r="9551" spans="1:1" x14ac:dyDescent="0.25">
      <c r="A9551" s="66"/>
    </row>
    <row r="9552" spans="1:1" x14ac:dyDescent="0.25">
      <c r="A9552" s="66"/>
    </row>
    <row r="9553" spans="1:1" x14ac:dyDescent="0.25">
      <c r="A9553" s="66"/>
    </row>
    <row r="9554" spans="1:1" x14ac:dyDescent="0.25">
      <c r="A9554" s="66"/>
    </row>
    <row r="9555" spans="1:1" x14ac:dyDescent="0.25">
      <c r="A9555" s="66"/>
    </row>
    <row r="9556" spans="1:1" x14ac:dyDescent="0.25">
      <c r="A9556" s="66"/>
    </row>
    <row r="9557" spans="1:1" x14ac:dyDescent="0.25">
      <c r="A9557" s="66"/>
    </row>
    <row r="9558" spans="1:1" x14ac:dyDescent="0.25">
      <c r="A9558" s="66"/>
    </row>
    <row r="9559" spans="1:1" x14ac:dyDescent="0.25">
      <c r="A9559" s="66"/>
    </row>
    <row r="9560" spans="1:1" x14ac:dyDescent="0.25">
      <c r="A9560" s="66"/>
    </row>
    <row r="9561" spans="1:1" x14ac:dyDescent="0.25">
      <c r="A9561" s="66"/>
    </row>
    <row r="9562" spans="1:1" x14ac:dyDescent="0.25">
      <c r="A9562" s="66"/>
    </row>
    <row r="9563" spans="1:1" x14ac:dyDescent="0.25">
      <c r="A9563" s="66"/>
    </row>
    <row r="9564" spans="1:1" x14ac:dyDescent="0.25">
      <c r="A9564" s="66"/>
    </row>
    <row r="9565" spans="1:1" x14ac:dyDescent="0.25">
      <c r="A9565" s="66"/>
    </row>
    <row r="9566" spans="1:1" x14ac:dyDescent="0.25">
      <c r="A9566" s="66"/>
    </row>
    <row r="9567" spans="1:1" x14ac:dyDescent="0.25">
      <c r="A9567" s="66"/>
    </row>
    <row r="9568" spans="1:1" x14ac:dyDescent="0.25">
      <c r="A9568" s="66"/>
    </row>
    <row r="9569" spans="1:1" x14ac:dyDescent="0.25">
      <c r="A9569" s="66"/>
    </row>
    <row r="9570" spans="1:1" x14ac:dyDescent="0.25">
      <c r="A9570" s="66"/>
    </row>
    <row r="9571" spans="1:1" x14ac:dyDescent="0.25">
      <c r="A9571" s="66"/>
    </row>
    <row r="9572" spans="1:1" x14ac:dyDescent="0.25">
      <c r="A9572" s="66"/>
    </row>
    <row r="9573" spans="1:1" x14ac:dyDescent="0.25">
      <c r="A9573" s="66"/>
    </row>
    <row r="9574" spans="1:1" x14ac:dyDescent="0.25">
      <c r="A9574" s="66"/>
    </row>
    <row r="9575" spans="1:1" x14ac:dyDescent="0.25">
      <c r="A9575" s="66"/>
    </row>
    <row r="9576" spans="1:1" x14ac:dyDescent="0.25">
      <c r="A9576" s="66"/>
    </row>
    <row r="9577" spans="1:1" x14ac:dyDescent="0.25">
      <c r="A9577" s="66"/>
    </row>
    <row r="9578" spans="1:1" x14ac:dyDescent="0.25">
      <c r="A9578" s="66"/>
    </row>
    <row r="9579" spans="1:1" x14ac:dyDescent="0.25">
      <c r="A9579" s="66"/>
    </row>
    <row r="9580" spans="1:1" x14ac:dyDescent="0.25">
      <c r="A9580" s="66"/>
    </row>
    <row r="9581" spans="1:1" x14ac:dyDescent="0.25">
      <c r="A9581" s="66"/>
    </row>
    <row r="9582" spans="1:1" x14ac:dyDescent="0.25">
      <c r="A9582" s="66"/>
    </row>
    <row r="9583" spans="1:1" x14ac:dyDescent="0.25">
      <c r="A9583" s="66"/>
    </row>
    <row r="9584" spans="1:1" x14ac:dyDescent="0.25">
      <c r="A9584" s="66"/>
    </row>
    <row r="9585" spans="1:1" x14ac:dyDescent="0.25">
      <c r="A9585" s="66"/>
    </row>
    <row r="9586" spans="1:1" x14ac:dyDescent="0.25">
      <c r="A9586" s="66"/>
    </row>
    <row r="9587" spans="1:1" x14ac:dyDescent="0.25">
      <c r="A9587" s="66"/>
    </row>
    <row r="9588" spans="1:1" x14ac:dyDescent="0.25">
      <c r="A9588" s="66"/>
    </row>
    <row r="9589" spans="1:1" x14ac:dyDescent="0.25">
      <c r="A9589" s="66"/>
    </row>
    <row r="9590" spans="1:1" x14ac:dyDescent="0.25">
      <c r="A9590" s="66"/>
    </row>
    <row r="9591" spans="1:1" x14ac:dyDescent="0.25">
      <c r="A9591" s="66"/>
    </row>
    <row r="9592" spans="1:1" x14ac:dyDescent="0.25">
      <c r="A9592" s="66"/>
    </row>
    <row r="9593" spans="1:1" x14ac:dyDescent="0.25">
      <c r="A9593" s="66"/>
    </row>
    <row r="9594" spans="1:1" x14ac:dyDescent="0.25">
      <c r="A9594" s="66"/>
    </row>
    <row r="9595" spans="1:1" x14ac:dyDescent="0.25">
      <c r="A9595" s="66"/>
    </row>
    <row r="9596" spans="1:1" x14ac:dyDescent="0.25">
      <c r="A9596" s="66"/>
    </row>
    <row r="9597" spans="1:1" x14ac:dyDescent="0.25">
      <c r="A9597" s="66"/>
    </row>
    <row r="9598" spans="1:1" x14ac:dyDescent="0.25">
      <c r="A9598" s="66"/>
    </row>
    <row r="9599" spans="1:1" x14ac:dyDescent="0.25">
      <c r="A9599" s="66"/>
    </row>
    <row r="9600" spans="1:1" x14ac:dyDescent="0.25">
      <c r="A9600" s="66"/>
    </row>
    <row r="9601" spans="1:1" x14ac:dyDescent="0.25">
      <c r="A9601" s="66"/>
    </row>
    <row r="9602" spans="1:1" x14ac:dyDescent="0.25">
      <c r="A9602" s="66"/>
    </row>
    <row r="9603" spans="1:1" x14ac:dyDescent="0.25">
      <c r="A9603" s="66"/>
    </row>
    <row r="9604" spans="1:1" x14ac:dyDescent="0.25">
      <c r="A9604" s="66"/>
    </row>
    <row r="9605" spans="1:1" x14ac:dyDescent="0.25">
      <c r="A9605" s="66"/>
    </row>
    <row r="9606" spans="1:1" x14ac:dyDescent="0.25">
      <c r="A9606" s="66"/>
    </row>
    <row r="9607" spans="1:1" x14ac:dyDescent="0.25">
      <c r="A9607" s="66"/>
    </row>
    <row r="9608" spans="1:1" x14ac:dyDescent="0.25">
      <c r="A9608" s="66"/>
    </row>
    <row r="9609" spans="1:1" x14ac:dyDescent="0.25">
      <c r="A9609" s="66"/>
    </row>
    <row r="9610" spans="1:1" x14ac:dyDescent="0.25">
      <c r="A9610" s="66"/>
    </row>
    <row r="9611" spans="1:1" x14ac:dyDescent="0.25">
      <c r="A9611" s="66"/>
    </row>
    <row r="9612" spans="1:1" x14ac:dyDescent="0.25">
      <c r="A9612" s="66"/>
    </row>
    <row r="9613" spans="1:1" x14ac:dyDescent="0.25">
      <c r="A9613" s="66"/>
    </row>
    <row r="9614" spans="1:1" x14ac:dyDescent="0.25">
      <c r="A9614" s="66"/>
    </row>
    <row r="9615" spans="1:1" x14ac:dyDescent="0.25">
      <c r="A9615" s="66"/>
    </row>
    <row r="9616" spans="1:1" x14ac:dyDescent="0.25">
      <c r="A9616" s="66"/>
    </row>
    <row r="9617" spans="1:1" x14ac:dyDescent="0.25">
      <c r="A9617" s="66"/>
    </row>
    <row r="9618" spans="1:1" x14ac:dyDescent="0.25">
      <c r="A9618" s="66"/>
    </row>
    <row r="9619" spans="1:1" x14ac:dyDescent="0.25">
      <c r="A9619" s="66"/>
    </row>
    <row r="9620" spans="1:1" x14ac:dyDescent="0.25">
      <c r="A9620" s="66"/>
    </row>
    <row r="9621" spans="1:1" x14ac:dyDescent="0.25">
      <c r="A9621" s="66"/>
    </row>
    <row r="9622" spans="1:1" x14ac:dyDescent="0.25">
      <c r="A9622" s="66"/>
    </row>
    <row r="9623" spans="1:1" x14ac:dyDescent="0.25">
      <c r="A9623" s="66"/>
    </row>
    <row r="9624" spans="1:1" x14ac:dyDescent="0.25">
      <c r="A9624" s="66"/>
    </row>
    <row r="9625" spans="1:1" x14ac:dyDescent="0.25">
      <c r="A9625" s="66"/>
    </row>
    <row r="9626" spans="1:1" x14ac:dyDescent="0.25">
      <c r="A9626" s="66"/>
    </row>
    <row r="9627" spans="1:1" x14ac:dyDescent="0.25">
      <c r="A9627" s="66"/>
    </row>
    <row r="9628" spans="1:1" x14ac:dyDescent="0.25">
      <c r="A9628" s="66"/>
    </row>
    <row r="9629" spans="1:1" x14ac:dyDescent="0.25">
      <c r="A9629" s="66"/>
    </row>
    <row r="9630" spans="1:1" x14ac:dyDescent="0.25">
      <c r="A9630" s="66"/>
    </row>
    <row r="9631" spans="1:1" x14ac:dyDescent="0.25">
      <c r="A9631" s="66"/>
    </row>
    <row r="9632" spans="1:1" x14ac:dyDescent="0.25">
      <c r="A9632" s="66"/>
    </row>
    <row r="9633" spans="1:1" x14ac:dyDescent="0.25">
      <c r="A9633" s="66"/>
    </row>
    <row r="9634" spans="1:1" x14ac:dyDescent="0.25">
      <c r="A9634" s="66"/>
    </row>
    <row r="9635" spans="1:1" x14ac:dyDescent="0.25">
      <c r="A9635" s="66"/>
    </row>
    <row r="9636" spans="1:1" x14ac:dyDescent="0.25">
      <c r="A9636" s="66"/>
    </row>
    <row r="9637" spans="1:1" x14ac:dyDescent="0.25">
      <c r="A9637" s="66"/>
    </row>
    <row r="9638" spans="1:1" x14ac:dyDescent="0.25">
      <c r="A9638" s="66"/>
    </row>
    <row r="9639" spans="1:1" x14ac:dyDescent="0.25">
      <c r="A9639" s="66"/>
    </row>
    <row r="9640" spans="1:1" x14ac:dyDescent="0.25">
      <c r="A9640" s="66"/>
    </row>
    <row r="9641" spans="1:1" x14ac:dyDescent="0.25">
      <c r="A9641" s="66"/>
    </row>
    <row r="9642" spans="1:1" x14ac:dyDescent="0.25">
      <c r="A9642" s="66"/>
    </row>
    <row r="9643" spans="1:1" x14ac:dyDescent="0.25">
      <c r="A9643" s="66"/>
    </row>
    <row r="9644" spans="1:1" x14ac:dyDescent="0.25">
      <c r="A9644" s="66"/>
    </row>
    <row r="9645" spans="1:1" x14ac:dyDescent="0.25">
      <c r="A9645" s="66"/>
    </row>
    <row r="9646" spans="1:1" x14ac:dyDescent="0.25">
      <c r="A9646" s="66"/>
    </row>
    <row r="9647" spans="1:1" x14ac:dyDescent="0.25">
      <c r="A9647" s="66"/>
    </row>
    <row r="9648" spans="1:1" x14ac:dyDescent="0.25">
      <c r="A9648" s="66"/>
    </row>
    <row r="9649" spans="1:1" x14ac:dyDescent="0.25">
      <c r="A9649" s="66"/>
    </row>
    <row r="9650" spans="1:1" x14ac:dyDescent="0.25">
      <c r="A9650" s="66"/>
    </row>
    <row r="9651" spans="1:1" x14ac:dyDescent="0.25">
      <c r="A9651" s="66"/>
    </row>
    <row r="9652" spans="1:1" x14ac:dyDescent="0.25">
      <c r="A9652" s="66"/>
    </row>
    <row r="9653" spans="1:1" x14ac:dyDescent="0.25">
      <c r="A9653" s="66"/>
    </row>
    <row r="9654" spans="1:1" x14ac:dyDescent="0.25">
      <c r="A9654" s="66"/>
    </row>
    <row r="9655" spans="1:1" x14ac:dyDescent="0.25">
      <c r="A9655" s="66"/>
    </row>
    <row r="9656" spans="1:1" x14ac:dyDescent="0.25">
      <c r="A9656" s="66"/>
    </row>
    <row r="9657" spans="1:1" x14ac:dyDescent="0.25">
      <c r="A9657" s="66"/>
    </row>
    <row r="9658" spans="1:1" x14ac:dyDescent="0.25">
      <c r="A9658" s="66"/>
    </row>
    <row r="9659" spans="1:1" x14ac:dyDescent="0.25">
      <c r="A9659" s="66"/>
    </row>
    <row r="9660" spans="1:1" x14ac:dyDescent="0.25">
      <c r="A9660" s="66"/>
    </row>
    <row r="9661" spans="1:1" x14ac:dyDescent="0.25">
      <c r="A9661" s="66"/>
    </row>
    <row r="9662" spans="1:1" x14ac:dyDescent="0.25">
      <c r="A9662" s="66"/>
    </row>
    <row r="9663" spans="1:1" x14ac:dyDescent="0.25">
      <c r="A9663" s="66"/>
    </row>
    <row r="9664" spans="1:1" x14ac:dyDescent="0.25">
      <c r="A9664" s="66"/>
    </row>
    <row r="9665" spans="1:1" x14ac:dyDescent="0.25">
      <c r="A9665" s="66"/>
    </row>
    <row r="9666" spans="1:1" x14ac:dyDescent="0.25">
      <c r="A9666" s="66"/>
    </row>
    <row r="9667" spans="1:1" x14ac:dyDescent="0.25">
      <c r="A9667" s="66"/>
    </row>
    <row r="9668" spans="1:1" x14ac:dyDescent="0.25">
      <c r="A9668" s="66"/>
    </row>
    <row r="9669" spans="1:1" x14ac:dyDescent="0.25">
      <c r="A9669" s="66"/>
    </row>
    <row r="9670" spans="1:1" x14ac:dyDescent="0.25">
      <c r="A9670" s="66"/>
    </row>
    <row r="9671" spans="1:1" x14ac:dyDescent="0.25">
      <c r="A9671" s="66"/>
    </row>
    <row r="9672" spans="1:1" x14ac:dyDescent="0.25">
      <c r="A9672" s="66"/>
    </row>
    <row r="9673" spans="1:1" x14ac:dyDescent="0.25">
      <c r="A9673" s="66"/>
    </row>
    <row r="9674" spans="1:1" x14ac:dyDescent="0.25">
      <c r="A9674" s="66"/>
    </row>
    <row r="9675" spans="1:1" x14ac:dyDescent="0.25">
      <c r="A9675" s="66"/>
    </row>
    <row r="9676" spans="1:1" x14ac:dyDescent="0.25">
      <c r="A9676" s="66"/>
    </row>
    <row r="9677" spans="1:1" x14ac:dyDescent="0.25">
      <c r="A9677" s="66"/>
    </row>
    <row r="9678" spans="1:1" x14ac:dyDescent="0.25">
      <c r="A9678" s="66"/>
    </row>
    <row r="9679" spans="1:1" x14ac:dyDescent="0.25">
      <c r="A9679" s="66"/>
    </row>
    <row r="9680" spans="1:1" x14ac:dyDescent="0.25">
      <c r="A9680" s="66"/>
    </row>
    <row r="9681" spans="1:1" x14ac:dyDescent="0.25">
      <c r="A9681" s="66"/>
    </row>
    <row r="9682" spans="1:1" x14ac:dyDescent="0.25">
      <c r="A9682" s="66"/>
    </row>
    <row r="9683" spans="1:1" x14ac:dyDescent="0.25">
      <c r="A9683" s="66"/>
    </row>
    <row r="9684" spans="1:1" x14ac:dyDescent="0.25">
      <c r="A9684" s="66"/>
    </row>
    <row r="9685" spans="1:1" x14ac:dyDescent="0.25">
      <c r="A9685" s="66"/>
    </row>
    <row r="9686" spans="1:1" x14ac:dyDescent="0.25">
      <c r="A9686" s="66"/>
    </row>
    <row r="9687" spans="1:1" x14ac:dyDescent="0.25">
      <c r="A9687" s="66"/>
    </row>
    <row r="9688" spans="1:1" x14ac:dyDescent="0.25">
      <c r="A9688" s="66"/>
    </row>
    <row r="9689" spans="1:1" x14ac:dyDescent="0.25">
      <c r="A9689" s="66"/>
    </row>
    <row r="9690" spans="1:1" x14ac:dyDescent="0.25">
      <c r="A9690" s="66"/>
    </row>
    <row r="9691" spans="1:1" x14ac:dyDescent="0.25">
      <c r="A9691" s="66"/>
    </row>
    <row r="9692" spans="1:1" x14ac:dyDescent="0.25">
      <c r="A9692" s="66"/>
    </row>
    <row r="9693" spans="1:1" x14ac:dyDescent="0.25">
      <c r="A9693" s="66"/>
    </row>
    <row r="9694" spans="1:1" x14ac:dyDescent="0.25">
      <c r="A9694" s="66"/>
    </row>
    <row r="9695" spans="1:1" x14ac:dyDescent="0.25">
      <c r="A9695" s="66"/>
    </row>
    <row r="9696" spans="1:1" x14ac:dyDescent="0.25">
      <c r="A9696" s="66"/>
    </row>
    <row r="9697" spans="1:1" x14ac:dyDescent="0.25">
      <c r="A9697" s="66"/>
    </row>
    <row r="9698" spans="1:1" x14ac:dyDescent="0.25">
      <c r="A9698" s="66"/>
    </row>
    <row r="9699" spans="1:1" x14ac:dyDescent="0.25">
      <c r="A9699" s="66"/>
    </row>
    <row r="9700" spans="1:1" x14ac:dyDescent="0.25">
      <c r="A9700" s="66"/>
    </row>
    <row r="9701" spans="1:1" x14ac:dyDescent="0.25">
      <c r="A9701" s="66"/>
    </row>
    <row r="9702" spans="1:1" x14ac:dyDescent="0.25">
      <c r="A9702" s="66"/>
    </row>
    <row r="9703" spans="1:1" x14ac:dyDescent="0.25">
      <c r="A9703" s="66"/>
    </row>
    <row r="9704" spans="1:1" x14ac:dyDescent="0.25">
      <c r="A9704" s="66"/>
    </row>
    <row r="9705" spans="1:1" x14ac:dyDescent="0.25">
      <c r="A9705" s="66"/>
    </row>
    <row r="9706" spans="1:1" x14ac:dyDescent="0.25">
      <c r="A9706" s="66"/>
    </row>
    <row r="9707" spans="1:1" x14ac:dyDescent="0.25">
      <c r="A9707" s="66"/>
    </row>
    <row r="9708" spans="1:1" x14ac:dyDescent="0.25">
      <c r="A9708" s="66"/>
    </row>
    <row r="9709" spans="1:1" x14ac:dyDescent="0.25">
      <c r="A9709" s="66"/>
    </row>
    <row r="9710" spans="1:1" x14ac:dyDescent="0.25">
      <c r="A9710" s="66"/>
    </row>
    <row r="9711" spans="1:1" x14ac:dyDescent="0.25">
      <c r="A9711" s="66"/>
    </row>
    <row r="9712" spans="1:1" x14ac:dyDescent="0.25">
      <c r="A9712" s="66"/>
    </row>
    <row r="9713" spans="1:1" x14ac:dyDescent="0.25">
      <c r="A9713" s="66"/>
    </row>
    <row r="9714" spans="1:1" x14ac:dyDescent="0.25">
      <c r="A9714" s="66"/>
    </row>
    <row r="9715" spans="1:1" x14ac:dyDescent="0.25">
      <c r="A9715" s="66"/>
    </row>
    <row r="9716" spans="1:1" x14ac:dyDescent="0.25">
      <c r="A9716" s="66"/>
    </row>
    <row r="9717" spans="1:1" x14ac:dyDescent="0.25">
      <c r="A9717" s="66"/>
    </row>
    <row r="9718" spans="1:1" x14ac:dyDescent="0.25">
      <c r="A9718" s="66"/>
    </row>
    <row r="9719" spans="1:1" x14ac:dyDescent="0.25">
      <c r="A9719" s="66"/>
    </row>
    <row r="9720" spans="1:1" x14ac:dyDescent="0.25">
      <c r="A9720" s="66"/>
    </row>
    <row r="9721" spans="1:1" x14ac:dyDescent="0.25">
      <c r="A9721" s="66"/>
    </row>
    <row r="9722" spans="1:1" x14ac:dyDescent="0.25">
      <c r="A9722" s="66"/>
    </row>
    <row r="9723" spans="1:1" x14ac:dyDescent="0.25">
      <c r="A9723" s="66"/>
    </row>
    <row r="9724" spans="1:1" x14ac:dyDescent="0.25">
      <c r="A9724" s="66"/>
    </row>
    <row r="9725" spans="1:1" x14ac:dyDescent="0.25">
      <c r="A9725" s="66"/>
    </row>
    <row r="9726" spans="1:1" x14ac:dyDescent="0.25">
      <c r="A9726" s="66"/>
    </row>
    <row r="9727" spans="1:1" x14ac:dyDescent="0.25">
      <c r="A9727" s="66"/>
    </row>
    <row r="9728" spans="1:1" x14ac:dyDescent="0.25">
      <c r="A9728" s="66"/>
    </row>
    <row r="9729" spans="1:1" x14ac:dyDescent="0.25">
      <c r="A9729" s="66"/>
    </row>
    <row r="9730" spans="1:1" x14ac:dyDescent="0.25">
      <c r="A9730" s="66"/>
    </row>
    <row r="9731" spans="1:1" x14ac:dyDescent="0.25">
      <c r="A9731" s="66"/>
    </row>
    <row r="9732" spans="1:1" x14ac:dyDescent="0.25">
      <c r="A9732" s="66"/>
    </row>
    <row r="9733" spans="1:1" x14ac:dyDescent="0.25">
      <c r="A9733" s="66"/>
    </row>
    <row r="9734" spans="1:1" x14ac:dyDescent="0.25">
      <c r="A9734" s="66"/>
    </row>
    <row r="9735" spans="1:1" x14ac:dyDescent="0.25">
      <c r="A9735" s="66"/>
    </row>
    <row r="9736" spans="1:1" x14ac:dyDescent="0.25">
      <c r="A9736" s="66"/>
    </row>
    <row r="9737" spans="1:1" x14ac:dyDescent="0.25">
      <c r="A9737" s="66"/>
    </row>
    <row r="9738" spans="1:1" x14ac:dyDescent="0.25">
      <c r="A9738" s="66"/>
    </row>
    <row r="9739" spans="1:1" x14ac:dyDescent="0.25">
      <c r="A9739" s="66"/>
    </row>
    <row r="9740" spans="1:1" x14ac:dyDescent="0.25">
      <c r="A9740" s="66"/>
    </row>
    <row r="9741" spans="1:1" x14ac:dyDescent="0.25">
      <c r="A9741" s="66"/>
    </row>
    <row r="9742" spans="1:1" x14ac:dyDescent="0.25">
      <c r="A9742" s="66"/>
    </row>
    <row r="9743" spans="1:1" x14ac:dyDescent="0.25">
      <c r="A9743" s="66"/>
    </row>
    <row r="9744" spans="1:1" x14ac:dyDescent="0.25">
      <c r="A9744" s="66"/>
    </row>
    <row r="9745" spans="1:1" x14ac:dyDescent="0.25">
      <c r="A9745" s="66"/>
    </row>
    <row r="9746" spans="1:1" x14ac:dyDescent="0.25">
      <c r="A9746" s="66"/>
    </row>
    <row r="9747" spans="1:1" x14ac:dyDescent="0.25">
      <c r="A9747" s="66"/>
    </row>
    <row r="9748" spans="1:1" x14ac:dyDescent="0.25">
      <c r="A9748" s="66"/>
    </row>
    <row r="9749" spans="1:1" x14ac:dyDescent="0.25">
      <c r="A9749" s="66"/>
    </row>
    <row r="9750" spans="1:1" x14ac:dyDescent="0.25">
      <c r="A9750" s="66"/>
    </row>
    <row r="9751" spans="1:1" x14ac:dyDescent="0.25">
      <c r="A9751" s="66"/>
    </row>
    <row r="9752" spans="1:1" x14ac:dyDescent="0.25">
      <c r="A9752" s="66"/>
    </row>
    <row r="9753" spans="1:1" x14ac:dyDescent="0.25">
      <c r="A9753" s="66"/>
    </row>
    <row r="9754" spans="1:1" x14ac:dyDescent="0.25">
      <c r="A9754" s="66"/>
    </row>
    <row r="9755" spans="1:1" x14ac:dyDescent="0.25">
      <c r="A9755" s="66"/>
    </row>
    <row r="9756" spans="1:1" x14ac:dyDescent="0.25">
      <c r="A9756" s="66"/>
    </row>
    <row r="9757" spans="1:1" x14ac:dyDescent="0.25">
      <c r="A9757" s="66"/>
    </row>
    <row r="9758" spans="1:1" x14ac:dyDescent="0.25">
      <c r="A9758" s="66"/>
    </row>
    <row r="9759" spans="1:1" x14ac:dyDescent="0.25">
      <c r="A9759" s="66"/>
    </row>
    <row r="9760" spans="1:1" x14ac:dyDescent="0.25">
      <c r="A9760" s="66"/>
    </row>
    <row r="9761" spans="1:1" x14ac:dyDescent="0.25">
      <c r="A9761" s="66"/>
    </row>
    <row r="9762" spans="1:1" x14ac:dyDescent="0.25">
      <c r="A9762" s="66"/>
    </row>
    <row r="9763" spans="1:1" x14ac:dyDescent="0.25">
      <c r="A9763" s="66"/>
    </row>
    <row r="9764" spans="1:1" x14ac:dyDescent="0.25">
      <c r="A9764" s="66"/>
    </row>
    <row r="9765" spans="1:1" x14ac:dyDescent="0.25">
      <c r="A9765" s="66"/>
    </row>
    <row r="9766" spans="1:1" x14ac:dyDescent="0.25">
      <c r="A9766" s="66"/>
    </row>
    <row r="9767" spans="1:1" x14ac:dyDescent="0.25">
      <c r="A9767" s="66"/>
    </row>
    <row r="9768" spans="1:1" x14ac:dyDescent="0.25">
      <c r="A9768" s="66"/>
    </row>
    <row r="9769" spans="1:1" x14ac:dyDescent="0.25">
      <c r="A9769" s="66"/>
    </row>
    <row r="9770" spans="1:1" x14ac:dyDescent="0.25">
      <c r="A9770" s="66"/>
    </row>
    <row r="9771" spans="1:1" x14ac:dyDescent="0.25">
      <c r="A9771" s="66"/>
    </row>
    <row r="9772" spans="1:1" x14ac:dyDescent="0.25">
      <c r="A9772" s="66"/>
    </row>
    <row r="9773" spans="1:1" x14ac:dyDescent="0.25">
      <c r="A9773" s="66"/>
    </row>
    <row r="9774" spans="1:1" x14ac:dyDescent="0.25">
      <c r="A9774" s="66"/>
    </row>
    <row r="9775" spans="1:1" x14ac:dyDescent="0.25">
      <c r="A9775" s="66"/>
    </row>
    <row r="9776" spans="1:1" x14ac:dyDescent="0.25">
      <c r="A9776" s="66"/>
    </row>
    <row r="9777" spans="1:1" x14ac:dyDescent="0.25">
      <c r="A9777" s="66"/>
    </row>
    <row r="9778" spans="1:1" x14ac:dyDescent="0.25">
      <c r="A9778" s="66"/>
    </row>
    <row r="9779" spans="1:1" x14ac:dyDescent="0.25">
      <c r="A9779" s="66"/>
    </row>
    <row r="9780" spans="1:1" x14ac:dyDescent="0.25">
      <c r="A9780" s="66"/>
    </row>
    <row r="9781" spans="1:1" x14ac:dyDescent="0.25">
      <c r="A9781" s="66"/>
    </row>
    <row r="9782" spans="1:1" x14ac:dyDescent="0.25">
      <c r="A9782" s="66"/>
    </row>
    <row r="9783" spans="1:1" x14ac:dyDescent="0.25">
      <c r="A9783" s="66"/>
    </row>
    <row r="9784" spans="1:1" x14ac:dyDescent="0.25">
      <c r="A9784" s="66"/>
    </row>
    <row r="9785" spans="1:1" x14ac:dyDescent="0.25">
      <c r="A9785" s="66"/>
    </row>
    <row r="9786" spans="1:1" x14ac:dyDescent="0.25">
      <c r="A9786" s="66"/>
    </row>
    <row r="9787" spans="1:1" x14ac:dyDescent="0.25">
      <c r="A9787" s="66"/>
    </row>
    <row r="9788" spans="1:1" x14ac:dyDescent="0.25">
      <c r="A9788" s="66"/>
    </row>
    <row r="9789" spans="1:1" x14ac:dyDescent="0.25">
      <c r="A9789" s="66"/>
    </row>
    <row r="9790" spans="1:1" x14ac:dyDescent="0.25">
      <c r="A9790" s="66"/>
    </row>
    <row r="9791" spans="1:1" x14ac:dyDescent="0.25">
      <c r="A9791" s="66"/>
    </row>
    <row r="9792" spans="1:1" x14ac:dyDescent="0.25">
      <c r="A9792" s="66"/>
    </row>
    <row r="9793" spans="1:1" x14ac:dyDescent="0.25">
      <c r="A9793" s="66"/>
    </row>
    <row r="9794" spans="1:1" x14ac:dyDescent="0.25">
      <c r="A9794" s="66"/>
    </row>
    <row r="9795" spans="1:1" x14ac:dyDescent="0.25">
      <c r="A9795" s="66"/>
    </row>
    <row r="9796" spans="1:1" x14ac:dyDescent="0.25">
      <c r="A9796" s="66"/>
    </row>
    <row r="9797" spans="1:1" x14ac:dyDescent="0.25">
      <c r="A9797" s="66"/>
    </row>
    <row r="9798" spans="1:1" x14ac:dyDescent="0.25">
      <c r="A9798" s="66"/>
    </row>
    <row r="9799" spans="1:1" x14ac:dyDescent="0.25">
      <c r="A9799" s="66"/>
    </row>
    <row r="9800" spans="1:1" x14ac:dyDescent="0.25">
      <c r="A9800" s="66"/>
    </row>
    <row r="9801" spans="1:1" x14ac:dyDescent="0.25">
      <c r="A9801" s="66"/>
    </row>
    <row r="9802" spans="1:1" x14ac:dyDescent="0.25">
      <c r="A9802" s="66"/>
    </row>
    <row r="9803" spans="1:1" x14ac:dyDescent="0.25">
      <c r="A9803" s="66"/>
    </row>
    <row r="9804" spans="1:1" x14ac:dyDescent="0.25">
      <c r="A9804" s="66"/>
    </row>
    <row r="9805" spans="1:1" x14ac:dyDescent="0.25">
      <c r="A9805" s="66"/>
    </row>
    <row r="9806" spans="1:1" x14ac:dyDescent="0.25">
      <c r="A9806" s="66"/>
    </row>
    <row r="9807" spans="1:1" x14ac:dyDescent="0.25">
      <c r="A9807" s="66"/>
    </row>
    <row r="9808" spans="1:1" x14ac:dyDescent="0.25">
      <c r="A9808" s="66"/>
    </row>
    <row r="9809" spans="1:1" x14ac:dyDescent="0.25">
      <c r="A9809" s="66"/>
    </row>
    <row r="9810" spans="1:1" x14ac:dyDescent="0.25">
      <c r="A9810" s="66"/>
    </row>
    <row r="9811" spans="1:1" x14ac:dyDescent="0.25">
      <c r="A9811" s="66"/>
    </row>
    <row r="9812" spans="1:1" x14ac:dyDescent="0.25">
      <c r="A9812" s="66"/>
    </row>
    <row r="9813" spans="1:1" x14ac:dyDescent="0.25">
      <c r="A9813" s="66"/>
    </row>
    <row r="9814" spans="1:1" x14ac:dyDescent="0.25">
      <c r="A9814" s="66"/>
    </row>
    <row r="9815" spans="1:1" x14ac:dyDescent="0.25">
      <c r="A9815" s="66"/>
    </row>
    <row r="9816" spans="1:1" x14ac:dyDescent="0.25">
      <c r="A9816" s="66"/>
    </row>
    <row r="9817" spans="1:1" x14ac:dyDescent="0.25">
      <c r="A9817" s="66"/>
    </row>
    <row r="9818" spans="1:1" x14ac:dyDescent="0.25">
      <c r="A9818" s="66"/>
    </row>
    <row r="9819" spans="1:1" x14ac:dyDescent="0.25">
      <c r="A9819" s="66"/>
    </row>
    <row r="9820" spans="1:1" x14ac:dyDescent="0.25">
      <c r="A9820" s="66"/>
    </row>
    <row r="9821" spans="1:1" x14ac:dyDescent="0.25">
      <c r="A9821" s="66"/>
    </row>
    <row r="9822" spans="1:1" x14ac:dyDescent="0.25">
      <c r="A9822" s="66"/>
    </row>
    <row r="9823" spans="1:1" x14ac:dyDescent="0.25">
      <c r="A9823" s="66"/>
    </row>
    <row r="9824" spans="1:1" x14ac:dyDescent="0.25">
      <c r="A9824" s="66"/>
    </row>
    <row r="9825" spans="1:1" x14ac:dyDescent="0.25">
      <c r="A9825" s="66"/>
    </row>
    <row r="9826" spans="1:1" x14ac:dyDescent="0.25">
      <c r="A9826" s="66"/>
    </row>
    <row r="9827" spans="1:1" x14ac:dyDescent="0.25">
      <c r="A9827" s="66"/>
    </row>
    <row r="9828" spans="1:1" x14ac:dyDescent="0.25">
      <c r="A9828" s="66"/>
    </row>
    <row r="9829" spans="1:1" x14ac:dyDescent="0.25">
      <c r="A9829" s="66"/>
    </row>
    <row r="9830" spans="1:1" x14ac:dyDescent="0.25">
      <c r="A9830" s="66"/>
    </row>
    <row r="9831" spans="1:1" x14ac:dyDescent="0.25">
      <c r="A9831" s="66"/>
    </row>
    <row r="9832" spans="1:1" x14ac:dyDescent="0.25">
      <c r="A9832" s="66"/>
    </row>
    <row r="9833" spans="1:1" x14ac:dyDescent="0.25">
      <c r="A9833" s="66"/>
    </row>
    <row r="9834" spans="1:1" x14ac:dyDescent="0.25">
      <c r="A9834" s="66"/>
    </row>
    <row r="9835" spans="1:1" x14ac:dyDescent="0.25">
      <c r="A9835" s="66"/>
    </row>
    <row r="9836" spans="1:1" x14ac:dyDescent="0.25">
      <c r="A9836" s="66"/>
    </row>
    <row r="9837" spans="1:1" x14ac:dyDescent="0.25">
      <c r="A9837" s="66"/>
    </row>
    <row r="9838" spans="1:1" x14ac:dyDescent="0.25">
      <c r="A9838" s="66"/>
    </row>
    <row r="9839" spans="1:1" x14ac:dyDescent="0.25">
      <c r="A9839" s="66"/>
    </row>
    <row r="9840" spans="1:1" x14ac:dyDescent="0.25">
      <c r="A9840" s="66"/>
    </row>
    <row r="9841" spans="1:1" x14ac:dyDescent="0.25">
      <c r="A9841" s="66"/>
    </row>
    <row r="9842" spans="1:1" x14ac:dyDescent="0.25">
      <c r="A9842" s="66"/>
    </row>
    <row r="9843" spans="1:1" x14ac:dyDescent="0.25">
      <c r="A9843" s="66"/>
    </row>
    <row r="9844" spans="1:1" x14ac:dyDescent="0.25">
      <c r="A9844" s="66"/>
    </row>
    <row r="9845" spans="1:1" x14ac:dyDescent="0.25">
      <c r="A9845" s="66"/>
    </row>
    <row r="9846" spans="1:1" x14ac:dyDescent="0.25">
      <c r="A9846" s="66"/>
    </row>
    <row r="9847" spans="1:1" x14ac:dyDescent="0.25">
      <c r="A9847" s="66"/>
    </row>
    <row r="9848" spans="1:1" x14ac:dyDescent="0.25">
      <c r="A9848" s="66"/>
    </row>
    <row r="9849" spans="1:1" x14ac:dyDescent="0.25">
      <c r="A9849" s="66"/>
    </row>
    <row r="9850" spans="1:1" x14ac:dyDescent="0.25">
      <c r="A9850" s="66"/>
    </row>
    <row r="9851" spans="1:1" x14ac:dyDescent="0.25">
      <c r="A9851" s="66"/>
    </row>
    <row r="9852" spans="1:1" x14ac:dyDescent="0.25">
      <c r="A9852" s="66"/>
    </row>
    <row r="9853" spans="1:1" x14ac:dyDescent="0.25">
      <c r="A9853" s="66"/>
    </row>
    <row r="9854" spans="1:1" x14ac:dyDescent="0.25">
      <c r="A9854" s="66"/>
    </row>
    <row r="9855" spans="1:1" x14ac:dyDescent="0.25">
      <c r="A9855" s="66"/>
    </row>
    <row r="9856" spans="1:1" x14ac:dyDescent="0.25">
      <c r="A9856" s="66"/>
    </row>
    <row r="9857" spans="1:1" x14ac:dyDescent="0.25">
      <c r="A9857" s="66"/>
    </row>
    <row r="9858" spans="1:1" x14ac:dyDescent="0.25">
      <c r="A9858" s="66"/>
    </row>
    <row r="9859" spans="1:1" x14ac:dyDescent="0.25">
      <c r="A9859" s="66"/>
    </row>
    <row r="9860" spans="1:1" x14ac:dyDescent="0.25">
      <c r="A9860" s="66"/>
    </row>
    <row r="9861" spans="1:1" x14ac:dyDescent="0.25">
      <c r="A9861" s="66"/>
    </row>
    <row r="9862" spans="1:1" x14ac:dyDescent="0.25">
      <c r="A9862" s="66"/>
    </row>
    <row r="9863" spans="1:1" x14ac:dyDescent="0.25">
      <c r="A9863" s="66"/>
    </row>
    <row r="9864" spans="1:1" x14ac:dyDescent="0.25">
      <c r="A9864" s="66"/>
    </row>
    <row r="9865" spans="1:1" x14ac:dyDescent="0.25">
      <c r="A9865" s="66"/>
    </row>
    <row r="9866" spans="1:1" x14ac:dyDescent="0.25">
      <c r="A9866" s="66"/>
    </row>
    <row r="9867" spans="1:1" x14ac:dyDescent="0.25">
      <c r="A9867" s="66"/>
    </row>
    <row r="9868" spans="1:1" x14ac:dyDescent="0.25">
      <c r="A9868" s="66"/>
    </row>
    <row r="9869" spans="1:1" x14ac:dyDescent="0.25">
      <c r="A9869" s="66"/>
    </row>
    <row r="9870" spans="1:1" x14ac:dyDescent="0.25">
      <c r="A9870" s="66"/>
    </row>
    <row r="9871" spans="1:1" x14ac:dyDescent="0.25">
      <c r="A9871" s="66"/>
    </row>
    <row r="9872" spans="1:1" x14ac:dyDescent="0.25">
      <c r="A9872" s="66"/>
    </row>
    <row r="9873" spans="1:1" x14ac:dyDescent="0.25">
      <c r="A9873" s="66"/>
    </row>
    <row r="9874" spans="1:1" x14ac:dyDescent="0.25">
      <c r="A9874" s="66"/>
    </row>
    <row r="9875" spans="1:1" x14ac:dyDescent="0.25">
      <c r="A9875" s="66"/>
    </row>
    <row r="9876" spans="1:1" x14ac:dyDescent="0.25">
      <c r="A9876" s="66"/>
    </row>
    <row r="9877" spans="1:1" x14ac:dyDescent="0.25">
      <c r="A9877" s="66"/>
    </row>
    <row r="9878" spans="1:1" x14ac:dyDescent="0.25">
      <c r="A9878" s="66"/>
    </row>
    <row r="9879" spans="1:1" x14ac:dyDescent="0.25">
      <c r="A9879" s="66"/>
    </row>
    <row r="9880" spans="1:1" x14ac:dyDescent="0.25">
      <c r="A9880" s="66"/>
    </row>
    <row r="9881" spans="1:1" x14ac:dyDescent="0.25">
      <c r="A9881" s="66"/>
    </row>
    <row r="9882" spans="1:1" x14ac:dyDescent="0.25">
      <c r="A9882" s="66"/>
    </row>
    <row r="9883" spans="1:1" x14ac:dyDescent="0.25">
      <c r="A9883" s="66"/>
    </row>
    <row r="9884" spans="1:1" x14ac:dyDescent="0.25">
      <c r="A9884" s="66"/>
    </row>
    <row r="9885" spans="1:1" x14ac:dyDescent="0.25">
      <c r="A9885" s="66"/>
    </row>
    <row r="9886" spans="1:1" x14ac:dyDescent="0.25">
      <c r="A9886" s="66"/>
    </row>
    <row r="9887" spans="1:1" x14ac:dyDescent="0.25">
      <c r="A9887" s="66"/>
    </row>
    <row r="9888" spans="1:1" x14ac:dyDescent="0.25">
      <c r="A9888" s="66"/>
    </row>
    <row r="9889" spans="1:1" x14ac:dyDescent="0.25">
      <c r="A9889" s="66"/>
    </row>
    <row r="9890" spans="1:1" x14ac:dyDescent="0.25">
      <c r="A9890" s="66"/>
    </row>
    <row r="9891" spans="1:1" x14ac:dyDescent="0.25">
      <c r="A9891" s="66"/>
    </row>
    <row r="9892" spans="1:1" x14ac:dyDescent="0.25">
      <c r="A9892" s="66"/>
    </row>
    <row r="9893" spans="1:1" x14ac:dyDescent="0.25">
      <c r="A9893" s="66"/>
    </row>
    <row r="9894" spans="1:1" x14ac:dyDescent="0.25">
      <c r="A9894" s="66"/>
    </row>
    <row r="9895" spans="1:1" x14ac:dyDescent="0.25">
      <c r="A9895" s="66"/>
    </row>
    <row r="9896" spans="1:1" x14ac:dyDescent="0.25">
      <c r="A9896" s="66"/>
    </row>
    <row r="9897" spans="1:1" x14ac:dyDescent="0.25">
      <c r="A9897" s="66"/>
    </row>
    <row r="9898" spans="1:1" x14ac:dyDescent="0.25">
      <c r="A9898" s="66"/>
    </row>
    <row r="9899" spans="1:1" x14ac:dyDescent="0.25">
      <c r="A9899" s="66"/>
    </row>
    <row r="9900" spans="1:1" x14ac:dyDescent="0.25">
      <c r="A9900" s="66"/>
    </row>
    <row r="9901" spans="1:1" x14ac:dyDescent="0.25">
      <c r="A9901" s="66"/>
    </row>
    <row r="9902" spans="1:1" x14ac:dyDescent="0.25">
      <c r="A9902" s="66"/>
    </row>
    <row r="9903" spans="1:1" x14ac:dyDescent="0.25">
      <c r="A9903" s="66"/>
    </row>
    <row r="9904" spans="1:1" x14ac:dyDescent="0.25">
      <c r="A9904" s="66"/>
    </row>
    <row r="9905" spans="1:1" x14ac:dyDescent="0.25">
      <c r="A9905" s="66"/>
    </row>
    <row r="9906" spans="1:1" x14ac:dyDescent="0.25">
      <c r="A9906" s="66"/>
    </row>
    <row r="9907" spans="1:1" x14ac:dyDescent="0.25">
      <c r="A9907" s="66"/>
    </row>
    <row r="9908" spans="1:1" x14ac:dyDescent="0.25">
      <c r="A9908" s="66"/>
    </row>
    <row r="9909" spans="1:1" x14ac:dyDescent="0.25">
      <c r="A9909" s="66"/>
    </row>
    <row r="9910" spans="1:1" x14ac:dyDescent="0.25">
      <c r="A9910" s="66"/>
    </row>
    <row r="9911" spans="1:1" x14ac:dyDescent="0.25">
      <c r="A9911" s="66"/>
    </row>
    <row r="9912" spans="1:1" x14ac:dyDescent="0.25">
      <c r="A9912" s="66"/>
    </row>
    <row r="9913" spans="1:1" x14ac:dyDescent="0.25">
      <c r="A9913" s="66"/>
    </row>
    <row r="9914" spans="1:1" x14ac:dyDescent="0.25">
      <c r="A9914" s="66"/>
    </row>
    <row r="9915" spans="1:1" x14ac:dyDescent="0.25">
      <c r="A9915" s="66"/>
    </row>
    <row r="9916" spans="1:1" x14ac:dyDescent="0.25">
      <c r="A9916" s="66"/>
    </row>
    <row r="9917" spans="1:1" x14ac:dyDescent="0.25">
      <c r="A9917" s="66"/>
    </row>
    <row r="9918" spans="1:1" x14ac:dyDescent="0.25">
      <c r="A9918" s="66"/>
    </row>
    <row r="9919" spans="1:1" x14ac:dyDescent="0.25">
      <c r="A9919" s="66"/>
    </row>
    <row r="9920" spans="1:1" x14ac:dyDescent="0.25">
      <c r="A9920" s="66"/>
    </row>
    <row r="9921" spans="1:1" x14ac:dyDescent="0.25">
      <c r="A9921" s="66"/>
    </row>
    <row r="9922" spans="1:1" x14ac:dyDescent="0.25">
      <c r="A9922" s="66"/>
    </row>
    <row r="9923" spans="1:1" x14ac:dyDescent="0.25">
      <c r="A9923" s="66"/>
    </row>
    <row r="9924" spans="1:1" x14ac:dyDescent="0.25">
      <c r="A9924" s="66"/>
    </row>
    <row r="9925" spans="1:1" x14ac:dyDescent="0.25">
      <c r="A9925" s="66"/>
    </row>
    <row r="9926" spans="1:1" x14ac:dyDescent="0.25">
      <c r="A9926" s="66"/>
    </row>
    <row r="9927" spans="1:1" x14ac:dyDescent="0.25">
      <c r="A9927" s="66"/>
    </row>
    <row r="9928" spans="1:1" x14ac:dyDescent="0.25">
      <c r="A9928" s="66"/>
    </row>
    <row r="9929" spans="1:1" x14ac:dyDescent="0.25">
      <c r="A9929" s="66"/>
    </row>
    <row r="9930" spans="1:1" x14ac:dyDescent="0.25">
      <c r="A9930" s="66"/>
    </row>
    <row r="9931" spans="1:1" x14ac:dyDescent="0.25">
      <c r="A9931" s="66"/>
    </row>
    <row r="9932" spans="1:1" x14ac:dyDescent="0.25">
      <c r="A9932" s="66"/>
    </row>
    <row r="9933" spans="1:1" x14ac:dyDescent="0.25">
      <c r="A9933" s="66"/>
    </row>
    <row r="9934" spans="1:1" x14ac:dyDescent="0.25">
      <c r="A9934" s="66"/>
    </row>
    <row r="9935" spans="1:1" x14ac:dyDescent="0.25">
      <c r="A9935" s="66"/>
    </row>
    <row r="9936" spans="1:1" x14ac:dyDescent="0.25">
      <c r="A9936" s="66"/>
    </row>
    <row r="9937" spans="1:1" x14ac:dyDescent="0.25">
      <c r="A9937" s="66"/>
    </row>
    <row r="9938" spans="1:1" x14ac:dyDescent="0.25">
      <c r="A9938" s="66"/>
    </row>
    <row r="9939" spans="1:1" x14ac:dyDescent="0.25">
      <c r="A9939" s="66"/>
    </row>
    <row r="9940" spans="1:1" x14ac:dyDescent="0.25">
      <c r="A9940" s="66"/>
    </row>
    <row r="9941" spans="1:1" x14ac:dyDescent="0.25">
      <c r="A9941" s="66"/>
    </row>
    <row r="9942" spans="1:1" x14ac:dyDescent="0.25">
      <c r="A9942" s="66"/>
    </row>
    <row r="9943" spans="1:1" x14ac:dyDescent="0.25">
      <c r="A9943" s="66"/>
    </row>
    <row r="9944" spans="1:1" x14ac:dyDescent="0.25">
      <c r="A9944" s="66"/>
    </row>
    <row r="9945" spans="1:1" x14ac:dyDescent="0.25">
      <c r="A9945" s="66"/>
    </row>
    <row r="9946" spans="1:1" x14ac:dyDescent="0.25">
      <c r="A9946" s="66"/>
    </row>
    <row r="9947" spans="1:1" x14ac:dyDescent="0.25">
      <c r="A9947" s="66"/>
    </row>
    <row r="9948" spans="1:1" x14ac:dyDescent="0.25">
      <c r="A9948" s="66"/>
    </row>
    <row r="9949" spans="1:1" x14ac:dyDescent="0.25">
      <c r="A9949" s="66"/>
    </row>
    <row r="9950" spans="1:1" x14ac:dyDescent="0.25">
      <c r="A9950" s="66"/>
    </row>
    <row r="9951" spans="1:1" x14ac:dyDescent="0.25">
      <c r="A9951" s="66"/>
    </row>
    <row r="9952" spans="1:1" x14ac:dyDescent="0.25">
      <c r="A9952" s="66"/>
    </row>
    <row r="9953" spans="1:1" x14ac:dyDescent="0.25">
      <c r="A9953" s="66"/>
    </row>
    <row r="9954" spans="1:1" x14ac:dyDescent="0.25">
      <c r="A9954" s="66"/>
    </row>
    <row r="9955" spans="1:1" x14ac:dyDescent="0.25">
      <c r="A9955" s="66"/>
    </row>
    <row r="9956" spans="1:1" x14ac:dyDescent="0.25">
      <c r="A9956" s="66"/>
    </row>
    <row r="9957" spans="1:1" x14ac:dyDescent="0.25">
      <c r="A9957" s="66"/>
    </row>
    <row r="9958" spans="1:1" x14ac:dyDescent="0.25">
      <c r="A9958" s="66"/>
    </row>
    <row r="9959" spans="1:1" x14ac:dyDescent="0.25">
      <c r="A9959" s="66"/>
    </row>
    <row r="9960" spans="1:1" x14ac:dyDescent="0.25">
      <c r="A9960" s="66"/>
    </row>
    <row r="9961" spans="1:1" x14ac:dyDescent="0.25">
      <c r="A9961" s="66"/>
    </row>
    <row r="9962" spans="1:1" x14ac:dyDescent="0.25">
      <c r="A9962" s="66"/>
    </row>
    <row r="9963" spans="1:1" x14ac:dyDescent="0.25">
      <c r="A9963" s="66"/>
    </row>
    <row r="9964" spans="1:1" x14ac:dyDescent="0.25">
      <c r="A9964" s="66"/>
    </row>
    <row r="9965" spans="1:1" x14ac:dyDescent="0.25">
      <c r="A9965" s="66"/>
    </row>
    <row r="9966" spans="1:1" x14ac:dyDescent="0.25">
      <c r="A9966" s="66"/>
    </row>
    <row r="9967" spans="1:1" x14ac:dyDescent="0.25">
      <c r="A9967" s="66"/>
    </row>
    <row r="9968" spans="1:1" x14ac:dyDescent="0.25">
      <c r="A9968" s="66"/>
    </row>
    <row r="9969" spans="1:1" x14ac:dyDescent="0.25">
      <c r="A9969" s="66"/>
    </row>
    <row r="9970" spans="1:1" x14ac:dyDescent="0.25">
      <c r="A9970" s="66"/>
    </row>
    <row r="9971" spans="1:1" x14ac:dyDescent="0.25">
      <c r="A9971" s="66"/>
    </row>
    <row r="9972" spans="1:1" x14ac:dyDescent="0.25">
      <c r="A9972" s="66"/>
    </row>
    <row r="9973" spans="1:1" x14ac:dyDescent="0.25">
      <c r="A9973" s="66"/>
    </row>
    <row r="9974" spans="1:1" x14ac:dyDescent="0.25">
      <c r="A9974" s="66"/>
    </row>
    <row r="9975" spans="1:1" x14ac:dyDescent="0.25">
      <c r="A9975" s="66"/>
    </row>
    <row r="9976" spans="1:1" x14ac:dyDescent="0.25">
      <c r="A9976" s="66"/>
    </row>
    <row r="9977" spans="1:1" x14ac:dyDescent="0.25">
      <c r="A9977" s="66"/>
    </row>
    <row r="9978" spans="1:1" x14ac:dyDescent="0.25">
      <c r="A9978" s="66"/>
    </row>
    <row r="9979" spans="1:1" x14ac:dyDescent="0.25">
      <c r="A9979" s="66"/>
    </row>
    <row r="9980" spans="1:1" x14ac:dyDescent="0.25">
      <c r="A9980" s="66"/>
    </row>
    <row r="9981" spans="1:1" x14ac:dyDescent="0.25">
      <c r="A9981" s="66"/>
    </row>
    <row r="9982" spans="1:1" x14ac:dyDescent="0.25">
      <c r="A9982" s="66"/>
    </row>
    <row r="9983" spans="1:1" x14ac:dyDescent="0.25">
      <c r="A9983" s="66"/>
    </row>
    <row r="9984" spans="1:1" x14ac:dyDescent="0.25">
      <c r="A9984" s="66"/>
    </row>
    <row r="9985" spans="1:1" x14ac:dyDescent="0.25">
      <c r="A9985" s="66"/>
    </row>
    <row r="9986" spans="1:1" x14ac:dyDescent="0.25">
      <c r="A9986" s="66"/>
    </row>
    <row r="9987" spans="1:1" x14ac:dyDescent="0.25">
      <c r="A9987" s="66"/>
    </row>
    <row r="9988" spans="1:1" x14ac:dyDescent="0.25">
      <c r="A9988" s="66"/>
    </row>
    <row r="9989" spans="1:1" x14ac:dyDescent="0.25">
      <c r="A9989" s="66"/>
    </row>
    <row r="9990" spans="1:1" x14ac:dyDescent="0.25">
      <c r="A9990" s="66"/>
    </row>
    <row r="9991" spans="1:1" x14ac:dyDescent="0.25">
      <c r="A9991" s="66"/>
    </row>
    <row r="9992" spans="1:1" x14ac:dyDescent="0.25">
      <c r="A9992" s="66"/>
    </row>
    <row r="9993" spans="1:1" x14ac:dyDescent="0.25">
      <c r="A9993" s="66"/>
    </row>
    <row r="9994" spans="1:1" x14ac:dyDescent="0.25">
      <c r="A9994" s="66"/>
    </row>
    <row r="9995" spans="1:1" x14ac:dyDescent="0.25">
      <c r="A9995" s="66"/>
    </row>
    <row r="9996" spans="1:1" x14ac:dyDescent="0.25">
      <c r="A9996" s="66"/>
    </row>
    <row r="9997" spans="1:1" x14ac:dyDescent="0.25">
      <c r="A9997" s="66"/>
    </row>
    <row r="9998" spans="1:1" x14ac:dyDescent="0.25">
      <c r="A9998" s="66"/>
    </row>
    <row r="9999" spans="1:1" x14ac:dyDescent="0.25">
      <c r="A9999" s="66"/>
    </row>
    <row r="10000" spans="1:1" x14ac:dyDescent="0.25">
      <c r="A10000" s="66"/>
    </row>
  </sheetData>
  <autoFilter ref="A19:L27"/>
  <dataValidations disablePrompts="1" count="1">
    <dataValidation type="list" allowBlank="1" showInputMessage="1" showErrorMessage="1" sqref="D20:D10000">
      <formula1>OtherActivity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Summary</vt:lpstr>
      <vt:lpstr>Update Allocation</vt:lpstr>
      <vt:lpstr>Priority Updates</vt:lpstr>
      <vt:lpstr>Client Queries</vt:lpstr>
      <vt:lpstr>New Projects | News Review</vt:lpstr>
      <vt:lpstr>Primary Support | OtherActivity</vt:lpstr>
      <vt:lpstr>cicActivityType</vt:lpstr>
      <vt:lpstr>News</vt:lpstr>
      <vt:lpstr>OtherActivity</vt:lpstr>
      <vt:lpstr>Parent</vt:lpstr>
      <vt:lpstr>ProfileType</vt:lpstr>
      <vt:lpstr>Program</vt:lpstr>
      <vt:lpstr>Status</vt:lpstr>
      <vt:lpstr>Sub</vt:lpstr>
      <vt:lpstr>UpdateType</vt:lpstr>
      <vt:lpstr>UserMail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2018-08-09T14:25:18Z</dcterms:created>
  <dcterms:modified xsi:type="dcterms:W3CDTF">2018-11-20T12:40:21Z</dcterms:modified>
</cp:coreProperties>
</file>