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9020" windowHeight="11760"/>
  </bookViews>
  <sheets>
    <sheet name="Main" sheetId="5" r:id="rId1"/>
    <sheet name="Allocation" sheetId="1" r:id="rId2"/>
    <sheet name="Ref." sheetId="2" state="veryHidden" r:id="rId3"/>
    <sheet name="Temp1" sheetId="3" r:id="rId4"/>
    <sheet name="Temp2" sheetId="4" r:id="rId5"/>
    <sheet name="Temp" sheetId="6" state="hidden" r:id="rId6"/>
  </sheets>
  <externalReferences>
    <externalReference r:id="rId7"/>
  </externalReferences>
  <definedNames>
    <definedName name="_xlnm._FilterDatabase" localSheetId="1" hidden="1">Allocation!$A$19:$BD$999</definedName>
    <definedName name="EmpD">[1]Sheet1!#REF!</definedName>
    <definedName name="UserForm">[1]Sheet1!#REF!</definedName>
  </definedNames>
  <calcPr calcId="144525"/>
</workbook>
</file>

<file path=xl/calcChain.xml><?xml version="1.0" encoding="utf-8"?>
<calcChain xmlns="http://schemas.openxmlformats.org/spreadsheetml/2006/main">
  <c r="AO7" i="1" l="1"/>
  <c r="AO3" i="1"/>
  <c r="AO4" i="1"/>
  <c r="AO5" i="1"/>
  <c r="AO6" i="1"/>
  <c r="AO2" i="1"/>
  <c r="B1" i="1" l="1"/>
</calcChain>
</file>

<file path=xl/sharedStrings.xml><?xml version="1.0" encoding="utf-8"?>
<sst xmlns="http://schemas.openxmlformats.org/spreadsheetml/2006/main" count="131" uniqueCount="102">
  <si>
    <t>IN ORDER TO RUN THIS FILE 
You must enable macros in Excel from the Message Bar</t>
  </si>
  <si>
    <r>
      <t>If you open an Excel document that contains macros, you'll see the yellow </t>
    </r>
    <r>
      <rPr>
        <i/>
        <sz val="15.4"/>
        <color rgb="FF000000"/>
        <rFont val="Arial"/>
        <family val="2"/>
      </rPr>
      <t>Message Bar</t>
    </r>
    <r>
      <rPr>
        <sz val="15.4"/>
        <color rgb="FF000000"/>
        <rFont val="Arial"/>
        <family val="2"/>
      </rPr>
      <t> with a shield icon and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button.</t>
    </r>
  </si>
  <si>
    <r>
      <t>If you are sure, the macros are from a trustworthy source, just press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 on the bar.</t>
    </r>
  </si>
  <si>
    <t>The file will be opened as a trusted document and the security warning will disappear.</t>
  </si>
  <si>
    <t xml:space="preserve"> =IF($F20&gt;1000,"&gt;US$1000 million",IF($F20&lt;500,"&lt;US$500 million","US$500-1000 million"))</t>
  </si>
  <si>
    <t xml:space="preserve"> =TODAY()-$T20</t>
  </si>
  <si>
    <t xml:space="preserve"> =ROUNDUP($AP20/30,0)</t>
  </si>
  <si>
    <t xml:space="preserve"> =IFERROR(IF($AT20&gt;$T20,TODAY()-$AT20,""),"")</t>
  </si>
  <si>
    <t>ProjectID</t>
  </si>
  <si>
    <t>Parent ProjectID</t>
  </si>
  <si>
    <t>Ultimate Parent ID</t>
  </si>
  <si>
    <t>Project Name</t>
  </si>
  <si>
    <t>Project ProfileType</t>
  </si>
  <si>
    <t>Project Units</t>
  </si>
  <si>
    <t>Project Status</t>
  </si>
  <si>
    <t>Start Quater</t>
  </si>
  <si>
    <t>Start Year</t>
  </si>
  <si>
    <t>End Quater</t>
  </si>
  <si>
    <t>End Year</t>
  </si>
  <si>
    <t>Region</t>
  </si>
  <si>
    <t>Country</t>
  </si>
  <si>
    <t>State</t>
  </si>
  <si>
    <t>City</t>
  </si>
  <si>
    <t>Created Date</t>
  </si>
  <si>
    <t>Updated By</t>
  </si>
  <si>
    <t>PublishType</t>
  </si>
  <si>
    <t>QC/PublishedBy</t>
  </si>
  <si>
    <t>Published Date</t>
  </si>
  <si>
    <t>Next Review Date</t>
  </si>
  <si>
    <t>Production Type</t>
  </si>
  <si>
    <t>New/Update Project</t>
  </si>
  <si>
    <t>Construction Start Date</t>
  </si>
  <si>
    <t>Construction StartQuarter</t>
  </si>
  <si>
    <t>Construction Startyear</t>
  </si>
  <si>
    <t>LocationType</t>
  </si>
  <si>
    <t>Sites</t>
  </si>
  <si>
    <t>Funding Mode</t>
  </si>
  <si>
    <t>Primary Taxonomy</t>
  </si>
  <si>
    <t>Secondary Taxonomy</t>
  </si>
  <si>
    <t>TypeOfConstruction</t>
  </si>
  <si>
    <t>ConcessionType</t>
  </si>
  <si>
    <t>Concession Duration</t>
  </si>
  <si>
    <t>Sector</t>
  </si>
  <si>
    <t>IsNoFurtherUpdate</t>
  </si>
  <si>
    <t>IsNoFurtherUpdate2</t>
  </si>
  <si>
    <t>Ulti Sector</t>
  </si>
  <si>
    <t>New Sector Considered</t>
  </si>
  <si>
    <t>Value Range</t>
  </si>
  <si>
    <t>Stage</t>
  </si>
  <si>
    <t>Age in days</t>
  </si>
  <si>
    <t>Age in Months</t>
  </si>
  <si>
    <t>NFU</t>
  </si>
  <si>
    <t>Priority</t>
  </si>
  <si>
    <t>Updated Date</t>
  </si>
  <si>
    <t>Update Type</t>
  </si>
  <si>
    <t>Pending Days</t>
  </si>
  <si>
    <t>Alloc.  Date</t>
  </si>
  <si>
    <t>to Emp ID</t>
  </si>
  <si>
    <t>to Emp Name</t>
  </si>
  <si>
    <t>Column1</t>
  </si>
  <si>
    <t>Column2</t>
  </si>
  <si>
    <t>Column3</t>
  </si>
  <si>
    <t>Execution</t>
  </si>
  <si>
    <t>Late Stage</t>
  </si>
  <si>
    <t>Construction Complete</t>
  </si>
  <si>
    <t>Archive</t>
  </si>
  <si>
    <t>Design</t>
  </si>
  <si>
    <t>Mid Stage</t>
  </si>
  <si>
    <t>Cancelled</t>
  </si>
  <si>
    <t>Planning</t>
  </si>
  <si>
    <t>Early Stage</t>
  </si>
  <si>
    <t>Pre-Tender</t>
  </si>
  <si>
    <t>EPC Award</t>
  </si>
  <si>
    <t>Tender</t>
  </si>
  <si>
    <t>On Hold</t>
  </si>
  <si>
    <t>Pre-Design</t>
  </si>
  <si>
    <t>Announced</t>
  </si>
  <si>
    <t>No Further Update</t>
  </si>
  <si>
    <t>Study</t>
  </si>
  <si>
    <t>Update From User Master</t>
  </si>
  <si>
    <t xml:space="preserve"> =IF(IFERROR(VLOOKUP($G20,Ref.!$E$4:$F$15,1,TRUE),0)=$G20,VLOOKUP($G20,Ref.!$E$4:$F$15,2,TRUE),"")</t>
  </si>
  <si>
    <t xml:space="preserve"> =IF(IFERROR(VLOOKUP($A20,Ref.!$E:$E,1,TRUE),"No")=$A20,"Yes","No")</t>
  </si>
  <si>
    <t xml:space="preserve"> =IF(IFERROR(VLOOKUP($A20,Ref.!$B:$B,1,TRUE)=$A20,""),VLOOKUP($A20,Ref.!$B:$C,2,TRUE),"")</t>
  </si>
  <si>
    <t xml:space="preserve"> =IF(IFERROR(VLOOKUP($A20,Ref.!$B:$B,1,TRUE)=$A20,""),VLOOKUP($A20,Ref.!$B:$D,3,TRUE),"")</t>
  </si>
  <si>
    <t>Target</t>
  </si>
  <si>
    <t>Delay</t>
  </si>
  <si>
    <t>Reasonable delay</t>
  </si>
  <si>
    <t>Critical</t>
  </si>
  <si>
    <t>Super Critical</t>
  </si>
  <si>
    <t>Total</t>
  </si>
  <si>
    <t>`</t>
  </si>
  <si>
    <t>Total Projects</t>
  </si>
  <si>
    <t>Column4</t>
  </si>
  <si>
    <t>Column5</t>
  </si>
  <si>
    <t xml:space="preserve"> =IFERROR(IF(VLOOKUP($A20,Temp!$A:$A,1,TRUE)=$A20,VLOOKUP($A20,Temp!$A:$C,3,TRUE),""),"")</t>
  </si>
  <si>
    <t xml:space="preserve"> =IFERROR(IF(VLOOKUP($A20,Temp!$A:$A,1,TRUE)=$A20,VLOOKUP($A20,Temp!$A:$D,4,TRUE),""),"")</t>
  </si>
  <si>
    <t xml:space="preserve"> =IFERROR(IF(VLOOKUP($A20,Temp!$A:$A,1,TRUE)=$A20,VLOOKUP($A20,Temp!$A:$E,5,TRUE),""),"")</t>
  </si>
  <si>
    <t xml:space="preserve"> =IFERROR(IF(VLOOKUP($A20,Temp!$A:$A,1,TRUE)=$A20,VLOOKUP($A20,Temp!$A:$F,6,TRUE),""),"")</t>
  </si>
  <si>
    <t xml:space="preserve"> =IFERROR(IF(VLOOKUP($A20,Temp!$A:$A,1,TRUE)=$A20,VLOOKUP($A20,Temp!$A:$G,7,TRUE),""),"")</t>
  </si>
  <si>
    <t xml:space="preserve"> =IFERROR(IF(VLOOKUP($A20,Temp!$A:$A,1,TRUE)=$A20,VLOOKUP($A20,Temp!$A:$H,8,TRUE),""),"")</t>
  </si>
  <si>
    <t xml:space="preserve"> =IFERROR(IF(VLOOKUP($A20,Temp!$A:$A,1,TRUE)=$A20,VLOOKUP($A20,Temp!$A:$I,9,TRUE),""),"")</t>
  </si>
  <si>
    <t xml:space="preserve"> =IFERROR(IF(VLOOKUP($A20,Temp!$A:$A,1,TRUE)=$A20,VLOOKUP($A20,Temp!$A:$B,2,TRUE),""),"")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</si>
</sst>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29.7"/>
      <color rgb="FF000000"/>
      <name val="Arial"/>
      <family val="2"/>
    </font>
    <font>
      <sz val="15.4"/>
      <color rgb="FF000000"/>
      <name val="Arial"/>
      <family val="2"/>
    </font>
    <font>
      <i/>
      <sz val="15.4"/>
      <color rgb="FF000000"/>
      <name val="Arial"/>
      <family val="2"/>
    </font>
    <font>
      <sz val="10"/>
      <color theme="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indexed="1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 applyAlignment="1">
      <alignment vertical="center"/>
    </xf>
    <xf numFmtId="0" fontId="8" fillId="6" borderId="1" xfId="0" applyFont="1" applyFill="1" applyBorder="1"/>
    <xf numFmtId="0" fontId="0" fillId="0" borderId="2" xfId="0" applyBorder="1" applyAlignment="1">
      <alignment horizontal="fill"/>
    </xf>
    <xf numFmtId="0" fontId="7" fillId="6" borderId="1" xfId="0" applyFont="1" applyFill="1" applyBorder="1"/>
    <xf numFmtId="0" fontId="0" fillId="0" borderId="1" xfId="0" applyBorder="1" applyAlignment="1">
      <alignment horizontal="fill"/>
    </xf>
    <xf numFmtId="0" fontId="0" fillId="0" borderId="1" xfId="0" applyBorder="1"/>
    <xf numFmtId="14" fontId="0" fillId="0" borderId="1" xfId="0" applyNumberFormat="1" applyFill="1" applyBorder="1" applyAlignment="1">
      <alignment horizontal="fill"/>
    </xf>
    <xf numFmtId="0" fontId="0" fillId="0" borderId="1" xfId="0" applyFill="1" applyBorder="1" applyAlignment="1">
      <alignment horizontal="fill"/>
    </xf>
    <xf numFmtId="0" fontId="0" fillId="0" borderId="0" xfId="0" applyAlignment="1">
      <alignment horizontal="left"/>
    </xf>
    <xf numFmtId="0" fontId="0" fillId="0" borderId="0" xfId="0" applyProtection="1">
      <protection locked="0"/>
    </xf>
    <xf numFmtId="14" fontId="0" fillId="0" borderId="0" xfId="0" applyNumberFormat="1"/>
    <xf numFmtId="14" fontId="7" fillId="2" borderId="1" xfId="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Protection="1"/>
    <xf numFmtId="0" fontId="5" fillId="3" borderId="2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0" fillId="5" borderId="2" xfId="0" applyFill="1" applyBorder="1"/>
    <xf numFmtId="0" fontId="0" fillId="5" borderId="4" xfId="0" applyFill="1" applyBorder="1"/>
    <xf numFmtId="0" fontId="0" fillId="5" borderId="5" xfId="0" applyFill="1" applyBorder="1"/>
    <xf numFmtId="0" fontId="6" fillId="4" borderId="2" xfId="0" applyFont="1" applyFill="1" applyBorder="1"/>
    <xf numFmtId="0" fontId="6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14" fontId="0" fillId="0" borderId="0" xfId="0" applyNumberFormat="1" applyProtection="1">
      <protection locked="0"/>
    </xf>
    <xf numFmtId="0" fontId="4" fillId="2" borderId="6" xfId="0" applyFont="1" applyFill="1" applyBorder="1" applyAlignment="1">
      <alignment horizontal="center" vertical="center" wrapText="1"/>
    </xf>
    <xf numFmtId="0" fontId="0" fillId="0" borderId="0" xfId="0" applyNumberFormat="1"/>
    <xf numFmtId="0" fontId="4" fillId="2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fill"/>
    </xf>
    <xf numFmtId="0" fontId="0" fillId="0" borderId="1" xfId="0" applyNumberFormat="1" applyBorder="1" applyAlignment="1">
      <alignment horizontal="fill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19</xdr:row>
      <xdr:rowOff>85725</xdr:rowOff>
    </xdr:from>
    <xdr:to>
      <xdr:col>14</xdr:col>
      <xdr:colOff>257175</xdr:colOff>
      <xdr:row>26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57247" b="73958"/>
        <a:stretch>
          <a:fillRect/>
        </a:stretch>
      </xdr:blipFill>
      <xdr:spPr bwMode="auto">
        <a:xfrm>
          <a:off x="3228975" y="4657725"/>
          <a:ext cx="5562600" cy="1905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85725</xdr:colOff>
      <xdr:row>27</xdr:row>
      <xdr:rowOff>180975</xdr:rowOff>
    </xdr:from>
    <xdr:to>
      <xdr:col>13</xdr:col>
      <xdr:colOff>390525</xdr:colOff>
      <xdr:row>49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32430" t="19792" r="32431" b="23958"/>
        <a:stretch>
          <a:fillRect/>
        </a:stretch>
      </xdr:blipFill>
      <xdr:spPr bwMode="auto">
        <a:xfrm>
          <a:off x="3743325" y="6810375"/>
          <a:ext cx="4572000" cy="411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495300</xdr:colOff>
      <xdr:row>0</xdr:row>
      <xdr:rowOff>76200</xdr:rowOff>
    </xdr:from>
    <xdr:to>
      <xdr:col>19</xdr:col>
      <xdr:colOff>85726</xdr:colOff>
      <xdr:row>14</xdr:row>
      <xdr:rowOff>76200</xdr:rowOff>
    </xdr:to>
    <xdr:grpSp>
      <xdr:nvGrpSpPr>
        <xdr:cNvPr id="4" name="Group 3"/>
        <xdr:cNvGrpSpPr/>
      </xdr:nvGrpSpPr>
      <xdr:grpSpPr>
        <a:xfrm>
          <a:off x="1104900" y="76200"/>
          <a:ext cx="10563226" cy="2667000"/>
          <a:chOff x="1933574" y="57150"/>
          <a:chExt cx="10563226" cy="2667000"/>
        </a:xfrm>
      </xdr:grpSpPr>
      <xdr:pic>
        <xdr:nvPicPr>
          <xdr:cNvPr id="5" name="Picture 4" descr="main(32).jpg"/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t="29332" b="22696"/>
          <a:stretch>
            <a:fillRect/>
          </a:stretch>
        </xdr:blipFill>
        <xdr:spPr>
          <a:xfrm>
            <a:off x="1933574" y="57150"/>
            <a:ext cx="10563226" cy="2667000"/>
          </a:xfrm>
          <a:prstGeom prst="rect">
            <a:avLst/>
          </a:prstGeom>
        </xdr:spPr>
      </xdr:pic>
      <xdr:grpSp>
        <xdr:nvGrpSpPr>
          <xdr:cNvPr id="6" name="Group 8"/>
          <xdr:cNvGrpSpPr/>
        </xdr:nvGrpSpPr>
        <xdr:grpSpPr>
          <a:xfrm>
            <a:off x="6819899" y="171450"/>
            <a:ext cx="5581650" cy="819150"/>
            <a:chOff x="6819899" y="171450"/>
            <a:chExt cx="5581650" cy="819150"/>
          </a:xfrm>
        </xdr:grpSpPr>
        <xdr:sp macro="" textlink="">
          <xdr:nvSpPr>
            <xdr:cNvPr id="7" name="Rectangle 3"/>
            <xdr:cNvSpPr/>
          </xdr:nvSpPr>
          <xdr:spPr>
            <a:xfrm>
              <a:off x="6819899" y="171450"/>
              <a:ext cx="5581650" cy="81915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pic>
          <xdr:nvPicPr>
            <xdr:cNvPr id="8" name="Picture 7" descr="Construction_IC_Logo_800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6838949" y="200026"/>
              <a:ext cx="3552825" cy="768298"/>
            </a:xfrm>
            <a:prstGeom prst="rect">
              <a:avLst/>
            </a:prstGeom>
          </xdr:spPr>
        </xdr:pic>
        <xdr:pic>
          <xdr:nvPicPr>
            <xdr:cNvPr id="9" name="Picture 8" descr="timetric_logo_footer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0925174" y="600075"/>
              <a:ext cx="1174990" cy="254817"/>
            </a:xfrm>
            <a:prstGeom prst="rect">
              <a:avLst/>
            </a:prstGeom>
          </xdr:spPr>
        </xdr:pic>
        <xdr:sp macro="" textlink="">
          <xdr:nvSpPr>
            <xdr:cNvPr id="10" name="TextBox 9"/>
            <xdr:cNvSpPr txBox="1"/>
          </xdr:nvSpPr>
          <xdr:spPr>
            <a:xfrm>
              <a:off x="11077574" y="285750"/>
              <a:ext cx="895349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square" rtlCol="0" anchor="t">
              <a:noAutofit/>
            </a:bodyPr>
            <a:lstStyle/>
            <a:p>
              <a:r>
                <a:rPr lang="en-US" sz="1100" b="1"/>
                <a:t>Powered</a:t>
              </a:r>
              <a:r>
                <a:rPr lang="en-US" sz="1100" b="1" baseline="0"/>
                <a:t> By</a:t>
              </a:r>
              <a:endParaRPr lang="en-US" sz="1100" b="1"/>
            </a:p>
          </xdr:txBody>
        </xdr:sp>
        <xdr:cxnSp macro="">
          <xdr:nvCxnSpPr>
            <xdr:cNvPr id="11" name="Straight Connector 10"/>
            <xdr:cNvCxnSpPr/>
          </xdr:nvCxnSpPr>
          <xdr:spPr>
            <a:xfrm>
              <a:off x="10639424" y="295275"/>
              <a:ext cx="0" cy="590550"/>
            </a:xfrm>
            <a:prstGeom prst="line">
              <a:avLst/>
            </a:prstGeom>
            <a:ln w="38100">
              <a:solidFill>
                <a:schemeClr val="tx2">
                  <a:lumMod val="75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2</xdr:row>
      <xdr:rowOff>46048</xdr:rowOff>
    </xdr:from>
    <xdr:to>
      <xdr:col>1</xdr:col>
      <xdr:colOff>571501</xdr:colOff>
      <xdr:row>5</xdr:row>
      <xdr:rowOff>142551</xdr:rowOff>
    </xdr:to>
    <xdr:grpSp>
      <xdr:nvGrpSpPr>
        <xdr:cNvPr id="2" name="Group 1"/>
        <xdr:cNvGrpSpPr/>
      </xdr:nvGrpSpPr>
      <xdr:grpSpPr>
        <a:xfrm>
          <a:off x="666750" y="427048"/>
          <a:ext cx="514351" cy="668003"/>
          <a:chOff x="14049374" y="436897"/>
          <a:chExt cx="514351" cy="668003"/>
        </a:xfrm>
      </xdr:grpSpPr>
      <xdr:pic macro="[0]!cmbUpdate">
        <xdr:nvPicPr>
          <xdr:cNvPr id="3" name="Picture 2" descr="C:\Documents and Settings\gsantosh\My Documents\Downloads\Icons\update_file-51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14114795" y="436897"/>
            <a:ext cx="439403" cy="439403"/>
          </a:xfrm>
          <a:prstGeom prst="rect">
            <a:avLst/>
          </a:prstGeom>
          <a:noFill/>
        </xdr:spPr>
      </xdr:pic>
      <xdr:sp macro="[0]!cmbUpdate" textlink="">
        <xdr:nvSpPr>
          <xdr:cNvPr id="4" name="TextBox 7"/>
          <xdr:cNvSpPr txBox="1"/>
        </xdr:nvSpPr>
        <xdr:spPr>
          <a:xfrm>
            <a:off x="14049374" y="876300"/>
            <a:ext cx="514351" cy="22860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800" b="1"/>
              <a:t>Update</a:t>
            </a:r>
          </a:p>
        </xdr:txBody>
      </xdr:sp>
    </xdr:grpSp>
    <xdr:clientData/>
  </xdr:twoCellAnchor>
  <xdr:twoCellAnchor editAs="absolute">
    <xdr:from>
      <xdr:col>2</xdr:col>
      <xdr:colOff>57151</xdr:colOff>
      <xdr:row>2</xdr:row>
      <xdr:rowOff>9525</xdr:rowOff>
    </xdr:from>
    <xdr:to>
      <xdr:col>2</xdr:col>
      <xdr:colOff>584860</xdr:colOff>
      <xdr:row>5</xdr:row>
      <xdr:rowOff>129395</xdr:rowOff>
    </xdr:to>
    <xdr:grpSp>
      <xdr:nvGrpSpPr>
        <xdr:cNvPr id="5" name="Group 4"/>
        <xdr:cNvGrpSpPr/>
      </xdr:nvGrpSpPr>
      <xdr:grpSpPr>
        <a:xfrm>
          <a:off x="1276351" y="390525"/>
          <a:ext cx="527709" cy="691370"/>
          <a:chOff x="14506575" y="400374"/>
          <a:chExt cx="527709" cy="691370"/>
        </a:xfrm>
      </xdr:grpSpPr>
      <xdr:pic macro="[0]!cmdRefresh">
        <xdr:nvPicPr>
          <xdr:cNvPr id="6" name="Picture 5" descr="C:\Documents and Settings\gsantosh\My Documents\Downloads\Icons\paint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14516423" y="400374"/>
            <a:ext cx="475926" cy="475926"/>
          </a:xfrm>
          <a:prstGeom prst="rect">
            <a:avLst/>
          </a:prstGeom>
          <a:noFill/>
        </xdr:spPr>
      </xdr:pic>
      <xdr:sp macro="[0]!cmdRefresh" textlink="">
        <xdr:nvSpPr>
          <xdr:cNvPr id="7" name="TextBox 9"/>
          <xdr:cNvSpPr txBox="1"/>
        </xdr:nvSpPr>
        <xdr:spPr>
          <a:xfrm>
            <a:off x="14506575" y="876300"/>
            <a:ext cx="5277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Refresh </a:t>
            </a: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44374</xdr:rowOff>
    </xdr:from>
    <xdr:to>
      <xdr:col>1</xdr:col>
      <xdr:colOff>12192</xdr:colOff>
      <xdr:row>5</xdr:row>
      <xdr:rowOff>113976</xdr:rowOff>
    </xdr:to>
    <xdr:grpSp>
      <xdr:nvGrpSpPr>
        <xdr:cNvPr id="8" name="Group 7"/>
        <xdr:cNvGrpSpPr/>
      </xdr:nvGrpSpPr>
      <xdr:grpSpPr>
        <a:xfrm>
          <a:off x="0" y="425374"/>
          <a:ext cx="621792" cy="641102"/>
          <a:chOff x="13469489" y="435223"/>
          <a:chExt cx="621792" cy="641102"/>
        </a:xfrm>
      </xdr:grpSpPr>
      <xdr:pic macro="[0]!cmdDownload">
        <xdr:nvPicPr>
          <xdr:cNvPr id="9" name="Picture 8" descr="C:\Documents and Settings\gsantosh\My Documents\Downloads\Icons\Uploade and Download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48000"/>
          <a:stretch>
            <a:fillRect/>
          </a:stretch>
        </xdr:blipFill>
        <xdr:spPr bwMode="auto">
          <a:xfrm>
            <a:off x="13535025" y="435223"/>
            <a:ext cx="467864" cy="449869"/>
          </a:xfrm>
          <a:prstGeom prst="rect">
            <a:avLst/>
          </a:prstGeom>
          <a:noFill/>
        </xdr:spPr>
      </xdr:pic>
      <xdr:sp macro="[0]!cmdDownload" textlink="">
        <xdr:nvSpPr>
          <xdr:cNvPr id="10" name="TextBox 13"/>
          <xdr:cNvSpPr txBox="1"/>
        </xdr:nvSpPr>
        <xdr:spPr>
          <a:xfrm>
            <a:off x="13469489" y="876300"/>
            <a:ext cx="621792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Download</a:t>
            </a:r>
          </a:p>
        </xdr:txBody>
      </xdr:sp>
    </xdr:grpSp>
    <xdr:clientData/>
  </xdr:twoCellAnchor>
  <xdr:twoCellAnchor editAs="absolute">
    <xdr:from>
      <xdr:col>3</xdr:col>
      <xdr:colOff>38100</xdr:colOff>
      <xdr:row>0</xdr:row>
      <xdr:rowOff>19050</xdr:rowOff>
    </xdr:from>
    <xdr:to>
      <xdr:col>18</xdr:col>
      <xdr:colOff>523875</xdr:colOff>
      <xdr:row>7</xdr:row>
      <xdr:rowOff>180975</xdr:rowOff>
    </xdr:to>
    <xdr:grpSp>
      <xdr:nvGrpSpPr>
        <xdr:cNvPr id="11" name="Group 10"/>
        <xdr:cNvGrpSpPr/>
      </xdr:nvGrpSpPr>
      <xdr:grpSpPr>
        <a:xfrm>
          <a:off x="1866900" y="19050"/>
          <a:ext cx="10306050" cy="1495425"/>
          <a:chOff x="1857375" y="28575"/>
          <a:chExt cx="9715500" cy="1495425"/>
        </a:xfrm>
      </xdr:grpSpPr>
      <xdr:grpSp>
        <xdr:nvGrpSpPr>
          <xdr:cNvPr id="12" name="Group 23"/>
          <xdr:cNvGrpSpPr/>
        </xdr:nvGrpSpPr>
        <xdr:grpSpPr>
          <a:xfrm>
            <a:off x="1857375" y="28575"/>
            <a:ext cx="9715500" cy="1495425"/>
            <a:chOff x="1828800" y="0"/>
            <a:chExt cx="9486904" cy="1504949"/>
          </a:xfrm>
        </xdr:grpSpPr>
        <xdr:pic>
          <xdr:nvPicPr>
            <xdr:cNvPr id="16" name="Picture 15" descr="main(32).jpg"/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t="29332" b="22696"/>
            <a:stretch>
              <a:fillRect/>
            </a:stretch>
          </xdr:blipFill>
          <xdr:spPr>
            <a:xfrm flipH="1">
              <a:off x="1828800" y="0"/>
              <a:ext cx="9486904" cy="1504949"/>
            </a:xfrm>
            <a:prstGeom prst="rect">
              <a:avLst/>
            </a:prstGeom>
            <a:ln>
              <a:noFill/>
            </a:ln>
          </xdr:spPr>
        </xdr:pic>
        <xdr:grpSp>
          <xdr:nvGrpSpPr>
            <xdr:cNvPr id="17" name="Group 2"/>
            <xdr:cNvGrpSpPr/>
          </xdr:nvGrpSpPr>
          <xdr:grpSpPr>
            <a:xfrm>
              <a:off x="4962528" y="36992"/>
              <a:ext cx="2532085" cy="353533"/>
              <a:chOff x="5400673" y="210854"/>
              <a:chExt cx="4621836" cy="645306"/>
            </a:xfrm>
          </xdr:grpSpPr>
          <xdr:sp macro="" textlink="">
            <xdr:nvSpPr>
              <xdr:cNvPr id="18" name="Rectangle 3"/>
              <xdr:cNvSpPr/>
            </xdr:nvSpPr>
            <xdr:spPr>
              <a:xfrm>
                <a:off x="5400673" y="247650"/>
                <a:ext cx="4621836" cy="608510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1100"/>
              </a:p>
            </xdr:txBody>
          </xdr:sp>
          <xdr:pic>
            <xdr:nvPicPr>
              <xdr:cNvPr id="19" name="Picture 4" descr="Construction_IC_Logo_800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5537146" y="326028"/>
                <a:ext cx="2693037" cy="452915"/>
              </a:xfrm>
              <a:prstGeom prst="rect">
                <a:avLst/>
              </a:prstGeom>
            </xdr:spPr>
          </xdr:pic>
          <xdr:pic>
            <xdr:nvPicPr>
              <xdr:cNvPr id="20" name="Picture 5" descr="timetric_logo_footer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8694187" y="556532"/>
                <a:ext cx="997171" cy="168183"/>
              </a:xfrm>
              <a:prstGeom prst="rect">
                <a:avLst/>
              </a:prstGeom>
            </xdr:spPr>
          </xdr:pic>
          <xdr:sp macro="" textlink="">
            <xdr:nvSpPr>
              <xdr:cNvPr id="21" name="TextBox 6"/>
              <xdr:cNvSpPr txBox="1"/>
            </xdr:nvSpPr>
            <xdr:spPr>
              <a:xfrm>
                <a:off x="8896962" y="210854"/>
                <a:ext cx="693756" cy="36712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wrap="square" rtlCol="0" anchor="t">
                <a:noAutofit/>
              </a:bodyPr>
              <a:lstStyle/>
              <a:p>
                <a:r>
                  <a:rPr lang="en-US" sz="800" b="1" baseline="0"/>
                  <a:t>By</a:t>
                </a:r>
                <a:endParaRPr lang="en-US" sz="800" b="1"/>
              </a:p>
            </xdr:txBody>
          </xdr:sp>
          <xdr:cxnSp macro="">
            <xdr:nvCxnSpPr>
              <xdr:cNvPr id="22" name="Straight Connector 7"/>
              <xdr:cNvCxnSpPr/>
            </xdr:nvCxnSpPr>
            <xdr:spPr>
              <a:xfrm>
                <a:off x="8486121" y="339633"/>
                <a:ext cx="0" cy="438694"/>
              </a:xfrm>
              <a:prstGeom prst="line">
                <a:avLst/>
              </a:prstGeom>
              <a:ln w="38100">
                <a:solidFill>
                  <a:schemeClr val="tx2">
                    <a:lumMod val="75000"/>
                  </a:schemeClr>
                </a:solidFill>
                <a:prstDash val="soli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$B$1">
        <xdr:nvSpPr>
          <xdr:cNvPr id="14" name="stxtEname"/>
          <xdr:cNvSpPr txBox="1"/>
        </xdr:nvSpPr>
        <xdr:spPr>
          <a:xfrm>
            <a:off x="1943101" y="1057275"/>
            <a:ext cx="794159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10C09DAE-42C7-4697-8799-B3FCE4B81E8B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Team : 3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am%20Lead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heet1"/>
      <sheetName val="UserForm"/>
      <sheetName val="Sheet2"/>
    </sheetNames>
    <sheetDataSet>
      <sheetData sheetId="0" refreshError="1"/>
      <sheetData sheetId="1">
        <row r="3">
          <cell r="U3" t="str">
            <v>Super Critical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5:A52"/>
  <sheetViews>
    <sheetView showGridLines="0" showRowColHeaders="0" tabSelected="1" workbookViewId="0"/>
  </sheetViews>
  <sheetFormatPr defaultRowHeight="15" x14ac:dyDescent="0.25"/>
  <cols>
    <col min="4" max="8" width="9.140625" customWidth="1"/>
  </cols>
  <sheetData>
    <row r="15" spans="1:1" s="38" customFormat="1" ht="47.25" customHeight="1" x14ac:dyDescent="0.25">
      <c r="A15" s="38" t="s">
        <v>0</v>
      </c>
    </row>
    <row r="16" spans="1:1" s="38" customFormat="1" ht="47.25" customHeight="1" x14ac:dyDescent="0.25"/>
    <row r="17" spans="1:1" ht="20.25" x14ac:dyDescent="0.25">
      <c r="A17" s="1" t="s">
        <v>1</v>
      </c>
    </row>
    <row r="19" spans="1:1" ht="20.25" x14ac:dyDescent="0.25">
      <c r="A19" s="1" t="s">
        <v>2</v>
      </c>
    </row>
    <row r="20" spans="1:1" ht="20.25" x14ac:dyDescent="0.25">
      <c r="A20" s="1"/>
    </row>
    <row r="21" spans="1:1" ht="20.25" x14ac:dyDescent="0.25">
      <c r="A21" s="1"/>
    </row>
    <row r="22" spans="1:1" ht="20.25" x14ac:dyDescent="0.25">
      <c r="A22" s="1"/>
    </row>
    <row r="23" spans="1:1" ht="20.25" x14ac:dyDescent="0.25">
      <c r="A23" s="1"/>
    </row>
    <row r="24" spans="1:1" ht="20.25" x14ac:dyDescent="0.25">
      <c r="A24" s="1"/>
    </row>
    <row r="25" spans="1:1" ht="20.25" x14ac:dyDescent="0.25">
      <c r="A25" s="1"/>
    </row>
    <row r="26" spans="1:1" ht="20.25" x14ac:dyDescent="0.25">
      <c r="A26" s="1"/>
    </row>
    <row r="27" spans="1:1" ht="20.25" x14ac:dyDescent="0.25">
      <c r="A27" s="1"/>
    </row>
    <row r="29" spans="1:1" ht="20.25" x14ac:dyDescent="0.25">
      <c r="A29" s="1"/>
    </row>
    <row r="52" spans="1:1" ht="20.25" x14ac:dyDescent="0.25">
      <c r="A52" s="1" t="s">
        <v>3</v>
      </c>
    </row>
  </sheetData>
  <sheetProtection sheet="1" objects="1" scenarios="1"/>
  <mergeCells count="1">
    <mergeCell ref="A15:XFD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42"/>
  <sheetViews>
    <sheetView showGridLines="0" zoomScaleNormal="100" workbookViewId="0">
      <pane xSplit="3" ySplit="19" topLeftCell="D20" activePane="bottomRight" state="frozen"/>
      <selection pane="topRight" activeCell="D1" sqref="D1"/>
      <selection pane="bottomLeft" activeCell="A20" sqref="A20"/>
      <selection pane="bottomRight" activeCell="A19" sqref="A19"/>
    </sheetView>
  </sheetViews>
  <sheetFormatPr defaultRowHeight="15" x14ac:dyDescent="0.25"/>
  <cols>
    <col min="8" max="11" width="7.140625" customWidth="1"/>
    <col min="12" max="15" width="11.42578125" customWidth="1"/>
    <col min="16" max="16" width="10.7109375" customWidth="1"/>
    <col min="17" max="17" width="14.28515625" customWidth="1"/>
    <col min="18" max="18" width="11.42578125" customWidth="1"/>
    <col min="19" max="19" width="14.28515625" customWidth="1"/>
    <col min="20" max="21" width="10.7109375" customWidth="1"/>
    <col min="22" max="23" width="11.42578125" customWidth="1"/>
    <col min="24" max="24" width="10.7109375" customWidth="1"/>
    <col min="27" max="27" width="9.140625" customWidth="1"/>
    <col min="28" max="28" width="11.42578125" customWidth="1"/>
    <col min="40" max="40" width="19" bestFit="1" customWidth="1"/>
    <col min="41" max="41" width="10.5703125" bestFit="1" customWidth="1"/>
    <col min="46" max="46" width="10.7109375" customWidth="1"/>
    <col min="49" max="49" width="10.7109375" style="10" customWidth="1"/>
    <col min="50" max="50" width="9.7109375" style="10" bestFit="1" customWidth="1"/>
    <col min="51" max="52" width="9.140625" style="10"/>
    <col min="53" max="53" width="9.7109375" style="10" bestFit="1" customWidth="1"/>
    <col min="54" max="56" width="9.140625" style="10"/>
  </cols>
  <sheetData>
    <row r="1" spans="1:46" x14ac:dyDescent="0.25">
      <c r="A1" s="20">
        <v>3</v>
      </c>
      <c r="B1" s="26" t="str">
        <f>CONCATENATE("Team : ",$A$1)</f>
        <v>Team : 3</v>
      </c>
      <c r="C1" s="23"/>
      <c r="AN1" s="12" t="s">
        <v>52</v>
      </c>
      <c r="AO1" s="12" t="s">
        <v>89</v>
      </c>
      <c r="AS1" s="11"/>
    </row>
    <row r="2" spans="1:46" x14ac:dyDescent="0.25">
      <c r="A2" s="21"/>
      <c r="B2" s="27"/>
      <c r="C2" s="24"/>
      <c r="AN2" s="13" t="s">
        <v>88</v>
      </c>
      <c r="AO2" s="14">
        <f>COUNTIF($AS:$AS,AN2)</f>
        <v>0</v>
      </c>
      <c r="AS2" s="11"/>
    </row>
    <row r="3" spans="1:46" x14ac:dyDescent="0.25">
      <c r="A3" s="21"/>
      <c r="B3" s="28"/>
      <c r="C3" s="24"/>
      <c r="AN3" s="15" t="s">
        <v>87</v>
      </c>
      <c r="AO3" s="14">
        <f t="shared" ref="AO3:AO6" si="0">COUNTIF($AS:$AS,AN3)</f>
        <v>0</v>
      </c>
      <c r="AS3" s="11"/>
    </row>
    <row r="4" spans="1:46" x14ac:dyDescent="0.25">
      <c r="A4" s="21"/>
      <c r="B4" s="28"/>
      <c r="C4" s="24"/>
      <c r="AN4" s="16" t="s">
        <v>85</v>
      </c>
      <c r="AO4" s="14">
        <f t="shared" si="0"/>
        <v>0</v>
      </c>
      <c r="AS4" s="11"/>
    </row>
    <row r="5" spans="1:46" x14ac:dyDescent="0.25">
      <c r="A5" s="21"/>
      <c r="B5" s="28"/>
      <c r="C5" s="24"/>
      <c r="AN5" s="17" t="s">
        <v>86</v>
      </c>
      <c r="AO5" s="14">
        <f t="shared" si="0"/>
        <v>0</v>
      </c>
      <c r="AS5" s="11"/>
    </row>
    <row r="6" spans="1:46" x14ac:dyDescent="0.25">
      <c r="A6" s="21"/>
      <c r="B6" s="28"/>
      <c r="C6" s="24"/>
      <c r="AN6" s="18" t="s">
        <v>84</v>
      </c>
      <c r="AO6" s="14">
        <f t="shared" si="0"/>
        <v>0</v>
      </c>
      <c r="AS6" s="11"/>
    </row>
    <row r="7" spans="1:46" x14ac:dyDescent="0.25">
      <c r="A7" s="21"/>
      <c r="B7" s="28"/>
      <c r="C7" s="24"/>
      <c r="AN7" s="12" t="s">
        <v>91</v>
      </c>
      <c r="AO7" s="14">
        <f>COUNT($A:$A)</f>
        <v>1</v>
      </c>
      <c r="AS7" s="11"/>
      <c r="AT7" t="s">
        <v>90</v>
      </c>
    </row>
    <row r="8" spans="1:46" x14ac:dyDescent="0.25">
      <c r="A8" s="22"/>
      <c r="B8" s="29"/>
      <c r="C8" s="25"/>
      <c r="AO8" s="11"/>
      <c r="AS8" s="11"/>
    </row>
    <row r="9" spans="1:46" hidden="1" x14ac:dyDescent="0.25">
      <c r="AO9" s="11"/>
      <c r="AP9" s="19"/>
      <c r="AQ9" s="10"/>
      <c r="AS9" s="11"/>
    </row>
    <row r="10" spans="1:46" hidden="1" x14ac:dyDescent="0.25">
      <c r="AO10" s="11"/>
      <c r="AP10" s="19"/>
      <c r="AQ10" s="10"/>
      <c r="AS10" s="11"/>
    </row>
    <row r="11" spans="1:46" hidden="1" x14ac:dyDescent="0.25">
      <c r="AO11" s="11"/>
      <c r="AP11" s="19"/>
      <c r="AQ11" s="10"/>
      <c r="AS11" s="11"/>
    </row>
    <row r="12" spans="1:46" hidden="1" x14ac:dyDescent="0.25">
      <c r="AO12" s="11"/>
      <c r="AS12" s="11"/>
    </row>
    <row r="13" spans="1:46" hidden="1" x14ac:dyDescent="0.25">
      <c r="AO13" s="11"/>
      <c r="AS13" s="11"/>
    </row>
    <row r="14" spans="1:46" hidden="1" x14ac:dyDescent="0.25">
      <c r="AO14" s="11"/>
      <c r="AS14" s="11"/>
    </row>
    <row r="15" spans="1:46" hidden="1" x14ac:dyDescent="0.25">
      <c r="AO15" s="11"/>
      <c r="AS15" s="11"/>
    </row>
    <row r="16" spans="1:46" hidden="1" x14ac:dyDescent="0.25"/>
    <row r="17" spans="1:57" hidden="1" x14ac:dyDescent="0.25"/>
    <row r="18" spans="1:57" hidden="1" x14ac:dyDescent="0.25"/>
    <row r="19" spans="1:57" ht="37.5" customHeight="1" x14ac:dyDescent="0.25">
      <c r="A19" s="31" t="s">
        <v>8</v>
      </c>
      <c r="B19" s="31" t="s">
        <v>9</v>
      </c>
      <c r="C19" s="31" t="s">
        <v>10</v>
      </c>
      <c r="D19" s="31" t="s">
        <v>11</v>
      </c>
      <c r="E19" s="31" t="s">
        <v>12</v>
      </c>
      <c r="F19" s="31" t="s">
        <v>13</v>
      </c>
      <c r="G19" s="31" t="s">
        <v>14</v>
      </c>
      <c r="H19" s="31" t="s">
        <v>15</v>
      </c>
      <c r="I19" s="31" t="s">
        <v>16</v>
      </c>
      <c r="J19" s="31" t="s">
        <v>17</v>
      </c>
      <c r="K19" s="31" t="s">
        <v>18</v>
      </c>
      <c r="L19" s="31" t="s">
        <v>19</v>
      </c>
      <c r="M19" s="31" t="s">
        <v>20</v>
      </c>
      <c r="N19" s="31" t="s">
        <v>21</v>
      </c>
      <c r="O19" s="31" t="s">
        <v>22</v>
      </c>
      <c r="P19" s="31" t="s">
        <v>23</v>
      </c>
      <c r="Q19" s="31" t="s">
        <v>24</v>
      </c>
      <c r="R19" s="31" t="s">
        <v>25</v>
      </c>
      <c r="S19" s="31" t="s">
        <v>26</v>
      </c>
      <c r="T19" s="31" t="s">
        <v>27</v>
      </c>
      <c r="U19" s="31" t="s">
        <v>28</v>
      </c>
      <c r="V19" s="31" t="s">
        <v>29</v>
      </c>
      <c r="W19" s="31" t="s">
        <v>30</v>
      </c>
      <c r="X19" s="31" t="s">
        <v>31</v>
      </c>
      <c r="Y19" s="31" t="s">
        <v>32</v>
      </c>
      <c r="Z19" s="31" t="s">
        <v>33</v>
      </c>
      <c r="AA19" s="31" t="s">
        <v>34</v>
      </c>
      <c r="AB19" s="31" t="s">
        <v>35</v>
      </c>
      <c r="AC19" s="31" t="s">
        <v>36</v>
      </c>
      <c r="AD19" s="31" t="s">
        <v>37</v>
      </c>
      <c r="AE19" s="31" t="s">
        <v>38</v>
      </c>
      <c r="AF19" s="31" t="s">
        <v>39</v>
      </c>
      <c r="AG19" s="31" t="s">
        <v>40</v>
      </c>
      <c r="AH19" s="31" t="s">
        <v>41</v>
      </c>
      <c r="AI19" s="31" t="s">
        <v>42</v>
      </c>
      <c r="AJ19" s="31" t="s">
        <v>43</v>
      </c>
      <c r="AK19" s="31" t="s">
        <v>44</v>
      </c>
      <c r="AL19" s="31" t="s">
        <v>45</v>
      </c>
      <c r="AM19" s="31" t="s">
        <v>46</v>
      </c>
      <c r="AN19" s="31" t="s">
        <v>47</v>
      </c>
      <c r="AO19" s="31" t="s">
        <v>48</v>
      </c>
      <c r="AP19" s="31" t="s">
        <v>49</v>
      </c>
      <c r="AQ19" s="31" t="s">
        <v>50</v>
      </c>
      <c r="AR19" s="31" t="s">
        <v>51</v>
      </c>
      <c r="AS19" s="31" t="s">
        <v>52</v>
      </c>
      <c r="AT19" s="31" t="s">
        <v>53</v>
      </c>
      <c r="AU19" s="31" t="s">
        <v>54</v>
      </c>
      <c r="AV19" s="31" t="s">
        <v>55</v>
      </c>
      <c r="AW19" s="37" t="s">
        <v>56</v>
      </c>
      <c r="AX19" s="37" t="s">
        <v>57</v>
      </c>
      <c r="AY19" s="37" t="s">
        <v>58</v>
      </c>
      <c r="AZ19" s="37" t="s">
        <v>59</v>
      </c>
      <c r="BA19" s="37" t="s">
        <v>60</v>
      </c>
      <c r="BB19" s="37" t="s">
        <v>61</v>
      </c>
      <c r="BC19" s="37" t="s">
        <v>92</v>
      </c>
      <c r="BD19" s="37" t="s">
        <v>93</v>
      </c>
    </row>
    <row r="20" spans="1:57" x14ac:dyDescent="0.25">
      <c r="Y20">
        <v>1</v>
      </c>
      <c r="AW20" s="11"/>
      <c r="AX20" s="32"/>
      <c r="AY20" s="32"/>
      <c r="AZ20"/>
      <c r="BA20"/>
      <c r="BB20"/>
      <c r="BC20"/>
      <c r="BD20"/>
    </row>
    <row r="21" spans="1:57" x14ac:dyDescent="0.25">
      <c r="AW21" s="11"/>
      <c r="AX21" s="32"/>
      <c r="AY21" s="32"/>
      <c r="AZ21"/>
      <c r="BA21"/>
      <c r="BB21"/>
      <c r="BC21"/>
      <c r="BD21"/>
    </row>
    <row r="22" spans="1:57" x14ac:dyDescent="0.25">
      <c r="AW22" s="11"/>
      <c r="AX22" s="32"/>
      <c r="AY22" s="32"/>
      <c r="AZ22"/>
      <c r="BA22"/>
      <c r="BB22"/>
      <c r="BC22"/>
      <c r="BD22"/>
    </row>
    <row r="24" spans="1:57" x14ac:dyDescent="0.25">
      <c r="BA24" s="30"/>
    </row>
    <row r="25" spans="1:57" x14ac:dyDescent="0.25">
      <c r="BA25" s="30"/>
    </row>
    <row r="26" spans="1:57" x14ac:dyDescent="0.25">
      <c r="BA26" s="30"/>
    </row>
    <row r="27" spans="1:57" x14ac:dyDescent="0.25">
      <c r="BA27" s="30"/>
      <c r="BE27" s="11"/>
    </row>
    <row r="28" spans="1:57" x14ac:dyDescent="0.25">
      <c r="BA28" s="30"/>
      <c r="BE28" s="11"/>
    </row>
    <row r="29" spans="1:57" x14ac:dyDescent="0.25">
      <c r="BA29" s="30"/>
      <c r="BE29" s="11"/>
    </row>
    <row r="30" spans="1:57" x14ac:dyDescent="0.25">
      <c r="BE30" s="11"/>
    </row>
    <row r="31" spans="1:57" x14ac:dyDescent="0.25">
      <c r="BE31" s="11"/>
    </row>
    <row r="32" spans="1:57" x14ac:dyDescent="0.25">
      <c r="BE32" s="11"/>
    </row>
    <row r="33" spans="53:58" x14ac:dyDescent="0.25">
      <c r="BE33" s="11"/>
      <c r="BF33" t="s">
        <v>90</v>
      </c>
    </row>
    <row r="34" spans="53:58" x14ac:dyDescent="0.25">
      <c r="BE34" s="11"/>
    </row>
    <row r="35" spans="53:58" x14ac:dyDescent="0.25">
      <c r="BE35" s="11"/>
    </row>
    <row r="36" spans="53:58" x14ac:dyDescent="0.25">
      <c r="BE36" s="11"/>
    </row>
    <row r="37" spans="53:58" x14ac:dyDescent="0.25">
      <c r="BA37" s="30"/>
      <c r="BE37" s="11"/>
    </row>
    <row r="38" spans="53:58" x14ac:dyDescent="0.25">
      <c r="BA38" s="30"/>
      <c r="BE38" s="11"/>
    </row>
    <row r="39" spans="53:58" x14ac:dyDescent="0.25">
      <c r="BA39" s="30"/>
      <c r="BE39" s="11"/>
    </row>
    <row r="40" spans="53:58" x14ac:dyDescent="0.25">
      <c r="BA40" s="30"/>
      <c r="BE40" s="11"/>
    </row>
    <row r="41" spans="53:58" x14ac:dyDescent="0.25">
      <c r="BA41" s="30"/>
      <c r="BE41" s="11"/>
    </row>
    <row r="42" spans="53:58" x14ac:dyDescent="0.25">
      <c r="BA42" s="30"/>
      <c r="BE42" s="11"/>
    </row>
  </sheetData>
  <sheetProtection password="E7FD" sheet="1" objects="1" scenarios="1" autoFilter="0"/>
  <autoFilter ref="A19:BD999"/>
  <sortState ref="A20:BD999">
    <sortCondition ref="AX19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I18"/>
  <sheetViews>
    <sheetView workbookViewId="0">
      <selection activeCell="L20" sqref="L20"/>
    </sheetView>
  </sheetViews>
  <sheetFormatPr defaultRowHeight="15" x14ac:dyDescent="0.25"/>
  <cols>
    <col min="8" max="8" width="11.140625" bestFit="1" customWidth="1"/>
  </cols>
  <sheetData>
    <row r="3" spans="2:9" x14ac:dyDescent="0.25">
      <c r="B3" s="2" t="s">
        <v>47</v>
      </c>
      <c r="C3" s="3" t="s">
        <v>4</v>
      </c>
      <c r="E3" s="4" t="s">
        <v>14</v>
      </c>
      <c r="F3" s="4" t="s">
        <v>48</v>
      </c>
      <c r="H3" s="33" t="s">
        <v>56</v>
      </c>
      <c r="I3" s="35" t="s">
        <v>101</v>
      </c>
    </row>
    <row r="4" spans="2:9" x14ac:dyDescent="0.25">
      <c r="B4" s="2" t="s">
        <v>48</v>
      </c>
      <c r="C4" s="5" t="s">
        <v>80</v>
      </c>
      <c r="E4" s="6" t="s">
        <v>76</v>
      </c>
      <c r="F4" s="6" t="s">
        <v>70</v>
      </c>
      <c r="H4" s="34" t="s">
        <v>57</v>
      </c>
      <c r="I4" s="36" t="s">
        <v>94</v>
      </c>
    </row>
    <row r="5" spans="2:9" x14ac:dyDescent="0.25">
      <c r="B5" s="2" t="s">
        <v>49</v>
      </c>
      <c r="C5" s="5" t="s">
        <v>5</v>
      </c>
      <c r="E5" s="6" t="s">
        <v>68</v>
      </c>
      <c r="F5" s="6" t="s">
        <v>65</v>
      </c>
      <c r="H5" s="33" t="s">
        <v>58</v>
      </c>
      <c r="I5" s="35" t="s">
        <v>95</v>
      </c>
    </row>
    <row r="6" spans="2:9" x14ac:dyDescent="0.25">
      <c r="B6" s="2" t="s">
        <v>50</v>
      </c>
      <c r="C6" s="5" t="s">
        <v>6</v>
      </c>
      <c r="E6" s="6" t="s">
        <v>64</v>
      </c>
      <c r="F6" s="6" t="s">
        <v>65</v>
      </c>
      <c r="H6" s="34" t="s">
        <v>59</v>
      </c>
      <c r="I6" s="35" t="s">
        <v>96</v>
      </c>
    </row>
    <row r="7" spans="2:9" x14ac:dyDescent="0.25">
      <c r="B7" s="2" t="s">
        <v>77</v>
      </c>
      <c r="C7" s="5" t="s">
        <v>81</v>
      </c>
      <c r="E7" s="6" t="s">
        <v>66</v>
      </c>
      <c r="F7" s="6" t="s">
        <v>67</v>
      </c>
      <c r="H7" s="34" t="s">
        <v>60</v>
      </c>
      <c r="I7" s="35" t="s">
        <v>97</v>
      </c>
    </row>
    <row r="8" spans="2:9" x14ac:dyDescent="0.25">
      <c r="B8" s="2" t="s">
        <v>52</v>
      </c>
      <c r="C8" s="6"/>
      <c r="E8" s="6" t="s">
        <v>72</v>
      </c>
      <c r="F8" s="6" t="s">
        <v>67</v>
      </c>
      <c r="H8" s="34" t="s">
        <v>61</v>
      </c>
      <c r="I8" s="35" t="s">
        <v>98</v>
      </c>
    </row>
    <row r="9" spans="2:9" x14ac:dyDescent="0.25">
      <c r="B9" s="2" t="s">
        <v>53</v>
      </c>
      <c r="C9" s="7" t="s">
        <v>82</v>
      </c>
      <c r="E9" s="6" t="s">
        <v>62</v>
      </c>
      <c r="F9" s="6" t="s">
        <v>63</v>
      </c>
      <c r="H9" s="34" t="s">
        <v>92</v>
      </c>
      <c r="I9" s="35" t="s">
        <v>99</v>
      </c>
    </row>
    <row r="10" spans="2:9" x14ac:dyDescent="0.25">
      <c r="B10" s="2" t="s">
        <v>54</v>
      </c>
      <c r="C10" s="8" t="s">
        <v>83</v>
      </c>
      <c r="E10" s="6" t="s">
        <v>74</v>
      </c>
      <c r="F10" s="6" t="s">
        <v>63</v>
      </c>
      <c r="H10" s="34" t="s">
        <v>93</v>
      </c>
      <c r="I10" s="35" t="s">
        <v>100</v>
      </c>
    </row>
    <row r="11" spans="2:9" x14ac:dyDescent="0.25">
      <c r="B11" s="2" t="s">
        <v>55</v>
      </c>
      <c r="C11" s="5" t="s">
        <v>7</v>
      </c>
      <c r="E11" s="6" t="s">
        <v>69</v>
      </c>
      <c r="F11" s="6" t="s">
        <v>70</v>
      </c>
    </row>
    <row r="12" spans="2:9" x14ac:dyDescent="0.25">
      <c r="E12" s="6" t="s">
        <v>75</v>
      </c>
      <c r="F12" s="6" t="s">
        <v>67</v>
      </c>
    </row>
    <row r="13" spans="2:9" x14ac:dyDescent="0.25">
      <c r="E13" s="6" t="s">
        <v>71</v>
      </c>
      <c r="F13" s="6" t="s">
        <v>67</v>
      </c>
    </row>
    <row r="14" spans="2:9" x14ac:dyDescent="0.25">
      <c r="E14" s="6" t="s">
        <v>78</v>
      </c>
      <c r="F14" s="6" t="s">
        <v>70</v>
      </c>
    </row>
    <row r="15" spans="2:9" x14ac:dyDescent="0.25">
      <c r="E15" s="6" t="s">
        <v>73</v>
      </c>
      <c r="F15" s="6" t="s">
        <v>67</v>
      </c>
    </row>
    <row r="18" spans="2:5" x14ac:dyDescent="0.25">
      <c r="B18" s="9" t="s">
        <v>79</v>
      </c>
      <c r="E18" t="s">
        <v>51</v>
      </c>
    </row>
  </sheetData>
  <sheetProtection autoFilter="0"/>
  <sortState ref="B20:D6705">
    <sortCondition ref="B19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32" sqref="D32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K34" sqref="K34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E20" sqref="E20"/>
    </sheetView>
  </sheetViews>
  <sheetFormatPr defaultRowHeight="15" x14ac:dyDescent="0.25"/>
  <sheetData/>
  <sortState ref="A2:I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Allocation</vt:lpstr>
      <vt:lpstr>Temp1</vt:lpstr>
      <vt:lpstr>Temp2</vt:lpstr>
      <vt:lpstr>Temp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2018-02-08T05:46:41Z</dcterms:created>
  <dcterms:modified xsi:type="dcterms:W3CDTF">2018-11-20T12:30:17Z</dcterms:modified>
</cp:coreProperties>
</file>