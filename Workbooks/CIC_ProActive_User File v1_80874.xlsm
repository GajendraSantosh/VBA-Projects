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9020" windowHeight="11760"/>
  </bookViews>
  <sheets>
    <sheet name="Main" sheetId="5" r:id="rId1"/>
    <sheet name="Production" sheetId="1" r:id="rId2"/>
    <sheet name="Allocation" sheetId="2" r:id="rId3"/>
    <sheet name="Ref." sheetId="3" state="veryHidden" r:id="rId4"/>
    <sheet name="Temp." sheetId="4" r:id="rId5"/>
  </sheets>
  <definedNames>
    <definedName name="_xlnm._FilterDatabase" localSheetId="2" hidden="1">Allocation!$A$19:$AZ$19</definedName>
    <definedName name="_xlnm._FilterDatabase" localSheetId="1" hidden="1">Production!$A$19:$T$19</definedName>
    <definedName name="_xlnm._FilterDatabase" localSheetId="3" hidden="1">Ref.!$W$3:$X$3</definedName>
    <definedName name="eType">Ref.!$B$17:$B$18</definedName>
    <definedName name="pActivity">Ref.!$B$11:$B$14</definedName>
    <definedName name="pType">Ref.!$B$4:$B$6</definedName>
    <definedName name="tEfficecny">OFFSET(Ref.!$AP$1,1,0,COUNT(Ref.!$AP:$AP),1)</definedName>
    <definedName name="UserMail">Ref.!$H$2:$R$47</definedName>
  </definedNames>
  <calcPr calcId="144525"/>
</workbook>
</file>

<file path=xl/calcChain.xml><?xml version="1.0" encoding="utf-8"?>
<calcChain xmlns="http://schemas.openxmlformats.org/spreadsheetml/2006/main">
  <c r="AO7" i="2" l="1"/>
  <c r="AO6" i="2"/>
  <c r="AO5" i="2"/>
  <c r="AO4" i="2"/>
  <c r="AO3" i="2"/>
  <c r="AO2" i="2"/>
  <c r="M30" i="3" l="1"/>
  <c r="Q43" i="3" s="1"/>
  <c r="A2" i="1"/>
  <c r="M46" i="3" s="1"/>
  <c r="N30" i="3" l="1"/>
  <c r="M31" i="3"/>
  <c r="M32" i="3"/>
  <c r="Q32" i="3"/>
  <c r="P33" i="3"/>
  <c r="O34" i="3"/>
  <c r="N35" i="3"/>
  <c r="M36" i="3"/>
  <c r="Q36" i="3"/>
  <c r="P37" i="3"/>
  <c r="O38" i="3"/>
  <c r="N39" i="3"/>
  <c r="M40" i="3"/>
  <c r="Q40" i="3"/>
  <c r="P41" i="3"/>
  <c r="O42" i="3"/>
  <c r="N43" i="3"/>
  <c r="Q31" i="3"/>
  <c r="P30" i="3"/>
  <c r="O31" i="3"/>
  <c r="O32" i="3"/>
  <c r="N33" i="3"/>
  <c r="M34" i="3"/>
  <c r="Q34" i="3"/>
  <c r="P35" i="3"/>
  <c r="O36" i="3"/>
  <c r="N37" i="3"/>
  <c r="M38" i="3"/>
  <c r="Q38" i="3"/>
  <c r="P39" i="3"/>
  <c r="O40" i="3"/>
  <c r="N41" i="3"/>
  <c r="M42" i="3"/>
  <c r="Q42" i="3"/>
  <c r="P43" i="3"/>
  <c r="L14" i="3"/>
  <c r="P14" i="3" s="1"/>
  <c r="O30" i="3"/>
  <c r="Q30" i="3"/>
  <c r="N31" i="3"/>
  <c r="P31" i="3"/>
  <c r="N32" i="3"/>
  <c r="P32" i="3"/>
  <c r="M33" i="3"/>
  <c r="O33" i="3"/>
  <c r="Q33" i="3"/>
  <c r="N34" i="3"/>
  <c r="P34" i="3"/>
  <c r="M35" i="3"/>
  <c r="O35" i="3"/>
  <c r="Q35" i="3"/>
  <c r="N36" i="3"/>
  <c r="P36" i="3"/>
  <c r="M37" i="3"/>
  <c r="O37" i="3"/>
  <c r="Q37" i="3"/>
  <c r="N38" i="3"/>
  <c r="P38" i="3"/>
  <c r="M39" i="3"/>
  <c r="O39" i="3"/>
  <c r="Q39" i="3"/>
  <c r="N40" i="3"/>
  <c r="P40" i="3"/>
  <c r="M41" i="3"/>
  <c r="O41" i="3"/>
  <c r="Q41" i="3"/>
  <c r="N42" i="3"/>
  <c r="P42" i="3"/>
  <c r="M43" i="3"/>
  <c r="O43" i="3"/>
  <c r="B1" i="1"/>
  <c r="B2" i="1" l="1"/>
</calcChain>
</file>

<file path=xl/sharedStrings.xml><?xml version="1.0" encoding="utf-8"?>
<sst xmlns="http://schemas.openxmlformats.org/spreadsheetml/2006/main" count="247" uniqueCount="197">
  <si>
    <t>Date</t>
  </si>
  <si>
    <t xml:space="preserve">Project ID </t>
  </si>
  <si>
    <t>Project Name</t>
  </si>
  <si>
    <t>Project Type</t>
  </si>
  <si>
    <t>Project Activity</t>
  </si>
  <si>
    <t>Event Type</t>
  </si>
  <si>
    <t>Stage</t>
  </si>
  <si>
    <t>New Company Added</t>
  </si>
  <si>
    <t>Key Person Added</t>
  </si>
  <si>
    <t>Key Person Verified</t>
  </si>
  <si>
    <t>No. of Unique Contacts</t>
  </si>
  <si>
    <t>No. of Contacts Verified</t>
  </si>
  <si>
    <t>No. of Contacts Taged</t>
  </si>
  <si>
    <t>Custom Work (Min)</t>
  </si>
  <si>
    <t>Primary Support (Min)</t>
  </si>
  <si>
    <t>Tema Meeting (Min)</t>
  </si>
  <si>
    <t>Others</t>
  </si>
  <si>
    <t>Comments</t>
  </si>
  <si>
    <t>Emp ID</t>
  </si>
  <si>
    <t>Emp name</t>
  </si>
  <si>
    <t>Parent</t>
  </si>
  <si>
    <t>Normal Update</t>
  </si>
  <si>
    <t>Quick</t>
  </si>
  <si>
    <t>Ramesh B</t>
  </si>
  <si>
    <t>CIC</t>
  </si>
  <si>
    <t>Comprehensive</t>
  </si>
  <si>
    <t>Demo</t>
  </si>
  <si>
    <t>Program</t>
  </si>
  <si>
    <t>New Project</t>
  </si>
  <si>
    <t>Sudip Manashya Pasupulati</t>
  </si>
  <si>
    <t>ID</t>
  </si>
  <si>
    <t>NAME</t>
  </si>
  <si>
    <t>EmailId</t>
  </si>
  <si>
    <t>Sub</t>
  </si>
  <si>
    <t>Srikanth Rokula</t>
  </si>
  <si>
    <t>V Swarna Mayuri</t>
  </si>
  <si>
    <t>Renuka Devi Nakkina</t>
  </si>
  <si>
    <t>Sravya Patluri</t>
  </si>
  <si>
    <t>Pooja Bhushan</t>
  </si>
  <si>
    <t>Gundu Rajeevi</t>
  </si>
  <si>
    <t>G Soujanya</t>
  </si>
  <si>
    <t>Praveen Reddy Sanikommu</t>
  </si>
  <si>
    <t>Vaddeboina Raviteja</t>
  </si>
  <si>
    <t>T Devamani</t>
  </si>
  <si>
    <t>Srikanth Ramyayanam</t>
  </si>
  <si>
    <t>Mrityunjaya Yadav</t>
  </si>
  <si>
    <t>Karnati Rakesh</t>
  </si>
  <si>
    <t>Bipasha Nath</t>
  </si>
  <si>
    <t>D Sivapriya</t>
  </si>
  <si>
    <t>Kamala Dake</t>
  </si>
  <si>
    <t>Sowjanya Bavisetti</t>
  </si>
  <si>
    <t>Gundimeda Mangapathi Karthik</t>
  </si>
  <si>
    <t>Production</t>
  </si>
  <si>
    <t>Minutes</t>
  </si>
  <si>
    <t>Abhipsa Bisoi</t>
  </si>
  <si>
    <t>Saket Kashyap</t>
  </si>
  <si>
    <t>Quick Update</t>
  </si>
  <si>
    <t>Sanchita Sanyal</t>
  </si>
  <si>
    <t>Comp Update</t>
  </si>
  <si>
    <t>CIC Update</t>
  </si>
  <si>
    <t>Ch Naresh Kumar</t>
  </si>
  <si>
    <t>Demo Update</t>
  </si>
  <si>
    <t>Kritika Jindal</t>
  </si>
  <si>
    <t>Total</t>
  </si>
  <si>
    <t>Sridhar Gangarapu</t>
  </si>
  <si>
    <t>Maya Prithvi Raj</t>
  </si>
  <si>
    <t>Mohd Arbaz</t>
  </si>
  <si>
    <t>Palupuri Naga Mounika</t>
  </si>
  <si>
    <t>Mamidi Harideep Rao</t>
  </si>
  <si>
    <t>Yarlagadda Eswar Tarang</t>
  </si>
  <si>
    <t>J.V.V.Sai kumar</t>
  </si>
  <si>
    <t>Saurabh Abhimanyu Vader</t>
  </si>
  <si>
    <t>T PRATHAP REDDY</t>
  </si>
  <si>
    <t>K Naresh Babu</t>
  </si>
  <si>
    <t>vajjala divya</t>
  </si>
  <si>
    <t>BABBI KUMARI</t>
  </si>
  <si>
    <t>PAMULAPARTHI SAI KIRAN</t>
  </si>
  <si>
    <t>KARRI PREM KUMAR REDDY</t>
  </si>
  <si>
    <t>JAY KUMAR SINGH</t>
  </si>
  <si>
    <t>A.SRIKANTH REDDY</t>
  </si>
  <si>
    <t>Jaya Prakash Panda</t>
  </si>
  <si>
    <t>ATHIRA N</t>
  </si>
  <si>
    <t>Thota Kalyani</t>
  </si>
  <si>
    <t>Vemula Vijay Kumar</t>
  </si>
  <si>
    <t>Putti Aparna</t>
  </si>
  <si>
    <t>RAGI LALITH KUMAR</t>
  </si>
  <si>
    <t>Diksha Tanwar</t>
  </si>
  <si>
    <t>K Meghana</t>
  </si>
  <si>
    <t>MUTNURI SWATHI PRIYA</t>
  </si>
  <si>
    <t>Padimela Srinivas Goud</t>
  </si>
  <si>
    <t>Aripaka V Manikanta Durga Ravi Teja</t>
  </si>
  <si>
    <t>Y David Richardson</t>
  </si>
  <si>
    <t>Sanagapalli Praneetha Indrani</t>
  </si>
  <si>
    <t>Mudham Manoj Kumar</t>
  </si>
  <si>
    <t>ProjectID</t>
  </si>
  <si>
    <t>Parent ProjectID</t>
  </si>
  <si>
    <t>Ultimate Parent ID</t>
  </si>
  <si>
    <t>Project ProfileType</t>
  </si>
  <si>
    <t>Project Units</t>
  </si>
  <si>
    <t>Project Status</t>
  </si>
  <si>
    <t>Start Quater</t>
  </si>
  <si>
    <t>Start Year</t>
  </si>
  <si>
    <t>End Quater</t>
  </si>
  <si>
    <t>End Year</t>
  </si>
  <si>
    <t>Region</t>
  </si>
  <si>
    <t>Country</t>
  </si>
  <si>
    <t>State</t>
  </si>
  <si>
    <t>City</t>
  </si>
  <si>
    <t>Created Date</t>
  </si>
  <si>
    <t>Updated By</t>
  </si>
  <si>
    <t>PublishType</t>
  </si>
  <si>
    <t>QC/PublishedBy</t>
  </si>
  <si>
    <t>Published Date</t>
  </si>
  <si>
    <t>Next Review Date</t>
  </si>
  <si>
    <t>Production Type</t>
  </si>
  <si>
    <t>New/Update Project</t>
  </si>
  <si>
    <t>Construction Start Date</t>
  </si>
  <si>
    <t>Construction StartQuarter</t>
  </si>
  <si>
    <t>Construction Startyear</t>
  </si>
  <si>
    <t>LocationType</t>
  </si>
  <si>
    <t>Sites</t>
  </si>
  <si>
    <t>Funding Mode</t>
  </si>
  <si>
    <t>Primary Taxonomy</t>
  </si>
  <si>
    <t>Secondary Taxonomy</t>
  </si>
  <si>
    <t>TypeOfConstruction</t>
  </si>
  <si>
    <t>ConcessionType</t>
  </si>
  <si>
    <t>Concession Duration</t>
  </si>
  <si>
    <t>Sector</t>
  </si>
  <si>
    <t>IsNoFurtherUpdate</t>
  </si>
  <si>
    <t>IsNoFurtherUpdate2</t>
  </si>
  <si>
    <t>Ulti Sector</t>
  </si>
  <si>
    <t>New Sector Considered</t>
  </si>
  <si>
    <t>Value Range</t>
  </si>
  <si>
    <t>Age in days</t>
  </si>
  <si>
    <t>Age in Months</t>
  </si>
  <si>
    <t>No Further Update</t>
  </si>
  <si>
    <t>Priority</t>
  </si>
  <si>
    <t>Updated Date</t>
  </si>
  <si>
    <t>Update Type</t>
  </si>
  <si>
    <t>Pending Days</t>
  </si>
  <si>
    <t>Execution</t>
  </si>
  <si>
    <t>Late Stage</t>
  </si>
  <si>
    <t>Construction Complete</t>
  </si>
  <si>
    <t>Archive</t>
  </si>
  <si>
    <t>Design</t>
  </si>
  <si>
    <t>Mid Stage</t>
  </si>
  <si>
    <t>Cancelled</t>
  </si>
  <si>
    <t>Planning</t>
  </si>
  <si>
    <t>Early Stage</t>
  </si>
  <si>
    <t>Pre-Tender</t>
  </si>
  <si>
    <t>EPC Award</t>
  </si>
  <si>
    <t>Tender</t>
  </si>
  <si>
    <t>On Hold</t>
  </si>
  <si>
    <t>Pre-Design</t>
  </si>
  <si>
    <t>Announced</t>
  </si>
  <si>
    <t>Study</t>
  </si>
  <si>
    <t>The file will be opened as a trusted document and the security warning will disappear.</t>
  </si>
  <si>
    <r>
      <t>If you are sure, the macros are from a trustworthy source, just press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 on the bar.</t>
    </r>
  </si>
  <si>
    <r>
      <t>If you open an Excel document that contains macros, you'll see the yellow </t>
    </r>
    <r>
      <rPr>
        <i/>
        <sz val="15.4"/>
        <color rgb="FF000000"/>
        <rFont val="Arial"/>
        <family val="2"/>
      </rPr>
      <t>Message Bar</t>
    </r>
    <r>
      <rPr>
        <sz val="15.4"/>
        <color rgb="FF000000"/>
        <rFont val="Arial"/>
        <family val="2"/>
      </rPr>
      <t> with a shield icon and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button.</t>
    </r>
  </si>
  <si>
    <t>IN ORDER TO RUN THIS FILE 
You must enable macros in Excel from the Message Bar</t>
  </si>
  <si>
    <t>Working Hours</t>
  </si>
  <si>
    <t>Efficency</t>
  </si>
  <si>
    <t>Production Status</t>
  </si>
  <si>
    <t>Today</t>
  </si>
  <si>
    <t>Month</t>
  </si>
  <si>
    <t>Quarter</t>
  </si>
  <si>
    <t>Half Year</t>
  </si>
  <si>
    <t>This Year</t>
  </si>
  <si>
    <t>Timeline</t>
  </si>
  <si>
    <t>New Projects</t>
  </si>
  <si>
    <t>Comprehensive update</t>
  </si>
  <si>
    <t>Others Activities (Total Min.)</t>
  </si>
  <si>
    <t>Primary Support for Others  (Min.)</t>
  </si>
  <si>
    <t>Team Meetings  (Min.)</t>
  </si>
  <si>
    <t>Others  (Min.)</t>
  </si>
  <si>
    <t>Regards</t>
  </si>
  <si>
    <t>Total (Min)</t>
  </si>
  <si>
    <t xml:space="preserve"> =TODAY()-$T20</t>
  </si>
  <si>
    <t xml:space="preserve"> =ROUNDUP($AP20/30,0)</t>
  </si>
  <si>
    <t xml:space="preserve"> =IFERROR(IF($AT20&gt;$T20,TODAY()-$AT20,""),"")</t>
  </si>
  <si>
    <t xml:space="preserve"> =IF($F20&gt;1000,"&gt;US$1000 million",IF($F20&lt;500,"&lt;US$500 million","US$500-1000 million"))</t>
  </si>
  <si>
    <t>Update From User Master</t>
  </si>
  <si>
    <t>NFU</t>
  </si>
  <si>
    <t xml:space="preserve"> =IF(IFERROR(VLOOKUP($G20,Ref.!$W$4:$X$15,1,TRUE),0)=$G20,VLOOKUP($G20,Ref.!$W$4:$X$15,2,TRUE),"")</t>
  </si>
  <si>
    <t xml:space="preserve"> =IF(IFERROR(VLOOKUP($A20,Ref.!$W:$W,1,TRUE),"No")=$A20,"Yes","No")</t>
  </si>
  <si>
    <t xml:space="preserve"> =IF(IFERROR(VLOOKUP($A20,Ref.!$T:$T,1,TRUE)=$A20,""),VLOOKUP($A20,Ref.!$T:$U,2,TRUE),"")</t>
  </si>
  <si>
    <t xml:space="preserve"> =IF(IFERROR(VLOOKUP($A20,Ref.!$T:$T,1,TRUE)=$A20,""),VLOOKUP($A20,Ref.!$T:$V,3,TRUE),"")</t>
  </si>
  <si>
    <t>Column1</t>
  </si>
  <si>
    <t>Column2</t>
  </si>
  <si>
    <t>Column3</t>
  </si>
  <si>
    <t>Column4</t>
  </si>
  <si>
    <t>Target</t>
  </si>
  <si>
    <t>Delay</t>
  </si>
  <si>
    <t>Reasonable delay</t>
  </si>
  <si>
    <t>Critical</t>
  </si>
  <si>
    <t>Super Critical</t>
  </si>
  <si>
    <t>Total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</si>
</sst>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m"/>
    <numFmt numFmtId="165" formatCode="yyyy"/>
    <numFmt numFmtId="166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5.4"/>
      <color rgb="FF000000"/>
      <name val="Arial"/>
      <family val="2"/>
    </font>
    <font>
      <i/>
      <sz val="15.4"/>
      <color rgb="FF000000"/>
      <name val="Arial"/>
      <family val="2"/>
    </font>
    <font>
      <sz val="29.7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1BF"/>
        <bgColor indexed="64"/>
      </patternFill>
    </fill>
    <fill>
      <patternFill patternType="solid">
        <fgColor rgb="FFF8F9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4" fillId="4" borderId="2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3" xfId="0" applyFont="1" applyFill="1" applyBorder="1"/>
    <xf numFmtId="0" fontId="4" fillId="4" borderId="4" xfId="0" applyFont="1" applyFill="1" applyBorder="1"/>
    <xf numFmtId="0" fontId="0" fillId="5" borderId="3" xfId="0" applyFill="1" applyBorder="1"/>
    <xf numFmtId="0" fontId="0" fillId="5" borderId="4" xfId="0" applyFill="1" applyBorder="1"/>
    <xf numFmtId="0" fontId="5" fillId="5" borderId="2" xfId="0" applyFont="1" applyFill="1" applyBorder="1" applyAlignment="1">
      <alignment horizontal="fill" vertical="center"/>
    </xf>
    <xf numFmtId="0" fontId="5" fillId="5" borderId="3" xfId="0" applyFont="1" applyFill="1" applyBorder="1" applyAlignment="1">
      <alignment horizontal="fill" vertical="center"/>
    </xf>
    <xf numFmtId="0" fontId="0" fillId="6" borderId="0" xfId="0" applyFill="1"/>
    <xf numFmtId="0" fontId="0" fillId="7" borderId="3" xfId="0" applyFill="1" applyBorder="1"/>
    <xf numFmtId="0" fontId="2" fillId="2" borderId="1" xfId="0" applyFont="1" applyFill="1" applyBorder="1"/>
    <xf numFmtId="0" fontId="0" fillId="0" borderId="1" xfId="0" applyBorder="1"/>
    <xf numFmtId="0" fontId="0" fillId="0" borderId="1" xfId="0" applyFill="1" applyBorder="1"/>
    <xf numFmtId="0" fontId="1" fillId="0" borderId="1" xfId="0" applyFont="1" applyBorder="1" applyAlignment="1">
      <alignment horizontal="center" vertical="center"/>
    </xf>
    <xf numFmtId="0" fontId="0" fillId="8" borderId="5" xfId="0" applyFill="1" applyBorder="1"/>
    <xf numFmtId="0" fontId="0" fillId="9" borderId="3" xfId="0" applyFill="1" applyBorder="1"/>
    <xf numFmtId="0" fontId="6" fillId="0" borderId="0" xfId="0" applyFont="1" applyAlignment="1">
      <alignment vertical="center"/>
    </xf>
    <xf numFmtId="0" fontId="10" fillId="10" borderId="1" xfId="0" applyFont="1" applyFill="1" applyBorder="1" applyAlignment="1">
      <alignment horizontal="center" vertical="center"/>
    </xf>
    <xf numFmtId="2" fontId="10" fillId="4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/>
    <xf numFmtId="14" fontId="1" fillId="5" borderId="1" xfId="0" applyNumberFormat="1" applyFont="1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6" borderId="1" xfId="0" applyFill="1" applyBorder="1"/>
    <xf numFmtId="0" fontId="1" fillId="0" borderId="0" xfId="0" applyFont="1" applyAlignment="1">
      <alignment horizontal="center"/>
    </xf>
    <xf numFmtId="1" fontId="10" fillId="0" borderId="0" xfId="0" applyNumberFormat="1" applyFont="1" applyAlignment="1">
      <alignment horizontal="center" vertical="center"/>
    </xf>
    <xf numFmtId="14" fontId="9" fillId="2" borderId="2" xfId="0" applyNumberFormat="1" applyFont="1" applyFill="1" applyBorder="1"/>
    <xf numFmtId="0" fontId="9" fillId="2" borderId="2" xfId="0" applyFont="1" applyFill="1" applyBorder="1"/>
    <xf numFmtId="0" fontId="9" fillId="12" borderId="2" xfId="0" applyFont="1" applyFill="1" applyBorder="1"/>
    <xf numFmtId="0" fontId="9" fillId="13" borderId="2" xfId="0" applyFont="1" applyFill="1" applyBorder="1"/>
    <xf numFmtId="14" fontId="0" fillId="0" borderId="0" xfId="0" applyNumberFormat="1"/>
    <xf numFmtId="166" fontId="0" fillId="0" borderId="0" xfId="0" applyNumberFormat="1"/>
    <xf numFmtId="0" fontId="0" fillId="0" borderId="2" xfId="0" applyBorder="1" applyAlignment="1">
      <alignment horizontal="fill"/>
    </xf>
    <xf numFmtId="0" fontId="0" fillId="0" borderId="1" xfId="0" applyBorder="1" applyAlignment="1">
      <alignment horizontal="fill"/>
    </xf>
    <xf numFmtId="14" fontId="0" fillId="0" borderId="1" xfId="0" applyNumberFormat="1" applyFill="1" applyBorder="1" applyAlignment="1">
      <alignment horizontal="fill"/>
    </xf>
    <xf numFmtId="0" fontId="0" fillId="0" borderId="1" xfId="0" applyFill="1" applyBorder="1" applyAlignment="1">
      <alignment horizontal="fill"/>
    </xf>
    <xf numFmtId="0" fontId="9" fillId="2" borderId="1" xfId="0" applyFont="1" applyFill="1" applyBorder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9" xfId="0" applyFont="1" applyFill="1" applyBorder="1" applyAlignment="1">
      <alignment horizontal="center" vertical="center" wrapText="1"/>
    </xf>
    <xf numFmtId="14" fontId="4" fillId="4" borderId="3" xfId="0" applyNumberFormat="1" applyFont="1" applyFill="1" applyBorder="1"/>
    <xf numFmtId="0" fontId="0" fillId="0" borderId="0" xfId="0" applyNumberFormat="1" applyProtection="1">
      <protection locked="0"/>
    </xf>
    <xf numFmtId="14" fontId="9" fillId="3" borderId="1" xfId="0" applyNumberFormat="1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0" fillId="6" borderId="6" xfId="0" applyFill="1" applyBorder="1" applyAlignment="1"/>
    <xf numFmtId="0" fontId="0" fillId="6" borderId="7" xfId="0" applyFill="1" applyBorder="1" applyAlignment="1"/>
    <xf numFmtId="0" fontId="0" fillId="6" borderId="8" xfId="0" applyFill="1" applyBorder="1" applyAlignment="1"/>
    <xf numFmtId="0" fontId="0" fillId="6" borderId="6" xfId="0" applyFill="1" applyBorder="1" applyAlignment="1">
      <alignment horizontal="left" indent="3"/>
    </xf>
    <xf numFmtId="0" fontId="0" fillId="6" borderId="7" xfId="0" applyFill="1" applyBorder="1" applyAlignment="1">
      <alignment horizontal="left" indent="3"/>
    </xf>
    <xf numFmtId="0" fontId="0" fillId="6" borderId="8" xfId="0" applyFill="1" applyBorder="1" applyAlignment="1">
      <alignment horizontal="left" indent="3"/>
    </xf>
    <xf numFmtId="0" fontId="0" fillId="11" borderId="6" xfId="0" applyFill="1" applyBorder="1" applyAlignment="1"/>
    <xf numFmtId="0" fontId="0" fillId="11" borderId="7" xfId="0" applyFill="1" applyBorder="1" applyAlignment="1"/>
    <xf numFmtId="0" fontId="0" fillId="11" borderId="8" xfId="0" applyFill="1" applyBorder="1" applyAlignment="1"/>
    <xf numFmtId="0" fontId="10" fillId="10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/>
    <xf numFmtId="0" fontId="1" fillId="5" borderId="8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128487780953068E-2"/>
          <c:y val="6.5315166009698972E-2"/>
          <c:w val="0.90633082878999849"/>
          <c:h val="0.87476649175859289"/>
        </c:manualLayout>
      </c:layout>
      <c:lineChart>
        <c:grouping val="standard"/>
        <c:varyColors val="0"/>
        <c:ser>
          <c:idx val="0"/>
          <c:order val="0"/>
          <c:tx>
            <c:strRef>
              <c:f>'Ref.'!$AA$1</c:f>
              <c:strCache>
                <c:ptCount val="1"/>
                <c:pt idx="0">
                  <c:v>Date</c:v>
                </c:pt>
              </c:strCache>
            </c:strRef>
          </c:tx>
          <c:marker>
            <c:symbol val="none"/>
          </c:marker>
          <c:dLbls>
            <c:delete val="1"/>
          </c:dLbls>
          <c:val>
            <c:numRef>
              <c:f>[0]!tEfficecny</c:f>
              <c:numCache>
                <c:formatCode>0.0</c:formatCode>
                <c:ptCount val="1"/>
                <c:pt idx="0">
                  <c:v>60.4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6451328"/>
        <c:axId val="86453632"/>
      </c:lineChart>
      <c:catAx>
        <c:axId val="86451328"/>
        <c:scaling>
          <c:orientation val="minMax"/>
        </c:scaling>
        <c:delete val="1"/>
        <c:axPos val="b"/>
        <c:majorTickMark val="out"/>
        <c:minorTickMark val="none"/>
        <c:tickLblPos val="none"/>
        <c:crossAx val="86453632"/>
        <c:crosses val="autoZero"/>
        <c:auto val="1"/>
        <c:lblAlgn val="ctr"/>
        <c:lblOffset val="100"/>
        <c:noMultiLvlLbl val="0"/>
      </c:catAx>
      <c:valAx>
        <c:axId val="86453632"/>
        <c:scaling>
          <c:orientation val="minMax"/>
          <c:max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645132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9.png"/><Relationship Id="rId1" Type="http://schemas.openxmlformats.org/officeDocument/2006/relationships/image" Target="../media/image18.jpeg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19</xdr:row>
      <xdr:rowOff>85725</xdr:rowOff>
    </xdr:from>
    <xdr:to>
      <xdr:col>14</xdr:col>
      <xdr:colOff>257175</xdr:colOff>
      <xdr:row>26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57247" b="73958"/>
        <a:stretch>
          <a:fillRect/>
        </a:stretch>
      </xdr:blipFill>
      <xdr:spPr bwMode="auto">
        <a:xfrm>
          <a:off x="3228975" y="3705225"/>
          <a:ext cx="5562600" cy="1438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85725</xdr:colOff>
      <xdr:row>27</xdr:row>
      <xdr:rowOff>180975</xdr:rowOff>
    </xdr:from>
    <xdr:to>
      <xdr:col>13</xdr:col>
      <xdr:colOff>390525</xdr:colOff>
      <xdr:row>49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32430" t="19792" r="32431" b="23958"/>
        <a:stretch>
          <a:fillRect/>
        </a:stretch>
      </xdr:blipFill>
      <xdr:spPr bwMode="auto">
        <a:xfrm>
          <a:off x="3743325" y="5324475"/>
          <a:ext cx="4572000" cy="404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495300</xdr:colOff>
      <xdr:row>0</xdr:row>
      <xdr:rowOff>76200</xdr:rowOff>
    </xdr:from>
    <xdr:to>
      <xdr:col>19</xdr:col>
      <xdr:colOff>85726</xdr:colOff>
      <xdr:row>14</xdr:row>
      <xdr:rowOff>76200</xdr:rowOff>
    </xdr:to>
    <xdr:grpSp>
      <xdr:nvGrpSpPr>
        <xdr:cNvPr id="4" name="Group 3"/>
        <xdr:cNvGrpSpPr/>
      </xdr:nvGrpSpPr>
      <xdr:grpSpPr>
        <a:xfrm>
          <a:off x="1104900" y="76200"/>
          <a:ext cx="10563226" cy="2667000"/>
          <a:chOff x="1933574" y="57150"/>
          <a:chExt cx="10563226" cy="2667000"/>
        </a:xfrm>
      </xdr:grpSpPr>
      <xdr:pic>
        <xdr:nvPicPr>
          <xdr:cNvPr id="5" name="Picture 4" descr="main(32).jpg"/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t="29332" b="22696"/>
          <a:stretch>
            <a:fillRect/>
          </a:stretch>
        </xdr:blipFill>
        <xdr:spPr>
          <a:xfrm>
            <a:off x="1933574" y="57150"/>
            <a:ext cx="10563226" cy="2667000"/>
          </a:xfrm>
          <a:prstGeom prst="rect">
            <a:avLst/>
          </a:prstGeom>
        </xdr:spPr>
      </xdr:pic>
      <xdr:grpSp>
        <xdr:nvGrpSpPr>
          <xdr:cNvPr id="6" name="Group 8"/>
          <xdr:cNvGrpSpPr/>
        </xdr:nvGrpSpPr>
        <xdr:grpSpPr>
          <a:xfrm>
            <a:off x="6819899" y="171450"/>
            <a:ext cx="5581650" cy="819150"/>
            <a:chOff x="6819899" y="171450"/>
            <a:chExt cx="5581650" cy="819150"/>
          </a:xfrm>
        </xdr:grpSpPr>
        <xdr:sp macro="" textlink="">
          <xdr:nvSpPr>
            <xdr:cNvPr id="7" name="Rectangle 3"/>
            <xdr:cNvSpPr/>
          </xdr:nvSpPr>
          <xdr:spPr>
            <a:xfrm>
              <a:off x="6819899" y="171450"/>
              <a:ext cx="5581650" cy="8191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8" name="Picture 7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838949" y="200026"/>
              <a:ext cx="3552825" cy="768298"/>
            </a:xfrm>
            <a:prstGeom prst="rect">
              <a:avLst/>
            </a:prstGeom>
          </xdr:spPr>
        </xdr:pic>
        <xdr:pic>
          <xdr:nvPicPr>
            <xdr:cNvPr id="9" name="Picture 8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0925174" y="600075"/>
              <a:ext cx="1174990" cy="254817"/>
            </a:xfrm>
            <a:prstGeom prst="rect">
              <a:avLst/>
            </a:prstGeom>
          </xdr:spPr>
        </xdr:pic>
        <xdr:sp macro="" textlink="">
          <xdr:nvSpPr>
            <xdr:cNvPr id="10" name="TextBox 9"/>
            <xdr:cNvSpPr txBox="1"/>
          </xdr:nvSpPr>
          <xdr:spPr>
            <a:xfrm>
              <a:off x="11077574" y="285750"/>
              <a:ext cx="89534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1100" b="1"/>
                <a:t>Powered</a:t>
              </a:r>
              <a:r>
                <a:rPr lang="en-US" sz="1100" b="1" baseline="0"/>
                <a:t> By</a:t>
              </a:r>
              <a:endParaRPr lang="en-US" sz="1100" b="1"/>
            </a:p>
          </xdr:txBody>
        </xdr:sp>
        <xdr:cxnSp macro="">
          <xdr:nvCxnSpPr>
            <xdr:cNvPr id="11" name="Straight Connector 10"/>
            <xdr:cNvCxnSpPr/>
          </xdr:nvCxnSpPr>
          <xdr:spPr>
            <a:xfrm>
              <a:off x="10639424" y="295275"/>
              <a:ext cx="0" cy="590550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</xdr:colOff>
      <xdr:row>1</xdr:row>
      <xdr:rowOff>180975</xdr:rowOff>
    </xdr:from>
    <xdr:to>
      <xdr:col>0</xdr:col>
      <xdr:colOff>590551</xdr:colOff>
      <xdr:row>6</xdr:row>
      <xdr:rowOff>76199</xdr:rowOff>
    </xdr:to>
    <xdr:grpSp>
      <xdr:nvGrpSpPr>
        <xdr:cNvPr id="15" name="Group 14"/>
        <xdr:cNvGrpSpPr/>
      </xdr:nvGrpSpPr>
      <xdr:grpSpPr>
        <a:xfrm>
          <a:off x="66675" y="371475"/>
          <a:ext cx="523876" cy="847724"/>
          <a:chOff x="66674" y="419100"/>
          <a:chExt cx="523876" cy="847724"/>
        </a:xfrm>
      </xdr:grpSpPr>
      <xdr:pic macro="[0]!cmdUserForm">
        <xdr:nvPicPr>
          <xdr:cNvPr id="16" name="Picture 15" descr="fill_form-512.png"/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6200" y="419100"/>
            <a:ext cx="514350" cy="514350"/>
          </a:xfrm>
          <a:prstGeom prst="rect">
            <a:avLst/>
          </a:prstGeom>
        </xdr:spPr>
      </xdr:pic>
      <xdr:sp macro="[0]!cmdUserForm" textlink="">
        <xdr:nvSpPr>
          <xdr:cNvPr id="17" name="TextBox 14"/>
          <xdr:cNvSpPr txBox="1"/>
        </xdr:nvSpPr>
        <xdr:spPr>
          <a:xfrm>
            <a:off x="66674" y="933449"/>
            <a:ext cx="447676" cy="33337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Daily </a:t>
            </a:r>
          </a:p>
          <a:p>
            <a:pPr algn="ctr"/>
            <a:r>
              <a:rPr lang="en-US" sz="800" b="1"/>
              <a:t>Status</a:t>
            </a:r>
          </a:p>
        </xdr:txBody>
      </xdr:sp>
    </xdr:grpSp>
    <xdr:clientData/>
  </xdr:twoCellAnchor>
  <xdr:twoCellAnchor editAs="absolute">
    <xdr:from>
      <xdr:col>1</xdr:col>
      <xdr:colOff>38099</xdr:colOff>
      <xdr:row>1</xdr:row>
      <xdr:rowOff>183540</xdr:rowOff>
    </xdr:from>
    <xdr:to>
      <xdr:col>2</xdr:col>
      <xdr:colOff>9524</xdr:colOff>
      <xdr:row>5</xdr:row>
      <xdr:rowOff>186869</xdr:rowOff>
    </xdr:to>
    <xdr:grpSp>
      <xdr:nvGrpSpPr>
        <xdr:cNvPr id="18" name="Group 17"/>
        <xdr:cNvGrpSpPr/>
      </xdr:nvGrpSpPr>
      <xdr:grpSpPr>
        <a:xfrm>
          <a:off x="647699" y="374040"/>
          <a:ext cx="581025" cy="765329"/>
          <a:chOff x="12963524" y="326415"/>
          <a:chExt cx="581025" cy="765329"/>
        </a:xfrm>
      </xdr:grpSpPr>
      <xdr:pic macro="[0]!cmbUpload">
        <xdr:nvPicPr>
          <xdr:cNvPr id="19" name="Picture 18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r="48000"/>
          <a:stretch>
            <a:fillRect/>
          </a:stretch>
        </xdr:blipFill>
        <xdr:spPr bwMode="auto">
          <a:xfrm>
            <a:off x="12963524" y="326415"/>
            <a:ext cx="581025" cy="558677"/>
          </a:xfrm>
          <a:prstGeom prst="rect">
            <a:avLst/>
          </a:prstGeom>
          <a:noFill/>
        </xdr:spPr>
      </xdr:pic>
      <xdr:sp macro="[0]!cmbUpload" textlink="">
        <xdr:nvSpPr>
          <xdr:cNvPr id="20" name="TextBox 14"/>
          <xdr:cNvSpPr txBox="1"/>
        </xdr:nvSpPr>
        <xdr:spPr>
          <a:xfrm>
            <a:off x="12982575" y="876300"/>
            <a:ext cx="492443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Upload</a:t>
            </a:r>
          </a:p>
        </xdr:txBody>
      </xdr:sp>
    </xdr:grpSp>
    <xdr:clientData/>
  </xdr:twoCellAnchor>
  <xdr:twoCellAnchor editAs="absolute">
    <xdr:from>
      <xdr:col>2</xdr:col>
      <xdr:colOff>57150</xdr:colOff>
      <xdr:row>2</xdr:row>
      <xdr:rowOff>83325</xdr:rowOff>
    </xdr:from>
    <xdr:to>
      <xdr:col>2</xdr:col>
      <xdr:colOff>549593</xdr:colOff>
      <xdr:row>6</xdr:row>
      <xdr:rowOff>5894</xdr:rowOff>
    </xdr:to>
    <xdr:grpSp>
      <xdr:nvGrpSpPr>
        <xdr:cNvPr id="22" name="Group 21"/>
        <xdr:cNvGrpSpPr/>
      </xdr:nvGrpSpPr>
      <xdr:grpSpPr>
        <a:xfrm>
          <a:off x="1276350" y="464325"/>
          <a:ext cx="492443" cy="684569"/>
          <a:chOff x="1276350" y="464325"/>
          <a:chExt cx="492443" cy="684569"/>
        </a:xfrm>
      </xdr:grpSpPr>
      <xdr:sp macro="[0]!cmdSendMail" textlink="">
        <xdr:nvSpPr>
          <xdr:cNvPr id="21" name="TextBox 14"/>
          <xdr:cNvSpPr txBox="1"/>
        </xdr:nvSpPr>
        <xdr:spPr>
          <a:xfrm>
            <a:off x="1276350" y="933450"/>
            <a:ext cx="492443" cy="21544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e-Mail</a:t>
            </a:r>
          </a:p>
        </xdr:txBody>
      </xdr:sp>
      <xdr:pic macro="[0]!cmdSendMail">
        <xdr:nvPicPr>
          <xdr:cNvPr id="23" name="Picture 22" descr="mail.png"/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283475" y="464325"/>
            <a:ext cx="450075" cy="4500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28575</xdr:colOff>
      <xdr:row>0</xdr:row>
      <xdr:rowOff>28575</xdr:rowOff>
    </xdr:from>
    <xdr:to>
      <xdr:col>19</xdr:col>
      <xdr:colOff>581025</xdr:colOff>
      <xdr:row>8</xdr:row>
      <xdr:rowOff>0</xdr:rowOff>
    </xdr:to>
    <xdr:grpSp>
      <xdr:nvGrpSpPr>
        <xdr:cNvPr id="28" name="Group 27"/>
        <xdr:cNvGrpSpPr/>
      </xdr:nvGrpSpPr>
      <xdr:grpSpPr>
        <a:xfrm>
          <a:off x="1857375" y="28575"/>
          <a:ext cx="10306050" cy="1495425"/>
          <a:chOff x="1857375" y="28575"/>
          <a:chExt cx="9715500" cy="1495425"/>
        </a:xfrm>
      </xdr:grpSpPr>
      <xdr:grpSp>
        <xdr:nvGrpSpPr>
          <xdr:cNvPr id="24" name="Group 23"/>
          <xdr:cNvGrpSpPr/>
        </xdr:nvGrpSpPr>
        <xdr:grpSpPr>
          <a:xfrm>
            <a:off x="1857375" y="28575"/>
            <a:ext cx="9715500" cy="1495425"/>
            <a:chOff x="1828800" y="0"/>
            <a:chExt cx="9486904" cy="1504949"/>
          </a:xfrm>
        </xdr:grpSpPr>
        <xdr:pic>
          <xdr:nvPicPr>
            <xdr:cNvPr id="2" name="Picture 1" descr="main(32).jp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t="29332" b="22696"/>
            <a:stretch>
              <a:fillRect/>
            </a:stretch>
          </xdr:blipFill>
          <xdr:spPr>
            <a:xfrm flipH="1">
              <a:off x="1828800" y="0"/>
              <a:ext cx="9486904" cy="1504949"/>
            </a:xfrm>
            <a:prstGeom prst="rect">
              <a:avLst/>
            </a:prstGeom>
            <a:ln>
              <a:noFill/>
            </a:ln>
          </xdr:spPr>
        </xdr:pic>
        <xdr:grpSp>
          <xdr:nvGrpSpPr>
            <xdr:cNvPr id="3" name="Group 2"/>
            <xdr:cNvGrpSpPr/>
          </xdr:nvGrpSpPr>
          <xdr:grpSpPr>
            <a:xfrm>
              <a:off x="4962528" y="36992"/>
              <a:ext cx="2532085" cy="353533"/>
              <a:chOff x="5400673" y="210854"/>
              <a:chExt cx="4621836" cy="645306"/>
            </a:xfrm>
          </xdr:grpSpPr>
          <xdr:sp macro="" textlink="">
            <xdr:nvSpPr>
              <xdr:cNvPr id="4" name="Rectangle 3"/>
              <xdr:cNvSpPr/>
            </xdr:nvSpPr>
            <xdr:spPr>
              <a:xfrm>
                <a:off x="5400673" y="247650"/>
                <a:ext cx="4621836" cy="608510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  <xdr:pic>
            <xdr:nvPicPr>
              <xdr:cNvPr id="5" name="Picture 4" descr="Construction_IC_Logo_800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5537146" y="326028"/>
                <a:ext cx="2693037" cy="452915"/>
              </a:xfrm>
              <a:prstGeom prst="rect">
                <a:avLst/>
              </a:prstGeom>
            </xdr:spPr>
          </xdr:pic>
          <xdr:pic>
            <xdr:nvPicPr>
              <xdr:cNvPr id="6" name="Picture 5" descr="timetric_logo_footer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8694187" y="556532"/>
                <a:ext cx="997171" cy="168183"/>
              </a:xfrm>
              <a:prstGeom prst="rect">
                <a:avLst/>
              </a:prstGeom>
            </xdr:spPr>
          </xdr:pic>
          <xdr:sp macro="" textlink="">
            <xdr:nvSpPr>
              <xdr:cNvPr id="7" name="TextBox 6"/>
              <xdr:cNvSpPr txBox="1"/>
            </xdr:nvSpPr>
            <xdr:spPr>
              <a:xfrm>
                <a:off x="8896962" y="210854"/>
                <a:ext cx="693756" cy="36712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800" b="1" baseline="0"/>
                  <a:t>By</a:t>
                </a:r>
                <a:endParaRPr lang="en-US" sz="800" b="1"/>
              </a:p>
            </xdr:txBody>
          </xdr:sp>
          <xdr:cxnSp macro="">
            <xdr:nvCxnSpPr>
              <xdr:cNvPr id="8" name="Straight Connector 7"/>
              <xdr:cNvCxnSpPr/>
            </xdr:nvCxnSpPr>
            <xdr:spPr>
              <a:xfrm>
                <a:off x="8486121" y="339633"/>
                <a:ext cx="0" cy="438694"/>
              </a:xfrm>
              <a:prstGeom prst="line">
                <a:avLst/>
              </a:prstGeom>
              <a:ln w="38100">
                <a:solidFill>
                  <a:schemeClr val="tx2">
                    <a:lumMod val="75000"/>
                  </a:schemeClr>
                </a:solidFill>
                <a:prstDash val="soli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25" name="Group 24"/>
          <xdr:cNvGrpSpPr/>
        </xdr:nvGrpSpPr>
        <xdr:grpSpPr>
          <a:xfrm>
            <a:off x="1943100" y="676275"/>
            <a:ext cx="2304637" cy="725633"/>
            <a:chOff x="2331517" y="536344"/>
            <a:chExt cx="2326499" cy="725633"/>
          </a:xfrm>
        </xdr:grpSpPr>
        <xdr:sp macro="" textlink="$B$2">
          <xdr:nvSpPr>
            <xdr:cNvPr id="26" name="stxtEname"/>
            <xdr:cNvSpPr txBox="1"/>
          </xdr:nvSpPr>
          <xdr:spPr>
            <a:xfrm>
              <a:off x="2331518" y="917344"/>
              <a:ext cx="2326498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6B7A1908-921C-4B90-88E0-24012F076B93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Name :  No Record Found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  <xdr:sp macro="" textlink="$B$1">
          <xdr:nvSpPr>
            <xdr:cNvPr id="27" name="TextBox 26"/>
            <xdr:cNvSpPr txBox="1"/>
          </xdr:nvSpPr>
          <xdr:spPr>
            <a:xfrm>
              <a:off x="2331517" y="536344"/>
              <a:ext cx="1566808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575D0E99-008A-4F26-8EE0-9EC56F6D93AA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ID        :  80874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</xdr:colOff>
      <xdr:row>2</xdr:row>
      <xdr:rowOff>8272</xdr:rowOff>
    </xdr:from>
    <xdr:to>
      <xdr:col>1</xdr:col>
      <xdr:colOff>561976</xdr:colOff>
      <xdr:row>5</xdr:row>
      <xdr:rowOff>104775</xdr:rowOff>
    </xdr:to>
    <xdr:grpSp>
      <xdr:nvGrpSpPr>
        <xdr:cNvPr id="2" name="Group 1"/>
        <xdr:cNvGrpSpPr/>
      </xdr:nvGrpSpPr>
      <xdr:grpSpPr>
        <a:xfrm>
          <a:off x="619125" y="389272"/>
          <a:ext cx="514351" cy="668003"/>
          <a:chOff x="14049374" y="436897"/>
          <a:chExt cx="514351" cy="668003"/>
        </a:xfrm>
      </xdr:grpSpPr>
      <xdr:pic macro="[0]!cmbUpdate">
        <xdr:nvPicPr>
          <xdr:cNvPr id="3" name="Picture 2" descr="C:\Documents and Settings\gsantosh\My Documents\Downloads\Icons\update_file-51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4114795" y="436897"/>
            <a:ext cx="439403" cy="439403"/>
          </a:xfrm>
          <a:prstGeom prst="rect">
            <a:avLst/>
          </a:prstGeom>
          <a:noFill/>
        </xdr:spPr>
      </xdr:pic>
      <xdr:sp macro="[0]!cmbUpdate" textlink="">
        <xdr:nvSpPr>
          <xdr:cNvPr id="4" name="TextBox 7"/>
          <xdr:cNvSpPr txBox="1"/>
        </xdr:nvSpPr>
        <xdr:spPr>
          <a:xfrm>
            <a:off x="14049374" y="876300"/>
            <a:ext cx="514351" cy="2286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800" b="1"/>
              <a:t>Update</a:t>
            </a:r>
          </a:p>
        </xdr:txBody>
      </xdr:sp>
    </xdr:grpSp>
    <xdr:clientData/>
  </xdr:twoCellAnchor>
  <xdr:twoCellAnchor editAs="absolute">
    <xdr:from>
      <xdr:col>2</xdr:col>
      <xdr:colOff>28576</xdr:colOff>
      <xdr:row>1</xdr:row>
      <xdr:rowOff>152724</xdr:rowOff>
    </xdr:from>
    <xdr:to>
      <xdr:col>2</xdr:col>
      <xdr:colOff>556285</xdr:colOff>
      <xdr:row>5</xdr:row>
      <xdr:rowOff>82094</xdr:rowOff>
    </xdr:to>
    <xdr:grpSp>
      <xdr:nvGrpSpPr>
        <xdr:cNvPr id="5" name="Group 4"/>
        <xdr:cNvGrpSpPr/>
      </xdr:nvGrpSpPr>
      <xdr:grpSpPr>
        <a:xfrm>
          <a:off x="1171576" y="343224"/>
          <a:ext cx="527709" cy="691370"/>
          <a:chOff x="14506575" y="400374"/>
          <a:chExt cx="527709" cy="691370"/>
        </a:xfrm>
      </xdr:grpSpPr>
      <xdr:pic macro="[0]!cmdRefresh">
        <xdr:nvPicPr>
          <xdr:cNvPr id="6" name="Picture 5" descr="C:\Documents and Settings\gsantosh\My Documents\Downloads\Icons\paint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14516423" y="400374"/>
            <a:ext cx="475926" cy="475926"/>
          </a:xfrm>
          <a:prstGeom prst="rect">
            <a:avLst/>
          </a:prstGeom>
          <a:noFill/>
        </xdr:spPr>
      </xdr:pic>
      <xdr:sp macro="[0]!cmdRefresh" textlink="">
        <xdr:nvSpPr>
          <xdr:cNvPr id="7" name="TextBox 9"/>
          <xdr:cNvSpPr txBox="1"/>
        </xdr:nvSpPr>
        <xdr:spPr>
          <a:xfrm>
            <a:off x="14506575" y="876300"/>
            <a:ext cx="5277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Refresh </a:t>
            </a: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6598</xdr:rowOff>
    </xdr:from>
    <xdr:to>
      <xdr:col>1</xdr:col>
      <xdr:colOff>50292</xdr:colOff>
      <xdr:row>5</xdr:row>
      <xdr:rowOff>76200</xdr:rowOff>
    </xdr:to>
    <xdr:grpSp>
      <xdr:nvGrpSpPr>
        <xdr:cNvPr id="8" name="Group 7"/>
        <xdr:cNvGrpSpPr/>
      </xdr:nvGrpSpPr>
      <xdr:grpSpPr>
        <a:xfrm>
          <a:off x="0" y="387598"/>
          <a:ext cx="621792" cy="641102"/>
          <a:chOff x="13469489" y="435223"/>
          <a:chExt cx="621792" cy="641102"/>
        </a:xfrm>
      </xdr:grpSpPr>
      <xdr:pic macro="[0]!cmdDownload">
        <xdr:nvPicPr>
          <xdr:cNvPr id="9" name="Picture 8" descr="C:\Documents and Settings\gsantosh\My Documents\Downloads\Icons\Uploade and Download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48000"/>
          <a:stretch>
            <a:fillRect/>
          </a:stretch>
        </xdr:blipFill>
        <xdr:spPr bwMode="auto">
          <a:xfrm>
            <a:off x="13535025" y="435223"/>
            <a:ext cx="467864" cy="449869"/>
          </a:xfrm>
          <a:prstGeom prst="rect">
            <a:avLst/>
          </a:prstGeom>
          <a:noFill/>
        </xdr:spPr>
      </xdr:pic>
      <xdr:sp macro="[0]!cmdDownload" textlink="">
        <xdr:nvSpPr>
          <xdr:cNvPr id="10" name="TextBox 13"/>
          <xdr:cNvSpPr txBox="1"/>
        </xdr:nvSpPr>
        <xdr:spPr>
          <a:xfrm>
            <a:off x="13469489" y="876300"/>
            <a:ext cx="621792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Download</a:t>
            </a:r>
          </a:p>
        </xdr:txBody>
      </xdr:sp>
    </xdr:grpSp>
    <xdr:clientData/>
  </xdr:twoCellAnchor>
  <xdr:twoCellAnchor editAs="absolute">
    <xdr:from>
      <xdr:col>3</xdr:col>
      <xdr:colOff>19049</xdr:colOff>
      <xdr:row>0</xdr:row>
      <xdr:rowOff>19050</xdr:rowOff>
    </xdr:from>
    <xdr:to>
      <xdr:col>20</xdr:col>
      <xdr:colOff>609600</xdr:colOff>
      <xdr:row>7</xdr:row>
      <xdr:rowOff>180975</xdr:rowOff>
    </xdr:to>
    <xdr:grpSp>
      <xdr:nvGrpSpPr>
        <xdr:cNvPr id="11" name="Group 10"/>
        <xdr:cNvGrpSpPr/>
      </xdr:nvGrpSpPr>
      <xdr:grpSpPr>
        <a:xfrm>
          <a:off x="1733549" y="19050"/>
          <a:ext cx="10525126" cy="1495425"/>
          <a:chOff x="1857375" y="28575"/>
          <a:chExt cx="9715500" cy="1495425"/>
        </a:xfrm>
      </xdr:grpSpPr>
      <xdr:grpSp>
        <xdr:nvGrpSpPr>
          <xdr:cNvPr id="12" name="Group 23"/>
          <xdr:cNvGrpSpPr/>
        </xdr:nvGrpSpPr>
        <xdr:grpSpPr>
          <a:xfrm>
            <a:off x="1857375" y="28575"/>
            <a:ext cx="9715500" cy="1495425"/>
            <a:chOff x="1828800" y="0"/>
            <a:chExt cx="9486904" cy="1504949"/>
          </a:xfrm>
        </xdr:grpSpPr>
        <xdr:pic>
          <xdr:nvPicPr>
            <xdr:cNvPr id="16" name="Picture 15" descr="main(32).jp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t="29332" b="22696"/>
            <a:stretch>
              <a:fillRect/>
            </a:stretch>
          </xdr:blipFill>
          <xdr:spPr>
            <a:xfrm flipH="1">
              <a:off x="1828800" y="0"/>
              <a:ext cx="9486904" cy="1504949"/>
            </a:xfrm>
            <a:prstGeom prst="rect">
              <a:avLst/>
            </a:prstGeom>
            <a:ln>
              <a:noFill/>
            </a:ln>
          </xdr:spPr>
        </xdr:pic>
        <xdr:grpSp>
          <xdr:nvGrpSpPr>
            <xdr:cNvPr id="17" name="Group 2"/>
            <xdr:cNvGrpSpPr/>
          </xdr:nvGrpSpPr>
          <xdr:grpSpPr>
            <a:xfrm>
              <a:off x="4962528" y="36992"/>
              <a:ext cx="2532085" cy="353533"/>
              <a:chOff x="5400673" y="210854"/>
              <a:chExt cx="4621836" cy="645306"/>
            </a:xfrm>
          </xdr:grpSpPr>
          <xdr:sp macro="" textlink="">
            <xdr:nvSpPr>
              <xdr:cNvPr id="18" name="Rectangle 3"/>
              <xdr:cNvSpPr/>
            </xdr:nvSpPr>
            <xdr:spPr>
              <a:xfrm>
                <a:off x="5400673" y="247650"/>
                <a:ext cx="4621836" cy="608510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1100"/>
              </a:p>
            </xdr:txBody>
          </xdr:sp>
          <xdr:pic>
            <xdr:nvPicPr>
              <xdr:cNvPr id="19" name="Picture 4" descr="Construction_IC_Logo_800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5537146" y="326028"/>
                <a:ext cx="2693037" cy="452915"/>
              </a:xfrm>
              <a:prstGeom prst="rect">
                <a:avLst/>
              </a:prstGeom>
            </xdr:spPr>
          </xdr:pic>
          <xdr:pic>
            <xdr:nvPicPr>
              <xdr:cNvPr id="20" name="Picture 5" descr="timetric_logo_footer.png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8694187" y="556532"/>
                <a:ext cx="997171" cy="168183"/>
              </a:xfrm>
              <a:prstGeom prst="rect">
                <a:avLst/>
              </a:prstGeom>
            </xdr:spPr>
          </xdr:pic>
          <xdr:sp macro="" textlink="">
            <xdr:nvSpPr>
              <xdr:cNvPr id="21" name="TextBox 6"/>
              <xdr:cNvSpPr txBox="1"/>
            </xdr:nvSpPr>
            <xdr:spPr>
              <a:xfrm>
                <a:off x="8896962" y="210854"/>
                <a:ext cx="693756" cy="36712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square" rtlCol="0" anchor="t">
                <a:noAutofit/>
              </a:bodyPr>
              <a:lstStyle/>
              <a:p>
                <a:r>
                  <a:rPr lang="en-US" sz="800" b="1" baseline="0"/>
                  <a:t>By</a:t>
                </a:r>
                <a:endParaRPr lang="en-US" sz="800" b="1"/>
              </a:p>
            </xdr:txBody>
          </xdr:sp>
          <xdr:cxnSp macro="">
            <xdr:nvCxnSpPr>
              <xdr:cNvPr id="22" name="Straight Connector 7"/>
              <xdr:cNvCxnSpPr/>
            </xdr:nvCxnSpPr>
            <xdr:spPr>
              <a:xfrm>
                <a:off x="8486121" y="339633"/>
                <a:ext cx="0" cy="438694"/>
              </a:xfrm>
              <a:prstGeom prst="line">
                <a:avLst/>
              </a:prstGeom>
              <a:ln w="38100">
                <a:solidFill>
                  <a:schemeClr val="tx2">
                    <a:lumMod val="75000"/>
                  </a:schemeClr>
                </a:solidFill>
                <a:prstDash val="soli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3" name="Group 24"/>
          <xdr:cNvGrpSpPr/>
        </xdr:nvGrpSpPr>
        <xdr:grpSpPr>
          <a:xfrm>
            <a:off x="1943100" y="676275"/>
            <a:ext cx="2256665" cy="725633"/>
            <a:chOff x="2331518" y="536344"/>
            <a:chExt cx="2278073" cy="725633"/>
          </a:xfrm>
        </xdr:grpSpPr>
        <xdr:sp macro="" textlink="Production!$B$2">
          <xdr:nvSpPr>
            <xdr:cNvPr id="14" name="stxtEname"/>
            <xdr:cNvSpPr txBox="1"/>
          </xdr:nvSpPr>
          <xdr:spPr>
            <a:xfrm>
              <a:off x="2331518" y="917344"/>
              <a:ext cx="2278073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0839C6F2-40C4-4887-B96A-6A877DBBECAE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Name :  No Record Found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  <xdr:sp macro="" textlink="Production!$B$1">
          <xdr:nvSpPr>
            <xdr:cNvPr id="15" name="TextBox 14"/>
            <xdr:cNvSpPr txBox="1"/>
          </xdr:nvSpPr>
          <xdr:spPr>
            <a:xfrm>
              <a:off x="2331519" y="536344"/>
              <a:ext cx="1534196" cy="344633"/>
            </a:xfrm>
            <a:prstGeom prst="round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vert="horz" wrap="none" rtlCol="0" anchor="t" anchorCtr="0">
              <a:spAutoFit/>
            </a:bodyPr>
            <a:lstStyle/>
            <a:p>
              <a:pPr marL="0" indent="0" algn="l"/>
              <a:fld id="{AF385064-9E9D-4334-9541-2B59A86E83C8}" type="TxLink">
                <a:rPr lang="en-US" sz="1400" b="0" i="0" u="none" strike="noStrike">
                  <a:solidFill>
                    <a:sysClr val="windowText" lastClr="000000"/>
                  </a:solidFill>
                  <a:latin typeface="Calibri"/>
                  <a:ea typeface="+mn-ea"/>
                  <a:cs typeface="+mn-cs"/>
                </a:rPr>
                <a:pPr marL="0" indent="0" algn="l"/>
                <a:t>Emp ID        :  80874</a:t>
              </a:fld>
              <a:endPara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19050</xdr:colOff>
      <xdr:row>2</xdr:row>
      <xdr:rowOff>19050</xdr:rowOff>
    </xdr:from>
    <xdr:to>
      <xdr:col>17</xdr:col>
      <xdr:colOff>5715</xdr:colOff>
      <xdr:row>11</xdr:row>
      <xdr:rowOff>161925</xdr:rowOff>
    </xdr:to>
    <xdr:grpSp>
      <xdr:nvGrpSpPr>
        <xdr:cNvPr id="2" name="Group 1"/>
        <xdr:cNvGrpSpPr/>
      </xdr:nvGrpSpPr>
      <xdr:grpSpPr>
        <a:xfrm>
          <a:off x="6182285" y="400050"/>
          <a:ext cx="5555989" cy="1857375"/>
          <a:chOff x="34137600" y="447675"/>
          <a:chExt cx="5488081" cy="1857375"/>
        </a:xfrm>
      </xdr:grpSpPr>
      <xdr:pic>
        <xdr:nvPicPr>
          <xdr:cNvPr id="3" name="Picture 2" descr="main(32).jpg"/>
          <xdr:cNvPicPr>
            <a:picLocks noChangeAspect="1"/>
          </xdr:cNvPicPr>
        </xdr:nvPicPr>
        <xdr:blipFill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35005" t="29332" b="22696"/>
          <a:stretch>
            <a:fillRect/>
          </a:stretch>
        </xdr:blipFill>
        <xdr:spPr>
          <a:xfrm flipH="1">
            <a:off x="34137600" y="447675"/>
            <a:ext cx="5488081" cy="1857375"/>
          </a:xfrm>
          <a:prstGeom prst="rect">
            <a:avLst/>
          </a:prstGeom>
          <a:ln>
            <a:noFill/>
          </a:ln>
        </xdr:spPr>
      </xdr:pic>
      <xdr:grpSp>
        <xdr:nvGrpSpPr>
          <xdr:cNvPr id="4" name="Group 28"/>
          <xdr:cNvGrpSpPr/>
        </xdr:nvGrpSpPr>
        <xdr:grpSpPr>
          <a:xfrm>
            <a:off x="35472696" y="517504"/>
            <a:ext cx="2724596" cy="358796"/>
            <a:chOff x="14414094" y="153984"/>
            <a:chExt cx="3788391" cy="505159"/>
          </a:xfrm>
        </xdr:grpSpPr>
        <xdr:sp macro="" textlink="">
          <xdr:nvSpPr>
            <xdr:cNvPr id="5" name="Rectangle 3"/>
            <xdr:cNvSpPr/>
          </xdr:nvSpPr>
          <xdr:spPr>
            <a:xfrm>
              <a:off x="14414094" y="160364"/>
              <a:ext cx="3788391" cy="498779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6" name="Picture 5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4525952" y="224608"/>
              <a:ext cx="2207408" cy="371242"/>
            </a:xfrm>
            <a:prstGeom prst="rect">
              <a:avLst/>
            </a:prstGeom>
          </xdr:spPr>
        </xdr:pic>
        <xdr:pic>
          <xdr:nvPicPr>
            <xdr:cNvPr id="7" name="Picture 6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3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7113691" y="413546"/>
              <a:ext cx="817354" cy="137855"/>
            </a:xfrm>
            <a:prstGeom prst="rect">
              <a:avLst/>
            </a:prstGeom>
          </xdr:spPr>
        </xdr:pic>
        <xdr:sp macro="" textlink="">
          <xdr:nvSpPr>
            <xdr:cNvPr id="8" name="TextBox 7"/>
            <xdr:cNvSpPr txBox="1"/>
          </xdr:nvSpPr>
          <xdr:spPr>
            <a:xfrm>
              <a:off x="17327986" y="153984"/>
              <a:ext cx="701000" cy="3114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800" b="1" baseline="0"/>
                <a:t>By</a:t>
              </a:r>
              <a:endParaRPr lang="en-US" sz="800" b="1"/>
            </a:p>
          </xdr:txBody>
        </xdr:sp>
        <xdr:cxnSp macro="">
          <xdr:nvCxnSpPr>
            <xdr:cNvPr id="9" name="Straight Connector 8"/>
            <xdr:cNvCxnSpPr/>
          </xdr:nvCxnSpPr>
          <xdr:spPr>
            <a:xfrm>
              <a:off x="16943145" y="235760"/>
              <a:ext cx="0" cy="359585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85725</xdr:colOff>
      <xdr:row>7</xdr:row>
      <xdr:rowOff>123825</xdr:rowOff>
    </xdr:from>
    <xdr:to>
      <xdr:col>12</xdr:col>
      <xdr:colOff>109975</xdr:colOff>
      <xdr:row>11</xdr:row>
      <xdr:rowOff>87458</xdr:rowOff>
    </xdr:to>
    <xdr:grpSp>
      <xdr:nvGrpSpPr>
        <xdr:cNvPr id="10" name="Group 9"/>
        <xdr:cNvGrpSpPr/>
      </xdr:nvGrpSpPr>
      <xdr:grpSpPr>
        <a:xfrm>
          <a:off x="6248960" y="1457325"/>
          <a:ext cx="2444721" cy="725633"/>
          <a:chOff x="2331519" y="536344"/>
          <a:chExt cx="2531729" cy="725633"/>
        </a:xfrm>
      </xdr:grpSpPr>
      <xdr:sp macro="" textlink="Production!$B$2">
        <xdr:nvSpPr>
          <xdr:cNvPr id="11" name="stxtEname"/>
          <xdr:cNvSpPr txBox="1"/>
        </xdr:nvSpPr>
        <xdr:spPr>
          <a:xfrm>
            <a:off x="2331519" y="917344"/>
            <a:ext cx="2531729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DFA4CD28-9805-4DBE-A545-21083CC86039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No Record Found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Production!$B$1">
        <xdr:nvSpPr>
          <xdr:cNvPr id="12" name="TextBox 11"/>
          <xdr:cNvSpPr txBox="1"/>
        </xdr:nvSpPr>
        <xdr:spPr>
          <a:xfrm>
            <a:off x="2331519" y="536344"/>
            <a:ext cx="169574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89539DCD-BBFB-49EA-A54C-7A0EFE1EEF18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80874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9525</xdr:colOff>
      <xdr:row>15</xdr:row>
      <xdr:rowOff>9525</xdr:rowOff>
    </xdr:from>
    <xdr:to>
      <xdr:col>17</xdr:col>
      <xdr:colOff>9525</xdr:colOff>
      <xdr:row>27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5:A52"/>
  <sheetViews>
    <sheetView showGridLines="0" showRowColHeaders="0" tabSelected="1" workbookViewId="0"/>
  </sheetViews>
  <sheetFormatPr defaultRowHeight="15" x14ac:dyDescent="0.25"/>
  <cols>
    <col min="4" max="8" width="9.140625" customWidth="1"/>
  </cols>
  <sheetData>
    <row r="15" spans="1:1" s="52" customFormat="1" ht="47.25" customHeight="1" x14ac:dyDescent="0.25">
      <c r="A15" s="52" t="s">
        <v>159</v>
      </c>
    </row>
    <row r="16" spans="1:1" s="52" customFormat="1" ht="47.25" customHeight="1" x14ac:dyDescent="0.25"/>
    <row r="17" spans="1:1" ht="20.25" x14ac:dyDescent="0.25">
      <c r="A17" s="17" t="s">
        <v>158</v>
      </c>
    </row>
    <row r="19" spans="1:1" ht="20.25" x14ac:dyDescent="0.25">
      <c r="A19" s="17" t="s">
        <v>157</v>
      </c>
    </row>
    <row r="20" spans="1:1" ht="20.25" x14ac:dyDescent="0.25">
      <c r="A20" s="17"/>
    </row>
    <row r="21" spans="1:1" ht="20.25" x14ac:dyDescent="0.25">
      <c r="A21" s="17"/>
    </row>
    <row r="22" spans="1:1" ht="20.25" x14ac:dyDescent="0.25">
      <c r="A22" s="17"/>
    </row>
    <row r="23" spans="1:1" ht="20.25" x14ac:dyDescent="0.25">
      <c r="A23" s="17"/>
    </row>
    <row r="24" spans="1:1" ht="20.25" x14ac:dyDescent="0.25">
      <c r="A24" s="17"/>
    </row>
    <row r="25" spans="1:1" ht="20.25" x14ac:dyDescent="0.25">
      <c r="A25" s="17"/>
    </row>
    <row r="26" spans="1:1" ht="20.25" x14ac:dyDescent="0.25">
      <c r="A26" s="17"/>
    </row>
    <row r="27" spans="1:1" ht="20.25" x14ac:dyDescent="0.25">
      <c r="A27" s="17"/>
    </row>
    <row r="29" spans="1:1" ht="20.25" x14ac:dyDescent="0.25">
      <c r="A29" s="17"/>
    </row>
    <row r="52" spans="1:1" ht="20.25" x14ac:dyDescent="0.25">
      <c r="A52" s="17" t="s">
        <v>156</v>
      </c>
    </row>
  </sheetData>
  <sheetProtection sheet="1" objects="1" scenarios="1"/>
  <mergeCells count="1">
    <mergeCell ref="A15:XFD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9"/>
  <sheetViews>
    <sheetView showGridLines="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A20" sqref="A20"/>
    </sheetView>
  </sheetViews>
  <sheetFormatPr defaultRowHeight="15" x14ac:dyDescent="0.25"/>
  <sheetData>
    <row r="1" spans="1:3" x14ac:dyDescent="0.25">
      <c r="A1" s="1">
        <v>80874</v>
      </c>
      <c r="B1" s="7" t="str">
        <f>CONCATENATE("Emp ID        :  ",$A$1)</f>
        <v>Emp ID        :  80874</v>
      </c>
      <c r="C1" s="9"/>
    </row>
    <row r="2" spans="1:3" x14ac:dyDescent="0.25">
      <c r="A2" s="2" t="str">
        <f>IFERROR(VLOOKUP($A$1,Ref.!$D$3:$E$59,2,FALSE),"No Record Found")</f>
        <v>No Record Found</v>
      </c>
      <c r="B2" s="8" t="str">
        <f>CONCATENATE("Emp Name :  ",$A$2)</f>
        <v>Emp Name :  No Record Found</v>
      </c>
      <c r="C2" s="9"/>
    </row>
    <row r="3" spans="1:3" x14ac:dyDescent="0.25">
      <c r="A3" s="43">
        <v>43138</v>
      </c>
      <c r="B3" s="5"/>
      <c r="C3" s="9"/>
    </row>
    <row r="4" spans="1:3" x14ac:dyDescent="0.25">
      <c r="A4" s="3"/>
      <c r="B4" s="5"/>
      <c r="C4" s="9"/>
    </row>
    <row r="5" spans="1:3" x14ac:dyDescent="0.25">
      <c r="A5" s="3"/>
      <c r="B5" s="5"/>
      <c r="C5" s="9"/>
    </row>
    <row r="6" spans="1:3" x14ac:dyDescent="0.25">
      <c r="A6" s="3"/>
      <c r="B6" s="5"/>
      <c r="C6" s="9"/>
    </row>
    <row r="7" spans="1:3" x14ac:dyDescent="0.25">
      <c r="A7" s="3"/>
      <c r="B7" s="5"/>
      <c r="C7" s="9"/>
    </row>
    <row r="8" spans="1:3" x14ac:dyDescent="0.25">
      <c r="A8" s="4"/>
      <c r="B8" s="6"/>
      <c r="C8" s="9"/>
    </row>
    <row r="9" spans="1:3" hidden="1" x14ac:dyDescent="0.25"/>
    <row r="10" spans="1:3" hidden="1" x14ac:dyDescent="0.25"/>
    <row r="11" spans="1:3" hidden="1" x14ac:dyDescent="0.25"/>
    <row r="12" spans="1:3" hidden="1" x14ac:dyDescent="0.25"/>
    <row r="13" spans="1:3" hidden="1" x14ac:dyDescent="0.25"/>
    <row r="14" spans="1:3" hidden="1" x14ac:dyDescent="0.25"/>
    <row r="15" spans="1:3" hidden="1" x14ac:dyDescent="0.25"/>
    <row r="16" spans="1:3" hidden="1" x14ac:dyDescent="0.25"/>
    <row r="17" spans="1:20" hidden="1" x14ac:dyDescent="0.25"/>
    <row r="18" spans="1:20" hidden="1" x14ac:dyDescent="0.25"/>
    <row r="19" spans="1:20" ht="37.5" customHeight="1" x14ac:dyDescent="0.25">
      <c r="A19" s="42" t="s">
        <v>0</v>
      </c>
      <c r="B19" s="42" t="s">
        <v>1</v>
      </c>
      <c r="C19" s="42" t="s">
        <v>2</v>
      </c>
      <c r="D19" s="42" t="s">
        <v>3</v>
      </c>
      <c r="E19" s="42" t="s">
        <v>4</v>
      </c>
      <c r="F19" s="42" t="s">
        <v>5</v>
      </c>
      <c r="G19" s="42" t="s">
        <v>6</v>
      </c>
      <c r="H19" s="42" t="s">
        <v>7</v>
      </c>
      <c r="I19" s="42" t="s">
        <v>8</v>
      </c>
      <c r="J19" s="42" t="s">
        <v>9</v>
      </c>
      <c r="K19" s="42" t="s">
        <v>10</v>
      </c>
      <c r="L19" s="42" t="s">
        <v>11</v>
      </c>
      <c r="M19" s="42" t="s">
        <v>12</v>
      </c>
      <c r="N19" s="42" t="s">
        <v>13</v>
      </c>
      <c r="O19" s="42" t="s">
        <v>14</v>
      </c>
      <c r="P19" s="42" t="s">
        <v>15</v>
      </c>
      <c r="Q19" s="42" t="s">
        <v>16</v>
      </c>
      <c r="R19" s="42" t="s">
        <v>17</v>
      </c>
      <c r="S19" s="42" t="s">
        <v>18</v>
      </c>
      <c r="T19" s="42" t="s">
        <v>19</v>
      </c>
    </row>
  </sheetData>
  <sheetProtection password="E97D" sheet="1" objects="1" scenarios="1" autoFilter="0"/>
  <autoFilter ref="A19:T19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9148"/>
  <sheetViews>
    <sheetView showGridLines="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AW45" sqref="AW45"/>
    </sheetView>
  </sheetViews>
  <sheetFormatPr defaultRowHeight="15" x14ac:dyDescent="0.25"/>
  <cols>
    <col min="1" max="3" width="8.5703125" customWidth="1"/>
    <col min="5" max="5" width="10" customWidth="1"/>
    <col min="6" max="6" width="7.140625" customWidth="1"/>
    <col min="9" max="9" width="6" customWidth="1"/>
    <col min="10" max="10" width="6.7109375" customWidth="1"/>
    <col min="11" max="11" width="6.28515625" customWidth="1"/>
    <col min="16" max="16" width="10.7109375" customWidth="1"/>
    <col min="20" max="21" width="10.7109375" customWidth="1"/>
    <col min="24" max="24" width="10.7109375" customWidth="1"/>
    <col min="25" max="25" width="9.140625" customWidth="1"/>
    <col min="40" max="40" width="16.7109375" bestFit="1" customWidth="1"/>
    <col min="42" max="42" width="10.28515625" style="41" customWidth="1"/>
    <col min="44" max="44" width="6" customWidth="1"/>
    <col min="46" max="46" width="9.7109375" hidden="1" customWidth="1"/>
    <col min="47" max="48" width="9.140625" hidden="1" customWidth="1"/>
    <col min="49" max="52" width="9.140625" style="44"/>
  </cols>
  <sheetData>
    <row r="1" spans="1:41" x14ac:dyDescent="0.25">
      <c r="A1" s="15"/>
      <c r="B1" s="10"/>
      <c r="C1" s="16"/>
      <c r="AN1" s="45" t="s">
        <v>136</v>
      </c>
      <c r="AO1" s="45" t="s">
        <v>63</v>
      </c>
    </row>
    <row r="2" spans="1:41" x14ac:dyDescent="0.25">
      <c r="A2" s="15"/>
      <c r="B2" s="10"/>
      <c r="C2" s="16"/>
      <c r="AN2" s="46" t="s">
        <v>195</v>
      </c>
      <c r="AO2" s="47">
        <f>COUNTIF($AS:$AS,AN2)</f>
        <v>0</v>
      </c>
    </row>
    <row r="3" spans="1:41" x14ac:dyDescent="0.25">
      <c r="A3" s="15"/>
      <c r="B3" s="10"/>
      <c r="C3" s="16"/>
      <c r="AN3" s="48" t="s">
        <v>194</v>
      </c>
      <c r="AO3" s="47">
        <f t="shared" ref="AO3:AO6" si="0">COUNTIF($AS:$AS,AN3)</f>
        <v>0</v>
      </c>
    </row>
    <row r="4" spans="1:41" x14ac:dyDescent="0.25">
      <c r="A4" s="15"/>
      <c r="B4" s="10"/>
      <c r="C4" s="16"/>
      <c r="AN4" s="49" t="s">
        <v>192</v>
      </c>
      <c r="AO4" s="47">
        <f t="shared" si="0"/>
        <v>0</v>
      </c>
    </row>
    <row r="5" spans="1:41" x14ac:dyDescent="0.25">
      <c r="A5" s="15"/>
      <c r="B5" s="10"/>
      <c r="C5" s="16"/>
      <c r="AN5" s="50" t="s">
        <v>193</v>
      </c>
      <c r="AO5" s="47">
        <f t="shared" si="0"/>
        <v>0</v>
      </c>
    </row>
    <row r="6" spans="1:41" x14ac:dyDescent="0.25">
      <c r="A6" s="15"/>
      <c r="B6" s="10"/>
      <c r="C6" s="16"/>
      <c r="AN6" s="51" t="s">
        <v>191</v>
      </c>
      <c r="AO6" s="47">
        <f t="shared" si="0"/>
        <v>0</v>
      </c>
    </row>
    <row r="7" spans="1:41" x14ac:dyDescent="0.25">
      <c r="A7" s="15"/>
      <c r="B7" s="10"/>
      <c r="C7" s="16"/>
      <c r="AN7" s="45" t="s">
        <v>196</v>
      </c>
      <c r="AO7" s="47">
        <f>COUNT($A:$A)</f>
        <v>0</v>
      </c>
    </row>
    <row r="8" spans="1:41" x14ac:dyDescent="0.25">
      <c r="A8" s="15"/>
      <c r="B8" s="10"/>
      <c r="C8" s="16"/>
    </row>
    <row r="9" spans="1:41" hidden="1" x14ac:dyDescent="0.25"/>
    <row r="10" spans="1:41" hidden="1" x14ac:dyDescent="0.25"/>
    <row r="11" spans="1:41" hidden="1" x14ac:dyDescent="0.25"/>
    <row r="12" spans="1:41" hidden="1" x14ac:dyDescent="0.25"/>
    <row r="13" spans="1:41" hidden="1" x14ac:dyDescent="0.25"/>
    <row r="14" spans="1:41" hidden="1" x14ac:dyDescent="0.25"/>
    <row r="15" spans="1:41" hidden="1" x14ac:dyDescent="0.25"/>
    <row r="16" spans="1:41" hidden="1" x14ac:dyDescent="0.25"/>
    <row r="17" spans="1:52" hidden="1" x14ac:dyDescent="0.25"/>
    <row r="18" spans="1:52" hidden="1" x14ac:dyDescent="0.25"/>
    <row r="19" spans="1:52" ht="37.5" customHeight="1" x14ac:dyDescent="0.25">
      <c r="A19" s="42" t="s">
        <v>94</v>
      </c>
      <c r="B19" s="42" t="s">
        <v>95</v>
      </c>
      <c r="C19" s="42" t="s">
        <v>96</v>
      </c>
      <c r="D19" s="42" t="s">
        <v>2</v>
      </c>
      <c r="E19" s="42" t="s">
        <v>97</v>
      </c>
      <c r="F19" s="42" t="s">
        <v>98</v>
      </c>
      <c r="G19" s="42" t="s">
        <v>99</v>
      </c>
      <c r="H19" s="42" t="s">
        <v>100</v>
      </c>
      <c r="I19" s="42" t="s">
        <v>101</v>
      </c>
      <c r="J19" s="42" t="s">
        <v>102</v>
      </c>
      <c r="K19" s="42" t="s">
        <v>103</v>
      </c>
      <c r="L19" s="42" t="s">
        <v>104</v>
      </c>
      <c r="M19" s="42" t="s">
        <v>105</v>
      </c>
      <c r="N19" s="42" t="s">
        <v>106</v>
      </c>
      <c r="O19" s="42" t="s">
        <v>107</v>
      </c>
      <c r="P19" s="42" t="s">
        <v>108</v>
      </c>
      <c r="Q19" s="42" t="s">
        <v>109</v>
      </c>
      <c r="R19" s="42" t="s">
        <v>110</v>
      </c>
      <c r="S19" s="42" t="s">
        <v>111</v>
      </c>
      <c r="T19" s="42" t="s">
        <v>112</v>
      </c>
      <c r="U19" s="42" t="s">
        <v>113</v>
      </c>
      <c r="V19" s="42" t="s">
        <v>114</v>
      </c>
      <c r="W19" s="42" t="s">
        <v>115</v>
      </c>
      <c r="X19" s="42" t="s">
        <v>116</v>
      </c>
      <c r="Y19" s="42" t="s">
        <v>117</v>
      </c>
      <c r="Z19" s="42" t="s">
        <v>118</v>
      </c>
      <c r="AA19" s="42" t="s">
        <v>119</v>
      </c>
      <c r="AB19" s="42" t="s">
        <v>120</v>
      </c>
      <c r="AC19" s="42" t="s">
        <v>121</v>
      </c>
      <c r="AD19" s="42" t="s">
        <v>122</v>
      </c>
      <c r="AE19" s="42" t="s">
        <v>123</v>
      </c>
      <c r="AF19" s="42" t="s">
        <v>124</v>
      </c>
      <c r="AG19" s="42" t="s">
        <v>125</v>
      </c>
      <c r="AH19" s="42" t="s">
        <v>126</v>
      </c>
      <c r="AI19" s="42" t="s">
        <v>127</v>
      </c>
      <c r="AJ19" s="42" t="s">
        <v>128</v>
      </c>
      <c r="AK19" s="42" t="s">
        <v>129</v>
      </c>
      <c r="AL19" s="42" t="s">
        <v>130</v>
      </c>
      <c r="AM19" s="42" t="s">
        <v>131</v>
      </c>
      <c r="AN19" s="42" t="s">
        <v>132</v>
      </c>
      <c r="AO19" s="42" t="s">
        <v>6</v>
      </c>
      <c r="AP19" s="42" t="s">
        <v>133</v>
      </c>
      <c r="AQ19" s="42" t="s">
        <v>134</v>
      </c>
      <c r="AR19" s="42" t="s">
        <v>182</v>
      </c>
      <c r="AS19" s="42" t="s">
        <v>136</v>
      </c>
      <c r="AT19" s="42" t="s">
        <v>137</v>
      </c>
      <c r="AU19" s="42" t="s">
        <v>138</v>
      </c>
      <c r="AV19" s="42" t="s">
        <v>139</v>
      </c>
      <c r="AW19" s="42" t="s">
        <v>187</v>
      </c>
      <c r="AX19" s="42" t="s">
        <v>188</v>
      </c>
      <c r="AY19" s="42" t="s">
        <v>189</v>
      </c>
      <c r="AZ19" s="42" t="s">
        <v>190</v>
      </c>
    </row>
    <row r="20" spans="1:52" x14ac:dyDescent="0.25">
      <c r="AP20"/>
      <c r="AW20"/>
      <c r="AX20"/>
      <c r="AY20"/>
      <c r="AZ20"/>
    </row>
    <row r="21" spans="1:52" x14ac:dyDescent="0.25">
      <c r="AP21"/>
      <c r="AW21"/>
      <c r="AX21"/>
      <c r="AY21"/>
      <c r="AZ21"/>
    </row>
    <row r="22" spans="1:52" x14ac:dyDescent="0.25">
      <c r="AP22"/>
      <c r="AW22"/>
      <c r="AX22"/>
      <c r="AY22"/>
      <c r="AZ22"/>
    </row>
    <row r="23" spans="1:52" x14ac:dyDescent="0.25">
      <c r="AP23"/>
      <c r="AW23"/>
      <c r="AX23"/>
      <c r="AY23"/>
      <c r="AZ23"/>
    </row>
    <row r="24" spans="1:52" x14ac:dyDescent="0.25">
      <c r="AP24"/>
      <c r="AW24"/>
      <c r="AX24"/>
      <c r="AY24"/>
      <c r="AZ24"/>
    </row>
    <row r="25" spans="1:52" x14ac:dyDescent="0.25">
      <c r="AP25"/>
      <c r="AW25"/>
      <c r="AX25"/>
      <c r="AY25"/>
      <c r="AZ25"/>
    </row>
    <row r="26" spans="1:52" x14ac:dyDescent="0.25">
      <c r="AP26"/>
      <c r="AW26"/>
      <c r="AX26"/>
      <c r="AY26"/>
      <c r="AZ26"/>
    </row>
    <row r="27" spans="1:52" x14ac:dyDescent="0.25">
      <c r="AP27"/>
      <c r="AW27"/>
      <c r="AX27"/>
      <c r="AY27"/>
      <c r="AZ27"/>
    </row>
    <row r="28" spans="1:52" x14ac:dyDescent="0.25">
      <c r="AP28"/>
      <c r="AW28"/>
      <c r="AX28"/>
      <c r="AY28"/>
      <c r="AZ28"/>
    </row>
    <row r="29" spans="1:52" x14ac:dyDescent="0.25">
      <c r="AP29"/>
      <c r="AW29"/>
      <c r="AX29"/>
      <c r="AY29"/>
      <c r="AZ29"/>
    </row>
    <row r="30" spans="1:52" x14ac:dyDescent="0.25">
      <c r="AP30"/>
      <c r="AW30"/>
      <c r="AX30"/>
      <c r="AY30"/>
      <c r="AZ30"/>
    </row>
    <row r="31" spans="1:52" x14ac:dyDescent="0.25">
      <c r="AP31"/>
    </row>
    <row r="32" spans="1:52" x14ac:dyDescent="0.25">
      <c r="AP32"/>
    </row>
    <row r="33" spans="42:42" x14ac:dyDescent="0.25">
      <c r="AP33"/>
    </row>
    <row r="34" spans="42:42" x14ac:dyDescent="0.25">
      <c r="AP34"/>
    </row>
    <row r="35" spans="42:42" x14ac:dyDescent="0.25">
      <c r="AP35"/>
    </row>
    <row r="36" spans="42:42" x14ac:dyDescent="0.25">
      <c r="AP36"/>
    </row>
    <row r="37" spans="42:42" x14ac:dyDescent="0.25">
      <c r="AP37"/>
    </row>
    <row r="38" spans="42:42" x14ac:dyDescent="0.25">
      <c r="AP38"/>
    </row>
    <row r="39" spans="42:42" x14ac:dyDescent="0.25">
      <c r="AP39"/>
    </row>
    <row r="40" spans="42:42" x14ac:dyDescent="0.25">
      <c r="AP40"/>
    </row>
    <row r="41" spans="42:42" x14ac:dyDescent="0.25">
      <c r="AP41"/>
    </row>
    <row r="42" spans="42:42" x14ac:dyDescent="0.25">
      <c r="AP42"/>
    </row>
    <row r="43" spans="42:42" x14ac:dyDescent="0.25">
      <c r="AP43"/>
    </row>
    <row r="44" spans="42:42" x14ac:dyDescent="0.25">
      <c r="AP44"/>
    </row>
    <row r="45" spans="42:42" x14ac:dyDescent="0.25">
      <c r="AP45"/>
    </row>
    <row r="46" spans="42:42" x14ac:dyDescent="0.25">
      <c r="AP46"/>
    </row>
    <row r="47" spans="42:42" x14ac:dyDescent="0.25">
      <c r="AP47"/>
    </row>
    <row r="48" spans="42:42" x14ac:dyDescent="0.25">
      <c r="AP48"/>
    </row>
    <row r="49" spans="42:42" x14ac:dyDescent="0.25">
      <c r="AP49"/>
    </row>
    <row r="50" spans="42:42" x14ac:dyDescent="0.25">
      <c r="AP50"/>
    </row>
    <row r="51" spans="42:42" x14ac:dyDescent="0.25">
      <c r="AP51"/>
    </row>
    <row r="52" spans="42:42" x14ac:dyDescent="0.25">
      <c r="AP52"/>
    </row>
    <row r="53" spans="42:42" x14ac:dyDescent="0.25">
      <c r="AP53"/>
    </row>
    <row r="54" spans="42:42" x14ac:dyDescent="0.25">
      <c r="AP54"/>
    </row>
    <row r="55" spans="42:42" x14ac:dyDescent="0.25">
      <c r="AP55"/>
    </row>
    <row r="56" spans="42:42" x14ac:dyDescent="0.25">
      <c r="AP56"/>
    </row>
    <row r="57" spans="42:42" x14ac:dyDescent="0.25">
      <c r="AP57"/>
    </row>
    <row r="58" spans="42:42" x14ac:dyDescent="0.25">
      <c r="AP58"/>
    </row>
    <row r="59" spans="42:42" x14ac:dyDescent="0.25">
      <c r="AP59"/>
    </row>
    <row r="60" spans="42:42" x14ac:dyDescent="0.25">
      <c r="AP60"/>
    </row>
    <row r="61" spans="42:42" x14ac:dyDescent="0.25">
      <c r="AP61"/>
    </row>
    <row r="62" spans="42:42" x14ac:dyDescent="0.25">
      <c r="AP62"/>
    </row>
    <row r="63" spans="42:42" x14ac:dyDescent="0.25">
      <c r="AP63"/>
    </row>
    <row r="64" spans="42:42" x14ac:dyDescent="0.25">
      <c r="AP64"/>
    </row>
    <row r="65" spans="42:42" x14ac:dyDescent="0.25">
      <c r="AP65"/>
    </row>
    <row r="66" spans="42:42" x14ac:dyDescent="0.25">
      <c r="AP66"/>
    </row>
    <row r="67" spans="42:42" x14ac:dyDescent="0.25">
      <c r="AP67"/>
    </row>
    <row r="68" spans="42:42" x14ac:dyDescent="0.25">
      <c r="AP68"/>
    </row>
    <row r="69" spans="42:42" x14ac:dyDescent="0.25">
      <c r="AP69"/>
    </row>
    <row r="70" spans="42:42" x14ac:dyDescent="0.25">
      <c r="AP70"/>
    </row>
    <row r="71" spans="42:42" x14ac:dyDescent="0.25">
      <c r="AP71"/>
    </row>
    <row r="72" spans="42:42" x14ac:dyDescent="0.25">
      <c r="AP72"/>
    </row>
    <row r="73" spans="42:42" x14ac:dyDescent="0.25">
      <c r="AP73"/>
    </row>
    <row r="74" spans="42:42" x14ac:dyDescent="0.25">
      <c r="AP74"/>
    </row>
    <row r="75" spans="42:42" x14ac:dyDescent="0.25">
      <c r="AP75"/>
    </row>
    <row r="76" spans="42:42" x14ac:dyDescent="0.25">
      <c r="AP76"/>
    </row>
    <row r="77" spans="42:42" x14ac:dyDescent="0.25">
      <c r="AP77"/>
    </row>
    <row r="78" spans="42:42" x14ac:dyDescent="0.25">
      <c r="AP78"/>
    </row>
    <row r="79" spans="42:42" x14ac:dyDescent="0.25">
      <c r="AP79"/>
    </row>
    <row r="80" spans="42:42" x14ac:dyDescent="0.25">
      <c r="AP80"/>
    </row>
    <row r="81" spans="42:42" x14ac:dyDescent="0.25">
      <c r="AP81"/>
    </row>
    <row r="82" spans="42:42" x14ac:dyDescent="0.25">
      <c r="AP82"/>
    </row>
    <row r="83" spans="42:42" x14ac:dyDescent="0.25">
      <c r="AP83"/>
    </row>
    <row r="84" spans="42:42" x14ac:dyDescent="0.25">
      <c r="AP84"/>
    </row>
    <row r="85" spans="42:42" x14ac:dyDescent="0.25">
      <c r="AP85"/>
    </row>
    <row r="86" spans="42:42" x14ac:dyDescent="0.25">
      <c r="AP86"/>
    </row>
    <row r="87" spans="42:42" x14ac:dyDescent="0.25">
      <c r="AP87"/>
    </row>
    <row r="88" spans="42:42" x14ac:dyDescent="0.25">
      <c r="AP88"/>
    </row>
    <row r="89" spans="42:42" x14ac:dyDescent="0.25">
      <c r="AP89"/>
    </row>
    <row r="90" spans="42:42" x14ac:dyDescent="0.25">
      <c r="AP90"/>
    </row>
    <row r="91" spans="42:42" x14ac:dyDescent="0.25">
      <c r="AP91"/>
    </row>
    <row r="92" spans="42:42" x14ac:dyDescent="0.25">
      <c r="AP92"/>
    </row>
    <row r="93" spans="42:42" x14ac:dyDescent="0.25">
      <c r="AP93"/>
    </row>
    <row r="94" spans="42:42" x14ac:dyDescent="0.25">
      <c r="AP94"/>
    </row>
    <row r="95" spans="42:42" x14ac:dyDescent="0.25">
      <c r="AP95"/>
    </row>
    <row r="96" spans="42:42" x14ac:dyDescent="0.25">
      <c r="AP96"/>
    </row>
    <row r="97" spans="42:42" x14ac:dyDescent="0.25">
      <c r="AP97"/>
    </row>
    <row r="98" spans="42:42" x14ac:dyDescent="0.25">
      <c r="AP98"/>
    </row>
    <row r="99" spans="42:42" x14ac:dyDescent="0.25">
      <c r="AP99"/>
    </row>
    <row r="100" spans="42:42" x14ac:dyDescent="0.25">
      <c r="AP100"/>
    </row>
    <row r="101" spans="42:42" x14ac:dyDescent="0.25">
      <c r="AP101"/>
    </row>
    <row r="102" spans="42:42" x14ac:dyDescent="0.25">
      <c r="AP102"/>
    </row>
    <row r="103" spans="42:42" x14ac:dyDescent="0.25">
      <c r="AP103"/>
    </row>
    <row r="104" spans="42:42" x14ac:dyDescent="0.25">
      <c r="AP104"/>
    </row>
    <row r="105" spans="42:42" x14ac:dyDescent="0.25">
      <c r="AP105"/>
    </row>
    <row r="106" spans="42:42" x14ac:dyDescent="0.25">
      <c r="AP106"/>
    </row>
    <row r="107" spans="42:42" x14ac:dyDescent="0.25">
      <c r="AP107"/>
    </row>
    <row r="108" spans="42:42" x14ac:dyDescent="0.25">
      <c r="AP108"/>
    </row>
    <row r="109" spans="42:42" x14ac:dyDescent="0.25">
      <c r="AP109"/>
    </row>
    <row r="110" spans="42:42" x14ac:dyDescent="0.25">
      <c r="AP110"/>
    </row>
    <row r="111" spans="42:42" x14ac:dyDescent="0.25">
      <c r="AP111"/>
    </row>
    <row r="112" spans="42:42" x14ac:dyDescent="0.25">
      <c r="AP112"/>
    </row>
    <row r="113" spans="42:42" x14ac:dyDescent="0.25">
      <c r="AP113"/>
    </row>
    <row r="114" spans="42:42" x14ac:dyDescent="0.25">
      <c r="AP114"/>
    </row>
    <row r="115" spans="42:42" x14ac:dyDescent="0.25">
      <c r="AP115"/>
    </row>
    <row r="116" spans="42:42" x14ac:dyDescent="0.25">
      <c r="AP116"/>
    </row>
    <row r="117" spans="42:42" x14ac:dyDescent="0.25">
      <c r="AP117"/>
    </row>
    <row r="118" spans="42:42" x14ac:dyDescent="0.25">
      <c r="AP118"/>
    </row>
    <row r="119" spans="42:42" x14ac:dyDescent="0.25">
      <c r="AP119"/>
    </row>
    <row r="120" spans="42:42" x14ac:dyDescent="0.25">
      <c r="AP120"/>
    </row>
    <row r="121" spans="42:42" x14ac:dyDescent="0.25">
      <c r="AP121"/>
    </row>
    <row r="122" spans="42:42" x14ac:dyDescent="0.25">
      <c r="AP122"/>
    </row>
    <row r="123" spans="42:42" x14ac:dyDescent="0.25">
      <c r="AP123"/>
    </row>
    <row r="124" spans="42:42" x14ac:dyDescent="0.25">
      <c r="AP124"/>
    </row>
    <row r="125" spans="42:42" x14ac:dyDescent="0.25">
      <c r="AP125"/>
    </row>
    <row r="126" spans="42:42" x14ac:dyDescent="0.25">
      <c r="AP126"/>
    </row>
    <row r="127" spans="42:42" x14ac:dyDescent="0.25">
      <c r="AP127"/>
    </row>
    <row r="128" spans="42:42" x14ac:dyDescent="0.25">
      <c r="AP128"/>
    </row>
    <row r="129" spans="42:42" x14ac:dyDescent="0.25">
      <c r="AP129"/>
    </row>
    <row r="130" spans="42:42" x14ac:dyDescent="0.25">
      <c r="AP130"/>
    </row>
    <row r="131" spans="42:42" x14ac:dyDescent="0.25">
      <c r="AP131"/>
    </row>
    <row r="132" spans="42:42" x14ac:dyDescent="0.25">
      <c r="AP132"/>
    </row>
    <row r="133" spans="42:42" x14ac:dyDescent="0.25">
      <c r="AP133"/>
    </row>
    <row r="134" spans="42:42" x14ac:dyDescent="0.25">
      <c r="AP134"/>
    </row>
    <row r="135" spans="42:42" x14ac:dyDescent="0.25">
      <c r="AP135"/>
    </row>
    <row r="136" spans="42:42" x14ac:dyDescent="0.25">
      <c r="AP136"/>
    </row>
    <row r="137" spans="42:42" x14ac:dyDescent="0.25">
      <c r="AP137"/>
    </row>
    <row r="138" spans="42:42" x14ac:dyDescent="0.25">
      <c r="AP138"/>
    </row>
    <row r="139" spans="42:42" x14ac:dyDescent="0.25">
      <c r="AP139"/>
    </row>
    <row r="140" spans="42:42" x14ac:dyDescent="0.25">
      <c r="AP140"/>
    </row>
    <row r="141" spans="42:42" x14ac:dyDescent="0.25">
      <c r="AP141"/>
    </row>
    <row r="142" spans="42:42" x14ac:dyDescent="0.25">
      <c r="AP142"/>
    </row>
    <row r="143" spans="42:42" x14ac:dyDescent="0.25">
      <c r="AP143"/>
    </row>
    <row r="144" spans="42:42" x14ac:dyDescent="0.25">
      <c r="AP144"/>
    </row>
    <row r="145" spans="42:42" x14ac:dyDescent="0.25">
      <c r="AP145"/>
    </row>
    <row r="146" spans="42:42" x14ac:dyDescent="0.25">
      <c r="AP146"/>
    </row>
    <row r="147" spans="42:42" x14ac:dyDescent="0.25">
      <c r="AP147"/>
    </row>
    <row r="148" spans="42:42" x14ac:dyDescent="0.25">
      <c r="AP148"/>
    </row>
    <row r="149" spans="42:42" x14ac:dyDescent="0.25">
      <c r="AP149"/>
    </row>
    <row r="150" spans="42:42" x14ac:dyDescent="0.25">
      <c r="AP150"/>
    </row>
    <row r="151" spans="42:42" x14ac:dyDescent="0.25">
      <c r="AP151"/>
    </row>
    <row r="152" spans="42:42" x14ac:dyDescent="0.25">
      <c r="AP152"/>
    </row>
    <row r="153" spans="42:42" x14ac:dyDescent="0.25">
      <c r="AP153"/>
    </row>
    <row r="154" spans="42:42" x14ac:dyDescent="0.25">
      <c r="AP154"/>
    </row>
    <row r="155" spans="42:42" x14ac:dyDescent="0.25">
      <c r="AP155"/>
    </row>
    <row r="156" spans="42:42" x14ac:dyDescent="0.25">
      <c r="AP156"/>
    </row>
    <row r="157" spans="42:42" x14ac:dyDescent="0.25">
      <c r="AP157"/>
    </row>
    <row r="158" spans="42:42" x14ac:dyDescent="0.25">
      <c r="AP158"/>
    </row>
    <row r="159" spans="42:42" x14ac:dyDescent="0.25">
      <c r="AP159"/>
    </row>
    <row r="160" spans="42:42" x14ac:dyDescent="0.25">
      <c r="AP160"/>
    </row>
    <row r="161" spans="42:42" x14ac:dyDescent="0.25">
      <c r="AP161"/>
    </row>
    <row r="162" spans="42:42" x14ac:dyDescent="0.25">
      <c r="AP162"/>
    </row>
    <row r="163" spans="42:42" x14ac:dyDescent="0.25">
      <c r="AP163"/>
    </row>
    <row r="164" spans="42:42" x14ac:dyDescent="0.25">
      <c r="AP164"/>
    </row>
    <row r="165" spans="42:42" x14ac:dyDescent="0.25">
      <c r="AP165"/>
    </row>
    <row r="166" spans="42:42" x14ac:dyDescent="0.25">
      <c r="AP166"/>
    </row>
    <row r="167" spans="42:42" x14ac:dyDescent="0.25">
      <c r="AP167"/>
    </row>
    <row r="168" spans="42:42" x14ac:dyDescent="0.25">
      <c r="AP168"/>
    </row>
    <row r="169" spans="42:42" x14ac:dyDescent="0.25">
      <c r="AP169"/>
    </row>
    <row r="170" spans="42:42" x14ac:dyDescent="0.25">
      <c r="AP170"/>
    </row>
    <row r="171" spans="42:42" x14ac:dyDescent="0.25">
      <c r="AP171"/>
    </row>
    <row r="172" spans="42:42" x14ac:dyDescent="0.25">
      <c r="AP172"/>
    </row>
    <row r="173" spans="42:42" x14ac:dyDescent="0.25">
      <c r="AP173"/>
    </row>
    <row r="174" spans="42:42" x14ac:dyDescent="0.25">
      <c r="AP174"/>
    </row>
    <row r="175" spans="42:42" x14ac:dyDescent="0.25">
      <c r="AP175"/>
    </row>
    <row r="176" spans="42:42" x14ac:dyDescent="0.25">
      <c r="AP176"/>
    </row>
    <row r="177" spans="42:42" x14ac:dyDescent="0.25">
      <c r="AP177"/>
    </row>
    <row r="178" spans="42:42" x14ac:dyDescent="0.25">
      <c r="AP178"/>
    </row>
    <row r="179" spans="42:42" x14ac:dyDescent="0.25">
      <c r="AP179"/>
    </row>
    <row r="180" spans="42:42" x14ac:dyDescent="0.25">
      <c r="AP180"/>
    </row>
    <row r="181" spans="42:42" x14ac:dyDescent="0.25">
      <c r="AP181"/>
    </row>
    <row r="182" spans="42:42" x14ac:dyDescent="0.25">
      <c r="AP182"/>
    </row>
    <row r="183" spans="42:42" x14ac:dyDescent="0.25">
      <c r="AP183"/>
    </row>
    <row r="184" spans="42:42" x14ac:dyDescent="0.25">
      <c r="AP184"/>
    </row>
    <row r="185" spans="42:42" x14ac:dyDescent="0.25">
      <c r="AP185"/>
    </row>
    <row r="186" spans="42:42" x14ac:dyDescent="0.25">
      <c r="AP186"/>
    </row>
    <row r="187" spans="42:42" x14ac:dyDescent="0.25">
      <c r="AP187"/>
    </row>
    <row r="188" spans="42:42" x14ac:dyDescent="0.25">
      <c r="AP188"/>
    </row>
    <row r="189" spans="42:42" x14ac:dyDescent="0.25">
      <c r="AP189"/>
    </row>
    <row r="190" spans="42:42" x14ac:dyDescent="0.25">
      <c r="AP190"/>
    </row>
    <row r="191" spans="42:42" x14ac:dyDescent="0.25">
      <c r="AP191"/>
    </row>
    <row r="192" spans="42:42" x14ac:dyDescent="0.25">
      <c r="AP192"/>
    </row>
    <row r="193" spans="42:42" x14ac:dyDescent="0.25">
      <c r="AP193"/>
    </row>
    <row r="194" spans="42:42" x14ac:dyDescent="0.25">
      <c r="AP194"/>
    </row>
    <row r="195" spans="42:42" x14ac:dyDescent="0.25">
      <c r="AP195"/>
    </row>
    <row r="196" spans="42:42" x14ac:dyDescent="0.25">
      <c r="AP196"/>
    </row>
    <row r="197" spans="42:42" x14ac:dyDescent="0.25">
      <c r="AP197"/>
    </row>
    <row r="198" spans="42:42" x14ac:dyDescent="0.25">
      <c r="AP198"/>
    </row>
    <row r="199" spans="42:42" x14ac:dyDescent="0.25">
      <c r="AP199"/>
    </row>
    <row r="200" spans="42:42" x14ac:dyDescent="0.25">
      <c r="AP200"/>
    </row>
    <row r="201" spans="42:42" x14ac:dyDescent="0.25">
      <c r="AP201"/>
    </row>
    <row r="202" spans="42:42" x14ac:dyDescent="0.25">
      <c r="AP202"/>
    </row>
    <row r="203" spans="42:42" x14ac:dyDescent="0.25">
      <c r="AP203"/>
    </row>
    <row r="204" spans="42:42" x14ac:dyDescent="0.25">
      <c r="AP204"/>
    </row>
    <row r="205" spans="42:42" x14ac:dyDescent="0.25">
      <c r="AP205"/>
    </row>
    <row r="206" spans="42:42" x14ac:dyDescent="0.25">
      <c r="AP206"/>
    </row>
    <row r="207" spans="42:42" x14ac:dyDescent="0.25">
      <c r="AP207"/>
    </row>
    <row r="208" spans="42:42" x14ac:dyDescent="0.25">
      <c r="AP208"/>
    </row>
    <row r="209" spans="42:42" x14ac:dyDescent="0.25">
      <c r="AP209"/>
    </row>
    <row r="210" spans="42:42" x14ac:dyDescent="0.25">
      <c r="AP210"/>
    </row>
    <row r="211" spans="42:42" x14ac:dyDescent="0.25">
      <c r="AP211"/>
    </row>
    <row r="212" spans="42:42" x14ac:dyDescent="0.25">
      <c r="AP212"/>
    </row>
    <row r="213" spans="42:42" x14ac:dyDescent="0.25">
      <c r="AP213"/>
    </row>
    <row r="214" spans="42:42" x14ac:dyDescent="0.25">
      <c r="AP214"/>
    </row>
    <row r="215" spans="42:42" x14ac:dyDescent="0.25">
      <c r="AP215"/>
    </row>
    <row r="216" spans="42:42" x14ac:dyDescent="0.25">
      <c r="AP216"/>
    </row>
    <row r="217" spans="42:42" x14ac:dyDescent="0.25">
      <c r="AP217"/>
    </row>
    <row r="218" spans="42:42" x14ac:dyDescent="0.25">
      <c r="AP218"/>
    </row>
    <row r="219" spans="42:42" x14ac:dyDescent="0.25">
      <c r="AP219"/>
    </row>
    <row r="220" spans="42:42" x14ac:dyDescent="0.25">
      <c r="AP220"/>
    </row>
    <row r="221" spans="42:42" x14ac:dyDescent="0.25">
      <c r="AP221"/>
    </row>
    <row r="222" spans="42:42" x14ac:dyDescent="0.25">
      <c r="AP222"/>
    </row>
    <row r="223" spans="42:42" x14ac:dyDescent="0.25">
      <c r="AP223"/>
    </row>
    <row r="224" spans="42:42" x14ac:dyDescent="0.25">
      <c r="AP224"/>
    </row>
    <row r="225" spans="42:42" x14ac:dyDescent="0.25">
      <c r="AP225"/>
    </row>
    <row r="226" spans="42:42" x14ac:dyDescent="0.25">
      <c r="AP226"/>
    </row>
    <row r="227" spans="42:42" x14ac:dyDescent="0.25">
      <c r="AP227"/>
    </row>
    <row r="228" spans="42:42" x14ac:dyDescent="0.25">
      <c r="AP228"/>
    </row>
    <row r="229" spans="42:42" x14ac:dyDescent="0.25">
      <c r="AP229"/>
    </row>
    <row r="230" spans="42:42" x14ac:dyDescent="0.25">
      <c r="AP230"/>
    </row>
    <row r="231" spans="42:42" x14ac:dyDescent="0.25">
      <c r="AP231"/>
    </row>
    <row r="232" spans="42:42" x14ac:dyDescent="0.25">
      <c r="AP232"/>
    </row>
    <row r="233" spans="42:42" x14ac:dyDescent="0.25">
      <c r="AP233"/>
    </row>
    <row r="234" spans="42:42" x14ac:dyDescent="0.25">
      <c r="AP234"/>
    </row>
    <row r="235" spans="42:42" x14ac:dyDescent="0.25">
      <c r="AP235"/>
    </row>
    <row r="236" spans="42:42" x14ac:dyDescent="0.25">
      <c r="AP236"/>
    </row>
    <row r="237" spans="42:42" x14ac:dyDescent="0.25">
      <c r="AP237"/>
    </row>
    <row r="238" spans="42:42" x14ac:dyDescent="0.25">
      <c r="AP238"/>
    </row>
    <row r="239" spans="42:42" x14ac:dyDescent="0.25">
      <c r="AP239"/>
    </row>
    <row r="240" spans="42:42" x14ac:dyDescent="0.25">
      <c r="AP240"/>
    </row>
    <row r="241" spans="42:42" x14ac:dyDescent="0.25">
      <c r="AP241"/>
    </row>
    <row r="242" spans="42:42" x14ac:dyDescent="0.25">
      <c r="AP242"/>
    </row>
    <row r="243" spans="42:42" x14ac:dyDescent="0.25">
      <c r="AP243"/>
    </row>
    <row r="244" spans="42:42" x14ac:dyDescent="0.25">
      <c r="AP244"/>
    </row>
    <row r="245" spans="42:42" x14ac:dyDescent="0.25">
      <c r="AP245"/>
    </row>
    <row r="246" spans="42:42" x14ac:dyDescent="0.25">
      <c r="AP246"/>
    </row>
    <row r="247" spans="42:42" x14ac:dyDescent="0.25">
      <c r="AP247"/>
    </row>
    <row r="248" spans="42:42" x14ac:dyDescent="0.25">
      <c r="AP248"/>
    </row>
    <row r="249" spans="42:42" x14ac:dyDescent="0.25">
      <c r="AP249"/>
    </row>
    <row r="250" spans="42:42" x14ac:dyDescent="0.25">
      <c r="AP250"/>
    </row>
    <row r="251" spans="42:42" x14ac:dyDescent="0.25">
      <c r="AP251"/>
    </row>
    <row r="252" spans="42:42" x14ac:dyDescent="0.25">
      <c r="AP252"/>
    </row>
    <row r="253" spans="42:42" x14ac:dyDescent="0.25">
      <c r="AP253"/>
    </row>
    <row r="254" spans="42:42" x14ac:dyDescent="0.25">
      <c r="AP254"/>
    </row>
    <row r="255" spans="42:42" x14ac:dyDescent="0.25">
      <c r="AP255"/>
    </row>
    <row r="256" spans="42:42" x14ac:dyDescent="0.25">
      <c r="AP256"/>
    </row>
    <row r="257" spans="42:42" x14ac:dyDescent="0.25">
      <c r="AP257"/>
    </row>
    <row r="258" spans="42:42" x14ac:dyDescent="0.25">
      <c r="AP258"/>
    </row>
    <row r="259" spans="42:42" x14ac:dyDescent="0.25">
      <c r="AP259"/>
    </row>
    <row r="260" spans="42:42" x14ac:dyDescent="0.25">
      <c r="AP260"/>
    </row>
    <row r="261" spans="42:42" x14ac:dyDescent="0.25">
      <c r="AP261"/>
    </row>
    <row r="262" spans="42:42" x14ac:dyDescent="0.25">
      <c r="AP262"/>
    </row>
    <row r="263" spans="42:42" x14ac:dyDescent="0.25">
      <c r="AP263"/>
    </row>
    <row r="264" spans="42:42" x14ac:dyDescent="0.25">
      <c r="AP264"/>
    </row>
    <row r="265" spans="42:42" x14ac:dyDescent="0.25">
      <c r="AP265"/>
    </row>
    <row r="266" spans="42:42" x14ac:dyDescent="0.25">
      <c r="AP266"/>
    </row>
    <row r="267" spans="42:42" x14ac:dyDescent="0.25">
      <c r="AP267"/>
    </row>
    <row r="268" spans="42:42" x14ac:dyDescent="0.25">
      <c r="AP268"/>
    </row>
    <row r="269" spans="42:42" x14ac:dyDescent="0.25">
      <c r="AP269"/>
    </row>
    <row r="270" spans="42:42" x14ac:dyDescent="0.25">
      <c r="AP270"/>
    </row>
    <row r="271" spans="42:42" x14ac:dyDescent="0.25">
      <c r="AP271"/>
    </row>
    <row r="272" spans="42:42" x14ac:dyDescent="0.25">
      <c r="AP272"/>
    </row>
    <row r="273" spans="42:42" x14ac:dyDescent="0.25">
      <c r="AP273"/>
    </row>
    <row r="274" spans="42:42" x14ac:dyDescent="0.25">
      <c r="AP274"/>
    </row>
    <row r="275" spans="42:42" x14ac:dyDescent="0.25">
      <c r="AP275"/>
    </row>
    <row r="276" spans="42:42" x14ac:dyDescent="0.25">
      <c r="AP276"/>
    </row>
    <row r="277" spans="42:42" x14ac:dyDescent="0.25">
      <c r="AP277"/>
    </row>
    <row r="278" spans="42:42" x14ac:dyDescent="0.25">
      <c r="AP278"/>
    </row>
    <row r="279" spans="42:42" x14ac:dyDescent="0.25">
      <c r="AP279"/>
    </row>
    <row r="280" spans="42:42" x14ac:dyDescent="0.25">
      <c r="AP280"/>
    </row>
    <row r="281" spans="42:42" x14ac:dyDescent="0.25">
      <c r="AP281"/>
    </row>
    <row r="282" spans="42:42" x14ac:dyDescent="0.25">
      <c r="AP282"/>
    </row>
    <row r="283" spans="42:42" x14ac:dyDescent="0.25">
      <c r="AP283"/>
    </row>
    <row r="284" spans="42:42" x14ac:dyDescent="0.25">
      <c r="AP284"/>
    </row>
    <row r="285" spans="42:42" x14ac:dyDescent="0.25">
      <c r="AP285"/>
    </row>
    <row r="286" spans="42:42" x14ac:dyDescent="0.25">
      <c r="AP286"/>
    </row>
    <row r="287" spans="42:42" x14ac:dyDescent="0.25">
      <c r="AP287"/>
    </row>
    <row r="288" spans="42:42" x14ac:dyDescent="0.25">
      <c r="AP288"/>
    </row>
    <row r="289" spans="42:42" x14ac:dyDescent="0.25">
      <c r="AP289"/>
    </row>
    <row r="290" spans="42:42" x14ac:dyDescent="0.25">
      <c r="AP290"/>
    </row>
    <row r="291" spans="42:42" x14ac:dyDescent="0.25">
      <c r="AP291"/>
    </row>
    <row r="292" spans="42:42" x14ac:dyDescent="0.25">
      <c r="AP292"/>
    </row>
    <row r="293" spans="42:42" x14ac:dyDescent="0.25">
      <c r="AP293"/>
    </row>
    <row r="294" spans="42:42" x14ac:dyDescent="0.25">
      <c r="AP294"/>
    </row>
    <row r="295" spans="42:42" x14ac:dyDescent="0.25">
      <c r="AP295"/>
    </row>
    <row r="296" spans="42:42" x14ac:dyDescent="0.25">
      <c r="AP296"/>
    </row>
    <row r="297" spans="42:42" x14ac:dyDescent="0.25">
      <c r="AP297"/>
    </row>
    <row r="298" spans="42:42" x14ac:dyDescent="0.25">
      <c r="AP298"/>
    </row>
    <row r="299" spans="42:42" x14ac:dyDescent="0.25">
      <c r="AP299"/>
    </row>
    <row r="300" spans="42:42" x14ac:dyDescent="0.25">
      <c r="AP300"/>
    </row>
    <row r="301" spans="42:42" x14ac:dyDescent="0.25">
      <c r="AP301"/>
    </row>
    <row r="302" spans="42:42" x14ac:dyDescent="0.25">
      <c r="AP302"/>
    </row>
    <row r="303" spans="42:42" x14ac:dyDescent="0.25">
      <c r="AP303"/>
    </row>
    <row r="304" spans="42:42" x14ac:dyDescent="0.25">
      <c r="AP304"/>
    </row>
    <row r="305" spans="42:42" x14ac:dyDescent="0.25">
      <c r="AP305"/>
    </row>
    <row r="306" spans="42:42" x14ac:dyDescent="0.25">
      <c r="AP306"/>
    </row>
    <row r="307" spans="42:42" x14ac:dyDescent="0.25">
      <c r="AP307"/>
    </row>
    <row r="308" spans="42:42" x14ac:dyDescent="0.25">
      <c r="AP308"/>
    </row>
    <row r="309" spans="42:42" x14ac:dyDescent="0.25">
      <c r="AP309"/>
    </row>
    <row r="310" spans="42:42" x14ac:dyDescent="0.25">
      <c r="AP310"/>
    </row>
    <row r="311" spans="42:42" x14ac:dyDescent="0.25">
      <c r="AP311"/>
    </row>
    <row r="312" spans="42:42" x14ac:dyDescent="0.25">
      <c r="AP312"/>
    </row>
    <row r="313" spans="42:42" x14ac:dyDescent="0.25">
      <c r="AP313"/>
    </row>
    <row r="314" spans="42:42" x14ac:dyDescent="0.25">
      <c r="AP314"/>
    </row>
    <row r="315" spans="42:42" x14ac:dyDescent="0.25">
      <c r="AP315"/>
    </row>
    <row r="316" spans="42:42" x14ac:dyDescent="0.25">
      <c r="AP316"/>
    </row>
    <row r="317" spans="42:42" x14ac:dyDescent="0.25">
      <c r="AP317"/>
    </row>
    <row r="318" spans="42:42" x14ac:dyDescent="0.25">
      <c r="AP318"/>
    </row>
    <row r="319" spans="42:42" x14ac:dyDescent="0.25">
      <c r="AP319"/>
    </row>
    <row r="320" spans="42:42" x14ac:dyDescent="0.25">
      <c r="AP320"/>
    </row>
    <row r="321" spans="42:42" x14ac:dyDescent="0.25">
      <c r="AP321"/>
    </row>
    <row r="322" spans="42:42" x14ac:dyDescent="0.25">
      <c r="AP322"/>
    </row>
    <row r="323" spans="42:42" x14ac:dyDescent="0.25">
      <c r="AP323"/>
    </row>
    <row r="324" spans="42:42" x14ac:dyDescent="0.25">
      <c r="AP324"/>
    </row>
    <row r="325" spans="42:42" x14ac:dyDescent="0.25">
      <c r="AP325"/>
    </row>
    <row r="326" spans="42:42" x14ac:dyDescent="0.25">
      <c r="AP326"/>
    </row>
    <row r="327" spans="42:42" x14ac:dyDescent="0.25">
      <c r="AP327"/>
    </row>
    <row r="328" spans="42:42" x14ac:dyDescent="0.25">
      <c r="AP328"/>
    </row>
    <row r="329" spans="42:42" x14ac:dyDescent="0.25">
      <c r="AP329"/>
    </row>
    <row r="330" spans="42:42" x14ac:dyDescent="0.25">
      <c r="AP330"/>
    </row>
    <row r="331" spans="42:42" x14ac:dyDescent="0.25">
      <c r="AP331"/>
    </row>
    <row r="332" spans="42:42" x14ac:dyDescent="0.25">
      <c r="AP332"/>
    </row>
    <row r="333" spans="42:42" x14ac:dyDescent="0.25">
      <c r="AP333"/>
    </row>
    <row r="334" spans="42:42" x14ac:dyDescent="0.25">
      <c r="AP334"/>
    </row>
    <row r="335" spans="42:42" x14ac:dyDescent="0.25">
      <c r="AP335"/>
    </row>
    <row r="336" spans="42:42" x14ac:dyDescent="0.25">
      <c r="AP336"/>
    </row>
    <row r="337" spans="42:42" x14ac:dyDescent="0.25">
      <c r="AP337"/>
    </row>
    <row r="338" spans="42:42" x14ac:dyDescent="0.25">
      <c r="AP338"/>
    </row>
    <row r="339" spans="42:42" x14ac:dyDescent="0.25">
      <c r="AP339"/>
    </row>
    <row r="340" spans="42:42" x14ac:dyDescent="0.25">
      <c r="AP340"/>
    </row>
    <row r="341" spans="42:42" x14ac:dyDescent="0.25">
      <c r="AP341"/>
    </row>
    <row r="342" spans="42:42" x14ac:dyDescent="0.25">
      <c r="AP342"/>
    </row>
    <row r="343" spans="42:42" x14ac:dyDescent="0.25">
      <c r="AP343"/>
    </row>
    <row r="344" spans="42:42" x14ac:dyDescent="0.25">
      <c r="AP344"/>
    </row>
    <row r="345" spans="42:42" x14ac:dyDescent="0.25">
      <c r="AP345"/>
    </row>
    <row r="346" spans="42:42" x14ac:dyDescent="0.25">
      <c r="AP346"/>
    </row>
    <row r="347" spans="42:42" x14ac:dyDescent="0.25">
      <c r="AP347"/>
    </row>
    <row r="348" spans="42:42" x14ac:dyDescent="0.25">
      <c r="AP348"/>
    </row>
    <row r="349" spans="42:42" x14ac:dyDescent="0.25">
      <c r="AP349"/>
    </row>
    <row r="350" spans="42:42" x14ac:dyDescent="0.25">
      <c r="AP350"/>
    </row>
    <row r="351" spans="42:42" x14ac:dyDescent="0.25">
      <c r="AP351"/>
    </row>
    <row r="352" spans="42:42" x14ac:dyDescent="0.25">
      <c r="AP352"/>
    </row>
    <row r="353" spans="42:42" x14ac:dyDescent="0.25">
      <c r="AP353"/>
    </row>
    <row r="354" spans="42:42" x14ac:dyDescent="0.25">
      <c r="AP354"/>
    </row>
    <row r="355" spans="42:42" x14ac:dyDescent="0.25">
      <c r="AP355"/>
    </row>
    <row r="356" spans="42:42" x14ac:dyDescent="0.25">
      <c r="AP356"/>
    </row>
    <row r="357" spans="42:42" x14ac:dyDescent="0.25">
      <c r="AP357"/>
    </row>
    <row r="358" spans="42:42" x14ac:dyDescent="0.25">
      <c r="AP358"/>
    </row>
    <row r="359" spans="42:42" x14ac:dyDescent="0.25">
      <c r="AP359"/>
    </row>
    <row r="360" spans="42:42" x14ac:dyDescent="0.25">
      <c r="AP360"/>
    </row>
    <row r="361" spans="42:42" x14ac:dyDescent="0.25">
      <c r="AP361"/>
    </row>
    <row r="362" spans="42:42" x14ac:dyDescent="0.25">
      <c r="AP362"/>
    </row>
    <row r="363" spans="42:42" x14ac:dyDescent="0.25">
      <c r="AP363"/>
    </row>
    <row r="364" spans="42:42" x14ac:dyDescent="0.25">
      <c r="AP364"/>
    </row>
    <row r="365" spans="42:42" x14ac:dyDescent="0.25">
      <c r="AP365"/>
    </row>
    <row r="366" spans="42:42" x14ac:dyDescent="0.25">
      <c r="AP366"/>
    </row>
    <row r="367" spans="42:42" x14ac:dyDescent="0.25">
      <c r="AP367"/>
    </row>
    <row r="368" spans="42:42" x14ac:dyDescent="0.25">
      <c r="AP368"/>
    </row>
    <row r="369" spans="42:42" x14ac:dyDescent="0.25">
      <c r="AP369"/>
    </row>
    <row r="370" spans="42:42" x14ac:dyDescent="0.25">
      <c r="AP370"/>
    </row>
    <row r="371" spans="42:42" x14ac:dyDescent="0.25">
      <c r="AP371"/>
    </row>
    <row r="372" spans="42:42" x14ac:dyDescent="0.25">
      <c r="AP372"/>
    </row>
    <row r="373" spans="42:42" x14ac:dyDescent="0.25">
      <c r="AP373"/>
    </row>
    <row r="374" spans="42:42" x14ac:dyDescent="0.25">
      <c r="AP374"/>
    </row>
    <row r="375" spans="42:42" x14ac:dyDescent="0.25">
      <c r="AP375"/>
    </row>
    <row r="376" spans="42:42" x14ac:dyDescent="0.25">
      <c r="AP376"/>
    </row>
    <row r="377" spans="42:42" x14ac:dyDescent="0.25">
      <c r="AP377"/>
    </row>
    <row r="378" spans="42:42" x14ac:dyDescent="0.25">
      <c r="AP378"/>
    </row>
    <row r="379" spans="42:42" x14ac:dyDescent="0.25">
      <c r="AP379"/>
    </row>
    <row r="380" spans="42:42" x14ac:dyDescent="0.25">
      <c r="AP380"/>
    </row>
    <row r="381" spans="42:42" x14ac:dyDescent="0.25">
      <c r="AP381"/>
    </row>
    <row r="382" spans="42:42" x14ac:dyDescent="0.25">
      <c r="AP382"/>
    </row>
    <row r="383" spans="42:42" x14ac:dyDescent="0.25">
      <c r="AP383"/>
    </row>
    <row r="384" spans="42:42" x14ac:dyDescent="0.25">
      <c r="AP384"/>
    </row>
    <row r="385" spans="42:42" x14ac:dyDescent="0.25">
      <c r="AP385"/>
    </row>
    <row r="386" spans="42:42" x14ac:dyDescent="0.25">
      <c r="AP386"/>
    </row>
    <row r="387" spans="42:42" x14ac:dyDescent="0.25">
      <c r="AP387"/>
    </row>
    <row r="388" spans="42:42" x14ac:dyDescent="0.25">
      <c r="AP388"/>
    </row>
    <row r="389" spans="42:42" x14ac:dyDescent="0.25">
      <c r="AP389"/>
    </row>
    <row r="390" spans="42:42" x14ac:dyDescent="0.25">
      <c r="AP390"/>
    </row>
    <row r="391" spans="42:42" x14ac:dyDescent="0.25">
      <c r="AP391"/>
    </row>
    <row r="392" spans="42:42" x14ac:dyDescent="0.25">
      <c r="AP392"/>
    </row>
    <row r="393" spans="42:42" x14ac:dyDescent="0.25">
      <c r="AP393"/>
    </row>
    <row r="394" spans="42:42" x14ac:dyDescent="0.25">
      <c r="AP394"/>
    </row>
    <row r="395" spans="42:42" x14ac:dyDescent="0.25">
      <c r="AP395"/>
    </row>
    <row r="396" spans="42:42" x14ac:dyDescent="0.25">
      <c r="AP396"/>
    </row>
    <row r="397" spans="42:42" x14ac:dyDescent="0.25">
      <c r="AP397"/>
    </row>
    <row r="398" spans="42:42" x14ac:dyDescent="0.25">
      <c r="AP398"/>
    </row>
    <row r="399" spans="42:42" x14ac:dyDescent="0.25">
      <c r="AP399"/>
    </row>
    <row r="400" spans="42:42" x14ac:dyDescent="0.25">
      <c r="AP400"/>
    </row>
    <row r="401" spans="42:42" x14ac:dyDescent="0.25">
      <c r="AP401"/>
    </row>
    <row r="402" spans="42:42" x14ac:dyDescent="0.25">
      <c r="AP402"/>
    </row>
    <row r="403" spans="42:42" x14ac:dyDescent="0.25">
      <c r="AP403"/>
    </row>
    <row r="404" spans="42:42" x14ac:dyDescent="0.25">
      <c r="AP404"/>
    </row>
    <row r="405" spans="42:42" x14ac:dyDescent="0.25">
      <c r="AP405"/>
    </row>
    <row r="406" spans="42:42" x14ac:dyDescent="0.25">
      <c r="AP406"/>
    </row>
    <row r="407" spans="42:42" x14ac:dyDescent="0.25">
      <c r="AP407"/>
    </row>
    <row r="408" spans="42:42" x14ac:dyDescent="0.25">
      <c r="AP408"/>
    </row>
    <row r="409" spans="42:42" x14ac:dyDescent="0.25">
      <c r="AP409"/>
    </row>
    <row r="410" spans="42:42" x14ac:dyDescent="0.25">
      <c r="AP410"/>
    </row>
    <row r="411" spans="42:42" x14ac:dyDescent="0.25">
      <c r="AP411"/>
    </row>
    <row r="412" spans="42:42" x14ac:dyDescent="0.25">
      <c r="AP412"/>
    </row>
    <row r="413" spans="42:42" x14ac:dyDescent="0.25">
      <c r="AP413"/>
    </row>
    <row r="414" spans="42:42" x14ac:dyDescent="0.25">
      <c r="AP414"/>
    </row>
    <row r="415" spans="42:42" x14ac:dyDescent="0.25">
      <c r="AP415"/>
    </row>
    <row r="416" spans="42:42" x14ac:dyDescent="0.25">
      <c r="AP416"/>
    </row>
    <row r="417" spans="42:42" x14ac:dyDescent="0.25">
      <c r="AP417"/>
    </row>
    <row r="418" spans="42:42" x14ac:dyDescent="0.25">
      <c r="AP418"/>
    </row>
    <row r="419" spans="42:42" x14ac:dyDescent="0.25">
      <c r="AP419"/>
    </row>
    <row r="420" spans="42:42" x14ac:dyDescent="0.25">
      <c r="AP420"/>
    </row>
    <row r="421" spans="42:42" x14ac:dyDescent="0.25">
      <c r="AP421"/>
    </row>
    <row r="422" spans="42:42" x14ac:dyDescent="0.25">
      <c r="AP422"/>
    </row>
    <row r="423" spans="42:42" x14ac:dyDescent="0.25">
      <c r="AP423"/>
    </row>
    <row r="424" spans="42:42" x14ac:dyDescent="0.25">
      <c r="AP424"/>
    </row>
    <row r="425" spans="42:42" x14ac:dyDescent="0.25">
      <c r="AP425"/>
    </row>
    <row r="426" spans="42:42" x14ac:dyDescent="0.25">
      <c r="AP426"/>
    </row>
    <row r="427" spans="42:42" x14ac:dyDescent="0.25">
      <c r="AP427"/>
    </row>
    <row r="428" spans="42:42" x14ac:dyDescent="0.25">
      <c r="AP428"/>
    </row>
    <row r="429" spans="42:42" x14ac:dyDescent="0.25">
      <c r="AP429"/>
    </row>
    <row r="430" spans="42:42" x14ac:dyDescent="0.25">
      <c r="AP430"/>
    </row>
    <row r="431" spans="42:42" x14ac:dyDescent="0.25">
      <c r="AP431"/>
    </row>
    <row r="432" spans="42:42" x14ac:dyDescent="0.25">
      <c r="AP432"/>
    </row>
    <row r="433" spans="42:42" x14ac:dyDescent="0.25">
      <c r="AP433"/>
    </row>
    <row r="434" spans="42:42" x14ac:dyDescent="0.25">
      <c r="AP434"/>
    </row>
    <row r="435" spans="42:42" x14ac:dyDescent="0.25">
      <c r="AP435"/>
    </row>
    <row r="436" spans="42:42" x14ac:dyDescent="0.25">
      <c r="AP436"/>
    </row>
    <row r="437" spans="42:42" x14ac:dyDescent="0.25">
      <c r="AP437"/>
    </row>
    <row r="438" spans="42:42" x14ac:dyDescent="0.25">
      <c r="AP438"/>
    </row>
    <row r="439" spans="42:42" x14ac:dyDescent="0.25">
      <c r="AP439"/>
    </row>
    <row r="440" spans="42:42" x14ac:dyDescent="0.25">
      <c r="AP440"/>
    </row>
    <row r="441" spans="42:42" x14ac:dyDescent="0.25">
      <c r="AP441"/>
    </row>
    <row r="442" spans="42:42" x14ac:dyDescent="0.25">
      <c r="AP442"/>
    </row>
    <row r="443" spans="42:42" x14ac:dyDescent="0.25">
      <c r="AP443"/>
    </row>
    <row r="444" spans="42:42" x14ac:dyDescent="0.25">
      <c r="AP444"/>
    </row>
    <row r="445" spans="42:42" x14ac:dyDescent="0.25">
      <c r="AP445"/>
    </row>
    <row r="446" spans="42:42" x14ac:dyDescent="0.25">
      <c r="AP446"/>
    </row>
    <row r="447" spans="42:42" x14ac:dyDescent="0.25">
      <c r="AP447"/>
    </row>
    <row r="448" spans="42:42" x14ac:dyDescent="0.25">
      <c r="AP448"/>
    </row>
    <row r="449" spans="42:42" x14ac:dyDescent="0.25">
      <c r="AP449"/>
    </row>
    <row r="450" spans="42:42" x14ac:dyDescent="0.25">
      <c r="AP450"/>
    </row>
    <row r="451" spans="42:42" x14ac:dyDescent="0.25">
      <c r="AP451"/>
    </row>
    <row r="452" spans="42:42" x14ac:dyDescent="0.25">
      <c r="AP452"/>
    </row>
    <row r="453" spans="42:42" x14ac:dyDescent="0.25">
      <c r="AP453"/>
    </row>
    <row r="454" spans="42:42" x14ac:dyDescent="0.25">
      <c r="AP454"/>
    </row>
    <row r="455" spans="42:42" x14ac:dyDescent="0.25">
      <c r="AP455"/>
    </row>
    <row r="456" spans="42:42" x14ac:dyDescent="0.25">
      <c r="AP456"/>
    </row>
    <row r="457" spans="42:42" x14ac:dyDescent="0.25">
      <c r="AP457"/>
    </row>
    <row r="458" spans="42:42" x14ac:dyDescent="0.25">
      <c r="AP458"/>
    </row>
    <row r="459" spans="42:42" x14ac:dyDescent="0.25">
      <c r="AP459"/>
    </row>
    <row r="460" spans="42:42" x14ac:dyDescent="0.25">
      <c r="AP460"/>
    </row>
    <row r="461" spans="42:42" x14ac:dyDescent="0.25">
      <c r="AP461"/>
    </row>
    <row r="462" spans="42:42" x14ac:dyDescent="0.25">
      <c r="AP462"/>
    </row>
    <row r="463" spans="42:42" x14ac:dyDescent="0.25">
      <c r="AP463"/>
    </row>
    <row r="464" spans="42:42" x14ac:dyDescent="0.25">
      <c r="AP464"/>
    </row>
    <row r="465" spans="42:42" x14ac:dyDescent="0.25">
      <c r="AP465"/>
    </row>
    <row r="466" spans="42:42" x14ac:dyDescent="0.25">
      <c r="AP466"/>
    </row>
    <row r="467" spans="42:42" x14ac:dyDescent="0.25">
      <c r="AP467"/>
    </row>
    <row r="468" spans="42:42" x14ac:dyDescent="0.25">
      <c r="AP468"/>
    </row>
    <row r="469" spans="42:42" x14ac:dyDescent="0.25">
      <c r="AP469"/>
    </row>
    <row r="470" spans="42:42" x14ac:dyDescent="0.25">
      <c r="AP470"/>
    </row>
    <row r="471" spans="42:42" x14ac:dyDescent="0.25">
      <c r="AP471"/>
    </row>
    <row r="472" spans="42:42" x14ac:dyDescent="0.25">
      <c r="AP472"/>
    </row>
    <row r="473" spans="42:42" x14ac:dyDescent="0.25">
      <c r="AP473"/>
    </row>
    <row r="474" spans="42:42" x14ac:dyDescent="0.25">
      <c r="AP474"/>
    </row>
    <row r="475" spans="42:42" x14ac:dyDescent="0.25">
      <c r="AP475"/>
    </row>
    <row r="476" spans="42:42" x14ac:dyDescent="0.25">
      <c r="AP476"/>
    </row>
    <row r="477" spans="42:42" x14ac:dyDescent="0.25">
      <c r="AP477"/>
    </row>
    <row r="478" spans="42:42" x14ac:dyDescent="0.25">
      <c r="AP478"/>
    </row>
    <row r="479" spans="42:42" x14ac:dyDescent="0.25">
      <c r="AP479"/>
    </row>
    <row r="480" spans="42:42" x14ac:dyDescent="0.25">
      <c r="AP480"/>
    </row>
    <row r="481" spans="42:42" x14ac:dyDescent="0.25">
      <c r="AP481"/>
    </row>
    <row r="482" spans="42:42" x14ac:dyDescent="0.25">
      <c r="AP482"/>
    </row>
    <row r="483" spans="42:42" x14ac:dyDescent="0.25">
      <c r="AP483"/>
    </row>
    <row r="484" spans="42:42" x14ac:dyDescent="0.25">
      <c r="AP484"/>
    </row>
    <row r="485" spans="42:42" x14ac:dyDescent="0.25">
      <c r="AP485"/>
    </row>
    <row r="486" spans="42:42" x14ac:dyDescent="0.25">
      <c r="AP486"/>
    </row>
    <row r="487" spans="42:42" x14ac:dyDescent="0.25">
      <c r="AP487"/>
    </row>
    <row r="488" spans="42:42" x14ac:dyDescent="0.25">
      <c r="AP488"/>
    </row>
    <row r="489" spans="42:42" x14ac:dyDescent="0.25">
      <c r="AP489"/>
    </row>
    <row r="490" spans="42:42" x14ac:dyDescent="0.25">
      <c r="AP490"/>
    </row>
    <row r="491" spans="42:42" x14ac:dyDescent="0.25">
      <c r="AP491"/>
    </row>
    <row r="492" spans="42:42" x14ac:dyDescent="0.25">
      <c r="AP492"/>
    </row>
    <row r="493" spans="42:42" x14ac:dyDescent="0.25">
      <c r="AP493"/>
    </row>
    <row r="494" spans="42:42" x14ac:dyDescent="0.25">
      <c r="AP494"/>
    </row>
    <row r="495" spans="42:42" x14ac:dyDescent="0.25">
      <c r="AP495"/>
    </row>
    <row r="496" spans="42:42" x14ac:dyDescent="0.25">
      <c r="AP496"/>
    </row>
    <row r="497" spans="42:42" x14ac:dyDescent="0.25">
      <c r="AP497"/>
    </row>
    <row r="498" spans="42:42" x14ac:dyDescent="0.25">
      <c r="AP498"/>
    </row>
    <row r="499" spans="42:42" x14ac:dyDescent="0.25">
      <c r="AP499"/>
    </row>
    <row r="500" spans="42:42" x14ac:dyDescent="0.25">
      <c r="AP500"/>
    </row>
    <row r="501" spans="42:42" x14ac:dyDescent="0.25">
      <c r="AP501"/>
    </row>
    <row r="502" spans="42:42" x14ac:dyDescent="0.25">
      <c r="AP502"/>
    </row>
    <row r="503" spans="42:42" x14ac:dyDescent="0.25">
      <c r="AP503"/>
    </row>
    <row r="504" spans="42:42" x14ac:dyDescent="0.25">
      <c r="AP504"/>
    </row>
    <row r="505" spans="42:42" x14ac:dyDescent="0.25">
      <c r="AP505"/>
    </row>
    <row r="506" spans="42:42" x14ac:dyDescent="0.25">
      <c r="AP506"/>
    </row>
    <row r="507" spans="42:42" x14ac:dyDescent="0.25">
      <c r="AP507"/>
    </row>
    <row r="508" spans="42:42" x14ac:dyDescent="0.25">
      <c r="AP508"/>
    </row>
    <row r="509" spans="42:42" x14ac:dyDescent="0.25">
      <c r="AP509"/>
    </row>
    <row r="510" spans="42:42" x14ac:dyDescent="0.25">
      <c r="AP510"/>
    </row>
    <row r="511" spans="42:42" x14ac:dyDescent="0.25">
      <c r="AP511"/>
    </row>
    <row r="512" spans="42:42" x14ac:dyDescent="0.25">
      <c r="AP512"/>
    </row>
    <row r="513" spans="42:42" x14ac:dyDescent="0.25">
      <c r="AP513"/>
    </row>
    <row r="514" spans="42:42" x14ac:dyDescent="0.25">
      <c r="AP514"/>
    </row>
    <row r="515" spans="42:42" x14ac:dyDescent="0.25">
      <c r="AP515"/>
    </row>
    <row r="516" spans="42:42" x14ac:dyDescent="0.25">
      <c r="AP516"/>
    </row>
    <row r="517" spans="42:42" x14ac:dyDescent="0.25">
      <c r="AP517"/>
    </row>
    <row r="518" spans="42:42" x14ac:dyDescent="0.25">
      <c r="AP518"/>
    </row>
    <row r="519" spans="42:42" x14ac:dyDescent="0.25">
      <c r="AP519"/>
    </row>
    <row r="520" spans="42:42" x14ac:dyDescent="0.25">
      <c r="AP520"/>
    </row>
    <row r="521" spans="42:42" x14ac:dyDescent="0.25">
      <c r="AP521"/>
    </row>
    <row r="522" spans="42:42" x14ac:dyDescent="0.25">
      <c r="AP522"/>
    </row>
    <row r="523" spans="42:42" x14ac:dyDescent="0.25">
      <c r="AP523"/>
    </row>
    <row r="524" spans="42:42" x14ac:dyDescent="0.25">
      <c r="AP524"/>
    </row>
    <row r="525" spans="42:42" x14ac:dyDescent="0.25">
      <c r="AP525"/>
    </row>
    <row r="526" spans="42:42" x14ac:dyDescent="0.25">
      <c r="AP526"/>
    </row>
    <row r="527" spans="42:42" x14ac:dyDescent="0.25">
      <c r="AP527"/>
    </row>
    <row r="528" spans="42:42" x14ac:dyDescent="0.25">
      <c r="AP528"/>
    </row>
    <row r="529" spans="42:42" x14ac:dyDescent="0.25">
      <c r="AP529"/>
    </row>
    <row r="530" spans="42:42" x14ac:dyDescent="0.25">
      <c r="AP530"/>
    </row>
    <row r="531" spans="42:42" x14ac:dyDescent="0.25">
      <c r="AP531"/>
    </row>
    <row r="532" spans="42:42" x14ac:dyDescent="0.25">
      <c r="AP532"/>
    </row>
    <row r="533" spans="42:42" x14ac:dyDescent="0.25">
      <c r="AP533"/>
    </row>
    <row r="534" spans="42:42" x14ac:dyDescent="0.25">
      <c r="AP534"/>
    </row>
    <row r="535" spans="42:42" x14ac:dyDescent="0.25">
      <c r="AP535"/>
    </row>
    <row r="536" spans="42:42" x14ac:dyDescent="0.25">
      <c r="AP536"/>
    </row>
    <row r="537" spans="42:42" x14ac:dyDescent="0.25">
      <c r="AP537"/>
    </row>
    <row r="538" spans="42:42" x14ac:dyDescent="0.25">
      <c r="AP538"/>
    </row>
    <row r="539" spans="42:42" x14ac:dyDescent="0.25">
      <c r="AP539"/>
    </row>
    <row r="540" spans="42:42" x14ac:dyDescent="0.25">
      <c r="AP540"/>
    </row>
    <row r="541" spans="42:42" x14ac:dyDescent="0.25">
      <c r="AP541"/>
    </row>
    <row r="542" spans="42:42" x14ac:dyDescent="0.25">
      <c r="AP542"/>
    </row>
    <row r="543" spans="42:42" x14ac:dyDescent="0.25">
      <c r="AP543"/>
    </row>
    <row r="544" spans="42:42" x14ac:dyDescent="0.25">
      <c r="AP544"/>
    </row>
    <row r="545" spans="42:42" x14ac:dyDescent="0.25">
      <c r="AP545"/>
    </row>
    <row r="546" spans="42:42" x14ac:dyDescent="0.25">
      <c r="AP546"/>
    </row>
    <row r="547" spans="42:42" x14ac:dyDescent="0.25">
      <c r="AP547"/>
    </row>
    <row r="548" spans="42:42" x14ac:dyDescent="0.25">
      <c r="AP548"/>
    </row>
    <row r="549" spans="42:42" x14ac:dyDescent="0.25">
      <c r="AP549"/>
    </row>
    <row r="550" spans="42:42" x14ac:dyDescent="0.25">
      <c r="AP550"/>
    </row>
    <row r="551" spans="42:42" x14ac:dyDescent="0.25">
      <c r="AP551"/>
    </row>
    <row r="552" spans="42:42" x14ac:dyDescent="0.25">
      <c r="AP552"/>
    </row>
    <row r="553" spans="42:42" x14ac:dyDescent="0.25">
      <c r="AP553"/>
    </row>
    <row r="554" spans="42:42" x14ac:dyDescent="0.25">
      <c r="AP554"/>
    </row>
    <row r="555" spans="42:42" x14ac:dyDescent="0.25">
      <c r="AP555"/>
    </row>
    <row r="556" spans="42:42" x14ac:dyDescent="0.25">
      <c r="AP556"/>
    </row>
    <row r="557" spans="42:42" x14ac:dyDescent="0.25">
      <c r="AP557"/>
    </row>
    <row r="558" spans="42:42" x14ac:dyDescent="0.25">
      <c r="AP558"/>
    </row>
    <row r="559" spans="42:42" x14ac:dyDescent="0.25">
      <c r="AP559"/>
    </row>
    <row r="560" spans="42:42" x14ac:dyDescent="0.25">
      <c r="AP560"/>
    </row>
    <row r="561" spans="42:42" x14ac:dyDescent="0.25">
      <c r="AP561"/>
    </row>
    <row r="562" spans="42:42" x14ac:dyDescent="0.25">
      <c r="AP562"/>
    </row>
    <row r="563" spans="42:42" x14ac:dyDescent="0.25">
      <c r="AP563"/>
    </row>
    <row r="564" spans="42:42" x14ac:dyDescent="0.25">
      <c r="AP564"/>
    </row>
    <row r="565" spans="42:42" x14ac:dyDescent="0.25">
      <c r="AP565"/>
    </row>
    <row r="566" spans="42:42" x14ac:dyDescent="0.25">
      <c r="AP566"/>
    </row>
    <row r="567" spans="42:42" x14ac:dyDescent="0.25">
      <c r="AP567"/>
    </row>
    <row r="568" spans="42:42" x14ac:dyDescent="0.25">
      <c r="AP568"/>
    </row>
    <row r="569" spans="42:42" x14ac:dyDescent="0.25">
      <c r="AP569"/>
    </row>
    <row r="570" spans="42:42" x14ac:dyDescent="0.25">
      <c r="AP570"/>
    </row>
    <row r="571" spans="42:42" x14ac:dyDescent="0.25">
      <c r="AP571"/>
    </row>
    <row r="572" spans="42:42" x14ac:dyDescent="0.25">
      <c r="AP572"/>
    </row>
    <row r="573" spans="42:42" x14ac:dyDescent="0.25">
      <c r="AP573"/>
    </row>
    <row r="574" spans="42:42" x14ac:dyDescent="0.25">
      <c r="AP574"/>
    </row>
    <row r="575" spans="42:42" x14ac:dyDescent="0.25">
      <c r="AP575"/>
    </row>
    <row r="576" spans="42:42" x14ac:dyDescent="0.25">
      <c r="AP576"/>
    </row>
    <row r="577" spans="42:42" x14ac:dyDescent="0.25">
      <c r="AP577"/>
    </row>
    <row r="578" spans="42:42" x14ac:dyDescent="0.25">
      <c r="AP578"/>
    </row>
    <row r="579" spans="42:42" x14ac:dyDescent="0.25">
      <c r="AP579"/>
    </row>
    <row r="580" spans="42:42" x14ac:dyDescent="0.25">
      <c r="AP580"/>
    </row>
    <row r="581" spans="42:42" x14ac:dyDescent="0.25">
      <c r="AP581"/>
    </row>
    <row r="582" spans="42:42" x14ac:dyDescent="0.25">
      <c r="AP582"/>
    </row>
    <row r="583" spans="42:42" x14ac:dyDescent="0.25">
      <c r="AP583"/>
    </row>
    <row r="584" spans="42:42" x14ac:dyDescent="0.25">
      <c r="AP584"/>
    </row>
    <row r="585" spans="42:42" x14ac:dyDescent="0.25">
      <c r="AP585"/>
    </row>
    <row r="586" spans="42:42" x14ac:dyDescent="0.25">
      <c r="AP586"/>
    </row>
    <row r="587" spans="42:42" x14ac:dyDescent="0.25">
      <c r="AP587"/>
    </row>
    <row r="588" spans="42:42" x14ac:dyDescent="0.25">
      <c r="AP588"/>
    </row>
    <row r="589" spans="42:42" x14ac:dyDescent="0.25">
      <c r="AP589"/>
    </row>
    <row r="590" spans="42:42" x14ac:dyDescent="0.25">
      <c r="AP590"/>
    </row>
    <row r="591" spans="42:42" x14ac:dyDescent="0.25">
      <c r="AP591"/>
    </row>
    <row r="592" spans="42:42" x14ac:dyDescent="0.25">
      <c r="AP592"/>
    </row>
    <row r="593" spans="42:42" x14ac:dyDescent="0.25">
      <c r="AP593"/>
    </row>
    <row r="594" spans="42:42" x14ac:dyDescent="0.25">
      <c r="AP594"/>
    </row>
    <row r="595" spans="42:42" x14ac:dyDescent="0.25">
      <c r="AP595"/>
    </row>
    <row r="596" spans="42:42" x14ac:dyDescent="0.25">
      <c r="AP596"/>
    </row>
    <row r="597" spans="42:42" x14ac:dyDescent="0.25">
      <c r="AP597"/>
    </row>
    <row r="598" spans="42:42" x14ac:dyDescent="0.25">
      <c r="AP598"/>
    </row>
    <row r="599" spans="42:42" x14ac:dyDescent="0.25">
      <c r="AP599"/>
    </row>
    <row r="600" spans="42:42" x14ac:dyDescent="0.25">
      <c r="AP600"/>
    </row>
    <row r="601" spans="42:42" x14ac:dyDescent="0.25">
      <c r="AP601"/>
    </row>
    <row r="602" spans="42:42" x14ac:dyDescent="0.25">
      <c r="AP602"/>
    </row>
    <row r="603" spans="42:42" x14ac:dyDescent="0.25">
      <c r="AP603"/>
    </row>
    <row r="604" spans="42:42" x14ac:dyDescent="0.25">
      <c r="AP604"/>
    </row>
    <row r="605" spans="42:42" x14ac:dyDescent="0.25">
      <c r="AP605"/>
    </row>
    <row r="606" spans="42:42" x14ac:dyDescent="0.25">
      <c r="AP606"/>
    </row>
    <row r="607" spans="42:42" x14ac:dyDescent="0.25">
      <c r="AP607"/>
    </row>
    <row r="608" spans="42:42" x14ac:dyDescent="0.25">
      <c r="AP608"/>
    </row>
    <row r="609" spans="42:42" x14ac:dyDescent="0.25">
      <c r="AP609"/>
    </row>
    <row r="610" spans="42:42" x14ac:dyDescent="0.25">
      <c r="AP610"/>
    </row>
    <row r="611" spans="42:42" x14ac:dyDescent="0.25">
      <c r="AP611"/>
    </row>
    <row r="612" spans="42:42" x14ac:dyDescent="0.25">
      <c r="AP612"/>
    </row>
    <row r="613" spans="42:42" x14ac:dyDescent="0.25">
      <c r="AP613"/>
    </row>
    <row r="614" spans="42:42" x14ac:dyDescent="0.25">
      <c r="AP614"/>
    </row>
    <row r="615" spans="42:42" x14ac:dyDescent="0.25">
      <c r="AP615"/>
    </row>
    <row r="616" spans="42:42" x14ac:dyDescent="0.25">
      <c r="AP616"/>
    </row>
    <row r="617" spans="42:42" x14ac:dyDescent="0.25">
      <c r="AP617"/>
    </row>
    <row r="618" spans="42:42" x14ac:dyDescent="0.25">
      <c r="AP618"/>
    </row>
    <row r="619" spans="42:42" x14ac:dyDescent="0.25">
      <c r="AP619"/>
    </row>
    <row r="620" spans="42:42" x14ac:dyDescent="0.25">
      <c r="AP620"/>
    </row>
    <row r="621" spans="42:42" x14ac:dyDescent="0.25">
      <c r="AP621"/>
    </row>
    <row r="622" spans="42:42" x14ac:dyDescent="0.25">
      <c r="AP622"/>
    </row>
    <row r="623" spans="42:42" x14ac:dyDescent="0.25">
      <c r="AP623"/>
    </row>
    <row r="624" spans="42:42" x14ac:dyDescent="0.25">
      <c r="AP624"/>
    </row>
    <row r="625" spans="42:42" x14ac:dyDescent="0.25">
      <c r="AP625"/>
    </row>
    <row r="626" spans="42:42" x14ac:dyDescent="0.25">
      <c r="AP626"/>
    </row>
    <row r="627" spans="42:42" x14ac:dyDescent="0.25">
      <c r="AP627"/>
    </row>
    <row r="628" spans="42:42" x14ac:dyDescent="0.25">
      <c r="AP628"/>
    </row>
    <row r="629" spans="42:42" x14ac:dyDescent="0.25">
      <c r="AP629"/>
    </row>
    <row r="630" spans="42:42" x14ac:dyDescent="0.25">
      <c r="AP630"/>
    </row>
    <row r="631" spans="42:42" x14ac:dyDescent="0.25">
      <c r="AP631"/>
    </row>
    <row r="632" spans="42:42" x14ac:dyDescent="0.25">
      <c r="AP632"/>
    </row>
    <row r="633" spans="42:42" x14ac:dyDescent="0.25">
      <c r="AP633"/>
    </row>
    <row r="634" spans="42:42" x14ac:dyDescent="0.25">
      <c r="AP634"/>
    </row>
    <row r="635" spans="42:42" x14ac:dyDescent="0.25">
      <c r="AP635"/>
    </row>
    <row r="636" spans="42:42" x14ac:dyDescent="0.25">
      <c r="AP636"/>
    </row>
    <row r="637" spans="42:42" x14ac:dyDescent="0.25">
      <c r="AP637"/>
    </row>
    <row r="638" spans="42:42" x14ac:dyDescent="0.25">
      <c r="AP638"/>
    </row>
    <row r="639" spans="42:42" x14ac:dyDescent="0.25">
      <c r="AP639"/>
    </row>
    <row r="640" spans="42:42" x14ac:dyDescent="0.25">
      <c r="AP640"/>
    </row>
    <row r="641" spans="42:42" x14ac:dyDescent="0.25">
      <c r="AP641"/>
    </row>
    <row r="642" spans="42:42" x14ac:dyDescent="0.25">
      <c r="AP642"/>
    </row>
    <row r="643" spans="42:42" x14ac:dyDescent="0.25">
      <c r="AP643"/>
    </row>
    <row r="644" spans="42:42" x14ac:dyDescent="0.25">
      <c r="AP644"/>
    </row>
    <row r="645" spans="42:42" x14ac:dyDescent="0.25">
      <c r="AP645"/>
    </row>
    <row r="646" spans="42:42" x14ac:dyDescent="0.25">
      <c r="AP646"/>
    </row>
    <row r="647" spans="42:42" x14ac:dyDescent="0.25">
      <c r="AP647"/>
    </row>
    <row r="648" spans="42:42" x14ac:dyDescent="0.25">
      <c r="AP648"/>
    </row>
    <row r="649" spans="42:42" x14ac:dyDescent="0.25">
      <c r="AP649"/>
    </row>
    <row r="650" spans="42:42" x14ac:dyDescent="0.25">
      <c r="AP650"/>
    </row>
    <row r="651" spans="42:42" x14ac:dyDescent="0.25">
      <c r="AP651"/>
    </row>
    <row r="652" spans="42:42" x14ac:dyDescent="0.25">
      <c r="AP652"/>
    </row>
    <row r="653" spans="42:42" x14ac:dyDescent="0.25">
      <c r="AP653"/>
    </row>
    <row r="654" spans="42:42" x14ac:dyDescent="0.25">
      <c r="AP654"/>
    </row>
    <row r="655" spans="42:42" x14ac:dyDescent="0.25">
      <c r="AP655"/>
    </row>
    <row r="656" spans="42:42" x14ac:dyDescent="0.25">
      <c r="AP656"/>
    </row>
    <row r="657" spans="42:42" x14ac:dyDescent="0.25">
      <c r="AP657"/>
    </row>
    <row r="658" spans="42:42" x14ac:dyDescent="0.25">
      <c r="AP658"/>
    </row>
    <row r="659" spans="42:42" x14ac:dyDescent="0.25">
      <c r="AP659"/>
    </row>
    <row r="660" spans="42:42" x14ac:dyDescent="0.25">
      <c r="AP660"/>
    </row>
    <row r="661" spans="42:42" x14ac:dyDescent="0.25">
      <c r="AP661"/>
    </row>
    <row r="662" spans="42:42" x14ac:dyDescent="0.25">
      <c r="AP662"/>
    </row>
    <row r="663" spans="42:42" x14ac:dyDescent="0.25">
      <c r="AP663"/>
    </row>
    <row r="664" spans="42:42" x14ac:dyDescent="0.25">
      <c r="AP664"/>
    </row>
    <row r="665" spans="42:42" x14ac:dyDescent="0.25">
      <c r="AP665"/>
    </row>
    <row r="666" spans="42:42" x14ac:dyDescent="0.25">
      <c r="AP666"/>
    </row>
    <row r="667" spans="42:42" x14ac:dyDescent="0.25">
      <c r="AP667"/>
    </row>
    <row r="668" spans="42:42" x14ac:dyDescent="0.25">
      <c r="AP668"/>
    </row>
    <row r="669" spans="42:42" x14ac:dyDescent="0.25">
      <c r="AP669"/>
    </row>
    <row r="670" spans="42:42" x14ac:dyDescent="0.25">
      <c r="AP670"/>
    </row>
    <row r="671" spans="42:42" x14ac:dyDescent="0.25">
      <c r="AP671"/>
    </row>
    <row r="672" spans="42:42" x14ac:dyDescent="0.25">
      <c r="AP672"/>
    </row>
    <row r="673" spans="42:42" x14ac:dyDescent="0.25">
      <c r="AP673"/>
    </row>
    <row r="674" spans="42:42" x14ac:dyDescent="0.25">
      <c r="AP674"/>
    </row>
    <row r="675" spans="42:42" x14ac:dyDescent="0.25">
      <c r="AP675"/>
    </row>
    <row r="676" spans="42:42" x14ac:dyDescent="0.25">
      <c r="AP676"/>
    </row>
    <row r="677" spans="42:42" x14ac:dyDescent="0.25">
      <c r="AP677"/>
    </row>
    <row r="678" spans="42:42" x14ac:dyDescent="0.25">
      <c r="AP678"/>
    </row>
    <row r="679" spans="42:42" x14ac:dyDescent="0.25">
      <c r="AP679"/>
    </row>
    <row r="680" spans="42:42" x14ac:dyDescent="0.25">
      <c r="AP680"/>
    </row>
    <row r="681" spans="42:42" x14ac:dyDescent="0.25">
      <c r="AP681"/>
    </row>
    <row r="682" spans="42:42" x14ac:dyDescent="0.25">
      <c r="AP682"/>
    </row>
    <row r="683" spans="42:42" x14ac:dyDescent="0.25">
      <c r="AP683"/>
    </row>
    <row r="684" spans="42:42" x14ac:dyDescent="0.25">
      <c r="AP684"/>
    </row>
    <row r="685" spans="42:42" x14ac:dyDescent="0.25">
      <c r="AP685"/>
    </row>
    <row r="686" spans="42:42" x14ac:dyDescent="0.25">
      <c r="AP686"/>
    </row>
    <row r="687" spans="42:42" x14ac:dyDescent="0.25">
      <c r="AP687"/>
    </row>
    <row r="688" spans="42:42" x14ac:dyDescent="0.25">
      <c r="AP688"/>
    </row>
    <row r="689" spans="42:42" x14ac:dyDescent="0.25">
      <c r="AP689"/>
    </row>
    <row r="690" spans="42:42" x14ac:dyDescent="0.25">
      <c r="AP690"/>
    </row>
    <row r="691" spans="42:42" x14ac:dyDescent="0.25">
      <c r="AP691"/>
    </row>
    <row r="692" spans="42:42" x14ac:dyDescent="0.25">
      <c r="AP692"/>
    </row>
    <row r="693" spans="42:42" x14ac:dyDescent="0.25">
      <c r="AP693"/>
    </row>
    <row r="694" spans="42:42" x14ac:dyDescent="0.25">
      <c r="AP694"/>
    </row>
    <row r="695" spans="42:42" x14ac:dyDescent="0.25">
      <c r="AP695"/>
    </row>
    <row r="696" spans="42:42" x14ac:dyDescent="0.25">
      <c r="AP696"/>
    </row>
    <row r="697" spans="42:42" x14ac:dyDescent="0.25">
      <c r="AP697"/>
    </row>
    <row r="698" spans="42:42" x14ac:dyDescent="0.25">
      <c r="AP698"/>
    </row>
    <row r="699" spans="42:42" x14ac:dyDescent="0.25">
      <c r="AP699"/>
    </row>
    <row r="700" spans="42:42" x14ac:dyDescent="0.25">
      <c r="AP700"/>
    </row>
    <row r="701" spans="42:42" x14ac:dyDescent="0.25">
      <c r="AP701"/>
    </row>
    <row r="702" spans="42:42" x14ac:dyDescent="0.25">
      <c r="AP702"/>
    </row>
    <row r="703" spans="42:42" x14ac:dyDescent="0.25">
      <c r="AP703"/>
    </row>
    <row r="704" spans="42:42" x14ac:dyDescent="0.25">
      <c r="AP704"/>
    </row>
    <row r="705" spans="42:42" x14ac:dyDescent="0.25">
      <c r="AP705"/>
    </row>
    <row r="706" spans="42:42" x14ac:dyDescent="0.25">
      <c r="AP706"/>
    </row>
    <row r="707" spans="42:42" x14ac:dyDescent="0.25">
      <c r="AP707"/>
    </row>
    <row r="708" spans="42:42" x14ac:dyDescent="0.25">
      <c r="AP708"/>
    </row>
    <row r="709" spans="42:42" x14ac:dyDescent="0.25">
      <c r="AP709"/>
    </row>
    <row r="710" spans="42:42" x14ac:dyDescent="0.25">
      <c r="AP710"/>
    </row>
    <row r="711" spans="42:42" x14ac:dyDescent="0.25">
      <c r="AP711"/>
    </row>
    <row r="712" spans="42:42" x14ac:dyDescent="0.25">
      <c r="AP712"/>
    </row>
    <row r="713" spans="42:42" x14ac:dyDescent="0.25">
      <c r="AP713"/>
    </row>
    <row r="714" spans="42:42" x14ac:dyDescent="0.25">
      <c r="AP714"/>
    </row>
    <row r="715" spans="42:42" x14ac:dyDescent="0.25">
      <c r="AP715"/>
    </row>
    <row r="716" spans="42:42" x14ac:dyDescent="0.25">
      <c r="AP716"/>
    </row>
    <row r="717" spans="42:42" x14ac:dyDescent="0.25">
      <c r="AP717"/>
    </row>
    <row r="718" spans="42:42" x14ac:dyDescent="0.25">
      <c r="AP718"/>
    </row>
    <row r="719" spans="42:42" x14ac:dyDescent="0.25">
      <c r="AP719"/>
    </row>
    <row r="720" spans="42:42" x14ac:dyDescent="0.25">
      <c r="AP720"/>
    </row>
    <row r="721" spans="42:42" x14ac:dyDescent="0.25">
      <c r="AP721"/>
    </row>
    <row r="722" spans="42:42" x14ac:dyDescent="0.25">
      <c r="AP722"/>
    </row>
    <row r="723" spans="42:42" x14ac:dyDescent="0.25">
      <c r="AP723"/>
    </row>
    <row r="724" spans="42:42" x14ac:dyDescent="0.25">
      <c r="AP724"/>
    </row>
    <row r="725" spans="42:42" x14ac:dyDescent="0.25">
      <c r="AP725"/>
    </row>
    <row r="726" spans="42:42" x14ac:dyDescent="0.25">
      <c r="AP726"/>
    </row>
    <row r="727" spans="42:42" x14ac:dyDescent="0.25">
      <c r="AP727"/>
    </row>
    <row r="728" spans="42:42" x14ac:dyDescent="0.25">
      <c r="AP728"/>
    </row>
    <row r="729" spans="42:42" x14ac:dyDescent="0.25">
      <c r="AP729"/>
    </row>
    <row r="730" spans="42:42" x14ac:dyDescent="0.25">
      <c r="AP730"/>
    </row>
    <row r="731" spans="42:42" x14ac:dyDescent="0.25">
      <c r="AP731"/>
    </row>
    <row r="732" spans="42:42" x14ac:dyDescent="0.25">
      <c r="AP732"/>
    </row>
    <row r="733" spans="42:42" x14ac:dyDescent="0.25">
      <c r="AP733"/>
    </row>
    <row r="734" spans="42:42" x14ac:dyDescent="0.25">
      <c r="AP734"/>
    </row>
    <row r="735" spans="42:42" x14ac:dyDescent="0.25">
      <c r="AP735"/>
    </row>
    <row r="736" spans="42:42" x14ac:dyDescent="0.25">
      <c r="AP736"/>
    </row>
    <row r="737" spans="42:42" x14ac:dyDescent="0.25">
      <c r="AP737"/>
    </row>
    <row r="738" spans="42:42" x14ac:dyDescent="0.25">
      <c r="AP738"/>
    </row>
    <row r="739" spans="42:42" x14ac:dyDescent="0.25">
      <c r="AP739"/>
    </row>
    <row r="740" spans="42:42" x14ac:dyDescent="0.25">
      <c r="AP740"/>
    </row>
    <row r="741" spans="42:42" x14ac:dyDescent="0.25">
      <c r="AP741"/>
    </row>
    <row r="742" spans="42:42" x14ac:dyDescent="0.25">
      <c r="AP742"/>
    </row>
    <row r="743" spans="42:42" x14ac:dyDescent="0.25">
      <c r="AP743"/>
    </row>
    <row r="744" spans="42:42" x14ac:dyDescent="0.25">
      <c r="AP744"/>
    </row>
    <row r="745" spans="42:42" x14ac:dyDescent="0.25">
      <c r="AP745"/>
    </row>
    <row r="746" spans="42:42" x14ac:dyDescent="0.25">
      <c r="AP746"/>
    </row>
    <row r="747" spans="42:42" x14ac:dyDescent="0.25">
      <c r="AP747"/>
    </row>
    <row r="748" spans="42:42" x14ac:dyDescent="0.25">
      <c r="AP748"/>
    </row>
    <row r="749" spans="42:42" x14ac:dyDescent="0.25">
      <c r="AP749"/>
    </row>
    <row r="750" spans="42:42" x14ac:dyDescent="0.25">
      <c r="AP750"/>
    </row>
    <row r="751" spans="42:42" x14ac:dyDescent="0.25">
      <c r="AP751"/>
    </row>
    <row r="752" spans="42:42" x14ac:dyDescent="0.25">
      <c r="AP752"/>
    </row>
    <row r="753" spans="42:42" x14ac:dyDescent="0.25">
      <c r="AP753"/>
    </row>
    <row r="754" spans="42:42" x14ac:dyDescent="0.25">
      <c r="AP754"/>
    </row>
    <row r="755" spans="42:42" x14ac:dyDescent="0.25">
      <c r="AP755"/>
    </row>
    <row r="756" spans="42:42" x14ac:dyDescent="0.25">
      <c r="AP756"/>
    </row>
    <row r="757" spans="42:42" x14ac:dyDescent="0.25">
      <c r="AP757"/>
    </row>
    <row r="758" spans="42:42" x14ac:dyDescent="0.25">
      <c r="AP758"/>
    </row>
    <row r="759" spans="42:42" x14ac:dyDescent="0.25">
      <c r="AP759"/>
    </row>
    <row r="760" spans="42:42" x14ac:dyDescent="0.25">
      <c r="AP760"/>
    </row>
    <row r="761" spans="42:42" x14ac:dyDescent="0.25">
      <c r="AP761"/>
    </row>
    <row r="762" spans="42:42" x14ac:dyDescent="0.25">
      <c r="AP762"/>
    </row>
    <row r="763" spans="42:42" x14ac:dyDescent="0.25">
      <c r="AP763"/>
    </row>
    <row r="764" spans="42:42" x14ac:dyDescent="0.25">
      <c r="AP764"/>
    </row>
    <row r="765" spans="42:42" x14ac:dyDescent="0.25">
      <c r="AP765"/>
    </row>
    <row r="766" spans="42:42" x14ac:dyDescent="0.25">
      <c r="AP766"/>
    </row>
    <row r="767" spans="42:42" x14ac:dyDescent="0.25">
      <c r="AP767"/>
    </row>
    <row r="768" spans="42:42" x14ac:dyDescent="0.25">
      <c r="AP768"/>
    </row>
    <row r="769" spans="42:42" x14ac:dyDescent="0.25">
      <c r="AP769"/>
    </row>
    <row r="770" spans="42:42" x14ac:dyDescent="0.25">
      <c r="AP770"/>
    </row>
    <row r="771" spans="42:42" x14ac:dyDescent="0.25">
      <c r="AP771"/>
    </row>
    <row r="772" spans="42:42" x14ac:dyDescent="0.25">
      <c r="AP772"/>
    </row>
    <row r="773" spans="42:42" x14ac:dyDescent="0.25">
      <c r="AP773"/>
    </row>
    <row r="774" spans="42:42" x14ac:dyDescent="0.25">
      <c r="AP774"/>
    </row>
    <row r="775" spans="42:42" x14ac:dyDescent="0.25">
      <c r="AP775"/>
    </row>
    <row r="776" spans="42:42" x14ac:dyDescent="0.25">
      <c r="AP776"/>
    </row>
    <row r="777" spans="42:42" x14ac:dyDescent="0.25">
      <c r="AP777"/>
    </row>
    <row r="778" spans="42:42" x14ac:dyDescent="0.25">
      <c r="AP778"/>
    </row>
    <row r="779" spans="42:42" x14ac:dyDescent="0.25">
      <c r="AP779"/>
    </row>
    <row r="780" spans="42:42" x14ac:dyDescent="0.25">
      <c r="AP780"/>
    </row>
    <row r="781" spans="42:42" x14ac:dyDescent="0.25">
      <c r="AP781"/>
    </row>
    <row r="782" spans="42:42" x14ac:dyDescent="0.25">
      <c r="AP782"/>
    </row>
    <row r="783" spans="42:42" x14ac:dyDescent="0.25">
      <c r="AP783"/>
    </row>
    <row r="784" spans="42:42" x14ac:dyDescent="0.25">
      <c r="AP784"/>
    </row>
    <row r="785" spans="42:42" x14ac:dyDescent="0.25">
      <c r="AP785"/>
    </row>
    <row r="786" spans="42:42" x14ac:dyDescent="0.25">
      <c r="AP786"/>
    </row>
    <row r="787" spans="42:42" x14ac:dyDescent="0.25">
      <c r="AP787"/>
    </row>
    <row r="788" spans="42:42" x14ac:dyDescent="0.25">
      <c r="AP788"/>
    </row>
    <row r="789" spans="42:42" x14ac:dyDescent="0.25">
      <c r="AP789"/>
    </row>
    <row r="790" spans="42:42" x14ac:dyDescent="0.25">
      <c r="AP790"/>
    </row>
    <row r="791" spans="42:42" x14ac:dyDescent="0.25">
      <c r="AP791"/>
    </row>
    <row r="792" spans="42:42" x14ac:dyDescent="0.25">
      <c r="AP792"/>
    </row>
    <row r="793" spans="42:42" x14ac:dyDescent="0.25">
      <c r="AP793"/>
    </row>
    <row r="794" spans="42:42" x14ac:dyDescent="0.25">
      <c r="AP794"/>
    </row>
    <row r="795" spans="42:42" x14ac:dyDescent="0.25">
      <c r="AP795"/>
    </row>
    <row r="796" spans="42:42" x14ac:dyDescent="0.25">
      <c r="AP796"/>
    </row>
    <row r="797" spans="42:42" x14ac:dyDescent="0.25">
      <c r="AP797"/>
    </row>
    <row r="798" spans="42:42" x14ac:dyDescent="0.25">
      <c r="AP798"/>
    </row>
    <row r="799" spans="42:42" x14ac:dyDescent="0.25">
      <c r="AP799"/>
    </row>
    <row r="800" spans="42:42" x14ac:dyDescent="0.25">
      <c r="AP800"/>
    </row>
    <row r="801" spans="42:42" x14ac:dyDescent="0.25">
      <c r="AP801"/>
    </row>
    <row r="802" spans="42:42" x14ac:dyDescent="0.25">
      <c r="AP802"/>
    </row>
    <row r="803" spans="42:42" x14ac:dyDescent="0.25">
      <c r="AP803"/>
    </row>
    <row r="804" spans="42:42" x14ac:dyDescent="0.25">
      <c r="AP804"/>
    </row>
    <row r="805" spans="42:42" x14ac:dyDescent="0.25">
      <c r="AP805"/>
    </row>
    <row r="806" spans="42:42" x14ac:dyDescent="0.25">
      <c r="AP806"/>
    </row>
    <row r="807" spans="42:42" x14ac:dyDescent="0.25">
      <c r="AP807"/>
    </row>
    <row r="808" spans="42:42" x14ac:dyDescent="0.25">
      <c r="AP808"/>
    </row>
    <row r="809" spans="42:42" x14ac:dyDescent="0.25">
      <c r="AP809"/>
    </row>
    <row r="810" spans="42:42" x14ac:dyDescent="0.25">
      <c r="AP810"/>
    </row>
    <row r="811" spans="42:42" x14ac:dyDescent="0.25">
      <c r="AP811"/>
    </row>
    <row r="812" spans="42:42" x14ac:dyDescent="0.25">
      <c r="AP812"/>
    </row>
    <row r="813" spans="42:42" x14ac:dyDescent="0.25">
      <c r="AP813"/>
    </row>
    <row r="814" spans="42:42" x14ac:dyDescent="0.25">
      <c r="AP814"/>
    </row>
    <row r="815" spans="42:42" x14ac:dyDescent="0.25">
      <c r="AP815"/>
    </row>
    <row r="816" spans="42:42" x14ac:dyDescent="0.25">
      <c r="AP816"/>
    </row>
    <row r="817" spans="42:42" x14ac:dyDescent="0.25">
      <c r="AP817"/>
    </row>
    <row r="818" spans="42:42" x14ac:dyDescent="0.25">
      <c r="AP818"/>
    </row>
    <row r="819" spans="42:42" x14ac:dyDescent="0.25">
      <c r="AP819"/>
    </row>
    <row r="820" spans="42:42" x14ac:dyDescent="0.25">
      <c r="AP820"/>
    </row>
    <row r="821" spans="42:42" x14ac:dyDescent="0.25">
      <c r="AP821"/>
    </row>
    <row r="822" spans="42:42" x14ac:dyDescent="0.25">
      <c r="AP822"/>
    </row>
    <row r="823" spans="42:42" x14ac:dyDescent="0.25">
      <c r="AP823"/>
    </row>
    <row r="824" spans="42:42" x14ac:dyDescent="0.25">
      <c r="AP824"/>
    </row>
    <row r="825" spans="42:42" x14ac:dyDescent="0.25">
      <c r="AP825"/>
    </row>
    <row r="826" spans="42:42" x14ac:dyDescent="0.25">
      <c r="AP826"/>
    </row>
    <row r="827" spans="42:42" x14ac:dyDescent="0.25">
      <c r="AP827"/>
    </row>
    <row r="828" spans="42:42" x14ac:dyDescent="0.25">
      <c r="AP828"/>
    </row>
    <row r="829" spans="42:42" x14ac:dyDescent="0.25">
      <c r="AP829"/>
    </row>
    <row r="830" spans="42:42" x14ac:dyDescent="0.25">
      <c r="AP830"/>
    </row>
    <row r="831" spans="42:42" x14ac:dyDescent="0.25">
      <c r="AP831"/>
    </row>
    <row r="832" spans="42:42" x14ac:dyDescent="0.25">
      <c r="AP832"/>
    </row>
    <row r="833" spans="42:42" x14ac:dyDescent="0.25">
      <c r="AP833"/>
    </row>
    <row r="834" spans="42:42" x14ac:dyDescent="0.25">
      <c r="AP834"/>
    </row>
    <row r="835" spans="42:42" x14ac:dyDescent="0.25">
      <c r="AP835"/>
    </row>
    <row r="836" spans="42:42" x14ac:dyDescent="0.25">
      <c r="AP836"/>
    </row>
    <row r="837" spans="42:42" x14ac:dyDescent="0.25">
      <c r="AP837"/>
    </row>
    <row r="838" spans="42:42" x14ac:dyDescent="0.25">
      <c r="AP838"/>
    </row>
    <row r="839" spans="42:42" x14ac:dyDescent="0.25">
      <c r="AP839"/>
    </row>
    <row r="840" spans="42:42" x14ac:dyDescent="0.25">
      <c r="AP840"/>
    </row>
    <row r="841" spans="42:42" x14ac:dyDescent="0.25">
      <c r="AP841"/>
    </row>
    <row r="842" spans="42:42" x14ac:dyDescent="0.25">
      <c r="AP842"/>
    </row>
    <row r="843" spans="42:42" x14ac:dyDescent="0.25">
      <c r="AP843"/>
    </row>
    <row r="844" spans="42:42" x14ac:dyDescent="0.25">
      <c r="AP844"/>
    </row>
    <row r="845" spans="42:42" x14ac:dyDescent="0.25">
      <c r="AP845"/>
    </row>
    <row r="846" spans="42:42" x14ac:dyDescent="0.25">
      <c r="AP846"/>
    </row>
    <row r="847" spans="42:42" x14ac:dyDescent="0.25">
      <c r="AP847"/>
    </row>
    <row r="848" spans="42:42" x14ac:dyDescent="0.25">
      <c r="AP848"/>
    </row>
    <row r="849" spans="42:42" x14ac:dyDescent="0.25">
      <c r="AP849"/>
    </row>
    <row r="850" spans="42:42" x14ac:dyDescent="0.25">
      <c r="AP850"/>
    </row>
    <row r="851" spans="42:42" x14ac:dyDescent="0.25">
      <c r="AP851"/>
    </row>
    <row r="852" spans="42:42" x14ac:dyDescent="0.25">
      <c r="AP852"/>
    </row>
    <row r="853" spans="42:42" x14ac:dyDescent="0.25">
      <c r="AP853"/>
    </row>
    <row r="854" spans="42:42" x14ac:dyDescent="0.25">
      <c r="AP854"/>
    </row>
    <row r="855" spans="42:42" x14ac:dyDescent="0.25">
      <c r="AP855"/>
    </row>
    <row r="856" spans="42:42" x14ac:dyDescent="0.25">
      <c r="AP856"/>
    </row>
    <row r="857" spans="42:42" x14ac:dyDescent="0.25">
      <c r="AP857"/>
    </row>
    <row r="858" spans="42:42" x14ac:dyDescent="0.25">
      <c r="AP858"/>
    </row>
    <row r="859" spans="42:42" x14ac:dyDescent="0.25">
      <c r="AP859"/>
    </row>
    <row r="860" spans="42:42" x14ac:dyDescent="0.25">
      <c r="AP860"/>
    </row>
    <row r="861" spans="42:42" x14ac:dyDescent="0.25">
      <c r="AP861"/>
    </row>
    <row r="862" spans="42:42" x14ac:dyDescent="0.25">
      <c r="AP862"/>
    </row>
    <row r="863" spans="42:42" x14ac:dyDescent="0.25">
      <c r="AP863"/>
    </row>
    <row r="864" spans="42:42" x14ac:dyDescent="0.25">
      <c r="AP864"/>
    </row>
    <row r="865" spans="42:42" x14ac:dyDescent="0.25">
      <c r="AP865"/>
    </row>
    <row r="866" spans="42:42" x14ac:dyDescent="0.25">
      <c r="AP866"/>
    </row>
    <row r="867" spans="42:42" x14ac:dyDescent="0.25">
      <c r="AP867"/>
    </row>
    <row r="868" spans="42:42" x14ac:dyDescent="0.25">
      <c r="AP868"/>
    </row>
    <row r="869" spans="42:42" x14ac:dyDescent="0.25">
      <c r="AP869"/>
    </row>
    <row r="870" spans="42:42" x14ac:dyDescent="0.25">
      <c r="AP870"/>
    </row>
    <row r="871" spans="42:42" x14ac:dyDescent="0.25">
      <c r="AP871"/>
    </row>
    <row r="872" spans="42:42" x14ac:dyDescent="0.25">
      <c r="AP872"/>
    </row>
    <row r="873" spans="42:42" x14ac:dyDescent="0.25">
      <c r="AP873"/>
    </row>
    <row r="874" spans="42:42" x14ac:dyDescent="0.25">
      <c r="AP874"/>
    </row>
    <row r="875" spans="42:42" x14ac:dyDescent="0.25">
      <c r="AP875"/>
    </row>
    <row r="876" spans="42:42" x14ac:dyDescent="0.25">
      <c r="AP876"/>
    </row>
    <row r="877" spans="42:42" x14ac:dyDescent="0.25">
      <c r="AP877"/>
    </row>
    <row r="878" spans="42:42" x14ac:dyDescent="0.25">
      <c r="AP878"/>
    </row>
    <row r="879" spans="42:42" x14ac:dyDescent="0.25">
      <c r="AP879"/>
    </row>
    <row r="880" spans="42:42" x14ac:dyDescent="0.25">
      <c r="AP880"/>
    </row>
    <row r="881" spans="42:42" x14ac:dyDescent="0.25">
      <c r="AP881"/>
    </row>
    <row r="882" spans="42:42" x14ac:dyDescent="0.25">
      <c r="AP882"/>
    </row>
    <row r="883" spans="42:42" x14ac:dyDescent="0.25">
      <c r="AP883"/>
    </row>
    <row r="884" spans="42:42" x14ac:dyDescent="0.25">
      <c r="AP884"/>
    </row>
    <row r="885" spans="42:42" x14ac:dyDescent="0.25">
      <c r="AP885"/>
    </row>
    <row r="886" spans="42:42" x14ac:dyDescent="0.25">
      <c r="AP886"/>
    </row>
    <row r="887" spans="42:42" x14ac:dyDescent="0.25">
      <c r="AP887"/>
    </row>
    <row r="888" spans="42:42" x14ac:dyDescent="0.25">
      <c r="AP888"/>
    </row>
    <row r="889" spans="42:42" x14ac:dyDescent="0.25">
      <c r="AP889"/>
    </row>
    <row r="890" spans="42:42" x14ac:dyDescent="0.25">
      <c r="AP890"/>
    </row>
    <row r="891" spans="42:42" x14ac:dyDescent="0.25">
      <c r="AP891"/>
    </row>
    <row r="892" spans="42:42" x14ac:dyDescent="0.25">
      <c r="AP892"/>
    </row>
    <row r="893" spans="42:42" x14ac:dyDescent="0.25">
      <c r="AP893"/>
    </row>
    <row r="894" spans="42:42" x14ac:dyDescent="0.25">
      <c r="AP894"/>
    </row>
    <row r="895" spans="42:42" x14ac:dyDescent="0.25">
      <c r="AP895"/>
    </row>
    <row r="896" spans="42:42" x14ac:dyDescent="0.25">
      <c r="AP896"/>
    </row>
    <row r="897" spans="42:42" x14ac:dyDescent="0.25">
      <c r="AP897"/>
    </row>
    <row r="898" spans="42:42" x14ac:dyDescent="0.25">
      <c r="AP898"/>
    </row>
    <row r="899" spans="42:42" x14ac:dyDescent="0.25">
      <c r="AP899"/>
    </row>
    <row r="900" spans="42:42" x14ac:dyDescent="0.25">
      <c r="AP900"/>
    </row>
    <row r="901" spans="42:42" x14ac:dyDescent="0.25">
      <c r="AP901"/>
    </row>
    <row r="902" spans="42:42" x14ac:dyDescent="0.25">
      <c r="AP902"/>
    </row>
    <row r="903" spans="42:42" x14ac:dyDescent="0.25">
      <c r="AP903"/>
    </row>
    <row r="904" spans="42:42" x14ac:dyDescent="0.25">
      <c r="AP904"/>
    </row>
    <row r="905" spans="42:42" x14ac:dyDescent="0.25">
      <c r="AP905"/>
    </row>
    <row r="906" spans="42:42" x14ac:dyDescent="0.25">
      <c r="AP906"/>
    </row>
    <row r="907" spans="42:42" x14ac:dyDescent="0.25">
      <c r="AP907"/>
    </row>
    <row r="908" spans="42:42" x14ac:dyDescent="0.25">
      <c r="AP908"/>
    </row>
    <row r="909" spans="42:42" x14ac:dyDescent="0.25">
      <c r="AP909"/>
    </row>
    <row r="910" spans="42:42" x14ac:dyDescent="0.25">
      <c r="AP910"/>
    </row>
    <row r="911" spans="42:42" x14ac:dyDescent="0.25">
      <c r="AP911"/>
    </row>
    <row r="912" spans="42:42" x14ac:dyDescent="0.25">
      <c r="AP912"/>
    </row>
    <row r="913" spans="42:42" x14ac:dyDescent="0.25">
      <c r="AP913"/>
    </row>
    <row r="914" spans="42:42" x14ac:dyDescent="0.25">
      <c r="AP914"/>
    </row>
    <row r="915" spans="42:42" x14ac:dyDescent="0.25">
      <c r="AP915"/>
    </row>
    <row r="916" spans="42:42" x14ac:dyDescent="0.25">
      <c r="AP916"/>
    </row>
    <row r="917" spans="42:42" x14ac:dyDescent="0.25">
      <c r="AP917"/>
    </row>
    <row r="918" spans="42:42" x14ac:dyDescent="0.25">
      <c r="AP918"/>
    </row>
    <row r="919" spans="42:42" x14ac:dyDescent="0.25">
      <c r="AP919"/>
    </row>
    <row r="920" spans="42:42" x14ac:dyDescent="0.25">
      <c r="AP920"/>
    </row>
    <row r="921" spans="42:42" x14ac:dyDescent="0.25">
      <c r="AP921"/>
    </row>
    <row r="922" spans="42:42" x14ac:dyDescent="0.25">
      <c r="AP922"/>
    </row>
    <row r="923" spans="42:42" x14ac:dyDescent="0.25">
      <c r="AP923"/>
    </row>
    <row r="924" spans="42:42" x14ac:dyDescent="0.25">
      <c r="AP924"/>
    </row>
    <row r="925" spans="42:42" x14ac:dyDescent="0.25">
      <c r="AP925"/>
    </row>
    <row r="926" spans="42:42" x14ac:dyDescent="0.25">
      <c r="AP926"/>
    </row>
    <row r="927" spans="42:42" x14ac:dyDescent="0.25">
      <c r="AP927"/>
    </row>
    <row r="928" spans="42:42" x14ac:dyDescent="0.25">
      <c r="AP928"/>
    </row>
    <row r="929" spans="42:42" x14ac:dyDescent="0.25">
      <c r="AP929"/>
    </row>
    <row r="930" spans="42:42" x14ac:dyDescent="0.25">
      <c r="AP930"/>
    </row>
    <row r="931" spans="42:42" x14ac:dyDescent="0.25">
      <c r="AP931"/>
    </row>
    <row r="932" spans="42:42" x14ac:dyDescent="0.25">
      <c r="AP932"/>
    </row>
    <row r="933" spans="42:42" x14ac:dyDescent="0.25">
      <c r="AP933"/>
    </row>
    <row r="934" spans="42:42" x14ac:dyDescent="0.25">
      <c r="AP934"/>
    </row>
    <row r="935" spans="42:42" x14ac:dyDescent="0.25">
      <c r="AP935"/>
    </row>
    <row r="936" spans="42:42" x14ac:dyDescent="0.25">
      <c r="AP936"/>
    </row>
    <row r="937" spans="42:42" x14ac:dyDescent="0.25">
      <c r="AP937"/>
    </row>
    <row r="938" spans="42:42" x14ac:dyDescent="0.25">
      <c r="AP938"/>
    </row>
    <row r="939" spans="42:42" x14ac:dyDescent="0.25">
      <c r="AP939"/>
    </row>
    <row r="940" spans="42:42" x14ac:dyDescent="0.25">
      <c r="AP940"/>
    </row>
    <row r="941" spans="42:42" x14ac:dyDescent="0.25">
      <c r="AP941"/>
    </row>
    <row r="942" spans="42:42" x14ac:dyDescent="0.25">
      <c r="AP942"/>
    </row>
    <row r="943" spans="42:42" x14ac:dyDescent="0.25">
      <c r="AP943"/>
    </row>
    <row r="944" spans="42:42" x14ac:dyDescent="0.25">
      <c r="AP944"/>
    </row>
    <row r="945" spans="42:42" x14ac:dyDescent="0.25">
      <c r="AP945"/>
    </row>
    <row r="946" spans="42:42" x14ac:dyDescent="0.25">
      <c r="AP946"/>
    </row>
    <row r="947" spans="42:42" x14ac:dyDescent="0.25">
      <c r="AP947"/>
    </row>
    <row r="948" spans="42:42" x14ac:dyDescent="0.25">
      <c r="AP948"/>
    </row>
    <row r="949" spans="42:42" x14ac:dyDescent="0.25">
      <c r="AP949"/>
    </row>
    <row r="950" spans="42:42" x14ac:dyDescent="0.25">
      <c r="AP950"/>
    </row>
    <row r="951" spans="42:42" x14ac:dyDescent="0.25">
      <c r="AP951"/>
    </row>
    <row r="952" spans="42:42" x14ac:dyDescent="0.25">
      <c r="AP952"/>
    </row>
    <row r="953" spans="42:42" x14ac:dyDescent="0.25">
      <c r="AP953"/>
    </row>
    <row r="954" spans="42:42" x14ac:dyDescent="0.25">
      <c r="AP954"/>
    </row>
    <row r="955" spans="42:42" x14ac:dyDescent="0.25">
      <c r="AP955"/>
    </row>
    <row r="956" spans="42:42" x14ac:dyDescent="0.25">
      <c r="AP956"/>
    </row>
    <row r="957" spans="42:42" x14ac:dyDescent="0.25">
      <c r="AP957"/>
    </row>
    <row r="958" spans="42:42" x14ac:dyDescent="0.25">
      <c r="AP958"/>
    </row>
    <row r="959" spans="42:42" x14ac:dyDescent="0.25">
      <c r="AP959"/>
    </row>
    <row r="960" spans="42:42" x14ac:dyDescent="0.25">
      <c r="AP960"/>
    </row>
    <row r="961" spans="42:42" x14ac:dyDescent="0.25">
      <c r="AP961"/>
    </row>
    <row r="962" spans="42:42" x14ac:dyDescent="0.25">
      <c r="AP962"/>
    </row>
    <row r="963" spans="42:42" x14ac:dyDescent="0.25">
      <c r="AP963"/>
    </row>
    <row r="964" spans="42:42" x14ac:dyDescent="0.25">
      <c r="AP964"/>
    </row>
    <row r="965" spans="42:42" x14ac:dyDescent="0.25">
      <c r="AP965"/>
    </row>
    <row r="966" spans="42:42" x14ac:dyDescent="0.25">
      <c r="AP966"/>
    </row>
    <row r="967" spans="42:42" x14ac:dyDescent="0.25">
      <c r="AP967"/>
    </row>
    <row r="968" spans="42:42" x14ac:dyDescent="0.25">
      <c r="AP968"/>
    </row>
    <row r="969" spans="42:42" x14ac:dyDescent="0.25">
      <c r="AP969"/>
    </row>
    <row r="970" spans="42:42" x14ac:dyDescent="0.25">
      <c r="AP970"/>
    </row>
    <row r="971" spans="42:42" x14ac:dyDescent="0.25">
      <c r="AP971"/>
    </row>
    <row r="972" spans="42:42" x14ac:dyDescent="0.25">
      <c r="AP972"/>
    </row>
    <row r="973" spans="42:42" x14ac:dyDescent="0.25">
      <c r="AP973"/>
    </row>
    <row r="974" spans="42:42" x14ac:dyDescent="0.25">
      <c r="AP974"/>
    </row>
    <row r="975" spans="42:42" x14ac:dyDescent="0.25">
      <c r="AP975"/>
    </row>
    <row r="976" spans="42:42" x14ac:dyDescent="0.25">
      <c r="AP976"/>
    </row>
    <row r="977" spans="42:42" x14ac:dyDescent="0.25">
      <c r="AP977"/>
    </row>
    <row r="978" spans="42:42" x14ac:dyDescent="0.25">
      <c r="AP978"/>
    </row>
    <row r="979" spans="42:42" x14ac:dyDescent="0.25">
      <c r="AP979"/>
    </row>
    <row r="980" spans="42:42" x14ac:dyDescent="0.25">
      <c r="AP980"/>
    </row>
    <row r="981" spans="42:42" x14ac:dyDescent="0.25">
      <c r="AP981"/>
    </row>
    <row r="982" spans="42:42" x14ac:dyDescent="0.25">
      <c r="AP982"/>
    </row>
    <row r="983" spans="42:42" x14ac:dyDescent="0.25">
      <c r="AP983"/>
    </row>
    <row r="984" spans="42:42" x14ac:dyDescent="0.25">
      <c r="AP984"/>
    </row>
    <row r="985" spans="42:42" x14ac:dyDescent="0.25">
      <c r="AP985"/>
    </row>
    <row r="986" spans="42:42" x14ac:dyDescent="0.25">
      <c r="AP986"/>
    </row>
    <row r="987" spans="42:42" x14ac:dyDescent="0.25">
      <c r="AP987"/>
    </row>
    <row r="988" spans="42:42" x14ac:dyDescent="0.25">
      <c r="AP988"/>
    </row>
    <row r="989" spans="42:42" x14ac:dyDescent="0.25">
      <c r="AP989"/>
    </row>
    <row r="990" spans="42:42" x14ac:dyDescent="0.25">
      <c r="AP990"/>
    </row>
    <row r="991" spans="42:42" x14ac:dyDescent="0.25">
      <c r="AP991"/>
    </row>
    <row r="992" spans="42:42" x14ac:dyDescent="0.25">
      <c r="AP992"/>
    </row>
    <row r="993" spans="42:42" x14ac:dyDescent="0.25">
      <c r="AP993"/>
    </row>
    <row r="994" spans="42:42" x14ac:dyDescent="0.25">
      <c r="AP994"/>
    </row>
    <row r="995" spans="42:42" x14ac:dyDescent="0.25">
      <c r="AP995"/>
    </row>
    <row r="996" spans="42:42" x14ac:dyDescent="0.25">
      <c r="AP996"/>
    </row>
    <row r="997" spans="42:42" x14ac:dyDescent="0.25">
      <c r="AP997"/>
    </row>
    <row r="998" spans="42:42" x14ac:dyDescent="0.25">
      <c r="AP998"/>
    </row>
    <row r="999" spans="42:42" x14ac:dyDescent="0.25">
      <c r="AP999"/>
    </row>
    <row r="1000" spans="42:42" x14ac:dyDescent="0.25">
      <c r="AP1000"/>
    </row>
    <row r="1001" spans="42:42" x14ac:dyDescent="0.25">
      <c r="AP1001"/>
    </row>
    <row r="1002" spans="42:42" x14ac:dyDescent="0.25">
      <c r="AP1002"/>
    </row>
    <row r="1003" spans="42:42" x14ac:dyDescent="0.25">
      <c r="AP1003"/>
    </row>
    <row r="1004" spans="42:42" x14ac:dyDescent="0.25">
      <c r="AP1004"/>
    </row>
    <row r="1005" spans="42:42" x14ac:dyDescent="0.25">
      <c r="AP1005"/>
    </row>
    <row r="1006" spans="42:42" x14ac:dyDescent="0.25">
      <c r="AP1006"/>
    </row>
    <row r="1007" spans="42:42" x14ac:dyDescent="0.25">
      <c r="AP1007"/>
    </row>
    <row r="1008" spans="42:42" x14ac:dyDescent="0.25">
      <c r="AP1008"/>
    </row>
    <row r="1009" spans="42:42" x14ac:dyDescent="0.25">
      <c r="AP1009"/>
    </row>
    <row r="1010" spans="42:42" x14ac:dyDescent="0.25">
      <c r="AP1010"/>
    </row>
    <row r="1011" spans="42:42" x14ac:dyDescent="0.25">
      <c r="AP1011"/>
    </row>
    <row r="1012" spans="42:42" x14ac:dyDescent="0.25">
      <c r="AP1012"/>
    </row>
    <row r="1013" spans="42:42" x14ac:dyDescent="0.25">
      <c r="AP1013"/>
    </row>
    <row r="1014" spans="42:42" x14ac:dyDescent="0.25">
      <c r="AP1014"/>
    </row>
    <row r="1015" spans="42:42" x14ac:dyDescent="0.25">
      <c r="AP1015"/>
    </row>
    <row r="1016" spans="42:42" x14ac:dyDescent="0.25">
      <c r="AP1016"/>
    </row>
    <row r="1017" spans="42:42" x14ac:dyDescent="0.25">
      <c r="AP1017"/>
    </row>
    <row r="1018" spans="42:42" x14ac:dyDescent="0.25">
      <c r="AP1018"/>
    </row>
    <row r="1019" spans="42:42" x14ac:dyDescent="0.25">
      <c r="AP1019"/>
    </row>
    <row r="1020" spans="42:42" x14ac:dyDescent="0.25">
      <c r="AP1020"/>
    </row>
    <row r="1021" spans="42:42" x14ac:dyDescent="0.25">
      <c r="AP1021"/>
    </row>
    <row r="1022" spans="42:42" x14ac:dyDescent="0.25">
      <c r="AP1022"/>
    </row>
    <row r="1023" spans="42:42" x14ac:dyDescent="0.25">
      <c r="AP1023"/>
    </row>
    <row r="1024" spans="42:42" x14ac:dyDescent="0.25">
      <c r="AP1024"/>
    </row>
    <row r="1025" spans="42:42" x14ac:dyDescent="0.25">
      <c r="AP1025"/>
    </row>
    <row r="1026" spans="42:42" x14ac:dyDescent="0.25">
      <c r="AP1026"/>
    </row>
    <row r="1027" spans="42:42" x14ac:dyDescent="0.25">
      <c r="AP1027"/>
    </row>
    <row r="1028" spans="42:42" x14ac:dyDescent="0.25">
      <c r="AP1028"/>
    </row>
    <row r="1029" spans="42:42" x14ac:dyDescent="0.25">
      <c r="AP1029"/>
    </row>
    <row r="1030" spans="42:42" x14ac:dyDescent="0.25">
      <c r="AP1030"/>
    </row>
    <row r="1031" spans="42:42" x14ac:dyDescent="0.25">
      <c r="AP1031"/>
    </row>
    <row r="1032" spans="42:42" x14ac:dyDescent="0.25">
      <c r="AP1032"/>
    </row>
    <row r="1033" spans="42:42" x14ac:dyDescent="0.25">
      <c r="AP1033"/>
    </row>
    <row r="1034" spans="42:42" x14ac:dyDescent="0.25">
      <c r="AP1034"/>
    </row>
    <row r="1035" spans="42:42" x14ac:dyDescent="0.25">
      <c r="AP1035"/>
    </row>
    <row r="1036" spans="42:42" x14ac:dyDescent="0.25">
      <c r="AP1036"/>
    </row>
    <row r="1037" spans="42:42" x14ac:dyDescent="0.25">
      <c r="AP1037"/>
    </row>
    <row r="1038" spans="42:42" x14ac:dyDescent="0.25">
      <c r="AP1038"/>
    </row>
    <row r="1039" spans="42:42" x14ac:dyDescent="0.25">
      <c r="AP1039"/>
    </row>
    <row r="1040" spans="42:42" x14ac:dyDescent="0.25">
      <c r="AP1040"/>
    </row>
    <row r="1041" spans="42:42" x14ac:dyDescent="0.25">
      <c r="AP1041"/>
    </row>
    <row r="1042" spans="42:42" x14ac:dyDescent="0.25">
      <c r="AP1042"/>
    </row>
    <row r="1043" spans="42:42" x14ac:dyDescent="0.25">
      <c r="AP1043"/>
    </row>
    <row r="1044" spans="42:42" x14ac:dyDescent="0.25">
      <c r="AP1044"/>
    </row>
    <row r="1045" spans="42:42" x14ac:dyDescent="0.25">
      <c r="AP1045"/>
    </row>
    <row r="1046" spans="42:42" x14ac:dyDescent="0.25">
      <c r="AP1046"/>
    </row>
    <row r="1047" spans="42:42" x14ac:dyDescent="0.25">
      <c r="AP1047"/>
    </row>
    <row r="1048" spans="42:42" x14ac:dyDescent="0.25">
      <c r="AP1048"/>
    </row>
    <row r="1049" spans="42:42" x14ac:dyDescent="0.25">
      <c r="AP1049"/>
    </row>
    <row r="1050" spans="42:42" x14ac:dyDescent="0.25">
      <c r="AP1050"/>
    </row>
    <row r="1051" spans="42:42" x14ac:dyDescent="0.25">
      <c r="AP1051"/>
    </row>
    <row r="1052" spans="42:42" x14ac:dyDescent="0.25">
      <c r="AP1052"/>
    </row>
    <row r="1053" spans="42:42" x14ac:dyDescent="0.25">
      <c r="AP1053"/>
    </row>
    <row r="1054" spans="42:42" x14ac:dyDescent="0.25">
      <c r="AP1054"/>
    </row>
    <row r="1055" spans="42:42" x14ac:dyDescent="0.25">
      <c r="AP1055"/>
    </row>
    <row r="1056" spans="42:42" x14ac:dyDescent="0.25">
      <c r="AP1056"/>
    </row>
    <row r="1057" spans="42:42" x14ac:dyDescent="0.25">
      <c r="AP1057"/>
    </row>
    <row r="1058" spans="42:42" x14ac:dyDescent="0.25">
      <c r="AP1058"/>
    </row>
    <row r="1059" spans="42:42" x14ac:dyDescent="0.25">
      <c r="AP1059"/>
    </row>
    <row r="1060" spans="42:42" x14ac:dyDescent="0.25">
      <c r="AP1060"/>
    </row>
    <row r="1061" spans="42:42" x14ac:dyDescent="0.25">
      <c r="AP1061"/>
    </row>
    <row r="1062" spans="42:42" x14ac:dyDescent="0.25">
      <c r="AP1062"/>
    </row>
    <row r="1063" spans="42:42" x14ac:dyDescent="0.25">
      <c r="AP1063"/>
    </row>
    <row r="1064" spans="42:42" x14ac:dyDescent="0.25">
      <c r="AP1064"/>
    </row>
    <row r="1065" spans="42:42" x14ac:dyDescent="0.25">
      <c r="AP1065"/>
    </row>
    <row r="1066" spans="42:42" x14ac:dyDescent="0.25">
      <c r="AP1066"/>
    </row>
    <row r="1067" spans="42:42" x14ac:dyDescent="0.25">
      <c r="AP1067"/>
    </row>
    <row r="1068" spans="42:42" x14ac:dyDescent="0.25">
      <c r="AP1068"/>
    </row>
    <row r="1069" spans="42:42" x14ac:dyDescent="0.25">
      <c r="AP1069"/>
    </row>
    <row r="1070" spans="42:42" x14ac:dyDescent="0.25">
      <c r="AP1070"/>
    </row>
    <row r="1071" spans="42:42" x14ac:dyDescent="0.25">
      <c r="AP1071"/>
    </row>
    <row r="1072" spans="42:42" x14ac:dyDescent="0.25">
      <c r="AP1072"/>
    </row>
    <row r="1073" spans="42:42" x14ac:dyDescent="0.25">
      <c r="AP1073"/>
    </row>
    <row r="1074" spans="42:42" x14ac:dyDescent="0.25">
      <c r="AP1074"/>
    </row>
    <row r="1075" spans="42:42" x14ac:dyDescent="0.25">
      <c r="AP1075"/>
    </row>
    <row r="1076" spans="42:42" x14ac:dyDescent="0.25">
      <c r="AP1076"/>
    </row>
    <row r="1077" spans="42:42" x14ac:dyDescent="0.25">
      <c r="AP1077"/>
    </row>
    <row r="1078" spans="42:42" x14ac:dyDescent="0.25">
      <c r="AP1078"/>
    </row>
    <row r="1079" spans="42:42" x14ac:dyDescent="0.25">
      <c r="AP1079"/>
    </row>
    <row r="1080" spans="42:42" x14ac:dyDescent="0.25">
      <c r="AP1080"/>
    </row>
    <row r="1081" spans="42:42" x14ac:dyDescent="0.25">
      <c r="AP1081"/>
    </row>
    <row r="1082" spans="42:42" x14ac:dyDescent="0.25">
      <c r="AP1082"/>
    </row>
    <row r="1083" spans="42:42" x14ac:dyDescent="0.25">
      <c r="AP1083"/>
    </row>
    <row r="1084" spans="42:42" x14ac:dyDescent="0.25">
      <c r="AP1084"/>
    </row>
    <row r="1085" spans="42:42" x14ac:dyDescent="0.25">
      <c r="AP1085"/>
    </row>
    <row r="1086" spans="42:42" x14ac:dyDescent="0.25">
      <c r="AP1086"/>
    </row>
    <row r="1087" spans="42:42" x14ac:dyDescent="0.25">
      <c r="AP1087"/>
    </row>
    <row r="1088" spans="42:42" x14ac:dyDescent="0.25">
      <c r="AP1088"/>
    </row>
    <row r="1089" spans="42:42" x14ac:dyDescent="0.25">
      <c r="AP1089"/>
    </row>
    <row r="1090" spans="42:42" x14ac:dyDescent="0.25">
      <c r="AP1090"/>
    </row>
    <row r="1091" spans="42:42" x14ac:dyDescent="0.25">
      <c r="AP1091"/>
    </row>
    <row r="1092" spans="42:42" x14ac:dyDescent="0.25">
      <c r="AP1092"/>
    </row>
    <row r="1093" spans="42:42" x14ac:dyDescent="0.25">
      <c r="AP1093"/>
    </row>
    <row r="1094" spans="42:42" x14ac:dyDescent="0.25">
      <c r="AP1094"/>
    </row>
    <row r="1095" spans="42:42" x14ac:dyDescent="0.25">
      <c r="AP1095"/>
    </row>
    <row r="1096" spans="42:42" x14ac:dyDescent="0.25">
      <c r="AP1096"/>
    </row>
    <row r="1097" spans="42:42" x14ac:dyDescent="0.25">
      <c r="AP1097"/>
    </row>
    <row r="1098" spans="42:42" x14ac:dyDescent="0.25">
      <c r="AP1098"/>
    </row>
    <row r="1099" spans="42:42" x14ac:dyDescent="0.25">
      <c r="AP1099"/>
    </row>
    <row r="1100" spans="42:42" x14ac:dyDescent="0.25">
      <c r="AP1100"/>
    </row>
    <row r="1101" spans="42:42" x14ac:dyDescent="0.25">
      <c r="AP1101"/>
    </row>
    <row r="1102" spans="42:42" x14ac:dyDescent="0.25">
      <c r="AP1102"/>
    </row>
    <row r="1103" spans="42:42" x14ac:dyDescent="0.25">
      <c r="AP1103"/>
    </row>
    <row r="1104" spans="42:42" x14ac:dyDescent="0.25">
      <c r="AP1104"/>
    </row>
    <row r="1105" spans="42:42" x14ac:dyDescent="0.25">
      <c r="AP1105"/>
    </row>
    <row r="1106" spans="42:42" x14ac:dyDescent="0.25">
      <c r="AP1106"/>
    </row>
    <row r="1107" spans="42:42" x14ac:dyDescent="0.25">
      <c r="AP1107"/>
    </row>
    <row r="1108" spans="42:42" x14ac:dyDescent="0.25">
      <c r="AP1108"/>
    </row>
    <row r="1109" spans="42:42" x14ac:dyDescent="0.25">
      <c r="AP1109"/>
    </row>
    <row r="1110" spans="42:42" x14ac:dyDescent="0.25">
      <c r="AP1110"/>
    </row>
    <row r="1111" spans="42:42" x14ac:dyDescent="0.25">
      <c r="AP1111"/>
    </row>
    <row r="1112" spans="42:42" x14ac:dyDescent="0.25">
      <c r="AP1112"/>
    </row>
    <row r="1113" spans="42:42" x14ac:dyDescent="0.25">
      <c r="AP1113"/>
    </row>
    <row r="1114" spans="42:42" x14ac:dyDescent="0.25">
      <c r="AP1114"/>
    </row>
    <row r="1115" spans="42:42" x14ac:dyDescent="0.25">
      <c r="AP1115"/>
    </row>
    <row r="1116" spans="42:42" x14ac:dyDescent="0.25">
      <c r="AP1116"/>
    </row>
    <row r="1117" spans="42:42" x14ac:dyDescent="0.25">
      <c r="AP1117"/>
    </row>
    <row r="1118" spans="42:42" x14ac:dyDescent="0.25">
      <c r="AP1118"/>
    </row>
    <row r="1119" spans="42:42" x14ac:dyDescent="0.25">
      <c r="AP1119"/>
    </row>
    <row r="1120" spans="42:42" x14ac:dyDescent="0.25">
      <c r="AP1120"/>
    </row>
    <row r="1121" spans="42:42" x14ac:dyDescent="0.25">
      <c r="AP1121"/>
    </row>
    <row r="1122" spans="42:42" x14ac:dyDescent="0.25">
      <c r="AP1122"/>
    </row>
    <row r="1123" spans="42:42" x14ac:dyDescent="0.25">
      <c r="AP1123"/>
    </row>
    <row r="1124" spans="42:42" x14ac:dyDescent="0.25">
      <c r="AP1124"/>
    </row>
    <row r="1125" spans="42:42" x14ac:dyDescent="0.25">
      <c r="AP1125"/>
    </row>
    <row r="1126" spans="42:42" x14ac:dyDescent="0.25">
      <c r="AP1126"/>
    </row>
    <row r="1127" spans="42:42" x14ac:dyDescent="0.25">
      <c r="AP1127"/>
    </row>
    <row r="1128" spans="42:42" x14ac:dyDescent="0.25">
      <c r="AP1128"/>
    </row>
    <row r="1129" spans="42:42" x14ac:dyDescent="0.25">
      <c r="AP1129"/>
    </row>
    <row r="1130" spans="42:42" x14ac:dyDescent="0.25">
      <c r="AP1130"/>
    </row>
    <row r="1131" spans="42:42" x14ac:dyDescent="0.25">
      <c r="AP1131"/>
    </row>
    <row r="1132" spans="42:42" x14ac:dyDescent="0.25">
      <c r="AP1132"/>
    </row>
    <row r="1133" spans="42:42" x14ac:dyDescent="0.25">
      <c r="AP1133"/>
    </row>
    <row r="1134" spans="42:42" x14ac:dyDescent="0.25">
      <c r="AP1134"/>
    </row>
    <row r="1135" spans="42:42" x14ac:dyDescent="0.25">
      <c r="AP1135"/>
    </row>
    <row r="1136" spans="42:42" x14ac:dyDescent="0.25">
      <c r="AP1136"/>
    </row>
    <row r="1137" spans="42:42" x14ac:dyDescent="0.25">
      <c r="AP1137"/>
    </row>
    <row r="1138" spans="42:42" x14ac:dyDescent="0.25">
      <c r="AP1138"/>
    </row>
    <row r="1139" spans="42:42" x14ac:dyDescent="0.25">
      <c r="AP1139"/>
    </row>
    <row r="1140" spans="42:42" x14ac:dyDescent="0.25">
      <c r="AP1140"/>
    </row>
    <row r="1141" spans="42:42" x14ac:dyDescent="0.25">
      <c r="AP1141"/>
    </row>
    <row r="1142" spans="42:42" x14ac:dyDescent="0.25">
      <c r="AP1142"/>
    </row>
    <row r="1143" spans="42:42" x14ac:dyDescent="0.25">
      <c r="AP1143"/>
    </row>
    <row r="1144" spans="42:42" x14ac:dyDescent="0.25">
      <c r="AP1144"/>
    </row>
    <row r="1145" spans="42:42" x14ac:dyDescent="0.25">
      <c r="AP1145"/>
    </row>
    <row r="1146" spans="42:42" x14ac:dyDescent="0.25">
      <c r="AP1146"/>
    </row>
    <row r="1147" spans="42:42" x14ac:dyDescent="0.25">
      <c r="AP1147"/>
    </row>
    <row r="1148" spans="42:42" x14ac:dyDescent="0.25">
      <c r="AP1148"/>
    </row>
    <row r="1149" spans="42:42" x14ac:dyDescent="0.25">
      <c r="AP1149"/>
    </row>
    <row r="1150" spans="42:42" x14ac:dyDescent="0.25">
      <c r="AP1150"/>
    </row>
    <row r="1151" spans="42:42" x14ac:dyDescent="0.25">
      <c r="AP1151"/>
    </row>
    <row r="1152" spans="42:42" x14ac:dyDescent="0.25">
      <c r="AP1152"/>
    </row>
    <row r="1153" spans="42:42" x14ac:dyDescent="0.25">
      <c r="AP1153"/>
    </row>
    <row r="1154" spans="42:42" x14ac:dyDescent="0.25">
      <c r="AP1154"/>
    </row>
    <row r="1155" spans="42:42" x14ac:dyDescent="0.25">
      <c r="AP1155"/>
    </row>
    <row r="1156" spans="42:42" x14ac:dyDescent="0.25">
      <c r="AP1156"/>
    </row>
    <row r="1157" spans="42:42" x14ac:dyDescent="0.25">
      <c r="AP1157"/>
    </row>
    <row r="1158" spans="42:42" x14ac:dyDescent="0.25">
      <c r="AP1158"/>
    </row>
    <row r="1159" spans="42:42" x14ac:dyDescent="0.25">
      <c r="AP1159"/>
    </row>
    <row r="1160" spans="42:42" x14ac:dyDescent="0.25">
      <c r="AP1160"/>
    </row>
    <row r="1161" spans="42:42" x14ac:dyDescent="0.25">
      <c r="AP1161"/>
    </row>
    <row r="1162" spans="42:42" x14ac:dyDescent="0.25">
      <c r="AP1162"/>
    </row>
    <row r="1163" spans="42:42" x14ac:dyDescent="0.25">
      <c r="AP1163"/>
    </row>
    <row r="1164" spans="42:42" x14ac:dyDescent="0.25">
      <c r="AP1164"/>
    </row>
    <row r="1165" spans="42:42" x14ac:dyDescent="0.25">
      <c r="AP1165"/>
    </row>
    <row r="1166" spans="42:42" x14ac:dyDescent="0.25">
      <c r="AP1166"/>
    </row>
    <row r="1167" spans="42:42" x14ac:dyDescent="0.25">
      <c r="AP1167"/>
    </row>
    <row r="1168" spans="42:42" x14ac:dyDescent="0.25">
      <c r="AP1168"/>
    </row>
    <row r="1169" spans="42:42" x14ac:dyDescent="0.25">
      <c r="AP1169"/>
    </row>
    <row r="1170" spans="42:42" x14ac:dyDescent="0.25">
      <c r="AP1170"/>
    </row>
    <row r="1171" spans="42:42" x14ac:dyDescent="0.25">
      <c r="AP1171"/>
    </row>
    <row r="1172" spans="42:42" x14ac:dyDescent="0.25">
      <c r="AP1172"/>
    </row>
    <row r="1173" spans="42:42" x14ac:dyDescent="0.25">
      <c r="AP1173"/>
    </row>
    <row r="1174" spans="42:42" x14ac:dyDescent="0.25">
      <c r="AP1174"/>
    </row>
    <row r="1175" spans="42:42" x14ac:dyDescent="0.25">
      <c r="AP1175"/>
    </row>
    <row r="1176" spans="42:42" x14ac:dyDescent="0.25">
      <c r="AP1176"/>
    </row>
    <row r="1177" spans="42:42" x14ac:dyDescent="0.25">
      <c r="AP1177"/>
    </row>
    <row r="1178" spans="42:42" x14ac:dyDescent="0.25">
      <c r="AP1178"/>
    </row>
    <row r="1179" spans="42:42" x14ac:dyDescent="0.25">
      <c r="AP1179"/>
    </row>
    <row r="1180" spans="42:42" x14ac:dyDescent="0.25">
      <c r="AP1180"/>
    </row>
    <row r="1181" spans="42:42" x14ac:dyDescent="0.25">
      <c r="AP1181"/>
    </row>
    <row r="1182" spans="42:42" x14ac:dyDescent="0.25">
      <c r="AP1182"/>
    </row>
    <row r="1183" spans="42:42" x14ac:dyDescent="0.25">
      <c r="AP1183"/>
    </row>
    <row r="1184" spans="42:42" x14ac:dyDescent="0.25">
      <c r="AP1184"/>
    </row>
    <row r="1185" spans="42:42" x14ac:dyDescent="0.25">
      <c r="AP1185"/>
    </row>
    <row r="1186" spans="42:42" x14ac:dyDescent="0.25">
      <c r="AP1186"/>
    </row>
    <row r="1187" spans="42:42" x14ac:dyDescent="0.25">
      <c r="AP1187"/>
    </row>
    <row r="1188" spans="42:42" x14ac:dyDescent="0.25">
      <c r="AP1188"/>
    </row>
    <row r="1189" spans="42:42" x14ac:dyDescent="0.25">
      <c r="AP1189"/>
    </row>
    <row r="1190" spans="42:42" x14ac:dyDescent="0.25">
      <c r="AP1190"/>
    </row>
    <row r="1191" spans="42:42" x14ac:dyDescent="0.25">
      <c r="AP1191"/>
    </row>
    <row r="1192" spans="42:42" x14ac:dyDescent="0.25">
      <c r="AP1192"/>
    </row>
    <row r="1193" spans="42:42" x14ac:dyDescent="0.25">
      <c r="AP1193"/>
    </row>
    <row r="1194" spans="42:42" x14ac:dyDescent="0.25">
      <c r="AP1194"/>
    </row>
    <row r="1195" spans="42:42" x14ac:dyDescent="0.25">
      <c r="AP1195"/>
    </row>
    <row r="1196" spans="42:42" x14ac:dyDescent="0.25">
      <c r="AP1196"/>
    </row>
    <row r="1197" spans="42:42" x14ac:dyDescent="0.25">
      <c r="AP1197"/>
    </row>
    <row r="1198" spans="42:42" x14ac:dyDescent="0.25">
      <c r="AP1198"/>
    </row>
    <row r="1199" spans="42:42" x14ac:dyDescent="0.25">
      <c r="AP1199"/>
    </row>
    <row r="1200" spans="42:42" x14ac:dyDescent="0.25">
      <c r="AP1200"/>
    </row>
    <row r="1201" spans="42:42" x14ac:dyDescent="0.25">
      <c r="AP1201"/>
    </row>
    <row r="1202" spans="42:42" x14ac:dyDescent="0.25">
      <c r="AP1202"/>
    </row>
    <row r="1203" spans="42:42" x14ac:dyDescent="0.25">
      <c r="AP1203"/>
    </row>
    <row r="1204" spans="42:42" x14ac:dyDescent="0.25">
      <c r="AP1204"/>
    </row>
    <row r="1205" spans="42:42" x14ac:dyDescent="0.25">
      <c r="AP1205"/>
    </row>
    <row r="1206" spans="42:42" x14ac:dyDescent="0.25">
      <c r="AP1206"/>
    </row>
    <row r="1207" spans="42:42" x14ac:dyDescent="0.25">
      <c r="AP1207"/>
    </row>
    <row r="1208" spans="42:42" x14ac:dyDescent="0.25">
      <c r="AP1208"/>
    </row>
    <row r="1209" spans="42:42" x14ac:dyDescent="0.25">
      <c r="AP1209"/>
    </row>
    <row r="1210" spans="42:42" x14ac:dyDescent="0.25">
      <c r="AP1210"/>
    </row>
    <row r="1211" spans="42:42" x14ac:dyDescent="0.25">
      <c r="AP1211"/>
    </row>
    <row r="1212" spans="42:42" x14ac:dyDescent="0.25">
      <c r="AP1212"/>
    </row>
    <row r="1213" spans="42:42" x14ac:dyDescent="0.25">
      <c r="AP1213"/>
    </row>
    <row r="1214" spans="42:42" x14ac:dyDescent="0.25">
      <c r="AP1214"/>
    </row>
    <row r="1215" spans="42:42" x14ac:dyDescent="0.25">
      <c r="AP1215"/>
    </row>
    <row r="1216" spans="42:42" x14ac:dyDescent="0.25">
      <c r="AP1216"/>
    </row>
    <row r="1217" spans="42:42" x14ac:dyDescent="0.25">
      <c r="AP1217"/>
    </row>
    <row r="1218" spans="42:42" x14ac:dyDescent="0.25">
      <c r="AP1218"/>
    </row>
    <row r="1219" spans="42:42" x14ac:dyDescent="0.25">
      <c r="AP1219"/>
    </row>
    <row r="1220" spans="42:42" x14ac:dyDescent="0.25">
      <c r="AP1220"/>
    </row>
    <row r="1221" spans="42:42" x14ac:dyDescent="0.25">
      <c r="AP1221"/>
    </row>
    <row r="1222" spans="42:42" x14ac:dyDescent="0.25">
      <c r="AP1222"/>
    </row>
    <row r="1223" spans="42:42" x14ac:dyDescent="0.25">
      <c r="AP1223"/>
    </row>
    <row r="1224" spans="42:42" x14ac:dyDescent="0.25">
      <c r="AP1224"/>
    </row>
    <row r="1225" spans="42:42" x14ac:dyDescent="0.25">
      <c r="AP1225"/>
    </row>
    <row r="1226" spans="42:42" x14ac:dyDescent="0.25">
      <c r="AP1226"/>
    </row>
    <row r="1227" spans="42:42" x14ac:dyDescent="0.25">
      <c r="AP1227"/>
    </row>
    <row r="1228" spans="42:42" x14ac:dyDescent="0.25">
      <c r="AP1228"/>
    </row>
    <row r="1229" spans="42:42" x14ac:dyDescent="0.25">
      <c r="AP1229"/>
    </row>
    <row r="1230" spans="42:42" x14ac:dyDescent="0.25">
      <c r="AP1230"/>
    </row>
    <row r="1231" spans="42:42" x14ac:dyDescent="0.25">
      <c r="AP1231"/>
    </row>
    <row r="1232" spans="42:42" x14ac:dyDescent="0.25">
      <c r="AP1232"/>
    </row>
    <row r="1233" spans="42:42" x14ac:dyDescent="0.25">
      <c r="AP1233"/>
    </row>
    <row r="1234" spans="42:42" x14ac:dyDescent="0.25">
      <c r="AP1234"/>
    </row>
    <row r="1235" spans="42:42" x14ac:dyDescent="0.25">
      <c r="AP1235"/>
    </row>
    <row r="1236" spans="42:42" x14ac:dyDescent="0.25">
      <c r="AP1236"/>
    </row>
    <row r="1237" spans="42:42" x14ac:dyDescent="0.25">
      <c r="AP1237"/>
    </row>
    <row r="1238" spans="42:42" x14ac:dyDescent="0.25">
      <c r="AP1238"/>
    </row>
    <row r="1239" spans="42:42" x14ac:dyDescent="0.25">
      <c r="AP1239"/>
    </row>
    <row r="1240" spans="42:42" x14ac:dyDescent="0.25">
      <c r="AP1240"/>
    </row>
    <row r="1241" spans="42:42" x14ac:dyDescent="0.25">
      <c r="AP1241"/>
    </row>
    <row r="1242" spans="42:42" x14ac:dyDescent="0.25">
      <c r="AP1242"/>
    </row>
    <row r="1243" spans="42:42" x14ac:dyDescent="0.25">
      <c r="AP1243"/>
    </row>
    <row r="1244" spans="42:42" x14ac:dyDescent="0.25">
      <c r="AP1244"/>
    </row>
    <row r="1245" spans="42:42" x14ac:dyDescent="0.25">
      <c r="AP1245"/>
    </row>
    <row r="1246" spans="42:42" x14ac:dyDescent="0.25">
      <c r="AP1246"/>
    </row>
    <row r="1247" spans="42:42" x14ac:dyDescent="0.25">
      <c r="AP1247"/>
    </row>
    <row r="1248" spans="42:42" x14ac:dyDescent="0.25">
      <c r="AP1248"/>
    </row>
    <row r="1249" spans="42:42" x14ac:dyDescent="0.25">
      <c r="AP1249"/>
    </row>
    <row r="1250" spans="42:42" x14ac:dyDescent="0.25">
      <c r="AP1250"/>
    </row>
    <row r="1251" spans="42:42" x14ac:dyDescent="0.25">
      <c r="AP1251"/>
    </row>
    <row r="1252" spans="42:42" x14ac:dyDescent="0.25">
      <c r="AP1252"/>
    </row>
    <row r="1253" spans="42:42" x14ac:dyDescent="0.25">
      <c r="AP1253"/>
    </row>
    <row r="1254" spans="42:42" x14ac:dyDescent="0.25">
      <c r="AP1254"/>
    </row>
    <row r="1255" spans="42:42" x14ac:dyDescent="0.25">
      <c r="AP1255"/>
    </row>
    <row r="1256" spans="42:42" x14ac:dyDescent="0.25">
      <c r="AP1256"/>
    </row>
    <row r="1257" spans="42:42" x14ac:dyDescent="0.25">
      <c r="AP1257"/>
    </row>
    <row r="1258" spans="42:42" x14ac:dyDescent="0.25">
      <c r="AP1258"/>
    </row>
    <row r="1259" spans="42:42" x14ac:dyDescent="0.25">
      <c r="AP1259"/>
    </row>
    <row r="1260" spans="42:42" x14ac:dyDescent="0.25">
      <c r="AP1260"/>
    </row>
    <row r="1261" spans="42:42" x14ac:dyDescent="0.25">
      <c r="AP1261"/>
    </row>
    <row r="1262" spans="42:42" x14ac:dyDescent="0.25">
      <c r="AP1262"/>
    </row>
    <row r="1263" spans="42:42" x14ac:dyDescent="0.25">
      <c r="AP1263"/>
    </row>
    <row r="1264" spans="42:42" x14ac:dyDescent="0.25">
      <c r="AP1264"/>
    </row>
    <row r="1265" spans="42:42" x14ac:dyDescent="0.25">
      <c r="AP1265"/>
    </row>
    <row r="1266" spans="42:42" x14ac:dyDescent="0.25">
      <c r="AP1266"/>
    </row>
    <row r="1267" spans="42:42" x14ac:dyDescent="0.25">
      <c r="AP1267"/>
    </row>
    <row r="1268" spans="42:42" x14ac:dyDescent="0.25">
      <c r="AP1268"/>
    </row>
    <row r="1269" spans="42:42" x14ac:dyDescent="0.25">
      <c r="AP1269"/>
    </row>
    <row r="1270" spans="42:42" x14ac:dyDescent="0.25">
      <c r="AP1270"/>
    </row>
    <row r="1271" spans="42:42" x14ac:dyDescent="0.25">
      <c r="AP1271"/>
    </row>
    <row r="1272" spans="42:42" x14ac:dyDescent="0.25">
      <c r="AP1272"/>
    </row>
    <row r="1273" spans="42:42" x14ac:dyDescent="0.25">
      <c r="AP1273"/>
    </row>
    <row r="1274" spans="42:42" x14ac:dyDescent="0.25">
      <c r="AP1274"/>
    </row>
    <row r="1275" spans="42:42" x14ac:dyDescent="0.25">
      <c r="AP1275"/>
    </row>
    <row r="1276" spans="42:42" x14ac:dyDescent="0.25">
      <c r="AP1276"/>
    </row>
    <row r="1277" spans="42:42" x14ac:dyDescent="0.25">
      <c r="AP1277"/>
    </row>
    <row r="1278" spans="42:42" x14ac:dyDescent="0.25">
      <c r="AP1278"/>
    </row>
    <row r="1279" spans="42:42" x14ac:dyDescent="0.25">
      <c r="AP1279"/>
    </row>
    <row r="1280" spans="42:42" x14ac:dyDescent="0.25">
      <c r="AP1280"/>
    </row>
    <row r="1281" spans="42:42" x14ac:dyDescent="0.25">
      <c r="AP1281"/>
    </row>
    <row r="1282" spans="42:42" x14ac:dyDescent="0.25">
      <c r="AP1282"/>
    </row>
    <row r="1283" spans="42:42" x14ac:dyDescent="0.25">
      <c r="AP1283"/>
    </row>
    <row r="1284" spans="42:42" x14ac:dyDescent="0.25">
      <c r="AP1284"/>
    </row>
    <row r="1285" spans="42:42" x14ac:dyDescent="0.25">
      <c r="AP1285"/>
    </row>
    <row r="1286" spans="42:42" x14ac:dyDescent="0.25">
      <c r="AP1286"/>
    </row>
    <row r="1287" spans="42:42" x14ac:dyDescent="0.25">
      <c r="AP1287"/>
    </row>
    <row r="1288" spans="42:42" x14ac:dyDescent="0.25">
      <c r="AP1288"/>
    </row>
    <row r="1289" spans="42:42" x14ac:dyDescent="0.25">
      <c r="AP1289"/>
    </row>
    <row r="1290" spans="42:42" x14ac:dyDescent="0.25">
      <c r="AP1290"/>
    </row>
    <row r="1291" spans="42:42" x14ac:dyDescent="0.25">
      <c r="AP1291"/>
    </row>
    <row r="1292" spans="42:42" x14ac:dyDescent="0.25">
      <c r="AP1292"/>
    </row>
    <row r="1293" spans="42:42" x14ac:dyDescent="0.25">
      <c r="AP1293"/>
    </row>
    <row r="1294" spans="42:42" x14ac:dyDescent="0.25">
      <c r="AP1294"/>
    </row>
    <row r="1295" spans="42:42" x14ac:dyDescent="0.25">
      <c r="AP1295"/>
    </row>
    <row r="1296" spans="42:42" x14ac:dyDescent="0.25">
      <c r="AP1296"/>
    </row>
    <row r="1297" spans="42:42" x14ac:dyDescent="0.25">
      <c r="AP1297"/>
    </row>
    <row r="1298" spans="42:42" x14ac:dyDescent="0.25">
      <c r="AP1298"/>
    </row>
    <row r="1299" spans="42:42" x14ac:dyDescent="0.25">
      <c r="AP1299"/>
    </row>
    <row r="1300" spans="42:42" x14ac:dyDescent="0.25">
      <c r="AP1300"/>
    </row>
    <row r="1301" spans="42:42" x14ac:dyDescent="0.25">
      <c r="AP1301"/>
    </row>
    <row r="1302" spans="42:42" x14ac:dyDescent="0.25">
      <c r="AP1302"/>
    </row>
    <row r="1303" spans="42:42" x14ac:dyDescent="0.25">
      <c r="AP1303"/>
    </row>
    <row r="1304" spans="42:42" x14ac:dyDescent="0.25">
      <c r="AP1304"/>
    </row>
    <row r="1305" spans="42:42" x14ac:dyDescent="0.25">
      <c r="AP1305"/>
    </row>
    <row r="1306" spans="42:42" x14ac:dyDescent="0.25">
      <c r="AP1306"/>
    </row>
    <row r="1307" spans="42:42" x14ac:dyDescent="0.25">
      <c r="AP1307"/>
    </row>
    <row r="1308" spans="42:42" x14ac:dyDescent="0.25">
      <c r="AP1308"/>
    </row>
    <row r="1309" spans="42:42" x14ac:dyDescent="0.25">
      <c r="AP1309"/>
    </row>
    <row r="1310" spans="42:42" x14ac:dyDescent="0.25">
      <c r="AP1310"/>
    </row>
    <row r="1311" spans="42:42" x14ac:dyDescent="0.25">
      <c r="AP1311"/>
    </row>
    <row r="1312" spans="42:42" x14ac:dyDescent="0.25">
      <c r="AP1312"/>
    </row>
    <row r="1313" spans="42:42" x14ac:dyDescent="0.25">
      <c r="AP1313"/>
    </row>
    <row r="1314" spans="42:42" x14ac:dyDescent="0.25">
      <c r="AP1314"/>
    </row>
    <row r="1315" spans="42:42" x14ac:dyDescent="0.25">
      <c r="AP1315"/>
    </row>
    <row r="1316" spans="42:42" x14ac:dyDescent="0.25">
      <c r="AP1316"/>
    </row>
    <row r="1317" spans="42:42" x14ac:dyDescent="0.25">
      <c r="AP1317"/>
    </row>
    <row r="1318" spans="42:42" x14ac:dyDescent="0.25">
      <c r="AP1318"/>
    </row>
    <row r="1319" spans="42:42" x14ac:dyDescent="0.25">
      <c r="AP1319"/>
    </row>
    <row r="1320" spans="42:42" x14ac:dyDescent="0.25">
      <c r="AP1320"/>
    </row>
    <row r="1321" spans="42:42" x14ac:dyDescent="0.25">
      <c r="AP1321"/>
    </row>
    <row r="1322" spans="42:42" x14ac:dyDescent="0.25">
      <c r="AP1322"/>
    </row>
    <row r="1323" spans="42:42" x14ac:dyDescent="0.25">
      <c r="AP1323"/>
    </row>
    <row r="1324" spans="42:42" x14ac:dyDescent="0.25">
      <c r="AP1324"/>
    </row>
    <row r="1325" spans="42:42" x14ac:dyDescent="0.25">
      <c r="AP1325"/>
    </row>
    <row r="1326" spans="42:42" x14ac:dyDescent="0.25">
      <c r="AP1326"/>
    </row>
    <row r="1327" spans="42:42" x14ac:dyDescent="0.25">
      <c r="AP1327"/>
    </row>
    <row r="1328" spans="42:42" x14ac:dyDescent="0.25">
      <c r="AP1328"/>
    </row>
    <row r="1329" spans="42:42" x14ac:dyDescent="0.25">
      <c r="AP1329"/>
    </row>
    <row r="1330" spans="42:42" x14ac:dyDescent="0.25">
      <c r="AP1330"/>
    </row>
    <row r="1331" spans="42:42" x14ac:dyDescent="0.25">
      <c r="AP1331"/>
    </row>
    <row r="1332" spans="42:42" x14ac:dyDescent="0.25">
      <c r="AP1332"/>
    </row>
    <row r="1333" spans="42:42" x14ac:dyDescent="0.25">
      <c r="AP1333"/>
    </row>
    <row r="1334" spans="42:42" x14ac:dyDescent="0.25">
      <c r="AP1334"/>
    </row>
    <row r="1335" spans="42:42" x14ac:dyDescent="0.25">
      <c r="AP1335"/>
    </row>
    <row r="1336" spans="42:42" x14ac:dyDescent="0.25">
      <c r="AP1336"/>
    </row>
    <row r="1337" spans="42:42" x14ac:dyDescent="0.25">
      <c r="AP1337"/>
    </row>
    <row r="1338" spans="42:42" x14ac:dyDescent="0.25">
      <c r="AP1338"/>
    </row>
    <row r="1339" spans="42:42" x14ac:dyDescent="0.25">
      <c r="AP1339"/>
    </row>
    <row r="1340" spans="42:42" x14ac:dyDescent="0.25">
      <c r="AP1340"/>
    </row>
    <row r="1341" spans="42:42" x14ac:dyDescent="0.25">
      <c r="AP1341"/>
    </row>
    <row r="1342" spans="42:42" x14ac:dyDescent="0.25">
      <c r="AP1342"/>
    </row>
    <row r="1343" spans="42:42" x14ac:dyDescent="0.25">
      <c r="AP1343"/>
    </row>
    <row r="1344" spans="42:42" x14ac:dyDescent="0.25">
      <c r="AP1344"/>
    </row>
    <row r="1345" spans="42:42" x14ac:dyDescent="0.25">
      <c r="AP1345"/>
    </row>
    <row r="1346" spans="42:42" x14ac:dyDescent="0.25">
      <c r="AP1346"/>
    </row>
    <row r="1347" spans="42:42" x14ac:dyDescent="0.25">
      <c r="AP1347"/>
    </row>
    <row r="1348" spans="42:42" x14ac:dyDescent="0.25">
      <c r="AP1348"/>
    </row>
    <row r="1349" spans="42:42" x14ac:dyDescent="0.25">
      <c r="AP1349"/>
    </row>
    <row r="1350" spans="42:42" x14ac:dyDescent="0.25">
      <c r="AP1350"/>
    </row>
    <row r="1351" spans="42:42" x14ac:dyDescent="0.25">
      <c r="AP1351"/>
    </row>
    <row r="1352" spans="42:42" x14ac:dyDescent="0.25">
      <c r="AP1352"/>
    </row>
    <row r="1353" spans="42:42" x14ac:dyDescent="0.25">
      <c r="AP1353"/>
    </row>
    <row r="1354" spans="42:42" x14ac:dyDescent="0.25">
      <c r="AP1354"/>
    </row>
    <row r="1355" spans="42:42" x14ac:dyDescent="0.25">
      <c r="AP1355"/>
    </row>
    <row r="1356" spans="42:42" x14ac:dyDescent="0.25">
      <c r="AP1356"/>
    </row>
    <row r="1357" spans="42:42" x14ac:dyDescent="0.25">
      <c r="AP1357"/>
    </row>
    <row r="1358" spans="42:42" x14ac:dyDescent="0.25">
      <c r="AP1358"/>
    </row>
    <row r="1359" spans="42:42" x14ac:dyDescent="0.25">
      <c r="AP1359"/>
    </row>
    <row r="1360" spans="42:42" x14ac:dyDescent="0.25">
      <c r="AP1360"/>
    </row>
    <row r="1361" spans="42:42" x14ac:dyDescent="0.25">
      <c r="AP1361"/>
    </row>
    <row r="1362" spans="42:42" x14ac:dyDescent="0.25">
      <c r="AP1362"/>
    </row>
    <row r="1363" spans="42:42" x14ac:dyDescent="0.25">
      <c r="AP1363"/>
    </row>
    <row r="1364" spans="42:42" x14ac:dyDescent="0.25">
      <c r="AP1364"/>
    </row>
    <row r="1365" spans="42:42" x14ac:dyDescent="0.25">
      <c r="AP1365"/>
    </row>
    <row r="1366" spans="42:42" x14ac:dyDescent="0.25">
      <c r="AP1366"/>
    </row>
    <row r="1367" spans="42:42" x14ac:dyDescent="0.25">
      <c r="AP1367"/>
    </row>
    <row r="1368" spans="42:42" x14ac:dyDescent="0.25">
      <c r="AP1368"/>
    </row>
    <row r="1369" spans="42:42" x14ac:dyDescent="0.25">
      <c r="AP1369"/>
    </row>
    <row r="1370" spans="42:42" x14ac:dyDescent="0.25">
      <c r="AP1370"/>
    </row>
    <row r="1371" spans="42:42" x14ac:dyDescent="0.25">
      <c r="AP1371"/>
    </row>
    <row r="1372" spans="42:42" x14ac:dyDescent="0.25">
      <c r="AP1372"/>
    </row>
    <row r="1373" spans="42:42" x14ac:dyDescent="0.25">
      <c r="AP1373"/>
    </row>
    <row r="1374" spans="42:42" x14ac:dyDescent="0.25">
      <c r="AP1374"/>
    </row>
    <row r="1375" spans="42:42" x14ac:dyDescent="0.25">
      <c r="AP1375"/>
    </row>
    <row r="1376" spans="42:42" x14ac:dyDescent="0.25">
      <c r="AP1376"/>
    </row>
    <row r="1377" spans="42:42" x14ac:dyDescent="0.25">
      <c r="AP1377"/>
    </row>
    <row r="1378" spans="42:42" x14ac:dyDescent="0.25">
      <c r="AP1378"/>
    </row>
    <row r="1379" spans="42:42" x14ac:dyDescent="0.25">
      <c r="AP1379"/>
    </row>
    <row r="1380" spans="42:42" x14ac:dyDescent="0.25">
      <c r="AP1380"/>
    </row>
    <row r="1381" spans="42:42" x14ac:dyDescent="0.25">
      <c r="AP1381"/>
    </row>
    <row r="1382" spans="42:42" x14ac:dyDescent="0.25">
      <c r="AP1382"/>
    </row>
    <row r="1383" spans="42:42" x14ac:dyDescent="0.25">
      <c r="AP1383"/>
    </row>
    <row r="1384" spans="42:42" x14ac:dyDescent="0.25">
      <c r="AP1384"/>
    </row>
    <row r="1385" spans="42:42" x14ac:dyDescent="0.25">
      <c r="AP1385"/>
    </row>
    <row r="1386" spans="42:42" x14ac:dyDescent="0.25">
      <c r="AP1386"/>
    </row>
    <row r="1387" spans="42:42" x14ac:dyDescent="0.25">
      <c r="AP1387"/>
    </row>
    <row r="1388" spans="42:42" x14ac:dyDescent="0.25">
      <c r="AP1388"/>
    </row>
    <row r="1389" spans="42:42" x14ac:dyDescent="0.25">
      <c r="AP1389"/>
    </row>
    <row r="1390" spans="42:42" x14ac:dyDescent="0.25">
      <c r="AP1390"/>
    </row>
    <row r="1391" spans="42:42" x14ac:dyDescent="0.25">
      <c r="AP1391"/>
    </row>
    <row r="1392" spans="42:42" x14ac:dyDescent="0.25">
      <c r="AP1392"/>
    </row>
    <row r="1393" spans="42:42" x14ac:dyDescent="0.25">
      <c r="AP1393"/>
    </row>
    <row r="1394" spans="42:42" x14ac:dyDescent="0.25">
      <c r="AP1394"/>
    </row>
    <row r="1395" spans="42:42" x14ac:dyDescent="0.25">
      <c r="AP1395"/>
    </row>
    <row r="1396" spans="42:42" x14ac:dyDescent="0.25">
      <c r="AP1396"/>
    </row>
    <row r="1397" spans="42:42" x14ac:dyDescent="0.25">
      <c r="AP1397"/>
    </row>
    <row r="1398" spans="42:42" x14ac:dyDescent="0.25">
      <c r="AP1398"/>
    </row>
    <row r="1399" spans="42:42" x14ac:dyDescent="0.25">
      <c r="AP1399"/>
    </row>
    <row r="1400" spans="42:42" x14ac:dyDescent="0.25">
      <c r="AP1400"/>
    </row>
    <row r="1401" spans="42:42" x14ac:dyDescent="0.25">
      <c r="AP1401"/>
    </row>
    <row r="1402" spans="42:42" x14ac:dyDescent="0.25">
      <c r="AP1402"/>
    </row>
    <row r="1403" spans="42:42" x14ac:dyDescent="0.25">
      <c r="AP1403"/>
    </row>
    <row r="1404" spans="42:42" x14ac:dyDescent="0.25">
      <c r="AP1404"/>
    </row>
    <row r="1405" spans="42:42" x14ac:dyDescent="0.25">
      <c r="AP1405"/>
    </row>
    <row r="1406" spans="42:42" x14ac:dyDescent="0.25">
      <c r="AP1406"/>
    </row>
    <row r="1407" spans="42:42" x14ac:dyDescent="0.25">
      <c r="AP1407"/>
    </row>
    <row r="1408" spans="42:42" x14ac:dyDescent="0.25">
      <c r="AP1408"/>
    </row>
    <row r="1409" spans="42:42" x14ac:dyDescent="0.25">
      <c r="AP1409"/>
    </row>
    <row r="1410" spans="42:42" x14ac:dyDescent="0.25">
      <c r="AP1410"/>
    </row>
    <row r="1411" spans="42:42" x14ac:dyDescent="0.25">
      <c r="AP1411"/>
    </row>
    <row r="1412" spans="42:42" x14ac:dyDescent="0.25">
      <c r="AP1412"/>
    </row>
    <row r="1413" spans="42:42" x14ac:dyDescent="0.25">
      <c r="AP1413"/>
    </row>
    <row r="1414" spans="42:42" x14ac:dyDescent="0.25">
      <c r="AP1414"/>
    </row>
    <row r="1415" spans="42:42" x14ac:dyDescent="0.25">
      <c r="AP1415"/>
    </row>
    <row r="1416" spans="42:42" x14ac:dyDescent="0.25">
      <c r="AP1416"/>
    </row>
    <row r="1417" spans="42:42" x14ac:dyDescent="0.25">
      <c r="AP1417"/>
    </row>
    <row r="1418" spans="42:42" x14ac:dyDescent="0.25">
      <c r="AP1418"/>
    </row>
    <row r="1419" spans="42:42" x14ac:dyDescent="0.25">
      <c r="AP1419"/>
    </row>
    <row r="1420" spans="42:42" x14ac:dyDescent="0.25">
      <c r="AP1420"/>
    </row>
    <row r="1421" spans="42:42" x14ac:dyDescent="0.25">
      <c r="AP1421"/>
    </row>
    <row r="1422" spans="42:42" x14ac:dyDescent="0.25">
      <c r="AP1422"/>
    </row>
    <row r="1423" spans="42:42" x14ac:dyDescent="0.25">
      <c r="AP1423"/>
    </row>
    <row r="1424" spans="42:42" x14ac:dyDescent="0.25">
      <c r="AP1424"/>
    </row>
    <row r="1425" spans="42:42" x14ac:dyDescent="0.25">
      <c r="AP1425"/>
    </row>
    <row r="1426" spans="42:42" x14ac:dyDescent="0.25">
      <c r="AP1426"/>
    </row>
    <row r="1427" spans="42:42" x14ac:dyDescent="0.25">
      <c r="AP1427"/>
    </row>
    <row r="1428" spans="42:42" x14ac:dyDescent="0.25">
      <c r="AP1428"/>
    </row>
    <row r="1429" spans="42:42" x14ac:dyDescent="0.25">
      <c r="AP1429"/>
    </row>
    <row r="1430" spans="42:42" x14ac:dyDescent="0.25">
      <c r="AP1430"/>
    </row>
    <row r="1431" spans="42:42" x14ac:dyDescent="0.25">
      <c r="AP1431"/>
    </row>
    <row r="1432" spans="42:42" x14ac:dyDescent="0.25">
      <c r="AP1432"/>
    </row>
    <row r="1433" spans="42:42" x14ac:dyDescent="0.25">
      <c r="AP1433"/>
    </row>
    <row r="1434" spans="42:42" x14ac:dyDescent="0.25">
      <c r="AP1434"/>
    </row>
    <row r="1435" spans="42:42" x14ac:dyDescent="0.25">
      <c r="AP1435"/>
    </row>
    <row r="1436" spans="42:42" x14ac:dyDescent="0.25">
      <c r="AP1436"/>
    </row>
    <row r="1437" spans="42:42" x14ac:dyDescent="0.25">
      <c r="AP1437"/>
    </row>
    <row r="1438" spans="42:42" x14ac:dyDescent="0.25">
      <c r="AP1438"/>
    </row>
    <row r="1439" spans="42:42" x14ac:dyDescent="0.25">
      <c r="AP1439"/>
    </row>
    <row r="1440" spans="42:42" x14ac:dyDescent="0.25">
      <c r="AP1440"/>
    </row>
    <row r="1441" spans="42:42" x14ac:dyDescent="0.25">
      <c r="AP1441"/>
    </row>
    <row r="1442" spans="42:42" x14ac:dyDescent="0.25">
      <c r="AP1442"/>
    </row>
    <row r="1443" spans="42:42" x14ac:dyDescent="0.25">
      <c r="AP1443"/>
    </row>
    <row r="1444" spans="42:42" x14ac:dyDescent="0.25">
      <c r="AP1444"/>
    </row>
    <row r="1445" spans="42:42" x14ac:dyDescent="0.25">
      <c r="AP1445"/>
    </row>
    <row r="1446" spans="42:42" x14ac:dyDescent="0.25">
      <c r="AP1446"/>
    </row>
    <row r="1447" spans="42:42" x14ac:dyDescent="0.25">
      <c r="AP1447"/>
    </row>
    <row r="1448" spans="42:42" x14ac:dyDescent="0.25">
      <c r="AP1448"/>
    </row>
    <row r="1449" spans="42:42" x14ac:dyDescent="0.25">
      <c r="AP1449"/>
    </row>
    <row r="1450" spans="42:42" x14ac:dyDescent="0.25">
      <c r="AP1450"/>
    </row>
    <row r="1451" spans="42:42" x14ac:dyDescent="0.25">
      <c r="AP1451"/>
    </row>
    <row r="1452" spans="42:42" x14ac:dyDescent="0.25">
      <c r="AP1452"/>
    </row>
    <row r="1453" spans="42:42" x14ac:dyDescent="0.25">
      <c r="AP1453"/>
    </row>
    <row r="1454" spans="42:42" x14ac:dyDescent="0.25">
      <c r="AP1454"/>
    </row>
    <row r="1455" spans="42:42" x14ac:dyDescent="0.25">
      <c r="AP1455"/>
    </row>
    <row r="1456" spans="42:42" x14ac:dyDescent="0.25">
      <c r="AP1456"/>
    </row>
    <row r="1457" spans="42:42" x14ac:dyDescent="0.25">
      <c r="AP1457"/>
    </row>
    <row r="1458" spans="42:42" x14ac:dyDescent="0.25">
      <c r="AP1458"/>
    </row>
    <row r="1459" spans="42:42" x14ac:dyDescent="0.25">
      <c r="AP1459"/>
    </row>
    <row r="1460" spans="42:42" x14ac:dyDescent="0.25">
      <c r="AP1460"/>
    </row>
    <row r="1461" spans="42:42" x14ac:dyDescent="0.25">
      <c r="AP1461"/>
    </row>
    <row r="1462" spans="42:42" x14ac:dyDescent="0.25">
      <c r="AP1462"/>
    </row>
    <row r="1463" spans="42:42" x14ac:dyDescent="0.25">
      <c r="AP1463"/>
    </row>
    <row r="1464" spans="42:42" x14ac:dyDescent="0.25">
      <c r="AP1464"/>
    </row>
    <row r="1465" spans="42:42" x14ac:dyDescent="0.25">
      <c r="AP1465"/>
    </row>
    <row r="1466" spans="42:42" x14ac:dyDescent="0.25">
      <c r="AP1466"/>
    </row>
    <row r="1467" spans="42:42" x14ac:dyDescent="0.25">
      <c r="AP1467"/>
    </row>
    <row r="1468" spans="42:42" x14ac:dyDescent="0.25">
      <c r="AP1468"/>
    </row>
    <row r="1469" spans="42:42" x14ac:dyDescent="0.25">
      <c r="AP1469"/>
    </row>
    <row r="1470" spans="42:42" x14ac:dyDescent="0.25">
      <c r="AP1470"/>
    </row>
    <row r="1471" spans="42:42" x14ac:dyDescent="0.25">
      <c r="AP1471"/>
    </row>
    <row r="1472" spans="42:42" x14ac:dyDescent="0.25">
      <c r="AP1472"/>
    </row>
    <row r="1473" spans="42:42" x14ac:dyDescent="0.25">
      <c r="AP1473"/>
    </row>
    <row r="1474" spans="42:42" x14ac:dyDescent="0.25">
      <c r="AP1474"/>
    </row>
    <row r="1475" spans="42:42" x14ac:dyDescent="0.25">
      <c r="AP1475"/>
    </row>
    <row r="1476" spans="42:42" x14ac:dyDescent="0.25">
      <c r="AP1476"/>
    </row>
    <row r="1477" spans="42:42" x14ac:dyDescent="0.25">
      <c r="AP1477"/>
    </row>
    <row r="1478" spans="42:42" x14ac:dyDescent="0.25">
      <c r="AP1478"/>
    </row>
    <row r="1479" spans="42:42" x14ac:dyDescent="0.25">
      <c r="AP1479"/>
    </row>
    <row r="1480" spans="42:42" x14ac:dyDescent="0.25">
      <c r="AP1480"/>
    </row>
    <row r="1481" spans="42:42" x14ac:dyDescent="0.25">
      <c r="AP1481"/>
    </row>
    <row r="1482" spans="42:42" x14ac:dyDescent="0.25">
      <c r="AP1482"/>
    </row>
    <row r="1483" spans="42:42" x14ac:dyDescent="0.25">
      <c r="AP1483"/>
    </row>
    <row r="1484" spans="42:42" x14ac:dyDescent="0.25">
      <c r="AP1484"/>
    </row>
    <row r="1485" spans="42:42" x14ac:dyDescent="0.25">
      <c r="AP1485"/>
    </row>
    <row r="1486" spans="42:42" x14ac:dyDescent="0.25">
      <c r="AP1486"/>
    </row>
    <row r="1487" spans="42:42" x14ac:dyDescent="0.25">
      <c r="AP1487"/>
    </row>
    <row r="1488" spans="42:42" x14ac:dyDescent="0.25">
      <c r="AP1488"/>
    </row>
    <row r="1489" spans="42:42" x14ac:dyDescent="0.25">
      <c r="AP1489"/>
    </row>
    <row r="1490" spans="42:42" x14ac:dyDescent="0.25">
      <c r="AP1490"/>
    </row>
    <row r="1491" spans="42:42" x14ac:dyDescent="0.25">
      <c r="AP1491"/>
    </row>
    <row r="1492" spans="42:42" x14ac:dyDescent="0.25">
      <c r="AP1492"/>
    </row>
    <row r="1493" spans="42:42" x14ac:dyDescent="0.25">
      <c r="AP1493"/>
    </row>
    <row r="1494" spans="42:42" x14ac:dyDescent="0.25">
      <c r="AP1494"/>
    </row>
    <row r="1495" spans="42:42" x14ac:dyDescent="0.25">
      <c r="AP1495"/>
    </row>
    <row r="1496" spans="42:42" x14ac:dyDescent="0.25">
      <c r="AP1496"/>
    </row>
    <row r="1497" spans="42:42" x14ac:dyDescent="0.25">
      <c r="AP1497"/>
    </row>
    <row r="1498" spans="42:42" x14ac:dyDescent="0.25">
      <c r="AP1498"/>
    </row>
    <row r="1499" spans="42:42" x14ac:dyDescent="0.25">
      <c r="AP1499"/>
    </row>
    <row r="1500" spans="42:42" x14ac:dyDescent="0.25">
      <c r="AP1500"/>
    </row>
    <row r="1501" spans="42:42" x14ac:dyDescent="0.25">
      <c r="AP1501"/>
    </row>
    <row r="1502" spans="42:42" x14ac:dyDescent="0.25">
      <c r="AP1502"/>
    </row>
    <row r="1503" spans="42:42" x14ac:dyDescent="0.25">
      <c r="AP1503"/>
    </row>
    <row r="1504" spans="42:42" x14ac:dyDescent="0.25">
      <c r="AP1504"/>
    </row>
    <row r="1505" spans="42:42" x14ac:dyDescent="0.25">
      <c r="AP1505"/>
    </row>
    <row r="1506" spans="42:42" x14ac:dyDescent="0.25">
      <c r="AP1506"/>
    </row>
    <row r="1507" spans="42:42" x14ac:dyDescent="0.25">
      <c r="AP1507"/>
    </row>
    <row r="1508" spans="42:42" x14ac:dyDescent="0.25">
      <c r="AP1508"/>
    </row>
    <row r="1509" spans="42:42" x14ac:dyDescent="0.25">
      <c r="AP1509"/>
    </row>
    <row r="1510" spans="42:42" x14ac:dyDescent="0.25">
      <c r="AP1510"/>
    </row>
    <row r="1511" spans="42:42" x14ac:dyDescent="0.25">
      <c r="AP1511"/>
    </row>
    <row r="1512" spans="42:42" x14ac:dyDescent="0.25">
      <c r="AP1512"/>
    </row>
    <row r="1513" spans="42:42" x14ac:dyDescent="0.25">
      <c r="AP1513"/>
    </row>
    <row r="1514" spans="42:42" x14ac:dyDescent="0.25">
      <c r="AP1514"/>
    </row>
    <row r="1515" spans="42:42" x14ac:dyDescent="0.25">
      <c r="AP1515"/>
    </row>
    <row r="1516" spans="42:42" x14ac:dyDescent="0.25">
      <c r="AP1516"/>
    </row>
    <row r="1517" spans="42:42" x14ac:dyDescent="0.25">
      <c r="AP1517"/>
    </row>
    <row r="1518" spans="42:42" x14ac:dyDescent="0.25">
      <c r="AP1518"/>
    </row>
    <row r="1519" spans="42:42" x14ac:dyDescent="0.25">
      <c r="AP1519"/>
    </row>
    <row r="1520" spans="42:42" x14ac:dyDescent="0.25">
      <c r="AP1520"/>
    </row>
    <row r="1521" spans="42:42" x14ac:dyDescent="0.25">
      <c r="AP1521"/>
    </row>
    <row r="1522" spans="42:42" x14ac:dyDescent="0.25">
      <c r="AP1522"/>
    </row>
    <row r="1523" spans="42:42" x14ac:dyDescent="0.25">
      <c r="AP1523"/>
    </row>
    <row r="1524" spans="42:42" x14ac:dyDescent="0.25">
      <c r="AP1524"/>
    </row>
    <row r="1525" spans="42:42" x14ac:dyDescent="0.25">
      <c r="AP1525"/>
    </row>
    <row r="1526" spans="42:42" x14ac:dyDescent="0.25">
      <c r="AP1526"/>
    </row>
    <row r="1527" spans="42:42" x14ac:dyDescent="0.25">
      <c r="AP1527"/>
    </row>
    <row r="1528" spans="42:42" x14ac:dyDescent="0.25">
      <c r="AP1528"/>
    </row>
    <row r="1529" spans="42:42" x14ac:dyDescent="0.25">
      <c r="AP1529"/>
    </row>
    <row r="1530" spans="42:42" x14ac:dyDescent="0.25">
      <c r="AP1530"/>
    </row>
    <row r="1531" spans="42:42" x14ac:dyDescent="0.25">
      <c r="AP1531"/>
    </row>
    <row r="1532" spans="42:42" x14ac:dyDescent="0.25">
      <c r="AP1532"/>
    </row>
    <row r="1533" spans="42:42" x14ac:dyDescent="0.25">
      <c r="AP1533"/>
    </row>
    <row r="1534" spans="42:42" x14ac:dyDescent="0.25">
      <c r="AP1534"/>
    </row>
    <row r="1535" spans="42:42" x14ac:dyDescent="0.25">
      <c r="AP1535"/>
    </row>
    <row r="1536" spans="42:42" x14ac:dyDescent="0.25">
      <c r="AP1536"/>
    </row>
    <row r="1537" spans="42:42" x14ac:dyDescent="0.25">
      <c r="AP1537"/>
    </row>
    <row r="1538" spans="42:42" x14ac:dyDescent="0.25">
      <c r="AP1538"/>
    </row>
    <row r="1539" spans="42:42" x14ac:dyDescent="0.25">
      <c r="AP1539"/>
    </row>
    <row r="1540" spans="42:42" x14ac:dyDescent="0.25">
      <c r="AP1540"/>
    </row>
    <row r="1541" spans="42:42" x14ac:dyDescent="0.25">
      <c r="AP1541"/>
    </row>
    <row r="1542" spans="42:42" x14ac:dyDescent="0.25">
      <c r="AP1542"/>
    </row>
    <row r="1543" spans="42:42" x14ac:dyDescent="0.25">
      <c r="AP1543"/>
    </row>
    <row r="1544" spans="42:42" x14ac:dyDescent="0.25">
      <c r="AP1544"/>
    </row>
    <row r="1545" spans="42:42" x14ac:dyDescent="0.25">
      <c r="AP1545"/>
    </row>
    <row r="1546" spans="42:42" x14ac:dyDescent="0.25">
      <c r="AP1546"/>
    </row>
    <row r="1547" spans="42:42" x14ac:dyDescent="0.25">
      <c r="AP1547"/>
    </row>
    <row r="1548" spans="42:42" x14ac:dyDescent="0.25">
      <c r="AP1548"/>
    </row>
    <row r="1549" spans="42:42" x14ac:dyDescent="0.25">
      <c r="AP1549"/>
    </row>
    <row r="1550" spans="42:42" x14ac:dyDescent="0.25">
      <c r="AP1550"/>
    </row>
    <row r="1551" spans="42:42" x14ac:dyDescent="0.25">
      <c r="AP1551"/>
    </row>
    <row r="1552" spans="42:42" x14ac:dyDescent="0.25">
      <c r="AP1552"/>
    </row>
    <row r="1553" spans="42:42" x14ac:dyDescent="0.25">
      <c r="AP1553"/>
    </row>
    <row r="1554" spans="42:42" x14ac:dyDescent="0.25">
      <c r="AP1554"/>
    </row>
    <row r="1555" spans="42:42" x14ac:dyDescent="0.25">
      <c r="AP1555"/>
    </row>
    <row r="1556" spans="42:42" x14ac:dyDescent="0.25">
      <c r="AP1556"/>
    </row>
    <row r="1557" spans="42:42" x14ac:dyDescent="0.25">
      <c r="AP1557"/>
    </row>
    <row r="1558" spans="42:42" x14ac:dyDescent="0.25">
      <c r="AP1558"/>
    </row>
    <row r="1559" spans="42:42" x14ac:dyDescent="0.25">
      <c r="AP1559"/>
    </row>
    <row r="1560" spans="42:42" x14ac:dyDescent="0.25">
      <c r="AP1560"/>
    </row>
    <row r="1561" spans="42:42" x14ac:dyDescent="0.25">
      <c r="AP1561"/>
    </row>
    <row r="1562" spans="42:42" x14ac:dyDescent="0.25">
      <c r="AP1562"/>
    </row>
    <row r="1563" spans="42:42" x14ac:dyDescent="0.25">
      <c r="AP1563"/>
    </row>
    <row r="1564" spans="42:42" x14ac:dyDescent="0.25">
      <c r="AP1564"/>
    </row>
    <row r="1565" spans="42:42" x14ac:dyDescent="0.25">
      <c r="AP1565"/>
    </row>
    <row r="1566" spans="42:42" x14ac:dyDescent="0.25">
      <c r="AP1566"/>
    </row>
    <row r="1567" spans="42:42" x14ac:dyDescent="0.25">
      <c r="AP1567"/>
    </row>
    <row r="1568" spans="42:42" x14ac:dyDescent="0.25">
      <c r="AP1568"/>
    </row>
    <row r="1569" spans="42:42" x14ac:dyDescent="0.25">
      <c r="AP1569"/>
    </row>
    <row r="1570" spans="42:42" x14ac:dyDescent="0.25">
      <c r="AP1570"/>
    </row>
    <row r="1571" spans="42:42" x14ac:dyDescent="0.25">
      <c r="AP1571"/>
    </row>
    <row r="1572" spans="42:42" x14ac:dyDescent="0.25">
      <c r="AP1572"/>
    </row>
    <row r="1573" spans="42:42" x14ac:dyDescent="0.25">
      <c r="AP1573"/>
    </row>
    <row r="1574" spans="42:42" x14ac:dyDescent="0.25">
      <c r="AP1574"/>
    </row>
    <row r="1575" spans="42:42" x14ac:dyDescent="0.25">
      <c r="AP1575"/>
    </row>
    <row r="1576" spans="42:42" x14ac:dyDescent="0.25">
      <c r="AP1576"/>
    </row>
    <row r="1577" spans="42:42" x14ac:dyDescent="0.25">
      <c r="AP1577"/>
    </row>
    <row r="1578" spans="42:42" x14ac:dyDescent="0.25">
      <c r="AP1578"/>
    </row>
    <row r="1579" spans="42:42" x14ac:dyDescent="0.25">
      <c r="AP1579"/>
    </row>
    <row r="1580" spans="42:42" x14ac:dyDescent="0.25">
      <c r="AP1580"/>
    </row>
    <row r="1581" spans="42:42" x14ac:dyDescent="0.25">
      <c r="AP1581"/>
    </row>
    <row r="1582" spans="42:42" x14ac:dyDescent="0.25">
      <c r="AP1582"/>
    </row>
    <row r="1583" spans="42:42" x14ac:dyDescent="0.25">
      <c r="AP1583"/>
    </row>
    <row r="1584" spans="42:42" x14ac:dyDescent="0.25">
      <c r="AP1584"/>
    </row>
    <row r="1585" spans="42:42" x14ac:dyDescent="0.25">
      <c r="AP1585"/>
    </row>
    <row r="1586" spans="42:42" x14ac:dyDescent="0.25">
      <c r="AP1586"/>
    </row>
    <row r="1587" spans="42:42" x14ac:dyDescent="0.25">
      <c r="AP1587"/>
    </row>
    <row r="1588" spans="42:42" x14ac:dyDescent="0.25">
      <c r="AP1588"/>
    </row>
    <row r="1589" spans="42:42" x14ac:dyDescent="0.25">
      <c r="AP1589"/>
    </row>
    <row r="1590" spans="42:42" x14ac:dyDescent="0.25">
      <c r="AP1590"/>
    </row>
    <row r="1591" spans="42:42" x14ac:dyDescent="0.25">
      <c r="AP1591"/>
    </row>
    <row r="1592" spans="42:42" x14ac:dyDescent="0.25">
      <c r="AP1592"/>
    </row>
    <row r="1593" spans="42:42" x14ac:dyDescent="0.25">
      <c r="AP1593"/>
    </row>
    <row r="1594" spans="42:42" x14ac:dyDescent="0.25">
      <c r="AP1594"/>
    </row>
    <row r="1595" spans="42:42" x14ac:dyDescent="0.25">
      <c r="AP1595"/>
    </row>
    <row r="1596" spans="42:42" x14ac:dyDescent="0.25">
      <c r="AP1596"/>
    </row>
    <row r="1597" spans="42:42" x14ac:dyDescent="0.25">
      <c r="AP1597"/>
    </row>
    <row r="1598" spans="42:42" x14ac:dyDescent="0.25">
      <c r="AP1598"/>
    </row>
    <row r="1599" spans="42:42" x14ac:dyDescent="0.25">
      <c r="AP1599"/>
    </row>
    <row r="1600" spans="42:42" x14ac:dyDescent="0.25">
      <c r="AP1600"/>
    </row>
    <row r="1601" spans="42:42" x14ac:dyDescent="0.25">
      <c r="AP1601"/>
    </row>
    <row r="1602" spans="42:42" x14ac:dyDescent="0.25">
      <c r="AP1602"/>
    </row>
    <row r="1603" spans="42:42" x14ac:dyDescent="0.25">
      <c r="AP1603"/>
    </row>
    <row r="1604" spans="42:42" x14ac:dyDescent="0.25">
      <c r="AP1604"/>
    </row>
    <row r="1605" spans="42:42" x14ac:dyDescent="0.25">
      <c r="AP1605"/>
    </row>
    <row r="1606" spans="42:42" x14ac:dyDescent="0.25">
      <c r="AP1606"/>
    </row>
    <row r="1607" spans="42:42" x14ac:dyDescent="0.25">
      <c r="AP1607"/>
    </row>
    <row r="1608" spans="42:42" x14ac:dyDescent="0.25">
      <c r="AP1608"/>
    </row>
    <row r="1609" spans="42:42" x14ac:dyDescent="0.25">
      <c r="AP1609"/>
    </row>
    <row r="1610" spans="42:42" x14ac:dyDescent="0.25">
      <c r="AP1610"/>
    </row>
    <row r="1611" spans="42:42" x14ac:dyDescent="0.25">
      <c r="AP1611"/>
    </row>
    <row r="1612" spans="42:42" x14ac:dyDescent="0.25">
      <c r="AP1612"/>
    </row>
    <row r="1613" spans="42:42" x14ac:dyDescent="0.25">
      <c r="AP1613"/>
    </row>
    <row r="1614" spans="42:42" x14ac:dyDescent="0.25">
      <c r="AP1614"/>
    </row>
    <row r="1615" spans="42:42" x14ac:dyDescent="0.25">
      <c r="AP1615"/>
    </row>
    <row r="1616" spans="42:42" x14ac:dyDescent="0.25">
      <c r="AP1616"/>
    </row>
    <row r="1617" spans="42:42" x14ac:dyDescent="0.25">
      <c r="AP1617"/>
    </row>
    <row r="1618" spans="42:42" x14ac:dyDescent="0.25">
      <c r="AP1618"/>
    </row>
    <row r="1619" spans="42:42" x14ac:dyDescent="0.25">
      <c r="AP1619"/>
    </row>
    <row r="1620" spans="42:42" x14ac:dyDescent="0.25">
      <c r="AP1620"/>
    </row>
    <row r="1621" spans="42:42" x14ac:dyDescent="0.25">
      <c r="AP1621"/>
    </row>
    <row r="1622" spans="42:42" x14ac:dyDescent="0.25">
      <c r="AP1622"/>
    </row>
    <row r="1623" spans="42:42" x14ac:dyDescent="0.25">
      <c r="AP1623"/>
    </row>
    <row r="1624" spans="42:42" x14ac:dyDescent="0.25">
      <c r="AP1624"/>
    </row>
    <row r="1625" spans="42:42" x14ac:dyDescent="0.25">
      <c r="AP1625"/>
    </row>
    <row r="1626" spans="42:42" x14ac:dyDescent="0.25">
      <c r="AP1626"/>
    </row>
    <row r="1627" spans="42:42" x14ac:dyDescent="0.25">
      <c r="AP1627"/>
    </row>
    <row r="1628" spans="42:42" x14ac:dyDescent="0.25">
      <c r="AP1628"/>
    </row>
    <row r="1629" spans="42:42" x14ac:dyDescent="0.25">
      <c r="AP1629"/>
    </row>
    <row r="1630" spans="42:42" x14ac:dyDescent="0.25">
      <c r="AP1630"/>
    </row>
    <row r="1631" spans="42:42" x14ac:dyDescent="0.25">
      <c r="AP1631"/>
    </row>
    <row r="1632" spans="42:42" x14ac:dyDescent="0.25">
      <c r="AP1632"/>
    </row>
    <row r="1633" spans="42:42" x14ac:dyDescent="0.25">
      <c r="AP1633"/>
    </row>
    <row r="1634" spans="42:42" x14ac:dyDescent="0.25">
      <c r="AP1634"/>
    </row>
    <row r="1635" spans="42:42" x14ac:dyDescent="0.25">
      <c r="AP1635"/>
    </row>
    <row r="1636" spans="42:42" x14ac:dyDescent="0.25">
      <c r="AP1636"/>
    </row>
    <row r="1637" spans="42:42" x14ac:dyDescent="0.25">
      <c r="AP1637"/>
    </row>
    <row r="1638" spans="42:42" x14ac:dyDescent="0.25">
      <c r="AP1638"/>
    </row>
    <row r="1639" spans="42:42" x14ac:dyDescent="0.25">
      <c r="AP1639"/>
    </row>
    <row r="1640" spans="42:42" x14ac:dyDescent="0.25">
      <c r="AP1640"/>
    </row>
    <row r="1641" spans="42:42" x14ac:dyDescent="0.25">
      <c r="AP1641"/>
    </row>
    <row r="1642" spans="42:42" x14ac:dyDescent="0.25">
      <c r="AP1642"/>
    </row>
    <row r="1643" spans="42:42" x14ac:dyDescent="0.25">
      <c r="AP1643"/>
    </row>
    <row r="1644" spans="42:42" x14ac:dyDescent="0.25">
      <c r="AP1644"/>
    </row>
    <row r="1645" spans="42:42" x14ac:dyDescent="0.25">
      <c r="AP1645"/>
    </row>
    <row r="1646" spans="42:42" x14ac:dyDescent="0.25">
      <c r="AP1646"/>
    </row>
    <row r="1647" spans="42:42" x14ac:dyDescent="0.25">
      <c r="AP1647"/>
    </row>
    <row r="1648" spans="42:42" x14ac:dyDescent="0.25">
      <c r="AP1648"/>
    </row>
    <row r="1649" spans="42:42" x14ac:dyDescent="0.25">
      <c r="AP1649"/>
    </row>
    <row r="1650" spans="42:42" x14ac:dyDescent="0.25">
      <c r="AP1650"/>
    </row>
    <row r="1651" spans="42:42" x14ac:dyDescent="0.25">
      <c r="AP1651"/>
    </row>
    <row r="1652" spans="42:42" x14ac:dyDescent="0.25">
      <c r="AP1652"/>
    </row>
    <row r="1653" spans="42:42" x14ac:dyDescent="0.25">
      <c r="AP1653"/>
    </row>
    <row r="1654" spans="42:42" x14ac:dyDescent="0.25">
      <c r="AP1654"/>
    </row>
    <row r="1655" spans="42:42" x14ac:dyDescent="0.25">
      <c r="AP1655"/>
    </row>
    <row r="1656" spans="42:42" x14ac:dyDescent="0.25">
      <c r="AP1656"/>
    </row>
    <row r="1657" spans="42:42" x14ac:dyDescent="0.25">
      <c r="AP1657"/>
    </row>
    <row r="1658" spans="42:42" x14ac:dyDescent="0.25">
      <c r="AP1658"/>
    </row>
    <row r="1659" spans="42:42" x14ac:dyDescent="0.25">
      <c r="AP1659"/>
    </row>
    <row r="1660" spans="42:42" x14ac:dyDescent="0.25">
      <c r="AP1660"/>
    </row>
    <row r="1661" spans="42:42" x14ac:dyDescent="0.25">
      <c r="AP1661"/>
    </row>
    <row r="1662" spans="42:42" x14ac:dyDescent="0.25">
      <c r="AP1662"/>
    </row>
    <row r="1663" spans="42:42" x14ac:dyDescent="0.25">
      <c r="AP1663"/>
    </row>
    <row r="1664" spans="42:42" x14ac:dyDescent="0.25">
      <c r="AP1664"/>
    </row>
    <row r="1665" spans="42:42" x14ac:dyDescent="0.25">
      <c r="AP1665"/>
    </row>
    <row r="1666" spans="42:42" x14ac:dyDescent="0.25">
      <c r="AP1666"/>
    </row>
    <row r="1667" spans="42:42" x14ac:dyDescent="0.25">
      <c r="AP1667"/>
    </row>
    <row r="1668" spans="42:42" x14ac:dyDescent="0.25">
      <c r="AP1668"/>
    </row>
    <row r="1669" spans="42:42" x14ac:dyDescent="0.25">
      <c r="AP1669"/>
    </row>
    <row r="1670" spans="42:42" x14ac:dyDescent="0.25">
      <c r="AP1670"/>
    </row>
    <row r="1671" spans="42:42" x14ac:dyDescent="0.25">
      <c r="AP1671"/>
    </row>
    <row r="1672" spans="42:42" x14ac:dyDescent="0.25">
      <c r="AP1672"/>
    </row>
    <row r="1673" spans="42:42" x14ac:dyDescent="0.25">
      <c r="AP1673"/>
    </row>
    <row r="1674" spans="42:42" x14ac:dyDescent="0.25">
      <c r="AP1674"/>
    </row>
    <row r="1675" spans="42:42" x14ac:dyDescent="0.25">
      <c r="AP1675"/>
    </row>
    <row r="1676" spans="42:42" x14ac:dyDescent="0.25">
      <c r="AP1676"/>
    </row>
    <row r="1677" spans="42:42" x14ac:dyDescent="0.25">
      <c r="AP1677"/>
    </row>
    <row r="1678" spans="42:42" x14ac:dyDescent="0.25">
      <c r="AP1678"/>
    </row>
    <row r="1679" spans="42:42" x14ac:dyDescent="0.25">
      <c r="AP1679"/>
    </row>
    <row r="1680" spans="42:42" x14ac:dyDescent="0.25">
      <c r="AP1680"/>
    </row>
    <row r="1681" spans="42:42" x14ac:dyDescent="0.25">
      <c r="AP1681"/>
    </row>
    <row r="1682" spans="42:42" x14ac:dyDescent="0.25">
      <c r="AP1682"/>
    </row>
    <row r="1683" spans="42:42" x14ac:dyDescent="0.25">
      <c r="AP1683"/>
    </row>
    <row r="1684" spans="42:42" x14ac:dyDescent="0.25">
      <c r="AP1684"/>
    </row>
    <row r="1685" spans="42:42" x14ac:dyDescent="0.25">
      <c r="AP1685"/>
    </row>
    <row r="1686" spans="42:42" x14ac:dyDescent="0.25">
      <c r="AP1686"/>
    </row>
    <row r="1687" spans="42:42" x14ac:dyDescent="0.25">
      <c r="AP1687"/>
    </row>
    <row r="1688" spans="42:42" x14ac:dyDescent="0.25">
      <c r="AP1688"/>
    </row>
    <row r="1689" spans="42:42" x14ac:dyDescent="0.25">
      <c r="AP1689"/>
    </row>
    <row r="1690" spans="42:42" x14ac:dyDescent="0.25">
      <c r="AP1690"/>
    </row>
    <row r="1691" spans="42:42" x14ac:dyDescent="0.25">
      <c r="AP1691"/>
    </row>
    <row r="1692" spans="42:42" x14ac:dyDescent="0.25">
      <c r="AP1692"/>
    </row>
    <row r="1693" spans="42:42" x14ac:dyDescent="0.25">
      <c r="AP1693"/>
    </row>
    <row r="1694" spans="42:42" x14ac:dyDescent="0.25">
      <c r="AP1694"/>
    </row>
    <row r="1695" spans="42:42" x14ac:dyDescent="0.25">
      <c r="AP1695"/>
    </row>
    <row r="1696" spans="42:42" x14ac:dyDescent="0.25">
      <c r="AP1696"/>
    </row>
    <row r="1697" spans="42:42" x14ac:dyDescent="0.25">
      <c r="AP1697"/>
    </row>
    <row r="1698" spans="42:42" x14ac:dyDescent="0.25">
      <c r="AP1698"/>
    </row>
    <row r="1699" spans="42:42" x14ac:dyDescent="0.25">
      <c r="AP1699"/>
    </row>
    <row r="1700" spans="42:42" x14ac:dyDescent="0.25">
      <c r="AP1700"/>
    </row>
    <row r="1701" spans="42:42" x14ac:dyDescent="0.25">
      <c r="AP1701"/>
    </row>
    <row r="1702" spans="42:42" x14ac:dyDescent="0.25">
      <c r="AP1702"/>
    </row>
    <row r="1703" spans="42:42" x14ac:dyDescent="0.25">
      <c r="AP1703"/>
    </row>
    <row r="1704" spans="42:42" x14ac:dyDescent="0.25">
      <c r="AP1704"/>
    </row>
    <row r="1705" spans="42:42" x14ac:dyDescent="0.25">
      <c r="AP1705"/>
    </row>
    <row r="1706" spans="42:42" x14ac:dyDescent="0.25">
      <c r="AP1706"/>
    </row>
    <row r="1707" spans="42:42" x14ac:dyDescent="0.25">
      <c r="AP1707"/>
    </row>
    <row r="1708" spans="42:42" x14ac:dyDescent="0.25">
      <c r="AP1708"/>
    </row>
    <row r="1709" spans="42:42" x14ac:dyDescent="0.25">
      <c r="AP1709"/>
    </row>
    <row r="1710" spans="42:42" x14ac:dyDescent="0.25">
      <c r="AP1710"/>
    </row>
    <row r="1711" spans="42:42" x14ac:dyDescent="0.25">
      <c r="AP1711"/>
    </row>
    <row r="1712" spans="42:42" x14ac:dyDescent="0.25">
      <c r="AP1712"/>
    </row>
    <row r="1713" spans="42:42" x14ac:dyDescent="0.25">
      <c r="AP1713"/>
    </row>
    <row r="1714" spans="42:42" x14ac:dyDescent="0.25">
      <c r="AP1714"/>
    </row>
    <row r="1715" spans="42:42" x14ac:dyDescent="0.25">
      <c r="AP1715"/>
    </row>
    <row r="1716" spans="42:42" x14ac:dyDescent="0.25">
      <c r="AP1716"/>
    </row>
    <row r="1717" spans="42:42" x14ac:dyDescent="0.25">
      <c r="AP1717"/>
    </row>
    <row r="1718" spans="42:42" x14ac:dyDescent="0.25">
      <c r="AP1718"/>
    </row>
    <row r="1719" spans="42:42" x14ac:dyDescent="0.25">
      <c r="AP1719"/>
    </row>
    <row r="1720" spans="42:42" x14ac:dyDescent="0.25">
      <c r="AP1720"/>
    </row>
    <row r="1721" spans="42:42" x14ac:dyDescent="0.25">
      <c r="AP1721"/>
    </row>
    <row r="1722" spans="42:42" x14ac:dyDescent="0.25">
      <c r="AP1722"/>
    </row>
    <row r="1723" spans="42:42" x14ac:dyDescent="0.25">
      <c r="AP1723"/>
    </row>
    <row r="1724" spans="42:42" x14ac:dyDescent="0.25">
      <c r="AP1724"/>
    </row>
    <row r="1725" spans="42:42" x14ac:dyDescent="0.25">
      <c r="AP1725"/>
    </row>
    <row r="1726" spans="42:42" x14ac:dyDescent="0.25">
      <c r="AP1726"/>
    </row>
    <row r="1727" spans="42:42" x14ac:dyDescent="0.25">
      <c r="AP1727"/>
    </row>
    <row r="1728" spans="42:42" x14ac:dyDescent="0.25">
      <c r="AP1728"/>
    </row>
    <row r="1729" spans="42:42" x14ac:dyDescent="0.25">
      <c r="AP1729"/>
    </row>
    <row r="1730" spans="42:42" x14ac:dyDescent="0.25">
      <c r="AP1730"/>
    </row>
    <row r="1731" spans="42:42" x14ac:dyDescent="0.25">
      <c r="AP1731"/>
    </row>
    <row r="1732" spans="42:42" x14ac:dyDescent="0.25">
      <c r="AP1732"/>
    </row>
    <row r="1733" spans="42:42" x14ac:dyDescent="0.25">
      <c r="AP1733"/>
    </row>
    <row r="1734" spans="42:42" x14ac:dyDescent="0.25">
      <c r="AP1734"/>
    </row>
    <row r="1735" spans="42:42" x14ac:dyDescent="0.25">
      <c r="AP1735"/>
    </row>
    <row r="1736" spans="42:42" x14ac:dyDescent="0.25">
      <c r="AP1736"/>
    </row>
    <row r="1737" spans="42:42" x14ac:dyDescent="0.25">
      <c r="AP1737"/>
    </row>
    <row r="1738" spans="42:42" x14ac:dyDescent="0.25">
      <c r="AP1738"/>
    </row>
    <row r="1739" spans="42:42" x14ac:dyDescent="0.25">
      <c r="AP1739"/>
    </row>
    <row r="1740" spans="42:42" x14ac:dyDescent="0.25">
      <c r="AP1740"/>
    </row>
    <row r="1741" spans="42:42" x14ac:dyDescent="0.25">
      <c r="AP1741"/>
    </row>
    <row r="1742" spans="42:42" x14ac:dyDescent="0.25">
      <c r="AP1742"/>
    </row>
    <row r="1743" spans="42:42" x14ac:dyDescent="0.25">
      <c r="AP1743"/>
    </row>
    <row r="1744" spans="42:42" x14ac:dyDescent="0.25">
      <c r="AP1744"/>
    </row>
    <row r="1745" spans="42:42" x14ac:dyDescent="0.25">
      <c r="AP1745"/>
    </row>
    <row r="1746" spans="42:42" x14ac:dyDescent="0.25">
      <c r="AP1746"/>
    </row>
    <row r="1747" spans="42:42" x14ac:dyDescent="0.25">
      <c r="AP1747"/>
    </row>
    <row r="1748" spans="42:42" x14ac:dyDescent="0.25">
      <c r="AP1748"/>
    </row>
    <row r="1749" spans="42:42" x14ac:dyDescent="0.25">
      <c r="AP1749"/>
    </row>
    <row r="1750" spans="42:42" x14ac:dyDescent="0.25">
      <c r="AP1750"/>
    </row>
    <row r="1751" spans="42:42" x14ac:dyDescent="0.25">
      <c r="AP1751"/>
    </row>
    <row r="1752" spans="42:42" x14ac:dyDescent="0.25">
      <c r="AP1752"/>
    </row>
    <row r="1753" spans="42:42" x14ac:dyDescent="0.25">
      <c r="AP1753"/>
    </row>
    <row r="1754" spans="42:42" x14ac:dyDescent="0.25">
      <c r="AP1754"/>
    </row>
    <row r="1755" spans="42:42" x14ac:dyDescent="0.25">
      <c r="AP1755"/>
    </row>
    <row r="1756" spans="42:42" x14ac:dyDescent="0.25">
      <c r="AP1756"/>
    </row>
    <row r="1757" spans="42:42" x14ac:dyDescent="0.25">
      <c r="AP1757"/>
    </row>
    <row r="1758" spans="42:42" x14ac:dyDescent="0.25">
      <c r="AP1758"/>
    </row>
    <row r="1759" spans="42:42" x14ac:dyDescent="0.25">
      <c r="AP1759"/>
    </row>
    <row r="1760" spans="42:42" x14ac:dyDescent="0.25">
      <c r="AP1760"/>
    </row>
    <row r="1761" spans="42:42" x14ac:dyDescent="0.25">
      <c r="AP1761"/>
    </row>
    <row r="1762" spans="42:42" x14ac:dyDescent="0.25">
      <c r="AP1762"/>
    </row>
    <row r="1763" spans="42:42" x14ac:dyDescent="0.25">
      <c r="AP1763"/>
    </row>
    <row r="1764" spans="42:42" x14ac:dyDescent="0.25">
      <c r="AP1764"/>
    </row>
    <row r="1765" spans="42:42" x14ac:dyDescent="0.25">
      <c r="AP1765"/>
    </row>
    <row r="1766" spans="42:42" x14ac:dyDescent="0.25">
      <c r="AP1766"/>
    </row>
    <row r="1767" spans="42:42" x14ac:dyDescent="0.25">
      <c r="AP1767"/>
    </row>
    <row r="1768" spans="42:42" x14ac:dyDescent="0.25">
      <c r="AP1768"/>
    </row>
    <row r="1769" spans="42:42" x14ac:dyDescent="0.25">
      <c r="AP1769"/>
    </row>
    <row r="1770" spans="42:42" x14ac:dyDescent="0.25">
      <c r="AP1770"/>
    </row>
    <row r="1771" spans="42:42" x14ac:dyDescent="0.25">
      <c r="AP1771"/>
    </row>
    <row r="1772" spans="42:42" x14ac:dyDescent="0.25">
      <c r="AP1772"/>
    </row>
    <row r="1773" spans="42:42" x14ac:dyDescent="0.25">
      <c r="AP1773"/>
    </row>
    <row r="1774" spans="42:42" x14ac:dyDescent="0.25">
      <c r="AP1774"/>
    </row>
    <row r="1775" spans="42:42" x14ac:dyDescent="0.25">
      <c r="AP1775"/>
    </row>
    <row r="1776" spans="42:42" x14ac:dyDescent="0.25">
      <c r="AP1776"/>
    </row>
    <row r="1777" spans="42:42" x14ac:dyDescent="0.25">
      <c r="AP1777"/>
    </row>
    <row r="1778" spans="42:42" x14ac:dyDescent="0.25">
      <c r="AP1778"/>
    </row>
    <row r="1779" spans="42:42" x14ac:dyDescent="0.25">
      <c r="AP1779"/>
    </row>
    <row r="1780" spans="42:42" x14ac:dyDescent="0.25">
      <c r="AP1780"/>
    </row>
    <row r="1781" spans="42:42" x14ac:dyDescent="0.25">
      <c r="AP1781"/>
    </row>
    <row r="1782" spans="42:42" x14ac:dyDescent="0.25">
      <c r="AP1782"/>
    </row>
    <row r="1783" spans="42:42" x14ac:dyDescent="0.25">
      <c r="AP1783"/>
    </row>
    <row r="1784" spans="42:42" x14ac:dyDescent="0.25">
      <c r="AP1784"/>
    </row>
    <row r="1785" spans="42:42" x14ac:dyDescent="0.25">
      <c r="AP1785"/>
    </row>
    <row r="1786" spans="42:42" x14ac:dyDescent="0.25">
      <c r="AP1786"/>
    </row>
    <row r="1787" spans="42:42" x14ac:dyDescent="0.25">
      <c r="AP1787"/>
    </row>
    <row r="1788" spans="42:42" x14ac:dyDescent="0.25">
      <c r="AP1788"/>
    </row>
    <row r="1789" spans="42:42" x14ac:dyDescent="0.25">
      <c r="AP1789"/>
    </row>
    <row r="1790" spans="42:42" x14ac:dyDescent="0.25">
      <c r="AP1790"/>
    </row>
    <row r="1791" spans="42:42" x14ac:dyDescent="0.25">
      <c r="AP1791"/>
    </row>
    <row r="1792" spans="42:42" x14ac:dyDescent="0.25">
      <c r="AP1792"/>
    </row>
    <row r="1793" spans="42:42" x14ac:dyDescent="0.25">
      <c r="AP1793"/>
    </row>
    <row r="1794" spans="42:42" x14ac:dyDescent="0.25">
      <c r="AP1794"/>
    </row>
    <row r="1795" spans="42:42" x14ac:dyDescent="0.25">
      <c r="AP1795"/>
    </row>
    <row r="1796" spans="42:42" x14ac:dyDescent="0.25">
      <c r="AP1796"/>
    </row>
    <row r="1797" spans="42:42" x14ac:dyDescent="0.25">
      <c r="AP1797"/>
    </row>
    <row r="1798" spans="42:42" x14ac:dyDescent="0.25">
      <c r="AP1798"/>
    </row>
    <row r="1799" spans="42:42" x14ac:dyDescent="0.25">
      <c r="AP1799"/>
    </row>
    <row r="1800" spans="42:42" x14ac:dyDescent="0.25">
      <c r="AP1800"/>
    </row>
    <row r="1801" spans="42:42" x14ac:dyDescent="0.25">
      <c r="AP1801"/>
    </row>
    <row r="1802" spans="42:42" x14ac:dyDescent="0.25">
      <c r="AP1802"/>
    </row>
    <row r="1803" spans="42:42" x14ac:dyDescent="0.25">
      <c r="AP1803"/>
    </row>
    <row r="1804" spans="42:42" x14ac:dyDescent="0.25">
      <c r="AP1804"/>
    </row>
    <row r="1805" spans="42:42" x14ac:dyDescent="0.25">
      <c r="AP1805"/>
    </row>
    <row r="1806" spans="42:42" x14ac:dyDescent="0.25">
      <c r="AP1806"/>
    </row>
    <row r="1807" spans="42:42" x14ac:dyDescent="0.25">
      <c r="AP1807"/>
    </row>
    <row r="1808" spans="42:42" x14ac:dyDescent="0.25">
      <c r="AP1808"/>
    </row>
    <row r="1809" spans="42:42" x14ac:dyDescent="0.25">
      <c r="AP1809"/>
    </row>
    <row r="1810" spans="42:42" x14ac:dyDescent="0.25">
      <c r="AP1810"/>
    </row>
    <row r="1811" spans="42:42" x14ac:dyDescent="0.25">
      <c r="AP1811"/>
    </row>
    <row r="1812" spans="42:42" x14ac:dyDescent="0.25">
      <c r="AP1812"/>
    </row>
    <row r="1813" spans="42:42" x14ac:dyDescent="0.25">
      <c r="AP1813"/>
    </row>
    <row r="1814" spans="42:42" x14ac:dyDescent="0.25">
      <c r="AP1814"/>
    </row>
    <row r="1815" spans="42:42" x14ac:dyDescent="0.25">
      <c r="AP1815"/>
    </row>
    <row r="1816" spans="42:42" x14ac:dyDescent="0.25">
      <c r="AP1816"/>
    </row>
    <row r="1817" spans="42:42" x14ac:dyDescent="0.25">
      <c r="AP1817"/>
    </row>
    <row r="1818" spans="42:42" x14ac:dyDescent="0.25">
      <c r="AP1818"/>
    </row>
    <row r="1819" spans="42:42" x14ac:dyDescent="0.25">
      <c r="AP1819"/>
    </row>
    <row r="1820" spans="42:42" x14ac:dyDescent="0.25">
      <c r="AP1820"/>
    </row>
    <row r="1821" spans="42:42" x14ac:dyDescent="0.25">
      <c r="AP1821"/>
    </row>
    <row r="1822" spans="42:42" x14ac:dyDescent="0.25">
      <c r="AP1822"/>
    </row>
    <row r="1823" spans="42:42" x14ac:dyDescent="0.25">
      <c r="AP1823"/>
    </row>
    <row r="1824" spans="42:42" x14ac:dyDescent="0.25">
      <c r="AP1824"/>
    </row>
    <row r="1825" spans="42:42" x14ac:dyDescent="0.25">
      <c r="AP1825"/>
    </row>
    <row r="1826" spans="42:42" x14ac:dyDescent="0.25">
      <c r="AP1826"/>
    </row>
    <row r="1827" spans="42:42" x14ac:dyDescent="0.25">
      <c r="AP1827"/>
    </row>
    <row r="1828" spans="42:42" x14ac:dyDescent="0.25">
      <c r="AP1828"/>
    </row>
    <row r="1829" spans="42:42" x14ac:dyDescent="0.25">
      <c r="AP1829"/>
    </row>
    <row r="1830" spans="42:42" x14ac:dyDescent="0.25">
      <c r="AP1830"/>
    </row>
    <row r="1831" spans="42:42" x14ac:dyDescent="0.25">
      <c r="AP1831"/>
    </row>
    <row r="1832" spans="42:42" x14ac:dyDescent="0.25">
      <c r="AP1832"/>
    </row>
    <row r="1833" spans="42:42" x14ac:dyDescent="0.25">
      <c r="AP1833"/>
    </row>
    <row r="1834" spans="42:42" x14ac:dyDescent="0.25">
      <c r="AP1834"/>
    </row>
    <row r="1835" spans="42:42" x14ac:dyDescent="0.25">
      <c r="AP1835"/>
    </row>
    <row r="1836" spans="42:42" x14ac:dyDescent="0.25">
      <c r="AP1836"/>
    </row>
    <row r="1837" spans="42:42" x14ac:dyDescent="0.25">
      <c r="AP1837"/>
    </row>
    <row r="1838" spans="42:42" x14ac:dyDescent="0.25">
      <c r="AP1838"/>
    </row>
    <row r="1839" spans="42:42" x14ac:dyDescent="0.25">
      <c r="AP1839"/>
    </row>
    <row r="1840" spans="42:42" x14ac:dyDescent="0.25">
      <c r="AP1840"/>
    </row>
    <row r="1841" spans="42:42" x14ac:dyDescent="0.25">
      <c r="AP1841"/>
    </row>
    <row r="1842" spans="42:42" x14ac:dyDescent="0.25">
      <c r="AP1842"/>
    </row>
    <row r="1843" spans="42:42" x14ac:dyDescent="0.25">
      <c r="AP1843"/>
    </row>
    <row r="1844" spans="42:42" x14ac:dyDescent="0.25">
      <c r="AP1844"/>
    </row>
    <row r="1845" spans="42:42" x14ac:dyDescent="0.25">
      <c r="AP1845"/>
    </row>
    <row r="1846" spans="42:42" x14ac:dyDescent="0.25">
      <c r="AP1846"/>
    </row>
    <row r="1847" spans="42:42" x14ac:dyDescent="0.25">
      <c r="AP1847"/>
    </row>
    <row r="1848" spans="42:42" x14ac:dyDescent="0.25">
      <c r="AP1848"/>
    </row>
    <row r="1849" spans="42:42" x14ac:dyDescent="0.25">
      <c r="AP1849"/>
    </row>
    <row r="1850" spans="42:42" x14ac:dyDescent="0.25">
      <c r="AP1850"/>
    </row>
    <row r="1851" spans="42:42" x14ac:dyDescent="0.25">
      <c r="AP1851"/>
    </row>
    <row r="1852" spans="42:42" x14ac:dyDescent="0.25">
      <c r="AP1852"/>
    </row>
    <row r="1853" spans="42:42" x14ac:dyDescent="0.25">
      <c r="AP1853"/>
    </row>
    <row r="1854" spans="42:42" x14ac:dyDescent="0.25">
      <c r="AP1854"/>
    </row>
    <row r="1855" spans="42:42" x14ac:dyDescent="0.25">
      <c r="AP1855"/>
    </row>
    <row r="1856" spans="42:42" x14ac:dyDescent="0.25">
      <c r="AP1856"/>
    </row>
    <row r="1857" spans="42:42" x14ac:dyDescent="0.25">
      <c r="AP1857"/>
    </row>
    <row r="1858" spans="42:42" x14ac:dyDescent="0.25">
      <c r="AP1858"/>
    </row>
    <row r="1859" spans="42:42" x14ac:dyDescent="0.25">
      <c r="AP1859"/>
    </row>
    <row r="1860" spans="42:42" x14ac:dyDescent="0.25">
      <c r="AP1860"/>
    </row>
    <row r="1861" spans="42:42" x14ac:dyDescent="0.25">
      <c r="AP1861"/>
    </row>
    <row r="1862" spans="42:42" x14ac:dyDescent="0.25">
      <c r="AP1862"/>
    </row>
    <row r="1863" spans="42:42" x14ac:dyDescent="0.25">
      <c r="AP1863"/>
    </row>
    <row r="1864" spans="42:42" x14ac:dyDescent="0.25">
      <c r="AP1864"/>
    </row>
    <row r="1865" spans="42:42" x14ac:dyDescent="0.25">
      <c r="AP1865"/>
    </row>
    <row r="1866" spans="42:42" x14ac:dyDescent="0.25">
      <c r="AP1866"/>
    </row>
    <row r="1867" spans="42:42" x14ac:dyDescent="0.25">
      <c r="AP1867"/>
    </row>
    <row r="1868" spans="42:42" x14ac:dyDescent="0.25">
      <c r="AP1868"/>
    </row>
    <row r="1869" spans="42:42" x14ac:dyDescent="0.25">
      <c r="AP1869"/>
    </row>
    <row r="1870" spans="42:42" x14ac:dyDescent="0.25">
      <c r="AP1870"/>
    </row>
    <row r="1871" spans="42:42" x14ac:dyDescent="0.25">
      <c r="AP1871"/>
    </row>
    <row r="1872" spans="42:42" x14ac:dyDescent="0.25">
      <c r="AP1872"/>
    </row>
    <row r="1873" spans="42:42" x14ac:dyDescent="0.25">
      <c r="AP1873"/>
    </row>
    <row r="1874" spans="42:42" x14ac:dyDescent="0.25">
      <c r="AP1874"/>
    </row>
    <row r="1875" spans="42:42" x14ac:dyDescent="0.25">
      <c r="AP1875"/>
    </row>
    <row r="1876" spans="42:42" x14ac:dyDescent="0.25">
      <c r="AP1876"/>
    </row>
    <row r="1877" spans="42:42" x14ac:dyDescent="0.25">
      <c r="AP1877"/>
    </row>
    <row r="1878" spans="42:42" x14ac:dyDescent="0.25">
      <c r="AP1878"/>
    </row>
    <row r="1879" spans="42:42" x14ac:dyDescent="0.25">
      <c r="AP1879"/>
    </row>
    <row r="1880" spans="42:42" x14ac:dyDescent="0.25">
      <c r="AP1880"/>
    </row>
    <row r="1881" spans="42:42" x14ac:dyDescent="0.25">
      <c r="AP1881"/>
    </row>
    <row r="1882" spans="42:42" x14ac:dyDescent="0.25">
      <c r="AP1882"/>
    </row>
    <row r="1883" spans="42:42" x14ac:dyDescent="0.25">
      <c r="AP1883"/>
    </row>
    <row r="1884" spans="42:42" x14ac:dyDescent="0.25">
      <c r="AP1884"/>
    </row>
    <row r="1885" spans="42:42" x14ac:dyDescent="0.25">
      <c r="AP1885"/>
    </row>
    <row r="1886" spans="42:42" x14ac:dyDescent="0.25">
      <c r="AP1886"/>
    </row>
    <row r="1887" spans="42:42" x14ac:dyDescent="0.25">
      <c r="AP1887"/>
    </row>
    <row r="1888" spans="42:42" x14ac:dyDescent="0.25">
      <c r="AP1888"/>
    </row>
    <row r="1889" spans="42:42" x14ac:dyDescent="0.25">
      <c r="AP1889"/>
    </row>
    <row r="1890" spans="42:42" x14ac:dyDescent="0.25">
      <c r="AP1890"/>
    </row>
    <row r="1891" spans="42:42" x14ac:dyDescent="0.25">
      <c r="AP1891"/>
    </row>
    <row r="1892" spans="42:42" x14ac:dyDescent="0.25">
      <c r="AP1892"/>
    </row>
    <row r="1893" spans="42:42" x14ac:dyDescent="0.25">
      <c r="AP1893"/>
    </row>
    <row r="1894" spans="42:42" x14ac:dyDescent="0.25">
      <c r="AP1894"/>
    </row>
    <row r="1895" spans="42:42" x14ac:dyDescent="0.25">
      <c r="AP1895"/>
    </row>
    <row r="1896" spans="42:42" x14ac:dyDescent="0.25">
      <c r="AP1896"/>
    </row>
    <row r="1897" spans="42:42" x14ac:dyDescent="0.25">
      <c r="AP1897"/>
    </row>
    <row r="1898" spans="42:42" x14ac:dyDescent="0.25">
      <c r="AP1898"/>
    </row>
    <row r="1899" spans="42:42" x14ac:dyDescent="0.25">
      <c r="AP1899"/>
    </row>
    <row r="1900" spans="42:42" x14ac:dyDescent="0.25">
      <c r="AP1900"/>
    </row>
    <row r="1901" spans="42:42" x14ac:dyDescent="0.25">
      <c r="AP1901"/>
    </row>
    <row r="1902" spans="42:42" x14ac:dyDescent="0.25">
      <c r="AP1902"/>
    </row>
    <row r="1903" spans="42:42" x14ac:dyDescent="0.25">
      <c r="AP1903"/>
    </row>
    <row r="1904" spans="42:42" x14ac:dyDescent="0.25">
      <c r="AP1904"/>
    </row>
    <row r="1905" spans="42:42" x14ac:dyDescent="0.25">
      <c r="AP1905"/>
    </row>
    <row r="1906" spans="42:42" x14ac:dyDescent="0.25">
      <c r="AP1906"/>
    </row>
    <row r="1907" spans="42:42" x14ac:dyDescent="0.25">
      <c r="AP1907"/>
    </row>
    <row r="1908" spans="42:42" x14ac:dyDescent="0.25">
      <c r="AP1908"/>
    </row>
    <row r="1909" spans="42:42" x14ac:dyDescent="0.25">
      <c r="AP1909"/>
    </row>
    <row r="1910" spans="42:42" x14ac:dyDescent="0.25">
      <c r="AP1910"/>
    </row>
    <row r="1911" spans="42:42" x14ac:dyDescent="0.25">
      <c r="AP1911"/>
    </row>
    <row r="1912" spans="42:42" x14ac:dyDescent="0.25">
      <c r="AP1912"/>
    </row>
    <row r="1913" spans="42:42" x14ac:dyDescent="0.25">
      <c r="AP1913"/>
    </row>
    <row r="1914" spans="42:42" x14ac:dyDescent="0.25">
      <c r="AP1914"/>
    </row>
    <row r="1915" spans="42:42" x14ac:dyDescent="0.25">
      <c r="AP1915"/>
    </row>
    <row r="1916" spans="42:42" x14ac:dyDescent="0.25">
      <c r="AP1916"/>
    </row>
    <row r="1917" spans="42:42" x14ac:dyDescent="0.25">
      <c r="AP1917"/>
    </row>
    <row r="1918" spans="42:42" x14ac:dyDescent="0.25">
      <c r="AP1918"/>
    </row>
    <row r="1919" spans="42:42" x14ac:dyDescent="0.25">
      <c r="AP1919"/>
    </row>
    <row r="1920" spans="42:42" x14ac:dyDescent="0.25">
      <c r="AP1920"/>
    </row>
    <row r="1921" spans="42:42" x14ac:dyDescent="0.25">
      <c r="AP1921"/>
    </row>
    <row r="1922" spans="42:42" x14ac:dyDescent="0.25">
      <c r="AP1922"/>
    </row>
    <row r="1923" spans="42:42" x14ac:dyDescent="0.25">
      <c r="AP1923"/>
    </row>
    <row r="1924" spans="42:42" x14ac:dyDescent="0.25">
      <c r="AP1924"/>
    </row>
    <row r="1925" spans="42:42" x14ac:dyDescent="0.25">
      <c r="AP1925"/>
    </row>
    <row r="1926" spans="42:42" x14ac:dyDescent="0.25">
      <c r="AP1926"/>
    </row>
    <row r="1927" spans="42:42" x14ac:dyDescent="0.25">
      <c r="AP1927"/>
    </row>
    <row r="1928" spans="42:42" x14ac:dyDescent="0.25">
      <c r="AP1928"/>
    </row>
    <row r="1929" spans="42:42" x14ac:dyDescent="0.25">
      <c r="AP1929"/>
    </row>
    <row r="1930" spans="42:42" x14ac:dyDescent="0.25">
      <c r="AP1930"/>
    </row>
    <row r="1931" spans="42:42" x14ac:dyDescent="0.25">
      <c r="AP1931"/>
    </row>
    <row r="1932" spans="42:42" x14ac:dyDescent="0.25">
      <c r="AP1932"/>
    </row>
    <row r="1933" spans="42:42" x14ac:dyDescent="0.25">
      <c r="AP1933"/>
    </row>
    <row r="1934" spans="42:42" x14ac:dyDescent="0.25">
      <c r="AP1934"/>
    </row>
    <row r="1935" spans="42:42" x14ac:dyDescent="0.25">
      <c r="AP1935"/>
    </row>
    <row r="1936" spans="42:42" x14ac:dyDescent="0.25">
      <c r="AP1936"/>
    </row>
    <row r="1937" spans="42:42" x14ac:dyDescent="0.25">
      <c r="AP1937"/>
    </row>
    <row r="1938" spans="42:42" x14ac:dyDescent="0.25">
      <c r="AP1938"/>
    </row>
    <row r="1939" spans="42:42" x14ac:dyDescent="0.25">
      <c r="AP1939"/>
    </row>
    <row r="1940" spans="42:42" x14ac:dyDescent="0.25">
      <c r="AP1940"/>
    </row>
    <row r="1941" spans="42:42" x14ac:dyDescent="0.25">
      <c r="AP1941"/>
    </row>
    <row r="1942" spans="42:42" x14ac:dyDescent="0.25">
      <c r="AP1942"/>
    </row>
    <row r="1943" spans="42:42" x14ac:dyDescent="0.25">
      <c r="AP1943"/>
    </row>
    <row r="1944" spans="42:42" x14ac:dyDescent="0.25">
      <c r="AP1944"/>
    </row>
    <row r="1945" spans="42:42" x14ac:dyDescent="0.25">
      <c r="AP1945"/>
    </row>
    <row r="1946" spans="42:42" x14ac:dyDescent="0.25">
      <c r="AP1946"/>
    </row>
    <row r="1947" spans="42:42" x14ac:dyDescent="0.25">
      <c r="AP1947"/>
    </row>
    <row r="1948" spans="42:42" x14ac:dyDescent="0.25">
      <c r="AP1948"/>
    </row>
    <row r="1949" spans="42:42" x14ac:dyDescent="0.25">
      <c r="AP1949"/>
    </row>
    <row r="1950" spans="42:42" x14ac:dyDescent="0.25">
      <c r="AP1950"/>
    </row>
    <row r="1951" spans="42:42" x14ac:dyDescent="0.25">
      <c r="AP1951"/>
    </row>
    <row r="1952" spans="42:42" x14ac:dyDescent="0.25">
      <c r="AP1952"/>
    </row>
    <row r="1953" spans="42:42" x14ac:dyDescent="0.25">
      <c r="AP1953"/>
    </row>
    <row r="1954" spans="42:42" x14ac:dyDescent="0.25">
      <c r="AP1954"/>
    </row>
    <row r="1955" spans="42:42" x14ac:dyDescent="0.25">
      <c r="AP1955"/>
    </row>
    <row r="1956" spans="42:42" x14ac:dyDescent="0.25">
      <c r="AP1956"/>
    </row>
    <row r="1957" spans="42:42" x14ac:dyDescent="0.25">
      <c r="AP1957"/>
    </row>
    <row r="1958" spans="42:42" x14ac:dyDescent="0.25">
      <c r="AP1958"/>
    </row>
    <row r="1959" spans="42:42" x14ac:dyDescent="0.25">
      <c r="AP1959"/>
    </row>
    <row r="1960" spans="42:42" x14ac:dyDescent="0.25">
      <c r="AP1960"/>
    </row>
    <row r="1961" spans="42:42" x14ac:dyDescent="0.25">
      <c r="AP1961"/>
    </row>
    <row r="1962" spans="42:42" x14ac:dyDescent="0.25">
      <c r="AP1962"/>
    </row>
    <row r="1963" spans="42:42" x14ac:dyDescent="0.25">
      <c r="AP1963"/>
    </row>
    <row r="1964" spans="42:42" x14ac:dyDescent="0.25">
      <c r="AP1964"/>
    </row>
    <row r="1965" spans="42:42" x14ac:dyDescent="0.25">
      <c r="AP1965"/>
    </row>
    <row r="1966" spans="42:42" x14ac:dyDescent="0.25">
      <c r="AP1966"/>
    </row>
    <row r="1967" spans="42:42" x14ac:dyDescent="0.25">
      <c r="AP1967"/>
    </row>
    <row r="1968" spans="42:42" x14ac:dyDescent="0.25">
      <c r="AP1968"/>
    </row>
    <row r="1969" spans="42:42" x14ac:dyDescent="0.25">
      <c r="AP1969"/>
    </row>
    <row r="1970" spans="42:42" x14ac:dyDescent="0.25">
      <c r="AP1970"/>
    </row>
    <row r="1971" spans="42:42" x14ac:dyDescent="0.25">
      <c r="AP1971"/>
    </row>
    <row r="1972" spans="42:42" x14ac:dyDescent="0.25">
      <c r="AP1972"/>
    </row>
    <row r="1973" spans="42:42" x14ac:dyDescent="0.25">
      <c r="AP1973"/>
    </row>
    <row r="1974" spans="42:42" x14ac:dyDescent="0.25">
      <c r="AP1974"/>
    </row>
    <row r="1975" spans="42:42" x14ac:dyDescent="0.25">
      <c r="AP1975"/>
    </row>
    <row r="1976" spans="42:42" x14ac:dyDescent="0.25">
      <c r="AP1976"/>
    </row>
    <row r="1977" spans="42:42" x14ac:dyDescent="0.25">
      <c r="AP1977"/>
    </row>
    <row r="1978" spans="42:42" x14ac:dyDescent="0.25">
      <c r="AP1978"/>
    </row>
    <row r="1979" spans="42:42" x14ac:dyDescent="0.25">
      <c r="AP1979"/>
    </row>
    <row r="1980" spans="42:42" x14ac:dyDescent="0.25">
      <c r="AP1980"/>
    </row>
    <row r="1981" spans="42:42" x14ac:dyDescent="0.25">
      <c r="AP1981"/>
    </row>
    <row r="1982" spans="42:42" x14ac:dyDescent="0.25">
      <c r="AP1982"/>
    </row>
    <row r="1983" spans="42:42" x14ac:dyDescent="0.25">
      <c r="AP1983"/>
    </row>
    <row r="1984" spans="42:42" x14ac:dyDescent="0.25">
      <c r="AP1984"/>
    </row>
    <row r="1985" spans="42:42" x14ac:dyDescent="0.25">
      <c r="AP1985"/>
    </row>
    <row r="1986" spans="42:42" x14ac:dyDescent="0.25">
      <c r="AP1986"/>
    </row>
    <row r="1987" spans="42:42" x14ac:dyDescent="0.25">
      <c r="AP1987"/>
    </row>
    <row r="1988" spans="42:42" x14ac:dyDescent="0.25">
      <c r="AP1988"/>
    </row>
    <row r="1989" spans="42:42" x14ac:dyDescent="0.25">
      <c r="AP1989"/>
    </row>
    <row r="1990" spans="42:42" x14ac:dyDescent="0.25">
      <c r="AP1990"/>
    </row>
    <row r="1991" spans="42:42" x14ac:dyDescent="0.25">
      <c r="AP1991"/>
    </row>
    <row r="1992" spans="42:42" x14ac:dyDescent="0.25">
      <c r="AP1992"/>
    </row>
    <row r="1993" spans="42:42" x14ac:dyDescent="0.25">
      <c r="AP1993"/>
    </row>
    <row r="1994" spans="42:42" x14ac:dyDescent="0.25">
      <c r="AP1994"/>
    </row>
    <row r="1995" spans="42:42" x14ac:dyDescent="0.25">
      <c r="AP1995"/>
    </row>
    <row r="1996" spans="42:42" x14ac:dyDescent="0.25">
      <c r="AP1996"/>
    </row>
    <row r="1997" spans="42:42" x14ac:dyDescent="0.25">
      <c r="AP1997"/>
    </row>
    <row r="1998" spans="42:42" x14ac:dyDescent="0.25">
      <c r="AP1998"/>
    </row>
    <row r="1999" spans="42:42" x14ac:dyDescent="0.25">
      <c r="AP1999"/>
    </row>
    <row r="2000" spans="42:42" x14ac:dyDescent="0.25">
      <c r="AP2000"/>
    </row>
    <row r="2001" spans="42:42" x14ac:dyDescent="0.25">
      <c r="AP2001"/>
    </row>
    <row r="2002" spans="42:42" x14ac:dyDescent="0.25">
      <c r="AP2002"/>
    </row>
    <row r="2003" spans="42:42" x14ac:dyDescent="0.25">
      <c r="AP2003"/>
    </row>
    <row r="2004" spans="42:42" x14ac:dyDescent="0.25">
      <c r="AP2004"/>
    </row>
    <row r="2005" spans="42:42" x14ac:dyDescent="0.25">
      <c r="AP2005"/>
    </row>
    <row r="2006" spans="42:42" x14ac:dyDescent="0.25">
      <c r="AP2006"/>
    </row>
    <row r="2007" spans="42:42" x14ac:dyDescent="0.25">
      <c r="AP2007"/>
    </row>
    <row r="2008" spans="42:42" x14ac:dyDescent="0.25">
      <c r="AP2008"/>
    </row>
    <row r="2009" spans="42:42" x14ac:dyDescent="0.25">
      <c r="AP2009"/>
    </row>
    <row r="2010" spans="42:42" x14ac:dyDescent="0.25">
      <c r="AP2010"/>
    </row>
    <row r="2011" spans="42:42" x14ac:dyDescent="0.25">
      <c r="AP2011"/>
    </row>
    <row r="2012" spans="42:42" x14ac:dyDescent="0.25">
      <c r="AP2012"/>
    </row>
    <row r="2013" spans="42:42" x14ac:dyDescent="0.25">
      <c r="AP2013"/>
    </row>
    <row r="2014" spans="42:42" x14ac:dyDescent="0.25">
      <c r="AP2014"/>
    </row>
    <row r="2015" spans="42:42" x14ac:dyDescent="0.25">
      <c r="AP2015"/>
    </row>
    <row r="2016" spans="42:42" x14ac:dyDescent="0.25">
      <c r="AP2016"/>
    </row>
    <row r="2017" spans="42:42" x14ac:dyDescent="0.25">
      <c r="AP2017"/>
    </row>
    <row r="2018" spans="42:42" x14ac:dyDescent="0.25">
      <c r="AP2018"/>
    </row>
    <row r="2019" spans="42:42" x14ac:dyDescent="0.25">
      <c r="AP2019"/>
    </row>
    <row r="2020" spans="42:42" x14ac:dyDescent="0.25">
      <c r="AP2020"/>
    </row>
    <row r="2021" spans="42:42" x14ac:dyDescent="0.25">
      <c r="AP2021"/>
    </row>
    <row r="2022" spans="42:42" x14ac:dyDescent="0.25">
      <c r="AP2022"/>
    </row>
    <row r="2023" spans="42:42" x14ac:dyDescent="0.25">
      <c r="AP2023"/>
    </row>
    <row r="2024" spans="42:42" x14ac:dyDescent="0.25">
      <c r="AP2024"/>
    </row>
    <row r="2025" spans="42:42" x14ac:dyDescent="0.25">
      <c r="AP2025"/>
    </row>
    <row r="2026" spans="42:42" x14ac:dyDescent="0.25">
      <c r="AP2026"/>
    </row>
    <row r="2027" spans="42:42" x14ac:dyDescent="0.25">
      <c r="AP2027"/>
    </row>
    <row r="2028" spans="42:42" x14ac:dyDescent="0.25">
      <c r="AP2028"/>
    </row>
    <row r="2029" spans="42:42" x14ac:dyDescent="0.25">
      <c r="AP2029"/>
    </row>
    <row r="2030" spans="42:42" x14ac:dyDescent="0.25">
      <c r="AP2030"/>
    </row>
    <row r="2031" spans="42:42" x14ac:dyDescent="0.25">
      <c r="AP2031"/>
    </row>
    <row r="2032" spans="42:42" x14ac:dyDescent="0.25">
      <c r="AP2032"/>
    </row>
    <row r="2033" spans="42:42" x14ac:dyDescent="0.25">
      <c r="AP2033"/>
    </row>
    <row r="2034" spans="42:42" x14ac:dyDescent="0.25">
      <c r="AP2034"/>
    </row>
    <row r="2035" spans="42:42" x14ac:dyDescent="0.25">
      <c r="AP2035"/>
    </row>
    <row r="2036" spans="42:42" x14ac:dyDescent="0.25">
      <c r="AP2036"/>
    </row>
    <row r="2037" spans="42:42" x14ac:dyDescent="0.25">
      <c r="AP2037"/>
    </row>
    <row r="2038" spans="42:42" x14ac:dyDescent="0.25">
      <c r="AP2038"/>
    </row>
    <row r="2039" spans="42:42" x14ac:dyDescent="0.25">
      <c r="AP2039"/>
    </row>
    <row r="2040" spans="42:42" x14ac:dyDescent="0.25">
      <c r="AP2040"/>
    </row>
    <row r="2041" spans="42:42" x14ac:dyDescent="0.25">
      <c r="AP2041"/>
    </row>
    <row r="2042" spans="42:42" x14ac:dyDescent="0.25">
      <c r="AP2042"/>
    </row>
    <row r="2043" spans="42:42" x14ac:dyDescent="0.25">
      <c r="AP2043"/>
    </row>
    <row r="2044" spans="42:42" x14ac:dyDescent="0.25">
      <c r="AP2044"/>
    </row>
    <row r="2045" spans="42:42" x14ac:dyDescent="0.25">
      <c r="AP2045"/>
    </row>
    <row r="2046" spans="42:42" x14ac:dyDescent="0.25">
      <c r="AP2046"/>
    </row>
    <row r="2047" spans="42:42" x14ac:dyDescent="0.25">
      <c r="AP2047"/>
    </row>
    <row r="2048" spans="42:42" x14ac:dyDescent="0.25">
      <c r="AP2048"/>
    </row>
    <row r="2049" spans="42:42" x14ac:dyDescent="0.25">
      <c r="AP2049"/>
    </row>
    <row r="2050" spans="42:42" x14ac:dyDescent="0.25">
      <c r="AP2050"/>
    </row>
    <row r="2051" spans="42:42" x14ac:dyDescent="0.25">
      <c r="AP2051"/>
    </row>
    <row r="2052" spans="42:42" x14ac:dyDescent="0.25">
      <c r="AP2052"/>
    </row>
    <row r="2053" spans="42:42" x14ac:dyDescent="0.25">
      <c r="AP2053"/>
    </row>
    <row r="2054" spans="42:42" x14ac:dyDescent="0.25">
      <c r="AP2054"/>
    </row>
    <row r="2055" spans="42:42" x14ac:dyDescent="0.25">
      <c r="AP2055"/>
    </row>
    <row r="2056" spans="42:42" x14ac:dyDescent="0.25">
      <c r="AP2056"/>
    </row>
    <row r="2057" spans="42:42" x14ac:dyDescent="0.25">
      <c r="AP2057"/>
    </row>
    <row r="2058" spans="42:42" x14ac:dyDescent="0.25">
      <c r="AP2058"/>
    </row>
    <row r="2059" spans="42:42" x14ac:dyDescent="0.25">
      <c r="AP2059"/>
    </row>
    <row r="2060" spans="42:42" x14ac:dyDescent="0.25">
      <c r="AP2060"/>
    </row>
    <row r="2061" spans="42:42" x14ac:dyDescent="0.25">
      <c r="AP2061"/>
    </row>
    <row r="2062" spans="42:42" x14ac:dyDescent="0.25">
      <c r="AP2062"/>
    </row>
    <row r="2063" spans="42:42" x14ac:dyDescent="0.25">
      <c r="AP2063"/>
    </row>
    <row r="2064" spans="42:42" x14ac:dyDescent="0.25">
      <c r="AP2064"/>
    </row>
    <row r="2065" spans="42:42" x14ac:dyDescent="0.25">
      <c r="AP2065"/>
    </row>
    <row r="2066" spans="42:42" x14ac:dyDescent="0.25">
      <c r="AP2066"/>
    </row>
    <row r="2067" spans="42:42" x14ac:dyDescent="0.25">
      <c r="AP2067"/>
    </row>
    <row r="2068" spans="42:42" x14ac:dyDescent="0.25">
      <c r="AP2068"/>
    </row>
    <row r="2069" spans="42:42" x14ac:dyDescent="0.25">
      <c r="AP2069"/>
    </row>
    <row r="2070" spans="42:42" x14ac:dyDescent="0.25">
      <c r="AP2070"/>
    </row>
    <row r="2071" spans="42:42" x14ac:dyDescent="0.25">
      <c r="AP2071"/>
    </row>
    <row r="2072" spans="42:42" x14ac:dyDescent="0.25">
      <c r="AP2072"/>
    </row>
    <row r="2073" spans="42:42" x14ac:dyDescent="0.25">
      <c r="AP2073"/>
    </row>
    <row r="2074" spans="42:42" x14ac:dyDescent="0.25">
      <c r="AP2074"/>
    </row>
    <row r="2075" spans="42:42" x14ac:dyDescent="0.25">
      <c r="AP2075"/>
    </row>
    <row r="2076" spans="42:42" x14ac:dyDescent="0.25">
      <c r="AP2076"/>
    </row>
    <row r="2077" spans="42:42" x14ac:dyDescent="0.25">
      <c r="AP2077"/>
    </row>
    <row r="2078" spans="42:42" x14ac:dyDescent="0.25">
      <c r="AP2078"/>
    </row>
    <row r="2079" spans="42:42" x14ac:dyDescent="0.25">
      <c r="AP2079"/>
    </row>
    <row r="2080" spans="42:42" x14ac:dyDescent="0.25">
      <c r="AP2080"/>
    </row>
    <row r="2081" spans="42:42" x14ac:dyDescent="0.25">
      <c r="AP2081"/>
    </row>
    <row r="2082" spans="42:42" x14ac:dyDescent="0.25">
      <c r="AP2082"/>
    </row>
    <row r="2083" spans="42:42" x14ac:dyDescent="0.25">
      <c r="AP2083"/>
    </row>
    <row r="2084" spans="42:42" x14ac:dyDescent="0.25">
      <c r="AP2084"/>
    </row>
    <row r="2085" spans="42:42" x14ac:dyDescent="0.25">
      <c r="AP2085"/>
    </row>
    <row r="2086" spans="42:42" x14ac:dyDescent="0.25">
      <c r="AP2086"/>
    </row>
    <row r="2087" spans="42:42" x14ac:dyDescent="0.25">
      <c r="AP2087"/>
    </row>
    <row r="2088" spans="42:42" x14ac:dyDescent="0.25">
      <c r="AP2088"/>
    </row>
    <row r="2089" spans="42:42" x14ac:dyDescent="0.25">
      <c r="AP2089"/>
    </row>
    <row r="2090" spans="42:42" x14ac:dyDescent="0.25">
      <c r="AP2090"/>
    </row>
    <row r="2091" spans="42:42" x14ac:dyDescent="0.25">
      <c r="AP2091"/>
    </row>
    <row r="2092" spans="42:42" x14ac:dyDescent="0.25">
      <c r="AP2092"/>
    </row>
    <row r="2093" spans="42:42" x14ac:dyDescent="0.25">
      <c r="AP2093"/>
    </row>
    <row r="2094" spans="42:42" x14ac:dyDescent="0.25">
      <c r="AP2094"/>
    </row>
    <row r="2095" spans="42:42" x14ac:dyDescent="0.25">
      <c r="AP2095"/>
    </row>
    <row r="2096" spans="42:42" x14ac:dyDescent="0.25">
      <c r="AP2096"/>
    </row>
    <row r="2097" spans="42:42" x14ac:dyDescent="0.25">
      <c r="AP2097"/>
    </row>
    <row r="2098" spans="42:42" x14ac:dyDescent="0.25">
      <c r="AP2098"/>
    </row>
    <row r="2099" spans="42:42" x14ac:dyDescent="0.25">
      <c r="AP2099"/>
    </row>
    <row r="2100" spans="42:42" x14ac:dyDescent="0.25">
      <c r="AP2100"/>
    </row>
    <row r="2101" spans="42:42" x14ac:dyDescent="0.25">
      <c r="AP2101"/>
    </row>
    <row r="2102" spans="42:42" x14ac:dyDescent="0.25">
      <c r="AP2102"/>
    </row>
    <row r="2103" spans="42:42" x14ac:dyDescent="0.25">
      <c r="AP2103"/>
    </row>
    <row r="2104" spans="42:42" x14ac:dyDescent="0.25">
      <c r="AP2104"/>
    </row>
    <row r="2105" spans="42:42" x14ac:dyDescent="0.25">
      <c r="AP2105"/>
    </row>
    <row r="2106" spans="42:42" x14ac:dyDescent="0.25">
      <c r="AP2106"/>
    </row>
    <row r="2107" spans="42:42" x14ac:dyDescent="0.25">
      <c r="AP2107"/>
    </row>
    <row r="2108" spans="42:42" x14ac:dyDescent="0.25">
      <c r="AP2108"/>
    </row>
    <row r="2109" spans="42:42" x14ac:dyDescent="0.25">
      <c r="AP2109"/>
    </row>
    <row r="2110" spans="42:42" x14ac:dyDescent="0.25">
      <c r="AP2110"/>
    </row>
    <row r="2111" spans="42:42" x14ac:dyDescent="0.25">
      <c r="AP2111"/>
    </row>
    <row r="2112" spans="42:42" x14ac:dyDescent="0.25">
      <c r="AP2112"/>
    </row>
    <row r="2113" spans="42:42" x14ac:dyDescent="0.25">
      <c r="AP2113"/>
    </row>
    <row r="2114" spans="42:42" x14ac:dyDescent="0.25">
      <c r="AP2114"/>
    </row>
    <row r="2115" spans="42:42" x14ac:dyDescent="0.25">
      <c r="AP2115"/>
    </row>
    <row r="2116" spans="42:42" x14ac:dyDescent="0.25">
      <c r="AP2116"/>
    </row>
    <row r="2117" spans="42:42" x14ac:dyDescent="0.25">
      <c r="AP2117"/>
    </row>
    <row r="2118" spans="42:42" x14ac:dyDescent="0.25">
      <c r="AP2118"/>
    </row>
    <row r="2119" spans="42:42" x14ac:dyDescent="0.25">
      <c r="AP2119"/>
    </row>
    <row r="2120" spans="42:42" x14ac:dyDescent="0.25">
      <c r="AP2120"/>
    </row>
    <row r="2121" spans="42:42" x14ac:dyDescent="0.25">
      <c r="AP2121"/>
    </row>
    <row r="2122" spans="42:42" x14ac:dyDescent="0.25">
      <c r="AP2122"/>
    </row>
    <row r="2123" spans="42:42" x14ac:dyDescent="0.25">
      <c r="AP2123"/>
    </row>
    <row r="2124" spans="42:42" x14ac:dyDescent="0.25">
      <c r="AP2124"/>
    </row>
    <row r="2125" spans="42:42" x14ac:dyDescent="0.25">
      <c r="AP2125"/>
    </row>
    <row r="2126" spans="42:42" x14ac:dyDescent="0.25">
      <c r="AP2126"/>
    </row>
    <row r="2127" spans="42:42" x14ac:dyDescent="0.25">
      <c r="AP2127"/>
    </row>
    <row r="2128" spans="42:42" x14ac:dyDescent="0.25">
      <c r="AP2128"/>
    </row>
    <row r="2129" spans="42:42" x14ac:dyDescent="0.25">
      <c r="AP2129"/>
    </row>
    <row r="2130" spans="42:42" x14ac:dyDescent="0.25">
      <c r="AP2130"/>
    </row>
    <row r="2131" spans="42:42" x14ac:dyDescent="0.25">
      <c r="AP2131"/>
    </row>
    <row r="2132" spans="42:42" x14ac:dyDescent="0.25">
      <c r="AP2132"/>
    </row>
    <row r="2133" spans="42:42" x14ac:dyDescent="0.25">
      <c r="AP2133"/>
    </row>
    <row r="2134" spans="42:42" x14ac:dyDescent="0.25">
      <c r="AP2134"/>
    </row>
    <row r="2135" spans="42:42" x14ac:dyDescent="0.25">
      <c r="AP2135"/>
    </row>
    <row r="2136" spans="42:42" x14ac:dyDescent="0.25">
      <c r="AP2136"/>
    </row>
    <row r="2137" spans="42:42" x14ac:dyDescent="0.25">
      <c r="AP2137"/>
    </row>
    <row r="2138" spans="42:42" x14ac:dyDescent="0.25">
      <c r="AP2138"/>
    </row>
    <row r="2139" spans="42:42" x14ac:dyDescent="0.25">
      <c r="AP2139"/>
    </row>
    <row r="2140" spans="42:42" x14ac:dyDescent="0.25">
      <c r="AP2140"/>
    </row>
    <row r="2141" spans="42:42" x14ac:dyDescent="0.25">
      <c r="AP2141"/>
    </row>
    <row r="2142" spans="42:42" x14ac:dyDescent="0.25">
      <c r="AP2142"/>
    </row>
    <row r="2143" spans="42:42" x14ac:dyDescent="0.25">
      <c r="AP2143"/>
    </row>
    <row r="2144" spans="42:42" x14ac:dyDescent="0.25">
      <c r="AP2144"/>
    </row>
    <row r="2145" spans="42:42" x14ac:dyDescent="0.25">
      <c r="AP2145"/>
    </row>
    <row r="2146" spans="42:42" x14ac:dyDescent="0.25">
      <c r="AP2146"/>
    </row>
    <row r="2147" spans="42:42" x14ac:dyDescent="0.25">
      <c r="AP2147"/>
    </row>
    <row r="2148" spans="42:42" x14ac:dyDescent="0.25">
      <c r="AP2148"/>
    </row>
    <row r="2149" spans="42:42" x14ac:dyDescent="0.25">
      <c r="AP2149"/>
    </row>
    <row r="2150" spans="42:42" x14ac:dyDescent="0.25">
      <c r="AP2150"/>
    </row>
    <row r="2151" spans="42:42" x14ac:dyDescent="0.25">
      <c r="AP2151"/>
    </row>
    <row r="2152" spans="42:42" x14ac:dyDescent="0.25">
      <c r="AP2152"/>
    </row>
    <row r="2153" spans="42:42" x14ac:dyDescent="0.25">
      <c r="AP2153"/>
    </row>
    <row r="2154" spans="42:42" x14ac:dyDescent="0.25">
      <c r="AP2154"/>
    </row>
    <row r="2155" spans="42:42" x14ac:dyDescent="0.25">
      <c r="AP2155"/>
    </row>
    <row r="2156" spans="42:42" x14ac:dyDescent="0.25">
      <c r="AP2156"/>
    </row>
    <row r="2157" spans="42:42" x14ac:dyDescent="0.25">
      <c r="AP2157"/>
    </row>
    <row r="2158" spans="42:42" x14ac:dyDescent="0.25">
      <c r="AP2158"/>
    </row>
    <row r="2159" spans="42:42" x14ac:dyDescent="0.25">
      <c r="AP2159"/>
    </row>
    <row r="2160" spans="42:42" x14ac:dyDescent="0.25">
      <c r="AP2160"/>
    </row>
    <row r="2161" spans="42:42" x14ac:dyDescent="0.25">
      <c r="AP2161"/>
    </row>
    <row r="2162" spans="42:42" x14ac:dyDescent="0.25">
      <c r="AP2162"/>
    </row>
    <row r="2163" spans="42:42" x14ac:dyDescent="0.25">
      <c r="AP2163"/>
    </row>
    <row r="2164" spans="42:42" x14ac:dyDescent="0.25">
      <c r="AP2164"/>
    </row>
    <row r="2165" spans="42:42" x14ac:dyDescent="0.25">
      <c r="AP2165"/>
    </row>
    <row r="2166" spans="42:42" x14ac:dyDescent="0.25">
      <c r="AP2166"/>
    </row>
    <row r="2167" spans="42:42" x14ac:dyDescent="0.25">
      <c r="AP2167"/>
    </row>
    <row r="2168" spans="42:42" x14ac:dyDescent="0.25">
      <c r="AP2168"/>
    </row>
    <row r="2169" spans="42:42" x14ac:dyDescent="0.25">
      <c r="AP2169"/>
    </row>
    <row r="2170" spans="42:42" x14ac:dyDescent="0.25">
      <c r="AP2170"/>
    </row>
    <row r="2171" spans="42:42" x14ac:dyDescent="0.25">
      <c r="AP2171"/>
    </row>
    <row r="2172" spans="42:42" x14ac:dyDescent="0.25">
      <c r="AP2172"/>
    </row>
    <row r="2173" spans="42:42" x14ac:dyDescent="0.25">
      <c r="AP2173"/>
    </row>
    <row r="2174" spans="42:42" x14ac:dyDescent="0.25">
      <c r="AP2174"/>
    </row>
    <row r="2175" spans="42:42" x14ac:dyDescent="0.25">
      <c r="AP2175"/>
    </row>
    <row r="2176" spans="42:42" x14ac:dyDescent="0.25">
      <c r="AP2176"/>
    </row>
    <row r="2177" spans="42:42" x14ac:dyDescent="0.25">
      <c r="AP2177"/>
    </row>
    <row r="2178" spans="42:42" x14ac:dyDescent="0.25">
      <c r="AP2178"/>
    </row>
    <row r="2179" spans="42:42" x14ac:dyDescent="0.25">
      <c r="AP2179"/>
    </row>
    <row r="2180" spans="42:42" x14ac:dyDescent="0.25">
      <c r="AP2180"/>
    </row>
    <row r="2181" spans="42:42" x14ac:dyDescent="0.25">
      <c r="AP2181"/>
    </row>
    <row r="2182" spans="42:42" x14ac:dyDescent="0.25">
      <c r="AP2182"/>
    </row>
    <row r="2183" spans="42:42" x14ac:dyDescent="0.25">
      <c r="AP2183"/>
    </row>
    <row r="2184" spans="42:42" x14ac:dyDescent="0.25">
      <c r="AP2184"/>
    </row>
    <row r="2185" spans="42:42" x14ac:dyDescent="0.25">
      <c r="AP2185"/>
    </row>
    <row r="2186" spans="42:42" x14ac:dyDescent="0.25">
      <c r="AP2186"/>
    </row>
    <row r="2187" spans="42:42" x14ac:dyDescent="0.25">
      <c r="AP2187"/>
    </row>
    <row r="2188" spans="42:42" x14ac:dyDescent="0.25">
      <c r="AP2188"/>
    </row>
    <row r="2189" spans="42:42" x14ac:dyDescent="0.25">
      <c r="AP2189"/>
    </row>
    <row r="2190" spans="42:42" x14ac:dyDescent="0.25">
      <c r="AP2190"/>
    </row>
    <row r="2191" spans="42:42" x14ac:dyDescent="0.25">
      <c r="AP2191"/>
    </row>
    <row r="2192" spans="42:42" x14ac:dyDescent="0.25">
      <c r="AP2192"/>
    </row>
    <row r="2193" spans="42:42" x14ac:dyDescent="0.25">
      <c r="AP2193"/>
    </row>
    <row r="2194" spans="42:42" x14ac:dyDescent="0.25">
      <c r="AP2194"/>
    </row>
    <row r="2195" spans="42:42" x14ac:dyDescent="0.25">
      <c r="AP2195"/>
    </row>
    <row r="2196" spans="42:42" x14ac:dyDescent="0.25">
      <c r="AP2196"/>
    </row>
    <row r="2197" spans="42:42" x14ac:dyDescent="0.25">
      <c r="AP2197"/>
    </row>
    <row r="2198" spans="42:42" x14ac:dyDescent="0.25">
      <c r="AP2198"/>
    </row>
    <row r="2199" spans="42:42" x14ac:dyDescent="0.25">
      <c r="AP2199"/>
    </row>
    <row r="2200" spans="42:42" x14ac:dyDescent="0.25">
      <c r="AP2200"/>
    </row>
    <row r="2201" spans="42:42" x14ac:dyDescent="0.25">
      <c r="AP2201"/>
    </row>
    <row r="2202" spans="42:42" x14ac:dyDescent="0.25">
      <c r="AP2202"/>
    </row>
    <row r="2203" spans="42:42" x14ac:dyDescent="0.25">
      <c r="AP2203"/>
    </row>
    <row r="2204" spans="42:42" x14ac:dyDescent="0.25">
      <c r="AP2204"/>
    </row>
    <row r="2205" spans="42:42" x14ac:dyDescent="0.25">
      <c r="AP2205"/>
    </row>
    <row r="2206" spans="42:42" x14ac:dyDescent="0.25">
      <c r="AP2206"/>
    </row>
    <row r="2207" spans="42:42" x14ac:dyDescent="0.25">
      <c r="AP2207"/>
    </row>
    <row r="2208" spans="42:42" x14ac:dyDescent="0.25">
      <c r="AP2208"/>
    </row>
    <row r="2209" spans="42:42" x14ac:dyDescent="0.25">
      <c r="AP2209"/>
    </row>
    <row r="2210" spans="42:42" x14ac:dyDescent="0.25">
      <c r="AP2210"/>
    </row>
    <row r="2211" spans="42:42" x14ac:dyDescent="0.25">
      <c r="AP2211"/>
    </row>
    <row r="2212" spans="42:42" x14ac:dyDescent="0.25">
      <c r="AP2212"/>
    </row>
    <row r="2213" spans="42:42" x14ac:dyDescent="0.25">
      <c r="AP2213"/>
    </row>
    <row r="2214" spans="42:42" x14ac:dyDescent="0.25">
      <c r="AP2214"/>
    </row>
    <row r="2215" spans="42:42" x14ac:dyDescent="0.25">
      <c r="AP2215"/>
    </row>
    <row r="2216" spans="42:42" x14ac:dyDescent="0.25">
      <c r="AP2216"/>
    </row>
    <row r="2217" spans="42:42" x14ac:dyDescent="0.25">
      <c r="AP2217"/>
    </row>
    <row r="2218" spans="42:42" x14ac:dyDescent="0.25">
      <c r="AP2218"/>
    </row>
    <row r="2219" spans="42:42" x14ac:dyDescent="0.25">
      <c r="AP2219"/>
    </row>
    <row r="2220" spans="42:42" x14ac:dyDescent="0.25">
      <c r="AP2220"/>
    </row>
    <row r="2221" spans="42:42" x14ac:dyDescent="0.25">
      <c r="AP2221"/>
    </row>
    <row r="2222" spans="42:42" x14ac:dyDescent="0.25">
      <c r="AP2222"/>
    </row>
    <row r="2223" spans="42:42" x14ac:dyDescent="0.25">
      <c r="AP2223"/>
    </row>
    <row r="2224" spans="42:42" x14ac:dyDescent="0.25">
      <c r="AP2224"/>
    </row>
    <row r="2225" spans="42:42" x14ac:dyDescent="0.25">
      <c r="AP2225"/>
    </row>
    <row r="2226" spans="42:42" x14ac:dyDescent="0.25">
      <c r="AP2226"/>
    </row>
    <row r="2227" spans="42:42" x14ac:dyDescent="0.25">
      <c r="AP2227"/>
    </row>
    <row r="2228" spans="42:42" x14ac:dyDescent="0.25">
      <c r="AP2228"/>
    </row>
    <row r="2229" spans="42:42" x14ac:dyDescent="0.25">
      <c r="AP2229"/>
    </row>
    <row r="2230" spans="42:42" x14ac:dyDescent="0.25">
      <c r="AP2230"/>
    </row>
    <row r="2231" spans="42:42" x14ac:dyDescent="0.25">
      <c r="AP2231"/>
    </row>
    <row r="2232" spans="42:42" x14ac:dyDescent="0.25">
      <c r="AP2232"/>
    </row>
    <row r="2233" spans="42:42" x14ac:dyDescent="0.25">
      <c r="AP2233"/>
    </row>
    <row r="2234" spans="42:42" x14ac:dyDescent="0.25">
      <c r="AP2234"/>
    </row>
    <row r="2235" spans="42:42" x14ac:dyDescent="0.25">
      <c r="AP2235"/>
    </row>
    <row r="2236" spans="42:42" x14ac:dyDescent="0.25">
      <c r="AP2236"/>
    </row>
    <row r="2237" spans="42:42" x14ac:dyDescent="0.25">
      <c r="AP2237"/>
    </row>
    <row r="2238" spans="42:42" x14ac:dyDescent="0.25">
      <c r="AP2238"/>
    </row>
    <row r="2239" spans="42:42" x14ac:dyDescent="0.25">
      <c r="AP2239"/>
    </row>
    <row r="2240" spans="42:42" x14ac:dyDescent="0.25">
      <c r="AP2240"/>
    </row>
    <row r="2241" spans="42:42" x14ac:dyDescent="0.25">
      <c r="AP2241"/>
    </row>
    <row r="2242" spans="42:42" x14ac:dyDescent="0.25">
      <c r="AP2242"/>
    </row>
    <row r="2243" spans="42:42" x14ac:dyDescent="0.25">
      <c r="AP2243"/>
    </row>
    <row r="2244" spans="42:42" x14ac:dyDescent="0.25">
      <c r="AP2244"/>
    </row>
    <row r="2245" spans="42:42" x14ac:dyDescent="0.25">
      <c r="AP2245"/>
    </row>
    <row r="2246" spans="42:42" x14ac:dyDescent="0.25">
      <c r="AP2246"/>
    </row>
    <row r="2247" spans="42:42" x14ac:dyDescent="0.25">
      <c r="AP2247"/>
    </row>
    <row r="2248" spans="42:42" x14ac:dyDescent="0.25">
      <c r="AP2248"/>
    </row>
    <row r="2249" spans="42:42" x14ac:dyDescent="0.25">
      <c r="AP2249"/>
    </row>
    <row r="2250" spans="42:42" x14ac:dyDescent="0.25">
      <c r="AP2250"/>
    </row>
    <row r="2251" spans="42:42" x14ac:dyDescent="0.25">
      <c r="AP2251"/>
    </row>
    <row r="2252" spans="42:42" x14ac:dyDescent="0.25">
      <c r="AP2252"/>
    </row>
    <row r="2253" spans="42:42" x14ac:dyDescent="0.25">
      <c r="AP2253"/>
    </row>
    <row r="2254" spans="42:42" x14ac:dyDescent="0.25">
      <c r="AP2254"/>
    </row>
    <row r="2255" spans="42:42" x14ac:dyDescent="0.25">
      <c r="AP2255"/>
    </row>
    <row r="2256" spans="42:42" x14ac:dyDescent="0.25">
      <c r="AP2256"/>
    </row>
    <row r="2257" spans="42:42" x14ac:dyDescent="0.25">
      <c r="AP2257"/>
    </row>
    <row r="2258" spans="42:42" x14ac:dyDescent="0.25">
      <c r="AP2258"/>
    </row>
    <row r="2259" spans="42:42" x14ac:dyDescent="0.25">
      <c r="AP2259"/>
    </row>
    <row r="2260" spans="42:42" x14ac:dyDescent="0.25">
      <c r="AP2260"/>
    </row>
    <row r="2261" spans="42:42" x14ac:dyDescent="0.25">
      <c r="AP2261"/>
    </row>
    <row r="2262" spans="42:42" x14ac:dyDescent="0.25">
      <c r="AP2262"/>
    </row>
    <row r="2263" spans="42:42" x14ac:dyDescent="0.25">
      <c r="AP2263"/>
    </row>
    <row r="2264" spans="42:42" x14ac:dyDescent="0.25">
      <c r="AP2264"/>
    </row>
    <row r="2265" spans="42:42" x14ac:dyDescent="0.25">
      <c r="AP2265"/>
    </row>
    <row r="2266" spans="42:42" x14ac:dyDescent="0.25">
      <c r="AP2266"/>
    </row>
    <row r="2267" spans="42:42" x14ac:dyDescent="0.25">
      <c r="AP2267"/>
    </row>
    <row r="2268" spans="42:42" x14ac:dyDescent="0.25">
      <c r="AP2268"/>
    </row>
    <row r="2269" spans="42:42" x14ac:dyDescent="0.25">
      <c r="AP2269"/>
    </row>
    <row r="2270" spans="42:42" x14ac:dyDescent="0.25">
      <c r="AP2270"/>
    </row>
    <row r="2271" spans="42:42" x14ac:dyDescent="0.25">
      <c r="AP2271"/>
    </row>
    <row r="2272" spans="42:42" x14ac:dyDescent="0.25">
      <c r="AP2272"/>
    </row>
    <row r="2273" spans="42:42" x14ac:dyDescent="0.25">
      <c r="AP2273"/>
    </row>
    <row r="2274" spans="42:42" x14ac:dyDescent="0.25">
      <c r="AP2274"/>
    </row>
    <row r="2275" spans="42:42" x14ac:dyDescent="0.25">
      <c r="AP2275"/>
    </row>
    <row r="2276" spans="42:42" x14ac:dyDescent="0.25">
      <c r="AP2276"/>
    </row>
    <row r="2277" spans="42:42" x14ac:dyDescent="0.25">
      <c r="AP2277"/>
    </row>
    <row r="2278" spans="42:42" x14ac:dyDescent="0.25">
      <c r="AP2278"/>
    </row>
    <row r="2279" spans="42:42" x14ac:dyDescent="0.25">
      <c r="AP2279"/>
    </row>
    <row r="2280" spans="42:42" x14ac:dyDescent="0.25">
      <c r="AP2280"/>
    </row>
    <row r="2281" spans="42:42" x14ac:dyDescent="0.25">
      <c r="AP2281"/>
    </row>
    <row r="2282" spans="42:42" x14ac:dyDescent="0.25">
      <c r="AP2282"/>
    </row>
    <row r="2283" spans="42:42" x14ac:dyDescent="0.25">
      <c r="AP2283"/>
    </row>
    <row r="2284" spans="42:42" x14ac:dyDescent="0.25">
      <c r="AP2284"/>
    </row>
    <row r="2285" spans="42:42" x14ac:dyDescent="0.25">
      <c r="AP2285"/>
    </row>
    <row r="2286" spans="42:42" x14ac:dyDescent="0.25">
      <c r="AP2286"/>
    </row>
    <row r="2287" spans="42:42" x14ac:dyDescent="0.25">
      <c r="AP2287"/>
    </row>
    <row r="2288" spans="42:42" x14ac:dyDescent="0.25">
      <c r="AP2288"/>
    </row>
    <row r="2289" spans="42:42" x14ac:dyDescent="0.25">
      <c r="AP2289"/>
    </row>
    <row r="2290" spans="42:42" x14ac:dyDescent="0.25">
      <c r="AP2290"/>
    </row>
    <row r="2291" spans="42:42" x14ac:dyDescent="0.25">
      <c r="AP2291"/>
    </row>
    <row r="2292" spans="42:42" x14ac:dyDescent="0.25">
      <c r="AP2292"/>
    </row>
    <row r="2293" spans="42:42" x14ac:dyDescent="0.25">
      <c r="AP2293"/>
    </row>
    <row r="2294" spans="42:42" x14ac:dyDescent="0.25">
      <c r="AP2294"/>
    </row>
    <row r="2295" spans="42:42" x14ac:dyDescent="0.25">
      <c r="AP2295"/>
    </row>
    <row r="2296" spans="42:42" x14ac:dyDescent="0.25">
      <c r="AP2296"/>
    </row>
    <row r="2297" spans="42:42" x14ac:dyDescent="0.25">
      <c r="AP2297"/>
    </row>
    <row r="2298" spans="42:42" x14ac:dyDescent="0.25">
      <c r="AP2298"/>
    </row>
    <row r="2299" spans="42:42" x14ac:dyDescent="0.25">
      <c r="AP2299"/>
    </row>
    <row r="2300" spans="42:42" x14ac:dyDescent="0.25">
      <c r="AP2300"/>
    </row>
    <row r="2301" spans="42:42" x14ac:dyDescent="0.25">
      <c r="AP2301"/>
    </row>
    <row r="2302" spans="42:42" x14ac:dyDescent="0.25">
      <c r="AP2302"/>
    </row>
    <row r="2303" spans="42:42" x14ac:dyDescent="0.25">
      <c r="AP2303"/>
    </row>
    <row r="2304" spans="42:42" x14ac:dyDescent="0.25">
      <c r="AP2304"/>
    </row>
    <row r="2305" spans="42:42" x14ac:dyDescent="0.25">
      <c r="AP2305"/>
    </row>
    <row r="2306" spans="42:42" x14ac:dyDescent="0.25">
      <c r="AP2306"/>
    </row>
    <row r="2307" spans="42:42" x14ac:dyDescent="0.25">
      <c r="AP2307"/>
    </row>
    <row r="2308" spans="42:42" x14ac:dyDescent="0.25">
      <c r="AP2308"/>
    </row>
    <row r="2309" spans="42:42" x14ac:dyDescent="0.25">
      <c r="AP2309"/>
    </row>
    <row r="2310" spans="42:42" x14ac:dyDescent="0.25">
      <c r="AP2310"/>
    </row>
    <row r="2311" spans="42:42" x14ac:dyDescent="0.25">
      <c r="AP2311"/>
    </row>
    <row r="2312" spans="42:42" x14ac:dyDescent="0.25">
      <c r="AP2312"/>
    </row>
    <row r="2313" spans="42:42" x14ac:dyDescent="0.25">
      <c r="AP2313"/>
    </row>
    <row r="2314" spans="42:42" x14ac:dyDescent="0.25">
      <c r="AP2314"/>
    </row>
    <row r="2315" spans="42:42" x14ac:dyDescent="0.25">
      <c r="AP2315"/>
    </row>
    <row r="2316" spans="42:42" x14ac:dyDescent="0.25">
      <c r="AP2316"/>
    </row>
    <row r="2317" spans="42:42" x14ac:dyDescent="0.25">
      <c r="AP2317"/>
    </row>
    <row r="2318" spans="42:42" x14ac:dyDescent="0.25">
      <c r="AP2318"/>
    </row>
    <row r="2319" spans="42:42" x14ac:dyDescent="0.25">
      <c r="AP2319"/>
    </row>
    <row r="2320" spans="42:42" x14ac:dyDescent="0.25">
      <c r="AP2320"/>
    </row>
    <row r="2321" spans="42:42" x14ac:dyDescent="0.25">
      <c r="AP2321"/>
    </row>
    <row r="2322" spans="42:42" x14ac:dyDescent="0.25">
      <c r="AP2322"/>
    </row>
    <row r="2323" spans="42:42" x14ac:dyDescent="0.25">
      <c r="AP2323"/>
    </row>
    <row r="2324" spans="42:42" x14ac:dyDescent="0.25">
      <c r="AP2324"/>
    </row>
    <row r="2325" spans="42:42" x14ac:dyDescent="0.25">
      <c r="AP2325"/>
    </row>
    <row r="2326" spans="42:42" x14ac:dyDescent="0.25">
      <c r="AP2326"/>
    </row>
    <row r="2327" spans="42:42" x14ac:dyDescent="0.25">
      <c r="AP2327"/>
    </row>
    <row r="2328" spans="42:42" x14ac:dyDescent="0.25">
      <c r="AP2328"/>
    </row>
    <row r="2329" spans="42:42" x14ac:dyDescent="0.25">
      <c r="AP2329"/>
    </row>
    <row r="2330" spans="42:42" x14ac:dyDescent="0.25">
      <c r="AP2330"/>
    </row>
    <row r="2331" spans="42:42" x14ac:dyDescent="0.25">
      <c r="AP2331"/>
    </row>
    <row r="2332" spans="42:42" x14ac:dyDescent="0.25">
      <c r="AP2332"/>
    </row>
    <row r="2333" spans="42:42" x14ac:dyDescent="0.25">
      <c r="AP2333"/>
    </row>
    <row r="2334" spans="42:42" x14ac:dyDescent="0.25">
      <c r="AP2334"/>
    </row>
    <row r="2335" spans="42:42" x14ac:dyDescent="0.25">
      <c r="AP2335"/>
    </row>
    <row r="2336" spans="42:42" x14ac:dyDescent="0.25">
      <c r="AP2336"/>
    </row>
    <row r="2337" spans="42:42" x14ac:dyDescent="0.25">
      <c r="AP2337"/>
    </row>
    <row r="2338" spans="42:42" x14ac:dyDescent="0.25">
      <c r="AP2338"/>
    </row>
    <row r="2339" spans="42:42" x14ac:dyDescent="0.25">
      <c r="AP2339"/>
    </row>
    <row r="2340" spans="42:42" x14ac:dyDescent="0.25">
      <c r="AP2340"/>
    </row>
    <row r="2341" spans="42:42" x14ac:dyDescent="0.25">
      <c r="AP2341"/>
    </row>
    <row r="2342" spans="42:42" x14ac:dyDescent="0.25">
      <c r="AP2342"/>
    </row>
    <row r="2343" spans="42:42" x14ac:dyDescent="0.25">
      <c r="AP2343"/>
    </row>
    <row r="2344" spans="42:42" x14ac:dyDescent="0.25">
      <c r="AP2344"/>
    </row>
    <row r="2345" spans="42:42" x14ac:dyDescent="0.25">
      <c r="AP2345"/>
    </row>
    <row r="2346" spans="42:42" x14ac:dyDescent="0.25">
      <c r="AP2346"/>
    </row>
    <row r="2347" spans="42:42" x14ac:dyDescent="0.25">
      <c r="AP2347"/>
    </row>
    <row r="2348" spans="42:42" x14ac:dyDescent="0.25">
      <c r="AP2348"/>
    </row>
    <row r="2349" spans="42:42" x14ac:dyDescent="0.25">
      <c r="AP2349"/>
    </row>
    <row r="2350" spans="42:42" x14ac:dyDescent="0.25">
      <c r="AP2350"/>
    </row>
    <row r="2351" spans="42:42" x14ac:dyDescent="0.25">
      <c r="AP2351"/>
    </row>
    <row r="2352" spans="42:42" x14ac:dyDescent="0.25">
      <c r="AP2352"/>
    </row>
    <row r="2353" spans="42:42" x14ac:dyDescent="0.25">
      <c r="AP2353"/>
    </row>
    <row r="2354" spans="42:42" x14ac:dyDescent="0.25">
      <c r="AP2354"/>
    </row>
    <row r="2355" spans="42:42" x14ac:dyDescent="0.25">
      <c r="AP2355"/>
    </row>
    <row r="2356" spans="42:42" x14ac:dyDescent="0.25">
      <c r="AP2356"/>
    </row>
    <row r="2357" spans="42:42" x14ac:dyDescent="0.25">
      <c r="AP2357"/>
    </row>
    <row r="2358" spans="42:42" x14ac:dyDescent="0.25">
      <c r="AP2358"/>
    </row>
    <row r="2359" spans="42:42" x14ac:dyDescent="0.25">
      <c r="AP2359"/>
    </row>
    <row r="2360" spans="42:42" x14ac:dyDescent="0.25">
      <c r="AP2360"/>
    </row>
    <row r="2361" spans="42:42" x14ac:dyDescent="0.25">
      <c r="AP2361"/>
    </row>
    <row r="2362" spans="42:42" x14ac:dyDescent="0.25">
      <c r="AP2362"/>
    </row>
    <row r="2363" spans="42:42" x14ac:dyDescent="0.25">
      <c r="AP2363"/>
    </row>
    <row r="2364" spans="42:42" x14ac:dyDescent="0.25">
      <c r="AP2364"/>
    </row>
    <row r="2365" spans="42:42" x14ac:dyDescent="0.25">
      <c r="AP2365"/>
    </row>
    <row r="2366" spans="42:42" x14ac:dyDescent="0.25">
      <c r="AP2366"/>
    </row>
    <row r="2367" spans="42:42" x14ac:dyDescent="0.25">
      <c r="AP2367"/>
    </row>
    <row r="2368" spans="42:42" x14ac:dyDescent="0.25">
      <c r="AP2368"/>
    </row>
    <row r="2369" spans="42:42" x14ac:dyDescent="0.25">
      <c r="AP2369"/>
    </row>
    <row r="2370" spans="42:42" x14ac:dyDescent="0.25">
      <c r="AP2370"/>
    </row>
    <row r="2371" spans="42:42" x14ac:dyDescent="0.25">
      <c r="AP2371"/>
    </row>
    <row r="2372" spans="42:42" x14ac:dyDescent="0.25">
      <c r="AP2372"/>
    </row>
    <row r="2373" spans="42:42" x14ac:dyDescent="0.25">
      <c r="AP2373"/>
    </row>
    <row r="2374" spans="42:42" x14ac:dyDescent="0.25">
      <c r="AP2374"/>
    </row>
    <row r="2375" spans="42:42" x14ac:dyDescent="0.25">
      <c r="AP2375"/>
    </row>
    <row r="2376" spans="42:42" x14ac:dyDescent="0.25">
      <c r="AP2376"/>
    </row>
    <row r="2377" spans="42:42" x14ac:dyDescent="0.25">
      <c r="AP2377"/>
    </row>
    <row r="2378" spans="42:42" x14ac:dyDescent="0.25">
      <c r="AP2378"/>
    </row>
    <row r="2379" spans="42:42" x14ac:dyDescent="0.25">
      <c r="AP2379"/>
    </row>
    <row r="2380" spans="42:42" x14ac:dyDescent="0.25">
      <c r="AP2380"/>
    </row>
    <row r="2381" spans="42:42" x14ac:dyDescent="0.25">
      <c r="AP2381"/>
    </row>
    <row r="2382" spans="42:42" x14ac:dyDescent="0.25">
      <c r="AP2382"/>
    </row>
    <row r="2383" spans="42:42" x14ac:dyDescent="0.25">
      <c r="AP2383"/>
    </row>
    <row r="2384" spans="42:42" x14ac:dyDescent="0.25">
      <c r="AP2384"/>
    </row>
    <row r="2385" spans="42:42" x14ac:dyDescent="0.25">
      <c r="AP2385"/>
    </row>
    <row r="2386" spans="42:42" x14ac:dyDescent="0.25">
      <c r="AP2386"/>
    </row>
    <row r="2387" spans="42:42" x14ac:dyDescent="0.25">
      <c r="AP2387"/>
    </row>
    <row r="2388" spans="42:42" x14ac:dyDescent="0.25">
      <c r="AP2388"/>
    </row>
    <row r="2389" spans="42:42" x14ac:dyDescent="0.25">
      <c r="AP2389"/>
    </row>
    <row r="2390" spans="42:42" x14ac:dyDescent="0.25">
      <c r="AP2390"/>
    </row>
    <row r="2391" spans="42:42" x14ac:dyDescent="0.25">
      <c r="AP2391"/>
    </row>
    <row r="2392" spans="42:42" x14ac:dyDescent="0.25">
      <c r="AP2392"/>
    </row>
    <row r="2393" spans="42:42" x14ac:dyDescent="0.25">
      <c r="AP2393"/>
    </row>
    <row r="2394" spans="42:42" x14ac:dyDescent="0.25">
      <c r="AP2394"/>
    </row>
    <row r="2395" spans="42:42" x14ac:dyDescent="0.25">
      <c r="AP2395"/>
    </row>
    <row r="2396" spans="42:42" x14ac:dyDescent="0.25">
      <c r="AP2396"/>
    </row>
    <row r="2397" spans="42:42" x14ac:dyDescent="0.25">
      <c r="AP2397"/>
    </row>
    <row r="2398" spans="42:42" x14ac:dyDescent="0.25">
      <c r="AP2398"/>
    </row>
    <row r="2399" spans="42:42" x14ac:dyDescent="0.25">
      <c r="AP2399"/>
    </row>
    <row r="2400" spans="42:42" x14ac:dyDescent="0.25">
      <c r="AP2400"/>
    </row>
    <row r="2401" spans="42:42" x14ac:dyDescent="0.25">
      <c r="AP2401"/>
    </row>
    <row r="2402" spans="42:42" x14ac:dyDescent="0.25">
      <c r="AP2402"/>
    </row>
    <row r="2403" spans="42:42" x14ac:dyDescent="0.25">
      <c r="AP2403"/>
    </row>
    <row r="2404" spans="42:42" x14ac:dyDescent="0.25">
      <c r="AP2404"/>
    </row>
    <row r="2405" spans="42:42" x14ac:dyDescent="0.25">
      <c r="AP2405"/>
    </row>
    <row r="2406" spans="42:42" x14ac:dyDescent="0.25">
      <c r="AP2406"/>
    </row>
    <row r="2407" spans="42:42" x14ac:dyDescent="0.25">
      <c r="AP2407"/>
    </row>
    <row r="2408" spans="42:42" x14ac:dyDescent="0.25">
      <c r="AP2408"/>
    </row>
    <row r="2409" spans="42:42" x14ac:dyDescent="0.25">
      <c r="AP2409"/>
    </row>
    <row r="2410" spans="42:42" x14ac:dyDescent="0.25">
      <c r="AP2410"/>
    </row>
    <row r="2411" spans="42:42" x14ac:dyDescent="0.25">
      <c r="AP2411"/>
    </row>
    <row r="2412" spans="42:42" x14ac:dyDescent="0.25">
      <c r="AP2412"/>
    </row>
    <row r="2413" spans="42:42" x14ac:dyDescent="0.25">
      <c r="AP2413"/>
    </row>
    <row r="2414" spans="42:42" x14ac:dyDescent="0.25">
      <c r="AP2414"/>
    </row>
    <row r="2415" spans="42:42" x14ac:dyDescent="0.25">
      <c r="AP2415"/>
    </row>
    <row r="2416" spans="42:42" x14ac:dyDescent="0.25">
      <c r="AP2416"/>
    </row>
    <row r="2417" spans="42:42" x14ac:dyDescent="0.25">
      <c r="AP2417"/>
    </row>
    <row r="2418" spans="42:42" x14ac:dyDescent="0.25">
      <c r="AP2418"/>
    </row>
    <row r="2419" spans="42:42" x14ac:dyDescent="0.25">
      <c r="AP2419"/>
    </row>
    <row r="2420" spans="42:42" x14ac:dyDescent="0.25">
      <c r="AP2420"/>
    </row>
    <row r="2421" spans="42:42" x14ac:dyDescent="0.25">
      <c r="AP2421"/>
    </row>
    <row r="2422" spans="42:42" x14ac:dyDescent="0.25">
      <c r="AP2422"/>
    </row>
    <row r="2423" spans="42:42" x14ac:dyDescent="0.25">
      <c r="AP2423"/>
    </row>
    <row r="2424" spans="42:42" x14ac:dyDescent="0.25">
      <c r="AP2424"/>
    </row>
    <row r="2425" spans="42:42" x14ac:dyDescent="0.25">
      <c r="AP2425"/>
    </row>
    <row r="2426" spans="42:42" x14ac:dyDescent="0.25">
      <c r="AP2426"/>
    </row>
    <row r="2427" spans="42:42" x14ac:dyDescent="0.25">
      <c r="AP2427"/>
    </row>
    <row r="2428" spans="42:42" x14ac:dyDescent="0.25">
      <c r="AP2428"/>
    </row>
    <row r="2429" spans="42:42" x14ac:dyDescent="0.25">
      <c r="AP2429"/>
    </row>
    <row r="2430" spans="42:42" x14ac:dyDescent="0.25">
      <c r="AP2430"/>
    </row>
    <row r="2431" spans="42:42" x14ac:dyDescent="0.25">
      <c r="AP2431"/>
    </row>
    <row r="2432" spans="42:42" x14ac:dyDescent="0.25">
      <c r="AP2432"/>
    </row>
    <row r="2433" spans="42:42" x14ac:dyDescent="0.25">
      <c r="AP2433"/>
    </row>
    <row r="2434" spans="42:42" x14ac:dyDescent="0.25">
      <c r="AP2434"/>
    </row>
    <row r="2435" spans="42:42" x14ac:dyDescent="0.25">
      <c r="AP2435"/>
    </row>
    <row r="2436" spans="42:42" x14ac:dyDescent="0.25">
      <c r="AP2436"/>
    </row>
    <row r="2437" spans="42:42" x14ac:dyDescent="0.25">
      <c r="AP2437"/>
    </row>
    <row r="2438" spans="42:42" x14ac:dyDescent="0.25">
      <c r="AP2438"/>
    </row>
    <row r="2439" spans="42:42" x14ac:dyDescent="0.25">
      <c r="AP2439"/>
    </row>
    <row r="2440" spans="42:42" x14ac:dyDescent="0.25">
      <c r="AP2440"/>
    </row>
    <row r="2441" spans="42:42" x14ac:dyDescent="0.25">
      <c r="AP2441"/>
    </row>
    <row r="2442" spans="42:42" x14ac:dyDescent="0.25">
      <c r="AP2442"/>
    </row>
    <row r="2443" spans="42:42" x14ac:dyDescent="0.25">
      <c r="AP2443"/>
    </row>
    <row r="2444" spans="42:42" x14ac:dyDescent="0.25">
      <c r="AP2444"/>
    </row>
    <row r="2445" spans="42:42" x14ac:dyDescent="0.25">
      <c r="AP2445"/>
    </row>
    <row r="2446" spans="42:42" x14ac:dyDescent="0.25">
      <c r="AP2446"/>
    </row>
    <row r="2447" spans="42:42" x14ac:dyDescent="0.25">
      <c r="AP2447"/>
    </row>
    <row r="2448" spans="42:42" x14ac:dyDescent="0.25">
      <c r="AP2448"/>
    </row>
    <row r="2449" spans="42:42" x14ac:dyDescent="0.25">
      <c r="AP2449"/>
    </row>
    <row r="2450" spans="42:42" x14ac:dyDescent="0.25">
      <c r="AP2450"/>
    </row>
    <row r="2451" spans="42:42" x14ac:dyDescent="0.25">
      <c r="AP2451"/>
    </row>
    <row r="2452" spans="42:42" x14ac:dyDescent="0.25">
      <c r="AP2452"/>
    </row>
    <row r="2453" spans="42:42" x14ac:dyDescent="0.25">
      <c r="AP2453"/>
    </row>
    <row r="2454" spans="42:42" x14ac:dyDescent="0.25">
      <c r="AP2454"/>
    </row>
    <row r="2455" spans="42:42" x14ac:dyDescent="0.25">
      <c r="AP2455"/>
    </row>
    <row r="2456" spans="42:42" x14ac:dyDescent="0.25">
      <c r="AP2456"/>
    </row>
    <row r="2457" spans="42:42" x14ac:dyDescent="0.25">
      <c r="AP2457"/>
    </row>
    <row r="2458" spans="42:42" x14ac:dyDescent="0.25">
      <c r="AP2458"/>
    </row>
    <row r="2459" spans="42:42" x14ac:dyDescent="0.25">
      <c r="AP2459"/>
    </row>
    <row r="2460" spans="42:42" x14ac:dyDescent="0.25">
      <c r="AP2460"/>
    </row>
    <row r="2461" spans="42:42" x14ac:dyDescent="0.25">
      <c r="AP2461"/>
    </row>
    <row r="2462" spans="42:42" x14ac:dyDescent="0.25">
      <c r="AP2462"/>
    </row>
    <row r="2463" spans="42:42" x14ac:dyDescent="0.25">
      <c r="AP2463"/>
    </row>
    <row r="2464" spans="42:42" x14ac:dyDescent="0.25">
      <c r="AP2464"/>
    </row>
    <row r="2465" spans="42:42" x14ac:dyDescent="0.25">
      <c r="AP2465"/>
    </row>
    <row r="2466" spans="42:42" x14ac:dyDescent="0.25">
      <c r="AP2466"/>
    </row>
    <row r="2467" spans="42:42" x14ac:dyDescent="0.25">
      <c r="AP2467"/>
    </row>
    <row r="2468" spans="42:42" x14ac:dyDescent="0.25">
      <c r="AP2468"/>
    </row>
    <row r="2469" spans="42:42" x14ac:dyDescent="0.25">
      <c r="AP2469"/>
    </row>
    <row r="2470" spans="42:42" x14ac:dyDescent="0.25">
      <c r="AP2470"/>
    </row>
    <row r="2471" spans="42:42" x14ac:dyDescent="0.25">
      <c r="AP2471"/>
    </row>
    <row r="2472" spans="42:42" x14ac:dyDescent="0.25">
      <c r="AP2472"/>
    </row>
    <row r="2473" spans="42:42" x14ac:dyDescent="0.25">
      <c r="AP2473"/>
    </row>
    <row r="2474" spans="42:42" x14ac:dyDescent="0.25">
      <c r="AP2474"/>
    </row>
    <row r="2475" spans="42:42" x14ac:dyDescent="0.25">
      <c r="AP2475"/>
    </row>
    <row r="2476" spans="42:42" x14ac:dyDescent="0.25">
      <c r="AP2476"/>
    </row>
    <row r="2477" spans="42:42" x14ac:dyDescent="0.25">
      <c r="AP2477"/>
    </row>
    <row r="2478" spans="42:42" x14ac:dyDescent="0.25">
      <c r="AP2478"/>
    </row>
    <row r="2479" spans="42:42" x14ac:dyDescent="0.25">
      <c r="AP2479"/>
    </row>
    <row r="2480" spans="42:42" x14ac:dyDescent="0.25">
      <c r="AP2480"/>
    </row>
    <row r="2481" spans="42:42" x14ac:dyDescent="0.25">
      <c r="AP2481"/>
    </row>
    <row r="2482" spans="42:42" x14ac:dyDescent="0.25">
      <c r="AP2482"/>
    </row>
    <row r="2483" spans="42:42" x14ac:dyDescent="0.25">
      <c r="AP2483"/>
    </row>
    <row r="2484" spans="42:42" x14ac:dyDescent="0.25">
      <c r="AP2484"/>
    </row>
    <row r="2485" spans="42:42" x14ac:dyDescent="0.25">
      <c r="AP2485"/>
    </row>
    <row r="2486" spans="42:42" x14ac:dyDescent="0.25">
      <c r="AP2486"/>
    </row>
    <row r="2487" spans="42:42" x14ac:dyDescent="0.25">
      <c r="AP2487"/>
    </row>
    <row r="2488" spans="42:42" x14ac:dyDescent="0.25">
      <c r="AP2488"/>
    </row>
    <row r="2489" spans="42:42" x14ac:dyDescent="0.25">
      <c r="AP2489"/>
    </row>
    <row r="2490" spans="42:42" x14ac:dyDescent="0.25">
      <c r="AP2490"/>
    </row>
    <row r="2491" spans="42:42" x14ac:dyDescent="0.25">
      <c r="AP2491"/>
    </row>
    <row r="2492" spans="42:42" x14ac:dyDescent="0.25">
      <c r="AP2492"/>
    </row>
    <row r="2493" spans="42:42" x14ac:dyDescent="0.25">
      <c r="AP2493"/>
    </row>
    <row r="2494" spans="42:42" x14ac:dyDescent="0.25">
      <c r="AP2494"/>
    </row>
    <row r="2495" spans="42:42" x14ac:dyDescent="0.25">
      <c r="AP2495"/>
    </row>
    <row r="2496" spans="42:42" x14ac:dyDescent="0.25">
      <c r="AP2496"/>
    </row>
    <row r="2497" spans="42:42" x14ac:dyDescent="0.25">
      <c r="AP2497"/>
    </row>
    <row r="2498" spans="42:42" x14ac:dyDescent="0.25">
      <c r="AP2498"/>
    </row>
    <row r="2499" spans="42:42" x14ac:dyDescent="0.25">
      <c r="AP2499"/>
    </row>
    <row r="2500" spans="42:42" x14ac:dyDescent="0.25">
      <c r="AP2500"/>
    </row>
    <row r="2501" spans="42:42" x14ac:dyDescent="0.25">
      <c r="AP2501"/>
    </row>
    <row r="2502" spans="42:42" x14ac:dyDescent="0.25">
      <c r="AP2502"/>
    </row>
    <row r="2503" spans="42:42" x14ac:dyDescent="0.25">
      <c r="AP2503"/>
    </row>
    <row r="2504" spans="42:42" x14ac:dyDescent="0.25">
      <c r="AP2504"/>
    </row>
    <row r="2505" spans="42:42" x14ac:dyDescent="0.25">
      <c r="AP2505"/>
    </row>
    <row r="2506" spans="42:42" x14ac:dyDescent="0.25">
      <c r="AP2506"/>
    </row>
    <row r="2507" spans="42:42" x14ac:dyDescent="0.25">
      <c r="AP2507"/>
    </row>
    <row r="2508" spans="42:42" x14ac:dyDescent="0.25">
      <c r="AP2508"/>
    </row>
    <row r="2509" spans="42:42" x14ac:dyDescent="0.25">
      <c r="AP2509"/>
    </row>
    <row r="2510" spans="42:42" x14ac:dyDescent="0.25">
      <c r="AP2510"/>
    </row>
    <row r="2511" spans="42:42" x14ac:dyDescent="0.25">
      <c r="AP2511"/>
    </row>
    <row r="2512" spans="42:42" x14ac:dyDescent="0.25">
      <c r="AP2512"/>
    </row>
    <row r="2513" spans="42:42" x14ac:dyDescent="0.25">
      <c r="AP2513"/>
    </row>
    <row r="2514" spans="42:42" x14ac:dyDescent="0.25">
      <c r="AP2514"/>
    </row>
    <row r="2515" spans="42:42" x14ac:dyDescent="0.25">
      <c r="AP2515"/>
    </row>
    <row r="2516" spans="42:42" x14ac:dyDescent="0.25">
      <c r="AP2516"/>
    </row>
    <row r="2517" spans="42:42" x14ac:dyDescent="0.25">
      <c r="AP2517"/>
    </row>
    <row r="2518" spans="42:42" x14ac:dyDescent="0.25">
      <c r="AP2518"/>
    </row>
    <row r="2519" spans="42:42" x14ac:dyDescent="0.25">
      <c r="AP2519"/>
    </row>
    <row r="2520" spans="42:42" x14ac:dyDescent="0.25">
      <c r="AP2520"/>
    </row>
    <row r="2521" spans="42:42" x14ac:dyDescent="0.25">
      <c r="AP2521"/>
    </row>
    <row r="2522" spans="42:42" x14ac:dyDescent="0.25">
      <c r="AP2522"/>
    </row>
    <row r="2523" spans="42:42" x14ac:dyDescent="0.25">
      <c r="AP2523"/>
    </row>
    <row r="2524" spans="42:42" x14ac:dyDescent="0.25">
      <c r="AP2524"/>
    </row>
    <row r="2525" spans="42:42" x14ac:dyDescent="0.25">
      <c r="AP2525"/>
    </row>
    <row r="2526" spans="42:42" x14ac:dyDescent="0.25">
      <c r="AP2526"/>
    </row>
    <row r="2527" spans="42:42" x14ac:dyDescent="0.25">
      <c r="AP2527"/>
    </row>
    <row r="2528" spans="42:42" x14ac:dyDescent="0.25">
      <c r="AP2528"/>
    </row>
    <row r="2529" spans="42:42" x14ac:dyDescent="0.25">
      <c r="AP2529"/>
    </row>
    <row r="2530" spans="42:42" x14ac:dyDescent="0.25">
      <c r="AP2530"/>
    </row>
    <row r="2531" spans="42:42" x14ac:dyDescent="0.25">
      <c r="AP2531"/>
    </row>
    <row r="2532" spans="42:42" x14ac:dyDescent="0.25">
      <c r="AP2532"/>
    </row>
    <row r="2533" spans="42:42" x14ac:dyDescent="0.25">
      <c r="AP2533"/>
    </row>
    <row r="2534" spans="42:42" x14ac:dyDescent="0.25">
      <c r="AP2534"/>
    </row>
    <row r="2535" spans="42:42" x14ac:dyDescent="0.25">
      <c r="AP2535"/>
    </row>
    <row r="2536" spans="42:42" x14ac:dyDescent="0.25">
      <c r="AP2536"/>
    </row>
    <row r="2537" spans="42:42" x14ac:dyDescent="0.25">
      <c r="AP2537"/>
    </row>
    <row r="2538" spans="42:42" x14ac:dyDescent="0.25">
      <c r="AP2538"/>
    </row>
    <row r="2539" spans="42:42" x14ac:dyDescent="0.25">
      <c r="AP2539"/>
    </row>
    <row r="2540" spans="42:42" x14ac:dyDescent="0.25">
      <c r="AP2540"/>
    </row>
    <row r="2541" spans="42:42" x14ac:dyDescent="0.25">
      <c r="AP2541"/>
    </row>
    <row r="2542" spans="42:42" x14ac:dyDescent="0.25">
      <c r="AP2542"/>
    </row>
    <row r="2543" spans="42:42" x14ac:dyDescent="0.25">
      <c r="AP2543"/>
    </row>
    <row r="2544" spans="42:42" x14ac:dyDescent="0.25">
      <c r="AP2544"/>
    </row>
    <row r="2545" spans="42:42" x14ac:dyDescent="0.25">
      <c r="AP2545"/>
    </row>
    <row r="2546" spans="42:42" x14ac:dyDescent="0.25">
      <c r="AP2546"/>
    </row>
    <row r="2547" spans="42:42" x14ac:dyDescent="0.25">
      <c r="AP2547"/>
    </row>
    <row r="2548" spans="42:42" x14ac:dyDescent="0.25">
      <c r="AP2548"/>
    </row>
    <row r="2549" spans="42:42" x14ac:dyDescent="0.25">
      <c r="AP2549"/>
    </row>
    <row r="2550" spans="42:42" x14ac:dyDescent="0.25">
      <c r="AP2550"/>
    </row>
    <row r="2551" spans="42:42" x14ac:dyDescent="0.25">
      <c r="AP2551"/>
    </row>
    <row r="2552" spans="42:42" x14ac:dyDescent="0.25">
      <c r="AP2552"/>
    </row>
    <row r="2553" spans="42:42" x14ac:dyDescent="0.25">
      <c r="AP2553"/>
    </row>
    <row r="2554" spans="42:42" x14ac:dyDescent="0.25">
      <c r="AP2554"/>
    </row>
    <row r="2555" spans="42:42" x14ac:dyDescent="0.25">
      <c r="AP2555"/>
    </row>
    <row r="2556" spans="42:42" x14ac:dyDescent="0.25">
      <c r="AP2556"/>
    </row>
    <row r="2557" spans="42:42" x14ac:dyDescent="0.25">
      <c r="AP2557"/>
    </row>
    <row r="2558" spans="42:42" x14ac:dyDescent="0.25">
      <c r="AP2558"/>
    </row>
    <row r="2559" spans="42:42" x14ac:dyDescent="0.25">
      <c r="AP2559"/>
    </row>
    <row r="2560" spans="42:42" x14ac:dyDescent="0.25">
      <c r="AP2560"/>
    </row>
    <row r="2561" spans="42:42" x14ac:dyDescent="0.25">
      <c r="AP2561"/>
    </row>
    <row r="2562" spans="42:42" x14ac:dyDescent="0.25">
      <c r="AP2562"/>
    </row>
    <row r="2563" spans="42:42" x14ac:dyDescent="0.25">
      <c r="AP2563"/>
    </row>
    <row r="2564" spans="42:42" x14ac:dyDescent="0.25">
      <c r="AP2564"/>
    </row>
    <row r="2565" spans="42:42" x14ac:dyDescent="0.25">
      <c r="AP2565"/>
    </row>
    <row r="2566" spans="42:42" x14ac:dyDescent="0.25">
      <c r="AP2566"/>
    </row>
    <row r="2567" spans="42:42" x14ac:dyDescent="0.25">
      <c r="AP2567"/>
    </row>
    <row r="2568" spans="42:42" x14ac:dyDescent="0.25">
      <c r="AP2568"/>
    </row>
    <row r="2569" spans="42:42" x14ac:dyDescent="0.25">
      <c r="AP2569"/>
    </row>
    <row r="2570" spans="42:42" x14ac:dyDescent="0.25">
      <c r="AP2570"/>
    </row>
    <row r="2571" spans="42:42" x14ac:dyDescent="0.25">
      <c r="AP2571"/>
    </row>
    <row r="2572" spans="42:42" x14ac:dyDescent="0.25">
      <c r="AP2572"/>
    </row>
    <row r="2573" spans="42:42" x14ac:dyDescent="0.25">
      <c r="AP2573"/>
    </row>
    <row r="2574" spans="42:42" x14ac:dyDescent="0.25">
      <c r="AP2574"/>
    </row>
    <row r="2575" spans="42:42" x14ac:dyDescent="0.25">
      <c r="AP2575"/>
    </row>
    <row r="2576" spans="42:42" x14ac:dyDescent="0.25">
      <c r="AP2576"/>
    </row>
    <row r="2577" spans="42:42" x14ac:dyDescent="0.25">
      <c r="AP2577"/>
    </row>
    <row r="2578" spans="42:42" x14ac:dyDescent="0.25">
      <c r="AP2578"/>
    </row>
    <row r="2579" spans="42:42" x14ac:dyDescent="0.25">
      <c r="AP2579"/>
    </row>
    <row r="2580" spans="42:42" x14ac:dyDescent="0.25">
      <c r="AP2580"/>
    </row>
    <row r="2581" spans="42:42" x14ac:dyDescent="0.25">
      <c r="AP2581"/>
    </row>
    <row r="2582" spans="42:42" x14ac:dyDescent="0.25">
      <c r="AP2582"/>
    </row>
    <row r="2583" spans="42:42" x14ac:dyDescent="0.25">
      <c r="AP2583"/>
    </row>
    <row r="2584" spans="42:42" x14ac:dyDescent="0.25">
      <c r="AP2584"/>
    </row>
    <row r="2585" spans="42:42" x14ac:dyDescent="0.25">
      <c r="AP2585"/>
    </row>
    <row r="2586" spans="42:42" x14ac:dyDescent="0.25">
      <c r="AP2586"/>
    </row>
    <row r="2587" spans="42:42" x14ac:dyDescent="0.25">
      <c r="AP2587"/>
    </row>
    <row r="2588" spans="42:42" x14ac:dyDescent="0.25">
      <c r="AP2588"/>
    </row>
    <row r="2589" spans="42:42" x14ac:dyDescent="0.25">
      <c r="AP2589"/>
    </row>
    <row r="2590" spans="42:42" x14ac:dyDescent="0.25">
      <c r="AP2590"/>
    </row>
    <row r="2591" spans="42:42" x14ac:dyDescent="0.25">
      <c r="AP2591"/>
    </row>
    <row r="2592" spans="42:42" x14ac:dyDescent="0.25">
      <c r="AP2592"/>
    </row>
    <row r="2593" spans="42:42" x14ac:dyDescent="0.25">
      <c r="AP2593"/>
    </row>
    <row r="2594" spans="42:42" x14ac:dyDescent="0.25">
      <c r="AP2594"/>
    </row>
    <row r="2595" spans="42:42" x14ac:dyDescent="0.25">
      <c r="AP2595"/>
    </row>
    <row r="2596" spans="42:42" x14ac:dyDescent="0.25">
      <c r="AP2596"/>
    </row>
    <row r="2597" spans="42:42" x14ac:dyDescent="0.25">
      <c r="AP2597"/>
    </row>
    <row r="2598" spans="42:42" x14ac:dyDescent="0.25">
      <c r="AP2598"/>
    </row>
    <row r="2599" spans="42:42" x14ac:dyDescent="0.25">
      <c r="AP2599"/>
    </row>
    <row r="2600" spans="42:42" x14ac:dyDescent="0.25">
      <c r="AP2600"/>
    </row>
    <row r="2601" spans="42:42" x14ac:dyDescent="0.25">
      <c r="AP2601"/>
    </row>
    <row r="2602" spans="42:42" x14ac:dyDescent="0.25">
      <c r="AP2602"/>
    </row>
    <row r="2603" spans="42:42" x14ac:dyDescent="0.25">
      <c r="AP2603"/>
    </row>
    <row r="2604" spans="42:42" x14ac:dyDescent="0.25">
      <c r="AP2604"/>
    </row>
    <row r="2605" spans="42:42" x14ac:dyDescent="0.25">
      <c r="AP2605"/>
    </row>
    <row r="2606" spans="42:42" x14ac:dyDescent="0.25">
      <c r="AP2606"/>
    </row>
    <row r="2607" spans="42:42" x14ac:dyDescent="0.25">
      <c r="AP2607"/>
    </row>
    <row r="2608" spans="42:42" x14ac:dyDescent="0.25">
      <c r="AP2608"/>
    </row>
    <row r="2609" spans="42:42" x14ac:dyDescent="0.25">
      <c r="AP2609"/>
    </row>
    <row r="2610" spans="42:42" x14ac:dyDescent="0.25">
      <c r="AP2610"/>
    </row>
    <row r="2611" spans="42:42" x14ac:dyDescent="0.25">
      <c r="AP2611"/>
    </row>
    <row r="2612" spans="42:42" x14ac:dyDescent="0.25">
      <c r="AP2612"/>
    </row>
    <row r="2613" spans="42:42" x14ac:dyDescent="0.25">
      <c r="AP2613"/>
    </row>
    <row r="2614" spans="42:42" x14ac:dyDescent="0.25">
      <c r="AP2614"/>
    </row>
    <row r="2615" spans="42:42" x14ac:dyDescent="0.25">
      <c r="AP2615"/>
    </row>
    <row r="2616" spans="42:42" x14ac:dyDescent="0.25">
      <c r="AP2616"/>
    </row>
    <row r="2617" spans="42:42" x14ac:dyDescent="0.25">
      <c r="AP2617"/>
    </row>
    <row r="2618" spans="42:42" x14ac:dyDescent="0.25">
      <c r="AP2618"/>
    </row>
    <row r="2619" spans="42:42" x14ac:dyDescent="0.25">
      <c r="AP2619"/>
    </row>
    <row r="2620" spans="42:42" x14ac:dyDescent="0.25">
      <c r="AP2620"/>
    </row>
    <row r="2621" spans="42:42" x14ac:dyDescent="0.25">
      <c r="AP2621"/>
    </row>
    <row r="2622" spans="42:42" x14ac:dyDescent="0.25">
      <c r="AP2622"/>
    </row>
    <row r="2623" spans="42:42" x14ac:dyDescent="0.25">
      <c r="AP2623"/>
    </row>
    <row r="2624" spans="42:42" x14ac:dyDescent="0.25">
      <c r="AP2624"/>
    </row>
    <row r="2625" spans="42:42" x14ac:dyDescent="0.25">
      <c r="AP2625"/>
    </row>
    <row r="2626" spans="42:42" x14ac:dyDescent="0.25">
      <c r="AP2626"/>
    </row>
    <row r="2627" spans="42:42" x14ac:dyDescent="0.25">
      <c r="AP2627"/>
    </row>
    <row r="2628" spans="42:42" x14ac:dyDescent="0.25">
      <c r="AP2628"/>
    </row>
    <row r="2629" spans="42:42" x14ac:dyDescent="0.25">
      <c r="AP2629"/>
    </row>
    <row r="2630" spans="42:42" x14ac:dyDescent="0.25">
      <c r="AP2630"/>
    </row>
    <row r="2631" spans="42:42" x14ac:dyDescent="0.25">
      <c r="AP2631"/>
    </row>
    <row r="2632" spans="42:42" x14ac:dyDescent="0.25">
      <c r="AP2632"/>
    </row>
    <row r="2633" spans="42:42" x14ac:dyDescent="0.25">
      <c r="AP2633"/>
    </row>
    <row r="2634" spans="42:42" x14ac:dyDescent="0.25">
      <c r="AP2634"/>
    </row>
    <row r="2635" spans="42:42" x14ac:dyDescent="0.25">
      <c r="AP2635"/>
    </row>
    <row r="2636" spans="42:42" x14ac:dyDescent="0.25">
      <c r="AP2636"/>
    </row>
    <row r="2637" spans="42:42" x14ac:dyDescent="0.25">
      <c r="AP2637"/>
    </row>
    <row r="2638" spans="42:42" x14ac:dyDescent="0.25">
      <c r="AP2638"/>
    </row>
    <row r="2639" spans="42:42" x14ac:dyDescent="0.25">
      <c r="AP2639"/>
    </row>
    <row r="2640" spans="42:42" x14ac:dyDescent="0.25">
      <c r="AP2640"/>
    </row>
    <row r="2641" spans="42:42" x14ac:dyDescent="0.25">
      <c r="AP2641"/>
    </row>
    <row r="2642" spans="42:42" x14ac:dyDescent="0.25">
      <c r="AP2642"/>
    </row>
    <row r="2643" spans="42:42" x14ac:dyDescent="0.25">
      <c r="AP2643"/>
    </row>
    <row r="2644" spans="42:42" x14ac:dyDescent="0.25">
      <c r="AP2644"/>
    </row>
    <row r="2645" spans="42:42" x14ac:dyDescent="0.25">
      <c r="AP2645"/>
    </row>
    <row r="2646" spans="42:42" x14ac:dyDescent="0.25">
      <c r="AP2646"/>
    </row>
    <row r="2647" spans="42:42" x14ac:dyDescent="0.25">
      <c r="AP2647"/>
    </row>
    <row r="2648" spans="42:42" x14ac:dyDescent="0.25">
      <c r="AP2648"/>
    </row>
    <row r="2649" spans="42:42" x14ac:dyDescent="0.25">
      <c r="AP2649"/>
    </row>
    <row r="2650" spans="42:42" x14ac:dyDescent="0.25">
      <c r="AP2650"/>
    </row>
    <row r="2651" spans="42:42" x14ac:dyDescent="0.25">
      <c r="AP2651"/>
    </row>
    <row r="2652" spans="42:42" x14ac:dyDescent="0.25">
      <c r="AP2652"/>
    </row>
    <row r="2653" spans="42:42" x14ac:dyDescent="0.25">
      <c r="AP2653"/>
    </row>
    <row r="2654" spans="42:42" x14ac:dyDescent="0.25">
      <c r="AP2654"/>
    </row>
    <row r="2655" spans="42:42" x14ac:dyDescent="0.25">
      <c r="AP2655"/>
    </row>
    <row r="2656" spans="42:42" x14ac:dyDescent="0.25">
      <c r="AP2656"/>
    </row>
    <row r="2657" spans="42:42" x14ac:dyDescent="0.25">
      <c r="AP2657"/>
    </row>
    <row r="2658" spans="42:42" x14ac:dyDescent="0.25">
      <c r="AP2658"/>
    </row>
    <row r="2659" spans="42:42" x14ac:dyDescent="0.25">
      <c r="AP2659"/>
    </row>
    <row r="2660" spans="42:42" x14ac:dyDescent="0.25">
      <c r="AP2660"/>
    </row>
    <row r="2661" spans="42:42" x14ac:dyDescent="0.25">
      <c r="AP2661"/>
    </row>
    <row r="2662" spans="42:42" x14ac:dyDescent="0.25">
      <c r="AP2662"/>
    </row>
    <row r="2663" spans="42:42" x14ac:dyDescent="0.25">
      <c r="AP2663"/>
    </row>
    <row r="2664" spans="42:42" x14ac:dyDescent="0.25">
      <c r="AP2664"/>
    </row>
    <row r="2665" spans="42:42" x14ac:dyDescent="0.25">
      <c r="AP2665"/>
    </row>
    <row r="2666" spans="42:42" x14ac:dyDescent="0.25">
      <c r="AP2666"/>
    </row>
    <row r="2667" spans="42:42" x14ac:dyDescent="0.25">
      <c r="AP2667"/>
    </row>
    <row r="2668" spans="42:42" x14ac:dyDescent="0.25">
      <c r="AP2668"/>
    </row>
    <row r="2669" spans="42:42" x14ac:dyDescent="0.25">
      <c r="AP2669"/>
    </row>
    <row r="2670" spans="42:42" x14ac:dyDescent="0.25">
      <c r="AP2670"/>
    </row>
    <row r="2671" spans="42:42" x14ac:dyDescent="0.25">
      <c r="AP2671"/>
    </row>
    <row r="2672" spans="42:42" x14ac:dyDescent="0.25">
      <c r="AP2672"/>
    </row>
    <row r="2673" spans="42:42" x14ac:dyDescent="0.25">
      <c r="AP2673"/>
    </row>
    <row r="2674" spans="42:42" x14ac:dyDescent="0.25">
      <c r="AP2674"/>
    </row>
    <row r="2675" spans="42:42" x14ac:dyDescent="0.25">
      <c r="AP2675"/>
    </row>
    <row r="2676" spans="42:42" x14ac:dyDescent="0.25">
      <c r="AP2676"/>
    </row>
    <row r="2677" spans="42:42" x14ac:dyDescent="0.25">
      <c r="AP2677"/>
    </row>
    <row r="2678" spans="42:42" x14ac:dyDescent="0.25">
      <c r="AP2678"/>
    </row>
    <row r="2679" spans="42:42" x14ac:dyDescent="0.25">
      <c r="AP2679"/>
    </row>
    <row r="2680" spans="42:42" x14ac:dyDescent="0.25">
      <c r="AP2680"/>
    </row>
    <row r="2681" spans="42:42" x14ac:dyDescent="0.25">
      <c r="AP2681"/>
    </row>
    <row r="2682" spans="42:42" x14ac:dyDescent="0.25">
      <c r="AP2682"/>
    </row>
    <row r="2683" spans="42:42" x14ac:dyDescent="0.25">
      <c r="AP2683"/>
    </row>
    <row r="2684" spans="42:42" x14ac:dyDescent="0.25">
      <c r="AP2684"/>
    </row>
    <row r="2685" spans="42:42" x14ac:dyDescent="0.25">
      <c r="AP2685"/>
    </row>
    <row r="2686" spans="42:42" x14ac:dyDescent="0.25">
      <c r="AP2686"/>
    </row>
    <row r="2687" spans="42:42" x14ac:dyDescent="0.25">
      <c r="AP2687"/>
    </row>
    <row r="2688" spans="42:42" x14ac:dyDescent="0.25">
      <c r="AP2688"/>
    </row>
    <row r="2689" spans="42:42" x14ac:dyDescent="0.25">
      <c r="AP2689"/>
    </row>
    <row r="2690" spans="42:42" x14ac:dyDescent="0.25">
      <c r="AP2690"/>
    </row>
    <row r="2691" spans="42:42" x14ac:dyDescent="0.25">
      <c r="AP2691"/>
    </row>
    <row r="2692" spans="42:42" x14ac:dyDescent="0.25">
      <c r="AP2692"/>
    </row>
    <row r="2693" spans="42:42" x14ac:dyDescent="0.25">
      <c r="AP2693"/>
    </row>
    <row r="2694" spans="42:42" x14ac:dyDescent="0.25">
      <c r="AP2694"/>
    </row>
    <row r="2695" spans="42:42" x14ac:dyDescent="0.25">
      <c r="AP2695"/>
    </row>
    <row r="2696" spans="42:42" x14ac:dyDescent="0.25">
      <c r="AP2696"/>
    </row>
    <row r="2697" spans="42:42" x14ac:dyDescent="0.25">
      <c r="AP2697"/>
    </row>
    <row r="2698" spans="42:42" x14ac:dyDescent="0.25">
      <c r="AP2698"/>
    </row>
    <row r="2699" spans="42:42" x14ac:dyDescent="0.25">
      <c r="AP2699"/>
    </row>
    <row r="2700" spans="42:42" x14ac:dyDescent="0.25">
      <c r="AP2700"/>
    </row>
    <row r="2701" spans="42:42" x14ac:dyDescent="0.25">
      <c r="AP2701"/>
    </row>
    <row r="2702" spans="42:42" x14ac:dyDescent="0.25">
      <c r="AP2702"/>
    </row>
    <row r="2703" spans="42:42" x14ac:dyDescent="0.25">
      <c r="AP2703"/>
    </row>
    <row r="2704" spans="42:42" x14ac:dyDescent="0.25">
      <c r="AP2704"/>
    </row>
    <row r="2705" spans="42:42" x14ac:dyDescent="0.25">
      <c r="AP2705"/>
    </row>
    <row r="2706" spans="42:42" x14ac:dyDescent="0.25">
      <c r="AP2706"/>
    </row>
    <row r="2707" spans="42:42" x14ac:dyDescent="0.25">
      <c r="AP2707"/>
    </row>
    <row r="2708" spans="42:42" x14ac:dyDescent="0.25">
      <c r="AP2708"/>
    </row>
    <row r="2709" spans="42:42" x14ac:dyDescent="0.25">
      <c r="AP2709"/>
    </row>
    <row r="2710" spans="42:42" x14ac:dyDescent="0.25">
      <c r="AP2710"/>
    </row>
    <row r="2711" spans="42:42" x14ac:dyDescent="0.25">
      <c r="AP2711"/>
    </row>
    <row r="2712" spans="42:42" x14ac:dyDescent="0.25">
      <c r="AP2712"/>
    </row>
    <row r="2713" spans="42:42" x14ac:dyDescent="0.25">
      <c r="AP2713"/>
    </row>
    <row r="2714" spans="42:42" x14ac:dyDescent="0.25">
      <c r="AP2714"/>
    </row>
    <row r="2715" spans="42:42" x14ac:dyDescent="0.25">
      <c r="AP2715"/>
    </row>
    <row r="2716" spans="42:42" x14ac:dyDescent="0.25">
      <c r="AP2716"/>
    </row>
    <row r="2717" spans="42:42" x14ac:dyDescent="0.25">
      <c r="AP2717"/>
    </row>
    <row r="2718" spans="42:42" x14ac:dyDescent="0.25">
      <c r="AP2718"/>
    </row>
    <row r="2719" spans="42:42" x14ac:dyDescent="0.25">
      <c r="AP2719"/>
    </row>
    <row r="2720" spans="42:42" x14ac:dyDescent="0.25">
      <c r="AP2720"/>
    </row>
    <row r="2721" spans="42:42" x14ac:dyDescent="0.25">
      <c r="AP2721"/>
    </row>
    <row r="2722" spans="42:42" x14ac:dyDescent="0.25">
      <c r="AP2722"/>
    </row>
    <row r="2723" spans="42:42" x14ac:dyDescent="0.25">
      <c r="AP2723"/>
    </row>
    <row r="2724" spans="42:42" x14ac:dyDescent="0.25">
      <c r="AP2724"/>
    </row>
    <row r="2725" spans="42:42" x14ac:dyDescent="0.25">
      <c r="AP2725"/>
    </row>
    <row r="2726" spans="42:42" x14ac:dyDescent="0.25">
      <c r="AP2726"/>
    </row>
    <row r="2727" spans="42:42" x14ac:dyDescent="0.25">
      <c r="AP2727"/>
    </row>
    <row r="2728" spans="42:42" x14ac:dyDescent="0.25">
      <c r="AP2728"/>
    </row>
    <row r="2729" spans="42:42" x14ac:dyDescent="0.25">
      <c r="AP2729"/>
    </row>
    <row r="2730" spans="42:42" x14ac:dyDescent="0.25">
      <c r="AP2730"/>
    </row>
    <row r="2731" spans="42:42" x14ac:dyDescent="0.25">
      <c r="AP2731"/>
    </row>
    <row r="2732" spans="42:42" x14ac:dyDescent="0.25">
      <c r="AP2732"/>
    </row>
    <row r="2733" spans="42:42" x14ac:dyDescent="0.25">
      <c r="AP2733"/>
    </row>
    <row r="2734" spans="42:42" x14ac:dyDescent="0.25">
      <c r="AP2734"/>
    </row>
    <row r="2735" spans="42:42" x14ac:dyDescent="0.25">
      <c r="AP2735"/>
    </row>
    <row r="2736" spans="42:42" x14ac:dyDescent="0.25">
      <c r="AP2736"/>
    </row>
    <row r="2737" spans="42:42" x14ac:dyDescent="0.25">
      <c r="AP2737"/>
    </row>
    <row r="2738" spans="42:42" x14ac:dyDescent="0.25">
      <c r="AP2738"/>
    </row>
    <row r="2739" spans="42:42" x14ac:dyDescent="0.25">
      <c r="AP2739"/>
    </row>
    <row r="2740" spans="42:42" x14ac:dyDescent="0.25">
      <c r="AP2740"/>
    </row>
    <row r="2741" spans="42:42" x14ac:dyDescent="0.25">
      <c r="AP2741"/>
    </row>
    <row r="2742" spans="42:42" x14ac:dyDescent="0.25">
      <c r="AP2742"/>
    </row>
    <row r="2743" spans="42:42" x14ac:dyDescent="0.25">
      <c r="AP2743"/>
    </row>
    <row r="2744" spans="42:42" x14ac:dyDescent="0.25">
      <c r="AP2744"/>
    </row>
    <row r="2745" spans="42:42" x14ac:dyDescent="0.25">
      <c r="AP2745"/>
    </row>
    <row r="2746" spans="42:42" x14ac:dyDescent="0.25">
      <c r="AP2746"/>
    </row>
    <row r="2747" spans="42:42" x14ac:dyDescent="0.25">
      <c r="AP2747"/>
    </row>
    <row r="2748" spans="42:42" x14ac:dyDescent="0.25">
      <c r="AP2748"/>
    </row>
    <row r="2749" spans="42:42" x14ac:dyDescent="0.25">
      <c r="AP2749"/>
    </row>
    <row r="2750" spans="42:42" x14ac:dyDescent="0.25">
      <c r="AP2750"/>
    </row>
    <row r="2751" spans="42:42" x14ac:dyDescent="0.25">
      <c r="AP2751"/>
    </row>
    <row r="2752" spans="42:42" x14ac:dyDescent="0.25">
      <c r="AP2752"/>
    </row>
    <row r="2753" spans="42:42" x14ac:dyDescent="0.25">
      <c r="AP2753"/>
    </row>
    <row r="2754" spans="42:42" x14ac:dyDescent="0.25">
      <c r="AP2754"/>
    </row>
    <row r="2755" spans="42:42" x14ac:dyDescent="0.25">
      <c r="AP2755"/>
    </row>
    <row r="2756" spans="42:42" x14ac:dyDescent="0.25">
      <c r="AP2756"/>
    </row>
    <row r="2757" spans="42:42" x14ac:dyDescent="0.25">
      <c r="AP2757"/>
    </row>
    <row r="2758" spans="42:42" x14ac:dyDescent="0.25">
      <c r="AP2758"/>
    </row>
    <row r="2759" spans="42:42" x14ac:dyDescent="0.25">
      <c r="AP2759"/>
    </row>
    <row r="2760" spans="42:42" x14ac:dyDescent="0.25">
      <c r="AP2760"/>
    </row>
    <row r="2761" spans="42:42" x14ac:dyDescent="0.25">
      <c r="AP2761"/>
    </row>
    <row r="2762" spans="42:42" x14ac:dyDescent="0.25">
      <c r="AP2762"/>
    </row>
    <row r="2763" spans="42:42" x14ac:dyDescent="0.25">
      <c r="AP2763"/>
    </row>
    <row r="2764" spans="42:42" x14ac:dyDescent="0.25">
      <c r="AP2764"/>
    </row>
    <row r="2765" spans="42:42" x14ac:dyDescent="0.25">
      <c r="AP2765"/>
    </row>
    <row r="2766" spans="42:42" x14ac:dyDescent="0.25">
      <c r="AP2766"/>
    </row>
    <row r="2767" spans="42:42" x14ac:dyDescent="0.25">
      <c r="AP2767"/>
    </row>
    <row r="2768" spans="42:42" x14ac:dyDescent="0.25">
      <c r="AP2768"/>
    </row>
    <row r="2769" spans="42:42" x14ac:dyDescent="0.25">
      <c r="AP2769"/>
    </row>
    <row r="2770" spans="42:42" x14ac:dyDescent="0.25">
      <c r="AP2770"/>
    </row>
    <row r="2771" spans="42:42" x14ac:dyDescent="0.25">
      <c r="AP2771"/>
    </row>
    <row r="2772" spans="42:42" x14ac:dyDescent="0.25">
      <c r="AP2772"/>
    </row>
    <row r="2773" spans="42:42" x14ac:dyDescent="0.25">
      <c r="AP2773"/>
    </row>
    <row r="2774" spans="42:42" x14ac:dyDescent="0.25">
      <c r="AP2774"/>
    </row>
    <row r="2775" spans="42:42" x14ac:dyDescent="0.25">
      <c r="AP2775"/>
    </row>
    <row r="2776" spans="42:42" x14ac:dyDescent="0.25">
      <c r="AP2776"/>
    </row>
    <row r="2777" spans="42:42" x14ac:dyDescent="0.25">
      <c r="AP2777"/>
    </row>
    <row r="2778" spans="42:42" x14ac:dyDescent="0.25">
      <c r="AP2778"/>
    </row>
    <row r="2779" spans="42:42" x14ac:dyDescent="0.25">
      <c r="AP2779"/>
    </row>
    <row r="2780" spans="42:42" x14ac:dyDescent="0.25">
      <c r="AP2780"/>
    </row>
    <row r="2781" spans="42:42" x14ac:dyDescent="0.25">
      <c r="AP2781"/>
    </row>
    <row r="2782" spans="42:42" x14ac:dyDescent="0.25">
      <c r="AP2782"/>
    </row>
    <row r="2783" spans="42:42" x14ac:dyDescent="0.25">
      <c r="AP2783"/>
    </row>
    <row r="2784" spans="42:42" x14ac:dyDescent="0.25">
      <c r="AP2784"/>
    </row>
    <row r="2785" spans="42:42" x14ac:dyDescent="0.25">
      <c r="AP2785"/>
    </row>
    <row r="2786" spans="42:42" x14ac:dyDescent="0.25">
      <c r="AP2786"/>
    </row>
    <row r="2787" spans="42:42" x14ac:dyDescent="0.25">
      <c r="AP2787"/>
    </row>
    <row r="2788" spans="42:42" x14ac:dyDescent="0.25">
      <c r="AP2788"/>
    </row>
    <row r="2789" spans="42:42" x14ac:dyDescent="0.25">
      <c r="AP2789"/>
    </row>
    <row r="2790" spans="42:42" x14ac:dyDescent="0.25">
      <c r="AP2790"/>
    </row>
    <row r="2791" spans="42:42" x14ac:dyDescent="0.25">
      <c r="AP2791"/>
    </row>
    <row r="2792" spans="42:42" x14ac:dyDescent="0.25">
      <c r="AP2792"/>
    </row>
    <row r="2793" spans="42:42" x14ac:dyDescent="0.25">
      <c r="AP2793"/>
    </row>
    <row r="2794" spans="42:42" x14ac:dyDescent="0.25">
      <c r="AP2794"/>
    </row>
    <row r="2795" spans="42:42" x14ac:dyDescent="0.25">
      <c r="AP2795"/>
    </row>
    <row r="2796" spans="42:42" x14ac:dyDescent="0.25">
      <c r="AP2796"/>
    </row>
    <row r="2797" spans="42:42" x14ac:dyDescent="0.25">
      <c r="AP2797"/>
    </row>
    <row r="2798" spans="42:42" x14ac:dyDescent="0.25">
      <c r="AP2798"/>
    </row>
    <row r="2799" spans="42:42" x14ac:dyDescent="0.25">
      <c r="AP2799"/>
    </row>
    <row r="2800" spans="42:42" x14ac:dyDescent="0.25">
      <c r="AP2800"/>
    </row>
    <row r="2801" spans="42:42" x14ac:dyDescent="0.25">
      <c r="AP2801"/>
    </row>
    <row r="2802" spans="42:42" x14ac:dyDescent="0.25">
      <c r="AP2802"/>
    </row>
    <row r="2803" spans="42:42" x14ac:dyDescent="0.25">
      <c r="AP2803"/>
    </row>
    <row r="2804" spans="42:42" x14ac:dyDescent="0.25">
      <c r="AP2804"/>
    </row>
    <row r="2805" spans="42:42" x14ac:dyDescent="0.25">
      <c r="AP2805"/>
    </row>
    <row r="2806" spans="42:42" x14ac:dyDescent="0.25">
      <c r="AP2806"/>
    </row>
    <row r="2807" spans="42:42" x14ac:dyDescent="0.25">
      <c r="AP2807"/>
    </row>
    <row r="2808" spans="42:42" x14ac:dyDescent="0.25">
      <c r="AP2808"/>
    </row>
    <row r="2809" spans="42:42" x14ac:dyDescent="0.25">
      <c r="AP2809"/>
    </row>
    <row r="2810" spans="42:42" x14ac:dyDescent="0.25">
      <c r="AP2810"/>
    </row>
    <row r="2811" spans="42:42" x14ac:dyDescent="0.25">
      <c r="AP2811"/>
    </row>
    <row r="2812" spans="42:42" x14ac:dyDescent="0.25">
      <c r="AP2812"/>
    </row>
    <row r="2813" spans="42:42" x14ac:dyDescent="0.25">
      <c r="AP2813"/>
    </row>
    <row r="2814" spans="42:42" x14ac:dyDescent="0.25">
      <c r="AP2814"/>
    </row>
    <row r="2815" spans="42:42" x14ac:dyDescent="0.25">
      <c r="AP2815"/>
    </row>
    <row r="2816" spans="42:42" x14ac:dyDescent="0.25">
      <c r="AP2816"/>
    </row>
    <row r="2817" spans="42:42" x14ac:dyDescent="0.25">
      <c r="AP2817"/>
    </row>
    <row r="2818" spans="42:42" x14ac:dyDescent="0.25">
      <c r="AP2818"/>
    </row>
    <row r="2819" spans="42:42" x14ac:dyDescent="0.25">
      <c r="AP2819"/>
    </row>
    <row r="2820" spans="42:42" x14ac:dyDescent="0.25">
      <c r="AP2820"/>
    </row>
    <row r="2821" spans="42:42" x14ac:dyDescent="0.25">
      <c r="AP2821"/>
    </row>
    <row r="2822" spans="42:42" x14ac:dyDescent="0.25">
      <c r="AP2822"/>
    </row>
    <row r="2823" spans="42:42" x14ac:dyDescent="0.25">
      <c r="AP2823"/>
    </row>
    <row r="2824" spans="42:42" x14ac:dyDescent="0.25">
      <c r="AP2824"/>
    </row>
    <row r="2825" spans="42:42" x14ac:dyDescent="0.25">
      <c r="AP2825"/>
    </row>
    <row r="2826" spans="42:42" x14ac:dyDescent="0.25">
      <c r="AP2826"/>
    </row>
    <row r="2827" spans="42:42" x14ac:dyDescent="0.25">
      <c r="AP2827"/>
    </row>
    <row r="2828" spans="42:42" x14ac:dyDescent="0.25">
      <c r="AP2828"/>
    </row>
    <row r="2829" spans="42:42" x14ac:dyDescent="0.25">
      <c r="AP2829"/>
    </row>
    <row r="2830" spans="42:42" x14ac:dyDescent="0.25">
      <c r="AP2830"/>
    </row>
    <row r="2831" spans="42:42" x14ac:dyDescent="0.25">
      <c r="AP2831"/>
    </row>
    <row r="2832" spans="42:42" x14ac:dyDescent="0.25">
      <c r="AP2832"/>
    </row>
    <row r="2833" spans="42:42" x14ac:dyDescent="0.25">
      <c r="AP2833"/>
    </row>
    <row r="2834" spans="42:42" x14ac:dyDescent="0.25">
      <c r="AP2834"/>
    </row>
    <row r="2835" spans="42:42" x14ac:dyDescent="0.25">
      <c r="AP2835"/>
    </row>
    <row r="2836" spans="42:42" x14ac:dyDescent="0.25">
      <c r="AP2836"/>
    </row>
    <row r="2837" spans="42:42" x14ac:dyDescent="0.25">
      <c r="AP2837"/>
    </row>
    <row r="2838" spans="42:42" x14ac:dyDescent="0.25">
      <c r="AP2838"/>
    </row>
    <row r="2839" spans="42:42" x14ac:dyDescent="0.25">
      <c r="AP2839"/>
    </row>
    <row r="2840" spans="42:42" x14ac:dyDescent="0.25">
      <c r="AP2840"/>
    </row>
    <row r="2841" spans="42:42" x14ac:dyDescent="0.25">
      <c r="AP2841"/>
    </row>
    <row r="2842" spans="42:42" x14ac:dyDescent="0.25">
      <c r="AP2842"/>
    </row>
    <row r="2843" spans="42:42" x14ac:dyDescent="0.25">
      <c r="AP2843"/>
    </row>
    <row r="2844" spans="42:42" x14ac:dyDescent="0.25">
      <c r="AP2844"/>
    </row>
    <row r="2845" spans="42:42" x14ac:dyDescent="0.25">
      <c r="AP2845"/>
    </row>
    <row r="2846" spans="42:42" x14ac:dyDescent="0.25">
      <c r="AP2846"/>
    </row>
    <row r="2847" spans="42:42" x14ac:dyDescent="0.25">
      <c r="AP2847"/>
    </row>
    <row r="2848" spans="42:42" x14ac:dyDescent="0.25">
      <c r="AP2848"/>
    </row>
    <row r="2849" spans="42:42" x14ac:dyDescent="0.25">
      <c r="AP2849"/>
    </row>
    <row r="2850" spans="42:42" x14ac:dyDescent="0.25">
      <c r="AP2850"/>
    </row>
    <row r="2851" spans="42:42" x14ac:dyDescent="0.25">
      <c r="AP2851"/>
    </row>
    <row r="2852" spans="42:42" x14ac:dyDescent="0.25">
      <c r="AP2852"/>
    </row>
    <row r="2853" spans="42:42" x14ac:dyDescent="0.25">
      <c r="AP2853"/>
    </row>
    <row r="2854" spans="42:42" x14ac:dyDescent="0.25">
      <c r="AP2854"/>
    </row>
    <row r="2855" spans="42:42" x14ac:dyDescent="0.25">
      <c r="AP2855"/>
    </row>
    <row r="2856" spans="42:42" x14ac:dyDescent="0.25">
      <c r="AP2856"/>
    </row>
    <row r="2857" spans="42:42" x14ac:dyDescent="0.25">
      <c r="AP2857"/>
    </row>
    <row r="2858" spans="42:42" x14ac:dyDescent="0.25">
      <c r="AP2858"/>
    </row>
    <row r="2859" spans="42:42" x14ac:dyDescent="0.25">
      <c r="AP2859"/>
    </row>
    <row r="2860" spans="42:42" x14ac:dyDescent="0.25">
      <c r="AP2860"/>
    </row>
    <row r="2861" spans="42:42" x14ac:dyDescent="0.25">
      <c r="AP2861"/>
    </row>
    <row r="2862" spans="42:42" x14ac:dyDescent="0.25">
      <c r="AP2862"/>
    </row>
    <row r="2863" spans="42:42" x14ac:dyDescent="0.25">
      <c r="AP2863"/>
    </row>
    <row r="2864" spans="42:42" x14ac:dyDescent="0.25">
      <c r="AP2864"/>
    </row>
    <row r="2865" spans="42:42" x14ac:dyDescent="0.25">
      <c r="AP2865"/>
    </row>
    <row r="2866" spans="42:42" x14ac:dyDescent="0.25">
      <c r="AP2866"/>
    </row>
    <row r="2867" spans="42:42" x14ac:dyDescent="0.25">
      <c r="AP2867"/>
    </row>
    <row r="2868" spans="42:42" x14ac:dyDescent="0.25">
      <c r="AP2868"/>
    </row>
    <row r="2869" spans="42:42" x14ac:dyDescent="0.25">
      <c r="AP2869"/>
    </row>
    <row r="2870" spans="42:42" x14ac:dyDescent="0.25">
      <c r="AP2870"/>
    </row>
    <row r="2871" spans="42:42" x14ac:dyDescent="0.25">
      <c r="AP2871"/>
    </row>
    <row r="2872" spans="42:42" x14ac:dyDescent="0.25">
      <c r="AP2872"/>
    </row>
    <row r="2873" spans="42:42" x14ac:dyDescent="0.25">
      <c r="AP2873"/>
    </row>
    <row r="2874" spans="42:42" x14ac:dyDescent="0.25">
      <c r="AP2874"/>
    </row>
    <row r="2875" spans="42:42" x14ac:dyDescent="0.25">
      <c r="AP2875"/>
    </row>
    <row r="2876" spans="42:42" x14ac:dyDescent="0.25">
      <c r="AP2876"/>
    </row>
    <row r="2877" spans="42:42" x14ac:dyDescent="0.25">
      <c r="AP2877"/>
    </row>
    <row r="2878" spans="42:42" x14ac:dyDescent="0.25">
      <c r="AP2878"/>
    </row>
    <row r="2879" spans="42:42" x14ac:dyDescent="0.25">
      <c r="AP2879"/>
    </row>
    <row r="2880" spans="42:42" x14ac:dyDescent="0.25">
      <c r="AP2880"/>
    </row>
    <row r="2881" spans="42:42" x14ac:dyDescent="0.25">
      <c r="AP2881"/>
    </row>
    <row r="2882" spans="42:42" x14ac:dyDescent="0.25">
      <c r="AP2882"/>
    </row>
    <row r="2883" spans="42:42" x14ac:dyDescent="0.25">
      <c r="AP2883"/>
    </row>
    <row r="2884" spans="42:42" x14ac:dyDescent="0.25">
      <c r="AP2884"/>
    </row>
    <row r="2885" spans="42:42" x14ac:dyDescent="0.25">
      <c r="AP2885"/>
    </row>
    <row r="2886" spans="42:42" x14ac:dyDescent="0.25">
      <c r="AP2886"/>
    </row>
    <row r="2887" spans="42:42" x14ac:dyDescent="0.25">
      <c r="AP2887"/>
    </row>
    <row r="2888" spans="42:42" x14ac:dyDescent="0.25">
      <c r="AP2888"/>
    </row>
    <row r="2889" spans="42:42" x14ac:dyDescent="0.25">
      <c r="AP2889"/>
    </row>
    <row r="2890" spans="42:42" x14ac:dyDescent="0.25">
      <c r="AP2890"/>
    </row>
    <row r="2891" spans="42:42" x14ac:dyDescent="0.25">
      <c r="AP2891"/>
    </row>
    <row r="2892" spans="42:42" x14ac:dyDescent="0.25">
      <c r="AP2892"/>
    </row>
    <row r="2893" spans="42:42" x14ac:dyDescent="0.25">
      <c r="AP2893"/>
    </row>
    <row r="2894" spans="42:42" x14ac:dyDescent="0.25">
      <c r="AP2894"/>
    </row>
    <row r="2895" spans="42:42" x14ac:dyDescent="0.25">
      <c r="AP2895"/>
    </row>
    <row r="2896" spans="42:42" x14ac:dyDescent="0.25">
      <c r="AP2896"/>
    </row>
    <row r="2897" spans="42:42" x14ac:dyDescent="0.25">
      <c r="AP2897"/>
    </row>
    <row r="2898" spans="42:42" x14ac:dyDescent="0.25">
      <c r="AP2898"/>
    </row>
    <row r="2899" spans="42:42" x14ac:dyDescent="0.25">
      <c r="AP2899"/>
    </row>
    <row r="2900" spans="42:42" x14ac:dyDescent="0.25">
      <c r="AP2900"/>
    </row>
    <row r="2901" spans="42:42" x14ac:dyDescent="0.25">
      <c r="AP2901"/>
    </row>
    <row r="2902" spans="42:42" x14ac:dyDescent="0.25">
      <c r="AP2902"/>
    </row>
    <row r="2903" spans="42:42" x14ac:dyDescent="0.25">
      <c r="AP2903"/>
    </row>
    <row r="2904" spans="42:42" x14ac:dyDescent="0.25">
      <c r="AP2904"/>
    </row>
    <row r="2905" spans="42:42" x14ac:dyDescent="0.25">
      <c r="AP2905"/>
    </row>
    <row r="2906" spans="42:42" x14ac:dyDescent="0.25">
      <c r="AP2906"/>
    </row>
    <row r="2907" spans="42:42" x14ac:dyDescent="0.25">
      <c r="AP2907"/>
    </row>
    <row r="2908" spans="42:42" x14ac:dyDescent="0.25">
      <c r="AP2908"/>
    </row>
    <row r="2909" spans="42:42" x14ac:dyDescent="0.25">
      <c r="AP2909"/>
    </row>
    <row r="2910" spans="42:42" x14ac:dyDescent="0.25">
      <c r="AP2910"/>
    </row>
    <row r="2911" spans="42:42" x14ac:dyDescent="0.25">
      <c r="AP2911"/>
    </row>
    <row r="2912" spans="42:42" x14ac:dyDescent="0.25">
      <c r="AP2912"/>
    </row>
    <row r="2913" spans="42:42" x14ac:dyDescent="0.25">
      <c r="AP2913"/>
    </row>
    <row r="2914" spans="42:42" x14ac:dyDescent="0.25">
      <c r="AP2914"/>
    </row>
    <row r="2915" spans="42:42" x14ac:dyDescent="0.25">
      <c r="AP2915"/>
    </row>
    <row r="2916" spans="42:42" x14ac:dyDescent="0.25">
      <c r="AP2916"/>
    </row>
    <row r="2917" spans="42:42" x14ac:dyDescent="0.25">
      <c r="AP2917"/>
    </row>
    <row r="2918" spans="42:42" x14ac:dyDescent="0.25">
      <c r="AP2918"/>
    </row>
    <row r="2919" spans="42:42" x14ac:dyDescent="0.25">
      <c r="AP2919"/>
    </row>
    <row r="2920" spans="42:42" x14ac:dyDescent="0.25">
      <c r="AP2920"/>
    </row>
    <row r="2921" spans="42:42" x14ac:dyDescent="0.25">
      <c r="AP2921"/>
    </row>
    <row r="2922" spans="42:42" x14ac:dyDescent="0.25">
      <c r="AP2922"/>
    </row>
    <row r="2923" spans="42:42" x14ac:dyDescent="0.25">
      <c r="AP2923"/>
    </row>
    <row r="2924" spans="42:42" x14ac:dyDescent="0.25">
      <c r="AP2924"/>
    </row>
    <row r="2925" spans="42:42" x14ac:dyDescent="0.25">
      <c r="AP2925"/>
    </row>
    <row r="2926" spans="42:42" x14ac:dyDescent="0.25">
      <c r="AP2926"/>
    </row>
    <row r="2927" spans="42:42" x14ac:dyDescent="0.25">
      <c r="AP2927"/>
    </row>
    <row r="2928" spans="42:42" x14ac:dyDescent="0.25">
      <c r="AP2928"/>
    </row>
    <row r="2929" spans="42:42" x14ac:dyDescent="0.25">
      <c r="AP2929"/>
    </row>
    <row r="2930" spans="42:42" x14ac:dyDescent="0.25">
      <c r="AP2930"/>
    </row>
    <row r="2931" spans="42:42" x14ac:dyDescent="0.25">
      <c r="AP2931"/>
    </row>
    <row r="2932" spans="42:42" x14ac:dyDescent="0.25">
      <c r="AP2932"/>
    </row>
    <row r="2933" spans="42:42" x14ac:dyDescent="0.25">
      <c r="AP2933"/>
    </row>
    <row r="2934" spans="42:42" x14ac:dyDescent="0.25">
      <c r="AP2934"/>
    </row>
    <row r="2935" spans="42:42" x14ac:dyDescent="0.25">
      <c r="AP2935"/>
    </row>
    <row r="2936" spans="42:42" x14ac:dyDescent="0.25">
      <c r="AP2936"/>
    </row>
    <row r="2937" spans="42:42" x14ac:dyDescent="0.25">
      <c r="AP2937"/>
    </row>
    <row r="2938" spans="42:42" x14ac:dyDescent="0.25">
      <c r="AP2938"/>
    </row>
    <row r="2939" spans="42:42" x14ac:dyDescent="0.25">
      <c r="AP2939"/>
    </row>
    <row r="2940" spans="42:42" x14ac:dyDescent="0.25">
      <c r="AP2940"/>
    </row>
    <row r="2941" spans="42:42" x14ac:dyDescent="0.25">
      <c r="AP2941"/>
    </row>
    <row r="2942" spans="42:42" x14ac:dyDescent="0.25">
      <c r="AP2942"/>
    </row>
    <row r="2943" spans="42:42" x14ac:dyDescent="0.25">
      <c r="AP2943"/>
    </row>
    <row r="2944" spans="42:42" x14ac:dyDescent="0.25">
      <c r="AP2944"/>
    </row>
    <row r="2945" spans="42:42" x14ac:dyDescent="0.25">
      <c r="AP2945"/>
    </row>
    <row r="2946" spans="42:42" x14ac:dyDescent="0.25">
      <c r="AP2946"/>
    </row>
    <row r="2947" spans="42:42" x14ac:dyDescent="0.25">
      <c r="AP2947"/>
    </row>
    <row r="2948" spans="42:42" x14ac:dyDescent="0.25">
      <c r="AP2948"/>
    </row>
    <row r="2949" spans="42:42" x14ac:dyDescent="0.25">
      <c r="AP2949"/>
    </row>
    <row r="2950" spans="42:42" x14ac:dyDescent="0.25">
      <c r="AP2950"/>
    </row>
    <row r="2951" spans="42:42" x14ac:dyDescent="0.25">
      <c r="AP2951"/>
    </row>
    <row r="2952" spans="42:42" x14ac:dyDescent="0.25">
      <c r="AP2952"/>
    </row>
    <row r="2953" spans="42:42" x14ac:dyDescent="0.25">
      <c r="AP2953"/>
    </row>
    <row r="2954" spans="42:42" x14ac:dyDescent="0.25">
      <c r="AP2954"/>
    </row>
    <row r="2955" spans="42:42" x14ac:dyDescent="0.25">
      <c r="AP2955"/>
    </row>
    <row r="2956" spans="42:42" x14ac:dyDescent="0.25">
      <c r="AP2956"/>
    </row>
    <row r="2957" spans="42:42" x14ac:dyDescent="0.25">
      <c r="AP2957"/>
    </row>
    <row r="2958" spans="42:42" x14ac:dyDescent="0.25">
      <c r="AP2958"/>
    </row>
    <row r="2959" spans="42:42" x14ac:dyDescent="0.25">
      <c r="AP2959"/>
    </row>
    <row r="2960" spans="42:42" x14ac:dyDescent="0.25">
      <c r="AP2960"/>
    </row>
    <row r="2961" spans="42:42" x14ac:dyDescent="0.25">
      <c r="AP2961"/>
    </row>
    <row r="2962" spans="42:42" x14ac:dyDescent="0.25">
      <c r="AP2962"/>
    </row>
    <row r="2963" spans="42:42" x14ac:dyDescent="0.25">
      <c r="AP2963"/>
    </row>
    <row r="2964" spans="42:42" x14ac:dyDescent="0.25">
      <c r="AP2964"/>
    </row>
    <row r="2965" spans="42:42" x14ac:dyDescent="0.25">
      <c r="AP2965"/>
    </row>
    <row r="2966" spans="42:42" x14ac:dyDescent="0.25">
      <c r="AP2966"/>
    </row>
    <row r="2967" spans="42:42" x14ac:dyDescent="0.25">
      <c r="AP2967"/>
    </row>
    <row r="2968" spans="42:42" x14ac:dyDescent="0.25">
      <c r="AP2968"/>
    </row>
    <row r="2969" spans="42:42" x14ac:dyDescent="0.25">
      <c r="AP2969"/>
    </row>
    <row r="2970" spans="42:42" x14ac:dyDescent="0.25">
      <c r="AP2970"/>
    </row>
    <row r="2971" spans="42:42" x14ac:dyDescent="0.25">
      <c r="AP2971"/>
    </row>
    <row r="2972" spans="42:42" x14ac:dyDescent="0.25">
      <c r="AP2972"/>
    </row>
    <row r="2973" spans="42:42" x14ac:dyDescent="0.25">
      <c r="AP2973"/>
    </row>
    <row r="2974" spans="42:42" x14ac:dyDescent="0.25">
      <c r="AP2974"/>
    </row>
    <row r="2975" spans="42:42" x14ac:dyDescent="0.25">
      <c r="AP2975"/>
    </row>
    <row r="2976" spans="42:42" x14ac:dyDescent="0.25">
      <c r="AP2976"/>
    </row>
    <row r="2977" spans="42:42" x14ac:dyDescent="0.25">
      <c r="AP2977"/>
    </row>
    <row r="2978" spans="42:42" x14ac:dyDescent="0.25">
      <c r="AP2978"/>
    </row>
    <row r="2979" spans="42:42" x14ac:dyDescent="0.25">
      <c r="AP2979"/>
    </row>
    <row r="2980" spans="42:42" x14ac:dyDescent="0.25">
      <c r="AP2980"/>
    </row>
    <row r="2981" spans="42:42" x14ac:dyDescent="0.25">
      <c r="AP2981"/>
    </row>
    <row r="2982" spans="42:42" x14ac:dyDescent="0.25">
      <c r="AP2982"/>
    </row>
    <row r="2983" spans="42:42" x14ac:dyDescent="0.25">
      <c r="AP2983"/>
    </row>
    <row r="2984" spans="42:42" x14ac:dyDescent="0.25">
      <c r="AP2984"/>
    </row>
    <row r="2985" spans="42:42" x14ac:dyDescent="0.25">
      <c r="AP2985"/>
    </row>
    <row r="2986" spans="42:42" x14ac:dyDescent="0.25">
      <c r="AP2986"/>
    </row>
    <row r="2987" spans="42:42" x14ac:dyDescent="0.25">
      <c r="AP2987"/>
    </row>
    <row r="2988" spans="42:42" x14ac:dyDescent="0.25">
      <c r="AP2988"/>
    </row>
    <row r="2989" spans="42:42" x14ac:dyDescent="0.25">
      <c r="AP2989"/>
    </row>
    <row r="2990" spans="42:42" x14ac:dyDescent="0.25">
      <c r="AP2990"/>
    </row>
    <row r="2991" spans="42:42" x14ac:dyDescent="0.25">
      <c r="AP2991"/>
    </row>
    <row r="2992" spans="42:42" x14ac:dyDescent="0.25">
      <c r="AP2992"/>
    </row>
    <row r="2993" spans="42:42" x14ac:dyDescent="0.25">
      <c r="AP2993"/>
    </row>
    <row r="2994" spans="42:42" x14ac:dyDescent="0.25">
      <c r="AP2994"/>
    </row>
    <row r="2995" spans="42:42" x14ac:dyDescent="0.25">
      <c r="AP2995"/>
    </row>
    <row r="2996" spans="42:42" x14ac:dyDescent="0.25">
      <c r="AP2996"/>
    </row>
    <row r="2997" spans="42:42" x14ac:dyDescent="0.25">
      <c r="AP2997"/>
    </row>
    <row r="2998" spans="42:42" x14ac:dyDescent="0.25">
      <c r="AP2998"/>
    </row>
    <row r="2999" spans="42:42" x14ac:dyDescent="0.25">
      <c r="AP2999"/>
    </row>
    <row r="3000" spans="42:42" x14ac:dyDescent="0.25">
      <c r="AP3000"/>
    </row>
    <row r="3001" spans="42:42" x14ac:dyDescent="0.25">
      <c r="AP3001"/>
    </row>
    <row r="3002" spans="42:42" x14ac:dyDescent="0.25">
      <c r="AP3002"/>
    </row>
    <row r="3003" spans="42:42" x14ac:dyDescent="0.25">
      <c r="AP3003"/>
    </row>
    <row r="3004" spans="42:42" x14ac:dyDescent="0.25">
      <c r="AP3004"/>
    </row>
    <row r="3005" spans="42:42" x14ac:dyDescent="0.25">
      <c r="AP3005"/>
    </row>
    <row r="3006" spans="42:42" x14ac:dyDescent="0.25">
      <c r="AP3006"/>
    </row>
    <row r="3007" spans="42:42" x14ac:dyDescent="0.25">
      <c r="AP3007"/>
    </row>
    <row r="3008" spans="42:42" x14ac:dyDescent="0.25">
      <c r="AP3008"/>
    </row>
    <row r="3009" spans="42:42" x14ac:dyDescent="0.25">
      <c r="AP3009"/>
    </row>
    <row r="3010" spans="42:42" x14ac:dyDescent="0.25">
      <c r="AP3010"/>
    </row>
    <row r="3011" spans="42:42" x14ac:dyDescent="0.25">
      <c r="AP3011"/>
    </row>
    <row r="3012" spans="42:42" x14ac:dyDescent="0.25">
      <c r="AP3012"/>
    </row>
    <row r="3013" spans="42:42" x14ac:dyDescent="0.25">
      <c r="AP3013"/>
    </row>
    <row r="3014" spans="42:42" x14ac:dyDescent="0.25">
      <c r="AP3014"/>
    </row>
    <row r="3015" spans="42:42" x14ac:dyDescent="0.25">
      <c r="AP3015"/>
    </row>
    <row r="3016" spans="42:42" x14ac:dyDescent="0.25">
      <c r="AP3016"/>
    </row>
    <row r="3017" spans="42:42" x14ac:dyDescent="0.25">
      <c r="AP3017"/>
    </row>
    <row r="3018" spans="42:42" x14ac:dyDescent="0.25">
      <c r="AP3018"/>
    </row>
    <row r="3019" spans="42:42" x14ac:dyDescent="0.25">
      <c r="AP3019"/>
    </row>
    <row r="3020" spans="42:42" x14ac:dyDescent="0.25">
      <c r="AP3020"/>
    </row>
    <row r="3021" spans="42:42" x14ac:dyDescent="0.25">
      <c r="AP3021"/>
    </row>
    <row r="3022" spans="42:42" x14ac:dyDescent="0.25">
      <c r="AP3022"/>
    </row>
    <row r="3023" spans="42:42" x14ac:dyDescent="0.25">
      <c r="AP3023"/>
    </row>
    <row r="3024" spans="42:42" x14ac:dyDescent="0.25">
      <c r="AP3024"/>
    </row>
    <row r="3025" spans="42:42" x14ac:dyDescent="0.25">
      <c r="AP3025"/>
    </row>
    <row r="3026" spans="42:42" x14ac:dyDescent="0.25">
      <c r="AP3026"/>
    </row>
    <row r="3027" spans="42:42" x14ac:dyDescent="0.25">
      <c r="AP3027"/>
    </row>
    <row r="3028" spans="42:42" x14ac:dyDescent="0.25">
      <c r="AP3028"/>
    </row>
    <row r="3029" spans="42:42" x14ac:dyDescent="0.25">
      <c r="AP3029"/>
    </row>
    <row r="3030" spans="42:42" x14ac:dyDescent="0.25">
      <c r="AP3030"/>
    </row>
    <row r="3031" spans="42:42" x14ac:dyDescent="0.25">
      <c r="AP3031"/>
    </row>
    <row r="3032" spans="42:42" x14ac:dyDescent="0.25">
      <c r="AP3032"/>
    </row>
    <row r="3033" spans="42:42" x14ac:dyDescent="0.25">
      <c r="AP3033"/>
    </row>
    <row r="3034" spans="42:42" x14ac:dyDescent="0.25">
      <c r="AP3034"/>
    </row>
    <row r="3035" spans="42:42" x14ac:dyDescent="0.25">
      <c r="AP3035"/>
    </row>
    <row r="3036" spans="42:42" x14ac:dyDescent="0.25">
      <c r="AP3036"/>
    </row>
    <row r="3037" spans="42:42" x14ac:dyDescent="0.25">
      <c r="AP3037"/>
    </row>
    <row r="3038" spans="42:42" x14ac:dyDescent="0.25">
      <c r="AP3038"/>
    </row>
    <row r="3039" spans="42:42" x14ac:dyDescent="0.25">
      <c r="AP3039"/>
    </row>
    <row r="3040" spans="42:42" x14ac:dyDescent="0.25">
      <c r="AP3040"/>
    </row>
    <row r="3041" spans="42:42" x14ac:dyDescent="0.25">
      <c r="AP3041"/>
    </row>
    <row r="3042" spans="42:42" x14ac:dyDescent="0.25">
      <c r="AP3042"/>
    </row>
    <row r="3043" spans="42:42" x14ac:dyDescent="0.25">
      <c r="AP3043"/>
    </row>
    <row r="3044" spans="42:42" x14ac:dyDescent="0.25">
      <c r="AP3044"/>
    </row>
    <row r="3045" spans="42:42" x14ac:dyDescent="0.25">
      <c r="AP3045"/>
    </row>
    <row r="3046" spans="42:42" x14ac:dyDescent="0.25">
      <c r="AP3046"/>
    </row>
    <row r="3047" spans="42:42" x14ac:dyDescent="0.25">
      <c r="AP3047"/>
    </row>
    <row r="3048" spans="42:42" x14ac:dyDescent="0.25">
      <c r="AP3048"/>
    </row>
    <row r="3049" spans="42:42" x14ac:dyDescent="0.25">
      <c r="AP3049"/>
    </row>
    <row r="3050" spans="42:42" x14ac:dyDescent="0.25">
      <c r="AP3050"/>
    </row>
    <row r="3051" spans="42:42" x14ac:dyDescent="0.25">
      <c r="AP3051"/>
    </row>
    <row r="3052" spans="42:42" x14ac:dyDescent="0.25">
      <c r="AP3052"/>
    </row>
    <row r="3053" spans="42:42" x14ac:dyDescent="0.25">
      <c r="AP3053"/>
    </row>
    <row r="3054" spans="42:42" x14ac:dyDescent="0.25">
      <c r="AP3054"/>
    </row>
    <row r="3055" spans="42:42" x14ac:dyDescent="0.25">
      <c r="AP3055"/>
    </row>
    <row r="3056" spans="42:42" x14ac:dyDescent="0.25">
      <c r="AP3056"/>
    </row>
    <row r="3057" spans="42:42" x14ac:dyDescent="0.25">
      <c r="AP3057"/>
    </row>
    <row r="3058" spans="42:42" x14ac:dyDescent="0.25">
      <c r="AP3058"/>
    </row>
    <row r="3059" spans="42:42" x14ac:dyDescent="0.25">
      <c r="AP3059"/>
    </row>
    <row r="3060" spans="42:42" x14ac:dyDescent="0.25">
      <c r="AP3060"/>
    </row>
    <row r="3061" spans="42:42" x14ac:dyDescent="0.25">
      <c r="AP3061"/>
    </row>
    <row r="3062" spans="42:42" x14ac:dyDescent="0.25">
      <c r="AP3062"/>
    </row>
    <row r="3063" spans="42:42" x14ac:dyDescent="0.25">
      <c r="AP3063"/>
    </row>
    <row r="3064" spans="42:42" x14ac:dyDescent="0.25">
      <c r="AP3064"/>
    </row>
    <row r="3065" spans="42:42" x14ac:dyDescent="0.25">
      <c r="AP3065"/>
    </row>
    <row r="3066" spans="42:42" x14ac:dyDescent="0.25">
      <c r="AP3066"/>
    </row>
    <row r="3067" spans="42:42" x14ac:dyDescent="0.25">
      <c r="AP3067"/>
    </row>
    <row r="3068" spans="42:42" x14ac:dyDescent="0.25">
      <c r="AP3068"/>
    </row>
    <row r="3069" spans="42:42" x14ac:dyDescent="0.25">
      <c r="AP3069"/>
    </row>
    <row r="3070" spans="42:42" x14ac:dyDescent="0.25">
      <c r="AP3070"/>
    </row>
    <row r="3071" spans="42:42" x14ac:dyDescent="0.25">
      <c r="AP3071"/>
    </row>
    <row r="3072" spans="42:42" x14ac:dyDescent="0.25">
      <c r="AP3072"/>
    </row>
    <row r="3073" spans="42:42" x14ac:dyDescent="0.25">
      <c r="AP3073"/>
    </row>
    <row r="3074" spans="42:42" x14ac:dyDescent="0.25">
      <c r="AP3074"/>
    </row>
    <row r="3075" spans="42:42" x14ac:dyDescent="0.25">
      <c r="AP3075"/>
    </row>
    <row r="3076" spans="42:42" x14ac:dyDescent="0.25">
      <c r="AP3076"/>
    </row>
    <row r="3077" spans="42:42" x14ac:dyDescent="0.25">
      <c r="AP3077"/>
    </row>
    <row r="3078" spans="42:42" x14ac:dyDescent="0.25">
      <c r="AP3078"/>
    </row>
    <row r="3079" spans="42:42" x14ac:dyDescent="0.25">
      <c r="AP3079"/>
    </row>
    <row r="3080" spans="42:42" x14ac:dyDescent="0.25">
      <c r="AP3080"/>
    </row>
    <row r="3081" spans="42:42" x14ac:dyDescent="0.25">
      <c r="AP3081"/>
    </row>
    <row r="3082" spans="42:42" x14ac:dyDescent="0.25">
      <c r="AP3082"/>
    </row>
    <row r="3083" spans="42:42" x14ac:dyDescent="0.25">
      <c r="AP3083"/>
    </row>
    <row r="3084" spans="42:42" x14ac:dyDescent="0.25">
      <c r="AP3084"/>
    </row>
    <row r="3085" spans="42:42" x14ac:dyDescent="0.25">
      <c r="AP3085"/>
    </row>
    <row r="3086" spans="42:42" x14ac:dyDescent="0.25">
      <c r="AP3086"/>
    </row>
    <row r="3087" spans="42:42" x14ac:dyDescent="0.25">
      <c r="AP3087"/>
    </row>
    <row r="3088" spans="42:42" x14ac:dyDescent="0.25">
      <c r="AP3088"/>
    </row>
    <row r="3089" spans="42:42" x14ac:dyDescent="0.25">
      <c r="AP3089"/>
    </row>
    <row r="3090" spans="42:42" x14ac:dyDescent="0.25">
      <c r="AP3090"/>
    </row>
    <row r="3091" spans="42:42" x14ac:dyDescent="0.25">
      <c r="AP3091"/>
    </row>
    <row r="3092" spans="42:42" x14ac:dyDescent="0.25">
      <c r="AP3092"/>
    </row>
    <row r="3093" spans="42:42" x14ac:dyDescent="0.25">
      <c r="AP3093"/>
    </row>
    <row r="3094" spans="42:42" x14ac:dyDescent="0.25">
      <c r="AP3094"/>
    </row>
    <row r="3095" spans="42:42" x14ac:dyDescent="0.25">
      <c r="AP3095"/>
    </row>
    <row r="3096" spans="42:42" x14ac:dyDescent="0.25">
      <c r="AP3096"/>
    </row>
    <row r="3097" spans="42:42" x14ac:dyDescent="0.25">
      <c r="AP3097"/>
    </row>
    <row r="3098" spans="42:42" x14ac:dyDescent="0.25">
      <c r="AP3098"/>
    </row>
    <row r="3099" spans="42:42" x14ac:dyDescent="0.25">
      <c r="AP3099"/>
    </row>
    <row r="3100" spans="42:42" x14ac:dyDescent="0.25">
      <c r="AP3100"/>
    </row>
    <row r="3101" spans="42:42" x14ac:dyDescent="0.25">
      <c r="AP3101"/>
    </row>
    <row r="3102" spans="42:42" x14ac:dyDescent="0.25">
      <c r="AP3102"/>
    </row>
    <row r="3103" spans="42:42" x14ac:dyDescent="0.25">
      <c r="AP3103"/>
    </row>
    <row r="3104" spans="42:42" x14ac:dyDescent="0.25">
      <c r="AP3104"/>
    </row>
    <row r="3105" spans="42:42" x14ac:dyDescent="0.25">
      <c r="AP3105"/>
    </row>
    <row r="3106" spans="42:42" x14ac:dyDescent="0.25">
      <c r="AP3106"/>
    </row>
    <row r="3107" spans="42:42" x14ac:dyDescent="0.25">
      <c r="AP3107"/>
    </row>
    <row r="3108" spans="42:42" x14ac:dyDescent="0.25">
      <c r="AP3108"/>
    </row>
    <row r="3109" spans="42:42" x14ac:dyDescent="0.25">
      <c r="AP3109"/>
    </row>
    <row r="3110" spans="42:42" x14ac:dyDescent="0.25">
      <c r="AP3110"/>
    </row>
    <row r="3111" spans="42:42" x14ac:dyDescent="0.25">
      <c r="AP3111"/>
    </row>
    <row r="3112" spans="42:42" x14ac:dyDescent="0.25">
      <c r="AP3112"/>
    </row>
    <row r="3113" spans="42:42" x14ac:dyDescent="0.25">
      <c r="AP3113"/>
    </row>
    <row r="3114" spans="42:42" x14ac:dyDescent="0.25">
      <c r="AP3114"/>
    </row>
    <row r="3115" spans="42:42" x14ac:dyDescent="0.25">
      <c r="AP3115"/>
    </row>
    <row r="3116" spans="42:42" x14ac:dyDescent="0.25">
      <c r="AP3116"/>
    </row>
    <row r="3117" spans="42:42" x14ac:dyDescent="0.25">
      <c r="AP3117"/>
    </row>
    <row r="3118" spans="42:42" x14ac:dyDescent="0.25">
      <c r="AP3118"/>
    </row>
    <row r="3119" spans="42:42" x14ac:dyDescent="0.25">
      <c r="AP3119"/>
    </row>
    <row r="3120" spans="42:42" x14ac:dyDescent="0.25">
      <c r="AP3120"/>
    </row>
    <row r="3121" spans="42:42" x14ac:dyDescent="0.25">
      <c r="AP3121"/>
    </row>
    <row r="3122" spans="42:42" x14ac:dyDescent="0.25">
      <c r="AP3122"/>
    </row>
    <row r="3123" spans="42:42" x14ac:dyDescent="0.25">
      <c r="AP3123"/>
    </row>
    <row r="3124" spans="42:42" x14ac:dyDescent="0.25">
      <c r="AP3124"/>
    </row>
    <row r="3125" spans="42:42" x14ac:dyDescent="0.25">
      <c r="AP3125"/>
    </row>
    <row r="3126" spans="42:42" x14ac:dyDescent="0.25">
      <c r="AP3126"/>
    </row>
    <row r="3127" spans="42:42" x14ac:dyDescent="0.25">
      <c r="AP3127"/>
    </row>
    <row r="3128" spans="42:42" x14ac:dyDescent="0.25">
      <c r="AP3128"/>
    </row>
    <row r="3129" spans="42:42" x14ac:dyDescent="0.25">
      <c r="AP3129"/>
    </row>
    <row r="3130" spans="42:42" x14ac:dyDescent="0.25">
      <c r="AP3130"/>
    </row>
    <row r="3131" spans="42:42" x14ac:dyDescent="0.25">
      <c r="AP3131"/>
    </row>
    <row r="3132" spans="42:42" x14ac:dyDescent="0.25">
      <c r="AP3132"/>
    </row>
    <row r="3133" spans="42:42" x14ac:dyDescent="0.25">
      <c r="AP3133"/>
    </row>
    <row r="3134" spans="42:42" x14ac:dyDescent="0.25">
      <c r="AP3134"/>
    </row>
    <row r="3135" spans="42:42" x14ac:dyDescent="0.25">
      <c r="AP3135"/>
    </row>
    <row r="3136" spans="42:42" x14ac:dyDescent="0.25">
      <c r="AP3136"/>
    </row>
    <row r="3137" spans="42:42" x14ac:dyDescent="0.25">
      <c r="AP3137"/>
    </row>
    <row r="3138" spans="42:42" x14ac:dyDescent="0.25">
      <c r="AP3138"/>
    </row>
    <row r="3139" spans="42:42" x14ac:dyDescent="0.25">
      <c r="AP3139"/>
    </row>
    <row r="3140" spans="42:42" x14ac:dyDescent="0.25">
      <c r="AP3140"/>
    </row>
    <row r="3141" spans="42:42" x14ac:dyDescent="0.25">
      <c r="AP3141"/>
    </row>
    <row r="3142" spans="42:42" x14ac:dyDescent="0.25">
      <c r="AP3142"/>
    </row>
    <row r="3143" spans="42:42" x14ac:dyDescent="0.25">
      <c r="AP3143"/>
    </row>
    <row r="3144" spans="42:42" x14ac:dyDescent="0.25">
      <c r="AP3144"/>
    </row>
    <row r="3145" spans="42:42" x14ac:dyDescent="0.25">
      <c r="AP3145"/>
    </row>
    <row r="3146" spans="42:42" x14ac:dyDescent="0.25">
      <c r="AP3146"/>
    </row>
    <row r="3147" spans="42:42" x14ac:dyDescent="0.25">
      <c r="AP3147"/>
    </row>
    <row r="3148" spans="42:42" x14ac:dyDescent="0.25">
      <c r="AP3148"/>
    </row>
    <row r="3149" spans="42:42" x14ac:dyDescent="0.25">
      <c r="AP3149"/>
    </row>
    <row r="3150" spans="42:42" x14ac:dyDescent="0.25">
      <c r="AP3150"/>
    </row>
    <row r="3151" spans="42:42" x14ac:dyDescent="0.25">
      <c r="AP3151"/>
    </row>
    <row r="3152" spans="42:42" x14ac:dyDescent="0.25">
      <c r="AP3152"/>
    </row>
    <row r="3153" spans="42:42" x14ac:dyDescent="0.25">
      <c r="AP3153"/>
    </row>
    <row r="3154" spans="42:42" x14ac:dyDescent="0.25">
      <c r="AP3154"/>
    </row>
    <row r="3155" spans="42:42" x14ac:dyDescent="0.25">
      <c r="AP3155"/>
    </row>
    <row r="3156" spans="42:42" x14ac:dyDescent="0.25">
      <c r="AP3156"/>
    </row>
    <row r="3157" spans="42:42" x14ac:dyDescent="0.25">
      <c r="AP3157"/>
    </row>
    <row r="3158" spans="42:42" x14ac:dyDescent="0.25">
      <c r="AP3158"/>
    </row>
    <row r="3159" spans="42:42" x14ac:dyDescent="0.25">
      <c r="AP3159"/>
    </row>
    <row r="3160" spans="42:42" x14ac:dyDescent="0.25">
      <c r="AP3160"/>
    </row>
    <row r="3161" spans="42:42" x14ac:dyDescent="0.25">
      <c r="AP3161"/>
    </row>
    <row r="3162" spans="42:42" x14ac:dyDescent="0.25">
      <c r="AP3162"/>
    </row>
    <row r="3163" spans="42:42" x14ac:dyDescent="0.25">
      <c r="AP3163"/>
    </row>
    <row r="3164" spans="42:42" x14ac:dyDescent="0.25">
      <c r="AP3164"/>
    </row>
    <row r="3165" spans="42:42" x14ac:dyDescent="0.25">
      <c r="AP3165"/>
    </row>
    <row r="3166" spans="42:42" x14ac:dyDescent="0.25">
      <c r="AP3166"/>
    </row>
    <row r="3167" spans="42:42" x14ac:dyDescent="0.25">
      <c r="AP3167"/>
    </row>
    <row r="3168" spans="42:42" x14ac:dyDescent="0.25">
      <c r="AP3168"/>
    </row>
    <row r="3169" spans="42:42" x14ac:dyDescent="0.25">
      <c r="AP3169"/>
    </row>
    <row r="3170" spans="42:42" x14ac:dyDescent="0.25">
      <c r="AP3170"/>
    </row>
    <row r="3171" spans="42:42" x14ac:dyDescent="0.25">
      <c r="AP3171"/>
    </row>
    <row r="3172" spans="42:42" x14ac:dyDescent="0.25">
      <c r="AP3172"/>
    </row>
    <row r="3173" spans="42:42" x14ac:dyDescent="0.25">
      <c r="AP3173"/>
    </row>
    <row r="3174" spans="42:42" x14ac:dyDescent="0.25">
      <c r="AP3174"/>
    </row>
    <row r="3175" spans="42:42" x14ac:dyDescent="0.25">
      <c r="AP3175"/>
    </row>
    <row r="3176" spans="42:42" x14ac:dyDescent="0.25">
      <c r="AP3176"/>
    </row>
    <row r="3177" spans="42:42" x14ac:dyDescent="0.25">
      <c r="AP3177"/>
    </row>
    <row r="3178" spans="42:42" x14ac:dyDescent="0.25">
      <c r="AP3178"/>
    </row>
    <row r="3179" spans="42:42" x14ac:dyDescent="0.25">
      <c r="AP3179"/>
    </row>
    <row r="3180" spans="42:42" x14ac:dyDescent="0.25">
      <c r="AP3180"/>
    </row>
    <row r="3181" spans="42:42" x14ac:dyDescent="0.25">
      <c r="AP3181"/>
    </row>
    <row r="3182" spans="42:42" x14ac:dyDescent="0.25">
      <c r="AP3182"/>
    </row>
    <row r="3183" spans="42:42" x14ac:dyDescent="0.25">
      <c r="AP3183"/>
    </row>
    <row r="3184" spans="42:42" x14ac:dyDescent="0.25">
      <c r="AP3184"/>
    </row>
    <row r="3185" spans="42:42" x14ac:dyDescent="0.25">
      <c r="AP3185"/>
    </row>
    <row r="3186" spans="42:42" x14ac:dyDescent="0.25">
      <c r="AP3186"/>
    </row>
    <row r="3187" spans="42:42" x14ac:dyDescent="0.25">
      <c r="AP3187"/>
    </row>
    <row r="3188" spans="42:42" x14ac:dyDescent="0.25">
      <c r="AP3188"/>
    </row>
    <row r="3189" spans="42:42" x14ac:dyDescent="0.25">
      <c r="AP3189"/>
    </row>
    <row r="3190" spans="42:42" x14ac:dyDescent="0.25">
      <c r="AP3190"/>
    </row>
    <row r="3191" spans="42:42" x14ac:dyDescent="0.25">
      <c r="AP3191"/>
    </row>
    <row r="3192" spans="42:42" x14ac:dyDescent="0.25">
      <c r="AP3192"/>
    </row>
    <row r="3193" spans="42:42" x14ac:dyDescent="0.25">
      <c r="AP3193"/>
    </row>
    <row r="3194" spans="42:42" x14ac:dyDescent="0.25">
      <c r="AP3194"/>
    </row>
    <row r="3195" spans="42:42" x14ac:dyDescent="0.25">
      <c r="AP3195"/>
    </row>
    <row r="3196" spans="42:42" x14ac:dyDescent="0.25">
      <c r="AP3196"/>
    </row>
    <row r="3197" spans="42:42" x14ac:dyDescent="0.25">
      <c r="AP3197"/>
    </row>
    <row r="3198" spans="42:42" x14ac:dyDescent="0.25">
      <c r="AP3198"/>
    </row>
    <row r="3199" spans="42:42" x14ac:dyDescent="0.25">
      <c r="AP3199"/>
    </row>
    <row r="3200" spans="42:42" x14ac:dyDescent="0.25">
      <c r="AP3200"/>
    </row>
    <row r="3201" spans="42:42" x14ac:dyDescent="0.25">
      <c r="AP3201"/>
    </row>
    <row r="3202" spans="42:42" x14ac:dyDescent="0.25">
      <c r="AP3202"/>
    </row>
    <row r="3203" spans="42:42" x14ac:dyDescent="0.25">
      <c r="AP3203"/>
    </row>
    <row r="3204" spans="42:42" x14ac:dyDescent="0.25">
      <c r="AP3204"/>
    </row>
    <row r="3205" spans="42:42" x14ac:dyDescent="0.25">
      <c r="AP3205"/>
    </row>
    <row r="3206" spans="42:42" x14ac:dyDescent="0.25">
      <c r="AP3206"/>
    </row>
    <row r="3207" spans="42:42" x14ac:dyDescent="0.25">
      <c r="AP3207"/>
    </row>
    <row r="3208" spans="42:42" x14ac:dyDescent="0.25">
      <c r="AP3208"/>
    </row>
    <row r="3209" spans="42:42" x14ac:dyDescent="0.25">
      <c r="AP3209"/>
    </row>
    <row r="3210" spans="42:42" x14ac:dyDescent="0.25">
      <c r="AP3210"/>
    </row>
    <row r="3211" spans="42:42" x14ac:dyDescent="0.25">
      <c r="AP3211"/>
    </row>
    <row r="3212" spans="42:42" x14ac:dyDescent="0.25">
      <c r="AP3212"/>
    </row>
    <row r="3213" spans="42:42" x14ac:dyDescent="0.25">
      <c r="AP3213"/>
    </row>
    <row r="3214" spans="42:42" x14ac:dyDescent="0.25">
      <c r="AP3214"/>
    </row>
    <row r="3215" spans="42:42" x14ac:dyDescent="0.25">
      <c r="AP3215"/>
    </row>
    <row r="3216" spans="42:42" x14ac:dyDescent="0.25">
      <c r="AP3216"/>
    </row>
    <row r="3217" spans="42:42" x14ac:dyDescent="0.25">
      <c r="AP3217"/>
    </row>
    <row r="3218" spans="42:42" x14ac:dyDescent="0.25">
      <c r="AP3218"/>
    </row>
    <row r="3219" spans="42:42" x14ac:dyDescent="0.25">
      <c r="AP3219"/>
    </row>
    <row r="3220" spans="42:42" x14ac:dyDescent="0.25">
      <c r="AP3220"/>
    </row>
    <row r="3221" spans="42:42" x14ac:dyDescent="0.25">
      <c r="AP3221"/>
    </row>
    <row r="3222" spans="42:42" x14ac:dyDescent="0.25">
      <c r="AP3222"/>
    </row>
    <row r="3223" spans="42:42" x14ac:dyDescent="0.25">
      <c r="AP3223"/>
    </row>
    <row r="3224" spans="42:42" x14ac:dyDescent="0.25">
      <c r="AP3224"/>
    </row>
    <row r="3225" spans="42:42" x14ac:dyDescent="0.25">
      <c r="AP3225"/>
    </row>
    <row r="3226" spans="42:42" x14ac:dyDescent="0.25">
      <c r="AP3226"/>
    </row>
    <row r="3227" spans="42:42" x14ac:dyDescent="0.25">
      <c r="AP3227"/>
    </row>
    <row r="3228" spans="42:42" x14ac:dyDescent="0.25">
      <c r="AP3228"/>
    </row>
    <row r="3229" spans="42:42" x14ac:dyDescent="0.25">
      <c r="AP3229"/>
    </row>
    <row r="3230" spans="42:42" x14ac:dyDescent="0.25">
      <c r="AP3230"/>
    </row>
    <row r="3231" spans="42:42" x14ac:dyDescent="0.25">
      <c r="AP3231"/>
    </row>
    <row r="3232" spans="42:42" x14ac:dyDescent="0.25">
      <c r="AP3232"/>
    </row>
    <row r="3233" spans="42:42" x14ac:dyDescent="0.25">
      <c r="AP3233"/>
    </row>
    <row r="3234" spans="42:42" x14ac:dyDescent="0.25">
      <c r="AP3234"/>
    </row>
    <row r="3235" spans="42:42" x14ac:dyDescent="0.25">
      <c r="AP3235"/>
    </row>
    <row r="3236" spans="42:42" x14ac:dyDescent="0.25">
      <c r="AP3236"/>
    </row>
    <row r="3237" spans="42:42" x14ac:dyDescent="0.25">
      <c r="AP3237"/>
    </row>
    <row r="3238" spans="42:42" x14ac:dyDescent="0.25">
      <c r="AP3238"/>
    </row>
    <row r="3239" spans="42:42" x14ac:dyDescent="0.25">
      <c r="AP3239"/>
    </row>
    <row r="3240" spans="42:42" x14ac:dyDescent="0.25">
      <c r="AP3240"/>
    </row>
    <row r="3241" spans="42:42" x14ac:dyDescent="0.25">
      <c r="AP3241"/>
    </row>
    <row r="3242" spans="42:42" x14ac:dyDescent="0.25">
      <c r="AP3242"/>
    </row>
    <row r="3243" spans="42:42" x14ac:dyDescent="0.25">
      <c r="AP3243"/>
    </row>
    <row r="3244" spans="42:42" x14ac:dyDescent="0.25">
      <c r="AP3244"/>
    </row>
    <row r="3245" spans="42:42" x14ac:dyDescent="0.25">
      <c r="AP3245"/>
    </row>
    <row r="3246" spans="42:42" x14ac:dyDescent="0.25">
      <c r="AP3246"/>
    </row>
    <row r="3247" spans="42:42" x14ac:dyDescent="0.25">
      <c r="AP3247"/>
    </row>
    <row r="3248" spans="42:42" x14ac:dyDescent="0.25">
      <c r="AP3248"/>
    </row>
    <row r="3249" spans="42:42" x14ac:dyDescent="0.25">
      <c r="AP3249"/>
    </row>
    <row r="3250" spans="42:42" x14ac:dyDescent="0.25">
      <c r="AP3250"/>
    </row>
    <row r="3251" spans="42:42" x14ac:dyDescent="0.25">
      <c r="AP3251"/>
    </row>
    <row r="3252" spans="42:42" x14ac:dyDescent="0.25">
      <c r="AP3252"/>
    </row>
    <row r="3253" spans="42:42" x14ac:dyDescent="0.25">
      <c r="AP3253"/>
    </row>
    <row r="3254" spans="42:42" x14ac:dyDescent="0.25">
      <c r="AP3254"/>
    </row>
    <row r="3255" spans="42:42" x14ac:dyDescent="0.25">
      <c r="AP3255"/>
    </row>
    <row r="3256" spans="42:42" x14ac:dyDescent="0.25">
      <c r="AP3256"/>
    </row>
    <row r="3257" spans="42:42" x14ac:dyDescent="0.25">
      <c r="AP3257"/>
    </row>
    <row r="3258" spans="42:42" x14ac:dyDescent="0.25">
      <c r="AP3258"/>
    </row>
    <row r="3259" spans="42:42" x14ac:dyDescent="0.25">
      <c r="AP3259"/>
    </row>
    <row r="3260" spans="42:42" x14ac:dyDescent="0.25">
      <c r="AP3260"/>
    </row>
    <row r="3261" spans="42:42" x14ac:dyDescent="0.25">
      <c r="AP3261"/>
    </row>
    <row r="3262" spans="42:42" x14ac:dyDescent="0.25">
      <c r="AP3262"/>
    </row>
    <row r="3263" spans="42:42" x14ac:dyDescent="0.25">
      <c r="AP3263"/>
    </row>
    <row r="3264" spans="42:42" x14ac:dyDescent="0.25">
      <c r="AP3264"/>
    </row>
    <row r="3265" spans="42:42" x14ac:dyDescent="0.25">
      <c r="AP3265"/>
    </row>
    <row r="3266" spans="42:42" x14ac:dyDescent="0.25">
      <c r="AP3266"/>
    </row>
    <row r="3267" spans="42:42" x14ac:dyDescent="0.25">
      <c r="AP3267"/>
    </row>
    <row r="3268" spans="42:42" x14ac:dyDescent="0.25">
      <c r="AP3268"/>
    </row>
    <row r="3269" spans="42:42" x14ac:dyDescent="0.25">
      <c r="AP3269"/>
    </row>
    <row r="3270" spans="42:42" x14ac:dyDescent="0.25">
      <c r="AP3270"/>
    </row>
    <row r="3271" spans="42:42" x14ac:dyDescent="0.25">
      <c r="AP3271"/>
    </row>
    <row r="3272" spans="42:42" x14ac:dyDescent="0.25">
      <c r="AP3272"/>
    </row>
    <row r="3273" spans="42:42" x14ac:dyDescent="0.25">
      <c r="AP3273"/>
    </row>
    <row r="3274" spans="42:42" x14ac:dyDescent="0.25">
      <c r="AP3274"/>
    </row>
    <row r="3275" spans="42:42" x14ac:dyDescent="0.25">
      <c r="AP3275"/>
    </row>
    <row r="3276" spans="42:42" x14ac:dyDescent="0.25">
      <c r="AP3276"/>
    </row>
    <row r="3277" spans="42:42" x14ac:dyDescent="0.25">
      <c r="AP3277"/>
    </row>
    <row r="3278" spans="42:42" x14ac:dyDescent="0.25">
      <c r="AP3278"/>
    </row>
    <row r="3279" spans="42:42" x14ac:dyDescent="0.25">
      <c r="AP3279"/>
    </row>
    <row r="3280" spans="42:42" x14ac:dyDescent="0.25">
      <c r="AP3280"/>
    </row>
    <row r="3281" spans="42:42" x14ac:dyDescent="0.25">
      <c r="AP3281"/>
    </row>
    <row r="3282" spans="42:42" x14ac:dyDescent="0.25">
      <c r="AP3282"/>
    </row>
    <row r="3283" spans="42:42" x14ac:dyDescent="0.25">
      <c r="AP3283"/>
    </row>
    <row r="3284" spans="42:42" x14ac:dyDescent="0.25">
      <c r="AP3284"/>
    </row>
    <row r="3285" spans="42:42" x14ac:dyDescent="0.25">
      <c r="AP3285"/>
    </row>
    <row r="3286" spans="42:42" x14ac:dyDescent="0.25">
      <c r="AP3286"/>
    </row>
    <row r="3287" spans="42:42" x14ac:dyDescent="0.25">
      <c r="AP3287"/>
    </row>
    <row r="3288" spans="42:42" x14ac:dyDescent="0.25">
      <c r="AP3288"/>
    </row>
    <row r="3289" spans="42:42" x14ac:dyDescent="0.25">
      <c r="AP3289"/>
    </row>
    <row r="3290" spans="42:42" x14ac:dyDescent="0.25">
      <c r="AP3290"/>
    </row>
    <row r="3291" spans="42:42" x14ac:dyDescent="0.25">
      <c r="AP3291"/>
    </row>
    <row r="3292" spans="42:42" x14ac:dyDescent="0.25">
      <c r="AP3292"/>
    </row>
    <row r="3293" spans="42:42" x14ac:dyDescent="0.25">
      <c r="AP3293"/>
    </row>
    <row r="3294" spans="42:42" x14ac:dyDescent="0.25">
      <c r="AP3294"/>
    </row>
    <row r="3295" spans="42:42" x14ac:dyDescent="0.25">
      <c r="AP3295"/>
    </row>
    <row r="3296" spans="42:42" x14ac:dyDescent="0.25">
      <c r="AP3296"/>
    </row>
    <row r="3297" spans="42:42" x14ac:dyDescent="0.25">
      <c r="AP3297"/>
    </row>
    <row r="3298" spans="42:42" x14ac:dyDescent="0.25">
      <c r="AP3298"/>
    </row>
    <row r="3299" spans="42:42" x14ac:dyDescent="0.25">
      <c r="AP3299"/>
    </row>
    <row r="3300" spans="42:42" x14ac:dyDescent="0.25">
      <c r="AP3300"/>
    </row>
    <row r="3301" spans="42:42" x14ac:dyDescent="0.25">
      <c r="AP3301"/>
    </row>
    <row r="3302" spans="42:42" x14ac:dyDescent="0.25">
      <c r="AP3302"/>
    </row>
    <row r="3303" spans="42:42" x14ac:dyDescent="0.25">
      <c r="AP3303"/>
    </row>
    <row r="3304" spans="42:42" x14ac:dyDescent="0.25">
      <c r="AP3304"/>
    </row>
    <row r="3305" spans="42:42" x14ac:dyDescent="0.25">
      <c r="AP3305"/>
    </row>
    <row r="3306" spans="42:42" x14ac:dyDescent="0.25">
      <c r="AP3306"/>
    </row>
    <row r="3307" spans="42:42" x14ac:dyDescent="0.25">
      <c r="AP3307"/>
    </row>
    <row r="3308" spans="42:42" x14ac:dyDescent="0.25">
      <c r="AP3308"/>
    </row>
    <row r="3309" spans="42:42" x14ac:dyDescent="0.25">
      <c r="AP3309"/>
    </row>
    <row r="3310" spans="42:42" x14ac:dyDescent="0.25">
      <c r="AP3310"/>
    </row>
    <row r="3311" spans="42:42" x14ac:dyDescent="0.25">
      <c r="AP3311"/>
    </row>
    <row r="3312" spans="42:42" x14ac:dyDescent="0.25">
      <c r="AP3312"/>
    </row>
    <row r="3313" spans="42:42" x14ac:dyDescent="0.25">
      <c r="AP3313"/>
    </row>
    <row r="3314" spans="42:42" x14ac:dyDescent="0.25">
      <c r="AP3314"/>
    </row>
    <row r="3315" spans="42:42" x14ac:dyDescent="0.25">
      <c r="AP3315"/>
    </row>
    <row r="3316" spans="42:42" x14ac:dyDescent="0.25">
      <c r="AP3316"/>
    </row>
    <row r="3317" spans="42:42" x14ac:dyDescent="0.25">
      <c r="AP3317"/>
    </row>
    <row r="3318" spans="42:42" x14ac:dyDescent="0.25">
      <c r="AP3318"/>
    </row>
    <row r="3319" spans="42:42" x14ac:dyDescent="0.25">
      <c r="AP3319"/>
    </row>
    <row r="3320" spans="42:42" x14ac:dyDescent="0.25">
      <c r="AP3320"/>
    </row>
    <row r="3321" spans="42:42" x14ac:dyDescent="0.25">
      <c r="AP3321"/>
    </row>
    <row r="3322" spans="42:42" x14ac:dyDescent="0.25">
      <c r="AP3322"/>
    </row>
    <row r="3323" spans="42:42" x14ac:dyDescent="0.25">
      <c r="AP3323"/>
    </row>
    <row r="3324" spans="42:42" x14ac:dyDescent="0.25">
      <c r="AP3324"/>
    </row>
    <row r="3325" spans="42:42" x14ac:dyDescent="0.25">
      <c r="AP3325"/>
    </row>
    <row r="3326" spans="42:42" x14ac:dyDescent="0.25">
      <c r="AP3326"/>
    </row>
    <row r="3327" spans="42:42" x14ac:dyDescent="0.25">
      <c r="AP3327"/>
    </row>
    <row r="3328" spans="42:42" x14ac:dyDescent="0.25">
      <c r="AP3328"/>
    </row>
    <row r="3329" spans="42:42" x14ac:dyDescent="0.25">
      <c r="AP3329"/>
    </row>
    <row r="3330" spans="42:42" x14ac:dyDescent="0.25">
      <c r="AP3330"/>
    </row>
    <row r="3331" spans="42:42" x14ac:dyDescent="0.25">
      <c r="AP3331"/>
    </row>
    <row r="3332" spans="42:42" x14ac:dyDescent="0.25">
      <c r="AP3332"/>
    </row>
    <row r="3333" spans="42:42" x14ac:dyDescent="0.25">
      <c r="AP3333"/>
    </row>
    <row r="3334" spans="42:42" x14ac:dyDescent="0.25">
      <c r="AP3334"/>
    </row>
    <row r="3335" spans="42:42" x14ac:dyDescent="0.25">
      <c r="AP3335"/>
    </row>
    <row r="3336" spans="42:42" x14ac:dyDescent="0.25">
      <c r="AP3336"/>
    </row>
    <row r="3337" spans="42:42" x14ac:dyDescent="0.25">
      <c r="AP3337"/>
    </row>
    <row r="3338" spans="42:42" x14ac:dyDescent="0.25">
      <c r="AP3338"/>
    </row>
    <row r="3339" spans="42:42" x14ac:dyDescent="0.25">
      <c r="AP3339"/>
    </row>
    <row r="3340" spans="42:42" x14ac:dyDescent="0.25">
      <c r="AP3340"/>
    </row>
    <row r="3341" spans="42:42" x14ac:dyDescent="0.25">
      <c r="AP3341"/>
    </row>
    <row r="3342" spans="42:42" x14ac:dyDescent="0.25">
      <c r="AP3342"/>
    </row>
    <row r="3343" spans="42:42" x14ac:dyDescent="0.25">
      <c r="AP3343"/>
    </row>
    <row r="3344" spans="42:42" x14ac:dyDescent="0.25">
      <c r="AP3344"/>
    </row>
    <row r="3345" spans="42:42" x14ac:dyDescent="0.25">
      <c r="AP3345"/>
    </row>
    <row r="3346" spans="42:42" x14ac:dyDescent="0.25">
      <c r="AP3346"/>
    </row>
    <row r="3347" spans="42:42" x14ac:dyDescent="0.25">
      <c r="AP3347"/>
    </row>
    <row r="3348" spans="42:42" x14ac:dyDescent="0.25">
      <c r="AP3348"/>
    </row>
    <row r="3349" spans="42:42" x14ac:dyDescent="0.25">
      <c r="AP3349"/>
    </row>
    <row r="3350" spans="42:42" x14ac:dyDescent="0.25">
      <c r="AP3350"/>
    </row>
    <row r="3351" spans="42:42" x14ac:dyDescent="0.25">
      <c r="AP3351"/>
    </row>
    <row r="3352" spans="42:42" x14ac:dyDescent="0.25">
      <c r="AP3352"/>
    </row>
    <row r="3353" spans="42:42" x14ac:dyDescent="0.25">
      <c r="AP3353"/>
    </row>
    <row r="3354" spans="42:42" x14ac:dyDescent="0.25">
      <c r="AP3354"/>
    </row>
    <row r="3355" spans="42:42" x14ac:dyDescent="0.25">
      <c r="AP3355"/>
    </row>
    <row r="3356" spans="42:42" x14ac:dyDescent="0.25">
      <c r="AP3356"/>
    </row>
    <row r="3357" spans="42:42" x14ac:dyDescent="0.25">
      <c r="AP3357"/>
    </row>
    <row r="3358" spans="42:42" x14ac:dyDescent="0.25">
      <c r="AP3358"/>
    </row>
    <row r="3359" spans="42:42" x14ac:dyDescent="0.25">
      <c r="AP3359"/>
    </row>
    <row r="3360" spans="42:42" x14ac:dyDescent="0.25">
      <c r="AP3360"/>
    </row>
    <row r="3361" spans="42:42" x14ac:dyDescent="0.25">
      <c r="AP3361"/>
    </row>
    <row r="3362" spans="42:42" x14ac:dyDescent="0.25">
      <c r="AP3362"/>
    </row>
    <row r="3363" spans="42:42" x14ac:dyDescent="0.25">
      <c r="AP3363"/>
    </row>
    <row r="3364" spans="42:42" x14ac:dyDescent="0.25">
      <c r="AP3364"/>
    </row>
    <row r="3365" spans="42:42" x14ac:dyDescent="0.25">
      <c r="AP3365"/>
    </row>
    <row r="3366" spans="42:42" x14ac:dyDescent="0.25">
      <c r="AP3366"/>
    </row>
    <row r="3367" spans="42:42" x14ac:dyDescent="0.25">
      <c r="AP3367"/>
    </row>
    <row r="3368" spans="42:42" x14ac:dyDescent="0.25">
      <c r="AP3368"/>
    </row>
    <row r="3369" spans="42:42" x14ac:dyDescent="0.25">
      <c r="AP3369"/>
    </row>
    <row r="3370" spans="42:42" x14ac:dyDescent="0.25">
      <c r="AP3370"/>
    </row>
    <row r="3371" spans="42:42" x14ac:dyDescent="0.25">
      <c r="AP3371"/>
    </row>
    <row r="3372" spans="42:42" x14ac:dyDescent="0.25">
      <c r="AP3372"/>
    </row>
    <row r="3373" spans="42:42" x14ac:dyDescent="0.25">
      <c r="AP3373"/>
    </row>
    <row r="3374" spans="42:42" x14ac:dyDescent="0.25">
      <c r="AP3374"/>
    </row>
    <row r="3375" spans="42:42" x14ac:dyDescent="0.25">
      <c r="AP3375"/>
    </row>
    <row r="3376" spans="42:42" x14ac:dyDescent="0.25">
      <c r="AP3376"/>
    </row>
    <row r="3377" spans="42:42" x14ac:dyDescent="0.25">
      <c r="AP3377"/>
    </row>
    <row r="3378" spans="42:42" x14ac:dyDescent="0.25">
      <c r="AP3378"/>
    </row>
    <row r="3379" spans="42:42" x14ac:dyDescent="0.25">
      <c r="AP3379"/>
    </row>
    <row r="3380" spans="42:42" x14ac:dyDescent="0.25">
      <c r="AP3380"/>
    </row>
    <row r="3381" spans="42:42" x14ac:dyDescent="0.25">
      <c r="AP3381"/>
    </row>
    <row r="3382" spans="42:42" x14ac:dyDescent="0.25">
      <c r="AP3382"/>
    </row>
    <row r="3383" spans="42:42" x14ac:dyDescent="0.25">
      <c r="AP3383"/>
    </row>
    <row r="3384" spans="42:42" x14ac:dyDescent="0.25">
      <c r="AP3384"/>
    </row>
    <row r="3385" spans="42:42" x14ac:dyDescent="0.25">
      <c r="AP3385"/>
    </row>
    <row r="3386" spans="42:42" x14ac:dyDescent="0.25">
      <c r="AP3386"/>
    </row>
    <row r="3387" spans="42:42" x14ac:dyDescent="0.25">
      <c r="AP3387"/>
    </row>
    <row r="3388" spans="42:42" x14ac:dyDescent="0.25">
      <c r="AP3388"/>
    </row>
    <row r="3389" spans="42:42" x14ac:dyDescent="0.25">
      <c r="AP3389"/>
    </row>
    <row r="3390" spans="42:42" x14ac:dyDescent="0.25">
      <c r="AP3390"/>
    </row>
    <row r="3391" spans="42:42" x14ac:dyDescent="0.25">
      <c r="AP3391"/>
    </row>
    <row r="3392" spans="42:42" x14ac:dyDescent="0.25">
      <c r="AP3392"/>
    </row>
    <row r="3393" spans="42:42" x14ac:dyDescent="0.25">
      <c r="AP3393"/>
    </row>
    <row r="3394" spans="42:42" x14ac:dyDescent="0.25">
      <c r="AP3394"/>
    </row>
    <row r="3395" spans="42:42" x14ac:dyDescent="0.25">
      <c r="AP3395"/>
    </row>
    <row r="3396" spans="42:42" x14ac:dyDescent="0.25">
      <c r="AP3396"/>
    </row>
    <row r="3397" spans="42:42" x14ac:dyDescent="0.25">
      <c r="AP3397"/>
    </row>
    <row r="3398" spans="42:42" x14ac:dyDescent="0.25">
      <c r="AP3398"/>
    </row>
    <row r="3399" spans="42:42" x14ac:dyDescent="0.25">
      <c r="AP3399"/>
    </row>
    <row r="3400" spans="42:42" x14ac:dyDescent="0.25">
      <c r="AP3400"/>
    </row>
    <row r="3401" spans="42:42" x14ac:dyDescent="0.25">
      <c r="AP3401"/>
    </row>
    <row r="3402" spans="42:42" x14ac:dyDescent="0.25">
      <c r="AP3402"/>
    </row>
    <row r="3403" spans="42:42" x14ac:dyDescent="0.25">
      <c r="AP3403"/>
    </row>
    <row r="3404" spans="42:42" x14ac:dyDescent="0.25">
      <c r="AP3404"/>
    </row>
    <row r="3405" spans="42:42" x14ac:dyDescent="0.25">
      <c r="AP3405"/>
    </row>
    <row r="3406" spans="42:42" x14ac:dyDescent="0.25">
      <c r="AP3406"/>
    </row>
    <row r="3407" spans="42:42" x14ac:dyDescent="0.25">
      <c r="AP3407"/>
    </row>
    <row r="3408" spans="42:42" x14ac:dyDescent="0.25">
      <c r="AP3408"/>
    </row>
    <row r="3409" spans="42:42" x14ac:dyDescent="0.25">
      <c r="AP3409"/>
    </row>
    <row r="3410" spans="42:42" x14ac:dyDescent="0.25">
      <c r="AP3410"/>
    </row>
    <row r="3411" spans="42:42" x14ac:dyDescent="0.25">
      <c r="AP3411"/>
    </row>
    <row r="3412" spans="42:42" x14ac:dyDescent="0.25">
      <c r="AP3412"/>
    </row>
    <row r="3413" spans="42:42" x14ac:dyDescent="0.25">
      <c r="AP3413"/>
    </row>
    <row r="3414" spans="42:42" x14ac:dyDescent="0.25">
      <c r="AP3414"/>
    </row>
    <row r="3415" spans="42:42" x14ac:dyDescent="0.25">
      <c r="AP3415"/>
    </row>
    <row r="3416" spans="42:42" x14ac:dyDescent="0.25">
      <c r="AP3416"/>
    </row>
    <row r="3417" spans="42:42" x14ac:dyDescent="0.25">
      <c r="AP3417"/>
    </row>
    <row r="3418" spans="42:42" x14ac:dyDescent="0.25">
      <c r="AP3418"/>
    </row>
    <row r="3419" spans="42:42" x14ac:dyDescent="0.25">
      <c r="AP3419"/>
    </row>
    <row r="3420" spans="42:42" x14ac:dyDescent="0.25">
      <c r="AP3420"/>
    </row>
    <row r="3421" spans="42:42" x14ac:dyDescent="0.25">
      <c r="AP3421"/>
    </row>
    <row r="3422" spans="42:42" x14ac:dyDescent="0.25">
      <c r="AP3422"/>
    </row>
    <row r="3423" spans="42:42" x14ac:dyDescent="0.25">
      <c r="AP3423"/>
    </row>
    <row r="3424" spans="42:42" x14ac:dyDescent="0.25">
      <c r="AP3424"/>
    </row>
    <row r="3425" spans="42:42" x14ac:dyDescent="0.25">
      <c r="AP3425"/>
    </row>
    <row r="3426" spans="42:42" x14ac:dyDescent="0.25">
      <c r="AP3426"/>
    </row>
    <row r="3427" spans="42:42" x14ac:dyDescent="0.25">
      <c r="AP3427"/>
    </row>
    <row r="3428" spans="42:42" x14ac:dyDescent="0.25">
      <c r="AP3428"/>
    </row>
    <row r="3429" spans="42:42" x14ac:dyDescent="0.25">
      <c r="AP3429"/>
    </row>
    <row r="3430" spans="42:42" x14ac:dyDescent="0.25">
      <c r="AP3430"/>
    </row>
    <row r="3431" spans="42:42" x14ac:dyDescent="0.25">
      <c r="AP3431"/>
    </row>
    <row r="3432" spans="42:42" x14ac:dyDescent="0.25">
      <c r="AP3432"/>
    </row>
    <row r="3433" spans="42:42" x14ac:dyDescent="0.25">
      <c r="AP3433"/>
    </row>
    <row r="3434" spans="42:42" x14ac:dyDescent="0.25">
      <c r="AP3434"/>
    </row>
    <row r="3435" spans="42:42" x14ac:dyDescent="0.25">
      <c r="AP3435"/>
    </row>
    <row r="3436" spans="42:42" x14ac:dyDescent="0.25">
      <c r="AP3436"/>
    </row>
    <row r="3437" spans="42:42" x14ac:dyDescent="0.25">
      <c r="AP3437"/>
    </row>
    <row r="3438" spans="42:42" x14ac:dyDescent="0.25">
      <c r="AP3438"/>
    </row>
    <row r="3439" spans="42:42" x14ac:dyDescent="0.25">
      <c r="AP3439"/>
    </row>
    <row r="3440" spans="42:42" x14ac:dyDescent="0.25">
      <c r="AP3440"/>
    </row>
    <row r="3441" spans="42:42" x14ac:dyDescent="0.25">
      <c r="AP3441"/>
    </row>
    <row r="3442" spans="42:42" x14ac:dyDescent="0.25">
      <c r="AP3442"/>
    </row>
    <row r="3443" spans="42:42" x14ac:dyDescent="0.25">
      <c r="AP3443"/>
    </row>
    <row r="3444" spans="42:42" x14ac:dyDescent="0.25">
      <c r="AP3444"/>
    </row>
    <row r="3445" spans="42:42" x14ac:dyDescent="0.25">
      <c r="AP3445"/>
    </row>
    <row r="3446" spans="42:42" x14ac:dyDescent="0.25">
      <c r="AP3446"/>
    </row>
    <row r="3447" spans="42:42" x14ac:dyDescent="0.25">
      <c r="AP3447"/>
    </row>
    <row r="3448" spans="42:42" x14ac:dyDescent="0.25">
      <c r="AP3448"/>
    </row>
    <row r="3449" spans="42:42" x14ac:dyDescent="0.25">
      <c r="AP3449"/>
    </row>
    <row r="3450" spans="42:42" x14ac:dyDescent="0.25">
      <c r="AP3450"/>
    </row>
    <row r="3451" spans="42:42" x14ac:dyDescent="0.25">
      <c r="AP3451"/>
    </row>
    <row r="3452" spans="42:42" x14ac:dyDescent="0.25">
      <c r="AP3452"/>
    </row>
    <row r="3453" spans="42:42" x14ac:dyDescent="0.25">
      <c r="AP3453"/>
    </row>
    <row r="3454" spans="42:42" x14ac:dyDescent="0.25">
      <c r="AP3454"/>
    </row>
    <row r="3455" spans="42:42" x14ac:dyDescent="0.25">
      <c r="AP3455"/>
    </row>
    <row r="3456" spans="42:42" x14ac:dyDescent="0.25">
      <c r="AP3456"/>
    </row>
    <row r="3457" spans="42:42" x14ac:dyDescent="0.25">
      <c r="AP3457"/>
    </row>
    <row r="3458" spans="42:42" x14ac:dyDescent="0.25">
      <c r="AP3458"/>
    </row>
    <row r="3459" spans="42:42" x14ac:dyDescent="0.25">
      <c r="AP3459"/>
    </row>
    <row r="3460" spans="42:42" x14ac:dyDescent="0.25">
      <c r="AP3460"/>
    </row>
    <row r="3461" spans="42:42" x14ac:dyDescent="0.25">
      <c r="AP3461"/>
    </row>
    <row r="3462" spans="42:42" x14ac:dyDescent="0.25">
      <c r="AP3462"/>
    </row>
    <row r="3463" spans="42:42" x14ac:dyDescent="0.25">
      <c r="AP3463"/>
    </row>
    <row r="3464" spans="42:42" x14ac:dyDescent="0.25">
      <c r="AP3464"/>
    </row>
    <row r="3465" spans="42:42" x14ac:dyDescent="0.25">
      <c r="AP3465"/>
    </row>
    <row r="3466" spans="42:42" x14ac:dyDescent="0.25">
      <c r="AP3466"/>
    </row>
    <row r="3467" spans="42:42" x14ac:dyDescent="0.25">
      <c r="AP3467"/>
    </row>
    <row r="3468" spans="42:42" x14ac:dyDescent="0.25">
      <c r="AP3468"/>
    </row>
    <row r="3469" spans="42:42" x14ac:dyDescent="0.25">
      <c r="AP3469"/>
    </row>
    <row r="3470" spans="42:42" x14ac:dyDescent="0.25">
      <c r="AP3470"/>
    </row>
    <row r="3471" spans="42:42" x14ac:dyDescent="0.25">
      <c r="AP3471"/>
    </row>
    <row r="3472" spans="42:42" x14ac:dyDescent="0.25">
      <c r="AP3472"/>
    </row>
    <row r="3473" spans="42:42" x14ac:dyDescent="0.25">
      <c r="AP3473"/>
    </row>
    <row r="3474" spans="42:42" x14ac:dyDescent="0.25">
      <c r="AP3474"/>
    </row>
    <row r="3475" spans="42:42" x14ac:dyDescent="0.25">
      <c r="AP3475"/>
    </row>
    <row r="3476" spans="42:42" x14ac:dyDescent="0.25">
      <c r="AP3476"/>
    </row>
    <row r="3477" spans="42:42" x14ac:dyDescent="0.25">
      <c r="AP3477"/>
    </row>
    <row r="3478" spans="42:42" x14ac:dyDescent="0.25">
      <c r="AP3478"/>
    </row>
    <row r="3479" spans="42:42" x14ac:dyDescent="0.25">
      <c r="AP3479"/>
    </row>
    <row r="3480" spans="42:42" x14ac:dyDescent="0.25">
      <c r="AP3480"/>
    </row>
    <row r="3481" spans="42:42" x14ac:dyDescent="0.25">
      <c r="AP3481"/>
    </row>
    <row r="3482" spans="42:42" x14ac:dyDescent="0.25">
      <c r="AP3482"/>
    </row>
    <row r="3483" spans="42:42" x14ac:dyDescent="0.25">
      <c r="AP3483"/>
    </row>
    <row r="3484" spans="42:42" x14ac:dyDescent="0.25">
      <c r="AP3484"/>
    </row>
    <row r="3485" spans="42:42" x14ac:dyDescent="0.25">
      <c r="AP3485"/>
    </row>
    <row r="3486" spans="42:42" x14ac:dyDescent="0.25">
      <c r="AP3486"/>
    </row>
    <row r="3487" spans="42:42" x14ac:dyDescent="0.25">
      <c r="AP3487"/>
    </row>
    <row r="3488" spans="42:42" x14ac:dyDescent="0.25">
      <c r="AP3488"/>
    </row>
    <row r="3489" spans="42:42" x14ac:dyDescent="0.25">
      <c r="AP3489"/>
    </row>
    <row r="3490" spans="42:42" x14ac:dyDescent="0.25">
      <c r="AP3490"/>
    </row>
    <row r="3491" spans="42:42" x14ac:dyDescent="0.25">
      <c r="AP3491"/>
    </row>
    <row r="3492" spans="42:42" x14ac:dyDescent="0.25">
      <c r="AP3492"/>
    </row>
    <row r="3493" spans="42:42" x14ac:dyDescent="0.25">
      <c r="AP3493"/>
    </row>
    <row r="3494" spans="42:42" x14ac:dyDescent="0.25">
      <c r="AP3494"/>
    </row>
    <row r="3495" spans="42:42" x14ac:dyDescent="0.25">
      <c r="AP3495"/>
    </row>
    <row r="3496" spans="42:42" x14ac:dyDescent="0.25">
      <c r="AP3496"/>
    </row>
    <row r="3497" spans="42:42" x14ac:dyDescent="0.25">
      <c r="AP3497"/>
    </row>
    <row r="3498" spans="42:42" x14ac:dyDescent="0.25">
      <c r="AP3498"/>
    </row>
    <row r="3499" spans="42:42" x14ac:dyDescent="0.25">
      <c r="AP3499"/>
    </row>
    <row r="3500" spans="42:42" x14ac:dyDescent="0.25">
      <c r="AP3500"/>
    </row>
    <row r="3501" spans="42:42" x14ac:dyDescent="0.25">
      <c r="AP3501"/>
    </row>
    <row r="3502" spans="42:42" x14ac:dyDescent="0.25">
      <c r="AP3502"/>
    </row>
    <row r="3503" spans="42:42" x14ac:dyDescent="0.25">
      <c r="AP3503"/>
    </row>
    <row r="3504" spans="42:42" x14ac:dyDescent="0.25">
      <c r="AP3504"/>
    </row>
    <row r="3505" spans="42:42" x14ac:dyDescent="0.25">
      <c r="AP3505"/>
    </row>
    <row r="3506" spans="42:42" x14ac:dyDescent="0.25">
      <c r="AP3506"/>
    </row>
    <row r="3507" spans="42:42" x14ac:dyDescent="0.25">
      <c r="AP3507"/>
    </row>
    <row r="3508" spans="42:42" x14ac:dyDescent="0.25">
      <c r="AP3508"/>
    </row>
    <row r="3509" spans="42:42" x14ac:dyDescent="0.25">
      <c r="AP3509"/>
    </row>
    <row r="3510" spans="42:42" x14ac:dyDescent="0.25">
      <c r="AP3510"/>
    </row>
    <row r="3511" spans="42:42" x14ac:dyDescent="0.25">
      <c r="AP3511"/>
    </row>
    <row r="3512" spans="42:42" x14ac:dyDescent="0.25">
      <c r="AP3512"/>
    </row>
    <row r="3513" spans="42:42" x14ac:dyDescent="0.25">
      <c r="AP3513"/>
    </row>
    <row r="3514" spans="42:42" x14ac:dyDescent="0.25">
      <c r="AP3514"/>
    </row>
    <row r="3515" spans="42:42" x14ac:dyDescent="0.25">
      <c r="AP3515"/>
    </row>
    <row r="3516" spans="42:42" x14ac:dyDescent="0.25">
      <c r="AP3516"/>
    </row>
    <row r="3517" spans="42:42" x14ac:dyDescent="0.25">
      <c r="AP3517"/>
    </row>
    <row r="3518" spans="42:42" x14ac:dyDescent="0.25">
      <c r="AP3518"/>
    </row>
    <row r="3519" spans="42:42" x14ac:dyDescent="0.25">
      <c r="AP3519"/>
    </row>
    <row r="3520" spans="42:42" x14ac:dyDescent="0.25">
      <c r="AP3520"/>
    </row>
    <row r="3521" spans="42:42" x14ac:dyDescent="0.25">
      <c r="AP3521"/>
    </row>
    <row r="3522" spans="42:42" x14ac:dyDescent="0.25">
      <c r="AP3522"/>
    </row>
    <row r="3523" spans="42:42" x14ac:dyDescent="0.25">
      <c r="AP3523"/>
    </row>
    <row r="3524" spans="42:42" x14ac:dyDescent="0.25">
      <c r="AP3524"/>
    </row>
    <row r="3525" spans="42:42" x14ac:dyDescent="0.25">
      <c r="AP3525"/>
    </row>
    <row r="3526" spans="42:42" x14ac:dyDescent="0.25">
      <c r="AP3526"/>
    </row>
    <row r="3527" spans="42:42" x14ac:dyDescent="0.25">
      <c r="AP3527"/>
    </row>
    <row r="3528" spans="42:42" x14ac:dyDescent="0.25">
      <c r="AP3528"/>
    </row>
    <row r="3529" spans="42:42" x14ac:dyDescent="0.25">
      <c r="AP3529"/>
    </row>
    <row r="3530" spans="42:42" x14ac:dyDescent="0.25">
      <c r="AP3530"/>
    </row>
    <row r="3531" spans="42:42" x14ac:dyDescent="0.25">
      <c r="AP3531"/>
    </row>
    <row r="3532" spans="42:42" x14ac:dyDescent="0.25">
      <c r="AP3532"/>
    </row>
    <row r="3533" spans="42:42" x14ac:dyDescent="0.25">
      <c r="AP3533"/>
    </row>
    <row r="3534" spans="42:42" x14ac:dyDescent="0.25">
      <c r="AP3534"/>
    </row>
    <row r="3535" spans="42:42" x14ac:dyDescent="0.25">
      <c r="AP3535"/>
    </row>
    <row r="3536" spans="42:42" x14ac:dyDescent="0.25">
      <c r="AP3536"/>
    </row>
    <row r="3537" spans="42:42" x14ac:dyDescent="0.25">
      <c r="AP3537"/>
    </row>
    <row r="3538" spans="42:42" x14ac:dyDescent="0.25">
      <c r="AP3538"/>
    </row>
    <row r="3539" spans="42:42" x14ac:dyDescent="0.25">
      <c r="AP3539"/>
    </row>
    <row r="3540" spans="42:42" x14ac:dyDescent="0.25">
      <c r="AP3540"/>
    </row>
    <row r="3541" spans="42:42" x14ac:dyDescent="0.25">
      <c r="AP3541"/>
    </row>
    <row r="3542" spans="42:42" x14ac:dyDescent="0.25">
      <c r="AP3542"/>
    </row>
    <row r="3543" spans="42:42" x14ac:dyDescent="0.25">
      <c r="AP3543"/>
    </row>
    <row r="3544" spans="42:42" x14ac:dyDescent="0.25">
      <c r="AP3544"/>
    </row>
    <row r="3545" spans="42:42" x14ac:dyDescent="0.25">
      <c r="AP3545"/>
    </row>
    <row r="3546" spans="42:42" x14ac:dyDescent="0.25">
      <c r="AP3546"/>
    </row>
    <row r="3547" spans="42:42" x14ac:dyDescent="0.25">
      <c r="AP3547"/>
    </row>
    <row r="3548" spans="42:42" x14ac:dyDescent="0.25">
      <c r="AP3548"/>
    </row>
    <row r="3549" spans="42:42" x14ac:dyDescent="0.25">
      <c r="AP3549"/>
    </row>
    <row r="3550" spans="42:42" x14ac:dyDescent="0.25">
      <c r="AP3550"/>
    </row>
    <row r="3551" spans="42:42" x14ac:dyDescent="0.25">
      <c r="AP3551"/>
    </row>
    <row r="3552" spans="42:42" x14ac:dyDescent="0.25">
      <c r="AP3552"/>
    </row>
    <row r="3553" spans="42:42" x14ac:dyDescent="0.25">
      <c r="AP3553"/>
    </row>
    <row r="3554" spans="42:42" x14ac:dyDescent="0.25">
      <c r="AP3554"/>
    </row>
    <row r="3555" spans="42:42" x14ac:dyDescent="0.25">
      <c r="AP3555"/>
    </row>
    <row r="3556" spans="42:42" x14ac:dyDescent="0.25">
      <c r="AP3556"/>
    </row>
    <row r="3557" spans="42:42" x14ac:dyDescent="0.25">
      <c r="AP3557"/>
    </row>
    <row r="3558" spans="42:42" x14ac:dyDescent="0.25">
      <c r="AP3558"/>
    </row>
    <row r="3559" spans="42:42" x14ac:dyDescent="0.25">
      <c r="AP3559"/>
    </row>
    <row r="3560" spans="42:42" x14ac:dyDescent="0.25">
      <c r="AP3560"/>
    </row>
    <row r="3561" spans="42:42" x14ac:dyDescent="0.25">
      <c r="AP3561"/>
    </row>
    <row r="3562" spans="42:42" x14ac:dyDescent="0.25">
      <c r="AP3562"/>
    </row>
    <row r="3563" spans="42:42" x14ac:dyDescent="0.25">
      <c r="AP3563"/>
    </row>
    <row r="3564" spans="42:42" x14ac:dyDescent="0.25">
      <c r="AP3564"/>
    </row>
    <row r="3565" spans="42:42" x14ac:dyDescent="0.25">
      <c r="AP3565"/>
    </row>
    <row r="3566" spans="42:42" x14ac:dyDescent="0.25">
      <c r="AP3566"/>
    </row>
    <row r="3567" spans="42:42" x14ac:dyDescent="0.25">
      <c r="AP3567"/>
    </row>
    <row r="3568" spans="42:42" x14ac:dyDescent="0.25">
      <c r="AP3568"/>
    </row>
    <row r="3569" spans="42:42" x14ac:dyDescent="0.25">
      <c r="AP3569"/>
    </row>
    <row r="3570" spans="42:42" x14ac:dyDescent="0.25">
      <c r="AP3570"/>
    </row>
    <row r="3571" spans="42:42" x14ac:dyDescent="0.25">
      <c r="AP3571"/>
    </row>
    <row r="3572" spans="42:42" x14ac:dyDescent="0.25">
      <c r="AP3572"/>
    </row>
    <row r="3573" spans="42:42" x14ac:dyDescent="0.25">
      <c r="AP3573"/>
    </row>
    <row r="3574" spans="42:42" x14ac:dyDescent="0.25">
      <c r="AP3574"/>
    </row>
    <row r="3575" spans="42:42" x14ac:dyDescent="0.25">
      <c r="AP3575"/>
    </row>
    <row r="3576" spans="42:42" x14ac:dyDescent="0.25">
      <c r="AP3576"/>
    </row>
    <row r="3577" spans="42:42" x14ac:dyDescent="0.25">
      <c r="AP3577"/>
    </row>
    <row r="3578" spans="42:42" x14ac:dyDescent="0.25">
      <c r="AP3578"/>
    </row>
    <row r="3579" spans="42:42" x14ac:dyDescent="0.25">
      <c r="AP3579"/>
    </row>
    <row r="3580" spans="42:42" x14ac:dyDescent="0.25">
      <c r="AP3580"/>
    </row>
    <row r="3581" spans="42:42" x14ac:dyDescent="0.25">
      <c r="AP3581"/>
    </row>
    <row r="3582" spans="42:42" x14ac:dyDescent="0.25">
      <c r="AP3582"/>
    </row>
    <row r="3583" spans="42:42" x14ac:dyDescent="0.25">
      <c r="AP3583"/>
    </row>
    <row r="3584" spans="42:42" x14ac:dyDescent="0.25">
      <c r="AP3584"/>
    </row>
    <row r="3585" spans="42:42" x14ac:dyDescent="0.25">
      <c r="AP3585"/>
    </row>
    <row r="3586" spans="42:42" x14ac:dyDescent="0.25">
      <c r="AP3586"/>
    </row>
    <row r="3587" spans="42:42" x14ac:dyDescent="0.25">
      <c r="AP3587"/>
    </row>
    <row r="3588" spans="42:42" x14ac:dyDescent="0.25">
      <c r="AP3588"/>
    </row>
    <row r="3589" spans="42:42" x14ac:dyDescent="0.25">
      <c r="AP3589"/>
    </row>
    <row r="3590" spans="42:42" x14ac:dyDescent="0.25">
      <c r="AP3590"/>
    </row>
    <row r="3591" spans="42:42" x14ac:dyDescent="0.25">
      <c r="AP3591"/>
    </row>
    <row r="3592" spans="42:42" x14ac:dyDescent="0.25">
      <c r="AP3592"/>
    </row>
    <row r="3593" spans="42:42" x14ac:dyDescent="0.25">
      <c r="AP3593"/>
    </row>
    <row r="3594" spans="42:42" x14ac:dyDescent="0.25">
      <c r="AP3594"/>
    </row>
    <row r="3595" spans="42:42" x14ac:dyDescent="0.25">
      <c r="AP3595"/>
    </row>
    <row r="3596" spans="42:42" x14ac:dyDescent="0.25">
      <c r="AP3596"/>
    </row>
    <row r="3597" spans="42:42" x14ac:dyDescent="0.25">
      <c r="AP3597"/>
    </row>
    <row r="3598" spans="42:42" x14ac:dyDescent="0.25">
      <c r="AP3598"/>
    </row>
    <row r="3599" spans="42:42" x14ac:dyDescent="0.25">
      <c r="AP3599"/>
    </row>
    <row r="3600" spans="42:42" x14ac:dyDescent="0.25">
      <c r="AP3600"/>
    </row>
    <row r="3601" spans="42:42" x14ac:dyDescent="0.25">
      <c r="AP3601"/>
    </row>
    <row r="3602" spans="42:42" x14ac:dyDescent="0.25">
      <c r="AP3602"/>
    </row>
    <row r="3603" spans="42:42" x14ac:dyDescent="0.25">
      <c r="AP3603"/>
    </row>
    <row r="3604" spans="42:42" x14ac:dyDescent="0.25">
      <c r="AP3604"/>
    </row>
    <row r="3605" spans="42:42" x14ac:dyDescent="0.25">
      <c r="AP3605"/>
    </row>
    <row r="3606" spans="42:42" x14ac:dyDescent="0.25">
      <c r="AP3606"/>
    </row>
    <row r="3607" spans="42:42" x14ac:dyDescent="0.25">
      <c r="AP3607"/>
    </row>
    <row r="3608" spans="42:42" x14ac:dyDescent="0.25">
      <c r="AP3608"/>
    </row>
    <row r="3609" spans="42:42" x14ac:dyDescent="0.25">
      <c r="AP3609"/>
    </row>
    <row r="3610" spans="42:42" x14ac:dyDescent="0.25">
      <c r="AP3610"/>
    </row>
    <row r="3611" spans="42:42" x14ac:dyDescent="0.25">
      <c r="AP3611"/>
    </row>
    <row r="3612" spans="42:42" x14ac:dyDescent="0.25">
      <c r="AP3612"/>
    </row>
    <row r="3613" spans="42:42" x14ac:dyDescent="0.25">
      <c r="AP3613"/>
    </row>
    <row r="3614" spans="42:42" x14ac:dyDescent="0.25">
      <c r="AP3614"/>
    </row>
    <row r="3615" spans="42:42" x14ac:dyDescent="0.25">
      <c r="AP3615"/>
    </row>
    <row r="3616" spans="42:42" x14ac:dyDescent="0.25">
      <c r="AP3616"/>
    </row>
    <row r="3617" spans="42:42" x14ac:dyDescent="0.25">
      <c r="AP3617"/>
    </row>
    <row r="3618" spans="42:42" x14ac:dyDescent="0.25">
      <c r="AP3618"/>
    </row>
    <row r="3619" spans="42:42" x14ac:dyDescent="0.25">
      <c r="AP3619"/>
    </row>
    <row r="3620" spans="42:42" x14ac:dyDescent="0.25">
      <c r="AP3620"/>
    </row>
    <row r="3621" spans="42:42" x14ac:dyDescent="0.25">
      <c r="AP3621"/>
    </row>
    <row r="3622" spans="42:42" x14ac:dyDescent="0.25">
      <c r="AP3622"/>
    </row>
    <row r="3623" spans="42:42" x14ac:dyDescent="0.25">
      <c r="AP3623"/>
    </row>
    <row r="3624" spans="42:42" x14ac:dyDescent="0.25">
      <c r="AP3624"/>
    </row>
    <row r="3625" spans="42:42" x14ac:dyDescent="0.25">
      <c r="AP3625"/>
    </row>
    <row r="3626" spans="42:42" x14ac:dyDescent="0.25">
      <c r="AP3626"/>
    </row>
    <row r="3627" spans="42:42" x14ac:dyDescent="0.25">
      <c r="AP3627"/>
    </row>
    <row r="3628" spans="42:42" x14ac:dyDescent="0.25">
      <c r="AP3628"/>
    </row>
    <row r="3629" spans="42:42" x14ac:dyDescent="0.25">
      <c r="AP3629"/>
    </row>
    <row r="3630" spans="42:42" x14ac:dyDescent="0.25">
      <c r="AP3630"/>
    </row>
    <row r="3631" spans="42:42" x14ac:dyDescent="0.25">
      <c r="AP3631"/>
    </row>
    <row r="3632" spans="42:42" x14ac:dyDescent="0.25">
      <c r="AP3632"/>
    </row>
    <row r="3633" spans="42:42" x14ac:dyDescent="0.25">
      <c r="AP3633"/>
    </row>
    <row r="3634" spans="42:42" x14ac:dyDescent="0.25">
      <c r="AP3634"/>
    </row>
    <row r="3635" spans="42:42" x14ac:dyDescent="0.25">
      <c r="AP3635"/>
    </row>
    <row r="3636" spans="42:42" x14ac:dyDescent="0.25">
      <c r="AP3636"/>
    </row>
    <row r="3637" spans="42:42" x14ac:dyDescent="0.25">
      <c r="AP3637"/>
    </row>
    <row r="3638" spans="42:42" x14ac:dyDescent="0.25">
      <c r="AP3638"/>
    </row>
    <row r="3639" spans="42:42" x14ac:dyDescent="0.25">
      <c r="AP3639"/>
    </row>
    <row r="3640" spans="42:42" x14ac:dyDescent="0.25">
      <c r="AP3640"/>
    </row>
    <row r="3641" spans="42:42" x14ac:dyDescent="0.25">
      <c r="AP3641"/>
    </row>
    <row r="3642" spans="42:42" x14ac:dyDescent="0.25">
      <c r="AP3642"/>
    </row>
    <row r="3643" spans="42:42" x14ac:dyDescent="0.25">
      <c r="AP3643"/>
    </row>
    <row r="3644" spans="42:42" x14ac:dyDescent="0.25">
      <c r="AP3644"/>
    </row>
    <row r="3645" spans="42:42" x14ac:dyDescent="0.25">
      <c r="AP3645"/>
    </row>
    <row r="3646" spans="42:42" x14ac:dyDescent="0.25">
      <c r="AP3646"/>
    </row>
    <row r="3647" spans="42:42" x14ac:dyDescent="0.25">
      <c r="AP3647"/>
    </row>
    <row r="3648" spans="42:42" x14ac:dyDescent="0.25">
      <c r="AP3648"/>
    </row>
    <row r="3649" spans="42:42" x14ac:dyDescent="0.25">
      <c r="AP3649"/>
    </row>
    <row r="3650" spans="42:42" x14ac:dyDescent="0.25">
      <c r="AP3650"/>
    </row>
    <row r="3651" spans="42:42" x14ac:dyDescent="0.25">
      <c r="AP3651"/>
    </row>
    <row r="3652" spans="42:42" x14ac:dyDescent="0.25">
      <c r="AP3652"/>
    </row>
    <row r="3653" spans="42:42" x14ac:dyDescent="0.25">
      <c r="AP3653"/>
    </row>
    <row r="3654" spans="42:42" x14ac:dyDescent="0.25">
      <c r="AP3654"/>
    </row>
    <row r="3655" spans="42:42" x14ac:dyDescent="0.25">
      <c r="AP3655"/>
    </row>
    <row r="3656" spans="42:42" x14ac:dyDescent="0.25">
      <c r="AP3656"/>
    </row>
    <row r="3657" spans="42:42" x14ac:dyDescent="0.25">
      <c r="AP3657"/>
    </row>
    <row r="3658" spans="42:42" x14ac:dyDescent="0.25">
      <c r="AP3658"/>
    </row>
    <row r="3659" spans="42:42" x14ac:dyDescent="0.25">
      <c r="AP3659"/>
    </row>
    <row r="3660" spans="42:42" x14ac:dyDescent="0.25">
      <c r="AP3660"/>
    </row>
    <row r="3661" spans="42:42" x14ac:dyDescent="0.25">
      <c r="AP3661"/>
    </row>
    <row r="3662" spans="42:42" x14ac:dyDescent="0.25">
      <c r="AP3662"/>
    </row>
    <row r="3663" spans="42:42" x14ac:dyDescent="0.25">
      <c r="AP3663"/>
    </row>
    <row r="3664" spans="42:42" x14ac:dyDescent="0.25">
      <c r="AP3664"/>
    </row>
    <row r="3665" spans="42:42" x14ac:dyDescent="0.25">
      <c r="AP3665"/>
    </row>
    <row r="3666" spans="42:42" x14ac:dyDescent="0.25">
      <c r="AP3666"/>
    </row>
    <row r="3667" spans="42:42" x14ac:dyDescent="0.25">
      <c r="AP3667"/>
    </row>
    <row r="3668" spans="42:42" x14ac:dyDescent="0.25">
      <c r="AP3668"/>
    </row>
    <row r="3669" spans="42:42" x14ac:dyDescent="0.25">
      <c r="AP3669"/>
    </row>
    <row r="3670" spans="42:42" x14ac:dyDescent="0.25">
      <c r="AP3670"/>
    </row>
    <row r="3671" spans="42:42" x14ac:dyDescent="0.25">
      <c r="AP3671"/>
    </row>
    <row r="3672" spans="42:42" x14ac:dyDescent="0.25">
      <c r="AP3672"/>
    </row>
    <row r="3673" spans="42:42" x14ac:dyDescent="0.25">
      <c r="AP3673"/>
    </row>
    <row r="3674" spans="42:42" x14ac:dyDescent="0.25">
      <c r="AP3674"/>
    </row>
    <row r="3675" spans="42:42" x14ac:dyDescent="0.25">
      <c r="AP3675"/>
    </row>
    <row r="3676" spans="42:42" x14ac:dyDescent="0.25">
      <c r="AP3676"/>
    </row>
    <row r="3677" spans="42:42" x14ac:dyDescent="0.25">
      <c r="AP3677"/>
    </row>
    <row r="3678" spans="42:42" x14ac:dyDescent="0.25">
      <c r="AP3678"/>
    </row>
    <row r="3679" spans="42:42" x14ac:dyDescent="0.25">
      <c r="AP3679"/>
    </row>
    <row r="3680" spans="42:42" x14ac:dyDescent="0.25">
      <c r="AP3680"/>
    </row>
    <row r="3681" spans="42:42" x14ac:dyDescent="0.25">
      <c r="AP3681"/>
    </row>
    <row r="3682" spans="42:42" x14ac:dyDescent="0.25">
      <c r="AP3682"/>
    </row>
    <row r="3683" spans="42:42" x14ac:dyDescent="0.25">
      <c r="AP3683"/>
    </row>
    <row r="3684" spans="42:42" x14ac:dyDescent="0.25">
      <c r="AP3684"/>
    </row>
    <row r="3685" spans="42:42" x14ac:dyDescent="0.25">
      <c r="AP3685"/>
    </row>
    <row r="3686" spans="42:42" x14ac:dyDescent="0.25">
      <c r="AP3686"/>
    </row>
    <row r="3687" spans="42:42" x14ac:dyDescent="0.25">
      <c r="AP3687"/>
    </row>
    <row r="3688" spans="42:42" x14ac:dyDescent="0.25">
      <c r="AP3688"/>
    </row>
    <row r="3689" spans="42:42" x14ac:dyDescent="0.25">
      <c r="AP3689"/>
    </row>
    <row r="3690" spans="42:42" x14ac:dyDescent="0.25">
      <c r="AP3690"/>
    </row>
    <row r="3691" spans="42:42" x14ac:dyDescent="0.25">
      <c r="AP3691"/>
    </row>
    <row r="3692" spans="42:42" x14ac:dyDescent="0.25">
      <c r="AP3692"/>
    </row>
    <row r="3693" spans="42:42" x14ac:dyDescent="0.25">
      <c r="AP3693"/>
    </row>
    <row r="3694" spans="42:42" x14ac:dyDescent="0.25">
      <c r="AP3694"/>
    </row>
    <row r="3695" spans="42:42" x14ac:dyDescent="0.25">
      <c r="AP3695"/>
    </row>
    <row r="3696" spans="42:42" x14ac:dyDescent="0.25">
      <c r="AP3696"/>
    </row>
    <row r="3697" spans="42:42" x14ac:dyDescent="0.25">
      <c r="AP3697"/>
    </row>
    <row r="3698" spans="42:42" x14ac:dyDescent="0.25">
      <c r="AP3698"/>
    </row>
    <row r="3699" spans="42:42" x14ac:dyDescent="0.25">
      <c r="AP3699"/>
    </row>
    <row r="3700" spans="42:42" x14ac:dyDescent="0.25">
      <c r="AP3700"/>
    </row>
    <row r="3701" spans="42:42" x14ac:dyDescent="0.25">
      <c r="AP3701"/>
    </row>
    <row r="3702" spans="42:42" x14ac:dyDescent="0.25">
      <c r="AP3702"/>
    </row>
    <row r="3703" spans="42:42" x14ac:dyDescent="0.25">
      <c r="AP3703"/>
    </row>
    <row r="3704" spans="42:42" x14ac:dyDescent="0.25">
      <c r="AP3704"/>
    </row>
    <row r="3705" spans="42:42" x14ac:dyDescent="0.25">
      <c r="AP3705"/>
    </row>
    <row r="3706" spans="42:42" x14ac:dyDescent="0.25">
      <c r="AP3706"/>
    </row>
    <row r="3707" spans="42:42" x14ac:dyDescent="0.25">
      <c r="AP3707"/>
    </row>
    <row r="3708" spans="42:42" x14ac:dyDescent="0.25">
      <c r="AP3708"/>
    </row>
    <row r="3709" spans="42:42" x14ac:dyDescent="0.25">
      <c r="AP3709"/>
    </row>
    <row r="3710" spans="42:42" x14ac:dyDescent="0.25">
      <c r="AP3710"/>
    </row>
    <row r="3711" spans="42:42" x14ac:dyDescent="0.25">
      <c r="AP3711"/>
    </row>
    <row r="3712" spans="42:42" x14ac:dyDescent="0.25">
      <c r="AP3712"/>
    </row>
    <row r="3713" spans="42:42" x14ac:dyDescent="0.25">
      <c r="AP3713"/>
    </row>
    <row r="3714" spans="42:42" x14ac:dyDescent="0.25">
      <c r="AP3714"/>
    </row>
    <row r="3715" spans="42:42" x14ac:dyDescent="0.25">
      <c r="AP3715"/>
    </row>
    <row r="3716" spans="42:42" x14ac:dyDescent="0.25">
      <c r="AP3716"/>
    </row>
    <row r="3717" spans="42:42" x14ac:dyDescent="0.25">
      <c r="AP3717"/>
    </row>
    <row r="3718" spans="42:42" x14ac:dyDescent="0.25">
      <c r="AP3718"/>
    </row>
    <row r="3719" spans="42:42" x14ac:dyDescent="0.25">
      <c r="AP3719"/>
    </row>
    <row r="3720" spans="42:42" x14ac:dyDescent="0.25">
      <c r="AP3720"/>
    </row>
    <row r="3721" spans="42:42" x14ac:dyDescent="0.25">
      <c r="AP3721"/>
    </row>
    <row r="3722" spans="42:42" x14ac:dyDescent="0.25">
      <c r="AP3722"/>
    </row>
    <row r="3723" spans="42:42" x14ac:dyDescent="0.25">
      <c r="AP3723"/>
    </row>
    <row r="3724" spans="42:42" x14ac:dyDescent="0.25">
      <c r="AP3724"/>
    </row>
    <row r="3725" spans="42:42" x14ac:dyDescent="0.25">
      <c r="AP3725"/>
    </row>
    <row r="3726" spans="42:42" x14ac:dyDescent="0.25">
      <c r="AP3726"/>
    </row>
    <row r="3727" spans="42:42" x14ac:dyDescent="0.25">
      <c r="AP3727"/>
    </row>
    <row r="3728" spans="42:42" x14ac:dyDescent="0.25">
      <c r="AP3728"/>
    </row>
    <row r="3729" spans="42:42" x14ac:dyDescent="0.25">
      <c r="AP3729"/>
    </row>
    <row r="3730" spans="42:42" x14ac:dyDescent="0.25">
      <c r="AP3730"/>
    </row>
    <row r="3731" spans="42:42" x14ac:dyDescent="0.25">
      <c r="AP3731"/>
    </row>
    <row r="3732" spans="42:42" x14ac:dyDescent="0.25">
      <c r="AP3732"/>
    </row>
    <row r="3733" spans="42:42" x14ac:dyDescent="0.25">
      <c r="AP3733"/>
    </row>
    <row r="3734" spans="42:42" x14ac:dyDescent="0.25">
      <c r="AP3734"/>
    </row>
    <row r="3735" spans="42:42" x14ac:dyDescent="0.25">
      <c r="AP3735"/>
    </row>
    <row r="3736" spans="42:42" x14ac:dyDescent="0.25">
      <c r="AP3736"/>
    </row>
    <row r="3737" spans="42:42" x14ac:dyDescent="0.25">
      <c r="AP3737"/>
    </row>
    <row r="3738" spans="42:42" x14ac:dyDescent="0.25">
      <c r="AP3738"/>
    </row>
    <row r="3739" spans="42:42" x14ac:dyDescent="0.25">
      <c r="AP3739"/>
    </row>
    <row r="3740" spans="42:42" x14ac:dyDescent="0.25">
      <c r="AP3740"/>
    </row>
    <row r="3741" spans="42:42" x14ac:dyDescent="0.25">
      <c r="AP3741"/>
    </row>
    <row r="3742" spans="42:42" x14ac:dyDescent="0.25">
      <c r="AP3742"/>
    </row>
    <row r="3743" spans="42:42" x14ac:dyDescent="0.25">
      <c r="AP3743"/>
    </row>
    <row r="3744" spans="42:42" x14ac:dyDescent="0.25">
      <c r="AP3744"/>
    </row>
    <row r="3745" spans="42:42" x14ac:dyDescent="0.25">
      <c r="AP3745"/>
    </row>
    <row r="3746" spans="42:42" x14ac:dyDescent="0.25">
      <c r="AP3746"/>
    </row>
    <row r="3747" spans="42:42" x14ac:dyDescent="0.25">
      <c r="AP3747"/>
    </row>
    <row r="3748" spans="42:42" x14ac:dyDescent="0.25">
      <c r="AP3748"/>
    </row>
    <row r="3749" spans="42:42" x14ac:dyDescent="0.25">
      <c r="AP3749"/>
    </row>
    <row r="3750" spans="42:42" x14ac:dyDescent="0.25">
      <c r="AP3750"/>
    </row>
    <row r="3751" spans="42:42" x14ac:dyDescent="0.25">
      <c r="AP3751"/>
    </row>
    <row r="3752" spans="42:42" x14ac:dyDescent="0.25">
      <c r="AP3752"/>
    </row>
    <row r="3753" spans="42:42" x14ac:dyDescent="0.25">
      <c r="AP3753"/>
    </row>
    <row r="3754" spans="42:42" x14ac:dyDescent="0.25">
      <c r="AP3754"/>
    </row>
    <row r="3755" spans="42:42" x14ac:dyDescent="0.25">
      <c r="AP3755"/>
    </row>
    <row r="3756" spans="42:42" x14ac:dyDescent="0.25">
      <c r="AP3756"/>
    </row>
    <row r="3757" spans="42:42" x14ac:dyDescent="0.25">
      <c r="AP3757"/>
    </row>
    <row r="3758" spans="42:42" x14ac:dyDescent="0.25">
      <c r="AP3758"/>
    </row>
    <row r="3759" spans="42:42" x14ac:dyDescent="0.25">
      <c r="AP3759"/>
    </row>
    <row r="3760" spans="42:42" x14ac:dyDescent="0.25">
      <c r="AP3760"/>
    </row>
    <row r="3761" spans="42:42" x14ac:dyDescent="0.25">
      <c r="AP3761"/>
    </row>
    <row r="3762" spans="42:42" x14ac:dyDescent="0.25">
      <c r="AP3762"/>
    </row>
    <row r="3763" spans="42:42" x14ac:dyDescent="0.25">
      <c r="AP3763"/>
    </row>
    <row r="3764" spans="42:42" x14ac:dyDescent="0.25">
      <c r="AP3764"/>
    </row>
    <row r="3765" spans="42:42" x14ac:dyDescent="0.25">
      <c r="AP3765"/>
    </row>
    <row r="3766" spans="42:42" x14ac:dyDescent="0.25">
      <c r="AP3766"/>
    </row>
    <row r="3767" spans="42:42" x14ac:dyDescent="0.25">
      <c r="AP3767"/>
    </row>
    <row r="3768" spans="42:42" x14ac:dyDescent="0.25">
      <c r="AP3768"/>
    </row>
    <row r="3769" spans="42:42" x14ac:dyDescent="0.25">
      <c r="AP3769"/>
    </row>
    <row r="3770" spans="42:42" x14ac:dyDescent="0.25">
      <c r="AP3770"/>
    </row>
    <row r="3771" spans="42:42" x14ac:dyDescent="0.25">
      <c r="AP3771"/>
    </row>
    <row r="3772" spans="42:42" x14ac:dyDescent="0.25">
      <c r="AP3772"/>
    </row>
    <row r="3773" spans="42:42" x14ac:dyDescent="0.25">
      <c r="AP3773"/>
    </row>
    <row r="3774" spans="42:42" x14ac:dyDescent="0.25">
      <c r="AP3774"/>
    </row>
    <row r="3775" spans="42:42" x14ac:dyDescent="0.25">
      <c r="AP3775"/>
    </row>
    <row r="3776" spans="42:42" x14ac:dyDescent="0.25">
      <c r="AP3776"/>
    </row>
    <row r="3777" spans="42:42" x14ac:dyDescent="0.25">
      <c r="AP3777"/>
    </row>
    <row r="3778" spans="42:42" x14ac:dyDescent="0.25">
      <c r="AP3778"/>
    </row>
    <row r="3779" spans="42:42" x14ac:dyDescent="0.25">
      <c r="AP3779"/>
    </row>
    <row r="3780" spans="42:42" x14ac:dyDescent="0.25">
      <c r="AP3780"/>
    </row>
    <row r="3781" spans="42:42" x14ac:dyDescent="0.25">
      <c r="AP3781"/>
    </row>
    <row r="3782" spans="42:42" x14ac:dyDescent="0.25">
      <c r="AP3782"/>
    </row>
    <row r="3783" spans="42:42" x14ac:dyDescent="0.25">
      <c r="AP3783"/>
    </row>
    <row r="3784" spans="42:42" x14ac:dyDescent="0.25">
      <c r="AP3784"/>
    </row>
    <row r="3785" spans="42:42" x14ac:dyDescent="0.25">
      <c r="AP3785"/>
    </row>
    <row r="3786" spans="42:42" x14ac:dyDescent="0.25">
      <c r="AP3786"/>
    </row>
    <row r="3787" spans="42:42" x14ac:dyDescent="0.25">
      <c r="AP3787"/>
    </row>
    <row r="3788" spans="42:42" x14ac:dyDescent="0.25">
      <c r="AP3788"/>
    </row>
    <row r="3789" spans="42:42" x14ac:dyDescent="0.25">
      <c r="AP3789"/>
    </row>
    <row r="3790" spans="42:42" x14ac:dyDescent="0.25">
      <c r="AP3790"/>
    </row>
    <row r="3791" spans="42:42" x14ac:dyDescent="0.25">
      <c r="AP3791"/>
    </row>
    <row r="3792" spans="42:42" x14ac:dyDescent="0.25">
      <c r="AP3792"/>
    </row>
    <row r="3793" spans="42:42" x14ac:dyDescent="0.25">
      <c r="AP3793"/>
    </row>
    <row r="3794" spans="42:42" x14ac:dyDescent="0.25">
      <c r="AP3794"/>
    </row>
    <row r="3795" spans="42:42" x14ac:dyDescent="0.25">
      <c r="AP3795"/>
    </row>
    <row r="3796" spans="42:42" x14ac:dyDescent="0.25">
      <c r="AP3796"/>
    </row>
    <row r="3797" spans="42:42" x14ac:dyDescent="0.25">
      <c r="AP3797"/>
    </row>
    <row r="3798" spans="42:42" x14ac:dyDescent="0.25">
      <c r="AP3798"/>
    </row>
    <row r="3799" spans="42:42" x14ac:dyDescent="0.25">
      <c r="AP3799"/>
    </row>
    <row r="3800" spans="42:42" x14ac:dyDescent="0.25">
      <c r="AP3800"/>
    </row>
    <row r="3801" spans="42:42" x14ac:dyDescent="0.25">
      <c r="AP3801"/>
    </row>
    <row r="3802" spans="42:42" x14ac:dyDescent="0.25">
      <c r="AP3802"/>
    </row>
    <row r="3803" spans="42:42" x14ac:dyDescent="0.25">
      <c r="AP3803"/>
    </row>
    <row r="3804" spans="42:42" x14ac:dyDescent="0.25">
      <c r="AP3804"/>
    </row>
    <row r="3805" spans="42:42" x14ac:dyDescent="0.25">
      <c r="AP3805"/>
    </row>
    <row r="3806" spans="42:42" x14ac:dyDescent="0.25">
      <c r="AP3806"/>
    </row>
    <row r="3807" spans="42:42" x14ac:dyDescent="0.25">
      <c r="AP3807"/>
    </row>
    <row r="3808" spans="42:42" x14ac:dyDescent="0.25">
      <c r="AP3808"/>
    </row>
    <row r="3809" spans="42:42" x14ac:dyDescent="0.25">
      <c r="AP3809"/>
    </row>
    <row r="3810" spans="42:42" x14ac:dyDescent="0.25">
      <c r="AP3810"/>
    </row>
    <row r="3811" spans="42:42" x14ac:dyDescent="0.25">
      <c r="AP3811"/>
    </row>
    <row r="3812" spans="42:42" x14ac:dyDescent="0.25">
      <c r="AP3812"/>
    </row>
    <row r="3813" spans="42:42" x14ac:dyDescent="0.25">
      <c r="AP3813"/>
    </row>
    <row r="3814" spans="42:42" x14ac:dyDescent="0.25">
      <c r="AP3814"/>
    </row>
    <row r="3815" spans="42:42" x14ac:dyDescent="0.25">
      <c r="AP3815"/>
    </row>
    <row r="3816" spans="42:42" x14ac:dyDescent="0.25">
      <c r="AP3816"/>
    </row>
    <row r="3817" spans="42:42" x14ac:dyDescent="0.25">
      <c r="AP3817"/>
    </row>
    <row r="3818" spans="42:42" x14ac:dyDescent="0.25">
      <c r="AP3818"/>
    </row>
    <row r="3819" spans="42:42" x14ac:dyDescent="0.25">
      <c r="AP3819"/>
    </row>
    <row r="3820" spans="42:42" x14ac:dyDescent="0.25">
      <c r="AP3820"/>
    </row>
    <row r="3821" spans="42:42" x14ac:dyDescent="0.25">
      <c r="AP3821"/>
    </row>
    <row r="3822" spans="42:42" x14ac:dyDescent="0.25">
      <c r="AP3822"/>
    </row>
    <row r="3823" spans="42:42" x14ac:dyDescent="0.25">
      <c r="AP3823"/>
    </row>
    <row r="3824" spans="42:42" x14ac:dyDescent="0.25">
      <c r="AP3824"/>
    </row>
    <row r="3825" spans="42:42" x14ac:dyDescent="0.25">
      <c r="AP3825"/>
    </row>
    <row r="3826" spans="42:42" x14ac:dyDescent="0.25">
      <c r="AP3826"/>
    </row>
    <row r="3827" spans="42:42" x14ac:dyDescent="0.25">
      <c r="AP3827"/>
    </row>
    <row r="3828" spans="42:42" x14ac:dyDescent="0.25">
      <c r="AP3828"/>
    </row>
    <row r="3829" spans="42:42" x14ac:dyDescent="0.25">
      <c r="AP3829"/>
    </row>
    <row r="3830" spans="42:42" x14ac:dyDescent="0.25">
      <c r="AP3830"/>
    </row>
    <row r="3831" spans="42:42" x14ac:dyDescent="0.25">
      <c r="AP3831"/>
    </row>
    <row r="3832" spans="42:42" x14ac:dyDescent="0.25">
      <c r="AP3832"/>
    </row>
    <row r="3833" spans="42:42" x14ac:dyDescent="0.25">
      <c r="AP3833"/>
    </row>
    <row r="3834" spans="42:42" x14ac:dyDescent="0.25">
      <c r="AP3834"/>
    </row>
    <row r="3835" spans="42:42" x14ac:dyDescent="0.25">
      <c r="AP3835"/>
    </row>
    <row r="3836" spans="42:42" x14ac:dyDescent="0.25">
      <c r="AP3836"/>
    </row>
    <row r="3837" spans="42:42" x14ac:dyDescent="0.25">
      <c r="AP3837"/>
    </row>
    <row r="3838" spans="42:42" x14ac:dyDescent="0.25">
      <c r="AP3838"/>
    </row>
    <row r="3839" spans="42:42" x14ac:dyDescent="0.25">
      <c r="AP3839"/>
    </row>
    <row r="3840" spans="42:42" x14ac:dyDescent="0.25">
      <c r="AP3840"/>
    </row>
    <row r="3841" spans="42:42" x14ac:dyDescent="0.25">
      <c r="AP3841"/>
    </row>
    <row r="3842" spans="42:42" x14ac:dyDescent="0.25">
      <c r="AP3842"/>
    </row>
    <row r="3843" spans="42:42" x14ac:dyDescent="0.25">
      <c r="AP3843"/>
    </row>
    <row r="3844" spans="42:42" x14ac:dyDescent="0.25">
      <c r="AP3844"/>
    </row>
    <row r="3845" spans="42:42" x14ac:dyDescent="0.25">
      <c r="AP3845"/>
    </row>
    <row r="3846" spans="42:42" x14ac:dyDescent="0.25">
      <c r="AP3846"/>
    </row>
    <row r="3847" spans="42:42" x14ac:dyDescent="0.25">
      <c r="AP3847"/>
    </row>
    <row r="3848" spans="42:42" x14ac:dyDescent="0.25">
      <c r="AP3848"/>
    </row>
    <row r="3849" spans="42:42" x14ac:dyDescent="0.25">
      <c r="AP3849"/>
    </row>
    <row r="3850" spans="42:42" x14ac:dyDescent="0.25">
      <c r="AP3850"/>
    </row>
    <row r="3851" spans="42:42" x14ac:dyDescent="0.25">
      <c r="AP3851"/>
    </row>
    <row r="3852" spans="42:42" x14ac:dyDescent="0.25">
      <c r="AP3852"/>
    </row>
    <row r="3853" spans="42:42" x14ac:dyDescent="0.25">
      <c r="AP3853"/>
    </row>
    <row r="3854" spans="42:42" x14ac:dyDescent="0.25">
      <c r="AP3854"/>
    </row>
    <row r="3855" spans="42:42" x14ac:dyDescent="0.25">
      <c r="AP3855"/>
    </row>
    <row r="3856" spans="42:42" x14ac:dyDescent="0.25">
      <c r="AP3856"/>
    </row>
    <row r="3857" spans="42:42" x14ac:dyDescent="0.25">
      <c r="AP3857"/>
    </row>
    <row r="3858" spans="42:42" x14ac:dyDescent="0.25">
      <c r="AP3858"/>
    </row>
    <row r="3859" spans="42:42" x14ac:dyDescent="0.25">
      <c r="AP3859"/>
    </row>
    <row r="3860" spans="42:42" x14ac:dyDescent="0.25">
      <c r="AP3860"/>
    </row>
    <row r="3861" spans="42:42" x14ac:dyDescent="0.25">
      <c r="AP3861"/>
    </row>
    <row r="3862" spans="42:42" x14ac:dyDescent="0.25">
      <c r="AP3862"/>
    </row>
    <row r="3863" spans="42:42" x14ac:dyDescent="0.25">
      <c r="AP3863"/>
    </row>
    <row r="3864" spans="42:42" x14ac:dyDescent="0.25">
      <c r="AP3864"/>
    </row>
    <row r="3865" spans="42:42" x14ac:dyDescent="0.25">
      <c r="AP3865"/>
    </row>
    <row r="3866" spans="42:42" x14ac:dyDescent="0.25">
      <c r="AP3866"/>
    </row>
    <row r="3867" spans="42:42" x14ac:dyDescent="0.25">
      <c r="AP3867"/>
    </row>
    <row r="3868" spans="42:42" x14ac:dyDescent="0.25">
      <c r="AP3868"/>
    </row>
    <row r="3869" spans="42:42" x14ac:dyDescent="0.25">
      <c r="AP3869"/>
    </row>
    <row r="3870" spans="42:42" x14ac:dyDescent="0.25">
      <c r="AP3870"/>
    </row>
    <row r="3871" spans="42:42" x14ac:dyDescent="0.25">
      <c r="AP3871"/>
    </row>
    <row r="3872" spans="42:42" x14ac:dyDescent="0.25">
      <c r="AP3872"/>
    </row>
    <row r="3873" spans="42:42" x14ac:dyDescent="0.25">
      <c r="AP3873"/>
    </row>
    <row r="3874" spans="42:42" x14ac:dyDescent="0.25">
      <c r="AP3874"/>
    </row>
    <row r="3875" spans="42:42" x14ac:dyDescent="0.25">
      <c r="AP3875"/>
    </row>
    <row r="3876" spans="42:42" x14ac:dyDescent="0.25">
      <c r="AP3876"/>
    </row>
    <row r="3877" spans="42:42" x14ac:dyDescent="0.25">
      <c r="AP3877"/>
    </row>
    <row r="3878" spans="42:42" x14ac:dyDescent="0.25">
      <c r="AP3878"/>
    </row>
    <row r="3879" spans="42:42" x14ac:dyDescent="0.25">
      <c r="AP3879"/>
    </row>
    <row r="3880" spans="42:42" x14ac:dyDescent="0.25">
      <c r="AP3880"/>
    </row>
    <row r="3881" spans="42:42" x14ac:dyDescent="0.25">
      <c r="AP3881"/>
    </row>
    <row r="3882" spans="42:42" x14ac:dyDescent="0.25">
      <c r="AP3882"/>
    </row>
    <row r="3883" spans="42:42" x14ac:dyDescent="0.25">
      <c r="AP3883"/>
    </row>
    <row r="3884" spans="42:42" x14ac:dyDescent="0.25">
      <c r="AP3884"/>
    </row>
    <row r="3885" spans="42:42" x14ac:dyDescent="0.25">
      <c r="AP3885"/>
    </row>
    <row r="3886" spans="42:42" x14ac:dyDescent="0.25">
      <c r="AP3886"/>
    </row>
    <row r="3887" spans="42:42" x14ac:dyDescent="0.25">
      <c r="AP3887"/>
    </row>
    <row r="3888" spans="42:42" x14ac:dyDescent="0.25">
      <c r="AP3888"/>
    </row>
    <row r="3889" spans="42:42" x14ac:dyDescent="0.25">
      <c r="AP3889"/>
    </row>
    <row r="3890" spans="42:42" x14ac:dyDescent="0.25">
      <c r="AP3890"/>
    </row>
    <row r="3891" spans="42:42" x14ac:dyDescent="0.25">
      <c r="AP3891"/>
    </row>
    <row r="3892" spans="42:42" x14ac:dyDescent="0.25">
      <c r="AP3892"/>
    </row>
    <row r="3893" spans="42:42" x14ac:dyDescent="0.25">
      <c r="AP3893"/>
    </row>
    <row r="3894" spans="42:42" x14ac:dyDescent="0.25">
      <c r="AP3894"/>
    </row>
    <row r="3895" spans="42:42" x14ac:dyDescent="0.25">
      <c r="AP3895"/>
    </row>
    <row r="3896" spans="42:42" x14ac:dyDescent="0.25">
      <c r="AP3896"/>
    </row>
    <row r="3897" spans="42:42" x14ac:dyDescent="0.25">
      <c r="AP3897"/>
    </row>
    <row r="3898" spans="42:42" x14ac:dyDescent="0.25">
      <c r="AP3898"/>
    </row>
    <row r="3899" spans="42:42" x14ac:dyDescent="0.25">
      <c r="AP3899"/>
    </row>
    <row r="3900" spans="42:42" x14ac:dyDescent="0.25">
      <c r="AP3900"/>
    </row>
    <row r="3901" spans="42:42" x14ac:dyDescent="0.25">
      <c r="AP3901"/>
    </row>
    <row r="3902" spans="42:42" x14ac:dyDescent="0.25">
      <c r="AP3902"/>
    </row>
    <row r="3903" spans="42:42" x14ac:dyDescent="0.25">
      <c r="AP3903"/>
    </row>
    <row r="3904" spans="42:42" x14ac:dyDescent="0.25">
      <c r="AP3904"/>
    </row>
    <row r="3905" spans="42:42" x14ac:dyDescent="0.25">
      <c r="AP3905"/>
    </row>
    <row r="3906" spans="42:42" x14ac:dyDescent="0.25">
      <c r="AP3906"/>
    </row>
    <row r="3907" spans="42:42" x14ac:dyDescent="0.25">
      <c r="AP3907"/>
    </row>
    <row r="3908" spans="42:42" x14ac:dyDescent="0.25">
      <c r="AP3908"/>
    </row>
    <row r="3909" spans="42:42" x14ac:dyDescent="0.25">
      <c r="AP3909"/>
    </row>
    <row r="3910" spans="42:42" x14ac:dyDescent="0.25">
      <c r="AP3910"/>
    </row>
    <row r="3911" spans="42:42" x14ac:dyDescent="0.25">
      <c r="AP3911"/>
    </row>
    <row r="3912" spans="42:42" x14ac:dyDescent="0.25">
      <c r="AP3912"/>
    </row>
    <row r="3913" spans="42:42" x14ac:dyDescent="0.25">
      <c r="AP3913"/>
    </row>
    <row r="3914" spans="42:42" x14ac:dyDescent="0.25">
      <c r="AP3914"/>
    </row>
    <row r="3915" spans="42:42" x14ac:dyDescent="0.25">
      <c r="AP3915"/>
    </row>
    <row r="3916" spans="42:42" x14ac:dyDescent="0.25">
      <c r="AP3916"/>
    </row>
    <row r="3917" spans="42:42" x14ac:dyDescent="0.25">
      <c r="AP3917"/>
    </row>
    <row r="3918" spans="42:42" x14ac:dyDescent="0.25">
      <c r="AP3918"/>
    </row>
    <row r="3919" spans="42:42" x14ac:dyDescent="0.25">
      <c r="AP3919"/>
    </row>
    <row r="3920" spans="42:42" x14ac:dyDescent="0.25">
      <c r="AP3920"/>
    </row>
    <row r="3921" spans="42:42" x14ac:dyDescent="0.25">
      <c r="AP3921"/>
    </row>
    <row r="3922" spans="42:42" x14ac:dyDescent="0.25">
      <c r="AP3922"/>
    </row>
    <row r="3923" spans="42:42" x14ac:dyDescent="0.25">
      <c r="AP3923"/>
    </row>
    <row r="3924" spans="42:42" x14ac:dyDescent="0.25">
      <c r="AP3924"/>
    </row>
    <row r="3925" spans="42:42" x14ac:dyDescent="0.25">
      <c r="AP3925"/>
    </row>
    <row r="3926" spans="42:42" x14ac:dyDescent="0.25">
      <c r="AP3926"/>
    </row>
    <row r="3927" spans="42:42" x14ac:dyDescent="0.25">
      <c r="AP3927"/>
    </row>
    <row r="3928" spans="42:42" x14ac:dyDescent="0.25">
      <c r="AP3928"/>
    </row>
    <row r="3929" spans="42:42" x14ac:dyDescent="0.25">
      <c r="AP3929"/>
    </row>
    <row r="3930" spans="42:42" x14ac:dyDescent="0.25">
      <c r="AP3930"/>
    </row>
    <row r="3931" spans="42:42" x14ac:dyDescent="0.25">
      <c r="AP3931"/>
    </row>
    <row r="3932" spans="42:42" x14ac:dyDescent="0.25">
      <c r="AP3932"/>
    </row>
    <row r="3933" spans="42:42" x14ac:dyDescent="0.25">
      <c r="AP3933"/>
    </row>
    <row r="3934" spans="42:42" x14ac:dyDescent="0.25">
      <c r="AP3934"/>
    </row>
    <row r="3935" spans="42:42" x14ac:dyDescent="0.25">
      <c r="AP3935"/>
    </row>
    <row r="3936" spans="42:42" x14ac:dyDescent="0.25">
      <c r="AP3936"/>
    </row>
    <row r="3937" spans="42:42" x14ac:dyDescent="0.25">
      <c r="AP3937"/>
    </row>
    <row r="3938" spans="42:42" x14ac:dyDescent="0.25">
      <c r="AP3938"/>
    </row>
    <row r="3939" spans="42:42" x14ac:dyDescent="0.25">
      <c r="AP3939"/>
    </row>
    <row r="3940" spans="42:42" x14ac:dyDescent="0.25">
      <c r="AP3940"/>
    </row>
    <row r="3941" spans="42:42" x14ac:dyDescent="0.25">
      <c r="AP3941"/>
    </row>
    <row r="3942" spans="42:42" x14ac:dyDescent="0.25">
      <c r="AP3942"/>
    </row>
    <row r="3943" spans="42:42" x14ac:dyDescent="0.25">
      <c r="AP3943"/>
    </row>
    <row r="3944" spans="42:42" x14ac:dyDescent="0.25">
      <c r="AP3944"/>
    </row>
    <row r="3945" spans="42:42" x14ac:dyDescent="0.25">
      <c r="AP3945"/>
    </row>
    <row r="3946" spans="42:42" x14ac:dyDescent="0.25">
      <c r="AP3946"/>
    </row>
    <row r="3947" spans="42:42" x14ac:dyDescent="0.25">
      <c r="AP3947"/>
    </row>
    <row r="3948" spans="42:42" x14ac:dyDescent="0.25">
      <c r="AP3948"/>
    </row>
    <row r="3949" spans="42:42" x14ac:dyDescent="0.25">
      <c r="AP3949"/>
    </row>
    <row r="3950" spans="42:42" x14ac:dyDescent="0.25">
      <c r="AP3950"/>
    </row>
    <row r="3951" spans="42:42" x14ac:dyDescent="0.25">
      <c r="AP3951"/>
    </row>
    <row r="3952" spans="42:42" x14ac:dyDescent="0.25">
      <c r="AP3952"/>
    </row>
    <row r="3953" spans="42:42" x14ac:dyDescent="0.25">
      <c r="AP3953"/>
    </row>
    <row r="3954" spans="42:42" x14ac:dyDescent="0.25">
      <c r="AP3954"/>
    </row>
    <row r="3955" spans="42:42" x14ac:dyDescent="0.25">
      <c r="AP3955"/>
    </row>
    <row r="3956" spans="42:42" x14ac:dyDescent="0.25">
      <c r="AP3956"/>
    </row>
    <row r="3957" spans="42:42" x14ac:dyDescent="0.25">
      <c r="AP3957"/>
    </row>
    <row r="3958" spans="42:42" x14ac:dyDescent="0.25">
      <c r="AP3958"/>
    </row>
    <row r="3959" spans="42:42" x14ac:dyDescent="0.25">
      <c r="AP3959"/>
    </row>
    <row r="3960" spans="42:42" x14ac:dyDescent="0.25">
      <c r="AP3960"/>
    </row>
    <row r="3961" spans="42:42" x14ac:dyDescent="0.25">
      <c r="AP3961"/>
    </row>
    <row r="3962" spans="42:42" x14ac:dyDescent="0.25">
      <c r="AP3962"/>
    </row>
    <row r="3963" spans="42:42" x14ac:dyDescent="0.25">
      <c r="AP3963"/>
    </row>
    <row r="3964" spans="42:42" x14ac:dyDescent="0.25">
      <c r="AP3964"/>
    </row>
    <row r="3965" spans="42:42" x14ac:dyDescent="0.25">
      <c r="AP3965"/>
    </row>
    <row r="3966" spans="42:42" x14ac:dyDescent="0.25">
      <c r="AP3966"/>
    </row>
    <row r="3967" spans="42:42" x14ac:dyDescent="0.25">
      <c r="AP3967"/>
    </row>
    <row r="3968" spans="42:42" x14ac:dyDescent="0.25">
      <c r="AP3968"/>
    </row>
    <row r="3969" spans="42:42" x14ac:dyDescent="0.25">
      <c r="AP3969"/>
    </row>
    <row r="3970" spans="42:42" x14ac:dyDescent="0.25">
      <c r="AP3970"/>
    </row>
    <row r="3971" spans="42:42" x14ac:dyDescent="0.25">
      <c r="AP3971"/>
    </row>
    <row r="3972" spans="42:42" x14ac:dyDescent="0.25">
      <c r="AP3972"/>
    </row>
    <row r="3973" spans="42:42" x14ac:dyDescent="0.25">
      <c r="AP3973"/>
    </row>
    <row r="3974" spans="42:42" x14ac:dyDescent="0.25">
      <c r="AP3974"/>
    </row>
    <row r="3975" spans="42:42" x14ac:dyDescent="0.25">
      <c r="AP3975"/>
    </row>
    <row r="3976" spans="42:42" x14ac:dyDescent="0.25">
      <c r="AP3976"/>
    </row>
    <row r="3977" spans="42:42" x14ac:dyDescent="0.25">
      <c r="AP3977"/>
    </row>
    <row r="3978" spans="42:42" x14ac:dyDescent="0.25">
      <c r="AP3978"/>
    </row>
    <row r="3979" spans="42:42" x14ac:dyDescent="0.25">
      <c r="AP3979"/>
    </row>
    <row r="3980" spans="42:42" x14ac:dyDescent="0.25">
      <c r="AP3980"/>
    </row>
    <row r="3981" spans="42:42" x14ac:dyDescent="0.25">
      <c r="AP3981"/>
    </row>
    <row r="3982" spans="42:42" x14ac:dyDescent="0.25">
      <c r="AP3982"/>
    </row>
    <row r="3983" spans="42:42" x14ac:dyDescent="0.25">
      <c r="AP3983"/>
    </row>
    <row r="3984" spans="42:42" x14ac:dyDescent="0.25">
      <c r="AP3984"/>
    </row>
    <row r="3985" spans="42:42" x14ac:dyDescent="0.25">
      <c r="AP3985"/>
    </row>
    <row r="3986" spans="42:42" x14ac:dyDescent="0.25">
      <c r="AP3986"/>
    </row>
    <row r="3987" spans="42:42" x14ac:dyDescent="0.25">
      <c r="AP3987"/>
    </row>
    <row r="3988" spans="42:42" x14ac:dyDescent="0.25">
      <c r="AP3988"/>
    </row>
    <row r="3989" spans="42:42" x14ac:dyDescent="0.25">
      <c r="AP3989"/>
    </row>
    <row r="3990" spans="42:42" x14ac:dyDescent="0.25">
      <c r="AP3990"/>
    </row>
    <row r="3991" spans="42:42" x14ac:dyDescent="0.25">
      <c r="AP3991"/>
    </row>
    <row r="3992" spans="42:42" x14ac:dyDescent="0.25">
      <c r="AP3992"/>
    </row>
    <row r="3993" spans="42:42" x14ac:dyDescent="0.25">
      <c r="AP3993"/>
    </row>
    <row r="3994" spans="42:42" x14ac:dyDescent="0.25">
      <c r="AP3994"/>
    </row>
    <row r="3995" spans="42:42" x14ac:dyDescent="0.25">
      <c r="AP3995"/>
    </row>
    <row r="3996" spans="42:42" x14ac:dyDescent="0.25">
      <c r="AP3996"/>
    </row>
    <row r="3997" spans="42:42" x14ac:dyDescent="0.25">
      <c r="AP3997"/>
    </row>
    <row r="3998" spans="42:42" x14ac:dyDescent="0.25">
      <c r="AP3998"/>
    </row>
    <row r="3999" spans="42:42" x14ac:dyDescent="0.25">
      <c r="AP3999"/>
    </row>
    <row r="4000" spans="42:42" x14ac:dyDescent="0.25">
      <c r="AP4000"/>
    </row>
    <row r="4001" spans="42:42" x14ac:dyDescent="0.25">
      <c r="AP4001"/>
    </row>
    <row r="4002" spans="42:42" x14ac:dyDescent="0.25">
      <c r="AP4002"/>
    </row>
    <row r="4003" spans="42:42" x14ac:dyDescent="0.25">
      <c r="AP4003"/>
    </row>
    <row r="4004" spans="42:42" x14ac:dyDescent="0.25">
      <c r="AP4004"/>
    </row>
    <row r="4005" spans="42:42" x14ac:dyDescent="0.25">
      <c r="AP4005"/>
    </row>
    <row r="4006" spans="42:42" x14ac:dyDescent="0.25">
      <c r="AP4006"/>
    </row>
    <row r="4007" spans="42:42" x14ac:dyDescent="0.25">
      <c r="AP4007"/>
    </row>
    <row r="4008" spans="42:42" x14ac:dyDescent="0.25">
      <c r="AP4008"/>
    </row>
    <row r="4009" spans="42:42" x14ac:dyDescent="0.25">
      <c r="AP4009"/>
    </row>
    <row r="4010" spans="42:42" x14ac:dyDescent="0.25">
      <c r="AP4010"/>
    </row>
    <row r="4011" spans="42:42" x14ac:dyDescent="0.25">
      <c r="AP4011"/>
    </row>
    <row r="4012" spans="42:42" x14ac:dyDescent="0.25">
      <c r="AP4012"/>
    </row>
    <row r="4013" spans="42:42" x14ac:dyDescent="0.25">
      <c r="AP4013"/>
    </row>
    <row r="4014" spans="42:42" x14ac:dyDescent="0.25">
      <c r="AP4014"/>
    </row>
    <row r="4015" spans="42:42" x14ac:dyDescent="0.25">
      <c r="AP4015"/>
    </row>
    <row r="4016" spans="42:42" x14ac:dyDescent="0.25">
      <c r="AP4016"/>
    </row>
    <row r="4017" spans="42:42" x14ac:dyDescent="0.25">
      <c r="AP4017"/>
    </row>
    <row r="4018" spans="42:42" x14ac:dyDescent="0.25">
      <c r="AP4018"/>
    </row>
    <row r="4019" spans="42:42" x14ac:dyDescent="0.25">
      <c r="AP4019"/>
    </row>
    <row r="4020" spans="42:42" x14ac:dyDescent="0.25">
      <c r="AP4020"/>
    </row>
    <row r="4021" spans="42:42" x14ac:dyDescent="0.25">
      <c r="AP4021"/>
    </row>
    <row r="4022" spans="42:42" x14ac:dyDescent="0.25">
      <c r="AP4022"/>
    </row>
    <row r="4023" spans="42:42" x14ac:dyDescent="0.25">
      <c r="AP4023"/>
    </row>
    <row r="4024" spans="42:42" x14ac:dyDescent="0.25">
      <c r="AP4024"/>
    </row>
    <row r="4025" spans="42:42" x14ac:dyDescent="0.25">
      <c r="AP4025"/>
    </row>
    <row r="4026" spans="42:42" x14ac:dyDescent="0.25">
      <c r="AP4026"/>
    </row>
    <row r="4027" spans="42:42" x14ac:dyDescent="0.25">
      <c r="AP4027"/>
    </row>
    <row r="4028" spans="42:42" x14ac:dyDescent="0.25">
      <c r="AP4028"/>
    </row>
    <row r="4029" spans="42:42" x14ac:dyDescent="0.25">
      <c r="AP4029"/>
    </row>
    <row r="4030" spans="42:42" x14ac:dyDescent="0.25">
      <c r="AP4030"/>
    </row>
    <row r="4031" spans="42:42" x14ac:dyDescent="0.25">
      <c r="AP4031"/>
    </row>
    <row r="4032" spans="42:42" x14ac:dyDescent="0.25">
      <c r="AP4032"/>
    </row>
    <row r="4033" spans="42:42" x14ac:dyDescent="0.25">
      <c r="AP4033"/>
    </row>
    <row r="4034" spans="42:42" x14ac:dyDescent="0.25">
      <c r="AP4034"/>
    </row>
    <row r="4035" spans="42:42" x14ac:dyDescent="0.25">
      <c r="AP4035"/>
    </row>
    <row r="4036" spans="42:42" x14ac:dyDescent="0.25">
      <c r="AP4036"/>
    </row>
    <row r="4037" spans="42:42" x14ac:dyDescent="0.25">
      <c r="AP4037"/>
    </row>
    <row r="4038" spans="42:42" x14ac:dyDescent="0.25">
      <c r="AP4038"/>
    </row>
    <row r="4039" spans="42:42" x14ac:dyDescent="0.25">
      <c r="AP4039"/>
    </row>
    <row r="4040" spans="42:42" x14ac:dyDescent="0.25">
      <c r="AP4040"/>
    </row>
    <row r="4041" spans="42:42" x14ac:dyDescent="0.25">
      <c r="AP4041"/>
    </row>
    <row r="4042" spans="42:42" x14ac:dyDescent="0.25">
      <c r="AP4042"/>
    </row>
    <row r="4043" spans="42:42" x14ac:dyDescent="0.25">
      <c r="AP4043"/>
    </row>
    <row r="4044" spans="42:42" x14ac:dyDescent="0.25">
      <c r="AP4044"/>
    </row>
    <row r="4045" spans="42:42" x14ac:dyDescent="0.25">
      <c r="AP4045"/>
    </row>
    <row r="4046" spans="42:42" x14ac:dyDescent="0.25">
      <c r="AP4046"/>
    </row>
    <row r="4047" spans="42:42" x14ac:dyDescent="0.25">
      <c r="AP4047"/>
    </row>
    <row r="4048" spans="42:42" x14ac:dyDescent="0.25">
      <c r="AP4048"/>
    </row>
    <row r="4049" spans="42:42" x14ac:dyDescent="0.25">
      <c r="AP4049"/>
    </row>
    <row r="4050" spans="42:42" x14ac:dyDescent="0.25">
      <c r="AP4050"/>
    </row>
    <row r="4051" spans="42:42" x14ac:dyDescent="0.25">
      <c r="AP4051"/>
    </row>
    <row r="4052" spans="42:42" x14ac:dyDescent="0.25">
      <c r="AP4052"/>
    </row>
    <row r="4053" spans="42:42" x14ac:dyDescent="0.25">
      <c r="AP4053"/>
    </row>
    <row r="4054" spans="42:42" x14ac:dyDescent="0.25">
      <c r="AP4054"/>
    </row>
    <row r="4055" spans="42:42" x14ac:dyDescent="0.25">
      <c r="AP4055"/>
    </row>
    <row r="4056" spans="42:42" x14ac:dyDescent="0.25">
      <c r="AP4056"/>
    </row>
    <row r="4057" spans="42:42" x14ac:dyDescent="0.25">
      <c r="AP4057"/>
    </row>
    <row r="4058" spans="42:42" x14ac:dyDescent="0.25">
      <c r="AP4058"/>
    </row>
    <row r="4059" spans="42:42" x14ac:dyDescent="0.25">
      <c r="AP4059"/>
    </row>
    <row r="4060" spans="42:42" x14ac:dyDescent="0.25">
      <c r="AP4060"/>
    </row>
    <row r="4061" spans="42:42" x14ac:dyDescent="0.25">
      <c r="AP4061"/>
    </row>
    <row r="4062" spans="42:42" x14ac:dyDescent="0.25">
      <c r="AP4062"/>
    </row>
    <row r="4063" spans="42:42" x14ac:dyDescent="0.25">
      <c r="AP4063"/>
    </row>
    <row r="4064" spans="42:42" x14ac:dyDescent="0.25">
      <c r="AP4064"/>
    </row>
    <row r="4065" spans="42:42" x14ac:dyDescent="0.25">
      <c r="AP4065"/>
    </row>
    <row r="4066" spans="42:42" x14ac:dyDescent="0.25">
      <c r="AP4066"/>
    </row>
    <row r="4067" spans="42:42" x14ac:dyDescent="0.25">
      <c r="AP4067"/>
    </row>
    <row r="4068" spans="42:42" x14ac:dyDescent="0.25">
      <c r="AP4068"/>
    </row>
    <row r="4069" spans="42:42" x14ac:dyDescent="0.25">
      <c r="AP4069"/>
    </row>
    <row r="4070" spans="42:42" x14ac:dyDescent="0.25">
      <c r="AP4070"/>
    </row>
    <row r="4071" spans="42:42" x14ac:dyDescent="0.25">
      <c r="AP4071"/>
    </row>
    <row r="4072" spans="42:42" x14ac:dyDescent="0.25">
      <c r="AP4072"/>
    </row>
    <row r="4073" spans="42:42" x14ac:dyDescent="0.25">
      <c r="AP4073"/>
    </row>
    <row r="4074" spans="42:42" x14ac:dyDescent="0.25">
      <c r="AP4074"/>
    </row>
    <row r="4075" spans="42:42" x14ac:dyDescent="0.25">
      <c r="AP4075"/>
    </row>
    <row r="4076" spans="42:42" x14ac:dyDescent="0.25">
      <c r="AP4076"/>
    </row>
    <row r="4077" spans="42:42" x14ac:dyDescent="0.25">
      <c r="AP4077"/>
    </row>
    <row r="4078" spans="42:42" x14ac:dyDescent="0.25">
      <c r="AP4078"/>
    </row>
    <row r="4079" spans="42:42" x14ac:dyDescent="0.25">
      <c r="AP4079"/>
    </row>
    <row r="4080" spans="42:42" x14ac:dyDescent="0.25">
      <c r="AP4080"/>
    </row>
    <row r="4081" spans="42:42" x14ac:dyDescent="0.25">
      <c r="AP4081"/>
    </row>
    <row r="4082" spans="42:42" x14ac:dyDescent="0.25">
      <c r="AP4082"/>
    </row>
    <row r="4083" spans="42:42" x14ac:dyDescent="0.25">
      <c r="AP4083"/>
    </row>
    <row r="4084" spans="42:42" x14ac:dyDescent="0.25">
      <c r="AP4084"/>
    </row>
    <row r="4085" spans="42:42" x14ac:dyDescent="0.25">
      <c r="AP4085"/>
    </row>
    <row r="4086" spans="42:42" x14ac:dyDescent="0.25">
      <c r="AP4086"/>
    </row>
    <row r="4087" spans="42:42" x14ac:dyDescent="0.25">
      <c r="AP4087"/>
    </row>
    <row r="4088" spans="42:42" x14ac:dyDescent="0.25">
      <c r="AP4088"/>
    </row>
    <row r="4089" spans="42:42" x14ac:dyDescent="0.25">
      <c r="AP4089"/>
    </row>
    <row r="4090" spans="42:42" x14ac:dyDescent="0.25">
      <c r="AP4090"/>
    </row>
    <row r="4091" spans="42:42" x14ac:dyDescent="0.25">
      <c r="AP4091"/>
    </row>
    <row r="4092" spans="42:42" x14ac:dyDescent="0.25">
      <c r="AP4092"/>
    </row>
    <row r="4093" spans="42:42" x14ac:dyDescent="0.25">
      <c r="AP4093"/>
    </row>
    <row r="4094" spans="42:42" x14ac:dyDescent="0.25">
      <c r="AP4094"/>
    </row>
    <row r="4095" spans="42:42" x14ac:dyDescent="0.25">
      <c r="AP4095"/>
    </row>
    <row r="4096" spans="42:42" x14ac:dyDescent="0.25">
      <c r="AP4096"/>
    </row>
    <row r="4097" spans="42:42" x14ac:dyDescent="0.25">
      <c r="AP4097"/>
    </row>
    <row r="4098" spans="42:42" x14ac:dyDescent="0.25">
      <c r="AP4098"/>
    </row>
    <row r="4099" spans="42:42" x14ac:dyDescent="0.25">
      <c r="AP4099"/>
    </row>
    <row r="4100" spans="42:42" x14ac:dyDescent="0.25">
      <c r="AP4100"/>
    </row>
    <row r="4101" spans="42:42" x14ac:dyDescent="0.25">
      <c r="AP4101"/>
    </row>
    <row r="4102" spans="42:42" x14ac:dyDescent="0.25">
      <c r="AP4102"/>
    </row>
    <row r="4103" spans="42:42" x14ac:dyDescent="0.25">
      <c r="AP4103"/>
    </row>
    <row r="4104" spans="42:42" x14ac:dyDescent="0.25">
      <c r="AP4104"/>
    </row>
    <row r="4105" spans="42:42" x14ac:dyDescent="0.25">
      <c r="AP4105"/>
    </row>
    <row r="4106" spans="42:42" x14ac:dyDescent="0.25">
      <c r="AP4106"/>
    </row>
    <row r="4107" spans="42:42" x14ac:dyDescent="0.25">
      <c r="AP4107"/>
    </row>
    <row r="4108" spans="42:42" x14ac:dyDescent="0.25">
      <c r="AP4108"/>
    </row>
    <row r="4109" spans="42:42" x14ac:dyDescent="0.25">
      <c r="AP4109"/>
    </row>
    <row r="4110" spans="42:42" x14ac:dyDescent="0.25">
      <c r="AP4110"/>
    </row>
    <row r="4111" spans="42:42" x14ac:dyDescent="0.25">
      <c r="AP4111"/>
    </row>
    <row r="4112" spans="42:42" x14ac:dyDescent="0.25">
      <c r="AP4112"/>
    </row>
    <row r="4113" spans="42:42" x14ac:dyDescent="0.25">
      <c r="AP4113"/>
    </row>
    <row r="4114" spans="42:42" x14ac:dyDescent="0.25">
      <c r="AP4114"/>
    </row>
    <row r="4115" spans="42:42" x14ac:dyDescent="0.25">
      <c r="AP4115"/>
    </row>
    <row r="4116" spans="42:42" x14ac:dyDescent="0.25">
      <c r="AP4116"/>
    </row>
    <row r="4117" spans="42:42" x14ac:dyDescent="0.25">
      <c r="AP4117"/>
    </row>
    <row r="4118" spans="42:42" x14ac:dyDescent="0.25">
      <c r="AP4118"/>
    </row>
    <row r="4119" spans="42:42" x14ac:dyDescent="0.25">
      <c r="AP4119"/>
    </row>
    <row r="4120" spans="42:42" x14ac:dyDescent="0.25">
      <c r="AP4120"/>
    </row>
    <row r="4121" spans="42:42" x14ac:dyDescent="0.25">
      <c r="AP4121"/>
    </row>
    <row r="4122" spans="42:42" x14ac:dyDescent="0.25">
      <c r="AP4122"/>
    </row>
    <row r="4123" spans="42:42" x14ac:dyDescent="0.25">
      <c r="AP4123"/>
    </row>
    <row r="4124" spans="42:42" x14ac:dyDescent="0.25">
      <c r="AP4124"/>
    </row>
    <row r="4125" spans="42:42" x14ac:dyDescent="0.25">
      <c r="AP4125"/>
    </row>
    <row r="4126" spans="42:42" x14ac:dyDescent="0.25">
      <c r="AP4126"/>
    </row>
    <row r="4127" spans="42:42" x14ac:dyDescent="0.25">
      <c r="AP4127"/>
    </row>
    <row r="4128" spans="42:42" x14ac:dyDescent="0.25">
      <c r="AP4128"/>
    </row>
    <row r="4129" spans="42:42" x14ac:dyDescent="0.25">
      <c r="AP4129"/>
    </row>
    <row r="4130" spans="42:42" x14ac:dyDescent="0.25">
      <c r="AP4130"/>
    </row>
    <row r="4131" spans="42:42" x14ac:dyDescent="0.25">
      <c r="AP4131"/>
    </row>
    <row r="4132" spans="42:42" x14ac:dyDescent="0.25">
      <c r="AP4132"/>
    </row>
    <row r="4133" spans="42:42" x14ac:dyDescent="0.25">
      <c r="AP4133"/>
    </row>
    <row r="4134" spans="42:42" x14ac:dyDescent="0.25">
      <c r="AP4134"/>
    </row>
    <row r="4135" spans="42:42" x14ac:dyDescent="0.25">
      <c r="AP4135"/>
    </row>
    <row r="4136" spans="42:42" x14ac:dyDescent="0.25">
      <c r="AP4136"/>
    </row>
    <row r="4137" spans="42:42" x14ac:dyDescent="0.25">
      <c r="AP4137"/>
    </row>
    <row r="4138" spans="42:42" x14ac:dyDescent="0.25">
      <c r="AP4138"/>
    </row>
    <row r="4139" spans="42:42" x14ac:dyDescent="0.25">
      <c r="AP4139"/>
    </row>
    <row r="4140" spans="42:42" x14ac:dyDescent="0.25">
      <c r="AP4140"/>
    </row>
    <row r="4141" spans="42:42" x14ac:dyDescent="0.25">
      <c r="AP4141"/>
    </row>
    <row r="4142" spans="42:42" x14ac:dyDescent="0.25">
      <c r="AP4142"/>
    </row>
    <row r="4143" spans="42:42" x14ac:dyDescent="0.25">
      <c r="AP4143"/>
    </row>
    <row r="4144" spans="42:42" x14ac:dyDescent="0.25">
      <c r="AP4144"/>
    </row>
    <row r="4145" spans="42:42" x14ac:dyDescent="0.25">
      <c r="AP4145"/>
    </row>
    <row r="4146" spans="42:42" x14ac:dyDescent="0.25">
      <c r="AP4146"/>
    </row>
    <row r="4147" spans="42:42" x14ac:dyDescent="0.25">
      <c r="AP4147"/>
    </row>
    <row r="4148" spans="42:42" x14ac:dyDescent="0.25">
      <c r="AP4148"/>
    </row>
    <row r="4149" spans="42:42" x14ac:dyDescent="0.25">
      <c r="AP4149"/>
    </row>
    <row r="4150" spans="42:42" x14ac:dyDescent="0.25">
      <c r="AP4150"/>
    </row>
    <row r="4151" spans="42:42" x14ac:dyDescent="0.25">
      <c r="AP4151"/>
    </row>
    <row r="4152" spans="42:42" x14ac:dyDescent="0.25">
      <c r="AP4152"/>
    </row>
    <row r="4153" spans="42:42" x14ac:dyDescent="0.25">
      <c r="AP4153"/>
    </row>
    <row r="4154" spans="42:42" x14ac:dyDescent="0.25">
      <c r="AP4154"/>
    </row>
    <row r="4155" spans="42:42" x14ac:dyDescent="0.25">
      <c r="AP4155"/>
    </row>
    <row r="4156" spans="42:42" x14ac:dyDescent="0.25">
      <c r="AP4156"/>
    </row>
    <row r="4157" spans="42:42" x14ac:dyDescent="0.25">
      <c r="AP4157"/>
    </row>
    <row r="4158" spans="42:42" x14ac:dyDescent="0.25">
      <c r="AP4158"/>
    </row>
    <row r="4159" spans="42:42" x14ac:dyDescent="0.25">
      <c r="AP4159"/>
    </row>
    <row r="4160" spans="42:42" x14ac:dyDescent="0.25">
      <c r="AP4160"/>
    </row>
    <row r="4161" spans="42:42" x14ac:dyDescent="0.25">
      <c r="AP4161"/>
    </row>
    <row r="4162" spans="42:42" x14ac:dyDescent="0.25">
      <c r="AP4162"/>
    </row>
    <row r="4163" spans="42:42" x14ac:dyDescent="0.25">
      <c r="AP4163"/>
    </row>
    <row r="4164" spans="42:42" x14ac:dyDescent="0.25">
      <c r="AP4164"/>
    </row>
    <row r="4165" spans="42:42" x14ac:dyDescent="0.25">
      <c r="AP4165"/>
    </row>
    <row r="4166" spans="42:42" x14ac:dyDescent="0.25">
      <c r="AP4166"/>
    </row>
    <row r="4167" spans="42:42" x14ac:dyDescent="0.25">
      <c r="AP4167"/>
    </row>
    <row r="4168" spans="42:42" x14ac:dyDescent="0.25">
      <c r="AP4168"/>
    </row>
    <row r="4169" spans="42:42" x14ac:dyDescent="0.25">
      <c r="AP4169"/>
    </row>
    <row r="4170" spans="42:42" x14ac:dyDescent="0.25">
      <c r="AP4170"/>
    </row>
    <row r="4171" spans="42:42" x14ac:dyDescent="0.25">
      <c r="AP4171"/>
    </row>
    <row r="4172" spans="42:42" x14ac:dyDescent="0.25">
      <c r="AP4172"/>
    </row>
    <row r="4173" spans="42:42" x14ac:dyDescent="0.25">
      <c r="AP4173"/>
    </row>
    <row r="4174" spans="42:42" x14ac:dyDescent="0.25">
      <c r="AP4174"/>
    </row>
    <row r="4175" spans="42:42" x14ac:dyDescent="0.25">
      <c r="AP4175"/>
    </row>
    <row r="4176" spans="42:42" x14ac:dyDescent="0.25">
      <c r="AP4176"/>
    </row>
    <row r="4177" spans="42:42" x14ac:dyDescent="0.25">
      <c r="AP4177"/>
    </row>
    <row r="4178" spans="42:42" x14ac:dyDescent="0.25">
      <c r="AP4178"/>
    </row>
    <row r="4179" spans="42:42" x14ac:dyDescent="0.25">
      <c r="AP4179"/>
    </row>
    <row r="4180" spans="42:42" x14ac:dyDescent="0.25">
      <c r="AP4180"/>
    </row>
    <row r="4181" spans="42:42" x14ac:dyDescent="0.25">
      <c r="AP4181"/>
    </row>
    <row r="4182" spans="42:42" x14ac:dyDescent="0.25">
      <c r="AP4182"/>
    </row>
    <row r="4183" spans="42:42" x14ac:dyDescent="0.25">
      <c r="AP4183"/>
    </row>
    <row r="4184" spans="42:42" x14ac:dyDescent="0.25">
      <c r="AP4184"/>
    </row>
    <row r="4185" spans="42:42" x14ac:dyDescent="0.25">
      <c r="AP4185"/>
    </row>
    <row r="4186" spans="42:42" x14ac:dyDescent="0.25">
      <c r="AP4186"/>
    </row>
    <row r="4187" spans="42:42" x14ac:dyDescent="0.25">
      <c r="AP4187"/>
    </row>
    <row r="4188" spans="42:42" x14ac:dyDescent="0.25">
      <c r="AP4188"/>
    </row>
    <row r="4189" spans="42:42" x14ac:dyDescent="0.25">
      <c r="AP4189"/>
    </row>
    <row r="4190" spans="42:42" x14ac:dyDescent="0.25">
      <c r="AP4190"/>
    </row>
    <row r="4191" spans="42:42" x14ac:dyDescent="0.25">
      <c r="AP4191"/>
    </row>
    <row r="4192" spans="42:42" x14ac:dyDescent="0.25">
      <c r="AP4192"/>
    </row>
    <row r="4193" spans="42:42" x14ac:dyDescent="0.25">
      <c r="AP4193"/>
    </row>
    <row r="4194" spans="42:42" x14ac:dyDescent="0.25">
      <c r="AP4194"/>
    </row>
    <row r="4195" spans="42:42" x14ac:dyDescent="0.25">
      <c r="AP4195"/>
    </row>
    <row r="4196" spans="42:42" x14ac:dyDescent="0.25">
      <c r="AP4196"/>
    </row>
    <row r="4197" spans="42:42" x14ac:dyDescent="0.25">
      <c r="AP4197"/>
    </row>
    <row r="4198" spans="42:42" x14ac:dyDescent="0.25">
      <c r="AP4198"/>
    </row>
    <row r="4199" spans="42:42" x14ac:dyDescent="0.25">
      <c r="AP4199"/>
    </row>
    <row r="4200" spans="42:42" x14ac:dyDescent="0.25">
      <c r="AP4200"/>
    </row>
    <row r="4201" spans="42:42" x14ac:dyDescent="0.25">
      <c r="AP4201"/>
    </row>
    <row r="4202" spans="42:42" x14ac:dyDescent="0.25">
      <c r="AP4202"/>
    </row>
    <row r="4203" spans="42:42" x14ac:dyDescent="0.25">
      <c r="AP4203"/>
    </row>
    <row r="4204" spans="42:42" x14ac:dyDescent="0.25">
      <c r="AP4204"/>
    </row>
    <row r="4205" spans="42:42" x14ac:dyDescent="0.25">
      <c r="AP4205"/>
    </row>
    <row r="4206" spans="42:42" x14ac:dyDescent="0.25">
      <c r="AP4206"/>
    </row>
    <row r="4207" spans="42:42" x14ac:dyDescent="0.25">
      <c r="AP4207"/>
    </row>
    <row r="4208" spans="42:42" x14ac:dyDescent="0.25">
      <c r="AP4208"/>
    </row>
    <row r="4209" spans="42:42" x14ac:dyDescent="0.25">
      <c r="AP4209"/>
    </row>
    <row r="4210" spans="42:42" x14ac:dyDescent="0.25">
      <c r="AP4210"/>
    </row>
    <row r="4211" spans="42:42" x14ac:dyDescent="0.25">
      <c r="AP4211"/>
    </row>
    <row r="4212" spans="42:42" x14ac:dyDescent="0.25">
      <c r="AP4212"/>
    </row>
    <row r="4213" spans="42:42" x14ac:dyDescent="0.25">
      <c r="AP4213"/>
    </row>
    <row r="4214" spans="42:42" x14ac:dyDescent="0.25">
      <c r="AP4214"/>
    </row>
    <row r="4215" spans="42:42" x14ac:dyDescent="0.25">
      <c r="AP4215"/>
    </row>
    <row r="4216" spans="42:42" x14ac:dyDescent="0.25">
      <c r="AP4216"/>
    </row>
    <row r="4217" spans="42:42" x14ac:dyDescent="0.25">
      <c r="AP4217"/>
    </row>
    <row r="4218" spans="42:42" x14ac:dyDescent="0.25">
      <c r="AP4218"/>
    </row>
    <row r="4219" spans="42:42" x14ac:dyDescent="0.25">
      <c r="AP4219"/>
    </row>
    <row r="4220" spans="42:42" x14ac:dyDescent="0.25">
      <c r="AP4220"/>
    </row>
    <row r="4221" spans="42:42" x14ac:dyDescent="0.25">
      <c r="AP4221"/>
    </row>
    <row r="4222" spans="42:42" x14ac:dyDescent="0.25">
      <c r="AP4222"/>
    </row>
    <row r="4223" spans="42:42" x14ac:dyDescent="0.25">
      <c r="AP4223"/>
    </row>
    <row r="4224" spans="42:42" x14ac:dyDescent="0.25">
      <c r="AP4224"/>
    </row>
    <row r="4225" spans="42:42" x14ac:dyDescent="0.25">
      <c r="AP4225"/>
    </row>
    <row r="4226" spans="42:42" x14ac:dyDescent="0.25">
      <c r="AP4226"/>
    </row>
    <row r="4227" spans="42:42" x14ac:dyDescent="0.25">
      <c r="AP4227"/>
    </row>
    <row r="4228" spans="42:42" x14ac:dyDescent="0.25">
      <c r="AP4228"/>
    </row>
    <row r="4229" spans="42:42" x14ac:dyDescent="0.25">
      <c r="AP4229"/>
    </row>
    <row r="4230" spans="42:42" x14ac:dyDescent="0.25">
      <c r="AP4230"/>
    </row>
    <row r="4231" spans="42:42" x14ac:dyDescent="0.25">
      <c r="AP4231"/>
    </row>
    <row r="4232" spans="42:42" x14ac:dyDescent="0.25">
      <c r="AP4232"/>
    </row>
    <row r="4233" spans="42:42" x14ac:dyDescent="0.25">
      <c r="AP4233"/>
    </row>
    <row r="4234" spans="42:42" x14ac:dyDescent="0.25">
      <c r="AP4234"/>
    </row>
    <row r="4235" spans="42:42" x14ac:dyDescent="0.25">
      <c r="AP4235"/>
    </row>
    <row r="4236" spans="42:42" x14ac:dyDescent="0.25">
      <c r="AP4236"/>
    </row>
    <row r="4237" spans="42:42" x14ac:dyDescent="0.25">
      <c r="AP4237"/>
    </row>
    <row r="4238" spans="42:42" x14ac:dyDescent="0.25">
      <c r="AP4238"/>
    </row>
    <row r="4239" spans="42:42" x14ac:dyDescent="0.25">
      <c r="AP4239"/>
    </row>
    <row r="4240" spans="42:42" x14ac:dyDescent="0.25">
      <c r="AP4240"/>
    </row>
    <row r="4241" spans="42:42" x14ac:dyDescent="0.25">
      <c r="AP4241"/>
    </row>
    <row r="4242" spans="42:42" x14ac:dyDescent="0.25">
      <c r="AP4242"/>
    </row>
    <row r="4243" spans="42:42" x14ac:dyDescent="0.25">
      <c r="AP4243"/>
    </row>
    <row r="4244" spans="42:42" x14ac:dyDescent="0.25">
      <c r="AP4244"/>
    </row>
    <row r="4245" spans="42:42" x14ac:dyDescent="0.25">
      <c r="AP4245"/>
    </row>
    <row r="4246" spans="42:42" x14ac:dyDescent="0.25">
      <c r="AP4246"/>
    </row>
    <row r="4247" spans="42:42" x14ac:dyDescent="0.25">
      <c r="AP4247"/>
    </row>
    <row r="4248" spans="42:42" x14ac:dyDescent="0.25">
      <c r="AP4248"/>
    </row>
    <row r="4249" spans="42:42" x14ac:dyDescent="0.25">
      <c r="AP4249"/>
    </row>
    <row r="4250" spans="42:42" x14ac:dyDescent="0.25">
      <c r="AP4250"/>
    </row>
    <row r="4251" spans="42:42" x14ac:dyDescent="0.25">
      <c r="AP4251"/>
    </row>
    <row r="4252" spans="42:42" x14ac:dyDescent="0.25">
      <c r="AP4252"/>
    </row>
    <row r="4253" spans="42:42" x14ac:dyDescent="0.25">
      <c r="AP4253"/>
    </row>
    <row r="4254" spans="42:42" x14ac:dyDescent="0.25">
      <c r="AP4254"/>
    </row>
    <row r="4255" spans="42:42" x14ac:dyDescent="0.25">
      <c r="AP4255"/>
    </row>
    <row r="4256" spans="42:42" x14ac:dyDescent="0.25">
      <c r="AP4256"/>
    </row>
    <row r="4257" spans="42:42" x14ac:dyDescent="0.25">
      <c r="AP4257"/>
    </row>
    <row r="4258" spans="42:42" x14ac:dyDescent="0.25">
      <c r="AP4258"/>
    </row>
    <row r="4259" spans="42:42" x14ac:dyDescent="0.25">
      <c r="AP4259"/>
    </row>
    <row r="4260" spans="42:42" x14ac:dyDescent="0.25">
      <c r="AP4260"/>
    </row>
    <row r="4261" spans="42:42" x14ac:dyDescent="0.25">
      <c r="AP4261"/>
    </row>
    <row r="4262" spans="42:42" x14ac:dyDescent="0.25">
      <c r="AP4262"/>
    </row>
    <row r="4263" spans="42:42" x14ac:dyDescent="0.25">
      <c r="AP4263"/>
    </row>
    <row r="4264" spans="42:42" x14ac:dyDescent="0.25">
      <c r="AP4264"/>
    </row>
    <row r="4265" spans="42:42" x14ac:dyDescent="0.25">
      <c r="AP4265"/>
    </row>
    <row r="4266" spans="42:42" x14ac:dyDescent="0.25">
      <c r="AP4266"/>
    </row>
    <row r="4267" spans="42:42" x14ac:dyDescent="0.25">
      <c r="AP4267"/>
    </row>
    <row r="4268" spans="42:42" x14ac:dyDescent="0.25">
      <c r="AP4268"/>
    </row>
    <row r="4269" spans="42:42" x14ac:dyDescent="0.25">
      <c r="AP4269"/>
    </row>
    <row r="4270" spans="42:42" x14ac:dyDescent="0.25">
      <c r="AP4270"/>
    </row>
    <row r="4271" spans="42:42" x14ac:dyDescent="0.25">
      <c r="AP4271"/>
    </row>
    <row r="4272" spans="42:42" x14ac:dyDescent="0.25">
      <c r="AP4272"/>
    </row>
    <row r="4273" spans="42:42" x14ac:dyDescent="0.25">
      <c r="AP4273"/>
    </row>
    <row r="4274" spans="42:42" x14ac:dyDescent="0.25">
      <c r="AP4274"/>
    </row>
    <row r="4275" spans="42:42" x14ac:dyDescent="0.25">
      <c r="AP4275"/>
    </row>
    <row r="4276" spans="42:42" x14ac:dyDescent="0.25">
      <c r="AP4276"/>
    </row>
    <row r="4277" spans="42:42" x14ac:dyDescent="0.25">
      <c r="AP4277"/>
    </row>
    <row r="4278" spans="42:42" x14ac:dyDescent="0.25">
      <c r="AP4278"/>
    </row>
    <row r="4279" spans="42:42" x14ac:dyDescent="0.25">
      <c r="AP4279"/>
    </row>
    <row r="4280" spans="42:42" x14ac:dyDescent="0.25">
      <c r="AP4280"/>
    </row>
    <row r="4281" spans="42:42" x14ac:dyDescent="0.25">
      <c r="AP4281"/>
    </row>
    <row r="4282" spans="42:42" x14ac:dyDescent="0.25">
      <c r="AP4282"/>
    </row>
    <row r="4283" spans="42:42" x14ac:dyDescent="0.25">
      <c r="AP4283"/>
    </row>
    <row r="4284" spans="42:42" x14ac:dyDescent="0.25">
      <c r="AP4284"/>
    </row>
    <row r="4285" spans="42:42" x14ac:dyDescent="0.25">
      <c r="AP4285"/>
    </row>
    <row r="4286" spans="42:42" x14ac:dyDescent="0.25">
      <c r="AP4286"/>
    </row>
    <row r="4287" spans="42:42" x14ac:dyDescent="0.25">
      <c r="AP4287"/>
    </row>
    <row r="4288" spans="42:42" x14ac:dyDescent="0.25">
      <c r="AP4288"/>
    </row>
    <row r="4289" spans="42:42" x14ac:dyDescent="0.25">
      <c r="AP4289"/>
    </row>
    <row r="4290" spans="42:42" x14ac:dyDescent="0.25">
      <c r="AP4290"/>
    </row>
    <row r="4291" spans="42:42" x14ac:dyDescent="0.25">
      <c r="AP4291"/>
    </row>
    <row r="4292" spans="42:42" x14ac:dyDescent="0.25">
      <c r="AP4292"/>
    </row>
    <row r="4293" spans="42:42" x14ac:dyDescent="0.25">
      <c r="AP4293"/>
    </row>
    <row r="4294" spans="42:42" x14ac:dyDescent="0.25">
      <c r="AP4294"/>
    </row>
    <row r="4295" spans="42:42" x14ac:dyDescent="0.25">
      <c r="AP4295"/>
    </row>
    <row r="4296" spans="42:42" x14ac:dyDescent="0.25">
      <c r="AP4296"/>
    </row>
    <row r="4297" spans="42:42" x14ac:dyDescent="0.25">
      <c r="AP4297"/>
    </row>
    <row r="4298" spans="42:42" x14ac:dyDescent="0.25">
      <c r="AP4298"/>
    </row>
    <row r="4299" spans="42:42" x14ac:dyDescent="0.25">
      <c r="AP4299"/>
    </row>
    <row r="4300" spans="42:42" x14ac:dyDescent="0.25">
      <c r="AP4300"/>
    </row>
    <row r="4301" spans="42:42" x14ac:dyDescent="0.25">
      <c r="AP4301"/>
    </row>
    <row r="4302" spans="42:42" x14ac:dyDescent="0.25">
      <c r="AP4302"/>
    </row>
    <row r="4303" spans="42:42" x14ac:dyDescent="0.25">
      <c r="AP4303"/>
    </row>
    <row r="4304" spans="42:42" x14ac:dyDescent="0.25">
      <c r="AP4304"/>
    </row>
    <row r="4305" spans="42:42" x14ac:dyDescent="0.25">
      <c r="AP4305"/>
    </row>
    <row r="4306" spans="42:42" x14ac:dyDescent="0.25">
      <c r="AP4306"/>
    </row>
    <row r="4307" spans="42:42" x14ac:dyDescent="0.25">
      <c r="AP4307"/>
    </row>
    <row r="4308" spans="42:42" x14ac:dyDescent="0.25">
      <c r="AP4308"/>
    </row>
    <row r="4309" spans="42:42" x14ac:dyDescent="0.25">
      <c r="AP4309"/>
    </row>
    <row r="4310" spans="42:42" x14ac:dyDescent="0.25">
      <c r="AP4310"/>
    </row>
    <row r="4311" spans="42:42" x14ac:dyDescent="0.25">
      <c r="AP4311"/>
    </row>
    <row r="4312" spans="42:42" x14ac:dyDescent="0.25">
      <c r="AP4312"/>
    </row>
    <row r="4313" spans="42:42" x14ac:dyDescent="0.25">
      <c r="AP4313"/>
    </row>
    <row r="4314" spans="42:42" x14ac:dyDescent="0.25">
      <c r="AP4314"/>
    </row>
    <row r="4315" spans="42:42" x14ac:dyDescent="0.25">
      <c r="AP4315"/>
    </row>
    <row r="4316" spans="42:42" x14ac:dyDescent="0.25">
      <c r="AP4316"/>
    </row>
    <row r="4317" spans="42:42" x14ac:dyDescent="0.25">
      <c r="AP4317"/>
    </row>
    <row r="4318" spans="42:42" x14ac:dyDescent="0.25">
      <c r="AP4318"/>
    </row>
    <row r="4319" spans="42:42" x14ac:dyDescent="0.25">
      <c r="AP4319"/>
    </row>
    <row r="4320" spans="42:42" x14ac:dyDescent="0.25">
      <c r="AP4320"/>
    </row>
    <row r="4321" spans="42:42" x14ac:dyDescent="0.25">
      <c r="AP4321"/>
    </row>
    <row r="4322" spans="42:42" x14ac:dyDescent="0.25">
      <c r="AP4322"/>
    </row>
    <row r="4323" spans="42:42" x14ac:dyDescent="0.25">
      <c r="AP4323"/>
    </row>
    <row r="4324" spans="42:42" x14ac:dyDescent="0.25">
      <c r="AP4324"/>
    </row>
    <row r="4325" spans="42:42" x14ac:dyDescent="0.25">
      <c r="AP4325"/>
    </row>
    <row r="4326" spans="42:42" x14ac:dyDescent="0.25">
      <c r="AP4326"/>
    </row>
    <row r="4327" spans="42:42" x14ac:dyDescent="0.25">
      <c r="AP4327"/>
    </row>
    <row r="4328" spans="42:42" x14ac:dyDescent="0.25">
      <c r="AP4328"/>
    </row>
    <row r="4329" spans="42:42" x14ac:dyDescent="0.25">
      <c r="AP4329"/>
    </row>
    <row r="4330" spans="42:42" x14ac:dyDescent="0.25">
      <c r="AP4330"/>
    </row>
    <row r="4331" spans="42:42" x14ac:dyDescent="0.25">
      <c r="AP4331"/>
    </row>
    <row r="4332" spans="42:42" x14ac:dyDescent="0.25">
      <c r="AP4332"/>
    </row>
    <row r="4333" spans="42:42" x14ac:dyDescent="0.25">
      <c r="AP4333"/>
    </row>
    <row r="4334" spans="42:42" x14ac:dyDescent="0.25">
      <c r="AP4334"/>
    </row>
    <row r="4335" spans="42:42" x14ac:dyDescent="0.25">
      <c r="AP4335"/>
    </row>
    <row r="4336" spans="42:42" x14ac:dyDescent="0.25">
      <c r="AP4336"/>
    </row>
    <row r="4337" spans="42:42" x14ac:dyDescent="0.25">
      <c r="AP4337"/>
    </row>
    <row r="4338" spans="42:42" x14ac:dyDescent="0.25">
      <c r="AP4338"/>
    </row>
    <row r="4339" spans="42:42" x14ac:dyDescent="0.25">
      <c r="AP4339"/>
    </row>
    <row r="4340" spans="42:42" x14ac:dyDescent="0.25">
      <c r="AP4340"/>
    </row>
    <row r="4341" spans="42:42" x14ac:dyDescent="0.25">
      <c r="AP4341"/>
    </row>
    <row r="4342" spans="42:42" x14ac:dyDescent="0.25">
      <c r="AP4342"/>
    </row>
    <row r="4343" spans="42:42" x14ac:dyDescent="0.25">
      <c r="AP4343"/>
    </row>
    <row r="4344" spans="42:42" x14ac:dyDescent="0.25">
      <c r="AP4344"/>
    </row>
    <row r="4345" spans="42:42" x14ac:dyDescent="0.25">
      <c r="AP4345"/>
    </row>
    <row r="4346" spans="42:42" x14ac:dyDescent="0.25">
      <c r="AP4346"/>
    </row>
    <row r="4347" spans="42:42" x14ac:dyDescent="0.25">
      <c r="AP4347"/>
    </row>
    <row r="4348" spans="42:42" x14ac:dyDescent="0.25">
      <c r="AP4348"/>
    </row>
    <row r="4349" spans="42:42" x14ac:dyDescent="0.25">
      <c r="AP4349"/>
    </row>
    <row r="4350" spans="42:42" x14ac:dyDescent="0.25">
      <c r="AP4350"/>
    </row>
    <row r="4351" spans="42:42" x14ac:dyDescent="0.25">
      <c r="AP4351"/>
    </row>
    <row r="4352" spans="42:42" x14ac:dyDescent="0.25">
      <c r="AP4352"/>
    </row>
    <row r="4353" spans="42:42" x14ac:dyDescent="0.25">
      <c r="AP4353"/>
    </row>
    <row r="4354" spans="42:42" x14ac:dyDescent="0.25">
      <c r="AP4354"/>
    </row>
    <row r="4355" spans="42:42" x14ac:dyDescent="0.25">
      <c r="AP4355"/>
    </row>
    <row r="4356" spans="42:42" x14ac:dyDescent="0.25">
      <c r="AP4356"/>
    </row>
    <row r="4357" spans="42:42" x14ac:dyDescent="0.25">
      <c r="AP4357"/>
    </row>
    <row r="4358" spans="42:42" x14ac:dyDescent="0.25">
      <c r="AP4358"/>
    </row>
    <row r="4359" spans="42:42" x14ac:dyDescent="0.25">
      <c r="AP4359"/>
    </row>
    <row r="4360" spans="42:42" x14ac:dyDescent="0.25">
      <c r="AP4360"/>
    </row>
    <row r="4361" spans="42:42" x14ac:dyDescent="0.25">
      <c r="AP4361"/>
    </row>
    <row r="4362" spans="42:42" x14ac:dyDescent="0.25">
      <c r="AP4362"/>
    </row>
    <row r="4363" spans="42:42" x14ac:dyDescent="0.25">
      <c r="AP4363"/>
    </row>
    <row r="4364" spans="42:42" x14ac:dyDescent="0.25">
      <c r="AP4364"/>
    </row>
    <row r="4365" spans="42:42" x14ac:dyDescent="0.25">
      <c r="AP4365"/>
    </row>
    <row r="4366" spans="42:42" x14ac:dyDescent="0.25">
      <c r="AP4366"/>
    </row>
    <row r="4367" spans="42:42" x14ac:dyDescent="0.25">
      <c r="AP4367"/>
    </row>
    <row r="4368" spans="42:42" x14ac:dyDescent="0.25">
      <c r="AP4368"/>
    </row>
    <row r="4369" spans="42:42" x14ac:dyDescent="0.25">
      <c r="AP4369"/>
    </row>
    <row r="4370" spans="42:42" x14ac:dyDescent="0.25">
      <c r="AP4370"/>
    </row>
    <row r="4371" spans="42:42" x14ac:dyDescent="0.25">
      <c r="AP4371"/>
    </row>
    <row r="4372" spans="42:42" x14ac:dyDescent="0.25">
      <c r="AP4372"/>
    </row>
    <row r="4373" spans="42:42" x14ac:dyDescent="0.25">
      <c r="AP4373"/>
    </row>
    <row r="4374" spans="42:42" x14ac:dyDescent="0.25">
      <c r="AP4374"/>
    </row>
    <row r="4375" spans="42:42" x14ac:dyDescent="0.25">
      <c r="AP4375"/>
    </row>
    <row r="4376" spans="42:42" x14ac:dyDescent="0.25">
      <c r="AP4376"/>
    </row>
    <row r="4377" spans="42:42" x14ac:dyDescent="0.25">
      <c r="AP4377"/>
    </row>
    <row r="4378" spans="42:42" x14ac:dyDescent="0.25">
      <c r="AP4378"/>
    </row>
    <row r="4379" spans="42:42" x14ac:dyDescent="0.25">
      <c r="AP4379"/>
    </row>
    <row r="4380" spans="42:42" x14ac:dyDescent="0.25">
      <c r="AP4380"/>
    </row>
    <row r="4381" spans="42:42" x14ac:dyDescent="0.25">
      <c r="AP4381"/>
    </row>
    <row r="4382" spans="42:42" x14ac:dyDescent="0.25">
      <c r="AP4382"/>
    </row>
    <row r="4383" spans="42:42" x14ac:dyDescent="0.25">
      <c r="AP4383"/>
    </row>
    <row r="4384" spans="42:42" x14ac:dyDescent="0.25">
      <c r="AP4384"/>
    </row>
    <row r="4385" spans="42:42" x14ac:dyDescent="0.25">
      <c r="AP4385"/>
    </row>
    <row r="4386" spans="42:42" x14ac:dyDescent="0.25">
      <c r="AP4386"/>
    </row>
    <row r="4387" spans="42:42" x14ac:dyDescent="0.25">
      <c r="AP4387"/>
    </row>
    <row r="4388" spans="42:42" x14ac:dyDescent="0.25">
      <c r="AP4388"/>
    </row>
    <row r="4389" spans="42:42" x14ac:dyDescent="0.25">
      <c r="AP4389"/>
    </row>
    <row r="4390" spans="42:42" x14ac:dyDescent="0.25">
      <c r="AP4390"/>
    </row>
    <row r="4391" spans="42:42" x14ac:dyDescent="0.25">
      <c r="AP4391"/>
    </row>
    <row r="4392" spans="42:42" x14ac:dyDescent="0.25">
      <c r="AP4392"/>
    </row>
    <row r="4393" spans="42:42" x14ac:dyDescent="0.25">
      <c r="AP4393"/>
    </row>
    <row r="4394" spans="42:42" x14ac:dyDescent="0.25">
      <c r="AP4394"/>
    </row>
    <row r="4395" spans="42:42" x14ac:dyDescent="0.25">
      <c r="AP4395"/>
    </row>
    <row r="4396" spans="42:42" x14ac:dyDescent="0.25">
      <c r="AP4396"/>
    </row>
    <row r="4397" spans="42:42" x14ac:dyDescent="0.25">
      <c r="AP4397"/>
    </row>
    <row r="4398" spans="42:42" x14ac:dyDescent="0.25">
      <c r="AP4398"/>
    </row>
    <row r="4399" spans="42:42" x14ac:dyDescent="0.25">
      <c r="AP4399"/>
    </row>
    <row r="4400" spans="42:42" x14ac:dyDescent="0.25">
      <c r="AP4400"/>
    </row>
    <row r="4401" spans="42:42" x14ac:dyDescent="0.25">
      <c r="AP4401"/>
    </row>
    <row r="4402" spans="42:42" x14ac:dyDescent="0.25">
      <c r="AP4402"/>
    </row>
    <row r="4403" spans="42:42" x14ac:dyDescent="0.25">
      <c r="AP4403"/>
    </row>
    <row r="4404" spans="42:42" x14ac:dyDescent="0.25">
      <c r="AP4404"/>
    </row>
    <row r="4405" spans="42:42" x14ac:dyDescent="0.25">
      <c r="AP4405"/>
    </row>
    <row r="4406" spans="42:42" x14ac:dyDescent="0.25">
      <c r="AP4406"/>
    </row>
    <row r="4407" spans="42:42" x14ac:dyDescent="0.25">
      <c r="AP4407"/>
    </row>
    <row r="4408" spans="42:42" x14ac:dyDescent="0.25">
      <c r="AP4408"/>
    </row>
    <row r="4409" spans="42:42" x14ac:dyDescent="0.25">
      <c r="AP4409"/>
    </row>
    <row r="4410" spans="42:42" x14ac:dyDescent="0.25">
      <c r="AP4410"/>
    </row>
    <row r="4411" spans="42:42" x14ac:dyDescent="0.25">
      <c r="AP4411"/>
    </row>
    <row r="4412" spans="42:42" x14ac:dyDescent="0.25">
      <c r="AP4412"/>
    </row>
    <row r="4413" spans="42:42" x14ac:dyDescent="0.25">
      <c r="AP4413"/>
    </row>
    <row r="4414" spans="42:42" x14ac:dyDescent="0.25">
      <c r="AP4414"/>
    </row>
    <row r="4415" spans="42:42" x14ac:dyDescent="0.25">
      <c r="AP4415"/>
    </row>
    <row r="4416" spans="42:42" x14ac:dyDescent="0.25">
      <c r="AP4416"/>
    </row>
    <row r="4417" spans="42:42" x14ac:dyDescent="0.25">
      <c r="AP4417"/>
    </row>
    <row r="4418" spans="42:42" x14ac:dyDescent="0.25">
      <c r="AP4418"/>
    </row>
    <row r="4419" spans="42:42" x14ac:dyDescent="0.25">
      <c r="AP4419"/>
    </row>
    <row r="4420" spans="42:42" x14ac:dyDescent="0.25">
      <c r="AP4420"/>
    </row>
    <row r="4421" spans="42:42" x14ac:dyDescent="0.25">
      <c r="AP4421"/>
    </row>
    <row r="4422" spans="42:42" x14ac:dyDescent="0.25">
      <c r="AP4422"/>
    </row>
    <row r="4423" spans="42:42" x14ac:dyDescent="0.25">
      <c r="AP4423"/>
    </row>
    <row r="4424" spans="42:42" x14ac:dyDescent="0.25">
      <c r="AP4424"/>
    </row>
    <row r="4425" spans="42:42" x14ac:dyDescent="0.25">
      <c r="AP4425"/>
    </row>
    <row r="4426" spans="42:42" x14ac:dyDescent="0.25">
      <c r="AP4426"/>
    </row>
    <row r="4427" spans="42:42" x14ac:dyDescent="0.25">
      <c r="AP4427"/>
    </row>
    <row r="4428" spans="42:42" x14ac:dyDescent="0.25">
      <c r="AP4428"/>
    </row>
    <row r="4429" spans="42:42" x14ac:dyDescent="0.25">
      <c r="AP4429"/>
    </row>
    <row r="4430" spans="42:42" x14ac:dyDescent="0.25">
      <c r="AP4430"/>
    </row>
    <row r="4431" spans="42:42" x14ac:dyDescent="0.25">
      <c r="AP4431"/>
    </row>
    <row r="4432" spans="42:42" x14ac:dyDescent="0.25">
      <c r="AP4432"/>
    </row>
    <row r="4433" spans="42:42" x14ac:dyDescent="0.25">
      <c r="AP4433"/>
    </row>
    <row r="4434" spans="42:42" x14ac:dyDescent="0.25">
      <c r="AP4434"/>
    </row>
    <row r="4435" spans="42:42" x14ac:dyDescent="0.25">
      <c r="AP4435"/>
    </row>
    <row r="4436" spans="42:42" x14ac:dyDescent="0.25">
      <c r="AP4436"/>
    </row>
    <row r="4437" spans="42:42" x14ac:dyDescent="0.25">
      <c r="AP4437"/>
    </row>
    <row r="4438" spans="42:42" x14ac:dyDescent="0.25">
      <c r="AP4438"/>
    </row>
    <row r="4439" spans="42:42" x14ac:dyDescent="0.25">
      <c r="AP4439"/>
    </row>
    <row r="4440" spans="42:42" x14ac:dyDescent="0.25">
      <c r="AP4440"/>
    </row>
    <row r="4441" spans="42:42" x14ac:dyDescent="0.25">
      <c r="AP4441"/>
    </row>
    <row r="4442" spans="42:42" x14ac:dyDescent="0.25">
      <c r="AP4442"/>
    </row>
    <row r="4443" spans="42:42" x14ac:dyDescent="0.25">
      <c r="AP4443"/>
    </row>
    <row r="4444" spans="42:42" x14ac:dyDescent="0.25">
      <c r="AP4444"/>
    </row>
    <row r="4445" spans="42:42" x14ac:dyDescent="0.25">
      <c r="AP4445"/>
    </row>
    <row r="4446" spans="42:42" x14ac:dyDescent="0.25">
      <c r="AP4446"/>
    </row>
    <row r="4447" spans="42:42" x14ac:dyDescent="0.25">
      <c r="AP4447"/>
    </row>
    <row r="4448" spans="42:42" x14ac:dyDescent="0.25">
      <c r="AP4448"/>
    </row>
    <row r="4449" spans="42:42" x14ac:dyDescent="0.25">
      <c r="AP4449"/>
    </row>
    <row r="4450" spans="42:42" x14ac:dyDescent="0.25">
      <c r="AP4450"/>
    </row>
    <row r="4451" spans="42:42" x14ac:dyDescent="0.25">
      <c r="AP4451"/>
    </row>
    <row r="4452" spans="42:42" x14ac:dyDescent="0.25">
      <c r="AP4452"/>
    </row>
    <row r="4453" spans="42:42" x14ac:dyDescent="0.25">
      <c r="AP4453"/>
    </row>
    <row r="4454" spans="42:42" x14ac:dyDescent="0.25">
      <c r="AP4454"/>
    </row>
    <row r="4455" spans="42:42" x14ac:dyDescent="0.25">
      <c r="AP4455"/>
    </row>
    <row r="4456" spans="42:42" x14ac:dyDescent="0.25">
      <c r="AP4456"/>
    </row>
    <row r="4457" spans="42:42" x14ac:dyDescent="0.25">
      <c r="AP4457"/>
    </row>
    <row r="4458" spans="42:42" x14ac:dyDescent="0.25">
      <c r="AP4458"/>
    </row>
    <row r="4459" spans="42:42" x14ac:dyDescent="0.25">
      <c r="AP4459"/>
    </row>
    <row r="4460" spans="42:42" x14ac:dyDescent="0.25">
      <c r="AP4460"/>
    </row>
    <row r="4461" spans="42:42" x14ac:dyDescent="0.25">
      <c r="AP4461"/>
    </row>
    <row r="4462" spans="42:42" x14ac:dyDescent="0.25">
      <c r="AP4462"/>
    </row>
    <row r="4463" spans="42:42" x14ac:dyDescent="0.25">
      <c r="AP4463"/>
    </row>
    <row r="4464" spans="42:42" x14ac:dyDescent="0.25">
      <c r="AP4464"/>
    </row>
    <row r="4465" spans="42:42" x14ac:dyDescent="0.25">
      <c r="AP4465"/>
    </row>
    <row r="4466" spans="42:42" x14ac:dyDescent="0.25">
      <c r="AP4466"/>
    </row>
    <row r="4467" spans="42:42" x14ac:dyDescent="0.25">
      <c r="AP4467"/>
    </row>
    <row r="4468" spans="42:42" x14ac:dyDescent="0.25">
      <c r="AP4468"/>
    </row>
    <row r="4469" spans="42:42" x14ac:dyDescent="0.25">
      <c r="AP4469"/>
    </row>
    <row r="4470" spans="42:42" x14ac:dyDescent="0.25">
      <c r="AP4470"/>
    </row>
    <row r="4471" spans="42:42" x14ac:dyDescent="0.25">
      <c r="AP4471"/>
    </row>
    <row r="4472" spans="42:42" x14ac:dyDescent="0.25">
      <c r="AP4472"/>
    </row>
    <row r="4473" spans="42:42" x14ac:dyDescent="0.25">
      <c r="AP4473"/>
    </row>
    <row r="4474" spans="42:42" x14ac:dyDescent="0.25">
      <c r="AP4474"/>
    </row>
    <row r="4475" spans="42:42" x14ac:dyDescent="0.25">
      <c r="AP4475"/>
    </row>
    <row r="4476" spans="42:42" x14ac:dyDescent="0.25">
      <c r="AP4476"/>
    </row>
    <row r="4477" spans="42:42" x14ac:dyDescent="0.25">
      <c r="AP4477"/>
    </row>
    <row r="4478" spans="42:42" x14ac:dyDescent="0.25">
      <c r="AP4478"/>
    </row>
    <row r="4479" spans="42:42" x14ac:dyDescent="0.25">
      <c r="AP4479"/>
    </row>
    <row r="4480" spans="42:42" x14ac:dyDescent="0.25">
      <c r="AP4480"/>
    </row>
    <row r="4481" spans="42:42" x14ac:dyDescent="0.25">
      <c r="AP4481"/>
    </row>
    <row r="4482" spans="42:42" x14ac:dyDescent="0.25">
      <c r="AP4482"/>
    </row>
    <row r="4483" spans="42:42" x14ac:dyDescent="0.25">
      <c r="AP4483"/>
    </row>
    <row r="4484" spans="42:42" x14ac:dyDescent="0.25">
      <c r="AP4484"/>
    </row>
    <row r="4485" spans="42:42" x14ac:dyDescent="0.25">
      <c r="AP4485"/>
    </row>
    <row r="4486" spans="42:42" x14ac:dyDescent="0.25">
      <c r="AP4486"/>
    </row>
    <row r="4487" spans="42:42" x14ac:dyDescent="0.25">
      <c r="AP4487"/>
    </row>
    <row r="4488" spans="42:42" x14ac:dyDescent="0.25">
      <c r="AP4488"/>
    </row>
    <row r="4489" spans="42:42" x14ac:dyDescent="0.25">
      <c r="AP4489"/>
    </row>
    <row r="4490" spans="42:42" x14ac:dyDescent="0.25">
      <c r="AP4490"/>
    </row>
    <row r="4491" spans="42:42" x14ac:dyDescent="0.25">
      <c r="AP4491"/>
    </row>
    <row r="4492" spans="42:42" x14ac:dyDescent="0.25">
      <c r="AP4492"/>
    </row>
    <row r="4493" spans="42:42" x14ac:dyDescent="0.25">
      <c r="AP4493"/>
    </row>
    <row r="4494" spans="42:42" x14ac:dyDescent="0.25">
      <c r="AP4494"/>
    </row>
    <row r="4495" spans="42:42" x14ac:dyDescent="0.25">
      <c r="AP4495"/>
    </row>
    <row r="4496" spans="42:42" x14ac:dyDescent="0.25">
      <c r="AP4496"/>
    </row>
    <row r="4497" spans="42:42" x14ac:dyDescent="0.25">
      <c r="AP4497"/>
    </row>
    <row r="4498" spans="42:42" x14ac:dyDescent="0.25">
      <c r="AP4498"/>
    </row>
    <row r="4499" spans="42:42" x14ac:dyDescent="0.25">
      <c r="AP4499"/>
    </row>
    <row r="4500" spans="42:42" x14ac:dyDescent="0.25">
      <c r="AP4500"/>
    </row>
    <row r="4501" spans="42:42" x14ac:dyDescent="0.25">
      <c r="AP4501"/>
    </row>
    <row r="4502" spans="42:42" x14ac:dyDescent="0.25">
      <c r="AP4502"/>
    </row>
    <row r="4503" spans="42:42" x14ac:dyDescent="0.25">
      <c r="AP4503"/>
    </row>
    <row r="4504" spans="42:42" x14ac:dyDescent="0.25">
      <c r="AP4504"/>
    </row>
    <row r="4505" spans="42:42" x14ac:dyDescent="0.25">
      <c r="AP4505"/>
    </row>
    <row r="4506" spans="42:42" x14ac:dyDescent="0.25">
      <c r="AP4506"/>
    </row>
    <row r="4507" spans="42:42" x14ac:dyDescent="0.25">
      <c r="AP4507"/>
    </row>
    <row r="4508" spans="42:42" x14ac:dyDescent="0.25">
      <c r="AP4508"/>
    </row>
    <row r="4509" spans="42:42" x14ac:dyDescent="0.25">
      <c r="AP4509"/>
    </row>
    <row r="4510" spans="42:42" x14ac:dyDescent="0.25">
      <c r="AP4510"/>
    </row>
    <row r="4511" spans="42:42" x14ac:dyDescent="0.25">
      <c r="AP4511"/>
    </row>
    <row r="4512" spans="42:42" x14ac:dyDescent="0.25">
      <c r="AP4512"/>
    </row>
    <row r="4513" spans="42:42" x14ac:dyDescent="0.25">
      <c r="AP4513"/>
    </row>
    <row r="4514" spans="42:42" x14ac:dyDescent="0.25">
      <c r="AP4514"/>
    </row>
    <row r="4515" spans="42:42" x14ac:dyDescent="0.25">
      <c r="AP4515"/>
    </row>
    <row r="4516" spans="42:42" x14ac:dyDescent="0.25">
      <c r="AP4516"/>
    </row>
    <row r="4517" spans="42:42" x14ac:dyDescent="0.25">
      <c r="AP4517"/>
    </row>
    <row r="4518" spans="42:42" x14ac:dyDescent="0.25">
      <c r="AP4518"/>
    </row>
    <row r="4519" spans="42:42" x14ac:dyDescent="0.25">
      <c r="AP4519"/>
    </row>
    <row r="4520" spans="42:42" x14ac:dyDescent="0.25">
      <c r="AP4520"/>
    </row>
    <row r="4521" spans="42:42" x14ac:dyDescent="0.25">
      <c r="AP4521"/>
    </row>
    <row r="4522" spans="42:42" x14ac:dyDescent="0.25">
      <c r="AP4522"/>
    </row>
    <row r="4523" spans="42:42" x14ac:dyDescent="0.25">
      <c r="AP4523"/>
    </row>
    <row r="4524" spans="42:42" x14ac:dyDescent="0.25">
      <c r="AP4524"/>
    </row>
    <row r="4525" spans="42:42" x14ac:dyDescent="0.25">
      <c r="AP4525"/>
    </row>
    <row r="4526" spans="42:42" x14ac:dyDescent="0.25">
      <c r="AP4526"/>
    </row>
    <row r="4527" spans="42:42" x14ac:dyDescent="0.25">
      <c r="AP4527"/>
    </row>
    <row r="4528" spans="42:42" x14ac:dyDescent="0.25">
      <c r="AP4528"/>
    </row>
    <row r="4529" spans="42:42" x14ac:dyDescent="0.25">
      <c r="AP4529"/>
    </row>
    <row r="4530" spans="42:42" x14ac:dyDescent="0.25">
      <c r="AP4530"/>
    </row>
    <row r="4531" spans="42:42" x14ac:dyDescent="0.25">
      <c r="AP4531"/>
    </row>
    <row r="4532" spans="42:42" x14ac:dyDescent="0.25">
      <c r="AP4532"/>
    </row>
    <row r="4533" spans="42:42" x14ac:dyDescent="0.25">
      <c r="AP4533"/>
    </row>
    <row r="4534" spans="42:42" x14ac:dyDescent="0.25">
      <c r="AP4534"/>
    </row>
    <row r="4535" spans="42:42" x14ac:dyDescent="0.25">
      <c r="AP4535"/>
    </row>
    <row r="4536" spans="42:42" x14ac:dyDescent="0.25">
      <c r="AP4536"/>
    </row>
    <row r="4537" spans="42:42" x14ac:dyDescent="0.25">
      <c r="AP4537"/>
    </row>
    <row r="4538" spans="42:42" x14ac:dyDescent="0.25">
      <c r="AP4538"/>
    </row>
    <row r="4539" spans="42:42" x14ac:dyDescent="0.25">
      <c r="AP4539"/>
    </row>
    <row r="4540" spans="42:42" x14ac:dyDescent="0.25">
      <c r="AP4540"/>
    </row>
    <row r="4541" spans="42:42" x14ac:dyDescent="0.25">
      <c r="AP4541"/>
    </row>
    <row r="4542" spans="42:42" x14ac:dyDescent="0.25">
      <c r="AP4542"/>
    </row>
    <row r="4543" spans="42:42" x14ac:dyDescent="0.25">
      <c r="AP4543"/>
    </row>
    <row r="4544" spans="42:42" x14ac:dyDescent="0.25">
      <c r="AP4544"/>
    </row>
    <row r="4545" spans="42:42" x14ac:dyDescent="0.25">
      <c r="AP4545"/>
    </row>
    <row r="4546" spans="42:42" x14ac:dyDescent="0.25">
      <c r="AP4546"/>
    </row>
    <row r="4547" spans="42:42" x14ac:dyDescent="0.25">
      <c r="AP4547"/>
    </row>
    <row r="4548" spans="42:42" x14ac:dyDescent="0.25">
      <c r="AP4548"/>
    </row>
    <row r="4549" spans="42:42" x14ac:dyDescent="0.25">
      <c r="AP4549"/>
    </row>
    <row r="4550" spans="42:42" x14ac:dyDescent="0.25">
      <c r="AP4550"/>
    </row>
    <row r="4551" spans="42:42" x14ac:dyDescent="0.25">
      <c r="AP4551"/>
    </row>
    <row r="4552" spans="42:42" x14ac:dyDescent="0.25">
      <c r="AP4552"/>
    </row>
    <row r="4553" spans="42:42" x14ac:dyDescent="0.25">
      <c r="AP4553"/>
    </row>
    <row r="4554" spans="42:42" x14ac:dyDescent="0.25">
      <c r="AP4554"/>
    </row>
    <row r="4555" spans="42:42" x14ac:dyDescent="0.25">
      <c r="AP4555"/>
    </row>
    <row r="4556" spans="42:42" x14ac:dyDescent="0.25">
      <c r="AP4556"/>
    </row>
    <row r="4557" spans="42:42" x14ac:dyDescent="0.25">
      <c r="AP4557"/>
    </row>
    <row r="4558" spans="42:42" x14ac:dyDescent="0.25">
      <c r="AP4558"/>
    </row>
    <row r="4559" spans="42:42" x14ac:dyDescent="0.25">
      <c r="AP4559"/>
    </row>
    <row r="4560" spans="42:42" x14ac:dyDescent="0.25">
      <c r="AP4560"/>
    </row>
    <row r="4561" spans="42:42" x14ac:dyDescent="0.25">
      <c r="AP4561"/>
    </row>
    <row r="4562" spans="42:42" x14ac:dyDescent="0.25">
      <c r="AP4562"/>
    </row>
    <row r="4563" spans="42:42" x14ac:dyDescent="0.25">
      <c r="AP4563"/>
    </row>
    <row r="4564" spans="42:42" x14ac:dyDescent="0.25">
      <c r="AP4564"/>
    </row>
    <row r="4565" spans="42:42" x14ac:dyDescent="0.25">
      <c r="AP4565"/>
    </row>
    <row r="4566" spans="42:42" x14ac:dyDescent="0.25">
      <c r="AP4566"/>
    </row>
    <row r="4567" spans="42:42" x14ac:dyDescent="0.25">
      <c r="AP4567"/>
    </row>
    <row r="4568" spans="42:42" x14ac:dyDescent="0.25">
      <c r="AP4568"/>
    </row>
    <row r="4569" spans="42:42" x14ac:dyDescent="0.25">
      <c r="AP4569"/>
    </row>
    <row r="4570" spans="42:42" x14ac:dyDescent="0.25">
      <c r="AP4570"/>
    </row>
    <row r="4571" spans="42:42" x14ac:dyDescent="0.25">
      <c r="AP4571"/>
    </row>
    <row r="4572" spans="42:42" x14ac:dyDescent="0.25">
      <c r="AP4572"/>
    </row>
    <row r="4573" spans="42:42" x14ac:dyDescent="0.25">
      <c r="AP4573"/>
    </row>
    <row r="4574" spans="42:42" x14ac:dyDescent="0.25">
      <c r="AP4574"/>
    </row>
    <row r="4575" spans="42:42" x14ac:dyDescent="0.25">
      <c r="AP4575"/>
    </row>
    <row r="4576" spans="42:42" x14ac:dyDescent="0.25">
      <c r="AP4576"/>
    </row>
    <row r="4577" spans="42:42" x14ac:dyDescent="0.25">
      <c r="AP4577"/>
    </row>
    <row r="4578" spans="42:42" x14ac:dyDescent="0.25">
      <c r="AP4578"/>
    </row>
    <row r="4579" spans="42:42" x14ac:dyDescent="0.25">
      <c r="AP4579"/>
    </row>
    <row r="4580" spans="42:42" x14ac:dyDescent="0.25">
      <c r="AP4580"/>
    </row>
    <row r="4581" spans="42:42" x14ac:dyDescent="0.25">
      <c r="AP4581"/>
    </row>
    <row r="4582" spans="42:42" x14ac:dyDescent="0.25">
      <c r="AP4582"/>
    </row>
    <row r="4583" spans="42:42" x14ac:dyDescent="0.25">
      <c r="AP4583"/>
    </row>
    <row r="4584" spans="42:42" x14ac:dyDescent="0.25">
      <c r="AP4584"/>
    </row>
    <row r="4585" spans="42:42" x14ac:dyDescent="0.25">
      <c r="AP4585"/>
    </row>
    <row r="4586" spans="42:42" x14ac:dyDescent="0.25">
      <c r="AP4586"/>
    </row>
    <row r="4587" spans="42:42" x14ac:dyDescent="0.25">
      <c r="AP4587"/>
    </row>
    <row r="4588" spans="42:42" x14ac:dyDescent="0.25">
      <c r="AP4588"/>
    </row>
    <row r="4589" spans="42:42" x14ac:dyDescent="0.25">
      <c r="AP4589"/>
    </row>
    <row r="4590" spans="42:42" x14ac:dyDescent="0.25">
      <c r="AP4590"/>
    </row>
    <row r="4591" spans="42:42" x14ac:dyDescent="0.25">
      <c r="AP4591"/>
    </row>
    <row r="4592" spans="42:42" x14ac:dyDescent="0.25">
      <c r="AP4592"/>
    </row>
    <row r="4593" spans="42:42" x14ac:dyDescent="0.25">
      <c r="AP4593"/>
    </row>
    <row r="4594" spans="42:42" x14ac:dyDescent="0.25">
      <c r="AP4594"/>
    </row>
    <row r="4595" spans="42:42" x14ac:dyDescent="0.25">
      <c r="AP4595"/>
    </row>
    <row r="4596" spans="42:42" x14ac:dyDescent="0.25">
      <c r="AP4596"/>
    </row>
    <row r="4597" spans="42:42" x14ac:dyDescent="0.25">
      <c r="AP4597"/>
    </row>
    <row r="4598" spans="42:42" x14ac:dyDescent="0.25">
      <c r="AP4598"/>
    </row>
    <row r="4599" spans="42:42" x14ac:dyDescent="0.25">
      <c r="AP4599"/>
    </row>
    <row r="4600" spans="42:42" x14ac:dyDescent="0.25">
      <c r="AP4600"/>
    </row>
    <row r="4601" spans="42:42" x14ac:dyDescent="0.25">
      <c r="AP4601"/>
    </row>
    <row r="4602" spans="42:42" x14ac:dyDescent="0.25">
      <c r="AP4602"/>
    </row>
    <row r="4603" spans="42:42" x14ac:dyDescent="0.25">
      <c r="AP4603"/>
    </row>
    <row r="4604" spans="42:42" x14ac:dyDescent="0.25">
      <c r="AP4604"/>
    </row>
    <row r="4605" spans="42:42" x14ac:dyDescent="0.25">
      <c r="AP4605"/>
    </row>
    <row r="4606" spans="42:42" x14ac:dyDescent="0.25">
      <c r="AP4606"/>
    </row>
    <row r="4607" spans="42:42" x14ac:dyDescent="0.25">
      <c r="AP4607"/>
    </row>
    <row r="4608" spans="42:42" x14ac:dyDescent="0.25">
      <c r="AP4608"/>
    </row>
    <row r="4609" spans="42:42" x14ac:dyDescent="0.25">
      <c r="AP4609"/>
    </row>
    <row r="4610" spans="42:42" x14ac:dyDescent="0.25">
      <c r="AP4610"/>
    </row>
    <row r="4611" spans="42:42" x14ac:dyDescent="0.25">
      <c r="AP4611"/>
    </row>
    <row r="4612" spans="42:42" x14ac:dyDescent="0.25">
      <c r="AP4612"/>
    </row>
    <row r="4613" spans="42:42" x14ac:dyDescent="0.25">
      <c r="AP4613"/>
    </row>
    <row r="4614" spans="42:42" x14ac:dyDescent="0.25">
      <c r="AP4614"/>
    </row>
    <row r="4615" spans="42:42" x14ac:dyDescent="0.25">
      <c r="AP4615"/>
    </row>
    <row r="4616" spans="42:42" x14ac:dyDescent="0.25">
      <c r="AP4616"/>
    </row>
    <row r="4617" spans="42:42" x14ac:dyDescent="0.25">
      <c r="AP4617"/>
    </row>
    <row r="4618" spans="42:42" x14ac:dyDescent="0.25">
      <c r="AP4618"/>
    </row>
    <row r="4619" spans="42:42" x14ac:dyDescent="0.25">
      <c r="AP4619"/>
    </row>
    <row r="4620" spans="42:42" x14ac:dyDescent="0.25">
      <c r="AP4620"/>
    </row>
    <row r="4621" spans="42:42" x14ac:dyDescent="0.25">
      <c r="AP4621"/>
    </row>
    <row r="4622" spans="42:42" x14ac:dyDescent="0.25">
      <c r="AP4622"/>
    </row>
    <row r="4623" spans="42:42" x14ac:dyDescent="0.25">
      <c r="AP4623"/>
    </row>
    <row r="4624" spans="42:42" x14ac:dyDescent="0.25">
      <c r="AP4624"/>
    </row>
    <row r="4625" spans="42:42" x14ac:dyDescent="0.25">
      <c r="AP4625"/>
    </row>
    <row r="4626" spans="42:42" x14ac:dyDescent="0.25">
      <c r="AP4626"/>
    </row>
    <row r="4627" spans="42:42" x14ac:dyDescent="0.25">
      <c r="AP4627"/>
    </row>
    <row r="4628" spans="42:42" x14ac:dyDescent="0.25">
      <c r="AP4628"/>
    </row>
    <row r="4629" spans="42:42" x14ac:dyDescent="0.25">
      <c r="AP4629"/>
    </row>
    <row r="4630" spans="42:42" x14ac:dyDescent="0.25">
      <c r="AP4630"/>
    </row>
    <row r="4631" spans="42:42" x14ac:dyDescent="0.25">
      <c r="AP4631"/>
    </row>
    <row r="4632" spans="42:42" x14ac:dyDescent="0.25">
      <c r="AP4632"/>
    </row>
    <row r="4633" spans="42:42" x14ac:dyDescent="0.25">
      <c r="AP4633"/>
    </row>
    <row r="4634" spans="42:42" x14ac:dyDescent="0.25">
      <c r="AP4634"/>
    </row>
    <row r="4635" spans="42:42" x14ac:dyDescent="0.25">
      <c r="AP4635"/>
    </row>
    <row r="4636" spans="42:42" x14ac:dyDescent="0.25">
      <c r="AP4636"/>
    </row>
    <row r="4637" spans="42:42" x14ac:dyDescent="0.25">
      <c r="AP4637"/>
    </row>
    <row r="4638" spans="42:42" x14ac:dyDescent="0.25">
      <c r="AP4638"/>
    </row>
    <row r="4639" spans="42:42" x14ac:dyDescent="0.25">
      <c r="AP4639"/>
    </row>
    <row r="4640" spans="42:42" x14ac:dyDescent="0.25">
      <c r="AP4640"/>
    </row>
    <row r="4641" spans="42:42" x14ac:dyDescent="0.25">
      <c r="AP4641"/>
    </row>
    <row r="4642" spans="42:42" x14ac:dyDescent="0.25">
      <c r="AP4642"/>
    </row>
    <row r="4643" spans="42:42" x14ac:dyDescent="0.25">
      <c r="AP4643"/>
    </row>
    <row r="4644" spans="42:42" x14ac:dyDescent="0.25">
      <c r="AP4644"/>
    </row>
    <row r="4645" spans="42:42" x14ac:dyDescent="0.25">
      <c r="AP4645"/>
    </row>
    <row r="4646" spans="42:42" x14ac:dyDescent="0.25">
      <c r="AP4646"/>
    </row>
    <row r="4647" spans="42:42" x14ac:dyDescent="0.25">
      <c r="AP4647"/>
    </row>
    <row r="4648" spans="42:42" x14ac:dyDescent="0.25">
      <c r="AP4648"/>
    </row>
    <row r="4649" spans="42:42" x14ac:dyDescent="0.25">
      <c r="AP4649"/>
    </row>
    <row r="4650" spans="42:42" x14ac:dyDescent="0.25">
      <c r="AP4650"/>
    </row>
    <row r="4651" spans="42:42" x14ac:dyDescent="0.25">
      <c r="AP4651"/>
    </row>
    <row r="4652" spans="42:42" x14ac:dyDescent="0.25">
      <c r="AP4652"/>
    </row>
    <row r="4653" spans="42:42" x14ac:dyDescent="0.25">
      <c r="AP4653"/>
    </row>
    <row r="4654" spans="42:42" x14ac:dyDescent="0.25">
      <c r="AP4654"/>
    </row>
    <row r="4655" spans="42:42" x14ac:dyDescent="0.25">
      <c r="AP4655"/>
    </row>
    <row r="4656" spans="42:42" x14ac:dyDescent="0.25">
      <c r="AP4656"/>
    </row>
    <row r="4657" spans="42:42" x14ac:dyDescent="0.25">
      <c r="AP4657"/>
    </row>
    <row r="4658" spans="42:42" x14ac:dyDescent="0.25">
      <c r="AP4658"/>
    </row>
    <row r="4659" spans="42:42" x14ac:dyDescent="0.25">
      <c r="AP4659"/>
    </row>
    <row r="4660" spans="42:42" x14ac:dyDescent="0.25">
      <c r="AP4660"/>
    </row>
    <row r="4661" spans="42:42" x14ac:dyDescent="0.25">
      <c r="AP4661"/>
    </row>
    <row r="4662" spans="42:42" x14ac:dyDescent="0.25">
      <c r="AP4662"/>
    </row>
    <row r="4663" spans="42:42" x14ac:dyDescent="0.25">
      <c r="AP4663"/>
    </row>
    <row r="4664" spans="42:42" x14ac:dyDescent="0.25">
      <c r="AP4664"/>
    </row>
    <row r="4665" spans="42:42" x14ac:dyDescent="0.25">
      <c r="AP4665"/>
    </row>
    <row r="4666" spans="42:42" x14ac:dyDescent="0.25">
      <c r="AP4666"/>
    </row>
    <row r="4667" spans="42:42" x14ac:dyDescent="0.25">
      <c r="AP4667"/>
    </row>
    <row r="4668" spans="42:42" x14ac:dyDescent="0.25">
      <c r="AP4668"/>
    </row>
    <row r="4669" spans="42:42" x14ac:dyDescent="0.25">
      <c r="AP4669"/>
    </row>
    <row r="4670" spans="42:42" x14ac:dyDescent="0.25">
      <c r="AP4670"/>
    </row>
    <row r="4671" spans="42:42" x14ac:dyDescent="0.25">
      <c r="AP4671"/>
    </row>
    <row r="4672" spans="42:42" x14ac:dyDescent="0.25">
      <c r="AP4672"/>
    </row>
    <row r="4673" spans="42:42" x14ac:dyDescent="0.25">
      <c r="AP4673"/>
    </row>
    <row r="4674" spans="42:42" x14ac:dyDescent="0.25">
      <c r="AP4674"/>
    </row>
    <row r="4675" spans="42:42" x14ac:dyDescent="0.25">
      <c r="AP4675"/>
    </row>
    <row r="4676" spans="42:42" x14ac:dyDescent="0.25">
      <c r="AP4676"/>
    </row>
    <row r="4677" spans="42:42" x14ac:dyDescent="0.25">
      <c r="AP4677"/>
    </row>
    <row r="4678" spans="42:42" x14ac:dyDescent="0.25">
      <c r="AP4678"/>
    </row>
    <row r="4679" spans="42:42" x14ac:dyDescent="0.25">
      <c r="AP4679"/>
    </row>
    <row r="4680" spans="42:42" x14ac:dyDescent="0.25">
      <c r="AP4680"/>
    </row>
    <row r="4681" spans="42:42" x14ac:dyDescent="0.25">
      <c r="AP4681"/>
    </row>
    <row r="4682" spans="42:42" x14ac:dyDescent="0.25">
      <c r="AP4682"/>
    </row>
    <row r="4683" spans="42:42" x14ac:dyDescent="0.25">
      <c r="AP4683"/>
    </row>
    <row r="4684" spans="42:42" x14ac:dyDescent="0.25">
      <c r="AP4684"/>
    </row>
    <row r="4685" spans="42:42" x14ac:dyDescent="0.25">
      <c r="AP4685"/>
    </row>
    <row r="4686" spans="42:42" x14ac:dyDescent="0.25">
      <c r="AP4686"/>
    </row>
    <row r="4687" spans="42:42" x14ac:dyDescent="0.25">
      <c r="AP4687"/>
    </row>
    <row r="4688" spans="42:42" x14ac:dyDescent="0.25">
      <c r="AP4688"/>
    </row>
    <row r="4689" spans="42:42" x14ac:dyDescent="0.25">
      <c r="AP4689"/>
    </row>
    <row r="4690" spans="42:42" x14ac:dyDescent="0.25">
      <c r="AP4690"/>
    </row>
    <row r="4691" spans="42:42" x14ac:dyDescent="0.25">
      <c r="AP4691"/>
    </row>
    <row r="4692" spans="42:42" x14ac:dyDescent="0.25">
      <c r="AP4692"/>
    </row>
    <row r="4693" spans="42:42" x14ac:dyDescent="0.25">
      <c r="AP4693"/>
    </row>
    <row r="4694" spans="42:42" x14ac:dyDescent="0.25">
      <c r="AP4694"/>
    </row>
    <row r="4695" spans="42:42" x14ac:dyDescent="0.25">
      <c r="AP4695"/>
    </row>
    <row r="4696" spans="42:42" x14ac:dyDescent="0.25">
      <c r="AP4696"/>
    </row>
    <row r="4697" spans="42:42" x14ac:dyDescent="0.25">
      <c r="AP4697"/>
    </row>
    <row r="4698" spans="42:42" x14ac:dyDescent="0.25">
      <c r="AP4698"/>
    </row>
    <row r="4699" spans="42:42" x14ac:dyDescent="0.25">
      <c r="AP4699"/>
    </row>
    <row r="4700" spans="42:42" x14ac:dyDescent="0.25">
      <c r="AP4700"/>
    </row>
    <row r="4701" spans="42:42" x14ac:dyDescent="0.25">
      <c r="AP4701"/>
    </row>
    <row r="4702" spans="42:42" x14ac:dyDescent="0.25">
      <c r="AP4702"/>
    </row>
    <row r="4703" spans="42:42" x14ac:dyDescent="0.25">
      <c r="AP4703"/>
    </row>
    <row r="4704" spans="42:42" x14ac:dyDescent="0.25">
      <c r="AP4704"/>
    </row>
    <row r="4705" spans="42:42" x14ac:dyDescent="0.25">
      <c r="AP4705"/>
    </row>
    <row r="4706" spans="42:42" x14ac:dyDescent="0.25">
      <c r="AP4706"/>
    </row>
    <row r="4707" spans="42:42" x14ac:dyDescent="0.25">
      <c r="AP4707"/>
    </row>
    <row r="4708" spans="42:42" x14ac:dyDescent="0.25">
      <c r="AP4708"/>
    </row>
    <row r="4709" spans="42:42" x14ac:dyDescent="0.25">
      <c r="AP4709"/>
    </row>
    <row r="4710" spans="42:42" x14ac:dyDescent="0.25">
      <c r="AP4710"/>
    </row>
    <row r="4711" spans="42:42" x14ac:dyDescent="0.25">
      <c r="AP4711"/>
    </row>
    <row r="4712" spans="42:42" x14ac:dyDescent="0.25">
      <c r="AP4712"/>
    </row>
    <row r="4713" spans="42:42" x14ac:dyDescent="0.25">
      <c r="AP4713"/>
    </row>
    <row r="4714" spans="42:42" x14ac:dyDescent="0.25">
      <c r="AP4714"/>
    </row>
    <row r="4715" spans="42:42" x14ac:dyDescent="0.25">
      <c r="AP4715"/>
    </row>
    <row r="4716" spans="42:42" x14ac:dyDescent="0.25">
      <c r="AP4716"/>
    </row>
    <row r="4717" spans="42:42" x14ac:dyDescent="0.25">
      <c r="AP4717"/>
    </row>
    <row r="4718" spans="42:42" x14ac:dyDescent="0.25">
      <c r="AP4718"/>
    </row>
    <row r="4719" spans="42:42" x14ac:dyDescent="0.25">
      <c r="AP4719"/>
    </row>
    <row r="4720" spans="42:42" x14ac:dyDescent="0.25">
      <c r="AP4720"/>
    </row>
    <row r="4721" spans="42:42" x14ac:dyDescent="0.25">
      <c r="AP4721"/>
    </row>
    <row r="4722" spans="42:42" x14ac:dyDescent="0.25">
      <c r="AP4722"/>
    </row>
    <row r="4723" spans="42:42" x14ac:dyDescent="0.25">
      <c r="AP4723"/>
    </row>
    <row r="4724" spans="42:42" x14ac:dyDescent="0.25">
      <c r="AP4724"/>
    </row>
    <row r="4725" spans="42:42" x14ac:dyDescent="0.25">
      <c r="AP4725"/>
    </row>
    <row r="4726" spans="42:42" x14ac:dyDescent="0.25">
      <c r="AP4726"/>
    </row>
    <row r="4727" spans="42:42" x14ac:dyDescent="0.25">
      <c r="AP4727"/>
    </row>
    <row r="4728" spans="42:42" x14ac:dyDescent="0.25">
      <c r="AP4728"/>
    </row>
    <row r="4729" spans="42:42" x14ac:dyDescent="0.25">
      <c r="AP4729"/>
    </row>
    <row r="4730" spans="42:42" x14ac:dyDescent="0.25">
      <c r="AP4730"/>
    </row>
    <row r="4731" spans="42:42" x14ac:dyDescent="0.25">
      <c r="AP4731"/>
    </row>
    <row r="4732" spans="42:42" x14ac:dyDescent="0.25">
      <c r="AP4732"/>
    </row>
    <row r="4733" spans="42:42" x14ac:dyDescent="0.25">
      <c r="AP4733"/>
    </row>
    <row r="4734" spans="42:42" x14ac:dyDescent="0.25">
      <c r="AP4734"/>
    </row>
    <row r="4735" spans="42:42" x14ac:dyDescent="0.25">
      <c r="AP4735"/>
    </row>
    <row r="4736" spans="42:42" x14ac:dyDescent="0.25">
      <c r="AP4736"/>
    </row>
    <row r="4737" spans="42:42" x14ac:dyDescent="0.25">
      <c r="AP4737"/>
    </row>
    <row r="4738" spans="42:42" x14ac:dyDescent="0.25">
      <c r="AP4738"/>
    </row>
    <row r="4739" spans="42:42" x14ac:dyDescent="0.25">
      <c r="AP4739"/>
    </row>
    <row r="4740" spans="42:42" x14ac:dyDescent="0.25">
      <c r="AP4740"/>
    </row>
    <row r="4741" spans="42:42" x14ac:dyDescent="0.25">
      <c r="AP4741"/>
    </row>
    <row r="4742" spans="42:42" x14ac:dyDescent="0.25">
      <c r="AP4742"/>
    </row>
    <row r="4743" spans="42:42" x14ac:dyDescent="0.25">
      <c r="AP4743"/>
    </row>
    <row r="4744" spans="42:42" x14ac:dyDescent="0.25">
      <c r="AP4744"/>
    </row>
    <row r="4745" spans="42:42" x14ac:dyDescent="0.25">
      <c r="AP4745"/>
    </row>
    <row r="4746" spans="42:42" x14ac:dyDescent="0.25">
      <c r="AP4746"/>
    </row>
    <row r="4747" spans="42:42" x14ac:dyDescent="0.25">
      <c r="AP4747"/>
    </row>
    <row r="4748" spans="42:42" x14ac:dyDescent="0.25">
      <c r="AP4748"/>
    </row>
    <row r="4749" spans="42:42" x14ac:dyDescent="0.25">
      <c r="AP4749"/>
    </row>
    <row r="4750" spans="42:42" x14ac:dyDescent="0.25">
      <c r="AP4750"/>
    </row>
    <row r="4751" spans="42:42" x14ac:dyDescent="0.25">
      <c r="AP4751"/>
    </row>
    <row r="4752" spans="42:42" x14ac:dyDescent="0.25">
      <c r="AP4752"/>
    </row>
    <row r="4753" spans="42:42" x14ac:dyDescent="0.25">
      <c r="AP4753"/>
    </row>
    <row r="4754" spans="42:42" x14ac:dyDescent="0.25">
      <c r="AP4754"/>
    </row>
    <row r="4755" spans="42:42" x14ac:dyDescent="0.25">
      <c r="AP4755"/>
    </row>
    <row r="4756" spans="42:42" x14ac:dyDescent="0.25">
      <c r="AP4756"/>
    </row>
    <row r="4757" spans="42:42" x14ac:dyDescent="0.25">
      <c r="AP4757"/>
    </row>
    <row r="4758" spans="42:42" x14ac:dyDescent="0.25">
      <c r="AP4758"/>
    </row>
    <row r="4759" spans="42:42" x14ac:dyDescent="0.25">
      <c r="AP4759"/>
    </row>
    <row r="4760" spans="42:42" x14ac:dyDescent="0.25">
      <c r="AP4760"/>
    </row>
    <row r="4761" spans="42:42" x14ac:dyDescent="0.25">
      <c r="AP4761"/>
    </row>
    <row r="4762" spans="42:42" x14ac:dyDescent="0.25">
      <c r="AP4762"/>
    </row>
    <row r="4763" spans="42:42" x14ac:dyDescent="0.25">
      <c r="AP4763"/>
    </row>
    <row r="4764" spans="42:42" x14ac:dyDescent="0.25">
      <c r="AP4764"/>
    </row>
    <row r="4765" spans="42:42" x14ac:dyDescent="0.25">
      <c r="AP4765"/>
    </row>
    <row r="4766" spans="42:42" x14ac:dyDescent="0.25">
      <c r="AP4766"/>
    </row>
    <row r="4767" spans="42:42" x14ac:dyDescent="0.25">
      <c r="AP4767"/>
    </row>
    <row r="4768" spans="42:42" x14ac:dyDescent="0.25">
      <c r="AP4768"/>
    </row>
    <row r="4769" spans="42:42" x14ac:dyDescent="0.25">
      <c r="AP4769"/>
    </row>
    <row r="4770" spans="42:42" x14ac:dyDescent="0.25">
      <c r="AP4770"/>
    </row>
    <row r="4771" spans="42:42" x14ac:dyDescent="0.25">
      <c r="AP4771"/>
    </row>
    <row r="4772" spans="42:42" x14ac:dyDescent="0.25">
      <c r="AP4772"/>
    </row>
    <row r="4773" spans="42:42" x14ac:dyDescent="0.25">
      <c r="AP4773"/>
    </row>
    <row r="4774" spans="42:42" x14ac:dyDescent="0.25">
      <c r="AP4774"/>
    </row>
    <row r="4775" spans="42:42" x14ac:dyDescent="0.25">
      <c r="AP4775"/>
    </row>
    <row r="4776" spans="42:42" x14ac:dyDescent="0.25">
      <c r="AP4776"/>
    </row>
    <row r="4777" spans="42:42" x14ac:dyDescent="0.25">
      <c r="AP4777"/>
    </row>
    <row r="4778" spans="42:42" x14ac:dyDescent="0.25">
      <c r="AP4778"/>
    </row>
    <row r="4779" spans="42:42" x14ac:dyDescent="0.25">
      <c r="AP4779"/>
    </row>
    <row r="4780" spans="42:42" x14ac:dyDescent="0.25">
      <c r="AP4780"/>
    </row>
    <row r="4781" spans="42:42" x14ac:dyDescent="0.25">
      <c r="AP4781"/>
    </row>
    <row r="4782" spans="42:42" x14ac:dyDescent="0.25">
      <c r="AP4782"/>
    </row>
    <row r="4783" spans="42:42" x14ac:dyDescent="0.25">
      <c r="AP4783"/>
    </row>
    <row r="4784" spans="42:42" x14ac:dyDescent="0.25">
      <c r="AP4784"/>
    </row>
    <row r="4785" spans="42:42" x14ac:dyDescent="0.25">
      <c r="AP4785"/>
    </row>
    <row r="4786" spans="42:42" x14ac:dyDescent="0.25">
      <c r="AP4786"/>
    </row>
    <row r="4787" spans="42:42" x14ac:dyDescent="0.25">
      <c r="AP4787"/>
    </row>
    <row r="4788" spans="42:42" x14ac:dyDescent="0.25">
      <c r="AP4788"/>
    </row>
    <row r="4789" spans="42:42" x14ac:dyDescent="0.25">
      <c r="AP4789"/>
    </row>
    <row r="4790" spans="42:42" x14ac:dyDescent="0.25">
      <c r="AP4790"/>
    </row>
    <row r="4791" spans="42:42" x14ac:dyDescent="0.25">
      <c r="AP4791"/>
    </row>
    <row r="4792" spans="42:42" x14ac:dyDescent="0.25">
      <c r="AP4792"/>
    </row>
    <row r="4793" spans="42:42" x14ac:dyDescent="0.25">
      <c r="AP4793"/>
    </row>
    <row r="4794" spans="42:42" x14ac:dyDescent="0.25">
      <c r="AP4794"/>
    </row>
    <row r="4795" spans="42:42" x14ac:dyDescent="0.25">
      <c r="AP4795"/>
    </row>
    <row r="4796" spans="42:42" x14ac:dyDescent="0.25">
      <c r="AP4796"/>
    </row>
    <row r="4797" spans="42:42" x14ac:dyDescent="0.25">
      <c r="AP4797"/>
    </row>
    <row r="4798" spans="42:42" x14ac:dyDescent="0.25">
      <c r="AP4798"/>
    </row>
    <row r="4799" spans="42:42" x14ac:dyDescent="0.25">
      <c r="AP4799"/>
    </row>
    <row r="4800" spans="42:42" x14ac:dyDescent="0.25">
      <c r="AP4800"/>
    </row>
    <row r="4801" spans="42:42" x14ac:dyDescent="0.25">
      <c r="AP4801"/>
    </row>
    <row r="4802" spans="42:42" x14ac:dyDescent="0.25">
      <c r="AP4802"/>
    </row>
    <row r="4803" spans="42:42" x14ac:dyDescent="0.25">
      <c r="AP4803"/>
    </row>
    <row r="4804" spans="42:42" x14ac:dyDescent="0.25">
      <c r="AP4804"/>
    </row>
    <row r="4805" spans="42:42" x14ac:dyDescent="0.25">
      <c r="AP4805"/>
    </row>
    <row r="4806" spans="42:42" x14ac:dyDescent="0.25">
      <c r="AP4806"/>
    </row>
    <row r="4807" spans="42:42" x14ac:dyDescent="0.25">
      <c r="AP4807"/>
    </row>
    <row r="4808" spans="42:42" x14ac:dyDescent="0.25">
      <c r="AP4808"/>
    </row>
    <row r="4809" spans="42:42" x14ac:dyDescent="0.25">
      <c r="AP4809"/>
    </row>
    <row r="4810" spans="42:42" x14ac:dyDescent="0.25">
      <c r="AP4810"/>
    </row>
    <row r="4811" spans="42:42" x14ac:dyDescent="0.25">
      <c r="AP4811"/>
    </row>
    <row r="4812" spans="42:42" x14ac:dyDescent="0.25">
      <c r="AP4812"/>
    </row>
    <row r="4813" spans="42:42" x14ac:dyDescent="0.25">
      <c r="AP4813"/>
    </row>
    <row r="4814" spans="42:42" x14ac:dyDescent="0.25">
      <c r="AP4814"/>
    </row>
    <row r="4815" spans="42:42" x14ac:dyDescent="0.25">
      <c r="AP4815"/>
    </row>
    <row r="4816" spans="42:42" x14ac:dyDescent="0.25">
      <c r="AP4816"/>
    </row>
    <row r="4817" spans="42:42" x14ac:dyDescent="0.25">
      <c r="AP4817"/>
    </row>
    <row r="4818" spans="42:42" x14ac:dyDescent="0.25">
      <c r="AP4818"/>
    </row>
    <row r="4819" spans="42:42" x14ac:dyDescent="0.25">
      <c r="AP4819"/>
    </row>
    <row r="4820" spans="42:42" x14ac:dyDescent="0.25">
      <c r="AP4820"/>
    </row>
    <row r="4821" spans="42:42" x14ac:dyDescent="0.25">
      <c r="AP4821"/>
    </row>
    <row r="4822" spans="42:42" x14ac:dyDescent="0.25">
      <c r="AP4822"/>
    </row>
    <row r="4823" spans="42:42" x14ac:dyDescent="0.25">
      <c r="AP4823"/>
    </row>
    <row r="4824" spans="42:42" x14ac:dyDescent="0.25">
      <c r="AP4824"/>
    </row>
    <row r="4825" spans="42:42" x14ac:dyDescent="0.25">
      <c r="AP4825"/>
    </row>
    <row r="4826" spans="42:42" x14ac:dyDescent="0.25">
      <c r="AP4826"/>
    </row>
    <row r="4827" spans="42:42" x14ac:dyDescent="0.25">
      <c r="AP4827"/>
    </row>
    <row r="4828" spans="42:42" x14ac:dyDescent="0.25">
      <c r="AP4828"/>
    </row>
    <row r="4829" spans="42:42" x14ac:dyDescent="0.25">
      <c r="AP4829"/>
    </row>
    <row r="4830" spans="42:42" x14ac:dyDescent="0.25">
      <c r="AP4830"/>
    </row>
    <row r="4831" spans="42:42" x14ac:dyDescent="0.25">
      <c r="AP4831"/>
    </row>
    <row r="4832" spans="42:42" x14ac:dyDescent="0.25">
      <c r="AP4832"/>
    </row>
    <row r="4833" spans="42:42" x14ac:dyDescent="0.25">
      <c r="AP4833"/>
    </row>
    <row r="4834" spans="42:42" x14ac:dyDescent="0.25">
      <c r="AP4834"/>
    </row>
    <row r="4835" spans="42:42" x14ac:dyDescent="0.25">
      <c r="AP4835"/>
    </row>
    <row r="4836" spans="42:42" x14ac:dyDescent="0.25">
      <c r="AP4836"/>
    </row>
    <row r="4837" spans="42:42" x14ac:dyDescent="0.25">
      <c r="AP4837"/>
    </row>
    <row r="4838" spans="42:42" x14ac:dyDescent="0.25">
      <c r="AP4838"/>
    </row>
    <row r="4839" spans="42:42" x14ac:dyDescent="0.25">
      <c r="AP4839"/>
    </row>
    <row r="4840" spans="42:42" x14ac:dyDescent="0.25">
      <c r="AP4840"/>
    </row>
    <row r="4841" spans="42:42" x14ac:dyDescent="0.25">
      <c r="AP4841"/>
    </row>
    <row r="4842" spans="42:42" x14ac:dyDescent="0.25">
      <c r="AP4842"/>
    </row>
    <row r="4843" spans="42:42" x14ac:dyDescent="0.25">
      <c r="AP4843"/>
    </row>
    <row r="4844" spans="42:42" x14ac:dyDescent="0.25">
      <c r="AP4844"/>
    </row>
    <row r="4845" spans="42:42" x14ac:dyDescent="0.25">
      <c r="AP4845"/>
    </row>
    <row r="4846" spans="42:42" x14ac:dyDescent="0.25">
      <c r="AP4846"/>
    </row>
    <row r="4847" spans="42:42" x14ac:dyDescent="0.25">
      <c r="AP4847"/>
    </row>
    <row r="4848" spans="42:42" x14ac:dyDescent="0.25">
      <c r="AP4848"/>
    </row>
    <row r="4849" spans="42:42" x14ac:dyDescent="0.25">
      <c r="AP4849"/>
    </row>
    <row r="4850" spans="42:42" x14ac:dyDescent="0.25">
      <c r="AP4850"/>
    </row>
    <row r="4851" spans="42:42" x14ac:dyDescent="0.25">
      <c r="AP4851"/>
    </row>
    <row r="4852" spans="42:42" x14ac:dyDescent="0.25">
      <c r="AP4852"/>
    </row>
    <row r="4853" spans="42:42" x14ac:dyDescent="0.25">
      <c r="AP4853"/>
    </row>
    <row r="4854" spans="42:42" x14ac:dyDescent="0.25">
      <c r="AP4854"/>
    </row>
    <row r="4855" spans="42:42" x14ac:dyDescent="0.25">
      <c r="AP4855"/>
    </row>
    <row r="4856" spans="42:42" x14ac:dyDescent="0.25">
      <c r="AP4856"/>
    </row>
    <row r="4857" spans="42:42" x14ac:dyDescent="0.25">
      <c r="AP4857"/>
    </row>
    <row r="4858" spans="42:42" x14ac:dyDescent="0.25">
      <c r="AP4858"/>
    </row>
    <row r="4859" spans="42:42" x14ac:dyDescent="0.25">
      <c r="AP4859"/>
    </row>
    <row r="4860" spans="42:42" x14ac:dyDescent="0.25">
      <c r="AP4860"/>
    </row>
    <row r="4861" spans="42:42" x14ac:dyDescent="0.25">
      <c r="AP4861"/>
    </row>
    <row r="4862" spans="42:42" x14ac:dyDescent="0.25">
      <c r="AP4862"/>
    </row>
    <row r="4863" spans="42:42" x14ac:dyDescent="0.25">
      <c r="AP4863"/>
    </row>
    <row r="4864" spans="42:42" x14ac:dyDescent="0.25">
      <c r="AP4864"/>
    </row>
    <row r="4865" spans="42:42" x14ac:dyDescent="0.25">
      <c r="AP4865"/>
    </row>
    <row r="4866" spans="42:42" x14ac:dyDescent="0.25">
      <c r="AP4866"/>
    </row>
    <row r="4867" spans="42:42" x14ac:dyDescent="0.25">
      <c r="AP4867"/>
    </row>
    <row r="4868" spans="42:42" x14ac:dyDescent="0.25">
      <c r="AP4868"/>
    </row>
    <row r="4869" spans="42:42" x14ac:dyDescent="0.25">
      <c r="AP4869"/>
    </row>
    <row r="4870" spans="42:42" x14ac:dyDescent="0.25">
      <c r="AP4870"/>
    </row>
    <row r="4871" spans="42:42" x14ac:dyDescent="0.25">
      <c r="AP4871"/>
    </row>
    <row r="4872" spans="42:42" x14ac:dyDescent="0.25">
      <c r="AP4872"/>
    </row>
    <row r="4873" spans="42:42" x14ac:dyDescent="0.25">
      <c r="AP4873"/>
    </row>
    <row r="4874" spans="42:42" x14ac:dyDescent="0.25">
      <c r="AP4874"/>
    </row>
    <row r="4875" spans="42:42" x14ac:dyDescent="0.25">
      <c r="AP4875"/>
    </row>
    <row r="4876" spans="42:42" x14ac:dyDescent="0.25">
      <c r="AP4876"/>
    </row>
    <row r="4877" spans="42:42" x14ac:dyDescent="0.25">
      <c r="AP4877"/>
    </row>
    <row r="4878" spans="42:42" x14ac:dyDescent="0.25">
      <c r="AP4878"/>
    </row>
    <row r="4879" spans="42:42" x14ac:dyDescent="0.25">
      <c r="AP4879"/>
    </row>
    <row r="4880" spans="42:42" x14ac:dyDescent="0.25">
      <c r="AP4880"/>
    </row>
    <row r="4881" spans="42:42" x14ac:dyDescent="0.25">
      <c r="AP4881"/>
    </row>
    <row r="4882" spans="42:42" x14ac:dyDescent="0.25">
      <c r="AP4882"/>
    </row>
    <row r="4883" spans="42:42" x14ac:dyDescent="0.25">
      <c r="AP4883"/>
    </row>
    <row r="4884" spans="42:42" x14ac:dyDescent="0.25">
      <c r="AP4884"/>
    </row>
    <row r="4885" spans="42:42" x14ac:dyDescent="0.25">
      <c r="AP4885"/>
    </row>
    <row r="4886" spans="42:42" x14ac:dyDescent="0.25">
      <c r="AP4886"/>
    </row>
    <row r="4887" spans="42:42" x14ac:dyDescent="0.25">
      <c r="AP4887"/>
    </row>
    <row r="4888" spans="42:42" x14ac:dyDescent="0.25">
      <c r="AP4888"/>
    </row>
    <row r="4889" spans="42:42" x14ac:dyDescent="0.25">
      <c r="AP4889"/>
    </row>
    <row r="4890" spans="42:42" x14ac:dyDescent="0.25">
      <c r="AP4890"/>
    </row>
    <row r="4891" spans="42:42" x14ac:dyDescent="0.25">
      <c r="AP4891"/>
    </row>
    <row r="4892" spans="42:42" x14ac:dyDescent="0.25">
      <c r="AP4892"/>
    </row>
    <row r="4893" spans="42:42" x14ac:dyDescent="0.25">
      <c r="AP4893"/>
    </row>
    <row r="4894" spans="42:42" x14ac:dyDescent="0.25">
      <c r="AP4894"/>
    </row>
    <row r="4895" spans="42:42" x14ac:dyDescent="0.25">
      <c r="AP4895"/>
    </row>
    <row r="4896" spans="42:42" x14ac:dyDescent="0.25">
      <c r="AP4896"/>
    </row>
    <row r="4897" spans="42:42" x14ac:dyDescent="0.25">
      <c r="AP4897"/>
    </row>
    <row r="4898" spans="42:42" x14ac:dyDescent="0.25">
      <c r="AP4898"/>
    </row>
    <row r="4899" spans="42:42" x14ac:dyDescent="0.25">
      <c r="AP4899"/>
    </row>
    <row r="4900" spans="42:42" x14ac:dyDescent="0.25">
      <c r="AP4900"/>
    </row>
    <row r="4901" spans="42:42" x14ac:dyDescent="0.25">
      <c r="AP4901"/>
    </row>
    <row r="4902" spans="42:42" x14ac:dyDescent="0.25">
      <c r="AP4902"/>
    </row>
    <row r="4903" spans="42:42" x14ac:dyDescent="0.25">
      <c r="AP4903"/>
    </row>
    <row r="4904" spans="42:42" x14ac:dyDescent="0.25">
      <c r="AP4904"/>
    </row>
    <row r="4905" spans="42:42" x14ac:dyDescent="0.25">
      <c r="AP4905"/>
    </row>
    <row r="4906" spans="42:42" x14ac:dyDescent="0.25">
      <c r="AP4906"/>
    </row>
    <row r="4907" spans="42:42" x14ac:dyDescent="0.25">
      <c r="AP4907"/>
    </row>
    <row r="4908" spans="42:42" x14ac:dyDescent="0.25">
      <c r="AP4908"/>
    </row>
    <row r="4909" spans="42:42" x14ac:dyDescent="0.25">
      <c r="AP4909"/>
    </row>
    <row r="4910" spans="42:42" x14ac:dyDescent="0.25">
      <c r="AP4910"/>
    </row>
    <row r="4911" spans="42:42" x14ac:dyDescent="0.25">
      <c r="AP4911"/>
    </row>
    <row r="4912" spans="42:42" x14ac:dyDescent="0.25">
      <c r="AP4912"/>
    </row>
    <row r="4913" spans="42:42" x14ac:dyDescent="0.25">
      <c r="AP4913"/>
    </row>
    <row r="4914" spans="42:42" x14ac:dyDescent="0.25">
      <c r="AP4914"/>
    </row>
    <row r="4915" spans="42:42" x14ac:dyDescent="0.25">
      <c r="AP4915"/>
    </row>
    <row r="4916" spans="42:42" x14ac:dyDescent="0.25">
      <c r="AP4916"/>
    </row>
    <row r="4917" spans="42:42" x14ac:dyDescent="0.25">
      <c r="AP4917"/>
    </row>
    <row r="4918" spans="42:42" x14ac:dyDescent="0.25">
      <c r="AP4918"/>
    </row>
    <row r="4919" spans="42:42" x14ac:dyDescent="0.25">
      <c r="AP4919"/>
    </row>
    <row r="4920" spans="42:42" x14ac:dyDescent="0.25">
      <c r="AP4920"/>
    </row>
    <row r="4921" spans="42:42" x14ac:dyDescent="0.25">
      <c r="AP4921"/>
    </row>
    <row r="4922" spans="42:42" x14ac:dyDescent="0.25">
      <c r="AP4922"/>
    </row>
    <row r="4923" spans="42:42" x14ac:dyDescent="0.25">
      <c r="AP4923"/>
    </row>
    <row r="4924" spans="42:42" x14ac:dyDescent="0.25">
      <c r="AP4924"/>
    </row>
    <row r="4925" spans="42:42" x14ac:dyDescent="0.25">
      <c r="AP4925"/>
    </row>
    <row r="4926" spans="42:42" x14ac:dyDescent="0.25">
      <c r="AP4926"/>
    </row>
    <row r="4927" spans="42:42" x14ac:dyDescent="0.25">
      <c r="AP4927"/>
    </row>
    <row r="4928" spans="42:42" x14ac:dyDescent="0.25">
      <c r="AP4928"/>
    </row>
    <row r="4929" spans="42:42" x14ac:dyDescent="0.25">
      <c r="AP4929"/>
    </row>
    <row r="4930" spans="42:42" x14ac:dyDescent="0.25">
      <c r="AP4930"/>
    </row>
    <row r="4931" spans="42:42" x14ac:dyDescent="0.25">
      <c r="AP4931"/>
    </row>
    <row r="4932" spans="42:42" x14ac:dyDescent="0.25">
      <c r="AP4932"/>
    </row>
    <row r="4933" spans="42:42" x14ac:dyDescent="0.25">
      <c r="AP4933"/>
    </row>
    <row r="4934" spans="42:42" x14ac:dyDescent="0.25">
      <c r="AP4934"/>
    </row>
    <row r="4935" spans="42:42" x14ac:dyDescent="0.25">
      <c r="AP4935"/>
    </row>
    <row r="4936" spans="42:42" x14ac:dyDescent="0.25">
      <c r="AP4936"/>
    </row>
    <row r="4937" spans="42:42" x14ac:dyDescent="0.25">
      <c r="AP4937"/>
    </row>
    <row r="4938" spans="42:42" x14ac:dyDescent="0.25">
      <c r="AP4938"/>
    </row>
    <row r="4939" spans="42:42" x14ac:dyDescent="0.25">
      <c r="AP4939"/>
    </row>
    <row r="4940" spans="42:42" x14ac:dyDescent="0.25">
      <c r="AP4940"/>
    </row>
    <row r="4941" spans="42:42" x14ac:dyDescent="0.25">
      <c r="AP4941"/>
    </row>
    <row r="4942" spans="42:42" x14ac:dyDescent="0.25">
      <c r="AP4942"/>
    </row>
    <row r="4943" spans="42:42" x14ac:dyDescent="0.25">
      <c r="AP4943"/>
    </row>
    <row r="4944" spans="42:42" x14ac:dyDescent="0.25">
      <c r="AP4944"/>
    </row>
    <row r="4945" spans="42:42" x14ac:dyDescent="0.25">
      <c r="AP4945"/>
    </row>
    <row r="4946" spans="42:42" x14ac:dyDescent="0.25">
      <c r="AP4946"/>
    </row>
    <row r="4947" spans="42:42" x14ac:dyDescent="0.25">
      <c r="AP4947"/>
    </row>
    <row r="4948" spans="42:42" x14ac:dyDescent="0.25">
      <c r="AP4948"/>
    </row>
    <row r="4949" spans="42:42" x14ac:dyDescent="0.25">
      <c r="AP4949"/>
    </row>
    <row r="4950" spans="42:42" x14ac:dyDescent="0.25">
      <c r="AP4950"/>
    </row>
    <row r="4951" spans="42:42" x14ac:dyDescent="0.25">
      <c r="AP4951"/>
    </row>
    <row r="4952" spans="42:42" x14ac:dyDescent="0.25">
      <c r="AP4952"/>
    </row>
    <row r="4953" spans="42:42" x14ac:dyDescent="0.25">
      <c r="AP4953"/>
    </row>
    <row r="4954" spans="42:42" x14ac:dyDescent="0.25">
      <c r="AP4954"/>
    </row>
    <row r="4955" spans="42:42" x14ac:dyDescent="0.25">
      <c r="AP4955"/>
    </row>
    <row r="4956" spans="42:42" x14ac:dyDescent="0.25">
      <c r="AP4956"/>
    </row>
    <row r="4957" spans="42:42" x14ac:dyDescent="0.25">
      <c r="AP4957"/>
    </row>
    <row r="4958" spans="42:42" x14ac:dyDescent="0.25">
      <c r="AP4958"/>
    </row>
    <row r="4959" spans="42:42" x14ac:dyDescent="0.25">
      <c r="AP4959"/>
    </row>
    <row r="4960" spans="42:42" x14ac:dyDescent="0.25">
      <c r="AP4960"/>
    </row>
    <row r="4961" spans="42:42" x14ac:dyDescent="0.25">
      <c r="AP4961"/>
    </row>
    <row r="4962" spans="42:42" x14ac:dyDescent="0.25">
      <c r="AP4962"/>
    </row>
    <row r="4963" spans="42:42" x14ac:dyDescent="0.25">
      <c r="AP4963"/>
    </row>
    <row r="4964" spans="42:42" x14ac:dyDescent="0.25">
      <c r="AP4964"/>
    </row>
    <row r="4965" spans="42:42" x14ac:dyDescent="0.25">
      <c r="AP4965"/>
    </row>
    <row r="4966" spans="42:42" x14ac:dyDescent="0.25">
      <c r="AP4966"/>
    </row>
    <row r="4967" spans="42:42" x14ac:dyDescent="0.25">
      <c r="AP4967"/>
    </row>
    <row r="4968" spans="42:42" x14ac:dyDescent="0.25">
      <c r="AP4968"/>
    </row>
    <row r="4969" spans="42:42" x14ac:dyDescent="0.25">
      <c r="AP4969"/>
    </row>
    <row r="4970" spans="42:42" x14ac:dyDescent="0.25">
      <c r="AP4970"/>
    </row>
    <row r="4971" spans="42:42" x14ac:dyDescent="0.25">
      <c r="AP4971"/>
    </row>
    <row r="4972" spans="42:42" x14ac:dyDescent="0.25">
      <c r="AP4972"/>
    </row>
    <row r="4973" spans="42:42" x14ac:dyDescent="0.25">
      <c r="AP4973"/>
    </row>
    <row r="4974" spans="42:42" x14ac:dyDescent="0.25">
      <c r="AP4974"/>
    </row>
    <row r="4975" spans="42:42" x14ac:dyDescent="0.25">
      <c r="AP4975"/>
    </row>
    <row r="4976" spans="42:42" x14ac:dyDescent="0.25">
      <c r="AP4976"/>
    </row>
    <row r="4977" spans="42:42" x14ac:dyDescent="0.25">
      <c r="AP4977"/>
    </row>
    <row r="4978" spans="42:42" x14ac:dyDescent="0.25">
      <c r="AP4978"/>
    </row>
    <row r="4979" spans="42:42" x14ac:dyDescent="0.25">
      <c r="AP4979"/>
    </row>
    <row r="4980" spans="42:42" x14ac:dyDescent="0.25">
      <c r="AP4980"/>
    </row>
    <row r="4981" spans="42:42" x14ac:dyDescent="0.25">
      <c r="AP4981"/>
    </row>
    <row r="4982" spans="42:42" x14ac:dyDescent="0.25">
      <c r="AP4982"/>
    </row>
    <row r="4983" spans="42:42" x14ac:dyDescent="0.25">
      <c r="AP4983"/>
    </row>
    <row r="4984" spans="42:42" x14ac:dyDescent="0.25">
      <c r="AP4984"/>
    </row>
    <row r="4985" spans="42:42" x14ac:dyDescent="0.25">
      <c r="AP4985"/>
    </row>
    <row r="4986" spans="42:42" x14ac:dyDescent="0.25">
      <c r="AP4986"/>
    </row>
    <row r="4987" spans="42:42" x14ac:dyDescent="0.25">
      <c r="AP4987"/>
    </row>
    <row r="4988" spans="42:42" x14ac:dyDescent="0.25">
      <c r="AP4988"/>
    </row>
    <row r="4989" spans="42:42" x14ac:dyDescent="0.25">
      <c r="AP4989"/>
    </row>
    <row r="4990" spans="42:42" x14ac:dyDescent="0.25">
      <c r="AP4990"/>
    </row>
    <row r="4991" spans="42:42" x14ac:dyDescent="0.25">
      <c r="AP4991"/>
    </row>
    <row r="4992" spans="42:42" x14ac:dyDescent="0.25">
      <c r="AP4992"/>
    </row>
    <row r="4993" spans="42:42" x14ac:dyDescent="0.25">
      <c r="AP4993"/>
    </row>
    <row r="4994" spans="42:42" x14ac:dyDescent="0.25">
      <c r="AP4994"/>
    </row>
    <row r="4995" spans="42:42" x14ac:dyDescent="0.25">
      <c r="AP4995"/>
    </row>
    <row r="4996" spans="42:42" x14ac:dyDescent="0.25">
      <c r="AP4996"/>
    </row>
    <row r="4997" spans="42:42" x14ac:dyDescent="0.25">
      <c r="AP4997"/>
    </row>
    <row r="4998" spans="42:42" x14ac:dyDescent="0.25">
      <c r="AP4998"/>
    </row>
    <row r="4999" spans="42:42" x14ac:dyDescent="0.25">
      <c r="AP4999"/>
    </row>
    <row r="5000" spans="42:42" x14ac:dyDescent="0.25">
      <c r="AP5000"/>
    </row>
    <row r="5001" spans="42:42" x14ac:dyDescent="0.25">
      <c r="AP5001"/>
    </row>
    <row r="5002" spans="42:42" x14ac:dyDescent="0.25">
      <c r="AP5002"/>
    </row>
    <row r="5003" spans="42:42" x14ac:dyDescent="0.25">
      <c r="AP5003"/>
    </row>
    <row r="5004" spans="42:42" x14ac:dyDescent="0.25">
      <c r="AP5004"/>
    </row>
    <row r="5005" spans="42:42" x14ac:dyDescent="0.25">
      <c r="AP5005"/>
    </row>
    <row r="5006" spans="42:42" x14ac:dyDescent="0.25">
      <c r="AP5006"/>
    </row>
    <row r="5007" spans="42:42" x14ac:dyDescent="0.25">
      <c r="AP5007"/>
    </row>
    <row r="5008" spans="42:42" x14ac:dyDescent="0.25">
      <c r="AP5008"/>
    </row>
    <row r="5009" spans="42:42" x14ac:dyDescent="0.25">
      <c r="AP5009"/>
    </row>
    <row r="5010" spans="42:42" x14ac:dyDescent="0.25">
      <c r="AP5010"/>
    </row>
    <row r="5011" spans="42:42" x14ac:dyDescent="0.25">
      <c r="AP5011"/>
    </row>
    <row r="5012" spans="42:42" x14ac:dyDescent="0.25">
      <c r="AP5012"/>
    </row>
    <row r="5013" spans="42:42" x14ac:dyDescent="0.25">
      <c r="AP5013"/>
    </row>
    <row r="5014" spans="42:42" x14ac:dyDescent="0.25">
      <c r="AP5014"/>
    </row>
    <row r="5015" spans="42:42" x14ac:dyDescent="0.25">
      <c r="AP5015"/>
    </row>
    <row r="5016" spans="42:42" x14ac:dyDescent="0.25">
      <c r="AP5016"/>
    </row>
    <row r="5017" spans="42:42" x14ac:dyDescent="0.25">
      <c r="AP5017"/>
    </row>
    <row r="5018" spans="42:42" x14ac:dyDescent="0.25">
      <c r="AP5018"/>
    </row>
    <row r="5019" spans="42:42" x14ac:dyDescent="0.25">
      <c r="AP5019"/>
    </row>
    <row r="5020" spans="42:42" x14ac:dyDescent="0.25">
      <c r="AP5020"/>
    </row>
    <row r="5021" spans="42:42" x14ac:dyDescent="0.25">
      <c r="AP5021"/>
    </row>
    <row r="5022" spans="42:42" x14ac:dyDescent="0.25">
      <c r="AP5022"/>
    </row>
    <row r="5023" spans="42:42" x14ac:dyDescent="0.25">
      <c r="AP5023"/>
    </row>
    <row r="5024" spans="42:42" x14ac:dyDescent="0.25">
      <c r="AP5024"/>
    </row>
    <row r="5025" spans="42:42" x14ac:dyDescent="0.25">
      <c r="AP5025"/>
    </row>
    <row r="5026" spans="42:42" x14ac:dyDescent="0.25">
      <c r="AP5026"/>
    </row>
    <row r="5027" spans="42:42" x14ac:dyDescent="0.25">
      <c r="AP5027"/>
    </row>
    <row r="5028" spans="42:42" x14ac:dyDescent="0.25">
      <c r="AP5028"/>
    </row>
    <row r="5029" spans="42:42" x14ac:dyDescent="0.25">
      <c r="AP5029"/>
    </row>
    <row r="5030" spans="42:42" x14ac:dyDescent="0.25">
      <c r="AP5030"/>
    </row>
    <row r="5031" spans="42:42" x14ac:dyDescent="0.25">
      <c r="AP5031"/>
    </row>
    <row r="5032" spans="42:42" x14ac:dyDescent="0.25">
      <c r="AP5032"/>
    </row>
    <row r="5033" spans="42:42" x14ac:dyDescent="0.25">
      <c r="AP5033"/>
    </row>
    <row r="5034" spans="42:42" x14ac:dyDescent="0.25">
      <c r="AP5034"/>
    </row>
    <row r="5035" spans="42:42" x14ac:dyDescent="0.25">
      <c r="AP5035"/>
    </row>
    <row r="5036" spans="42:42" x14ac:dyDescent="0.25">
      <c r="AP5036"/>
    </row>
    <row r="5037" spans="42:42" x14ac:dyDescent="0.25">
      <c r="AP5037"/>
    </row>
    <row r="5038" spans="42:42" x14ac:dyDescent="0.25">
      <c r="AP5038"/>
    </row>
    <row r="5039" spans="42:42" x14ac:dyDescent="0.25">
      <c r="AP5039"/>
    </row>
    <row r="5040" spans="42:42" x14ac:dyDescent="0.25">
      <c r="AP5040"/>
    </row>
    <row r="5041" spans="42:42" x14ac:dyDescent="0.25">
      <c r="AP5041"/>
    </row>
    <row r="5042" spans="42:42" x14ac:dyDescent="0.25">
      <c r="AP5042"/>
    </row>
    <row r="5043" spans="42:42" x14ac:dyDescent="0.25">
      <c r="AP5043"/>
    </row>
    <row r="5044" spans="42:42" x14ac:dyDescent="0.25">
      <c r="AP5044"/>
    </row>
    <row r="5045" spans="42:42" x14ac:dyDescent="0.25">
      <c r="AP5045"/>
    </row>
    <row r="5046" spans="42:42" x14ac:dyDescent="0.25">
      <c r="AP5046"/>
    </row>
    <row r="5047" spans="42:42" x14ac:dyDescent="0.25">
      <c r="AP5047"/>
    </row>
    <row r="5048" spans="42:42" x14ac:dyDescent="0.25">
      <c r="AP5048"/>
    </row>
    <row r="5049" spans="42:42" x14ac:dyDescent="0.25">
      <c r="AP5049"/>
    </row>
    <row r="5050" spans="42:42" x14ac:dyDescent="0.25">
      <c r="AP5050"/>
    </row>
    <row r="5051" spans="42:42" x14ac:dyDescent="0.25">
      <c r="AP5051"/>
    </row>
    <row r="5052" spans="42:42" x14ac:dyDescent="0.25">
      <c r="AP5052"/>
    </row>
    <row r="5053" spans="42:42" x14ac:dyDescent="0.25">
      <c r="AP5053"/>
    </row>
    <row r="5054" spans="42:42" x14ac:dyDescent="0.25">
      <c r="AP5054"/>
    </row>
    <row r="5055" spans="42:42" x14ac:dyDescent="0.25">
      <c r="AP5055"/>
    </row>
    <row r="5056" spans="42:42" x14ac:dyDescent="0.25">
      <c r="AP5056"/>
    </row>
    <row r="5057" spans="42:42" x14ac:dyDescent="0.25">
      <c r="AP5057"/>
    </row>
    <row r="5058" spans="42:42" x14ac:dyDescent="0.25">
      <c r="AP5058"/>
    </row>
    <row r="5059" spans="42:42" x14ac:dyDescent="0.25">
      <c r="AP5059"/>
    </row>
    <row r="5060" spans="42:42" x14ac:dyDescent="0.25">
      <c r="AP5060"/>
    </row>
    <row r="5061" spans="42:42" x14ac:dyDescent="0.25">
      <c r="AP5061"/>
    </row>
    <row r="5062" spans="42:42" x14ac:dyDescent="0.25">
      <c r="AP5062"/>
    </row>
    <row r="5063" spans="42:42" x14ac:dyDescent="0.25">
      <c r="AP5063"/>
    </row>
    <row r="5064" spans="42:42" x14ac:dyDescent="0.25">
      <c r="AP5064"/>
    </row>
    <row r="5065" spans="42:42" x14ac:dyDescent="0.25">
      <c r="AP5065"/>
    </row>
    <row r="5066" spans="42:42" x14ac:dyDescent="0.25">
      <c r="AP5066"/>
    </row>
    <row r="5067" spans="42:42" x14ac:dyDescent="0.25">
      <c r="AP5067"/>
    </row>
    <row r="5068" spans="42:42" x14ac:dyDescent="0.25">
      <c r="AP5068"/>
    </row>
    <row r="5069" spans="42:42" x14ac:dyDescent="0.25">
      <c r="AP5069"/>
    </row>
    <row r="5070" spans="42:42" x14ac:dyDescent="0.25">
      <c r="AP5070"/>
    </row>
    <row r="5071" spans="42:42" x14ac:dyDescent="0.25">
      <c r="AP5071"/>
    </row>
    <row r="5072" spans="42:42" x14ac:dyDescent="0.25">
      <c r="AP5072"/>
    </row>
    <row r="5073" spans="42:42" x14ac:dyDescent="0.25">
      <c r="AP5073"/>
    </row>
    <row r="5074" spans="42:42" x14ac:dyDescent="0.25">
      <c r="AP5074"/>
    </row>
    <row r="5075" spans="42:42" x14ac:dyDescent="0.25">
      <c r="AP5075"/>
    </row>
    <row r="5076" spans="42:42" x14ac:dyDescent="0.25">
      <c r="AP5076"/>
    </row>
    <row r="5077" spans="42:42" x14ac:dyDescent="0.25">
      <c r="AP5077"/>
    </row>
    <row r="5078" spans="42:42" x14ac:dyDescent="0.25">
      <c r="AP5078"/>
    </row>
    <row r="5079" spans="42:42" x14ac:dyDescent="0.25">
      <c r="AP5079"/>
    </row>
    <row r="5080" spans="42:42" x14ac:dyDescent="0.25">
      <c r="AP5080"/>
    </row>
    <row r="5081" spans="42:42" x14ac:dyDescent="0.25">
      <c r="AP5081"/>
    </row>
    <row r="5082" spans="42:42" x14ac:dyDescent="0.25">
      <c r="AP5082"/>
    </row>
    <row r="5083" spans="42:42" x14ac:dyDescent="0.25">
      <c r="AP5083"/>
    </row>
    <row r="5084" spans="42:42" x14ac:dyDescent="0.25">
      <c r="AP5084"/>
    </row>
    <row r="5085" spans="42:42" x14ac:dyDescent="0.25">
      <c r="AP5085"/>
    </row>
    <row r="5086" spans="42:42" x14ac:dyDescent="0.25">
      <c r="AP5086"/>
    </row>
    <row r="5087" spans="42:42" x14ac:dyDescent="0.25">
      <c r="AP5087"/>
    </row>
    <row r="5088" spans="42:42" x14ac:dyDescent="0.25">
      <c r="AP5088"/>
    </row>
    <row r="5089" spans="42:42" x14ac:dyDescent="0.25">
      <c r="AP5089"/>
    </row>
    <row r="5090" spans="42:42" x14ac:dyDescent="0.25">
      <c r="AP5090"/>
    </row>
    <row r="5091" spans="42:42" x14ac:dyDescent="0.25">
      <c r="AP5091"/>
    </row>
    <row r="5092" spans="42:42" x14ac:dyDescent="0.25">
      <c r="AP5092"/>
    </row>
    <row r="5093" spans="42:42" x14ac:dyDescent="0.25">
      <c r="AP5093"/>
    </row>
    <row r="5094" spans="42:42" x14ac:dyDescent="0.25">
      <c r="AP5094"/>
    </row>
    <row r="5095" spans="42:42" x14ac:dyDescent="0.25">
      <c r="AP5095"/>
    </row>
    <row r="5096" spans="42:42" x14ac:dyDescent="0.25">
      <c r="AP5096"/>
    </row>
    <row r="5097" spans="42:42" x14ac:dyDescent="0.25">
      <c r="AP5097"/>
    </row>
    <row r="5098" spans="42:42" x14ac:dyDescent="0.25">
      <c r="AP5098"/>
    </row>
    <row r="5099" spans="42:42" x14ac:dyDescent="0.25">
      <c r="AP5099"/>
    </row>
    <row r="5100" spans="42:42" x14ac:dyDescent="0.25">
      <c r="AP5100"/>
    </row>
    <row r="5101" spans="42:42" x14ac:dyDescent="0.25">
      <c r="AP5101"/>
    </row>
    <row r="5102" spans="42:42" x14ac:dyDescent="0.25">
      <c r="AP5102"/>
    </row>
    <row r="5103" spans="42:42" x14ac:dyDescent="0.25">
      <c r="AP5103"/>
    </row>
    <row r="5104" spans="42:42" x14ac:dyDescent="0.25">
      <c r="AP5104"/>
    </row>
    <row r="5105" spans="42:42" x14ac:dyDescent="0.25">
      <c r="AP5105"/>
    </row>
    <row r="5106" spans="42:42" x14ac:dyDescent="0.25">
      <c r="AP5106"/>
    </row>
    <row r="5107" spans="42:42" x14ac:dyDescent="0.25">
      <c r="AP5107"/>
    </row>
    <row r="5108" spans="42:42" x14ac:dyDescent="0.25">
      <c r="AP5108"/>
    </row>
    <row r="5109" spans="42:42" x14ac:dyDescent="0.25">
      <c r="AP5109"/>
    </row>
    <row r="5110" spans="42:42" x14ac:dyDescent="0.25">
      <c r="AP5110"/>
    </row>
    <row r="5111" spans="42:42" x14ac:dyDescent="0.25">
      <c r="AP5111"/>
    </row>
    <row r="5112" spans="42:42" x14ac:dyDescent="0.25">
      <c r="AP5112"/>
    </row>
    <row r="5113" spans="42:42" x14ac:dyDescent="0.25">
      <c r="AP5113"/>
    </row>
    <row r="5114" spans="42:42" x14ac:dyDescent="0.25">
      <c r="AP5114"/>
    </row>
    <row r="5115" spans="42:42" x14ac:dyDescent="0.25">
      <c r="AP5115"/>
    </row>
    <row r="5116" spans="42:42" x14ac:dyDescent="0.25">
      <c r="AP5116"/>
    </row>
    <row r="5117" spans="42:42" x14ac:dyDescent="0.25">
      <c r="AP5117"/>
    </row>
    <row r="5118" spans="42:42" x14ac:dyDescent="0.25">
      <c r="AP5118"/>
    </row>
    <row r="5119" spans="42:42" x14ac:dyDescent="0.25">
      <c r="AP5119"/>
    </row>
    <row r="5120" spans="42:42" x14ac:dyDescent="0.25">
      <c r="AP5120"/>
    </row>
    <row r="5121" spans="42:42" x14ac:dyDescent="0.25">
      <c r="AP5121"/>
    </row>
    <row r="5122" spans="42:42" x14ac:dyDescent="0.25">
      <c r="AP5122"/>
    </row>
    <row r="5123" spans="42:42" x14ac:dyDescent="0.25">
      <c r="AP5123"/>
    </row>
    <row r="5124" spans="42:42" x14ac:dyDescent="0.25">
      <c r="AP5124"/>
    </row>
    <row r="5125" spans="42:42" x14ac:dyDescent="0.25">
      <c r="AP5125"/>
    </row>
    <row r="5126" spans="42:42" x14ac:dyDescent="0.25">
      <c r="AP5126"/>
    </row>
    <row r="5127" spans="42:42" x14ac:dyDescent="0.25">
      <c r="AP5127"/>
    </row>
    <row r="5128" spans="42:42" x14ac:dyDescent="0.25">
      <c r="AP5128"/>
    </row>
    <row r="5129" spans="42:42" x14ac:dyDescent="0.25">
      <c r="AP5129"/>
    </row>
    <row r="5130" spans="42:42" x14ac:dyDescent="0.25">
      <c r="AP5130"/>
    </row>
    <row r="5131" spans="42:42" x14ac:dyDescent="0.25">
      <c r="AP5131"/>
    </row>
    <row r="5132" spans="42:42" x14ac:dyDescent="0.25">
      <c r="AP5132"/>
    </row>
    <row r="5133" spans="42:42" x14ac:dyDescent="0.25">
      <c r="AP5133"/>
    </row>
    <row r="5134" spans="42:42" x14ac:dyDescent="0.25">
      <c r="AP5134"/>
    </row>
    <row r="5135" spans="42:42" x14ac:dyDescent="0.25">
      <c r="AP5135"/>
    </row>
    <row r="5136" spans="42:42" x14ac:dyDescent="0.25">
      <c r="AP5136"/>
    </row>
    <row r="5137" spans="42:42" x14ac:dyDescent="0.25">
      <c r="AP5137"/>
    </row>
    <row r="5138" spans="42:42" x14ac:dyDescent="0.25">
      <c r="AP5138"/>
    </row>
    <row r="5139" spans="42:42" x14ac:dyDescent="0.25">
      <c r="AP5139"/>
    </row>
    <row r="5140" spans="42:42" x14ac:dyDescent="0.25">
      <c r="AP5140"/>
    </row>
    <row r="5141" spans="42:42" x14ac:dyDescent="0.25">
      <c r="AP5141"/>
    </row>
    <row r="5142" spans="42:42" x14ac:dyDescent="0.25">
      <c r="AP5142"/>
    </row>
    <row r="5143" spans="42:42" x14ac:dyDescent="0.25">
      <c r="AP5143"/>
    </row>
    <row r="5144" spans="42:42" x14ac:dyDescent="0.25">
      <c r="AP5144"/>
    </row>
    <row r="5145" spans="42:42" x14ac:dyDescent="0.25">
      <c r="AP5145"/>
    </row>
    <row r="5146" spans="42:42" x14ac:dyDescent="0.25">
      <c r="AP5146"/>
    </row>
    <row r="5147" spans="42:42" x14ac:dyDescent="0.25">
      <c r="AP5147"/>
    </row>
    <row r="5148" spans="42:42" x14ac:dyDescent="0.25">
      <c r="AP5148"/>
    </row>
    <row r="5149" spans="42:42" x14ac:dyDescent="0.25">
      <c r="AP5149"/>
    </row>
    <row r="5150" spans="42:42" x14ac:dyDescent="0.25">
      <c r="AP5150"/>
    </row>
    <row r="5151" spans="42:42" x14ac:dyDescent="0.25">
      <c r="AP5151"/>
    </row>
    <row r="5152" spans="42:42" x14ac:dyDescent="0.25">
      <c r="AP5152"/>
    </row>
    <row r="5153" spans="42:42" x14ac:dyDescent="0.25">
      <c r="AP5153"/>
    </row>
    <row r="5154" spans="42:42" x14ac:dyDescent="0.25">
      <c r="AP5154"/>
    </row>
    <row r="5155" spans="42:42" x14ac:dyDescent="0.25">
      <c r="AP5155"/>
    </row>
    <row r="5156" spans="42:42" x14ac:dyDescent="0.25">
      <c r="AP5156"/>
    </row>
    <row r="5157" spans="42:42" x14ac:dyDescent="0.25">
      <c r="AP5157"/>
    </row>
    <row r="5158" spans="42:42" x14ac:dyDescent="0.25">
      <c r="AP5158"/>
    </row>
    <row r="5159" spans="42:42" x14ac:dyDescent="0.25">
      <c r="AP5159"/>
    </row>
    <row r="5160" spans="42:42" x14ac:dyDescent="0.25">
      <c r="AP5160"/>
    </row>
    <row r="5161" spans="42:42" x14ac:dyDescent="0.25">
      <c r="AP5161"/>
    </row>
    <row r="5162" spans="42:42" x14ac:dyDescent="0.25">
      <c r="AP5162"/>
    </row>
    <row r="5163" spans="42:42" x14ac:dyDescent="0.25">
      <c r="AP5163"/>
    </row>
    <row r="5164" spans="42:42" x14ac:dyDescent="0.25">
      <c r="AP5164"/>
    </row>
    <row r="5165" spans="42:42" x14ac:dyDescent="0.25">
      <c r="AP5165"/>
    </row>
    <row r="5166" spans="42:42" x14ac:dyDescent="0.25">
      <c r="AP5166"/>
    </row>
    <row r="5167" spans="42:42" x14ac:dyDescent="0.25">
      <c r="AP5167"/>
    </row>
    <row r="5168" spans="42:42" x14ac:dyDescent="0.25">
      <c r="AP5168"/>
    </row>
    <row r="5169" spans="42:42" x14ac:dyDescent="0.25">
      <c r="AP5169"/>
    </row>
    <row r="5170" spans="42:42" x14ac:dyDescent="0.25">
      <c r="AP5170"/>
    </row>
    <row r="5171" spans="42:42" x14ac:dyDescent="0.25">
      <c r="AP5171"/>
    </row>
    <row r="5172" spans="42:42" x14ac:dyDescent="0.25">
      <c r="AP5172"/>
    </row>
    <row r="5173" spans="42:42" x14ac:dyDescent="0.25">
      <c r="AP5173"/>
    </row>
    <row r="5174" spans="42:42" x14ac:dyDescent="0.25">
      <c r="AP5174"/>
    </row>
    <row r="5175" spans="42:42" x14ac:dyDescent="0.25">
      <c r="AP5175"/>
    </row>
    <row r="5176" spans="42:42" x14ac:dyDescent="0.25">
      <c r="AP5176"/>
    </row>
    <row r="5177" spans="42:42" x14ac:dyDescent="0.25">
      <c r="AP5177"/>
    </row>
    <row r="5178" spans="42:42" x14ac:dyDescent="0.25">
      <c r="AP5178"/>
    </row>
    <row r="5179" spans="42:42" x14ac:dyDescent="0.25">
      <c r="AP5179"/>
    </row>
    <row r="5180" spans="42:42" x14ac:dyDescent="0.25">
      <c r="AP5180"/>
    </row>
    <row r="5181" spans="42:42" x14ac:dyDescent="0.25">
      <c r="AP5181"/>
    </row>
    <row r="5182" spans="42:42" x14ac:dyDescent="0.25">
      <c r="AP5182"/>
    </row>
    <row r="5183" spans="42:42" x14ac:dyDescent="0.25">
      <c r="AP5183"/>
    </row>
    <row r="5184" spans="42:42" x14ac:dyDescent="0.25">
      <c r="AP5184"/>
    </row>
    <row r="5185" spans="42:42" x14ac:dyDescent="0.25">
      <c r="AP5185"/>
    </row>
    <row r="5186" spans="42:42" x14ac:dyDescent="0.25">
      <c r="AP5186"/>
    </row>
    <row r="5187" spans="42:42" x14ac:dyDescent="0.25">
      <c r="AP5187"/>
    </row>
    <row r="5188" spans="42:42" x14ac:dyDescent="0.25">
      <c r="AP5188"/>
    </row>
    <row r="5189" spans="42:42" x14ac:dyDescent="0.25">
      <c r="AP5189"/>
    </row>
    <row r="5190" spans="42:42" x14ac:dyDescent="0.25">
      <c r="AP5190"/>
    </row>
    <row r="5191" spans="42:42" x14ac:dyDescent="0.25">
      <c r="AP5191"/>
    </row>
    <row r="5192" spans="42:42" x14ac:dyDescent="0.25">
      <c r="AP5192"/>
    </row>
    <row r="5193" spans="42:42" x14ac:dyDescent="0.25">
      <c r="AP5193"/>
    </row>
    <row r="5194" spans="42:42" x14ac:dyDescent="0.25">
      <c r="AP5194"/>
    </row>
    <row r="5195" spans="42:42" x14ac:dyDescent="0.25">
      <c r="AP5195"/>
    </row>
    <row r="5196" spans="42:42" x14ac:dyDescent="0.25">
      <c r="AP5196"/>
    </row>
    <row r="5197" spans="42:42" x14ac:dyDescent="0.25">
      <c r="AP5197"/>
    </row>
    <row r="5198" spans="42:42" x14ac:dyDescent="0.25">
      <c r="AP5198"/>
    </row>
    <row r="5199" spans="42:42" x14ac:dyDescent="0.25">
      <c r="AP5199"/>
    </row>
    <row r="5200" spans="42:42" x14ac:dyDescent="0.25">
      <c r="AP5200"/>
    </row>
    <row r="5201" spans="42:42" x14ac:dyDescent="0.25">
      <c r="AP5201"/>
    </row>
    <row r="5202" spans="42:42" x14ac:dyDescent="0.25">
      <c r="AP5202"/>
    </row>
    <row r="5203" spans="42:42" x14ac:dyDescent="0.25">
      <c r="AP5203"/>
    </row>
    <row r="5204" spans="42:42" x14ac:dyDescent="0.25">
      <c r="AP5204"/>
    </row>
    <row r="5205" spans="42:42" x14ac:dyDescent="0.25">
      <c r="AP5205"/>
    </row>
    <row r="5206" spans="42:42" x14ac:dyDescent="0.25">
      <c r="AP5206"/>
    </row>
    <row r="5207" spans="42:42" x14ac:dyDescent="0.25">
      <c r="AP5207"/>
    </row>
    <row r="5208" spans="42:42" x14ac:dyDescent="0.25">
      <c r="AP5208"/>
    </row>
    <row r="5209" spans="42:42" x14ac:dyDescent="0.25">
      <c r="AP5209"/>
    </row>
    <row r="5210" spans="42:42" x14ac:dyDescent="0.25">
      <c r="AP5210"/>
    </row>
    <row r="5211" spans="42:42" x14ac:dyDescent="0.25">
      <c r="AP5211"/>
    </row>
    <row r="5212" spans="42:42" x14ac:dyDescent="0.25">
      <c r="AP5212"/>
    </row>
    <row r="5213" spans="42:42" x14ac:dyDescent="0.25">
      <c r="AP5213"/>
    </row>
    <row r="5214" spans="42:42" x14ac:dyDescent="0.25">
      <c r="AP5214"/>
    </row>
    <row r="5215" spans="42:42" x14ac:dyDescent="0.25">
      <c r="AP5215"/>
    </row>
    <row r="5216" spans="42:42" x14ac:dyDescent="0.25">
      <c r="AP5216"/>
    </row>
    <row r="5217" spans="42:42" x14ac:dyDescent="0.25">
      <c r="AP5217"/>
    </row>
    <row r="5218" spans="42:42" x14ac:dyDescent="0.25">
      <c r="AP5218"/>
    </row>
    <row r="5219" spans="42:42" x14ac:dyDescent="0.25">
      <c r="AP5219"/>
    </row>
    <row r="5220" spans="42:42" x14ac:dyDescent="0.25">
      <c r="AP5220"/>
    </row>
    <row r="5221" spans="42:42" x14ac:dyDescent="0.25">
      <c r="AP5221"/>
    </row>
    <row r="5222" spans="42:42" x14ac:dyDescent="0.25">
      <c r="AP5222"/>
    </row>
    <row r="5223" spans="42:42" x14ac:dyDescent="0.25">
      <c r="AP5223"/>
    </row>
    <row r="5224" spans="42:42" x14ac:dyDescent="0.25">
      <c r="AP5224"/>
    </row>
    <row r="5225" spans="42:42" x14ac:dyDescent="0.25">
      <c r="AP5225"/>
    </row>
    <row r="5226" spans="42:42" x14ac:dyDescent="0.25">
      <c r="AP5226"/>
    </row>
    <row r="5227" spans="42:42" x14ac:dyDescent="0.25">
      <c r="AP5227"/>
    </row>
    <row r="5228" spans="42:42" x14ac:dyDescent="0.25">
      <c r="AP5228"/>
    </row>
    <row r="5229" spans="42:42" x14ac:dyDescent="0.25">
      <c r="AP5229"/>
    </row>
    <row r="5230" spans="42:42" x14ac:dyDescent="0.25">
      <c r="AP5230"/>
    </row>
    <row r="5231" spans="42:42" x14ac:dyDescent="0.25">
      <c r="AP5231"/>
    </row>
    <row r="5232" spans="42:42" x14ac:dyDescent="0.25">
      <c r="AP5232"/>
    </row>
    <row r="5233" spans="42:42" x14ac:dyDescent="0.25">
      <c r="AP5233"/>
    </row>
    <row r="5234" spans="42:42" x14ac:dyDescent="0.25">
      <c r="AP5234"/>
    </row>
    <row r="5235" spans="42:42" x14ac:dyDescent="0.25">
      <c r="AP5235"/>
    </row>
    <row r="5236" spans="42:42" x14ac:dyDescent="0.25">
      <c r="AP5236"/>
    </row>
    <row r="5237" spans="42:42" x14ac:dyDescent="0.25">
      <c r="AP5237"/>
    </row>
    <row r="5238" spans="42:42" x14ac:dyDescent="0.25">
      <c r="AP5238"/>
    </row>
    <row r="5239" spans="42:42" x14ac:dyDescent="0.25">
      <c r="AP5239"/>
    </row>
    <row r="5240" spans="42:42" x14ac:dyDescent="0.25">
      <c r="AP5240"/>
    </row>
    <row r="5241" spans="42:42" x14ac:dyDescent="0.25">
      <c r="AP5241"/>
    </row>
    <row r="5242" spans="42:42" x14ac:dyDescent="0.25">
      <c r="AP5242"/>
    </row>
    <row r="5243" spans="42:42" x14ac:dyDescent="0.25">
      <c r="AP5243"/>
    </row>
    <row r="5244" spans="42:42" x14ac:dyDescent="0.25">
      <c r="AP5244"/>
    </row>
    <row r="5245" spans="42:42" x14ac:dyDescent="0.25">
      <c r="AP5245"/>
    </row>
    <row r="5246" spans="42:42" x14ac:dyDescent="0.25">
      <c r="AP5246"/>
    </row>
    <row r="5247" spans="42:42" x14ac:dyDescent="0.25">
      <c r="AP5247"/>
    </row>
    <row r="5248" spans="42:42" x14ac:dyDescent="0.25">
      <c r="AP5248"/>
    </row>
    <row r="5249" spans="42:42" x14ac:dyDescent="0.25">
      <c r="AP5249"/>
    </row>
    <row r="5250" spans="42:42" x14ac:dyDescent="0.25">
      <c r="AP5250"/>
    </row>
    <row r="5251" spans="42:42" x14ac:dyDescent="0.25">
      <c r="AP5251"/>
    </row>
    <row r="5252" spans="42:42" x14ac:dyDescent="0.25">
      <c r="AP5252"/>
    </row>
    <row r="5253" spans="42:42" x14ac:dyDescent="0.25">
      <c r="AP5253"/>
    </row>
    <row r="5254" spans="42:42" x14ac:dyDescent="0.25">
      <c r="AP5254"/>
    </row>
    <row r="5255" spans="42:42" x14ac:dyDescent="0.25">
      <c r="AP5255"/>
    </row>
    <row r="5256" spans="42:42" x14ac:dyDescent="0.25">
      <c r="AP5256"/>
    </row>
    <row r="5257" spans="42:42" x14ac:dyDescent="0.25">
      <c r="AP5257"/>
    </row>
    <row r="5258" spans="42:42" x14ac:dyDescent="0.25">
      <c r="AP5258"/>
    </row>
    <row r="5259" spans="42:42" x14ac:dyDescent="0.25">
      <c r="AP5259"/>
    </row>
    <row r="5260" spans="42:42" x14ac:dyDescent="0.25">
      <c r="AP5260"/>
    </row>
    <row r="5261" spans="42:42" x14ac:dyDescent="0.25">
      <c r="AP5261"/>
    </row>
    <row r="5262" spans="42:42" x14ac:dyDescent="0.25">
      <c r="AP5262"/>
    </row>
    <row r="5263" spans="42:42" x14ac:dyDescent="0.25">
      <c r="AP5263"/>
    </row>
    <row r="5264" spans="42:42" x14ac:dyDescent="0.25">
      <c r="AP5264"/>
    </row>
    <row r="5265" spans="42:42" x14ac:dyDescent="0.25">
      <c r="AP5265"/>
    </row>
    <row r="5266" spans="42:42" x14ac:dyDescent="0.25">
      <c r="AP5266"/>
    </row>
    <row r="5267" spans="42:42" x14ac:dyDescent="0.25">
      <c r="AP5267"/>
    </row>
    <row r="5268" spans="42:42" x14ac:dyDescent="0.25">
      <c r="AP5268"/>
    </row>
    <row r="5269" spans="42:42" x14ac:dyDescent="0.25">
      <c r="AP5269"/>
    </row>
    <row r="5270" spans="42:42" x14ac:dyDescent="0.25">
      <c r="AP5270"/>
    </row>
    <row r="5271" spans="42:42" x14ac:dyDescent="0.25">
      <c r="AP5271"/>
    </row>
    <row r="5272" spans="42:42" x14ac:dyDescent="0.25">
      <c r="AP5272"/>
    </row>
    <row r="5273" spans="42:42" x14ac:dyDescent="0.25">
      <c r="AP5273"/>
    </row>
    <row r="5274" spans="42:42" x14ac:dyDescent="0.25">
      <c r="AP5274"/>
    </row>
    <row r="5275" spans="42:42" x14ac:dyDescent="0.25">
      <c r="AP5275"/>
    </row>
    <row r="5276" spans="42:42" x14ac:dyDescent="0.25">
      <c r="AP5276"/>
    </row>
    <row r="5277" spans="42:42" x14ac:dyDescent="0.25">
      <c r="AP5277"/>
    </row>
    <row r="5278" spans="42:42" x14ac:dyDescent="0.25">
      <c r="AP5278"/>
    </row>
    <row r="5279" spans="42:42" x14ac:dyDescent="0.25">
      <c r="AP5279"/>
    </row>
    <row r="5280" spans="42:42" x14ac:dyDescent="0.25">
      <c r="AP5280"/>
    </row>
    <row r="5281" spans="42:42" x14ac:dyDescent="0.25">
      <c r="AP5281"/>
    </row>
    <row r="5282" spans="42:42" x14ac:dyDescent="0.25">
      <c r="AP5282"/>
    </row>
    <row r="5283" spans="42:42" x14ac:dyDescent="0.25">
      <c r="AP5283"/>
    </row>
    <row r="5284" spans="42:42" x14ac:dyDescent="0.25">
      <c r="AP5284"/>
    </row>
    <row r="5285" spans="42:42" x14ac:dyDescent="0.25">
      <c r="AP5285"/>
    </row>
    <row r="5286" spans="42:42" x14ac:dyDescent="0.25">
      <c r="AP5286"/>
    </row>
    <row r="5287" spans="42:42" x14ac:dyDescent="0.25">
      <c r="AP5287"/>
    </row>
    <row r="5288" spans="42:42" x14ac:dyDescent="0.25">
      <c r="AP5288"/>
    </row>
    <row r="5289" spans="42:42" x14ac:dyDescent="0.25">
      <c r="AP5289"/>
    </row>
    <row r="5290" spans="42:42" x14ac:dyDescent="0.25">
      <c r="AP5290"/>
    </row>
    <row r="5291" spans="42:42" x14ac:dyDescent="0.25">
      <c r="AP5291"/>
    </row>
    <row r="5292" spans="42:42" x14ac:dyDescent="0.25">
      <c r="AP5292"/>
    </row>
    <row r="5293" spans="42:42" x14ac:dyDescent="0.25">
      <c r="AP5293"/>
    </row>
    <row r="5294" spans="42:42" x14ac:dyDescent="0.25">
      <c r="AP5294"/>
    </row>
    <row r="5295" spans="42:42" x14ac:dyDescent="0.25">
      <c r="AP5295"/>
    </row>
    <row r="5296" spans="42:42" x14ac:dyDescent="0.25">
      <c r="AP5296"/>
    </row>
    <row r="5297" spans="42:42" x14ac:dyDescent="0.25">
      <c r="AP5297"/>
    </row>
    <row r="5298" spans="42:42" x14ac:dyDescent="0.25">
      <c r="AP5298"/>
    </row>
    <row r="5299" spans="42:42" x14ac:dyDescent="0.25">
      <c r="AP5299"/>
    </row>
    <row r="5300" spans="42:42" x14ac:dyDescent="0.25">
      <c r="AP5300"/>
    </row>
    <row r="5301" spans="42:42" x14ac:dyDescent="0.25">
      <c r="AP5301"/>
    </row>
    <row r="5302" spans="42:42" x14ac:dyDescent="0.25">
      <c r="AP5302"/>
    </row>
    <row r="5303" spans="42:42" x14ac:dyDescent="0.25">
      <c r="AP5303"/>
    </row>
    <row r="5304" spans="42:42" x14ac:dyDescent="0.25">
      <c r="AP5304"/>
    </row>
    <row r="5305" spans="42:42" x14ac:dyDescent="0.25">
      <c r="AP5305"/>
    </row>
    <row r="5306" spans="42:42" x14ac:dyDescent="0.25">
      <c r="AP5306"/>
    </row>
    <row r="5307" spans="42:42" x14ac:dyDescent="0.25">
      <c r="AP5307"/>
    </row>
    <row r="5308" spans="42:42" x14ac:dyDescent="0.25">
      <c r="AP5308"/>
    </row>
    <row r="5309" spans="42:42" x14ac:dyDescent="0.25">
      <c r="AP5309"/>
    </row>
    <row r="5310" spans="42:42" x14ac:dyDescent="0.25">
      <c r="AP5310"/>
    </row>
    <row r="5311" spans="42:42" x14ac:dyDescent="0.25">
      <c r="AP5311"/>
    </row>
    <row r="5312" spans="42:42" x14ac:dyDescent="0.25">
      <c r="AP5312"/>
    </row>
    <row r="5313" spans="42:42" x14ac:dyDescent="0.25">
      <c r="AP5313"/>
    </row>
    <row r="5314" spans="42:42" x14ac:dyDescent="0.25">
      <c r="AP5314"/>
    </row>
    <row r="5315" spans="42:42" x14ac:dyDescent="0.25">
      <c r="AP5315"/>
    </row>
    <row r="5316" spans="42:42" x14ac:dyDescent="0.25">
      <c r="AP5316"/>
    </row>
    <row r="5317" spans="42:42" x14ac:dyDescent="0.25">
      <c r="AP5317"/>
    </row>
    <row r="5318" spans="42:42" x14ac:dyDescent="0.25">
      <c r="AP5318"/>
    </row>
    <row r="5319" spans="42:42" x14ac:dyDescent="0.25">
      <c r="AP5319"/>
    </row>
    <row r="5320" spans="42:42" x14ac:dyDescent="0.25">
      <c r="AP5320"/>
    </row>
    <row r="5321" spans="42:42" x14ac:dyDescent="0.25">
      <c r="AP5321"/>
    </row>
    <row r="5322" spans="42:42" x14ac:dyDescent="0.25">
      <c r="AP5322"/>
    </row>
    <row r="5323" spans="42:42" x14ac:dyDescent="0.25">
      <c r="AP5323"/>
    </row>
    <row r="5324" spans="42:42" x14ac:dyDescent="0.25">
      <c r="AP5324"/>
    </row>
    <row r="5325" spans="42:42" x14ac:dyDescent="0.25">
      <c r="AP5325"/>
    </row>
    <row r="5326" spans="42:42" x14ac:dyDescent="0.25">
      <c r="AP5326"/>
    </row>
    <row r="5327" spans="42:42" x14ac:dyDescent="0.25">
      <c r="AP5327"/>
    </row>
    <row r="5328" spans="42:42" x14ac:dyDescent="0.25">
      <c r="AP5328"/>
    </row>
    <row r="5329" spans="42:42" x14ac:dyDescent="0.25">
      <c r="AP5329"/>
    </row>
    <row r="5330" spans="42:42" x14ac:dyDescent="0.25">
      <c r="AP5330"/>
    </row>
    <row r="5331" spans="42:42" x14ac:dyDescent="0.25">
      <c r="AP5331"/>
    </row>
    <row r="5332" spans="42:42" x14ac:dyDescent="0.25">
      <c r="AP5332"/>
    </row>
    <row r="5333" spans="42:42" x14ac:dyDescent="0.25">
      <c r="AP5333"/>
    </row>
    <row r="5334" spans="42:42" x14ac:dyDescent="0.25">
      <c r="AP5334"/>
    </row>
    <row r="5335" spans="42:42" x14ac:dyDescent="0.25">
      <c r="AP5335"/>
    </row>
    <row r="5336" spans="42:42" x14ac:dyDescent="0.25">
      <c r="AP5336"/>
    </row>
    <row r="5337" spans="42:42" x14ac:dyDescent="0.25">
      <c r="AP5337"/>
    </row>
    <row r="5338" spans="42:42" x14ac:dyDescent="0.25">
      <c r="AP5338"/>
    </row>
    <row r="5339" spans="42:42" x14ac:dyDescent="0.25">
      <c r="AP5339"/>
    </row>
    <row r="5340" spans="42:42" x14ac:dyDescent="0.25">
      <c r="AP5340"/>
    </row>
    <row r="5341" spans="42:42" x14ac:dyDescent="0.25">
      <c r="AP5341"/>
    </row>
    <row r="5342" spans="42:42" x14ac:dyDescent="0.25">
      <c r="AP5342"/>
    </row>
    <row r="5343" spans="42:42" x14ac:dyDescent="0.25">
      <c r="AP5343"/>
    </row>
    <row r="5344" spans="42:42" x14ac:dyDescent="0.25">
      <c r="AP5344"/>
    </row>
    <row r="5345" spans="42:42" x14ac:dyDescent="0.25">
      <c r="AP5345"/>
    </row>
    <row r="5346" spans="42:42" x14ac:dyDescent="0.25">
      <c r="AP5346"/>
    </row>
    <row r="5347" spans="42:42" x14ac:dyDescent="0.25">
      <c r="AP5347"/>
    </row>
    <row r="5348" spans="42:42" x14ac:dyDescent="0.25">
      <c r="AP5348"/>
    </row>
    <row r="5349" spans="42:42" x14ac:dyDescent="0.25">
      <c r="AP5349"/>
    </row>
    <row r="5350" spans="42:42" x14ac:dyDescent="0.25">
      <c r="AP5350"/>
    </row>
    <row r="5351" spans="42:42" x14ac:dyDescent="0.25">
      <c r="AP5351"/>
    </row>
    <row r="5352" spans="42:42" x14ac:dyDescent="0.25">
      <c r="AP5352"/>
    </row>
    <row r="5353" spans="42:42" x14ac:dyDescent="0.25">
      <c r="AP5353"/>
    </row>
    <row r="5354" spans="42:42" x14ac:dyDescent="0.25">
      <c r="AP5354"/>
    </row>
    <row r="5355" spans="42:42" x14ac:dyDescent="0.25">
      <c r="AP5355"/>
    </row>
    <row r="5356" spans="42:42" x14ac:dyDescent="0.25">
      <c r="AP5356"/>
    </row>
    <row r="5357" spans="42:42" x14ac:dyDescent="0.25">
      <c r="AP5357"/>
    </row>
    <row r="5358" spans="42:42" x14ac:dyDescent="0.25">
      <c r="AP5358"/>
    </row>
    <row r="5359" spans="42:42" x14ac:dyDescent="0.25">
      <c r="AP5359"/>
    </row>
    <row r="5360" spans="42:42" x14ac:dyDescent="0.25">
      <c r="AP5360"/>
    </row>
    <row r="5361" spans="42:42" x14ac:dyDescent="0.25">
      <c r="AP5361"/>
    </row>
    <row r="5362" spans="42:42" x14ac:dyDescent="0.25">
      <c r="AP5362"/>
    </row>
    <row r="5363" spans="42:42" x14ac:dyDescent="0.25">
      <c r="AP5363"/>
    </row>
    <row r="5364" spans="42:42" x14ac:dyDescent="0.25">
      <c r="AP5364"/>
    </row>
    <row r="5365" spans="42:42" x14ac:dyDescent="0.25">
      <c r="AP5365"/>
    </row>
    <row r="5366" spans="42:42" x14ac:dyDescent="0.25">
      <c r="AP5366"/>
    </row>
    <row r="5367" spans="42:42" x14ac:dyDescent="0.25">
      <c r="AP5367"/>
    </row>
    <row r="5368" spans="42:42" x14ac:dyDescent="0.25">
      <c r="AP5368"/>
    </row>
    <row r="5369" spans="42:42" x14ac:dyDescent="0.25">
      <c r="AP5369"/>
    </row>
    <row r="5370" spans="42:42" x14ac:dyDescent="0.25">
      <c r="AP5370"/>
    </row>
    <row r="5371" spans="42:42" x14ac:dyDescent="0.25">
      <c r="AP5371"/>
    </row>
    <row r="5372" spans="42:42" x14ac:dyDescent="0.25">
      <c r="AP5372"/>
    </row>
    <row r="5373" spans="42:42" x14ac:dyDescent="0.25">
      <c r="AP5373"/>
    </row>
    <row r="5374" spans="42:42" x14ac:dyDescent="0.25">
      <c r="AP5374"/>
    </row>
    <row r="5375" spans="42:42" x14ac:dyDescent="0.25">
      <c r="AP5375"/>
    </row>
    <row r="5376" spans="42:42" x14ac:dyDescent="0.25">
      <c r="AP5376"/>
    </row>
    <row r="5377" spans="42:42" x14ac:dyDescent="0.25">
      <c r="AP5377"/>
    </row>
    <row r="5378" spans="42:42" x14ac:dyDescent="0.25">
      <c r="AP5378"/>
    </row>
    <row r="5379" spans="42:42" x14ac:dyDescent="0.25">
      <c r="AP5379"/>
    </row>
    <row r="5380" spans="42:42" x14ac:dyDescent="0.25">
      <c r="AP5380"/>
    </row>
    <row r="5381" spans="42:42" x14ac:dyDescent="0.25">
      <c r="AP5381"/>
    </row>
    <row r="5382" spans="42:42" x14ac:dyDescent="0.25">
      <c r="AP5382"/>
    </row>
    <row r="5383" spans="42:42" x14ac:dyDescent="0.25">
      <c r="AP5383"/>
    </row>
    <row r="5384" spans="42:42" x14ac:dyDescent="0.25">
      <c r="AP5384"/>
    </row>
    <row r="5385" spans="42:42" x14ac:dyDescent="0.25">
      <c r="AP5385"/>
    </row>
    <row r="5386" spans="42:42" x14ac:dyDescent="0.25">
      <c r="AP5386"/>
    </row>
    <row r="5387" spans="42:42" x14ac:dyDescent="0.25">
      <c r="AP5387"/>
    </row>
    <row r="5388" spans="42:42" x14ac:dyDescent="0.25">
      <c r="AP5388"/>
    </row>
    <row r="5389" spans="42:42" x14ac:dyDescent="0.25">
      <c r="AP5389"/>
    </row>
    <row r="5390" spans="42:42" x14ac:dyDescent="0.25">
      <c r="AP5390"/>
    </row>
    <row r="5391" spans="42:42" x14ac:dyDescent="0.25">
      <c r="AP5391"/>
    </row>
    <row r="5392" spans="42:42" x14ac:dyDescent="0.25">
      <c r="AP5392"/>
    </row>
    <row r="5393" spans="42:42" x14ac:dyDescent="0.25">
      <c r="AP5393"/>
    </row>
    <row r="5394" spans="42:42" x14ac:dyDescent="0.25">
      <c r="AP5394"/>
    </row>
    <row r="5395" spans="42:42" x14ac:dyDescent="0.25">
      <c r="AP5395"/>
    </row>
    <row r="5396" spans="42:42" x14ac:dyDescent="0.25">
      <c r="AP5396"/>
    </row>
    <row r="5397" spans="42:42" x14ac:dyDescent="0.25">
      <c r="AP5397"/>
    </row>
    <row r="5398" spans="42:42" x14ac:dyDescent="0.25">
      <c r="AP5398"/>
    </row>
    <row r="5399" spans="42:42" x14ac:dyDescent="0.25">
      <c r="AP5399"/>
    </row>
    <row r="5400" spans="42:42" x14ac:dyDescent="0.25">
      <c r="AP5400"/>
    </row>
    <row r="5401" spans="42:42" x14ac:dyDescent="0.25">
      <c r="AP5401"/>
    </row>
    <row r="5402" spans="42:42" x14ac:dyDescent="0.25">
      <c r="AP5402"/>
    </row>
    <row r="5403" spans="42:42" x14ac:dyDescent="0.25">
      <c r="AP5403"/>
    </row>
    <row r="5404" spans="42:42" x14ac:dyDescent="0.25">
      <c r="AP5404"/>
    </row>
    <row r="5405" spans="42:42" x14ac:dyDescent="0.25">
      <c r="AP5405"/>
    </row>
    <row r="5406" spans="42:42" x14ac:dyDescent="0.25">
      <c r="AP5406"/>
    </row>
    <row r="5407" spans="42:42" x14ac:dyDescent="0.25">
      <c r="AP5407"/>
    </row>
    <row r="5408" spans="42:42" x14ac:dyDescent="0.25">
      <c r="AP5408"/>
    </row>
    <row r="5409" spans="42:42" x14ac:dyDescent="0.25">
      <c r="AP5409"/>
    </row>
    <row r="5410" spans="42:42" x14ac:dyDescent="0.25">
      <c r="AP5410"/>
    </row>
    <row r="5411" spans="42:42" x14ac:dyDescent="0.25">
      <c r="AP5411"/>
    </row>
    <row r="5412" spans="42:42" x14ac:dyDescent="0.25">
      <c r="AP5412"/>
    </row>
    <row r="5413" spans="42:42" x14ac:dyDescent="0.25">
      <c r="AP5413"/>
    </row>
    <row r="5414" spans="42:42" x14ac:dyDescent="0.25">
      <c r="AP5414"/>
    </row>
    <row r="5415" spans="42:42" x14ac:dyDescent="0.25">
      <c r="AP5415"/>
    </row>
    <row r="5416" spans="42:42" x14ac:dyDescent="0.25">
      <c r="AP5416"/>
    </row>
    <row r="5417" spans="42:42" x14ac:dyDescent="0.25">
      <c r="AP5417"/>
    </row>
    <row r="5418" spans="42:42" x14ac:dyDescent="0.25">
      <c r="AP5418"/>
    </row>
    <row r="5419" spans="42:42" x14ac:dyDescent="0.25">
      <c r="AP5419"/>
    </row>
    <row r="5420" spans="42:42" x14ac:dyDescent="0.25">
      <c r="AP5420"/>
    </row>
    <row r="5421" spans="42:42" x14ac:dyDescent="0.25">
      <c r="AP5421"/>
    </row>
    <row r="5422" spans="42:42" x14ac:dyDescent="0.25">
      <c r="AP5422"/>
    </row>
    <row r="5423" spans="42:42" x14ac:dyDescent="0.25">
      <c r="AP5423"/>
    </row>
    <row r="5424" spans="42:42" x14ac:dyDescent="0.25">
      <c r="AP5424"/>
    </row>
    <row r="5425" spans="42:42" x14ac:dyDescent="0.25">
      <c r="AP5425"/>
    </row>
    <row r="5426" spans="42:42" x14ac:dyDescent="0.25">
      <c r="AP5426"/>
    </row>
    <row r="5427" spans="42:42" x14ac:dyDescent="0.25">
      <c r="AP5427"/>
    </row>
    <row r="5428" spans="42:42" x14ac:dyDescent="0.25">
      <c r="AP5428"/>
    </row>
    <row r="5429" spans="42:42" x14ac:dyDescent="0.25">
      <c r="AP5429"/>
    </row>
    <row r="5430" spans="42:42" x14ac:dyDescent="0.25">
      <c r="AP5430"/>
    </row>
    <row r="5431" spans="42:42" x14ac:dyDescent="0.25">
      <c r="AP5431"/>
    </row>
    <row r="5432" spans="42:42" x14ac:dyDescent="0.25">
      <c r="AP5432"/>
    </row>
    <row r="5433" spans="42:42" x14ac:dyDescent="0.25">
      <c r="AP5433"/>
    </row>
    <row r="5434" spans="42:42" x14ac:dyDescent="0.25">
      <c r="AP5434"/>
    </row>
    <row r="5435" spans="42:42" x14ac:dyDescent="0.25">
      <c r="AP5435"/>
    </row>
    <row r="5436" spans="42:42" x14ac:dyDescent="0.25">
      <c r="AP5436"/>
    </row>
    <row r="5437" spans="42:42" x14ac:dyDescent="0.25">
      <c r="AP5437"/>
    </row>
    <row r="5438" spans="42:42" x14ac:dyDescent="0.25">
      <c r="AP5438"/>
    </row>
    <row r="5439" spans="42:42" x14ac:dyDescent="0.25">
      <c r="AP5439"/>
    </row>
    <row r="5440" spans="42:42" x14ac:dyDescent="0.25">
      <c r="AP5440"/>
    </row>
    <row r="5441" spans="42:42" x14ac:dyDescent="0.25">
      <c r="AP5441"/>
    </row>
    <row r="5442" spans="42:42" x14ac:dyDescent="0.25">
      <c r="AP5442"/>
    </row>
    <row r="5443" spans="42:42" x14ac:dyDescent="0.25">
      <c r="AP5443"/>
    </row>
    <row r="5444" spans="42:42" x14ac:dyDescent="0.25">
      <c r="AP5444"/>
    </row>
    <row r="5445" spans="42:42" x14ac:dyDescent="0.25">
      <c r="AP5445"/>
    </row>
    <row r="5446" spans="42:42" x14ac:dyDescent="0.25">
      <c r="AP5446"/>
    </row>
    <row r="5447" spans="42:42" x14ac:dyDescent="0.25">
      <c r="AP5447"/>
    </row>
    <row r="5448" spans="42:42" x14ac:dyDescent="0.25">
      <c r="AP5448"/>
    </row>
    <row r="5449" spans="42:42" x14ac:dyDescent="0.25">
      <c r="AP5449"/>
    </row>
    <row r="5450" spans="42:42" x14ac:dyDescent="0.25">
      <c r="AP5450"/>
    </row>
    <row r="5451" spans="42:42" x14ac:dyDescent="0.25">
      <c r="AP5451"/>
    </row>
    <row r="5452" spans="42:42" x14ac:dyDescent="0.25">
      <c r="AP5452"/>
    </row>
    <row r="5453" spans="42:42" x14ac:dyDescent="0.25">
      <c r="AP5453"/>
    </row>
    <row r="5454" spans="42:42" x14ac:dyDescent="0.25">
      <c r="AP5454"/>
    </row>
    <row r="5455" spans="42:42" x14ac:dyDescent="0.25">
      <c r="AP5455"/>
    </row>
    <row r="5456" spans="42:42" x14ac:dyDescent="0.25">
      <c r="AP5456"/>
    </row>
    <row r="5457" spans="42:42" x14ac:dyDescent="0.25">
      <c r="AP5457"/>
    </row>
    <row r="5458" spans="42:42" x14ac:dyDescent="0.25">
      <c r="AP5458"/>
    </row>
    <row r="5459" spans="42:42" x14ac:dyDescent="0.25">
      <c r="AP5459"/>
    </row>
    <row r="5460" spans="42:42" x14ac:dyDescent="0.25">
      <c r="AP5460"/>
    </row>
    <row r="5461" spans="42:42" x14ac:dyDescent="0.25">
      <c r="AP5461"/>
    </row>
    <row r="5462" spans="42:42" x14ac:dyDescent="0.25">
      <c r="AP5462"/>
    </row>
    <row r="5463" spans="42:42" x14ac:dyDescent="0.25">
      <c r="AP5463"/>
    </row>
    <row r="5464" spans="42:42" x14ac:dyDescent="0.25">
      <c r="AP5464"/>
    </row>
    <row r="5465" spans="42:42" x14ac:dyDescent="0.25">
      <c r="AP5465"/>
    </row>
    <row r="5466" spans="42:42" x14ac:dyDescent="0.25">
      <c r="AP5466"/>
    </row>
    <row r="5467" spans="42:42" x14ac:dyDescent="0.25">
      <c r="AP5467"/>
    </row>
    <row r="5468" spans="42:42" x14ac:dyDescent="0.25">
      <c r="AP5468"/>
    </row>
    <row r="5469" spans="42:42" x14ac:dyDescent="0.25">
      <c r="AP5469"/>
    </row>
    <row r="5470" spans="42:42" x14ac:dyDescent="0.25">
      <c r="AP5470"/>
    </row>
    <row r="5471" spans="42:42" x14ac:dyDescent="0.25">
      <c r="AP5471"/>
    </row>
    <row r="5472" spans="42:42" x14ac:dyDescent="0.25">
      <c r="AP5472"/>
    </row>
    <row r="5473" spans="42:42" x14ac:dyDescent="0.25">
      <c r="AP5473"/>
    </row>
    <row r="5474" spans="42:42" x14ac:dyDescent="0.25">
      <c r="AP5474"/>
    </row>
    <row r="5475" spans="42:42" x14ac:dyDescent="0.25">
      <c r="AP5475"/>
    </row>
    <row r="5476" spans="42:42" x14ac:dyDescent="0.25">
      <c r="AP5476"/>
    </row>
    <row r="5477" spans="42:42" x14ac:dyDescent="0.25">
      <c r="AP5477"/>
    </row>
    <row r="5478" spans="42:42" x14ac:dyDescent="0.25">
      <c r="AP5478"/>
    </row>
    <row r="5479" spans="42:42" x14ac:dyDescent="0.25">
      <c r="AP5479"/>
    </row>
    <row r="5480" spans="42:42" x14ac:dyDescent="0.25">
      <c r="AP5480"/>
    </row>
    <row r="5481" spans="42:42" x14ac:dyDescent="0.25">
      <c r="AP5481"/>
    </row>
    <row r="5482" spans="42:42" x14ac:dyDescent="0.25">
      <c r="AP5482"/>
    </row>
    <row r="5483" spans="42:42" x14ac:dyDescent="0.25">
      <c r="AP5483"/>
    </row>
    <row r="5484" spans="42:42" x14ac:dyDescent="0.25">
      <c r="AP5484"/>
    </row>
    <row r="5485" spans="42:42" x14ac:dyDescent="0.25">
      <c r="AP5485"/>
    </row>
    <row r="5486" spans="42:42" x14ac:dyDescent="0.25">
      <c r="AP5486"/>
    </row>
    <row r="5487" spans="42:42" x14ac:dyDescent="0.25">
      <c r="AP5487"/>
    </row>
    <row r="5488" spans="42:42" x14ac:dyDescent="0.25">
      <c r="AP5488"/>
    </row>
    <row r="5489" spans="42:42" x14ac:dyDescent="0.25">
      <c r="AP5489"/>
    </row>
    <row r="5490" spans="42:42" x14ac:dyDescent="0.25">
      <c r="AP5490"/>
    </row>
    <row r="5491" spans="42:42" x14ac:dyDescent="0.25">
      <c r="AP5491"/>
    </row>
    <row r="5492" spans="42:42" x14ac:dyDescent="0.25">
      <c r="AP5492"/>
    </row>
    <row r="5493" spans="42:42" x14ac:dyDescent="0.25">
      <c r="AP5493"/>
    </row>
    <row r="5494" spans="42:42" x14ac:dyDescent="0.25">
      <c r="AP5494"/>
    </row>
    <row r="5495" spans="42:42" x14ac:dyDescent="0.25">
      <c r="AP5495"/>
    </row>
    <row r="5496" spans="42:42" x14ac:dyDescent="0.25">
      <c r="AP5496"/>
    </row>
    <row r="5497" spans="42:42" x14ac:dyDescent="0.25">
      <c r="AP5497"/>
    </row>
    <row r="5498" spans="42:42" x14ac:dyDescent="0.25">
      <c r="AP5498"/>
    </row>
    <row r="5499" spans="42:42" x14ac:dyDescent="0.25">
      <c r="AP5499"/>
    </row>
    <row r="5500" spans="42:42" x14ac:dyDescent="0.25">
      <c r="AP5500"/>
    </row>
    <row r="5501" spans="42:42" x14ac:dyDescent="0.25">
      <c r="AP5501"/>
    </row>
    <row r="5502" spans="42:42" x14ac:dyDescent="0.25">
      <c r="AP5502"/>
    </row>
    <row r="5503" spans="42:42" x14ac:dyDescent="0.25">
      <c r="AP5503"/>
    </row>
    <row r="5504" spans="42:42" x14ac:dyDescent="0.25">
      <c r="AP5504"/>
    </row>
    <row r="5505" spans="42:42" x14ac:dyDescent="0.25">
      <c r="AP5505"/>
    </row>
    <row r="5506" spans="42:42" x14ac:dyDescent="0.25">
      <c r="AP5506"/>
    </row>
    <row r="5507" spans="42:42" x14ac:dyDescent="0.25">
      <c r="AP5507"/>
    </row>
    <row r="5508" spans="42:42" x14ac:dyDescent="0.25">
      <c r="AP5508"/>
    </row>
    <row r="5509" spans="42:42" x14ac:dyDescent="0.25">
      <c r="AP5509"/>
    </row>
    <row r="5510" spans="42:42" x14ac:dyDescent="0.25">
      <c r="AP5510"/>
    </row>
    <row r="5511" spans="42:42" x14ac:dyDescent="0.25">
      <c r="AP5511"/>
    </row>
    <row r="5512" spans="42:42" x14ac:dyDescent="0.25">
      <c r="AP5512"/>
    </row>
    <row r="5513" spans="42:42" x14ac:dyDescent="0.25">
      <c r="AP5513"/>
    </row>
    <row r="5514" spans="42:42" x14ac:dyDescent="0.25">
      <c r="AP5514"/>
    </row>
    <row r="5515" spans="42:42" x14ac:dyDescent="0.25">
      <c r="AP5515"/>
    </row>
    <row r="5516" spans="42:42" x14ac:dyDescent="0.25">
      <c r="AP5516"/>
    </row>
    <row r="5517" spans="42:42" x14ac:dyDescent="0.25">
      <c r="AP5517"/>
    </row>
    <row r="5518" spans="42:42" x14ac:dyDescent="0.25">
      <c r="AP5518"/>
    </row>
    <row r="5519" spans="42:42" x14ac:dyDescent="0.25">
      <c r="AP5519"/>
    </row>
    <row r="5520" spans="42:42" x14ac:dyDescent="0.25">
      <c r="AP5520"/>
    </row>
    <row r="5521" spans="42:42" x14ac:dyDescent="0.25">
      <c r="AP5521"/>
    </row>
    <row r="5522" spans="42:42" x14ac:dyDescent="0.25">
      <c r="AP5522"/>
    </row>
    <row r="5523" spans="42:42" x14ac:dyDescent="0.25">
      <c r="AP5523"/>
    </row>
    <row r="5524" spans="42:42" x14ac:dyDescent="0.25">
      <c r="AP5524"/>
    </row>
    <row r="5525" spans="42:42" x14ac:dyDescent="0.25">
      <c r="AP5525"/>
    </row>
    <row r="5526" spans="42:42" x14ac:dyDescent="0.25">
      <c r="AP5526"/>
    </row>
    <row r="5527" spans="42:42" x14ac:dyDescent="0.25">
      <c r="AP5527"/>
    </row>
    <row r="5528" spans="42:42" x14ac:dyDescent="0.25">
      <c r="AP5528"/>
    </row>
    <row r="5529" spans="42:42" x14ac:dyDescent="0.25">
      <c r="AP5529"/>
    </row>
    <row r="5530" spans="42:42" x14ac:dyDescent="0.25">
      <c r="AP5530"/>
    </row>
    <row r="5531" spans="42:42" x14ac:dyDescent="0.25">
      <c r="AP5531"/>
    </row>
    <row r="5532" spans="42:42" x14ac:dyDescent="0.25">
      <c r="AP5532"/>
    </row>
    <row r="5533" spans="42:42" x14ac:dyDescent="0.25">
      <c r="AP5533"/>
    </row>
    <row r="5534" spans="42:42" x14ac:dyDescent="0.25">
      <c r="AP5534"/>
    </row>
    <row r="5535" spans="42:42" x14ac:dyDescent="0.25">
      <c r="AP5535"/>
    </row>
    <row r="5536" spans="42:42" x14ac:dyDescent="0.25">
      <c r="AP5536"/>
    </row>
    <row r="5537" spans="42:42" x14ac:dyDescent="0.25">
      <c r="AP5537"/>
    </row>
    <row r="5538" spans="42:42" x14ac:dyDescent="0.25">
      <c r="AP5538"/>
    </row>
    <row r="5539" spans="42:42" x14ac:dyDescent="0.25">
      <c r="AP5539"/>
    </row>
    <row r="5540" spans="42:42" x14ac:dyDescent="0.25">
      <c r="AP5540"/>
    </row>
    <row r="5541" spans="42:42" x14ac:dyDescent="0.25">
      <c r="AP5541"/>
    </row>
    <row r="5542" spans="42:42" x14ac:dyDescent="0.25">
      <c r="AP5542"/>
    </row>
    <row r="5543" spans="42:42" x14ac:dyDescent="0.25">
      <c r="AP5543"/>
    </row>
    <row r="5544" spans="42:42" x14ac:dyDescent="0.25">
      <c r="AP5544"/>
    </row>
    <row r="5545" spans="42:42" x14ac:dyDescent="0.25">
      <c r="AP5545"/>
    </row>
    <row r="5546" spans="42:42" x14ac:dyDescent="0.25">
      <c r="AP5546"/>
    </row>
    <row r="5547" spans="42:42" x14ac:dyDescent="0.25">
      <c r="AP5547"/>
    </row>
    <row r="5548" spans="42:42" x14ac:dyDescent="0.25">
      <c r="AP5548"/>
    </row>
    <row r="5549" spans="42:42" x14ac:dyDescent="0.25">
      <c r="AP5549"/>
    </row>
    <row r="5550" spans="42:42" x14ac:dyDescent="0.25">
      <c r="AP5550"/>
    </row>
    <row r="5551" spans="42:42" x14ac:dyDescent="0.25">
      <c r="AP5551"/>
    </row>
    <row r="5552" spans="42:42" x14ac:dyDescent="0.25">
      <c r="AP5552"/>
    </row>
    <row r="5553" spans="42:42" x14ac:dyDescent="0.25">
      <c r="AP5553"/>
    </row>
    <row r="5554" spans="42:42" x14ac:dyDescent="0.25">
      <c r="AP5554"/>
    </row>
    <row r="5555" spans="42:42" x14ac:dyDescent="0.25">
      <c r="AP5555"/>
    </row>
    <row r="5556" spans="42:42" x14ac:dyDescent="0.25">
      <c r="AP5556"/>
    </row>
    <row r="5557" spans="42:42" x14ac:dyDescent="0.25">
      <c r="AP5557"/>
    </row>
    <row r="5558" spans="42:42" x14ac:dyDescent="0.25">
      <c r="AP5558"/>
    </row>
    <row r="5559" spans="42:42" x14ac:dyDescent="0.25">
      <c r="AP5559"/>
    </row>
    <row r="5560" spans="42:42" x14ac:dyDescent="0.25">
      <c r="AP5560"/>
    </row>
    <row r="5561" spans="42:42" x14ac:dyDescent="0.25">
      <c r="AP5561"/>
    </row>
    <row r="5562" spans="42:42" x14ac:dyDescent="0.25">
      <c r="AP5562"/>
    </row>
    <row r="5563" spans="42:42" x14ac:dyDescent="0.25">
      <c r="AP5563"/>
    </row>
    <row r="5564" spans="42:42" x14ac:dyDescent="0.25">
      <c r="AP5564"/>
    </row>
    <row r="5565" spans="42:42" x14ac:dyDescent="0.25">
      <c r="AP5565"/>
    </row>
    <row r="5566" spans="42:42" x14ac:dyDescent="0.25">
      <c r="AP5566"/>
    </row>
    <row r="5567" spans="42:42" x14ac:dyDescent="0.25">
      <c r="AP5567"/>
    </row>
    <row r="5568" spans="42:42" x14ac:dyDescent="0.25">
      <c r="AP5568"/>
    </row>
    <row r="5569" spans="42:42" x14ac:dyDescent="0.25">
      <c r="AP5569"/>
    </row>
    <row r="5570" spans="42:42" x14ac:dyDescent="0.25">
      <c r="AP5570"/>
    </row>
    <row r="5571" spans="42:42" x14ac:dyDescent="0.25">
      <c r="AP5571"/>
    </row>
    <row r="5572" spans="42:42" x14ac:dyDescent="0.25">
      <c r="AP5572"/>
    </row>
    <row r="5573" spans="42:42" x14ac:dyDescent="0.25">
      <c r="AP5573"/>
    </row>
    <row r="5574" spans="42:42" x14ac:dyDescent="0.25">
      <c r="AP5574"/>
    </row>
    <row r="5575" spans="42:42" x14ac:dyDescent="0.25">
      <c r="AP5575"/>
    </row>
    <row r="5576" spans="42:42" x14ac:dyDescent="0.25">
      <c r="AP5576"/>
    </row>
    <row r="5577" spans="42:42" x14ac:dyDescent="0.25">
      <c r="AP5577"/>
    </row>
    <row r="5578" spans="42:42" x14ac:dyDescent="0.25">
      <c r="AP5578"/>
    </row>
    <row r="5579" spans="42:42" x14ac:dyDescent="0.25">
      <c r="AP5579"/>
    </row>
    <row r="5580" spans="42:42" x14ac:dyDescent="0.25">
      <c r="AP5580"/>
    </row>
    <row r="5581" spans="42:42" x14ac:dyDescent="0.25">
      <c r="AP5581"/>
    </row>
    <row r="5582" spans="42:42" x14ac:dyDescent="0.25">
      <c r="AP5582"/>
    </row>
    <row r="5583" spans="42:42" x14ac:dyDescent="0.25">
      <c r="AP5583"/>
    </row>
    <row r="5584" spans="42:42" x14ac:dyDescent="0.25">
      <c r="AP5584"/>
    </row>
    <row r="5585" spans="42:42" x14ac:dyDescent="0.25">
      <c r="AP5585"/>
    </row>
    <row r="5586" spans="42:42" x14ac:dyDescent="0.25">
      <c r="AP5586"/>
    </row>
    <row r="5587" spans="42:42" x14ac:dyDescent="0.25">
      <c r="AP5587"/>
    </row>
    <row r="5588" spans="42:42" x14ac:dyDescent="0.25">
      <c r="AP5588"/>
    </row>
    <row r="5589" spans="42:42" x14ac:dyDescent="0.25">
      <c r="AP5589"/>
    </row>
    <row r="5590" spans="42:42" x14ac:dyDescent="0.25">
      <c r="AP5590"/>
    </row>
    <row r="5591" spans="42:42" x14ac:dyDescent="0.25">
      <c r="AP5591"/>
    </row>
    <row r="5592" spans="42:42" x14ac:dyDescent="0.25">
      <c r="AP5592"/>
    </row>
    <row r="5593" spans="42:42" x14ac:dyDescent="0.25">
      <c r="AP5593"/>
    </row>
    <row r="5594" spans="42:42" x14ac:dyDescent="0.25">
      <c r="AP5594"/>
    </row>
    <row r="5595" spans="42:42" x14ac:dyDescent="0.25">
      <c r="AP5595"/>
    </row>
    <row r="5596" spans="42:42" x14ac:dyDescent="0.25">
      <c r="AP5596"/>
    </row>
    <row r="5597" spans="42:42" x14ac:dyDescent="0.25">
      <c r="AP5597"/>
    </row>
    <row r="5598" spans="42:42" x14ac:dyDescent="0.25">
      <c r="AP5598"/>
    </row>
    <row r="5599" spans="42:42" x14ac:dyDescent="0.25">
      <c r="AP5599"/>
    </row>
    <row r="5600" spans="42:42" x14ac:dyDescent="0.25">
      <c r="AP5600"/>
    </row>
    <row r="5601" spans="42:42" x14ac:dyDescent="0.25">
      <c r="AP5601"/>
    </row>
    <row r="5602" spans="42:42" x14ac:dyDescent="0.25">
      <c r="AP5602"/>
    </row>
    <row r="5603" spans="42:42" x14ac:dyDescent="0.25">
      <c r="AP5603"/>
    </row>
    <row r="5604" spans="42:42" x14ac:dyDescent="0.25">
      <c r="AP5604"/>
    </row>
    <row r="5605" spans="42:42" x14ac:dyDescent="0.25">
      <c r="AP5605"/>
    </row>
    <row r="5606" spans="42:42" x14ac:dyDescent="0.25">
      <c r="AP5606"/>
    </row>
    <row r="5607" spans="42:42" x14ac:dyDescent="0.25">
      <c r="AP5607"/>
    </row>
    <row r="5608" spans="42:42" x14ac:dyDescent="0.25">
      <c r="AP5608"/>
    </row>
    <row r="5609" spans="42:42" x14ac:dyDescent="0.25">
      <c r="AP5609"/>
    </row>
    <row r="5610" spans="42:42" x14ac:dyDescent="0.25">
      <c r="AP5610"/>
    </row>
    <row r="5611" spans="42:42" x14ac:dyDescent="0.25">
      <c r="AP5611"/>
    </row>
    <row r="5612" spans="42:42" x14ac:dyDescent="0.25">
      <c r="AP5612"/>
    </row>
    <row r="5613" spans="42:42" x14ac:dyDescent="0.25">
      <c r="AP5613"/>
    </row>
    <row r="5614" spans="42:42" x14ac:dyDescent="0.25">
      <c r="AP5614"/>
    </row>
    <row r="5615" spans="42:42" x14ac:dyDescent="0.25">
      <c r="AP5615"/>
    </row>
    <row r="5616" spans="42:42" x14ac:dyDescent="0.25">
      <c r="AP5616"/>
    </row>
    <row r="5617" spans="42:42" x14ac:dyDescent="0.25">
      <c r="AP5617"/>
    </row>
    <row r="5618" spans="42:42" x14ac:dyDescent="0.25">
      <c r="AP5618"/>
    </row>
    <row r="5619" spans="42:42" x14ac:dyDescent="0.25">
      <c r="AP5619"/>
    </row>
    <row r="5620" spans="42:42" x14ac:dyDescent="0.25">
      <c r="AP5620"/>
    </row>
    <row r="5621" spans="42:42" x14ac:dyDescent="0.25">
      <c r="AP5621"/>
    </row>
    <row r="5622" spans="42:42" x14ac:dyDescent="0.25">
      <c r="AP5622"/>
    </row>
    <row r="5623" spans="42:42" x14ac:dyDescent="0.25">
      <c r="AP5623"/>
    </row>
    <row r="5624" spans="42:42" x14ac:dyDescent="0.25">
      <c r="AP5624"/>
    </row>
    <row r="5625" spans="42:42" x14ac:dyDescent="0.25">
      <c r="AP5625"/>
    </row>
    <row r="5626" spans="42:42" x14ac:dyDescent="0.25">
      <c r="AP5626"/>
    </row>
    <row r="5627" spans="42:42" x14ac:dyDescent="0.25">
      <c r="AP5627"/>
    </row>
    <row r="5628" spans="42:42" x14ac:dyDescent="0.25">
      <c r="AP5628"/>
    </row>
    <row r="5629" spans="42:42" x14ac:dyDescent="0.25">
      <c r="AP5629"/>
    </row>
    <row r="5630" spans="42:42" x14ac:dyDescent="0.25">
      <c r="AP5630"/>
    </row>
    <row r="5631" spans="42:42" x14ac:dyDescent="0.25">
      <c r="AP5631"/>
    </row>
    <row r="5632" spans="42:42" x14ac:dyDescent="0.25">
      <c r="AP5632"/>
    </row>
    <row r="5633" spans="42:42" x14ac:dyDescent="0.25">
      <c r="AP5633"/>
    </row>
    <row r="5634" spans="42:42" x14ac:dyDescent="0.25">
      <c r="AP5634"/>
    </row>
    <row r="5635" spans="42:42" x14ac:dyDescent="0.25">
      <c r="AP5635"/>
    </row>
    <row r="5636" spans="42:42" x14ac:dyDescent="0.25">
      <c r="AP5636"/>
    </row>
    <row r="5637" spans="42:42" x14ac:dyDescent="0.25">
      <c r="AP5637"/>
    </row>
    <row r="5638" spans="42:42" x14ac:dyDescent="0.25">
      <c r="AP5638"/>
    </row>
    <row r="5639" spans="42:42" x14ac:dyDescent="0.25">
      <c r="AP5639"/>
    </row>
    <row r="5640" spans="42:42" x14ac:dyDescent="0.25">
      <c r="AP5640"/>
    </row>
    <row r="5641" spans="42:42" x14ac:dyDescent="0.25">
      <c r="AP5641"/>
    </row>
    <row r="5642" spans="42:42" x14ac:dyDescent="0.25">
      <c r="AP5642"/>
    </row>
    <row r="5643" spans="42:42" x14ac:dyDescent="0.25">
      <c r="AP5643"/>
    </row>
    <row r="5644" spans="42:42" x14ac:dyDescent="0.25">
      <c r="AP5644"/>
    </row>
    <row r="5645" spans="42:42" x14ac:dyDescent="0.25">
      <c r="AP5645"/>
    </row>
    <row r="5646" spans="42:42" x14ac:dyDescent="0.25">
      <c r="AP5646"/>
    </row>
    <row r="5647" spans="42:42" x14ac:dyDescent="0.25">
      <c r="AP5647"/>
    </row>
    <row r="5648" spans="42:42" x14ac:dyDescent="0.25">
      <c r="AP5648"/>
    </row>
    <row r="5649" spans="42:42" x14ac:dyDescent="0.25">
      <c r="AP5649"/>
    </row>
    <row r="5650" spans="42:42" x14ac:dyDescent="0.25">
      <c r="AP5650"/>
    </row>
    <row r="5651" spans="42:42" x14ac:dyDescent="0.25">
      <c r="AP5651"/>
    </row>
    <row r="5652" spans="42:42" x14ac:dyDescent="0.25">
      <c r="AP5652"/>
    </row>
    <row r="5653" spans="42:42" x14ac:dyDescent="0.25">
      <c r="AP5653"/>
    </row>
    <row r="5654" spans="42:42" x14ac:dyDescent="0.25">
      <c r="AP5654"/>
    </row>
    <row r="5655" spans="42:42" x14ac:dyDescent="0.25">
      <c r="AP5655"/>
    </row>
    <row r="5656" spans="42:42" x14ac:dyDescent="0.25">
      <c r="AP5656"/>
    </row>
    <row r="5657" spans="42:42" x14ac:dyDescent="0.25">
      <c r="AP5657"/>
    </row>
    <row r="5658" spans="42:42" x14ac:dyDescent="0.25">
      <c r="AP5658"/>
    </row>
    <row r="5659" spans="42:42" x14ac:dyDescent="0.25">
      <c r="AP5659"/>
    </row>
    <row r="5660" spans="42:42" x14ac:dyDescent="0.25">
      <c r="AP5660"/>
    </row>
    <row r="5661" spans="42:42" x14ac:dyDescent="0.25">
      <c r="AP5661"/>
    </row>
    <row r="5662" spans="42:42" x14ac:dyDescent="0.25">
      <c r="AP5662"/>
    </row>
    <row r="5663" spans="42:42" x14ac:dyDescent="0.25">
      <c r="AP5663"/>
    </row>
    <row r="5664" spans="42:42" x14ac:dyDescent="0.25">
      <c r="AP5664"/>
    </row>
    <row r="5665" spans="42:42" x14ac:dyDescent="0.25">
      <c r="AP5665"/>
    </row>
    <row r="5666" spans="42:42" x14ac:dyDescent="0.25">
      <c r="AP5666"/>
    </row>
    <row r="5667" spans="42:42" x14ac:dyDescent="0.25">
      <c r="AP5667"/>
    </row>
    <row r="5668" spans="42:42" x14ac:dyDescent="0.25">
      <c r="AP5668"/>
    </row>
    <row r="5669" spans="42:42" x14ac:dyDescent="0.25">
      <c r="AP5669"/>
    </row>
    <row r="5670" spans="42:42" x14ac:dyDescent="0.25">
      <c r="AP5670"/>
    </row>
    <row r="5671" spans="42:42" x14ac:dyDescent="0.25">
      <c r="AP5671"/>
    </row>
    <row r="5672" spans="42:42" x14ac:dyDescent="0.25">
      <c r="AP5672"/>
    </row>
    <row r="5673" spans="42:42" x14ac:dyDescent="0.25">
      <c r="AP5673"/>
    </row>
    <row r="5674" spans="42:42" x14ac:dyDescent="0.25">
      <c r="AP5674"/>
    </row>
    <row r="5675" spans="42:42" x14ac:dyDescent="0.25">
      <c r="AP5675"/>
    </row>
    <row r="5676" spans="42:42" x14ac:dyDescent="0.25">
      <c r="AP5676"/>
    </row>
    <row r="5677" spans="42:42" x14ac:dyDescent="0.25">
      <c r="AP5677"/>
    </row>
    <row r="5678" spans="42:42" x14ac:dyDescent="0.25">
      <c r="AP5678"/>
    </row>
    <row r="5679" spans="42:42" x14ac:dyDescent="0.25">
      <c r="AP5679"/>
    </row>
    <row r="5680" spans="42:42" x14ac:dyDescent="0.25">
      <c r="AP5680"/>
    </row>
    <row r="5681" spans="42:42" x14ac:dyDescent="0.25">
      <c r="AP5681"/>
    </row>
    <row r="5682" spans="42:42" x14ac:dyDescent="0.25">
      <c r="AP5682"/>
    </row>
    <row r="5683" spans="42:42" x14ac:dyDescent="0.25">
      <c r="AP5683"/>
    </row>
    <row r="5684" spans="42:42" x14ac:dyDescent="0.25">
      <c r="AP5684"/>
    </row>
    <row r="5685" spans="42:42" x14ac:dyDescent="0.25">
      <c r="AP5685"/>
    </row>
    <row r="5686" spans="42:42" x14ac:dyDescent="0.25">
      <c r="AP5686"/>
    </row>
    <row r="5687" spans="42:42" x14ac:dyDescent="0.25">
      <c r="AP5687"/>
    </row>
    <row r="5688" spans="42:42" x14ac:dyDescent="0.25">
      <c r="AP5688"/>
    </row>
    <row r="5689" spans="42:42" x14ac:dyDescent="0.25">
      <c r="AP5689"/>
    </row>
    <row r="5690" spans="42:42" x14ac:dyDescent="0.25">
      <c r="AP5690"/>
    </row>
    <row r="5691" spans="42:42" x14ac:dyDescent="0.25">
      <c r="AP5691"/>
    </row>
    <row r="5692" spans="42:42" x14ac:dyDescent="0.25">
      <c r="AP5692"/>
    </row>
    <row r="5693" spans="42:42" x14ac:dyDescent="0.25">
      <c r="AP5693"/>
    </row>
    <row r="5694" spans="42:42" x14ac:dyDescent="0.25">
      <c r="AP5694"/>
    </row>
    <row r="5695" spans="42:42" x14ac:dyDescent="0.25">
      <c r="AP5695"/>
    </row>
    <row r="5696" spans="42:42" x14ac:dyDescent="0.25">
      <c r="AP5696"/>
    </row>
    <row r="5697" spans="42:42" x14ac:dyDescent="0.25">
      <c r="AP5697"/>
    </row>
    <row r="5698" spans="42:42" x14ac:dyDescent="0.25">
      <c r="AP5698"/>
    </row>
    <row r="5699" spans="42:42" x14ac:dyDescent="0.25">
      <c r="AP5699"/>
    </row>
    <row r="5700" spans="42:42" x14ac:dyDescent="0.25">
      <c r="AP5700"/>
    </row>
    <row r="5701" spans="42:42" x14ac:dyDescent="0.25">
      <c r="AP5701"/>
    </row>
    <row r="5702" spans="42:42" x14ac:dyDescent="0.25">
      <c r="AP5702"/>
    </row>
    <row r="5703" spans="42:42" x14ac:dyDescent="0.25">
      <c r="AP5703"/>
    </row>
    <row r="5704" spans="42:42" x14ac:dyDescent="0.25">
      <c r="AP5704"/>
    </row>
    <row r="5705" spans="42:42" x14ac:dyDescent="0.25">
      <c r="AP5705"/>
    </row>
    <row r="5706" spans="42:42" x14ac:dyDescent="0.25">
      <c r="AP5706"/>
    </row>
    <row r="5707" spans="42:42" x14ac:dyDescent="0.25">
      <c r="AP5707"/>
    </row>
    <row r="5708" spans="42:42" x14ac:dyDescent="0.25">
      <c r="AP5708"/>
    </row>
    <row r="5709" spans="42:42" x14ac:dyDescent="0.25">
      <c r="AP5709"/>
    </row>
    <row r="5710" spans="42:42" x14ac:dyDescent="0.25">
      <c r="AP5710"/>
    </row>
    <row r="5711" spans="42:42" x14ac:dyDescent="0.25">
      <c r="AP5711"/>
    </row>
    <row r="5712" spans="42:42" x14ac:dyDescent="0.25">
      <c r="AP5712"/>
    </row>
    <row r="5713" spans="42:42" x14ac:dyDescent="0.25">
      <c r="AP5713"/>
    </row>
    <row r="5714" spans="42:42" x14ac:dyDescent="0.25">
      <c r="AP5714"/>
    </row>
    <row r="5715" spans="42:42" x14ac:dyDescent="0.25">
      <c r="AP5715"/>
    </row>
    <row r="5716" spans="42:42" x14ac:dyDescent="0.25">
      <c r="AP5716"/>
    </row>
    <row r="5717" spans="42:42" x14ac:dyDescent="0.25">
      <c r="AP5717"/>
    </row>
    <row r="5718" spans="42:42" x14ac:dyDescent="0.25">
      <c r="AP5718"/>
    </row>
    <row r="5719" spans="42:42" x14ac:dyDescent="0.25">
      <c r="AP5719"/>
    </row>
    <row r="5720" spans="42:42" x14ac:dyDescent="0.25">
      <c r="AP5720"/>
    </row>
    <row r="5721" spans="42:42" x14ac:dyDescent="0.25">
      <c r="AP5721"/>
    </row>
    <row r="5722" spans="42:42" x14ac:dyDescent="0.25">
      <c r="AP5722"/>
    </row>
    <row r="5723" spans="42:42" x14ac:dyDescent="0.25">
      <c r="AP5723"/>
    </row>
    <row r="5724" spans="42:42" x14ac:dyDescent="0.25">
      <c r="AP5724"/>
    </row>
    <row r="5725" spans="42:42" x14ac:dyDescent="0.25">
      <c r="AP5725"/>
    </row>
    <row r="5726" spans="42:42" x14ac:dyDescent="0.25">
      <c r="AP5726"/>
    </row>
    <row r="5727" spans="42:42" x14ac:dyDescent="0.25">
      <c r="AP5727"/>
    </row>
    <row r="5728" spans="42:42" x14ac:dyDescent="0.25">
      <c r="AP5728"/>
    </row>
    <row r="5729" spans="42:42" x14ac:dyDescent="0.25">
      <c r="AP5729"/>
    </row>
    <row r="5730" spans="42:42" x14ac:dyDescent="0.25">
      <c r="AP5730"/>
    </row>
    <row r="5731" spans="42:42" x14ac:dyDescent="0.25">
      <c r="AP5731"/>
    </row>
    <row r="5732" spans="42:42" x14ac:dyDescent="0.25">
      <c r="AP5732"/>
    </row>
    <row r="5733" spans="42:42" x14ac:dyDescent="0.25">
      <c r="AP5733"/>
    </row>
    <row r="5734" spans="42:42" x14ac:dyDescent="0.25">
      <c r="AP5734"/>
    </row>
    <row r="5735" spans="42:42" x14ac:dyDescent="0.25">
      <c r="AP5735"/>
    </row>
    <row r="5736" spans="42:42" x14ac:dyDescent="0.25">
      <c r="AP5736"/>
    </row>
    <row r="5737" spans="42:42" x14ac:dyDescent="0.25">
      <c r="AP5737"/>
    </row>
    <row r="5738" spans="42:42" x14ac:dyDescent="0.25">
      <c r="AP5738"/>
    </row>
    <row r="5739" spans="42:42" x14ac:dyDescent="0.25">
      <c r="AP5739"/>
    </row>
    <row r="5740" spans="42:42" x14ac:dyDescent="0.25">
      <c r="AP5740"/>
    </row>
    <row r="5741" spans="42:42" x14ac:dyDescent="0.25">
      <c r="AP5741"/>
    </row>
    <row r="5742" spans="42:42" x14ac:dyDescent="0.25">
      <c r="AP5742"/>
    </row>
    <row r="5743" spans="42:42" x14ac:dyDescent="0.25">
      <c r="AP5743"/>
    </row>
    <row r="5744" spans="42:42" x14ac:dyDescent="0.25">
      <c r="AP5744"/>
    </row>
    <row r="5745" spans="42:42" x14ac:dyDescent="0.25">
      <c r="AP5745"/>
    </row>
    <row r="5746" spans="42:42" x14ac:dyDescent="0.25">
      <c r="AP5746"/>
    </row>
    <row r="5747" spans="42:42" x14ac:dyDescent="0.25">
      <c r="AP5747"/>
    </row>
    <row r="5748" spans="42:42" x14ac:dyDescent="0.25">
      <c r="AP5748"/>
    </row>
    <row r="5749" spans="42:42" x14ac:dyDescent="0.25">
      <c r="AP5749"/>
    </row>
    <row r="5750" spans="42:42" x14ac:dyDescent="0.25">
      <c r="AP5750"/>
    </row>
    <row r="5751" spans="42:42" x14ac:dyDescent="0.25">
      <c r="AP5751"/>
    </row>
    <row r="5752" spans="42:42" x14ac:dyDescent="0.25">
      <c r="AP5752"/>
    </row>
    <row r="5753" spans="42:42" x14ac:dyDescent="0.25">
      <c r="AP5753"/>
    </row>
    <row r="5754" spans="42:42" x14ac:dyDescent="0.25">
      <c r="AP5754"/>
    </row>
    <row r="5755" spans="42:42" x14ac:dyDescent="0.25">
      <c r="AP5755"/>
    </row>
    <row r="5756" spans="42:42" x14ac:dyDescent="0.25">
      <c r="AP5756"/>
    </row>
    <row r="5757" spans="42:42" x14ac:dyDescent="0.25">
      <c r="AP5757"/>
    </row>
    <row r="5758" spans="42:42" x14ac:dyDescent="0.25">
      <c r="AP5758"/>
    </row>
    <row r="5759" spans="42:42" x14ac:dyDescent="0.25">
      <c r="AP5759"/>
    </row>
    <row r="5760" spans="42:42" x14ac:dyDescent="0.25">
      <c r="AP5760"/>
    </row>
    <row r="5761" spans="42:42" x14ac:dyDescent="0.25">
      <c r="AP5761"/>
    </row>
    <row r="5762" spans="42:42" x14ac:dyDescent="0.25">
      <c r="AP5762"/>
    </row>
    <row r="5763" spans="42:42" x14ac:dyDescent="0.25">
      <c r="AP5763"/>
    </row>
    <row r="5764" spans="42:42" x14ac:dyDescent="0.25">
      <c r="AP5764"/>
    </row>
    <row r="5765" spans="42:42" x14ac:dyDescent="0.25">
      <c r="AP5765"/>
    </row>
    <row r="5766" spans="42:42" x14ac:dyDescent="0.25">
      <c r="AP5766"/>
    </row>
    <row r="5767" spans="42:42" x14ac:dyDescent="0.25">
      <c r="AP5767"/>
    </row>
    <row r="5768" spans="42:42" x14ac:dyDescent="0.25">
      <c r="AP5768"/>
    </row>
    <row r="5769" spans="42:42" x14ac:dyDescent="0.25">
      <c r="AP5769"/>
    </row>
    <row r="5770" spans="42:42" x14ac:dyDescent="0.25">
      <c r="AP5770"/>
    </row>
    <row r="5771" spans="42:42" x14ac:dyDescent="0.25">
      <c r="AP5771"/>
    </row>
    <row r="5772" spans="42:42" x14ac:dyDescent="0.25">
      <c r="AP5772"/>
    </row>
    <row r="5773" spans="42:42" x14ac:dyDescent="0.25">
      <c r="AP5773"/>
    </row>
    <row r="5774" spans="42:42" x14ac:dyDescent="0.25">
      <c r="AP5774"/>
    </row>
    <row r="5775" spans="42:42" x14ac:dyDescent="0.25">
      <c r="AP5775"/>
    </row>
    <row r="5776" spans="42:42" x14ac:dyDescent="0.25">
      <c r="AP5776"/>
    </row>
    <row r="5777" spans="42:42" x14ac:dyDescent="0.25">
      <c r="AP5777"/>
    </row>
    <row r="5778" spans="42:42" x14ac:dyDescent="0.25">
      <c r="AP5778"/>
    </row>
    <row r="5779" spans="42:42" x14ac:dyDescent="0.25">
      <c r="AP5779"/>
    </row>
    <row r="5780" spans="42:42" x14ac:dyDescent="0.25">
      <c r="AP5780"/>
    </row>
    <row r="5781" spans="42:42" x14ac:dyDescent="0.25">
      <c r="AP5781"/>
    </row>
    <row r="5782" spans="42:42" x14ac:dyDescent="0.25">
      <c r="AP5782"/>
    </row>
    <row r="5783" spans="42:42" x14ac:dyDescent="0.25">
      <c r="AP5783"/>
    </row>
    <row r="5784" spans="42:42" x14ac:dyDescent="0.25">
      <c r="AP5784"/>
    </row>
    <row r="5785" spans="42:42" x14ac:dyDescent="0.25">
      <c r="AP5785"/>
    </row>
    <row r="5786" spans="42:42" x14ac:dyDescent="0.25">
      <c r="AP5786"/>
    </row>
    <row r="5787" spans="42:42" x14ac:dyDescent="0.25">
      <c r="AP5787"/>
    </row>
    <row r="5788" spans="42:42" x14ac:dyDescent="0.25">
      <c r="AP5788"/>
    </row>
    <row r="5789" spans="42:42" x14ac:dyDescent="0.25">
      <c r="AP5789"/>
    </row>
    <row r="5790" spans="42:42" x14ac:dyDescent="0.25">
      <c r="AP5790"/>
    </row>
    <row r="5791" spans="42:42" x14ac:dyDescent="0.25">
      <c r="AP5791"/>
    </row>
    <row r="5792" spans="42:42" x14ac:dyDescent="0.25">
      <c r="AP5792"/>
    </row>
    <row r="5793" spans="42:42" x14ac:dyDescent="0.25">
      <c r="AP5793"/>
    </row>
    <row r="5794" spans="42:42" x14ac:dyDescent="0.25">
      <c r="AP5794"/>
    </row>
    <row r="5795" spans="42:42" x14ac:dyDescent="0.25">
      <c r="AP5795"/>
    </row>
    <row r="5796" spans="42:42" x14ac:dyDescent="0.25">
      <c r="AP5796"/>
    </row>
    <row r="5797" spans="42:42" x14ac:dyDescent="0.25">
      <c r="AP5797"/>
    </row>
    <row r="5798" spans="42:42" x14ac:dyDescent="0.25">
      <c r="AP5798"/>
    </row>
    <row r="5799" spans="42:42" x14ac:dyDescent="0.25">
      <c r="AP5799"/>
    </row>
    <row r="5800" spans="42:42" x14ac:dyDescent="0.25">
      <c r="AP5800"/>
    </row>
    <row r="5801" spans="42:42" x14ac:dyDescent="0.25">
      <c r="AP5801"/>
    </row>
    <row r="5802" spans="42:42" x14ac:dyDescent="0.25">
      <c r="AP5802"/>
    </row>
    <row r="5803" spans="42:42" x14ac:dyDescent="0.25">
      <c r="AP5803"/>
    </row>
    <row r="5804" spans="42:42" x14ac:dyDescent="0.25">
      <c r="AP5804"/>
    </row>
    <row r="5805" spans="42:42" x14ac:dyDescent="0.25">
      <c r="AP5805"/>
    </row>
    <row r="5806" spans="42:42" x14ac:dyDescent="0.25">
      <c r="AP5806"/>
    </row>
    <row r="5807" spans="42:42" x14ac:dyDescent="0.25">
      <c r="AP5807"/>
    </row>
    <row r="5808" spans="42:42" x14ac:dyDescent="0.25">
      <c r="AP5808"/>
    </row>
    <row r="5809" spans="42:42" x14ac:dyDescent="0.25">
      <c r="AP5809"/>
    </row>
    <row r="5810" spans="42:42" x14ac:dyDescent="0.25">
      <c r="AP5810"/>
    </row>
    <row r="5811" spans="42:42" x14ac:dyDescent="0.25">
      <c r="AP5811"/>
    </row>
    <row r="5812" spans="42:42" x14ac:dyDescent="0.25">
      <c r="AP5812"/>
    </row>
    <row r="5813" spans="42:42" x14ac:dyDescent="0.25">
      <c r="AP5813"/>
    </row>
    <row r="5814" spans="42:42" x14ac:dyDescent="0.25">
      <c r="AP5814"/>
    </row>
    <row r="5815" spans="42:42" x14ac:dyDescent="0.25">
      <c r="AP5815"/>
    </row>
    <row r="5816" spans="42:42" x14ac:dyDescent="0.25">
      <c r="AP5816"/>
    </row>
    <row r="5817" spans="42:42" x14ac:dyDescent="0.25">
      <c r="AP5817"/>
    </row>
    <row r="5818" spans="42:42" x14ac:dyDescent="0.25">
      <c r="AP5818"/>
    </row>
    <row r="5819" spans="42:42" x14ac:dyDescent="0.25">
      <c r="AP5819"/>
    </row>
    <row r="5820" spans="42:42" x14ac:dyDescent="0.25">
      <c r="AP5820"/>
    </row>
    <row r="5821" spans="42:42" x14ac:dyDescent="0.25">
      <c r="AP5821"/>
    </row>
    <row r="5822" spans="42:42" x14ac:dyDescent="0.25">
      <c r="AP5822"/>
    </row>
    <row r="5823" spans="42:42" x14ac:dyDescent="0.25">
      <c r="AP5823"/>
    </row>
    <row r="5824" spans="42:42" x14ac:dyDescent="0.25">
      <c r="AP5824"/>
    </row>
    <row r="5825" spans="42:42" x14ac:dyDescent="0.25">
      <c r="AP5825"/>
    </row>
    <row r="5826" spans="42:42" x14ac:dyDescent="0.25">
      <c r="AP5826"/>
    </row>
    <row r="5827" spans="42:42" x14ac:dyDescent="0.25">
      <c r="AP5827"/>
    </row>
    <row r="5828" spans="42:42" x14ac:dyDescent="0.25">
      <c r="AP5828"/>
    </row>
    <row r="5829" spans="42:42" x14ac:dyDescent="0.25">
      <c r="AP5829"/>
    </row>
    <row r="5830" spans="42:42" x14ac:dyDescent="0.25">
      <c r="AP5830"/>
    </row>
    <row r="5831" spans="42:42" x14ac:dyDescent="0.25">
      <c r="AP5831"/>
    </row>
    <row r="5832" spans="42:42" x14ac:dyDescent="0.25">
      <c r="AP5832"/>
    </row>
    <row r="5833" spans="42:42" x14ac:dyDescent="0.25">
      <c r="AP5833"/>
    </row>
    <row r="5834" spans="42:42" x14ac:dyDescent="0.25">
      <c r="AP5834"/>
    </row>
    <row r="5835" spans="42:42" x14ac:dyDescent="0.25">
      <c r="AP5835"/>
    </row>
    <row r="5836" spans="42:42" x14ac:dyDescent="0.25">
      <c r="AP5836"/>
    </row>
    <row r="5837" spans="42:42" x14ac:dyDescent="0.25">
      <c r="AP5837"/>
    </row>
    <row r="5838" spans="42:42" x14ac:dyDescent="0.25">
      <c r="AP5838"/>
    </row>
    <row r="5839" spans="42:42" x14ac:dyDescent="0.25">
      <c r="AP5839"/>
    </row>
    <row r="5840" spans="42:42" x14ac:dyDescent="0.25">
      <c r="AP5840"/>
    </row>
    <row r="5841" spans="42:42" x14ac:dyDescent="0.25">
      <c r="AP5841"/>
    </row>
    <row r="5842" spans="42:42" x14ac:dyDescent="0.25">
      <c r="AP5842"/>
    </row>
    <row r="5843" spans="42:42" x14ac:dyDescent="0.25">
      <c r="AP5843"/>
    </row>
    <row r="5844" spans="42:42" x14ac:dyDescent="0.25">
      <c r="AP5844"/>
    </row>
    <row r="5845" spans="42:42" x14ac:dyDescent="0.25">
      <c r="AP5845"/>
    </row>
    <row r="5846" spans="42:42" x14ac:dyDescent="0.25">
      <c r="AP5846"/>
    </row>
    <row r="5847" spans="42:42" x14ac:dyDescent="0.25">
      <c r="AP5847"/>
    </row>
    <row r="5848" spans="42:42" x14ac:dyDescent="0.25">
      <c r="AP5848"/>
    </row>
    <row r="5849" spans="42:42" x14ac:dyDescent="0.25">
      <c r="AP5849"/>
    </row>
    <row r="5850" spans="42:42" x14ac:dyDescent="0.25">
      <c r="AP5850"/>
    </row>
    <row r="5851" spans="42:42" x14ac:dyDescent="0.25">
      <c r="AP5851"/>
    </row>
    <row r="5852" spans="42:42" x14ac:dyDescent="0.25">
      <c r="AP5852"/>
    </row>
    <row r="5853" spans="42:42" x14ac:dyDescent="0.25">
      <c r="AP5853"/>
    </row>
    <row r="5854" spans="42:42" x14ac:dyDescent="0.25">
      <c r="AP5854"/>
    </row>
    <row r="5855" spans="42:42" x14ac:dyDescent="0.25">
      <c r="AP5855"/>
    </row>
    <row r="5856" spans="42:42" x14ac:dyDescent="0.25">
      <c r="AP5856"/>
    </row>
    <row r="5857" spans="42:42" x14ac:dyDescent="0.25">
      <c r="AP5857"/>
    </row>
    <row r="5858" spans="42:42" x14ac:dyDescent="0.25">
      <c r="AP5858"/>
    </row>
    <row r="5859" spans="42:42" x14ac:dyDescent="0.25">
      <c r="AP5859"/>
    </row>
    <row r="5860" spans="42:42" x14ac:dyDescent="0.25">
      <c r="AP5860"/>
    </row>
    <row r="5861" spans="42:42" x14ac:dyDescent="0.25">
      <c r="AP5861"/>
    </row>
    <row r="5862" spans="42:42" x14ac:dyDescent="0.25">
      <c r="AP5862"/>
    </row>
    <row r="5863" spans="42:42" x14ac:dyDescent="0.25">
      <c r="AP5863"/>
    </row>
    <row r="5864" spans="42:42" x14ac:dyDescent="0.25">
      <c r="AP5864"/>
    </row>
    <row r="5865" spans="42:42" x14ac:dyDescent="0.25">
      <c r="AP5865"/>
    </row>
    <row r="5866" spans="42:42" x14ac:dyDescent="0.25">
      <c r="AP5866"/>
    </row>
    <row r="5867" spans="42:42" x14ac:dyDescent="0.25">
      <c r="AP5867"/>
    </row>
    <row r="5868" spans="42:42" x14ac:dyDescent="0.25">
      <c r="AP5868"/>
    </row>
    <row r="5869" spans="42:42" x14ac:dyDescent="0.25">
      <c r="AP5869"/>
    </row>
    <row r="5870" spans="42:42" x14ac:dyDescent="0.25">
      <c r="AP5870"/>
    </row>
    <row r="5871" spans="42:42" x14ac:dyDescent="0.25">
      <c r="AP5871"/>
    </row>
    <row r="5872" spans="42:42" x14ac:dyDescent="0.25">
      <c r="AP5872"/>
    </row>
    <row r="5873" spans="42:42" x14ac:dyDescent="0.25">
      <c r="AP5873"/>
    </row>
    <row r="5874" spans="42:42" x14ac:dyDescent="0.25">
      <c r="AP5874"/>
    </row>
    <row r="5875" spans="42:42" x14ac:dyDescent="0.25">
      <c r="AP5875"/>
    </row>
    <row r="5876" spans="42:42" x14ac:dyDescent="0.25">
      <c r="AP5876"/>
    </row>
    <row r="5877" spans="42:42" x14ac:dyDescent="0.25">
      <c r="AP5877"/>
    </row>
    <row r="5878" spans="42:42" x14ac:dyDescent="0.25">
      <c r="AP5878"/>
    </row>
    <row r="5879" spans="42:42" x14ac:dyDescent="0.25">
      <c r="AP5879"/>
    </row>
    <row r="5880" spans="42:42" x14ac:dyDescent="0.25">
      <c r="AP5880"/>
    </row>
    <row r="5881" spans="42:42" x14ac:dyDescent="0.25">
      <c r="AP5881"/>
    </row>
    <row r="5882" spans="42:42" x14ac:dyDescent="0.25">
      <c r="AP5882"/>
    </row>
    <row r="5883" spans="42:42" x14ac:dyDescent="0.25">
      <c r="AP5883"/>
    </row>
    <row r="5884" spans="42:42" x14ac:dyDescent="0.25">
      <c r="AP5884"/>
    </row>
    <row r="5885" spans="42:42" x14ac:dyDescent="0.25">
      <c r="AP5885"/>
    </row>
    <row r="5886" spans="42:42" x14ac:dyDescent="0.25">
      <c r="AP5886"/>
    </row>
    <row r="5887" spans="42:42" x14ac:dyDescent="0.25">
      <c r="AP5887"/>
    </row>
    <row r="5888" spans="42:42" x14ac:dyDescent="0.25">
      <c r="AP5888"/>
    </row>
    <row r="5889" spans="42:42" x14ac:dyDescent="0.25">
      <c r="AP5889"/>
    </row>
    <row r="5890" spans="42:42" x14ac:dyDescent="0.25">
      <c r="AP5890"/>
    </row>
    <row r="5891" spans="42:42" x14ac:dyDescent="0.25">
      <c r="AP5891"/>
    </row>
    <row r="5892" spans="42:42" x14ac:dyDescent="0.25">
      <c r="AP5892"/>
    </row>
    <row r="5893" spans="42:42" x14ac:dyDescent="0.25">
      <c r="AP5893"/>
    </row>
    <row r="5894" spans="42:42" x14ac:dyDescent="0.25">
      <c r="AP5894"/>
    </row>
    <row r="5895" spans="42:42" x14ac:dyDescent="0.25">
      <c r="AP5895"/>
    </row>
    <row r="5896" spans="42:42" x14ac:dyDescent="0.25">
      <c r="AP5896"/>
    </row>
    <row r="5897" spans="42:42" x14ac:dyDescent="0.25">
      <c r="AP5897"/>
    </row>
    <row r="5898" spans="42:42" x14ac:dyDescent="0.25">
      <c r="AP5898"/>
    </row>
    <row r="5899" spans="42:42" x14ac:dyDescent="0.25">
      <c r="AP5899"/>
    </row>
    <row r="5900" spans="42:42" x14ac:dyDescent="0.25">
      <c r="AP5900"/>
    </row>
    <row r="5901" spans="42:42" x14ac:dyDescent="0.25">
      <c r="AP5901"/>
    </row>
    <row r="5902" spans="42:42" x14ac:dyDescent="0.25">
      <c r="AP5902"/>
    </row>
    <row r="5903" spans="42:42" x14ac:dyDescent="0.25">
      <c r="AP5903"/>
    </row>
    <row r="5904" spans="42:42" x14ac:dyDescent="0.25">
      <c r="AP5904"/>
    </row>
    <row r="5905" spans="42:42" x14ac:dyDescent="0.25">
      <c r="AP5905"/>
    </row>
    <row r="5906" spans="42:42" x14ac:dyDescent="0.25">
      <c r="AP5906"/>
    </row>
    <row r="5907" spans="42:42" x14ac:dyDescent="0.25">
      <c r="AP5907"/>
    </row>
    <row r="5908" spans="42:42" x14ac:dyDescent="0.25">
      <c r="AP5908"/>
    </row>
    <row r="5909" spans="42:42" x14ac:dyDescent="0.25">
      <c r="AP5909"/>
    </row>
    <row r="5910" spans="42:42" x14ac:dyDescent="0.25">
      <c r="AP5910"/>
    </row>
    <row r="5911" spans="42:42" x14ac:dyDescent="0.25">
      <c r="AP5911"/>
    </row>
    <row r="5912" spans="42:42" x14ac:dyDescent="0.25">
      <c r="AP5912"/>
    </row>
    <row r="5913" spans="42:42" x14ac:dyDescent="0.25">
      <c r="AP5913"/>
    </row>
    <row r="5914" spans="42:42" x14ac:dyDescent="0.25">
      <c r="AP5914"/>
    </row>
    <row r="5915" spans="42:42" x14ac:dyDescent="0.25">
      <c r="AP5915"/>
    </row>
    <row r="5916" spans="42:42" x14ac:dyDescent="0.25">
      <c r="AP5916"/>
    </row>
    <row r="5917" spans="42:42" x14ac:dyDescent="0.25">
      <c r="AP5917"/>
    </row>
    <row r="5918" spans="42:42" x14ac:dyDescent="0.25">
      <c r="AP5918"/>
    </row>
    <row r="5919" spans="42:42" x14ac:dyDescent="0.25">
      <c r="AP5919"/>
    </row>
    <row r="5920" spans="42:42" x14ac:dyDescent="0.25">
      <c r="AP5920"/>
    </row>
    <row r="5921" spans="42:42" x14ac:dyDescent="0.25">
      <c r="AP5921"/>
    </row>
    <row r="5922" spans="42:42" x14ac:dyDescent="0.25">
      <c r="AP5922"/>
    </row>
    <row r="5923" spans="42:42" x14ac:dyDescent="0.25">
      <c r="AP5923"/>
    </row>
    <row r="5924" spans="42:42" x14ac:dyDescent="0.25">
      <c r="AP5924"/>
    </row>
    <row r="5925" spans="42:42" x14ac:dyDescent="0.25">
      <c r="AP5925"/>
    </row>
    <row r="5926" spans="42:42" x14ac:dyDescent="0.25">
      <c r="AP5926"/>
    </row>
    <row r="5927" spans="42:42" x14ac:dyDescent="0.25">
      <c r="AP5927"/>
    </row>
    <row r="5928" spans="42:42" x14ac:dyDescent="0.25">
      <c r="AP5928"/>
    </row>
    <row r="5929" spans="42:42" x14ac:dyDescent="0.25">
      <c r="AP5929"/>
    </row>
    <row r="5930" spans="42:42" x14ac:dyDescent="0.25">
      <c r="AP5930"/>
    </row>
    <row r="5931" spans="42:42" x14ac:dyDescent="0.25">
      <c r="AP5931"/>
    </row>
    <row r="5932" spans="42:42" x14ac:dyDescent="0.25">
      <c r="AP5932"/>
    </row>
    <row r="5933" spans="42:42" x14ac:dyDescent="0.25">
      <c r="AP5933"/>
    </row>
    <row r="5934" spans="42:42" x14ac:dyDescent="0.25">
      <c r="AP5934"/>
    </row>
    <row r="5935" spans="42:42" x14ac:dyDescent="0.25">
      <c r="AP5935"/>
    </row>
    <row r="5936" spans="42:42" x14ac:dyDescent="0.25">
      <c r="AP5936"/>
    </row>
    <row r="5937" spans="42:42" x14ac:dyDescent="0.25">
      <c r="AP5937"/>
    </row>
    <row r="5938" spans="42:42" x14ac:dyDescent="0.25">
      <c r="AP5938"/>
    </row>
    <row r="5939" spans="42:42" x14ac:dyDescent="0.25">
      <c r="AP5939"/>
    </row>
    <row r="5940" spans="42:42" x14ac:dyDescent="0.25">
      <c r="AP5940"/>
    </row>
    <row r="5941" spans="42:42" x14ac:dyDescent="0.25">
      <c r="AP5941"/>
    </row>
    <row r="5942" spans="42:42" x14ac:dyDescent="0.25">
      <c r="AP5942"/>
    </row>
    <row r="5943" spans="42:42" x14ac:dyDescent="0.25">
      <c r="AP5943"/>
    </row>
    <row r="5944" spans="42:42" x14ac:dyDescent="0.25">
      <c r="AP5944"/>
    </row>
    <row r="5945" spans="42:42" x14ac:dyDescent="0.25">
      <c r="AP5945"/>
    </row>
    <row r="5946" spans="42:42" x14ac:dyDescent="0.25">
      <c r="AP5946"/>
    </row>
    <row r="5947" spans="42:42" x14ac:dyDescent="0.25">
      <c r="AP5947"/>
    </row>
    <row r="5948" spans="42:42" x14ac:dyDescent="0.25">
      <c r="AP5948"/>
    </row>
    <row r="5949" spans="42:42" x14ac:dyDescent="0.25">
      <c r="AP5949"/>
    </row>
    <row r="5950" spans="42:42" x14ac:dyDescent="0.25">
      <c r="AP5950"/>
    </row>
    <row r="5951" spans="42:42" x14ac:dyDescent="0.25">
      <c r="AP5951"/>
    </row>
    <row r="5952" spans="42:42" x14ac:dyDescent="0.25">
      <c r="AP5952"/>
    </row>
    <row r="5953" spans="42:42" x14ac:dyDescent="0.25">
      <c r="AP5953"/>
    </row>
    <row r="5954" spans="42:42" x14ac:dyDescent="0.25">
      <c r="AP5954"/>
    </row>
    <row r="5955" spans="42:42" x14ac:dyDescent="0.25">
      <c r="AP5955"/>
    </row>
    <row r="5956" spans="42:42" x14ac:dyDescent="0.25">
      <c r="AP5956"/>
    </row>
    <row r="5957" spans="42:42" x14ac:dyDescent="0.25">
      <c r="AP5957"/>
    </row>
    <row r="5958" spans="42:42" x14ac:dyDescent="0.25">
      <c r="AP5958"/>
    </row>
    <row r="5959" spans="42:42" x14ac:dyDescent="0.25">
      <c r="AP5959"/>
    </row>
    <row r="5960" spans="42:42" x14ac:dyDescent="0.25">
      <c r="AP5960"/>
    </row>
    <row r="5961" spans="42:42" x14ac:dyDescent="0.25">
      <c r="AP5961"/>
    </row>
    <row r="5962" spans="42:42" x14ac:dyDescent="0.25">
      <c r="AP5962"/>
    </row>
    <row r="5963" spans="42:42" x14ac:dyDescent="0.25">
      <c r="AP5963"/>
    </row>
    <row r="5964" spans="42:42" x14ac:dyDescent="0.25">
      <c r="AP5964"/>
    </row>
    <row r="5965" spans="42:42" x14ac:dyDescent="0.25">
      <c r="AP5965"/>
    </row>
    <row r="5966" spans="42:42" x14ac:dyDescent="0.25">
      <c r="AP5966"/>
    </row>
    <row r="5967" spans="42:42" x14ac:dyDescent="0.25">
      <c r="AP5967"/>
    </row>
    <row r="5968" spans="42:42" x14ac:dyDescent="0.25">
      <c r="AP5968"/>
    </row>
    <row r="5969" spans="42:42" x14ac:dyDescent="0.25">
      <c r="AP5969"/>
    </row>
    <row r="5970" spans="42:42" x14ac:dyDescent="0.25">
      <c r="AP5970"/>
    </row>
    <row r="5971" spans="42:42" x14ac:dyDescent="0.25">
      <c r="AP5971"/>
    </row>
    <row r="5972" spans="42:42" x14ac:dyDescent="0.25">
      <c r="AP5972"/>
    </row>
    <row r="5973" spans="42:42" x14ac:dyDescent="0.25">
      <c r="AP5973"/>
    </row>
    <row r="5974" spans="42:42" x14ac:dyDescent="0.25">
      <c r="AP5974"/>
    </row>
    <row r="5975" spans="42:42" x14ac:dyDescent="0.25">
      <c r="AP5975"/>
    </row>
    <row r="5976" spans="42:42" x14ac:dyDescent="0.25">
      <c r="AP5976"/>
    </row>
    <row r="5977" spans="42:42" x14ac:dyDescent="0.25">
      <c r="AP5977"/>
    </row>
    <row r="5978" spans="42:42" x14ac:dyDescent="0.25">
      <c r="AP5978"/>
    </row>
    <row r="5979" spans="42:42" x14ac:dyDescent="0.25">
      <c r="AP5979"/>
    </row>
    <row r="5980" spans="42:42" x14ac:dyDescent="0.25">
      <c r="AP5980"/>
    </row>
    <row r="5981" spans="42:42" x14ac:dyDescent="0.25">
      <c r="AP5981"/>
    </row>
    <row r="5982" spans="42:42" x14ac:dyDescent="0.25">
      <c r="AP5982"/>
    </row>
    <row r="5983" spans="42:42" x14ac:dyDescent="0.25">
      <c r="AP5983"/>
    </row>
    <row r="5984" spans="42:42" x14ac:dyDescent="0.25">
      <c r="AP5984"/>
    </row>
    <row r="5985" spans="42:42" x14ac:dyDescent="0.25">
      <c r="AP5985"/>
    </row>
    <row r="5986" spans="42:42" x14ac:dyDescent="0.25">
      <c r="AP5986"/>
    </row>
    <row r="5987" spans="42:42" x14ac:dyDescent="0.25">
      <c r="AP5987"/>
    </row>
    <row r="5988" spans="42:42" x14ac:dyDescent="0.25">
      <c r="AP5988"/>
    </row>
    <row r="5989" spans="42:42" x14ac:dyDescent="0.25">
      <c r="AP5989"/>
    </row>
    <row r="5990" spans="42:42" x14ac:dyDescent="0.25">
      <c r="AP5990"/>
    </row>
    <row r="5991" spans="42:42" x14ac:dyDescent="0.25">
      <c r="AP5991"/>
    </row>
    <row r="5992" spans="42:42" x14ac:dyDescent="0.25">
      <c r="AP5992"/>
    </row>
    <row r="5993" spans="42:42" x14ac:dyDescent="0.25">
      <c r="AP5993"/>
    </row>
    <row r="5994" spans="42:42" x14ac:dyDescent="0.25">
      <c r="AP5994"/>
    </row>
    <row r="5995" spans="42:42" x14ac:dyDescent="0.25">
      <c r="AP5995"/>
    </row>
    <row r="5996" spans="42:42" x14ac:dyDescent="0.25">
      <c r="AP5996"/>
    </row>
    <row r="5997" spans="42:42" x14ac:dyDescent="0.25">
      <c r="AP5997"/>
    </row>
    <row r="5998" spans="42:42" x14ac:dyDescent="0.25">
      <c r="AP5998"/>
    </row>
    <row r="5999" spans="42:42" x14ac:dyDescent="0.25">
      <c r="AP5999"/>
    </row>
    <row r="6000" spans="42:42" x14ac:dyDescent="0.25">
      <c r="AP6000"/>
    </row>
    <row r="6001" spans="42:42" x14ac:dyDescent="0.25">
      <c r="AP6001"/>
    </row>
    <row r="6002" spans="42:42" x14ac:dyDescent="0.25">
      <c r="AP6002"/>
    </row>
    <row r="6003" spans="42:42" x14ac:dyDescent="0.25">
      <c r="AP6003"/>
    </row>
    <row r="6004" spans="42:42" x14ac:dyDescent="0.25">
      <c r="AP6004"/>
    </row>
    <row r="6005" spans="42:42" x14ac:dyDescent="0.25">
      <c r="AP6005"/>
    </row>
    <row r="6006" spans="42:42" x14ac:dyDescent="0.25">
      <c r="AP6006"/>
    </row>
    <row r="6007" spans="42:42" x14ac:dyDescent="0.25">
      <c r="AP6007"/>
    </row>
    <row r="6008" spans="42:42" x14ac:dyDescent="0.25">
      <c r="AP6008"/>
    </row>
    <row r="6009" spans="42:42" x14ac:dyDescent="0.25">
      <c r="AP6009"/>
    </row>
    <row r="6010" spans="42:42" x14ac:dyDescent="0.25">
      <c r="AP6010"/>
    </row>
    <row r="6011" spans="42:42" x14ac:dyDescent="0.25">
      <c r="AP6011"/>
    </row>
    <row r="6012" spans="42:42" x14ac:dyDescent="0.25">
      <c r="AP6012"/>
    </row>
    <row r="6013" spans="42:42" x14ac:dyDescent="0.25">
      <c r="AP6013"/>
    </row>
    <row r="6014" spans="42:42" x14ac:dyDescent="0.25">
      <c r="AP6014"/>
    </row>
    <row r="6015" spans="42:42" x14ac:dyDescent="0.25">
      <c r="AP6015"/>
    </row>
    <row r="6016" spans="42:42" x14ac:dyDescent="0.25">
      <c r="AP6016"/>
    </row>
    <row r="6017" spans="42:42" x14ac:dyDescent="0.25">
      <c r="AP6017"/>
    </row>
    <row r="6018" spans="42:42" x14ac:dyDescent="0.25">
      <c r="AP6018"/>
    </row>
    <row r="6019" spans="42:42" x14ac:dyDescent="0.25">
      <c r="AP6019"/>
    </row>
    <row r="6020" spans="42:42" x14ac:dyDescent="0.25">
      <c r="AP6020"/>
    </row>
    <row r="6021" spans="42:42" x14ac:dyDescent="0.25">
      <c r="AP6021"/>
    </row>
    <row r="6022" spans="42:42" x14ac:dyDescent="0.25">
      <c r="AP6022"/>
    </row>
    <row r="6023" spans="42:42" x14ac:dyDescent="0.25">
      <c r="AP6023"/>
    </row>
    <row r="6024" spans="42:42" x14ac:dyDescent="0.25">
      <c r="AP6024"/>
    </row>
    <row r="6025" spans="42:42" x14ac:dyDescent="0.25">
      <c r="AP6025"/>
    </row>
    <row r="6026" spans="42:42" x14ac:dyDescent="0.25">
      <c r="AP6026"/>
    </row>
    <row r="6027" spans="42:42" x14ac:dyDescent="0.25">
      <c r="AP6027"/>
    </row>
    <row r="6028" spans="42:42" x14ac:dyDescent="0.25">
      <c r="AP6028"/>
    </row>
    <row r="6029" spans="42:42" x14ac:dyDescent="0.25">
      <c r="AP6029"/>
    </row>
    <row r="6030" spans="42:42" x14ac:dyDescent="0.25">
      <c r="AP6030"/>
    </row>
    <row r="6031" spans="42:42" x14ac:dyDescent="0.25">
      <c r="AP6031"/>
    </row>
    <row r="6032" spans="42:42" x14ac:dyDescent="0.25">
      <c r="AP6032"/>
    </row>
    <row r="6033" spans="42:42" x14ac:dyDescent="0.25">
      <c r="AP6033"/>
    </row>
    <row r="6034" spans="42:42" x14ac:dyDescent="0.25">
      <c r="AP6034"/>
    </row>
    <row r="6035" spans="42:42" x14ac:dyDescent="0.25">
      <c r="AP6035"/>
    </row>
    <row r="6036" spans="42:42" x14ac:dyDescent="0.25">
      <c r="AP6036"/>
    </row>
    <row r="6037" spans="42:42" x14ac:dyDescent="0.25">
      <c r="AP6037"/>
    </row>
    <row r="6038" spans="42:42" x14ac:dyDescent="0.25">
      <c r="AP6038"/>
    </row>
    <row r="6039" spans="42:42" x14ac:dyDescent="0.25">
      <c r="AP6039"/>
    </row>
    <row r="6040" spans="42:42" x14ac:dyDescent="0.25">
      <c r="AP6040"/>
    </row>
    <row r="6041" spans="42:42" x14ac:dyDescent="0.25">
      <c r="AP6041"/>
    </row>
    <row r="6042" spans="42:42" x14ac:dyDescent="0.25">
      <c r="AP6042"/>
    </row>
    <row r="6043" spans="42:42" x14ac:dyDescent="0.25">
      <c r="AP6043"/>
    </row>
    <row r="6044" spans="42:42" x14ac:dyDescent="0.25">
      <c r="AP6044"/>
    </row>
    <row r="6045" spans="42:42" x14ac:dyDescent="0.25">
      <c r="AP6045"/>
    </row>
    <row r="6046" spans="42:42" x14ac:dyDescent="0.25">
      <c r="AP6046"/>
    </row>
    <row r="6047" spans="42:42" x14ac:dyDescent="0.25">
      <c r="AP6047"/>
    </row>
    <row r="6048" spans="42:42" x14ac:dyDescent="0.25">
      <c r="AP6048"/>
    </row>
    <row r="6049" spans="42:42" x14ac:dyDescent="0.25">
      <c r="AP6049"/>
    </row>
    <row r="6050" spans="42:42" x14ac:dyDescent="0.25">
      <c r="AP6050"/>
    </row>
    <row r="6051" spans="42:42" x14ac:dyDescent="0.25">
      <c r="AP6051"/>
    </row>
    <row r="6052" spans="42:42" x14ac:dyDescent="0.25">
      <c r="AP6052"/>
    </row>
    <row r="6053" spans="42:42" x14ac:dyDescent="0.25">
      <c r="AP6053"/>
    </row>
    <row r="6054" spans="42:42" x14ac:dyDescent="0.25">
      <c r="AP6054"/>
    </row>
    <row r="6055" spans="42:42" x14ac:dyDescent="0.25">
      <c r="AP6055"/>
    </row>
    <row r="6056" spans="42:42" x14ac:dyDescent="0.25">
      <c r="AP6056"/>
    </row>
    <row r="6057" spans="42:42" x14ac:dyDescent="0.25">
      <c r="AP6057"/>
    </row>
    <row r="6058" spans="42:42" x14ac:dyDescent="0.25">
      <c r="AP6058"/>
    </row>
    <row r="6059" spans="42:42" x14ac:dyDescent="0.25">
      <c r="AP6059"/>
    </row>
    <row r="6060" spans="42:42" x14ac:dyDescent="0.25">
      <c r="AP6060"/>
    </row>
    <row r="6061" spans="42:42" x14ac:dyDescent="0.25">
      <c r="AP6061"/>
    </row>
    <row r="6062" spans="42:42" x14ac:dyDescent="0.25">
      <c r="AP6062"/>
    </row>
    <row r="6063" spans="42:42" x14ac:dyDescent="0.25">
      <c r="AP6063"/>
    </row>
    <row r="6064" spans="42:42" x14ac:dyDescent="0.25">
      <c r="AP6064"/>
    </row>
    <row r="6065" spans="42:42" x14ac:dyDescent="0.25">
      <c r="AP6065"/>
    </row>
    <row r="6066" spans="42:42" x14ac:dyDescent="0.25">
      <c r="AP6066"/>
    </row>
    <row r="6067" spans="42:42" x14ac:dyDescent="0.25">
      <c r="AP6067"/>
    </row>
    <row r="6068" spans="42:42" x14ac:dyDescent="0.25">
      <c r="AP6068"/>
    </row>
    <row r="6069" spans="42:42" x14ac:dyDescent="0.25">
      <c r="AP6069"/>
    </row>
    <row r="6070" spans="42:42" x14ac:dyDescent="0.25">
      <c r="AP6070"/>
    </row>
    <row r="6071" spans="42:42" x14ac:dyDescent="0.25">
      <c r="AP6071"/>
    </row>
    <row r="6072" spans="42:42" x14ac:dyDescent="0.25">
      <c r="AP6072"/>
    </row>
    <row r="6073" spans="42:42" x14ac:dyDescent="0.25">
      <c r="AP6073"/>
    </row>
    <row r="6074" spans="42:42" x14ac:dyDescent="0.25">
      <c r="AP6074"/>
    </row>
    <row r="6075" spans="42:42" x14ac:dyDescent="0.25">
      <c r="AP6075"/>
    </row>
    <row r="6076" spans="42:42" x14ac:dyDescent="0.25">
      <c r="AP6076"/>
    </row>
    <row r="6077" spans="42:42" x14ac:dyDescent="0.25">
      <c r="AP6077"/>
    </row>
    <row r="6078" spans="42:42" x14ac:dyDescent="0.25">
      <c r="AP6078"/>
    </row>
    <row r="6079" spans="42:42" x14ac:dyDescent="0.25">
      <c r="AP6079"/>
    </row>
    <row r="6080" spans="42:42" x14ac:dyDescent="0.25">
      <c r="AP6080"/>
    </row>
    <row r="6081" spans="42:42" x14ac:dyDescent="0.25">
      <c r="AP6081"/>
    </row>
    <row r="6082" spans="42:42" x14ac:dyDescent="0.25">
      <c r="AP6082"/>
    </row>
    <row r="6083" spans="42:42" x14ac:dyDescent="0.25">
      <c r="AP6083"/>
    </row>
    <row r="6084" spans="42:42" x14ac:dyDescent="0.25">
      <c r="AP6084"/>
    </row>
    <row r="6085" spans="42:42" x14ac:dyDescent="0.25">
      <c r="AP6085"/>
    </row>
    <row r="6086" spans="42:42" x14ac:dyDescent="0.25">
      <c r="AP6086"/>
    </row>
    <row r="6087" spans="42:42" x14ac:dyDescent="0.25">
      <c r="AP6087"/>
    </row>
    <row r="6088" spans="42:42" x14ac:dyDescent="0.25">
      <c r="AP6088"/>
    </row>
    <row r="6089" spans="42:42" x14ac:dyDescent="0.25">
      <c r="AP6089"/>
    </row>
    <row r="6090" spans="42:42" x14ac:dyDescent="0.25">
      <c r="AP6090"/>
    </row>
    <row r="6091" spans="42:42" x14ac:dyDescent="0.25">
      <c r="AP6091"/>
    </row>
    <row r="6092" spans="42:42" x14ac:dyDescent="0.25">
      <c r="AP6092"/>
    </row>
    <row r="6093" spans="42:42" x14ac:dyDescent="0.25">
      <c r="AP6093"/>
    </row>
    <row r="6094" spans="42:42" x14ac:dyDescent="0.25">
      <c r="AP6094"/>
    </row>
    <row r="6095" spans="42:42" x14ac:dyDescent="0.25">
      <c r="AP6095"/>
    </row>
    <row r="6096" spans="42:42" x14ac:dyDescent="0.25">
      <c r="AP6096"/>
    </row>
    <row r="6097" spans="42:42" x14ac:dyDescent="0.25">
      <c r="AP6097"/>
    </row>
    <row r="6098" spans="42:42" x14ac:dyDescent="0.25">
      <c r="AP6098"/>
    </row>
    <row r="6099" spans="42:42" x14ac:dyDescent="0.25">
      <c r="AP6099"/>
    </row>
    <row r="6100" spans="42:42" x14ac:dyDescent="0.25">
      <c r="AP6100"/>
    </row>
    <row r="6101" spans="42:42" x14ac:dyDescent="0.25">
      <c r="AP6101"/>
    </row>
    <row r="6102" spans="42:42" x14ac:dyDescent="0.25">
      <c r="AP6102"/>
    </row>
    <row r="6103" spans="42:42" x14ac:dyDescent="0.25">
      <c r="AP6103"/>
    </row>
    <row r="6104" spans="42:42" x14ac:dyDescent="0.25">
      <c r="AP6104"/>
    </row>
    <row r="6105" spans="42:42" x14ac:dyDescent="0.25">
      <c r="AP6105"/>
    </row>
    <row r="6106" spans="42:42" x14ac:dyDescent="0.25">
      <c r="AP6106"/>
    </row>
    <row r="6107" spans="42:42" x14ac:dyDescent="0.25">
      <c r="AP6107"/>
    </row>
    <row r="6108" spans="42:42" x14ac:dyDescent="0.25">
      <c r="AP6108"/>
    </row>
    <row r="6109" spans="42:42" x14ac:dyDescent="0.25">
      <c r="AP6109"/>
    </row>
    <row r="6110" spans="42:42" x14ac:dyDescent="0.25">
      <c r="AP6110"/>
    </row>
    <row r="6111" spans="42:42" x14ac:dyDescent="0.25">
      <c r="AP6111"/>
    </row>
    <row r="6112" spans="42:42" x14ac:dyDescent="0.25">
      <c r="AP6112"/>
    </row>
    <row r="6113" spans="42:42" x14ac:dyDescent="0.25">
      <c r="AP6113"/>
    </row>
    <row r="6114" spans="42:42" x14ac:dyDescent="0.25">
      <c r="AP6114"/>
    </row>
    <row r="6115" spans="42:42" x14ac:dyDescent="0.25">
      <c r="AP6115"/>
    </row>
    <row r="6116" spans="42:42" x14ac:dyDescent="0.25">
      <c r="AP6116"/>
    </row>
    <row r="6117" spans="42:42" x14ac:dyDescent="0.25">
      <c r="AP6117"/>
    </row>
    <row r="6118" spans="42:42" x14ac:dyDescent="0.25">
      <c r="AP6118"/>
    </row>
    <row r="6119" spans="42:42" x14ac:dyDescent="0.25">
      <c r="AP6119"/>
    </row>
    <row r="6120" spans="42:42" x14ac:dyDescent="0.25">
      <c r="AP6120"/>
    </row>
    <row r="6121" spans="42:42" x14ac:dyDescent="0.25">
      <c r="AP6121"/>
    </row>
    <row r="6122" spans="42:42" x14ac:dyDescent="0.25">
      <c r="AP6122"/>
    </row>
    <row r="6123" spans="42:42" x14ac:dyDescent="0.25">
      <c r="AP6123"/>
    </row>
    <row r="6124" spans="42:42" x14ac:dyDescent="0.25">
      <c r="AP6124"/>
    </row>
    <row r="6125" spans="42:42" x14ac:dyDescent="0.25">
      <c r="AP6125"/>
    </row>
    <row r="6126" spans="42:42" x14ac:dyDescent="0.25">
      <c r="AP6126"/>
    </row>
    <row r="6127" spans="42:42" x14ac:dyDescent="0.25">
      <c r="AP6127"/>
    </row>
    <row r="6128" spans="42:42" x14ac:dyDescent="0.25">
      <c r="AP6128"/>
    </row>
    <row r="6129" spans="42:42" x14ac:dyDescent="0.25">
      <c r="AP6129"/>
    </row>
    <row r="6130" spans="42:42" x14ac:dyDescent="0.25">
      <c r="AP6130"/>
    </row>
    <row r="6131" spans="42:42" x14ac:dyDescent="0.25">
      <c r="AP6131"/>
    </row>
    <row r="6132" spans="42:42" x14ac:dyDescent="0.25">
      <c r="AP6132"/>
    </row>
    <row r="6133" spans="42:42" x14ac:dyDescent="0.25">
      <c r="AP6133"/>
    </row>
    <row r="6134" spans="42:42" x14ac:dyDescent="0.25">
      <c r="AP6134"/>
    </row>
    <row r="6135" spans="42:42" x14ac:dyDescent="0.25">
      <c r="AP6135"/>
    </row>
    <row r="6136" spans="42:42" x14ac:dyDescent="0.25">
      <c r="AP6136"/>
    </row>
    <row r="6137" spans="42:42" x14ac:dyDescent="0.25">
      <c r="AP6137"/>
    </row>
    <row r="6138" spans="42:42" x14ac:dyDescent="0.25">
      <c r="AP6138"/>
    </row>
    <row r="6139" spans="42:42" x14ac:dyDescent="0.25">
      <c r="AP6139"/>
    </row>
    <row r="6140" spans="42:42" x14ac:dyDescent="0.25">
      <c r="AP6140"/>
    </row>
    <row r="6141" spans="42:42" x14ac:dyDescent="0.25">
      <c r="AP6141"/>
    </row>
    <row r="6142" spans="42:42" x14ac:dyDescent="0.25">
      <c r="AP6142"/>
    </row>
    <row r="6143" spans="42:42" x14ac:dyDescent="0.25">
      <c r="AP6143"/>
    </row>
    <row r="6144" spans="42:42" x14ac:dyDescent="0.25">
      <c r="AP6144"/>
    </row>
    <row r="6145" spans="42:42" x14ac:dyDescent="0.25">
      <c r="AP6145"/>
    </row>
    <row r="6146" spans="42:42" x14ac:dyDescent="0.25">
      <c r="AP6146"/>
    </row>
    <row r="6147" spans="42:42" x14ac:dyDescent="0.25">
      <c r="AP6147"/>
    </row>
    <row r="6148" spans="42:42" x14ac:dyDescent="0.25">
      <c r="AP6148"/>
    </row>
    <row r="6149" spans="42:42" x14ac:dyDescent="0.25">
      <c r="AP6149"/>
    </row>
    <row r="6150" spans="42:42" x14ac:dyDescent="0.25">
      <c r="AP6150"/>
    </row>
    <row r="6151" spans="42:42" x14ac:dyDescent="0.25">
      <c r="AP6151"/>
    </row>
    <row r="6152" spans="42:42" x14ac:dyDescent="0.25">
      <c r="AP6152"/>
    </row>
    <row r="6153" spans="42:42" x14ac:dyDescent="0.25">
      <c r="AP6153"/>
    </row>
    <row r="6154" spans="42:42" x14ac:dyDescent="0.25">
      <c r="AP6154"/>
    </row>
    <row r="6155" spans="42:42" x14ac:dyDescent="0.25">
      <c r="AP6155"/>
    </row>
    <row r="6156" spans="42:42" x14ac:dyDescent="0.25">
      <c r="AP6156"/>
    </row>
    <row r="6157" spans="42:42" x14ac:dyDescent="0.25">
      <c r="AP6157"/>
    </row>
    <row r="6158" spans="42:42" x14ac:dyDescent="0.25">
      <c r="AP6158"/>
    </row>
    <row r="6159" spans="42:42" x14ac:dyDescent="0.25">
      <c r="AP6159"/>
    </row>
    <row r="6160" spans="42:42" x14ac:dyDescent="0.25">
      <c r="AP6160"/>
    </row>
    <row r="6161" spans="42:42" x14ac:dyDescent="0.25">
      <c r="AP6161"/>
    </row>
    <row r="6162" spans="42:42" x14ac:dyDescent="0.25">
      <c r="AP6162"/>
    </row>
    <row r="6163" spans="42:42" x14ac:dyDescent="0.25">
      <c r="AP6163"/>
    </row>
    <row r="6164" spans="42:42" x14ac:dyDescent="0.25">
      <c r="AP6164"/>
    </row>
    <row r="6165" spans="42:42" x14ac:dyDescent="0.25">
      <c r="AP6165"/>
    </row>
    <row r="6166" spans="42:42" x14ac:dyDescent="0.25">
      <c r="AP6166"/>
    </row>
    <row r="6167" spans="42:42" x14ac:dyDescent="0.25">
      <c r="AP6167"/>
    </row>
    <row r="6168" spans="42:42" x14ac:dyDescent="0.25">
      <c r="AP6168"/>
    </row>
    <row r="6169" spans="42:42" x14ac:dyDescent="0.25">
      <c r="AP6169"/>
    </row>
    <row r="6170" spans="42:42" x14ac:dyDescent="0.25">
      <c r="AP6170"/>
    </row>
    <row r="6171" spans="42:42" x14ac:dyDescent="0.25">
      <c r="AP6171"/>
    </row>
    <row r="6172" spans="42:42" x14ac:dyDescent="0.25">
      <c r="AP6172"/>
    </row>
    <row r="6173" spans="42:42" x14ac:dyDescent="0.25">
      <c r="AP6173"/>
    </row>
    <row r="6174" spans="42:42" x14ac:dyDescent="0.25">
      <c r="AP6174"/>
    </row>
    <row r="6175" spans="42:42" x14ac:dyDescent="0.25">
      <c r="AP6175"/>
    </row>
    <row r="6176" spans="42:42" x14ac:dyDescent="0.25">
      <c r="AP6176"/>
    </row>
    <row r="6177" spans="42:42" x14ac:dyDescent="0.25">
      <c r="AP6177"/>
    </row>
    <row r="6178" spans="42:42" x14ac:dyDescent="0.25">
      <c r="AP6178"/>
    </row>
    <row r="6179" spans="42:42" x14ac:dyDescent="0.25">
      <c r="AP6179"/>
    </row>
    <row r="6180" spans="42:42" x14ac:dyDescent="0.25">
      <c r="AP6180"/>
    </row>
    <row r="6181" spans="42:42" x14ac:dyDescent="0.25">
      <c r="AP6181"/>
    </row>
    <row r="6182" spans="42:42" x14ac:dyDescent="0.25">
      <c r="AP6182"/>
    </row>
    <row r="6183" spans="42:42" x14ac:dyDescent="0.25">
      <c r="AP6183"/>
    </row>
    <row r="6184" spans="42:42" x14ac:dyDescent="0.25">
      <c r="AP6184"/>
    </row>
    <row r="6185" spans="42:42" x14ac:dyDescent="0.25">
      <c r="AP6185"/>
    </row>
    <row r="6186" spans="42:42" x14ac:dyDescent="0.25">
      <c r="AP6186"/>
    </row>
    <row r="6187" spans="42:42" x14ac:dyDescent="0.25">
      <c r="AP6187"/>
    </row>
    <row r="6188" spans="42:42" x14ac:dyDescent="0.25">
      <c r="AP6188"/>
    </row>
    <row r="6189" spans="42:42" x14ac:dyDescent="0.25">
      <c r="AP6189"/>
    </row>
    <row r="6190" spans="42:42" x14ac:dyDescent="0.25">
      <c r="AP6190"/>
    </row>
    <row r="6191" spans="42:42" x14ac:dyDescent="0.25">
      <c r="AP6191"/>
    </row>
    <row r="6192" spans="42:42" x14ac:dyDescent="0.25">
      <c r="AP6192"/>
    </row>
    <row r="6193" spans="42:42" x14ac:dyDescent="0.25">
      <c r="AP6193"/>
    </row>
    <row r="6194" spans="42:42" x14ac:dyDescent="0.25">
      <c r="AP6194"/>
    </row>
    <row r="6195" spans="42:42" x14ac:dyDescent="0.25">
      <c r="AP6195"/>
    </row>
    <row r="6196" spans="42:42" x14ac:dyDescent="0.25">
      <c r="AP6196"/>
    </row>
    <row r="6197" spans="42:42" x14ac:dyDescent="0.25">
      <c r="AP6197"/>
    </row>
    <row r="6198" spans="42:42" x14ac:dyDescent="0.25">
      <c r="AP6198"/>
    </row>
    <row r="6199" spans="42:42" x14ac:dyDescent="0.25">
      <c r="AP6199"/>
    </row>
    <row r="6200" spans="42:42" x14ac:dyDescent="0.25">
      <c r="AP6200"/>
    </row>
    <row r="6201" spans="42:42" x14ac:dyDescent="0.25">
      <c r="AP6201"/>
    </row>
    <row r="6202" spans="42:42" x14ac:dyDescent="0.25">
      <c r="AP6202"/>
    </row>
    <row r="6203" spans="42:42" x14ac:dyDescent="0.25">
      <c r="AP6203"/>
    </row>
    <row r="6204" spans="42:42" x14ac:dyDescent="0.25">
      <c r="AP6204"/>
    </row>
    <row r="6205" spans="42:42" x14ac:dyDescent="0.25">
      <c r="AP6205"/>
    </row>
    <row r="6206" spans="42:42" x14ac:dyDescent="0.25">
      <c r="AP6206"/>
    </row>
    <row r="6207" spans="42:42" x14ac:dyDescent="0.25">
      <c r="AP6207"/>
    </row>
    <row r="6208" spans="42:42" x14ac:dyDescent="0.25">
      <c r="AP6208"/>
    </row>
    <row r="6209" spans="42:42" x14ac:dyDescent="0.25">
      <c r="AP6209"/>
    </row>
    <row r="6210" spans="42:42" x14ac:dyDescent="0.25">
      <c r="AP6210"/>
    </row>
    <row r="6211" spans="42:42" x14ac:dyDescent="0.25">
      <c r="AP6211"/>
    </row>
    <row r="6212" spans="42:42" x14ac:dyDescent="0.25">
      <c r="AP6212"/>
    </row>
    <row r="6213" spans="42:42" x14ac:dyDescent="0.25">
      <c r="AP6213"/>
    </row>
    <row r="6214" spans="42:42" x14ac:dyDescent="0.25">
      <c r="AP6214"/>
    </row>
    <row r="6215" spans="42:42" x14ac:dyDescent="0.25">
      <c r="AP6215"/>
    </row>
    <row r="6216" spans="42:42" x14ac:dyDescent="0.25">
      <c r="AP6216"/>
    </row>
    <row r="6217" spans="42:42" x14ac:dyDescent="0.25">
      <c r="AP6217"/>
    </row>
    <row r="6218" spans="42:42" x14ac:dyDescent="0.25">
      <c r="AP6218"/>
    </row>
    <row r="6219" spans="42:42" x14ac:dyDescent="0.25">
      <c r="AP6219"/>
    </row>
    <row r="6220" spans="42:42" x14ac:dyDescent="0.25">
      <c r="AP6220"/>
    </row>
    <row r="6221" spans="42:42" x14ac:dyDescent="0.25">
      <c r="AP6221"/>
    </row>
    <row r="6222" spans="42:42" x14ac:dyDescent="0.25">
      <c r="AP6222"/>
    </row>
    <row r="6223" spans="42:42" x14ac:dyDescent="0.25">
      <c r="AP6223"/>
    </row>
    <row r="6224" spans="42:42" x14ac:dyDescent="0.25">
      <c r="AP6224"/>
    </row>
    <row r="6225" spans="42:42" x14ac:dyDescent="0.25">
      <c r="AP6225"/>
    </row>
    <row r="6226" spans="42:42" x14ac:dyDescent="0.25">
      <c r="AP6226"/>
    </row>
    <row r="6227" spans="42:42" x14ac:dyDescent="0.25">
      <c r="AP6227"/>
    </row>
    <row r="6228" spans="42:42" x14ac:dyDescent="0.25">
      <c r="AP6228"/>
    </row>
    <row r="6229" spans="42:42" x14ac:dyDescent="0.25">
      <c r="AP6229"/>
    </row>
    <row r="6230" spans="42:42" x14ac:dyDescent="0.25">
      <c r="AP6230"/>
    </row>
    <row r="6231" spans="42:42" x14ac:dyDescent="0.25">
      <c r="AP6231"/>
    </row>
    <row r="6232" spans="42:42" x14ac:dyDescent="0.25">
      <c r="AP6232"/>
    </row>
    <row r="6233" spans="42:42" x14ac:dyDescent="0.25">
      <c r="AP6233"/>
    </row>
    <row r="6234" spans="42:42" x14ac:dyDescent="0.25">
      <c r="AP6234"/>
    </row>
    <row r="6235" spans="42:42" x14ac:dyDescent="0.25">
      <c r="AP6235"/>
    </row>
    <row r="6236" spans="42:42" x14ac:dyDescent="0.25">
      <c r="AP6236"/>
    </row>
    <row r="6237" spans="42:42" x14ac:dyDescent="0.25">
      <c r="AP6237"/>
    </row>
    <row r="6238" spans="42:42" x14ac:dyDescent="0.25">
      <c r="AP6238"/>
    </row>
    <row r="6239" spans="42:42" x14ac:dyDescent="0.25">
      <c r="AP6239"/>
    </row>
    <row r="6240" spans="42:42" x14ac:dyDescent="0.25">
      <c r="AP6240"/>
    </row>
    <row r="6241" spans="42:42" x14ac:dyDescent="0.25">
      <c r="AP6241"/>
    </row>
    <row r="6242" spans="42:42" x14ac:dyDescent="0.25">
      <c r="AP6242"/>
    </row>
    <row r="6243" spans="42:42" x14ac:dyDescent="0.25">
      <c r="AP6243"/>
    </row>
    <row r="6244" spans="42:42" x14ac:dyDescent="0.25">
      <c r="AP6244"/>
    </row>
    <row r="6245" spans="42:42" x14ac:dyDescent="0.25">
      <c r="AP6245"/>
    </row>
    <row r="6246" spans="42:42" x14ac:dyDescent="0.25">
      <c r="AP6246"/>
    </row>
    <row r="6247" spans="42:42" x14ac:dyDescent="0.25">
      <c r="AP6247"/>
    </row>
    <row r="6248" spans="42:42" x14ac:dyDescent="0.25">
      <c r="AP6248"/>
    </row>
    <row r="6249" spans="42:42" x14ac:dyDescent="0.25">
      <c r="AP6249"/>
    </row>
    <row r="6250" spans="42:42" x14ac:dyDescent="0.25">
      <c r="AP6250"/>
    </row>
    <row r="6251" spans="42:42" x14ac:dyDescent="0.25">
      <c r="AP6251"/>
    </row>
    <row r="6252" spans="42:42" x14ac:dyDescent="0.25">
      <c r="AP6252"/>
    </row>
    <row r="6253" spans="42:42" x14ac:dyDescent="0.25">
      <c r="AP6253"/>
    </row>
    <row r="6254" spans="42:42" x14ac:dyDescent="0.25">
      <c r="AP6254"/>
    </row>
    <row r="6255" spans="42:42" x14ac:dyDescent="0.25">
      <c r="AP6255"/>
    </row>
    <row r="6256" spans="42:42" x14ac:dyDescent="0.25">
      <c r="AP6256"/>
    </row>
    <row r="6257" spans="42:42" x14ac:dyDescent="0.25">
      <c r="AP6257"/>
    </row>
    <row r="6258" spans="42:42" x14ac:dyDescent="0.25">
      <c r="AP6258"/>
    </row>
    <row r="6259" spans="42:42" x14ac:dyDescent="0.25">
      <c r="AP6259"/>
    </row>
    <row r="6260" spans="42:42" x14ac:dyDescent="0.25">
      <c r="AP6260"/>
    </row>
    <row r="6261" spans="42:42" x14ac:dyDescent="0.25">
      <c r="AP6261"/>
    </row>
    <row r="6262" spans="42:42" x14ac:dyDescent="0.25">
      <c r="AP6262"/>
    </row>
    <row r="6263" spans="42:42" x14ac:dyDescent="0.25">
      <c r="AP6263"/>
    </row>
    <row r="6264" spans="42:42" x14ac:dyDescent="0.25">
      <c r="AP6264"/>
    </row>
    <row r="6265" spans="42:42" x14ac:dyDescent="0.25">
      <c r="AP6265"/>
    </row>
    <row r="6266" spans="42:42" x14ac:dyDescent="0.25">
      <c r="AP6266"/>
    </row>
    <row r="6267" spans="42:42" x14ac:dyDescent="0.25">
      <c r="AP6267"/>
    </row>
    <row r="6268" spans="42:42" x14ac:dyDescent="0.25">
      <c r="AP6268"/>
    </row>
    <row r="6269" spans="42:42" x14ac:dyDescent="0.25">
      <c r="AP6269"/>
    </row>
    <row r="6270" spans="42:42" x14ac:dyDescent="0.25">
      <c r="AP6270"/>
    </row>
    <row r="6271" spans="42:42" x14ac:dyDescent="0.25">
      <c r="AP6271"/>
    </row>
    <row r="6272" spans="42:42" x14ac:dyDescent="0.25">
      <c r="AP6272"/>
    </row>
    <row r="6273" spans="42:42" x14ac:dyDescent="0.25">
      <c r="AP6273"/>
    </row>
    <row r="6274" spans="42:42" x14ac:dyDescent="0.25">
      <c r="AP6274"/>
    </row>
    <row r="6275" spans="42:42" x14ac:dyDescent="0.25">
      <c r="AP6275"/>
    </row>
    <row r="6276" spans="42:42" x14ac:dyDescent="0.25">
      <c r="AP6276"/>
    </row>
    <row r="6277" spans="42:42" x14ac:dyDescent="0.25">
      <c r="AP6277"/>
    </row>
    <row r="6278" spans="42:42" x14ac:dyDescent="0.25">
      <c r="AP6278"/>
    </row>
    <row r="6279" spans="42:42" x14ac:dyDescent="0.25">
      <c r="AP6279"/>
    </row>
    <row r="6280" spans="42:42" x14ac:dyDescent="0.25">
      <c r="AP6280"/>
    </row>
    <row r="6281" spans="42:42" x14ac:dyDescent="0.25">
      <c r="AP6281"/>
    </row>
    <row r="6282" spans="42:42" x14ac:dyDescent="0.25">
      <c r="AP6282"/>
    </row>
    <row r="6283" spans="42:42" x14ac:dyDescent="0.25">
      <c r="AP6283"/>
    </row>
    <row r="6284" spans="42:42" x14ac:dyDescent="0.25">
      <c r="AP6284"/>
    </row>
    <row r="6285" spans="42:42" x14ac:dyDescent="0.25">
      <c r="AP6285"/>
    </row>
    <row r="6286" spans="42:42" x14ac:dyDescent="0.25">
      <c r="AP6286"/>
    </row>
    <row r="6287" spans="42:42" x14ac:dyDescent="0.25">
      <c r="AP6287"/>
    </row>
    <row r="6288" spans="42:42" x14ac:dyDescent="0.25">
      <c r="AP6288"/>
    </row>
    <row r="6289" spans="42:42" x14ac:dyDescent="0.25">
      <c r="AP6289"/>
    </row>
    <row r="6290" spans="42:42" x14ac:dyDescent="0.25">
      <c r="AP6290"/>
    </row>
    <row r="6291" spans="42:42" x14ac:dyDescent="0.25">
      <c r="AP6291"/>
    </row>
    <row r="6292" spans="42:42" x14ac:dyDescent="0.25">
      <c r="AP6292"/>
    </row>
    <row r="6293" spans="42:42" x14ac:dyDescent="0.25">
      <c r="AP6293"/>
    </row>
    <row r="6294" spans="42:42" x14ac:dyDescent="0.25">
      <c r="AP6294"/>
    </row>
    <row r="6295" spans="42:42" x14ac:dyDescent="0.25">
      <c r="AP6295"/>
    </row>
    <row r="6296" spans="42:42" x14ac:dyDescent="0.25">
      <c r="AP6296"/>
    </row>
    <row r="6297" spans="42:42" x14ac:dyDescent="0.25">
      <c r="AP6297"/>
    </row>
    <row r="6298" spans="42:42" x14ac:dyDescent="0.25">
      <c r="AP6298"/>
    </row>
    <row r="6299" spans="42:42" x14ac:dyDescent="0.25">
      <c r="AP6299"/>
    </row>
    <row r="6300" spans="42:42" x14ac:dyDescent="0.25">
      <c r="AP6300"/>
    </row>
    <row r="6301" spans="42:42" x14ac:dyDescent="0.25">
      <c r="AP6301"/>
    </row>
    <row r="6302" spans="42:42" x14ac:dyDescent="0.25">
      <c r="AP6302"/>
    </row>
    <row r="6303" spans="42:42" x14ac:dyDescent="0.25">
      <c r="AP6303"/>
    </row>
    <row r="6304" spans="42:42" x14ac:dyDescent="0.25">
      <c r="AP6304"/>
    </row>
    <row r="6305" spans="42:42" x14ac:dyDescent="0.25">
      <c r="AP6305"/>
    </row>
    <row r="6306" spans="42:42" x14ac:dyDescent="0.25">
      <c r="AP6306"/>
    </row>
    <row r="6307" spans="42:42" x14ac:dyDescent="0.25">
      <c r="AP6307"/>
    </row>
    <row r="6308" spans="42:42" x14ac:dyDescent="0.25">
      <c r="AP6308"/>
    </row>
    <row r="6309" spans="42:42" x14ac:dyDescent="0.25">
      <c r="AP6309"/>
    </row>
    <row r="6310" spans="42:42" x14ac:dyDescent="0.25">
      <c r="AP6310"/>
    </row>
    <row r="6311" spans="42:42" x14ac:dyDescent="0.25">
      <c r="AP6311"/>
    </row>
    <row r="6312" spans="42:42" x14ac:dyDescent="0.25">
      <c r="AP6312"/>
    </row>
    <row r="6313" spans="42:42" x14ac:dyDescent="0.25">
      <c r="AP6313"/>
    </row>
    <row r="6314" spans="42:42" x14ac:dyDescent="0.25">
      <c r="AP6314"/>
    </row>
    <row r="6315" spans="42:42" x14ac:dyDescent="0.25">
      <c r="AP6315"/>
    </row>
    <row r="6316" spans="42:42" x14ac:dyDescent="0.25">
      <c r="AP6316"/>
    </row>
    <row r="6317" spans="42:42" x14ac:dyDescent="0.25">
      <c r="AP6317"/>
    </row>
    <row r="6318" spans="42:42" x14ac:dyDescent="0.25">
      <c r="AP6318"/>
    </row>
    <row r="6319" spans="42:42" x14ac:dyDescent="0.25">
      <c r="AP6319"/>
    </row>
    <row r="6320" spans="42:42" x14ac:dyDescent="0.25">
      <c r="AP6320"/>
    </row>
    <row r="6321" spans="42:42" x14ac:dyDescent="0.25">
      <c r="AP6321"/>
    </row>
    <row r="6322" spans="42:42" x14ac:dyDescent="0.25">
      <c r="AP6322"/>
    </row>
    <row r="6323" spans="42:42" x14ac:dyDescent="0.25">
      <c r="AP6323"/>
    </row>
    <row r="6324" spans="42:42" x14ac:dyDescent="0.25">
      <c r="AP6324"/>
    </row>
    <row r="6325" spans="42:42" x14ac:dyDescent="0.25">
      <c r="AP6325"/>
    </row>
    <row r="6326" spans="42:42" x14ac:dyDescent="0.25">
      <c r="AP6326"/>
    </row>
    <row r="6327" spans="42:42" x14ac:dyDescent="0.25">
      <c r="AP6327"/>
    </row>
    <row r="6328" spans="42:42" x14ac:dyDescent="0.25">
      <c r="AP6328"/>
    </row>
    <row r="6329" spans="42:42" x14ac:dyDescent="0.25">
      <c r="AP6329"/>
    </row>
    <row r="6330" spans="42:42" x14ac:dyDescent="0.25">
      <c r="AP6330"/>
    </row>
    <row r="6331" spans="42:42" x14ac:dyDescent="0.25">
      <c r="AP6331"/>
    </row>
    <row r="6332" spans="42:42" x14ac:dyDescent="0.25">
      <c r="AP6332"/>
    </row>
    <row r="6333" spans="42:42" x14ac:dyDescent="0.25">
      <c r="AP6333"/>
    </row>
    <row r="6334" spans="42:42" x14ac:dyDescent="0.25">
      <c r="AP6334"/>
    </row>
    <row r="6335" spans="42:42" x14ac:dyDescent="0.25">
      <c r="AP6335"/>
    </row>
    <row r="6336" spans="42:42" x14ac:dyDescent="0.25">
      <c r="AP6336"/>
    </row>
    <row r="6337" spans="42:42" x14ac:dyDescent="0.25">
      <c r="AP6337"/>
    </row>
    <row r="6338" spans="42:42" x14ac:dyDescent="0.25">
      <c r="AP6338"/>
    </row>
    <row r="6339" spans="42:42" x14ac:dyDescent="0.25">
      <c r="AP6339"/>
    </row>
    <row r="6340" spans="42:42" x14ac:dyDescent="0.25">
      <c r="AP6340"/>
    </row>
    <row r="6341" spans="42:42" x14ac:dyDescent="0.25">
      <c r="AP6341"/>
    </row>
    <row r="6342" spans="42:42" x14ac:dyDescent="0.25">
      <c r="AP6342"/>
    </row>
    <row r="6343" spans="42:42" x14ac:dyDescent="0.25">
      <c r="AP6343"/>
    </row>
    <row r="6344" spans="42:42" x14ac:dyDescent="0.25">
      <c r="AP6344"/>
    </row>
    <row r="6345" spans="42:42" x14ac:dyDescent="0.25">
      <c r="AP6345"/>
    </row>
    <row r="6346" spans="42:42" x14ac:dyDescent="0.25">
      <c r="AP6346"/>
    </row>
    <row r="6347" spans="42:42" x14ac:dyDescent="0.25">
      <c r="AP6347"/>
    </row>
    <row r="6348" spans="42:42" x14ac:dyDescent="0.25">
      <c r="AP6348"/>
    </row>
    <row r="6349" spans="42:42" x14ac:dyDescent="0.25">
      <c r="AP6349"/>
    </row>
    <row r="6350" spans="42:42" x14ac:dyDescent="0.25">
      <c r="AP6350"/>
    </row>
    <row r="6351" spans="42:42" x14ac:dyDescent="0.25">
      <c r="AP6351"/>
    </row>
    <row r="6352" spans="42:42" x14ac:dyDescent="0.25">
      <c r="AP6352"/>
    </row>
    <row r="6353" spans="42:42" x14ac:dyDescent="0.25">
      <c r="AP6353"/>
    </row>
    <row r="6354" spans="42:42" x14ac:dyDescent="0.25">
      <c r="AP6354"/>
    </row>
    <row r="6355" spans="42:42" x14ac:dyDescent="0.25">
      <c r="AP6355"/>
    </row>
    <row r="6356" spans="42:42" x14ac:dyDescent="0.25">
      <c r="AP6356"/>
    </row>
    <row r="6357" spans="42:42" x14ac:dyDescent="0.25">
      <c r="AP6357"/>
    </row>
    <row r="6358" spans="42:42" x14ac:dyDescent="0.25">
      <c r="AP6358"/>
    </row>
    <row r="6359" spans="42:42" x14ac:dyDescent="0.25">
      <c r="AP6359"/>
    </row>
    <row r="6360" spans="42:42" x14ac:dyDescent="0.25">
      <c r="AP6360"/>
    </row>
    <row r="6361" spans="42:42" x14ac:dyDescent="0.25">
      <c r="AP6361"/>
    </row>
    <row r="6362" spans="42:42" x14ac:dyDescent="0.25">
      <c r="AP6362"/>
    </row>
    <row r="6363" spans="42:42" x14ac:dyDescent="0.25">
      <c r="AP6363"/>
    </row>
    <row r="6364" spans="42:42" x14ac:dyDescent="0.25">
      <c r="AP6364"/>
    </row>
    <row r="6365" spans="42:42" x14ac:dyDescent="0.25">
      <c r="AP6365"/>
    </row>
    <row r="6366" spans="42:42" x14ac:dyDescent="0.25">
      <c r="AP6366"/>
    </row>
    <row r="6367" spans="42:42" x14ac:dyDescent="0.25">
      <c r="AP6367"/>
    </row>
    <row r="6368" spans="42:42" x14ac:dyDescent="0.25">
      <c r="AP6368"/>
    </row>
    <row r="6369" spans="42:42" x14ac:dyDescent="0.25">
      <c r="AP6369"/>
    </row>
    <row r="6370" spans="42:42" x14ac:dyDescent="0.25">
      <c r="AP6370"/>
    </row>
    <row r="6371" spans="42:42" x14ac:dyDescent="0.25">
      <c r="AP6371"/>
    </row>
    <row r="6372" spans="42:42" x14ac:dyDescent="0.25">
      <c r="AP6372"/>
    </row>
    <row r="6373" spans="42:42" x14ac:dyDescent="0.25">
      <c r="AP6373"/>
    </row>
    <row r="6374" spans="42:42" x14ac:dyDescent="0.25">
      <c r="AP6374"/>
    </row>
    <row r="6375" spans="42:42" x14ac:dyDescent="0.25">
      <c r="AP6375"/>
    </row>
    <row r="6376" spans="42:42" x14ac:dyDescent="0.25">
      <c r="AP6376"/>
    </row>
    <row r="6377" spans="42:42" x14ac:dyDescent="0.25">
      <c r="AP6377"/>
    </row>
    <row r="6378" spans="42:42" x14ac:dyDescent="0.25">
      <c r="AP6378"/>
    </row>
    <row r="6379" spans="42:42" x14ac:dyDescent="0.25">
      <c r="AP6379"/>
    </row>
    <row r="6380" spans="42:42" x14ac:dyDescent="0.25">
      <c r="AP6380"/>
    </row>
    <row r="6381" spans="42:42" x14ac:dyDescent="0.25">
      <c r="AP6381"/>
    </row>
    <row r="6382" spans="42:42" x14ac:dyDescent="0.25">
      <c r="AP6382"/>
    </row>
    <row r="6383" spans="42:42" x14ac:dyDescent="0.25">
      <c r="AP6383"/>
    </row>
    <row r="6384" spans="42:42" x14ac:dyDescent="0.25">
      <c r="AP6384"/>
    </row>
    <row r="6385" spans="42:42" x14ac:dyDescent="0.25">
      <c r="AP6385"/>
    </row>
    <row r="6386" spans="42:42" x14ac:dyDescent="0.25">
      <c r="AP6386"/>
    </row>
    <row r="6387" spans="42:42" x14ac:dyDescent="0.25">
      <c r="AP6387"/>
    </row>
    <row r="6388" spans="42:42" x14ac:dyDescent="0.25">
      <c r="AP6388"/>
    </row>
    <row r="6389" spans="42:42" x14ac:dyDescent="0.25">
      <c r="AP6389"/>
    </row>
    <row r="6390" spans="42:42" x14ac:dyDescent="0.25">
      <c r="AP6390"/>
    </row>
    <row r="6391" spans="42:42" x14ac:dyDescent="0.25">
      <c r="AP6391"/>
    </row>
    <row r="6392" spans="42:42" x14ac:dyDescent="0.25">
      <c r="AP6392"/>
    </row>
    <row r="6393" spans="42:42" x14ac:dyDescent="0.25">
      <c r="AP6393"/>
    </row>
    <row r="6394" spans="42:42" x14ac:dyDescent="0.25">
      <c r="AP6394"/>
    </row>
    <row r="6395" spans="42:42" x14ac:dyDescent="0.25">
      <c r="AP6395"/>
    </row>
    <row r="6396" spans="42:42" x14ac:dyDescent="0.25">
      <c r="AP6396"/>
    </row>
    <row r="6397" spans="42:42" x14ac:dyDescent="0.25">
      <c r="AP6397"/>
    </row>
    <row r="6398" spans="42:42" x14ac:dyDescent="0.25">
      <c r="AP6398"/>
    </row>
    <row r="6399" spans="42:42" x14ac:dyDescent="0.25">
      <c r="AP6399"/>
    </row>
    <row r="6400" spans="42:42" x14ac:dyDescent="0.25">
      <c r="AP6400"/>
    </row>
    <row r="6401" spans="42:42" x14ac:dyDescent="0.25">
      <c r="AP6401"/>
    </row>
    <row r="6402" spans="42:42" x14ac:dyDescent="0.25">
      <c r="AP6402"/>
    </row>
    <row r="6403" spans="42:42" x14ac:dyDescent="0.25">
      <c r="AP6403"/>
    </row>
    <row r="6404" spans="42:42" x14ac:dyDescent="0.25">
      <c r="AP6404"/>
    </row>
    <row r="6405" spans="42:42" x14ac:dyDescent="0.25">
      <c r="AP6405"/>
    </row>
    <row r="6406" spans="42:42" x14ac:dyDescent="0.25">
      <c r="AP6406"/>
    </row>
    <row r="6407" spans="42:42" x14ac:dyDescent="0.25">
      <c r="AP6407"/>
    </row>
    <row r="6408" spans="42:42" x14ac:dyDescent="0.25">
      <c r="AP6408"/>
    </row>
    <row r="6409" spans="42:42" x14ac:dyDescent="0.25">
      <c r="AP6409"/>
    </row>
    <row r="6410" spans="42:42" x14ac:dyDescent="0.25">
      <c r="AP6410"/>
    </row>
    <row r="6411" spans="42:42" x14ac:dyDescent="0.25">
      <c r="AP6411"/>
    </row>
    <row r="6412" spans="42:42" x14ac:dyDescent="0.25">
      <c r="AP6412"/>
    </row>
    <row r="6413" spans="42:42" x14ac:dyDescent="0.25">
      <c r="AP6413"/>
    </row>
    <row r="6414" spans="42:42" x14ac:dyDescent="0.25">
      <c r="AP6414"/>
    </row>
    <row r="6415" spans="42:42" x14ac:dyDescent="0.25">
      <c r="AP6415"/>
    </row>
    <row r="6416" spans="42:42" x14ac:dyDescent="0.25">
      <c r="AP6416"/>
    </row>
    <row r="6417" spans="42:42" x14ac:dyDescent="0.25">
      <c r="AP6417"/>
    </row>
    <row r="6418" spans="42:42" x14ac:dyDescent="0.25">
      <c r="AP6418"/>
    </row>
    <row r="6419" spans="42:42" x14ac:dyDescent="0.25">
      <c r="AP6419"/>
    </row>
    <row r="6420" spans="42:42" x14ac:dyDescent="0.25">
      <c r="AP6420"/>
    </row>
    <row r="6421" spans="42:42" x14ac:dyDescent="0.25">
      <c r="AP6421"/>
    </row>
    <row r="6422" spans="42:42" x14ac:dyDescent="0.25">
      <c r="AP6422"/>
    </row>
    <row r="6423" spans="42:42" x14ac:dyDescent="0.25">
      <c r="AP6423"/>
    </row>
    <row r="6424" spans="42:42" x14ac:dyDescent="0.25">
      <c r="AP6424"/>
    </row>
    <row r="6425" spans="42:42" x14ac:dyDescent="0.25">
      <c r="AP6425"/>
    </row>
    <row r="6426" spans="42:42" x14ac:dyDescent="0.25">
      <c r="AP6426"/>
    </row>
    <row r="6427" spans="42:42" x14ac:dyDescent="0.25">
      <c r="AP6427"/>
    </row>
    <row r="6428" spans="42:42" x14ac:dyDescent="0.25">
      <c r="AP6428"/>
    </row>
    <row r="6429" spans="42:42" x14ac:dyDescent="0.25">
      <c r="AP6429"/>
    </row>
    <row r="6430" spans="42:42" x14ac:dyDescent="0.25">
      <c r="AP6430"/>
    </row>
    <row r="6431" spans="42:42" x14ac:dyDescent="0.25">
      <c r="AP6431"/>
    </row>
    <row r="6432" spans="42:42" x14ac:dyDescent="0.25">
      <c r="AP6432"/>
    </row>
    <row r="6433" spans="42:42" x14ac:dyDescent="0.25">
      <c r="AP6433"/>
    </row>
    <row r="6434" spans="42:42" x14ac:dyDescent="0.25">
      <c r="AP6434"/>
    </row>
    <row r="6435" spans="42:42" x14ac:dyDescent="0.25">
      <c r="AP6435"/>
    </row>
    <row r="6436" spans="42:42" x14ac:dyDescent="0.25">
      <c r="AP6436"/>
    </row>
    <row r="6437" spans="42:42" x14ac:dyDescent="0.25">
      <c r="AP6437"/>
    </row>
    <row r="6438" spans="42:42" x14ac:dyDescent="0.25">
      <c r="AP6438"/>
    </row>
    <row r="6439" spans="42:42" x14ac:dyDescent="0.25">
      <c r="AP6439"/>
    </row>
    <row r="6440" spans="42:42" x14ac:dyDescent="0.25">
      <c r="AP6440"/>
    </row>
    <row r="6441" spans="42:42" x14ac:dyDescent="0.25">
      <c r="AP6441"/>
    </row>
    <row r="6442" spans="42:42" x14ac:dyDescent="0.25">
      <c r="AP6442"/>
    </row>
    <row r="6443" spans="42:42" x14ac:dyDescent="0.25">
      <c r="AP6443"/>
    </row>
    <row r="6444" spans="42:42" x14ac:dyDescent="0.25">
      <c r="AP6444"/>
    </row>
    <row r="6445" spans="42:42" x14ac:dyDescent="0.25">
      <c r="AP6445"/>
    </row>
    <row r="6446" spans="42:42" x14ac:dyDescent="0.25">
      <c r="AP6446"/>
    </row>
    <row r="6447" spans="42:42" x14ac:dyDescent="0.25">
      <c r="AP6447"/>
    </row>
    <row r="6448" spans="42:42" x14ac:dyDescent="0.25">
      <c r="AP6448"/>
    </row>
    <row r="6449" spans="42:42" x14ac:dyDescent="0.25">
      <c r="AP6449"/>
    </row>
    <row r="6450" spans="42:42" x14ac:dyDescent="0.25">
      <c r="AP6450"/>
    </row>
    <row r="6451" spans="42:42" x14ac:dyDescent="0.25">
      <c r="AP6451"/>
    </row>
    <row r="6452" spans="42:42" x14ac:dyDescent="0.25">
      <c r="AP6452"/>
    </row>
    <row r="6453" spans="42:42" x14ac:dyDescent="0.25">
      <c r="AP6453"/>
    </row>
    <row r="6454" spans="42:42" x14ac:dyDescent="0.25">
      <c r="AP6454"/>
    </row>
    <row r="6455" spans="42:42" x14ac:dyDescent="0.25">
      <c r="AP6455"/>
    </row>
    <row r="6456" spans="42:42" x14ac:dyDescent="0.25">
      <c r="AP6456"/>
    </row>
    <row r="6457" spans="42:42" x14ac:dyDescent="0.25">
      <c r="AP6457"/>
    </row>
    <row r="6458" spans="42:42" x14ac:dyDescent="0.25">
      <c r="AP6458"/>
    </row>
    <row r="6459" spans="42:42" x14ac:dyDescent="0.25">
      <c r="AP6459"/>
    </row>
    <row r="6460" spans="42:42" x14ac:dyDescent="0.25">
      <c r="AP6460"/>
    </row>
    <row r="6461" spans="42:42" x14ac:dyDescent="0.25">
      <c r="AP6461"/>
    </row>
    <row r="6462" spans="42:42" x14ac:dyDescent="0.25">
      <c r="AP6462"/>
    </row>
    <row r="6463" spans="42:42" x14ac:dyDescent="0.25">
      <c r="AP6463"/>
    </row>
    <row r="6464" spans="42:42" x14ac:dyDescent="0.25">
      <c r="AP6464"/>
    </row>
    <row r="6465" spans="42:42" x14ac:dyDescent="0.25">
      <c r="AP6465"/>
    </row>
    <row r="6466" spans="42:42" x14ac:dyDescent="0.25">
      <c r="AP6466"/>
    </row>
    <row r="6467" spans="42:42" x14ac:dyDescent="0.25">
      <c r="AP6467"/>
    </row>
    <row r="6468" spans="42:42" x14ac:dyDescent="0.25">
      <c r="AP6468"/>
    </row>
    <row r="6469" spans="42:42" x14ac:dyDescent="0.25">
      <c r="AP6469"/>
    </row>
    <row r="6470" spans="42:42" x14ac:dyDescent="0.25">
      <c r="AP6470"/>
    </row>
    <row r="6471" spans="42:42" x14ac:dyDescent="0.25">
      <c r="AP6471"/>
    </row>
    <row r="6472" spans="42:42" x14ac:dyDescent="0.25">
      <c r="AP6472"/>
    </row>
    <row r="6473" spans="42:42" x14ac:dyDescent="0.25">
      <c r="AP6473"/>
    </row>
    <row r="6474" spans="42:42" x14ac:dyDescent="0.25">
      <c r="AP6474"/>
    </row>
    <row r="6475" spans="42:42" x14ac:dyDescent="0.25">
      <c r="AP6475"/>
    </row>
    <row r="6476" spans="42:42" x14ac:dyDescent="0.25">
      <c r="AP6476"/>
    </row>
    <row r="6477" spans="42:42" x14ac:dyDescent="0.25">
      <c r="AP6477"/>
    </row>
    <row r="6478" spans="42:42" x14ac:dyDescent="0.25">
      <c r="AP6478"/>
    </row>
    <row r="6479" spans="42:42" x14ac:dyDescent="0.25">
      <c r="AP6479"/>
    </row>
    <row r="6480" spans="42:42" x14ac:dyDescent="0.25">
      <c r="AP6480"/>
    </row>
    <row r="6481" spans="42:42" x14ac:dyDescent="0.25">
      <c r="AP6481"/>
    </row>
    <row r="6482" spans="42:42" x14ac:dyDescent="0.25">
      <c r="AP6482"/>
    </row>
    <row r="6483" spans="42:42" x14ac:dyDescent="0.25">
      <c r="AP6483"/>
    </row>
    <row r="6484" spans="42:42" x14ac:dyDescent="0.25">
      <c r="AP6484"/>
    </row>
    <row r="6485" spans="42:42" x14ac:dyDescent="0.25">
      <c r="AP6485"/>
    </row>
    <row r="6486" spans="42:42" x14ac:dyDescent="0.25">
      <c r="AP6486"/>
    </row>
    <row r="6487" spans="42:42" x14ac:dyDescent="0.25">
      <c r="AP6487"/>
    </row>
    <row r="6488" spans="42:42" x14ac:dyDescent="0.25">
      <c r="AP6488"/>
    </row>
    <row r="6489" spans="42:42" x14ac:dyDescent="0.25">
      <c r="AP6489"/>
    </row>
    <row r="6490" spans="42:42" x14ac:dyDescent="0.25">
      <c r="AP6490"/>
    </row>
    <row r="6491" spans="42:42" x14ac:dyDescent="0.25">
      <c r="AP6491"/>
    </row>
    <row r="6492" spans="42:42" x14ac:dyDescent="0.25">
      <c r="AP6492"/>
    </row>
    <row r="6493" spans="42:42" x14ac:dyDescent="0.25">
      <c r="AP6493"/>
    </row>
    <row r="6494" spans="42:42" x14ac:dyDescent="0.25">
      <c r="AP6494"/>
    </row>
    <row r="6495" spans="42:42" x14ac:dyDescent="0.25">
      <c r="AP6495"/>
    </row>
    <row r="6496" spans="42:42" x14ac:dyDescent="0.25">
      <c r="AP6496"/>
    </row>
    <row r="6497" spans="42:42" x14ac:dyDescent="0.25">
      <c r="AP6497"/>
    </row>
    <row r="6498" spans="42:42" x14ac:dyDescent="0.25">
      <c r="AP6498"/>
    </row>
    <row r="6499" spans="42:42" x14ac:dyDescent="0.25">
      <c r="AP6499"/>
    </row>
    <row r="6500" spans="42:42" x14ac:dyDescent="0.25">
      <c r="AP6500"/>
    </row>
    <row r="6501" spans="42:42" x14ac:dyDescent="0.25">
      <c r="AP6501"/>
    </row>
    <row r="6502" spans="42:42" x14ac:dyDescent="0.25">
      <c r="AP6502"/>
    </row>
    <row r="6503" spans="42:42" x14ac:dyDescent="0.25">
      <c r="AP6503"/>
    </row>
    <row r="6504" spans="42:42" x14ac:dyDescent="0.25">
      <c r="AP6504"/>
    </row>
    <row r="6505" spans="42:42" x14ac:dyDescent="0.25">
      <c r="AP6505"/>
    </row>
    <row r="6506" spans="42:42" x14ac:dyDescent="0.25">
      <c r="AP6506"/>
    </row>
    <row r="6507" spans="42:42" x14ac:dyDescent="0.25">
      <c r="AP6507"/>
    </row>
    <row r="6508" spans="42:42" x14ac:dyDescent="0.25">
      <c r="AP6508"/>
    </row>
    <row r="6509" spans="42:42" x14ac:dyDescent="0.25">
      <c r="AP6509"/>
    </row>
    <row r="6510" spans="42:42" x14ac:dyDescent="0.25">
      <c r="AP6510"/>
    </row>
    <row r="6511" spans="42:42" x14ac:dyDescent="0.25">
      <c r="AP6511"/>
    </row>
    <row r="6512" spans="42:42" x14ac:dyDescent="0.25">
      <c r="AP6512"/>
    </row>
    <row r="6513" spans="42:42" x14ac:dyDescent="0.25">
      <c r="AP6513"/>
    </row>
    <row r="6514" spans="42:42" x14ac:dyDescent="0.25">
      <c r="AP6514"/>
    </row>
    <row r="6515" spans="42:42" x14ac:dyDescent="0.25">
      <c r="AP6515"/>
    </row>
    <row r="6516" spans="42:42" x14ac:dyDescent="0.25">
      <c r="AP6516"/>
    </row>
    <row r="6517" spans="42:42" x14ac:dyDescent="0.25">
      <c r="AP6517"/>
    </row>
    <row r="6518" spans="42:42" x14ac:dyDescent="0.25">
      <c r="AP6518"/>
    </row>
    <row r="6519" spans="42:42" x14ac:dyDescent="0.25">
      <c r="AP6519"/>
    </row>
    <row r="6520" spans="42:42" x14ac:dyDescent="0.25">
      <c r="AP6520"/>
    </row>
    <row r="6521" spans="42:42" x14ac:dyDescent="0.25">
      <c r="AP6521"/>
    </row>
    <row r="6522" spans="42:42" x14ac:dyDescent="0.25">
      <c r="AP6522"/>
    </row>
    <row r="6523" spans="42:42" x14ac:dyDescent="0.25">
      <c r="AP6523"/>
    </row>
    <row r="6524" spans="42:42" x14ac:dyDescent="0.25">
      <c r="AP6524"/>
    </row>
    <row r="6525" spans="42:42" x14ac:dyDescent="0.25">
      <c r="AP6525"/>
    </row>
    <row r="6526" spans="42:42" x14ac:dyDescent="0.25">
      <c r="AP6526"/>
    </row>
    <row r="6527" spans="42:42" x14ac:dyDescent="0.25">
      <c r="AP6527"/>
    </row>
    <row r="6528" spans="42:42" x14ac:dyDescent="0.25">
      <c r="AP6528"/>
    </row>
    <row r="6529" spans="42:42" x14ac:dyDescent="0.25">
      <c r="AP6529"/>
    </row>
    <row r="6530" spans="42:42" x14ac:dyDescent="0.25">
      <c r="AP6530"/>
    </row>
    <row r="6531" spans="42:42" x14ac:dyDescent="0.25">
      <c r="AP6531"/>
    </row>
    <row r="6532" spans="42:42" x14ac:dyDescent="0.25">
      <c r="AP6532"/>
    </row>
    <row r="6533" spans="42:42" x14ac:dyDescent="0.25">
      <c r="AP6533"/>
    </row>
    <row r="6534" spans="42:42" x14ac:dyDescent="0.25">
      <c r="AP6534"/>
    </row>
    <row r="6535" spans="42:42" x14ac:dyDescent="0.25">
      <c r="AP6535"/>
    </row>
    <row r="6536" spans="42:42" x14ac:dyDescent="0.25">
      <c r="AP6536"/>
    </row>
    <row r="6537" spans="42:42" x14ac:dyDescent="0.25">
      <c r="AP6537"/>
    </row>
    <row r="6538" spans="42:42" x14ac:dyDescent="0.25">
      <c r="AP6538"/>
    </row>
    <row r="6539" spans="42:42" x14ac:dyDescent="0.25">
      <c r="AP6539"/>
    </row>
    <row r="6540" spans="42:42" x14ac:dyDescent="0.25">
      <c r="AP6540"/>
    </row>
    <row r="6541" spans="42:42" x14ac:dyDescent="0.25">
      <c r="AP6541"/>
    </row>
    <row r="6542" spans="42:42" x14ac:dyDescent="0.25">
      <c r="AP6542"/>
    </row>
    <row r="6543" spans="42:42" x14ac:dyDescent="0.25">
      <c r="AP6543"/>
    </row>
    <row r="6544" spans="42:42" x14ac:dyDescent="0.25">
      <c r="AP6544"/>
    </row>
    <row r="6545" spans="42:42" x14ac:dyDescent="0.25">
      <c r="AP6545"/>
    </row>
    <row r="6546" spans="42:42" x14ac:dyDescent="0.25">
      <c r="AP6546"/>
    </row>
    <row r="6547" spans="42:42" x14ac:dyDescent="0.25">
      <c r="AP6547"/>
    </row>
    <row r="6548" spans="42:42" x14ac:dyDescent="0.25">
      <c r="AP6548"/>
    </row>
    <row r="6549" spans="42:42" x14ac:dyDescent="0.25">
      <c r="AP6549"/>
    </row>
    <row r="6550" spans="42:42" x14ac:dyDescent="0.25">
      <c r="AP6550"/>
    </row>
    <row r="6551" spans="42:42" x14ac:dyDescent="0.25">
      <c r="AP6551"/>
    </row>
    <row r="6552" spans="42:42" x14ac:dyDescent="0.25">
      <c r="AP6552"/>
    </row>
    <row r="6553" spans="42:42" x14ac:dyDescent="0.25">
      <c r="AP6553"/>
    </row>
    <row r="6554" spans="42:42" x14ac:dyDescent="0.25">
      <c r="AP6554"/>
    </row>
    <row r="6555" spans="42:42" x14ac:dyDescent="0.25">
      <c r="AP6555"/>
    </row>
    <row r="6556" spans="42:42" x14ac:dyDescent="0.25">
      <c r="AP6556"/>
    </row>
    <row r="6557" spans="42:42" x14ac:dyDescent="0.25">
      <c r="AP6557"/>
    </row>
    <row r="6558" spans="42:42" x14ac:dyDescent="0.25">
      <c r="AP6558"/>
    </row>
    <row r="6559" spans="42:42" x14ac:dyDescent="0.25">
      <c r="AP6559"/>
    </row>
    <row r="6560" spans="42:42" x14ac:dyDescent="0.25">
      <c r="AP6560"/>
    </row>
    <row r="6561" spans="42:42" x14ac:dyDescent="0.25">
      <c r="AP6561"/>
    </row>
    <row r="6562" spans="42:42" x14ac:dyDescent="0.25">
      <c r="AP6562"/>
    </row>
    <row r="6563" spans="42:42" x14ac:dyDescent="0.25">
      <c r="AP6563"/>
    </row>
    <row r="6564" spans="42:42" x14ac:dyDescent="0.25">
      <c r="AP6564"/>
    </row>
    <row r="6565" spans="42:42" x14ac:dyDescent="0.25">
      <c r="AP6565"/>
    </row>
    <row r="6566" spans="42:42" x14ac:dyDescent="0.25">
      <c r="AP6566"/>
    </row>
    <row r="6567" spans="42:42" x14ac:dyDescent="0.25">
      <c r="AP6567"/>
    </row>
    <row r="6568" spans="42:42" x14ac:dyDescent="0.25">
      <c r="AP6568"/>
    </row>
    <row r="6569" spans="42:42" x14ac:dyDescent="0.25">
      <c r="AP6569"/>
    </row>
    <row r="6570" spans="42:42" x14ac:dyDescent="0.25">
      <c r="AP6570"/>
    </row>
    <row r="6571" spans="42:42" x14ac:dyDescent="0.25">
      <c r="AP6571"/>
    </row>
    <row r="6572" spans="42:42" x14ac:dyDescent="0.25">
      <c r="AP6572"/>
    </row>
    <row r="6573" spans="42:42" x14ac:dyDescent="0.25">
      <c r="AP6573"/>
    </row>
    <row r="6574" spans="42:42" x14ac:dyDescent="0.25">
      <c r="AP6574"/>
    </row>
    <row r="6575" spans="42:42" x14ac:dyDescent="0.25">
      <c r="AP6575"/>
    </row>
    <row r="6576" spans="42:42" x14ac:dyDescent="0.25">
      <c r="AP6576"/>
    </row>
    <row r="6577" spans="42:42" x14ac:dyDescent="0.25">
      <c r="AP6577"/>
    </row>
    <row r="6578" spans="42:42" x14ac:dyDescent="0.25">
      <c r="AP6578"/>
    </row>
    <row r="6579" spans="42:42" x14ac:dyDescent="0.25">
      <c r="AP6579"/>
    </row>
    <row r="6580" spans="42:42" x14ac:dyDescent="0.25">
      <c r="AP6580"/>
    </row>
    <row r="6581" spans="42:42" x14ac:dyDescent="0.25">
      <c r="AP6581"/>
    </row>
    <row r="6582" spans="42:42" x14ac:dyDescent="0.25">
      <c r="AP6582"/>
    </row>
    <row r="6583" spans="42:42" x14ac:dyDescent="0.25">
      <c r="AP6583"/>
    </row>
    <row r="6584" spans="42:42" x14ac:dyDescent="0.25">
      <c r="AP6584"/>
    </row>
    <row r="6585" spans="42:42" x14ac:dyDescent="0.25">
      <c r="AP6585"/>
    </row>
    <row r="6586" spans="42:42" x14ac:dyDescent="0.25">
      <c r="AP6586"/>
    </row>
    <row r="6587" spans="42:42" x14ac:dyDescent="0.25">
      <c r="AP6587"/>
    </row>
    <row r="6588" spans="42:42" x14ac:dyDescent="0.25">
      <c r="AP6588"/>
    </row>
    <row r="6589" spans="42:42" x14ac:dyDescent="0.25">
      <c r="AP6589"/>
    </row>
    <row r="6590" spans="42:42" x14ac:dyDescent="0.25">
      <c r="AP6590"/>
    </row>
    <row r="6591" spans="42:42" x14ac:dyDescent="0.25">
      <c r="AP6591"/>
    </row>
    <row r="6592" spans="42:42" x14ac:dyDescent="0.25">
      <c r="AP6592"/>
    </row>
    <row r="6593" spans="42:42" x14ac:dyDescent="0.25">
      <c r="AP6593"/>
    </row>
    <row r="6594" spans="42:42" x14ac:dyDescent="0.25">
      <c r="AP6594"/>
    </row>
    <row r="6595" spans="42:42" x14ac:dyDescent="0.25">
      <c r="AP6595"/>
    </row>
    <row r="6596" spans="42:42" x14ac:dyDescent="0.25">
      <c r="AP6596"/>
    </row>
    <row r="6597" spans="42:42" x14ac:dyDescent="0.25">
      <c r="AP6597"/>
    </row>
    <row r="6598" spans="42:42" x14ac:dyDescent="0.25">
      <c r="AP6598"/>
    </row>
    <row r="6599" spans="42:42" x14ac:dyDescent="0.25">
      <c r="AP6599"/>
    </row>
    <row r="6600" spans="42:42" x14ac:dyDescent="0.25">
      <c r="AP6600"/>
    </row>
    <row r="6601" spans="42:42" x14ac:dyDescent="0.25">
      <c r="AP6601"/>
    </row>
    <row r="6602" spans="42:42" x14ac:dyDescent="0.25">
      <c r="AP6602"/>
    </row>
    <row r="6603" spans="42:42" x14ac:dyDescent="0.25">
      <c r="AP6603"/>
    </row>
    <row r="6604" spans="42:42" x14ac:dyDescent="0.25">
      <c r="AP6604"/>
    </row>
    <row r="6605" spans="42:42" x14ac:dyDescent="0.25">
      <c r="AP6605"/>
    </row>
    <row r="6606" spans="42:42" x14ac:dyDescent="0.25">
      <c r="AP6606"/>
    </row>
    <row r="6607" spans="42:42" x14ac:dyDescent="0.25">
      <c r="AP6607"/>
    </row>
    <row r="6608" spans="42:42" x14ac:dyDescent="0.25">
      <c r="AP6608"/>
    </row>
    <row r="6609" spans="42:42" x14ac:dyDescent="0.25">
      <c r="AP6609"/>
    </row>
    <row r="6610" spans="42:42" x14ac:dyDescent="0.25">
      <c r="AP6610"/>
    </row>
    <row r="6611" spans="42:42" x14ac:dyDescent="0.25">
      <c r="AP6611"/>
    </row>
    <row r="6612" spans="42:42" x14ac:dyDescent="0.25">
      <c r="AP6612"/>
    </row>
    <row r="6613" spans="42:42" x14ac:dyDescent="0.25">
      <c r="AP6613"/>
    </row>
    <row r="6614" spans="42:42" x14ac:dyDescent="0.25">
      <c r="AP6614"/>
    </row>
    <row r="6615" spans="42:42" x14ac:dyDescent="0.25">
      <c r="AP6615"/>
    </row>
    <row r="6616" spans="42:42" x14ac:dyDescent="0.25">
      <c r="AP6616"/>
    </row>
    <row r="6617" spans="42:42" x14ac:dyDescent="0.25">
      <c r="AP6617"/>
    </row>
    <row r="6618" spans="42:42" x14ac:dyDescent="0.25">
      <c r="AP6618"/>
    </row>
    <row r="6619" spans="42:42" x14ac:dyDescent="0.25">
      <c r="AP6619"/>
    </row>
    <row r="6620" spans="42:42" x14ac:dyDescent="0.25">
      <c r="AP6620"/>
    </row>
    <row r="6621" spans="42:42" x14ac:dyDescent="0.25">
      <c r="AP6621"/>
    </row>
    <row r="6622" spans="42:42" x14ac:dyDescent="0.25">
      <c r="AP6622"/>
    </row>
    <row r="6623" spans="42:42" x14ac:dyDescent="0.25">
      <c r="AP6623"/>
    </row>
    <row r="6624" spans="42:42" x14ac:dyDescent="0.25">
      <c r="AP6624"/>
    </row>
    <row r="6625" spans="42:42" x14ac:dyDescent="0.25">
      <c r="AP6625"/>
    </row>
    <row r="6626" spans="42:42" x14ac:dyDescent="0.25">
      <c r="AP6626"/>
    </row>
    <row r="6627" spans="42:42" x14ac:dyDescent="0.25">
      <c r="AP6627"/>
    </row>
    <row r="6628" spans="42:42" x14ac:dyDescent="0.25">
      <c r="AP6628"/>
    </row>
    <row r="6629" spans="42:42" x14ac:dyDescent="0.25">
      <c r="AP6629"/>
    </row>
    <row r="6630" spans="42:42" x14ac:dyDescent="0.25">
      <c r="AP6630"/>
    </row>
    <row r="6631" spans="42:42" x14ac:dyDescent="0.25">
      <c r="AP6631"/>
    </row>
    <row r="6632" spans="42:42" x14ac:dyDescent="0.25">
      <c r="AP6632"/>
    </row>
    <row r="6633" spans="42:42" x14ac:dyDescent="0.25">
      <c r="AP6633"/>
    </row>
    <row r="6634" spans="42:42" x14ac:dyDescent="0.25">
      <c r="AP6634"/>
    </row>
    <row r="6635" spans="42:42" x14ac:dyDescent="0.25">
      <c r="AP6635"/>
    </row>
    <row r="6636" spans="42:42" x14ac:dyDescent="0.25">
      <c r="AP6636"/>
    </row>
    <row r="6637" spans="42:42" x14ac:dyDescent="0.25">
      <c r="AP6637"/>
    </row>
    <row r="6638" spans="42:42" x14ac:dyDescent="0.25">
      <c r="AP6638"/>
    </row>
    <row r="6639" spans="42:42" x14ac:dyDescent="0.25">
      <c r="AP6639"/>
    </row>
    <row r="6640" spans="42:42" x14ac:dyDescent="0.25">
      <c r="AP6640"/>
    </row>
    <row r="6641" spans="42:42" x14ac:dyDescent="0.25">
      <c r="AP6641"/>
    </row>
    <row r="6642" spans="42:42" x14ac:dyDescent="0.25">
      <c r="AP6642"/>
    </row>
    <row r="6643" spans="42:42" x14ac:dyDescent="0.25">
      <c r="AP6643"/>
    </row>
    <row r="6644" spans="42:42" x14ac:dyDescent="0.25">
      <c r="AP6644"/>
    </row>
    <row r="6645" spans="42:42" x14ac:dyDescent="0.25">
      <c r="AP6645"/>
    </row>
    <row r="6646" spans="42:42" x14ac:dyDescent="0.25">
      <c r="AP6646"/>
    </row>
    <row r="6647" spans="42:42" x14ac:dyDescent="0.25">
      <c r="AP6647"/>
    </row>
    <row r="6648" spans="42:42" x14ac:dyDescent="0.25">
      <c r="AP6648"/>
    </row>
    <row r="6649" spans="42:42" x14ac:dyDescent="0.25">
      <c r="AP6649"/>
    </row>
    <row r="6650" spans="42:42" x14ac:dyDescent="0.25">
      <c r="AP6650"/>
    </row>
    <row r="6651" spans="42:42" x14ac:dyDescent="0.25">
      <c r="AP6651"/>
    </row>
    <row r="6652" spans="42:42" x14ac:dyDescent="0.25">
      <c r="AP6652"/>
    </row>
    <row r="6653" spans="42:42" x14ac:dyDescent="0.25">
      <c r="AP6653"/>
    </row>
    <row r="6654" spans="42:42" x14ac:dyDescent="0.25">
      <c r="AP6654"/>
    </row>
    <row r="6655" spans="42:42" x14ac:dyDescent="0.25">
      <c r="AP6655"/>
    </row>
    <row r="6656" spans="42:42" x14ac:dyDescent="0.25">
      <c r="AP6656"/>
    </row>
    <row r="6657" spans="42:42" x14ac:dyDescent="0.25">
      <c r="AP6657"/>
    </row>
    <row r="6658" spans="42:42" x14ac:dyDescent="0.25">
      <c r="AP6658"/>
    </row>
    <row r="6659" spans="42:42" x14ac:dyDescent="0.25">
      <c r="AP6659"/>
    </row>
    <row r="6660" spans="42:42" x14ac:dyDescent="0.25">
      <c r="AP6660"/>
    </row>
    <row r="6661" spans="42:42" x14ac:dyDescent="0.25">
      <c r="AP6661"/>
    </row>
    <row r="6662" spans="42:42" x14ac:dyDescent="0.25">
      <c r="AP6662"/>
    </row>
    <row r="6663" spans="42:42" x14ac:dyDescent="0.25">
      <c r="AP6663"/>
    </row>
    <row r="6664" spans="42:42" x14ac:dyDescent="0.25">
      <c r="AP6664"/>
    </row>
    <row r="6665" spans="42:42" x14ac:dyDescent="0.25">
      <c r="AP6665"/>
    </row>
    <row r="6666" spans="42:42" x14ac:dyDescent="0.25">
      <c r="AP6666"/>
    </row>
    <row r="6667" spans="42:42" x14ac:dyDescent="0.25">
      <c r="AP6667"/>
    </row>
    <row r="6668" spans="42:42" x14ac:dyDescent="0.25">
      <c r="AP6668"/>
    </row>
    <row r="6669" spans="42:42" x14ac:dyDescent="0.25">
      <c r="AP6669"/>
    </row>
    <row r="6670" spans="42:42" x14ac:dyDescent="0.25">
      <c r="AP6670"/>
    </row>
    <row r="6671" spans="42:42" x14ac:dyDescent="0.25">
      <c r="AP6671"/>
    </row>
    <row r="6672" spans="42:42" x14ac:dyDescent="0.25">
      <c r="AP6672"/>
    </row>
    <row r="6673" spans="42:42" x14ac:dyDescent="0.25">
      <c r="AP6673"/>
    </row>
    <row r="6674" spans="42:42" x14ac:dyDescent="0.25">
      <c r="AP6674"/>
    </row>
    <row r="6675" spans="42:42" x14ac:dyDescent="0.25">
      <c r="AP6675"/>
    </row>
    <row r="6676" spans="42:42" x14ac:dyDescent="0.25">
      <c r="AP6676"/>
    </row>
    <row r="6677" spans="42:42" x14ac:dyDescent="0.25">
      <c r="AP6677"/>
    </row>
    <row r="6678" spans="42:42" x14ac:dyDescent="0.25">
      <c r="AP6678"/>
    </row>
    <row r="6679" spans="42:42" x14ac:dyDescent="0.25">
      <c r="AP6679"/>
    </row>
    <row r="6680" spans="42:42" x14ac:dyDescent="0.25">
      <c r="AP6680"/>
    </row>
    <row r="6681" spans="42:42" x14ac:dyDescent="0.25">
      <c r="AP6681"/>
    </row>
    <row r="6682" spans="42:42" x14ac:dyDescent="0.25">
      <c r="AP6682"/>
    </row>
    <row r="6683" spans="42:42" x14ac:dyDescent="0.25">
      <c r="AP6683"/>
    </row>
    <row r="6684" spans="42:42" x14ac:dyDescent="0.25">
      <c r="AP6684"/>
    </row>
    <row r="6685" spans="42:42" x14ac:dyDescent="0.25">
      <c r="AP6685"/>
    </row>
    <row r="6686" spans="42:42" x14ac:dyDescent="0.25">
      <c r="AP6686"/>
    </row>
    <row r="6687" spans="42:42" x14ac:dyDescent="0.25">
      <c r="AP6687"/>
    </row>
    <row r="6688" spans="42:42" x14ac:dyDescent="0.25">
      <c r="AP6688"/>
    </row>
    <row r="6689" spans="42:42" x14ac:dyDescent="0.25">
      <c r="AP6689"/>
    </row>
    <row r="6690" spans="42:42" x14ac:dyDescent="0.25">
      <c r="AP6690"/>
    </row>
    <row r="6691" spans="42:42" x14ac:dyDescent="0.25">
      <c r="AP6691"/>
    </row>
    <row r="6692" spans="42:42" x14ac:dyDescent="0.25">
      <c r="AP6692"/>
    </row>
    <row r="6693" spans="42:42" x14ac:dyDescent="0.25">
      <c r="AP6693"/>
    </row>
    <row r="6694" spans="42:42" x14ac:dyDescent="0.25">
      <c r="AP6694"/>
    </row>
    <row r="6695" spans="42:42" x14ac:dyDescent="0.25">
      <c r="AP6695"/>
    </row>
    <row r="6696" spans="42:42" x14ac:dyDescent="0.25">
      <c r="AP6696"/>
    </row>
    <row r="6697" spans="42:42" x14ac:dyDescent="0.25">
      <c r="AP6697"/>
    </row>
    <row r="6698" spans="42:42" x14ac:dyDescent="0.25">
      <c r="AP6698"/>
    </row>
    <row r="6699" spans="42:42" x14ac:dyDescent="0.25">
      <c r="AP6699"/>
    </row>
    <row r="6700" spans="42:42" x14ac:dyDescent="0.25">
      <c r="AP6700"/>
    </row>
    <row r="6701" spans="42:42" x14ac:dyDescent="0.25">
      <c r="AP6701"/>
    </row>
    <row r="6702" spans="42:42" x14ac:dyDescent="0.25">
      <c r="AP6702"/>
    </row>
    <row r="6703" spans="42:42" x14ac:dyDescent="0.25">
      <c r="AP6703"/>
    </row>
    <row r="6704" spans="42:42" x14ac:dyDescent="0.25">
      <c r="AP6704"/>
    </row>
    <row r="6705" spans="42:42" x14ac:dyDescent="0.25">
      <c r="AP6705"/>
    </row>
    <row r="6706" spans="42:42" x14ac:dyDescent="0.25">
      <c r="AP6706"/>
    </row>
    <row r="6707" spans="42:42" x14ac:dyDescent="0.25">
      <c r="AP6707"/>
    </row>
    <row r="6708" spans="42:42" x14ac:dyDescent="0.25">
      <c r="AP6708"/>
    </row>
    <row r="6709" spans="42:42" x14ac:dyDescent="0.25">
      <c r="AP6709"/>
    </row>
    <row r="6710" spans="42:42" x14ac:dyDescent="0.25">
      <c r="AP6710"/>
    </row>
    <row r="6711" spans="42:42" x14ac:dyDescent="0.25">
      <c r="AP6711"/>
    </row>
    <row r="6712" spans="42:42" x14ac:dyDescent="0.25">
      <c r="AP6712"/>
    </row>
    <row r="6713" spans="42:42" x14ac:dyDescent="0.25">
      <c r="AP6713"/>
    </row>
    <row r="6714" spans="42:42" x14ac:dyDescent="0.25">
      <c r="AP6714"/>
    </row>
    <row r="6715" spans="42:42" x14ac:dyDescent="0.25">
      <c r="AP6715"/>
    </row>
    <row r="6716" spans="42:42" x14ac:dyDescent="0.25">
      <c r="AP6716"/>
    </row>
    <row r="6717" spans="42:42" x14ac:dyDescent="0.25">
      <c r="AP6717"/>
    </row>
    <row r="6718" spans="42:42" x14ac:dyDescent="0.25">
      <c r="AP6718"/>
    </row>
    <row r="6719" spans="42:42" x14ac:dyDescent="0.25">
      <c r="AP6719"/>
    </row>
    <row r="6720" spans="42:42" x14ac:dyDescent="0.25">
      <c r="AP6720"/>
    </row>
    <row r="6721" spans="42:42" x14ac:dyDescent="0.25">
      <c r="AP6721"/>
    </row>
    <row r="6722" spans="42:42" x14ac:dyDescent="0.25">
      <c r="AP6722"/>
    </row>
    <row r="6723" spans="42:42" x14ac:dyDescent="0.25">
      <c r="AP6723"/>
    </row>
    <row r="6724" spans="42:42" x14ac:dyDescent="0.25">
      <c r="AP6724"/>
    </row>
    <row r="6725" spans="42:42" x14ac:dyDescent="0.25">
      <c r="AP6725"/>
    </row>
    <row r="6726" spans="42:42" x14ac:dyDescent="0.25">
      <c r="AP6726"/>
    </row>
    <row r="6727" spans="42:42" x14ac:dyDescent="0.25">
      <c r="AP6727"/>
    </row>
    <row r="6728" spans="42:42" x14ac:dyDescent="0.25">
      <c r="AP6728"/>
    </row>
    <row r="6729" spans="42:42" x14ac:dyDescent="0.25">
      <c r="AP6729"/>
    </row>
    <row r="6730" spans="42:42" x14ac:dyDescent="0.25">
      <c r="AP6730"/>
    </row>
    <row r="6731" spans="42:42" x14ac:dyDescent="0.25">
      <c r="AP6731"/>
    </row>
    <row r="6732" spans="42:42" x14ac:dyDescent="0.25">
      <c r="AP6732"/>
    </row>
    <row r="6733" spans="42:42" x14ac:dyDescent="0.25">
      <c r="AP6733"/>
    </row>
    <row r="6734" spans="42:42" x14ac:dyDescent="0.25">
      <c r="AP6734"/>
    </row>
    <row r="6735" spans="42:42" x14ac:dyDescent="0.25">
      <c r="AP6735"/>
    </row>
    <row r="6736" spans="42:42" x14ac:dyDescent="0.25">
      <c r="AP6736"/>
    </row>
    <row r="6737" spans="42:42" x14ac:dyDescent="0.25">
      <c r="AP6737"/>
    </row>
    <row r="6738" spans="42:42" x14ac:dyDescent="0.25">
      <c r="AP6738"/>
    </row>
    <row r="6739" spans="42:42" x14ac:dyDescent="0.25">
      <c r="AP6739"/>
    </row>
    <row r="6740" spans="42:42" x14ac:dyDescent="0.25">
      <c r="AP6740"/>
    </row>
    <row r="6741" spans="42:42" x14ac:dyDescent="0.25">
      <c r="AP6741"/>
    </row>
    <row r="6742" spans="42:42" x14ac:dyDescent="0.25">
      <c r="AP6742"/>
    </row>
    <row r="6743" spans="42:42" x14ac:dyDescent="0.25">
      <c r="AP6743"/>
    </row>
    <row r="6744" spans="42:42" x14ac:dyDescent="0.25">
      <c r="AP6744"/>
    </row>
    <row r="6745" spans="42:42" x14ac:dyDescent="0.25">
      <c r="AP6745"/>
    </row>
    <row r="6746" spans="42:42" x14ac:dyDescent="0.25">
      <c r="AP6746"/>
    </row>
    <row r="6747" spans="42:42" x14ac:dyDescent="0.25">
      <c r="AP6747"/>
    </row>
    <row r="6748" spans="42:42" x14ac:dyDescent="0.25">
      <c r="AP6748"/>
    </row>
    <row r="6749" spans="42:42" x14ac:dyDescent="0.25">
      <c r="AP6749"/>
    </row>
    <row r="6750" spans="42:42" x14ac:dyDescent="0.25">
      <c r="AP6750"/>
    </row>
    <row r="6751" spans="42:42" x14ac:dyDescent="0.25">
      <c r="AP6751"/>
    </row>
    <row r="6752" spans="42:42" x14ac:dyDescent="0.25">
      <c r="AP6752"/>
    </row>
    <row r="6753" spans="42:42" x14ac:dyDescent="0.25">
      <c r="AP6753"/>
    </row>
    <row r="6754" spans="42:42" x14ac:dyDescent="0.25">
      <c r="AP6754"/>
    </row>
    <row r="6755" spans="42:42" x14ac:dyDescent="0.25">
      <c r="AP6755"/>
    </row>
    <row r="6756" spans="42:42" x14ac:dyDescent="0.25">
      <c r="AP6756"/>
    </row>
    <row r="6757" spans="42:42" x14ac:dyDescent="0.25">
      <c r="AP6757"/>
    </row>
    <row r="6758" spans="42:42" x14ac:dyDescent="0.25">
      <c r="AP6758"/>
    </row>
    <row r="6759" spans="42:42" x14ac:dyDescent="0.25">
      <c r="AP6759"/>
    </row>
    <row r="6760" spans="42:42" x14ac:dyDescent="0.25">
      <c r="AP6760"/>
    </row>
    <row r="6761" spans="42:42" x14ac:dyDescent="0.25">
      <c r="AP6761"/>
    </row>
    <row r="6762" spans="42:42" x14ac:dyDescent="0.25">
      <c r="AP6762"/>
    </row>
    <row r="6763" spans="42:42" x14ac:dyDescent="0.25">
      <c r="AP6763"/>
    </row>
    <row r="6764" spans="42:42" x14ac:dyDescent="0.25">
      <c r="AP6764"/>
    </row>
    <row r="6765" spans="42:42" x14ac:dyDescent="0.25">
      <c r="AP6765"/>
    </row>
    <row r="6766" spans="42:42" x14ac:dyDescent="0.25">
      <c r="AP6766"/>
    </row>
    <row r="6767" spans="42:42" x14ac:dyDescent="0.25">
      <c r="AP6767"/>
    </row>
    <row r="6768" spans="42:42" x14ac:dyDescent="0.25">
      <c r="AP6768"/>
    </row>
    <row r="6769" spans="42:42" x14ac:dyDescent="0.25">
      <c r="AP6769"/>
    </row>
    <row r="6770" spans="42:42" x14ac:dyDescent="0.25">
      <c r="AP6770"/>
    </row>
    <row r="6771" spans="42:42" x14ac:dyDescent="0.25">
      <c r="AP6771"/>
    </row>
    <row r="6772" spans="42:42" x14ac:dyDescent="0.25">
      <c r="AP6772"/>
    </row>
    <row r="6773" spans="42:42" x14ac:dyDescent="0.25">
      <c r="AP6773"/>
    </row>
    <row r="6774" spans="42:42" x14ac:dyDescent="0.25">
      <c r="AP6774"/>
    </row>
    <row r="6775" spans="42:42" x14ac:dyDescent="0.25">
      <c r="AP6775"/>
    </row>
    <row r="6776" spans="42:42" x14ac:dyDescent="0.25">
      <c r="AP6776"/>
    </row>
    <row r="6777" spans="42:42" x14ac:dyDescent="0.25">
      <c r="AP6777"/>
    </row>
    <row r="6778" spans="42:42" x14ac:dyDescent="0.25">
      <c r="AP6778"/>
    </row>
    <row r="6779" spans="42:42" x14ac:dyDescent="0.25">
      <c r="AP6779"/>
    </row>
    <row r="6780" spans="42:42" x14ac:dyDescent="0.25">
      <c r="AP6780"/>
    </row>
    <row r="6781" spans="42:42" x14ac:dyDescent="0.25">
      <c r="AP6781"/>
    </row>
    <row r="6782" spans="42:42" x14ac:dyDescent="0.25">
      <c r="AP6782"/>
    </row>
    <row r="6783" spans="42:42" x14ac:dyDescent="0.25">
      <c r="AP6783"/>
    </row>
    <row r="6784" spans="42:42" x14ac:dyDescent="0.25">
      <c r="AP6784"/>
    </row>
    <row r="6785" spans="42:42" x14ac:dyDescent="0.25">
      <c r="AP6785"/>
    </row>
    <row r="6786" spans="42:42" x14ac:dyDescent="0.25">
      <c r="AP6786"/>
    </row>
    <row r="6787" spans="42:42" x14ac:dyDescent="0.25">
      <c r="AP6787"/>
    </row>
    <row r="6788" spans="42:42" x14ac:dyDescent="0.25">
      <c r="AP6788"/>
    </row>
    <row r="6789" spans="42:42" x14ac:dyDescent="0.25">
      <c r="AP6789"/>
    </row>
    <row r="6790" spans="42:42" x14ac:dyDescent="0.25">
      <c r="AP6790"/>
    </row>
    <row r="6791" spans="42:42" x14ac:dyDescent="0.25">
      <c r="AP6791"/>
    </row>
    <row r="6792" spans="42:42" x14ac:dyDescent="0.25">
      <c r="AP6792"/>
    </row>
    <row r="6793" spans="42:42" x14ac:dyDescent="0.25">
      <c r="AP6793"/>
    </row>
    <row r="6794" spans="42:42" x14ac:dyDescent="0.25">
      <c r="AP6794"/>
    </row>
    <row r="6795" spans="42:42" x14ac:dyDescent="0.25">
      <c r="AP6795"/>
    </row>
    <row r="6796" spans="42:42" x14ac:dyDescent="0.25">
      <c r="AP6796"/>
    </row>
    <row r="6797" spans="42:42" x14ac:dyDescent="0.25">
      <c r="AP6797"/>
    </row>
    <row r="6798" spans="42:42" x14ac:dyDescent="0.25">
      <c r="AP6798"/>
    </row>
    <row r="6799" spans="42:42" x14ac:dyDescent="0.25">
      <c r="AP6799"/>
    </row>
    <row r="6800" spans="42:42" x14ac:dyDescent="0.25">
      <c r="AP6800"/>
    </row>
    <row r="6801" spans="42:42" x14ac:dyDescent="0.25">
      <c r="AP6801"/>
    </row>
    <row r="6802" spans="42:42" x14ac:dyDescent="0.25">
      <c r="AP6802"/>
    </row>
    <row r="6803" spans="42:42" x14ac:dyDescent="0.25">
      <c r="AP6803"/>
    </row>
    <row r="6804" spans="42:42" x14ac:dyDescent="0.25">
      <c r="AP6804"/>
    </row>
    <row r="6805" spans="42:42" x14ac:dyDescent="0.25">
      <c r="AP6805"/>
    </row>
    <row r="6806" spans="42:42" x14ac:dyDescent="0.25">
      <c r="AP6806"/>
    </row>
    <row r="6807" spans="42:42" x14ac:dyDescent="0.25">
      <c r="AP6807"/>
    </row>
    <row r="6808" spans="42:42" x14ac:dyDescent="0.25">
      <c r="AP6808"/>
    </row>
    <row r="6809" spans="42:42" x14ac:dyDescent="0.25">
      <c r="AP6809"/>
    </row>
    <row r="6810" spans="42:42" x14ac:dyDescent="0.25">
      <c r="AP6810"/>
    </row>
    <row r="6811" spans="42:42" x14ac:dyDescent="0.25">
      <c r="AP6811"/>
    </row>
    <row r="6812" spans="42:42" x14ac:dyDescent="0.25">
      <c r="AP6812"/>
    </row>
    <row r="6813" spans="42:42" x14ac:dyDescent="0.25">
      <c r="AP6813"/>
    </row>
    <row r="6814" spans="42:42" x14ac:dyDescent="0.25">
      <c r="AP6814"/>
    </row>
    <row r="6815" spans="42:42" x14ac:dyDescent="0.25">
      <c r="AP6815"/>
    </row>
    <row r="6816" spans="42:42" x14ac:dyDescent="0.25">
      <c r="AP6816"/>
    </row>
    <row r="6817" spans="42:42" x14ac:dyDescent="0.25">
      <c r="AP6817"/>
    </row>
    <row r="6818" spans="42:42" x14ac:dyDescent="0.25">
      <c r="AP6818"/>
    </row>
    <row r="6819" spans="42:42" x14ac:dyDescent="0.25">
      <c r="AP6819"/>
    </row>
    <row r="6820" spans="42:42" x14ac:dyDescent="0.25">
      <c r="AP6820"/>
    </row>
    <row r="6821" spans="42:42" x14ac:dyDescent="0.25">
      <c r="AP6821"/>
    </row>
    <row r="6822" spans="42:42" x14ac:dyDescent="0.25">
      <c r="AP6822"/>
    </row>
    <row r="6823" spans="42:42" x14ac:dyDescent="0.25">
      <c r="AP6823"/>
    </row>
    <row r="6824" spans="42:42" x14ac:dyDescent="0.25">
      <c r="AP6824"/>
    </row>
    <row r="6825" spans="42:42" x14ac:dyDescent="0.25">
      <c r="AP6825"/>
    </row>
    <row r="6826" spans="42:42" x14ac:dyDescent="0.25">
      <c r="AP6826"/>
    </row>
    <row r="6827" spans="42:42" x14ac:dyDescent="0.25">
      <c r="AP6827"/>
    </row>
    <row r="6828" spans="42:42" x14ac:dyDescent="0.25">
      <c r="AP6828"/>
    </row>
    <row r="6829" spans="42:42" x14ac:dyDescent="0.25">
      <c r="AP6829"/>
    </row>
    <row r="6830" spans="42:42" x14ac:dyDescent="0.25">
      <c r="AP6830"/>
    </row>
    <row r="6831" spans="42:42" x14ac:dyDescent="0.25">
      <c r="AP6831"/>
    </row>
    <row r="6832" spans="42:42" x14ac:dyDescent="0.25">
      <c r="AP6832"/>
    </row>
    <row r="6833" spans="42:42" x14ac:dyDescent="0.25">
      <c r="AP6833"/>
    </row>
    <row r="6834" spans="42:42" x14ac:dyDescent="0.25">
      <c r="AP6834"/>
    </row>
    <row r="6835" spans="42:42" x14ac:dyDescent="0.25">
      <c r="AP6835"/>
    </row>
    <row r="6836" spans="42:42" x14ac:dyDescent="0.25">
      <c r="AP6836"/>
    </row>
    <row r="6837" spans="42:42" x14ac:dyDescent="0.25">
      <c r="AP6837"/>
    </row>
    <row r="6838" spans="42:42" x14ac:dyDescent="0.25">
      <c r="AP6838"/>
    </row>
    <row r="6839" spans="42:42" x14ac:dyDescent="0.25">
      <c r="AP6839"/>
    </row>
    <row r="6840" spans="42:42" x14ac:dyDescent="0.25">
      <c r="AP6840"/>
    </row>
    <row r="6841" spans="42:42" x14ac:dyDescent="0.25">
      <c r="AP6841"/>
    </row>
    <row r="6842" spans="42:42" x14ac:dyDescent="0.25">
      <c r="AP6842"/>
    </row>
    <row r="6843" spans="42:42" x14ac:dyDescent="0.25">
      <c r="AP6843"/>
    </row>
    <row r="6844" spans="42:42" x14ac:dyDescent="0.25">
      <c r="AP6844"/>
    </row>
    <row r="6845" spans="42:42" x14ac:dyDescent="0.25">
      <c r="AP6845"/>
    </row>
    <row r="6846" spans="42:42" x14ac:dyDescent="0.25">
      <c r="AP6846"/>
    </row>
    <row r="6847" spans="42:42" x14ac:dyDescent="0.25">
      <c r="AP6847"/>
    </row>
    <row r="6848" spans="42:42" x14ac:dyDescent="0.25">
      <c r="AP6848"/>
    </row>
    <row r="6849" spans="42:42" x14ac:dyDescent="0.25">
      <c r="AP6849"/>
    </row>
    <row r="6850" spans="42:42" x14ac:dyDescent="0.25">
      <c r="AP6850"/>
    </row>
    <row r="6851" spans="42:42" x14ac:dyDescent="0.25">
      <c r="AP6851"/>
    </row>
    <row r="6852" spans="42:42" x14ac:dyDescent="0.25">
      <c r="AP6852"/>
    </row>
    <row r="6853" spans="42:42" x14ac:dyDescent="0.25">
      <c r="AP6853"/>
    </row>
    <row r="6854" spans="42:42" x14ac:dyDescent="0.25">
      <c r="AP6854"/>
    </row>
    <row r="6855" spans="42:42" x14ac:dyDescent="0.25">
      <c r="AP6855"/>
    </row>
    <row r="6856" spans="42:42" x14ac:dyDescent="0.25">
      <c r="AP6856"/>
    </row>
    <row r="6857" spans="42:42" x14ac:dyDescent="0.25">
      <c r="AP6857"/>
    </row>
    <row r="6858" spans="42:42" x14ac:dyDescent="0.25">
      <c r="AP6858"/>
    </row>
    <row r="6859" spans="42:42" x14ac:dyDescent="0.25">
      <c r="AP6859"/>
    </row>
    <row r="6860" spans="42:42" x14ac:dyDescent="0.25">
      <c r="AP6860"/>
    </row>
    <row r="6861" spans="42:42" x14ac:dyDescent="0.25">
      <c r="AP6861"/>
    </row>
    <row r="6862" spans="42:42" x14ac:dyDescent="0.25">
      <c r="AP6862"/>
    </row>
    <row r="6863" spans="42:42" x14ac:dyDescent="0.25">
      <c r="AP6863"/>
    </row>
    <row r="6864" spans="42:42" x14ac:dyDescent="0.25">
      <c r="AP6864"/>
    </row>
    <row r="6865" spans="42:42" x14ac:dyDescent="0.25">
      <c r="AP6865"/>
    </row>
    <row r="6866" spans="42:42" x14ac:dyDescent="0.25">
      <c r="AP6866"/>
    </row>
    <row r="6867" spans="42:42" x14ac:dyDescent="0.25">
      <c r="AP6867"/>
    </row>
    <row r="6868" spans="42:42" x14ac:dyDescent="0.25">
      <c r="AP6868"/>
    </row>
    <row r="6869" spans="42:42" x14ac:dyDescent="0.25">
      <c r="AP6869"/>
    </row>
    <row r="6870" spans="42:42" x14ac:dyDescent="0.25">
      <c r="AP6870"/>
    </row>
    <row r="6871" spans="42:42" x14ac:dyDescent="0.25">
      <c r="AP6871"/>
    </row>
    <row r="6872" spans="42:42" x14ac:dyDescent="0.25">
      <c r="AP6872"/>
    </row>
    <row r="6873" spans="42:42" x14ac:dyDescent="0.25">
      <c r="AP6873"/>
    </row>
    <row r="6874" spans="42:42" x14ac:dyDescent="0.25">
      <c r="AP6874"/>
    </row>
    <row r="6875" spans="42:42" x14ac:dyDescent="0.25">
      <c r="AP6875"/>
    </row>
    <row r="6876" spans="42:42" x14ac:dyDescent="0.25">
      <c r="AP6876"/>
    </row>
    <row r="6877" spans="42:42" x14ac:dyDescent="0.25">
      <c r="AP6877"/>
    </row>
    <row r="6878" spans="42:42" x14ac:dyDescent="0.25">
      <c r="AP6878"/>
    </row>
    <row r="6879" spans="42:42" x14ac:dyDescent="0.25">
      <c r="AP6879"/>
    </row>
    <row r="6880" spans="42:42" x14ac:dyDescent="0.25">
      <c r="AP6880"/>
    </row>
    <row r="6881" spans="42:42" x14ac:dyDescent="0.25">
      <c r="AP6881"/>
    </row>
    <row r="6882" spans="42:42" x14ac:dyDescent="0.25">
      <c r="AP6882"/>
    </row>
    <row r="6883" spans="42:42" x14ac:dyDescent="0.25">
      <c r="AP6883"/>
    </row>
    <row r="6884" spans="42:42" x14ac:dyDescent="0.25">
      <c r="AP6884"/>
    </row>
    <row r="6885" spans="42:42" x14ac:dyDescent="0.25">
      <c r="AP6885"/>
    </row>
    <row r="6886" spans="42:42" x14ac:dyDescent="0.25">
      <c r="AP6886"/>
    </row>
    <row r="6887" spans="42:42" x14ac:dyDescent="0.25">
      <c r="AP6887"/>
    </row>
    <row r="6888" spans="42:42" x14ac:dyDescent="0.25">
      <c r="AP6888"/>
    </row>
    <row r="6889" spans="42:42" x14ac:dyDescent="0.25">
      <c r="AP6889"/>
    </row>
    <row r="6890" spans="42:42" x14ac:dyDescent="0.25">
      <c r="AP6890"/>
    </row>
    <row r="6891" spans="42:42" x14ac:dyDescent="0.25">
      <c r="AP6891"/>
    </row>
    <row r="6892" spans="42:42" x14ac:dyDescent="0.25">
      <c r="AP6892"/>
    </row>
    <row r="6893" spans="42:42" x14ac:dyDescent="0.25">
      <c r="AP6893"/>
    </row>
    <row r="6894" spans="42:42" x14ac:dyDescent="0.25">
      <c r="AP6894"/>
    </row>
    <row r="6895" spans="42:42" x14ac:dyDescent="0.25">
      <c r="AP6895"/>
    </row>
    <row r="6896" spans="42:42" x14ac:dyDescent="0.25">
      <c r="AP6896"/>
    </row>
    <row r="6897" spans="42:42" x14ac:dyDescent="0.25">
      <c r="AP6897"/>
    </row>
    <row r="6898" spans="42:42" x14ac:dyDescent="0.25">
      <c r="AP6898"/>
    </row>
    <row r="6899" spans="42:42" x14ac:dyDescent="0.25">
      <c r="AP6899"/>
    </row>
    <row r="6900" spans="42:42" x14ac:dyDescent="0.25">
      <c r="AP6900"/>
    </row>
    <row r="6901" spans="42:42" x14ac:dyDescent="0.25">
      <c r="AP6901"/>
    </row>
    <row r="6902" spans="42:42" x14ac:dyDescent="0.25">
      <c r="AP6902"/>
    </row>
    <row r="6903" spans="42:42" x14ac:dyDescent="0.25">
      <c r="AP6903"/>
    </row>
    <row r="6904" spans="42:42" x14ac:dyDescent="0.25">
      <c r="AP6904"/>
    </row>
    <row r="6905" spans="42:42" x14ac:dyDescent="0.25">
      <c r="AP6905"/>
    </row>
    <row r="6906" spans="42:42" x14ac:dyDescent="0.25">
      <c r="AP6906"/>
    </row>
    <row r="6907" spans="42:42" x14ac:dyDescent="0.25">
      <c r="AP6907"/>
    </row>
    <row r="6908" spans="42:42" x14ac:dyDescent="0.25">
      <c r="AP6908"/>
    </row>
    <row r="6909" spans="42:42" x14ac:dyDescent="0.25">
      <c r="AP6909"/>
    </row>
    <row r="6910" spans="42:42" x14ac:dyDescent="0.25">
      <c r="AP6910"/>
    </row>
    <row r="6911" spans="42:42" x14ac:dyDescent="0.25">
      <c r="AP6911"/>
    </row>
    <row r="6912" spans="42:42" x14ac:dyDescent="0.25">
      <c r="AP6912"/>
    </row>
    <row r="6913" spans="42:42" x14ac:dyDescent="0.25">
      <c r="AP6913"/>
    </row>
    <row r="6914" spans="42:42" x14ac:dyDescent="0.25">
      <c r="AP6914"/>
    </row>
    <row r="6915" spans="42:42" x14ac:dyDescent="0.25">
      <c r="AP6915"/>
    </row>
    <row r="6916" spans="42:42" x14ac:dyDescent="0.25">
      <c r="AP6916"/>
    </row>
    <row r="6917" spans="42:42" x14ac:dyDescent="0.25">
      <c r="AP6917"/>
    </row>
    <row r="6918" spans="42:42" x14ac:dyDescent="0.25">
      <c r="AP6918"/>
    </row>
    <row r="6919" spans="42:42" x14ac:dyDescent="0.25">
      <c r="AP6919"/>
    </row>
    <row r="6920" spans="42:42" x14ac:dyDescent="0.25">
      <c r="AP6920"/>
    </row>
    <row r="6921" spans="42:42" x14ac:dyDescent="0.25">
      <c r="AP6921"/>
    </row>
    <row r="6922" spans="42:42" x14ac:dyDescent="0.25">
      <c r="AP6922"/>
    </row>
    <row r="6923" spans="42:42" x14ac:dyDescent="0.25">
      <c r="AP6923"/>
    </row>
    <row r="6924" spans="42:42" x14ac:dyDescent="0.25">
      <c r="AP6924"/>
    </row>
    <row r="6925" spans="42:42" x14ac:dyDescent="0.25">
      <c r="AP6925"/>
    </row>
    <row r="6926" spans="42:42" x14ac:dyDescent="0.25">
      <c r="AP6926"/>
    </row>
    <row r="6927" spans="42:42" x14ac:dyDescent="0.25">
      <c r="AP6927"/>
    </row>
    <row r="6928" spans="42:42" x14ac:dyDescent="0.25">
      <c r="AP6928"/>
    </row>
    <row r="6929" spans="42:42" x14ac:dyDescent="0.25">
      <c r="AP6929"/>
    </row>
    <row r="6930" spans="42:42" x14ac:dyDescent="0.25">
      <c r="AP6930"/>
    </row>
    <row r="6931" spans="42:42" x14ac:dyDescent="0.25">
      <c r="AP6931"/>
    </row>
    <row r="6932" spans="42:42" x14ac:dyDescent="0.25">
      <c r="AP6932"/>
    </row>
    <row r="6933" spans="42:42" x14ac:dyDescent="0.25">
      <c r="AP6933"/>
    </row>
    <row r="6934" spans="42:42" x14ac:dyDescent="0.25">
      <c r="AP6934"/>
    </row>
    <row r="6935" spans="42:42" x14ac:dyDescent="0.25">
      <c r="AP6935"/>
    </row>
    <row r="6936" spans="42:42" x14ac:dyDescent="0.25">
      <c r="AP6936"/>
    </row>
    <row r="6937" spans="42:42" x14ac:dyDescent="0.25">
      <c r="AP6937"/>
    </row>
    <row r="6938" spans="42:42" x14ac:dyDescent="0.25">
      <c r="AP6938"/>
    </row>
    <row r="6939" spans="42:42" x14ac:dyDescent="0.25">
      <c r="AP6939"/>
    </row>
    <row r="6940" spans="42:42" x14ac:dyDescent="0.25">
      <c r="AP6940"/>
    </row>
    <row r="6941" spans="42:42" x14ac:dyDescent="0.25">
      <c r="AP6941"/>
    </row>
    <row r="6942" spans="42:42" x14ac:dyDescent="0.25">
      <c r="AP6942"/>
    </row>
    <row r="6943" spans="42:42" x14ac:dyDescent="0.25">
      <c r="AP6943"/>
    </row>
    <row r="6944" spans="42:42" x14ac:dyDescent="0.25">
      <c r="AP6944"/>
    </row>
    <row r="6945" spans="42:42" x14ac:dyDescent="0.25">
      <c r="AP6945"/>
    </row>
    <row r="6946" spans="42:42" x14ac:dyDescent="0.25">
      <c r="AP6946"/>
    </row>
    <row r="6947" spans="42:42" x14ac:dyDescent="0.25">
      <c r="AP6947"/>
    </row>
    <row r="6948" spans="42:42" x14ac:dyDescent="0.25">
      <c r="AP6948"/>
    </row>
    <row r="6949" spans="42:42" x14ac:dyDescent="0.25">
      <c r="AP6949"/>
    </row>
    <row r="6950" spans="42:42" x14ac:dyDescent="0.25">
      <c r="AP6950"/>
    </row>
    <row r="6951" spans="42:42" x14ac:dyDescent="0.25">
      <c r="AP6951"/>
    </row>
    <row r="6952" spans="42:42" x14ac:dyDescent="0.25">
      <c r="AP6952"/>
    </row>
    <row r="6953" spans="42:42" x14ac:dyDescent="0.25">
      <c r="AP6953"/>
    </row>
    <row r="6954" spans="42:42" x14ac:dyDescent="0.25">
      <c r="AP6954"/>
    </row>
    <row r="6955" spans="42:42" x14ac:dyDescent="0.25">
      <c r="AP6955"/>
    </row>
    <row r="6956" spans="42:42" x14ac:dyDescent="0.25">
      <c r="AP6956"/>
    </row>
    <row r="6957" spans="42:42" x14ac:dyDescent="0.25">
      <c r="AP6957"/>
    </row>
    <row r="6958" spans="42:42" x14ac:dyDescent="0.25">
      <c r="AP6958"/>
    </row>
    <row r="6959" spans="42:42" x14ac:dyDescent="0.25">
      <c r="AP6959"/>
    </row>
    <row r="6960" spans="42:42" x14ac:dyDescent="0.25">
      <c r="AP6960"/>
    </row>
    <row r="6961" spans="42:42" x14ac:dyDescent="0.25">
      <c r="AP6961"/>
    </row>
    <row r="6962" spans="42:42" x14ac:dyDescent="0.25">
      <c r="AP6962"/>
    </row>
    <row r="6963" spans="42:42" x14ac:dyDescent="0.25">
      <c r="AP6963"/>
    </row>
    <row r="6964" spans="42:42" x14ac:dyDescent="0.25">
      <c r="AP6964"/>
    </row>
    <row r="6965" spans="42:42" x14ac:dyDescent="0.25">
      <c r="AP6965"/>
    </row>
    <row r="6966" spans="42:42" x14ac:dyDescent="0.25">
      <c r="AP6966"/>
    </row>
    <row r="6967" spans="42:42" x14ac:dyDescent="0.25">
      <c r="AP6967"/>
    </row>
    <row r="6968" spans="42:42" x14ac:dyDescent="0.25">
      <c r="AP6968"/>
    </row>
    <row r="6969" spans="42:42" x14ac:dyDescent="0.25">
      <c r="AP6969"/>
    </row>
    <row r="6970" spans="42:42" x14ac:dyDescent="0.25">
      <c r="AP6970"/>
    </row>
    <row r="6971" spans="42:42" x14ac:dyDescent="0.25">
      <c r="AP6971"/>
    </row>
    <row r="6972" spans="42:42" x14ac:dyDescent="0.25">
      <c r="AP6972"/>
    </row>
    <row r="6973" spans="42:42" x14ac:dyDescent="0.25">
      <c r="AP6973"/>
    </row>
    <row r="6974" spans="42:42" x14ac:dyDescent="0.25">
      <c r="AP6974"/>
    </row>
    <row r="6975" spans="42:42" x14ac:dyDescent="0.25">
      <c r="AP6975"/>
    </row>
    <row r="6976" spans="42:42" x14ac:dyDescent="0.25">
      <c r="AP6976"/>
    </row>
    <row r="6977" spans="42:42" x14ac:dyDescent="0.25">
      <c r="AP6977"/>
    </row>
    <row r="6978" spans="42:42" x14ac:dyDescent="0.25">
      <c r="AP6978"/>
    </row>
    <row r="6979" spans="42:42" x14ac:dyDescent="0.25">
      <c r="AP6979"/>
    </row>
    <row r="6980" spans="42:42" x14ac:dyDescent="0.25">
      <c r="AP6980"/>
    </row>
    <row r="6981" spans="42:42" x14ac:dyDescent="0.25">
      <c r="AP6981"/>
    </row>
    <row r="6982" spans="42:42" x14ac:dyDescent="0.25">
      <c r="AP6982"/>
    </row>
    <row r="6983" spans="42:42" x14ac:dyDescent="0.25">
      <c r="AP6983"/>
    </row>
    <row r="6984" spans="42:42" x14ac:dyDescent="0.25">
      <c r="AP6984"/>
    </row>
    <row r="6985" spans="42:42" x14ac:dyDescent="0.25">
      <c r="AP6985"/>
    </row>
    <row r="6986" spans="42:42" x14ac:dyDescent="0.25">
      <c r="AP6986"/>
    </row>
    <row r="6987" spans="42:42" x14ac:dyDescent="0.25">
      <c r="AP6987"/>
    </row>
    <row r="6988" spans="42:42" x14ac:dyDescent="0.25">
      <c r="AP6988"/>
    </row>
    <row r="6989" spans="42:42" x14ac:dyDescent="0.25">
      <c r="AP6989"/>
    </row>
    <row r="6990" spans="42:42" x14ac:dyDescent="0.25">
      <c r="AP6990"/>
    </row>
    <row r="6991" spans="42:42" x14ac:dyDescent="0.25">
      <c r="AP6991"/>
    </row>
    <row r="6992" spans="42:42" x14ac:dyDescent="0.25">
      <c r="AP6992"/>
    </row>
    <row r="6993" spans="42:42" x14ac:dyDescent="0.25">
      <c r="AP6993"/>
    </row>
    <row r="6994" spans="42:42" x14ac:dyDescent="0.25">
      <c r="AP6994"/>
    </row>
    <row r="6995" spans="42:42" x14ac:dyDescent="0.25">
      <c r="AP6995"/>
    </row>
    <row r="6996" spans="42:42" x14ac:dyDescent="0.25">
      <c r="AP6996"/>
    </row>
    <row r="6997" spans="42:42" x14ac:dyDescent="0.25">
      <c r="AP6997"/>
    </row>
    <row r="6998" spans="42:42" x14ac:dyDescent="0.25">
      <c r="AP6998"/>
    </row>
    <row r="6999" spans="42:42" x14ac:dyDescent="0.25">
      <c r="AP6999"/>
    </row>
    <row r="7000" spans="42:42" x14ac:dyDescent="0.25">
      <c r="AP7000"/>
    </row>
    <row r="7001" spans="42:42" x14ac:dyDescent="0.25">
      <c r="AP7001"/>
    </row>
    <row r="7002" spans="42:42" x14ac:dyDescent="0.25">
      <c r="AP7002"/>
    </row>
    <row r="7003" spans="42:42" x14ac:dyDescent="0.25">
      <c r="AP7003"/>
    </row>
    <row r="7004" spans="42:42" x14ac:dyDescent="0.25">
      <c r="AP7004"/>
    </row>
    <row r="7005" spans="42:42" x14ac:dyDescent="0.25">
      <c r="AP7005"/>
    </row>
    <row r="7006" spans="42:42" x14ac:dyDescent="0.25">
      <c r="AP7006"/>
    </row>
    <row r="7007" spans="42:42" x14ac:dyDescent="0.25">
      <c r="AP7007"/>
    </row>
    <row r="7008" spans="42:42" x14ac:dyDescent="0.25">
      <c r="AP7008"/>
    </row>
    <row r="7009" spans="42:42" x14ac:dyDescent="0.25">
      <c r="AP7009"/>
    </row>
    <row r="7010" spans="42:42" x14ac:dyDescent="0.25">
      <c r="AP7010"/>
    </row>
    <row r="7011" spans="42:42" x14ac:dyDescent="0.25">
      <c r="AP7011"/>
    </row>
    <row r="7012" spans="42:42" x14ac:dyDescent="0.25">
      <c r="AP7012"/>
    </row>
    <row r="7013" spans="42:42" x14ac:dyDescent="0.25">
      <c r="AP7013"/>
    </row>
    <row r="7014" spans="42:42" x14ac:dyDescent="0.25">
      <c r="AP7014"/>
    </row>
    <row r="7015" spans="42:42" x14ac:dyDescent="0.25">
      <c r="AP7015"/>
    </row>
    <row r="7016" spans="42:42" x14ac:dyDescent="0.25">
      <c r="AP7016"/>
    </row>
    <row r="7017" spans="42:42" x14ac:dyDescent="0.25">
      <c r="AP7017"/>
    </row>
    <row r="7018" spans="42:42" x14ac:dyDescent="0.25">
      <c r="AP7018"/>
    </row>
    <row r="7019" spans="42:42" x14ac:dyDescent="0.25">
      <c r="AP7019"/>
    </row>
    <row r="7020" spans="42:42" x14ac:dyDescent="0.25">
      <c r="AP7020"/>
    </row>
    <row r="7021" spans="42:42" x14ac:dyDescent="0.25">
      <c r="AP7021"/>
    </row>
    <row r="7022" spans="42:42" x14ac:dyDescent="0.25">
      <c r="AP7022"/>
    </row>
    <row r="7023" spans="42:42" x14ac:dyDescent="0.25">
      <c r="AP7023"/>
    </row>
    <row r="7024" spans="42:42" x14ac:dyDescent="0.25">
      <c r="AP7024"/>
    </row>
    <row r="7025" spans="42:42" x14ac:dyDescent="0.25">
      <c r="AP7025"/>
    </row>
    <row r="7026" spans="42:42" x14ac:dyDescent="0.25">
      <c r="AP7026"/>
    </row>
    <row r="7027" spans="42:42" x14ac:dyDescent="0.25">
      <c r="AP7027"/>
    </row>
    <row r="7028" spans="42:42" x14ac:dyDescent="0.25">
      <c r="AP7028"/>
    </row>
    <row r="7029" spans="42:42" x14ac:dyDescent="0.25">
      <c r="AP7029"/>
    </row>
    <row r="7030" spans="42:42" x14ac:dyDescent="0.25">
      <c r="AP7030"/>
    </row>
    <row r="7031" spans="42:42" x14ac:dyDescent="0.25">
      <c r="AP7031"/>
    </row>
    <row r="7032" spans="42:42" x14ac:dyDescent="0.25">
      <c r="AP7032"/>
    </row>
    <row r="7033" spans="42:42" x14ac:dyDescent="0.25">
      <c r="AP7033"/>
    </row>
    <row r="7034" spans="42:42" x14ac:dyDescent="0.25">
      <c r="AP7034"/>
    </row>
    <row r="7035" spans="42:42" x14ac:dyDescent="0.25">
      <c r="AP7035"/>
    </row>
    <row r="7036" spans="42:42" x14ac:dyDescent="0.25">
      <c r="AP7036"/>
    </row>
    <row r="7037" spans="42:42" x14ac:dyDescent="0.25">
      <c r="AP7037"/>
    </row>
    <row r="7038" spans="42:42" x14ac:dyDescent="0.25">
      <c r="AP7038"/>
    </row>
    <row r="7039" spans="42:42" x14ac:dyDescent="0.25">
      <c r="AP7039"/>
    </row>
    <row r="7040" spans="42:42" x14ac:dyDescent="0.25">
      <c r="AP7040"/>
    </row>
    <row r="7041" spans="42:42" x14ac:dyDescent="0.25">
      <c r="AP7041"/>
    </row>
    <row r="7042" spans="42:42" x14ac:dyDescent="0.25">
      <c r="AP7042"/>
    </row>
    <row r="7043" spans="42:42" x14ac:dyDescent="0.25">
      <c r="AP7043"/>
    </row>
    <row r="7044" spans="42:42" x14ac:dyDescent="0.25">
      <c r="AP7044"/>
    </row>
    <row r="7045" spans="42:42" x14ac:dyDescent="0.25">
      <c r="AP7045"/>
    </row>
    <row r="7046" spans="42:42" x14ac:dyDescent="0.25">
      <c r="AP7046"/>
    </row>
    <row r="7047" spans="42:42" x14ac:dyDescent="0.25">
      <c r="AP7047"/>
    </row>
    <row r="7048" spans="42:42" x14ac:dyDescent="0.25">
      <c r="AP7048"/>
    </row>
    <row r="7049" spans="42:42" x14ac:dyDescent="0.25">
      <c r="AP7049"/>
    </row>
    <row r="7050" spans="42:42" x14ac:dyDescent="0.25">
      <c r="AP7050"/>
    </row>
    <row r="7051" spans="42:42" x14ac:dyDescent="0.25">
      <c r="AP7051"/>
    </row>
    <row r="7052" spans="42:42" x14ac:dyDescent="0.25">
      <c r="AP7052"/>
    </row>
    <row r="7053" spans="42:42" x14ac:dyDescent="0.25">
      <c r="AP7053"/>
    </row>
    <row r="7054" spans="42:42" x14ac:dyDescent="0.25">
      <c r="AP7054"/>
    </row>
    <row r="7055" spans="42:42" x14ac:dyDescent="0.25">
      <c r="AP7055"/>
    </row>
    <row r="7056" spans="42:42" x14ac:dyDescent="0.25">
      <c r="AP7056"/>
    </row>
    <row r="7057" spans="42:42" x14ac:dyDescent="0.25">
      <c r="AP7057"/>
    </row>
    <row r="7058" spans="42:42" x14ac:dyDescent="0.25">
      <c r="AP7058"/>
    </row>
    <row r="7059" spans="42:42" x14ac:dyDescent="0.25">
      <c r="AP7059"/>
    </row>
    <row r="7060" spans="42:42" x14ac:dyDescent="0.25">
      <c r="AP7060"/>
    </row>
    <row r="7061" spans="42:42" x14ac:dyDescent="0.25">
      <c r="AP7061"/>
    </row>
    <row r="7062" spans="42:42" x14ac:dyDescent="0.25">
      <c r="AP7062"/>
    </row>
    <row r="7063" spans="42:42" x14ac:dyDescent="0.25">
      <c r="AP7063"/>
    </row>
    <row r="7064" spans="42:42" x14ac:dyDescent="0.25">
      <c r="AP7064"/>
    </row>
    <row r="7065" spans="42:42" x14ac:dyDescent="0.25">
      <c r="AP7065"/>
    </row>
    <row r="7066" spans="42:42" x14ac:dyDescent="0.25">
      <c r="AP7066"/>
    </row>
    <row r="7067" spans="42:42" x14ac:dyDescent="0.25">
      <c r="AP7067"/>
    </row>
    <row r="7068" spans="42:42" x14ac:dyDescent="0.25">
      <c r="AP7068"/>
    </row>
    <row r="7069" spans="42:42" x14ac:dyDescent="0.25">
      <c r="AP7069"/>
    </row>
    <row r="7070" spans="42:42" x14ac:dyDescent="0.25">
      <c r="AP7070"/>
    </row>
    <row r="7071" spans="42:42" x14ac:dyDescent="0.25">
      <c r="AP7071"/>
    </row>
    <row r="7072" spans="42:42" x14ac:dyDescent="0.25">
      <c r="AP7072"/>
    </row>
    <row r="7073" spans="42:42" x14ac:dyDescent="0.25">
      <c r="AP7073"/>
    </row>
    <row r="7074" spans="42:42" x14ac:dyDescent="0.25">
      <c r="AP7074"/>
    </row>
    <row r="7075" spans="42:42" x14ac:dyDescent="0.25">
      <c r="AP7075"/>
    </row>
    <row r="7076" spans="42:42" x14ac:dyDescent="0.25">
      <c r="AP7076"/>
    </row>
    <row r="7077" spans="42:42" x14ac:dyDescent="0.25">
      <c r="AP7077"/>
    </row>
    <row r="7078" spans="42:42" x14ac:dyDescent="0.25">
      <c r="AP7078"/>
    </row>
    <row r="7079" spans="42:42" x14ac:dyDescent="0.25">
      <c r="AP7079"/>
    </row>
    <row r="7080" spans="42:42" x14ac:dyDescent="0.25">
      <c r="AP7080"/>
    </row>
    <row r="7081" spans="42:42" x14ac:dyDescent="0.25">
      <c r="AP7081"/>
    </row>
    <row r="7082" spans="42:42" x14ac:dyDescent="0.25">
      <c r="AP7082"/>
    </row>
    <row r="7083" spans="42:42" x14ac:dyDescent="0.25">
      <c r="AP7083"/>
    </row>
    <row r="7084" spans="42:42" x14ac:dyDescent="0.25">
      <c r="AP7084"/>
    </row>
    <row r="7085" spans="42:42" x14ac:dyDescent="0.25">
      <c r="AP7085"/>
    </row>
    <row r="7086" spans="42:42" x14ac:dyDescent="0.25">
      <c r="AP7086"/>
    </row>
    <row r="7087" spans="42:42" x14ac:dyDescent="0.25">
      <c r="AP7087"/>
    </row>
    <row r="7088" spans="42:42" x14ac:dyDescent="0.25">
      <c r="AP7088"/>
    </row>
    <row r="7089" spans="42:42" x14ac:dyDescent="0.25">
      <c r="AP7089"/>
    </row>
    <row r="7090" spans="42:42" x14ac:dyDescent="0.25">
      <c r="AP7090"/>
    </row>
    <row r="7091" spans="42:42" x14ac:dyDescent="0.25">
      <c r="AP7091"/>
    </row>
    <row r="7092" spans="42:42" x14ac:dyDescent="0.25">
      <c r="AP7092"/>
    </row>
    <row r="7093" spans="42:42" x14ac:dyDescent="0.25">
      <c r="AP7093"/>
    </row>
    <row r="7094" spans="42:42" x14ac:dyDescent="0.25">
      <c r="AP7094"/>
    </row>
    <row r="7095" spans="42:42" x14ac:dyDescent="0.25">
      <c r="AP7095"/>
    </row>
    <row r="7096" spans="42:42" x14ac:dyDescent="0.25">
      <c r="AP7096"/>
    </row>
    <row r="7097" spans="42:42" x14ac:dyDescent="0.25">
      <c r="AP7097"/>
    </row>
    <row r="7098" spans="42:42" x14ac:dyDescent="0.25">
      <c r="AP7098"/>
    </row>
    <row r="7099" spans="42:42" x14ac:dyDescent="0.25">
      <c r="AP7099"/>
    </row>
    <row r="7100" spans="42:42" x14ac:dyDescent="0.25">
      <c r="AP7100"/>
    </row>
    <row r="7101" spans="42:42" x14ac:dyDescent="0.25">
      <c r="AP7101"/>
    </row>
    <row r="7102" spans="42:42" x14ac:dyDescent="0.25">
      <c r="AP7102"/>
    </row>
    <row r="7103" spans="42:42" x14ac:dyDescent="0.25">
      <c r="AP7103"/>
    </row>
    <row r="7104" spans="42:42" x14ac:dyDescent="0.25">
      <c r="AP7104"/>
    </row>
    <row r="7105" spans="42:42" x14ac:dyDescent="0.25">
      <c r="AP7105"/>
    </row>
    <row r="7106" spans="42:42" x14ac:dyDescent="0.25">
      <c r="AP7106"/>
    </row>
    <row r="7107" spans="42:42" x14ac:dyDescent="0.25">
      <c r="AP7107"/>
    </row>
    <row r="7108" spans="42:42" x14ac:dyDescent="0.25">
      <c r="AP7108"/>
    </row>
    <row r="7109" spans="42:42" x14ac:dyDescent="0.25">
      <c r="AP7109"/>
    </row>
    <row r="7110" spans="42:42" x14ac:dyDescent="0.25">
      <c r="AP7110"/>
    </row>
    <row r="7111" spans="42:42" x14ac:dyDescent="0.25">
      <c r="AP7111"/>
    </row>
    <row r="7112" spans="42:42" x14ac:dyDescent="0.25">
      <c r="AP7112"/>
    </row>
    <row r="7113" spans="42:42" x14ac:dyDescent="0.25">
      <c r="AP7113"/>
    </row>
    <row r="7114" spans="42:42" x14ac:dyDescent="0.25">
      <c r="AP7114"/>
    </row>
    <row r="7115" spans="42:42" x14ac:dyDescent="0.25">
      <c r="AP7115"/>
    </row>
    <row r="7116" spans="42:42" x14ac:dyDescent="0.25">
      <c r="AP7116"/>
    </row>
    <row r="7117" spans="42:42" x14ac:dyDescent="0.25">
      <c r="AP7117"/>
    </row>
    <row r="7118" spans="42:42" x14ac:dyDescent="0.25">
      <c r="AP7118"/>
    </row>
    <row r="7119" spans="42:42" x14ac:dyDescent="0.25">
      <c r="AP7119"/>
    </row>
    <row r="7120" spans="42:42" x14ac:dyDescent="0.25">
      <c r="AP7120"/>
    </row>
    <row r="7121" spans="42:42" x14ac:dyDescent="0.25">
      <c r="AP7121"/>
    </row>
    <row r="7122" spans="42:42" x14ac:dyDescent="0.25">
      <c r="AP7122"/>
    </row>
    <row r="7123" spans="42:42" x14ac:dyDescent="0.25">
      <c r="AP7123"/>
    </row>
    <row r="7124" spans="42:42" x14ac:dyDescent="0.25">
      <c r="AP7124"/>
    </row>
    <row r="7125" spans="42:42" x14ac:dyDescent="0.25">
      <c r="AP7125"/>
    </row>
    <row r="7126" spans="42:42" x14ac:dyDescent="0.25">
      <c r="AP7126"/>
    </row>
    <row r="7127" spans="42:42" x14ac:dyDescent="0.25">
      <c r="AP7127"/>
    </row>
    <row r="7128" spans="42:42" x14ac:dyDescent="0.25">
      <c r="AP7128"/>
    </row>
    <row r="7129" spans="42:42" x14ac:dyDescent="0.25">
      <c r="AP7129"/>
    </row>
    <row r="7130" spans="42:42" x14ac:dyDescent="0.25">
      <c r="AP7130"/>
    </row>
    <row r="7131" spans="42:42" x14ac:dyDescent="0.25">
      <c r="AP7131"/>
    </row>
    <row r="7132" spans="42:42" x14ac:dyDescent="0.25">
      <c r="AP7132"/>
    </row>
    <row r="7133" spans="42:42" x14ac:dyDescent="0.25">
      <c r="AP7133"/>
    </row>
    <row r="7134" spans="42:42" x14ac:dyDescent="0.25">
      <c r="AP7134"/>
    </row>
    <row r="7135" spans="42:42" x14ac:dyDescent="0.25">
      <c r="AP7135"/>
    </row>
    <row r="7136" spans="42:42" x14ac:dyDescent="0.25">
      <c r="AP7136"/>
    </row>
    <row r="7137" spans="42:42" x14ac:dyDescent="0.25">
      <c r="AP7137"/>
    </row>
    <row r="7138" spans="42:42" x14ac:dyDescent="0.25">
      <c r="AP7138"/>
    </row>
    <row r="7139" spans="42:42" x14ac:dyDescent="0.25">
      <c r="AP7139"/>
    </row>
    <row r="7140" spans="42:42" x14ac:dyDescent="0.25">
      <c r="AP7140"/>
    </row>
    <row r="7141" spans="42:42" x14ac:dyDescent="0.25">
      <c r="AP7141"/>
    </row>
    <row r="7142" spans="42:42" x14ac:dyDescent="0.25">
      <c r="AP7142"/>
    </row>
    <row r="7143" spans="42:42" x14ac:dyDescent="0.25">
      <c r="AP7143"/>
    </row>
    <row r="7144" spans="42:42" x14ac:dyDescent="0.25">
      <c r="AP7144"/>
    </row>
    <row r="7145" spans="42:42" x14ac:dyDescent="0.25">
      <c r="AP7145"/>
    </row>
    <row r="7146" spans="42:42" x14ac:dyDescent="0.25">
      <c r="AP7146"/>
    </row>
    <row r="7147" spans="42:42" x14ac:dyDescent="0.25">
      <c r="AP7147"/>
    </row>
    <row r="7148" spans="42:42" x14ac:dyDescent="0.25">
      <c r="AP7148"/>
    </row>
    <row r="7149" spans="42:42" x14ac:dyDescent="0.25">
      <c r="AP7149"/>
    </row>
    <row r="7150" spans="42:42" x14ac:dyDescent="0.25">
      <c r="AP7150"/>
    </row>
    <row r="7151" spans="42:42" x14ac:dyDescent="0.25">
      <c r="AP7151"/>
    </row>
    <row r="7152" spans="42:42" x14ac:dyDescent="0.25">
      <c r="AP7152"/>
    </row>
    <row r="7153" spans="42:42" x14ac:dyDescent="0.25">
      <c r="AP7153"/>
    </row>
    <row r="7154" spans="42:42" x14ac:dyDescent="0.25">
      <c r="AP7154"/>
    </row>
    <row r="7155" spans="42:42" x14ac:dyDescent="0.25">
      <c r="AP7155"/>
    </row>
    <row r="7156" spans="42:42" x14ac:dyDescent="0.25">
      <c r="AP7156"/>
    </row>
    <row r="7157" spans="42:42" x14ac:dyDescent="0.25">
      <c r="AP7157"/>
    </row>
    <row r="7158" spans="42:42" x14ac:dyDescent="0.25">
      <c r="AP7158"/>
    </row>
    <row r="7159" spans="42:42" x14ac:dyDescent="0.25">
      <c r="AP7159"/>
    </row>
    <row r="7160" spans="42:42" x14ac:dyDescent="0.25">
      <c r="AP7160"/>
    </row>
    <row r="7161" spans="42:42" x14ac:dyDescent="0.25">
      <c r="AP7161"/>
    </row>
    <row r="7162" spans="42:42" x14ac:dyDescent="0.25">
      <c r="AP7162"/>
    </row>
    <row r="7163" spans="42:42" x14ac:dyDescent="0.25">
      <c r="AP7163"/>
    </row>
    <row r="7164" spans="42:42" x14ac:dyDescent="0.25">
      <c r="AP7164"/>
    </row>
    <row r="7165" spans="42:42" x14ac:dyDescent="0.25">
      <c r="AP7165"/>
    </row>
    <row r="7166" spans="42:42" x14ac:dyDescent="0.25">
      <c r="AP7166"/>
    </row>
    <row r="7167" spans="42:42" x14ac:dyDescent="0.25">
      <c r="AP7167"/>
    </row>
    <row r="7168" spans="42:42" x14ac:dyDescent="0.25">
      <c r="AP7168"/>
    </row>
    <row r="7169" spans="42:42" x14ac:dyDescent="0.25">
      <c r="AP7169"/>
    </row>
    <row r="7170" spans="42:42" x14ac:dyDescent="0.25">
      <c r="AP7170"/>
    </row>
    <row r="7171" spans="42:42" x14ac:dyDescent="0.25">
      <c r="AP7171"/>
    </row>
    <row r="7172" spans="42:42" x14ac:dyDescent="0.25">
      <c r="AP7172"/>
    </row>
    <row r="7173" spans="42:42" x14ac:dyDescent="0.25">
      <c r="AP7173"/>
    </row>
    <row r="7174" spans="42:42" x14ac:dyDescent="0.25">
      <c r="AP7174"/>
    </row>
    <row r="7175" spans="42:42" x14ac:dyDescent="0.25">
      <c r="AP7175"/>
    </row>
    <row r="7176" spans="42:42" x14ac:dyDescent="0.25">
      <c r="AP7176"/>
    </row>
    <row r="7177" spans="42:42" x14ac:dyDescent="0.25">
      <c r="AP7177"/>
    </row>
    <row r="7178" spans="42:42" x14ac:dyDescent="0.25">
      <c r="AP7178"/>
    </row>
    <row r="7179" spans="42:42" x14ac:dyDescent="0.25">
      <c r="AP7179"/>
    </row>
    <row r="7180" spans="42:42" x14ac:dyDescent="0.25">
      <c r="AP7180"/>
    </row>
    <row r="7181" spans="42:42" x14ac:dyDescent="0.25">
      <c r="AP7181"/>
    </row>
    <row r="7182" spans="42:42" x14ac:dyDescent="0.25">
      <c r="AP7182"/>
    </row>
    <row r="7183" spans="42:42" x14ac:dyDescent="0.25">
      <c r="AP7183"/>
    </row>
    <row r="7184" spans="42:42" x14ac:dyDescent="0.25">
      <c r="AP7184"/>
    </row>
    <row r="7185" spans="42:42" x14ac:dyDescent="0.25">
      <c r="AP7185"/>
    </row>
    <row r="7186" spans="42:42" x14ac:dyDescent="0.25">
      <c r="AP7186"/>
    </row>
    <row r="7187" spans="42:42" x14ac:dyDescent="0.25">
      <c r="AP7187"/>
    </row>
    <row r="7188" spans="42:42" x14ac:dyDescent="0.25">
      <c r="AP7188"/>
    </row>
    <row r="7189" spans="42:42" x14ac:dyDescent="0.25">
      <c r="AP7189"/>
    </row>
    <row r="7190" spans="42:42" x14ac:dyDescent="0.25">
      <c r="AP7190"/>
    </row>
    <row r="7191" spans="42:42" x14ac:dyDescent="0.25">
      <c r="AP7191"/>
    </row>
    <row r="7192" spans="42:42" x14ac:dyDescent="0.25">
      <c r="AP7192"/>
    </row>
    <row r="7193" spans="42:42" x14ac:dyDescent="0.25">
      <c r="AP7193"/>
    </row>
    <row r="7194" spans="42:42" x14ac:dyDescent="0.25">
      <c r="AP7194"/>
    </row>
    <row r="7195" spans="42:42" x14ac:dyDescent="0.25">
      <c r="AP7195"/>
    </row>
    <row r="7196" spans="42:42" x14ac:dyDescent="0.25">
      <c r="AP7196"/>
    </row>
    <row r="7197" spans="42:42" x14ac:dyDescent="0.25">
      <c r="AP7197"/>
    </row>
    <row r="7198" spans="42:42" x14ac:dyDescent="0.25">
      <c r="AP7198"/>
    </row>
    <row r="7199" spans="42:42" x14ac:dyDescent="0.25">
      <c r="AP7199"/>
    </row>
    <row r="7200" spans="42:42" x14ac:dyDescent="0.25">
      <c r="AP7200"/>
    </row>
    <row r="7201" spans="42:42" x14ac:dyDescent="0.25">
      <c r="AP7201"/>
    </row>
    <row r="7202" spans="42:42" x14ac:dyDescent="0.25">
      <c r="AP7202"/>
    </row>
    <row r="7203" spans="42:42" x14ac:dyDescent="0.25">
      <c r="AP7203"/>
    </row>
    <row r="7204" spans="42:42" x14ac:dyDescent="0.25">
      <c r="AP7204"/>
    </row>
    <row r="7205" spans="42:42" x14ac:dyDescent="0.25">
      <c r="AP7205"/>
    </row>
    <row r="7206" spans="42:42" x14ac:dyDescent="0.25">
      <c r="AP7206"/>
    </row>
    <row r="7207" spans="42:42" x14ac:dyDescent="0.25">
      <c r="AP7207"/>
    </row>
    <row r="7208" spans="42:42" x14ac:dyDescent="0.25">
      <c r="AP7208"/>
    </row>
    <row r="7209" spans="42:42" x14ac:dyDescent="0.25">
      <c r="AP7209"/>
    </row>
    <row r="7210" spans="42:42" x14ac:dyDescent="0.25">
      <c r="AP7210"/>
    </row>
    <row r="7211" spans="42:42" x14ac:dyDescent="0.25">
      <c r="AP7211"/>
    </row>
    <row r="7212" spans="42:42" x14ac:dyDescent="0.25">
      <c r="AP7212"/>
    </row>
    <row r="7213" spans="42:42" x14ac:dyDescent="0.25">
      <c r="AP7213"/>
    </row>
    <row r="7214" spans="42:42" x14ac:dyDescent="0.25">
      <c r="AP7214"/>
    </row>
    <row r="7215" spans="42:42" x14ac:dyDescent="0.25">
      <c r="AP7215"/>
    </row>
    <row r="7216" spans="42:42" x14ac:dyDescent="0.25">
      <c r="AP7216"/>
    </row>
    <row r="7217" spans="42:42" x14ac:dyDescent="0.25">
      <c r="AP7217"/>
    </row>
    <row r="7218" spans="42:42" x14ac:dyDescent="0.25">
      <c r="AP7218"/>
    </row>
    <row r="7219" spans="42:42" x14ac:dyDescent="0.25">
      <c r="AP7219"/>
    </row>
    <row r="7220" spans="42:42" x14ac:dyDescent="0.25">
      <c r="AP7220"/>
    </row>
    <row r="7221" spans="42:42" x14ac:dyDescent="0.25">
      <c r="AP7221"/>
    </row>
    <row r="7222" spans="42:42" x14ac:dyDescent="0.25">
      <c r="AP7222"/>
    </row>
    <row r="7223" spans="42:42" x14ac:dyDescent="0.25">
      <c r="AP7223"/>
    </row>
    <row r="7224" spans="42:42" x14ac:dyDescent="0.25">
      <c r="AP7224"/>
    </row>
    <row r="7225" spans="42:42" x14ac:dyDescent="0.25">
      <c r="AP7225"/>
    </row>
    <row r="7226" spans="42:42" x14ac:dyDescent="0.25">
      <c r="AP7226"/>
    </row>
    <row r="7227" spans="42:42" x14ac:dyDescent="0.25">
      <c r="AP7227"/>
    </row>
    <row r="7228" spans="42:42" x14ac:dyDescent="0.25">
      <c r="AP7228"/>
    </row>
    <row r="7229" spans="42:42" x14ac:dyDescent="0.25">
      <c r="AP7229"/>
    </row>
    <row r="7230" spans="42:42" x14ac:dyDescent="0.25">
      <c r="AP7230"/>
    </row>
    <row r="7231" spans="42:42" x14ac:dyDescent="0.25">
      <c r="AP7231"/>
    </row>
    <row r="7232" spans="42:42" x14ac:dyDescent="0.25">
      <c r="AP7232"/>
    </row>
    <row r="7233" spans="42:42" x14ac:dyDescent="0.25">
      <c r="AP7233"/>
    </row>
    <row r="7234" spans="42:42" x14ac:dyDescent="0.25">
      <c r="AP7234"/>
    </row>
    <row r="7235" spans="42:42" x14ac:dyDescent="0.25">
      <c r="AP7235"/>
    </row>
    <row r="7236" spans="42:42" x14ac:dyDescent="0.25">
      <c r="AP7236"/>
    </row>
    <row r="7237" spans="42:42" x14ac:dyDescent="0.25">
      <c r="AP7237"/>
    </row>
    <row r="7238" spans="42:42" x14ac:dyDescent="0.25">
      <c r="AP7238"/>
    </row>
    <row r="7239" spans="42:42" x14ac:dyDescent="0.25">
      <c r="AP7239"/>
    </row>
    <row r="7240" spans="42:42" x14ac:dyDescent="0.25">
      <c r="AP7240"/>
    </row>
    <row r="7241" spans="42:42" x14ac:dyDescent="0.25">
      <c r="AP7241"/>
    </row>
    <row r="7242" spans="42:42" x14ac:dyDescent="0.25">
      <c r="AP7242"/>
    </row>
    <row r="7243" spans="42:42" x14ac:dyDescent="0.25">
      <c r="AP7243"/>
    </row>
    <row r="7244" spans="42:42" x14ac:dyDescent="0.25">
      <c r="AP7244"/>
    </row>
    <row r="7245" spans="42:42" x14ac:dyDescent="0.25">
      <c r="AP7245"/>
    </row>
    <row r="7246" spans="42:42" x14ac:dyDescent="0.25">
      <c r="AP7246"/>
    </row>
    <row r="7247" spans="42:42" x14ac:dyDescent="0.25">
      <c r="AP7247"/>
    </row>
    <row r="7248" spans="42:42" x14ac:dyDescent="0.25">
      <c r="AP7248"/>
    </row>
    <row r="7249" spans="42:42" x14ac:dyDescent="0.25">
      <c r="AP7249"/>
    </row>
    <row r="7250" spans="42:42" x14ac:dyDescent="0.25">
      <c r="AP7250"/>
    </row>
    <row r="7251" spans="42:42" x14ac:dyDescent="0.25">
      <c r="AP7251"/>
    </row>
    <row r="7252" spans="42:42" x14ac:dyDescent="0.25">
      <c r="AP7252"/>
    </row>
    <row r="7253" spans="42:42" x14ac:dyDescent="0.25">
      <c r="AP7253"/>
    </row>
    <row r="7254" spans="42:42" x14ac:dyDescent="0.25">
      <c r="AP7254"/>
    </row>
    <row r="7255" spans="42:42" x14ac:dyDescent="0.25">
      <c r="AP7255"/>
    </row>
    <row r="7256" spans="42:42" x14ac:dyDescent="0.25">
      <c r="AP7256"/>
    </row>
    <row r="7257" spans="42:42" x14ac:dyDescent="0.25">
      <c r="AP7257"/>
    </row>
    <row r="7258" spans="42:42" x14ac:dyDescent="0.25">
      <c r="AP7258"/>
    </row>
    <row r="7259" spans="42:42" x14ac:dyDescent="0.25">
      <c r="AP7259"/>
    </row>
    <row r="7260" spans="42:42" x14ac:dyDescent="0.25">
      <c r="AP7260"/>
    </row>
    <row r="7261" spans="42:42" x14ac:dyDescent="0.25">
      <c r="AP7261"/>
    </row>
    <row r="7262" spans="42:42" x14ac:dyDescent="0.25">
      <c r="AP7262"/>
    </row>
    <row r="7263" spans="42:42" x14ac:dyDescent="0.25">
      <c r="AP7263"/>
    </row>
    <row r="7264" spans="42:42" x14ac:dyDescent="0.25">
      <c r="AP7264"/>
    </row>
    <row r="7265" spans="42:42" x14ac:dyDescent="0.25">
      <c r="AP7265"/>
    </row>
    <row r="7266" spans="42:42" x14ac:dyDescent="0.25">
      <c r="AP7266"/>
    </row>
    <row r="7267" spans="42:42" x14ac:dyDescent="0.25">
      <c r="AP7267"/>
    </row>
    <row r="7268" spans="42:42" x14ac:dyDescent="0.25">
      <c r="AP7268"/>
    </row>
    <row r="7269" spans="42:42" x14ac:dyDescent="0.25">
      <c r="AP7269"/>
    </row>
    <row r="7270" spans="42:42" x14ac:dyDescent="0.25">
      <c r="AP7270"/>
    </row>
    <row r="7271" spans="42:42" x14ac:dyDescent="0.25">
      <c r="AP7271"/>
    </row>
    <row r="7272" spans="42:42" x14ac:dyDescent="0.25">
      <c r="AP7272"/>
    </row>
    <row r="7273" spans="42:42" x14ac:dyDescent="0.25">
      <c r="AP7273"/>
    </row>
    <row r="7274" spans="42:42" x14ac:dyDescent="0.25">
      <c r="AP7274"/>
    </row>
    <row r="7275" spans="42:42" x14ac:dyDescent="0.25">
      <c r="AP7275"/>
    </row>
    <row r="7276" spans="42:42" x14ac:dyDescent="0.25">
      <c r="AP7276"/>
    </row>
    <row r="7277" spans="42:42" x14ac:dyDescent="0.25">
      <c r="AP7277"/>
    </row>
    <row r="7278" spans="42:42" x14ac:dyDescent="0.25">
      <c r="AP7278"/>
    </row>
    <row r="7279" spans="42:42" x14ac:dyDescent="0.25">
      <c r="AP7279"/>
    </row>
    <row r="7280" spans="42:42" x14ac:dyDescent="0.25">
      <c r="AP7280"/>
    </row>
    <row r="7281" spans="42:42" x14ac:dyDescent="0.25">
      <c r="AP7281"/>
    </row>
    <row r="7282" spans="42:42" x14ac:dyDescent="0.25">
      <c r="AP7282"/>
    </row>
    <row r="7283" spans="42:42" x14ac:dyDescent="0.25">
      <c r="AP7283"/>
    </row>
    <row r="7284" spans="42:42" x14ac:dyDescent="0.25">
      <c r="AP7284"/>
    </row>
    <row r="7285" spans="42:42" x14ac:dyDescent="0.25">
      <c r="AP7285"/>
    </row>
    <row r="7286" spans="42:42" x14ac:dyDescent="0.25">
      <c r="AP7286"/>
    </row>
    <row r="7287" spans="42:42" x14ac:dyDescent="0.25">
      <c r="AP7287"/>
    </row>
    <row r="7288" spans="42:42" x14ac:dyDescent="0.25">
      <c r="AP7288"/>
    </row>
    <row r="7289" spans="42:42" x14ac:dyDescent="0.25">
      <c r="AP7289"/>
    </row>
    <row r="7290" spans="42:42" x14ac:dyDescent="0.25">
      <c r="AP7290"/>
    </row>
    <row r="7291" spans="42:42" x14ac:dyDescent="0.25">
      <c r="AP7291"/>
    </row>
    <row r="7292" spans="42:42" x14ac:dyDescent="0.25">
      <c r="AP7292"/>
    </row>
    <row r="7293" spans="42:42" x14ac:dyDescent="0.25">
      <c r="AP7293"/>
    </row>
    <row r="7294" spans="42:42" x14ac:dyDescent="0.25">
      <c r="AP7294"/>
    </row>
    <row r="7295" spans="42:42" x14ac:dyDescent="0.25">
      <c r="AP7295"/>
    </row>
    <row r="7296" spans="42:42" x14ac:dyDescent="0.25">
      <c r="AP7296"/>
    </row>
    <row r="7297" spans="42:42" x14ac:dyDescent="0.25">
      <c r="AP7297"/>
    </row>
    <row r="7298" spans="42:42" x14ac:dyDescent="0.25">
      <c r="AP7298"/>
    </row>
    <row r="7299" spans="42:42" x14ac:dyDescent="0.25">
      <c r="AP7299"/>
    </row>
    <row r="7300" spans="42:42" x14ac:dyDescent="0.25">
      <c r="AP7300"/>
    </row>
    <row r="7301" spans="42:42" x14ac:dyDescent="0.25">
      <c r="AP7301"/>
    </row>
    <row r="7302" spans="42:42" x14ac:dyDescent="0.25">
      <c r="AP7302"/>
    </row>
    <row r="7303" spans="42:42" x14ac:dyDescent="0.25">
      <c r="AP7303"/>
    </row>
    <row r="7304" spans="42:42" x14ac:dyDescent="0.25">
      <c r="AP7304"/>
    </row>
    <row r="7305" spans="42:42" x14ac:dyDescent="0.25">
      <c r="AP7305"/>
    </row>
    <row r="7306" spans="42:42" x14ac:dyDescent="0.25">
      <c r="AP7306"/>
    </row>
    <row r="7307" spans="42:42" x14ac:dyDescent="0.25">
      <c r="AP7307"/>
    </row>
    <row r="7308" spans="42:42" x14ac:dyDescent="0.25">
      <c r="AP7308"/>
    </row>
    <row r="7309" spans="42:42" x14ac:dyDescent="0.25">
      <c r="AP7309"/>
    </row>
    <row r="7310" spans="42:42" x14ac:dyDescent="0.25">
      <c r="AP7310"/>
    </row>
    <row r="7311" spans="42:42" x14ac:dyDescent="0.25">
      <c r="AP7311"/>
    </row>
    <row r="7312" spans="42:42" x14ac:dyDescent="0.25">
      <c r="AP7312"/>
    </row>
    <row r="7313" spans="42:42" x14ac:dyDescent="0.25">
      <c r="AP7313"/>
    </row>
    <row r="7314" spans="42:42" x14ac:dyDescent="0.25">
      <c r="AP7314"/>
    </row>
    <row r="7315" spans="42:42" x14ac:dyDescent="0.25">
      <c r="AP7315"/>
    </row>
    <row r="7316" spans="42:42" x14ac:dyDescent="0.25">
      <c r="AP7316"/>
    </row>
    <row r="7317" spans="42:42" x14ac:dyDescent="0.25">
      <c r="AP7317"/>
    </row>
    <row r="7318" spans="42:42" x14ac:dyDescent="0.25">
      <c r="AP7318"/>
    </row>
    <row r="7319" spans="42:42" x14ac:dyDescent="0.25">
      <c r="AP7319"/>
    </row>
    <row r="7320" spans="42:42" x14ac:dyDescent="0.25">
      <c r="AP7320"/>
    </row>
    <row r="7321" spans="42:42" x14ac:dyDescent="0.25">
      <c r="AP7321"/>
    </row>
    <row r="7322" spans="42:42" x14ac:dyDescent="0.25">
      <c r="AP7322"/>
    </row>
    <row r="7323" spans="42:42" x14ac:dyDescent="0.25">
      <c r="AP7323"/>
    </row>
    <row r="7324" spans="42:42" x14ac:dyDescent="0.25">
      <c r="AP7324"/>
    </row>
    <row r="7325" spans="42:42" x14ac:dyDescent="0.25">
      <c r="AP7325"/>
    </row>
    <row r="7326" spans="42:42" x14ac:dyDescent="0.25">
      <c r="AP7326"/>
    </row>
    <row r="7327" spans="42:42" x14ac:dyDescent="0.25">
      <c r="AP7327"/>
    </row>
    <row r="7328" spans="42:42" x14ac:dyDescent="0.25">
      <c r="AP7328"/>
    </row>
    <row r="7329" spans="42:42" x14ac:dyDescent="0.25">
      <c r="AP7329"/>
    </row>
    <row r="7330" spans="42:42" x14ac:dyDescent="0.25">
      <c r="AP7330"/>
    </row>
    <row r="7331" spans="42:42" x14ac:dyDescent="0.25">
      <c r="AP7331"/>
    </row>
    <row r="7332" spans="42:42" x14ac:dyDescent="0.25">
      <c r="AP7332"/>
    </row>
    <row r="7333" spans="42:42" x14ac:dyDescent="0.25">
      <c r="AP7333"/>
    </row>
    <row r="7334" spans="42:42" x14ac:dyDescent="0.25">
      <c r="AP7334"/>
    </row>
    <row r="7335" spans="42:42" x14ac:dyDescent="0.25">
      <c r="AP7335"/>
    </row>
    <row r="7336" spans="42:42" x14ac:dyDescent="0.25">
      <c r="AP7336"/>
    </row>
    <row r="7337" spans="42:42" x14ac:dyDescent="0.25">
      <c r="AP7337"/>
    </row>
    <row r="7338" spans="42:42" x14ac:dyDescent="0.25">
      <c r="AP7338"/>
    </row>
    <row r="7339" spans="42:42" x14ac:dyDescent="0.25">
      <c r="AP7339"/>
    </row>
    <row r="7340" spans="42:42" x14ac:dyDescent="0.25">
      <c r="AP7340"/>
    </row>
    <row r="7341" spans="42:42" x14ac:dyDescent="0.25">
      <c r="AP7341"/>
    </row>
    <row r="7342" spans="42:42" x14ac:dyDescent="0.25">
      <c r="AP7342"/>
    </row>
    <row r="7343" spans="42:42" x14ac:dyDescent="0.25">
      <c r="AP7343"/>
    </row>
    <row r="7344" spans="42:42" x14ac:dyDescent="0.25">
      <c r="AP7344"/>
    </row>
    <row r="7345" spans="42:42" x14ac:dyDescent="0.25">
      <c r="AP7345"/>
    </row>
    <row r="7346" spans="42:42" x14ac:dyDescent="0.25">
      <c r="AP7346"/>
    </row>
    <row r="7347" spans="42:42" x14ac:dyDescent="0.25">
      <c r="AP7347"/>
    </row>
    <row r="7348" spans="42:42" x14ac:dyDescent="0.25">
      <c r="AP7348"/>
    </row>
    <row r="7349" spans="42:42" x14ac:dyDescent="0.25">
      <c r="AP7349"/>
    </row>
    <row r="7350" spans="42:42" x14ac:dyDescent="0.25">
      <c r="AP7350"/>
    </row>
    <row r="7351" spans="42:42" x14ac:dyDescent="0.25">
      <c r="AP7351"/>
    </row>
    <row r="7352" spans="42:42" x14ac:dyDescent="0.25">
      <c r="AP7352"/>
    </row>
    <row r="7353" spans="42:42" x14ac:dyDescent="0.25">
      <c r="AP7353"/>
    </row>
    <row r="7354" spans="42:42" x14ac:dyDescent="0.25">
      <c r="AP7354"/>
    </row>
    <row r="7355" spans="42:42" x14ac:dyDescent="0.25">
      <c r="AP7355"/>
    </row>
    <row r="7356" spans="42:42" x14ac:dyDescent="0.25">
      <c r="AP7356"/>
    </row>
    <row r="7357" spans="42:42" x14ac:dyDescent="0.25">
      <c r="AP7357"/>
    </row>
    <row r="7358" spans="42:42" x14ac:dyDescent="0.25">
      <c r="AP7358"/>
    </row>
    <row r="7359" spans="42:42" x14ac:dyDescent="0.25">
      <c r="AP7359"/>
    </row>
    <row r="7360" spans="42:42" x14ac:dyDescent="0.25">
      <c r="AP7360"/>
    </row>
    <row r="7361" spans="42:42" x14ac:dyDescent="0.25">
      <c r="AP7361"/>
    </row>
    <row r="7362" spans="42:42" x14ac:dyDescent="0.25">
      <c r="AP7362"/>
    </row>
    <row r="7363" spans="42:42" x14ac:dyDescent="0.25">
      <c r="AP7363"/>
    </row>
    <row r="7364" spans="42:42" x14ac:dyDescent="0.25">
      <c r="AP7364"/>
    </row>
    <row r="7365" spans="42:42" x14ac:dyDescent="0.25">
      <c r="AP7365"/>
    </row>
    <row r="7366" spans="42:42" x14ac:dyDescent="0.25">
      <c r="AP7366"/>
    </row>
    <row r="7367" spans="42:42" x14ac:dyDescent="0.25">
      <c r="AP7367"/>
    </row>
    <row r="7368" spans="42:42" x14ac:dyDescent="0.25">
      <c r="AP7368"/>
    </row>
    <row r="7369" spans="42:42" x14ac:dyDescent="0.25">
      <c r="AP7369"/>
    </row>
    <row r="7370" spans="42:42" x14ac:dyDescent="0.25">
      <c r="AP7370"/>
    </row>
    <row r="7371" spans="42:42" x14ac:dyDescent="0.25">
      <c r="AP7371"/>
    </row>
    <row r="7372" spans="42:42" x14ac:dyDescent="0.25">
      <c r="AP7372"/>
    </row>
    <row r="7373" spans="42:42" x14ac:dyDescent="0.25">
      <c r="AP7373"/>
    </row>
    <row r="7374" spans="42:42" x14ac:dyDescent="0.25">
      <c r="AP7374"/>
    </row>
    <row r="7375" spans="42:42" x14ac:dyDescent="0.25">
      <c r="AP7375"/>
    </row>
    <row r="7376" spans="42:42" x14ac:dyDescent="0.25">
      <c r="AP7376"/>
    </row>
    <row r="7377" spans="42:42" x14ac:dyDescent="0.25">
      <c r="AP7377"/>
    </row>
    <row r="7378" spans="42:42" x14ac:dyDescent="0.25">
      <c r="AP7378"/>
    </row>
    <row r="7379" spans="42:42" x14ac:dyDescent="0.25">
      <c r="AP7379"/>
    </row>
    <row r="7380" spans="42:42" x14ac:dyDescent="0.25">
      <c r="AP7380"/>
    </row>
    <row r="7381" spans="42:42" x14ac:dyDescent="0.25">
      <c r="AP7381"/>
    </row>
    <row r="7382" spans="42:42" x14ac:dyDescent="0.25">
      <c r="AP7382"/>
    </row>
    <row r="7383" spans="42:42" x14ac:dyDescent="0.25">
      <c r="AP7383"/>
    </row>
    <row r="7384" spans="42:42" x14ac:dyDescent="0.25">
      <c r="AP7384"/>
    </row>
    <row r="7385" spans="42:42" x14ac:dyDescent="0.25">
      <c r="AP7385"/>
    </row>
    <row r="7386" spans="42:42" x14ac:dyDescent="0.25">
      <c r="AP7386"/>
    </row>
    <row r="7387" spans="42:42" x14ac:dyDescent="0.25">
      <c r="AP7387"/>
    </row>
    <row r="7388" spans="42:42" x14ac:dyDescent="0.25">
      <c r="AP7388"/>
    </row>
    <row r="7389" spans="42:42" x14ac:dyDescent="0.25">
      <c r="AP7389"/>
    </row>
    <row r="7390" spans="42:42" x14ac:dyDescent="0.25">
      <c r="AP7390"/>
    </row>
    <row r="7391" spans="42:42" x14ac:dyDescent="0.25">
      <c r="AP7391"/>
    </row>
    <row r="7392" spans="42:42" x14ac:dyDescent="0.25">
      <c r="AP7392"/>
    </row>
    <row r="7393" spans="42:42" x14ac:dyDescent="0.25">
      <c r="AP7393"/>
    </row>
    <row r="7394" spans="42:42" x14ac:dyDescent="0.25">
      <c r="AP7394"/>
    </row>
    <row r="7395" spans="42:42" x14ac:dyDescent="0.25">
      <c r="AP7395"/>
    </row>
    <row r="7396" spans="42:42" x14ac:dyDescent="0.25">
      <c r="AP7396"/>
    </row>
    <row r="7397" spans="42:42" x14ac:dyDescent="0.25">
      <c r="AP7397"/>
    </row>
    <row r="7398" spans="42:42" x14ac:dyDescent="0.25">
      <c r="AP7398"/>
    </row>
    <row r="7399" spans="42:42" x14ac:dyDescent="0.25">
      <c r="AP7399"/>
    </row>
    <row r="7400" spans="42:42" x14ac:dyDescent="0.25">
      <c r="AP7400"/>
    </row>
    <row r="7401" spans="42:42" x14ac:dyDescent="0.25">
      <c r="AP7401"/>
    </row>
    <row r="7402" spans="42:42" x14ac:dyDescent="0.25">
      <c r="AP7402"/>
    </row>
    <row r="7403" spans="42:42" x14ac:dyDescent="0.25">
      <c r="AP7403"/>
    </row>
    <row r="7404" spans="42:42" x14ac:dyDescent="0.25">
      <c r="AP7404"/>
    </row>
    <row r="7405" spans="42:42" x14ac:dyDescent="0.25">
      <c r="AP7405"/>
    </row>
    <row r="7406" spans="42:42" x14ac:dyDescent="0.25">
      <c r="AP7406"/>
    </row>
    <row r="7407" spans="42:42" x14ac:dyDescent="0.25">
      <c r="AP7407"/>
    </row>
    <row r="7408" spans="42:42" x14ac:dyDescent="0.25">
      <c r="AP7408"/>
    </row>
    <row r="7409" spans="42:42" x14ac:dyDescent="0.25">
      <c r="AP7409"/>
    </row>
    <row r="7410" spans="42:42" x14ac:dyDescent="0.25">
      <c r="AP7410"/>
    </row>
    <row r="7411" spans="42:42" x14ac:dyDescent="0.25">
      <c r="AP7411"/>
    </row>
    <row r="7412" spans="42:42" x14ac:dyDescent="0.25">
      <c r="AP7412"/>
    </row>
    <row r="7413" spans="42:42" x14ac:dyDescent="0.25">
      <c r="AP7413"/>
    </row>
    <row r="7414" spans="42:42" x14ac:dyDescent="0.25">
      <c r="AP7414"/>
    </row>
    <row r="7415" spans="42:42" x14ac:dyDescent="0.25">
      <c r="AP7415"/>
    </row>
    <row r="7416" spans="42:42" x14ac:dyDescent="0.25">
      <c r="AP7416"/>
    </row>
    <row r="7417" spans="42:42" x14ac:dyDescent="0.25">
      <c r="AP7417"/>
    </row>
    <row r="7418" spans="42:42" x14ac:dyDescent="0.25">
      <c r="AP7418"/>
    </row>
    <row r="7419" spans="42:42" x14ac:dyDescent="0.25">
      <c r="AP7419"/>
    </row>
    <row r="7420" spans="42:42" x14ac:dyDescent="0.25">
      <c r="AP7420"/>
    </row>
    <row r="7421" spans="42:42" x14ac:dyDescent="0.25">
      <c r="AP7421"/>
    </row>
    <row r="7422" spans="42:42" x14ac:dyDescent="0.25">
      <c r="AP7422"/>
    </row>
    <row r="7423" spans="42:42" x14ac:dyDescent="0.25">
      <c r="AP7423"/>
    </row>
    <row r="7424" spans="42:42" x14ac:dyDescent="0.25">
      <c r="AP7424"/>
    </row>
    <row r="7425" spans="42:42" x14ac:dyDescent="0.25">
      <c r="AP7425"/>
    </row>
    <row r="7426" spans="42:42" x14ac:dyDescent="0.25">
      <c r="AP7426"/>
    </row>
    <row r="7427" spans="42:42" x14ac:dyDescent="0.25">
      <c r="AP7427"/>
    </row>
    <row r="7428" spans="42:42" x14ac:dyDescent="0.25">
      <c r="AP7428"/>
    </row>
    <row r="7429" spans="42:42" x14ac:dyDescent="0.25">
      <c r="AP7429"/>
    </row>
    <row r="7430" spans="42:42" x14ac:dyDescent="0.25">
      <c r="AP7430"/>
    </row>
    <row r="7431" spans="42:42" x14ac:dyDescent="0.25">
      <c r="AP7431"/>
    </row>
    <row r="7432" spans="42:42" x14ac:dyDescent="0.25">
      <c r="AP7432"/>
    </row>
    <row r="7433" spans="42:42" x14ac:dyDescent="0.25">
      <c r="AP7433"/>
    </row>
    <row r="7434" spans="42:42" x14ac:dyDescent="0.25">
      <c r="AP7434"/>
    </row>
    <row r="7435" spans="42:42" x14ac:dyDescent="0.25">
      <c r="AP7435"/>
    </row>
    <row r="7436" spans="42:42" x14ac:dyDescent="0.25">
      <c r="AP7436"/>
    </row>
    <row r="7437" spans="42:42" x14ac:dyDescent="0.25">
      <c r="AP7437"/>
    </row>
    <row r="7438" spans="42:42" x14ac:dyDescent="0.25">
      <c r="AP7438"/>
    </row>
    <row r="7439" spans="42:42" x14ac:dyDescent="0.25">
      <c r="AP7439"/>
    </row>
    <row r="7440" spans="42:42" x14ac:dyDescent="0.25">
      <c r="AP7440"/>
    </row>
    <row r="7441" spans="42:42" x14ac:dyDescent="0.25">
      <c r="AP7441"/>
    </row>
    <row r="7442" spans="42:42" x14ac:dyDescent="0.25">
      <c r="AP7442"/>
    </row>
    <row r="7443" spans="42:42" x14ac:dyDescent="0.25">
      <c r="AP7443"/>
    </row>
    <row r="7444" spans="42:42" x14ac:dyDescent="0.25">
      <c r="AP7444"/>
    </row>
    <row r="7445" spans="42:42" x14ac:dyDescent="0.25">
      <c r="AP7445"/>
    </row>
    <row r="7446" spans="42:42" x14ac:dyDescent="0.25">
      <c r="AP7446"/>
    </row>
    <row r="7447" spans="42:42" x14ac:dyDescent="0.25">
      <c r="AP7447"/>
    </row>
    <row r="7448" spans="42:42" x14ac:dyDescent="0.25">
      <c r="AP7448"/>
    </row>
    <row r="7449" spans="42:42" x14ac:dyDescent="0.25">
      <c r="AP7449"/>
    </row>
    <row r="7450" spans="42:42" x14ac:dyDescent="0.25">
      <c r="AP7450"/>
    </row>
    <row r="7451" spans="42:42" x14ac:dyDescent="0.25">
      <c r="AP7451"/>
    </row>
    <row r="7452" spans="42:42" x14ac:dyDescent="0.25">
      <c r="AP7452"/>
    </row>
    <row r="7453" spans="42:42" x14ac:dyDescent="0.25">
      <c r="AP7453"/>
    </row>
    <row r="7454" spans="42:42" x14ac:dyDescent="0.25">
      <c r="AP7454"/>
    </row>
    <row r="7455" spans="42:42" x14ac:dyDescent="0.25">
      <c r="AP7455"/>
    </row>
    <row r="7456" spans="42:42" x14ac:dyDescent="0.25">
      <c r="AP7456"/>
    </row>
    <row r="7457" spans="42:42" x14ac:dyDescent="0.25">
      <c r="AP7457"/>
    </row>
    <row r="7458" spans="42:42" x14ac:dyDescent="0.25">
      <c r="AP7458"/>
    </row>
    <row r="7459" spans="42:42" x14ac:dyDescent="0.25">
      <c r="AP7459"/>
    </row>
    <row r="7460" spans="42:42" x14ac:dyDescent="0.25">
      <c r="AP7460"/>
    </row>
    <row r="7461" spans="42:42" x14ac:dyDescent="0.25">
      <c r="AP7461"/>
    </row>
    <row r="7462" spans="42:42" x14ac:dyDescent="0.25">
      <c r="AP7462"/>
    </row>
    <row r="7463" spans="42:42" x14ac:dyDescent="0.25">
      <c r="AP7463"/>
    </row>
    <row r="7464" spans="42:42" x14ac:dyDescent="0.25">
      <c r="AP7464"/>
    </row>
    <row r="7465" spans="42:42" x14ac:dyDescent="0.25">
      <c r="AP7465"/>
    </row>
    <row r="7466" spans="42:42" x14ac:dyDescent="0.25">
      <c r="AP7466"/>
    </row>
    <row r="7467" spans="42:42" x14ac:dyDescent="0.25">
      <c r="AP7467"/>
    </row>
    <row r="7468" spans="42:42" x14ac:dyDescent="0.25">
      <c r="AP7468"/>
    </row>
    <row r="7469" spans="42:42" x14ac:dyDescent="0.25">
      <c r="AP7469"/>
    </row>
    <row r="7470" spans="42:42" x14ac:dyDescent="0.25">
      <c r="AP7470"/>
    </row>
    <row r="7471" spans="42:42" x14ac:dyDescent="0.25">
      <c r="AP7471"/>
    </row>
    <row r="7472" spans="42:42" x14ac:dyDescent="0.25">
      <c r="AP7472"/>
    </row>
    <row r="7473" spans="42:42" x14ac:dyDescent="0.25">
      <c r="AP7473"/>
    </row>
    <row r="7474" spans="42:42" x14ac:dyDescent="0.25">
      <c r="AP7474"/>
    </row>
    <row r="7475" spans="42:42" x14ac:dyDescent="0.25">
      <c r="AP7475"/>
    </row>
    <row r="7476" spans="42:42" x14ac:dyDescent="0.25">
      <c r="AP7476"/>
    </row>
    <row r="7477" spans="42:42" x14ac:dyDescent="0.25">
      <c r="AP7477"/>
    </row>
    <row r="7478" spans="42:42" x14ac:dyDescent="0.25">
      <c r="AP7478"/>
    </row>
    <row r="7479" spans="42:42" x14ac:dyDescent="0.25">
      <c r="AP7479"/>
    </row>
    <row r="7480" spans="42:42" x14ac:dyDescent="0.25">
      <c r="AP7480"/>
    </row>
    <row r="7481" spans="42:42" x14ac:dyDescent="0.25">
      <c r="AP7481"/>
    </row>
    <row r="7482" spans="42:42" x14ac:dyDescent="0.25">
      <c r="AP7482"/>
    </row>
    <row r="7483" spans="42:42" x14ac:dyDescent="0.25">
      <c r="AP7483"/>
    </row>
    <row r="7484" spans="42:42" x14ac:dyDescent="0.25">
      <c r="AP7484"/>
    </row>
    <row r="7485" spans="42:42" x14ac:dyDescent="0.25">
      <c r="AP7485"/>
    </row>
    <row r="7486" spans="42:42" x14ac:dyDescent="0.25">
      <c r="AP7486"/>
    </row>
    <row r="7487" spans="42:42" x14ac:dyDescent="0.25">
      <c r="AP7487"/>
    </row>
    <row r="7488" spans="42:42" x14ac:dyDescent="0.25">
      <c r="AP7488"/>
    </row>
    <row r="7489" spans="42:42" x14ac:dyDescent="0.25">
      <c r="AP7489"/>
    </row>
    <row r="7490" spans="42:42" x14ac:dyDescent="0.25">
      <c r="AP7490"/>
    </row>
    <row r="7491" spans="42:42" x14ac:dyDescent="0.25">
      <c r="AP7491"/>
    </row>
    <row r="7492" spans="42:42" x14ac:dyDescent="0.25">
      <c r="AP7492"/>
    </row>
    <row r="7493" spans="42:42" x14ac:dyDescent="0.25">
      <c r="AP7493"/>
    </row>
    <row r="7494" spans="42:42" x14ac:dyDescent="0.25">
      <c r="AP7494"/>
    </row>
    <row r="7495" spans="42:42" x14ac:dyDescent="0.25">
      <c r="AP7495"/>
    </row>
    <row r="7496" spans="42:42" x14ac:dyDescent="0.25">
      <c r="AP7496"/>
    </row>
    <row r="7497" spans="42:42" x14ac:dyDescent="0.25">
      <c r="AP7497"/>
    </row>
    <row r="7498" spans="42:42" x14ac:dyDescent="0.25">
      <c r="AP7498"/>
    </row>
    <row r="7499" spans="42:42" x14ac:dyDescent="0.25">
      <c r="AP7499"/>
    </row>
    <row r="7500" spans="42:42" x14ac:dyDescent="0.25">
      <c r="AP7500"/>
    </row>
    <row r="7501" spans="42:42" x14ac:dyDescent="0.25">
      <c r="AP7501"/>
    </row>
    <row r="7502" spans="42:42" x14ac:dyDescent="0.25">
      <c r="AP7502"/>
    </row>
    <row r="7503" spans="42:42" x14ac:dyDescent="0.25">
      <c r="AP7503"/>
    </row>
    <row r="7504" spans="42:42" x14ac:dyDescent="0.25">
      <c r="AP7504"/>
    </row>
    <row r="7505" spans="42:42" x14ac:dyDescent="0.25">
      <c r="AP7505"/>
    </row>
    <row r="7506" spans="42:42" x14ac:dyDescent="0.25">
      <c r="AP7506"/>
    </row>
    <row r="7507" spans="42:42" x14ac:dyDescent="0.25">
      <c r="AP7507"/>
    </row>
    <row r="7508" spans="42:42" x14ac:dyDescent="0.25">
      <c r="AP7508"/>
    </row>
    <row r="7509" spans="42:42" x14ac:dyDescent="0.25">
      <c r="AP7509"/>
    </row>
    <row r="7510" spans="42:42" x14ac:dyDescent="0.25">
      <c r="AP7510"/>
    </row>
    <row r="7511" spans="42:42" x14ac:dyDescent="0.25">
      <c r="AP7511"/>
    </row>
    <row r="7512" spans="42:42" x14ac:dyDescent="0.25">
      <c r="AP7512"/>
    </row>
    <row r="7513" spans="42:42" x14ac:dyDescent="0.25">
      <c r="AP7513"/>
    </row>
    <row r="7514" spans="42:42" x14ac:dyDescent="0.25">
      <c r="AP7514"/>
    </row>
    <row r="7515" spans="42:42" x14ac:dyDescent="0.25">
      <c r="AP7515"/>
    </row>
    <row r="7516" spans="42:42" x14ac:dyDescent="0.25">
      <c r="AP7516"/>
    </row>
    <row r="7517" spans="42:42" x14ac:dyDescent="0.25">
      <c r="AP7517"/>
    </row>
    <row r="7518" spans="42:42" x14ac:dyDescent="0.25">
      <c r="AP7518"/>
    </row>
    <row r="7519" spans="42:42" x14ac:dyDescent="0.25">
      <c r="AP7519"/>
    </row>
    <row r="7520" spans="42:42" x14ac:dyDescent="0.25">
      <c r="AP7520"/>
    </row>
    <row r="7521" spans="42:42" x14ac:dyDescent="0.25">
      <c r="AP7521"/>
    </row>
    <row r="7522" spans="42:42" x14ac:dyDescent="0.25">
      <c r="AP7522"/>
    </row>
    <row r="7523" spans="42:42" x14ac:dyDescent="0.25">
      <c r="AP7523"/>
    </row>
    <row r="7524" spans="42:42" x14ac:dyDescent="0.25">
      <c r="AP7524"/>
    </row>
    <row r="7525" spans="42:42" x14ac:dyDescent="0.25">
      <c r="AP7525"/>
    </row>
    <row r="7526" spans="42:42" x14ac:dyDescent="0.25">
      <c r="AP7526"/>
    </row>
    <row r="7527" spans="42:42" x14ac:dyDescent="0.25">
      <c r="AP7527"/>
    </row>
    <row r="7528" spans="42:42" x14ac:dyDescent="0.25">
      <c r="AP7528"/>
    </row>
    <row r="7529" spans="42:42" x14ac:dyDescent="0.25">
      <c r="AP7529"/>
    </row>
    <row r="7530" spans="42:42" x14ac:dyDescent="0.25">
      <c r="AP7530"/>
    </row>
    <row r="7531" spans="42:42" x14ac:dyDescent="0.25">
      <c r="AP7531"/>
    </row>
    <row r="7532" spans="42:42" x14ac:dyDescent="0.25">
      <c r="AP7532"/>
    </row>
    <row r="7533" spans="42:42" x14ac:dyDescent="0.25">
      <c r="AP7533"/>
    </row>
    <row r="7534" spans="42:42" x14ac:dyDescent="0.25">
      <c r="AP7534"/>
    </row>
    <row r="7535" spans="42:42" x14ac:dyDescent="0.25">
      <c r="AP7535"/>
    </row>
    <row r="7536" spans="42:42" x14ac:dyDescent="0.25">
      <c r="AP7536"/>
    </row>
    <row r="7537" spans="42:42" x14ac:dyDescent="0.25">
      <c r="AP7537"/>
    </row>
    <row r="7538" spans="42:42" x14ac:dyDescent="0.25">
      <c r="AP7538"/>
    </row>
    <row r="7539" spans="42:42" x14ac:dyDescent="0.25">
      <c r="AP7539"/>
    </row>
    <row r="7540" spans="42:42" x14ac:dyDescent="0.25">
      <c r="AP7540"/>
    </row>
    <row r="7541" spans="42:42" x14ac:dyDescent="0.25">
      <c r="AP7541"/>
    </row>
    <row r="7542" spans="42:42" x14ac:dyDescent="0.25">
      <c r="AP7542"/>
    </row>
    <row r="7543" spans="42:42" x14ac:dyDescent="0.25">
      <c r="AP7543"/>
    </row>
    <row r="7544" spans="42:42" x14ac:dyDescent="0.25">
      <c r="AP7544"/>
    </row>
    <row r="7545" spans="42:42" x14ac:dyDescent="0.25">
      <c r="AP7545"/>
    </row>
    <row r="7546" spans="42:42" x14ac:dyDescent="0.25">
      <c r="AP7546"/>
    </row>
    <row r="7547" spans="42:42" x14ac:dyDescent="0.25">
      <c r="AP7547"/>
    </row>
    <row r="7548" spans="42:42" x14ac:dyDescent="0.25">
      <c r="AP7548"/>
    </row>
    <row r="7549" spans="42:42" x14ac:dyDescent="0.25">
      <c r="AP7549"/>
    </row>
    <row r="7550" spans="42:42" x14ac:dyDescent="0.25">
      <c r="AP7550"/>
    </row>
    <row r="7551" spans="42:42" x14ac:dyDescent="0.25">
      <c r="AP7551"/>
    </row>
    <row r="7552" spans="42:42" x14ac:dyDescent="0.25">
      <c r="AP7552"/>
    </row>
    <row r="7553" spans="42:42" x14ac:dyDescent="0.25">
      <c r="AP7553"/>
    </row>
    <row r="7554" spans="42:42" x14ac:dyDescent="0.25">
      <c r="AP7554"/>
    </row>
    <row r="7555" spans="42:42" x14ac:dyDescent="0.25">
      <c r="AP7555"/>
    </row>
    <row r="7556" spans="42:42" x14ac:dyDescent="0.25">
      <c r="AP7556"/>
    </row>
    <row r="7557" spans="42:42" x14ac:dyDescent="0.25">
      <c r="AP7557"/>
    </row>
    <row r="7558" spans="42:42" x14ac:dyDescent="0.25">
      <c r="AP7558"/>
    </row>
    <row r="7559" spans="42:42" x14ac:dyDescent="0.25">
      <c r="AP7559"/>
    </row>
    <row r="7560" spans="42:42" x14ac:dyDescent="0.25">
      <c r="AP7560"/>
    </row>
    <row r="7561" spans="42:42" x14ac:dyDescent="0.25">
      <c r="AP7561"/>
    </row>
    <row r="7562" spans="42:42" x14ac:dyDescent="0.25">
      <c r="AP7562"/>
    </row>
    <row r="7563" spans="42:42" x14ac:dyDescent="0.25">
      <c r="AP7563"/>
    </row>
    <row r="7564" spans="42:42" x14ac:dyDescent="0.25">
      <c r="AP7564"/>
    </row>
    <row r="7565" spans="42:42" x14ac:dyDescent="0.25">
      <c r="AP7565"/>
    </row>
    <row r="7566" spans="42:42" x14ac:dyDescent="0.25">
      <c r="AP7566"/>
    </row>
    <row r="7567" spans="42:42" x14ac:dyDescent="0.25">
      <c r="AP7567"/>
    </row>
    <row r="7568" spans="42:42" x14ac:dyDescent="0.25">
      <c r="AP7568"/>
    </row>
    <row r="7569" spans="42:42" x14ac:dyDescent="0.25">
      <c r="AP7569"/>
    </row>
    <row r="7570" spans="42:42" x14ac:dyDescent="0.25">
      <c r="AP7570"/>
    </row>
    <row r="7571" spans="42:42" x14ac:dyDescent="0.25">
      <c r="AP7571"/>
    </row>
    <row r="7572" spans="42:42" x14ac:dyDescent="0.25">
      <c r="AP7572"/>
    </row>
    <row r="7573" spans="42:42" x14ac:dyDescent="0.25">
      <c r="AP7573"/>
    </row>
    <row r="7574" spans="42:42" x14ac:dyDescent="0.25">
      <c r="AP7574"/>
    </row>
    <row r="7575" spans="42:42" x14ac:dyDescent="0.25">
      <c r="AP7575"/>
    </row>
    <row r="7576" spans="42:42" x14ac:dyDescent="0.25">
      <c r="AP7576"/>
    </row>
    <row r="7577" spans="42:42" x14ac:dyDescent="0.25">
      <c r="AP7577"/>
    </row>
    <row r="7578" spans="42:42" x14ac:dyDescent="0.25">
      <c r="AP7578"/>
    </row>
    <row r="7579" spans="42:42" x14ac:dyDescent="0.25">
      <c r="AP7579"/>
    </row>
    <row r="7580" spans="42:42" x14ac:dyDescent="0.25">
      <c r="AP7580"/>
    </row>
    <row r="7581" spans="42:42" x14ac:dyDescent="0.25">
      <c r="AP7581"/>
    </row>
    <row r="7582" spans="42:42" x14ac:dyDescent="0.25">
      <c r="AP7582"/>
    </row>
    <row r="7583" spans="42:42" x14ac:dyDescent="0.25">
      <c r="AP7583"/>
    </row>
    <row r="7584" spans="42:42" x14ac:dyDescent="0.25">
      <c r="AP7584"/>
    </row>
    <row r="7585" spans="42:42" x14ac:dyDescent="0.25">
      <c r="AP7585"/>
    </row>
    <row r="7586" spans="42:42" x14ac:dyDescent="0.25">
      <c r="AP7586"/>
    </row>
    <row r="7587" spans="42:42" x14ac:dyDescent="0.25">
      <c r="AP7587"/>
    </row>
    <row r="7588" spans="42:42" x14ac:dyDescent="0.25">
      <c r="AP7588"/>
    </row>
    <row r="7589" spans="42:42" x14ac:dyDescent="0.25">
      <c r="AP7589"/>
    </row>
    <row r="7590" spans="42:42" x14ac:dyDescent="0.25">
      <c r="AP7590"/>
    </row>
    <row r="7591" spans="42:42" x14ac:dyDescent="0.25">
      <c r="AP7591"/>
    </row>
    <row r="7592" spans="42:42" x14ac:dyDescent="0.25">
      <c r="AP7592"/>
    </row>
    <row r="7593" spans="42:42" x14ac:dyDescent="0.25">
      <c r="AP7593"/>
    </row>
    <row r="7594" spans="42:42" x14ac:dyDescent="0.25">
      <c r="AP7594"/>
    </row>
    <row r="7595" spans="42:42" x14ac:dyDescent="0.25">
      <c r="AP7595"/>
    </row>
    <row r="7596" spans="42:42" x14ac:dyDescent="0.25">
      <c r="AP7596"/>
    </row>
    <row r="7597" spans="42:42" x14ac:dyDescent="0.25">
      <c r="AP7597"/>
    </row>
    <row r="7598" spans="42:42" x14ac:dyDescent="0.25">
      <c r="AP7598"/>
    </row>
    <row r="7599" spans="42:42" x14ac:dyDescent="0.25">
      <c r="AP7599"/>
    </row>
    <row r="7600" spans="42:42" x14ac:dyDescent="0.25">
      <c r="AP7600"/>
    </row>
    <row r="7601" spans="42:42" x14ac:dyDescent="0.25">
      <c r="AP7601"/>
    </row>
    <row r="7602" spans="42:42" x14ac:dyDescent="0.25">
      <c r="AP7602"/>
    </row>
    <row r="7603" spans="42:42" x14ac:dyDescent="0.25">
      <c r="AP7603"/>
    </row>
    <row r="7604" spans="42:42" x14ac:dyDescent="0.25">
      <c r="AP7604"/>
    </row>
    <row r="7605" spans="42:42" x14ac:dyDescent="0.25">
      <c r="AP7605"/>
    </row>
    <row r="7606" spans="42:42" x14ac:dyDescent="0.25">
      <c r="AP7606"/>
    </row>
    <row r="7607" spans="42:42" x14ac:dyDescent="0.25">
      <c r="AP7607"/>
    </row>
    <row r="7608" spans="42:42" x14ac:dyDescent="0.25">
      <c r="AP7608"/>
    </row>
    <row r="7609" spans="42:42" x14ac:dyDescent="0.25">
      <c r="AP7609"/>
    </row>
    <row r="7610" spans="42:42" x14ac:dyDescent="0.25">
      <c r="AP7610"/>
    </row>
    <row r="7611" spans="42:42" x14ac:dyDescent="0.25">
      <c r="AP7611"/>
    </row>
    <row r="7612" spans="42:42" x14ac:dyDescent="0.25">
      <c r="AP7612"/>
    </row>
    <row r="7613" spans="42:42" x14ac:dyDescent="0.25">
      <c r="AP7613"/>
    </row>
    <row r="7614" spans="42:42" x14ac:dyDescent="0.25">
      <c r="AP7614"/>
    </row>
    <row r="7615" spans="42:42" x14ac:dyDescent="0.25">
      <c r="AP7615"/>
    </row>
    <row r="7616" spans="42:42" x14ac:dyDescent="0.25">
      <c r="AP7616"/>
    </row>
    <row r="7617" spans="42:42" x14ac:dyDescent="0.25">
      <c r="AP7617"/>
    </row>
    <row r="7618" spans="42:42" x14ac:dyDescent="0.25">
      <c r="AP7618"/>
    </row>
    <row r="7619" spans="42:42" x14ac:dyDescent="0.25">
      <c r="AP7619"/>
    </row>
    <row r="7620" spans="42:42" x14ac:dyDescent="0.25">
      <c r="AP7620"/>
    </row>
    <row r="7621" spans="42:42" x14ac:dyDescent="0.25">
      <c r="AP7621"/>
    </row>
    <row r="7622" spans="42:42" x14ac:dyDescent="0.25">
      <c r="AP7622"/>
    </row>
    <row r="7623" spans="42:42" x14ac:dyDescent="0.25">
      <c r="AP7623"/>
    </row>
    <row r="7624" spans="42:42" x14ac:dyDescent="0.25">
      <c r="AP7624"/>
    </row>
    <row r="7625" spans="42:42" x14ac:dyDescent="0.25">
      <c r="AP7625"/>
    </row>
    <row r="7626" spans="42:42" x14ac:dyDescent="0.25">
      <c r="AP7626"/>
    </row>
    <row r="7627" spans="42:42" x14ac:dyDescent="0.25">
      <c r="AP7627"/>
    </row>
    <row r="7628" spans="42:42" x14ac:dyDescent="0.25">
      <c r="AP7628"/>
    </row>
    <row r="7629" spans="42:42" x14ac:dyDescent="0.25">
      <c r="AP7629"/>
    </row>
    <row r="7630" spans="42:42" x14ac:dyDescent="0.25">
      <c r="AP7630"/>
    </row>
    <row r="7631" spans="42:42" x14ac:dyDescent="0.25">
      <c r="AP7631"/>
    </row>
    <row r="7632" spans="42:42" x14ac:dyDescent="0.25">
      <c r="AP7632"/>
    </row>
    <row r="7633" spans="42:42" x14ac:dyDescent="0.25">
      <c r="AP7633"/>
    </row>
    <row r="7634" spans="42:42" x14ac:dyDescent="0.25">
      <c r="AP7634"/>
    </row>
    <row r="7635" spans="42:42" x14ac:dyDescent="0.25">
      <c r="AP7635"/>
    </row>
    <row r="7636" spans="42:42" x14ac:dyDescent="0.25">
      <c r="AP7636"/>
    </row>
    <row r="7637" spans="42:42" x14ac:dyDescent="0.25">
      <c r="AP7637"/>
    </row>
    <row r="7638" spans="42:42" x14ac:dyDescent="0.25">
      <c r="AP7638"/>
    </row>
    <row r="7639" spans="42:42" x14ac:dyDescent="0.25">
      <c r="AP7639"/>
    </row>
    <row r="7640" spans="42:42" x14ac:dyDescent="0.25">
      <c r="AP7640"/>
    </row>
    <row r="7641" spans="42:42" x14ac:dyDescent="0.25">
      <c r="AP7641"/>
    </row>
    <row r="7642" spans="42:42" x14ac:dyDescent="0.25">
      <c r="AP7642"/>
    </row>
    <row r="7643" spans="42:42" x14ac:dyDescent="0.25">
      <c r="AP7643"/>
    </row>
    <row r="7644" spans="42:42" x14ac:dyDescent="0.25">
      <c r="AP7644"/>
    </row>
    <row r="7645" spans="42:42" x14ac:dyDescent="0.25">
      <c r="AP7645"/>
    </row>
    <row r="7646" spans="42:42" x14ac:dyDescent="0.25">
      <c r="AP7646"/>
    </row>
    <row r="7647" spans="42:42" x14ac:dyDescent="0.25">
      <c r="AP7647"/>
    </row>
    <row r="7648" spans="42:42" x14ac:dyDescent="0.25">
      <c r="AP7648"/>
    </row>
    <row r="7649" spans="42:42" x14ac:dyDescent="0.25">
      <c r="AP7649"/>
    </row>
    <row r="7650" spans="42:42" x14ac:dyDescent="0.25">
      <c r="AP7650"/>
    </row>
    <row r="7651" spans="42:42" x14ac:dyDescent="0.25">
      <c r="AP7651"/>
    </row>
    <row r="7652" spans="42:42" x14ac:dyDescent="0.25">
      <c r="AP7652"/>
    </row>
    <row r="7653" spans="42:42" x14ac:dyDescent="0.25">
      <c r="AP7653"/>
    </row>
    <row r="7654" spans="42:42" x14ac:dyDescent="0.25">
      <c r="AP7654"/>
    </row>
    <row r="7655" spans="42:42" x14ac:dyDescent="0.25">
      <c r="AP7655"/>
    </row>
    <row r="7656" spans="42:42" x14ac:dyDescent="0.25">
      <c r="AP7656"/>
    </row>
    <row r="7657" spans="42:42" x14ac:dyDescent="0.25">
      <c r="AP7657"/>
    </row>
    <row r="7658" spans="42:42" x14ac:dyDescent="0.25">
      <c r="AP7658"/>
    </row>
    <row r="7659" spans="42:42" x14ac:dyDescent="0.25">
      <c r="AP7659"/>
    </row>
    <row r="7660" spans="42:42" x14ac:dyDescent="0.25">
      <c r="AP7660"/>
    </row>
    <row r="7661" spans="42:42" x14ac:dyDescent="0.25">
      <c r="AP7661"/>
    </row>
    <row r="7662" spans="42:42" x14ac:dyDescent="0.25">
      <c r="AP7662"/>
    </row>
    <row r="7663" spans="42:42" x14ac:dyDescent="0.25">
      <c r="AP7663"/>
    </row>
    <row r="7664" spans="42:42" x14ac:dyDescent="0.25">
      <c r="AP7664"/>
    </row>
    <row r="7665" spans="42:42" x14ac:dyDescent="0.25">
      <c r="AP7665"/>
    </row>
    <row r="7666" spans="42:42" x14ac:dyDescent="0.25">
      <c r="AP7666"/>
    </row>
    <row r="7667" spans="42:42" x14ac:dyDescent="0.25">
      <c r="AP7667"/>
    </row>
    <row r="7668" spans="42:42" x14ac:dyDescent="0.25">
      <c r="AP7668"/>
    </row>
    <row r="7669" spans="42:42" x14ac:dyDescent="0.25">
      <c r="AP7669"/>
    </row>
    <row r="7670" spans="42:42" x14ac:dyDescent="0.25">
      <c r="AP7670"/>
    </row>
    <row r="7671" spans="42:42" x14ac:dyDescent="0.25">
      <c r="AP7671"/>
    </row>
    <row r="7672" spans="42:42" x14ac:dyDescent="0.25">
      <c r="AP7672"/>
    </row>
    <row r="7673" spans="42:42" x14ac:dyDescent="0.25">
      <c r="AP7673"/>
    </row>
    <row r="7674" spans="42:42" x14ac:dyDescent="0.25">
      <c r="AP7674"/>
    </row>
    <row r="7675" spans="42:42" x14ac:dyDescent="0.25">
      <c r="AP7675"/>
    </row>
    <row r="7676" spans="42:42" x14ac:dyDescent="0.25">
      <c r="AP7676"/>
    </row>
    <row r="7677" spans="42:42" x14ac:dyDescent="0.25">
      <c r="AP7677"/>
    </row>
    <row r="7678" spans="42:42" x14ac:dyDescent="0.25">
      <c r="AP7678"/>
    </row>
    <row r="7679" spans="42:42" x14ac:dyDescent="0.25">
      <c r="AP7679"/>
    </row>
    <row r="7680" spans="42:42" x14ac:dyDescent="0.25">
      <c r="AP7680"/>
    </row>
    <row r="7681" spans="42:42" x14ac:dyDescent="0.25">
      <c r="AP7681"/>
    </row>
    <row r="7682" spans="42:42" x14ac:dyDescent="0.25">
      <c r="AP7682"/>
    </row>
    <row r="7683" spans="42:42" x14ac:dyDescent="0.25">
      <c r="AP7683"/>
    </row>
    <row r="7684" spans="42:42" x14ac:dyDescent="0.25">
      <c r="AP7684"/>
    </row>
    <row r="7685" spans="42:42" x14ac:dyDescent="0.25">
      <c r="AP7685"/>
    </row>
    <row r="7686" spans="42:42" x14ac:dyDescent="0.25">
      <c r="AP7686"/>
    </row>
    <row r="7687" spans="42:42" x14ac:dyDescent="0.25">
      <c r="AP7687"/>
    </row>
    <row r="7688" spans="42:42" x14ac:dyDescent="0.25">
      <c r="AP7688"/>
    </row>
    <row r="7689" spans="42:42" x14ac:dyDescent="0.25">
      <c r="AP7689"/>
    </row>
    <row r="7690" spans="42:42" x14ac:dyDescent="0.25">
      <c r="AP7690"/>
    </row>
    <row r="7691" spans="42:42" x14ac:dyDescent="0.25">
      <c r="AP7691"/>
    </row>
    <row r="7692" spans="42:42" x14ac:dyDescent="0.25">
      <c r="AP7692"/>
    </row>
    <row r="7693" spans="42:42" x14ac:dyDescent="0.25">
      <c r="AP7693"/>
    </row>
    <row r="7694" spans="42:42" x14ac:dyDescent="0.25">
      <c r="AP7694"/>
    </row>
    <row r="7695" spans="42:42" x14ac:dyDescent="0.25">
      <c r="AP7695"/>
    </row>
    <row r="7696" spans="42:42" x14ac:dyDescent="0.25">
      <c r="AP7696"/>
    </row>
    <row r="7697" spans="42:42" x14ac:dyDescent="0.25">
      <c r="AP7697"/>
    </row>
    <row r="7698" spans="42:42" x14ac:dyDescent="0.25">
      <c r="AP7698"/>
    </row>
    <row r="7699" spans="42:42" x14ac:dyDescent="0.25">
      <c r="AP7699"/>
    </row>
    <row r="7700" spans="42:42" x14ac:dyDescent="0.25">
      <c r="AP7700"/>
    </row>
    <row r="7701" spans="42:42" x14ac:dyDescent="0.25">
      <c r="AP7701"/>
    </row>
    <row r="7702" spans="42:42" x14ac:dyDescent="0.25">
      <c r="AP7702"/>
    </row>
    <row r="7703" spans="42:42" x14ac:dyDescent="0.25">
      <c r="AP7703"/>
    </row>
    <row r="7704" spans="42:42" x14ac:dyDescent="0.25">
      <c r="AP7704"/>
    </row>
    <row r="7705" spans="42:42" x14ac:dyDescent="0.25">
      <c r="AP7705"/>
    </row>
    <row r="7706" spans="42:42" x14ac:dyDescent="0.25">
      <c r="AP7706"/>
    </row>
    <row r="7707" spans="42:42" x14ac:dyDescent="0.25">
      <c r="AP7707"/>
    </row>
    <row r="7708" spans="42:42" x14ac:dyDescent="0.25">
      <c r="AP7708"/>
    </row>
    <row r="7709" spans="42:42" x14ac:dyDescent="0.25">
      <c r="AP7709"/>
    </row>
    <row r="7710" spans="42:42" x14ac:dyDescent="0.25">
      <c r="AP7710"/>
    </row>
    <row r="7711" spans="42:42" x14ac:dyDescent="0.25">
      <c r="AP7711"/>
    </row>
    <row r="7712" spans="42:42" x14ac:dyDescent="0.25">
      <c r="AP7712"/>
    </row>
    <row r="7713" spans="42:42" x14ac:dyDescent="0.25">
      <c r="AP7713"/>
    </row>
    <row r="7714" spans="42:42" x14ac:dyDescent="0.25">
      <c r="AP7714"/>
    </row>
    <row r="7715" spans="42:42" x14ac:dyDescent="0.25">
      <c r="AP7715"/>
    </row>
    <row r="7716" spans="42:42" x14ac:dyDescent="0.25">
      <c r="AP7716"/>
    </row>
    <row r="7717" spans="42:42" x14ac:dyDescent="0.25">
      <c r="AP7717"/>
    </row>
    <row r="7718" spans="42:42" x14ac:dyDescent="0.25">
      <c r="AP7718"/>
    </row>
    <row r="7719" spans="42:42" x14ac:dyDescent="0.25">
      <c r="AP7719"/>
    </row>
    <row r="7720" spans="42:42" x14ac:dyDescent="0.25">
      <c r="AP7720"/>
    </row>
    <row r="7721" spans="42:42" x14ac:dyDescent="0.25">
      <c r="AP7721"/>
    </row>
    <row r="7722" spans="42:42" x14ac:dyDescent="0.25">
      <c r="AP7722"/>
    </row>
    <row r="7723" spans="42:42" x14ac:dyDescent="0.25">
      <c r="AP7723"/>
    </row>
    <row r="7724" spans="42:42" x14ac:dyDescent="0.25">
      <c r="AP7724"/>
    </row>
    <row r="7725" spans="42:42" x14ac:dyDescent="0.25">
      <c r="AP7725"/>
    </row>
    <row r="7726" spans="42:42" x14ac:dyDescent="0.25">
      <c r="AP7726"/>
    </row>
    <row r="7727" spans="42:42" x14ac:dyDescent="0.25">
      <c r="AP7727"/>
    </row>
    <row r="7728" spans="42:42" x14ac:dyDescent="0.25">
      <c r="AP7728"/>
    </row>
    <row r="7729" spans="42:42" x14ac:dyDescent="0.25">
      <c r="AP7729"/>
    </row>
    <row r="7730" spans="42:42" x14ac:dyDescent="0.25">
      <c r="AP7730"/>
    </row>
    <row r="7731" spans="42:42" x14ac:dyDescent="0.25">
      <c r="AP7731"/>
    </row>
    <row r="7732" spans="42:42" x14ac:dyDescent="0.25">
      <c r="AP7732"/>
    </row>
    <row r="7733" spans="42:42" x14ac:dyDescent="0.25">
      <c r="AP7733"/>
    </row>
    <row r="7734" spans="42:42" x14ac:dyDescent="0.25">
      <c r="AP7734"/>
    </row>
    <row r="7735" spans="42:42" x14ac:dyDescent="0.25">
      <c r="AP7735"/>
    </row>
    <row r="7736" spans="42:42" x14ac:dyDescent="0.25">
      <c r="AP7736"/>
    </row>
    <row r="7737" spans="42:42" x14ac:dyDescent="0.25">
      <c r="AP7737"/>
    </row>
    <row r="7738" spans="42:42" x14ac:dyDescent="0.25">
      <c r="AP7738"/>
    </row>
    <row r="7739" spans="42:42" x14ac:dyDescent="0.25">
      <c r="AP7739"/>
    </row>
    <row r="7740" spans="42:42" x14ac:dyDescent="0.25">
      <c r="AP7740"/>
    </row>
    <row r="7741" spans="42:42" x14ac:dyDescent="0.25">
      <c r="AP7741"/>
    </row>
    <row r="7742" spans="42:42" x14ac:dyDescent="0.25">
      <c r="AP7742"/>
    </row>
    <row r="7743" spans="42:42" x14ac:dyDescent="0.25">
      <c r="AP7743"/>
    </row>
    <row r="7744" spans="42:42" x14ac:dyDescent="0.25">
      <c r="AP7744"/>
    </row>
    <row r="7745" spans="42:42" x14ac:dyDescent="0.25">
      <c r="AP7745"/>
    </row>
    <row r="7746" spans="42:42" x14ac:dyDescent="0.25">
      <c r="AP7746"/>
    </row>
    <row r="7747" spans="42:42" x14ac:dyDescent="0.25">
      <c r="AP7747"/>
    </row>
    <row r="7748" spans="42:42" x14ac:dyDescent="0.25">
      <c r="AP7748"/>
    </row>
    <row r="7749" spans="42:42" x14ac:dyDescent="0.25">
      <c r="AP7749"/>
    </row>
    <row r="7750" spans="42:42" x14ac:dyDescent="0.25">
      <c r="AP7750"/>
    </row>
    <row r="7751" spans="42:42" x14ac:dyDescent="0.25">
      <c r="AP7751"/>
    </row>
    <row r="7752" spans="42:42" x14ac:dyDescent="0.25">
      <c r="AP7752"/>
    </row>
    <row r="7753" spans="42:42" x14ac:dyDescent="0.25">
      <c r="AP7753"/>
    </row>
    <row r="7754" spans="42:42" x14ac:dyDescent="0.25">
      <c r="AP7754"/>
    </row>
    <row r="7755" spans="42:42" x14ac:dyDescent="0.25">
      <c r="AP7755"/>
    </row>
    <row r="7756" spans="42:42" x14ac:dyDescent="0.25">
      <c r="AP7756"/>
    </row>
    <row r="7757" spans="42:42" x14ac:dyDescent="0.25">
      <c r="AP7757"/>
    </row>
    <row r="7758" spans="42:42" x14ac:dyDescent="0.25">
      <c r="AP7758"/>
    </row>
    <row r="7759" spans="42:42" x14ac:dyDescent="0.25">
      <c r="AP7759"/>
    </row>
    <row r="7760" spans="42:42" x14ac:dyDescent="0.25">
      <c r="AP7760"/>
    </row>
    <row r="7761" spans="42:42" x14ac:dyDescent="0.25">
      <c r="AP7761"/>
    </row>
    <row r="7762" spans="42:42" x14ac:dyDescent="0.25">
      <c r="AP7762"/>
    </row>
    <row r="7763" spans="42:42" x14ac:dyDescent="0.25">
      <c r="AP7763"/>
    </row>
    <row r="7764" spans="42:42" x14ac:dyDescent="0.25">
      <c r="AP7764"/>
    </row>
    <row r="7765" spans="42:42" x14ac:dyDescent="0.25">
      <c r="AP7765"/>
    </row>
    <row r="7766" spans="42:42" x14ac:dyDescent="0.25">
      <c r="AP7766"/>
    </row>
    <row r="7767" spans="42:42" x14ac:dyDescent="0.25">
      <c r="AP7767"/>
    </row>
    <row r="7768" spans="42:42" x14ac:dyDescent="0.25">
      <c r="AP7768"/>
    </row>
    <row r="7769" spans="42:42" x14ac:dyDescent="0.25">
      <c r="AP7769"/>
    </row>
    <row r="7770" spans="42:42" x14ac:dyDescent="0.25">
      <c r="AP7770"/>
    </row>
    <row r="7771" spans="42:42" x14ac:dyDescent="0.25">
      <c r="AP7771"/>
    </row>
    <row r="7772" spans="42:42" x14ac:dyDescent="0.25">
      <c r="AP7772"/>
    </row>
    <row r="7773" spans="42:42" x14ac:dyDescent="0.25">
      <c r="AP7773"/>
    </row>
    <row r="7774" spans="42:42" x14ac:dyDescent="0.25">
      <c r="AP7774"/>
    </row>
    <row r="7775" spans="42:42" x14ac:dyDescent="0.25">
      <c r="AP7775"/>
    </row>
    <row r="7776" spans="42:42" x14ac:dyDescent="0.25">
      <c r="AP7776"/>
    </row>
    <row r="7777" spans="42:42" x14ac:dyDescent="0.25">
      <c r="AP7777"/>
    </row>
    <row r="7778" spans="42:42" x14ac:dyDescent="0.25">
      <c r="AP7778"/>
    </row>
    <row r="7779" spans="42:42" x14ac:dyDescent="0.25">
      <c r="AP7779"/>
    </row>
    <row r="7780" spans="42:42" x14ac:dyDescent="0.25">
      <c r="AP7780"/>
    </row>
    <row r="7781" spans="42:42" x14ac:dyDescent="0.25">
      <c r="AP7781"/>
    </row>
    <row r="7782" spans="42:42" x14ac:dyDescent="0.25">
      <c r="AP7782"/>
    </row>
    <row r="7783" spans="42:42" x14ac:dyDescent="0.25">
      <c r="AP7783"/>
    </row>
    <row r="7784" spans="42:42" x14ac:dyDescent="0.25">
      <c r="AP7784"/>
    </row>
    <row r="7785" spans="42:42" x14ac:dyDescent="0.25">
      <c r="AP7785"/>
    </row>
    <row r="7786" spans="42:42" x14ac:dyDescent="0.25">
      <c r="AP7786"/>
    </row>
    <row r="7787" spans="42:42" x14ac:dyDescent="0.25">
      <c r="AP7787"/>
    </row>
    <row r="7788" spans="42:42" x14ac:dyDescent="0.25">
      <c r="AP7788"/>
    </row>
    <row r="7789" spans="42:42" x14ac:dyDescent="0.25">
      <c r="AP7789"/>
    </row>
    <row r="7790" spans="42:42" x14ac:dyDescent="0.25">
      <c r="AP7790"/>
    </row>
    <row r="7791" spans="42:42" x14ac:dyDescent="0.25">
      <c r="AP7791"/>
    </row>
    <row r="7792" spans="42:42" x14ac:dyDescent="0.25">
      <c r="AP7792"/>
    </row>
    <row r="7793" spans="42:42" x14ac:dyDescent="0.25">
      <c r="AP7793"/>
    </row>
    <row r="7794" spans="42:42" x14ac:dyDescent="0.25">
      <c r="AP7794"/>
    </row>
    <row r="7795" spans="42:42" x14ac:dyDescent="0.25">
      <c r="AP7795"/>
    </row>
    <row r="7796" spans="42:42" x14ac:dyDescent="0.25">
      <c r="AP7796"/>
    </row>
    <row r="7797" spans="42:42" x14ac:dyDescent="0.25">
      <c r="AP7797"/>
    </row>
    <row r="7798" spans="42:42" x14ac:dyDescent="0.25">
      <c r="AP7798"/>
    </row>
    <row r="7799" spans="42:42" x14ac:dyDescent="0.25">
      <c r="AP7799"/>
    </row>
    <row r="7800" spans="42:42" x14ac:dyDescent="0.25">
      <c r="AP7800"/>
    </row>
    <row r="7801" spans="42:42" x14ac:dyDescent="0.25">
      <c r="AP7801"/>
    </row>
    <row r="7802" spans="42:42" x14ac:dyDescent="0.25">
      <c r="AP7802"/>
    </row>
    <row r="7803" spans="42:42" x14ac:dyDescent="0.25">
      <c r="AP7803"/>
    </row>
    <row r="7804" spans="42:42" x14ac:dyDescent="0.25">
      <c r="AP7804"/>
    </row>
    <row r="7805" spans="42:42" x14ac:dyDescent="0.25">
      <c r="AP7805"/>
    </row>
    <row r="7806" spans="42:42" x14ac:dyDescent="0.25">
      <c r="AP7806"/>
    </row>
    <row r="7807" spans="42:42" x14ac:dyDescent="0.25">
      <c r="AP7807"/>
    </row>
    <row r="7808" spans="42:42" x14ac:dyDescent="0.25">
      <c r="AP7808"/>
    </row>
    <row r="7809" spans="42:42" x14ac:dyDescent="0.25">
      <c r="AP7809"/>
    </row>
    <row r="7810" spans="42:42" x14ac:dyDescent="0.25">
      <c r="AP7810"/>
    </row>
    <row r="7811" spans="42:42" x14ac:dyDescent="0.25">
      <c r="AP7811"/>
    </row>
    <row r="7812" spans="42:42" x14ac:dyDescent="0.25">
      <c r="AP7812"/>
    </row>
    <row r="7813" spans="42:42" x14ac:dyDescent="0.25">
      <c r="AP7813"/>
    </row>
    <row r="7814" spans="42:42" x14ac:dyDescent="0.25">
      <c r="AP7814"/>
    </row>
    <row r="7815" spans="42:42" x14ac:dyDescent="0.25">
      <c r="AP7815"/>
    </row>
    <row r="7816" spans="42:42" x14ac:dyDescent="0.25">
      <c r="AP7816"/>
    </row>
    <row r="7817" spans="42:42" x14ac:dyDescent="0.25">
      <c r="AP7817"/>
    </row>
    <row r="7818" spans="42:42" x14ac:dyDescent="0.25">
      <c r="AP7818"/>
    </row>
    <row r="7819" spans="42:42" x14ac:dyDescent="0.25">
      <c r="AP7819"/>
    </row>
    <row r="7820" spans="42:42" x14ac:dyDescent="0.25">
      <c r="AP7820"/>
    </row>
    <row r="7821" spans="42:42" x14ac:dyDescent="0.25">
      <c r="AP7821"/>
    </row>
    <row r="7822" spans="42:42" x14ac:dyDescent="0.25">
      <c r="AP7822"/>
    </row>
    <row r="7823" spans="42:42" x14ac:dyDescent="0.25">
      <c r="AP7823"/>
    </row>
    <row r="7824" spans="42:42" x14ac:dyDescent="0.25">
      <c r="AP7824"/>
    </row>
    <row r="7825" spans="42:42" x14ac:dyDescent="0.25">
      <c r="AP7825"/>
    </row>
    <row r="7826" spans="42:42" x14ac:dyDescent="0.25">
      <c r="AP7826"/>
    </row>
    <row r="7827" spans="42:42" x14ac:dyDescent="0.25">
      <c r="AP7827"/>
    </row>
    <row r="7828" spans="42:42" x14ac:dyDescent="0.25">
      <c r="AP7828"/>
    </row>
    <row r="7829" spans="42:42" x14ac:dyDescent="0.25">
      <c r="AP7829"/>
    </row>
    <row r="7830" spans="42:42" x14ac:dyDescent="0.25">
      <c r="AP7830"/>
    </row>
    <row r="7831" spans="42:42" x14ac:dyDescent="0.25">
      <c r="AP7831"/>
    </row>
    <row r="7832" spans="42:42" x14ac:dyDescent="0.25">
      <c r="AP7832"/>
    </row>
    <row r="7833" spans="42:42" x14ac:dyDescent="0.25">
      <c r="AP7833"/>
    </row>
    <row r="7834" spans="42:42" x14ac:dyDescent="0.25">
      <c r="AP7834"/>
    </row>
    <row r="7835" spans="42:42" x14ac:dyDescent="0.25">
      <c r="AP7835"/>
    </row>
    <row r="7836" spans="42:42" x14ac:dyDescent="0.25">
      <c r="AP7836"/>
    </row>
    <row r="7837" spans="42:42" x14ac:dyDescent="0.25">
      <c r="AP7837"/>
    </row>
    <row r="7838" spans="42:42" x14ac:dyDescent="0.25">
      <c r="AP7838"/>
    </row>
    <row r="7839" spans="42:42" x14ac:dyDescent="0.25">
      <c r="AP7839"/>
    </row>
    <row r="7840" spans="42:42" x14ac:dyDescent="0.25">
      <c r="AP7840"/>
    </row>
    <row r="7841" spans="42:42" x14ac:dyDescent="0.25">
      <c r="AP7841"/>
    </row>
    <row r="7842" spans="42:42" x14ac:dyDescent="0.25">
      <c r="AP7842"/>
    </row>
    <row r="7843" spans="42:42" x14ac:dyDescent="0.25">
      <c r="AP7843"/>
    </row>
    <row r="7844" spans="42:42" x14ac:dyDescent="0.25">
      <c r="AP7844"/>
    </row>
    <row r="7845" spans="42:42" x14ac:dyDescent="0.25">
      <c r="AP7845"/>
    </row>
    <row r="7846" spans="42:42" x14ac:dyDescent="0.25">
      <c r="AP7846"/>
    </row>
    <row r="7847" spans="42:42" x14ac:dyDescent="0.25">
      <c r="AP7847"/>
    </row>
    <row r="7848" spans="42:42" x14ac:dyDescent="0.25">
      <c r="AP7848"/>
    </row>
    <row r="7849" spans="42:42" x14ac:dyDescent="0.25">
      <c r="AP7849"/>
    </row>
    <row r="7850" spans="42:42" x14ac:dyDescent="0.25">
      <c r="AP7850"/>
    </row>
    <row r="7851" spans="42:42" x14ac:dyDescent="0.25">
      <c r="AP7851"/>
    </row>
    <row r="7852" spans="42:42" x14ac:dyDescent="0.25">
      <c r="AP7852"/>
    </row>
    <row r="7853" spans="42:42" x14ac:dyDescent="0.25">
      <c r="AP7853"/>
    </row>
    <row r="7854" spans="42:42" x14ac:dyDescent="0.25">
      <c r="AP7854"/>
    </row>
    <row r="7855" spans="42:42" x14ac:dyDescent="0.25">
      <c r="AP7855"/>
    </row>
    <row r="7856" spans="42:42" x14ac:dyDescent="0.25">
      <c r="AP7856"/>
    </row>
    <row r="7857" spans="42:42" x14ac:dyDescent="0.25">
      <c r="AP7857"/>
    </row>
    <row r="7858" spans="42:42" x14ac:dyDescent="0.25">
      <c r="AP7858"/>
    </row>
    <row r="7859" spans="42:42" x14ac:dyDescent="0.25">
      <c r="AP7859"/>
    </row>
    <row r="7860" spans="42:42" x14ac:dyDescent="0.25">
      <c r="AP7860"/>
    </row>
    <row r="7861" spans="42:42" x14ac:dyDescent="0.25">
      <c r="AP7861"/>
    </row>
    <row r="7862" spans="42:42" x14ac:dyDescent="0.25">
      <c r="AP7862"/>
    </row>
    <row r="7863" spans="42:42" x14ac:dyDescent="0.25">
      <c r="AP7863"/>
    </row>
    <row r="7864" spans="42:42" x14ac:dyDescent="0.25">
      <c r="AP7864"/>
    </row>
    <row r="7865" spans="42:42" x14ac:dyDescent="0.25">
      <c r="AP7865"/>
    </row>
    <row r="7866" spans="42:42" x14ac:dyDescent="0.25">
      <c r="AP7866"/>
    </row>
    <row r="7867" spans="42:42" x14ac:dyDescent="0.25">
      <c r="AP7867"/>
    </row>
    <row r="7868" spans="42:42" x14ac:dyDescent="0.25">
      <c r="AP7868"/>
    </row>
    <row r="7869" spans="42:42" x14ac:dyDescent="0.25">
      <c r="AP7869"/>
    </row>
    <row r="7870" spans="42:42" x14ac:dyDescent="0.25">
      <c r="AP7870"/>
    </row>
    <row r="7871" spans="42:42" x14ac:dyDescent="0.25">
      <c r="AP7871"/>
    </row>
    <row r="7872" spans="42:42" x14ac:dyDescent="0.25">
      <c r="AP7872"/>
    </row>
    <row r="7873" spans="42:42" x14ac:dyDescent="0.25">
      <c r="AP7873"/>
    </row>
    <row r="7874" spans="42:42" x14ac:dyDescent="0.25">
      <c r="AP7874"/>
    </row>
    <row r="7875" spans="42:42" x14ac:dyDescent="0.25">
      <c r="AP7875"/>
    </row>
    <row r="7876" spans="42:42" x14ac:dyDescent="0.25">
      <c r="AP7876"/>
    </row>
    <row r="7877" spans="42:42" x14ac:dyDescent="0.25">
      <c r="AP7877"/>
    </row>
    <row r="7878" spans="42:42" x14ac:dyDescent="0.25">
      <c r="AP7878"/>
    </row>
    <row r="7879" spans="42:42" x14ac:dyDescent="0.25">
      <c r="AP7879"/>
    </row>
    <row r="7880" spans="42:42" x14ac:dyDescent="0.25">
      <c r="AP7880"/>
    </row>
    <row r="7881" spans="42:42" x14ac:dyDescent="0.25">
      <c r="AP7881"/>
    </row>
    <row r="7882" spans="42:42" x14ac:dyDescent="0.25">
      <c r="AP7882"/>
    </row>
    <row r="7883" spans="42:42" x14ac:dyDescent="0.25">
      <c r="AP7883"/>
    </row>
    <row r="7884" spans="42:42" x14ac:dyDescent="0.25">
      <c r="AP7884"/>
    </row>
    <row r="7885" spans="42:42" x14ac:dyDescent="0.25">
      <c r="AP7885"/>
    </row>
    <row r="7886" spans="42:42" x14ac:dyDescent="0.25">
      <c r="AP7886"/>
    </row>
    <row r="7887" spans="42:42" x14ac:dyDescent="0.25">
      <c r="AP7887"/>
    </row>
    <row r="7888" spans="42:42" x14ac:dyDescent="0.25">
      <c r="AP7888"/>
    </row>
    <row r="7889" spans="42:42" x14ac:dyDescent="0.25">
      <c r="AP7889"/>
    </row>
    <row r="7890" spans="42:42" x14ac:dyDescent="0.25">
      <c r="AP7890"/>
    </row>
    <row r="7891" spans="42:42" x14ac:dyDescent="0.25">
      <c r="AP7891"/>
    </row>
    <row r="7892" spans="42:42" x14ac:dyDescent="0.25">
      <c r="AP7892"/>
    </row>
    <row r="7893" spans="42:42" x14ac:dyDescent="0.25">
      <c r="AP7893"/>
    </row>
    <row r="7894" spans="42:42" x14ac:dyDescent="0.25">
      <c r="AP7894"/>
    </row>
    <row r="7895" spans="42:42" x14ac:dyDescent="0.25">
      <c r="AP7895"/>
    </row>
    <row r="7896" spans="42:42" x14ac:dyDescent="0.25">
      <c r="AP7896"/>
    </row>
    <row r="7897" spans="42:42" x14ac:dyDescent="0.25">
      <c r="AP7897"/>
    </row>
    <row r="7898" spans="42:42" x14ac:dyDescent="0.25">
      <c r="AP7898"/>
    </row>
    <row r="7899" spans="42:42" x14ac:dyDescent="0.25">
      <c r="AP7899"/>
    </row>
    <row r="7900" spans="42:42" x14ac:dyDescent="0.25">
      <c r="AP7900"/>
    </row>
    <row r="7901" spans="42:42" x14ac:dyDescent="0.25">
      <c r="AP7901"/>
    </row>
    <row r="7902" spans="42:42" x14ac:dyDescent="0.25">
      <c r="AP7902"/>
    </row>
    <row r="7903" spans="42:42" x14ac:dyDescent="0.25">
      <c r="AP7903"/>
    </row>
    <row r="7904" spans="42:42" x14ac:dyDescent="0.25">
      <c r="AP7904"/>
    </row>
    <row r="7905" spans="42:42" x14ac:dyDescent="0.25">
      <c r="AP7905"/>
    </row>
    <row r="7906" spans="42:42" x14ac:dyDescent="0.25">
      <c r="AP7906"/>
    </row>
    <row r="7907" spans="42:42" x14ac:dyDescent="0.25">
      <c r="AP7907"/>
    </row>
    <row r="7908" spans="42:42" x14ac:dyDescent="0.25">
      <c r="AP7908"/>
    </row>
    <row r="7909" spans="42:42" x14ac:dyDescent="0.25">
      <c r="AP7909"/>
    </row>
    <row r="7910" spans="42:42" x14ac:dyDescent="0.25">
      <c r="AP7910"/>
    </row>
    <row r="7911" spans="42:42" x14ac:dyDescent="0.25">
      <c r="AP7911"/>
    </row>
    <row r="7912" spans="42:42" x14ac:dyDescent="0.25">
      <c r="AP7912"/>
    </row>
    <row r="7913" spans="42:42" x14ac:dyDescent="0.25">
      <c r="AP7913"/>
    </row>
    <row r="7914" spans="42:42" x14ac:dyDescent="0.25">
      <c r="AP7914"/>
    </row>
    <row r="7915" spans="42:42" x14ac:dyDescent="0.25">
      <c r="AP7915"/>
    </row>
    <row r="7916" spans="42:42" x14ac:dyDescent="0.25">
      <c r="AP7916"/>
    </row>
    <row r="7917" spans="42:42" x14ac:dyDescent="0.25">
      <c r="AP7917"/>
    </row>
    <row r="7918" spans="42:42" x14ac:dyDescent="0.25">
      <c r="AP7918"/>
    </row>
    <row r="7919" spans="42:42" x14ac:dyDescent="0.25">
      <c r="AP7919"/>
    </row>
    <row r="7920" spans="42:42" x14ac:dyDescent="0.25">
      <c r="AP7920"/>
    </row>
    <row r="7921" spans="42:42" x14ac:dyDescent="0.25">
      <c r="AP7921"/>
    </row>
    <row r="7922" spans="42:42" x14ac:dyDescent="0.25">
      <c r="AP7922"/>
    </row>
    <row r="7923" spans="42:42" x14ac:dyDescent="0.25">
      <c r="AP7923"/>
    </row>
    <row r="7924" spans="42:42" x14ac:dyDescent="0.25">
      <c r="AP7924"/>
    </row>
    <row r="7925" spans="42:42" x14ac:dyDescent="0.25">
      <c r="AP7925"/>
    </row>
    <row r="7926" spans="42:42" x14ac:dyDescent="0.25">
      <c r="AP7926"/>
    </row>
    <row r="7927" spans="42:42" x14ac:dyDescent="0.25">
      <c r="AP7927"/>
    </row>
    <row r="7928" spans="42:42" x14ac:dyDescent="0.25">
      <c r="AP7928"/>
    </row>
    <row r="7929" spans="42:42" x14ac:dyDescent="0.25">
      <c r="AP7929"/>
    </row>
    <row r="7930" spans="42:42" x14ac:dyDescent="0.25">
      <c r="AP7930"/>
    </row>
    <row r="7931" spans="42:42" x14ac:dyDescent="0.25">
      <c r="AP7931"/>
    </row>
    <row r="7932" spans="42:42" x14ac:dyDescent="0.25">
      <c r="AP7932"/>
    </row>
    <row r="7933" spans="42:42" x14ac:dyDescent="0.25">
      <c r="AP7933"/>
    </row>
    <row r="7934" spans="42:42" x14ac:dyDescent="0.25">
      <c r="AP7934"/>
    </row>
    <row r="7935" spans="42:42" x14ac:dyDescent="0.25">
      <c r="AP7935"/>
    </row>
    <row r="7936" spans="42:42" x14ac:dyDescent="0.25">
      <c r="AP7936"/>
    </row>
    <row r="7937" spans="42:42" x14ac:dyDescent="0.25">
      <c r="AP7937"/>
    </row>
    <row r="7938" spans="42:42" x14ac:dyDescent="0.25">
      <c r="AP7938"/>
    </row>
    <row r="7939" spans="42:42" x14ac:dyDescent="0.25">
      <c r="AP7939"/>
    </row>
    <row r="7940" spans="42:42" x14ac:dyDescent="0.25">
      <c r="AP7940"/>
    </row>
    <row r="7941" spans="42:42" x14ac:dyDescent="0.25">
      <c r="AP7941"/>
    </row>
    <row r="7942" spans="42:42" x14ac:dyDescent="0.25">
      <c r="AP7942"/>
    </row>
    <row r="7943" spans="42:42" x14ac:dyDescent="0.25">
      <c r="AP7943"/>
    </row>
    <row r="7944" spans="42:42" x14ac:dyDescent="0.25">
      <c r="AP7944"/>
    </row>
    <row r="7945" spans="42:42" x14ac:dyDescent="0.25">
      <c r="AP7945"/>
    </row>
    <row r="7946" spans="42:42" x14ac:dyDescent="0.25">
      <c r="AP7946"/>
    </row>
    <row r="7947" spans="42:42" x14ac:dyDescent="0.25">
      <c r="AP7947"/>
    </row>
    <row r="7948" spans="42:42" x14ac:dyDescent="0.25">
      <c r="AP7948"/>
    </row>
    <row r="7949" spans="42:42" x14ac:dyDescent="0.25">
      <c r="AP7949"/>
    </row>
    <row r="7950" spans="42:42" x14ac:dyDescent="0.25">
      <c r="AP7950"/>
    </row>
    <row r="7951" spans="42:42" x14ac:dyDescent="0.25">
      <c r="AP7951"/>
    </row>
    <row r="7952" spans="42:42" x14ac:dyDescent="0.25">
      <c r="AP7952"/>
    </row>
    <row r="7953" spans="42:42" x14ac:dyDescent="0.25">
      <c r="AP7953"/>
    </row>
    <row r="7954" spans="42:42" x14ac:dyDescent="0.25">
      <c r="AP7954"/>
    </row>
    <row r="7955" spans="42:42" x14ac:dyDescent="0.25">
      <c r="AP7955"/>
    </row>
    <row r="7956" spans="42:42" x14ac:dyDescent="0.25">
      <c r="AP7956"/>
    </row>
    <row r="7957" spans="42:42" x14ac:dyDescent="0.25">
      <c r="AP7957"/>
    </row>
    <row r="7958" spans="42:42" x14ac:dyDescent="0.25">
      <c r="AP7958"/>
    </row>
    <row r="7959" spans="42:42" x14ac:dyDescent="0.25">
      <c r="AP7959"/>
    </row>
    <row r="7960" spans="42:42" x14ac:dyDescent="0.25">
      <c r="AP7960"/>
    </row>
    <row r="7961" spans="42:42" x14ac:dyDescent="0.25">
      <c r="AP7961"/>
    </row>
    <row r="7962" spans="42:42" x14ac:dyDescent="0.25">
      <c r="AP7962"/>
    </row>
    <row r="7963" spans="42:42" x14ac:dyDescent="0.25">
      <c r="AP7963"/>
    </row>
    <row r="7964" spans="42:42" x14ac:dyDescent="0.25">
      <c r="AP7964"/>
    </row>
    <row r="7965" spans="42:42" x14ac:dyDescent="0.25">
      <c r="AP7965"/>
    </row>
    <row r="7966" spans="42:42" x14ac:dyDescent="0.25">
      <c r="AP7966"/>
    </row>
    <row r="7967" spans="42:42" x14ac:dyDescent="0.25">
      <c r="AP7967"/>
    </row>
    <row r="7968" spans="42:42" x14ac:dyDescent="0.25">
      <c r="AP7968"/>
    </row>
    <row r="7969" spans="42:42" x14ac:dyDescent="0.25">
      <c r="AP7969"/>
    </row>
    <row r="7970" spans="42:42" x14ac:dyDescent="0.25">
      <c r="AP7970"/>
    </row>
    <row r="7971" spans="42:42" x14ac:dyDescent="0.25">
      <c r="AP7971"/>
    </row>
    <row r="7972" spans="42:42" x14ac:dyDescent="0.25">
      <c r="AP7972"/>
    </row>
    <row r="7973" spans="42:42" x14ac:dyDescent="0.25">
      <c r="AP7973"/>
    </row>
    <row r="7974" spans="42:42" x14ac:dyDescent="0.25">
      <c r="AP7974"/>
    </row>
    <row r="7975" spans="42:42" x14ac:dyDescent="0.25">
      <c r="AP7975"/>
    </row>
    <row r="7976" spans="42:42" x14ac:dyDescent="0.25">
      <c r="AP7976"/>
    </row>
    <row r="7977" spans="42:42" x14ac:dyDescent="0.25">
      <c r="AP7977"/>
    </row>
    <row r="7978" spans="42:42" x14ac:dyDescent="0.25">
      <c r="AP7978"/>
    </row>
    <row r="7979" spans="42:42" x14ac:dyDescent="0.25">
      <c r="AP7979"/>
    </row>
    <row r="7980" spans="42:42" x14ac:dyDescent="0.25">
      <c r="AP7980"/>
    </row>
    <row r="7981" spans="42:42" x14ac:dyDescent="0.25">
      <c r="AP7981"/>
    </row>
    <row r="7982" spans="42:42" x14ac:dyDescent="0.25">
      <c r="AP7982"/>
    </row>
    <row r="7983" spans="42:42" x14ac:dyDescent="0.25">
      <c r="AP7983"/>
    </row>
    <row r="7984" spans="42:42" x14ac:dyDescent="0.25">
      <c r="AP7984"/>
    </row>
    <row r="7985" spans="42:42" x14ac:dyDescent="0.25">
      <c r="AP7985"/>
    </row>
    <row r="7986" spans="42:42" x14ac:dyDescent="0.25">
      <c r="AP7986"/>
    </row>
    <row r="7987" spans="42:42" x14ac:dyDescent="0.25">
      <c r="AP7987"/>
    </row>
    <row r="7988" spans="42:42" x14ac:dyDescent="0.25">
      <c r="AP7988"/>
    </row>
    <row r="7989" spans="42:42" x14ac:dyDescent="0.25">
      <c r="AP7989"/>
    </row>
    <row r="7990" spans="42:42" x14ac:dyDescent="0.25">
      <c r="AP7990"/>
    </row>
    <row r="7991" spans="42:42" x14ac:dyDescent="0.25">
      <c r="AP7991"/>
    </row>
    <row r="7992" spans="42:42" x14ac:dyDescent="0.25">
      <c r="AP7992"/>
    </row>
    <row r="7993" spans="42:42" x14ac:dyDescent="0.25">
      <c r="AP7993"/>
    </row>
    <row r="7994" spans="42:42" x14ac:dyDescent="0.25">
      <c r="AP7994"/>
    </row>
    <row r="7995" spans="42:42" x14ac:dyDescent="0.25">
      <c r="AP7995"/>
    </row>
    <row r="7996" spans="42:42" x14ac:dyDescent="0.25">
      <c r="AP7996"/>
    </row>
    <row r="7997" spans="42:42" x14ac:dyDescent="0.25">
      <c r="AP7997"/>
    </row>
    <row r="7998" spans="42:42" x14ac:dyDescent="0.25">
      <c r="AP7998"/>
    </row>
    <row r="7999" spans="42:42" x14ac:dyDescent="0.25">
      <c r="AP7999"/>
    </row>
    <row r="8000" spans="42:42" x14ac:dyDescent="0.25">
      <c r="AP8000"/>
    </row>
    <row r="8001" spans="42:42" x14ac:dyDescent="0.25">
      <c r="AP8001"/>
    </row>
    <row r="8002" spans="42:42" x14ac:dyDescent="0.25">
      <c r="AP8002"/>
    </row>
    <row r="8003" spans="42:42" x14ac:dyDescent="0.25">
      <c r="AP8003"/>
    </row>
    <row r="8004" spans="42:42" x14ac:dyDescent="0.25">
      <c r="AP8004"/>
    </row>
    <row r="8005" spans="42:42" x14ac:dyDescent="0.25">
      <c r="AP8005"/>
    </row>
    <row r="8006" spans="42:42" x14ac:dyDescent="0.25">
      <c r="AP8006"/>
    </row>
    <row r="8007" spans="42:42" x14ac:dyDescent="0.25">
      <c r="AP8007"/>
    </row>
    <row r="8008" spans="42:42" x14ac:dyDescent="0.25">
      <c r="AP8008"/>
    </row>
    <row r="8009" spans="42:42" x14ac:dyDescent="0.25">
      <c r="AP8009"/>
    </row>
    <row r="8010" spans="42:42" x14ac:dyDescent="0.25">
      <c r="AP8010"/>
    </row>
    <row r="8011" spans="42:42" x14ac:dyDescent="0.25">
      <c r="AP8011"/>
    </row>
    <row r="8012" spans="42:42" x14ac:dyDescent="0.25">
      <c r="AP8012"/>
    </row>
    <row r="8013" spans="42:42" x14ac:dyDescent="0.25">
      <c r="AP8013"/>
    </row>
    <row r="8014" spans="42:42" x14ac:dyDescent="0.25">
      <c r="AP8014"/>
    </row>
    <row r="8015" spans="42:42" x14ac:dyDescent="0.25">
      <c r="AP8015"/>
    </row>
    <row r="8016" spans="42:42" x14ac:dyDescent="0.25">
      <c r="AP8016"/>
    </row>
    <row r="8017" spans="42:42" x14ac:dyDescent="0.25">
      <c r="AP8017"/>
    </row>
    <row r="8018" spans="42:42" x14ac:dyDescent="0.25">
      <c r="AP8018"/>
    </row>
    <row r="8019" spans="42:42" x14ac:dyDescent="0.25">
      <c r="AP8019"/>
    </row>
    <row r="8020" spans="42:42" x14ac:dyDescent="0.25">
      <c r="AP8020"/>
    </row>
    <row r="8021" spans="42:42" x14ac:dyDescent="0.25">
      <c r="AP8021"/>
    </row>
    <row r="8022" spans="42:42" x14ac:dyDescent="0.25">
      <c r="AP8022"/>
    </row>
    <row r="8023" spans="42:42" x14ac:dyDescent="0.25">
      <c r="AP8023"/>
    </row>
    <row r="8024" spans="42:42" x14ac:dyDescent="0.25">
      <c r="AP8024"/>
    </row>
    <row r="8025" spans="42:42" x14ac:dyDescent="0.25">
      <c r="AP8025"/>
    </row>
    <row r="8026" spans="42:42" x14ac:dyDescent="0.25">
      <c r="AP8026"/>
    </row>
    <row r="8027" spans="42:42" x14ac:dyDescent="0.25">
      <c r="AP8027"/>
    </row>
    <row r="8028" spans="42:42" x14ac:dyDescent="0.25">
      <c r="AP8028"/>
    </row>
    <row r="8029" spans="42:42" x14ac:dyDescent="0.25">
      <c r="AP8029"/>
    </row>
    <row r="8030" spans="42:42" x14ac:dyDescent="0.25">
      <c r="AP8030"/>
    </row>
    <row r="8031" spans="42:42" x14ac:dyDescent="0.25">
      <c r="AP8031"/>
    </row>
    <row r="8032" spans="42:42" x14ac:dyDescent="0.25">
      <c r="AP8032"/>
    </row>
    <row r="8033" spans="42:42" x14ac:dyDescent="0.25">
      <c r="AP8033"/>
    </row>
    <row r="8034" spans="42:42" x14ac:dyDescent="0.25">
      <c r="AP8034"/>
    </row>
    <row r="8035" spans="42:42" x14ac:dyDescent="0.25">
      <c r="AP8035"/>
    </row>
    <row r="8036" spans="42:42" x14ac:dyDescent="0.25">
      <c r="AP8036"/>
    </row>
    <row r="8037" spans="42:42" x14ac:dyDescent="0.25">
      <c r="AP8037"/>
    </row>
    <row r="8038" spans="42:42" x14ac:dyDescent="0.25">
      <c r="AP8038"/>
    </row>
    <row r="8039" spans="42:42" x14ac:dyDescent="0.25">
      <c r="AP8039"/>
    </row>
    <row r="8040" spans="42:42" x14ac:dyDescent="0.25">
      <c r="AP8040"/>
    </row>
    <row r="8041" spans="42:42" x14ac:dyDescent="0.25">
      <c r="AP8041"/>
    </row>
    <row r="8042" spans="42:42" x14ac:dyDescent="0.25">
      <c r="AP8042"/>
    </row>
    <row r="8043" spans="42:42" x14ac:dyDescent="0.25">
      <c r="AP8043"/>
    </row>
    <row r="8044" spans="42:42" x14ac:dyDescent="0.25">
      <c r="AP8044"/>
    </row>
    <row r="8045" spans="42:42" x14ac:dyDescent="0.25">
      <c r="AP8045"/>
    </row>
    <row r="8046" spans="42:42" x14ac:dyDescent="0.25">
      <c r="AP8046"/>
    </row>
    <row r="8047" spans="42:42" x14ac:dyDescent="0.25">
      <c r="AP8047"/>
    </row>
    <row r="8048" spans="42:42" x14ac:dyDescent="0.25">
      <c r="AP8048"/>
    </row>
    <row r="8049" spans="42:42" x14ac:dyDescent="0.25">
      <c r="AP8049"/>
    </row>
    <row r="8050" spans="42:42" x14ac:dyDescent="0.25">
      <c r="AP8050"/>
    </row>
    <row r="8051" spans="42:42" x14ac:dyDescent="0.25">
      <c r="AP8051"/>
    </row>
    <row r="8052" spans="42:42" x14ac:dyDescent="0.25">
      <c r="AP8052"/>
    </row>
    <row r="8053" spans="42:42" x14ac:dyDescent="0.25">
      <c r="AP8053"/>
    </row>
    <row r="8054" spans="42:42" x14ac:dyDescent="0.25">
      <c r="AP8054"/>
    </row>
    <row r="8055" spans="42:42" x14ac:dyDescent="0.25">
      <c r="AP8055"/>
    </row>
    <row r="8056" spans="42:42" x14ac:dyDescent="0.25">
      <c r="AP8056"/>
    </row>
    <row r="8057" spans="42:42" x14ac:dyDescent="0.25">
      <c r="AP8057"/>
    </row>
    <row r="8058" spans="42:42" x14ac:dyDescent="0.25">
      <c r="AP8058"/>
    </row>
    <row r="8059" spans="42:42" x14ac:dyDescent="0.25">
      <c r="AP8059"/>
    </row>
    <row r="8060" spans="42:42" x14ac:dyDescent="0.25">
      <c r="AP8060"/>
    </row>
    <row r="8061" spans="42:42" x14ac:dyDescent="0.25">
      <c r="AP8061"/>
    </row>
    <row r="8062" spans="42:42" x14ac:dyDescent="0.25">
      <c r="AP8062"/>
    </row>
    <row r="8063" spans="42:42" x14ac:dyDescent="0.25">
      <c r="AP8063"/>
    </row>
    <row r="8064" spans="42:42" x14ac:dyDescent="0.25">
      <c r="AP8064"/>
    </row>
    <row r="8065" spans="42:42" x14ac:dyDescent="0.25">
      <c r="AP8065"/>
    </row>
    <row r="8066" spans="42:42" x14ac:dyDescent="0.25">
      <c r="AP8066"/>
    </row>
    <row r="8067" spans="42:42" x14ac:dyDescent="0.25">
      <c r="AP8067"/>
    </row>
    <row r="8068" spans="42:42" x14ac:dyDescent="0.25">
      <c r="AP8068"/>
    </row>
    <row r="8069" spans="42:42" x14ac:dyDescent="0.25">
      <c r="AP8069"/>
    </row>
    <row r="8070" spans="42:42" x14ac:dyDescent="0.25">
      <c r="AP8070"/>
    </row>
    <row r="8071" spans="42:42" x14ac:dyDescent="0.25">
      <c r="AP8071"/>
    </row>
    <row r="8072" spans="42:42" x14ac:dyDescent="0.25">
      <c r="AP8072"/>
    </row>
    <row r="8073" spans="42:42" x14ac:dyDescent="0.25">
      <c r="AP8073"/>
    </row>
    <row r="8074" spans="42:42" x14ac:dyDescent="0.25">
      <c r="AP8074"/>
    </row>
    <row r="8075" spans="42:42" x14ac:dyDescent="0.25">
      <c r="AP8075"/>
    </row>
    <row r="8076" spans="42:42" x14ac:dyDescent="0.25">
      <c r="AP8076"/>
    </row>
    <row r="8077" spans="42:42" x14ac:dyDescent="0.25">
      <c r="AP8077"/>
    </row>
    <row r="8078" spans="42:42" x14ac:dyDescent="0.25">
      <c r="AP8078"/>
    </row>
    <row r="8079" spans="42:42" x14ac:dyDescent="0.25">
      <c r="AP8079"/>
    </row>
    <row r="8080" spans="42:42" x14ac:dyDescent="0.25">
      <c r="AP8080"/>
    </row>
    <row r="8081" spans="42:42" x14ac:dyDescent="0.25">
      <c r="AP8081"/>
    </row>
    <row r="8082" spans="42:42" x14ac:dyDescent="0.25">
      <c r="AP8082"/>
    </row>
    <row r="8083" spans="42:42" x14ac:dyDescent="0.25">
      <c r="AP8083"/>
    </row>
    <row r="8084" spans="42:42" x14ac:dyDescent="0.25">
      <c r="AP8084"/>
    </row>
    <row r="8085" spans="42:42" x14ac:dyDescent="0.25">
      <c r="AP8085"/>
    </row>
    <row r="8086" spans="42:42" x14ac:dyDescent="0.25">
      <c r="AP8086"/>
    </row>
    <row r="8087" spans="42:42" x14ac:dyDescent="0.25">
      <c r="AP8087"/>
    </row>
    <row r="8088" spans="42:42" x14ac:dyDescent="0.25">
      <c r="AP8088"/>
    </row>
    <row r="8089" spans="42:42" x14ac:dyDescent="0.25">
      <c r="AP8089"/>
    </row>
    <row r="8090" spans="42:42" x14ac:dyDescent="0.25">
      <c r="AP8090"/>
    </row>
    <row r="8091" spans="42:42" x14ac:dyDescent="0.25">
      <c r="AP8091"/>
    </row>
    <row r="8092" spans="42:42" x14ac:dyDescent="0.25">
      <c r="AP8092"/>
    </row>
    <row r="8093" spans="42:42" x14ac:dyDescent="0.25">
      <c r="AP8093"/>
    </row>
    <row r="8094" spans="42:42" x14ac:dyDescent="0.25">
      <c r="AP8094"/>
    </row>
    <row r="8095" spans="42:42" x14ac:dyDescent="0.25">
      <c r="AP8095"/>
    </row>
    <row r="8096" spans="42:42" x14ac:dyDescent="0.25">
      <c r="AP8096"/>
    </row>
    <row r="8097" spans="42:42" x14ac:dyDescent="0.25">
      <c r="AP8097"/>
    </row>
    <row r="8098" spans="42:42" x14ac:dyDescent="0.25">
      <c r="AP8098"/>
    </row>
    <row r="8099" spans="42:42" x14ac:dyDescent="0.25">
      <c r="AP8099"/>
    </row>
    <row r="8100" spans="42:42" x14ac:dyDescent="0.25">
      <c r="AP8100"/>
    </row>
    <row r="8101" spans="42:42" x14ac:dyDescent="0.25">
      <c r="AP8101"/>
    </row>
    <row r="8102" spans="42:42" x14ac:dyDescent="0.25">
      <c r="AP8102"/>
    </row>
    <row r="8103" spans="42:42" x14ac:dyDescent="0.25">
      <c r="AP8103"/>
    </row>
    <row r="8104" spans="42:42" x14ac:dyDescent="0.25">
      <c r="AP8104"/>
    </row>
    <row r="8105" spans="42:42" x14ac:dyDescent="0.25">
      <c r="AP8105"/>
    </row>
    <row r="8106" spans="42:42" x14ac:dyDescent="0.25">
      <c r="AP8106"/>
    </row>
    <row r="8107" spans="42:42" x14ac:dyDescent="0.25">
      <c r="AP8107"/>
    </row>
    <row r="8108" spans="42:42" x14ac:dyDescent="0.25">
      <c r="AP8108"/>
    </row>
    <row r="8109" spans="42:42" x14ac:dyDescent="0.25">
      <c r="AP8109"/>
    </row>
    <row r="8110" spans="42:42" x14ac:dyDescent="0.25">
      <c r="AP8110"/>
    </row>
    <row r="8111" spans="42:42" x14ac:dyDescent="0.25">
      <c r="AP8111"/>
    </row>
    <row r="8112" spans="42:42" x14ac:dyDescent="0.25">
      <c r="AP8112"/>
    </row>
    <row r="8113" spans="42:42" x14ac:dyDescent="0.25">
      <c r="AP8113"/>
    </row>
    <row r="8114" spans="42:42" x14ac:dyDescent="0.25">
      <c r="AP8114"/>
    </row>
    <row r="8115" spans="42:42" x14ac:dyDescent="0.25">
      <c r="AP8115"/>
    </row>
    <row r="8116" spans="42:42" x14ac:dyDescent="0.25">
      <c r="AP8116"/>
    </row>
    <row r="8117" spans="42:42" x14ac:dyDescent="0.25">
      <c r="AP8117"/>
    </row>
    <row r="8118" spans="42:42" x14ac:dyDescent="0.25">
      <c r="AP8118"/>
    </row>
    <row r="8119" spans="42:42" x14ac:dyDescent="0.25">
      <c r="AP8119"/>
    </row>
    <row r="8120" spans="42:42" x14ac:dyDescent="0.25">
      <c r="AP8120"/>
    </row>
    <row r="8121" spans="42:42" x14ac:dyDescent="0.25">
      <c r="AP8121"/>
    </row>
    <row r="8122" spans="42:42" x14ac:dyDescent="0.25">
      <c r="AP8122"/>
    </row>
    <row r="8123" spans="42:42" x14ac:dyDescent="0.25">
      <c r="AP8123"/>
    </row>
    <row r="8124" spans="42:42" x14ac:dyDescent="0.25">
      <c r="AP8124"/>
    </row>
    <row r="8125" spans="42:42" x14ac:dyDescent="0.25">
      <c r="AP8125"/>
    </row>
    <row r="8126" spans="42:42" x14ac:dyDescent="0.25">
      <c r="AP8126"/>
    </row>
    <row r="8127" spans="42:42" x14ac:dyDescent="0.25">
      <c r="AP8127"/>
    </row>
    <row r="8128" spans="42:42" x14ac:dyDescent="0.25">
      <c r="AP8128"/>
    </row>
    <row r="8129" spans="42:42" x14ac:dyDescent="0.25">
      <c r="AP8129"/>
    </row>
    <row r="8130" spans="42:42" x14ac:dyDescent="0.25">
      <c r="AP8130"/>
    </row>
    <row r="8131" spans="42:42" x14ac:dyDescent="0.25">
      <c r="AP8131"/>
    </row>
    <row r="8132" spans="42:42" x14ac:dyDescent="0.25">
      <c r="AP8132"/>
    </row>
    <row r="8133" spans="42:42" x14ac:dyDescent="0.25">
      <c r="AP8133"/>
    </row>
    <row r="8134" spans="42:42" x14ac:dyDescent="0.25">
      <c r="AP8134"/>
    </row>
    <row r="8135" spans="42:42" x14ac:dyDescent="0.25">
      <c r="AP8135"/>
    </row>
    <row r="8136" spans="42:42" x14ac:dyDescent="0.25">
      <c r="AP8136"/>
    </row>
    <row r="8137" spans="42:42" x14ac:dyDescent="0.25">
      <c r="AP8137"/>
    </row>
    <row r="8138" spans="42:42" x14ac:dyDescent="0.25">
      <c r="AP8138"/>
    </row>
    <row r="8139" spans="42:42" x14ac:dyDescent="0.25">
      <c r="AP8139"/>
    </row>
    <row r="8140" spans="42:42" x14ac:dyDescent="0.25">
      <c r="AP8140"/>
    </row>
    <row r="8141" spans="42:42" x14ac:dyDescent="0.25">
      <c r="AP8141"/>
    </row>
    <row r="8142" spans="42:42" x14ac:dyDescent="0.25">
      <c r="AP8142"/>
    </row>
    <row r="8143" spans="42:42" x14ac:dyDescent="0.25">
      <c r="AP8143"/>
    </row>
    <row r="8144" spans="42:42" x14ac:dyDescent="0.25">
      <c r="AP8144"/>
    </row>
    <row r="8145" spans="42:42" x14ac:dyDescent="0.25">
      <c r="AP8145"/>
    </row>
    <row r="8146" spans="42:42" x14ac:dyDescent="0.25">
      <c r="AP8146"/>
    </row>
    <row r="8147" spans="42:42" x14ac:dyDescent="0.25">
      <c r="AP8147"/>
    </row>
    <row r="8148" spans="42:42" x14ac:dyDescent="0.25">
      <c r="AP8148"/>
    </row>
    <row r="8149" spans="42:42" x14ac:dyDescent="0.25">
      <c r="AP8149"/>
    </row>
    <row r="8150" spans="42:42" x14ac:dyDescent="0.25">
      <c r="AP8150"/>
    </row>
    <row r="8151" spans="42:42" x14ac:dyDescent="0.25">
      <c r="AP8151"/>
    </row>
    <row r="8152" spans="42:42" x14ac:dyDescent="0.25">
      <c r="AP8152"/>
    </row>
    <row r="8153" spans="42:42" x14ac:dyDescent="0.25">
      <c r="AP8153"/>
    </row>
    <row r="8154" spans="42:42" x14ac:dyDescent="0.25">
      <c r="AP8154"/>
    </row>
    <row r="8155" spans="42:42" x14ac:dyDescent="0.25">
      <c r="AP8155"/>
    </row>
    <row r="8156" spans="42:42" x14ac:dyDescent="0.25">
      <c r="AP8156"/>
    </row>
    <row r="8157" spans="42:42" x14ac:dyDescent="0.25">
      <c r="AP8157"/>
    </row>
    <row r="8158" spans="42:42" x14ac:dyDescent="0.25">
      <c r="AP8158"/>
    </row>
    <row r="8159" spans="42:42" x14ac:dyDescent="0.25">
      <c r="AP8159"/>
    </row>
    <row r="8160" spans="42:42" x14ac:dyDescent="0.25">
      <c r="AP8160"/>
    </row>
    <row r="8161" spans="42:42" x14ac:dyDescent="0.25">
      <c r="AP8161"/>
    </row>
    <row r="8162" spans="42:42" x14ac:dyDescent="0.25">
      <c r="AP8162"/>
    </row>
    <row r="8163" spans="42:42" x14ac:dyDescent="0.25">
      <c r="AP8163"/>
    </row>
    <row r="8164" spans="42:42" x14ac:dyDescent="0.25">
      <c r="AP8164"/>
    </row>
    <row r="8165" spans="42:42" x14ac:dyDescent="0.25">
      <c r="AP8165"/>
    </row>
    <row r="8166" spans="42:42" x14ac:dyDescent="0.25">
      <c r="AP8166"/>
    </row>
    <row r="8167" spans="42:42" x14ac:dyDescent="0.25">
      <c r="AP8167"/>
    </row>
    <row r="8168" spans="42:42" x14ac:dyDescent="0.25">
      <c r="AP8168"/>
    </row>
    <row r="8169" spans="42:42" x14ac:dyDescent="0.25">
      <c r="AP8169"/>
    </row>
    <row r="8170" spans="42:42" x14ac:dyDescent="0.25">
      <c r="AP8170"/>
    </row>
    <row r="8171" spans="42:42" x14ac:dyDescent="0.25">
      <c r="AP8171"/>
    </row>
    <row r="8172" spans="42:42" x14ac:dyDescent="0.25">
      <c r="AP8172"/>
    </row>
    <row r="8173" spans="42:42" x14ac:dyDescent="0.25">
      <c r="AP8173"/>
    </row>
    <row r="8174" spans="42:42" x14ac:dyDescent="0.25">
      <c r="AP8174"/>
    </row>
    <row r="8175" spans="42:42" x14ac:dyDescent="0.25">
      <c r="AP8175"/>
    </row>
    <row r="8176" spans="42:42" x14ac:dyDescent="0.25">
      <c r="AP8176"/>
    </row>
    <row r="8177" spans="42:42" x14ac:dyDescent="0.25">
      <c r="AP8177"/>
    </row>
    <row r="8178" spans="42:42" x14ac:dyDescent="0.25">
      <c r="AP8178"/>
    </row>
    <row r="8179" spans="42:42" x14ac:dyDescent="0.25">
      <c r="AP8179"/>
    </row>
    <row r="8180" spans="42:42" x14ac:dyDescent="0.25">
      <c r="AP8180"/>
    </row>
    <row r="8181" spans="42:42" x14ac:dyDescent="0.25">
      <c r="AP8181"/>
    </row>
    <row r="8182" spans="42:42" x14ac:dyDescent="0.25">
      <c r="AP8182"/>
    </row>
    <row r="8183" spans="42:42" x14ac:dyDescent="0.25">
      <c r="AP8183"/>
    </row>
    <row r="8184" spans="42:42" x14ac:dyDescent="0.25">
      <c r="AP8184"/>
    </row>
    <row r="8185" spans="42:42" x14ac:dyDescent="0.25">
      <c r="AP8185"/>
    </row>
    <row r="8186" spans="42:42" x14ac:dyDescent="0.25">
      <c r="AP8186"/>
    </row>
    <row r="8187" spans="42:42" x14ac:dyDescent="0.25">
      <c r="AP8187"/>
    </row>
    <row r="8188" spans="42:42" x14ac:dyDescent="0.25">
      <c r="AP8188"/>
    </row>
    <row r="8189" spans="42:42" x14ac:dyDescent="0.25">
      <c r="AP8189"/>
    </row>
    <row r="8190" spans="42:42" x14ac:dyDescent="0.25">
      <c r="AP8190"/>
    </row>
    <row r="8191" spans="42:42" x14ac:dyDescent="0.25">
      <c r="AP8191"/>
    </row>
    <row r="8192" spans="42:42" x14ac:dyDescent="0.25">
      <c r="AP8192"/>
    </row>
    <row r="8193" spans="42:42" x14ac:dyDescent="0.25">
      <c r="AP8193"/>
    </row>
    <row r="8194" spans="42:42" x14ac:dyDescent="0.25">
      <c r="AP8194"/>
    </row>
    <row r="8195" spans="42:42" x14ac:dyDescent="0.25">
      <c r="AP8195"/>
    </row>
    <row r="8196" spans="42:42" x14ac:dyDescent="0.25">
      <c r="AP8196"/>
    </row>
    <row r="8197" spans="42:42" x14ac:dyDescent="0.25">
      <c r="AP8197"/>
    </row>
    <row r="8198" spans="42:42" x14ac:dyDescent="0.25">
      <c r="AP8198"/>
    </row>
    <row r="8199" spans="42:42" x14ac:dyDescent="0.25">
      <c r="AP8199"/>
    </row>
    <row r="8200" spans="42:42" x14ac:dyDescent="0.25">
      <c r="AP8200"/>
    </row>
    <row r="8201" spans="42:42" x14ac:dyDescent="0.25">
      <c r="AP8201"/>
    </row>
    <row r="8202" spans="42:42" x14ac:dyDescent="0.25">
      <c r="AP8202"/>
    </row>
    <row r="8203" spans="42:42" x14ac:dyDescent="0.25">
      <c r="AP8203"/>
    </row>
    <row r="8204" spans="42:42" x14ac:dyDescent="0.25">
      <c r="AP8204"/>
    </row>
    <row r="8205" spans="42:42" x14ac:dyDescent="0.25">
      <c r="AP8205"/>
    </row>
    <row r="8206" spans="42:42" x14ac:dyDescent="0.25">
      <c r="AP8206"/>
    </row>
    <row r="8207" spans="42:42" x14ac:dyDescent="0.25">
      <c r="AP8207"/>
    </row>
    <row r="8208" spans="42:42" x14ac:dyDescent="0.25">
      <c r="AP8208"/>
    </row>
    <row r="8209" spans="42:42" x14ac:dyDescent="0.25">
      <c r="AP8209"/>
    </row>
    <row r="8210" spans="42:42" x14ac:dyDescent="0.25">
      <c r="AP8210"/>
    </row>
    <row r="8211" spans="42:42" x14ac:dyDescent="0.25">
      <c r="AP8211"/>
    </row>
    <row r="8212" spans="42:42" x14ac:dyDescent="0.25">
      <c r="AP8212"/>
    </row>
    <row r="8213" spans="42:42" x14ac:dyDescent="0.25">
      <c r="AP8213"/>
    </row>
    <row r="8214" spans="42:42" x14ac:dyDescent="0.25">
      <c r="AP8214"/>
    </row>
    <row r="8215" spans="42:42" x14ac:dyDescent="0.25">
      <c r="AP8215"/>
    </row>
    <row r="8216" spans="42:42" x14ac:dyDescent="0.25">
      <c r="AP8216"/>
    </row>
    <row r="8217" spans="42:42" x14ac:dyDescent="0.25">
      <c r="AP8217"/>
    </row>
    <row r="8218" spans="42:42" x14ac:dyDescent="0.25">
      <c r="AP8218"/>
    </row>
    <row r="8219" spans="42:42" x14ac:dyDescent="0.25">
      <c r="AP8219"/>
    </row>
    <row r="8220" spans="42:42" x14ac:dyDescent="0.25">
      <c r="AP8220"/>
    </row>
    <row r="8221" spans="42:42" x14ac:dyDescent="0.25">
      <c r="AP8221"/>
    </row>
    <row r="8222" spans="42:42" x14ac:dyDescent="0.25">
      <c r="AP8222"/>
    </row>
    <row r="8223" spans="42:42" x14ac:dyDescent="0.25">
      <c r="AP8223"/>
    </row>
    <row r="8224" spans="42:42" x14ac:dyDescent="0.25">
      <c r="AP8224"/>
    </row>
    <row r="8225" spans="42:42" x14ac:dyDescent="0.25">
      <c r="AP8225"/>
    </row>
    <row r="8226" spans="42:42" x14ac:dyDescent="0.25">
      <c r="AP8226"/>
    </row>
    <row r="8227" spans="42:42" x14ac:dyDescent="0.25">
      <c r="AP8227"/>
    </row>
    <row r="8228" spans="42:42" x14ac:dyDescent="0.25">
      <c r="AP8228"/>
    </row>
    <row r="8229" spans="42:42" x14ac:dyDescent="0.25">
      <c r="AP8229"/>
    </row>
    <row r="8230" spans="42:42" x14ac:dyDescent="0.25">
      <c r="AP8230"/>
    </row>
    <row r="8231" spans="42:42" x14ac:dyDescent="0.25">
      <c r="AP8231"/>
    </row>
    <row r="8232" spans="42:42" x14ac:dyDescent="0.25">
      <c r="AP8232"/>
    </row>
    <row r="8233" spans="42:42" x14ac:dyDescent="0.25">
      <c r="AP8233"/>
    </row>
    <row r="8234" spans="42:42" x14ac:dyDescent="0.25">
      <c r="AP8234"/>
    </row>
    <row r="8235" spans="42:42" x14ac:dyDescent="0.25">
      <c r="AP8235"/>
    </row>
    <row r="8236" spans="42:42" x14ac:dyDescent="0.25">
      <c r="AP8236"/>
    </row>
    <row r="8237" spans="42:42" x14ac:dyDescent="0.25">
      <c r="AP8237"/>
    </row>
    <row r="8238" spans="42:42" x14ac:dyDescent="0.25">
      <c r="AP8238"/>
    </row>
    <row r="8239" spans="42:42" x14ac:dyDescent="0.25">
      <c r="AP8239"/>
    </row>
    <row r="8240" spans="42:42" x14ac:dyDescent="0.25">
      <c r="AP8240"/>
    </row>
    <row r="8241" spans="42:42" x14ac:dyDescent="0.25">
      <c r="AP8241"/>
    </row>
    <row r="8242" spans="42:42" x14ac:dyDescent="0.25">
      <c r="AP8242"/>
    </row>
    <row r="8243" spans="42:42" x14ac:dyDescent="0.25">
      <c r="AP8243"/>
    </row>
    <row r="8244" spans="42:42" x14ac:dyDescent="0.25">
      <c r="AP8244"/>
    </row>
    <row r="8245" spans="42:42" x14ac:dyDescent="0.25">
      <c r="AP8245"/>
    </row>
    <row r="8246" spans="42:42" x14ac:dyDescent="0.25">
      <c r="AP8246"/>
    </row>
    <row r="8247" spans="42:42" x14ac:dyDescent="0.25">
      <c r="AP8247"/>
    </row>
    <row r="8248" spans="42:42" x14ac:dyDescent="0.25">
      <c r="AP8248"/>
    </row>
    <row r="8249" spans="42:42" x14ac:dyDescent="0.25">
      <c r="AP8249"/>
    </row>
    <row r="8250" spans="42:42" x14ac:dyDescent="0.25">
      <c r="AP8250"/>
    </row>
    <row r="8251" spans="42:42" x14ac:dyDescent="0.25">
      <c r="AP8251"/>
    </row>
    <row r="8252" spans="42:42" x14ac:dyDescent="0.25">
      <c r="AP8252"/>
    </row>
    <row r="8253" spans="42:42" x14ac:dyDescent="0.25">
      <c r="AP8253"/>
    </row>
    <row r="8254" spans="42:42" x14ac:dyDescent="0.25">
      <c r="AP8254"/>
    </row>
    <row r="8255" spans="42:42" x14ac:dyDescent="0.25">
      <c r="AP8255"/>
    </row>
    <row r="8256" spans="42:42" x14ac:dyDescent="0.25">
      <c r="AP8256"/>
    </row>
    <row r="8257" spans="42:42" x14ac:dyDescent="0.25">
      <c r="AP8257"/>
    </row>
    <row r="8258" spans="42:42" x14ac:dyDescent="0.25">
      <c r="AP8258"/>
    </row>
    <row r="8259" spans="42:42" x14ac:dyDescent="0.25">
      <c r="AP8259"/>
    </row>
    <row r="8260" spans="42:42" x14ac:dyDescent="0.25">
      <c r="AP8260"/>
    </row>
    <row r="8261" spans="42:42" x14ac:dyDescent="0.25">
      <c r="AP8261"/>
    </row>
    <row r="8262" spans="42:42" x14ac:dyDescent="0.25">
      <c r="AP8262"/>
    </row>
    <row r="8263" spans="42:42" x14ac:dyDescent="0.25">
      <c r="AP8263"/>
    </row>
    <row r="8264" spans="42:42" x14ac:dyDescent="0.25">
      <c r="AP8264"/>
    </row>
    <row r="8265" spans="42:42" x14ac:dyDescent="0.25">
      <c r="AP8265"/>
    </row>
    <row r="8266" spans="42:42" x14ac:dyDescent="0.25">
      <c r="AP8266"/>
    </row>
    <row r="8267" spans="42:42" x14ac:dyDescent="0.25">
      <c r="AP8267"/>
    </row>
    <row r="8268" spans="42:42" x14ac:dyDescent="0.25">
      <c r="AP8268"/>
    </row>
    <row r="8269" spans="42:42" x14ac:dyDescent="0.25">
      <c r="AP8269"/>
    </row>
    <row r="8270" spans="42:42" x14ac:dyDescent="0.25">
      <c r="AP8270"/>
    </row>
    <row r="8271" spans="42:42" x14ac:dyDescent="0.25">
      <c r="AP8271"/>
    </row>
    <row r="8272" spans="42:42" x14ac:dyDescent="0.25">
      <c r="AP8272"/>
    </row>
    <row r="8273" spans="42:42" x14ac:dyDescent="0.25">
      <c r="AP8273"/>
    </row>
    <row r="8274" spans="42:42" x14ac:dyDescent="0.25">
      <c r="AP8274"/>
    </row>
    <row r="8275" spans="42:42" x14ac:dyDescent="0.25">
      <c r="AP8275"/>
    </row>
    <row r="8276" spans="42:42" x14ac:dyDescent="0.25">
      <c r="AP8276"/>
    </row>
    <row r="8277" spans="42:42" x14ac:dyDescent="0.25">
      <c r="AP8277"/>
    </row>
    <row r="8278" spans="42:42" x14ac:dyDescent="0.25">
      <c r="AP8278"/>
    </row>
    <row r="8279" spans="42:42" x14ac:dyDescent="0.25">
      <c r="AP8279"/>
    </row>
    <row r="8280" spans="42:42" x14ac:dyDescent="0.25">
      <c r="AP8280"/>
    </row>
    <row r="8281" spans="42:42" x14ac:dyDescent="0.25">
      <c r="AP8281"/>
    </row>
    <row r="8282" spans="42:42" x14ac:dyDescent="0.25">
      <c r="AP8282"/>
    </row>
    <row r="8283" spans="42:42" x14ac:dyDescent="0.25">
      <c r="AP8283"/>
    </row>
    <row r="8284" spans="42:42" x14ac:dyDescent="0.25">
      <c r="AP8284"/>
    </row>
    <row r="8285" spans="42:42" x14ac:dyDescent="0.25">
      <c r="AP8285"/>
    </row>
    <row r="8286" spans="42:42" x14ac:dyDescent="0.25">
      <c r="AP8286"/>
    </row>
    <row r="8287" spans="42:42" x14ac:dyDescent="0.25">
      <c r="AP8287"/>
    </row>
    <row r="8288" spans="42:42" x14ac:dyDescent="0.25">
      <c r="AP8288"/>
    </row>
    <row r="8289" spans="42:42" x14ac:dyDescent="0.25">
      <c r="AP8289"/>
    </row>
    <row r="8290" spans="42:42" x14ac:dyDescent="0.25">
      <c r="AP8290"/>
    </row>
    <row r="8291" spans="42:42" x14ac:dyDescent="0.25">
      <c r="AP8291"/>
    </row>
    <row r="8292" spans="42:42" x14ac:dyDescent="0.25">
      <c r="AP8292"/>
    </row>
    <row r="8293" spans="42:42" x14ac:dyDescent="0.25">
      <c r="AP8293"/>
    </row>
    <row r="8294" spans="42:42" x14ac:dyDescent="0.25">
      <c r="AP8294"/>
    </row>
    <row r="8295" spans="42:42" x14ac:dyDescent="0.25">
      <c r="AP8295"/>
    </row>
    <row r="8296" spans="42:42" x14ac:dyDescent="0.25">
      <c r="AP8296"/>
    </row>
    <row r="8297" spans="42:42" x14ac:dyDescent="0.25">
      <c r="AP8297"/>
    </row>
    <row r="8298" spans="42:42" x14ac:dyDescent="0.25">
      <c r="AP8298"/>
    </row>
    <row r="8299" spans="42:42" x14ac:dyDescent="0.25">
      <c r="AP8299"/>
    </row>
    <row r="8300" spans="42:42" x14ac:dyDescent="0.25">
      <c r="AP8300"/>
    </row>
    <row r="8301" spans="42:42" x14ac:dyDescent="0.25">
      <c r="AP8301"/>
    </row>
    <row r="8302" spans="42:42" x14ac:dyDescent="0.25">
      <c r="AP8302"/>
    </row>
    <row r="8303" spans="42:42" x14ac:dyDescent="0.25">
      <c r="AP8303"/>
    </row>
    <row r="8304" spans="42:42" x14ac:dyDescent="0.25">
      <c r="AP8304"/>
    </row>
    <row r="8305" spans="42:42" x14ac:dyDescent="0.25">
      <c r="AP8305"/>
    </row>
    <row r="8306" spans="42:42" x14ac:dyDescent="0.25">
      <c r="AP8306"/>
    </row>
    <row r="8307" spans="42:42" x14ac:dyDescent="0.25">
      <c r="AP8307"/>
    </row>
    <row r="8308" spans="42:42" x14ac:dyDescent="0.25">
      <c r="AP8308"/>
    </row>
    <row r="8309" spans="42:42" x14ac:dyDescent="0.25">
      <c r="AP8309"/>
    </row>
    <row r="8310" spans="42:42" x14ac:dyDescent="0.25">
      <c r="AP8310"/>
    </row>
    <row r="8311" spans="42:42" x14ac:dyDescent="0.25">
      <c r="AP8311"/>
    </row>
    <row r="8312" spans="42:42" x14ac:dyDescent="0.25">
      <c r="AP8312"/>
    </row>
    <row r="8313" spans="42:42" x14ac:dyDescent="0.25">
      <c r="AP8313"/>
    </row>
    <row r="8314" spans="42:42" x14ac:dyDescent="0.25">
      <c r="AP8314"/>
    </row>
    <row r="8315" spans="42:42" x14ac:dyDescent="0.25">
      <c r="AP8315"/>
    </row>
    <row r="8316" spans="42:42" x14ac:dyDescent="0.25">
      <c r="AP8316"/>
    </row>
    <row r="8317" spans="42:42" x14ac:dyDescent="0.25">
      <c r="AP8317"/>
    </row>
    <row r="8318" spans="42:42" x14ac:dyDescent="0.25">
      <c r="AP8318"/>
    </row>
    <row r="8319" spans="42:42" x14ac:dyDescent="0.25">
      <c r="AP8319"/>
    </row>
    <row r="8320" spans="42:42" x14ac:dyDescent="0.25">
      <c r="AP8320"/>
    </row>
    <row r="8321" spans="42:42" x14ac:dyDescent="0.25">
      <c r="AP8321"/>
    </row>
    <row r="8322" spans="42:42" x14ac:dyDescent="0.25">
      <c r="AP8322"/>
    </row>
    <row r="8323" spans="42:42" x14ac:dyDescent="0.25">
      <c r="AP8323"/>
    </row>
    <row r="8324" spans="42:42" x14ac:dyDescent="0.25">
      <c r="AP8324"/>
    </row>
    <row r="8325" spans="42:42" x14ac:dyDescent="0.25">
      <c r="AP8325"/>
    </row>
    <row r="8326" spans="42:42" x14ac:dyDescent="0.25">
      <c r="AP8326"/>
    </row>
    <row r="8327" spans="42:42" x14ac:dyDescent="0.25">
      <c r="AP8327"/>
    </row>
    <row r="8328" spans="42:42" x14ac:dyDescent="0.25">
      <c r="AP8328"/>
    </row>
    <row r="8329" spans="42:42" x14ac:dyDescent="0.25">
      <c r="AP8329"/>
    </row>
    <row r="8330" spans="42:42" x14ac:dyDescent="0.25">
      <c r="AP8330"/>
    </row>
    <row r="8331" spans="42:42" x14ac:dyDescent="0.25">
      <c r="AP8331"/>
    </row>
    <row r="8332" spans="42:42" x14ac:dyDescent="0.25">
      <c r="AP8332"/>
    </row>
    <row r="8333" spans="42:42" x14ac:dyDescent="0.25">
      <c r="AP8333"/>
    </row>
    <row r="8334" spans="42:42" x14ac:dyDescent="0.25">
      <c r="AP8334"/>
    </row>
    <row r="8335" spans="42:42" x14ac:dyDescent="0.25">
      <c r="AP8335"/>
    </row>
    <row r="8336" spans="42:42" x14ac:dyDescent="0.25">
      <c r="AP8336"/>
    </row>
    <row r="8337" spans="42:42" x14ac:dyDescent="0.25">
      <c r="AP8337"/>
    </row>
    <row r="8338" spans="42:42" x14ac:dyDescent="0.25">
      <c r="AP8338"/>
    </row>
    <row r="8339" spans="42:42" x14ac:dyDescent="0.25">
      <c r="AP8339"/>
    </row>
    <row r="8340" spans="42:42" x14ac:dyDescent="0.25">
      <c r="AP8340"/>
    </row>
    <row r="8341" spans="42:42" x14ac:dyDescent="0.25">
      <c r="AP8341"/>
    </row>
    <row r="8342" spans="42:42" x14ac:dyDescent="0.25">
      <c r="AP8342"/>
    </row>
    <row r="8343" spans="42:42" x14ac:dyDescent="0.25">
      <c r="AP8343"/>
    </row>
    <row r="8344" spans="42:42" x14ac:dyDescent="0.25">
      <c r="AP8344"/>
    </row>
    <row r="8345" spans="42:42" x14ac:dyDescent="0.25">
      <c r="AP8345"/>
    </row>
    <row r="8346" spans="42:42" x14ac:dyDescent="0.25">
      <c r="AP8346"/>
    </row>
    <row r="8347" spans="42:42" x14ac:dyDescent="0.25">
      <c r="AP8347"/>
    </row>
    <row r="8348" spans="42:42" x14ac:dyDescent="0.25">
      <c r="AP8348"/>
    </row>
    <row r="8349" spans="42:42" x14ac:dyDescent="0.25">
      <c r="AP8349"/>
    </row>
    <row r="8350" spans="42:42" x14ac:dyDescent="0.25">
      <c r="AP8350"/>
    </row>
    <row r="8351" spans="42:42" x14ac:dyDescent="0.25">
      <c r="AP8351"/>
    </row>
    <row r="8352" spans="42:42" x14ac:dyDescent="0.25">
      <c r="AP8352"/>
    </row>
    <row r="8353" spans="42:42" x14ac:dyDescent="0.25">
      <c r="AP8353"/>
    </row>
    <row r="8354" spans="42:42" x14ac:dyDescent="0.25">
      <c r="AP8354"/>
    </row>
    <row r="8355" spans="42:42" x14ac:dyDescent="0.25">
      <c r="AP8355"/>
    </row>
    <row r="8356" spans="42:42" x14ac:dyDescent="0.25">
      <c r="AP8356"/>
    </row>
    <row r="8357" spans="42:42" x14ac:dyDescent="0.25">
      <c r="AP8357"/>
    </row>
    <row r="8358" spans="42:42" x14ac:dyDescent="0.25">
      <c r="AP8358"/>
    </row>
    <row r="8359" spans="42:42" x14ac:dyDescent="0.25">
      <c r="AP8359"/>
    </row>
    <row r="8360" spans="42:42" x14ac:dyDescent="0.25">
      <c r="AP8360"/>
    </row>
    <row r="8361" spans="42:42" x14ac:dyDescent="0.25">
      <c r="AP8361"/>
    </row>
    <row r="8362" spans="42:42" x14ac:dyDescent="0.25">
      <c r="AP8362"/>
    </row>
    <row r="8363" spans="42:42" x14ac:dyDescent="0.25">
      <c r="AP8363"/>
    </row>
    <row r="8364" spans="42:42" x14ac:dyDescent="0.25">
      <c r="AP8364"/>
    </row>
    <row r="8365" spans="42:42" x14ac:dyDescent="0.25">
      <c r="AP8365"/>
    </row>
    <row r="8366" spans="42:42" x14ac:dyDescent="0.25">
      <c r="AP8366"/>
    </row>
    <row r="8367" spans="42:42" x14ac:dyDescent="0.25">
      <c r="AP8367"/>
    </row>
    <row r="8368" spans="42:42" x14ac:dyDescent="0.25">
      <c r="AP8368"/>
    </row>
    <row r="8369" spans="42:42" x14ac:dyDescent="0.25">
      <c r="AP8369"/>
    </row>
    <row r="8370" spans="42:42" x14ac:dyDescent="0.25">
      <c r="AP8370"/>
    </row>
    <row r="8371" spans="42:42" x14ac:dyDescent="0.25">
      <c r="AP8371"/>
    </row>
    <row r="8372" spans="42:42" x14ac:dyDescent="0.25">
      <c r="AP8372"/>
    </row>
    <row r="8373" spans="42:42" x14ac:dyDescent="0.25">
      <c r="AP8373"/>
    </row>
    <row r="8374" spans="42:42" x14ac:dyDescent="0.25">
      <c r="AP8374"/>
    </row>
    <row r="8375" spans="42:42" x14ac:dyDescent="0.25">
      <c r="AP8375"/>
    </row>
    <row r="8376" spans="42:42" x14ac:dyDescent="0.25">
      <c r="AP8376"/>
    </row>
    <row r="8377" spans="42:42" x14ac:dyDescent="0.25">
      <c r="AP8377"/>
    </row>
    <row r="8378" spans="42:42" x14ac:dyDescent="0.25">
      <c r="AP8378"/>
    </row>
    <row r="8379" spans="42:42" x14ac:dyDescent="0.25">
      <c r="AP8379"/>
    </row>
    <row r="8380" spans="42:42" x14ac:dyDescent="0.25">
      <c r="AP8380"/>
    </row>
    <row r="8381" spans="42:42" x14ac:dyDescent="0.25">
      <c r="AP8381"/>
    </row>
    <row r="8382" spans="42:42" x14ac:dyDescent="0.25">
      <c r="AP8382"/>
    </row>
    <row r="8383" spans="42:42" x14ac:dyDescent="0.25">
      <c r="AP8383"/>
    </row>
    <row r="8384" spans="42:42" x14ac:dyDescent="0.25">
      <c r="AP8384"/>
    </row>
    <row r="8385" spans="42:42" x14ac:dyDescent="0.25">
      <c r="AP8385"/>
    </row>
    <row r="8386" spans="42:42" x14ac:dyDescent="0.25">
      <c r="AP8386"/>
    </row>
    <row r="8387" spans="42:42" x14ac:dyDescent="0.25">
      <c r="AP8387"/>
    </row>
    <row r="8388" spans="42:42" x14ac:dyDescent="0.25">
      <c r="AP8388"/>
    </row>
    <row r="8389" spans="42:42" x14ac:dyDescent="0.25">
      <c r="AP8389"/>
    </row>
    <row r="8390" spans="42:42" x14ac:dyDescent="0.25">
      <c r="AP8390"/>
    </row>
    <row r="8391" spans="42:42" x14ac:dyDescent="0.25">
      <c r="AP8391"/>
    </row>
    <row r="8392" spans="42:42" x14ac:dyDescent="0.25">
      <c r="AP8392"/>
    </row>
    <row r="8393" spans="42:42" x14ac:dyDescent="0.25">
      <c r="AP8393"/>
    </row>
    <row r="8394" spans="42:42" x14ac:dyDescent="0.25">
      <c r="AP8394"/>
    </row>
    <row r="8395" spans="42:42" x14ac:dyDescent="0.25">
      <c r="AP8395"/>
    </row>
    <row r="8396" spans="42:42" x14ac:dyDescent="0.25">
      <c r="AP8396"/>
    </row>
    <row r="8397" spans="42:42" x14ac:dyDescent="0.25">
      <c r="AP8397"/>
    </row>
    <row r="8398" spans="42:42" x14ac:dyDescent="0.25">
      <c r="AP8398"/>
    </row>
    <row r="8399" spans="42:42" x14ac:dyDescent="0.25">
      <c r="AP8399"/>
    </row>
    <row r="8400" spans="42:42" x14ac:dyDescent="0.25">
      <c r="AP8400"/>
    </row>
    <row r="8401" spans="42:42" x14ac:dyDescent="0.25">
      <c r="AP8401"/>
    </row>
    <row r="8402" spans="42:42" x14ac:dyDescent="0.25">
      <c r="AP8402"/>
    </row>
    <row r="8403" spans="42:42" x14ac:dyDescent="0.25">
      <c r="AP8403"/>
    </row>
    <row r="8404" spans="42:42" x14ac:dyDescent="0.25">
      <c r="AP8404"/>
    </row>
    <row r="8405" spans="42:42" x14ac:dyDescent="0.25">
      <c r="AP8405"/>
    </row>
    <row r="8406" spans="42:42" x14ac:dyDescent="0.25">
      <c r="AP8406"/>
    </row>
    <row r="8407" spans="42:42" x14ac:dyDescent="0.25">
      <c r="AP8407"/>
    </row>
    <row r="8408" spans="42:42" x14ac:dyDescent="0.25">
      <c r="AP8408"/>
    </row>
    <row r="8409" spans="42:42" x14ac:dyDescent="0.25">
      <c r="AP8409"/>
    </row>
    <row r="8410" spans="42:42" x14ac:dyDescent="0.25">
      <c r="AP8410"/>
    </row>
    <row r="8411" spans="42:42" x14ac:dyDescent="0.25">
      <c r="AP8411"/>
    </row>
    <row r="8412" spans="42:42" x14ac:dyDescent="0.25">
      <c r="AP8412"/>
    </row>
    <row r="8413" spans="42:42" x14ac:dyDescent="0.25">
      <c r="AP8413"/>
    </row>
    <row r="8414" spans="42:42" x14ac:dyDescent="0.25">
      <c r="AP8414"/>
    </row>
    <row r="8415" spans="42:42" x14ac:dyDescent="0.25">
      <c r="AP8415"/>
    </row>
    <row r="8416" spans="42:42" x14ac:dyDescent="0.25">
      <c r="AP8416"/>
    </row>
    <row r="8417" spans="42:42" x14ac:dyDescent="0.25">
      <c r="AP8417"/>
    </row>
    <row r="8418" spans="42:42" x14ac:dyDescent="0.25">
      <c r="AP8418"/>
    </row>
    <row r="8419" spans="42:42" x14ac:dyDescent="0.25">
      <c r="AP8419"/>
    </row>
    <row r="8420" spans="42:42" x14ac:dyDescent="0.25">
      <c r="AP8420"/>
    </row>
    <row r="8421" spans="42:42" x14ac:dyDescent="0.25">
      <c r="AP8421"/>
    </row>
    <row r="8422" spans="42:42" x14ac:dyDescent="0.25">
      <c r="AP8422"/>
    </row>
    <row r="8423" spans="42:42" x14ac:dyDescent="0.25">
      <c r="AP8423"/>
    </row>
    <row r="8424" spans="42:42" x14ac:dyDescent="0.25">
      <c r="AP8424"/>
    </row>
    <row r="8425" spans="42:42" x14ac:dyDescent="0.25">
      <c r="AP8425"/>
    </row>
    <row r="8426" spans="42:42" x14ac:dyDescent="0.25">
      <c r="AP8426"/>
    </row>
    <row r="8427" spans="42:42" x14ac:dyDescent="0.25">
      <c r="AP8427"/>
    </row>
    <row r="8428" spans="42:42" x14ac:dyDescent="0.25">
      <c r="AP8428"/>
    </row>
    <row r="8429" spans="42:42" x14ac:dyDescent="0.25">
      <c r="AP8429"/>
    </row>
    <row r="8430" spans="42:42" x14ac:dyDescent="0.25">
      <c r="AP8430"/>
    </row>
    <row r="8431" spans="42:42" x14ac:dyDescent="0.25">
      <c r="AP8431"/>
    </row>
    <row r="8432" spans="42:42" x14ac:dyDescent="0.25">
      <c r="AP8432"/>
    </row>
    <row r="8433" spans="42:42" x14ac:dyDescent="0.25">
      <c r="AP8433"/>
    </row>
    <row r="8434" spans="42:42" x14ac:dyDescent="0.25">
      <c r="AP8434"/>
    </row>
    <row r="8435" spans="42:42" x14ac:dyDescent="0.25">
      <c r="AP8435"/>
    </row>
    <row r="8436" spans="42:42" x14ac:dyDescent="0.25">
      <c r="AP8436"/>
    </row>
    <row r="8437" spans="42:42" x14ac:dyDescent="0.25">
      <c r="AP8437"/>
    </row>
    <row r="8438" spans="42:42" x14ac:dyDescent="0.25">
      <c r="AP8438"/>
    </row>
    <row r="8439" spans="42:42" x14ac:dyDescent="0.25">
      <c r="AP8439"/>
    </row>
    <row r="8440" spans="42:42" x14ac:dyDescent="0.25">
      <c r="AP8440"/>
    </row>
    <row r="8441" spans="42:42" x14ac:dyDescent="0.25">
      <c r="AP8441"/>
    </row>
    <row r="8442" spans="42:42" x14ac:dyDescent="0.25">
      <c r="AP8442"/>
    </row>
    <row r="8443" spans="42:42" x14ac:dyDescent="0.25">
      <c r="AP8443"/>
    </row>
    <row r="8444" spans="42:42" x14ac:dyDescent="0.25">
      <c r="AP8444"/>
    </row>
    <row r="8445" spans="42:42" x14ac:dyDescent="0.25">
      <c r="AP8445"/>
    </row>
    <row r="8446" spans="42:42" x14ac:dyDescent="0.25">
      <c r="AP8446"/>
    </row>
    <row r="8447" spans="42:42" x14ac:dyDescent="0.25">
      <c r="AP8447"/>
    </row>
    <row r="8448" spans="42:42" x14ac:dyDescent="0.25">
      <c r="AP8448"/>
    </row>
    <row r="8449" spans="42:42" x14ac:dyDescent="0.25">
      <c r="AP8449"/>
    </row>
    <row r="8450" spans="42:42" x14ac:dyDescent="0.25">
      <c r="AP8450"/>
    </row>
    <row r="8451" spans="42:42" x14ac:dyDescent="0.25">
      <c r="AP8451"/>
    </row>
    <row r="8452" spans="42:42" x14ac:dyDescent="0.25">
      <c r="AP8452"/>
    </row>
    <row r="8453" spans="42:42" x14ac:dyDescent="0.25">
      <c r="AP8453"/>
    </row>
    <row r="8454" spans="42:42" x14ac:dyDescent="0.25">
      <c r="AP8454"/>
    </row>
    <row r="8455" spans="42:42" x14ac:dyDescent="0.25">
      <c r="AP8455"/>
    </row>
    <row r="8456" spans="42:42" x14ac:dyDescent="0.25">
      <c r="AP8456"/>
    </row>
    <row r="8457" spans="42:42" x14ac:dyDescent="0.25">
      <c r="AP8457"/>
    </row>
    <row r="8458" spans="42:42" x14ac:dyDescent="0.25">
      <c r="AP8458"/>
    </row>
    <row r="8459" spans="42:42" x14ac:dyDescent="0.25">
      <c r="AP8459"/>
    </row>
    <row r="8460" spans="42:42" x14ac:dyDescent="0.25">
      <c r="AP8460"/>
    </row>
    <row r="8461" spans="42:42" x14ac:dyDescent="0.25">
      <c r="AP8461"/>
    </row>
    <row r="8462" spans="42:42" x14ac:dyDescent="0.25">
      <c r="AP8462"/>
    </row>
    <row r="8463" spans="42:42" x14ac:dyDescent="0.25">
      <c r="AP8463"/>
    </row>
    <row r="8464" spans="42:42" x14ac:dyDescent="0.25">
      <c r="AP8464"/>
    </row>
    <row r="8465" spans="42:42" x14ac:dyDescent="0.25">
      <c r="AP8465"/>
    </row>
    <row r="8466" spans="42:42" x14ac:dyDescent="0.25">
      <c r="AP8466"/>
    </row>
    <row r="8467" spans="42:42" x14ac:dyDescent="0.25">
      <c r="AP8467"/>
    </row>
    <row r="8468" spans="42:42" x14ac:dyDescent="0.25">
      <c r="AP8468"/>
    </row>
    <row r="8469" spans="42:42" x14ac:dyDescent="0.25">
      <c r="AP8469"/>
    </row>
    <row r="8470" spans="42:42" x14ac:dyDescent="0.25">
      <c r="AP8470"/>
    </row>
    <row r="8471" spans="42:42" x14ac:dyDescent="0.25">
      <c r="AP8471"/>
    </row>
    <row r="8472" spans="42:42" x14ac:dyDescent="0.25">
      <c r="AP8472"/>
    </row>
    <row r="8473" spans="42:42" x14ac:dyDescent="0.25">
      <c r="AP8473"/>
    </row>
    <row r="8474" spans="42:42" x14ac:dyDescent="0.25">
      <c r="AP8474"/>
    </row>
    <row r="8475" spans="42:42" x14ac:dyDescent="0.25">
      <c r="AP8475"/>
    </row>
    <row r="8476" spans="42:42" x14ac:dyDescent="0.25">
      <c r="AP8476"/>
    </row>
    <row r="8477" spans="42:42" x14ac:dyDescent="0.25">
      <c r="AP8477"/>
    </row>
    <row r="8478" spans="42:42" x14ac:dyDescent="0.25">
      <c r="AP8478"/>
    </row>
    <row r="8479" spans="42:42" x14ac:dyDescent="0.25">
      <c r="AP8479"/>
    </row>
    <row r="8480" spans="42:42" x14ac:dyDescent="0.25">
      <c r="AP8480"/>
    </row>
    <row r="8481" spans="42:42" x14ac:dyDescent="0.25">
      <c r="AP8481"/>
    </row>
    <row r="8482" spans="42:42" x14ac:dyDescent="0.25">
      <c r="AP8482"/>
    </row>
    <row r="8483" spans="42:42" x14ac:dyDescent="0.25">
      <c r="AP8483"/>
    </row>
    <row r="8484" spans="42:42" x14ac:dyDescent="0.25">
      <c r="AP8484"/>
    </row>
    <row r="8485" spans="42:42" x14ac:dyDescent="0.25">
      <c r="AP8485"/>
    </row>
    <row r="8486" spans="42:42" x14ac:dyDescent="0.25">
      <c r="AP8486"/>
    </row>
    <row r="8487" spans="42:42" x14ac:dyDescent="0.25">
      <c r="AP8487"/>
    </row>
    <row r="8488" spans="42:42" x14ac:dyDescent="0.25">
      <c r="AP8488"/>
    </row>
    <row r="8489" spans="42:42" x14ac:dyDescent="0.25">
      <c r="AP8489"/>
    </row>
    <row r="8490" spans="42:42" x14ac:dyDescent="0.25">
      <c r="AP8490"/>
    </row>
    <row r="8491" spans="42:42" x14ac:dyDescent="0.25">
      <c r="AP8491"/>
    </row>
    <row r="8492" spans="42:42" x14ac:dyDescent="0.25">
      <c r="AP8492"/>
    </row>
    <row r="8493" spans="42:42" x14ac:dyDescent="0.25">
      <c r="AP8493"/>
    </row>
    <row r="8494" spans="42:42" x14ac:dyDescent="0.25">
      <c r="AP8494"/>
    </row>
    <row r="8495" spans="42:42" x14ac:dyDescent="0.25">
      <c r="AP8495"/>
    </row>
    <row r="8496" spans="42:42" x14ac:dyDescent="0.25">
      <c r="AP8496"/>
    </row>
    <row r="8497" spans="42:42" x14ac:dyDescent="0.25">
      <c r="AP8497"/>
    </row>
    <row r="8498" spans="42:42" x14ac:dyDescent="0.25">
      <c r="AP8498"/>
    </row>
    <row r="8499" spans="42:42" x14ac:dyDescent="0.25">
      <c r="AP8499"/>
    </row>
    <row r="8500" spans="42:42" x14ac:dyDescent="0.25">
      <c r="AP8500"/>
    </row>
    <row r="8501" spans="42:42" x14ac:dyDescent="0.25">
      <c r="AP8501"/>
    </row>
    <row r="8502" spans="42:42" x14ac:dyDescent="0.25">
      <c r="AP8502"/>
    </row>
    <row r="8503" spans="42:42" x14ac:dyDescent="0.25">
      <c r="AP8503"/>
    </row>
    <row r="8504" spans="42:42" x14ac:dyDescent="0.25">
      <c r="AP8504"/>
    </row>
    <row r="8505" spans="42:42" x14ac:dyDescent="0.25">
      <c r="AP8505"/>
    </row>
    <row r="8506" spans="42:42" x14ac:dyDescent="0.25">
      <c r="AP8506"/>
    </row>
    <row r="8507" spans="42:42" x14ac:dyDescent="0.25">
      <c r="AP8507"/>
    </row>
    <row r="8508" spans="42:42" x14ac:dyDescent="0.25">
      <c r="AP8508"/>
    </row>
    <row r="8509" spans="42:42" x14ac:dyDescent="0.25">
      <c r="AP8509"/>
    </row>
    <row r="8510" spans="42:42" x14ac:dyDescent="0.25">
      <c r="AP8510"/>
    </row>
    <row r="8511" spans="42:42" x14ac:dyDescent="0.25">
      <c r="AP8511"/>
    </row>
    <row r="8512" spans="42:42" x14ac:dyDescent="0.25">
      <c r="AP8512"/>
    </row>
    <row r="8513" spans="42:42" x14ac:dyDescent="0.25">
      <c r="AP8513"/>
    </row>
    <row r="8514" spans="42:42" x14ac:dyDescent="0.25">
      <c r="AP8514"/>
    </row>
    <row r="8515" spans="42:42" x14ac:dyDescent="0.25">
      <c r="AP8515"/>
    </row>
    <row r="8516" spans="42:42" x14ac:dyDescent="0.25">
      <c r="AP8516"/>
    </row>
    <row r="8517" spans="42:42" x14ac:dyDescent="0.25">
      <c r="AP8517"/>
    </row>
    <row r="8518" spans="42:42" x14ac:dyDescent="0.25">
      <c r="AP8518"/>
    </row>
    <row r="8519" spans="42:42" x14ac:dyDescent="0.25">
      <c r="AP8519"/>
    </row>
    <row r="8520" spans="42:42" x14ac:dyDescent="0.25">
      <c r="AP8520"/>
    </row>
    <row r="8521" spans="42:42" x14ac:dyDescent="0.25">
      <c r="AP8521"/>
    </row>
    <row r="8522" spans="42:42" x14ac:dyDescent="0.25">
      <c r="AP8522"/>
    </row>
    <row r="8523" spans="42:42" x14ac:dyDescent="0.25">
      <c r="AP8523"/>
    </row>
    <row r="8524" spans="42:42" x14ac:dyDescent="0.25">
      <c r="AP8524"/>
    </row>
    <row r="8525" spans="42:42" x14ac:dyDescent="0.25">
      <c r="AP8525"/>
    </row>
    <row r="8526" spans="42:42" x14ac:dyDescent="0.25">
      <c r="AP8526"/>
    </row>
    <row r="8527" spans="42:42" x14ac:dyDescent="0.25">
      <c r="AP8527"/>
    </row>
    <row r="8528" spans="42:42" x14ac:dyDescent="0.25">
      <c r="AP8528"/>
    </row>
    <row r="8529" spans="42:42" x14ac:dyDescent="0.25">
      <c r="AP8529"/>
    </row>
    <row r="8530" spans="42:42" x14ac:dyDescent="0.25">
      <c r="AP8530"/>
    </row>
    <row r="8531" spans="42:42" x14ac:dyDescent="0.25">
      <c r="AP8531"/>
    </row>
    <row r="8532" spans="42:42" x14ac:dyDescent="0.25">
      <c r="AP8532"/>
    </row>
    <row r="8533" spans="42:42" x14ac:dyDescent="0.25">
      <c r="AP8533"/>
    </row>
    <row r="8534" spans="42:42" x14ac:dyDescent="0.25">
      <c r="AP8534"/>
    </row>
    <row r="8535" spans="42:42" x14ac:dyDescent="0.25">
      <c r="AP8535"/>
    </row>
    <row r="8536" spans="42:42" x14ac:dyDescent="0.25">
      <c r="AP8536"/>
    </row>
    <row r="8537" spans="42:42" x14ac:dyDescent="0.25">
      <c r="AP8537"/>
    </row>
    <row r="8538" spans="42:42" x14ac:dyDescent="0.25">
      <c r="AP8538"/>
    </row>
    <row r="8539" spans="42:42" x14ac:dyDescent="0.25">
      <c r="AP8539"/>
    </row>
    <row r="8540" spans="42:42" x14ac:dyDescent="0.25">
      <c r="AP8540"/>
    </row>
    <row r="8541" spans="42:42" x14ac:dyDescent="0.25">
      <c r="AP8541"/>
    </row>
    <row r="8542" spans="42:42" x14ac:dyDescent="0.25">
      <c r="AP8542"/>
    </row>
    <row r="8543" spans="42:42" x14ac:dyDescent="0.25">
      <c r="AP8543"/>
    </row>
    <row r="8544" spans="42:42" x14ac:dyDescent="0.25">
      <c r="AP8544"/>
    </row>
    <row r="8545" spans="42:42" x14ac:dyDescent="0.25">
      <c r="AP8545"/>
    </row>
    <row r="8546" spans="42:42" x14ac:dyDescent="0.25">
      <c r="AP8546"/>
    </row>
    <row r="8547" spans="42:42" x14ac:dyDescent="0.25">
      <c r="AP8547"/>
    </row>
    <row r="8548" spans="42:42" x14ac:dyDescent="0.25">
      <c r="AP8548"/>
    </row>
    <row r="8549" spans="42:42" x14ac:dyDescent="0.25">
      <c r="AP8549"/>
    </row>
    <row r="8550" spans="42:42" x14ac:dyDescent="0.25">
      <c r="AP8550"/>
    </row>
    <row r="8551" spans="42:42" x14ac:dyDescent="0.25">
      <c r="AP8551"/>
    </row>
    <row r="8552" spans="42:42" x14ac:dyDescent="0.25">
      <c r="AP8552"/>
    </row>
    <row r="8553" spans="42:42" x14ac:dyDescent="0.25">
      <c r="AP8553"/>
    </row>
    <row r="8554" spans="42:42" x14ac:dyDescent="0.25">
      <c r="AP8554"/>
    </row>
    <row r="8555" spans="42:42" x14ac:dyDescent="0.25">
      <c r="AP8555"/>
    </row>
    <row r="8556" spans="42:42" x14ac:dyDescent="0.25">
      <c r="AP8556"/>
    </row>
    <row r="8557" spans="42:42" x14ac:dyDescent="0.25">
      <c r="AP8557"/>
    </row>
    <row r="8558" spans="42:42" x14ac:dyDescent="0.25">
      <c r="AP8558"/>
    </row>
    <row r="8559" spans="42:42" x14ac:dyDescent="0.25">
      <c r="AP8559"/>
    </row>
    <row r="8560" spans="42:42" x14ac:dyDescent="0.25">
      <c r="AP8560"/>
    </row>
    <row r="8561" spans="42:42" x14ac:dyDescent="0.25">
      <c r="AP8561"/>
    </row>
    <row r="8562" spans="42:42" x14ac:dyDescent="0.25">
      <c r="AP8562"/>
    </row>
    <row r="8563" spans="42:42" x14ac:dyDescent="0.25">
      <c r="AP8563"/>
    </row>
    <row r="8564" spans="42:42" x14ac:dyDescent="0.25">
      <c r="AP8564"/>
    </row>
    <row r="8565" spans="42:42" x14ac:dyDescent="0.25">
      <c r="AP8565"/>
    </row>
    <row r="8566" spans="42:42" x14ac:dyDescent="0.25">
      <c r="AP8566"/>
    </row>
    <row r="8567" spans="42:42" x14ac:dyDescent="0.25">
      <c r="AP8567"/>
    </row>
    <row r="8568" spans="42:42" x14ac:dyDescent="0.25">
      <c r="AP8568"/>
    </row>
    <row r="8569" spans="42:42" x14ac:dyDescent="0.25">
      <c r="AP8569"/>
    </row>
    <row r="8570" spans="42:42" x14ac:dyDescent="0.25">
      <c r="AP8570"/>
    </row>
    <row r="8571" spans="42:42" x14ac:dyDescent="0.25">
      <c r="AP8571"/>
    </row>
    <row r="8572" spans="42:42" x14ac:dyDescent="0.25">
      <c r="AP8572"/>
    </row>
    <row r="8573" spans="42:42" x14ac:dyDescent="0.25">
      <c r="AP8573"/>
    </row>
    <row r="8574" spans="42:42" x14ac:dyDescent="0.25">
      <c r="AP8574"/>
    </row>
    <row r="8575" spans="42:42" x14ac:dyDescent="0.25">
      <c r="AP8575"/>
    </row>
    <row r="8576" spans="42:42" x14ac:dyDescent="0.25">
      <c r="AP8576"/>
    </row>
    <row r="8577" spans="42:42" x14ac:dyDescent="0.25">
      <c r="AP8577"/>
    </row>
    <row r="8578" spans="42:42" x14ac:dyDescent="0.25">
      <c r="AP8578"/>
    </row>
    <row r="8579" spans="42:42" x14ac:dyDescent="0.25">
      <c r="AP8579"/>
    </row>
    <row r="8580" spans="42:42" x14ac:dyDescent="0.25">
      <c r="AP8580"/>
    </row>
    <row r="8581" spans="42:42" x14ac:dyDescent="0.25">
      <c r="AP8581"/>
    </row>
    <row r="8582" spans="42:42" x14ac:dyDescent="0.25">
      <c r="AP8582"/>
    </row>
    <row r="8583" spans="42:42" x14ac:dyDescent="0.25">
      <c r="AP8583"/>
    </row>
    <row r="8584" spans="42:42" x14ac:dyDescent="0.25">
      <c r="AP8584"/>
    </row>
    <row r="8585" spans="42:42" x14ac:dyDescent="0.25">
      <c r="AP8585"/>
    </row>
    <row r="8586" spans="42:42" x14ac:dyDescent="0.25">
      <c r="AP8586"/>
    </row>
    <row r="8587" spans="42:42" x14ac:dyDescent="0.25">
      <c r="AP8587"/>
    </row>
    <row r="8588" spans="42:42" x14ac:dyDescent="0.25">
      <c r="AP8588"/>
    </row>
    <row r="8589" spans="42:42" x14ac:dyDescent="0.25">
      <c r="AP8589"/>
    </row>
    <row r="8590" spans="42:42" x14ac:dyDescent="0.25">
      <c r="AP8590"/>
    </row>
    <row r="8591" spans="42:42" x14ac:dyDescent="0.25">
      <c r="AP8591"/>
    </row>
    <row r="8592" spans="42:42" x14ac:dyDescent="0.25">
      <c r="AP8592"/>
    </row>
    <row r="8593" spans="42:42" x14ac:dyDescent="0.25">
      <c r="AP8593"/>
    </row>
    <row r="8594" spans="42:42" x14ac:dyDescent="0.25">
      <c r="AP8594"/>
    </row>
    <row r="8595" spans="42:42" x14ac:dyDescent="0.25">
      <c r="AP8595"/>
    </row>
    <row r="8596" spans="42:42" x14ac:dyDescent="0.25">
      <c r="AP8596"/>
    </row>
    <row r="8597" spans="42:42" x14ac:dyDescent="0.25">
      <c r="AP8597"/>
    </row>
    <row r="8598" spans="42:42" x14ac:dyDescent="0.25">
      <c r="AP8598"/>
    </row>
    <row r="8599" spans="42:42" x14ac:dyDescent="0.25">
      <c r="AP8599"/>
    </row>
    <row r="8600" spans="42:42" x14ac:dyDescent="0.25">
      <c r="AP8600"/>
    </row>
    <row r="8601" spans="42:42" x14ac:dyDescent="0.25">
      <c r="AP8601"/>
    </row>
    <row r="8602" spans="42:42" x14ac:dyDescent="0.25">
      <c r="AP8602"/>
    </row>
    <row r="8603" spans="42:42" x14ac:dyDescent="0.25">
      <c r="AP8603"/>
    </row>
    <row r="8604" spans="42:42" x14ac:dyDescent="0.25">
      <c r="AP8604"/>
    </row>
    <row r="8605" spans="42:42" x14ac:dyDescent="0.25">
      <c r="AP8605"/>
    </row>
    <row r="8606" spans="42:42" x14ac:dyDescent="0.25">
      <c r="AP8606"/>
    </row>
    <row r="8607" spans="42:42" x14ac:dyDescent="0.25">
      <c r="AP8607"/>
    </row>
    <row r="8608" spans="42:42" x14ac:dyDescent="0.25">
      <c r="AP8608"/>
    </row>
    <row r="8609" spans="42:42" x14ac:dyDescent="0.25">
      <c r="AP8609"/>
    </row>
    <row r="8610" spans="42:42" x14ac:dyDescent="0.25">
      <c r="AP8610"/>
    </row>
    <row r="8611" spans="42:42" x14ac:dyDescent="0.25">
      <c r="AP8611"/>
    </row>
    <row r="8612" spans="42:42" x14ac:dyDescent="0.25">
      <c r="AP8612"/>
    </row>
    <row r="8613" spans="42:42" x14ac:dyDescent="0.25">
      <c r="AP8613"/>
    </row>
    <row r="8614" spans="42:42" x14ac:dyDescent="0.25">
      <c r="AP8614"/>
    </row>
    <row r="8615" spans="42:42" x14ac:dyDescent="0.25">
      <c r="AP8615"/>
    </row>
    <row r="8616" spans="42:42" x14ac:dyDescent="0.25">
      <c r="AP8616"/>
    </row>
    <row r="8617" spans="42:42" x14ac:dyDescent="0.25">
      <c r="AP8617"/>
    </row>
    <row r="8618" spans="42:42" x14ac:dyDescent="0.25">
      <c r="AP8618"/>
    </row>
    <row r="8619" spans="42:42" x14ac:dyDescent="0.25">
      <c r="AP8619"/>
    </row>
    <row r="8620" spans="42:42" x14ac:dyDescent="0.25">
      <c r="AP8620"/>
    </row>
    <row r="8621" spans="42:42" x14ac:dyDescent="0.25">
      <c r="AP8621"/>
    </row>
    <row r="8622" spans="42:42" x14ac:dyDescent="0.25">
      <c r="AP8622"/>
    </row>
    <row r="8623" spans="42:42" x14ac:dyDescent="0.25">
      <c r="AP8623"/>
    </row>
    <row r="8624" spans="42:42" x14ac:dyDescent="0.25">
      <c r="AP8624"/>
    </row>
    <row r="8625" spans="42:42" x14ac:dyDescent="0.25">
      <c r="AP8625"/>
    </row>
    <row r="8626" spans="42:42" x14ac:dyDescent="0.25">
      <c r="AP8626"/>
    </row>
    <row r="8627" spans="42:42" x14ac:dyDescent="0.25">
      <c r="AP8627"/>
    </row>
    <row r="8628" spans="42:42" x14ac:dyDescent="0.25">
      <c r="AP8628"/>
    </row>
    <row r="8629" spans="42:42" x14ac:dyDescent="0.25">
      <c r="AP8629"/>
    </row>
    <row r="8630" spans="42:42" x14ac:dyDescent="0.25">
      <c r="AP8630"/>
    </row>
    <row r="8631" spans="42:42" x14ac:dyDescent="0.25">
      <c r="AP8631"/>
    </row>
    <row r="8632" spans="42:42" x14ac:dyDescent="0.25">
      <c r="AP8632"/>
    </row>
    <row r="8633" spans="42:42" x14ac:dyDescent="0.25">
      <c r="AP8633"/>
    </row>
    <row r="8634" spans="42:42" x14ac:dyDescent="0.25">
      <c r="AP8634"/>
    </row>
    <row r="8635" spans="42:42" x14ac:dyDescent="0.25">
      <c r="AP8635"/>
    </row>
    <row r="8636" spans="42:42" x14ac:dyDescent="0.25">
      <c r="AP8636"/>
    </row>
    <row r="8637" spans="42:42" x14ac:dyDescent="0.25">
      <c r="AP8637"/>
    </row>
    <row r="8638" spans="42:42" x14ac:dyDescent="0.25">
      <c r="AP8638"/>
    </row>
    <row r="8639" spans="42:42" x14ac:dyDescent="0.25">
      <c r="AP8639"/>
    </row>
    <row r="8640" spans="42:42" x14ac:dyDescent="0.25">
      <c r="AP8640"/>
    </row>
    <row r="8641" spans="42:42" x14ac:dyDescent="0.25">
      <c r="AP8641"/>
    </row>
    <row r="8642" spans="42:42" x14ac:dyDescent="0.25">
      <c r="AP8642"/>
    </row>
    <row r="8643" spans="42:42" x14ac:dyDescent="0.25">
      <c r="AP8643"/>
    </row>
    <row r="8644" spans="42:42" x14ac:dyDescent="0.25">
      <c r="AP8644"/>
    </row>
    <row r="8645" spans="42:42" x14ac:dyDescent="0.25">
      <c r="AP8645"/>
    </row>
    <row r="8646" spans="42:42" x14ac:dyDescent="0.25">
      <c r="AP8646"/>
    </row>
    <row r="8647" spans="42:42" x14ac:dyDescent="0.25">
      <c r="AP8647"/>
    </row>
    <row r="8648" spans="42:42" x14ac:dyDescent="0.25">
      <c r="AP8648"/>
    </row>
    <row r="8649" spans="42:42" x14ac:dyDescent="0.25">
      <c r="AP8649"/>
    </row>
    <row r="8650" spans="42:42" x14ac:dyDescent="0.25">
      <c r="AP8650"/>
    </row>
    <row r="8651" spans="42:42" x14ac:dyDescent="0.25">
      <c r="AP8651"/>
    </row>
    <row r="8652" spans="42:42" x14ac:dyDescent="0.25">
      <c r="AP8652"/>
    </row>
    <row r="8653" spans="42:42" x14ac:dyDescent="0.25">
      <c r="AP8653"/>
    </row>
    <row r="8654" spans="42:42" x14ac:dyDescent="0.25">
      <c r="AP8654"/>
    </row>
    <row r="8655" spans="42:42" x14ac:dyDescent="0.25">
      <c r="AP8655"/>
    </row>
    <row r="8656" spans="42:42" x14ac:dyDescent="0.25">
      <c r="AP8656"/>
    </row>
    <row r="8657" spans="42:42" x14ac:dyDescent="0.25">
      <c r="AP8657"/>
    </row>
    <row r="8658" spans="42:42" x14ac:dyDescent="0.25">
      <c r="AP8658"/>
    </row>
    <row r="8659" spans="42:42" x14ac:dyDescent="0.25">
      <c r="AP8659"/>
    </row>
    <row r="8660" spans="42:42" x14ac:dyDescent="0.25">
      <c r="AP8660"/>
    </row>
    <row r="8661" spans="42:42" x14ac:dyDescent="0.25">
      <c r="AP8661"/>
    </row>
    <row r="8662" spans="42:42" x14ac:dyDescent="0.25">
      <c r="AP8662"/>
    </row>
    <row r="8663" spans="42:42" x14ac:dyDescent="0.25">
      <c r="AP8663"/>
    </row>
    <row r="8664" spans="42:42" x14ac:dyDescent="0.25">
      <c r="AP8664"/>
    </row>
    <row r="8665" spans="42:42" x14ac:dyDescent="0.25">
      <c r="AP8665"/>
    </row>
    <row r="8666" spans="42:42" x14ac:dyDescent="0.25">
      <c r="AP8666"/>
    </row>
    <row r="8667" spans="42:42" x14ac:dyDescent="0.25">
      <c r="AP8667"/>
    </row>
    <row r="8668" spans="42:42" x14ac:dyDescent="0.25">
      <c r="AP8668"/>
    </row>
    <row r="8669" spans="42:42" x14ac:dyDescent="0.25">
      <c r="AP8669"/>
    </row>
    <row r="8670" spans="42:42" x14ac:dyDescent="0.25">
      <c r="AP8670"/>
    </row>
    <row r="8671" spans="42:42" x14ac:dyDescent="0.25">
      <c r="AP8671"/>
    </row>
    <row r="8672" spans="42:42" x14ac:dyDescent="0.25">
      <c r="AP8672"/>
    </row>
    <row r="8673" spans="42:42" x14ac:dyDescent="0.25">
      <c r="AP8673"/>
    </row>
    <row r="8674" spans="42:42" x14ac:dyDescent="0.25">
      <c r="AP8674"/>
    </row>
    <row r="8675" spans="42:42" x14ac:dyDescent="0.25">
      <c r="AP8675"/>
    </row>
    <row r="8676" spans="42:42" x14ac:dyDescent="0.25">
      <c r="AP8676"/>
    </row>
    <row r="8677" spans="42:42" x14ac:dyDescent="0.25">
      <c r="AP8677"/>
    </row>
    <row r="8678" spans="42:42" x14ac:dyDescent="0.25">
      <c r="AP8678"/>
    </row>
    <row r="8679" spans="42:42" x14ac:dyDescent="0.25">
      <c r="AP8679"/>
    </row>
    <row r="8680" spans="42:42" x14ac:dyDescent="0.25">
      <c r="AP8680"/>
    </row>
    <row r="8681" spans="42:42" x14ac:dyDescent="0.25">
      <c r="AP8681"/>
    </row>
    <row r="8682" spans="42:42" x14ac:dyDescent="0.25">
      <c r="AP8682"/>
    </row>
    <row r="8683" spans="42:42" x14ac:dyDescent="0.25">
      <c r="AP8683"/>
    </row>
    <row r="8684" spans="42:42" x14ac:dyDescent="0.25">
      <c r="AP8684"/>
    </row>
    <row r="8685" spans="42:42" x14ac:dyDescent="0.25">
      <c r="AP8685"/>
    </row>
    <row r="8686" spans="42:42" x14ac:dyDescent="0.25">
      <c r="AP8686"/>
    </row>
    <row r="8687" spans="42:42" x14ac:dyDescent="0.25">
      <c r="AP8687"/>
    </row>
    <row r="8688" spans="42:42" x14ac:dyDescent="0.25">
      <c r="AP8688"/>
    </row>
    <row r="8689" spans="42:42" x14ac:dyDescent="0.25">
      <c r="AP8689"/>
    </row>
    <row r="8690" spans="42:42" x14ac:dyDescent="0.25">
      <c r="AP8690"/>
    </row>
    <row r="8691" spans="42:42" x14ac:dyDescent="0.25">
      <c r="AP8691"/>
    </row>
    <row r="8692" spans="42:42" x14ac:dyDescent="0.25">
      <c r="AP8692"/>
    </row>
    <row r="8693" spans="42:42" x14ac:dyDescent="0.25">
      <c r="AP8693"/>
    </row>
    <row r="8694" spans="42:42" x14ac:dyDescent="0.25">
      <c r="AP8694"/>
    </row>
    <row r="8695" spans="42:42" x14ac:dyDescent="0.25">
      <c r="AP8695"/>
    </row>
    <row r="8696" spans="42:42" x14ac:dyDescent="0.25">
      <c r="AP8696"/>
    </row>
    <row r="8697" spans="42:42" x14ac:dyDescent="0.25">
      <c r="AP8697"/>
    </row>
    <row r="8698" spans="42:42" x14ac:dyDescent="0.25">
      <c r="AP8698"/>
    </row>
    <row r="8699" spans="42:42" x14ac:dyDescent="0.25">
      <c r="AP8699"/>
    </row>
    <row r="8700" spans="42:42" x14ac:dyDescent="0.25">
      <c r="AP8700"/>
    </row>
    <row r="8701" spans="42:42" x14ac:dyDescent="0.25">
      <c r="AP8701"/>
    </row>
    <row r="8702" spans="42:42" x14ac:dyDescent="0.25">
      <c r="AP8702"/>
    </row>
    <row r="8703" spans="42:42" x14ac:dyDescent="0.25">
      <c r="AP8703"/>
    </row>
    <row r="8704" spans="42:42" x14ac:dyDescent="0.25">
      <c r="AP8704"/>
    </row>
    <row r="8705" spans="42:42" x14ac:dyDescent="0.25">
      <c r="AP8705"/>
    </row>
    <row r="8706" spans="42:42" x14ac:dyDescent="0.25">
      <c r="AP8706"/>
    </row>
    <row r="8707" spans="42:42" x14ac:dyDescent="0.25">
      <c r="AP8707"/>
    </row>
    <row r="8708" spans="42:42" x14ac:dyDescent="0.25">
      <c r="AP8708"/>
    </row>
    <row r="8709" spans="42:42" x14ac:dyDescent="0.25">
      <c r="AP8709"/>
    </row>
    <row r="8710" spans="42:42" x14ac:dyDescent="0.25">
      <c r="AP8710"/>
    </row>
    <row r="8711" spans="42:42" x14ac:dyDescent="0.25">
      <c r="AP8711"/>
    </row>
    <row r="8712" spans="42:42" x14ac:dyDescent="0.25">
      <c r="AP8712"/>
    </row>
    <row r="8713" spans="42:42" x14ac:dyDescent="0.25">
      <c r="AP8713"/>
    </row>
    <row r="8714" spans="42:42" x14ac:dyDescent="0.25">
      <c r="AP8714"/>
    </row>
    <row r="8715" spans="42:42" x14ac:dyDescent="0.25">
      <c r="AP8715"/>
    </row>
    <row r="8716" spans="42:42" x14ac:dyDescent="0.25">
      <c r="AP8716"/>
    </row>
    <row r="8717" spans="42:42" x14ac:dyDescent="0.25">
      <c r="AP8717"/>
    </row>
    <row r="8718" spans="42:42" x14ac:dyDescent="0.25">
      <c r="AP8718"/>
    </row>
    <row r="8719" spans="42:42" x14ac:dyDescent="0.25">
      <c r="AP8719"/>
    </row>
    <row r="8720" spans="42:42" x14ac:dyDescent="0.25">
      <c r="AP8720"/>
    </row>
    <row r="8721" spans="42:42" x14ac:dyDescent="0.25">
      <c r="AP8721"/>
    </row>
    <row r="8722" spans="42:42" x14ac:dyDescent="0.25">
      <c r="AP8722"/>
    </row>
    <row r="8723" spans="42:42" x14ac:dyDescent="0.25">
      <c r="AP8723"/>
    </row>
    <row r="8724" spans="42:42" x14ac:dyDescent="0.25">
      <c r="AP8724"/>
    </row>
    <row r="8725" spans="42:42" x14ac:dyDescent="0.25">
      <c r="AP8725"/>
    </row>
    <row r="8726" spans="42:42" x14ac:dyDescent="0.25">
      <c r="AP8726"/>
    </row>
    <row r="8727" spans="42:42" x14ac:dyDescent="0.25">
      <c r="AP8727"/>
    </row>
    <row r="8728" spans="42:42" x14ac:dyDescent="0.25">
      <c r="AP8728"/>
    </row>
    <row r="8729" spans="42:42" x14ac:dyDescent="0.25">
      <c r="AP8729"/>
    </row>
    <row r="8730" spans="42:42" x14ac:dyDescent="0.25">
      <c r="AP8730"/>
    </row>
    <row r="8731" spans="42:42" x14ac:dyDescent="0.25">
      <c r="AP8731"/>
    </row>
    <row r="8732" spans="42:42" x14ac:dyDescent="0.25">
      <c r="AP8732"/>
    </row>
    <row r="8733" spans="42:42" x14ac:dyDescent="0.25">
      <c r="AP8733"/>
    </row>
    <row r="8734" spans="42:42" x14ac:dyDescent="0.25">
      <c r="AP8734"/>
    </row>
    <row r="8735" spans="42:42" x14ac:dyDescent="0.25">
      <c r="AP8735"/>
    </row>
    <row r="8736" spans="42:42" x14ac:dyDescent="0.25">
      <c r="AP8736"/>
    </row>
    <row r="8737" spans="42:42" x14ac:dyDescent="0.25">
      <c r="AP8737"/>
    </row>
    <row r="8738" spans="42:42" x14ac:dyDescent="0.25">
      <c r="AP8738"/>
    </row>
    <row r="8739" spans="42:42" x14ac:dyDescent="0.25">
      <c r="AP8739"/>
    </row>
    <row r="8740" spans="42:42" x14ac:dyDescent="0.25">
      <c r="AP8740"/>
    </row>
    <row r="8741" spans="42:42" x14ac:dyDescent="0.25">
      <c r="AP8741"/>
    </row>
    <row r="8742" spans="42:42" x14ac:dyDescent="0.25">
      <c r="AP8742"/>
    </row>
    <row r="8743" spans="42:42" x14ac:dyDescent="0.25">
      <c r="AP8743"/>
    </row>
    <row r="8744" spans="42:42" x14ac:dyDescent="0.25">
      <c r="AP8744"/>
    </row>
    <row r="8745" spans="42:42" x14ac:dyDescent="0.25">
      <c r="AP8745"/>
    </row>
    <row r="8746" spans="42:42" x14ac:dyDescent="0.25">
      <c r="AP8746"/>
    </row>
    <row r="8747" spans="42:42" x14ac:dyDescent="0.25">
      <c r="AP8747"/>
    </row>
    <row r="8748" spans="42:42" x14ac:dyDescent="0.25">
      <c r="AP8748"/>
    </row>
    <row r="8749" spans="42:42" x14ac:dyDescent="0.25">
      <c r="AP8749"/>
    </row>
    <row r="8750" spans="42:42" x14ac:dyDescent="0.25">
      <c r="AP8750"/>
    </row>
    <row r="8751" spans="42:42" x14ac:dyDescent="0.25">
      <c r="AP8751"/>
    </row>
    <row r="8752" spans="42:42" x14ac:dyDescent="0.25">
      <c r="AP8752"/>
    </row>
    <row r="8753" spans="42:42" x14ac:dyDescent="0.25">
      <c r="AP8753"/>
    </row>
    <row r="8754" spans="42:42" x14ac:dyDescent="0.25">
      <c r="AP8754"/>
    </row>
    <row r="8755" spans="42:42" x14ac:dyDescent="0.25">
      <c r="AP8755"/>
    </row>
    <row r="8756" spans="42:42" x14ac:dyDescent="0.25">
      <c r="AP8756"/>
    </row>
    <row r="8757" spans="42:42" x14ac:dyDescent="0.25">
      <c r="AP8757"/>
    </row>
    <row r="8758" spans="42:42" x14ac:dyDescent="0.25">
      <c r="AP8758"/>
    </row>
    <row r="8759" spans="42:42" x14ac:dyDescent="0.25">
      <c r="AP8759"/>
    </row>
    <row r="8760" spans="42:42" x14ac:dyDescent="0.25">
      <c r="AP8760"/>
    </row>
    <row r="8761" spans="42:42" x14ac:dyDescent="0.25">
      <c r="AP8761"/>
    </row>
    <row r="8762" spans="42:42" x14ac:dyDescent="0.25">
      <c r="AP8762"/>
    </row>
    <row r="8763" spans="42:42" x14ac:dyDescent="0.25">
      <c r="AP8763"/>
    </row>
    <row r="8764" spans="42:42" x14ac:dyDescent="0.25">
      <c r="AP8764"/>
    </row>
    <row r="8765" spans="42:42" x14ac:dyDescent="0.25">
      <c r="AP8765"/>
    </row>
    <row r="8766" spans="42:42" x14ac:dyDescent="0.25">
      <c r="AP8766"/>
    </row>
    <row r="8767" spans="42:42" x14ac:dyDescent="0.25">
      <c r="AP8767"/>
    </row>
    <row r="8768" spans="42:42" x14ac:dyDescent="0.25">
      <c r="AP8768"/>
    </row>
    <row r="8769" spans="42:42" x14ac:dyDescent="0.25">
      <c r="AP8769"/>
    </row>
    <row r="8770" spans="42:42" x14ac:dyDescent="0.25">
      <c r="AP8770"/>
    </row>
    <row r="8771" spans="42:42" x14ac:dyDescent="0.25">
      <c r="AP8771"/>
    </row>
    <row r="8772" spans="42:42" x14ac:dyDescent="0.25">
      <c r="AP8772"/>
    </row>
    <row r="8773" spans="42:42" x14ac:dyDescent="0.25">
      <c r="AP8773"/>
    </row>
    <row r="8774" spans="42:42" x14ac:dyDescent="0.25">
      <c r="AP8774"/>
    </row>
    <row r="8775" spans="42:42" x14ac:dyDescent="0.25">
      <c r="AP8775"/>
    </row>
    <row r="8776" spans="42:42" x14ac:dyDescent="0.25">
      <c r="AP8776"/>
    </row>
    <row r="8777" spans="42:42" x14ac:dyDescent="0.25">
      <c r="AP8777"/>
    </row>
    <row r="8778" spans="42:42" x14ac:dyDescent="0.25">
      <c r="AP8778"/>
    </row>
    <row r="8779" spans="42:42" x14ac:dyDescent="0.25">
      <c r="AP8779"/>
    </row>
    <row r="8780" spans="42:42" x14ac:dyDescent="0.25">
      <c r="AP8780"/>
    </row>
    <row r="8781" spans="42:42" x14ac:dyDescent="0.25">
      <c r="AP8781"/>
    </row>
    <row r="8782" spans="42:42" x14ac:dyDescent="0.25">
      <c r="AP8782"/>
    </row>
    <row r="8783" spans="42:42" x14ac:dyDescent="0.25">
      <c r="AP8783"/>
    </row>
    <row r="8784" spans="42:42" x14ac:dyDescent="0.25">
      <c r="AP8784"/>
    </row>
    <row r="8785" spans="42:42" x14ac:dyDescent="0.25">
      <c r="AP8785"/>
    </row>
    <row r="8786" spans="42:42" x14ac:dyDescent="0.25">
      <c r="AP8786"/>
    </row>
    <row r="8787" spans="42:42" x14ac:dyDescent="0.25">
      <c r="AP8787"/>
    </row>
    <row r="8788" spans="42:42" x14ac:dyDescent="0.25">
      <c r="AP8788"/>
    </row>
    <row r="8789" spans="42:42" x14ac:dyDescent="0.25">
      <c r="AP8789"/>
    </row>
    <row r="8790" spans="42:42" x14ac:dyDescent="0.25">
      <c r="AP8790"/>
    </row>
    <row r="8791" spans="42:42" x14ac:dyDescent="0.25">
      <c r="AP8791"/>
    </row>
    <row r="8792" spans="42:42" x14ac:dyDescent="0.25">
      <c r="AP8792"/>
    </row>
    <row r="8793" spans="42:42" x14ac:dyDescent="0.25">
      <c r="AP8793"/>
    </row>
    <row r="8794" spans="42:42" x14ac:dyDescent="0.25">
      <c r="AP8794"/>
    </row>
    <row r="8795" spans="42:42" x14ac:dyDescent="0.25">
      <c r="AP8795"/>
    </row>
    <row r="8796" spans="42:42" x14ac:dyDescent="0.25">
      <c r="AP8796"/>
    </row>
    <row r="8797" spans="42:42" x14ac:dyDescent="0.25">
      <c r="AP8797"/>
    </row>
    <row r="8798" spans="42:42" x14ac:dyDescent="0.25">
      <c r="AP8798"/>
    </row>
    <row r="8799" spans="42:42" x14ac:dyDescent="0.25">
      <c r="AP8799"/>
    </row>
    <row r="8800" spans="42:42" x14ac:dyDescent="0.25">
      <c r="AP8800"/>
    </row>
    <row r="8801" spans="42:42" x14ac:dyDescent="0.25">
      <c r="AP8801"/>
    </row>
    <row r="8802" spans="42:42" x14ac:dyDescent="0.25">
      <c r="AP8802"/>
    </row>
    <row r="8803" spans="42:42" x14ac:dyDescent="0.25">
      <c r="AP8803"/>
    </row>
    <row r="8804" spans="42:42" x14ac:dyDescent="0.25">
      <c r="AP8804"/>
    </row>
    <row r="8805" spans="42:42" x14ac:dyDescent="0.25">
      <c r="AP8805"/>
    </row>
    <row r="8806" spans="42:42" x14ac:dyDescent="0.25">
      <c r="AP8806"/>
    </row>
    <row r="8807" spans="42:42" x14ac:dyDescent="0.25">
      <c r="AP8807"/>
    </row>
    <row r="8808" spans="42:42" x14ac:dyDescent="0.25">
      <c r="AP8808"/>
    </row>
    <row r="8809" spans="42:42" x14ac:dyDescent="0.25">
      <c r="AP8809"/>
    </row>
    <row r="8810" spans="42:42" x14ac:dyDescent="0.25">
      <c r="AP8810"/>
    </row>
    <row r="8811" spans="42:42" x14ac:dyDescent="0.25">
      <c r="AP8811"/>
    </row>
    <row r="8812" spans="42:42" x14ac:dyDescent="0.25">
      <c r="AP8812"/>
    </row>
    <row r="8813" spans="42:42" x14ac:dyDescent="0.25">
      <c r="AP8813"/>
    </row>
    <row r="8814" spans="42:42" x14ac:dyDescent="0.25">
      <c r="AP8814"/>
    </row>
    <row r="8815" spans="42:42" x14ac:dyDescent="0.25">
      <c r="AP8815"/>
    </row>
    <row r="8816" spans="42:42" x14ac:dyDescent="0.25">
      <c r="AP8816"/>
    </row>
    <row r="8817" spans="42:42" x14ac:dyDescent="0.25">
      <c r="AP8817"/>
    </row>
    <row r="8818" spans="42:42" x14ac:dyDescent="0.25">
      <c r="AP8818"/>
    </row>
    <row r="8819" spans="42:42" x14ac:dyDescent="0.25">
      <c r="AP8819"/>
    </row>
    <row r="8820" spans="42:42" x14ac:dyDescent="0.25">
      <c r="AP8820"/>
    </row>
    <row r="8821" spans="42:42" x14ac:dyDescent="0.25">
      <c r="AP8821"/>
    </row>
    <row r="8822" spans="42:42" x14ac:dyDescent="0.25">
      <c r="AP8822"/>
    </row>
    <row r="8823" spans="42:42" x14ac:dyDescent="0.25">
      <c r="AP8823"/>
    </row>
    <row r="8824" spans="42:42" x14ac:dyDescent="0.25">
      <c r="AP8824"/>
    </row>
    <row r="8825" spans="42:42" x14ac:dyDescent="0.25">
      <c r="AP8825"/>
    </row>
    <row r="8826" spans="42:42" x14ac:dyDescent="0.25">
      <c r="AP8826"/>
    </row>
    <row r="8827" spans="42:42" x14ac:dyDescent="0.25">
      <c r="AP8827"/>
    </row>
    <row r="8828" spans="42:42" x14ac:dyDescent="0.25">
      <c r="AP8828"/>
    </row>
    <row r="8829" spans="42:42" x14ac:dyDescent="0.25">
      <c r="AP8829"/>
    </row>
    <row r="8830" spans="42:42" x14ac:dyDescent="0.25">
      <c r="AP8830"/>
    </row>
    <row r="8831" spans="42:42" x14ac:dyDescent="0.25">
      <c r="AP8831"/>
    </row>
    <row r="8832" spans="42:42" x14ac:dyDescent="0.25">
      <c r="AP8832"/>
    </row>
    <row r="8833" spans="42:42" x14ac:dyDescent="0.25">
      <c r="AP8833"/>
    </row>
    <row r="8834" spans="42:42" x14ac:dyDescent="0.25">
      <c r="AP8834"/>
    </row>
    <row r="8835" spans="42:42" x14ac:dyDescent="0.25">
      <c r="AP8835"/>
    </row>
    <row r="8836" spans="42:42" x14ac:dyDescent="0.25">
      <c r="AP8836"/>
    </row>
    <row r="8837" spans="42:42" x14ac:dyDescent="0.25">
      <c r="AP8837"/>
    </row>
    <row r="8838" spans="42:42" x14ac:dyDescent="0.25">
      <c r="AP8838"/>
    </row>
    <row r="8839" spans="42:42" x14ac:dyDescent="0.25">
      <c r="AP8839"/>
    </row>
    <row r="8840" spans="42:42" x14ac:dyDescent="0.25">
      <c r="AP8840"/>
    </row>
    <row r="8841" spans="42:42" x14ac:dyDescent="0.25">
      <c r="AP8841"/>
    </row>
    <row r="8842" spans="42:42" x14ac:dyDescent="0.25">
      <c r="AP8842"/>
    </row>
    <row r="8843" spans="42:42" x14ac:dyDescent="0.25">
      <c r="AP8843"/>
    </row>
    <row r="8844" spans="42:42" x14ac:dyDescent="0.25">
      <c r="AP8844"/>
    </row>
    <row r="8845" spans="42:42" x14ac:dyDescent="0.25">
      <c r="AP8845"/>
    </row>
    <row r="8846" spans="42:42" x14ac:dyDescent="0.25">
      <c r="AP8846"/>
    </row>
    <row r="8847" spans="42:42" x14ac:dyDescent="0.25">
      <c r="AP8847"/>
    </row>
    <row r="8848" spans="42:42" x14ac:dyDescent="0.25">
      <c r="AP8848"/>
    </row>
    <row r="8849" spans="42:42" x14ac:dyDescent="0.25">
      <c r="AP8849"/>
    </row>
    <row r="8850" spans="42:42" x14ac:dyDescent="0.25">
      <c r="AP8850"/>
    </row>
    <row r="8851" spans="42:42" x14ac:dyDescent="0.25">
      <c r="AP8851"/>
    </row>
    <row r="8852" spans="42:42" x14ac:dyDescent="0.25">
      <c r="AP8852"/>
    </row>
    <row r="8853" spans="42:42" x14ac:dyDescent="0.25">
      <c r="AP8853"/>
    </row>
    <row r="8854" spans="42:42" x14ac:dyDescent="0.25">
      <c r="AP8854"/>
    </row>
    <row r="8855" spans="42:42" x14ac:dyDescent="0.25">
      <c r="AP8855"/>
    </row>
    <row r="8856" spans="42:42" x14ac:dyDescent="0.25">
      <c r="AP8856"/>
    </row>
    <row r="8857" spans="42:42" x14ac:dyDescent="0.25">
      <c r="AP8857"/>
    </row>
    <row r="8858" spans="42:42" x14ac:dyDescent="0.25">
      <c r="AP8858"/>
    </row>
    <row r="8859" spans="42:42" x14ac:dyDescent="0.25">
      <c r="AP8859"/>
    </row>
    <row r="8860" spans="42:42" x14ac:dyDescent="0.25">
      <c r="AP8860"/>
    </row>
    <row r="8861" spans="42:42" x14ac:dyDescent="0.25">
      <c r="AP8861"/>
    </row>
    <row r="8862" spans="42:42" x14ac:dyDescent="0.25">
      <c r="AP8862"/>
    </row>
    <row r="8863" spans="42:42" x14ac:dyDescent="0.25">
      <c r="AP8863"/>
    </row>
    <row r="8864" spans="42:42" x14ac:dyDescent="0.25">
      <c r="AP8864"/>
    </row>
    <row r="8865" spans="42:42" x14ac:dyDescent="0.25">
      <c r="AP8865"/>
    </row>
    <row r="8866" spans="42:42" x14ac:dyDescent="0.25">
      <c r="AP8866"/>
    </row>
    <row r="8867" spans="42:42" x14ac:dyDescent="0.25">
      <c r="AP8867"/>
    </row>
    <row r="8868" spans="42:42" x14ac:dyDescent="0.25">
      <c r="AP8868"/>
    </row>
    <row r="8869" spans="42:42" x14ac:dyDescent="0.25">
      <c r="AP8869"/>
    </row>
    <row r="8870" spans="42:42" x14ac:dyDescent="0.25">
      <c r="AP8870"/>
    </row>
    <row r="8871" spans="42:42" x14ac:dyDescent="0.25">
      <c r="AP8871"/>
    </row>
    <row r="8872" spans="42:42" x14ac:dyDescent="0.25">
      <c r="AP8872"/>
    </row>
    <row r="8873" spans="42:42" x14ac:dyDescent="0.25">
      <c r="AP8873"/>
    </row>
    <row r="8874" spans="42:42" x14ac:dyDescent="0.25">
      <c r="AP8874"/>
    </row>
    <row r="8875" spans="42:42" x14ac:dyDescent="0.25">
      <c r="AP8875"/>
    </row>
    <row r="8876" spans="42:42" x14ac:dyDescent="0.25">
      <c r="AP8876"/>
    </row>
    <row r="8877" spans="42:42" x14ac:dyDescent="0.25">
      <c r="AP8877"/>
    </row>
    <row r="8878" spans="42:42" x14ac:dyDescent="0.25">
      <c r="AP8878"/>
    </row>
    <row r="8879" spans="42:42" x14ac:dyDescent="0.25">
      <c r="AP8879"/>
    </row>
    <row r="8880" spans="42:42" x14ac:dyDescent="0.25">
      <c r="AP8880"/>
    </row>
    <row r="8881" spans="42:42" x14ac:dyDescent="0.25">
      <c r="AP8881"/>
    </row>
    <row r="8882" spans="42:42" x14ac:dyDescent="0.25">
      <c r="AP8882"/>
    </row>
    <row r="8883" spans="42:42" x14ac:dyDescent="0.25">
      <c r="AP8883"/>
    </row>
    <row r="8884" spans="42:42" x14ac:dyDescent="0.25">
      <c r="AP8884"/>
    </row>
    <row r="8885" spans="42:42" x14ac:dyDescent="0.25">
      <c r="AP8885"/>
    </row>
    <row r="8886" spans="42:42" x14ac:dyDescent="0.25">
      <c r="AP8886"/>
    </row>
    <row r="8887" spans="42:42" x14ac:dyDescent="0.25">
      <c r="AP8887"/>
    </row>
    <row r="8888" spans="42:42" x14ac:dyDescent="0.25">
      <c r="AP8888"/>
    </row>
    <row r="8889" spans="42:42" x14ac:dyDescent="0.25">
      <c r="AP8889"/>
    </row>
    <row r="8890" spans="42:42" x14ac:dyDescent="0.25">
      <c r="AP8890"/>
    </row>
    <row r="8891" spans="42:42" x14ac:dyDescent="0.25">
      <c r="AP8891"/>
    </row>
    <row r="8892" spans="42:42" x14ac:dyDescent="0.25">
      <c r="AP8892"/>
    </row>
    <row r="8893" spans="42:42" x14ac:dyDescent="0.25">
      <c r="AP8893"/>
    </row>
    <row r="8894" spans="42:42" x14ac:dyDescent="0.25">
      <c r="AP8894"/>
    </row>
    <row r="8895" spans="42:42" x14ac:dyDescent="0.25">
      <c r="AP8895"/>
    </row>
    <row r="8896" spans="42:42" x14ac:dyDescent="0.25">
      <c r="AP8896"/>
    </row>
    <row r="8897" spans="42:42" x14ac:dyDescent="0.25">
      <c r="AP8897"/>
    </row>
    <row r="8898" spans="42:42" x14ac:dyDescent="0.25">
      <c r="AP8898"/>
    </row>
    <row r="8899" spans="42:42" x14ac:dyDescent="0.25">
      <c r="AP8899"/>
    </row>
    <row r="8900" spans="42:42" x14ac:dyDescent="0.25">
      <c r="AP8900"/>
    </row>
    <row r="8901" spans="42:42" x14ac:dyDescent="0.25">
      <c r="AP8901"/>
    </row>
    <row r="8902" spans="42:42" x14ac:dyDescent="0.25">
      <c r="AP8902"/>
    </row>
    <row r="8903" spans="42:42" x14ac:dyDescent="0.25">
      <c r="AP8903"/>
    </row>
    <row r="8904" spans="42:42" x14ac:dyDescent="0.25">
      <c r="AP8904"/>
    </row>
    <row r="8905" spans="42:42" x14ac:dyDescent="0.25">
      <c r="AP8905"/>
    </row>
    <row r="8906" spans="42:42" x14ac:dyDescent="0.25">
      <c r="AP8906"/>
    </row>
    <row r="8907" spans="42:42" x14ac:dyDescent="0.25">
      <c r="AP8907"/>
    </row>
    <row r="8908" spans="42:42" x14ac:dyDescent="0.25">
      <c r="AP8908"/>
    </row>
    <row r="8909" spans="42:42" x14ac:dyDescent="0.25">
      <c r="AP8909"/>
    </row>
    <row r="8910" spans="42:42" x14ac:dyDescent="0.25">
      <c r="AP8910"/>
    </row>
    <row r="8911" spans="42:42" x14ac:dyDescent="0.25">
      <c r="AP8911"/>
    </row>
    <row r="8912" spans="42:42" x14ac:dyDescent="0.25">
      <c r="AP8912"/>
    </row>
    <row r="8913" spans="42:42" x14ac:dyDescent="0.25">
      <c r="AP8913"/>
    </row>
    <row r="8914" spans="42:42" x14ac:dyDescent="0.25">
      <c r="AP8914"/>
    </row>
    <row r="8915" spans="42:42" x14ac:dyDescent="0.25">
      <c r="AP8915"/>
    </row>
    <row r="8916" spans="42:42" x14ac:dyDescent="0.25">
      <c r="AP8916"/>
    </row>
    <row r="8917" spans="42:42" x14ac:dyDescent="0.25">
      <c r="AP8917"/>
    </row>
    <row r="8918" spans="42:42" x14ac:dyDescent="0.25">
      <c r="AP8918"/>
    </row>
    <row r="8919" spans="42:42" x14ac:dyDescent="0.25">
      <c r="AP8919"/>
    </row>
    <row r="8920" spans="42:42" x14ac:dyDescent="0.25">
      <c r="AP8920"/>
    </row>
    <row r="8921" spans="42:42" x14ac:dyDescent="0.25">
      <c r="AP8921"/>
    </row>
    <row r="8922" spans="42:42" x14ac:dyDescent="0.25">
      <c r="AP8922"/>
    </row>
    <row r="8923" spans="42:42" x14ac:dyDescent="0.25">
      <c r="AP8923"/>
    </row>
    <row r="8924" spans="42:42" x14ac:dyDescent="0.25">
      <c r="AP8924"/>
    </row>
    <row r="8925" spans="42:42" x14ac:dyDescent="0.25">
      <c r="AP8925"/>
    </row>
    <row r="8926" spans="42:42" x14ac:dyDescent="0.25">
      <c r="AP8926"/>
    </row>
    <row r="8927" spans="42:42" x14ac:dyDescent="0.25">
      <c r="AP8927"/>
    </row>
    <row r="8928" spans="42:42" x14ac:dyDescent="0.25">
      <c r="AP8928"/>
    </row>
    <row r="8929" spans="42:42" x14ac:dyDescent="0.25">
      <c r="AP8929"/>
    </row>
    <row r="8930" spans="42:42" x14ac:dyDescent="0.25">
      <c r="AP8930"/>
    </row>
    <row r="8931" spans="42:42" x14ac:dyDescent="0.25">
      <c r="AP8931"/>
    </row>
    <row r="8932" spans="42:42" x14ac:dyDescent="0.25">
      <c r="AP8932"/>
    </row>
    <row r="8933" spans="42:42" x14ac:dyDescent="0.25">
      <c r="AP8933"/>
    </row>
    <row r="8934" spans="42:42" x14ac:dyDescent="0.25">
      <c r="AP8934"/>
    </row>
    <row r="8935" spans="42:42" x14ac:dyDescent="0.25">
      <c r="AP8935"/>
    </row>
    <row r="8936" spans="42:42" x14ac:dyDescent="0.25">
      <c r="AP8936"/>
    </row>
    <row r="8937" spans="42:42" x14ac:dyDescent="0.25">
      <c r="AP8937"/>
    </row>
    <row r="8938" spans="42:42" x14ac:dyDescent="0.25">
      <c r="AP8938"/>
    </row>
    <row r="8939" spans="42:42" x14ac:dyDescent="0.25">
      <c r="AP8939"/>
    </row>
    <row r="8940" spans="42:42" x14ac:dyDescent="0.25">
      <c r="AP8940"/>
    </row>
    <row r="8941" spans="42:42" x14ac:dyDescent="0.25">
      <c r="AP8941"/>
    </row>
    <row r="8942" spans="42:42" x14ac:dyDescent="0.25">
      <c r="AP8942"/>
    </row>
    <row r="8943" spans="42:42" x14ac:dyDescent="0.25">
      <c r="AP8943"/>
    </row>
    <row r="8944" spans="42:42" x14ac:dyDescent="0.25">
      <c r="AP8944"/>
    </row>
    <row r="8945" spans="42:42" x14ac:dyDescent="0.25">
      <c r="AP8945"/>
    </row>
    <row r="8946" spans="42:42" x14ac:dyDescent="0.25">
      <c r="AP8946"/>
    </row>
    <row r="8947" spans="42:42" x14ac:dyDescent="0.25">
      <c r="AP8947"/>
    </row>
    <row r="8948" spans="42:42" x14ac:dyDescent="0.25">
      <c r="AP8948"/>
    </row>
    <row r="8949" spans="42:42" x14ac:dyDescent="0.25">
      <c r="AP8949"/>
    </row>
    <row r="8950" spans="42:42" x14ac:dyDescent="0.25">
      <c r="AP8950"/>
    </row>
    <row r="8951" spans="42:42" x14ac:dyDescent="0.25">
      <c r="AP8951"/>
    </row>
    <row r="8952" spans="42:42" x14ac:dyDescent="0.25">
      <c r="AP8952"/>
    </row>
    <row r="8953" spans="42:42" x14ac:dyDescent="0.25">
      <c r="AP8953"/>
    </row>
    <row r="8954" spans="42:42" x14ac:dyDescent="0.25">
      <c r="AP8954"/>
    </row>
    <row r="8955" spans="42:42" x14ac:dyDescent="0.25">
      <c r="AP8955"/>
    </row>
    <row r="8956" spans="42:42" x14ac:dyDescent="0.25">
      <c r="AP8956"/>
    </row>
    <row r="8957" spans="42:42" x14ac:dyDescent="0.25">
      <c r="AP8957"/>
    </row>
    <row r="8958" spans="42:42" x14ac:dyDescent="0.25">
      <c r="AP8958"/>
    </row>
    <row r="8959" spans="42:42" x14ac:dyDescent="0.25">
      <c r="AP8959"/>
    </row>
    <row r="8960" spans="42:42" x14ac:dyDescent="0.25">
      <c r="AP8960"/>
    </row>
    <row r="8961" spans="42:42" x14ac:dyDescent="0.25">
      <c r="AP8961"/>
    </row>
    <row r="8962" spans="42:42" x14ac:dyDescent="0.25">
      <c r="AP8962"/>
    </row>
    <row r="8963" spans="42:42" x14ac:dyDescent="0.25">
      <c r="AP8963"/>
    </row>
    <row r="8964" spans="42:42" x14ac:dyDescent="0.25">
      <c r="AP8964"/>
    </row>
    <row r="8965" spans="42:42" x14ac:dyDescent="0.25">
      <c r="AP8965"/>
    </row>
    <row r="8966" spans="42:42" x14ac:dyDescent="0.25">
      <c r="AP8966"/>
    </row>
    <row r="8967" spans="42:42" x14ac:dyDescent="0.25">
      <c r="AP8967"/>
    </row>
    <row r="8968" spans="42:42" x14ac:dyDescent="0.25">
      <c r="AP8968"/>
    </row>
    <row r="8969" spans="42:42" x14ac:dyDescent="0.25">
      <c r="AP8969"/>
    </row>
    <row r="8970" spans="42:42" x14ac:dyDescent="0.25">
      <c r="AP8970"/>
    </row>
    <row r="8971" spans="42:42" x14ac:dyDescent="0.25">
      <c r="AP8971"/>
    </row>
    <row r="8972" spans="42:42" x14ac:dyDescent="0.25">
      <c r="AP8972"/>
    </row>
    <row r="8973" spans="42:42" x14ac:dyDescent="0.25">
      <c r="AP8973"/>
    </row>
    <row r="8974" spans="42:42" x14ac:dyDescent="0.25">
      <c r="AP8974"/>
    </row>
    <row r="8975" spans="42:42" x14ac:dyDescent="0.25">
      <c r="AP8975"/>
    </row>
    <row r="8976" spans="42:42" x14ac:dyDescent="0.25">
      <c r="AP8976"/>
    </row>
    <row r="8977" spans="42:42" x14ac:dyDescent="0.25">
      <c r="AP8977"/>
    </row>
    <row r="8978" spans="42:42" x14ac:dyDescent="0.25">
      <c r="AP8978"/>
    </row>
    <row r="8979" spans="42:42" x14ac:dyDescent="0.25">
      <c r="AP8979"/>
    </row>
    <row r="8980" spans="42:42" x14ac:dyDescent="0.25">
      <c r="AP8980"/>
    </row>
    <row r="8981" spans="42:42" x14ac:dyDescent="0.25">
      <c r="AP8981"/>
    </row>
    <row r="8982" spans="42:42" x14ac:dyDescent="0.25">
      <c r="AP8982"/>
    </row>
    <row r="8983" spans="42:42" x14ac:dyDescent="0.25">
      <c r="AP8983"/>
    </row>
    <row r="8984" spans="42:42" x14ac:dyDescent="0.25">
      <c r="AP8984"/>
    </row>
    <row r="8985" spans="42:42" x14ac:dyDescent="0.25">
      <c r="AP8985"/>
    </row>
    <row r="8986" spans="42:42" x14ac:dyDescent="0.25">
      <c r="AP8986"/>
    </row>
    <row r="8987" spans="42:42" x14ac:dyDescent="0.25">
      <c r="AP8987"/>
    </row>
    <row r="8988" spans="42:42" x14ac:dyDescent="0.25">
      <c r="AP8988"/>
    </row>
    <row r="8989" spans="42:42" x14ac:dyDescent="0.25">
      <c r="AP8989"/>
    </row>
    <row r="8990" spans="42:42" x14ac:dyDescent="0.25">
      <c r="AP8990"/>
    </row>
    <row r="8991" spans="42:42" x14ac:dyDescent="0.25">
      <c r="AP8991"/>
    </row>
    <row r="8992" spans="42:42" x14ac:dyDescent="0.25">
      <c r="AP8992"/>
    </row>
    <row r="8993" spans="42:42" x14ac:dyDescent="0.25">
      <c r="AP8993"/>
    </row>
    <row r="8994" spans="42:42" x14ac:dyDescent="0.25">
      <c r="AP8994"/>
    </row>
    <row r="8995" spans="42:42" x14ac:dyDescent="0.25">
      <c r="AP8995"/>
    </row>
    <row r="8996" spans="42:42" x14ac:dyDescent="0.25">
      <c r="AP8996"/>
    </row>
    <row r="8997" spans="42:42" x14ac:dyDescent="0.25">
      <c r="AP8997"/>
    </row>
    <row r="8998" spans="42:42" x14ac:dyDescent="0.25">
      <c r="AP8998"/>
    </row>
    <row r="8999" spans="42:42" x14ac:dyDescent="0.25">
      <c r="AP8999"/>
    </row>
    <row r="9000" spans="42:42" x14ac:dyDescent="0.25">
      <c r="AP9000"/>
    </row>
    <row r="9001" spans="42:42" x14ac:dyDescent="0.25">
      <c r="AP9001"/>
    </row>
    <row r="9002" spans="42:42" x14ac:dyDescent="0.25">
      <c r="AP9002"/>
    </row>
    <row r="9003" spans="42:42" x14ac:dyDescent="0.25">
      <c r="AP9003"/>
    </row>
    <row r="9004" spans="42:42" x14ac:dyDescent="0.25">
      <c r="AP9004"/>
    </row>
    <row r="9005" spans="42:42" x14ac:dyDescent="0.25">
      <c r="AP9005"/>
    </row>
    <row r="9006" spans="42:42" x14ac:dyDescent="0.25">
      <c r="AP9006"/>
    </row>
    <row r="9007" spans="42:42" x14ac:dyDescent="0.25">
      <c r="AP9007"/>
    </row>
    <row r="9008" spans="42:42" x14ac:dyDescent="0.25">
      <c r="AP9008"/>
    </row>
    <row r="9009" spans="42:42" x14ac:dyDescent="0.25">
      <c r="AP9009"/>
    </row>
    <row r="9010" spans="42:42" x14ac:dyDescent="0.25">
      <c r="AP9010"/>
    </row>
    <row r="9011" spans="42:42" x14ac:dyDescent="0.25">
      <c r="AP9011"/>
    </row>
    <row r="9012" spans="42:42" x14ac:dyDescent="0.25">
      <c r="AP9012"/>
    </row>
    <row r="9013" spans="42:42" x14ac:dyDescent="0.25">
      <c r="AP9013"/>
    </row>
    <row r="9014" spans="42:42" x14ac:dyDescent="0.25">
      <c r="AP9014"/>
    </row>
    <row r="9015" spans="42:42" x14ac:dyDescent="0.25">
      <c r="AP9015"/>
    </row>
    <row r="9016" spans="42:42" x14ac:dyDescent="0.25">
      <c r="AP9016"/>
    </row>
    <row r="9017" spans="42:42" x14ac:dyDescent="0.25">
      <c r="AP9017"/>
    </row>
    <row r="9018" spans="42:42" x14ac:dyDescent="0.25">
      <c r="AP9018"/>
    </row>
    <row r="9019" spans="42:42" x14ac:dyDescent="0.25">
      <c r="AP9019"/>
    </row>
    <row r="9020" spans="42:42" x14ac:dyDescent="0.25">
      <c r="AP9020"/>
    </row>
    <row r="9021" spans="42:42" x14ac:dyDescent="0.25">
      <c r="AP9021"/>
    </row>
    <row r="9022" spans="42:42" x14ac:dyDescent="0.25">
      <c r="AP9022"/>
    </row>
    <row r="9023" spans="42:42" x14ac:dyDescent="0.25">
      <c r="AP9023"/>
    </row>
    <row r="9024" spans="42:42" x14ac:dyDescent="0.25">
      <c r="AP9024"/>
    </row>
    <row r="9025" spans="42:42" x14ac:dyDescent="0.25">
      <c r="AP9025"/>
    </row>
    <row r="9026" spans="42:42" x14ac:dyDescent="0.25">
      <c r="AP9026"/>
    </row>
    <row r="9027" spans="42:42" x14ac:dyDescent="0.25">
      <c r="AP9027"/>
    </row>
    <row r="9028" spans="42:42" x14ac:dyDescent="0.25">
      <c r="AP9028"/>
    </row>
    <row r="9029" spans="42:42" x14ac:dyDescent="0.25">
      <c r="AP9029"/>
    </row>
    <row r="9030" spans="42:42" x14ac:dyDescent="0.25">
      <c r="AP9030"/>
    </row>
    <row r="9031" spans="42:42" x14ac:dyDescent="0.25">
      <c r="AP9031"/>
    </row>
    <row r="9032" spans="42:42" x14ac:dyDescent="0.25">
      <c r="AP9032"/>
    </row>
    <row r="9033" spans="42:42" x14ac:dyDescent="0.25">
      <c r="AP9033"/>
    </row>
    <row r="9034" spans="42:42" x14ac:dyDescent="0.25">
      <c r="AP9034"/>
    </row>
    <row r="9035" spans="42:42" x14ac:dyDescent="0.25">
      <c r="AP9035"/>
    </row>
    <row r="9036" spans="42:42" x14ac:dyDescent="0.25">
      <c r="AP9036"/>
    </row>
    <row r="9037" spans="42:42" x14ac:dyDescent="0.25">
      <c r="AP9037"/>
    </row>
    <row r="9038" spans="42:42" x14ac:dyDescent="0.25">
      <c r="AP9038"/>
    </row>
    <row r="9039" spans="42:42" x14ac:dyDescent="0.25">
      <c r="AP9039"/>
    </row>
    <row r="9040" spans="42:42" x14ac:dyDescent="0.25">
      <c r="AP9040"/>
    </row>
    <row r="9041" spans="42:42" x14ac:dyDescent="0.25">
      <c r="AP9041"/>
    </row>
    <row r="9042" spans="42:42" x14ac:dyDescent="0.25">
      <c r="AP9042"/>
    </row>
    <row r="9043" spans="42:42" x14ac:dyDescent="0.25">
      <c r="AP9043"/>
    </row>
    <row r="9044" spans="42:42" x14ac:dyDescent="0.25">
      <c r="AP9044"/>
    </row>
    <row r="9045" spans="42:42" x14ac:dyDescent="0.25">
      <c r="AP9045"/>
    </row>
    <row r="9046" spans="42:42" x14ac:dyDescent="0.25">
      <c r="AP9046"/>
    </row>
    <row r="9047" spans="42:42" x14ac:dyDescent="0.25">
      <c r="AP9047"/>
    </row>
    <row r="9048" spans="42:42" x14ac:dyDescent="0.25">
      <c r="AP9048"/>
    </row>
    <row r="9049" spans="42:42" x14ac:dyDescent="0.25">
      <c r="AP9049"/>
    </row>
    <row r="9050" spans="42:42" x14ac:dyDescent="0.25">
      <c r="AP9050"/>
    </row>
    <row r="9051" spans="42:42" x14ac:dyDescent="0.25">
      <c r="AP9051"/>
    </row>
    <row r="9052" spans="42:42" x14ac:dyDescent="0.25">
      <c r="AP9052"/>
    </row>
    <row r="9053" spans="42:42" x14ac:dyDescent="0.25">
      <c r="AP9053"/>
    </row>
    <row r="9054" spans="42:42" x14ac:dyDescent="0.25">
      <c r="AP9054"/>
    </row>
    <row r="9055" spans="42:42" x14ac:dyDescent="0.25">
      <c r="AP9055"/>
    </row>
    <row r="9056" spans="42:42" x14ac:dyDescent="0.25">
      <c r="AP9056"/>
    </row>
    <row r="9057" spans="42:42" x14ac:dyDescent="0.25">
      <c r="AP9057"/>
    </row>
    <row r="9058" spans="42:42" x14ac:dyDescent="0.25">
      <c r="AP9058"/>
    </row>
    <row r="9059" spans="42:42" x14ac:dyDescent="0.25">
      <c r="AP9059"/>
    </row>
    <row r="9060" spans="42:42" x14ac:dyDescent="0.25">
      <c r="AP9060"/>
    </row>
    <row r="9061" spans="42:42" x14ac:dyDescent="0.25">
      <c r="AP9061"/>
    </row>
    <row r="9062" spans="42:42" x14ac:dyDescent="0.25">
      <c r="AP9062"/>
    </row>
    <row r="9063" spans="42:42" x14ac:dyDescent="0.25">
      <c r="AP9063"/>
    </row>
    <row r="9064" spans="42:42" x14ac:dyDescent="0.25">
      <c r="AP9064"/>
    </row>
    <row r="9065" spans="42:42" x14ac:dyDescent="0.25">
      <c r="AP9065"/>
    </row>
    <row r="9066" spans="42:42" x14ac:dyDescent="0.25">
      <c r="AP9066"/>
    </row>
    <row r="9067" spans="42:42" x14ac:dyDescent="0.25">
      <c r="AP9067"/>
    </row>
    <row r="9068" spans="42:42" x14ac:dyDescent="0.25">
      <c r="AP9068"/>
    </row>
    <row r="9069" spans="42:42" x14ac:dyDescent="0.25">
      <c r="AP9069"/>
    </row>
    <row r="9070" spans="42:42" x14ac:dyDescent="0.25">
      <c r="AP9070"/>
    </row>
    <row r="9071" spans="42:42" x14ac:dyDescent="0.25">
      <c r="AP9071"/>
    </row>
    <row r="9072" spans="42:42" x14ac:dyDescent="0.25">
      <c r="AP9072"/>
    </row>
    <row r="9073" spans="42:42" x14ac:dyDescent="0.25">
      <c r="AP9073"/>
    </row>
    <row r="9074" spans="42:42" x14ac:dyDescent="0.25">
      <c r="AP9074"/>
    </row>
    <row r="9075" spans="42:42" x14ac:dyDescent="0.25">
      <c r="AP9075"/>
    </row>
    <row r="9076" spans="42:42" x14ac:dyDescent="0.25">
      <c r="AP9076"/>
    </row>
    <row r="9077" spans="42:42" x14ac:dyDescent="0.25">
      <c r="AP9077"/>
    </row>
    <row r="9078" spans="42:42" x14ac:dyDescent="0.25">
      <c r="AP9078"/>
    </row>
    <row r="9079" spans="42:42" x14ac:dyDescent="0.25">
      <c r="AP9079"/>
    </row>
    <row r="9080" spans="42:42" x14ac:dyDescent="0.25">
      <c r="AP9080"/>
    </row>
    <row r="9081" spans="42:42" x14ac:dyDescent="0.25">
      <c r="AP9081"/>
    </row>
    <row r="9082" spans="42:42" x14ac:dyDescent="0.25">
      <c r="AP9082"/>
    </row>
    <row r="9083" spans="42:42" x14ac:dyDescent="0.25">
      <c r="AP9083"/>
    </row>
    <row r="9084" spans="42:42" x14ac:dyDescent="0.25">
      <c r="AP9084"/>
    </row>
    <row r="9085" spans="42:42" x14ac:dyDescent="0.25">
      <c r="AP9085"/>
    </row>
    <row r="9086" spans="42:42" x14ac:dyDescent="0.25">
      <c r="AP9086"/>
    </row>
    <row r="9087" spans="42:42" x14ac:dyDescent="0.25">
      <c r="AP9087"/>
    </row>
    <row r="9088" spans="42:42" x14ac:dyDescent="0.25">
      <c r="AP9088"/>
    </row>
    <row r="9089" spans="42:42" x14ac:dyDescent="0.25">
      <c r="AP9089"/>
    </row>
    <row r="9090" spans="42:42" x14ac:dyDescent="0.25">
      <c r="AP9090"/>
    </row>
    <row r="9091" spans="42:42" x14ac:dyDescent="0.25">
      <c r="AP9091"/>
    </row>
    <row r="9092" spans="42:42" x14ac:dyDescent="0.25">
      <c r="AP9092"/>
    </row>
    <row r="9093" spans="42:42" x14ac:dyDescent="0.25">
      <c r="AP9093"/>
    </row>
    <row r="9094" spans="42:42" x14ac:dyDescent="0.25">
      <c r="AP9094"/>
    </row>
    <row r="9095" spans="42:42" x14ac:dyDescent="0.25">
      <c r="AP9095"/>
    </row>
    <row r="9096" spans="42:42" x14ac:dyDescent="0.25">
      <c r="AP9096"/>
    </row>
    <row r="9097" spans="42:42" x14ac:dyDescent="0.25">
      <c r="AP9097"/>
    </row>
    <row r="9098" spans="42:42" x14ac:dyDescent="0.25">
      <c r="AP9098"/>
    </row>
    <row r="9099" spans="42:42" x14ac:dyDescent="0.25">
      <c r="AP9099"/>
    </row>
    <row r="9100" spans="42:42" x14ac:dyDescent="0.25">
      <c r="AP9100"/>
    </row>
    <row r="9101" spans="42:42" x14ac:dyDescent="0.25">
      <c r="AP9101"/>
    </row>
    <row r="9102" spans="42:42" x14ac:dyDescent="0.25">
      <c r="AP9102"/>
    </row>
    <row r="9103" spans="42:42" x14ac:dyDescent="0.25">
      <c r="AP9103"/>
    </row>
    <row r="9104" spans="42:42" x14ac:dyDescent="0.25">
      <c r="AP9104"/>
    </row>
    <row r="9105" spans="42:42" x14ac:dyDescent="0.25">
      <c r="AP9105"/>
    </row>
    <row r="9106" spans="42:42" x14ac:dyDescent="0.25">
      <c r="AP9106"/>
    </row>
    <row r="9107" spans="42:42" x14ac:dyDescent="0.25">
      <c r="AP9107"/>
    </row>
    <row r="9108" spans="42:42" x14ac:dyDescent="0.25">
      <c r="AP9108"/>
    </row>
    <row r="9109" spans="42:42" x14ac:dyDescent="0.25">
      <c r="AP9109"/>
    </row>
    <row r="9110" spans="42:42" x14ac:dyDescent="0.25">
      <c r="AP9110"/>
    </row>
    <row r="9111" spans="42:42" x14ac:dyDescent="0.25">
      <c r="AP9111"/>
    </row>
    <row r="9112" spans="42:42" x14ac:dyDescent="0.25">
      <c r="AP9112"/>
    </row>
    <row r="9113" spans="42:42" x14ac:dyDescent="0.25">
      <c r="AP9113"/>
    </row>
    <row r="9114" spans="42:42" x14ac:dyDescent="0.25">
      <c r="AP9114"/>
    </row>
    <row r="9115" spans="42:42" x14ac:dyDescent="0.25">
      <c r="AP9115"/>
    </row>
    <row r="9116" spans="42:42" x14ac:dyDescent="0.25">
      <c r="AP9116"/>
    </row>
    <row r="9117" spans="42:42" x14ac:dyDescent="0.25">
      <c r="AP9117"/>
    </row>
    <row r="9118" spans="42:42" x14ac:dyDescent="0.25">
      <c r="AP9118"/>
    </row>
    <row r="9119" spans="42:42" x14ac:dyDescent="0.25">
      <c r="AP9119"/>
    </row>
    <row r="9120" spans="42:42" x14ac:dyDescent="0.25">
      <c r="AP9120"/>
    </row>
    <row r="9121" spans="42:42" x14ac:dyDescent="0.25">
      <c r="AP9121"/>
    </row>
    <row r="9122" spans="42:42" x14ac:dyDescent="0.25">
      <c r="AP9122"/>
    </row>
    <row r="9123" spans="42:42" x14ac:dyDescent="0.25">
      <c r="AP9123"/>
    </row>
    <row r="9124" spans="42:42" x14ac:dyDescent="0.25">
      <c r="AP9124"/>
    </row>
    <row r="9125" spans="42:42" x14ac:dyDescent="0.25">
      <c r="AP9125"/>
    </row>
    <row r="9126" spans="42:42" x14ac:dyDescent="0.25">
      <c r="AP9126"/>
    </row>
    <row r="9127" spans="42:42" x14ac:dyDescent="0.25">
      <c r="AP9127"/>
    </row>
    <row r="9128" spans="42:42" x14ac:dyDescent="0.25">
      <c r="AP9128"/>
    </row>
    <row r="9129" spans="42:42" x14ac:dyDescent="0.25">
      <c r="AP9129"/>
    </row>
    <row r="9130" spans="42:42" x14ac:dyDescent="0.25">
      <c r="AP9130"/>
    </row>
    <row r="9131" spans="42:42" x14ac:dyDescent="0.25">
      <c r="AP9131"/>
    </row>
    <row r="9132" spans="42:42" x14ac:dyDescent="0.25">
      <c r="AP9132"/>
    </row>
    <row r="9133" spans="42:42" x14ac:dyDescent="0.25">
      <c r="AP9133"/>
    </row>
    <row r="9134" spans="42:42" x14ac:dyDescent="0.25">
      <c r="AP9134"/>
    </row>
    <row r="9135" spans="42:42" x14ac:dyDescent="0.25">
      <c r="AP9135"/>
    </row>
    <row r="9136" spans="42:42" x14ac:dyDescent="0.25">
      <c r="AP9136"/>
    </row>
    <row r="9137" spans="42:42" x14ac:dyDescent="0.25">
      <c r="AP9137"/>
    </row>
    <row r="9138" spans="42:42" x14ac:dyDescent="0.25">
      <c r="AP9138"/>
    </row>
    <row r="9139" spans="42:42" x14ac:dyDescent="0.25">
      <c r="AP9139"/>
    </row>
    <row r="9140" spans="42:42" x14ac:dyDescent="0.25">
      <c r="AP9140"/>
    </row>
    <row r="9141" spans="42:42" x14ac:dyDescent="0.25">
      <c r="AP9141"/>
    </row>
    <row r="9142" spans="42:42" x14ac:dyDescent="0.25">
      <c r="AP9142"/>
    </row>
    <row r="9143" spans="42:42" x14ac:dyDescent="0.25">
      <c r="AP9143"/>
    </row>
    <row r="9144" spans="42:42" x14ac:dyDescent="0.25">
      <c r="AP9144"/>
    </row>
    <row r="9145" spans="42:42" x14ac:dyDescent="0.25">
      <c r="AP9145"/>
    </row>
    <row r="9146" spans="42:42" x14ac:dyDescent="0.25">
      <c r="AP9146"/>
    </row>
    <row r="9147" spans="42:42" x14ac:dyDescent="0.25">
      <c r="AP9147"/>
    </row>
    <row r="9148" spans="42:42" x14ac:dyDescent="0.25">
      <c r="AP9148"/>
    </row>
  </sheetData>
  <sheetProtection password="E97D" sheet="1" objects="1" scenarios="1" autoFilter="0"/>
  <autoFilter ref="A19:AZ19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59"/>
  <sheetViews>
    <sheetView showGridLines="0" zoomScale="85" zoomScaleNormal="85" workbookViewId="0">
      <selection activeCell="I49" sqref="I49"/>
    </sheetView>
  </sheetViews>
  <sheetFormatPr defaultRowHeight="15" x14ac:dyDescent="0.25"/>
  <cols>
    <col min="2" max="2" width="7.140625" customWidth="1"/>
    <col min="4" max="4" width="6" bestFit="1" customWidth="1"/>
    <col min="5" max="5" width="33.85546875" bestFit="1" customWidth="1"/>
    <col min="13" max="13" width="10.85546875" bestFit="1" customWidth="1"/>
  </cols>
  <sheetData>
    <row r="1" spans="2:42" x14ac:dyDescent="0.25">
      <c r="AA1" s="29" t="s">
        <v>0</v>
      </c>
      <c r="AB1" s="30" t="s">
        <v>169</v>
      </c>
      <c r="AC1" s="30" t="s">
        <v>56</v>
      </c>
      <c r="AD1" s="30" t="s">
        <v>170</v>
      </c>
      <c r="AE1" s="30" t="s">
        <v>59</v>
      </c>
      <c r="AF1" s="30" t="s">
        <v>61</v>
      </c>
      <c r="AG1" s="30" t="s">
        <v>10</v>
      </c>
      <c r="AH1" s="30" t="s">
        <v>11</v>
      </c>
      <c r="AI1" s="30" t="s">
        <v>12</v>
      </c>
      <c r="AJ1" s="30" t="s">
        <v>171</v>
      </c>
      <c r="AK1" s="30" t="s">
        <v>13</v>
      </c>
      <c r="AL1" s="30" t="s">
        <v>172</v>
      </c>
      <c r="AM1" s="30" t="s">
        <v>173</v>
      </c>
      <c r="AN1" s="30" t="s">
        <v>174</v>
      </c>
      <c r="AO1" s="31" t="s">
        <v>176</v>
      </c>
      <c r="AP1" s="32" t="s">
        <v>161</v>
      </c>
    </row>
    <row r="2" spans="2:42" x14ac:dyDescent="0.25">
      <c r="AA2" s="33"/>
      <c r="AP2" s="34">
        <v>60.4</v>
      </c>
    </row>
    <row r="3" spans="2:42" x14ac:dyDescent="0.25">
      <c r="B3" s="11" t="s">
        <v>3</v>
      </c>
      <c r="D3" s="11" t="s">
        <v>30</v>
      </c>
      <c r="E3" s="11" t="s">
        <v>31</v>
      </c>
      <c r="F3" s="11" t="s">
        <v>32</v>
      </c>
      <c r="T3" s="11" t="s">
        <v>132</v>
      </c>
      <c r="U3" s="35" t="s">
        <v>180</v>
      </c>
      <c r="W3" s="39" t="s">
        <v>99</v>
      </c>
      <c r="X3" s="39" t="s">
        <v>6</v>
      </c>
      <c r="AA3" s="33"/>
    </row>
    <row r="4" spans="2:42" x14ac:dyDescent="0.25">
      <c r="B4" s="12" t="s">
        <v>20</v>
      </c>
      <c r="D4" s="12">
        <v>80633</v>
      </c>
      <c r="E4" s="12" t="s">
        <v>29</v>
      </c>
      <c r="F4" s="12"/>
      <c r="T4" s="11" t="s">
        <v>6</v>
      </c>
      <c r="U4" s="36" t="s">
        <v>183</v>
      </c>
      <c r="W4" s="12" t="s">
        <v>154</v>
      </c>
      <c r="X4" s="12" t="s">
        <v>148</v>
      </c>
    </row>
    <row r="5" spans="2:42" x14ac:dyDescent="0.25">
      <c r="B5" s="12" t="s">
        <v>33</v>
      </c>
      <c r="D5" s="12">
        <v>81056</v>
      </c>
      <c r="E5" s="12" t="s">
        <v>34</v>
      </c>
      <c r="F5" s="12"/>
      <c r="T5" s="11" t="s">
        <v>133</v>
      </c>
      <c r="U5" s="36" t="s">
        <v>177</v>
      </c>
      <c r="W5" s="12" t="s">
        <v>146</v>
      </c>
      <c r="X5" s="12" t="s">
        <v>143</v>
      </c>
    </row>
    <row r="6" spans="2:42" x14ac:dyDescent="0.25">
      <c r="B6" s="12" t="s">
        <v>27</v>
      </c>
      <c r="D6" s="12">
        <v>81090</v>
      </c>
      <c r="E6" s="12" t="s">
        <v>35</v>
      </c>
      <c r="F6" s="12"/>
      <c r="T6" s="11" t="s">
        <v>134</v>
      </c>
      <c r="U6" s="36" t="s">
        <v>178</v>
      </c>
      <c r="W6" s="12" t="s">
        <v>142</v>
      </c>
      <c r="X6" s="12" t="s">
        <v>143</v>
      </c>
    </row>
    <row r="7" spans="2:42" x14ac:dyDescent="0.25">
      <c r="D7" s="12">
        <v>81112</v>
      </c>
      <c r="E7" s="12" t="s">
        <v>36</v>
      </c>
      <c r="F7" s="12"/>
      <c r="T7" s="11" t="s">
        <v>135</v>
      </c>
      <c r="U7" s="36" t="s">
        <v>184</v>
      </c>
      <c r="W7" s="12" t="s">
        <v>144</v>
      </c>
      <c r="X7" s="12" t="s">
        <v>145</v>
      </c>
    </row>
    <row r="8" spans="2:42" x14ac:dyDescent="0.25">
      <c r="D8" s="12">
        <v>81125</v>
      </c>
      <c r="E8" s="12" t="s">
        <v>37</v>
      </c>
      <c r="F8" s="12"/>
      <c r="T8" s="11" t="s">
        <v>136</v>
      </c>
      <c r="U8" s="12"/>
      <c r="W8" s="12" t="s">
        <v>150</v>
      </c>
      <c r="X8" s="12" t="s">
        <v>145</v>
      </c>
    </row>
    <row r="9" spans="2:42" x14ac:dyDescent="0.25">
      <c r="D9" s="12">
        <v>81131</v>
      </c>
      <c r="E9" s="12" t="s">
        <v>38</v>
      </c>
      <c r="F9" s="12"/>
      <c r="T9" s="11" t="s">
        <v>137</v>
      </c>
      <c r="U9" s="37" t="s">
        <v>185</v>
      </c>
      <c r="W9" s="12" t="s">
        <v>140</v>
      </c>
      <c r="X9" s="12" t="s">
        <v>141</v>
      </c>
    </row>
    <row r="10" spans="2:42" x14ac:dyDescent="0.25">
      <c r="B10" s="11" t="s">
        <v>4</v>
      </c>
      <c r="D10" s="12">
        <v>81168</v>
      </c>
      <c r="E10" s="12" t="s">
        <v>39</v>
      </c>
      <c r="F10" s="12"/>
      <c r="T10" s="11" t="s">
        <v>138</v>
      </c>
      <c r="U10" s="38" t="s">
        <v>186</v>
      </c>
      <c r="W10" s="12" t="s">
        <v>152</v>
      </c>
      <c r="X10" s="12" t="s">
        <v>141</v>
      </c>
    </row>
    <row r="11" spans="2:42" x14ac:dyDescent="0.25">
      <c r="B11" s="12" t="s">
        <v>28</v>
      </c>
      <c r="D11" s="12">
        <v>81178</v>
      </c>
      <c r="E11" s="12" t="s">
        <v>40</v>
      </c>
      <c r="F11" s="12"/>
      <c r="T11" s="11" t="s">
        <v>139</v>
      </c>
      <c r="U11" s="36" t="s">
        <v>179</v>
      </c>
      <c r="W11" s="12" t="s">
        <v>147</v>
      </c>
      <c r="X11" s="12" t="s">
        <v>148</v>
      </c>
    </row>
    <row r="12" spans="2:42" x14ac:dyDescent="0.25">
      <c r="B12" s="12" t="s">
        <v>21</v>
      </c>
      <c r="D12" s="12">
        <v>81255</v>
      </c>
      <c r="E12" s="12" t="s">
        <v>41</v>
      </c>
      <c r="F12" s="12"/>
      <c r="W12" s="12" t="s">
        <v>153</v>
      </c>
      <c r="X12" s="12" t="s">
        <v>145</v>
      </c>
    </row>
    <row r="13" spans="2:42" x14ac:dyDescent="0.25">
      <c r="B13" s="12" t="s">
        <v>24</v>
      </c>
      <c r="D13" s="12">
        <v>81262</v>
      </c>
      <c r="E13" s="12" t="s">
        <v>42</v>
      </c>
      <c r="F13" s="12"/>
      <c r="W13" s="12" t="s">
        <v>149</v>
      </c>
      <c r="X13" s="12" t="s">
        <v>145</v>
      </c>
    </row>
    <row r="14" spans="2:42" ht="18.75" x14ac:dyDescent="0.25">
      <c r="B14" s="13" t="s">
        <v>26</v>
      </c>
      <c r="D14" s="12">
        <v>81265</v>
      </c>
      <c r="E14" s="12" t="s">
        <v>43</v>
      </c>
      <c r="F14" s="12"/>
      <c r="J14" s="62" t="s">
        <v>160</v>
      </c>
      <c r="K14" s="62"/>
      <c r="L14" s="18">
        <f ca="1">IFERROR(VLOOKUP($M$30,$AA$1:$AP$4000,15,FALSE),0)</f>
        <v>0</v>
      </c>
      <c r="N14" s="63" t="s">
        <v>161</v>
      </c>
      <c r="O14" s="63"/>
      <c r="P14" s="19">
        <f ca="1">$L$14*100/480</f>
        <v>0</v>
      </c>
      <c r="W14" s="12" t="s">
        <v>155</v>
      </c>
      <c r="X14" s="12" t="s">
        <v>148</v>
      </c>
    </row>
    <row r="15" spans="2:42" x14ac:dyDescent="0.25">
      <c r="D15" s="12">
        <v>81267</v>
      </c>
      <c r="E15" s="12" t="s">
        <v>44</v>
      </c>
      <c r="F15" s="12"/>
      <c r="W15" s="12" t="s">
        <v>151</v>
      </c>
      <c r="X15" s="12" t="s">
        <v>145</v>
      </c>
    </row>
    <row r="16" spans="2:42" x14ac:dyDescent="0.25">
      <c r="B16" s="11" t="s">
        <v>5</v>
      </c>
      <c r="D16" s="12">
        <v>81268</v>
      </c>
      <c r="E16" s="12" t="s">
        <v>45</v>
      </c>
      <c r="F16" s="12"/>
    </row>
    <row r="17" spans="1:23" x14ac:dyDescent="0.25">
      <c r="B17" s="12" t="s">
        <v>22</v>
      </c>
      <c r="D17" s="12">
        <v>81277</v>
      </c>
      <c r="E17" s="12" t="s">
        <v>46</v>
      </c>
      <c r="F17" s="12"/>
    </row>
    <row r="18" spans="1:23" x14ac:dyDescent="0.25">
      <c r="B18" s="12" t="s">
        <v>25</v>
      </c>
      <c r="D18" s="12">
        <v>81295</v>
      </c>
      <c r="E18" s="12" t="s">
        <v>47</v>
      </c>
      <c r="F18" s="12"/>
      <c r="T18" s="40" t="s">
        <v>181</v>
      </c>
      <c r="W18" t="s">
        <v>182</v>
      </c>
    </row>
    <row r="19" spans="1:23" x14ac:dyDescent="0.25">
      <c r="D19" s="12">
        <v>81308</v>
      </c>
      <c r="E19" s="12" t="s">
        <v>48</v>
      </c>
      <c r="F19" s="12"/>
    </row>
    <row r="20" spans="1:23" x14ac:dyDescent="0.25">
      <c r="D20" s="12">
        <v>81312</v>
      </c>
      <c r="E20" s="12" t="s">
        <v>49</v>
      </c>
      <c r="F20" s="12"/>
    </row>
    <row r="21" spans="1:23" x14ac:dyDescent="0.25">
      <c r="D21" s="12">
        <v>81315</v>
      </c>
      <c r="E21" s="12" t="s">
        <v>50</v>
      </c>
      <c r="F21" s="12"/>
    </row>
    <row r="22" spans="1:23" x14ac:dyDescent="0.25">
      <c r="D22" s="12">
        <v>81317</v>
      </c>
      <c r="E22" s="12" t="s">
        <v>51</v>
      </c>
      <c r="F22" s="12"/>
    </row>
    <row r="23" spans="1:23" x14ac:dyDescent="0.25">
      <c r="A23" s="11" t="s">
        <v>52</v>
      </c>
      <c r="B23" s="11" t="s">
        <v>53</v>
      </c>
      <c r="D23" s="12">
        <v>81336</v>
      </c>
      <c r="E23" s="12" t="s">
        <v>54</v>
      </c>
      <c r="F23" s="12"/>
    </row>
    <row r="24" spans="1:23" x14ac:dyDescent="0.25">
      <c r="A24" s="12" t="s">
        <v>28</v>
      </c>
      <c r="B24" s="12">
        <v>80</v>
      </c>
      <c r="D24" s="12">
        <v>81337</v>
      </c>
      <c r="E24" s="12" t="s">
        <v>55</v>
      </c>
      <c r="F24" s="12"/>
    </row>
    <row r="25" spans="1:23" x14ac:dyDescent="0.25">
      <c r="A25" s="12" t="s">
        <v>56</v>
      </c>
      <c r="B25" s="12">
        <v>30</v>
      </c>
      <c r="D25" s="12">
        <v>81343</v>
      </c>
      <c r="E25" s="12" t="s">
        <v>57</v>
      </c>
      <c r="F25" s="12"/>
    </row>
    <row r="26" spans="1:23" x14ac:dyDescent="0.25">
      <c r="A26" s="12" t="s">
        <v>58</v>
      </c>
      <c r="B26" s="12">
        <v>60</v>
      </c>
      <c r="D26" s="12">
        <v>81348</v>
      </c>
      <c r="E26" s="12" t="s">
        <v>23</v>
      </c>
      <c r="F26" s="12"/>
    </row>
    <row r="27" spans="1:23" x14ac:dyDescent="0.25">
      <c r="A27" s="12" t="s">
        <v>59</v>
      </c>
      <c r="B27" s="12">
        <v>90</v>
      </c>
      <c r="D27" s="12">
        <v>81349</v>
      </c>
      <c r="E27" s="12" t="s">
        <v>60</v>
      </c>
      <c r="F27" s="12"/>
    </row>
    <row r="28" spans="1:23" x14ac:dyDescent="0.25">
      <c r="A28" s="12" t="s">
        <v>61</v>
      </c>
      <c r="B28" s="12">
        <v>60</v>
      </c>
      <c r="D28" s="12">
        <v>81354</v>
      </c>
      <c r="E28" s="12" t="s">
        <v>62</v>
      </c>
      <c r="F28" s="12"/>
    </row>
    <row r="29" spans="1:23" x14ac:dyDescent="0.25">
      <c r="A29" s="14" t="s">
        <v>63</v>
      </c>
      <c r="B29" s="14">
        <v>480</v>
      </c>
      <c r="D29" s="12">
        <v>81360</v>
      </c>
      <c r="E29" s="12" t="s">
        <v>64</v>
      </c>
      <c r="F29" s="12"/>
      <c r="I29" s="64" t="s">
        <v>162</v>
      </c>
      <c r="J29" s="65"/>
      <c r="K29" s="65"/>
      <c r="L29" s="66"/>
      <c r="M29" s="20" t="s">
        <v>163</v>
      </c>
      <c r="N29" s="20" t="s">
        <v>164</v>
      </c>
      <c r="O29" s="20" t="s">
        <v>165</v>
      </c>
      <c r="P29" s="20" t="s">
        <v>166</v>
      </c>
      <c r="Q29" s="20" t="s">
        <v>167</v>
      </c>
    </row>
    <row r="30" spans="1:23" x14ac:dyDescent="0.25">
      <c r="D30" s="12">
        <v>81366</v>
      </c>
      <c r="E30" s="12" t="s">
        <v>65</v>
      </c>
      <c r="F30" s="12"/>
      <c r="I30" s="67" t="s">
        <v>168</v>
      </c>
      <c r="J30" s="68"/>
      <c r="K30" s="68"/>
      <c r="L30" s="69"/>
      <c r="M30" s="21">
        <f ca="1">TODAY()</f>
        <v>43424</v>
      </c>
      <c r="N30" s="22">
        <f ca="1">M30</f>
        <v>43424</v>
      </c>
      <c r="O30" s="23" t="str">
        <f ca="1">CONCATENATE("Q",ROUNDUP(MONTH($M$30)/3,0))</f>
        <v>Q4</v>
      </c>
      <c r="P30" s="23" t="str">
        <f ca="1">CONCATENATE("H",ROUNDUP(MONTH($M$30)/6,0))</f>
        <v>H2</v>
      </c>
      <c r="Q30" s="24">
        <f ca="1">M30</f>
        <v>43424</v>
      </c>
    </row>
    <row r="31" spans="1:23" x14ac:dyDescent="0.25">
      <c r="D31" s="12">
        <v>81369</v>
      </c>
      <c r="E31" s="12" t="s">
        <v>66</v>
      </c>
      <c r="F31" s="12"/>
      <c r="I31" s="59" t="s">
        <v>169</v>
      </c>
      <c r="J31" s="60"/>
      <c r="K31" s="60"/>
      <c r="L31" s="61"/>
      <c r="M31" s="25">
        <f ca="1">IFERROR(VLOOKUP(M30,$AA$1:$AP$4000,2,FALSE),0)</f>
        <v>0</v>
      </c>
      <c r="N31" s="25">
        <f ca="1">SUMPRODUCT((ROUNDUP(MONTH($AA$2:$AA$4000)/1,0)=ROUNDUP(MONTH($M$30)/1,0))*($AB$2:$AB$4000))</f>
        <v>0</v>
      </c>
      <c r="O31" s="25">
        <f ca="1">SUMPRODUCT((ROUNDUP(MONTH($AA$2:$AA$4000)/3,0)=ROUNDUP(MONTH($M$30)/3,0))*($AB$2:$AB$4000))</f>
        <v>0</v>
      </c>
      <c r="P31" s="25">
        <f ca="1">SUMPRODUCT((ROUNDUP(MONTH($AA$2:$AA$4000)/6,0)=ROUNDUP(MONTH($M$30)/6,0))*($AB$2:$AB$4000))</f>
        <v>0</v>
      </c>
      <c r="Q31" s="25">
        <f ca="1">SUMPRODUCT((ROUNDUP(MONTH($AA$2:$AA$4000)/12,0)=ROUNDUP(MONTH($M$30)/12,0))*($AB$2:$AB$4000))</f>
        <v>0</v>
      </c>
    </row>
    <row r="32" spans="1:23" x14ac:dyDescent="0.25">
      <c r="D32" s="12">
        <v>81467</v>
      </c>
      <c r="E32" s="12" t="s">
        <v>67</v>
      </c>
      <c r="F32" s="12"/>
      <c r="I32" s="59" t="s">
        <v>56</v>
      </c>
      <c r="J32" s="60"/>
      <c r="K32" s="60"/>
      <c r="L32" s="61"/>
      <c r="M32" s="25">
        <f ca="1">IFERROR(VLOOKUP($M$30,$AA$1:$AP$4000,3,FALSE),0)</f>
        <v>0</v>
      </c>
      <c r="N32" s="25">
        <f ca="1">SUMPRODUCT((ROUNDUP(MONTH($AA$2:$AA$4000)/1,0)=ROUNDUP(MONTH($M$30)/1,0))*($AC$2:$AC$4000))</f>
        <v>0</v>
      </c>
      <c r="O32" s="25">
        <f ca="1">SUMPRODUCT((ROUNDUP(MONTH($AA$2:$AA$4000)/3,0)=ROUNDUP(MONTH($M$30)/3,0))*($AC$2:$AC$4000))</f>
        <v>0</v>
      </c>
      <c r="P32" s="25">
        <f ca="1">SUMPRODUCT((ROUNDUP(MONTH($AA$2:$AA$4000)/6,0)=ROUNDUP(MONTH($M$30)/6,0))*($AC$2:$AC$4000))</f>
        <v>0</v>
      </c>
      <c r="Q32" s="25">
        <f ca="1">SUMPRODUCT((ROUNDUP(MONTH($AA$2:$AA$4000)/12,0)=ROUNDUP(MONTH($M$30)/12,0))*($AC$2:$AC$4000))</f>
        <v>0</v>
      </c>
    </row>
    <row r="33" spans="4:17" x14ac:dyDescent="0.25">
      <c r="D33" s="12">
        <v>81468</v>
      </c>
      <c r="E33" s="12" t="s">
        <v>68</v>
      </c>
      <c r="F33" s="12"/>
      <c r="I33" s="59" t="s">
        <v>170</v>
      </c>
      <c r="J33" s="60"/>
      <c r="K33" s="60"/>
      <c r="L33" s="61"/>
      <c r="M33" s="25">
        <f ca="1">IFERROR(VLOOKUP($M$30,$AA$1:$AP$4000,4,FALSE),0)</f>
        <v>0</v>
      </c>
      <c r="N33" s="25">
        <f ca="1">SUMPRODUCT((ROUNDUP(MONTH($AA$2:$AA$4000)/1,0)=ROUNDUP(MONTH($M$30)/1,0))*($AD$2:$AD$4000))</f>
        <v>0</v>
      </c>
      <c r="O33" s="25">
        <f ca="1">SUMPRODUCT((ROUNDUP(MONTH($AA$2:$AA$4000)/3,0)=ROUNDUP(MONTH($M$30)/3,0))*($AD$2:$AD$4000))</f>
        <v>0</v>
      </c>
      <c r="P33" s="25">
        <f ca="1">SUMPRODUCT((ROUNDUP(MONTH($AA$2:$AA$4000)/6,0)=ROUNDUP(MONTH($M$30)/6,0))*($AD$2:$AD$4000))</f>
        <v>0</v>
      </c>
      <c r="Q33" s="25">
        <f ca="1">SUMPRODUCT((ROUNDUP(MONTH($AA$2:$AA$4000)/12,0)=ROUNDUP(MONTH($M$30)/12,0))*($AD$2:$AD$4000))</f>
        <v>0</v>
      </c>
    </row>
    <row r="34" spans="4:17" x14ac:dyDescent="0.25">
      <c r="D34" s="12">
        <v>81477</v>
      </c>
      <c r="E34" s="12" t="s">
        <v>69</v>
      </c>
      <c r="F34" s="12"/>
      <c r="I34" s="59" t="s">
        <v>59</v>
      </c>
      <c r="J34" s="60"/>
      <c r="K34" s="60"/>
      <c r="L34" s="61"/>
      <c r="M34" s="25">
        <f ca="1">IFERROR(VLOOKUP($M$30,$AA$1:$AP$4000,5,FALSE),0)</f>
        <v>0</v>
      </c>
      <c r="N34" s="25">
        <f ca="1">SUMPRODUCT((ROUNDUP(MONTH($AA$2:$AA$4000)/1,0)=ROUNDUP(MONTH($M$30)/1,0))*($AE$2:$AE$4000))</f>
        <v>0</v>
      </c>
      <c r="O34" s="25">
        <f ca="1">SUMPRODUCT((ROUNDUP(MONTH($AA$2:$AA$4000)/3,0)=ROUNDUP(MONTH($M$30)/3,0))*($AE$2:$AE$4000))</f>
        <v>0</v>
      </c>
      <c r="P34" s="25">
        <f ca="1">SUMPRODUCT((ROUNDUP(MONTH($AA$2:$AA$4000)/6,0)=ROUNDUP(MONTH($M$30)/6,0))*($AE$2:$AE$4000))</f>
        <v>0</v>
      </c>
      <c r="Q34" s="25">
        <f ca="1">SUMPRODUCT((ROUNDUP(MONTH($AA$2:$AA$4000)/12,0)=ROUNDUP(MONTH($M$30)/12,0))*($AE$2:$AE$4000))</f>
        <v>0</v>
      </c>
    </row>
    <row r="35" spans="4:17" x14ac:dyDescent="0.25">
      <c r="D35" s="12">
        <v>81479</v>
      </c>
      <c r="E35" s="12" t="s">
        <v>70</v>
      </c>
      <c r="F35" s="12"/>
      <c r="I35" s="59" t="s">
        <v>61</v>
      </c>
      <c r="J35" s="60"/>
      <c r="K35" s="60"/>
      <c r="L35" s="61"/>
      <c r="M35" s="25">
        <f ca="1">IFERROR(VLOOKUP($M$30,$AA$1:$AP$4000,6,FALSE),0)</f>
        <v>0</v>
      </c>
      <c r="N35" s="25">
        <f ca="1">SUMPRODUCT((ROUNDUP(MONTH($AA$2:$AA$4000)/1,0)=ROUNDUP(MONTH($M$30)/1,0))*($AF$2:$AF$4000))</f>
        <v>0</v>
      </c>
      <c r="O35" s="25">
        <f ca="1">SUMPRODUCT((ROUNDUP(MONTH($AA$2:$AA$4000)/3,0)=ROUNDUP(MONTH($M$30)/3,0))*($AF$2:$AF$4000))</f>
        <v>0</v>
      </c>
      <c r="P35" s="25">
        <f ca="1">SUMPRODUCT((ROUNDUP(MONTH($AA$2:$AA$4000)/6,0)=ROUNDUP(MONTH($M$30)/6,0))*($AF$2:$AF$4000))</f>
        <v>0</v>
      </c>
      <c r="Q35" s="25">
        <f ca="1">SUMPRODUCT((ROUNDUP(MONTH($AA$2:$AA$4000)/12,0)=ROUNDUP(MONTH($M$30)/12,0))*($AF$2:$AF$4000))</f>
        <v>0</v>
      </c>
    </row>
    <row r="36" spans="4:17" x14ac:dyDescent="0.25">
      <c r="D36" s="12">
        <v>81499</v>
      </c>
      <c r="E36" s="12" t="s">
        <v>71</v>
      </c>
      <c r="F36" s="12"/>
      <c r="I36" s="59" t="s">
        <v>10</v>
      </c>
      <c r="J36" s="60"/>
      <c r="K36" s="60"/>
      <c r="L36" s="61"/>
      <c r="M36" s="25">
        <f ca="1">IFERROR(VLOOKUP($M$30,$AA$1:$AP$4000,7,FALSE),0)</f>
        <v>0</v>
      </c>
      <c r="N36" s="25">
        <f ca="1">SUMPRODUCT((ROUNDUP(MONTH($AA$2:$AA$4000)/1,0)=ROUNDUP(MONTH($M$30)/1,0))*($AG$2:$AG$4000))</f>
        <v>0</v>
      </c>
      <c r="O36" s="25">
        <f ca="1">SUMPRODUCT((ROUNDUP(MONTH($AA$2:$AA$4000)/3,0)=ROUNDUP(MONTH($M$30)/3,0))*($AG$2:$AG$4000))</f>
        <v>0</v>
      </c>
      <c r="P36" s="25">
        <f ca="1">SUMPRODUCT((ROUNDUP(MONTH($AA$2:$AA$4000)/6,0)=ROUNDUP(MONTH($M$30)/6,0))*($AG$2:$AG$4000))</f>
        <v>0</v>
      </c>
      <c r="Q36" s="25">
        <f ca="1">SUMPRODUCT((ROUNDUP(MONTH($AA$2:$AA$4000)/12,0)=ROUNDUP(MONTH($M$30)/12,0))*($AG$2:$AG$4000))</f>
        <v>0</v>
      </c>
    </row>
    <row r="37" spans="4:17" x14ac:dyDescent="0.25">
      <c r="D37" s="12">
        <v>81500</v>
      </c>
      <c r="E37" s="12" t="s">
        <v>72</v>
      </c>
      <c r="F37" s="12"/>
      <c r="I37" s="59" t="s">
        <v>11</v>
      </c>
      <c r="J37" s="60"/>
      <c r="K37" s="60"/>
      <c r="L37" s="61"/>
      <c r="M37" s="25">
        <f ca="1">IFERROR(VLOOKUP($M$30,$AA$1:$AP$4000,8,FALSE),0)</f>
        <v>0</v>
      </c>
      <c r="N37" s="25">
        <f ca="1">SUMPRODUCT((ROUNDUP(MONTH($AA$2:$AA$4000)/1,0)=ROUNDUP(MONTH($M$30)/1,0))*($AH$2:$AH$4000))</f>
        <v>0</v>
      </c>
      <c r="O37" s="25">
        <f ca="1">SUMPRODUCT((ROUNDUP(MONTH($AA$2:$AA$4000)/3,0)=ROUNDUP(MONTH($M$30)/3,0))*($AH$2:$AH$4000))</f>
        <v>0</v>
      </c>
      <c r="P37" s="25">
        <f ca="1">SUMPRODUCT((ROUNDUP(MONTH($AA$2:$AA$4000)/6,0)=ROUNDUP(MONTH($M$30)/6,0))*($AH$2:$AH$4000))</f>
        <v>0</v>
      </c>
      <c r="Q37" s="25">
        <f ca="1">SUMPRODUCT((ROUNDUP(MONTH($AA$2:$AA$4000)/12,0)=ROUNDUP(MONTH($M$30)/12,0))*($AH$2:$AH$4000))</f>
        <v>0</v>
      </c>
    </row>
    <row r="38" spans="4:17" x14ac:dyDescent="0.25">
      <c r="D38" s="12">
        <v>81501</v>
      </c>
      <c r="E38" s="12" t="s">
        <v>73</v>
      </c>
      <c r="F38" s="12"/>
      <c r="I38" s="59" t="s">
        <v>12</v>
      </c>
      <c r="J38" s="60"/>
      <c r="K38" s="60"/>
      <c r="L38" s="61"/>
      <c r="M38" s="25">
        <f ca="1">IFERROR(VLOOKUP($M$30,$AA$1:$AP$4000,9,FALSE),0)</f>
        <v>0</v>
      </c>
      <c r="N38" s="25">
        <f ca="1">SUMPRODUCT((ROUNDUP(MONTH($AA$2:$AA$4000)/1,0)=ROUNDUP(MONTH($M$30)/1,0))*($AI$2:$AI$4000))</f>
        <v>0</v>
      </c>
      <c r="O38" s="25">
        <f ca="1">SUMPRODUCT((ROUNDUP(MONTH($AA$2:$AA$4000)/3,0)=ROUNDUP(MONTH($M$30)/3,0))*($AI$2:$AI$4000))</f>
        <v>0</v>
      </c>
      <c r="P38" s="25">
        <f ca="1">SUMPRODUCT((ROUNDUP(MONTH($AA$2:$AA$4000)/6,0)=ROUNDUP(MONTH($M$30)/6,0))*($AI$2:$AI$4000))</f>
        <v>0</v>
      </c>
      <c r="Q38" s="25">
        <f ca="1">SUMPRODUCT((ROUNDUP(MONTH($AA$2:$AA$4000)/12,0)=ROUNDUP(MONTH($M$30)/12,0))*($AI$2:$AI$4000))</f>
        <v>0</v>
      </c>
    </row>
    <row r="39" spans="4:17" x14ac:dyDescent="0.25">
      <c r="D39" s="12">
        <v>81502</v>
      </c>
      <c r="E39" s="12" t="s">
        <v>74</v>
      </c>
      <c r="F39" s="12"/>
      <c r="I39" s="53" t="s">
        <v>171</v>
      </c>
      <c r="J39" s="54"/>
      <c r="K39" s="54"/>
      <c r="L39" s="55"/>
      <c r="M39" s="26">
        <f ca="1">IFERROR(VLOOKUP($M$30,$AA$1:$AP$4000,10,FALSE),0)</f>
        <v>0</v>
      </c>
      <c r="N39" s="26">
        <f ca="1">SUMPRODUCT((ROUNDUP(MONTH($AA$2:$AA$4000)/1,0)=ROUNDUP(MONTH($M$30)/1,0))*($AJ$2:$AJ$4000))</f>
        <v>0</v>
      </c>
      <c r="O39" s="26">
        <f ca="1">SUMPRODUCT((ROUNDUP(MONTH($AA$2:$AA$4000)/3,0)=ROUNDUP(MONTH($M$30)/3,0))*($AJ$2:$AJ$4000))</f>
        <v>0</v>
      </c>
      <c r="P39" s="26">
        <f ca="1">SUMPRODUCT((ROUNDUP(MONTH($AA$2:$AA$4000)/6,0)=ROUNDUP(MONTH($M$30)/6,0))*($AJ$2:$AJ$4000))</f>
        <v>0</v>
      </c>
      <c r="Q39" s="26">
        <f ca="1">SUMPRODUCT((ROUNDUP(MONTH($AA$2:$AA$4000)/12,0)=ROUNDUP(MONTH($M$30)/12,0))*($AJ$2:$AJ$4000))</f>
        <v>0</v>
      </c>
    </row>
    <row r="40" spans="4:17" x14ac:dyDescent="0.25">
      <c r="D40" s="12">
        <v>81505</v>
      </c>
      <c r="E40" s="12" t="s">
        <v>75</v>
      </c>
      <c r="F40" s="12"/>
      <c r="I40" s="56" t="s">
        <v>13</v>
      </c>
      <c r="J40" s="57"/>
      <c r="K40" s="57"/>
      <c r="L40" s="58"/>
      <c r="M40" s="26">
        <f ca="1">IFERROR(VLOOKUP($M$30,$AA$1:$AP$4000,11,FALSE),0)</f>
        <v>0</v>
      </c>
      <c r="N40" s="26">
        <f ca="1">SUMPRODUCT((ROUNDUP(MONTH($AA$2:$AA$4000)/1,0)=ROUNDUP(MONTH($M$30)/1,0))*($AK$2:$AK$4000))</f>
        <v>0</v>
      </c>
      <c r="O40" s="26">
        <f ca="1">SUMPRODUCT((ROUNDUP(MONTH($AA$2:$AA$4000)/3,0)=ROUNDUP(MONTH($M$30)/3,0))*($AK$2:$AK$4000))</f>
        <v>0</v>
      </c>
      <c r="P40" s="26">
        <f ca="1">SUMPRODUCT((ROUNDUP(MONTH($AA$2:$AA$4000)/6,0)=ROUNDUP(MONTH($M$30)/6,0))*($AK$2:$AK$4000))</f>
        <v>0</v>
      </c>
      <c r="Q40" s="26">
        <f ca="1">SUMPRODUCT((ROUNDUP(MONTH($AA$2:$AA$4000)/12,0)=ROUNDUP(MONTH($M$30)/12,0))*($AK$2:$AK$4000))</f>
        <v>0</v>
      </c>
    </row>
    <row r="41" spans="4:17" x14ac:dyDescent="0.25">
      <c r="D41" s="12">
        <v>81506</v>
      </c>
      <c r="E41" s="12" t="s">
        <v>76</v>
      </c>
      <c r="F41" s="12"/>
      <c r="I41" s="56" t="s">
        <v>172</v>
      </c>
      <c r="J41" s="57"/>
      <c r="K41" s="57"/>
      <c r="L41" s="58"/>
      <c r="M41" s="26">
        <f ca="1">IFERROR(VLOOKUP($M$30,$AA$1:$AP$4000,12,FALSE),0)</f>
        <v>0</v>
      </c>
      <c r="N41" s="26">
        <f ca="1">SUMPRODUCT((ROUNDUP(MONTH($AA$2:$AA$4000)/1,0)=ROUNDUP(MONTH($M$30)/1,0))*($AL$2:$AL$4000))</f>
        <v>0</v>
      </c>
      <c r="O41" s="26">
        <f ca="1">SUMPRODUCT((ROUNDUP(MONTH($AA$2:$AA$4000)/3,0)=ROUNDUP(MONTH($M$30)/3,0))*($AL$2:$AL$4000))</f>
        <v>0</v>
      </c>
      <c r="P41" s="26">
        <f ca="1">SUMPRODUCT((ROUNDUP(MONTH($AA$2:$AA$4000)/6,0)=ROUNDUP(MONTH($M$30)/6,0))*($AL$2:$AL$4000))</f>
        <v>0</v>
      </c>
      <c r="Q41" s="26">
        <f ca="1">SUMPRODUCT((ROUNDUP(MONTH($AA$2:$AA$4000)/12,0)=ROUNDUP(MONTH($M$30)/12,0))*($AL$2:$AL$4000))</f>
        <v>0</v>
      </c>
    </row>
    <row r="42" spans="4:17" x14ac:dyDescent="0.25">
      <c r="D42" s="12">
        <v>81512</v>
      </c>
      <c r="E42" s="12" t="s">
        <v>77</v>
      </c>
      <c r="F42" s="12"/>
      <c r="I42" s="56" t="s">
        <v>173</v>
      </c>
      <c r="J42" s="57"/>
      <c r="K42" s="57"/>
      <c r="L42" s="58"/>
      <c r="M42" s="26">
        <f ca="1">IFERROR(VLOOKUP($M$30,$AA$1:$AP$4000,13,FALSE),0)</f>
        <v>0</v>
      </c>
      <c r="N42" s="26">
        <f ca="1">SUMPRODUCT((ROUNDUP(MONTH($AA$2:$AA$4000)/1,0)=ROUNDUP(MONTH($M$30)/1,0))*($AM$2:$AM$4000))</f>
        <v>0</v>
      </c>
      <c r="O42" s="26">
        <f ca="1">SUMPRODUCT((ROUNDUP(MONTH($AA$2:$AA$4000)/3,0)=ROUNDUP(MONTH($M$30)/3,0))*($AM$2:$AM$4000))</f>
        <v>0</v>
      </c>
      <c r="P42" s="26">
        <f ca="1">SUMPRODUCT((ROUNDUP(MONTH($AA$2:$AA$4000)/6,0)=ROUNDUP(MONTH($M$30)/6,0))*($AM$2:$AM$4000))</f>
        <v>0</v>
      </c>
      <c r="Q42" s="26">
        <f ca="1">SUMPRODUCT((ROUNDUP(MONTH($AA$2:$AA$4000)/12,0)=ROUNDUP(MONTH($M$30)/12,0))*($AM$2:$AM$4000))</f>
        <v>0</v>
      </c>
    </row>
    <row r="43" spans="4:17" x14ac:dyDescent="0.25">
      <c r="D43" s="12">
        <v>81513</v>
      </c>
      <c r="E43" s="12" t="s">
        <v>78</v>
      </c>
      <c r="F43" s="12"/>
      <c r="I43" s="56" t="s">
        <v>174</v>
      </c>
      <c r="J43" s="57"/>
      <c r="K43" s="57"/>
      <c r="L43" s="58"/>
      <c r="M43" s="26">
        <f ca="1">IFERROR(VLOOKUP($M$30,$AA$1:$AP$4000,14,FALSE),0)</f>
        <v>0</v>
      </c>
      <c r="N43" s="26">
        <f ca="1">SUMPRODUCT((ROUNDUP(MONTH($AA$2:$AA$4000)/1,0)=ROUNDUP(MONTH($M$30)/1,0))*($AN$2:$AN$4000))</f>
        <v>0</v>
      </c>
      <c r="O43" s="26">
        <f ca="1">SUMPRODUCT((ROUNDUP(MONTH($AA$2:$AA$4000)/3,0)=ROUNDUP(MONTH($M$30)/3,0))*($AN$2:$AN$4000))</f>
        <v>0</v>
      </c>
      <c r="P43" s="26">
        <f ca="1">SUMPRODUCT((ROUNDUP(MONTH($AA$2:$AA$4000)/6,0)=ROUNDUP(MONTH($M$30)/6,0))*($AN$2:$AN$4000))</f>
        <v>0</v>
      </c>
      <c r="Q43" s="26">
        <f ca="1">SUMPRODUCT((ROUNDUP(MONTH($AA$2:$AA$4000)/12,0)=ROUNDUP(MONTH($M$30)/12,0))*($AN$2:$AN$4000))</f>
        <v>0</v>
      </c>
    </row>
    <row r="44" spans="4:17" x14ac:dyDescent="0.25">
      <c r="D44" s="12">
        <v>81515</v>
      </c>
      <c r="E44" s="12" t="s">
        <v>79</v>
      </c>
      <c r="F44" s="12"/>
    </row>
    <row r="45" spans="4:17" x14ac:dyDescent="0.25">
      <c r="D45" s="12">
        <v>81524</v>
      </c>
      <c r="E45" s="12" t="s">
        <v>80</v>
      </c>
      <c r="F45" s="12"/>
      <c r="M45" s="27" t="s">
        <v>175</v>
      </c>
    </row>
    <row r="46" spans="4:17" ht="18.75" x14ac:dyDescent="0.25">
      <c r="D46" s="12">
        <v>81539</v>
      </c>
      <c r="E46" s="12" t="s">
        <v>81</v>
      </c>
      <c r="F46" s="12"/>
      <c r="M46" s="28" t="str">
        <f>Production!$A$2</f>
        <v>No Record Found</v>
      </c>
    </row>
    <row r="47" spans="4:17" x14ac:dyDescent="0.25">
      <c r="D47" s="12">
        <v>81547</v>
      </c>
      <c r="E47" s="12" t="s">
        <v>82</v>
      </c>
      <c r="F47" s="12"/>
    </row>
    <row r="48" spans="4:17" x14ac:dyDescent="0.25">
      <c r="D48" s="12">
        <v>81557</v>
      </c>
      <c r="E48" s="12" t="s">
        <v>83</v>
      </c>
      <c r="F48" s="12"/>
    </row>
    <row r="49" spans="4:6" x14ac:dyDescent="0.25">
      <c r="D49" s="12">
        <v>81558</v>
      </c>
      <c r="E49" s="12" t="s">
        <v>84</v>
      </c>
      <c r="F49" s="12"/>
    </row>
    <row r="50" spans="4:6" x14ac:dyDescent="0.25">
      <c r="D50" s="12">
        <v>81564</v>
      </c>
      <c r="E50" s="12" t="s">
        <v>85</v>
      </c>
      <c r="F50" s="12"/>
    </row>
    <row r="51" spans="4:6" x14ac:dyDescent="0.25">
      <c r="D51" s="12">
        <v>81565</v>
      </c>
      <c r="E51" s="12" t="s">
        <v>86</v>
      </c>
      <c r="F51" s="12"/>
    </row>
    <row r="52" spans="4:6" x14ac:dyDescent="0.25">
      <c r="D52" s="12">
        <v>81575</v>
      </c>
      <c r="E52" s="12" t="s">
        <v>87</v>
      </c>
      <c r="F52" s="12"/>
    </row>
    <row r="53" spans="4:6" x14ac:dyDescent="0.25">
      <c r="D53" s="12">
        <v>81575</v>
      </c>
      <c r="E53" s="12" t="s">
        <v>87</v>
      </c>
      <c r="F53" s="12"/>
    </row>
    <row r="54" spans="4:6" x14ac:dyDescent="0.25">
      <c r="D54" s="12">
        <v>81576</v>
      </c>
      <c r="E54" s="12" t="s">
        <v>88</v>
      </c>
      <c r="F54" s="12"/>
    </row>
    <row r="55" spans="4:6" x14ac:dyDescent="0.25">
      <c r="D55" s="12">
        <v>81584</v>
      </c>
      <c r="E55" s="12" t="s">
        <v>89</v>
      </c>
      <c r="F55" s="12"/>
    </row>
    <row r="56" spans="4:6" x14ac:dyDescent="0.25">
      <c r="D56" s="12">
        <v>81587</v>
      </c>
      <c r="E56" s="12" t="s">
        <v>90</v>
      </c>
      <c r="F56" s="12"/>
    </row>
    <row r="57" spans="4:6" x14ac:dyDescent="0.25">
      <c r="D57" s="12">
        <v>81588</v>
      </c>
      <c r="E57" s="12" t="s">
        <v>91</v>
      </c>
      <c r="F57" s="12"/>
    </row>
    <row r="58" spans="4:6" x14ac:dyDescent="0.25">
      <c r="D58" s="12">
        <v>81590</v>
      </c>
      <c r="E58" s="12" t="s">
        <v>92</v>
      </c>
      <c r="F58" s="12"/>
    </row>
    <row r="59" spans="4:6" x14ac:dyDescent="0.25">
      <c r="D59" s="12">
        <v>81591</v>
      </c>
      <c r="E59" s="12" t="s">
        <v>93</v>
      </c>
      <c r="F59" s="12"/>
    </row>
  </sheetData>
  <sortState ref="T20:V6705">
    <sortCondition ref="T19"/>
  </sortState>
  <mergeCells count="17">
    <mergeCell ref="I38:L38"/>
    <mergeCell ref="J14:K14"/>
    <mergeCell ref="N14:O14"/>
    <mergeCell ref="I29:L29"/>
    <mergeCell ref="I30:L30"/>
    <mergeCell ref="I31:L31"/>
    <mergeCell ref="I32:L32"/>
    <mergeCell ref="I33:L33"/>
    <mergeCell ref="I34:L34"/>
    <mergeCell ref="I35:L35"/>
    <mergeCell ref="I36:L36"/>
    <mergeCell ref="I37:L37"/>
    <mergeCell ref="I39:L39"/>
    <mergeCell ref="I40:L40"/>
    <mergeCell ref="I41:L41"/>
    <mergeCell ref="I42:L42"/>
    <mergeCell ref="I43:L4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27" sqref="F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</vt:lpstr>
      <vt:lpstr>Production</vt:lpstr>
      <vt:lpstr>Allocation</vt:lpstr>
      <vt:lpstr>Temp.</vt:lpstr>
      <vt:lpstr>eType</vt:lpstr>
      <vt:lpstr>pActivity</vt:lpstr>
      <vt:lpstr>pType</vt:lpstr>
      <vt:lpstr>UserMail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2018-02-07T09:36:15Z</dcterms:created>
  <dcterms:modified xsi:type="dcterms:W3CDTF">2018-11-20T12:31:27Z</dcterms:modified>
</cp:coreProperties>
</file>