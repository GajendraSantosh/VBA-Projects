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15" yWindow="-15" windowWidth="9615" windowHeight="11760"/>
  </bookViews>
  <sheets>
    <sheet name="Main" sheetId="5" r:id="rId1"/>
    <sheet name="Production" sheetId="1" r:id="rId2"/>
    <sheet name="Ref." sheetId="2" state="veryHidden" r:id="rId3"/>
    <sheet name="Temp." sheetId="3" state="hidden" r:id="rId4"/>
    <sheet name="Temp1" sheetId="6" r:id="rId5"/>
    <sheet name="Temp2" sheetId="7" r:id="rId6"/>
  </sheets>
  <definedNames>
    <definedName name="_xlnm._FilterDatabase" localSheetId="1" hidden="1">Production!$A$19:$AB$165</definedName>
    <definedName name="_xlnm._FilterDatabase" localSheetId="2" hidden="1">Ref.!$AZ$1:$BB$1</definedName>
    <definedName name="Efficency">OFFSET(Ref.!$AQ$1,1,0,COUNT(Ref.!$AQ:$AQ),1)</definedName>
    <definedName name="UserMail">Ref.!$BD$3:$BN$48</definedName>
    <definedName name="vStatus">Ref.!$AT$2:$AT$4</definedName>
    <definedName name="vUpdateType">Ref.!$AT$9:$AT$13</definedName>
  </definedNames>
  <calcPr calcId="144525"/>
</workbook>
</file>

<file path=xl/calcChain.xml><?xml version="1.0" encoding="utf-8"?>
<calcChain xmlns="http://schemas.openxmlformats.org/spreadsheetml/2006/main">
  <c r="A2" i="1" l="1"/>
  <c r="B2" i="1" s="1"/>
  <c r="BI30" i="2"/>
  <c r="B1" i="1"/>
  <c r="Z7" i="1" l="1"/>
  <c r="BI47" i="2"/>
  <c r="BI44" i="2"/>
  <c r="BM43" i="2"/>
  <c r="BL43" i="2"/>
  <c r="BK43" i="2"/>
  <c r="BJ43" i="2"/>
  <c r="BI43" i="2"/>
  <c r="BM42" i="2"/>
  <c r="BL42" i="2"/>
  <c r="BK42" i="2"/>
  <c r="BJ42" i="2"/>
  <c r="BI42" i="2"/>
  <c r="BM41" i="2"/>
  <c r="BL41" i="2"/>
  <c r="BK41" i="2"/>
  <c r="BJ41" i="2"/>
  <c r="BI41" i="2"/>
  <c r="BM40" i="2"/>
  <c r="BL40" i="2"/>
  <c r="BK40" i="2"/>
  <c r="BJ40" i="2"/>
  <c r="BI40" i="2"/>
  <c r="BM39" i="2"/>
  <c r="BL39" i="2"/>
  <c r="BK39" i="2"/>
  <c r="BJ39" i="2"/>
  <c r="BI39" i="2"/>
  <c r="BM38" i="2"/>
  <c r="BL38" i="2"/>
  <c r="BK38" i="2"/>
  <c r="BJ38" i="2"/>
  <c r="BI38" i="2"/>
  <c r="BM37" i="2"/>
  <c r="BL37" i="2"/>
  <c r="BK37" i="2"/>
  <c r="BJ37" i="2"/>
  <c r="BI37" i="2"/>
  <c r="BM36" i="2"/>
  <c r="BL36" i="2"/>
  <c r="BK36" i="2"/>
  <c r="BJ36" i="2"/>
  <c r="BI36" i="2"/>
  <c r="BM35" i="2"/>
  <c r="BL35" i="2"/>
  <c r="BK35" i="2"/>
  <c r="BJ35" i="2"/>
  <c r="BI35" i="2"/>
  <c r="BM34" i="2"/>
  <c r="BL34" i="2"/>
  <c r="BK34" i="2"/>
  <c r="BJ34" i="2"/>
  <c r="BI34" i="2"/>
  <c r="BM33" i="2"/>
  <c r="BL33" i="2"/>
  <c r="BK33" i="2"/>
  <c r="BJ33" i="2"/>
  <c r="BI33" i="2"/>
  <c r="BM32" i="2"/>
  <c r="BL32" i="2"/>
  <c r="BK32" i="2"/>
  <c r="BJ32" i="2"/>
  <c r="BI32" i="2"/>
  <c r="BM31" i="2"/>
  <c r="BL31" i="2"/>
  <c r="BK31" i="2"/>
  <c r="BJ31" i="2"/>
  <c r="BI31" i="2"/>
  <c r="BL30" i="2"/>
  <c r="BH14" i="2" l="1"/>
  <c r="BL14" i="2" s="1"/>
  <c r="BK30" i="2"/>
  <c r="BM30" i="2"/>
  <c r="BJ30" i="2"/>
  <c r="S3" i="1"/>
  <c r="S5" i="1"/>
  <c r="S4" i="1"/>
  <c r="S2" i="1"/>
  <c r="S7" i="1"/>
  <c r="S8" i="1"/>
  <c r="S6" i="1"/>
  <c r="Z6" i="1" l="1"/>
  <c r="Z3" i="1"/>
  <c r="Z5" i="1"/>
  <c r="Z4" i="1"/>
</calcChain>
</file>

<file path=xl/sharedStrings.xml><?xml version="1.0" encoding="utf-8"?>
<sst xmlns="http://schemas.openxmlformats.org/spreadsheetml/2006/main" count="245" uniqueCount="166">
  <si>
    <t>ProjectID</t>
  </si>
  <si>
    <t>Parent ProjectID</t>
  </si>
  <si>
    <t>Project Name</t>
  </si>
  <si>
    <t>Profile Type</t>
  </si>
  <si>
    <t>Project Value</t>
  </si>
  <si>
    <t>Value Range</t>
  </si>
  <si>
    <t>Project Status</t>
  </si>
  <si>
    <t>Stage</t>
  </si>
  <si>
    <t>End Year</t>
  </si>
  <si>
    <t>Const. Start Date</t>
  </si>
  <si>
    <t>Const. Quarter</t>
  </si>
  <si>
    <t>Country</t>
  </si>
  <si>
    <t>Published Date</t>
  </si>
  <si>
    <t>Age in days</t>
  </si>
  <si>
    <t>Age in Months</t>
  </si>
  <si>
    <t>NFU</t>
  </si>
  <si>
    <t>Planned Update Type</t>
  </si>
  <si>
    <t>Allocated To</t>
  </si>
  <si>
    <t>Priority</t>
  </si>
  <si>
    <t>Contact Opp.</t>
  </si>
  <si>
    <t>No of Sub Projects</t>
  </si>
  <si>
    <t>Status</t>
  </si>
  <si>
    <t>Updated Date</t>
  </si>
  <si>
    <t>Update Type</t>
  </si>
  <si>
    <t>No. of Contact Added</t>
  </si>
  <si>
    <t>No. of Unique Contacts</t>
  </si>
  <si>
    <t>No. of Contacts Validated</t>
  </si>
  <si>
    <t>Comments</t>
  </si>
  <si>
    <t>Execution</t>
  </si>
  <si>
    <t>Late Stage</t>
  </si>
  <si>
    <t>Q3 2018</t>
  </si>
  <si>
    <t>Quick Update</t>
  </si>
  <si>
    <t>Rajni Yadav</t>
  </si>
  <si>
    <t>WIP</t>
  </si>
  <si>
    <t>Comprehensive</t>
  </si>
  <si>
    <t>On Hold</t>
  </si>
  <si>
    <t>Comprehensive update</t>
  </si>
  <si>
    <t>Medium</t>
  </si>
  <si>
    <t>Quick</t>
  </si>
  <si>
    <t>Q2 2018</t>
  </si>
  <si>
    <t>Low</t>
  </si>
  <si>
    <t>Q4 2018</t>
  </si>
  <si>
    <t>High</t>
  </si>
  <si>
    <t>EPC Award</t>
  </si>
  <si>
    <t>Mid Stage</t>
  </si>
  <si>
    <t>Q1 2018</t>
  </si>
  <si>
    <t>Planning</t>
  </si>
  <si>
    <t>Critical</t>
  </si>
  <si>
    <t>Tender</t>
  </si>
  <si>
    <t>Design</t>
  </si>
  <si>
    <t>Study</t>
  </si>
  <si>
    <t>Pre-Tender</t>
  </si>
  <si>
    <t>Pre-Design</t>
  </si>
  <si>
    <t>Announced</t>
  </si>
  <si>
    <t>Date</t>
  </si>
  <si>
    <t>date</t>
  </si>
  <si>
    <t>Done</t>
  </si>
  <si>
    <t>CIC</t>
  </si>
  <si>
    <t>Demo</t>
  </si>
  <si>
    <t>CIC Update</t>
  </si>
  <si>
    <t>Demo Update</t>
  </si>
  <si>
    <t>Emp ID</t>
  </si>
  <si>
    <t>Emp Name</t>
  </si>
  <si>
    <t>New Projects</t>
  </si>
  <si>
    <t>CIC Updates</t>
  </si>
  <si>
    <t>Demo Updates</t>
  </si>
  <si>
    <t>Unique Key Contact added</t>
  </si>
  <si>
    <t>Unique Key Contact Validated</t>
  </si>
  <si>
    <t>Others Activities</t>
  </si>
  <si>
    <t>CIC/Demo search (Min.)</t>
  </si>
  <si>
    <t>CIC/Demo Custom works  (Min.)</t>
  </si>
  <si>
    <t>Primary Support for Others  (Min.)</t>
  </si>
  <si>
    <t>Team Meetings  (Min.)</t>
  </si>
  <si>
    <t>Others  (Min.)</t>
  </si>
  <si>
    <t>New Project</t>
  </si>
  <si>
    <t>Comp Update</t>
  </si>
  <si>
    <t>Total</t>
  </si>
  <si>
    <t>Efficency</t>
  </si>
  <si>
    <t>Production Status</t>
  </si>
  <si>
    <t>Today</t>
  </si>
  <si>
    <t>Month</t>
  </si>
  <si>
    <t>Quarter</t>
  </si>
  <si>
    <t>Half Year</t>
  </si>
  <si>
    <t>This Year</t>
  </si>
  <si>
    <t>Timeline</t>
  </si>
  <si>
    <t>Others Activities (Total Min.)</t>
  </si>
  <si>
    <t>Working Hours</t>
  </si>
  <si>
    <t>Production</t>
  </si>
  <si>
    <t>Minutes</t>
  </si>
  <si>
    <t>Mail Date</t>
  </si>
  <si>
    <t>Regards</t>
  </si>
  <si>
    <t>Total Projects</t>
  </si>
  <si>
    <t>QUARTERS</t>
  </si>
  <si>
    <t>Need to discuss with QC</t>
  </si>
  <si>
    <t>No Further Update</t>
  </si>
  <si>
    <t>Others</t>
  </si>
  <si>
    <t>Activity</t>
  </si>
  <si>
    <t>CIC/Demo search minutes</t>
  </si>
  <si>
    <t>CIC/Demo Custom export/works</t>
  </si>
  <si>
    <t>Primary Support for other teams</t>
  </si>
  <si>
    <t>Team meetings</t>
  </si>
  <si>
    <t>ID</t>
  </si>
  <si>
    <t>NAME</t>
  </si>
  <si>
    <t>EmailId</t>
  </si>
  <si>
    <t>Anjan Kumar Ghosh</t>
  </si>
  <si>
    <t>anjan.ghosh@digitalinsightresearch.in</t>
  </si>
  <si>
    <t>Sanjib Bahadur</t>
  </si>
  <si>
    <t>sanjib.bahadur@digitalinsightresearch.in</t>
  </si>
  <si>
    <t>Ratnesh Kumar</t>
  </si>
  <si>
    <t>ratnesh.k@digitalinsightresearch.in</t>
  </si>
  <si>
    <t>Vidhu Shekhar</t>
  </si>
  <si>
    <t>shekhar.v@digitalinsightresearch.in</t>
  </si>
  <si>
    <t>Gowlikar Shamlal</t>
  </si>
  <si>
    <t>shyamlal.g@digitalinsightresearch.in</t>
  </si>
  <si>
    <t>Yarlagadda Rama Krishna Chowdary</t>
  </si>
  <si>
    <t>ramakrishna.y@digitalinsightresearch.in</t>
  </si>
  <si>
    <t>Suraj Kumar</t>
  </si>
  <si>
    <t>suraj.k@digitalinsightresearch.in</t>
  </si>
  <si>
    <t>Oindrila Sar</t>
  </si>
  <si>
    <t>oindrila.s@digitalinsightresearch.in</t>
  </si>
  <si>
    <t>Prathamesh Akotker</t>
  </si>
  <si>
    <t>prathamesh.akotker@digitalinsightresearch.in</t>
  </si>
  <si>
    <t>Khalid Mustafa</t>
  </si>
  <si>
    <t>mustafa.khalid@digitalinsightresearch.in</t>
  </si>
  <si>
    <t>Sudhanshu Shekhar</t>
  </si>
  <si>
    <t>s.shekhar@digitalinsightresearch.in</t>
  </si>
  <si>
    <t>Himanshu kumar</t>
  </si>
  <si>
    <t>h.kumar@digitalinsightresearch.in</t>
  </si>
  <si>
    <t>P</t>
  </si>
  <si>
    <t>Q</t>
  </si>
  <si>
    <t>Navein Prakash</t>
  </si>
  <si>
    <t>p.navein@digitalinsightresearch.in</t>
  </si>
  <si>
    <t>r.yadav@digitalinsightresearch.in</t>
  </si>
  <si>
    <t>"Yes"</t>
  </si>
  <si>
    <t>Ratnesh Raj</t>
  </si>
  <si>
    <t>rraj@digitalinsightresearch.in</t>
  </si>
  <si>
    <t>Shekhar Siddharth</t>
  </si>
  <si>
    <t>ssiddharth@digitalinsightresearch.in</t>
  </si>
  <si>
    <t>Columns</t>
  </si>
  <si>
    <t>Formulas</t>
  </si>
  <si>
    <t>Alla Bhanu Prasad</t>
  </si>
  <si>
    <t>abprasad@digitalinsightresearch.in</t>
  </si>
  <si>
    <t xml:space="preserve"> =TODAY()-M20</t>
  </si>
  <si>
    <t>Amit Kumar</t>
  </si>
  <si>
    <t>akumar@digitalinsightresearch.in</t>
  </si>
  <si>
    <t xml:space="preserve"> =ROUNDUP(N20/30,0)</t>
  </si>
  <si>
    <t>Asha kumari</t>
  </si>
  <si>
    <t>akumari@digitalinsightresearch.in</t>
  </si>
  <si>
    <t xml:space="preserve"> =IF($D20="Parent",IF(COUNTIF($B:$B,$B20)&gt;1,COUNTIF($B:$B,$B20)-1,""),"")</t>
  </si>
  <si>
    <t>Lingoji Wamanrao Jadhav</t>
  </si>
  <si>
    <t>ljadhav@digitalinsightresearch.in</t>
  </si>
  <si>
    <t>Guddu Kumar Das</t>
  </si>
  <si>
    <t>gdas@digitalinsightresearch.in</t>
  </si>
  <si>
    <t>Early Stage</t>
  </si>
  <si>
    <t>IN ORDER TO RUN THIS FILE 
You must enable macros in Excel from the Message Bar</t>
  </si>
  <si>
    <r>
      <t>If you open an Excel document that contains macros, you'll see the yellow </t>
    </r>
    <r>
      <rPr>
        <i/>
        <sz val="15.4"/>
        <color rgb="FF000000"/>
        <rFont val="Arial"/>
        <family val="2"/>
      </rPr>
      <t>Message Bar</t>
    </r>
    <r>
      <rPr>
        <sz val="15.4"/>
        <color rgb="FF000000"/>
        <rFont val="Arial"/>
        <family val="2"/>
      </rPr>
      <t> with a shield icon and the </t>
    </r>
    <r>
      <rPr>
        <i/>
        <sz val="15.4"/>
        <color rgb="FF000000"/>
        <rFont val="Arial"/>
        <family val="2"/>
      </rPr>
      <t>Enable Content</t>
    </r>
    <r>
      <rPr>
        <sz val="15.4"/>
        <color rgb="FF000000"/>
        <rFont val="Arial"/>
        <family val="2"/>
      </rPr>
      <t> button.</t>
    </r>
  </si>
  <si>
    <r>
      <t>If you are sure, the macros are from a trustworthy source, just press the </t>
    </r>
    <r>
      <rPr>
        <i/>
        <sz val="15.4"/>
        <color rgb="FF000000"/>
        <rFont val="Arial"/>
        <family val="2"/>
      </rPr>
      <t>Enable Content</t>
    </r>
    <r>
      <rPr>
        <sz val="15.4"/>
        <color rgb="FF000000"/>
        <rFont val="Arial"/>
        <family val="2"/>
      </rPr>
      <t> button on the bar.</t>
    </r>
  </si>
  <si>
    <t>The file will be opened as a trusted document and the security warning will disappear.</t>
  </si>
  <si>
    <t>Yerra Prabhu Kumar</t>
  </si>
  <si>
    <t>p.yerra@digitalinsightresearch.in</t>
  </si>
  <si>
    <t>Deepak Kumar</t>
  </si>
  <si>
    <t>dkumar@digitalinsightresearch.in</t>
  </si>
  <si>
    <t>Ankit Bhardwaj</t>
  </si>
  <si>
    <t>abhardwaj@digitalinsightresearch.in</t>
  </si>
  <si>
    <t>Naveen Singh</t>
  </si>
  <si>
    <t>nsingh@digitalinsightresearch.in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</si>
</sst>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m"/>
    <numFmt numFmtId="165" formatCode="yyyy"/>
  </numFmts>
  <fonts count="17" x14ac:knownFonts="1">
    <font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29.7"/>
      <color rgb="FF000000"/>
      <name val="Arial"/>
      <family val="2"/>
    </font>
    <font>
      <sz val="15.4"/>
      <color rgb="FF000000"/>
      <name val="Arial"/>
      <family val="2"/>
    </font>
    <font>
      <i/>
      <sz val="15.4"/>
      <color rgb="FF000000"/>
      <name val="Arial"/>
      <family val="2"/>
    </font>
    <font>
      <sz val="11"/>
      <color theme="7" tint="0.79998168889431442"/>
      <name val="Calibri"/>
      <family val="2"/>
      <scheme val="minor"/>
    </font>
    <font>
      <b/>
      <sz val="9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8F9C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E1BF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8">
    <xf numFmtId="0" fontId="0" fillId="0" borderId="0" xfId="0"/>
    <xf numFmtId="14" fontId="0" fillId="0" borderId="0" xfId="0" applyNumberFormat="1"/>
    <xf numFmtId="0" fontId="0" fillId="3" borderId="0" xfId="0" applyFill="1"/>
    <xf numFmtId="0" fontId="4" fillId="2" borderId="0" xfId="0" applyFont="1" applyFill="1"/>
    <xf numFmtId="0" fontId="0" fillId="0" borderId="2" xfId="0" applyBorder="1"/>
    <xf numFmtId="0" fontId="0" fillId="7" borderId="3" xfId="0" applyFill="1" applyBorder="1"/>
    <xf numFmtId="0" fontId="0" fillId="4" borderId="3" xfId="0" applyFill="1" applyBorder="1"/>
    <xf numFmtId="0" fontId="0" fillId="6" borderId="3" xfId="0" applyFill="1" applyBorder="1"/>
    <xf numFmtId="0" fontId="0" fillId="6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4" borderId="4" xfId="0" applyFill="1" applyBorder="1"/>
    <xf numFmtId="0" fontId="0" fillId="5" borderId="7" xfId="0" applyFill="1" applyBorder="1"/>
    <xf numFmtId="0" fontId="4" fillId="8" borderId="0" xfId="0" applyFont="1" applyFill="1"/>
    <xf numFmtId="0" fontId="2" fillId="2" borderId="2" xfId="0" applyFont="1" applyFill="1" applyBorder="1"/>
    <xf numFmtId="14" fontId="3" fillId="5" borderId="2" xfId="0" applyNumberFormat="1" applyFont="1" applyFill="1" applyBorder="1" applyAlignment="1">
      <alignment horizontal="center"/>
    </xf>
    <xf numFmtId="164" fontId="3" fillId="5" borderId="2" xfId="0" applyNumberFormat="1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165" fontId="3" fillId="5" borderId="2" xfId="0" applyNumberFormat="1" applyFont="1" applyFill="1" applyBorder="1" applyAlignment="1">
      <alignment horizontal="center"/>
    </xf>
    <xf numFmtId="0" fontId="0" fillId="9" borderId="2" xfId="0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5" fillId="11" borderId="2" xfId="0" applyFont="1" applyFill="1" applyBorder="1" applyAlignment="1">
      <alignment horizontal="center" vertical="center"/>
    </xf>
    <xf numFmtId="2" fontId="5" fillId="7" borderId="2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4" fontId="0" fillId="5" borderId="2" xfId="0" applyNumberFormat="1" applyFont="1" applyFill="1" applyBorder="1"/>
    <xf numFmtId="0" fontId="3" fillId="0" borderId="0" xfId="0" applyFon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 applyProtection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5" borderId="2" xfId="0" applyFill="1" applyBorder="1" applyAlignment="1" applyProtection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14" fontId="8" fillId="2" borderId="2" xfId="0" applyNumberFormat="1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16" borderId="2" xfId="0" applyFont="1" applyFill="1" applyBorder="1" applyAlignment="1">
      <alignment horizontal="left" vertical="center"/>
    </xf>
    <xf numFmtId="0" fontId="7" fillId="5" borderId="2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/>
    </xf>
    <xf numFmtId="0" fontId="7" fillId="17" borderId="2" xfId="0" applyFont="1" applyFill="1" applyBorder="1" applyAlignment="1">
      <alignment horizontal="left" vertical="center"/>
    </xf>
    <xf numFmtId="0" fontId="7" fillId="3" borderId="2" xfId="0" applyFont="1" applyFill="1" applyBorder="1" applyAlignment="1">
      <alignment horizontal="left" vertical="center"/>
    </xf>
    <xf numFmtId="0" fontId="7" fillId="18" borderId="2" xfId="0" applyFont="1" applyFill="1" applyBorder="1" applyAlignment="1">
      <alignment horizontal="left" vertical="center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14" fontId="0" fillId="0" borderId="2" xfId="0" applyNumberForma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/>
    <xf numFmtId="0" fontId="0" fillId="0" borderId="3" xfId="0" applyBorder="1"/>
    <xf numFmtId="0" fontId="0" fillId="0" borderId="4" xfId="0" applyBorder="1"/>
    <xf numFmtId="0" fontId="0" fillId="0" borderId="3" xfId="0" applyFill="1" applyBorder="1"/>
    <xf numFmtId="0" fontId="0" fillId="0" borderId="4" xfId="0" applyFill="1" applyBorder="1"/>
    <xf numFmtId="0" fontId="0" fillId="0" borderId="0" xfId="0" applyFill="1"/>
    <xf numFmtId="0" fontId="0" fillId="0" borderId="1" xfId="0" applyFill="1" applyBorder="1"/>
    <xf numFmtId="0" fontId="0" fillId="0" borderId="1" xfId="0" applyBorder="1"/>
    <xf numFmtId="0" fontId="9" fillId="20" borderId="2" xfId="0" applyFont="1" applyFill="1" applyBorder="1"/>
    <xf numFmtId="0" fontId="0" fillId="0" borderId="2" xfId="0" applyBorder="1" applyAlignment="1">
      <alignment vertical="center"/>
    </xf>
    <xf numFmtId="0" fontId="10" fillId="0" borderId="2" xfId="0" applyFont="1" applyBorder="1"/>
    <xf numFmtId="0" fontId="10" fillId="0" borderId="0" xfId="0" applyFont="1" applyFill="1" applyBorder="1"/>
    <xf numFmtId="14" fontId="2" fillId="2" borderId="2" xfId="0" applyNumberFormat="1" applyFont="1" applyFill="1" applyBorder="1"/>
    <xf numFmtId="14" fontId="2" fillId="2" borderId="2" xfId="0" applyNumberFormat="1" applyFont="1" applyFill="1" applyBorder="1" applyProtection="1"/>
    <xf numFmtId="0" fontId="0" fillId="0" borderId="2" xfId="0" applyBorder="1" applyAlignment="1">
      <alignment horizontal="fill"/>
    </xf>
    <xf numFmtId="0" fontId="10" fillId="0" borderId="2" xfId="0" applyFont="1" applyBorder="1" applyAlignment="1">
      <alignment horizontal="fill"/>
    </xf>
    <xf numFmtId="0" fontId="0" fillId="0" borderId="2" xfId="0" applyBorder="1" applyAlignment="1">
      <alignment horizontal="fill" vertical="center"/>
    </xf>
    <xf numFmtId="0" fontId="1" fillId="2" borderId="2" xfId="0" applyFont="1" applyFill="1" applyBorder="1" applyAlignment="1">
      <alignment horizontal="center" vertical="center" wrapText="1"/>
    </xf>
    <xf numFmtId="14" fontId="1" fillId="2" borderId="2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wrapText="1"/>
    </xf>
    <xf numFmtId="0" fontId="12" fillId="0" borderId="0" xfId="0" applyFont="1" applyAlignment="1">
      <alignment vertical="center"/>
    </xf>
    <xf numFmtId="0" fontId="6" fillId="7" borderId="11" xfId="0" applyFont="1" applyFill="1" applyBorder="1"/>
    <xf numFmtId="0" fontId="14" fillId="4" borderId="3" xfId="0" applyFont="1" applyFill="1" applyBorder="1" applyAlignment="1">
      <alignment horizontal="fill" vertical="center"/>
    </xf>
    <xf numFmtId="0" fontId="6" fillId="7" borderId="12" xfId="0" applyFont="1" applyFill="1" applyBorder="1" applyAlignment="1">
      <alignment horizontal="fill"/>
    </xf>
    <xf numFmtId="0" fontId="0" fillId="7" borderId="12" xfId="0" applyFill="1" applyBorder="1"/>
    <xf numFmtId="0" fontId="14" fillId="4" borderId="1" xfId="0" applyFont="1" applyFill="1" applyBorder="1" applyAlignment="1">
      <alignment horizontal="fill"/>
    </xf>
    <xf numFmtId="0" fontId="15" fillId="7" borderId="2" xfId="0" applyFont="1" applyFill="1" applyBorder="1" applyAlignment="1">
      <alignment horizontal="left" vertical="center"/>
    </xf>
    <xf numFmtId="14" fontId="15" fillId="7" borderId="2" xfId="0" applyNumberFormat="1" applyFont="1" applyFill="1" applyBorder="1" applyAlignment="1" applyProtection="1">
      <alignment horizontal="center"/>
      <protection locked="0"/>
    </xf>
    <xf numFmtId="0" fontId="7" fillId="16" borderId="2" xfId="0" applyFont="1" applyFill="1" applyBorder="1" applyAlignment="1">
      <alignment horizontal="center" vertical="center"/>
    </xf>
    <xf numFmtId="0" fontId="7" fillId="17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0" fillId="0" borderId="0" xfId="0" applyProtection="1"/>
    <xf numFmtId="14" fontId="4" fillId="2" borderId="0" xfId="0" applyNumberFormat="1" applyFont="1" applyFill="1"/>
    <xf numFmtId="0" fontId="0" fillId="21" borderId="0" xfId="0" applyFill="1"/>
    <xf numFmtId="0" fontId="0" fillId="7" borderId="0" xfId="0" applyFill="1"/>
    <xf numFmtId="0" fontId="16" fillId="10" borderId="2" xfId="0" applyFont="1" applyFill="1" applyBorder="1"/>
    <xf numFmtId="0" fontId="11" fillId="0" borderId="0" xfId="0" applyFont="1" applyAlignment="1">
      <alignment vertical="center" wrapText="1"/>
    </xf>
    <xf numFmtId="0" fontId="2" fillId="19" borderId="2" xfId="0" applyFont="1" applyFill="1" applyBorder="1" applyAlignment="1">
      <alignment horizontal="center"/>
    </xf>
    <xf numFmtId="0" fontId="3" fillId="10" borderId="8" xfId="0" applyFont="1" applyFill="1" applyBorder="1" applyAlignment="1"/>
    <xf numFmtId="0" fontId="3" fillId="10" borderId="9" xfId="0" applyFont="1" applyFill="1" applyBorder="1" applyAlignment="1"/>
    <xf numFmtId="0" fontId="3" fillId="10" borderId="10" xfId="0" applyFont="1" applyFill="1" applyBorder="1" applyAlignment="1"/>
    <xf numFmtId="0" fontId="0" fillId="10" borderId="8" xfId="0" applyFill="1" applyBorder="1" applyAlignment="1">
      <alignment horizontal="left" indent="3"/>
    </xf>
    <xf numFmtId="0" fontId="0" fillId="10" borderId="9" xfId="0" applyFill="1" applyBorder="1" applyAlignment="1">
      <alignment horizontal="left" indent="3"/>
    </xf>
    <xf numFmtId="0" fontId="0" fillId="10" borderId="10" xfId="0" applyFill="1" applyBorder="1" applyAlignment="1">
      <alignment horizontal="left" indent="3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3" fillId="5" borderId="8" xfId="0" applyFont="1" applyFill="1" applyBorder="1"/>
    <xf numFmtId="0" fontId="3" fillId="5" borderId="9" xfId="0" applyFont="1" applyFill="1" applyBorder="1"/>
    <xf numFmtId="0" fontId="3" fillId="5" borderId="10" xfId="0" applyFont="1" applyFill="1" applyBorder="1"/>
    <xf numFmtId="0" fontId="0" fillId="9" borderId="8" xfId="0" applyFill="1" applyBorder="1" applyAlignment="1"/>
    <xf numFmtId="0" fontId="0" fillId="9" borderId="9" xfId="0" applyFill="1" applyBorder="1" applyAlignment="1"/>
    <xf numFmtId="0" fontId="0" fillId="9" borderId="10" xfId="0" applyFill="1" applyBorder="1" applyAlignment="1"/>
    <xf numFmtId="0" fontId="5" fillId="11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0" fillId="10" borderId="8" xfId="0" applyFill="1" applyBorder="1" applyAlignment="1">
      <alignment horizontal="left"/>
    </xf>
    <xf numFmtId="0" fontId="0" fillId="10" borderId="9" xfId="0" applyFill="1" applyBorder="1" applyAlignment="1">
      <alignment horizontal="left"/>
    </xf>
    <xf numFmtId="0" fontId="0" fillId="10" borderId="10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Production!$Z$2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dPt>
          <c:dPt>
            <c:idx val="1"/>
            <c:invertIfNegative val="0"/>
            <c:bubble3D val="0"/>
            <c:spPr>
              <a:solidFill>
                <a:srgbClr val="FF6666"/>
              </a:solidFill>
              <a:ln>
                <a:solidFill>
                  <a:schemeClr val="tx1"/>
                </a:solidFill>
              </a:ln>
            </c:spPr>
          </c:dPt>
          <c:dPt>
            <c:idx val="2"/>
            <c:invertIfNegative val="0"/>
            <c:bubble3D val="0"/>
            <c:spPr>
              <a:solidFill>
                <a:srgbClr val="FF6600"/>
              </a:solidFill>
              <a:ln>
                <a:solidFill>
                  <a:schemeClr val="tx1"/>
                </a:solidFill>
              </a:ln>
            </c:spPr>
          </c:dPt>
          <c:dPt>
            <c:idx val="3"/>
            <c:invertIfNegative val="0"/>
            <c:bubble3D val="0"/>
            <c:spPr>
              <a:solidFill>
                <a:srgbClr val="99CCFF"/>
              </a:solidFill>
              <a:ln>
                <a:solidFill>
                  <a:schemeClr val="tx1"/>
                </a:solidFill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1"/>
                </a:solidFill>
              </a:ln>
            </c:spPr>
          </c:dPt>
          <c:dLbls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Lit>
              <c:ptCount val="5"/>
              <c:pt idx="0">
                <c:v>Critical</c:v>
              </c:pt>
              <c:pt idx="1">
                <c:v>High</c:v>
              </c:pt>
              <c:pt idx="2">
                <c:v>Medium</c:v>
              </c:pt>
              <c:pt idx="3">
                <c:v>Low</c:v>
              </c:pt>
              <c:pt idx="4">
                <c:v>Total Projects</c:v>
              </c:pt>
            </c:strLit>
          </c:cat>
          <c:val>
            <c:numRef>
              <c:f>Production!$Z$3:$Z$7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960000"/>
        <c:axId val="52622848"/>
      </c:barChart>
      <c:catAx>
        <c:axId val="4096000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900" b="1"/>
            </a:pPr>
            <a:endParaRPr lang="en-US"/>
          </a:p>
        </c:txPr>
        <c:crossAx val="52622848"/>
        <c:crosses val="autoZero"/>
        <c:auto val="1"/>
        <c:lblAlgn val="ctr"/>
        <c:lblOffset val="100"/>
        <c:noMultiLvlLbl val="0"/>
      </c:catAx>
      <c:valAx>
        <c:axId val="5262284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0960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833" l="0.70000000000000062" r="0.70000000000000062" t="0.75000000000000833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128487780953068E-2"/>
          <c:y val="6.5315166009698972E-2"/>
          <c:w val="0.90633082878999849"/>
          <c:h val="0.87476649175858934"/>
        </c:manualLayout>
      </c:layout>
      <c:lineChart>
        <c:grouping val="standard"/>
        <c:varyColors val="0"/>
        <c:ser>
          <c:idx val="0"/>
          <c:order val="0"/>
          <c:tx>
            <c:strRef>
              <c:f>'Ref.'!$T$1</c:f>
              <c:strCache>
                <c:ptCount val="1"/>
                <c:pt idx="0">
                  <c:v>Date</c:v>
                </c:pt>
              </c:strCache>
            </c:strRef>
          </c:tx>
          <c:marker>
            <c:symbol val="none"/>
          </c:marker>
          <c:dLbls>
            <c:delete val="1"/>
          </c:dLbls>
          <c:val>
            <c:numRef>
              <c:f>[0]!Efficency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252544"/>
        <c:axId val="82254848"/>
      </c:lineChart>
      <c:catAx>
        <c:axId val="82252544"/>
        <c:scaling>
          <c:orientation val="minMax"/>
        </c:scaling>
        <c:delete val="1"/>
        <c:axPos val="b"/>
        <c:majorTickMark val="out"/>
        <c:minorTickMark val="none"/>
        <c:tickLblPos val="none"/>
        <c:crossAx val="82254848"/>
        <c:crosses val="autoZero"/>
        <c:auto val="1"/>
        <c:lblAlgn val="ctr"/>
        <c:lblOffset val="100"/>
        <c:noMultiLvlLbl val="0"/>
      </c:catAx>
      <c:valAx>
        <c:axId val="82254848"/>
        <c:scaling>
          <c:orientation val="minMax"/>
          <c:max val="10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82252544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jpeg"/><Relationship Id="rId5" Type="http://schemas.openxmlformats.org/officeDocument/2006/relationships/image" Target="../media/image10.png"/><Relationship Id="rId4" Type="http://schemas.openxmlformats.org/officeDocument/2006/relationships/image" Target="../media/image9.png"/><Relationship Id="rId9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jpe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180975</xdr:colOff>
      <xdr:row>19</xdr:row>
      <xdr:rowOff>85725</xdr:rowOff>
    </xdr:from>
    <xdr:to>
      <xdr:col>14</xdr:col>
      <xdr:colOff>257175</xdr:colOff>
      <xdr:row>26</xdr:row>
      <xdr:rowOff>190500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3228975" y="4657725"/>
          <a:ext cx="5562600" cy="1905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85725</xdr:colOff>
      <xdr:row>27</xdr:row>
      <xdr:rowOff>180975</xdr:rowOff>
    </xdr:from>
    <xdr:to>
      <xdr:col>13</xdr:col>
      <xdr:colOff>390525</xdr:colOff>
      <xdr:row>49</xdr:row>
      <xdr:rowOff>38100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3743325" y="6810375"/>
          <a:ext cx="4572000" cy="4114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495300</xdr:colOff>
      <xdr:row>0</xdr:row>
      <xdr:rowOff>76200</xdr:rowOff>
    </xdr:from>
    <xdr:to>
      <xdr:col>19</xdr:col>
      <xdr:colOff>85726</xdr:colOff>
      <xdr:row>14</xdr:row>
      <xdr:rowOff>76200</xdr:rowOff>
    </xdr:to>
    <xdr:grpSp>
      <xdr:nvGrpSpPr>
        <xdr:cNvPr id="4" name="Group 3"/>
        <xdr:cNvGrpSpPr/>
      </xdr:nvGrpSpPr>
      <xdr:grpSpPr>
        <a:xfrm>
          <a:off x="1104900" y="76200"/>
          <a:ext cx="10563226" cy="2667000"/>
          <a:chOff x="1933574" y="57150"/>
          <a:chExt cx="10563226" cy="2667000"/>
        </a:xfrm>
      </xdr:grpSpPr>
      <xdr:pic>
        <xdr:nvPicPr>
          <xdr:cNvPr id="5" name="Picture 4" descr="main(32).jpg"/>
          <xdr:cNvPicPr>
            <a:picLocks noChangeAspect="1"/>
          </xdr:cNvPicPr>
        </xdr:nvPicPr>
        <xdr:blipFill>
          <a:blip xmlns:r="http://schemas.openxmlformats.org/officeDocument/2006/relationships" r:embed="rId3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>
            <a:fillRect/>
          </a:stretch>
        </xdr:blipFill>
        <xdr:spPr>
          <a:xfrm>
            <a:off x="1933574" y="57150"/>
            <a:ext cx="10563226" cy="2667000"/>
          </a:xfrm>
          <a:prstGeom prst="rect">
            <a:avLst/>
          </a:prstGeom>
        </xdr:spPr>
      </xdr:pic>
      <xdr:grpSp>
        <xdr:nvGrpSpPr>
          <xdr:cNvPr id="6" name="Group 8"/>
          <xdr:cNvGrpSpPr/>
        </xdr:nvGrpSpPr>
        <xdr:grpSpPr>
          <a:xfrm>
            <a:off x="6819899" y="171450"/>
            <a:ext cx="5581650" cy="819150"/>
            <a:chOff x="6819899" y="171450"/>
            <a:chExt cx="5581650" cy="819150"/>
          </a:xfrm>
        </xdr:grpSpPr>
        <xdr:sp macro="" textlink="">
          <xdr:nvSpPr>
            <xdr:cNvPr id="7" name="Rectangle 3"/>
            <xdr:cNvSpPr/>
          </xdr:nvSpPr>
          <xdr:spPr>
            <a:xfrm>
              <a:off x="6819899" y="171450"/>
              <a:ext cx="5581650" cy="81915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/>
            </a:p>
          </xdr:txBody>
        </xdr:sp>
        <xdr:pic>
          <xdr:nvPicPr>
            <xdr:cNvPr id="8" name="Picture 7" descr="Construction_IC_Logo_800.png"/>
            <xdr:cNvPicPr>
              <a:picLocks noChangeAspect="1"/>
            </xdr:cNvPicPr>
          </xdr:nvPicPr>
          <xdr:blipFill>
            <a:blip xmlns:r="http://schemas.openxmlformats.org/officeDocument/2006/relationships" r:embed="rId4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6838949" y="200026"/>
              <a:ext cx="3552825" cy="768298"/>
            </a:xfrm>
            <a:prstGeom prst="rect">
              <a:avLst/>
            </a:prstGeom>
          </xdr:spPr>
        </xdr:pic>
        <xdr:pic>
          <xdr:nvPicPr>
            <xdr:cNvPr id="9" name="Picture 8" descr="timetric_logo_footer.png"/>
            <xdr:cNvPicPr>
              <a:picLocks noChangeAspect="1"/>
            </xdr:cNvPicPr>
          </xdr:nvPicPr>
          <xdr:blipFill>
            <a:blip xmlns:r="http://schemas.openxmlformats.org/officeDocument/2006/relationships" r:embed="rId5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10925174" y="600075"/>
              <a:ext cx="1174990" cy="254817"/>
            </a:xfrm>
            <a:prstGeom prst="rect">
              <a:avLst/>
            </a:prstGeom>
          </xdr:spPr>
        </xdr:pic>
        <xdr:sp macro="" textlink="">
          <xdr:nvSpPr>
            <xdr:cNvPr id="10" name="TextBox 9"/>
            <xdr:cNvSpPr txBox="1"/>
          </xdr:nvSpPr>
          <xdr:spPr>
            <a:xfrm>
              <a:off x="11077574" y="285750"/>
              <a:ext cx="895349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square" rtlCol="0" anchor="t">
              <a:noAutofit/>
            </a:bodyPr>
            <a:lstStyle/>
            <a:p>
              <a:r>
                <a:rPr lang="en-US" sz="1100" b="1"/>
                <a:t>Powered</a:t>
              </a:r>
              <a:r>
                <a:rPr lang="en-US" sz="1100" b="1" baseline="0"/>
                <a:t> By</a:t>
              </a:r>
              <a:endParaRPr lang="en-US" sz="1100" b="1"/>
            </a:p>
          </xdr:txBody>
        </xdr:sp>
        <xdr:cxnSp macro="">
          <xdr:nvCxnSpPr>
            <xdr:cNvPr id="11" name="Straight Connector 10"/>
            <xdr:cNvCxnSpPr/>
          </xdr:nvCxnSpPr>
          <xdr:spPr>
            <a:xfrm>
              <a:off x="10639424" y="295275"/>
              <a:ext cx="0" cy="590550"/>
            </a:xfrm>
            <a:prstGeom prst="line">
              <a:avLst/>
            </a:prstGeom>
            <a:ln w="38100">
              <a:solidFill>
                <a:schemeClr val="tx2">
                  <a:lumMod val="75000"/>
                </a:schemeClr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57149</xdr:colOff>
      <xdr:row>4</xdr:row>
      <xdr:rowOff>142875</xdr:rowOff>
    </xdr:from>
    <xdr:to>
      <xdr:col>1</xdr:col>
      <xdr:colOff>571500</xdr:colOff>
      <xdr:row>7</xdr:row>
      <xdr:rowOff>104775</xdr:rowOff>
    </xdr:to>
    <xdr:grpSp>
      <xdr:nvGrpSpPr>
        <xdr:cNvPr id="53" name="Group 52"/>
        <xdr:cNvGrpSpPr/>
      </xdr:nvGrpSpPr>
      <xdr:grpSpPr>
        <a:xfrm>
          <a:off x="666749" y="904875"/>
          <a:ext cx="514351" cy="533400"/>
          <a:chOff x="14049374" y="571500"/>
          <a:chExt cx="514351" cy="533400"/>
        </a:xfrm>
      </xdr:grpSpPr>
      <xdr:pic macro="[0]!cmbUpdate">
        <xdr:nvPicPr>
          <xdr:cNvPr id="44" name="Picture 43" descr="C:\Documents and Settings\gsantosh\My Documents\Downloads\Icons\update_file-512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>
            <a:fillRect/>
          </a:stretch>
        </xdr:blipFill>
        <xdr:spPr bwMode="auto">
          <a:xfrm>
            <a:off x="14162421" y="571500"/>
            <a:ext cx="304800" cy="304800"/>
          </a:xfrm>
          <a:prstGeom prst="rect">
            <a:avLst/>
          </a:prstGeom>
          <a:noFill/>
        </xdr:spPr>
      </xdr:pic>
      <xdr:sp macro="[0]!cmbUpdate" textlink="">
        <xdr:nvSpPr>
          <xdr:cNvPr id="45" name="TextBox 7"/>
          <xdr:cNvSpPr txBox="1"/>
        </xdr:nvSpPr>
        <xdr:spPr>
          <a:xfrm>
            <a:off x="14049374" y="876300"/>
            <a:ext cx="514351" cy="228600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800" b="1"/>
              <a:t>Update</a:t>
            </a:r>
          </a:p>
        </xdr:txBody>
      </xdr:sp>
    </xdr:grpSp>
    <xdr:clientData/>
  </xdr:twoCellAnchor>
  <xdr:twoCellAnchor>
    <xdr:from>
      <xdr:col>2</xdr:col>
      <xdr:colOff>28575</xdr:colOff>
      <xdr:row>4</xdr:row>
      <xdr:rowOff>142875</xdr:rowOff>
    </xdr:from>
    <xdr:to>
      <xdr:col>2</xdr:col>
      <xdr:colOff>556284</xdr:colOff>
      <xdr:row>7</xdr:row>
      <xdr:rowOff>91619</xdr:rowOff>
    </xdr:to>
    <xdr:grpSp>
      <xdr:nvGrpSpPr>
        <xdr:cNvPr id="52" name="Group 51"/>
        <xdr:cNvGrpSpPr/>
      </xdr:nvGrpSpPr>
      <xdr:grpSpPr>
        <a:xfrm>
          <a:off x="1247775" y="904875"/>
          <a:ext cx="527709" cy="520244"/>
          <a:chOff x="14506575" y="571500"/>
          <a:chExt cx="527709" cy="520244"/>
        </a:xfrm>
      </xdr:grpSpPr>
      <xdr:pic macro="[0]!cmdRefreshConditionalFormats">
        <xdr:nvPicPr>
          <xdr:cNvPr id="46" name="Picture 45" descr="C:\Documents and Settings\gsantosh\My Documents\Downloads\Icons\paint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>
            <a:fillRect/>
          </a:stretch>
        </xdr:blipFill>
        <xdr:spPr bwMode="auto">
          <a:xfrm>
            <a:off x="14592623" y="571500"/>
            <a:ext cx="304800" cy="304800"/>
          </a:xfrm>
          <a:prstGeom prst="rect">
            <a:avLst/>
          </a:prstGeom>
          <a:noFill/>
        </xdr:spPr>
      </xdr:pic>
      <xdr:sp macro="[0]!cmdRefreshConditionalFormats" textlink="">
        <xdr:nvSpPr>
          <xdr:cNvPr id="47" name="TextBox 9"/>
          <xdr:cNvSpPr txBox="1"/>
        </xdr:nvSpPr>
        <xdr:spPr>
          <a:xfrm>
            <a:off x="14506575" y="876300"/>
            <a:ext cx="527709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 b="1"/>
              <a:t>Refresh </a:t>
            </a:r>
          </a:p>
        </xdr:txBody>
      </xdr:sp>
    </xdr:grpSp>
    <xdr:clientData/>
  </xdr:twoCellAnchor>
  <xdr:twoCellAnchor>
    <xdr:from>
      <xdr:col>2</xdr:col>
      <xdr:colOff>1139</xdr:colOff>
      <xdr:row>0</xdr:row>
      <xdr:rowOff>171450</xdr:rowOff>
    </xdr:from>
    <xdr:to>
      <xdr:col>3</xdr:col>
      <xdr:colOff>12222</xdr:colOff>
      <xdr:row>3</xdr:row>
      <xdr:rowOff>120194</xdr:rowOff>
    </xdr:to>
    <xdr:grpSp>
      <xdr:nvGrpSpPr>
        <xdr:cNvPr id="54" name="Group 53"/>
        <xdr:cNvGrpSpPr/>
      </xdr:nvGrpSpPr>
      <xdr:grpSpPr>
        <a:xfrm>
          <a:off x="1220339" y="171450"/>
          <a:ext cx="620683" cy="520244"/>
          <a:chOff x="13469489" y="571500"/>
          <a:chExt cx="620683" cy="520244"/>
        </a:xfrm>
      </xdr:grpSpPr>
      <xdr:pic macro="[0]!cmdDownload">
        <xdr:nvPicPr>
          <xdr:cNvPr id="48" name="Picture 47" descr="C:\Documents and Settings\gsantosh\My Documents\Downloads\Icons\Uploade and Download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>
            <a:fillRect/>
          </a:stretch>
        </xdr:blipFill>
        <xdr:spPr bwMode="auto">
          <a:xfrm>
            <a:off x="13611225" y="571500"/>
            <a:ext cx="326136" cy="313592"/>
          </a:xfrm>
          <a:prstGeom prst="rect">
            <a:avLst/>
          </a:prstGeom>
          <a:noFill/>
        </xdr:spPr>
      </xdr:pic>
      <xdr:sp macro="[0]!cmdDownload" textlink="">
        <xdr:nvSpPr>
          <xdr:cNvPr id="49" name="TextBox 13"/>
          <xdr:cNvSpPr txBox="1"/>
        </xdr:nvSpPr>
        <xdr:spPr>
          <a:xfrm>
            <a:off x="13469489" y="876300"/>
            <a:ext cx="620683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 b="1"/>
              <a:t>Download</a:t>
            </a:r>
          </a:p>
        </xdr:txBody>
      </xdr:sp>
    </xdr:grpSp>
    <xdr:clientData/>
  </xdr:twoCellAnchor>
  <xdr:twoCellAnchor>
    <xdr:from>
      <xdr:col>1</xdr:col>
      <xdr:colOff>28575</xdr:colOff>
      <xdr:row>0</xdr:row>
      <xdr:rowOff>171450</xdr:rowOff>
    </xdr:from>
    <xdr:to>
      <xdr:col>1</xdr:col>
      <xdr:colOff>521018</xdr:colOff>
      <xdr:row>3</xdr:row>
      <xdr:rowOff>120194</xdr:rowOff>
    </xdr:to>
    <xdr:grpSp>
      <xdr:nvGrpSpPr>
        <xdr:cNvPr id="55" name="Group 54"/>
        <xdr:cNvGrpSpPr/>
      </xdr:nvGrpSpPr>
      <xdr:grpSpPr>
        <a:xfrm>
          <a:off x="638175" y="171450"/>
          <a:ext cx="492443" cy="520244"/>
          <a:chOff x="12982575" y="571500"/>
          <a:chExt cx="492443" cy="520244"/>
        </a:xfrm>
      </xdr:grpSpPr>
      <xdr:pic macro="[0]!cmbUpload">
        <xdr:nvPicPr>
          <xdr:cNvPr id="50" name="Picture 49" descr="C:\Documents and Settings\gsantosh\My Documents\Downloads\Icons\Uploade and Download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>
            <a:fillRect/>
          </a:stretch>
        </xdr:blipFill>
        <xdr:spPr bwMode="auto">
          <a:xfrm>
            <a:off x="13077825" y="571500"/>
            <a:ext cx="326136" cy="313592"/>
          </a:xfrm>
          <a:prstGeom prst="rect">
            <a:avLst/>
          </a:prstGeom>
          <a:noFill/>
        </xdr:spPr>
      </xdr:pic>
      <xdr:sp macro="[0]!cmbUpload" textlink="">
        <xdr:nvSpPr>
          <xdr:cNvPr id="51" name="TextBox 14"/>
          <xdr:cNvSpPr txBox="1"/>
        </xdr:nvSpPr>
        <xdr:spPr>
          <a:xfrm>
            <a:off x="12982575" y="876300"/>
            <a:ext cx="492443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 b="1"/>
              <a:t>Upload</a:t>
            </a:r>
          </a:p>
        </xdr:txBody>
      </xdr:sp>
    </xdr:grpSp>
    <xdr:clientData/>
  </xdr:twoCellAnchor>
  <xdr:twoCellAnchor>
    <xdr:from>
      <xdr:col>0</xdr:col>
      <xdr:colOff>76199</xdr:colOff>
      <xdr:row>2</xdr:row>
      <xdr:rowOff>0</xdr:rowOff>
    </xdr:from>
    <xdr:to>
      <xdr:col>0</xdr:col>
      <xdr:colOff>600075</xdr:colOff>
      <xdr:row>6</xdr:row>
      <xdr:rowOff>85724</xdr:rowOff>
    </xdr:to>
    <xdr:grpSp>
      <xdr:nvGrpSpPr>
        <xdr:cNvPr id="61" name="Group 60"/>
        <xdr:cNvGrpSpPr/>
      </xdr:nvGrpSpPr>
      <xdr:grpSpPr>
        <a:xfrm>
          <a:off x="76199" y="381000"/>
          <a:ext cx="523876" cy="847724"/>
          <a:chOff x="66674" y="419100"/>
          <a:chExt cx="523876" cy="847724"/>
        </a:xfrm>
      </xdr:grpSpPr>
      <xdr:pic macro="[0]!cmdUF_DailyStatus">
        <xdr:nvPicPr>
          <xdr:cNvPr id="56" name="Picture 55" descr="fill_form-512.png"/>
          <xdr:cNvPicPr>
            <a:picLocks noChangeAspect="1"/>
          </xdr:cNvPicPr>
        </xdr:nvPicPr>
        <xdr:blipFill>
          <a:blip xmlns:r="http://schemas.openxmlformats.org/officeDocument/2006/relationships" r:embed="rId5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76200" y="419100"/>
            <a:ext cx="514350" cy="514350"/>
          </a:xfrm>
          <a:prstGeom prst="rect">
            <a:avLst/>
          </a:prstGeom>
        </xdr:spPr>
      </xdr:pic>
      <xdr:sp macro="[0]!cmdUF_DailyStatus" textlink="">
        <xdr:nvSpPr>
          <xdr:cNvPr id="57" name="TextBox 14"/>
          <xdr:cNvSpPr txBox="1"/>
        </xdr:nvSpPr>
        <xdr:spPr>
          <a:xfrm>
            <a:off x="66674" y="933449"/>
            <a:ext cx="447676" cy="33337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 b="1"/>
              <a:t>Daily </a:t>
            </a:r>
          </a:p>
          <a:p>
            <a:pPr algn="ctr"/>
            <a:r>
              <a:rPr lang="en-US" sz="800" b="1"/>
              <a:t>Status</a:t>
            </a:r>
          </a:p>
        </xdr:txBody>
      </xdr:sp>
    </xdr:grpSp>
    <xdr:clientData/>
  </xdr:twoCellAnchor>
  <xdr:twoCellAnchor editAs="absolute">
    <xdr:from>
      <xdr:col>3</xdr:col>
      <xdr:colOff>28570</xdr:colOff>
      <xdr:row>0</xdr:row>
      <xdr:rowOff>19050</xdr:rowOff>
    </xdr:from>
    <xdr:to>
      <xdr:col>16</xdr:col>
      <xdr:colOff>790574</xdr:colOff>
      <xdr:row>7</xdr:row>
      <xdr:rowOff>190499</xdr:rowOff>
    </xdr:to>
    <xdr:pic>
      <xdr:nvPicPr>
        <xdr:cNvPr id="59" name="Picture 58" descr="main(32).jpg"/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 flipH="1">
          <a:off x="1857370" y="19050"/>
          <a:ext cx="9486904" cy="1504949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6</xdr:col>
      <xdr:colOff>1009648</xdr:colOff>
      <xdr:row>0</xdr:row>
      <xdr:rowOff>84617</xdr:rowOff>
    </xdr:from>
    <xdr:to>
      <xdr:col>10</xdr:col>
      <xdr:colOff>522308</xdr:colOff>
      <xdr:row>2</xdr:row>
      <xdr:rowOff>57150</xdr:rowOff>
    </xdr:to>
    <xdr:grpSp>
      <xdr:nvGrpSpPr>
        <xdr:cNvPr id="68" name="Group 67"/>
        <xdr:cNvGrpSpPr/>
      </xdr:nvGrpSpPr>
      <xdr:grpSpPr>
        <a:xfrm>
          <a:off x="4581523" y="84617"/>
          <a:ext cx="2532085" cy="353533"/>
          <a:chOff x="5400673" y="210854"/>
          <a:chExt cx="4621836" cy="645306"/>
        </a:xfrm>
      </xdr:grpSpPr>
      <xdr:sp macro="" textlink="">
        <xdr:nvSpPr>
          <xdr:cNvPr id="62" name="Rectangle 61"/>
          <xdr:cNvSpPr/>
        </xdr:nvSpPr>
        <xdr:spPr>
          <a:xfrm>
            <a:off x="5400673" y="247650"/>
            <a:ext cx="4621836" cy="608510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pic>
        <xdr:nvPicPr>
          <xdr:cNvPr id="63" name="Picture 62" descr="Construction_IC_Logo_800.png"/>
          <xdr:cNvPicPr>
            <a:picLocks noChangeAspect="1"/>
          </xdr:cNvPicPr>
        </xdr:nvPicPr>
        <xdr:blipFill>
          <a:blip xmlns:r="http://schemas.openxmlformats.org/officeDocument/2006/relationships" r:embed="rId7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5537146" y="326028"/>
            <a:ext cx="2693037" cy="452915"/>
          </a:xfrm>
          <a:prstGeom prst="rect">
            <a:avLst/>
          </a:prstGeom>
        </xdr:spPr>
      </xdr:pic>
      <xdr:pic>
        <xdr:nvPicPr>
          <xdr:cNvPr id="64" name="Picture 63" descr="timetric_logo_footer.png"/>
          <xdr:cNvPicPr>
            <a:picLocks noChangeAspect="1"/>
          </xdr:cNvPicPr>
        </xdr:nvPicPr>
        <xdr:blipFill>
          <a:blip xmlns:r="http://schemas.openxmlformats.org/officeDocument/2006/relationships" r:embed="rId8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8694187" y="556532"/>
            <a:ext cx="997171" cy="168183"/>
          </a:xfrm>
          <a:prstGeom prst="rect">
            <a:avLst/>
          </a:prstGeom>
        </xdr:spPr>
      </xdr:pic>
      <xdr:sp macro="" textlink="">
        <xdr:nvSpPr>
          <xdr:cNvPr id="65" name="TextBox 64"/>
          <xdr:cNvSpPr txBox="1"/>
        </xdr:nvSpPr>
        <xdr:spPr>
          <a:xfrm>
            <a:off x="8896962" y="210854"/>
            <a:ext cx="693756" cy="3671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r>
              <a:rPr lang="en-US" sz="800" b="1" baseline="0"/>
              <a:t>By</a:t>
            </a:r>
            <a:endParaRPr lang="en-US" sz="800" b="1"/>
          </a:p>
        </xdr:txBody>
      </xdr:sp>
      <xdr:cxnSp macro="">
        <xdr:nvCxnSpPr>
          <xdr:cNvPr id="66" name="Straight Connector 65"/>
          <xdr:cNvCxnSpPr/>
        </xdr:nvCxnSpPr>
        <xdr:spPr>
          <a:xfrm>
            <a:off x="8486121" y="339633"/>
            <a:ext cx="0" cy="438694"/>
          </a:xfrm>
          <a:prstGeom prst="line">
            <a:avLst/>
          </a:prstGeom>
          <a:ln w="38100">
            <a:solidFill>
              <a:schemeClr val="tx2">
                <a:lumMod val="75000"/>
              </a:schemeClr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22</xdr:col>
      <xdr:colOff>533400</xdr:colOff>
      <xdr:row>0</xdr:row>
      <xdr:rowOff>66675</xdr:rowOff>
    </xdr:from>
    <xdr:to>
      <xdr:col>26</xdr:col>
      <xdr:colOff>38100</xdr:colOff>
      <xdr:row>7</xdr:row>
      <xdr:rowOff>133350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121718</xdr:colOff>
      <xdr:row>3</xdr:row>
      <xdr:rowOff>145819</xdr:rowOff>
    </xdr:from>
    <xdr:to>
      <xdr:col>8</xdr:col>
      <xdr:colOff>460445</xdr:colOff>
      <xdr:row>7</xdr:row>
      <xdr:rowOff>109452</xdr:rowOff>
    </xdr:to>
    <xdr:grpSp>
      <xdr:nvGrpSpPr>
        <xdr:cNvPr id="29" name="Group 28"/>
        <xdr:cNvGrpSpPr/>
      </xdr:nvGrpSpPr>
      <xdr:grpSpPr>
        <a:xfrm>
          <a:off x="1950518" y="717319"/>
          <a:ext cx="3777252" cy="725633"/>
          <a:chOff x="2331518" y="536344"/>
          <a:chExt cx="3813087" cy="725633"/>
        </a:xfrm>
      </xdr:grpSpPr>
      <xdr:sp macro="" textlink="$B$2">
        <xdr:nvSpPr>
          <xdr:cNvPr id="25" name="stxtEname"/>
          <xdr:cNvSpPr txBox="1"/>
        </xdr:nvSpPr>
        <xdr:spPr>
          <a:xfrm>
            <a:off x="2331518" y="917344"/>
            <a:ext cx="3813087" cy="344633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D3E0204F-0DD4-4DC5-893F-20F094457F65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Name :  Yarlagadda Rama Krishna Chowdary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  <xdr:sp macro="" textlink="$B$1">
        <xdr:nvSpPr>
          <xdr:cNvPr id="26" name="TextBox 25"/>
          <xdr:cNvSpPr txBox="1"/>
        </xdr:nvSpPr>
        <xdr:spPr>
          <a:xfrm>
            <a:off x="2331518" y="536344"/>
            <a:ext cx="1662047" cy="344633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ctr" anchorCtr="0">
            <a:spAutoFit/>
          </a:bodyPr>
          <a:lstStyle/>
          <a:p>
            <a:pPr marL="0" indent="0" algn="l"/>
            <a:fld id="{0115B244-5711-4E73-92C9-7BC10559A330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ID        :  80827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0.36015</cdr:x>
      <cdr:y>0.01361</cdr:y>
    </cdr:from>
    <cdr:to>
      <cdr:x>0.64751</cdr:x>
      <cdr:y>0.19728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95350" y="19050"/>
          <a:ext cx="714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 b="1"/>
            <a:t>Priority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0</xdr:colOff>
      <xdr:row>2</xdr:row>
      <xdr:rowOff>28575</xdr:rowOff>
    </xdr:from>
    <xdr:to>
      <xdr:col>65</xdr:col>
      <xdr:colOff>1681</xdr:colOff>
      <xdr:row>11</xdr:row>
      <xdr:rowOff>171450</xdr:rowOff>
    </xdr:to>
    <xdr:grpSp>
      <xdr:nvGrpSpPr>
        <xdr:cNvPr id="10" name="Group 9"/>
        <xdr:cNvGrpSpPr/>
      </xdr:nvGrpSpPr>
      <xdr:grpSpPr>
        <a:xfrm>
          <a:off x="33931412" y="409575"/>
          <a:ext cx="5559798" cy="1857375"/>
          <a:chOff x="34137600" y="447675"/>
          <a:chExt cx="5488081" cy="1857375"/>
        </a:xfrm>
      </xdr:grpSpPr>
      <xdr:pic>
        <xdr:nvPicPr>
          <xdr:cNvPr id="2" name="Picture 1" descr="main(32).jpg"/>
          <xdr:cNvPicPr>
            <a:picLocks noChangeAspect="1"/>
          </xdr:cNvPicPr>
        </xdr:nvPicPr>
        <xdr:blipFill>
          <a:blip xmlns:r="http://schemas.openxmlformats.org/officeDocument/2006/relationships" r:embed="rId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 l="35005" t="29332" b="22696"/>
          <a:stretch>
            <a:fillRect/>
          </a:stretch>
        </xdr:blipFill>
        <xdr:spPr>
          <a:xfrm flipH="1">
            <a:off x="34137600" y="447675"/>
            <a:ext cx="5488081" cy="1857375"/>
          </a:xfrm>
          <a:prstGeom prst="rect">
            <a:avLst/>
          </a:prstGeom>
          <a:ln>
            <a:noFill/>
          </a:ln>
        </xdr:spPr>
      </xdr:pic>
      <xdr:grpSp>
        <xdr:nvGrpSpPr>
          <xdr:cNvPr id="3" name="Group 28"/>
          <xdr:cNvGrpSpPr/>
        </xdr:nvGrpSpPr>
        <xdr:grpSpPr>
          <a:xfrm>
            <a:off x="35472696" y="517504"/>
            <a:ext cx="2724596" cy="358796"/>
            <a:chOff x="14414094" y="153984"/>
            <a:chExt cx="3788391" cy="505159"/>
          </a:xfrm>
        </xdr:grpSpPr>
        <xdr:sp macro="" textlink="">
          <xdr:nvSpPr>
            <xdr:cNvPr id="4" name="Rectangle 3"/>
            <xdr:cNvSpPr/>
          </xdr:nvSpPr>
          <xdr:spPr>
            <a:xfrm>
              <a:off x="14414094" y="160364"/>
              <a:ext cx="3788391" cy="498779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/>
            </a:p>
          </xdr:txBody>
        </xdr:sp>
        <xdr:pic>
          <xdr:nvPicPr>
            <xdr:cNvPr id="5" name="Picture 4" descr="Construction_IC_Logo_800.png"/>
            <xdr:cNvPicPr>
              <a:picLocks noChangeAspect="1"/>
            </xdr:cNvPicPr>
          </xdr:nvPicPr>
          <xdr:blipFill>
            <a:blip xmlns:r="http://schemas.openxmlformats.org/officeDocument/2006/relationships" r:embed="rId2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14525952" y="224608"/>
              <a:ext cx="2207408" cy="371242"/>
            </a:xfrm>
            <a:prstGeom prst="rect">
              <a:avLst/>
            </a:prstGeom>
          </xdr:spPr>
        </xdr:pic>
        <xdr:pic>
          <xdr:nvPicPr>
            <xdr:cNvPr id="6" name="Picture 5" descr="timetric_logo_footer.png"/>
            <xdr:cNvPicPr>
              <a:picLocks noChangeAspect="1"/>
            </xdr:cNvPicPr>
          </xdr:nvPicPr>
          <xdr:blipFill>
            <a:blip xmlns:r="http://schemas.openxmlformats.org/officeDocument/2006/relationships" r:embed="rId3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17113691" y="413546"/>
              <a:ext cx="817354" cy="137855"/>
            </a:xfrm>
            <a:prstGeom prst="rect">
              <a:avLst/>
            </a:prstGeom>
          </xdr:spPr>
        </xdr:pic>
        <xdr:sp macro="" textlink="">
          <xdr:nvSpPr>
            <xdr:cNvPr id="7" name="TextBox 6"/>
            <xdr:cNvSpPr txBox="1"/>
          </xdr:nvSpPr>
          <xdr:spPr>
            <a:xfrm>
              <a:off x="17327986" y="153984"/>
              <a:ext cx="701000" cy="3114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square" rtlCol="0" anchor="t">
              <a:noAutofit/>
            </a:bodyPr>
            <a:lstStyle/>
            <a:p>
              <a:r>
                <a:rPr lang="en-US" sz="800" b="1" baseline="0"/>
                <a:t>By</a:t>
              </a:r>
              <a:endParaRPr lang="en-US" sz="800" b="1"/>
            </a:p>
          </xdr:txBody>
        </xdr:sp>
        <xdr:cxnSp macro="">
          <xdr:nvCxnSpPr>
            <xdr:cNvPr id="8" name="Straight Connector 7"/>
            <xdr:cNvCxnSpPr/>
          </xdr:nvCxnSpPr>
          <xdr:spPr>
            <a:xfrm>
              <a:off x="16943145" y="235760"/>
              <a:ext cx="0" cy="359585"/>
            </a:xfrm>
            <a:prstGeom prst="line">
              <a:avLst/>
            </a:prstGeom>
            <a:ln w="38100">
              <a:solidFill>
                <a:schemeClr val="tx2">
                  <a:lumMod val="75000"/>
                </a:schemeClr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56</xdr:col>
      <xdr:colOff>0</xdr:colOff>
      <xdr:row>15</xdr:row>
      <xdr:rowOff>0</xdr:rowOff>
    </xdr:from>
    <xdr:to>
      <xdr:col>64</xdr:col>
      <xdr:colOff>600075</xdr:colOff>
      <xdr:row>26</xdr:row>
      <xdr:rowOff>180975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56</xdr:col>
      <xdr:colOff>85725</xdr:colOff>
      <xdr:row>7</xdr:row>
      <xdr:rowOff>123825</xdr:rowOff>
    </xdr:from>
    <xdr:to>
      <xdr:col>62</xdr:col>
      <xdr:colOff>120213</xdr:colOff>
      <xdr:row>11</xdr:row>
      <xdr:rowOff>87458</xdr:rowOff>
    </xdr:to>
    <xdr:grpSp>
      <xdr:nvGrpSpPr>
        <xdr:cNvPr id="15" name="Group 14"/>
        <xdr:cNvGrpSpPr/>
      </xdr:nvGrpSpPr>
      <xdr:grpSpPr>
        <a:xfrm>
          <a:off x="34017137" y="1457325"/>
          <a:ext cx="3777252" cy="725633"/>
          <a:chOff x="2331519" y="536344"/>
          <a:chExt cx="3802671" cy="725633"/>
        </a:xfrm>
      </xdr:grpSpPr>
      <xdr:sp macro="" textlink="Production!$B$2">
        <xdr:nvSpPr>
          <xdr:cNvPr id="16" name="stxtEname"/>
          <xdr:cNvSpPr txBox="1"/>
        </xdr:nvSpPr>
        <xdr:spPr>
          <a:xfrm>
            <a:off x="2331519" y="917344"/>
            <a:ext cx="3802671" cy="344633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C68D8C17-C40D-4081-B98D-B52338CC4739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Name :  Yarlagadda Rama Krishna Chowdary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  <xdr:sp macro="" textlink="Production!$B$1">
        <xdr:nvSpPr>
          <xdr:cNvPr id="17" name="TextBox 16"/>
          <xdr:cNvSpPr txBox="1"/>
        </xdr:nvSpPr>
        <xdr:spPr>
          <a:xfrm>
            <a:off x="2331519" y="536344"/>
            <a:ext cx="1657507" cy="344633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1E73CB3B-044F-4C32-B0AF-F93426DA529B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ID        :  80827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5:A52"/>
  <sheetViews>
    <sheetView showGridLines="0" showRowColHeaders="0" tabSelected="1" workbookViewId="0"/>
  </sheetViews>
  <sheetFormatPr defaultRowHeight="15" x14ac:dyDescent="0.25"/>
  <cols>
    <col min="4" max="8" width="9.140625" customWidth="1"/>
  </cols>
  <sheetData>
    <row r="15" spans="1:1" s="86" customFormat="1" ht="47.25" customHeight="1" x14ac:dyDescent="0.25">
      <c r="A15" s="86" t="s">
        <v>154</v>
      </c>
    </row>
    <row r="16" spans="1:1" s="86" customFormat="1" ht="47.25" customHeight="1" x14ac:dyDescent="0.25"/>
    <row r="17" spans="1:1" ht="20.25" x14ac:dyDescent="0.25">
      <c r="A17" s="66" t="s">
        <v>155</v>
      </c>
    </row>
    <row r="19" spans="1:1" ht="20.25" x14ac:dyDescent="0.25">
      <c r="A19" s="66" t="s">
        <v>156</v>
      </c>
    </row>
    <row r="20" spans="1:1" ht="20.25" x14ac:dyDescent="0.25">
      <c r="A20" s="66"/>
    </row>
    <row r="21" spans="1:1" ht="20.25" x14ac:dyDescent="0.25">
      <c r="A21" s="66"/>
    </row>
    <row r="22" spans="1:1" ht="20.25" x14ac:dyDescent="0.25">
      <c r="A22" s="66"/>
    </row>
    <row r="23" spans="1:1" ht="20.25" x14ac:dyDescent="0.25">
      <c r="A23" s="66"/>
    </row>
    <row r="24" spans="1:1" ht="20.25" x14ac:dyDescent="0.25">
      <c r="A24" s="66"/>
    </row>
    <row r="25" spans="1:1" ht="20.25" x14ac:dyDescent="0.25">
      <c r="A25" s="66"/>
    </row>
    <row r="26" spans="1:1" ht="20.25" x14ac:dyDescent="0.25">
      <c r="A26" s="66"/>
    </row>
    <row r="27" spans="1:1" ht="20.25" x14ac:dyDescent="0.25">
      <c r="A27" s="66"/>
    </row>
    <row r="29" spans="1:1" ht="20.25" x14ac:dyDescent="0.25">
      <c r="A29" s="66"/>
    </row>
    <row r="52" spans="1:1" ht="20.25" x14ac:dyDescent="0.25">
      <c r="A52" s="66" t="s">
        <v>157</v>
      </c>
    </row>
  </sheetData>
  <mergeCells count="1">
    <mergeCell ref="A15:XFD1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17144"/>
  <sheetViews>
    <sheetView showGridLines="0" zoomScaleNormal="100" workbookViewId="0">
      <pane xSplit="3" ySplit="19" topLeftCell="D20" activePane="bottomRight" state="frozen"/>
      <selection pane="topRight" activeCell="D1" sqref="D1"/>
      <selection pane="bottomLeft" activeCell="A20" sqref="A20"/>
      <selection pane="bottomRight" activeCell="G28" sqref="G28"/>
    </sheetView>
  </sheetViews>
  <sheetFormatPr defaultRowHeight="15" x14ac:dyDescent="0.25"/>
  <cols>
    <col min="4" max="4" width="11" customWidth="1"/>
    <col min="5" max="5" width="6.7109375" customWidth="1"/>
    <col min="6" max="6" width="8.42578125" customWidth="1"/>
    <col min="7" max="7" width="15.42578125" customWidth="1"/>
    <col min="8" max="8" width="10" bestFit="1" customWidth="1"/>
    <col min="10" max="10" width="10.7109375" style="1" bestFit="1" customWidth="1"/>
    <col min="11" max="11" width="10.140625" customWidth="1"/>
    <col min="12" max="12" width="10.28515625" customWidth="1"/>
    <col min="13" max="13" width="10.7109375" style="1" bestFit="1" customWidth="1"/>
    <col min="14" max="14" width="10.7109375" bestFit="1" customWidth="1"/>
    <col min="16" max="16" width="8.42578125" bestFit="1" customWidth="1"/>
    <col min="17" max="17" width="15.7109375" customWidth="1"/>
    <col min="18" max="18" width="21" bestFit="1" customWidth="1"/>
    <col min="19" max="19" width="9.28515625" bestFit="1" customWidth="1"/>
    <col min="22" max="22" width="10.140625" bestFit="1" customWidth="1"/>
    <col min="23" max="23" width="10.7109375" style="1" bestFit="1" customWidth="1"/>
    <col min="24" max="24" width="17.28515625" bestFit="1" customWidth="1"/>
    <col min="29" max="30" width="9.140625" style="81"/>
  </cols>
  <sheetData>
    <row r="1" spans="1:26" x14ac:dyDescent="0.25">
      <c r="A1" s="67">
        <v>80827</v>
      </c>
      <c r="B1" s="71" t="str">
        <f>CONCATENATE("Emp ID        :  ",$A$1)</f>
        <v>Emp ID        :  80827</v>
      </c>
      <c r="C1" s="9"/>
      <c r="R1" s="72" t="s">
        <v>54</v>
      </c>
      <c r="S1" s="73">
        <v>43168</v>
      </c>
    </row>
    <row r="2" spans="1:26" x14ac:dyDescent="0.25">
      <c r="A2" s="69" t="str">
        <f>IFERROR(VLOOKUP($A$1,Ref.!$AV$2:$AX$100,2,FALSE),"No Record Found")</f>
        <v>Yarlagadda Rama Krishna Chowdary</v>
      </c>
      <c r="B2" s="68" t="str">
        <f>CONCATENATE("Emp Name :  ",$A$2)</f>
        <v>Emp Name :  Yarlagadda Rama Krishna Chowdary</v>
      </c>
      <c r="C2" s="10"/>
      <c r="R2" s="35" t="s">
        <v>38</v>
      </c>
      <c r="S2" s="76">
        <f>COUNTIFS($V:$V,"Done",$W:$W,$S$1,$X:$X,$R2)</f>
        <v>0</v>
      </c>
      <c r="Y2" s="27" t="s">
        <v>18</v>
      </c>
      <c r="Z2" s="28" t="s">
        <v>76</v>
      </c>
    </row>
    <row r="3" spans="1:26" x14ac:dyDescent="0.25">
      <c r="A3" s="70"/>
      <c r="B3" s="6"/>
      <c r="C3" s="10"/>
      <c r="R3" s="37" t="s">
        <v>34</v>
      </c>
      <c r="S3" s="77">
        <f>COUNTIFS($V:$V,"Done",$W:$W,$S$1,$X:$X,$R3)</f>
        <v>0</v>
      </c>
      <c r="U3" s="87" t="s">
        <v>92</v>
      </c>
      <c r="V3" s="87"/>
      <c r="Y3" s="29" t="s">
        <v>47</v>
      </c>
      <c r="Z3" s="30">
        <f>COUNTIF($S:$S,$Y$3)</f>
        <v>0</v>
      </c>
    </row>
    <row r="4" spans="1:26" x14ac:dyDescent="0.25">
      <c r="A4" s="70"/>
      <c r="B4" s="11"/>
      <c r="C4" s="12"/>
      <c r="R4" s="38" t="s">
        <v>57</v>
      </c>
      <c r="S4" s="78">
        <f>COUNTIFS($V:$V,"Done",$W:$W,$S$1,$X:$X,$R4)</f>
        <v>0</v>
      </c>
      <c r="U4" s="44" t="s">
        <v>45</v>
      </c>
      <c r="V4" s="45">
        <v>43160</v>
      </c>
      <c r="Y4" s="31" t="s">
        <v>42</v>
      </c>
      <c r="Z4" s="30">
        <f>COUNTIF($S:$S,$Y$4)</f>
        <v>0</v>
      </c>
    </row>
    <row r="5" spans="1:26" x14ac:dyDescent="0.25">
      <c r="A5" s="5"/>
      <c r="B5" s="7"/>
      <c r="C5" s="2"/>
      <c r="R5" s="40" t="s">
        <v>58</v>
      </c>
      <c r="S5" s="79">
        <f>COUNTIFS($V:$V,"Done",$W:$W,$S$1,$X:$X,$R5)</f>
        <v>0</v>
      </c>
      <c r="U5" s="42" t="s">
        <v>39</v>
      </c>
      <c r="V5" s="43">
        <v>43252</v>
      </c>
      <c r="Y5" s="32" t="s">
        <v>37</v>
      </c>
      <c r="Z5" s="30">
        <f>COUNTIF($S:$S,$Y$5)</f>
        <v>0</v>
      </c>
    </row>
    <row r="6" spans="1:26" x14ac:dyDescent="0.25">
      <c r="A6" s="5"/>
      <c r="B6" s="7"/>
      <c r="C6" s="2"/>
      <c r="R6" s="36" t="s">
        <v>24</v>
      </c>
      <c r="S6" s="74">
        <f>SUMIFS($Y:$Y,$W:$W,$S$1)</f>
        <v>0</v>
      </c>
      <c r="U6" s="44" t="s">
        <v>30</v>
      </c>
      <c r="V6" s="45">
        <v>43344</v>
      </c>
      <c r="Y6" s="33" t="s">
        <v>40</v>
      </c>
      <c r="Z6" s="30">
        <f>COUNTIF($S:$S,$Y$6)</f>
        <v>0</v>
      </c>
    </row>
    <row r="7" spans="1:26" x14ac:dyDescent="0.25">
      <c r="A7" s="5"/>
      <c r="B7" s="7"/>
      <c r="C7" s="2"/>
      <c r="R7" s="39" t="s">
        <v>25</v>
      </c>
      <c r="S7" s="75">
        <f>SUMIFS($Z:$Z,$W:$W,$S$1)</f>
        <v>0</v>
      </c>
      <c r="U7" s="42" t="s">
        <v>41</v>
      </c>
      <c r="V7" s="43">
        <v>43435</v>
      </c>
      <c r="Y7" s="34" t="s">
        <v>91</v>
      </c>
      <c r="Z7" s="30">
        <f>COUNT($A:$A)-1</f>
        <v>1</v>
      </c>
    </row>
    <row r="8" spans="1:26" x14ac:dyDescent="0.25">
      <c r="A8" s="5"/>
      <c r="B8" s="8"/>
      <c r="C8" s="2"/>
      <c r="R8" s="41" t="s">
        <v>26</v>
      </c>
      <c r="S8" s="80">
        <f>SUMIFS($AA:$AA,$W:$W,$S$1)</f>
        <v>0</v>
      </c>
    </row>
    <row r="9" spans="1:26" hidden="1" x14ac:dyDescent="0.25"/>
    <row r="10" spans="1:26" hidden="1" x14ac:dyDescent="0.25"/>
    <row r="11" spans="1:26" hidden="1" x14ac:dyDescent="0.25"/>
    <row r="12" spans="1:26" hidden="1" x14ac:dyDescent="0.25"/>
    <row r="13" spans="1:26" hidden="1" x14ac:dyDescent="0.25"/>
    <row r="14" spans="1:26" hidden="1" x14ac:dyDescent="0.25"/>
    <row r="15" spans="1:26" hidden="1" x14ac:dyDescent="0.25"/>
    <row r="16" spans="1:26" hidden="1" x14ac:dyDescent="0.25"/>
    <row r="17" spans="1:28" hidden="1" x14ac:dyDescent="0.25"/>
    <row r="18" spans="1:28" hidden="1" x14ac:dyDescent="0.25">
      <c r="J18" s="1" t="s">
        <v>54</v>
      </c>
      <c r="M18" s="1" t="s">
        <v>55</v>
      </c>
      <c r="W18" s="1" t="s">
        <v>54</v>
      </c>
    </row>
    <row r="19" spans="1:28" ht="30" customHeight="1" x14ac:dyDescent="0.25">
      <c r="A19" s="63" t="s">
        <v>0</v>
      </c>
      <c r="B19" s="63" t="s">
        <v>1</v>
      </c>
      <c r="C19" s="63" t="s">
        <v>2</v>
      </c>
      <c r="D19" s="63" t="s">
        <v>3</v>
      </c>
      <c r="E19" s="63" t="s">
        <v>4</v>
      </c>
      <c r="F19" s="63" t="s">
        <v>5</v>
      </c>
      <c r="G19" s="63" t="s">
        <v>6</v>
      </c>
      <c r="H19" s="63" t="s">
        <v>7</v>
      </c>
      <c r="I19" s="63" t="s">
        <v>8</v>
      </c>
      <c r="J19" s="64" t="s">
        <v>9</v>
      </c>
      <c r="K19" s="63" t="s">
        <v>10</v>
      </c>
      <c r="L19" s="63" t="s">
        <v>11</v>
      </c>
      <c r="M19" s="64" t="s">
        <v>12</v>
      </c>
      <c r="N19" s="63" t="s">
        <v>13</v>
      </c>
      <c r="O19" s="63" t="s">
        <v>14</v>
      </c>
      <c r="P19" s="63" t="s">
        <v>15</v>
      </c>
      <c r="Q19" s="63" t="s">
        <v>16</v>
      </c>
      <c r="R19" s="63" t="s">
        <v>17</v>
      </c>
      <c r="S19" s="63" t="s">
        <v>18</v>
      </c>
      <c r="T19" s="63" t="s">
        <v>19</v>
      </c>
      <c r="U19" s="63" t="s">
        <v>20</v>
      </c>
      <c r="V19" s="63" t="s">
        <v>21</v>
      </c>
      <c r="W19" s="64" t="s">
        <v>22</v>
      </c>
      <c r="X19" s="63" t="s">
        <v>23</v>
      </c>
      <c r="Y19" s="65" t="s">
        <v>24</v>
      </c>
      <c r="Z19" s="65" t="s">
        <v>25</v>
      </c>
      <c r="AA19" s="65" t="s">
        <v>26</v>
      </c>
      <c r="AB19" s="63" t="s">
        <v>27</v>
      </c>
    </row>
    <row r="20" spans="1:28" x14ac:dyDescent="0.25">
      <c r="A20">
        <v>1111</v>
      </c>
      <c r="J20"/>
      <c r="M20"/>
      <c r="W20"/>
    </row>
    <row r="21" spans="1:28" x14ac:dyDescent="0.25">
      <c r="J21"/>
      <c r="M21"/>
      <c r="W21"/>
    </row>
    <row r="22" spans="1:28" x14ac:dyDescent="0.25">
      <c r="J22"/>
      <c r="M22"/>
      <c r="W22"/>
    </row>
    <row r="23" spans="1:28" x14ac:dyDescent="0.25">
      <c r="J23"/>
      <c r="M23"/>
      <c r="W23"/>
    </row>
    <row r="24" spans="1:28" x14ac:dyDescent="0.25">
      <c r="J24"/>
      <c r="M24"/>
      <c r="W24"/>
    </row>
    <row r="25" spans="1:28" x14ac:dyDescent="0.25">
      <c r="J25"/>
      <c r="M25"/>
      <c r="W25"/>
    </row>
    <row r="26" spans="1:28" x14ac:dyDescent="0.25">
      <c r="J26"/>
      <c r="M26"/>
      <c r="W26"/>
    </row>
    <row r="27" spans="1:28" x14ac:dyDescent="0.25">
      <c r="J27"/>
      <c r="M27"/>
      <c r="W27"/>
    </row>
    <row r="28" spans="1:28" x14ac:dyDescent="0.25">
      <c r="J28"/>
      <c r="M28"/>
      <c r="W28"/>
    </row>
    <row r="29" spans="1:28" x14ac:dyDescent="0.25">
      <c r="J29"/>
      <c r="M29"/>
      <c r="W29"/>
    </row>
    <row r="30" spans="1:28" x14ac:dyDescent="0.25">
      <c r="J30"/>
      <c r="M30"/>
      <c r="W30"/>
    </row>
    <row r="31" spans="1:28" x14ac:dyDescent="0.25">
      <c r="J31"/>
      <c r="M31"/>
      <c r="W31"/>
    </row>
    <row r="32" spans="1:28" x14ac:dyDescent="0.25">
      <c r="J32"/>
      <c r="M32"/>
      <c r="W32"/>
    </row>
    <row r="33" spans="10:23" x14ac:dyDescent="0.25">
      <c r="J33"/>
      <c r="M33"/>
      <c r="W33"/>
    </row>
    <row r="34" spans="10:23" x14ac:dyDescent="0.25">
      <c r="J34"/>
      <c r="M34"/>
      <c r="W34"/>
    </row>
    <row r="35" spans="10:23" x14ac:dyDescent="0.25">
      <c r="J35"/>
      <c r="M35"/>
      <c r="W35"/>
    </row>
    <row r="36" spans="10:23" x14ac:dyDescent="0.25">
      <c r="J36"/>
      <c r="M36"/>
      <c r="W36"/>
    </row>
    <row r="37" spans="10:23" x14ac:dyDescent="0.25">
      <c r="J37"/>
      <c r="M37"/>
      <c r="W37"/>
    </row>
    <row r="38" spans="10:23" x14ac:dyDescent="0.25">
      <c r="J38"/>
      <c r="M38"/>
      <c r="W38"/>
    </row>
    <row r="39" spans="10:23" x14ac:dyDescent="0.25">
      <c r="J39"/>
      <c r="M39"/>
      <c r="W39"/>
    </row>
    <row r="40" spans="10:23" x14ac:dyDescent="0.25">
      <c r="J40"/>
      <c r="M40"/>
      <c r="W40"/>
    </row>
    <row r="41" spans="10:23" x14ac:dyDescent="0.25">
      <c r="J41"/>
      <c r="M41"/>
      <c r="W41"/>
    </row>
    <row r="42" spans="10:23" x14ac:dyDescent="0.25">
      <c r="J42"/>
      <c r="M42"/>
      <c r="W42"/>
    </row>
    <row r="43" spans="10:23" x14ac:dyDescent="0.25">
      <c r="J43"/>
      <c r="M43"/>
      <c r="W43"/>
    </row>
    <row r="44" spans="10:23" x14ac:dyDescent="0.25">
      <c r="J44"/>
      <c r="M44"/>
      <c r="W44"/>
    </row>
    <row r="45" spans="10:23" x14ac:dyDescent="0.25">
      <c r="J45"/>
      <c r="M45"/>
      <c r="W45"/>
    </row>
    <row r="46" spans="10:23" x14ac:dyDescent="0.25">
      <c r="J46"/>
      <c r="M46"/>
      <c r="W46"/>
    </row>
    <row r="47" spans="10:23" x14ac:dyDescent="0.25">
      <c r="J47"/>
      <c r="M47"/>
      <c r="W47"/>
    </row>
    <row r="48" spans="10:23" x14ac:dyDescent="0.25">
      <c r="J48"/>
      <c r="M48"/>
      <c r="W48"/>
    </row>
    <row r="49" spans="10:23" x14ac:dyDescent="0.25">
      <c r="J49"/>
      <c r="M49"/>
      <c r="W49"/>
    </row>
    <row r="50" spans="10:23" x14ac:dyDescent="0.25">
      <c r="J50"/>
      <c r="M50"/>
      <c r="W50"/>
    </row>
    <row r="51" spans="10:23" x14ac:dyDescent="0.25">
      <c r="J51"/>
      <c r="M51"/>
      <c r="W51"/>
    </row>
    <row r="52" spans="10:23" x14ac:dyDescent="0.25">
      <c r="J52"/>
      <c r="M52"/>
      <c r="W52"/>
    </row>
    <row r="53" spans="10:23" x14ac:dyDescent="0.25">
      <c r="J53"/>
      <c r="M53"/>
      <c r="W53"/>
    </row>
    <row r="54" spans="10:23" x14ac:dyDescent="0.25">
      <c r="J54"/>
      <c r="M54"/>
      <c r="W54"/>
    </row>
    <row r="55" spans="10:23" x14ac:dyDescent="0.25">
      <c r="J55"/>
      <c r="M55"/>
      <c r="W55"/>
    </row>
    <row r="56" spans="10:23" x14ac:dyDescent="0.25">
      <c r="J56"/>
      <c r="M56"/>
      <c r="W56"/>
    </row>
    <row r="57" spans="10:23" x14ac:dyDescent="0.25">
      <c r="J57"/>
      <c r="M57"/>
      <c r="W57"/>
    </row>
    <row r="58" spans="10:23" x14ac:dyDescent="0.25">
      <c r="J58"/>
      <c r="M58"/>
      <c r="W58"/>
    </row>
    <row r="59" spans="10:23" x14ac:dyDescent="0.25">
      <c r="J59"/>
      <c r="M59"/>
      <c r="W59"/>
    </row>
    <row r="60" spans="10:23" x14ac:dyDescent="0.25">
      <c r="J60"/>
      <c r="M60"/>
      <c r="W60"/>
    </row>
    <row r="61" spans="10:23" x14ac:dyDescent="0.25">
      <c r="J61"/>
      <c r="M61"/>
      <c r="W61"/>
    </row>
    <row r="62" spans="10:23" x14ac:dyDescent="0.25">
      <c r="J62"/>
      <c r="M62"/>
      <c r="W62"/>
    </row>
    <row r="63" spans="10:23" x14ac:dyDescent="0.25">
      <c r="J63"/>
      <c r="M63"/>
      <c r="W63"/>
    </row>
    <row r="64" spans="10:23" x14ac:dyDescent="0.25">
      <c r="J64"/>
      <c r="M64"/>
      <c r="W64"/>
    </row>
    <row r="65" spans="10:23" x14ac:dyDescent="0.25">
      <c r="J65"/>
      <c r="M65"/>
      <c r="W65"/>
    </row>
    <row r="66" spans="10:23" x14ac:dyDescent="0.25">
      <c r="J66"/>
      <c r="M66"/>
      <c r="W66"/>
    </row>
    <row r="67" spans="10:23" x14ac:dyDescent="0.25">
      <c r="J67"/>
      <c r="M67"/>
      <c r="W67"/>
    </row>
    <row r="68" spans="10:23" x14ac:dyDescent="0.25">
      <c r="J68"/>
      <c r="M68"/>
      <c r="W68"/>
    </row>
    <row r="69" spans="10:23" x14ac:dyDescent="0.25">
      <c r="J69"/>
      <c r="M69"/>
      <c r="W69"/>
    </row>
    <row r="70" spans="10:23" x14ac:dyDescent="0.25">
      <c r="J70"/>
      <c r="M70"/>
      <c r="W70"/>
    </row>
    <row r="71" spans="10:23" x14ac:dyDescent="0.25">
      <c r="J71"/>
      <c r="M71"/>
      <c r="W71"/>
    </row>
    <row r="72" spans="10:23" x14ac:dyDescent="0.25">
      <c r="J72"/>
      <c r="M72"/>
      <c r="W72"/>
    </row>
    <row r="73" spans="10:23" x14ac:dyDescent="0.25">
      <c r="J73"/>
      <c r="M73"/>
      <c r="W73"/>
    </row>
    <row r="74" spans="10:23" x14ac:dyDescent="0.25">
      <c r="J74"/>
      <c r="M74"/>
      <c r="W74"/>
    </row>
    <row r="75" spans="10:23" x14ac:dyDescent="0.25">
      <c r="J75"/>
      <c r="M75"/>
      <c r="W75"/>
    </row>
    <row r="76" spans="10:23" x14ac:dyDescent="0.25">
      <c r="J76"/>
      <c r="M76"/>
      <c r="W76"/>
    </row>
    <row r="77" spans="10:23" x14ac:dyDescent="0.25">
      <c r="J77"/>
      <c r="M77"/>
      <c r="W77"/>
    </row>
    <row r="78" spans="10:23" x14ac:dyDescent="0.25">
      <c r="J78"/>
      <c r="M78"/>
      <c r="W78"/>
    </row>
    <row r="79" spans="10:23" x14ac:dyDescent="0.25">
      <c r="J79"/>
      <c r="M79"/>
      <c r="W79"/>
    </row>
    <row r="80" spans="10:23" x14ac:dyDescent="0.25">
      <c r="J80"/>
      <c r="M80"/>
      <c r="W80"/>
    </row>
    <row r="81" spans="10:23" x14ac:dyDescent="0.25">
      <c r="J81"/>
      <c r="M81"/>
      <c r="W81"/>
    </row>
    <row r="82" spans="10:23" x14ac:dyDescent="0.25">
      <c r="J82"/>
      <c r="M82"/>
      <c r="W82"/>
    </row>
    <row r="83" spans="10:23" x14ac:dyDescent="0.25">
      <c r="J83"/>
      <c r="M83"/>
      <c r="W83"/>
    </row>
    <row r="84" spans="10:23" x14ac:dyDescent="0.25">
      <c r="J84"/>
      <c r="M84"/>
      <c r="W84"/>
    </row>
    <row r="85" spans="10:23" x14ac:dyDescent="0.25">
      <c r="J85"/>
      <c r="M85"/>
      <c r="W85"/>
    </row>
    <row r="86" spans="10:23" x14ac:dyDescent="0.25">
      <c r="J86"/>
      <c r="M86"/>
      <c r="W86"/>
    </row>
    <row r="87" spans="10:23" x14ac:dyDescent="0.25">
      <c r="J87"/>
      <c r="M87"/>
      <c r="W87"/>
    </row>
    <row r="88" spans="10:23" x14ac:dyDescent="0.25">
      <c r="J88"/>
      <c r="M88"/>
      <c r="W88"/>
    </row>
    <row r="89" spans="10:23" x14ac:dyDescent="0.25">
      <c r="J89"/>
      <c r="M89"/>
      <c r="W89"/>
    </row>
    <row r="90" spans="10:23" x14ac:dyDescent="0.25">
      <c r="J90"/>
      <c r="M90"/>
      <c r="W90"/>
    </row>
    <row r="91" spans="10:23" x14ac:dyDescent="0.25">
      <c r="J91"/>
      <c r="M91"/>
      <c r="W91"/>
    </row>
    <row r="92" spans="10:23" x14ac:dyDescent="0.25">
      <c r="J92"/>
      <c r="M92"/>
      <c r="W92"/>
    </row>
    <row r="93" spans="10:23" x14ac:dyDescent="0.25">
      <c r="J93"/>
      <c r="M93"/>
      <c r="W93"/>
    </row>
    <row r="94" spans="10:23" x14ac:dyDescent="0.25">
      <c r="J94"/>
      <c r="M94"/>
      <c r="W94"/>
    </row>
    <row r="95" spans="10:23" x14ac:dyDescent="0.25">
      <c r="J95"/>
      <c r="M95"/>
      <c r="W95"/>
    </row>
    <row r="96" spans="10:23" x14ac:dyDescent="0.25">
      <c r="J96"/>
      <c r="M96"/>
      <c r="W96"/>
    </row>
    <row r="97" spans="10:23" x14ac:dyDescent="0.25">
      <c r="J97"/>
      <c r="M97"/>
      <c r="W97"/>
    </row>
    <row r="98" spans="10:23" x14ac:dyDescent="0.25">
      <c r="J98"/>
      <c r="M98"/>
      <c r="W98"/>
    </row>
    <row r="99" spans="10:23" x14ac:dyDescent="0.25">
      <c r="J99"/>
      <c r="M99"/>
      <c r="W99"/>
    </row>
    <row r="100" spans="10:23" x14ac:dyDescent="0.25">
      <c r="J100"/>
      <c r="M100"/>
      <c r="W100"/>
    </row>
    <row r="101" spans="10:23" x14ac:dyDescent="0.25">
      <c r="J101"/>
      <c r="M101"/>
      <c r="W101"/>
    </row>
    <row r="102" spans="10:23" x14ac:dyDescent="0.25">
      <c r="J102"/>
      <c r="M102"/>
      <c r="W102"/>
    </row>
    <row r="103" spans="10:23" x14ac:dyDescent="0.25">
      <c r="J103"/>
      <c r="M103"/>
      <c r="W103"/>
    </row>
    <row r="104" spans="10:23" x14ac:dyDescent="0.25">
      <c r="J104"/>
      <c r="M104"/>
      <c r="W104"/>
    </row>
    <row r="105" spans="10:23" x14ac:dyDescent="0.25">
      <c r="J105"/>
      <c r="M105"/>
      <c r="W105"/>
    </row>
    <row r="106" spans="10:23" x14ac:dyDescent="0.25">
      <c r="J106"/>
      <c r="M106"/>
      <c r="W106"/>
    </row>
    <row r="107" spans="10:23" x14ac:dyDescent="0.25">
      <c r="J107"/>
      <c r="M107"/>
      <c r="W107"/>
    </row>
    <row r="108" spans="10:23" x14ac:dyDescent="0.25">
      <c r="J108"/>
      <c r="M108"/>
      <c r="W108"/>
    </row>
    <row r="109" spans="10:23" x14ac:dyDescent="0.25">
      <c r="J109"/>
      <c r="M109"/>
      <c r="W109"/>
    </row>
    <row r="110" spans="10:23" x14ac:dyDescent="0.25">
      <c r="J110"/>
      <c r="M110"/>
      <c r="W110"/>
    </row>
    <row r="111" spans="10:23" x14ac:dyDescent="0.25">
      <c r="J111"/>
      <c r="M111"/>
      <c r="W111"/>
    </row>
    <row r="112" spans="10:23" x14ac:dyDescent="0.25">
      <c r="J112"/>
      <c r="M112"/>
      <c r="W112"/>
    </row>
    <row r="113" spans="10:23" x14ac:dyDescent="0.25">
      <c r="J113"/>
      <c r="M113"/>
      <c r="W113"/>
    </row>
    <row r="114" spans="10:23" x14ac:dyDescent="0.25">
      <c r="J114"/>
      <c r="M114"/>
      <c r="W114"/>
    </row>
    <row r="115" spans="10:23" x14ac:dyDescent="0.25">
      <c r="J115"/>
      <c r="M115"/>
      <c r="W115"/>
    </row>
    <row r="116" spans="10:23" x14ac:dyDescent="0.25">
      <c r="J116"/>
      <c r="M116"/>
      <c r="W116"/>
    </row>
    <row r="117" spans="10:23" x14ac:dyDescent="0.25">
      <c r="J117"/>
      <c r="M117"/>
      <c r="W117"/>
    </row>
    <row r="118" spans="10:23" x14ac:dyDescent="0.25">
      <c r="J118"/>
      <c r="M118"/>
      <c r="W118"/>
    </row>
    <row r="119" spans="10:23" x14ac:dyDescent="0.25">
      <c r="J119"/>
      <c r="M119"/>
      <c r="W119"/>
    </row>
    <row r="120" spans="10:23" x14ac:dyDescent="0.25">
      <c r="J120"/>
      <c r="M120"/>
      <c r="W120"/>
    </row>
    <row r="121" spans="10:23" x14ac:dyDescent="0.25">
      <c r="J121"/>
      <c r="M121"/>
      <c r="W121"/>
    </row>
    <row r="122" spans="10:23" x14ac:dyDescent="0.25">
      <c r="J122"/>
      <c r="M122"/>
      <c r="W122"/>
    </row>
    <row r="123" spans="10:23" x14ac:dyDescent="0.25">
      <c r="J123"/>
      <c r="M123"/>
      <c r="W123"/>
    </row>
    <row r="124" spans="10:23" x14ac:dyDescent="0.25">
      <c r="J124"/>
      <c r="M124"/>
      <c r="W124"/>
    </row>
    <row r="125" spans="10:23" x14ac:dyDescent="0.25">
      <c r="J125"/>
      <c r="M125"/>
      <c r="W125"/>
    </row>
    <row r="126" spans="10:23" x14ac:dyDescent="0.25">
      <c r="J126"/>
      <c r="M126"/>
      <c r="W126"/>
    </row>
    <row r="127" spans="10:23" x14ac:dyDescent="0.25">
      <c r="J127"/>
      <c r="M127"/>
      <c r="W127"/>
    </row>
    <row r="128" spans="10:23" x14ac:dyDescent="0.25">
      <c r="J128"/>
      <c r="M128"/>
      <c r="W128"/>
    </row>
    <row r="129" spans="10:23" x14ac:dyDescent="0.25">
      <c r="J129"/>
      <c r="M129"/>
      <c r="W129"/>
    </row>
    <row r="130" spans="10:23" x14ac:dyDescent="0.25">
      <c r="J130"/>
      <c r="M130"/>
      <c r="W130"/>
    </row>
    <row r="131" spans="10:23" x14ac:dyDescent="0.25">
      <c r="J131"/>
      <c r="M131"/>
      <c r="W131"/>
    </row>
    <row r="132" spans="10:23" x14ac:dyDescent="0.25">
      <c r="J132"/>
      <c r="M132"/>
      <c r="W132"/>
    </row>
    <row r="133" spans="10:23" x14ac:dyDescent="0.25">
      <c r="J133"/>
      <c r="M133"/>
      <c r="W133"/>
    </row>
    <row r="134" spans="10:23" x14ac:dyDescent="0.25">
      <c r="J134"/>
      <c r="M134"/>
      <c r="W134"/>
    </row>
    <row r="135" spans="10:23" x14ac:dyDescent="0.25">
      <c r="J135"/>
      <c r="M135"/>
      <c r="W135"/>
    </row>
    <row r="136" spans="10:23" x14ac:dyDescent="0.25">
      <c r="J136"/>
      <c r="M136"/>
      <c r="W136"/>
    </row>
    <row r="137" spans="10:23" x14ac:dyDescent="0.25">
      <c r="J137"/>
      <c r="M137"/>
      <c r="W137"/>
    </row>
    <row r="138" spans="10:23" x14ac:dyDescent="0.25">
      <c r="J138"/>
      <c r="M138"/>
      <c r="W138"/>
    </row>
    <row r="139" spans="10:23" x14ac:dyDescent="0.25">
      <c r="J139"/>
      <c r="M139"/>
      <c r="W139"/>
    </row>
    <row r="140" spans="10:23" x14ac:dyDescent="0.25">
      <c r="J140"/>
      <c r="M140"/>
      <c r="W140"/>
    </row>
    <row r="141" spans="10:23" x14ac:dyDescent="0.25">
      <c r="J141"/>
      <c r="M141"/>
      <c r="W141"/>
    </row>
    <row r="142" spans="10:23" x14ac:dyDescent="0.25">
      <c r="J142"/>
      <c r="M142"/>
      <c r="W142"/>
    </row>
    <row r="143" spans="10:23" x14ac:dyDescent="0.25">
      <c r="J143"/>
      <c r="M143"/>
      <c r="W143"/>
    </row>
    <row r="144" spans="10:23" x14ac:dyDescent="0.25">
      <c r="J144"/>
      <c r="M144"/>
      <c r="W144"/>
    </row>
    <row r="145" spans="10:23" x14ac:dyDescent="0.25">
      <c r="J145"/>
      <c r="M145"/>
      <c r="W145"/>
    </row>
    <row r="146" spans="10:23" x14ac:dyDescent="0.25">
      <c r="J146"/>
      <c r="M146"/>
      <c r="W146"/>
    </row>
    <row r="147" spans="10:23" x14ac:dyDescent="0.25">
      <c r="J147"/>
      <c r="M147"/>
      <c r="W147"/>
    </row>
    <row r="148" spans="10:23" x14ac:dyDescent="0.25">
      <c r="J148"/>
      <c r="M148"/>
      <c r="W148"/>
    </row>
    <row r="149" spans="10:23" x14ac:dyDescent="0.25">
      <c r="J149"/>
      <c r="M149"/>
      <c r="W149"/>
    </row>
    <row r="150" spans="10:23" x14ac:dyDescent="0.25">
      <c r="J150"/>
      <c r="M150"/>
      <c r="W150"/>
    </row>
    <row r="151" spans="10:23" x14ac:dyDescent="0.25">
      <c r="J151"/>
      <c r="M151"/>
      <c r="W151"/>
    </row>
    <row r="152" spans="10:23" x14ac:dyDescent="0.25">
      <c r="J152"/>
      <c r="M152"/>
      <c r="W152"/>
    </row>
    <row r="153" spans="10:23" x14ac:dyDescent="0.25">
      <c r="J153"/>
      <c r="M153"/>
      <c r="W153"/>
    </row>
    <row r="154" spans="10:23" x14ac:dyDescent="0.25">
      <c r="J154"/>
      <c r="M154"/>
      <c r="W154"/>
    </row>
    <row r="155" spans="10:23" x14ac:dyDescent="0.25">
      <c r="J155"/>
      <c r="M155"/>
      <c r="W155"/>
    </row>
    <row r="156" spans="10:23" x14ac:dyDescent="0.25">
      <c r="J156"/>
      <c r="M156"/>
      <c r="W156"/>
    </row>
    <row r="157" spans="10:23" x14ac:dyDescent="0.25">
      <c r="J157"/>
      <c r="M157"/>
      <c r="W157"/>
    </row>
    <row r="158" spans="10:23" x14ac:dyDescent="0.25">
      <c r="J158"/>
      <c r="M158"/>
      <c r="W158"/>
    </row>
    <row r="159" spans="10:23" x14ac:dyDescent="0.25">
      <c r="J159"/>
      <c r="M159"/>
      <c r="W159"/>
    </row>
    <row r="160" spans="10:23" x14ac:dyDescent="0.25">
      <c r="J160"/>
      <c r="M160"/>
      <c r="W160"/>
    </row>
    <row r="161" spans="10:23" x14ac:dyDescent="0.25">
      <c r="J161"/>
      <c r="M161"/>
      <c r="W161"/>
    </row>
    <row r="162" spans="10:23" x14ac:dyDescent="0.25">
      <c r="J162"/>
      <c r="M162"/>
      <c r="W162"/>
    </row>
    <row r="163" spans="10:23" x14ac:dyDescent="0.25">
      <c r="J163"/>
      <c r="M163"/>
      <c r="W163"/>
    </row>
    <row r="164" spans="10:23" x14ac:dyDescent="0.25">
      <c r="J164"/>
      <c r="M164"/>
      <c r="W164"/>
    </row>
    <row r="165" spans="10:23" x14ac:dyDescent="0.25">
      <c r="J165"/>
      <c r="M165"/>
      <c r="W165"/>
    </row>
    <row r="166" spans="10:23" x14ac:dyDescent="0.25">
      <c r="J166"/>
      <c r="M166"/>
      <c r="W166"/>
    </row>
    <row r="167" spans="10:23" x14ac:dyDescent="0.25">
      <c r="J167"/>
      <c r="M167"/>
      <c r="W167"/>
    </row>
    <row r="168" spans="10:23" x14ac:dyDescent="0.25">
      <c r="J168"/>
      <c r="M168"/>
      <c r="W168"/>
    </row>
    <row r="169" spans="10:23" x14ac:dyDescent="0.25">
      <c r="J169"/>
      <c r="M169"/>
      <c r="W169"/>
    </row>
    <row r="170" spans="10:23" x14ac:dyDescent="0.25">
      <c r="J170"/>
      <c r="M170"/>
      <c r="W170"/>
    </row>
    <row r="171" spans="10:23" x14ac:dyDescent="0.25">
      <c r="J171"/>
      <c r="M171"/>
      <c r="W171"/>
    </row>
    <row r="172" spans="10:23" x14ac:dyDescent="0.25">
      <c r="J172"/>
      <c r="M172"/>
      <c r="W172"/>
    </row>
    <row r="173" spans="10:23" x14ac:dyDescent="0.25">
      <c r="J173"/>
      <c r="M173"/>
      <c r="W173"/>
    </row>
    <row r="174" spans="10:23" x14ac:dyDescent="0.25">
      <c r="J174"/>
      <c r="M174"/>
      <c r="W174"/>
    </row>
    <row r="175" spans="10:23" x14ac:dyDescent="0.25">
      <c r="J175"/>
      <c r="M175"/>
      <c r="W175"/>
    </row>
    <row r="176" spans="10:23" x14ac:dyDescent="0.25">
      <c r="J176"/>
      <c r="M176"/>
      <c r="W176"/>
    </row>
    <row r="177" spans="10:23" x14ac:dyDescent="0.25">
      <c r="J177"/>
      <c r="M177"/>
      <c r="W177"/>
    </row>
    <row r="178" spans="10:23" x14ac:dyDescent="0.25">
      <c r="J178"/>
      <c r="M178"/>
      <c r="W178"/>
    </row>
    <row r="179" spans="10:23" x14ac:dyDescent="0.25">
      <c r="J179"/>
      <c r="M179"/>
      <c r="W179"/>
    </row>
    <row r="180" spans="10:23" x14ac:dyDescent="0.25">
      <c r="J180"/>
      <c r="M180"/>
      <c r="W180"/>
    </row>
    <row r="181" spans="10:23" x14ac:dyDescent="0.25">
      <c r="J181"/>
      <c r="M181"/>
      <c r="W181"/>
    </row>
    <row r="182" spans="10:23" x14ac:dyDescent="0.25">
      <c r="J182"/>
      <c r="M182"/>
      <c r="W182"/>
    </row>
    <row r="183" spans="10:23" x14ac:dyDescent="0.25">
      <c r="J183"/>
      <c r="M183"/>
      <c r="W183"/>
    </row>
    <row r="184" spans="10:23" x14ac:dyDescent="0.25">
      <c r="J184"/>
      <c r="M184"/>
      <c r="W184"/>
    </row>
    <row r="185" spans="10:23" x14ac:dyDescent="0.25">
      <c r="J185"/>
      <c r="M185"/>
      <c r="W185"/>
    </row>
    <row r="186" spans="10:23" x14ac:dyDescent="0.25">
      <c r="J186"/>
      <c r="M186"/>
      <c r="W186"/>
    </row>
    <row r="187" spans="10:23" x14ac:dyDescent="0.25">
      <c r="J187"/>
      <c r="M187"/>
      <c r="W187"/>
    </row>
    <row r="188" spans="10:23" x14ac:dyDescent="0.25">
      <c r="J188"/>
      <c r="M188"/>
      <c r="W188"/>
    </row>
    <row r="189" spans="10:23" x14ac:dyDescent="0.25">
      <c r="J189"/>
      <c r="M189"/>
      <c r="W189"/>
    </row>
    <row r="190" spans="10:23" x14ac:dyDescent="0.25">
      <c r="J190"/>
      <c r="M190"/>
      <c r="W190"/>
    </row>
    <row r="191" spans="10:23" x14ac:dyDescent="0.25">
      <c r="J191"/>
      <c r="M191"/>
      <c r="W191"/>
    </row>
    <row r="192" spans="10:23" x14ac:dyDescent="0.25">
      <c r="J192"/>
      <c r="M192"/>
      <c r="W192"/>
    </row>
    <row r="193" spans="10:23" x14ac:dyDescent="0.25">
      <c r="J193"/>
      <c r="M193"/>
      <c r="W193"/>
    </row>
    <row r="194" spans="10:23" x14ac:dyDescent="0.25">
      <c r="J194"/>
      <c r="M194"/>
      <c r="W194"/>
    </row>
    <row r="195" spans="10:23" x14ac:dyDescent="0.25">
      <c r="J195"/>
      <c r="M195"/>
      <c r="W195"/>
    </row>
    <row r="196" spans="10:23" x14ac:dyDescent="0.25">
      <c r="J196"/>
      <c r="M196"/>
      <c r="W196"/>
    </row>
    <row r="197" spans="10:23" x14ac:dyDescent="0.25">
      <c r="J197"/>
      <c r="M197"/>
      <c r="W197"/>
    </row>
    <row r="198" spans="10:23" x14ac:dyDescent="0.25">
      <c r="J198"/>
      <c r="M198"/>
      <c r="W198"/>
    </row>
    <row r="199" spans="10:23" x14ac:dyDescent="0.25">
      <c r="J199"/>
      <c r="M199"/>
      <c r="W199"/>
    </row>
    <row r="200" spans="10:23" x14ac:dyDescent="0.25">
      <c r="J200"/>
      <c r="M200"/>
      <c r="W200"/>
    </row>
    <row r="201" spans="10:23" x14ac:dyDescent="0.25">
      <c r="J201"/>
      <c r="M201"/>
      <c r="W201"/>
    </row>
    <row r="202" spans="10:23" x14ac:dyDescent="0.25">
      <c r="J202"/>
      <c r="M202"/>
      <c r="W202"/>
    </row>
    <row r="203" spans="10:23" x14ac:dyDescent="0.25">
      <c r="J203"/>
      <c r="M203"/>
      <c r="W203"/>
    </row>
    <row r="204" spans="10:23" x14ac:dyDescent="0.25">
      <c r="J204"/>
      <c r="M204"/>
      <c r="W204"/>
    </row>
    <row r="205" spans="10:23" x14ac:dyDescent="0.25">
      <c r="J205"/>
      <c r="M205"/>
      <c r="W205"/>
    </row>
    <row r="206" spans="10:23" x14ac:dyDescent="0.25">
      <c r="J206"/>
      <c r="M206"/>
      <c r="W206"/>
    </row>
    <row r="207" spans="10:23" x14ac:dyDescent="0.25">
      <c r="J207"/>
      <c r="M207"/>
      <c r="W207"/>
    </row>
    <row r="208" spans="10:23" x14ac:dyDescent="0.25">
      <c r="J208"/>
      <c r="M208"/>
      <c r="W208"/>
    </row>
    <row r="209" spans="10:23" x14ac:dyDescent="0.25">
      <c r="J209"/>
      <c r="M209"/>
      <c r="W209"/>
    </row>
    <row r="210" spans="10:23" x14ac:dyDescent="0.25">
      <c r="J210"/>
      <c r="M210"/>
      <c r="W210"/>
    </row>
    <row r="211" spans="10:23" x14ac:dyDescent="0.25">
      <c r="J211"/>
      <c r="M211"/>
      <c r="W211"/>
    </row>
    <row r="212" spans="10:23" x14ac:dyDescent="0.25">
      <c r="J212"/>
      <c r="M212"/>
      <c r="W212"/>
    </row>
    <row r="213" spans="10:23" x14ac:dyDescent="0.25">
      <c r="J213"/>
      <c r="M213"/>
      <c r="W213"/>
    </row>
    <row r="214" spans="10:23" x14ac:dyDescent="0.25">
      <c r="J214"/>
      <c r="M214"/>
      <c r="W214"/>
    </row>
    <row r="215" spans="10:23" x14ac:dyDescent="0.25">
      <c r="J215"/>
      <c r="M215"/>
      <c r="W215"/>
    </row>
    <row r="216" spans="10:23" x14ac:dyDescent="0.25">
      <c r="J216"/>
      <c r="M216"/>
      <c r="W216"/>
    </row>
    <row r="217" spans="10:23" x14ac:dyDescent="0.25">
      <c r="J217"/>
      <c r="M217"/>
      <c r="W217"/>
    </row>
    <row r="218" spans="10:23" x14ac:dyDescent="0.25">
      <c r="J218"/>
      <c r="M218"/>
      <c r="W218"/>
    </row>
    <row r="219" spans="10:23" x14ac:dyDescent="0.25">
      <c r="J219"/>
      <c r="M219"/>
      <c r="W219"/>
    </row>
    <row r="220" spans="10:23" x14ac:dyDescent="0.25">
      <c r="J220"/>
      <c r="M220"/>
      <c r="W220"/>
    </row>
    <row r="221" spans="10:23" x14ac:dyDescent="0.25">
      <c r="J221"/>
      <c r="M221"/>
      <c r="W221"/>
    </row>
    <row r="222" spans="10:23" x14ac:dyDescent="0.25">
      <c r="J222"/>
      <c r="M222"/>
      <c r="W222"/>
    </row>
    <row r="223" spans="10:23" x14ac:dyDescent="0.25">
      <c r="J223"/>
      <c r="M223"/>
      <c r="W223"/>
    </row>
    <row r="224" spans="10:23" x14ac:dyDescent="0.25">
      <c r="J224"/>
      <c r="M224"/>
      <c r="W224"/>
    </row>
    <row r="225" spans="10:23" x14ac:dyDescent="0.25">
      <c r="J225"/>
      <c r="M225"/>
      <c r="W225"/>
    </row>
    <row r="226" spans="10:23" x14ac:dyDescent="0.25">
      <c r="J226"/>
      <c r="M226"/>
      <c r="W226"/>
    </row>
    <row r="227" spans="10:23" x14ac:dyDescent="0.25">
      <c r="J227"/>
      <c r="M227"/>
      <c r="W227"/>
    </row>
    <row r="228" spans="10:23" x14ac:dyDescent="0.25">
      <c r="J228"/>
      <c r="M228"/>
      <c r="W228"/>
    </row>
    <row r="229" spans="10:23" x14ac:dyDescent="0.25">
      <c r="J229"/>
      <c r="M229"/>
      <c r="W229"/>
    </row>
    <row r="230" spans="10:23" x14ac:dyDescent="0.25">
      <c r="J230"/>
      <c r="M230"/>
      <c r="W230"/>
    </row>
    <row r="231" spans="10:23" x14ac:dyDescent="0.25">
      <c r="J231"/>
      <c r="M231"/>
      <c r="W231"/>
    </row>
    <row r="232" spans="10:23" x14ac:dyDescent="0.25">
      <c r="J232"/>
      <c r="M232"/>
      <c r="W232"/>
    </row>
    <row r="233" spans="10:23" x14ac:dyDescent="0.25">
      <c r="J233"/>
      <c r="M233"/>
      <c r="W233"/>
    </row>
    <row r="234" spans="10:23" x14ac:dyDescent="0.25">
      <c r="J234"/>
      <c r="M234"/>
      <c r="W234"/>
    </row>
    <row r="235" spans="10:23" x14ac:dyDescent="0.25">
      <c r="J235"/>
      <c r="M235"/>
      <c r="W235"/>
    </row>
    <row r="236" spans="10:23" x14ac:dyDescent="0.25">
      <c r="J236"/>
      <c r="M236"/>
      <c r="W236"/>
    </row>
    <row r="237" spans="10:23" x14ac:dyDescent="0.25">
      <c r="J237"/>
      <c r="M237"/>
      <c r="W237"/>
    </row>
    <row r="238" spans="10:23" x14ac:dyDescent="0.25">
      <c r="J238"/>
      <c r="M238"/>
      <c r="W238"/>
    </row>
    <row r="239" spans="10:23" x14ac:dyDescent="0.25">
      <c r="J239"/>
      <c r="M239"/>
      <c r="W239"/>
    </row>
    <row r="240" spans="10:23" x14ac:dyDescent="0.25">
      <c r="J240"/>
      <c r="M240"/>
      <c r="W240"/>
    </row>
    <row r="241" spans="10:23" x14ac:dyDescent="0.25">
      <c r="J241"/>
      <c r="M241"/>
      <c r="W241"/>
    </row>
    <row r="242" spans="10:23" x14ac:dyDescent="0.25">
      <c r="J242"/>
      <c r="M242"/>
      <c r="W242"/>
    </row>
    <row r="243" spans="10:23" x14ac:dyDescent="0.25">
      <c r="J243"/>
      <c r="M243"/>
      <c r="W243"/>
    </row>
    <row r="244" spans="10:23" x14ac:dyDescent="0.25">
      <c r="J244"/>
      <c r="M244"/>
      <c r="W244"/>
    </row>
    <row r="245" spans="10:23" x14ac:dyDescent="0.25">
      <c r="J245"/>
      <c r="M245"/>
      <c r="W245"/>
    </row>
    <row r="246" spans="10:23" x14ac:dyDescent="0.25">
      <c r="J246"/>
      <c r="M246"/>
      <c r="W246"/>
    </row>
    <row r="247" spans="10:23" x14ac:dyDescent="0.25">
      <c r="J247"/>
      <c r="M247"/>
      <c r="W247"/>
    </row>
    <row r="248" spans="10:23" x14ac:dyDescent="0.25">
      <c r="J248"/>
      <c r="M248"/>
      <c r="W248"/>
    </row>
    <row r="249" spans="10:23" x14ac:dyDescent="0.25">
      <c r="J249"/>
      <c r="M249"/>
      <c r="W249"/>
    </row>
    <row r="250" spans="10:23" x14ac:dyDescent="0.25">
      <c r="J250"/>
      <c r="M250"/>
      <c r="W250"/>
    </row>
    <row r="251" spans="10:23" x14ac:dyDescent="0.25">
      <c r="J251"/>
      <c r="M251"/>
      <c r="W251"/>
    </row>
    <row r="252" spans="10:23" x14ac:dyDescent="0.25">
      <c r="J252"/>
      <c r="M252"/>
      <c r="W252"/>
    </row>
    <row r="253" spans="10:23" x14ac:dyDescent="0.25">
      <c r="J253"/>
      <c r="M253"/>
      <c r="W253"/>
    </row>
    <row r="254" spans="10:23" x14ac:dyDescent="0.25">
      <c r="J254"/>
      <c r="M254"/>
      <c r="W254"/>
    </row>
    <row r="255" spans="10:23" x14ac:dyDescent="0.25">
      <c r="J255"/>
      <c r="M255"/>
      <c r="W255"/>
    </row>
    <row r="256" spans="10:23" x14ac:dyDescent="0.25">
      <c r="J256"/>
      <c r="M256"/>
      <c r="W256"/>
    </row>
    <row r="257" spans="10:23" x14ac:dyDescent="0.25">
      <c r="J257"/>
      <c r="M257"/>
      <c r="W257"/>
    </row>
    <row r="258" spans="10:23" x14ac:dyDescent="0.25">
      <c r="J258"/>
      <c r="M258"/>
      <c r="W258"/>
    </row>
    <row r="259" spans="10:23" x14ac:dyDescent="0.25">
      <c r="J259"/>
      <c r="M259"/>
      <c r="W259"/>
    </row>
    <row r="260" spans="10:23" x14ac:dyDescent="0.25">
      <c r="J260"/>
      <c r="M260"/>
      <c r="W260"/>
    </row>
    <row r="261" spans="10:23" x14ac:dyDescent="0.25">
      <c r="J261"/>
      <c r="M261"/>
      <c r="W261"/>
    </row>
    <row r="262" spans="10:23" x14ac:dyDescent="0.25">
      <c r="J262"/>
      <c r="M262"/>
      <c r="W262"/>
    </row>
    <row r="263" spans="10:23" x14ac:dyDescent="0.25">
      <c r="J263"/>
      <c r="M263"/>
      <c r="W263"/>
    </row>
    <row r="264" spans="10:23" x14ac:dyDescent="0.25">
      <c r="J264"/>
      <c r="M264"/>
      <c r="W264"/>
    </row>
    <row r="265" spans="10:23" x14ac:dyDescent="0.25">
      <c r="J265"/>
      <c r="M265"/>
      <c r="W265"/>
    </row>
    <row r="266" spans="10:23" x14ac:dyDescent="0.25">
      <c r="J266"/>
      <c r="M266"/>
      <c r="W266"/>
    </row>
    <row r="267" spans="10:23" x14ac:dyDescent="0.25">
      <c r="J267"/>
      <c r="M267"/>
      <c r="W267"/>
    </row>
    <row r="268" spans="10:23" x14ac:dyDescent="0.25">
      <c r="J268"/>
      <c r="M268"/>
      <c r="W268"/>
    </row>
    <row r="269" spans="10:23" x14ac:dyDescent="0.25">
      <c r="J269"/>
      <c r="M269"/>
      <c r="W269"/>
    </row>
    <row r="270" spans="10:23" x14ac:dyDescent="0.25">
      <c r="J270"/>
      <c r="M270"/>
      <c r="W270"/>
    </row>
    <row r="271" spans="10:23" x14ac:dyDescent="0.25">
      <c r="J271"/>
      <c r="M271"/>
      <c r="W271"/>
    </row>
    <row r="272" spans="10:23" x14ac:dyDescent="0.25">
      <c r="J272"/>
      <c r="M272"/>
      <c r="W272"/>
    </row>
    <row r="273" spans="10:23" x14ac:dyDescent="0.25">
      <c r="J273"/>
      <c r="M273"/>
      <c r="W273"/>
    </row>
    <row r="274" spans="10:23" x14ac:dyDescent="0.25">
      <c r="J274"/>
      <c r="M274"/>
      <c r="W274"/>
    </row>
    <row r="275" spans="10:23" x14ac:dyDescent="0.25">
      <c r="J275"/>
      <c r="M275"/>
      <c r="W275"/>
    </row>
    <row r="276" spans="10:23" x14ac:dyDescent="0.25">
      <c r="J276"/>
      <c r="M276"/>
      <c r="W276"/>
    </row>
    <row r="277" spans="10:23" x14ac:dyDescent="0.25">
      <c r="J277"/>
      <c r="M277"/>
      <c r="W277"/>
    </row>
    <row r="278" spans="10:23" x14ac:dyDescent="0.25">
      <c r="J278"/>
      <c r="M278"/>
      <c r="W278"/>
    </row>
    <row r="279" spans="10:23" x14ac:dyDescent="0.25">
      <c r="J279"/>
      <c r="M279"/>
      <c r="W279"/>
    </row>
    <row r="280" spans="10:23" x14ac:dyDescent="0.25">
      <c r="J280"/>
      <c r="M280"/>
      <c r="W280"/>
    </row>
    <row r="281" spans="10:23" x14ac:dyDescent="0.25">
      <c r="J281"/>
      <c r="M281"/>
      <c r="W281"/>
    </row>
    <row r="282" spans="10:23" x14ac:dyDescent="0.25">
      <c r="J282"/>
      <c r="M282"/>
      <c r="W282"/>
    </row>
    <row r="283" spans="10:23" x14ac:dyDescent="0.25">
      <c r="J283"/>
      <c r="M283"/>
      <c r="W283"/>
    </row>
    <row r="284" spans="10:23" x14ac:dyDescent="0.25">
      <c r="J284"/>
      <c r="M284"/>
      <c r="W284"/>
    </row>
    <row r="285" spans="10:23" x14ac:dyDescent="0.25">
      <c r="J285"/>
      <c r="M285"/>
      <c r="W285"/>
    </row>
    <row r="286" spans="10:23" x14ac:dyDescent="0.25">
      <c r="J286"/>
      <c r="M286"/>
      <c r="W286"/>
    </row>
    <row r="287" spans="10:23" x14ac:dyDescent="0.25">
      <c r="J287"/>
      <c r="M287"/>
      <c r="W287"/>
    </row>
    <row r="288" spans="10:23" x14ac:dyDescent="0.25">
      <c r="J288"/>
      <c r="M288"/>
      <c r="W288"/>
    </row>
    <row r="289" spans="10:23" x14ac:dyDescent="0.25">
      <c r="J289"/>
      <c r="M289"/>
      <c r="W289"/>
    </row>
    <row r="290" spans="10:23" x14ac:dyDescent="0.25">
      <c r="J290"/>
      <c r="M290"/>
      <c r="W290"/>
    </row>
    <row r="291" spans="10:23" x14ac:dyDescent="0.25">
      <c r="J291"/>
      <c r="M291"/>
      <c r="W291"/>
    </row>
    <row r="292" spans="10:23" x14ac:dyDescent="0.25">
      <c r="J292"/>
      <c r="M292"/>
      <c r="W292"/>
    </row>
    <row r="293" spans="10:23" x14ac:dyDescent="0.25">
      <c r="J293"/>
      <c r="M293"/>
      <c r="W293"/>
    </row>
    <row r="294" spans="10:23" x14ac:dyDescent="0.25">
      <c r="J294"/>
      <c r="M294"/>
      <c r="W294"/>
    </row>
    <row r="295" spans="10:23" x14ac:dyDescent="0.25">
      <c r="J295"/>
      <c r="M295"/>
      <c r="W295"/>
    </row>
    <row r="296" spans="10:23" x14ac:dyDescent="0.25">
      <c r="J296"/>
      <c r="M296"/>
      <c r="W296"/>
    </row>
    <row r="297" spans="10:23" x14ac:dyDescent="0.25">
      <c r="J297"/>
      <c r="M297"/>
      <c r="W297"/>
    </row>
    <row r="298" spans="10:23" x14ac:dyDescent="0.25">
      <c r="J298"/>
      <c r="M298"/>
      <c r="W298"/>
    </row>
    <row r="299" spans="10:23" x14ac:dyDescent="0.25">
      <c r="J299"/>
      <c r="M299"/>
      <c r="W299"/>
    </row>
    <row r="300" spans="10:23" x14ac:dyDescent="0.25">
      <c r="J300"/>
      <c r="M300"/>
      <c r="W300"/>
    </row>
    <row r="301" spans="10:23" x14ac:dyDescent="0.25">
      <c r="J301"/>
      <c r="M301"/>
      <c r="W301"/>
    </row>
    <row r="302" spans="10:23" x14ac:dyDescent="0.25">
      <c r="J302"/>
      <c r="M302"/>
      <c r="W302"/>
    </row>
    <row r="303" spans="10:23" x14ac:dyDescent="0.25">
      <c r="J303"/>
      <c r="M303"/>
      <c r="W303"/>
    </row>
    <row r="304" spans="10:23" x14ac:dyDescent="0.25">
      <c r="J304"/>
      <c r="M304"/>
      <c r="W304"/>
    </row>
    <row r="305" spans="10:23" x14ac:dyDescent="0.25">
      <c r="J305"/>
      <c r="M305"/>
      <c r="W305"/>
    </row>
    <row r="306" spans="10:23" x14ac:dyDescent="0.25">
      <c r="J306"/>
      <c r="M306"/>
      <c r="W306"/>
    </row>
    <row r="307" spans="10:23" x14ac:dyDescent="0.25">
      <c r="J307"/>
      <c r="M307"/>
      <c r="W307"/>
    </row>
    <row r="308" spans="10:23" x14ac:dyDescent="0.25">
      <c r="J308"/>
      <c r="M308"/>
      <c r="W308"/>
    </row>
    <row r="309" spans="10:23" x14ac:dyDescent="0.25">
      <c r="J309"/>
      <c r="M309"/>
      <c r="W309"/>
    </row>
    <row r="310" spans="10:23" x14ac:dyDescent="0.25">
      <c r="J310"/>
      <c r="M310"/>
      <c r="W310"/>
    </row>
    <row r="311" spans="10:23" x14ac:dyDescent="0.25">
      <c r="J311"/>
      <c r="M311"/>
      <c r="W311"/>
    </row>
    <row r="312" spans="10:23" x14ac:dyDescent="0.25">
      <c r="J312"/>
      <c r="M312"/>
      <c r="W312"/>
    </row>
    <row r="313" spans="10:23" x14ac:dyDescent="0.25">
      <c r="J313"/>
      <c r="M313"/>
      <c r="W313"/>
    </row>
    <row r="314" spans="10:23" x14ac:dyDescent="0.25">
      <c r="J314"/>
      <c r="M314"/>
      <c r="W314"/>
    </row>
    <row r="315" spans="10:23" x14ac:dyDescent="0.25">
      <c r="J315"/>
      <c r="M315"/>
      <c r="W315"/>
    </row>
    <row r="316" spans="10:23" x14ac:dyDescent="0.25">
      <c r="J316"/>
      <c r="M316"/>
      <c r="W316"/>
    </row>
    <row r="317" spans="10:23" x14ac:dyDescent="0.25">
      <c r="J317"/>
      <c r="M317"/>
      <c r="W317"/>
    </row>
    <row r="318" spans="10:23" x14ac:dyDescent="0.25">
      <c r="J318"/>
      <c r="M318"/>
      <c r="W318"/>
    </row>
    <row r="319" spans="10:23" x14ac:dyDescent="0.25">
      <c r="J319"/>
      <c r="M319"/>
      <c r="W319"/>
    </row>
    <row r="320" spans="10:23" x14ac:dyDescent="0.25">
      <c r="J320"/>
      <c r="M320"/>
      <c r="W320"/>
    </row>
    <row r="321" spans="10:23" x14ac:dyDescent="0.25">
      <c r="J321"/>
      <c r="M321"/>
      <c r="W321"/>
    </row>
    <row r="322" spans="10:23" x14ac:dyDescent="0.25">
      <c r="J322"/>
      <c r="M322"/>
      <c r="W322"/>
    </row>
    <row r="323" spans="10:23" x14ac:dyDescent="0.25">
      <c r="J323"/>
      <c r="M323"/>
      <c r="W323"/>
    </row>
    <row r="324" spans="10:23" x14ac:dyDescent="0.25">
      <c r="J324"/>
      <c r="M324"/>
      <c r="W324"/>
    </row>
    <row r="325" spans="10:23" x14ac:dyDescent="0.25">
      <c r="J325"/>
      <c r="M325"/>
      <c r="W325"/>
    </row>
    <row r="326" spans="10:23" x14ac:dyDescent="0.25">
      <c r="J326"/>
      <c r="M326"/>
      <c r="W326"/>
    </row>
    <row r="327" spans="10:23" x14ac:dyDescent="0.25">
      <c r="J327"/>
      <c r="M327"/>
      <c r="W327"/>
    </row>
    <row r="328" spans="10:23" x14ac:dyDescent="0.25">
      <c r="J328"/>
      <c r="M328"/>
      <c r="W328"/>
    </row>
    <row r="329" spans="10:23" x14ac:dyDescent="0.25">
      <c r="J329"/>
      <c r="M329"/>
      <c r="W329"/>
    </row>
    <row r="330" spans="10:23" x14ac:dyDescent="0.25">
      <c r="J330"/>
      <c r="M330"/>
      <c r="W330"/>
    </row>
    <row r="331" spans="10:23" x14ac:dyDescent="0.25">
      <c r="J331"/>
      <c r="M331"/>
      <c r="W331"/>
    </row>
    <row r="332" spans="10:23" x14ac:dyDescent="0.25">
      <c r="J332"/>
      <c r="M332"/>
      <c r="W332"/>
    </row>
    <row r="333" spans="10:23" x14ac:dyDescent="0.25">
      <c r="J333"/>
      <c r="M333"/>
      <c r="W333"/>
    </row>
    <row r="334" spans="10:23" x14ac:dyDescent="0.25">
      <c r="J334"/>
      <c r="M334"/>
      <c r="W334"/>
    </row>
    <row r="335" spans="10:23" x14ac:dyDescent="0.25">
      <c r="J335"/>
      <c r="M335"/>
      <c r="W335"/>
    </row>
    <row r="336" spans="10:23" x14ac:dyDescent="0.25">
      <c r="J336"/>
      <c r="M336"/>
      <c r="W336"/>
    </row>
    <row r="337" spans="10:23" x14ac:dyDescent="0.25">
      <c r="J337"/>
      <c r="M337"/>
      <c r="W337"/>
    </row>
    <row r="338" spans="10:23" x14ac:dyDescent="0.25">
      <c r="J338"/>
      <c r="M338"/>
      <c r="W338"/>
    </row>
    <row r="339" spans="10:23" x14ac:dyDescent="0.25">
      <c r="J339"/>
      <c r="M339"/>
      <c r="W339"/>
    </row>
    <row r="340" spans="10:23" x14ac:dyDescent="0.25">
      <c r="J340"/>
      <c r="M340"/>
      <c r="W340"/>
    </row>
    <row r="341" spans="10:23" x14ac:dyDescent="0.25">
      <c r="J341"/>
      <c r="M341"/>
      <c r="W341"/>
    </row>
    <row r="342" spans="10:23" x14ac:dyDescent="0.25">
      <c r="J342"/>
      <c r="M342"/>
      <c r="W342"/>
    </row>
    <row r="343" spans="10:23" x14ac:dyDescent="0.25">
      <c r="J343"/>
      <c r="M343"/>
      <c r="W343"/>
    </row>
    <row r="344" spans="10:23" x14ac:dyDescent="0.25">
      <c r="J344"/>
      <c r="M344"/>
      <c r="W344"/>
    </row>
    <row r="345" spans="10:23" x14ac:dyDescent="0.25">
      <c r="J345"/>
      <c r="M345"/>
      <c r="W345"/>
    </row>
    <row r="346" spans="10:23" x14ac:dyDescent="0.25">
      <c r="J346"/>
      <c r="M346"/>
      <c r="W346"/>
    </row>
    <row r="347" spans="10:23" x14ac:dyDescent="0.25">
      <c r="J347"/>
      <c r="M347"/>
      <c r="W347"/>
    </row>
    <row r="348" spans="10:23" x14ac:dyDescent="0.25">
      <c r="J348"/>
      <c r="M348"/>
      <c r="W348"/>
    </row>
    <row r="349" spans="10:23" x14ac:dyDescent="0.25">
      <c r="J349"/>
      <c r="M349"/>
      <c r="W349"/>
    </row>
    <row r="350" spans="10:23" x14ac:dyDescent="0.25">
      <c r="J350"/>
      <c r="M350"/>
      <c r="W350"/>
    </row>
    <row r="351" spans="10:23" x14ac:dyDescent="0.25">
      <c r="J351"/>
      <c r="M351"/>
      <c r="W351"/>
    </row>
    <row r="352" spans="10:23" x14ac:dyDescent="0.25">
      <c r="J352"/>
      <c r="M352"/>
      <c r="W352"/>
    </row>
    <row r="353" spans="10:23" x14ac:dyDescent="0.25">
      <c r="J353"/>
      <c r="M353"/>
      <c r="W353"/>
    </row>
    <row r="354" spans="10:23" x14ac:dyDescent="0.25">
      <c r="J354"/>
      <c r="M354"/>
      <c r="W354"/>
    </row>
    <row r="355" spans="10:23" x14ac:dyDescent="0.25">
      <c r="J355"/>
      <c r="M355"/>
      <c r="W355"/>
    </row>
    <row r="356" spans="10:23" x14ac:dyDescent="0.25">
      <c r="J356"/>
      <c r="M356"/>
      <c r="W356"/>
    </row>
    <row r="357" spans="10:23" x14ac:dyDescent="0.25">
      <c r="J357"/>
      <c r="M357"/>
      <c r="W357"/>
    </row>
    <row r="358" spans="10:23" x14ac:dyDescent="0.25">
      <c r="J358"/>
      <c r="M358"/>
      <c r="W358"/>
    </row>
    <row r="359" spans="10:23" x14ac:dyDescent="0.25">
      <c r="J359"/>
      <c r="M359"/>
      <c r="W359"/>
    </row>
    <row r="360" spans="10:23" x14ac:dyDescent="0.25">
      <c r="J360"/>
      <c r="M360"/>
      <c r="W360"/>
    </row>
    <row r="361" spans="10:23" x14ac:dyDescent="0.25">
      <c r="J361"/>
      <c r="M361"/>
      <c r="W361"/>
    </row>
    <row r="362" spans="10:23" x14ac:dyDescent="0.25">
      <c r="J362"/>
      <c r="M362"/>
      <c r="W362"/>
    </row>
    <row r="363" spans="10:23" x14ac:dyDescent="0.25">
      <c r="J363"/>
      <c r="M363"/>
      <c r="W363"/>
    </row>
    <row r="364" spans="10:23" x14ac:dyDescent="0.25">
      <c r="J364"/>
      <c r="M364"/>
      <c r="W364"/>
    </row>
    <row r="365" spans="10:23" x14ac:dyDescent="0.25">
      <c r="J365"/>
      <c r="M365"/>
      <c r="W365"/>
    </row>
    <row r="366" spans="10:23" x14ac:dyDescent="0.25">
      <c r="J366"/>
      <c r="M366"/>
      <c r="W366"/>
    </row>
    <row r="367" spans="10:23" x14ac:dyDescent="0.25">
      <c r="J367"/>
      <c r="M367"/>
      <c r="W367"/>
    </row>
    <row r="368" spans="10:23" x14ac:dyDescent="0.25">
      <c r="J368"/>
      <c r="M368"/>
      <c r="W368"/>
    </row>
    <row r="369" spans="10:23" x14ac:dyDescent="0.25">
      <c r="J369"/>
      <c r="M369"/>
      <c r="W369"/>
    </row>
    <row r="370" spans="10:23" x14ac:dyDescent="0.25">
      <c r="J370"/>
      <c r="M370"/>
      <c r="W370"/>
    </row>
    <row r="371" spans="10:23" x14ac:dyDescent="0.25">
      <c r="J371"/>
      <c r="M371"/>
      <c r="W371"/>
    </row>
    <row r="372" spans="10:23" x14ac:dyDescent="0.25">
      <c r="J372"/>
      <c r="M372"/>
      <c r="W372"/>
    </row>
    <row r="373" spans="10:23" x14ac:dyDescent="0.25">
      <c r="J373"/>
      <c r="M373"/>
      <c r="W373"/>
    </row>
    <row r="374" spans="10:23" x14ac:dyDescent="0.25">
      <c r="J374"/>
      <c r="M374"/>
      <c r="W374"/>
    </row>
    <row r="375" spans="10:23" x14ac:dyDescent="0.25">
      <c r="J375"/>
      <c r="M375"/>
      <c r="W375"/>
    </row>
    <row r="376" spans="10:23" x14ac:dyDescent="0.25">
      <c r="J376"/>
      <c r="M376"/>
      <c r="W376"/>
    </row>
    <row r="377" spans="10:23" x14ac:dyDescent="0.25">
      <c r="J377"/>
      <c r="M377"/>
      <c r="W377"/>
    </row>
    <row r="378" spans="10:23" x14ac:dyDescent="0.25">
      <c r="J378"/>
      <c r="M378"/>
      <c r="W378"/>
    </row>
    <row r="379" spans="10:23" x14ac:dyDescent="0.25">
      <c r="J379"/>
      <c r="M379"/>
      <c r="W379"/>
    </row>
    <row r="380" spans="10:23" x14ac:dyDescent="0.25">
      <c r="J380"/>
      <c r="M380"/>
      <c r="W380"/>
    </row>
    <row r="381" spans="10:23" x14ac:dyDescent="0.25">
      <c r="J381"/>
      <c r="M381"/>
      <c r="W381"/>
    </row>
    <row r="382" spans="10:23" x14ac:dyDescent="0.25">
      <c r="J382"/>
      <c r="M382"/>
      <c r="W382"/>
    </row>
    <row r="383" spans="10:23" x14ac:dyDescent="0.25">
      <c r="J383"/>
      <c r="M383"/>
      <c r="W383"/>
    </row>
    <row r="384" spans="10:23" x14ac:dyDescent="0.25">
      <c r="J384"/>
      <c r="M384"/>
      <c r="W384"/>
    </row>
    <row r="385" spans="10:23" x14ac:dyDescent="0.25">
      <c r="J385"/>
      <c r="M385"/>
      <c r="W385"/>
    </row>
    <row r="386" spans="10:23" x14ac:dyDescent="0.25">
      <c r="J386"/>
      <c r="M386"/>
      <c r="W386"/>
    </row>
    <row r="387" spans="10:23" x14ac:dyDescent="0.25">
      <c r="J387"/>
      <c r="M387"/>
      <c r="W387"/>
    </row>
    <row r="388" spans="10:23" x14ac:dyDescent="0.25">
      <c r="J388"/>
      <c r="M388"/>
      <c r="W388"/>
    </row>
    <row r="389" spans="10:23" x14ac:dyDescent="0.25">
      <c r="J389"/>
      <c r="M389"/>
      <c r="W389"/>
    </row>
    <row r="390" spans="10:23" x14ac:dyDescent="0.25">
      <c r="J390"/>
      <c r="M390"/>
      <c r="W390"/>
    </row>
    <row r="391" spans="10:23" x14ac:dyDescent="0.25">
      <c r="J391"/>
      <c r="M391"/>
      <c r="W391"/>
    </row>
    <row r="392" spans="10:23" x14ac:dyDescent="0.25">
      <c r="J392"/>
      <c r="M392"/>
      <c r="W392"/>
    </row>
    <row r="393" spans="10:23" x14ac:dyDescent="0.25">
      <c r="J393"/>
      <c r="M393"/>
      <c r="W393"/>
    </row>
    <row r="394" spans="10:23" x14ac:dyDescent="0.25">
      <c r="J394"/>
      <c r="M394"/>
      <c r="W394"/>
    </row>
    <row r="395" spans="10:23" x14ac:dyDescent="0.25">
      <c r="J395"/>
      <c r="M395"/>
      <c r="W395"/>
    </row>
    <row r="396" spans="10:23" x14ac:dyDescent="0.25">
      <c r="J396"/>
      <c r="M396"/>
      <c r="W396"/>
    </row>
    <row r="397" spans="10:23" x14ac:dyDescent="0.25">
      <c r="J397"/>
      <c r="M397"/>
      <c r="W397"/>
    </row>
    <row r="398" spans="10:23" x14ac:dyDescent="0.25">
      <c r="J398"/>
      <c r="M398"/>
      <c r="W398"/>
    </row>
    <row r="399" spans="10:23" x14ac:dyDescent="0.25">
      <c r="J399"/>
      <c r="M399"/>
      <c r="W399"/>
    </row>
    <row r="400" spans="10:23" x14ac:dyDescent="0.25">
      <c r="J400"/>
      <c r="M400"/>
      <c r="W400"/>
    </row>
    <row r="401" spans="10:23" x14ac:dyDescent="0.25">
      <c r="J401"/>
      <c r="M401"/>
      <c r="W401"/>
    </row>
    <row r="402" spans="10:23" x14ac:dyDescent="0.25">
      <c r="J402"/>
      <c r="M402"/>
      <c r="W402"/>
    </row>
    <row r="403" spans="10:23" x14ac:dyDescent="0.25">
      <c r="J403"/>
      <c r="M403"/>
      <c r="W403"/>
    </row>
    <row r="404" spans="10:23" x14ac:dyDescent="0.25">
      <c r="J404"/>
      <c r="M404"/>
      <c r="W404"/>
    </row>
    <row r="405" spans="10:23" x14ac:dyDescent="0.25">
      <c r="J405"/>
      <c r="M405"/>
      <c r="W405"/>
    </row>
    <row r="406" spans="10:23" x14ac:dyDescent="0.25">
      <c r="J406"/>
      <c r="M406"/>
      <c r="W406"/>
    </row>
    <row r="407" spans="10:23" x14ac:dyDescent="0.25">
      <c r="J407"/>
      <c r="M407"/>
      <c r="W407"/>
    </row>
    <row r="408" spans="10:23" x14ac:dyDescent="0.25">
      <c r="J408"/>
      <c r="M408"/>
      <c r="W408"/>
    </row>
    <row r="409" spans="10:23" x14ac:dyDescent="0.25">
      <c r="J409"/>
      <c r="M409"/>
      <c r="W409"/>
    </row>
    <row r="410" spans="10:23" x14ac:dyDescent="0.25">
      <c r="J410"/>
      <c r="M410"/>
      <c r="W410"/>
    </row>
    <row r="411" spans="10:23" x14ac:dyDescent="0.25">
      <c r="J411"/>
      <c r="M411"/>
      <c r="W411"/>
    </row>
    <row r="412" spans="10:23" x14ac:dyDescent="0.25">
      <c r="J412"/>
      <c r="M412"/>
      <c r="W412"/>
    </row>
    <row r="413" spans="10:23" x14ac:dyDescent="0.25">
      <c r="J413"/>
      <c r="M413"/>
      <c r="W413"/>
    </row>
    <row r="414" spans="10:23" x14ac:dyDescent="0.25">
      <c r="J414"/>
      <c r="M414"/>
      <c r="W414"/>
    </row>
    <row r="415" spans="10:23" x14ac:dyDescent="0.25">
      <c r="J415"/>
      <c r="M415"/>
      <c r="W415"/>
    </row>
    <row r="416" spans="10:23" x14ac:dyDescent="0.25">
      <c r="J416"/>
      <c r="M416"/>
      <c r="W416"/>
    </row>
    <row r="417" spans="10:23" x14ac:dyDescent="0.25">
      <c r="J417"/>
      <c r="M417"/>
      <c r="W417"/>
    </row>
    <row r="418" spans="10:23" x14ac:dyDescent="0.25">
      <c r="J418"/>
      <c r="M418"/>
      <c r="W418"/>
    </row>
    <row r="419" spans="10:23" x14ac:dyDescent="0.25">
      <c r="J419"/>
      <c r="M419"/>
      <c r="W419"/>
    </row>
    <row r="420" spans="10:23" x14ac:dyDescent="0.25">
      <c r="J420"/>
      <c r="M420"/>
      <c r="W420"/>
    </row>
    <row r="421" spans="10:23" x14ac:dyDescent="0.25">
      <c r="J421"/>
      <c r="M421"/>
      <c r="W421"/>
    </row>
    <row r="422" spans="10:23" x14ac:dyDescent="0.25">
      <c r="J422"/>
      <c r="M422"/>
      <c r="W422"/>
    </row>
    <row r="423" spans="10:23" x14ac:dyDescent="0.25">
      <c r="J423"/>
      <c r="M423"/>
      <c r="W423"/>
    </row>
    <row r="424" spans="10:23" x14ac:dyDescent="0.25">
      <c r="J424"/>
      <c r="M424"/>
      <c r="W424"/>
    </row>
    <row r="425" spans="10:23" x14ac:dyDescent="0.25">
      <c r="J425"/>
      <c r="M425"/>
      <c r="W425"/>
    </row>
    <row r="426" spans="10:23" x14ac:dyDescent="0.25">
      <c r="J426"/>
      <c r="M426"/>
      <c r="W426"/>
    </row>
    <row r="427" spans="10:23" x14ac:dyDescent="0.25">
      <c r="J427"/>
      <c r="M427"/>
      <c r="W427"/>
    </row>
    <row r="428" spans="10:23" x14ac:dyDescent="0.25">
      <c r="J428"/>
      <c r="M428"/>
      <c r="W428"/>
    </row>
    <row r="429" spans="10:23" x14ac:dyDescent="0.25">
      <c r="J429"/>
      <c r="M429"/>
      <c r="W429"/>
    </row>
    <row r="430" spans="10:23" x14ac:dyDescent="0.25">
      <c r="J430"/>
      <c r="M430"/>
      <c r="W430"/>
    </row>
    <row r="431" spans="10:23" x14ac:dyDescent="0.25">
      <c r="J431"/>
      <c r="M431"/>
      <c r="W431"/>
    </row>
    <row r="432" spans="10:23" x14ac:dyDescent="0.25">
      <c r="J432"/>
      <c r="M432"/>
      <c r="W432"/>
    </row>
    <row r="433" spans="10:23" x14ac:dyDescent="0.25">
      <c r="J433"/>
      <c r="M433"/>
      <c r="W433"/>
    </row>
    <row r="434" spans="10:23" x14ac:dyDescent="0.25">
      <c r="J434"/>
      <c r="M434"/>
      <c r="W434"/>
    </row>
    <row r="435" spans="10:23" x14ac:dyDescent="0.25">
      <c r="J435"/>
      <c r="M435"/>
      <c r="W435"/>
    </row>
    <row r="436" spans="10:23" x14ac:dyDescent="0.25">
      <c r="J436"/>
      <c r="M436"/>
      <c r="W436"/>
    </row>
    <row r="437" spans="10:23" x14ac:dyDescent="0.25">
      <c r="J437"/>
      <c r="M437"/>
      <c r="W437"/>
    </row>
    <row r="438" spans="10:23" x14ac:dyDescent="0.25">
      <c r="J438"/>
      <c r="M438"/>
      <c r="W438"/>
    </row>
    <row r="439" spans="10:23" x14ac:dyDescent="0.25">
      <c r="J439"/>
      <c r="M439"/>
      <c r="W439"/>
    </row>
    <row r="440" spans="10:23" x14ac:dyDescent="0.25">
      <c r="J440"/>
      <c r="M440"/>
      <c r="W440"/>
    </row>
    <row r="441" spans="10:23" x14ac:dyDescent="0.25">
      <c r="J441"/>
      <c r="M441"/>
      <c r="W441"/>
    </row>
    <row r="442" spans="10:23" x14ac:dyDescent="0.25">
      <c r="J442"/>
      <c r="M442"/>
      <c r="W442"/>
    </row>
    <row r="443" spans="10:23" x14ac:dyDescent="0.25">
      <c r="J443"/>
      <c r="M443"/>
      <c r="W443"/>
    </row>
    <row r="444" spans="10:23" x14ac:dyDescent="0.25">
      <c r="J444"/>
      <c r="M444"/>
      <c r="W444"/>
    </row>
    <row r="445" spans="10:23" x14ac:dyDescent="0.25">
      <c r="J445"/>
      <c r="M445"/>
      <c r="W445"/>
    </row>
    <row r="446" spans="10:23" x14ac:dyDescent="0.25">
      <c r="J446"/>
      <c r="M446"/>
      <c r="W446"/>
    </row>
    <row r="447" spans="10:23" x14ac:dyDescent="0.25">
      <c r="J447"/>
      <c r="M447"/>
      <c r="W447"/>
    </row>
    <row r="448" spans="10:23" x14ac:dyDescent="0.25">
      <c r="J448"/>
      <c r="M448"/>
      <c r="W448"/>
    </row>
    <row r="449" spans="10:23" x14ac:dyDescent="0.25">
      <c r="J449"/>
      <c r="M449"/>
      <c r="W449"/>
    </row>
    <row r="450" spans="10:23" x14ac:dyDescent="0.25">
      <c r="J450"/>
      <c r="M450"/>
      <c r="W450"/>
    </row>
    <row r="451" spans="10:23" x14ac:dyDescent="0.25">
      <c r="J451"/>
      <c r="M451"/>
      <c r="W451"/>
    </row>
    <row r="452" spans="10:23" x14ac:dyDescent="0.25">
      <c r="J452"/>
      <c r="M452"/>
      <c r="W452"/>
    </row>
    <row r="453" spans="10:23" x14ac:dyDescent="0.25">
      <c r="J453"/>
      <c r="M453"/>
      <c r="W453"/>
    </row>
    <row r="454" spans="10:23" x14ac:dyDescent="0.25">
      <c r="J454"/>
      <c r="M454"/>
      <c r="W454"/>
    </row>
    <row r="455" spans="10:23" x14ac:dyDescent="0.25">
      <c r="J455"/>
      <c r="M455"/>
      <c r="W455"/>
    </row>
    <row r="456" spans="10:23" x14ac:dyDescent="0.25">
      <c r="J456"/>
      <c r="M456"/>
      <c r="W456"/>
    </row>
    <row r="457" spans="10:23" x14ac:dyDescent="0.25">
      <c r="J457"/>
      <c r="M457"/>
      <c r="W457"/>
    </row>
    <row r="458" spans="10:23" x14ac:dyDescent="0.25">
      <c r="J458"/>
      <c r="M458"/>
      <c r="W458"/>
    </row>
    <row r="459" spans="10:23" x14ac:dyDescent="0.25">
      <c r="J459"/>
      <c r="M459"/>
      <c r="W459"/>
    </row>
    <row r="460" spans="10:23" x14ac:dyDescent="0.25">
      <c r="J460"/>
      <c r="M460"/>
      <c r="W460"/>
    </row>
    <row r="461" spans="10:23" x14ac:dyDescent="0.25">
      <c r="J461"/>
      <c r="M461"/>
      <c r="W461"/>
    </row>
    <row r="462" spans="10:23" x14ac:dyDescent="0.25">
      <c r="J462"/>
      <c r="M462"/>
      <c r="W462"/>
    </row>
    <row r="463" spans="10:23" x14ac:dyDescent="0.25">
      <c r="J463"/>
      <c r="M463"/>
      <c r="W463"/>
    </row>
    <row r="464" spans="10:23" x14ac:dyDescent="0.25">
      <c r="J464"/>
      <c r="M464"/>
      <c r="W464"/>
    </row>
    <row r="465" spans="10:23" x14ac:dyDescent="0.25">
      <c r="J465"/>
      <c r="M465"/>
      <c r="W465"/>
    </row>
    <row r="466" spans="10:23" x14ac:dyDescent="0.25">
      <c r="J466"/>
      <c r="M466"/>
      <c r="W466"/>
    </row>
    <row r="467" spans="10:23" x14ac:dyDescent="0.25">
      <c r="J467"/>
      <c r="M467"/>
      <c r="W467"/>
    </row>
    <row r="468" spans="10:23" x14ac:dyDescent="0.25">
      <c r="J468"/>
      <c r="M468"/>
      <c r="W468"/>
    </row>
    <row r="469" spans="10:23" x14ac:dyDescent="0.25">
      <c r="J469"/>
      <c r="M469"/>
      <c r="W469"/>
    </row>
    <row r="470" spans="10:23" x14ac:dyDescent="0.25">
      <c r="J470"/>
      <c r="M470"/>
      <c r="W470"/>
    </row>
    <row r="471" spans="10:23" x14ac:dyDescent="0.25">
      <c r="J471"/>
      <c r="M471"/>
      <c r="W471"/>
    </row>
    <row r="472" spans="10:23" x14ac:dyDescent="0.25">
      <c r="J472"/>
      <c r="M472"/>
      <c r="W472"/>
    </row>
    <row r="473" spans="10:23" x14ac:dyDescent="0.25">
      <c r="J473"/>
      <c r="M473"/>
      <c r="W473"/>
    </row>
    <row r="474" spans="10:23" x14ac:dyDescent="0.25">
      <c r="J474"/>
      <c r="M474"/>
      <c r="W474"/>
    </row>
    <row r="475" spans="10:23" x14ac:dyDescent="0.25">
      <c r="J475"/>
      <c r="M475"/>
      <c r="W475"/>
    </row>
    <row r="476" spans="10:23" x14ac:dyDescent="0.25">
      <c r="J476"/>
      <c r="M476"/>
      <c r="W476"/>
    </row>
    <row r="477" spans="10:23" x14ac:dyDescent="0.25">
      <c r="J477"/>
      <c r="M477"/>
      <c r="W477"/>
    </row>
    <row r="478" spans="10:23" x14ac:dyDescent="0.25">
      <c r="J478"/>
      <c r="M478"/>
      <c r="W478"/>
    </row>
    <row r="479" spans="10:23" x14ac:dyDescent="0.25">
      <c r="J479"/>
      <c r="M479"/>
      <c r="W479"/>
    </row>
    <row r="480" spans="10:23" x14ac:dyDescent="0.25">
      <c r="J480"/>
      <c r="M480"/>
      <c r="W480"/>
    </row>
    <row r="481" spans="10:23" x14ac:dyDescent="0.25">
      <c r="J481"/>
      <c r="M481"/>
      <c r="W481"/>
    </row>
    <row r="482" spans="10:23" x14ac:dyDescent="0.25">
      <c r="J482"/>
      <c r="M482"/>
      <c r="W482"/>
    </row>
    <row r="483" spans="10:23" x14ac:dyDescent="0.25">
      <c r="J483"/>
      <c r="M483"/>
      <c r="W483"/>
    </row>
    <row r="484" spans="10:23" x14ac:dyDescent="0.25">
      <c r="J484"/>
      <c r="M484"/>
      <c r="W484"/>
    </row>
    <row r="485" spans="10:23" x14ac:dyDescent="0.25">
      <c r="J485"/>
      <c r="M485"/>
      <c r="W485"/>
    </row>
    <row r="486" spans="10:23" x14ac:dyDescent="0.25">
      <c r="J486"/>
      <c r="M486"/>
      <c r="W486"/>
    </row>
    <row r="487" spans="10:23" x14ac:dyDescent="0.25">
      <c r="J487"/>
      <c r="M487"/>
      <c r="W487"/>
    </row>
    <row r="488" spans="10:23" x14ac:dyDescent="0.25">
      <c r="J488"/>
      <c r="M488"/>
      <c r="W488"/>
    </row>
    <row r="489" spans="10:23" x14ac:dyDescent="0.25">
      <c r="J489"/>
      <c r="M489"/>
      <c r="W489"/>
    </row>
    <row r="490" spans="10:23" x14ac:dyDescent="0.25">
      <c r="J490"/>
      <c r="M490"/>
      <c r="W490"/>
    </row>
    <row r="491" spans="10:23" x14ac:dyDescent="0.25">
      <c r="J491"/>
      <c r="M491"/>
      <c r="W491"/>
    </row>
    <row r="492" spans="10:23" x14ac:dyDescent="0.25">
      <c r="J492"/>
      <c r="M492"/>
      <c r="W492"/>
    </row>
    <row r="493" spans="10:23" x14ac:dyDescent="0.25">
      <c r="J493"/>
      <c r="M493"/>
      <c r="W493"/>
    </row>
    <row r="494" spans="10:23" x14ac:dyDescent="0.25">
      <c r="J494"/>
      <c r="M494"/>
      <c r="W494"/>
    </row>
    <row r="495" spans="10:23" x14ac:dyDescent="0.25">
      <c r="J495"/>
      <c r="M495"/>
      <c r="W495"/>
    </row>
    <row r="496" spans="10:23" x14ac:dyDescent="0.25">
      <c r="J496"/>
      <c r="M496"/>
      <c r="W496"/>
    </row>
    <row r="497" spans="10:23" x14ac:dyDescent="0.25">
      <c r="J497"/>
      <c r="M497"/>
      <c r="W497"/>
    </row>
    <row r="498" spans="10:23" x14ac:dyDescent="0.25">
      <c r="J498"/>
      <c r="M498"/>
      <c r="W498"/>
    </row>
    <row r="499" spans="10:23" x14ac:dyDescent="0.25">
      <c r="J499"/>
      <c r="M499"/>
      <c r="W499"/>
    </row>
    <row r="500" spans="10:23" x14ac:dyDescent="0.25">
      <c r="J500"/>
      <c r="M500"/>
      <c r="W500"/>
    </row>
    <row r="501" spans="10:23" x14ac:dyDescent="0.25">
      <c r="J501"/>
      <c r="M501"/>
      <c r="W501"/>
    </row>
    <row r="502" spans="10:23" x14ac:dyDescent="0.25">
      <c r="J502"/>
      <c r="M502"/>
      <c r="W502"/>
    </row>
    <row r="503" spans="10:23" x14ac:dyDescent="0.25">
      <c r="J503"/>
      <c r="M503"/>
      <c r="W503"/>
    </row>
    <row r="504" spans="10:23" x14ac:dyDescent="0.25">
      <c r="J504"/>
      <c r="M504"/>
      <c r="W504"/>
    </row>
    <row r="505" spans="10:23" x14ac:dyDescent="0.25">
      <c r="J505"/>
      <c r="M505"/>
      <c r="W505"/>
    </row>
    <row r="506" spans="10:23" x14ac:dyDescent="0.25">
      <c r="J506"/>
      <c r="M506"/>
      <c r="W506"/>
    </row>
    <row r="507" spans="10:23" x14ac:dyDescent="0.25">
      <c r="J507"/>
      <c r="M507"/>
      <c r="W507"/>
    </row>
    <row r="508" spans="10:23" x14ac:dyDescent="0.25">
      <c r="J508"/>
      <c r="M508"/>
      <c r="W508"/>
    </row>
    <row r="509" spans="10:23" x14ac:dyDescent="0.25">
      <c r="J509"/>
      <c r="M509"/>
      <c r="W509"/>
    </row>
    <row r="510" spans="10:23" x14ac:dyDescent="0.25">
      <c r="J510"/>
      <c r="M510"/>
      <c r="W510"/>
    </row>
    <row r="511" spans="10:23" x14ac:dyDescent="0.25">
      <c r="J511"/>
      <c r="M511"/>
      <c r="W511"/>
    </row>
    <row r="512" spans="10:23" x14ac:dyDescent="0.25">
      <c r="J512"/>
      <c r="M512"/>
      <c r="W512"/>
    </row>
    <row r="513" spans="10:23" x14ac:dyDescent="0.25">
      <c r="J513"/>
      <c r="M513"/>
      <c r="W513"/>
    </row>
    <row r="514" spans="10:23" x14ac:dyDescent="0.25">
      <c r="J514"/>
      <c r="M514"/>
      <c r="W514"/>
    </row>
    <row r="515" spans="10:23" x14ac:dyDescent="0.25">
      <c r="J515"/>
      <c r="M515"/>
      <c r="W515"/>
    </row>
    <row r="516" spans="10:23" x14ac:dyDescent="0.25">
      <c r="J516"/>
      <c r="M516"/>
      <c r="W516"/>
    </row>
    <row r="517" spans="10:23" x14ac:dyDescent="0.25">
      <c r="J517"/>
      <c r="M517"/>
      <c r="W517"/>
    </row>
    <row r="518" spans="10:23" x14ac:dyDescent="0.25">
      <c r="J518"/>
      <c r="M518"/>
      <c r="W518"/>
    </row>
    <row r="519" spans="10:23" x14ac:dyDescent="0.25">
      <c r="J519"/>
      <c r="M519"/>
      <c r="W519"/>
    </row>
    <row r="520" spans="10:23" x14ac:dyDescent="0.25">
      <c r="J520"/>
      <c r="M520"/>
      <c r="W520"/>
    </row>
    <row r="521" spans="10:23" x14ac:dyDescent="0.25">
      <c r="J521"/>
      <c r="M521"/>
      <c r="W521"/>
    </row>
    <row r="522" spans="10:23" x14ac:dyDescent="0.25">
      <c r="J522"/>
      <c r="M522"/>
      <c r="W522"/>
    </row>
    <row r="523" spans="10:23" x14ac:dyDescent="0.25">
      <c r="J523"/>
      <c r="M523"/>
      <c r="W523"/>
    </row>
    <row r="524" spans="10:23" x14ac:dyDescent="0.25">
      <c r="J524"/>
      <c r="M524"/>
      <c r="W524"/>
    </row>
    <row r="525" spans="10:23" x14ac:dyDescent="0.25">
      <c r="J525"/>
      <c r="M525"/>
      <c r="W525"/>
    </row>
    <row r="526" spans="10:23" x14ac:dyDescent="0.25">
      <c r="J526"/>
      <c r="M526"/>
      <c r="W526"/>
    </row>
    <row r="527" spans="10:23" x14ac:dyDescent="0.25">
      <c r="J527"/>
      <c r="M527"/>
      <c r="W527"/>
    </row>
    <row r="528" spans="10:23" x14ac:dyDescent="0.25">
      <c r="J528"/>
      <c r="M528"/>
      <c r="W528"/>
    </row>
    <row r="529" spans="10:23" x14ac:dyDescent="0.25">
      <c r="J529"/>
      <c r="M529"/>
      <c r="W529"/>
    </row>
    <row r="530" spans="10:23" x14ac:dyDescent="0.25">
      <c r="J530"/>
      <c r="M530"/>
      <c r="W530"/>
    </row>
    <row r="531" spans="10:23" x14ac:dyDescent="0.25">
      <c r="J531"/>
      <c r="M531"/>
      <c r="W531"/>
    </row>
    <row r="532" spans="10:23" x14ac:dyDescent="0.25">
      <c r="J532"/>
      <c r="M532"/>
      <c r="W532"/>
    </row>
    <row r="533" spans="10:23" x14ac:dyDescent="0.25">
      <c r="J533"/>
      <c r="M533"/>
      <c r="W533"/>
    </row>
    <row r="534" spans="10:23" x14ac:dyDescent="0.25">
      <c r="J534"/>
      <c r="M534"/>
      <c r="W534"/>
    </row>
    <row r="535" spans="10:23" x14ac:dyDescent="0.25">
      <c r="J535"/>
      <c r="M535"/>
      <c r="W535"/>
    </row>
    <row r="536" spans="10:23" x14ac:dyDescent="0.25">
      <c r="J536"/>
      <c r="M536"/>
      <c r="W536"/>
    </row>
    <row r="537" spans="10:23" x14ac:dyDescent="0.25">
      <c r="J537"/>
      <c r="M537"/>
      <c r="W537"/>
    </row>
    <row r="538" spans="10:23" x14ac:dyDescent="0.25">
      <c r="J538"/>
      <c r="M538"/>
      <c r="W538"/>
    </row>
    <row r="539" spans="10:23" x14ac:dyDescent="0.25">
      <c r="J539"/>
      <c r="M539"/>
      <c r="W539"/>
    </row>
    <row r="540" spans="10:23" x14ac:dyDescent="0.25">
      <c r="J540"/>
      <c r="M540"/>
      <c r="W540"/>
    </row>
    <row r="541" spans="10:23" x14ac:dyDescent="0.25">
      <c r="J541"/>
      <c r="M541"/>
      <c r="W541"/>
    </row>
    <row r="542" spans="10:23" x14ac:dyDescent="0.25">
      <c r="J542"/>
      <c r="M542"/>
      <c r="W542"/>
    </row>
    <row r="543" spans="10:23" x14ac:dyDescent="0.25">
      <c r="J543"/>
      <c r="M543"/>
      <c r="W543"/>
    </row>
    <row r="544" spans="10:23" x14ac:dyDescent="0.25">
      <c r="J544"/>
      <c r="M544"/>
      <c r="W544"/>
    </row>
    <row r="545" spans="10:23" x14ac:dyDescent="0.25">
      <c r="J545"/>
      <c r="M545"/>
      <c r="W545"/>
    </row>
    <row r="546" spans="10:23" x14ac:dyDescent="0.25">
      <c r="J546"/>
      <c r="M546"/>
      <c r="W546"/>
    </row>
    <row r="547" spans="10:23" x14ac:dyDescent="0.25">
      <c r="J547"/>
      <c r="M547"/>
      <c r="W547"/>
    </row>
    <row r="548" spans="10:23" x14ac:dyDescent="0.25">
      <c r="J548"/>
      <c r="M548"/>
      <c r="W548"/>
    </row>
    <row r="549" spans="10:23" x14ac:dyDescent="0.25">
      <c r="J549"/>
      <c r="M549"/>
      <c r="W549"/>
    </row>
    <row r="550" spans="10:23" x14ac:dyDescent="0.25">
      <c r="J550"/>
      <c r="M550"/>
      <c r="W550"/>
    </row>
    <row r="551" spans="10:23" x14ac:dyDescent="0.25">
      <c r="J551"/>
      <c r="M551"/>
      <c r="W551"/>
    </row>
    <row r="552" spans="10:23" x14ac:dyDescent="0.25">
      <c r="J552"/>
      <c r="M552"/>
      <c r="W552"/>
    </row>
    <row r="553" spans="10:23" x14ac:dyDescent="0.25">
      <c r="J553"/>
      <c r="M553"/>
      <c r="W553"/>
    </row>
    <row r="554" spans="10:23" x14ac:dyDescent="0.25">
      <c r="J554"/>
      <c r="M554"/>
      <c r="W554"/>
    </row>
    <row r="555" spans="10:23" x14ac:dyDescent="0.25">
      <c r="J555"/>
      <c r="M555"/>
      <c r="W555"/>
    </row>
    <row r="556" spans="10:23" x14ac:dyDescent="0.25">
      <c r="J556"/>
      <c r="M556"/>
      <c r="W556"/>
    </row>
    <row r="557" spans="10:23" x14ac:dyDescent="0.25">
      <c r="J557"/>
      <c r="M557"/>
      <c r="W557"/>
    </row>
    <row r="558" spans="10:23" x14ac:dyDescent="0.25">
      <c r="J558"/>
      <c r="M558"/>
      <c r="W558"/>
    </row>
    <row r="559" spans="10:23" x14ac:dyDescent="0.25">
      <c r="J559"/>
      <c r="M559"/>
      <c r="W559"/>
    </row>
    <row r="560" spans="10:23" x14ac:dyDescent="0.25">
      <c r="J560"/>
      <c r="M560"/>
      <c r="W560"/>
    </row>
    <row r="561" spans="10:23" x14ac:dyDescent="0.25">
      <c r="J561"/>
      <c r="M561"/>
      <c r="W561"/>
    </row>
    <row r="562" spans="10:23" x14ac:dyDescent="0.25">
      <c r="J562"/>
      <c r="M562"/>
      <c r="W562"/>
    </row>
    <row r="563" spans="10:23" x14ac:dyDescent="0.25">
      <c r="J563"/>
      <c r="M563"/>
      <c r="W563"/>
    </row>
    <row r="564" spans="10:23" x14ac:dyDescent="0.25">
      <c r="J564"/>
      <c r="M564"/>
      <c r="W564"/>
    </row>
    <row r="565" spans="10:23" x14ac:dyDescent="0.25">
      <c r="J565"/>
      <c r="M565"/>
      <c r="W565"/>
    </row>
    <row r="566" spans="10:23" x14ac:dyDescent="0.25">
      <c r="J566"/>
      <c r="M566"/>
      <c r="W566"/>
    </row>
    <row r="567" spans="10:23" x14ac:dyDescent="0.25">
      <c r="J567"/>
      <c r="M567"/>
      <c r="W567"/>
    </row>
    <row r="568" spans="10:23" x14ac:dyDescent="0.25">
      <c r="J568"/>
      <c r="M568"/>
      <c r="W568"/>
    </row>
    <row r="569" spans="10:23" x14ac:dyDescent="0.25">
      <c r="J569"/>
      <c r="M569"/>
      <c r="W569"/>
    </row>
    <row r="570" spans="10:23" x14ac:dyDescent="0.25">
      <c r="J570"/>
      <c r="M570"/>
      <c r="W570"/>
    </row>
    <row r="571" spans="10:23" x14ac:dyDescent="0.25">
      <c r="J571"/>
      <c r="M571"/>
      <c r="W571"/>
    </row>
    <row r="572" spans="10:23" x14ac:dyDescent="0.25">
      <c r="J572"/>
      <c r="M572"/>
      <c r="W572"/>
    </row>
    <row r="573" spans="10:23" x14ac:dyDescent="0.25">
      <c r="J573"/>
      <c r="M573"/>
      <c r="W573"/>
    </row>
    <row r="574" spans="10:23" x14ac:dyDescent="0.25">
      <c r="J574"/>
      <c r="M574"/>
      <c r="W574"/>
    </row>
    <row r="575" spans="10:23" x14ac:dyDescent="0.25">
      <c r="J575"/>
      <c r="M575"/>
      <c r="W575"/>
    </row>
    <row r="576" spans="10:23" x14ac:dyDescent="0.25">
      <c r="J576"/>
      <c r="M576"/>
      <c r="W576"/>
    </row>
    <row r="577" spans="10:23" x14ac:dyDescent="0.25">
      <c r="J577"/>
      <c r="M577"/>
      <c r="W577"/>
    </row>
    <row r="578" spans="10:23" x14ac:dyDescent="0.25">
      <c r="J578"/>
      <c r="M578"/>
      <c r="W578"/>
    </row>
    <row r="579" spans="10:23" x14ac:dyDescent="0.25">
      <c r="J579"/>
      <c r="M579"/>
      <c r="W579"/>
    </row>
    <row r="580" spans="10:23" x14ac:dyDescent="0.25">
      <c r="J580"/>
      <c r="M580"/>
      <c r="W580"/>
    </row>
    <row r="581" spans="10:23" x14ac:dyDescent="0.25">
      <c r="J581"/>
      <c r="M581"/>
      <c r="W581"/>
    </row>
    <row r="582" spans="10:23" x14ac:dyDescent="0.25">
      <c r="J582"/>
      <c r="M582"/>
      <c r="W582"/>
    </row>
    <row r="583" spans="10:23" x14ac:dyDescent="0.25">
      <c r="J583"/>
      <c r="M583"/>
      <c r="W583"/>
    </row>
    <row r="584" spans="10:23" x14ac:dyDescent="0.25">
      <c r="J584"/>
      <c r="M584"/>
      <c r="W584"/>
    </row>
    <row r="585" spans="10:23" x14ac:dyDescent="0.25">
      <c r="J585"/>
      <c r="M585"/>
      <c r="W585"/>
    </row>
    <row r="586" spans="10:23" x14ac:dyDescent="0.25">
      <c r="J586"/>
      <c r="M586"/>
      <c r="W586"/>
    </row>
    <row r="587" spans="10:23" x14ac:dyDescent="0.25">
      <c r="J587"/>
      <c r="M587"/>
      <c r="W587"/>
    </row>
    <row r="588" spans="10:23" x14ac:dyDescent="0.25">
      <c r="J588"/>
      <c r="M588"/>
      <c r="W588"/>
    </row>
    <row r="589" spans="10:23" x14ac:dyDescent="0.25">
      <c r="J589"/>
      <c r="M589"/>
      <c r="W589"/>
    </row>
    <row r="590" spans="10:23" x14ac:dyDescent="0.25">
      <c r="J590"/>
      <c r="M590"/>
      <c r="W590"/>
    </row>
    <row r="591" spans="10:23" x14ac:dyDescent="0.25">
      <c r="J591"/>
      <c r="M591"/>
      <c r="W591"/>
    </row>
    <row r="592" spans="10:23" x14ac:dyDescent="0.25">
      <c r="J592"/>
      <c r="M592"/>
      <c r="W592"/>
    </row>
    <row r="593" spans="10:23" x14ac:dyDescent="0.25">
      <c r="J593"/>
      <c r="M593"/>
      <c r="W593"/>
    </row>
    <row r="594" spans="10:23" x14ac:dyDescent="0.25">
      <c r="J594"/>
      <c r="M594"/>
      <c r="W594"/>
    </row>
    <row r="595" spans="10:23" x14ac:dyDescent="0.25">
      <c r="J595"/>
      <c r="M595"/>
      <c r="W595"/>
    </row>
    <row r="596" spans="10:23" x14ac:dyDescent="0.25">
      <c r="J596"/>
      <c r="M596"/>
      <c r="W596"/>
    </row>
    <row r="597" spans="10:23" x14ac:dyDescent="0.25">
      <c r="J597"/>
      <c r="M597"/>
      <c r="W597"/>
    </row>
    <row r="598" spans="10:23" x14ac:dyDescent="0.25">
      <c r="J598"/>
      <c r="M598"/>
      <c r="W598"/>
    </row>
    <row r="599" spans="10:23" x14ac:dyDescent="0.25">
      <c r="J599"/>
      <c r="M599"/>
      <c r="W599"/>
    </row>
    <row r="600" spans="10:23" x14ac:dyDescent="0.25">
      <c r="J600"/>
      <c r="M600"/>
      <c r="W600"/>
    </row>
    <row r="601" spans="10:23" x14ac:dyDescent="0.25">
      <c r="J601"/>
      <c r="M601"/>
      <c r="W601"/>
    </row>
    <row r="602" spans="10:23" x14ac:dyDescent="0.25">
      <c r="J602"/>
      <c r="M602"/>
      <c r="W602"/>
    </row>
    <row r="603" spans="10:23" x14ac:dyDescent="0.25">
      <c r="J603"/>
      <c r="M603"/>
      <c r="W603"/>
    </row>
    <row r="604" spans="10:23" x14ac:dyDescent="0.25">
      <c r="J604"/>
      <c r="M604"/>
      <c r="W604"/>
    </row>
    <row r="605" spans="10:23" x14ac:dyDescent="0.25">
      <c r="J605"/>
      <c r="M605"/>
      <c r="W605"/>
    </row>
    <row r="606" spans="10:23" x14ac:dyDescent="0.25">
      <c r="J606"/>
      <c r="M606"/>
      <c r="W606"/>
    </row>
    <row r="607" spans="10:23" x14ac:dyDescent="0.25">
      <c r="J607"/>
      <c r="M607"/>
      <c r="W607"/>
    </row>
    <row r="608" spans="10:23" x14ac:dyDescent="0.25">
      <c r="J608"/>
      <c r="M608"/>
      <c r="W608"/>
    </row>
    <row r="609" spans="10:23" x14ac:dyDescent="0.25">
      <c r="J609"/>
      <c r="M609"/>
      <c r="W609"/>
    </row>
    <row r="610" spans="10:23" x14ac:dyDescent="0.25">
      <c r="J610"/>
      <c r="M610"/>
      <c r="W610"/>
    </row>
    <row r="611" spans="10:23" x14ac:dyDescent="0.25">
      <c r="J611"/>
      <c r="M611"/>
      <c r="W611"/>
    </row>
    <row r="612" spans="10:23" x14ac:dyDescent="0.25">
      <c r="J612"/>
      <c r="M612"/>
      <c r="W612"/>
    </row>
    <row r="613" spans="10:23" x14ac:dyDescent="0.25">
      <c r="J613"/>
      <c r="M613"/>
      <c r="W613"/>
    </row>
    <row r="614" spans="10:23" x14ac:dyDescent="0.25">
      <c r="J614"/>
      <c r="M614"/>
      <c r="W614"/>
    </row>
    <row r="615" spans="10:23" x14ac:dyDescent="0.25">
      <c r="J615"/>
      <c r="M615"/>
      <c r="W615"/>
    </row>
    <row r="616" spans="10:23" x14ac:dyDescent="0.25">
      <c r="J616"/>
      <c r="M616"/>
      <c r="W616"/>
    </row>
    <row r="617" spans="10:23" x14ac:dyDescent="0.25">
      <c r="J617"/>
      <c r="M617"/>
      <c r="W617"/>
    </row>
    <row r="618" spans="10:23" x14ac:dyDescent="0.25">
      <c r="J618"/>
      <c r="M618"/>
      <c r="W618"/>
    </row>
    <row r="619" spans="10:23" x14ac:dyDescent="0.25">
      <c r="J619"/>
      <c r="M619"/>
      <c r="W619"/>
    </row>
    <row r="620" spans="10:23" x14ac:dyDescent="0.25">
      <c r="J620"/>
      <c r="M620"/>
      <c r="W620"/>
    </row>
    <row r="621" spans="10:23" x14ac:dyDescent="0.25">
      <c r="J621"/>
      <c r="M621"/>
      <c r="W621"/>
    </row>
    <row r="622" spans="10:23" x14ac:dyDescent="0.25">
      <c r="J622"/>
      <c r="M622"/>
      <c r="W622"/>
    </row>
    <row r="623" spans="10:23" x14ac:dyDescent="0.25">
      <c r="J623"/>
      <c r="M623"/>
      <c r="W623"/>
    </row>
    <row r="624" spans="10:23" x14ac:dyDescent="0.25">
      <c r="J624"/>
      <c r="M624"/>
      <c r="W624"/>
    </row>
    <row r="625" spans="10:23" x14ac:dyDescent="0.25">
      <c r="J625"/>
      <c r="M625"/>
      <c r="W625"/>
    </row>
    <row r="626" spans="10:23" x14ac:dyDescent="0.25">
      <c r="J626"/>
      <c r="M626"/>
      <c r="W626"/>
    </row>
    <row r="627" spans="10:23" x14ac:dyDescent="0.25">
      <c r="J627"/>
      <c r="M627"/>
      <c r="W627"/>
    </row>
    <row r="628" spans="10:23" x14ac:dyDescent="0.25">
      <c r="J628"/>
      <c r="M628"/>
      <c r="W628"/>
    </row>
    <row r="629" spans="10:23" x14ac:dyDescent="0.25">
      <c r="J629"/>
      <c r="M629"/>
      <c r="W629"/>
    </row>
    <row r="630" spans="10:23" x14ac:dyDescent="0.25">
      <c r="J630"/>
      <c r="M630"/>
      <c r="W630"/>
    </row>
    <row r="631" spans="10:23" x14ac:dyDescent="0.25">
      <c r="J631"/>
      <c r="M631"/>
      <c r="W631"/>
    </row>
    <row r="632" spans="10:23" x14ac:dyDescent="0.25">
      <c r="J632"/>
      <c r="M632"/>
      <c r="W632"/>
    </row>
    <row r="633" spans="10:23" x14ac:dyDescent="0.25">
      <c r="J633"/>
      <c r="M633"/>
      <c r="W633"/>
    </row>
    <row r="634" spans="10:23" x14ac:dyDescent="0.25">
      <c r="J634"/>
      <c r="M634"/>
      <c r="W634"/>
    </row>
    <row r="635" spans="10:23" x14ac:dyDescent="0.25">
      <c r="J635"/>
      <c r="M635"/>
      <c r="W635"/>
    </row>
    <row r="636" spans="10:23" x14ac:dyDescent="0.25">
      <c r="J636"/>
      <c r="M636"/>
      <c r="W636"/>
    </row>
    <row r="637" spans="10:23" x14ac:dyDescent="0.25">
      <c r="J637"/>
      <c r="M637"/>
      <c r="W637"/>
    </row>
    <row r="638" spans="10:23" x14ac:dyDescent="0.25">
      <c r="J638"/>
      <c r="M638"/>
      <c r="W638"/>
    </row>
    <row r="639" spans="10:23" x14ac:dyDescent="0.25">
      <c r="J639"/>
      <c r="M639"/>
      <c r="W639"/>
    </row>
    <row r="640" spans="10:23" x14ac:dyDescent="0.25">
      <c r="J640"/>
      <c r="M640"/>
      <c r="W640"/>
    </row>
    <row r="641" spans="10:23" x14ac:dyDescent="0.25">
      <c r="J641"/>
      <c r="M641"/>
      <c r="W641"/>
    </row>
    <row r="642" spans="10:23" x14ac:dyDescent="0.25">
      <c r="J642"/>
      <c r="M642"/>
      <c r="W642"/>
    </row>
    <row r="643" spans="10:23" x14ac:dyDescent="0.25">
      <c r="J643"/>
      <c r="M643"/>
      <c r="W643"/>
    </row>
    <row r="644" spans="10:23" x14ac:dyDescent="0.25">
      <c r="J644"/>
      <c r="M644"/>
      <c r="W644"/>
    </row>
    <row r="645" spans="10:23" x14ac:dyDescent="0.25">
      <c r="J645"/>
      <c r="M645"/>
      <c r="W645"/>
    </row>
    <row r="646" spans="10:23" x14ac:dyDescent="0.25">
      <c r="J646"/>
      <c r="M646"/>
      <c r="W646"/>
    </row>
    <row r="647" spans="10:23" x14ac:dyDescent="0.25">
      <c r="J647"/>
      <c r="M647"/>
      <c r="W647"/>
    </row>
    <row r="648" spans="10:23" x14ac:dyDescent="0.25">
      <c r="J648"/>
      <c r="M648"/>
      <c r="W648"/>
    </row>
    <row r="649" spans="10:23" x14ac:dyDescent="0.25">
      <c r="J649"/>
      <c r="M649"/>
      <c r="W649"/>
    </row>
    <row r="650" spans="10:23" x14ac:dyDescent="0.25">
      <c r="J650"/>
      <c r="M650"/>
      <c r="W650"/>
    </row>
    <row r="651" spans="10:23" x14ac:dyDescent="0.25">
      <c r="J651"/>
      <c r="M651"/>
      <c r="W651"/>
    </row>
    <row r="652" spans="10:23" x14ac:dyDescent="0.25">
      <c r="J652"/>
      <c r="M652"/>
      <c r="W652"/>
    </row>
    <row r="653" spans="10:23" x14ac:dyDescent="0.25">
      <c r="J653"/>
      <c r="M653"/>
      <c r="W653"/>
    </row>
    <row r="654" spans="10:23" x14ac:dyDescent="0.25">
      <c r="J654"/>
      <c r="M654"/>
      <c r="W654"/>
    </row>
    <row r="655" spans="10:23" x14ac:dyDescent="0.25">
      <c r="J655"/>
      <c r="M655"/>
      <c r="W655"/>
    </row>
    <row r="656" spans="10:23" x14ac:dyDescent="0.25">
      <c r="J656"/>
      <c r="M656"/>
      <c r="W656"/>
    </row>
    <row r="657" spans="10:23" x14ac:dyDescent="0.25">
      <c r="J657"/>
      <c r="M657"/>
      <c r="W657"/>
    </row>
    <row r="658" spans="10:23" x14ac:dyDescent="0.25">
      <c r="J658"/>
      <c r="M658"/>
      <c r="W658"/>
    </row>
    <row r="659" spans="10:23" x14ac:dyDescent="0.25">
      <c r="J659"/>
      <c r="M659"/>
      <c r="W659"/>
    </row>
    <row r="660" spans="10:23" x14ac:dyDescent="0.25">
      <c r="J660"/>
      <c r="M660"/>
      <c r="W660"/>
    </row>
    <row r="661" spans="10:23" x14ac:dyDescent="0.25">
      <c r="J661"/>
      <c r="M661"/>
      <c r="W661"/>
    </row>
    <row r="662" spans="10:23" x14ac:dyDescent="0.25">
      <c r="J662"/>
      <c r="M662"/>
      <c r="W662"/>
    </row>
    <row r="663" spans="10:23" x14ac:dyDescent="0.25">
      <c r="J663"/>
      <c r="M663"/>
      <c r="W663"/>
    </row>
    <row r="664" spans="10:23" x14ac:dyDescent="0.25">
      <c r="J664"/>
      <c r="M664"/>
      <c r="W664"/>
    </row>
    <row r="665" spans="10:23" x14ac:dyDescent="0.25">
      <c r="J665"/>
      <c r="M665"/>
      <c r="W665"/>
    </row>
    <row r="666" spans="10:23" x14ac:dyDescent="0.25">
      <c r="J666"/>
      <c r="M666"/>
      <c r="W666"/>
    </row>
    <row r="667" spans="10:23" x14ac:dyDescent="0.25">
      <c r="J667"/>
      <c r="M667"/>
      <c r="W667"/>
    </row>
    <row r="668" spans="10:23" x14ac:dyDescent="0.25">
      <c r="J668"/>
      <c r="M668"/>
      <c r="W668"/>
    </row>
    <row r="669" spans="10:23" x14ac:dyDescent="0.25">
      <c r="J669"/>
      <c r="M669"/>
      <c r="W669"/>
    </row>
    <row r="670" spans="10:23" x14ac:dyDescent="0.25">
      <c r="J670"/>
      <c r="M670"/>
      <c r="W670"/>
    </row>
    <row r="671" spans="10:23" x14ac:dyDescent="0.25">
      <c r="J671"/>
      <c r="M671"/>
      <c r="W671"/>
    </row>
    <row r="672" spans="10:23" x14ac:dyDescent="0.25">
      <c r="J672"/>
      <c r="M672"/>
      <c r="W672"/>
    </row>
    <row r="673" spans="10:23" x14ac:dyDescent="0.25">
      <c r="J673"/>
      <c r="M673"/>
      <c r="W673"/>
    </row>
    <row r="674" spans="10:23" x14ac:dyDescent="0.25">
      <c r="J674"/>
      <c r="M674"/>
      <c r="W674"/>
    </row>
    <row r="675" spans="10:23" x14ac:dyDescent="0.25">
      <c r="J675"/>
      <c r="M675"/>
      <c r="W675"/>
    </row>
    <row r="676" spans="10:23" x14ac:dyDescent="0.25">
      <c r="J676"/>
      <c r="M676"/>
      <c r="W676"/>
    </row>
    <row r="677" spans="10:23" x14ac:dyDescent="0.25">
      <c r="J677"/>
      <c r="M677"/>
      <c r="W677"/>
    </row>
    <row r="678" spans="10:23" x14ac:dyDescent="0.25">
      <c r="J678"/>
      <c r="M678"/>
      <c r="W678"/>
    </row>
    <row r="679" spans="10:23" x14ac:dyDescent="0.25">
      <c r="J679"/>
      <c r="M679"/>
      <c r="W679"/>
    </row>
    <row r="680" spans="10:23" x14ac:dyDescent="0.25">
      <c r="J680"/>
      <c r="M680"/>
      <c r="W680"/>
    </row>
    <row r="681" spans="10:23" x14ac:dyDescent="0.25">
      <c r="J681"/>
      <c r="M681"/>
      <c r="W681"/>
    </row>
    <row r="682" spans="10:23" x14ac:dyDescent="0.25">
      <c r="J682"/>
      <c r="M682"/>
      <c r="W682"/>
    </row>
    <row r="683" spans="10:23" x14ac:dyDescent="0.25">
      <c r="J683"/>
      <c r="M683"/>
      <c r="W683"/>
    </row>
    <row r="684" spans="10:23" x14ac:dyDescent="0.25">
      <c r="J684"/>
      <c r="M684"/>
      <c r="W684"/>
    </row>
    <row r="685" spans="10:23" x14ac:dyDescent="0.25">
      <c r="J685"/>
      <c r="M685"/>
      <c r="W685"/>
    </row>
    <row r="686" spans="10:23" x14ac:dyDescent="0.25">
      <c r="J686"/>
      <c r="M686"/>
      <c r="W686"/>
    </row>
    <row r="687" spans="10:23" x14ac:dyDescent="0.25">
      <c r="J687"/>
      <c r="M687"/>
      <c r="W687"/>
    </row>
    <row r="688" spans="10:23" x14ac:dyDescent="0.25">
      <c r="J688"/>
      <c r="M688"/>
      <c r="W688"/>
    </row>
    <row r="689" spans="10:23" x14ac:dyDescent="0.25">
      <c r="J689"/>
      <c r="M689"/>
      <c r="W689"/>
    </row>
    <row r="690" spans="10:23" x14ac:dyDescent="0.25">
      <c r="J690"/>
      <c r="M690"/>
      <c r="W690"/>
    </row>
    <row r="691" spans="10:23" x14ac:dyDescent="0.25">
      <c r="J691"/>
      <c r="M691"/>
      <c r="W691"/>
    </row>
    <row r="692" spans="10:23" x14ac:dyDescent="0.25">
      <c r="J692"/>
      <c r="M692"/>
      <c r="W692"/>
    </row>
    <row r="693" spans="10:23" x14ac:dyDescent="0.25">
      <c r="J693"/>
      <c r="M693"/>
      <c r="W693"/>
    </row>
    <row r="694" spans="10:23" x14ac:dyDescent="0.25">
      <c r="J694"/>
      <c r="M694"/>
      <c r="W694"/>
    </row>
    <row r="695" spans="10:23" x14ac:dyDescent="0.25">
      <c r="J695"/>
      <c r="M695"/>
      <c r="W695"/>
    </row>
    <row r="696" spans="10:23" x14ac:dyDescent="0.25">
      <c r="J696"/>
      <c r="M696"/>
      <c r="W696"/>
    </row>
    <row r="697" spans="10:23" x14ac:dyDescent="0.25">
      <c r="J697"/>
      <c r="M697"/>
      <c r="W697"/>
    </row>
    <row r="698" spans="10:23" x14ac:dyDescent="0.25">
      <c r="J698"/>
      <c r="M698"/>
      <c r="W698"/>
    </row>
    <row r="699" spans="10:23" x14ac:dyDescent="0.25">
      <c r="J699"/>
      <c r="M699"/>
      <c r="W699"/>
    </row>
    <row r="700" spans="10:23" x14ac:dyDescent="0.25">
      <c r="J700"/>
      <c r="M700"/>
      <c r="W700"/>
    </row>
    <row r="701" spans="10:23" x14ac:dyDescent="0.25">
      <c r="J701"/>
      <c r="M701"/>
      <c r="W701"/>
    </row>
    <row r="702" spans="10:23" x14ac:dyDescent="0.25">
      <c r="J702"/>
      <c r="M702"/>
      <c r="W702"/>
    </row>
    <row r="703" spans="10:23" x14ac:dyDescent="0.25">
      <c r="J703"/>
      <c r="M703"/>
      <c r="W703"/>
    </row>
    <row r="704" spans="10:23" x14ac:dyDescent="0.25">
      <c r="J704"/>
      <c r="M704"/>
      <c r="W704"/>
    </row>
    <row r="705" spans="10:23" x14ac:dyDescent="0.25">
      <c r="J705"/>
      <c r="M705"/>
      <c r="W705"/>
    </row>
    <row r="706" spans="10:23" x14ac:dyDescent="0.25">
      <c r="J706"/>
      <c r="M706"/>
      <c r="W706"/>
    </row>
    <row r="707" spans="10:23" x14ac:dyDescent="0.25">
      <c r="J707"/>
      <c r="M707"/>
      <c r="W707"/>
    </row>
    <row r="708" spans="10:23" x14ac:dyDescent="0.25">
      <c r="J708"/>
      <c r="M708"/>
      <c r="W708"/>
    </row>
    <row r="709" spans="10:23" x14ac:dyDescent="0.25">
      <c r="J709"/>
      <c r="M709"/>
      <c r="W709"/>
    </row>
    <row r="710" spans="10:23" x14ac:dyDescent="0.25">
      <c r="J710"/>
      <c r="M710"/>
      <c r="W710"/>
    </row>
    <row r="711" spans="10:23" x14ac:dyDescent="0.25">
      <c r="J711"/>
      <c r="M711"/>
      <c r="W711"/>
    </row>
    <row r="712" spans="10:23" x14ac:dyDescent="0.25">
      <c r="J712"/>
      <c r="M712"/>
      <c r="W712"/>
    </row>
    <row r="713" spans="10:23" x14ac:dyDescent="0.25">
      <c r="J713"/>
      <c r="M713"/>
      <c r="W713"/>
    </row>
    <row r="714" spans="10:23" x14ac:dyDescent="0.25">
      <c r="J714"/>
      <c r="M714"/>
      <c r="W714"/>
    </row>
    <row r="715" spans="10:23" x14ac:dyDescent="0.25">
      <c r="J715"/>
      <c r="M715"/>
      <c r="W715"/>
    </row>
    <row r="716" spans="10:23" x14ac:dyDescent="0.25">
      <c r="J716"/>
      <c r="M716"/>
      <c r="W716"/>
    </row>
    <row r="717" spans="10:23" x14ac:dyDescent="0.25">
      <c r="J717"/>
      <c r="M717"/>
      <c r="W717"/>
    </row>
    <row r="718" spans="10:23" x14ac:dyDescent="0.25">
      <c r="J718"/>
      <c r="M718"/>
      <c r="W718"/>
    </row>
    <row r="719" spans="10:23" x14ac:dyDescent="0.25">
      <c r="J719"/>
      <c r="M719"/>
      <c r="W719"/>
    </row>
    <row r="720" spans="10:23" x14ac:dyDescent="0.25">
      <c r="J720"/>
      <c r="M720"/>
      <c r="W720"/>
    </row>
    <row r="721" spans="10:23" x14ac:dyDescent="0.25">
      <c r="J721"/>
      <c r="M721"/>
      <c r="W721"/>
    </row>
    <row r="722" spans="10:23" x14ac:dyDescent="0.25">
      <c r="J722"/>
      <c r="M722"/>
      <c r="W722"/>
    </row>
    <row r="723" spans="10:23" x14ac:dyDescent="0.25">
      <c r="J723"/>
      <c r="M723"/>
      <c r="W723"/>
    </row>
    <row r="724" spans="10:23" x14ac:dyDescent="0.25">
      <c r="J724"/>
      <c r="M724"/>
      <c r="W724"/>
    </row>
    <row r="725" spans="10:23" x14ac:dyDescent="0.25">
      <c r="J725"/>
      <c r="M725"/>
      <c r="W725"/>
    </row>
    <row r="726" spans="10:23" x14ac:dyDescent="0.25">
      <c r="J726"/>
      <c r="M726"/>
      <c r="W726"/>
    </row>
    <row r="727" spans="10:23" x14ac:dyDescent="0.25">
      <c r="J727"/>
      <c r="M727"/>
      <c r="W727"/>
    </row>
    <row r="728" spans="10:23" x14ac:dyDescent="0.25">
      <c r="J728"/>
      <c r="M728"/>
      <c r="W728"/>
    </row>
    <row r="729" spans="10:23" x14ac:dyDescent="0.25">
      <c r="J729"/>
      <c r="M729"/>
      <c r="W729"/>
    </row>
    <row r="730" spans="10:23" x14ac:dyDescent="0.25">
      <c r="J730"/>
      <c r="M730"/>
      <c r="W730"/>
    </row>
    <row r="731" spans="10:23" x14ac:dyDescent="0.25">
      <c r="J731"/>
      <c r="M731"/>
      <c r="W731"/>
    </row>
    <row r="732" spans="10:23" x14ac:dyDescent="0.25">
      <c r="J732"/>
      <c r="M732"/>
      <c r="W732"/>
    </row>
    <row r="733" spans="10:23" x14ac:dyDescent="0.25">
      <c r="J733"/>
      <c r="M733"/>
      <c r="W733"/>
    </row>
    <row r="734" spans="10:23" x14ac:dyDescent="0.25">
      <c r="J734"/>
      <c r="M734"/>
      <c r="W734"/>
    </row>
    <row r="735" spans="10:23" x14ac:dyDescent="0.25">
      <c r="J735"/>
      <c r="M735"/>
      <c r="W735"/>
    </row>
    <row r="736" spans="10:23" x14ac:dyDescent="0.25">
      <c r="J736"/>
      <c r="M736"/>
      <c r="W736"/>
    </row>
    <row r="737" spans="10:23" x14ac:dyDescent="0.25">
      <c r="J737"/>
      <c r="M737"/>
      <c r="W737"/>
    </row>
    <row r="738" spans="10:23" x14ac:dyDescent="0.25">
      <c r="J738"/>
      <c r="M738"/>
      <c r="W738"/>
    </row>
    <row r="739" spans="10:23" x14ac:dyDescent="0.25">
      <c r="J739"/>
      <c r="M739"/>
      <c r="W739"/>
    </row>
    <row r="740" spans="10:23" x14ac:dyDescent="0.25">
      <c r="J740"/>
      <c r="M740"/>
      <c r="W740"/>
    </row>
    <row r="741" spans="10:23" x14ac:dyDescent="0.25">
      <c r="J741"/>
      <c r="M741"/>
      <c r="W741"/>
    </row>
    <row r="742" spans="10:23" x14ac:dyDescent="0.25">
      <c r="J742"/>
      <c r="M742"/>
      <c r="W742"/>
    </row>
    <row r="743" spans="10:23" x14ac:dyDescent="0.25">
      <c r="J743"/>
      <c r="M743"/>
      <c r="W743"/>
    </row>
    <row r="744" spans="10:23" x14ac:dyDescent="0.25">
      <c r="J744"/>
      <c r="M744"/>
      <c r="W744"/>
    </row>
    <row r="745" spans="10:23" x14ac:dyDescent="0.25">
      <c r="J745"/>
      <c r="M745"/>
      <c r="W745"/>
    </row>
    <row r="746" spans="10:23" x14ac:dyDescent="0.25">
      <c r="J746"/>
      <c r="M746"/>
      <c r="W746"/>
    </row>
    <row r="747" spans="10:23" x14ac:dyDescent="0.25">
      <c r="J747"/>
      <c r="M747"/>
      <c r="W747"/>
    </row>
    <row r="748" spans="10:23" x14ac:dyDescent="0.25">
      <c r="J748"/>
      <c r="M748"/>
      <c r="W748"/>
    </row>
    <row r="749" spans="10:23" x14ac:dyDescent="0.25">
      <c r="J749"/>
      <c r="M749"/>
      <c r="W749"/>
    </row>
    <row r="750" spans="10:23" x14ac:dyDescent="0.25">
      <c r="J750"/>
      <c r="M750"/>
      <c r="W750"/>
    </row>
    <row r="751" spans="10:23" x14ac:dyDescent="0.25">
      <c r="J751"/>
      <c r="M751"/>
      <c r="W751"/>
    </row>
    <row r="752" spans="10:23" x14ac:dyDescent="0.25">
      <c r="J752"/>
      <c r="M752"/>
      <c r="W752"/>
    </row>
    <row r="753" spans="10:23" x14ac:dyDescent="0.25">
      <c r="J753"/>
      <c r="M753"/>
      <c r="W753"/>
    </row>
    <row r="754" spans="10:23" x14ac:dyDescent="0.25">
      <c r="J754"/>
      <c r="M754"/>
      <c r="W754"/>
    </row>
    <row r="755" spans="10:23" x14ac:dyDescent="0.25">
      <c r="J755"/>
      <c r="M755"/>
      <c r="W755"/>
    </row>
    <row r="756" spans="10:23" x14ac:dyDescent="0.25">
      <c r="J756"/>
      <c r="M756"/>
      <c r="W756"/>
    </row>
    <row r="757" spans="10:23" x14ac:dyDescent="0.25">
      <c r="J757"/>
      <c r="M757"/>
      <c r="W757"/>
    </row>
    <row r="758" spans="10:23" x14ac:dyDescent="0.25">
      <c r="J758"/>
      <c r="M758"/>
      <c r="W758"/>
    </row>
    <row r="759" spans="10:23" x14ac:dyDescent="0.25">
      <c r="J759"/>
      <c r="M759"/>
      <c r="W759"/>
    </row>
    <row r="760" spans="10:23" x14ac:dyDescent="0.25">
      <c r="J760"/>
      <c r="M760"/>
      <c r="W760"/>
    </row>
    <row r="761" spans="10:23" x14ac:dyDescent="0.25">
      <c r="J761"/>
      <c r="M761"/>
      <c r="W761"/>
    </row>
    <row r="762" spans="10:23" x14ac:dyDescent="0.25">
      <c r="J762"/>
      <c r="M762"/>
      <c r="W762"/>
    </row>
    <row r="763" spans="10:23" x14ac:dyDescent="0.25">
      <c r="J763"/>
      <c r="M763"/>
      <c r="W763"/>
    </row>
    <row r="764" spans="10:23" x14ac:dyDescent="0.25">
      <c r="J764"/>
      <c r="M764"/>
      <c r="W764"/>
    </row>
    <row r="765" spans="10:23" x14ac:dyDescent="0.25">
      <c r="J765"/>
      <c r="M765"/>
      <c r="W765"/>
    </row>
    <row r="766" spans="10:23" x14ac:dyDescent="0.25">
      <c r="J766"/>
      <c r="M766"/>
      <c r="W766"/>
    </row>
    <row r="767" spans="10:23" x14ac:dyDescent="0.25">
      <c r="J767"/>
      <c r="M767"/>
      <c r="W767"/>
    </row>
    <row r="768" spans="10:23" x14ac:dyDescent="0.25">
      <c r="J768"/>
      <c r="M768"/>
      <c r="W768"/>
    </row>
    <row r="769" spans="10:23" x14ac:dyDescent="0.25">
      <c r="J769"/>
      <c r="M769"/>
      <c r="W769"/>
    </row>
    <row r="770" spans="10:23" x14ac:dyDescent="0.25">
      <c r="J770"/>
      <c r="M770"/>
      <c r="W770"/>
    </row>
    <row r="771" spans="10:23" x14ac:dyDescent="0.25">
      <c r="J771"/>
      <c r="M771"/>
      <c r="W771"/>
    </row>
    <row r="772" spans="10:23" x14ac:dyDescent="0.25">
      <c r="J772"/>
      <c r="M772"/>
      <c r="W772"/>
    </row>
    <row r="773" spans="10:23" x14ac:dyDescent="0.25">
      <c r="J773"/>
      <c r="M773"/>
      <c r="W773"/>
    </row>
    <row r="774" spans="10:23" x14ac:dyDescent="0.25">
      <c r="J774"/>
      <c r="M774"/>
      <c r="W774"/>
    </row>
    <row r="775" spans="10:23" x14ac:dyDescent="0.25">
      <c r="J775"/>
      <c r="M775"/>
      <c r="W775"/>
    </row>
    <row r="776" spans="10:23" x14ac:dyDescent="0.25">
      <c r="J776"/>
      <c r="M776"/>
      <c r="W776"/>
    </row>
    <row r="777" spans="10:23" x14ac:dyDescent="0.25">
      <c r="J777"/>
      <c r="M777"/>
      <c r="W777"/>
    </row>
    <row r="778" spans="10:23" x14ac:dyDescent="0.25">
      <c r="J778"/>
      <c r="M778"/>
      <c r="W778"/>
    </row>
    <row r="779" spans="10:23" x14ac:dyDescent="0.25">
      <c r="J779"/>
      <c r="M779"/>
      <c r="W779"/>
    </row>
    <row r="780" spans="10:23" x14ac:dyDescent="0.25">
      <c r="J780"/>
      <c r="M780"/>
      <c r="W780"/>
    </row>
    <row r="781" spans="10:23" x14ac:dyDescent="0.25">
      <c r="J781"/>
      <c r="M781"/>
      <c r="W781"/>
    </row>
    <row r="782" spans="10:23" x14ac:dyDescent="0.25">
      <c r="J782"/>
      <c r="M782"/>
      <c r="W782"/>
    </row>
    <row r="783" spans="10:23" x14ac:dyDescent="0.25">
      <c r="J783"/>
      <c r="M783"/>
      <c r="W783"/>
    </row>
    <row r="784" spans="10:23" x14ac:dyDescent="0.25">
      <c r="J784"/>
      <c r="M784"/>
      <c r="W784"/>
    </row>
    <row r="785" spans="10:23" x14ac:dyDescent="0.25">
      <c r="J785"/>
      <c r="M785"/>
      <c r="W785"/>
    </row>
    <row r="786" spans="10:23" x14ac:dyDescent="0.25">
      <c r="J786"/>
      <c r="M786"/>
      <c r="W786"/>
    </row>
    <row r="787" spans="10:23" x14ac:dyDescent="0.25">
      <c r="J787"/>
      <c r="M787"/>
      <c r="W787"/>
    </row>
    <row r="788" spans="10:23" x14ac:dyDescent="0.25">
      <c r="J788"/>
      <c r="M788"/>
      <c r="W788"/>
    </row>
    <row r="789" spans="10:23" x14ac:dyDescent="0.25">
      <c r="J789"/>
      <c r="M789"/>
      <c r="W789"/>
    </row>
    <row r="790" spans="10:23" x14ac:dyDescent="0.25">
      <c r="J790"/>
      <c r="M790"/>
      <c r="W790"/>
    </row>
    <row r="791" spans="10:23" x14ac:dyDescent="0.25">
      <c r="J791"/>
      <c r="M791"/>
      <c r="W791"/>
    </row>
    <row r="792" spans="10:23" x14ac:dyDescent="0.25">
      <c r="J792"/>
      <c r="M792"/>
      <c r="W792"/>
    </row>
    <row r="793" spans="10:23" x14ac:dyDescent="0.25">
      <c r="J793"/>
      <c r="M793"/>
      <c r="W793"/>
    </row>
    <row r="794" spans="10:23" x14ac:dyDescent="0.25">
      <c r="J794"/>
      <c r="M794"/>
      <c r="W794"/>
    </row>
    <row r="795" spans="10:23" x14ac:dyDescent="0.25">
      <c r="J795"/>
      <c r="M795"/>
      <c r="W795"/>
    </row>
    <row r="796" spans="10:23" x14ac:dyDescent="0.25">
      <c r="J796"/>
      <c r="M796"/>
      <c r="W796"/>
    </row>
    <row r="797" spans="10:23" x14ac:dyDescent="0.25">
      <c r="J797"/>
      <c r="M797"/>
      <c r="W797"/>
    </row>
    <row r="798" spans="10:23" x14ac:dyDescent="0.25">
      <c r="J798"/>
      <c r="M798"/>
      <c r="W798"/>
    </row>
    <row r="799" spans="10:23" x14ac:dyDescent="0.25">
      <c r="J799"/>
      <c r="M799"/>
      <c r="W799"/>
    </row>
    <row r="800" spans="10:23" x14ac:dyDescent="0.25">
      <c r="J800"/>
      <c r="M800"/>
      <c r="W800"/>
    </row>
    <row r="801" spans="10:23" x14ac:dyDescent="0.25">
      <c r="J801"/>
      <c r="M801"/>
      <c r="W801"/>
    </row>
    <row r="802" spans="10:23" x14ac:dyDescent="0.25">
      <c r="J802"/>
      <c r="M802"/>
      <c r="W802"/>
    </row>
    <row r="803" spans="10:23" x14ac:dyDescent="0.25">
      <c r="J803"/>
      <c r="M803"/>
      <c r="W803"/>
    </row>
    <row r="804" spans="10:23" x14ac:dyDescent="0.25">
      <c r="J804"/>
      <c r="M804"/>
      <c r="W804"/>
    </row>
    <row r="805" spans="10:23" x14ac:dyDescent="0.25">
      <c r="J805"/>
      <c r="M805"/>
      <c r="W805"/>
    </row>
    <row r="806" spans="10:23" x14ac:dyDescent="0.25">
      <c r="J806"/>
      <c r="M806"/>
      <c r="W806"/>
    </row>
    <row r="807" spans="10:23" x14ac:dyDescent="0.25">
      <c r="J807"/>
      <c r="M807"/>
      <c r="W807"/>
    </row>
    <row r="808" spans="10:23" x14ac:dyDescent="0.25">
      <c r="J808"/>
      <c r="M808"/>
      <c r="W808"/>
    </row>
    <row r="809" spans="10:23" x14ac:dyDescent="0.25">
      <c r="J809"/>
      <c r="M809"/>
      <c r="W809"/>
    </row>
    <row r="810" spans="10:23" x14ac:dyDescent="0.25">
      <c r="J810"/>
      <c r="M810"/>
      <c r="W810"/>
    </row>
    <row r="811" spans="10:23" x14ac:dyDescent="0.25">
      <c r="J811"/>
      <c r="M811"/>
      <c r="W811"/>
    </row>
    <row r="812" spans="10:23" x14ac:dyDescent="0.25">
      <c r="J812"/>
      <c r="M812"/>
      <c r="W812"/>
    </row>
    <row r="813" spans="10:23" x14ac:dyDescent="0.25">
      <c r="J813"/>
      <c r="M813"/>
      <c r="W813"/>
    </row>
    <row r="814" spans="10:23" x14ac:dyDescent="0.25">
      <c r="J814"/>
      <c r="M814"/>
      <c r="W814"/>
    </row>
    <row r="815" spans="10:23" x14ac:dyDescent="0.25">
      <c r="J815"/>
      <c r="M815"/>
      <c r="W815"/>
    </row>
    <row r="816" spans="10:23" x14ac:dyDescent="0.25">
      <c r="J816"/>
      <c r="M816"/>
      <c r="W816"/>
    </row>
    <row r="817" spans="10:23" x14ac:dyDescent="0.25">
      <c r="J817"/>
      <c r="M817"/>
      <c r="W817"/>
    </row>
    <row r="818" spans="10:23" x14ac:dyDescent="0.25">
      <c r="J818"/>
      <c r="M818"/>
      <c r="W818"/>
    </row>
    <row r="819" spans="10:23" x14ac:dyDescent="0.25">
      <c r="J819"/>
      <c r="M819"/>
      <c r="W819"/>
    </row>
    <row r="820" spans="10:23" x14ac:dyDescent="0.25">
      <c r="J820"/>
      <c r="M820"/>
      <c r="W820"/>
    </row>
    <row r="821" spans="10:23" x14ac:dyDescent="0.25">
      <c r="J821"/>
      <c r="M821"/>
      <c r="W821"/>
    </row>
    <row r="822" spans="10:23" x14ac:dyDescent="0.25">
      <c r="J822"/>
      <c r="M822"/>
      <c r="W822"/>
    </row>
    <row r="823" spans="10:23" x14ac:dyDescent="0.25">
      <c r="J823"/>
      <c r="M823"/>
      <c r="W823"/>
    </row>
    <row r="824" spans="10:23" x14ac:dyDescent="0.25">
      <c r="J824"/>
      <c r="M824"/>
      <c r="W824"/>
    </row>
    <row r="825" spans="10:23" x14ac:dyDescent="0.25">
      <c r="J825"/>
      <c r="M825"/>
      <c r="W825"/>
    </row>
    <row r="826" spans="10:23" x14ac:dyDescent="0.25">
      <c r="J826"/>
      <c r="M826"/>
      <c r="W826"/>
    </row>
    <row r="827" spans="10:23" x14ac:dyDescent="0.25">
      <c r="J827"/>
      <c r="M827"/>
      <c r="W827"/>
    </row>
    <row r="828" spans="10:23" x14ac:dyDescent="0.25">
      <c r="J828"/>
      <c r="M828"/>
      <c r="W828"/>
    </row>
    <row r="829" spans="10:23" x14ac:dyDescent="0.25">
      <c r="J829"/>
      <c r="M829"/>
      <c r="W829"/>
    </row>
    <row r="830" spans="10:23" x14ac:dyDescent="0.25">
      <c r="J830"/>
      <c r="M830"/>
      <c r="W830"/>
    </row>
    <row r="831" spans="10:23" x14ac:dyDescent="0.25">
      <c r="J831"/>
      <c r="M831"/>
      <c r="W831"/>
    </row>
    <row r="832" spans="10:23" x14ac:dyDescent="0.25">
      <c r="J832"/>
      <c r="M832"/>
      <c r="W832"/>
    </row>
    <row r="833" spans="10:23" x14ac:dyDescent="0.25">
      <c r="J833"/>
      <c r="M833"/>
      <c r="W833"/>
    </row>
    <row r="834" spans="10:23" x14ac:dyDescent="0.25">
      <c r="J834"/>
      <c r="M834"/>
      <c r="W834"/>
    </row>
    <row r="835" spans="10:23" x14ac:dyDescent="0.25">
      <c r="J835"/>
      <c r="M835"/>
      <c r="W835"/>
    </row>
    <row r="836" spans="10:23" x14ac:dyDescent="0.25">
      <c r="J836"/>
      <c r="M836"/>
      <c r="W836"/>
    </row>
    <row r="837" spans="10:23" x14ac:dyDescent="0.25">
      <c r="J837"/>
      <c r="M837"/>
      <c r="W837"/>
    </row>
    <row r="838" spans="10:23" x14ac:dyDescent="0.25">
      <c r="J838"/>
      <c r="M838"/>
      <c r="W838"/>
    </row>
    <row r="839" spans="10:23" x14ac:dyDescent="0.25">
      <c r="J839"/>
      <c r="M839"/>
      <c r="W839"/>
    </row>
    <row r="840" spans="10:23" x14ac:dyDescent="0.25">
      <c r="J840"/>
      <c r="M840"/>
      <c r="W840"/>
    </row>
    <row r="841" spans="10:23" x14ac:dyDescent="0.25">
      <c r="J841"/>
      <c r="M841"/>
      <c r="W841"/>
    </row>
    <row r="842" spans="10:23" x14ac:dyDescent="0.25">
      <c r="J842"/>
      <c r="M842"/>
      <c r="W842"/>
    </row>
    <row r="843" spans="10:23" x14ac:dyDescent="0.25">
      <c r="J843"/>
      <c r="M843"/>
      <c r="W843"/>
    </row>
    <row r="844" spans="10:23" x14ac:dyDescent="0.25">
      <c r="J844"/>
      <c r="M844"/>
      <c r="W844"/>
    </row>
    <row r="845" spans="10:23" x14ac:dyDescent="0.25">
      <c r="J845"/>
      <c r="M845"/>
      <c r="W845"/>
    </row>
    <row r="846" spans="10:23" x14ac:dyDescent="0.25">
      <c r="J846"/>
      <c r="M846"/>
      <c r="W846"/>
    </row>
    <row r="847" spans="10:23" x14ac:dyDescent="0.25">
      <c r="J847"/>
      <c r="M847"/>
      <c r="W847"/>
    </row>
    <row r="848" spans="10:23" x14ac:dyDescent="0.25">
      <c r="J848"/>
      <c r="M848"/>
      <c r="W848"/>
    </row>
    <row r="849" spans="10:23" x14ac:dyDescent="0.25">
      <c r="J849"/>
      <c r="M849"/>
      <c r="W849"/>
    </row>
    <row r="850" spans="10:23" x14ac:dyDescent="0.25">
      <c r="J850"/>
      <c r="M850"/>
      <c r="W850"/>
    </row>
    <row r="851" spans="10:23" x14ac:dyDescent="0.25">
      <c r="J851"/>
      <c r="M851"/>
      <c r="W851"/>
    </row>
    <row r="852" spans="10:23" x14ac:dyDescent="0.25">
      <c r="J852"/>
      <c r="M852"/>
      <c r="W852"/>
    </row>
    <row r="853" spans="10:23" x14ac:dyDescent="0.25">
      <c r="J853"/>
      <c r="M853"/>
      <c r="W853"/>
    </row>
    <row r="854" spans="10:23" x14ac:dyDescent="0.25">
      <c r="J854"/>
      <c r="M854"/>
      <c r="W854"/>
    </row>
    <row r="855" spans="10:23" x14ac:dyDescent="0.25">
      <c r="J855"/>
      <c r="M855"/>
      <c r="W855"/>
    </row>
    <row r="856" spans="10:23" x14ac:dyDescent="0.25">
      <c r="J856"/>
      <c r="M856"/>
      <c r="W856"/>
    </row>
    <row r="857" spans="10:23" x14ac:dyDescent="0.25">
      <c r="J857"/>
      <c r="M857"/>
      <c r="W857"/>
    </row>
    <row r="858" spans="10:23" x14ac:dyDescent="0.25">
      <c r="J858"/>
      <c r="M858"/>
      <c r="W858"/>
    </row>
    <row r="859" spans="10:23" x14ac:dyDescent="0.25">
      <c r="J859"/>
      <c r="M859"/>
      <c r="W859"/>
    </row>
    <row r="860" spans="10:23" x14ac:dyDescent="0.25">
      <c r="J860"/>
      <c r="M860"/>
      <c r="W860"/>
    </row>
    <row r="861" spans="10:23" x14ac:dyDescent="0.25">
      <c r="J861"/>
      <c r="M861"/>
      <c r="W861"/>
    </row>
    <row r="862" spans="10:23" x14ac:dyDescent="0.25">
      <c r="J862"/>
      <c r="M862"/>
      <c r="W862"/>
    </row>
    <row r="863" spans="10:23" x14ac:dyDescent="0.25">
      <c r="J863"/>
      <c r="M863"/>
      <c r="W863"/>
    </row>
    <row r="864" spans="10:23" x14ac:dyDescent="0.25">
      <c r="J864"/>
      <c r="M864"/>
      <c r="W864"/>
    </row>
    <row r="865" spans="10:23" x14ac:dyDescent="0.25">
      <c r="J865"/>
      <c r="M865"/>
      <c r="W865"/>
    </row>
    <row r="866" spans="10:23" x14ac:dyDescent="0.25">
      <c r="J866"/>
      <c r="M866"/>
      <c r="W866"/>
    </row>
    <row r="867" spans="10:23" x14ac:dyDescent="0.25">
      <c r="J867"/>
      <c r="M867"/>
      <c r="W867"/>
    </row>
    <row r="868" spans="10:23" x14ac:dyDescent="0.25">
      <c r="J868"/>
      <c r="M868"/>
      <c r="W868"/>
    </row>
    <row r="869" spans="10:23" x14ac:dyDescent="0.25">
      <c r="J869"/>
      <c r="M869"/>
      <c r="W869"/>
    </row>
    <row r="870" spans="10:23" x14ac:dyDescent="0.25">
      <c r="J870"/>
      <c r="M870"/>
      <c r="W870"/>
    </row>
    <row r="871" spans="10:23" x14ac:dyDescent="0.25">
      <c r="J871"/>
      <c r="M871"/>
      <c r="W871"/>
    </row>
    <row r="872" spans="10:23" x14ac:dyDescent="0.25">
      <c r="J872"/>
      <c r="M872"/>
      <c r="W872"/>
    </row>
    <row r="873" spans="10:23" x14ac:dyDescent="0.25">
      <c r="J873"/>
      <c r="M873"/>
      <c r="W873"/>
    </row>
    <row r="874" spans="10:23" x14ac:dyDescent="0.25">
      <c r="J874"/>
      <c r="M874"/>
      <c r="W874"/>
    </row>
    <row r="875" spans="10:23" x14ac:dyDescent="0.25">
      <c r="J875"/>
      <c r="M875"/>
      <c r="W875"/>
    </row>
    <row r="876" spans="10:23" x14ac:dyDescent="0.25">
      <c r="J876"/>
      <c r="M876"/>
      <c r="W876"/>
    </row>
    <row r="877" spans="10:23" x14ac:dyDescent="0.25">
      <c r="J877"/>
      <c r="M877"/>
      <c r="W877"/>
    </row>
    <row r="878" spans="10:23" x14ac:dyDescent="0.25">
      <c r="J878"/>
      <c r="M878"/>
      <c r="W878"/>
    </row>
    <row r="879" spans="10:23" x14ac:dyDescent="0.25">
      <c r="J879"/>
      <c r="M879"/>
      <c r="W879"/>
    </row>
    <row r="880" spans="10:23" x14ac:dyDescent="0.25">
      <c r="J880"/>
      <c r="M880"/>
      <c r="W880"/>
    </row>
    <row r="881" spans="10:23" x14ac:dyDescent="0.25">
      <c r="J881"/>
      <c r="M881"/>
      <c r="W881"/>
    </row>
    <row r="882" spans="10:23" x14ac:dyDescent="0.25">
      <c r="J882"/>
      <c r="M882"/>
      <c r="W882"/>
    </row>
    <row r="883" spans="10:23" x14ac:dyDescent="0.25">
      <c r="J883"/>
      <c r="M883"/>
      <c r="W883"/>
    </row>
    <row r="884" spans="10:23" x14ac:dyDescent="0.25">
      <c r="J884"/>
      <c r="M884"/>
      <c r="W884"/>
    </row>
    <row r="885" spans="10:23" x14ac:dyDescent="0.25">
      <c r="J885"/>
      <c r="M885"/>
      <c r="W885"/>
    </row>
    <row r="886" spans="10:23" x14ac:dyDescent="0.25">
      <c r="J886"/>
      <c r="M886"/>
      <c r="W886"/>
    </row>
    <row r="887" spans="10:23" x14ac:dyDescent="0.25">
      <c r="J887"/>
      <c r="M887"/>
      <c r="W887"/>
    </row>
    <row r="888" spans="10:23" x14ac:dyDescent="0.25">
      <c r="J888"/>
      <c r="M888"/>
      <c r="W888"/>
    </row>
    <row r="889" spans="10:23" x14ac:dyDescent="0.25">
      <c r="J889"/>
      <c r="M889"/>
      <c r="W889"/>
    </row>
    <row r="890" spans="10:23" x14ac:dyDescent="0.25">
      <c r="J890"/>
      <c r="M890"/>
      <c r="W890"/>
    </row>
    <row r="891" spans="10:23" x14ac:dyDescent="0.25">
      <c r="J891"/>
      <c r="M891"/>
      <c r="W891"/>
    </row>
    <row r="892" spans="10:23" x14ac:dyDescent="0.25">
      <c r="J892"/>
      <c r="M892"/>
      <c r="W892"/>
    </row>
    <row r="893" spans="10:23" x14ac:dyDescent="0.25">
      <c r="J893"/>
      <c r="M893"/>
      <c r="W893"/>
    </row>
    <row r="894" spans="10:23" x14ac:dyDescent="0.25">
      <c r="J894"/>
      <c r="M894"/>
      <c r="W894"/>
    </row>
    <row r="895" spans="10:23" x14ac:dyDescent="0.25">
      <c r="J895"/>
      <c r="M895"/>
      <c r="W895"/>
    </row>
    <row r="896" spans="10:23" x14ac:dyDescent="0.25">
      <c r="J896"/>
      <c r="M896"/>
      <c r="W896"/>
    </row>
    <row r="897" spans="10:23" x14ac:dyDescent="0.25">
      <c r="J897"/>
      <c r="M897"/>
      <c r="W897"/>
    </row>
    <row r="898" spans="10:23" x14ac:dyDescent="0.25">
      <c r="J898"/>
      <c r="M898"/>
      <c r="W898"/>
    </row>
    <row r="899" spans="10:23" x14ac:dyDescent="0.25">
      <c r="J899"/>
      <c r="M899"/>
      <c r="W899"/>
    </row>
    <row r="900" spans="10:23" x14ac:dyDescent="0.25">
      <c r="J900"/>
      <c r="M900"/>
      <c r="W900"/>
    </row>
    <row r="901" spans="10:23" x14ac:dyDescent="0.25">
      <c r="J901"/>
      <c r="M901"/>
      <c r="W901"/>
    </row>
    <row r="902" spans="10:23" x14ac:dyDescent="0.25">
      <c r="J902"/>
      <c r="M902"/>
      <c r="W902"/>
    </row>
    <row r="903" spans="10:23" x14ac:dyDescent="0.25">
      <c r="J903"/>
      <c r="M903"/>
      <c r="W903"/>
    </row>
    <row r="904" spans="10:23" x14ac:dyDescent="0.25">
      <c r="J904"/>
      <c r="M904"/>
      <c r="W904"/>
    </row>
    <row r="905" spans="10:23" x14ac:dyDescent="0.25">
      <c r="J905"/>
      <c r="M905"/>
      <c r="W905"/>
    </row>
    <row r="906" spans="10:23" x14ac:dyDescent="0.25">
      <c r="J906"/>
      <c r="M906"/>
      <c r="W906"/>
    </row>
    <row r="907" spans="10:23" x14ac:dyDescent="0.25">
      <c r="J907"/>
      <c r="M907"/>
      <c r="W907"/>
    </row>
    <row r="908" spans="10:23" x14ac:dyDescent="0.25">
      <c r="J908"/>
      <c r="M908"/>
      <c r="W908"/>
    </row>
    <row r="909" spans="10:23" x14ac:dyDescent="0.25">
      <c r="J909"/>
      <c r="M909"/>
      <c r="W909"/>
    </row>
    <row r="910" spans="10:23" x14ac:dyDescent="0.25">
      <c r="J910"/>
      <c r="M910"/>
      <c r="W910"/>
    </row>
    <row r="911" spans="10:23" x14ac:dyDescent="0.25">
      <c r="J911"/>
      <c r="M911"/>
      <c r="W911"/>
    </row>
    <row r="912" spans="10:23" x14ac:dyDescent="0.25">
      <c r="J912"/>
      <c r="M912"/>
      <c r="W912"/>
    </row>
    <row r="913" spans="10:23" x14ac:dyDescent="0.25">
      <c r="J913"/>
      <c r="M913"/>
      <c r="W913"/>
    </row>
    <row r="914" spans="10:23" x14ac:dyDescent="0.25">
      <c r="J914"/>
      <c r="M914"/>
      <c r="W914"/>
    </row>
    <row r="915" spans="10:23" x14ac:dyDescent="0.25">
      <c r="J915"/>
      <c r="M915"/>
      <c r="W915"/>
    </row>
    <row r="916" spans="10:23" x14ac:dyDescent="0.25">
      <c r="J916"/>
      <c r="M916"/>
      <c r="W916"/>
    </row>
    <row r="917" spans="10:23" x14ac:dyDescent="0.25">
      <c r="J917"/>
      <c r="M917"/>
      <c r="W917"/>
    </row>
    <row r="918" spans="10:23" x14ac:dyDescent="0.25">
      <c r="J918"/>
      <c r="M918"/>
      <c r="W918"/>
    </row>
    <row r="919" spans="10:23" x14ac:dyDescent="0.25">
      <c r="J919"/>
      <c r="M919"/>
      <c r="W919"/>
    </row>
    <row r="920" spans="10:23" x14ac:dyDescent="0.25">
      <c r="J920"/>
      <c r="M920"/>
      <c r="W920"/>
    </row>
    <row r="921" spans="10:23" x14ac:dyDescent="0.25">
      <c r="J921"/>
      <c r="M921"/>
      <c r="W921"/>
    </row>
    <row r="922" spans="10:23" x14ac:dyDescent="0.25">
      <c r="J922"/>
      <c r="M922"/>
      <c r="W922"/>
    </row>
    <row r="923" spans="10:23" x14ac:dyDescent="0.25">
      <c r="J923"/>
      <c r="M923"/>
      <c r="W923"/>
    </row>
    <row r="924" spans="10:23" x14ac:dyDescent="0.25">
      <c r="J924"/>
      <c r="M924"/>
      <c r="W924"/>
    </row>
    <row r="925" spans="10:23" x14ac:dyDescent="0.25">
      <c r="J925"/>
      <c r="M925"/>
      <c r="W925"/>
    </row>
    <row r="926" spans="10:23" x14ac:dyDescent="0.25">
      <c r="J926"/>
      <c r="M926"/>
      <c r="W926"/>
    </row>
    <row r="927" spans="10:23" x14ac:dyDescent="0.25">
      <c r="J927"/>
      <c r="M927"/>
      <c r="W927"/>
    </row>
    <row r="928" spans="10:23" x14ac:dyDescent="0.25">
      <c r="J928"/>
      <c r="M928"/>
      <c r="W928"/>
    </row>
    <row r="929" spans="10:23" x14ac:dyDescent="0.25">
      <c r="J929"/>
      <c r="M929"/>
      <c r="W929"/>
    </row>
    <row r="930" spans="10:23" x14ac:dyDescent="0.25">
      <c r="J930"/>
      <c r="M930"/>
      <c r="W930"/>
    </row>
    <row r="931" spans="10:23" x14ac:dyDescent="0.25">
      <c r="J931"/>
      <c r="M931"/>
      <c r="W931"/>
    </row>
    <row r="932" spans="10:23" x14ac:dyDescent="0.25">
      <c r="J932"/>
      <c r="M932"/>
      <c r="W932"/>
    </row>
    <row r="933" spans="10:23" x14ac:dyDescent="0.25">
      <c r="J933"/>
      <c r="M933"/>
      <c r="W933"/>
    </row>
    <row r="934" spans="10:23" x14ac:dyDescent="0.25">
      <c r="J934"/>
      <c r="M934"/>
      <c r="W934"/>
    </row>
    <row r="935" spans="10:23" x14ac:dyDescent="0.25">
      <c r="J935"/>
      <c r="M935"/>
      <c r="W935"/>
    </row>
    <row r="936" spans="10:23" x14ac:dyDescent="0.25">
      <c r="J936"/>
      <c r="M936"/>
      <c r="W936"/>
    </row>
    <row r="937" spans="10:23" x14ac:dyDescent="0.25">
      <c r="J937"/>
      <c r="M937"/>
      <c r="W937"/>
    </row>
    <row r="938" spans="10:23" x14ac:dyDescent="0.25">
      <c r="J938"/>
      <c r="M938"/>
      <c r="W938"/>
    </row>
    <row r="939" spans="10:23" x14ac:dyDescent="0.25">
      <c r="J939"/>
      <c r="M939"/>
      <c r="W939"/>
    </row>
    <row r="940" spans="10:23" x14ac:dyDescent="0.25">
      <c r="J940"/>
      <c r="M940"/>
      <c r="W940"/>
    </row>
    <row r="941" spans="10:23" x14ac:dyDescent="0.25">
      <c r="J941"/>
      <c r="M941"/>
      <c r="W941"/>
    </row>
    <row r="942" spans="10:23" x14ac:dyDescent="0.25">
      <c r="J942"/>
      <c r="M942"/>
      <c r="W942"/>
    </row>
    <row r="943" spans="10:23" x14ac:dyDescent="0.25">
      <c r="J943"/>
      <c r="M943"/>
      <c r="W943"/>
    </row>
    <row r="944" spans="10:23" x14ac:dyDescent="0.25">
      <c r="J944"/>
      <c r="M944"/>
      <c r="W944"/>
    </row>
    <row r="945" spans="10:23" x14ac:dyDescent="0.25">
      <c r="J945"/>
      <c r="M945"/>
      <c r="W945"/>
    </row>
    <row r="946" spans="10:23" x14ac:dyDescent="0.25">
      <c r="J946"/>
      <c r="M946"/>
      <c r="W946"/>
    </row>
    <row r="947" spans="10:23" x14ac:dyDescent="0.25">
      <c r="J947"/>
      <c r="M947"/>
      <c r="W947"/>
    </row>
    <row r="948" spans="10:23" x14ac:dyDescent="0.25">
      <c r="J948"/>
      <c r="M948"/>
      <c r="W948"/>
    </row>
    <row r="949" spans="10:23" x14ac:dyDescent="0.25">
      <c r="J949"/>
      <c r="M949"/>
      <c r="W949"/>
    </row>
    <row r="950" spans="10:23" x14ac:dyDescent="0.25">
      <c r="J950"/>
      <c r="M950"/>
      <c r="W950"/>
    </row>
    <row r="951" spans="10:23" x14ac:dyDescent="0.25">
      <c r="J951"/>
      <c r="M951"/>
      <c r="W951"/>
    </row>
    <row r="952" spans="10:23" x14ac:dyDescent="0.25">
      <c r="J952"/>
      <c r="M952"/>
      <c r="W952"/>
    </row>
    <row r="953" spans="10:23" x14ac:dyDescent="0.25">
      <c r="J953"/>
      <c r="M953"/>
      <c r="W953"/>
    </row>
    <row r="954" spans="10:23" x14ac:dyDescent="0.25">
      <c r="J954"/>
      <c r="M954"/>
      <c r="W954"/>
    </row>
    <row r="955" spans="10:23" x14ac:dyDescent="0.25">
      <c r="J955"/>
      <c r="M955"/>
      <c r="W955"/>
    </row>
    <row r="956" spans="10:23" x14ac:dyDescent="0.25">
      <c r="J956"/>
      <c r="M956"/>
      <c r="W956"/>
    </row>
    <row r="957" spans="10:23" x14ac:dyDescent="0.25">
      <c r="J957"/>
      <c r="M957"/>
      <c r="W957"/>
    </row>
    <row r="958" spans="10:23" x14ac:dyDescent="0.25">
      <c r="J958"/>
      <c r="M958"/>
      <c r="W958"/>
    </row>
    <row r="959" spans="10:23" x14ac:dyDescent="0.25">
      <c r="J959"/>
      <c r="M959"/>
      <c r="W959"/>
    </row>
    <row r="960" spans="10:23" x14ac:dyDescent="0.25">
      <c r="J960"/>
      <c r="M960"/>
      <c r="W960"/>
    </row>
    <row r="961" spans="10:23" x14ac:dyDescent="0.25">
      <c r="J961"/>
      <c r="M961"/>
      <c r="W961"/>
    </row>
    <row r="962" spans="10:23" x14ac:dyDescent="0.25">
      <c r="J962"/>
      <c r="M962"/>
      <c r="W962"/>
    </row>
    <row r="963" spans="10:23" x14ac:dyDescent="0.25">
      <c r="J963"/>
      <c r="M963"/>
      <c r="W963"/>
    </row>
    <row r="964" spans="10:23" x14ac:dyDescent="0.25">
      <c r="J964"/>
      <c r="M964"/>
      <c r="W964"/>
    </row>
    <row r="965" spans="10:23" x14ac:dyDescent="0.25">
      <c r="J965"/>
      <c r="M965"/>
      <c r="W965"/>
    </row>
    <row r="966" spans="10:23" x14ac:dyDescent="0.25">
      <c r="J966"/>
      <c r="M966"/>
      <c r="W966"/>
    </row>
    <row r="967" spans="10:23" x14ac:dyDescent="0.25">
      <c r="J967"/>
      <c r="M967"/>
      <c r="W967"/>
    </row>
    <row r="968" spans="10:23" x14ac:dyDescent="0.25">
      <c r="J968"/>
      <c r="M968"/>
      <c r="W968"/>
    </row>
    <row r="969" spans="10:23" x14ac:dyDescent="0.25">
      <c r="J969"/>
      <c r="M969"/>
      <c r="W969"/>
    </row>
    <row r="970" spans="10:23" x14ac:dyDescent="0.25">
      <c r="J970"/>
      <c r="M970"/>
      <c r="W970"/>
    </row>
    <row r="971" spans="10:23" x14ac:dyDescent="0.25">
      <c r="J971"/>
      <c r="M971"/>
      <c r="W971"/>
    </row>
    <row r="972" spans="10:23" x14ac:dyDescent="0.25">
      <c r="J972"/>
      <c r="M972"/>
      <c r="W972"/>
    </row>
    <row r="973" spans="10:23" x14ac:dyDescent="0.25">
      <c r="J973"/>
      <c r="M973"/>
      <c r="W973"/>
    </row>
    <row r="974" spans="10:23" x14ac:dyDescent="0.25">
      <c r="J974"/>
      <c r="M974"/>
      <c r="W974"/>
    </row>
    <row r="975" spans="10:23" x14ac:dyDescent="0.25">
      <c r="J975"/>
      <c r="M975"/>
      <c r="W975"/>
    </row>
    <row r="976" spans="10:23" x14ac:dyDescent="0.25">
      <c r="J976"/>
      <c r="M976"/>
      <c r="W976"/>
    </row>
    <row r="977" spans="10:23" x14ac:dyDescent="0.25">
      <c r="J977"/>
      <c r="M977"/>
      <c r="W977"/>
    </row>
    <row r="978" spans="10:23" x14ac:dyDescent="0.25">
      <c r="J978"/>
      <c r="M978"/>
      <c r="W978"/>
    </row>
    <row r="979" spans="10:23" x14ac:dyDescent="0.25">
      <c r="J979"/>
      <c r="M979"/>
      <c r="W979"/>
    </row>
    <row r="980" spans="10:23" x14ac:dyDescent="0.25">
      <c r="J980"/>
      <c r="M980"/>
      <c r="W980"/>
    </row>
    <row r="981" spans="10:23" x14ac:dyDescent="0.25">
      <c r="J981"/>
      <c r="M981"/>
      <c r="W981"/>
    </row>
    <row r="982" spans="10:23" x14ac:dyDescent="0.25">
      <c r="J982"/>
      <c r="M982"/>
      <c r="W982"/>
    </row>
    <row r="983" spans="10:23" x14ac:dyDescent="0.25">
      <c r="J983"/>
      <c r="M983"/>
      <c r="W983"/>
    </row>
    <row r="984" spans="10:23" x14ac:dyDescent="0.25">
      <c r="J984"/>
      <c r="M984"/>
      <c r="W984"/>
    </row>
    <row r="985" spans="10:23" x14ac:dyDescent="0.25">
      <c r="J985"/>
      <c r="M985"/>
      <c r="W985"/>
    </row>
    <row r="986" spans="10:23" x14ac:dyDescent="0.25">
      <c r="J986"/>
      <c r="M986"/>
      <c r="W986"/>
    </row>
    <row r="987" spans="10:23" x14ac:dyDescent="0.25">
      <c r="J987"/>
      <c r="M987"/>
      <c r="W987"/>
    </row>
    <row r="988" spans="10:23" x14ac:dyDescent="0.25">
      <c r="J988"/>
      <c r="M988"/>
      <c r="W988"/>
    </row>
    <row r="989" spans="10:23" x14ac:dyDescent="0.25">
      <c r="J989"/>
      <c r="M989"/>
      <c r="W989"/>
    </row>
    <row r="990" spans="10:23" x14ac:dyDescent="0.25">
      <c r="J990"/>
      <c r="M990"/>
      <c r="W990"/>
    </row>
    <row r="991" spans="10:23" x14ac:dyDescent="0.25">
      <c r="J991"/>
      <c r="M991"/>
      <c r="W991"/>
    </row>
    <row r="992" spans="10:23" x14ac:dyDescent="0.25">
      <c r="J992"/>
      <c r="M992"/>
      <c r="W992"/>
    </row>
    <row r="993" spans="10:23" x14ac:dyDescent="0.25">
      <c r="J993"/>
      <c r="M993"/>
      <c r="W993"/>
    </row>
    <row r="994" spans="10:23" x14ac:dyDescent="0.25">
      <c r="J994"/>
      <c r="M994"/>
      <c r="W994"/>
    </row>
    <row r="995" spans="10:23" x14ac:dyDescent="0.25">
      <c r="J995"/>
      <c r="M995"/>
      <c r="W995"/>
    </row>
    <row r="996" spans="10:23" x14ac:dyDescent="0.25">
      <c r="J996"/>
      <c r="M996"/>
      <c r="W996"/>
    </row>
    <row r="997" spans="10:23" x14ac:dyDescent="0.25">
      <c r="J997"/>
      <c r="M997"/>
      <c r="W997"/>
    </row>
    <row r="998" spans="10:23" x14ac:dyDescent="0.25">
      <c r="J998"/>
      <c r="M998"/>
      <c r="W998"/>
    </row>
    <row r="999" spans="10:23" x14ac:dyDescent="0.25">
      <c r="J999"/>
      <c r="M999"/>
      <c r="W999"/>
    </row>
    <row r="1000" spans="10:23" x14ac:dyDescent="0.25">
      <c r="J1000"/>
      <c r="M1000"/>
      <c r="W1000"/>
    </row>
    <row r="1001" spans="10:23" x14ac:dyDescent="0.25">
      <c r="J1001"/>
      <c r="M1001"/>
      <c r="W1001"/>
    </row>
    <row r="1002" spans="10:23" x14ac:dyDescent="0.25">
      <c r="J1002"/>
      <c r="M1002"/>
      <c r="W1002"/>
    </row>
    <row r="1003" spans="10:23" x14ac:dyDescent="0.25">
      <c r="J1003"/>
      <c r="M1003"/>
      <c r="W1003"/>
    </row>
    <row r="1004" spans="10:23" x14ac:dyDescent="0.25">
      <c r="J1004"/>
      <c r="M1004"/>
      <c r="W1004"/>
    </row>
    <row r="1005" spans="10:23" x14ac:dyDescent="0.25">
      <c r="J1005"/>
      <c r="M1005"/>
      <c r="W1005"/>
    </row>
    <row r="1006" spans="10:23" x14ac:dyDescent="0.25">
      <c r="J1006"/>
      <c r="M1006"/>
      <c r="W1006"/>
    </row>
    <row r="1007" spans="10:23" x14ac:dyDescent="0.25">
      <c r="J1007"/>
      <c r="M1007"/>
      <c r="W1007"/>
    </row>
    <row r="1008" spans="10:23" x14ac:dyDescent="0.25">
      <c r="J1008"/>
      <c r="M1008"/>
      <c r="W1008"/>
    </row>
    <row r="1009" spans="10:23" x14ac:dyDescent="0.25">
      <c r="J1009"/>
      <c r="M1009"/>
      <c r="W1009"/>
    </row>
    <row r="1010" spans="10:23" x14ac:dyDescent="0.25">
      <c r="J1010"/>
      <c r="M1010"/>
      <c r="W1010"/>
    </row>
    <row r="1011" spans="10:23" x14ac:dyDescent="0.25">
      <c r="J1011"/>
      <c r="M1011"/>
      <c r="W1011"/>
    </row>
    <row r="1012" spans="10:23" x14ac:dyDescent="0.25">
      <c r="J1012"/>
      <c r="M1012"/>
      <c r="W1012"/>
    </row>
    <row r="1013" spans="10:23" x14ac:dyDescent="0.25">
      <c r="J1013"/>
      <c r="M1013"/>
      <c r="W1013"/>
    </row>
    <row r="1014" spans="10:23" x14ac:dyDescent="0.25">
      <c r="J1014"/>
      <c r="M1014"/>
      <c r="W1014"/>
    </row>
    <row r="1015" spans="10:23" x14ac:dyDescent="0.25">
      <c r="J1015"/>
      <c r="M1015"/>
      <c r="W1015"/>
    </row>
    <row r="1016" spans="10:23" x14ac:dyDescent="0.25">
      <c r="J1016"/>
      <c r="M1016"/>
      <c r="W1016"/>
    </row>
    <row r="1017" spans="10:23" x14ac:dyDescent="0.25">
      <c r="J1017"/>
      <c r="M1017"/>
      <c r="W1017"/>
    </row>
    <row r="1018" spans="10:23" x14ac:dyDescent="0.25">
      <c r="J1018"/>
      <c r="M1018"/>
      <c r="W1018"/>
    </row>
    <row r="1019" spans="10:23" x14ac:dyDescent="0.25">
      <c r="J1019"/>
      <c r="M1019"/>
      <c r="W1019"/>
    </row>
    <row r="1020" spans="10:23" x14ac:dyDescent="0.25">
      <c r="J1020"/>
      <c r="M1020"/>
      <c r="W1020"/>
    </row>
    <row r="1021" spans="10:23" x14ac:dyDescent="0.25">
      <c r="J1021"/>
      <c r="M1021"/>
      <c r="W1021"/>
    </row>
    <row r="1022" spans="10:23" x14ac:dyDescent="0.25">
      <c r="J1022"/>
      <c r="M1022"/>
      <c r="W1022"/>
    </row>
    <row r="1023" spans="10:23" x14ac:dyDescent="0.25">
      <c r="J1023"/>
      <c r="M1023"/>
      <c r="W1023"/>
    </row>
    <row r="1024" spans="10:23" x14ac:dyDescent="0.25">
      <c r="J1024"/>
      <c r="M1024"/>
      <c r="W1024"/>
    </row>
    <row r="1025" spans="10:23" x14ac:dyDescent="0.25">
      <c r="J1025"/>
      <c r="M1025"/>
      <c r="W1025"/>
    </row>
    <row r="1026" spans="10:23" x14ac:dyDescent="0.25">
      <c r="J1026"/>
      <c r="M1026"/>
      <c r="W1026"/>
    </row>
    <row r="1027" spans="10:23" x14ac:dyDescent="0.25">
      <c r="J1027"/>
      <c r="M1027"/>
      <c r="W1027"/>
    </row>
    <row r="1028" spans="10:23" x14ac:dyDescent="0.25">
      <c r="J1028"/>
      <c r="M1028"/>
      <c r="W1028"/>
    </row>
    <row r="1029" spans="10:23" x14ac:dyDescent="0.25">
      <c r="J1029"/>
      <c r="M1029"/>
      <c r="W1029"/>
    </row>
    <row r="1030" spans="10:23" x14ac:dyDescent="0.25">
      <c r="J1030"/>
      <c r="M1030"/>
      <c r="W1030"/>
    </row>
    <row r="1031" spans="10:23" x14ac:dyDescent="0.25">
      <c r="J1031"/>
      <c r="M1031"/>
      <c r="W1031"/>
    </row>
    <row r="1032" spans="10:23" x14ac:dyDescent="0.25">
      <c r="J1032"/>
      <c r="M1032"/>
      <c r="W1032"/>
    </row>
    <row r="1033" spans="10:23" x14ac:dyDescent="0.25">
      <c r="J1033"/>
      <c r="M1033"/>
      <c r="W1033"/>
    </row>
    <row r="1034" spans="10:23" x14ac:dyDescent="0.25">
      <c r="J1034"/>
      <c r="M1034"/>
      <c r="W1034"/>
    </row>
    <row r="1035" spans="10:23" x14ac:dyDescent="0.25">
      <c r="J1035"/>
      <c r="M1035"/>
      <c r="W1035"/>
    </row>
    <row r="1036" spans="10:23" x14ac:dyDescent="0.25">
      <c r="J1036"/>
      <c r="M1036"/>
      <c r="W1036"/>
    </row>
    <row r="1037" spans="10:23" x14ac:dyDescent="0.25">
      <c r="J1037"/>
      <c r="M1037"/>
      <c r="W1037"/>
    </row>
    <row r="1038" spans="10:23" x14ac:dyDescent="0.25">
      <c r="J1038"/>
      <c r="M1038"/>
      <c r="W1038"/>
    </row>
    <row r="1039" spans="10:23" x14ac:dyDescent="0.25">
      <c r="J1039"/>
      <c r="M1039"/>
      <c r="W1039"/>
    </row>
    <row r="1040" spans="10:23" x14ac:dyDescent="0.25">
      <c r="J1040"/>
      <c r="M1040"/>
      <c r="W1040"/>
    </row>
    <row r="1041" spans="10:23" x14ac:dyDescent="0.25">
      <c r="J1041"/>
      <c r="M1041"/>
      <c r="W1041"/>
    </row>
    <row r="1042" spans="10:23" x14ac:dyDescent="0.25">
      <c r="J1042"/>
      <c r="M1042"/>
      <c r="W1042"/>
    </row>
    <row r="1043" spans="10:23" x14ac:dyDescent="0.25">
      <c r="J1043"/>
      <c r="M1043"/>
      <c r="W1043"/>
    </row>
    <row r="1044" spans="10:23" x14ac:dyDescent="0.25">
      <c r="J1044"/>
      <c r="M1044"/>
      <c r="W1044"/>
    </row>
    <row r="1045" spans="10:23" x14ac:dyDescent="0.25">
      <c r="J1045"/>
      <c r="M1045"/>
      <c r="W1045"/>
    </row>
    <row r="1046" spans="10:23" x14ac:dyDescent="0.25">
      <c r="J1046"/>
      <c r="M1046"/>
      <c r="W1046"/>
    </row>
    <row r="1047" spans="10:23" x14ac:dyDescent="0.25">
      <c r="J1047"/>
      <c r="M1047"/>
      <c r="W1047"/>
    </row>
    <row r="1048" spans="10:23" x14ac:dyDescent="0.25">
      <c r="J1048"/>
      <c r="M1048"/>
      <c r="W1048"/>
    </row>
    <row r="1049" spans="10:23" x14ac:dyDescent="0.25">
      <c r="J1049"/>
      <c r="M1049"/>
      <c r="W1049"/>
    </row>
    <row r="1050" spans="10:23" x14ac:dyDescent="0.25">
      <c r="J1050"/>
      <c r="M1050"/>
      <c r="W1050"/>
    </row>
    <row r="1051" spans="10:23" x14ac:dyDescent="0.25">
      <c r="J1051"/>
      <c r="M1051"/>
      <c r="W1051"/>
    </row>
    <row r="1052" spans="10:23" x14ac:dyDescent="0.25">
      <c r="J1052"/>
      <c r="M1052"/>
      <c r="W1052"/>
    </row>
    <row r="1053" spans="10:23" x14ac:dyDescent="0.25">
      <c r="J1053"/>
      <c r="M1053"/>
      <c r="W1053"/>
    </row>
    <row r="1054" spans="10:23" x14ac:dyDescent="0.25">
      <c r="J1054"/>
      <c r="M1054"/>
      <c r="W1054"/>
    </row>
    <row r="1055" spans="10:23" x14ac:dyDescent="0.25">
      <c r="J1055"/>
      <c r="M1055"/>
      <c r="W1055"/>
    </row>
    <row r="1056" spans="10:23" x14ac:dyDescent="0.25">
      <c r="J1056"/>
      <c r="M1056"/>
      <c r="W1056"/>
    </row>
    <row r="1057" spans="10:23" x14ac:dyDescent="0.25">
      <c r="J1057"/>
      <c r="M1057"/>
      <c r="W1057"/>
    </row>
    <row r="1058" spans="10:23" x14ac:dyDescent="0.25">
      <c r="J1058"/>
      <c r="M1058"/>
      <c r="W1058"/>
    </row>
    <row r="1059" spans="10:23" x14ac:dyDescent="0.25">
      <c r="J1059"/>
      <c r="M1059"/>
      <c r="W1059"/>
    </row>
    <row r="1060" spans="10:23" x14ac:dyDescent="0.25">
      <c r="J1060"/>
      <c r="M1060"/>
      <c r="W1060"/>
    </row>
    <row r="1061" spans="10:23" x14ac:dyDescent="0.25">
      <c r="J1061"/>
      <c r="M1061"/>
      <c r="W1061"/>
    </row>
    <row r="1062" spans="10:23" x14ac:dyDescent="0.25">
      <c r="J1062"/>
      <c r="M1062"/>
      <c r="W1062"/>
    </row>
    <row r="1063" spans="10:23" x14ac:dyDescent="0.25">
      <c r="J1063"/>
      <c r="M1063"/>
      <c r="W1063"/>
    </row>
    <row r="1064" spans="10:23" x14ac:dyDescent="0.25">
      <c r="J1064"/>
      <c r="M1064"/>
      <c r="W1064"/>
    </row>
    <row r="1065" spans="10:23" x14ac:dyDescent="0.25">
      <c r="J1065"/>
      <c r="M1065"/>
      <c r="W1065"/>
    </row>
    <row r="1066" spans="10:23" x14ac:dyDescent="0.25">
      <c r="J1066"/>
      <c r="M1066"/>
      <c r="W1066"/>
    </row>
    <row r="1067" spans="10:23" x14ac:dyDescent="0.25">
      <c r="J1067"/>
      <c r="M1067"/>
      <c r="W1067"/>
    </row>
    <row r="1068" spans="10:23" x14ac:dyDescent="0.25">
      <c r="J1068"/>
      <c r="M1068"/>
      <c r="W1068"/>
    </row>
    <row r="1069" spans="10:23" x14ac:dyDescent="0.25">
      <c r="J1069"/>
      <c r="M1069"/>
      <c r="W1069"/>
    </row>
    <row r="1070" spans="10:23" x14ac:dyDescent="0.25">
      <c r="J1070"/>
      <c r="M1070"/>
      <c r="W1070"/>
    </row>
    <row r="1071" spans="10:23" x14ac:dyDescent="0.25">
      <c r="J1071"/>
      <c r="M1071"/>
      <c r="W1071"/>
    </row>
    <row r="1072" spans="10:23" x14ac:dyDescent="0.25">
      <c r="J1072"/>
      <c r="M1072"/>
      <c r="W1072"/>
    </row>
    <row r="1073" spans="10:23" x14ac:dyDescent="0.25">
      <c r="J1073"/>
      <c r="M1073"/>
      <c r="W1073"/>
    </row>
    <row r="1074" spans="10:23" x14ac:dyDescent="0.25">
      <c r="J1074"/>
      <c r="M1074"/>
      <c r="W1074"/>
    </row>
    <row r="1075" spans="10:23" x14ac:dyDescent="0.25">
      <c r="J1075"/>
      <c r="M1075"/>
      <c r="W1075"/>
    </row>
    <row r="1076" spans="10:23" x14ac:dyDescent="0.25">
      <c r="J1076"/>
      <c r="M1076"/>
      <c r="W1076"/>
    </row>
    <row r="1077" spans="10:23" x14ac:dyDescent="0.25">
      <c r="J1077"/>
      <c r="M1077"/>
      <c r="W1077"/>
    </row>
    <row r="1078" spans="10:23" x14ac:dyDescent="0.25">
      <c r="J1078"/>
      <c r="M1078"/>
      <c r="W1078"/>
    </row>
    <row r="1079" spans="10:23" x14ac:dyDescent="0.25">
      <c r="J1079"/>
      <c r="M1079"/>
      <c r="W1079"/>
    </row>
    <row r="1080" spans="10:23" x14ac:dyDescent="0.25">
      <c r="J1080"/>
      <c r="M1080"/>
      <c r="W1080"/>
    </row>
    <row r="1081" spans="10:23" x14ac:dyDescent="0.25">
      <c r="J1081"/>
      <c r="M1081"/>
      <c r="W1081"/>
    </row>
    <row r="1082" spans="10:23" x14ac:dyDescent="0.25">
      <c r="J1082"/>
      <c r="M1082"/>
      <c r="W1082"/>
    </row>
    <row r="1083" spans="10:23" x14ac:dyDescent="0.25">
      <c r="J1083"/>
      <c r="M1083"/>
      <c r="W1083"/>
    </row>
    <row r="1084" spans="10:23" x14ac:dyDescent="0.25">
      <c r="J1084"/>
      <c r="M1084"/>
      <c r="W1084"/>
    </row>
    <row r="1085" spans="10:23" x14ac:dyDescent="0.25">
      <c r="J1085"/>
      <c r="M1085"/>
      <c r="W1085"/>
    </row>
    <row r="1086" spans="10:23" x14ac:dyDescent="0.25">
      <c r="J1086"/>
      <c r="M1086"/>
      <c r="W1086"/>
    </row>
    <row r="1087" spans="10:23" x14ac:dyDescent="0.25">
      <c r="J1087"/>
      <c r="M1087"/>
      <c r="W1087"/>
    </row>
    <row r="1088" spans="10:23" x14ac:dyDescent="0.25">
      <c r="J1088"/>
      <c r="M1088"/>
      <c r="W1088"/>
    </row>
    <row r="1089" spans="10:23" x14ac:dyDescent="0.25">
      <c r="J1089"/>
      <c r="M1089"/>
      <c r="W1089"/>
    </row>
    <row r="1090" spans="10:23" x14ac:dyDescent="0.25">
      <c r="J1090"/>
      <c r="M1090"/>
      <c r="W1090"/>
    </row>
    <row r="1091" spans="10:23" x14ac:dyDescent="0.25">
      <c r="J1091"/>
      <c r="M1091"/>
      <c r="W1091"/>
    </row>
    <row r="1092" spans="10:23" x14ac:dyDescent="0.25">
      <c r="J1092"/>
      <c r="M1092"/>
      <c r="W1092"/>
    </row>
    <row r="1093" spans="10:23" x14ac:dyDescent="0.25">
      <c r="J1093"/>
      <c r="M1093"/>
      <c r="W1093"/>
    </row>
    <row r="1094" spans="10:23" x14ac:dyDescent="0.25">
      <c r="J1094"/>
      <c r="M1094"/>
      <c r="W1094"/>
    </row>
    <row r="1095" spans="10:23" x14ac:dyDescent="0.25">
      <c r="J1095"/>
      <c r="M1095"/>
      <c r="W1095"/>
    </row>
    <row r="1096" spans="10:23" x14ac:dyDescent="0.25">
      <c r="J1096"/>
      <c r="M1096"/>
      <c r="W1096"/>
    </row>
    <row r="1097" spans="10:23" x14ac:dyDescent="0.25">
      <c r="J1097"/>
      <c r="M1097"/>
      <c r="W1097"/>
    </row>
    <row r="1098" spans="10:23" x14ac:dyDescent="0.25">
      <c r="J1098"/>
      <c r="M1098"/>
      <c r="W1098"/>
    </row>
    <row r="1099" spans="10:23" x14ac:dyDescent="0.25">
      <c r="J1099"/>
      <c r="M1099"/>
      <c r="W1099"/>
    </row>
    <row r="1100" spans="10:23" x14ac:dyDescent="0.25">
      <c r="J1100"/>
      <c r="M1100"/>
      <c r="W1100"/>
    </row>
    <row r="1101" spans="10:23" x14ac:dyDescent="0.25">
      <c r="J1101"/>
      <c r="M1101"/>
      <c r="W1101"/>
    </row>
    <row r="1102" spans="10:23" x14ac:dyDescent="0.25">
      <c r="J1102"/>
      <c r="M1102"/>
      <c r="W1102"/>
    </row>
    <row r="1103" spans="10:23" x14ac:dyDescent="0.25">
      <c r="J1103"/>
      <c r="M1103"/>
      <c r="W1103"/>
    </row>
    <row r="1104" spans="10:23" x14ac:dyDescent="0.25">
      <c r="J1104"/>
      <c r="M1104"/>
      <c r="W1104"/>
    </row>
    <row r="1105" spans="10:23" x14ac:dyDescent="0.25">
      <c r="J1105"/>
      <c r="M1105"/>
      <c r="W1105"/>
    </row>
    <row r="1106" spans="10:23" x14ac:dyDescent="0.25">
      <c r="J1106"/>
      <c r="M1106"/>
      <c r="W1106"/>
    </row>
    <row r="1107" spans="10:23" x14ac:dyDescent="0.25">
      <c r="J1107"/>
      <c r="M1107"/>
      <c r="W1107"/>
    </row>
    <row r="1108" spans="10:23" x14ac:dyDescent="0.25">
      <c r="J1108"/>
      <c r="M1108"/>
      <c r="W1108"/>
    </row>
    <row r="1109" spans="10:23" x14ac:dyDescent="0.25">
      <c r="J1109"/>
      <c r="M1109"/>
      <c r="W1109"/>
    </row>
    <row r="1110" spans="10:23" x14ac:dyDescent="0.25">
      <c r="J1110"/>
      <c r="M1110"/>
      <c r="W1110"/>
    </row>
    <row r="1111" spans="10:23" x14ac:dyDescent="0.25">
      <c r="J1111"/>
      <c r="M1111"/>
      <c r="W1111"/>
    </row>
    <row r="1112" spans="10:23" x14ac:dyDescent="0.25">
      <c r="J1112"/>
      <c r="M1112"/>
      <c r="W1112"/>
    </row>
    <row r="1113" spans="10:23" x14ac:dyDescent="0.25">
      <c r="J1113"/>
      <c r="M1113"/>
      <c r="W1113"/>
    </row>
    <row r="1114" spans="10:23" x14ac:dyDescent="0.25">
      <c r="J1114"/>
      <c r="M1114"/>
      <c r="W1114"/>
    </row>
    <row r="1115" spans="10:23" x14ac:dyDescent="0.25">
      <c r="J1115"/>
      <c r="M1115"/>
      <c r="W1115"/>
    </row>
    <row r="1116" spans="10:23" x14ac:dyDescent="0.25">
      <c r="J1116"/>
      <c r="M1116"/>
      <c r="W1116"/>
    </row>
    <row r="1117" spans="10:23" x14ac:dyDescent="0.25">
      <c r="J1117"/>
      <c r="M1117"/>
      <c r="W1117"/>
    </row>
    <row r="1118" spans="10:23" x14ac:dyDescent="0.25">
      <c r="J1118"/>
      <c r="M1118"/>
      <c r="W1118"/>
    </row>
    <row r="1119" spans="10:23" x14ac:dyDescent="0.25">
      <c r="J1119"/>
      <c r="M1119"/>
      <c r="W1119"/>
    </row>
    <row r="1120" spans="10:23" x14ac:dyDescent="0.25">
      <c r="J1120"/>
      <c r="M1120"/>
      <c r="W1120"/>
    </row>
    <row r="1121" spans="10:23" x14ac:dyDescent="0.25">
      <c r="J1121"/>
      <c r="M1121"/>
      <c r="W1121"/>
    </row>
    <row r="1122" spans="10:23" x14ac:dyDescent="0.25">
      <c r="J1122"/>
      <c r="M1122"/>
      <c r="W1122"/>
    </row>
    <row r="1123" spans="10:23" x14ac:dyDescent="0.25">
      <c r="J1123"/>
      <c r="M1123"/>
      <c r="W1123"/>
    </row>
    <row r="1124" spans="10:23" x14ac:dyDescent="0.25">
      <c r="J1124"/>
      <c r="M1124"/>
      <c r="W1124"/>
    </row>
    <row r="1125" spans="10:23" x14ac:dyDescent="0.25">
      <c r="J1125"/>
      <c r="M1125"/>
      <c r="W1125"/>
    </row>
    <row r="1126" spans="10:23" x14ac:dyDescent="0.25">
      <c r="J1126"/>
      <c r="M1126"/>
      <c r="W1126"/>
    </row>
    <row r="1127" spans="10:23" x14ac:dyDescent="0.25">
      <c r="J1127"/>
      <c r="M1127"/>
      <c r="W1127"/>
    </row>
    <row r="1128" spans="10:23" x14ac:dyDescent="0.25">
      <c r="J1128"/>
      <c r="M1128"/>
      <c r="W1128"/>
    </row>
    <row r="1129" spans="10:23" x14ac:dyDescent="0.25">
      <c r="J1129"/>
      <c r="M1129"/>
      <c r="W1129"/>
    </row>
    <row r="1130" spans="10:23" x14ac:dyDescent="0.25">
      <c r="J1130"/>
      <c r="M1130"/>
      <c r="W1130"/>
    </row>
    <row r="1131" spans="10:23" x14ac:dyDescent="0.25">
      <c r="J1131"/>
      <c r="M1131"/>
      <c r="W1131"/>
    </row>
    <row r="1132" spans="10:23" x14ac:dyDescent="0.25">
      <c r="J1132"/>
      <c r="M1132"/>
      <c r="W1132"/>
    </row>
    <row r="1133" spans="10:23" x14ac:dyDescent="0.25">
      <c r="J1133"/>
      <c r="M1133"/>
      <c r="W1133"/>
    </row>
    <row r="1134" spans="10:23" x14ac:dyDescent="0.25">
      <c r="J1134"/>
      <c r="M1134"/>
      <c r="W1134"/>
    </row>
    <row r="1135" spans="10:23" x14ac:dyDescent="0.25">
      <c r="J1135"/>
      <c r="M1135"/>
      <c r="W1135"/>
    </row>
    <row r="1136" spans="10:23" x14ac:dyDescent="0.25">
      <c r="J1136"/>
      <c r="M1136"/>
      <c r="W1136"/>
    </row>
    <row r="1137" spans="10:23" x14ac:dyDescent="0.25">
      <c r="J1137"/>
      <c r="M1137"/>
      <c r="W1137"/>
    </row>
    <row r="1138" spans="10:23" x14ac:dyDescent="0.25">
      <c r="J1138"/>
      <c r="M1138"/>
      <c r="W1138"/>
    </row>
    <row r="1139" spans="10:23" x14ac:dyDescent="0.25">
      <c r="J1139"/>
      <c r="M1139"/>
      <c r="W1139"/>
    </row>
    <row r="1140" spans="10:23" x14ac:dyDescent="0.25">
      <c r="J1140"/>
      <c r="M1140"/>
      <c r="W1140"/>
    </row>
    <row r="1141" spans="10:23" x14ac:dyDescent="0.25">
      <c r="J1141"/>
      <c r="M1141"/>
      <c r="W1141"/>
    </row>
    <row r="1142" spans="10:23" x14ac:dyDescent="0.25">
      <c r="J1142"/>
      <c r="M1142"/>
      <c r="W1142"/>
    </row>
    <row r="1143" spans="10:23" x14ac:dyDescent="0.25">
      <c r="J1143"/>
      <c r="M1143"/>
      <c r="W1143"/>
    </row>
    <row r="1144" spans="10:23" x14ac:dyDescent="0.25">
      <c r="J1144"/>
      <c r="M1144"/>
      <c r="W1144"/>
    </row>
    <row r="1145" spans="10:23" x14ac:dyDescent="0.25">
      <c r="J1145"/>
      <c r="M1145"/>
      <c r="W1145"/>
    </row>
    <row r="1146" spans="10:23" x14ac:dyDescent="0.25">
      <c r="J1146"/>
      <c r="M1146"/>
      <c r="W1146"/>
    </row>
    <row r="1147" spans="10:23" x14ac:dyDescent="0.25">
      <c r="J1147"/>
      <c r="M1147"/>
      <c r="W1147"/>
    </row>
    <row r="1148" spans="10:23" x14ac:dyDescent="0.25">
      <c r="J1148"/>
      <c r="M1148"/>
      <c r="W1148"/>
    </row>
    <row r="1149" spans="10:23" x14ac:dyDescent="0.25">
      <c r="J1149"/>
      <c r="M1149"/>
      <c r="W1149"/>
    </row>
    <row r="1150" spans="10:23" x14ac:dyDescent="0.25">
      <c r="J1150"/>
      <c r="M1150"/>
      <c r="W1150"/>
    </row>
    <row r="1151" spans="10:23" x14ac:dyDescent="0.25">
      <c r="J1151"/>
      <c r="M1151"/>
      <c r="W1151"/>
    </row>
    <row r="1152" spans="10:23" x14ac:dyDescent="0.25">
      <c r="J1152"/>
      <c r="M1152"/>
      <c r="W1152"/>
    </row>
    <row r="1153" spans="10:23" x14ac:dyDescent="0.25">
      <c r="J1153"/>
      <c r="M1153"/>
      <c r="W1153"/>
    </row>
    <row r="1154" spans="10:23" x14ac:dyDescent="0.25">
      <c r="J1154"/>
      <c r="M1154"/>
      <c r="W1154"/>
    </row>
    <row r="1155" spans="10:23" x14ac:dyDescent="0.25">
      <c r="J1155"/>
      <c r="M1155"/>
      <c r="W1155"/>
    </row>
    <row r="1156" spans="10:23" x14ac:dyDescent="0.25">
      <c r="J1156"/>
      <c r="M1156"/>
      <c r="W1156"/>
    </row>
    <row r="1157" spans="10:23" x14ac:dyDescent="0.25">
      <c r="J1157"/>
      <c r="M1157"/>
      <c r="W1157"/>
    </row>
    <row r="1158" spans="10:23" x14ac:dyDescent="0.25">
      <c r="J1158"/>
      <c r="M1158"/>
      <c r="W1158"/>
    </row>
    <row r="1159" spans="10:23" x14ac:dyDescent="0.25">
      <c r="J1159"/>
      <c r="M1159"/>
      <c r="W1159"/>
    </row>
    <row r="1160" spans="10:23" x14ac:dyDescent="0.25">
      <c r="J1160"/>
      <c r="M1160"/>
      <c r="W1160"/>
    </row>
    <row r="1161" spans="10:23" x14ac:dyDescent="0.25">
      <c r="J1161"/>
      <c r="M1161"/>
      <c r="W1161"/>
    </row>
    <row r="1162" spans="10:23" x14ac:dyDescent="0.25">
      <c r="J1162"/>
      <c r="M1162"/>
      <c r="W1162"/>
    </row>
    <row r="1163" spans="10:23" x14ac:dyDescent="0.25">
      <c r="J1163"/>
      <c r="M1163"/>
      <c r="W1163"/>
    </row>
    <row r="1164" spans="10:23" x14ac:dyDescent="0.25">
      <c r="J1164"/>
      <c r="M1164"/>
      <c r="W1164"/>
    </row>
    <row r="1165" spans="10:23" x14ac:dyDescent="0.25">
      <c r="J1165"/>
      <c r="M1165"/>
      <c r="W1165"/>
    </row>
    <row r="1166" spans="10:23" x14ac:dyDescent="0.25">
      <c r="J1166"/>
      <c r="M1166"/>
      <c r="W1166"/>
    </row>
    <row r="1167" spans="10:23" x14ac:dyDescent="0.25">
      <c r="J1167"/>
      <c r="M1167"/>
      <c r="W1167"/>
    </row>
    <row r="1168" spans="10:23" x14ac:dyDescent="0.25">
      <c r="J1168"/>
      <c r="M1168"/>
      <c r="W1168"/>
    </row>
    <row r="1169" spans="10:23" x14ac:dyDescent="0.25">
      <c r="J1169"/>
      <c r="M1169"/>
      <c r="W1169"/>
    </row>
    <row r="1170" spans="10:23" x14ac:dyDescent="0.25">
      <c r="J1170"/>
      <c r="M1170"/>
      <c r="W1170"/>
    </row>
    <row r="1171" spans="10:23" x14ac:dyDescent="0.25">
      <c r="J1171"/>
      <c r="M1171"/>
      <c r="W1171"/>
    </row>
    <row r="1172" spans="10:23" x14ac:dyDescent="0.25">
      <c r="J1172"/>
      <c r="M1172"/>
      <c r="W1172"/>
    </row>
    <row r="1173" spans="10:23" x14ac:dyDescent="0.25">
      <c r="J1173"/>
      <c r="M1173"/>
      <c r="W1173"/>
    </row>
    <row r="1174" spans="10:23" x14ac:dyDescent="0.25">
      <c r="J1174"/>
      <c r="M1174"/>
      <c r="W1174"/>
    </row>
    <row r="1175" spans="10:23" x14ac:dyDescent="0.25">
      <c r="J1175"/>
      <c r="M1175"/>
      <c r="W1175"/>
    </row>
    <row r="1176" spans="10:23" x14ac:dyDescent="0.25">
      <c r="J1176"/>
      <c r="M1176"/>
      <c r="W1176"/>
    </row>
    <row r="1177" spans="10:23" x14ac:dyDescent="0.25">
      <c r="J1177"/>
      <c r="M1177"/>
      <c r="W1177"/>
    </row>
    <row r="1178" spans="10:23" x14ac:dyDescent="0.25">
      <c r="J1178"/>
      <c r="M1178"/>
      <c r="W1178"/>
    </row>
    <row r="1179" spans="10:23" x14ac:dyDescent="0.25">
      <c r="J1179"/>
      <c r="M1179"/>
      <c r="W1179"/>
    </row>
    <row r="1180" spans="10:23" x14ac:dyDescent="0.25">
      <c r="J1180"/>
      <c r="M1180"/>
      <c r="W1180"/>
    </row>
    <row r="1181" spans="10:23" x14ac:dyDescent="0.25">
      <c r="J1181"/>
      <c r="M1181"/>
      <c r="W1181"/>
    </row>
    <row r="1182" spans="10:23" x14ac:dyDescent="0.25">
      <c r="J1182"/>
      <c r="M1182"/>
      <c r="W1182"/>
    </row>
    <row r="1183" spans="10:23" x14ac:dyDescent="0.25">
      <c r="J1183"/>
      <c r="M1183"/>
      <c r="W1183"/>
    </row>
    <row r="1184" spans="10:23" x14ac:dyDescent="0.25">
      <c r="J1184"/>
      <c r="M1184"/>
      <c r="W1184"/>
    </row>
    <row r="1185" spans="10:23" x14ac:dyDescent="0.25">
      <c r="J1185"/>
      <c r="M1185"/>
      <c r="W1185"/>
    </row>
    <row r="1186" spans="10:23" x14ac:dyDescent="0.25">
      <c r="J1186"/>
      <c r="M1186"/>
      <c r="W1186"/>
    </row>
    <row r="1187" spans="10:23" x14ac:dyDescent="0.25">
      <c r="J1187"/>
      <c r="M1187"/>
      <c r="W1187"/>
    </row>
    <row r="1188" spans="10:23" x14ac:dyDescent="0.25">
      <c r="J1188"/>
      <c r="M1188"/>
      <c r="W1188"/>
    </row>
    <row r="1189" spans="10:23" x14ac:dyDescent="0.25">
      <c r="J1189"/>
      <c r="M1189"/>
      <c r="W1189"/>
    </row>
    <row r="1190" spans="10:23" x14ac:dyDescent="0.25">
      <c r="J1190"/>
      <c r="M1190"/>
      <c r="W1190"/>
    </row>
    <row r="1191" spans="10:23" x14ac:dyDescent="0.25">
      <c r="J1191"/>
      <c r="M1191"/>
      <c r="W1191"/>
    </row>
    <row r="1192" spans="10:23" x14ac:dyDescent="0.25">
      <c r="J1192"/>
      <c r="M1192"/>
      <c r="W1192"/>
    </row>
    <row r="1193" spans="10:23" x14ac:dyDescent="0.25">
      <c r="J1193"/>
      <c r="M1193"/>
      <c r="W1193"/>
    </row>
    <row r="1194" spans="10:23" x14ac:dyDescent="0.25">
      <c r="J1194"/>
      <c r="M1194"/>
      <c r="W1194"/>
    </row>
    <row r="1195" spans="10:23" x14ac:dyDescent="0.25">
      <c r="J1195"/>
      <c r="M1195"/>
      <c r="W1195"/>
    </row>
    <row r="1196" spans="10:23" x14ac:dyDescent="0.25">
      <c r="J1196"/>
      <c r="M1196"/>
      <c r="W1196"/>
    </row>
    <row r="1197" spans="10:23" x14ac:dyDescent="0.25">
      <c r="J1197"/>
      <c r="M1197"/>
      <c r="W1197"/>
    </row>
    <row r="1198" spans="10:23" x14ac:dyDescent="0.25">
      <c r="J1198"/>
      <c r="M1198"/>
      <c r="W1198"/>
    </row>
    <row r="1199" spans="10:23" x14ac:dyDescent="0.25">
      <c r="J1199"/>
      <c r="M1199"/>
      <c r="W1199"/>
    </row>
    <row r="1200" spans="10:23" x14ac:dyDescent="0.25">
      <c r="J1200"/>
      <c r="M1200"/>
      <c r="W1200"/>
    </row>
    <row r="1201" spans="10:23" x14ac:dyDescent="0.25">
      <c r="J1201"/>
      <c r="M1201"/>
      <c r="W1201"/>
    </row>
    <row r="1202" spans="10:23" x14ac:dyDescent="0.25">
      <c r="J1202"/>
      <c r="M1202"/>
      <c r="W1202"/>
    </row>
    <row r="1203" spans="10:23" x14ac:dyDescent="0.25">
      <c r="J1203"/>
      <c r="M1203"/>
      <c r="W1203"/>
    </row>
    <row r="1204" spans="10:23" x14ac:dyDescent="0.25">
      <c r="J1204"/>
      <c r="M1204"/>
      <c r="W1204"/>
    </row>
    <row r="1205" spans="10:23" x14ac:dyDescent="0.25">
      <c r="J1205"/>
      <c r="M1205"/>
      <c r="W1205"/>
    </row>
    <row r="1206" spans="10:23" x14ac:dyDescent="0.25">
      <c r="J1206"/>
      <c r="M1206"/>
      <c r="W1206"/>
    </row>
    <row r="1207" spans="10:23" x14ac:dyDescent="0.25">
      <c r="J1207"/>
      <c r="M1207"/>
      <c r="W1207"/>
    </row>
    <row r="1208" spans="10:23" x14ac:dyDescent="0.25">
      <c r="J1208"/>
      <c r="M1208"/>
      <c r="W1208"/>
    </row>
    <row r="1209" spans="10:23" x14ac:dyDescent="0.25">
      <c r="J1209"/>
      <c r="M1209"/>
      <c r="W1209"/>
    </row>
    <row r="1210" spans="10:23" x14ac:dyDescent="0.25">
      <c r="J1210"/>
      <c r="M1210"/>
      <c r="W1210"/>
    </row>
    <row r="1211" spans="10:23" x14ac:dyDescent="0.25">
      <c r="J1211"/>
      <c r="M1211"/>
      <c r="W1211"/>
    </row>
    <row r="1212" spans="10:23" x14ac:dyDescent="0.25">
      <c r="J1212"/>
      <c r="M1212"/>
      <c r="W1212"/>
    </row>
    <row r="1213" spans="10:23" x14ac:dyDescent="0.25">
      <c r="J1213"/>
      <c r="M1213"/>
      <c r="W1213"/>
    </row>
    <row r="1214" spans="10:23" x14ac:dyDescent="0.25">
      <c r="J1214"/>
      <c r="M1214"/>
      <c r="W1214"/>
    </row>
    <row r="1215" spans="10:23" x14ac:dyDescent="0.25">
      <c r="J1215"/>
      <c r="M1215"/>
      <c r="W1215"/>
    </row>
    <row r="1216" spans="10:23" x14ac:dyDescent="0.25">
      <c r="J1216"/>
      <c r="M1216"/>
      <c r="W1216"/>
    </row>
    <row r="1217" spans="10:23" x14ac:dyDescent="0.25">
      <c r="J1217"/>
      <c r="M1217"/>
      <c r="W1217"/>
    </row>
    <row r="1218" spans="10:23" x14ac:dyDescent="0.25">
      <c r="J1218"/>
      <c r="M1218"/>
      <c r="W1218"/>
    </row>
    <row r="1219" spans="10:23" x14ac:dyDescent="0.25">
      <c r="J1219"/>
      <c r="M1219"/>
      <c r="W1219"/>
    </row>
    <row r="1220" spans="10:23" x14ac:dyDescent="0.25">
      <c r="J1220"/>
      <c r="M1220"/>
      <c r="W1220"/>
    </row>
    <row r="1221" spans="10:23" x14ac:dyDescent="0.25">
      <c r="J1221"/>
      <c r="M1221"/>
      <c r="W1221"/>
    </row>
    <row r="1222" spans="10:23" x14ac:dyDescent="0.25">
      <c r="J1222"/>
      <c r="M1222"/>
      <c r="W1222"/>
    </row>
    <row r="1223" spans="10:23" x14ac:dyDescent="0.25">
      <c r="J1223"/>
      <c r="M1223"/>
      <c r="W1223"/>
    </row>
    <row r="1224" spans="10:23" x14ac:dyDescent="0.25">
      <c r="J1224"/>
      <c r="M1224"/>
      <c r="W1224"/>
    </row>
    <row r="1225" spans="10:23" x14ac:dyDescent="0.25">
      <c r="J1225"/>
      <c r="M1225"/>
      <c r="W1225"/>
    </row>
    <row r="1226" spans="10:23" x14ac:dyDescent="0.25">
      <c r="J1226"/>
      <c r="M1226"/>
      <c r="W1226"/>
    </row>
    <row r="1227" spans="10:23" x14ac:dyDescent="0.25">
      <c r="J1227"/>
      <c r="M1227"/>
      <c r="W1227"/>
    </row>
    <row r="1228" spans="10:23" x14ac:dyDescent="0.25">
      <c r="J1228"/>
      <c r="M1228"/>
      <c r="W1228"/>
    </row>
    <row r="1229" spans="10:23" x14ac:dyDescent="0.25">
      <c r="J1229"/>
      <c r="M1229"/>
      <c r="W1229"/>
    </row>
    <row r="1230" spans="10:23" x14ac:dyDescent="0.25">
      <c r="J1230"/>
      <c r="M1230"/>
      <c r="W1230"/>
    </row>
    <row r="1231" spans="10:23" x14ac:dyDescent="0.25">
      <c r="J1231"/>
      <c r="M1231"/>
      <c r="W1231"/>
    </row>
    <row r="1232" spans="10:23" x14ac:dyDescent="0.25">
      <c r="J1232"/>
      <c r="M1232"/>
      <c r="W1232"/>
    </row>
    <row r="1233" spans="10:23" x14ac:dyDescent="0.25">
      <c r="J1233"/>
      <c r="M1233"/>
      <c r="W1233"/>
    </row>
    <row r="1234" spans="10:23" x14ac:dyDescent="0.25">
      <c r="J1234"/>
      <c r="M1234"/>
      <c r="W1234"/>
    </row>
    <row r="1235" spans="10:23" x14ac:dyDescent="0.25">
      <c r="J1235"/>
      <c r="M1235"/>
      <c r="W1235"/>
    </row>
    <row r="1236" spans="10:23" x14ac:dyDescent="0.25">
      <c r="J1236"/>
      <c r="M1236"/>
      <c r="W1236"/>
    </row>
    <row r="1237" spans="10:23" x14ac:dyDescent="0.25">
      <c r="J1237"/>
      <c r="M1237"/>
      <c r="W1237"/>
    </row>
    <row r="1238" spans="10:23" x14ac:dyDescent="0.25">
      <c r="J1238"/>
      <c r="M1238"/>
      <c r="W1238"/>
    </row>
    <row r="1239" spans="10:23" x14ac:dyDescent="0.25">
      <c r="J1239"/>
      <c r="M1239"/>
      <c r="W1239"/>
    </row>
    <row r="1240" spans="10:23" x14ac:dyDescent="0.25">
      <c r="J1240"/>
      <c r="M1240"/>
      <c r="W1240"/>
    </row>
    <row r="1241" spans="10:23" x14ac:dyDescent="0.25">
      <c r="J1241"/>
      <c r="M1241"/>
      <c r="W1241"/>
    </row>
    <row r="1242" spans="10:23" x14ac:dyDescent="0.25">
      <c r="J1242"/>
      <c r="M1242"/>
      <c r="W1242"/>
    </row>
    <row r="1243" spans="10:23" x14ac:dyDescent="0.25">
      <c r="J1243"/>
      <c r="M1243"/>
      <c r="W1243"/>
    </row>
    <row r="1244" spans="10:23" x14ac:dyDescent="0.25">
      <c r="J1244"/>
      <c r="M1244"/>
      <c r="W1244"/>
    </row>
    <row r="1245" spans="10:23" x14ac:dyDescent="0.25">
      <c r="J1245"/>
      <c r="M1245"/>
      <c r="W1245"/>
    </row>
    <row r="1246" spans="10:23" x14ac:dyDescent="0.25">
      <c r="J1246"/>
      <c r="M1246"/>
      <c r="W1246"/>
    </row>
    <row r="1247" spans="10:23" x14ac:dyDescent="0.25">
      <c r="J1247"/>
      <c r="M1247"/>
      <c r="W1247"/>
    </row>
    <row r="1248" spans="10:23" x14ac:dyDescent="0.25">
      <c r="J1248"/>
      <c r="M1248"/>
      <c r="W1248"/>
    </row>
    <row r="1249" spans="10:23" x14ac:dyDescent="0.25">
      <c r="J1249"/>
      <c r="M1249"/>
      <c r="W1249"/>
    </row>
    <row r="1250" spans="10:23" x14ac:dyDescent="0.25">
      <c r="J1250"/>
      <c r="M1250"/>
      <c r="W1250"/>
    </row>
    <row r="1251" spans="10:23" x14ac:dyDescent="0.25">
      <c r="J1251"/>
      <c r="M1251"/>
      <c r="W1251"/>
    </row>
    <row r="1252" spans="10:23" x14ac:dyDescent="0.25">
      <c r="J1252"/>
      <c r="M1252"/>
      <c r="W1252"/>
    </row>
    <row r="1253" spans="10:23" x14ac:dyDescent="0.25">
      <c r="J1253"/>
      <c r="M1253"/>
      <c r="W1253"/>
    </row>
    <row r="1254" spans="10:23" x14ac:dyDescent="0.25">
      <c r="J1254"/>
      <c r="M1254"/>
      <c r="W1254"/>
    </row>
    <row r="1255" spans="10:23" x14ac:dyDescent="0.25">
      <c r="J1255"/>
      <c r="M1255"/>
      <c r="W1255"/>
    </row>
    <row r="1256" spans="10:23" x14ac:dyDescent="0.25">
      <c r="J1256"/>
      <c r="M1256"/>
      <c r="W1256"/>
    </row>
    <row r="1257" spans="10:23" x14ac:dyDescent="0.25">
      <c r="J1257"/>
      <c r="M1257"/>
      <c r="W1257"/>
    </row>
    <row r="1258" spans="10:23" x14ac:dyDescent="0.25">
      <c r="J1258"/>
      <c r="M1258"/>
      <c r="W1258"/>
    </row>
    <row r="1259" spans="10:23" x14ac:dyDescent="0.25">
      <c r="J1259"/>
      <c r="M1259"/>
      <c r="W1259"/>
    </row>
    <row r="1260" spans="10:23" x14ac:dyDescent="0.25">
      <c r="J1260"/>
      <c r="M1260"/>
      <c r="W1260"/>
    </row>
    <row r="1261" spans="10:23" x14ac:dyDescent="0.25">
      <c r="J1261"/>
      <c r="M1261"/>
      <c r="W1261"/>
    </row>
    <row r="1262" spans="10:23" x14ac:dyDescent="0.25">
      <c r="J1262"/>
      <c r="M1262"/>
      <c r="W1262"/>
    </row>
    <row r="1263" spans="10:23" x14ac:dyDescent="0.25">
      <c r="J1263"/>
      <c r="M1263"/>
      <c r="W1263"/>
    </row>
    <row r="1264" spans="10:23" x14ac:dyDescent="0.25">
      <c r="J1264"/>
      <c r="M1264"/>
      <c r="W1264"/>
    </row>
    <row r="1265" spans="10:23" x14ac:dyDescent="0.25">
      <c r="J1265"/>
      <c r="M1265"/>
      <c r="W1265"/>
    </row>
    <row r="1266" spans="10:23" x14ac:dyDescent="0.25">
      <c r="J1266"/>
      <c r="M1266"/>
      <c r="W1266"/>
    </row>
    <row r="1267" spans="10:23" x14ac:dyDescent="0.25">
      <c r="J1267"/>
      <c r="M1267"/>
      <c r="W1267"/>
    </row>
    <row r="1268" spans="10:23" x14ac:dyDescent="0.25">
      <c r="J1268"/>
      <c r="M1268"/>
      <c r="W1268"/>
    </row>
    <row r="1269" spans="10:23" x14ac:dyDescent="0.25">
      <c r="J1269"/>
      <c r="M1269"/>
      <c r="W1269"/>
    </row>
    <row r="1270" spans="10:23" x14ac:dyDescent="0.25">
      <c r="J1270"/>
      <c r="M1270"/>
      <c r="W1270"/>
    </row>
    <row r="1271" spans="10:23" x14ac:dyDescent="0.25">
      <c r="J1271"/>
      <c r="M1271"/>
      <c r="W1271"/>
    </row>
    <row r="1272" spans="10:23" x14ac:dyDescent="0.25">
      <c r="J1272"/>
      <c r="M1272"/>
      <c r="W1272"/>
    </row>
    <row r="1273" spans="10:23" x14ac:dyDescent="0.25">
      <c r="J1273"/>
      <c r="M1273"/>
      <c r="W1273"/>
    </row>
    <row r="1274" spans="10:23" x14ac:dyDescent="0.25">
      <c r="J1274"/>
      <c r="M1274"/>
      <c r="W1274"/>
    </row>
    <row r="1275" spans="10:23" x14ac:dyDescent="0.25">
      <c r="J1275"/>
      <c r="M1275"/>
      <c r="W1275"/>
    </row>
    <row r="1276" spans="10:23" x14ac:dyDescent="0.25">
      <c r="J1276"/>
      <c r="M1276"/>
      <c r="W1276"/>
    </row>
    <row r="1277" spans="10:23" x14ac:dyDescent="0.25">
      <c r="J1277"/>
      <c r="M1277"/>
      <c r="W1277"/>
    </row>
    <row r="1278" spans="10:23" x14ac:dyDescent="0.25">
      <c r="J1278"/>
      <c r="M1278"/>
      <c r="W1278"/>
    </row>
    <row r="1279" spans="10:23" x14ac:dyDescent="0.25">
      <c r="J1279"/>
      <c r="M1279"/>
      <c r="W1279"/>
    </row>
    <row r="1280" spans="10:23" x14ac:dyDescent="0.25">
      <c r="J1280"/>
      <c r="M1280"/>
      <c r="W1280"/>
    </row>
    <row r="1281" spans="10:23" x14ac:dyDescent="0.25">
      <c r="J1281"/>
      <c r="M1281"/>
      <c r="W1281"/>
    </row>
    <row r="1282" spans="10:23" x14ac:dyDescent="0.25">
      <c r="J1282"/>
      <c r="M1282"/>
      <c r="W1282"/>
    </row>
    <row r="1283" spans="10:23" x14ac:dyDescent="0.25">
      <c r="J1283"/>
      <c r="M1283"/>
      <c r="W1283"/>
    </row>
    <row r="1284" spans="10:23" x14ac:dyDescent="0.25">
      <c r="J1284"/>
      <c r="M1284"/>
      <c r="W1284"/>
    </row>
    <row r="1285" spans="10:23" x14ac:dyDescent="0.25">
      <c r="J1285"/>
      <c r="M1285"/>
      <c r="W1285"/>
    </row>
    <row r="1286" spans="10:23" x14ac:dyDescent="0.25">
      <c r="J1286"/>
      <c r="M1286"/>
      <c r="W1286"/>
    </row>
    <row r="1287" spans="10:23" x14ac:dyDescent="0.25">
      <c r="J1287"/>
      <c r="M1287"/>
      <c r="W1287"/>
    </row>
    <row r="1288" spans="10:23" x14ac:dyDescent="0.25">
      <c r="J1288"/>
      <c r="M1288"/>
      <c r="W1288"/>
    </row>
    <row r="1289" spans="10:23" x14ac:dyDescent="0.25">
      <c r="J1289"/>
      <c r="M1289"/>
      <c r="W1289"/>
    </row>
    <row r="1290" spans="10:23" x14ac:dyDescent="0.25">
      <c r="J1290"/>
      <c r="M1290"/>
      <c r="W1290"/>
    </row>
    <row r="1291" spans="10:23" x14ac:dyDescent="0.25">
      <c r="J1291"/>
      <c r="M1291"/>
      <c r="W1291"/>
    </row>
    <row r="1292" spans="10:23" x14ac:dyDescent="0.25">
      <c r="J1292"/>
      <c r="M1292"/>
      <c r="W1292"/>
    </row>
    <row r="1293" spans="10:23" x14ac:dyDescent="0.25">
      <c r="J1293"/>
      <c r="M1293"/>
      <c r="W1293"/>
    </row>
    <row r="1294" spans="10:23" x14ac:dyDescent="0.25">
      <c r="J1294"/>
      <c r="M1294"/>
      <c r="W1294"/>
    </row>
    <row r="1295" spans="10:23" x14ac:dyDescent="0.25">
      <c r="J1295"/>
      <c r="M1295"/>
      <c r="W1295"/>
    </row>
    <row r="1296" spans="10:23" x14ac:dyDescent="0.25">
      <c r="J1296"/>
      <c r="M1296"/>
      <c r="W1296"/>
    </row>
    <row r="1297" spans="10:23" x14ac:dyDescent="0.25">
      <c r="J1297"/>
      <c r="M1297"/>
      <c r="W1297"/>
    </row>
    <row r="1298" spans="10:23" x14ac:dyDescent="0.25">
      <c r="J1298"/>
      <c r="M1298"/>
      <c r="W1298"/>
    </row>
    <row r="1299" spans="10:23" x14ac:dyDescent="0.25">
      <c r="J1299"/>
      <c r="M1299"/>
      <c r="W1299"/>
    </row>
    <row r="1300" spans="10:23" x14ac:dyDescent="0.25">
      <c r="J1300"/>
      <c r="M1300"/>
      <c r="W1300"/>
    </row>
    <row r="1301" spans="10:23" x14ac:dyDescent="0.25">
      <c r="J1301"/>
      <c r="M1301"/>
      <c r="W1301"/>
    </row>
    <row r="1302" spans="10:23" x14ac:dyDescent="0.25">
      <c r="J1302"/>
      <c r="M1302"/>
      <c r="W1302"/>
    </row>
    <row r="1303" spans="10:23" x14ac:dyDescent="0.25">
      <c r="J1303"/>
      <c r="M1303"/>
      <c r="W1303"/>
    </row>
    <row r="1304" spans="10:23" x14ac:dyDescent="0.25">
      <c r="J1304"/>
      <c r="M1304"/>
      <c r="W1304"/>
    </row>
    <row r="1305" spans="10:23" x14ac:dyDescent="0.25">
      <c r="J1305"/>
      <c r="M1305"/>
      <c r="W1305"/>
    </row>
    <row r="1306" spans="10:23" x14ac:dyDescent="0.25">
      <c r="J1306"/>
      <c r="M1306"/>
      <c r="W1306"/>
    </row>
    <row r="1307" spans="10:23" x14ac:dyDescent="0.25">
      <c r="J1307"/>
      <c r="M1307"/>
      <c r="W1307"/>
    </row>
    <row r="1308" spans="10:23" x14ac:dyDescent="0.25">
      <c r="J1308"/>
      <c r="M1308"/>
      <c r="W1308"/>
    </row>
    <row r="1309" spans="10:23" x14ac:dyDescent="0.25">
      <c r="J1309"/>
      <c r="M1309"/>
      <c r="W1309"/>
    </row>
    <row r="1310" spans="10:23" x14ac:dyDescent="0.25">
      <c r="J1310"/>
      <c r="M1310"/>
      <c r="W1310"/>
    </row>
    <row r="1311" spans="10:23" x14ac:dyDescent="0.25">
      <c r="J1311"/>
      <c r="M1311"/>
      <c r="W1311"/>
    </row>
    <row r="1312" spans="10:23" x14ac:dyDescent="0.25">
      <c r="J1312"/>
      <c r="M1312"/>
      <c r="W1312"/>
    </row>
    <row r="1313" spans="10:23" x14ac:dyDescent="0.25">
      <c r="J1313"/>
      <c r="M1313"/>
      <c r="W1313"/>
    </row>
    <row r="1314" spans="10:23" x14ac:dyDescent="0.25">
      <c r="J1314"/>
      <c r="M1314"/>
      <c r="W1314"/>
    </row>
    <row r="1315" spans="10:23" x14ac:dyDescent="0.25">
      <c r="J1315"/>
      <c r="M1315"/>
      <c r="W1315"/>
    </row>
    <row r="1316" spans="10:23" x14ac:dyDescent="0.25">
      <c r="J1316"/>
      <c r="M1316"/>
      <c r="W1316"/>
    </row>
    <row r="1317" spans="10:23" x14ac:dyDescent="0.25">
      <c r="J1317"/>
      <c r="M1317"/>
      <c r="W1317"/>
    </row>
    <row r="1318" spans="10:23" x14ac:dyDescent="0.25">
      <c r="J1318"/>
      <c r="M1318"/>
      <c r="W1318"/>
    </row>
    <row r="1319" spans="10:23" x14ac:dyDescent="0.25">
      <c r="J1319"/>
      <c r="M1319"/>
      <c r="W1319"/>
    </row>
    <row r="1320" spans="10:23" x14ac:dyDescent="0.25">
      <c r="J1320"/>
      <c r="M1320"/>
      <c r="W1320"/>
    </row>
    <row r="1321" spans="10:23" x14ac:dyDescent="0.25">
      <c r="J1321"/>
      <c r="M1321"/>
      <c r="W1321"/>
    </row>
    <row r="1322" spans="10:23" x14ac:dyDescent="0.25">
      <c r="J1322"/>
      <c r="M1322"/>
      <c r="W1322"/>
    </row>
    <row r="1323" spans="10:23" x14ac:dyDescent="0.25">
      <c r="J1323"/>
      <c r="M1323"/>
      <c r="W1323"/>
    </row>
    <row r="1324" spans="10:23" x14ac:dyDescent="0.25">
      <c r="J1324"/>
      <c r="M1324"/>
      <c r="W1324"/>
    </row>
    <row r="1325" spans="10:23" x14ac:dyDescent="0.25">
      <c r="J1325"/>
      <c r="M1325"/>
      <c r="W1325"/>
    </row>
    <row r="1326" spans="10:23" x14ac:dyDescent="0.25">
      <c r="J1326"/>
      <c r="M1326"/>
      <c r="W1326"/>
    </row>
    <row r="1327" spans="10:23" x14ac:dyDescent="0.25">
      <c r="J1327"/>
      <c r="M1327"/>
      <c r="W1327"/>
    </row>
    <row r="1328" spans="10:23" x14ac:dyDescent="0.25">
      <c r="J1328"/>
      <c r="M1328"/>
      <c r="W1328"/>
    </row>
    <row r="1329" spans="10:23" x14ac:dyDescent="0.25">
      <c r="J1329"/>
      <c r="M1329"/>
      <c r="W1329"/>
    </row>
    <row r="1330" spans="10:23" x14ac:dyDescent="0.25">
      <c r="J1330"/>
      <c r="M1330"/>
      <c r="W1330"/>
    </row>
    <row r="1331" spans="10:23" x14ac:dyDescent="0.25">
      <c r="J1331"/>
      <c r="M1331"/>
      <c r="W1331"/>
    </row>
    <row r="1332" spans="10:23" x14ac:dyDescent="0.25">
      <c r="J1332"/>
      <c r="M1332"/>
      <c r="W1332"/>
    </row>
    <row r="1333" spans="10:23" x14ac:dyDescent="0.25">
      <c r="J1333"/>
      <c r="M1333"/>
      <c r="W1333"/>
    </row>
    <row r="1334" spans="10:23" x14ac:dyDescent="0.25">
      <c r="J1334"/>
      <c r="M1334"/>
      <c r="W1334"/>
    </row>
    <row r="1335" spans="10:23" x14ac:dyDescent="0.25">
      <c r="J1335"/>
      <c r="M1335"/>
      <c r="W1335"/>
    </row>
    <row r="1336" spans="10:23" x14ac:dyDescent="0.25">
      <c r="J1336"/>
      <c r="M1336"/>
      <c r="W1336"/>
    </row>
    <row r="1337" spans="10:23" x14ac:dyDescent="0.25">
      <c r="J1337"/>
      <c r="M1337"/>
      <c r="W1337"/>
    </row>
    <row r="1338" spans="10:23" x14ac:dyDescent="0.25">
      <c r="J1338"/>
      <c r="M1338"/>
      <c r="W1338"/>
    </row>
    <row r="1339" spans="10:23" x14ac:dyDescent="0.25">
      <c r="J1339"/>
      <c r="M1339"/>
      <c r="W1339"/>
    </row>
    <row r="1340" spans="10:23" x14ac:dyDescent="0.25">
      <c r="J1340"/>
      <c r="M1340"/>
      <c r="W1340"/>
    </row>
    <row r="1341" spans="10:23" x14ac:dyDescent="0.25">
      <c r="J1341"/>
      <c r="M1341"/>
      <c r="W1341"/>
    </row>
    <row r="1342" spans="10:23" x14ac:dyDescent="0.25">
      <c r="J1342"/>
      <c r="M1342"/>
      <c r="W1342"/>
    </row>
    <row r="1343" spans="10:23" x14ac:dyDescent="0.25">
      <c r="J1343"/>
      <c r="M1343"/>
      <c r="W1343"/>
    </row>
    <row r="1344" spans="10:23" x14ac:dyDescent="0.25">
      <c r="J1344"/>
      <c r="M1344"/>
      <c r="W1344"/>
    </row>
    <row r="1345" spans="10:23" x14ac:dyDescent="0.25">
      <c r="J1345"/>
      <c r="M1345"/>
      <c r="W1345"/>
    </row>
    <row r="1346" spans="10:23" x14ac:dyDescent="0.25">
      <c r="J1346"/>
      <c r="M1346"/>
      <c r="W1346"/>
    </row>
    <row r="1347" spans="10:23" x14ac:dyDescent="0.25">
      <c r="J1347"/>
      <c r="M1347"/>
      <c r="W1347"/>
    </row>
    <row r="1348" spans="10:23" x14ac:dyDescent="0.25">
      <c r="J1348"/>
      <c r="M1348"/>
      <c r="W1348"/>
    </row>
    <row r="1349" spans="10:23" x14ac:dyDescent="0.25">
      <c r="J1349"/>
      <c r="M1349"/>
      <c r="W1349"/>
    </row>
    <row r="1350" spans="10:23" x14ac:dyDescent="0.25">
      <c r="J1350"/>
      <c r="M1350"/>
      <c r="W1350"/>
    </row>
    <row r="1351" spans="10:23" x14ac:dyDescent="0.25">
      <c r="J1351"/>
      <c r="M1351"/>
      <c r="W1351"/>
    </row>
    <row r="1352" spans="10:23" x14ac:dyDescent="0.25">
      <c r="J1352"/>
      <c r="M1352"/>
      <c r="W1352"/>
    </row>
    <row r="1353" spans="10:23" x14ac:dyDescent="0.25">
      <c r="J1353"/>
      <c r="M1353"/>
      <c r="W1353"/>
    </row>
    <row r="1354" spans="10:23" x14ac:dyDescent="0.25">
      <c r="J1354"/>
      <c r="M1354"/>
      <c r="W1354"/>
    </row>
    <row r="1355" spans="10:23" x14ac:dyDescent="0.25">
      <c r="J1355"/>
      <c r="M1355"/>
      <c r="W1355"/>
    </row>
    <row r="1356" spans="10:23" x14ac:dyDescent="0.25">
      <c r="J1356"/>
      <c r="M1356"/>
      <c r="W1356"/>
    </row>
    <row r="1357" spans="10:23" x14ac:dyDescent="0.25">
      <c r="J1357"/>
      <c r="M1357"/>
      <c r="W1357"/>
    </row>
    <row r="1358" spans="10:23" x14ac:dyDescent="0.25">
      <c r="J1358"/>
      <c r="M1358"/>
      <c r="W1358"/>
    </row>
    <row r="1359" spans="10:23" x14ac:dyDescent="0.25">
      <c r="J1359"/>
      <c r="M1359"/>
      <c r="W1359"/>
    </row>
    <row r="1360" spans="10:23" x14ac:dyDescent="0.25">
      <c r="J1360"/>
      <c r="M1360"/>
      <c r="W1360"/>
    </row>
    <row r="1361" spans="10:23" x14ac:dyDescent="0.25">
      <c r="J1361"/>
      <c r="M1361"/>
      <c r="W1361"/>
    </row>
    <row r="1362" spans="10:23" x14ac:dyDescent="0.25">
      <c r="J1362"/>
      <c r="M1362"/>
      <c r="W1362"/>
    </row>
    <row r="1363" spans="10:23" x14ac:dyDescent="0.25">
      <c r="J1363"/>
      <c r="M1363"/>
      <c r="W1363"/>
    </row>
    <row r="1364" spans="10:23" x14ac:dyDescent="0.25">
      <c r="J1364"/>
      <c r="M1364"/>
      <c r="W1364"/>
    </row>
    <row r="1365" spans="10:23" x14ac:dyDescent="0.25">
      <c r="J1365"/>
      <c r="M1365"/>
      <c r="W1365"/>
    </row>
    <row r="1366" spans="10:23" x14ac:dyDescent="0.25">
      <c r="J1366"/>
      <c r="M1366"/>
      <c r="W1366"/>
    </row>
    <row r="1367" spans="10:23" x14ac:dyDescent="0.25">
      <c r="J1367"/>
      <c r="M1367"/>
      <c r="W1367"/>
    </row>
    <row r="1368" spans="10:23" x14ac:dyDescent="0.25">
      <c r="J1368"/>
      <c r="M1368"/>
      <c r="W1368"/>
    </row>
    <row r="1369" spans="10:23" x14ac:dyDescent="0.25">
      <c r="J1369"/>
      <c r="M1369"/>
      <c r="W1369"/>
    </row>
    <row r="1370" spans="10:23" x14ac:dyDescent="0.25">
      <c r="J1370"/>
      <c r="M1370"/>
      <c r="W1370"/>
    </row>
    <row r="1371" spans="10:23" x14ac:dyDescent="0.25">
      <c r="J1371"/>
      <c r="M1371"/>
      <c r="W1371"/>
    </row>
    <row r="1372" spans="10:23" x14ac:dyDescent="0.25">
      <c r="J1372"/>
      <c r="M1372"/>
      <c r="W1372"/>
    </row>
    <row r="1373" spans="10:23" x14ac:dyDescent="0.25">
      <c r="J1373"/>
      <c r="M1373"/>
      <c r="W1373"/>
    </row>
    <row r="1374" spans="10:23" x14ac:dyDescent="0.25">
      <c r="J1374"/>
      <c r="M1374"/>
      <c r="W1374"/>
    </row>
    <row r="1375" spans="10:23" x14ac:dyDescent="0.25">
      <c r="J1375"/>
      <c r="M1375"/>
      <c r="W1375"/>
    </row>
    <row r="1376" spans="10:23" x14ac:dyDescent="0.25">
      <c r="J1376"/>
      <c r="M1376"/>
      <c r="W1376"/>
    </row>
    <row r="1377" spans="10:23" x14ac:dyDescent="0.25">
      <c r="J1377"/>
      <c r="M1377"/>
      <c r="W1377"/>
    </row>
    <row r="1378" spans="10:23" x14ac:dyDescent="0.25">
      <c r="J1378"/>
      <c r="M1378"/>
      <c r="W1378"/>
    </row>
    <row r="1379" spans="10:23" x14ac:dyDescent="0.25">
      <c r="J1379"/>
      <c r="M1379"/>
      <c r="W1379"/>
    </row>
    <row r="1380" spans="10:23" x14ac:dyDescent="0.25">
      <c r="J1380"/>
      <c r="M1380"/>
      <c r="W1380"/>
    </row>
    <row r="1381" spans="10:23" x14ac:dyDescent="0.25">
      <c r="J1381"/>
      <c r="M1381"/>
      <c r="W1381"/>
    </row>
    <row r="1382" spans="10:23" x14ac:dyDescent="0.25">
      <c r="J1382"/>
      <c r="M1382"/>
      <c r="W1382"/>
    </row>
    <row r="1383" spans="10:23" x14ac:dyDescent="0.25">
      <c r="J1383"/>
      <c r="M1383"/>
      <c r="W1383"/>
    </row>
    <row r="1384" spans="10:23" x14ac:dyDescent="0.25">
      <c r="J1384"/>
      <c r="M1384"/>
      <c r="W1384"/>
    </row>
    <row r="1385" spans="10:23" x14ac:dyDescent="0.25">
      <c r="J1385"/>
      <c r="M1385"/>
      <c r="W1385"/>
    </row>
    <row r="1386" spans="10:23" x14ac:dyDescent="0.25">
      <c r="J1386"/>
      <c r="M1386"/>
      <c r="W1386"/>
    </row>
    <row r="1387" spans="10:23" x14ac:dyDescent="0.25">
      <c r="J1387"/>
      <c r="M1387"/>
      <c r="W1387"/>
    </row>
    <row r="1388" spans="10:23" x14ac:dyDescent="0.25">
      <c r="J1388"/>
      <c r="M1388"/>
      <c r="W1388"/>
    </row>
    <row r="1389" spans="10:23" x14ac:dyDescent="0.25">
      <c r="J1389"/>
      <c r="M1389"/>
      <c r="W1389"/>
    </row>
    <row r="1390" spans="10:23" x14ac:dyDescent="0.25">
      <c r="J1390"/>
      <c r="M1390"/>
      <c r="W1390"/>
    </row>
    <row r="1391" spans="10:23" x14ac:dyDescent="0.25">
      <c r="J1391"/>
      <c r="M1391"/>
      <c r="W1391"/>
    </row>
    <row r="1392" spans="10:23" x14ac:dyDescent="0.25">
      <c r="J1392"/>
      <c r="M1392"/>
      <c r="W1392"/>
    </row>
    <row r="1393" spans="10:23" x14ac:dyDescent="0.25">
      <c r="J1393"/>
      <c r="M1393"/>
      <c r="W1393"/>
    </row>
    <row r="1394" spans="10:23" x14ac:dyDescent="0.25">
      <c r="J1394"/>
      <c r="M1394"/>
      <c r="W1394"/>
    </row>
    <row r="1395" spans="10:23" x14ac:dyDescent="0.25">
      <c r="J1395"/>
      <c r="M1395"/>
      <c r="W1395"/>
    </row>
    <row r="1396" spans="10:23" x14ac:dyDescent="0.25">
      <c r="J1396"/>
      <c r="M1396"/>
      <c r="W1396"/>
    </row>
    <row r="1397" spans="10:23" x14ac:dyDescent="0.25">
      <c r="J1397"/>
      <c r="M1397"/>
      <c r="W1397"/>
    </row>
    <row r="1398" spans="10:23" x14ac:dyDescent="0.25">
      <c r="J1398"/>
      <c r="M1398"/>
      <c r="W1398"/>
    </row>
    <row r="1399" spans="10:23" x14ac:dyDescent="0.25">
      <c r="J1399"/>
      <c r="M1399"/>
      <c r="W1399"/>
    </row>
    <row r="1400" spans="10:23" x14ac:dyDescent="0.25">
      <c r="J1400"/>
      <c r="M1400"/>
      <c r="W1400"/>
    </row>
    <row r="1401" spans="10:23" x14ac:dyDescent="0.25">
      <c r="J1401"/>
      <c r="M1401"/>
      <c r="W1401"/>
    </row>
    <row r="1402" spans="10:23" x14ac:dyDescent="0.25">
      <c r="J1402"/>
      <c r="M1402"/>
      <c r="W1402"/>
    </row>
    <row r="1403" spans="10:23" x14ac:dyDescent="0.25">
      <c r="J1403"/>
      <c r="M1403"/>
      <c r="W1403"/>
    </row>
    <row r="1404" spans="10:23" x14ac:dyDescent="0.25">
      <c r="J1404"/>
      <c r="M1404"/>
      <c r="W1404"/>
    </row>
    <row r="1405" spans="10:23" x14ac:dyDescent="0.25">
      <c r="J1405"/>
      <c r="M1405"/>
      <c r="W1405"/>
    </row>
    <row r="1406" spans="10:23" x14ac:dyDescent="0.25">
      <c r="J1406"/>
      <c r="M1406"/>
      <c r="W1406"/>
    </row>
    <row r="1407" spans="10:23" x14ac:dyDescent="0.25">
      <c r="J1407"/>
      <c r="M1407"/>
      <c r="W1407"/>
    </row>
    <row r="1408" spans="10:23" x14ac:dyDescent="0.25">
      <c r="J1408"/>
      <c r="M1408"/>
      <c r="W1408"/>
    </row>
    <row r="1409" spans="10:23" x14ac:dyDescent="0.25">
      <c r="J1409"/>
      <c r="M1409"/>
      <c r="W1409"/>
    </row>
    <row r="1410" spans="10:23" x14ac:dyDescent="0.25">
      <c r="J1410"/>
      <c r="M1410"/>
      <c r="W1410"/>
    </row>
    <row r="1411" spans="10:23" x14ac:dyDescent="0.25">
      <c r="J1411"/>
      <c r="M1411"/>
      <c r="W1411"/>
    </row>
    <row r="1412" spans="10:23" x14ac:dyDescent="0.25">
      <c r="J1412"/>
      <c r="M1412"/>
      <c r="W1412"/>
    </row>
    <row r="1413" spans="10:23" x14ac:dyDescent="0.25">
      <c r="J1413"/>
      <c r="M1413"/>
      <c r="W1413"/>
    </row>
    <row r="1414" spans="10:23" x14ac:dyDescent="0.25">
      <c r="J1414"/>
      <c r="M1414"/>
      <c r="W1414"/>
    </row>
    <row r="1415" spans="10:23" x14ac:dyDescent="0.25">
      <c r="J1415"/>
      <c r="M1415"/>
      <c r="W1415"/>
    </row>
    <row r="1416" spans="10:23" x14ac:dyDescent="0.25">
      <c r="J1416"/>
      <c r="M1416"/>
      <c r="W1416"/>
    </row>
    <row r="1417" spans="10:23" x14ac:dyDescent="0.25">
      <c r="J1417"/>
      <c r="M1417"/>
      <c r="W1417"/>
    </row>
    <row r="1418" spans="10:23" x14ac:dyDescent="0.25">
      <c r="J1418"/>
      <c r="M1418"/>
      <c r="W1418"/>
    </row>
    <row r="1419" spans="10:23" x14ac:dyDescent="0.25">
      <c r="J1419"/>
      <c r="M1419"/>
      <c r="W1419"/>
    </row>
    <row r="1420" spans="10:23" x14ac:dyDescent="0.25">
      <c r="J1420"/>
      <c r="M1420"/>
      <c r="W1420"/>
    </row>
    <row r="1421" spans="10:23" x14ac:dyDescent="0.25">
      <c r="J1421"/>
      <c r="M1421"/>
      <c r="W1421"/>
    </row>
    <row r="1422" spans="10:23" x14ac:dyDescent="0.25">
      <c r="J1422"/>
      <c r="M1422"/>
      <c r="W1422"/>
    </row>
    <row r="1423" spans="10:23" x14ac:dyDescent="0.25">
      <c r="J1423"/>
      <c r="M1423"/>
      <c r="W1423"/>
    </row>
    <row r="1424" spans="10:23" x14ac:dyDescent="0.25">
      <c r="J1424"/>
      <c r="M1424"/>
      <c r="W1424"/>
    </row>
    <row r="1425" spans="10:23" x14ac:dyDescent="0.25">
      <c r="J1425"/>
      <c r="M1425"/>
      <c r="W1425"/>
    </row>
    <row r="1426" spans="10:23" x14ac:dyDescent="0.25">
      <c r="J1426"/>
      <c r="M1426"/>
      <c r="W1426"/>
    </row>
    <row r="1427" spans="10:23" x14ac:dyDescent="0.25">
      <c r="J1427"/>
      <c r="M1427"/>
      <c r="W1427"/>
    </row>
    <row r="1428" spans="10:23" x14ac:dyDescent="0.25">
      <c r="J1428"/>
      <c r="M1428"/>
      <c r="W1428"/>
    </row>
    <row r="1429" spans="10:23" x14ac:dyDescent="0.25">
      <c r="J1429"/>
      <c r="M1429"/>
      <c r="W1429"/>
    </row>
    <row r="1430" spans="10:23" x14ac:dyDescent="0.25">
      <c r="J1430"/>
      <c r="M1430"/>
      <c r="W1430"/>
    </row>
    <row r="1431" spans="10:23" x14ac:dyDescent="0.25">
      <c r="J1431"/>
      <c r="M1431"/>
      <c r="W1431"/>
    </row>
    <row r="1432" spans="10:23" x14ac:dyDescent="0.25">
      <c r="J1432"/>
      <c r="M1432"/>
      <c r="W1432"/>
    </row>
    <row r="1433" spans="10:23" x14ac:dyDescent="0.25">
      <c r="J1433"/>
      <c r="M1433"/>
      <c r="W1433"/>
    </row>
    <row r="1434" spans="10:23" x14ac:dyDescent="0.25">
      <c r="J1434"/>
      <c r="M1434"/>
      <c r="W1434"/>
    </row>
    <row r="1435" spans="10:23" x14ac:dyDescent="0.25">
      <c r="J1435"/>
      <c r="M1435"/>
      <c r="W1435"/>
    </row>
    <row r="1436" spans="10:23" x14ac:dyDescent="0.25">
      <c r="J1436"/>
      <c r="M1436"/>
      <c r="W1436"/>
    </row>
    <row r="1437" spans="10:23" x14ac:dyDescent="0.25">
      <c r="J1437"/>
      <c r="M1437"/>
      <c r="W1437"/>
    </row>
    <row r="1438" spans="10:23" x14ac:dyDescent="0.25">
      <c r="J1438"/>
      <c r="M1438"/>
      <c r="W1438"/>
    </row>
    <row r="1439" spans="10:23" x14ac:dyDescent="0.25">
      <c r="J1439"/>
      <c r="M1439"/>
      <c r="W1439"/>
    </row>
    <row r="1440" spans="10:23" x14ac:dyDescent="0.25">
      <c r="J1440"/>
      <c r="M1440"/>
      <c r="W1440"/>
    </row>
    <row r="1441" spans="10:23" x14ac:dyDescent="0.25">
      <c r="J1441"/>
      <c r="M1441"/>
      <c r="W1441"/>
    </row>
    <row r="1442" spans="10:23" x14ac:dyDescent="0.25">
      <c r="J1442"/>
      <c r="M1442"/>
      <c r="W1442"/>
    </row>
    <row r="1443" spans="10:23" x14ac:dyDescent="0.25">
      <c r="J1443"/>
      <c r="M1443"/>
      <c r="W1443"/>
    </row>
    <row r="1444" spans="10:23" x14ac:dyDescent="0.25">
      <c r="J1444"/>
      <c r="M1444"/>
      <c r="W1444"/>
    </row>
    <row r="1445" spans="10:23" x14ac:dyDescent="0.25">
      <c r="J1445"/>
      <c r="M1445"/>
      <c r="W1445"/>
    </row>
    <row r="1446" spans="10:23" x14ac:dyDescent="0.25">
      <c r="J1446"/>
      <c r="M1446"/>
      <c r="W1446"/>
    </row>
    <row r="1447" spans="10:23" x14ac:dyDescent="0.25">
      <c r="J1447"/>
      <c r="M1447"/>
      <c r="W1447"/>
    </row>
    <row r="1448" spans="10:23" x14ac:dyDescent="0.25">
      <c r="J1448"/>
      <c r="M1448"/>
      <c r="W1448"/>
    </row>
    <row r="1449" spans="10:23" x14ac:dyDescent="0.25">
      <c r="J1449"/>
      <c r="M1449"/>
      <c r="W1449"/>
    </row>
    <row r="1450" spans="10:23" x14ac:dyDescent="0.25">
      <c r="J1450"/>
      <c r="M1450"/>
      <c r="W1450"/>
    </row>
    <row r="1451" spans="10:23" x14ac:dyDescent="0.25">
      <c r="J1451"/>
      <c r="M1451"/>
      <c r="W1451"/>
    </row>
    <row r="1452" spans="10:23" x14ac:dyDescent="0.25">
      <c r="J1452"/>
      <c r="M1452"/>
      <c r="W1452"/>
    </row>
    <row r="1453" spans="10:23" x14ac:dyDescent="0.25">
      <c r="J1453"/>
      <c r="M1453"/>
      <c r="W1453"/>
    </row>
    <row r="1454" spans="10:23" x14ac:dyDescent="0.25">
      <c r="J1454"/>
      <c r="M1454"/>
      <c r="W1454"/>
    </row>
    <row r="1455" spans="10:23" x14ac:dyDescent="0.25">
      <c r="J1455"/>
      <c r="M1455"/>
      <c r="W1455"/>
    </row>
    <row r="1456" spans="10:23" x14ac:dyDescent="0.25">
      <c r="J1456"/>
      <c r="M1456"/>
      <c r="W1456"/>
    </row>
    <row r="1457" spans="10:23" x14ac:dyDescent="0.25">
      <c r="J1457"/>
      <c r="M1457"/>
      <c r="W1457"/>
    </row>
    <row r="1458" spans="10:23" x14ac:dyDescent="0.25">
      <c r="J1458"/>
      <c r="M1458"/>
      <c r="W1458"/>
    </row>
    <row r="1459" spans="10:23" x14ac:dyDescent="0.25">
      <c r="J1459"/>
      <c r="M1459"/>
      <c r="W1459"/>
    </row>
    <row r="1460" spans="10:23" x14ac:dyDescent="0.25">
      <c r="J1460"/>
      <c r="M1460"/>
      <c r="W1460"/>
    </row>
    <row r="1461" spans="10:23" x14ac:dyDescent="0.25">
      <c r="J1461"/>
      <c r="M1461"/>
      <c r="W1461"/>
    </row>
    <row r="1462" spans="10:23" x14ac:dyDescent="0.25">
      <c r="J1462"/>
      <c r="M1462"/>
      <c r="W1462"/>
    </row>
    <row r="1463" spans="10:23" x14ac:dyDescent="0.25">
      <c r="J1463"/>
      <c r="M1463"/>
      <c r="W1463"/>
    </row>
    <row r="1464" spans="10:23" x14ac:dyDescent="0.25">
      <c r="J1464"/>
      <c r="M1464"/>
      <c r="W1464"/>
    </row>
    <row r="1465" spans="10:23" x14ac:dyDescent="0.25">
      <c r="J1465"/>
      <c r="M1465"/>
      <c r="W1465"/>
    </row>
    <row r="1466" spans="10:23" x14ac:dyDescent="0.25">
      <c r="J1466"/>
      <c r="M1466"/>
      <c r="W1466"/>
    </row>
    <row r="1467" spans="10:23" x14ac:dyDescent="0.25">
      <c r="J1467"/>
      <c r="M1467"/>
      <c r="W1467"/>
    </row>
    <row r="1468" spans="10:23" x14ac:dyDescent="0.25">
      <c r="J1468"/>
      <c r="M1468"/>
      <c r="W1468"/>
    </row>
    <row r="1469" spans="10:23" x14ac:dyDescent="0.25">
      <c r="J1469"/>
      <c r="M1469"/>
      <c r="W1469"/>
    </row>
    <row r="1470" spans="10:23" x14ac:dyDescent="0.25">
      <c r="J1470"/>
      <c r="M1470"/>
      <c r="W1470"/>
    </row>
    <row r="1471" spans="10:23" x14ac:dyDescent="0.25">
      <c r="J1471"/>
      <c r="M1471"/>
      <c r="W1471"/>
    </row>
    <row r="1472" spans="10:23" x14ac:dyDescent="0.25">
      <c r="J1472"/>
      <c r="M1472"/>
      <c r="W1472"/>
    </row>
    <row r="1473" spans="10:23" x14ac:dyDescent="0.25">
      <c r="J1473"/>
      <c r="M1473"/>
      <c r="W1473"/>
    </row>
    <row r="1474" spans="10:23" x14ac:dyDescent="0.25">
      <c r="J1474"/>
      <c r="M1474"/>
      <c r="W1474"/>
    </row>
    <row r="1475" spans="10:23" x14ac:dyDescent="0.25">
      <c r="J1475"/>
      <c r="M1475"/>
      <c r="W1475"/>
    </row>
    <row r="1476" spans="10:23" x14ac:dyDescent="0.25">
      <c r="J1476"/>
      <c r="M1476"/>
      <c r="W1476"/>
    </row>
    <row r="1477" spans="10:23" x14ac:dyDescent="0.25">
      <c r="J1477"/>
      <c r="M1477"/>
      <c r="W1477"/>
    </row>
    <row r="1478" spans="10:23" x14ac:dyDescent="0.25">
      <c r="J1478"/>
      <c r="M1478"/>
      <c r="W1478"/>
    </row>
    <row r="1479" spans="10:23" x14ac:dyDescent="0.25">
      <c r="J1479"/>
      <c r="M1479"/>
      <c r="W1479"/>
    </row>
    <row r="1480" spans="10:23" x14ac:dyDescent="0.25">
      <c r="J1480"/>
      <c r="M1480"/>
      <c r="W1480"/>
    </row>
    <row r="1481" spans="10:23" x14ac:dyDescent="0.25">
      <c r="J1481"/>
      <c r="M1481"/>
      <c r="W1481"/>
    </row>
    <row r="1482" spans="10:23" x14ac:dyDescent="0.25">
      <c r="J1482"/>
      <c r="M1482"/>
      <c r="W1482"/>
    </row>
    <row r="1483" spans="10:23" x14ac:dyDescent="0.25">
      <c r="J1483"/>
      <c r="M1483"/>
      <c r="W1483"/>
    </row>
    <row r="1484" spans="10:23" x14ac:dyDescent="0.25">
      <c r="J1484"/>
      <c r="M1484"/>
      <c r="W1484"/>
    </row>
    <row r="1485" spans="10:23" x14ac:dyDescent="0.25">
      <c r="J1485"/>
      <c r="M1485"/>
      <c r="W1485"/>
    </row>
    <row r="1486" spans="10:23" x14ac:dyDescent="0.25">
      <c r="J1486"/>
      <c r="M1486"/>
      <c r="W1486"/>
    </row>
    <row r="1487" spans="10:23" x14ac:dyDescent="0.25">
      <c r="J1487"/>
      <c r="M1487"/>
      <c r="W1487"/>
    </row>
    <row r="1488" spans="10:23" x14ac:dyDescent="0.25">
      <c r="J1488"/>
      <c r="M1488"/>
      <c r="W1488"/>
    </row>
    <row r="1489" spans="10:23" x14ac:dyDescent="0.25">
      <c r="J1489"/>
      <c r="M1489"/>
      <c r="W1489"/>
    </row>
    <row r="1490" spans="10:23" x14ac:dyDescent="0.25">
      <c r="J1490"/>
      <c r="M1490"/>
      <c r="W1490"/>
    </row>
    <row r="1491" spans="10:23" x14ac:dyDescent="0.25">
      <c r="J1491"/>
      <c r="M1491"/>
      <c r="W1491"/>
    </row>
    <row r="1492" spans="10:23" x14ac:dyDescent="0.25">
      <c r="J1492"/>
      <c r="M1492"/>
      <c r="W1492"/>
    </row>
    <row r="1493" spans="10:23" x14ac:dyDescent="0.25">
      <c r="J1493"/>
      <c r="M1493"/>
      <c r="W1493"/>
    </row>
    <row r="1494" spans="10:23" x14ac:dyDescent="0.25">
      <c r="J1494"/>
      <c r="M1494"/>
      <c r="W1494"/>
    </row>
    <row r="1495" spans="10:23" x14ac:dyDescent="0.25">
      <c r="J1495"/>
      <c r="M1495"/>
      <c r="W1495"/>
    </row>
    <row r="1496" spans="10:23" x14ac:dyDescent="0.25">
      <c r="J1496"/>
      <c r="M1496"/>
      <c r="W1496"/>
    </row>
    <row r="1497" spans="10:23" x14ac:dyDescent="0.25">
      <c r="J1497"/>
      <c r="M1497"/>
      <c r="W1497"/>
    </row>
    <row r="1498" spans="10:23" x14ac:dyDescent="0.25">
      <c r="J1498"/>
      <c r="M1498"/>
      <c r="W1498"/>
    </row>
    <row r="1499" spans="10:23" x14ac:dyDescent="0.25">
      <c r="J1499"/>
      <c r="M1499"/>
      <c r="W1499"/>
    </row>
    <row r="1500" spans="10:23" x14ac:dyDescent="0.25">
      <c r="J1500"/>
      <c r="M1500"/>
      <c r="W1500"/>
    </row>
    <row r="1501" spans="10:23" x14ac:dyDescent="0.25">
      <c r="J1501"/>
      <c r="M1501"/>
      <c r="W1501"/>
    </row>
    <row r="1502" spans="10:23" x14ac:dyDescent="0.25">
      <c r="J1502"/>
      <c r="M1502"/>
      <c r="W1502"/>
    </row>
    <row r="1503" spans="10:23" x14ac:dyDescent="0.25">
      <c r="J1503"/>
      <c r="M1503"/>
      <c r="W1503"/>
    </row>
    <row r="1504" spans="10:23" x14ac:dyDescent="0.25">
      <c r="J1504"/>
      <c r="M1504"/>
      <c r="W1504"/>
    </row>
    <row r="1505" spans="10:23" x14ac:dyDescent="0.25">
      <c r="J1505"/>
      <c r="M1505"/>
      <c r="W1505"/>
    </row>
    <row r="1506" spans="10:23" x14ac:dyDescent="0.25">
      <c r="J1506"/>
      <c r="M1506"/>
      <c r="W1506"/>
    </row>
    <row r="1507" spans="10:23" x14ac:dyDescent="0.25">
      <c r="J1507"/>
      <c r="M1507"/>
      <c r="W1507"/>
    </row>
    <row r="1508" spans="10:23" x14ac:dyDescent="0.25">
      <c r="J1508"/>
      <c r="M1508"/>
      <c r="W1508"/>
    </row>
    <row r="1509" spans="10:23" x14ac:dyDescent="0.25">
      <c r="J1509"/>
      <c r="M1509"/>
      <c r="W1509"/>
    </row>
    <row r="1510" spans="10:23" x14ac:dyDescent="0.25">
      <c r="J1510"/>
      <c r="M1510"/>
      <c r="W1510"/>
    </row>
    <row r="1511" spans="10:23" x14ac:dyDescent="0.25">
      <c r="J1511"/>
      <c r="M1511"/>
      <c r="W1511"/>
    </row>
    <row r="1512" spans="10:23" x14ac:dyDescent="0.25">
      <c r="J1512"/>
      <c r="M1512"/>
      <c r="W1512"/>
    </row>
    <row r="1513" spans="10:23" x14ac:dyDescent="0.25">
      <c r="J1513"/>
      <c r="M1513"/>
      <c r="W1513"/>
    </row>
    <row r="1514" spans="10:23" x14ac:dyDescent="0.25">
      <c r="J1514"/>
      <c r="M1514"/>
      <c r="W1514"/>
    </row>
    <row r="1515" spans="10:23" x14ac:dyDescent="0.25">
      <c r="J1515"/>
      <c r="M1515"/>
      <c r="W1515"/>
    </row>
    <row r="1516" spans="10:23" x14ac:dyDescent="0.25">
      <c r="J1516"/>
      <c r="M1516"/>
      <c r="W1516"/>
    </row>
    <row r="1517" spans="10:23" x14ac:dyDescent="0.25">
      <c r="J1517"/>
      <c r="M1517"/>
      <c r="W1517"/>
    </row>
    <row r="1518" spans="10:23" x14ac:dyDescent="0.25">
      <c r="J1518"/>
      <c r="M1518"/>
      <c r="W1518"/>
    </row>
    <row r="1519" spans="10:23" x14ac:dyDescent="0.25">
      <c r="J1519"/>
      <c r="M1519"/>
      <c r="W1519"/>
    </row>
    <row r="1520" spans="10:23" x14ac:dyDescent="0.25">
      <c r="J1520"/>
      <c r="M1520"/>
      <c r="W1520"/>
    </row>
    <row r="1521" spans="10:23" x14ac:dyDescent="0.25">
      <c r="J1521"/>
      <c r="M1521"/>
      <c r="W1521"/>
    </row>
    <row r="1522" spans="10:23" x14ac:dyDescent="0.25">
      <c r="J1522"/>
      <c r="M1522"/>
      <c r="W1522"/>
    </row>
    <row r="1523" spans="10:23" x14ac:dyDescent="0.25">
      <c r="J1523"/>
      <c r="M1523"/>
      <c r="W1523"/>
    </row>
    <row r="1524" spans="10:23" x14ac:dyDescent="0.25">
      <c r="J1524"/>
      <c r="M1524"/>
      <c r="W1524"/>
    </row>
    <row r="1525" spans="10:23" x14ac:dyDescent="0.25">
      <c r="J1525"/>
      <c r="M1525"/>
      <c r="W1525"/>
    </row>
    <row r="1526" spans="10:23" x14ac:dyDescent="0.25">
      <c r="J1526"/>
      <c r="M1526"/>
      <c r="W1526"/>
    </row>
    <row r="1527" spans="10:23" x14ac:dyDescent="0.25">
      <c r="J1527"/>
      <c r="M1527"/>
      <c r="W1527"/>
    </row>
    <row r="1528" spans="10:23" x14ac:dyDescent="0.25">
      <c r="J1528"/>
      <c r="M1528"/>
      <c r="W1528"/>
    </row>
    <row r="1529" spans="10:23" x14ac:dyDescent="0.25">
      <c r="J1529"/>
      <c r="M1529"/>
      <c r="W1529"/>
    </row>
    <row r="1530" spans="10:23" x14ac:dyDescent="0.25">
      <c r="J1530"/>
      <c r="M1530"/>
      <c r="W1530"/>
    </row>
    <row r="1531" spans="10:23" x14ac:dyDescent="0.25">
      <c r="J1531"/>
      <c r="M1531"/>
      <c r="W1531"/>
    </row>
    <row r="1532" spans="10:23" x14ac:dyDescent="0.25">
      <c r="J1532"/>
      <c r="M1532"/>
      <c r="W1532"/>
    </row>
    <row r="1533" spans="10:23" x14ac:dyDescent="0.25">
      <c r="J1533"/>
      <c r="M1533"/>
      <c r="W1533"/>
    </row>
    <row r="1534" spans="10:23" x14ac:dyDescent="0.25">
      <c r="J1534"/>
      <c r="M1534"/>
      <c r="W1534"/>
    </row>
    <row r="1535" spans="10:23" x14ac:dyDescent="0.25">
      <c r="J1535"/>
      <c r="M1535"/>
      <c r="W1535"/>
    </row>
    <row r="1536" spans="10:23" x14ac:dyDescent="0.25">
      <c r="J1536"/>
      <c r="M1536"/>
      <c r="W1536"/>
    </row>
    <row r="1537" spans="10:23" x14ac:dyDescent="0.25">
      <c r="J1537"/>
      <c r="M1537"/>
      <c r="W1537"/>
    </row>
    <row r="1538" spans="10:23" x14ac:dyDescent="0.25">
      <c r="J1538"/>
      <c r="M1538"/>
      <c r="W1538"/>
    </row>
    <row r="1539" spans="10:23" x14ac:dyDescent="0.25">
      <c r="J1539"/>
      <c r="M1539"/>
      <c r="W1539"/>
    </row>
    <row r="1540" spans="10:23" x14ac:dyDescent="0.25">
      <c r="J1540"/>
      <c r="M1540"/>
      <c r="W1540"/>
    </row>
    <row r="1541" spans="10:23" x14ac:dyDescent="0.25">
      <c r="J1541"/>
      <c r="M1541"/>
      <c r="W1541"/>
    </row>
    <row r="1542" spans="10:23" x14ac:dyDescent="0.25">
      <c r="J1542"/>
      <c r="M1542"/>
      <c r="W1542"/>
    </row>
    <row r="1543" spans="10:23" x14ac:dyDescent="0.25">
      <c r="J1543"/>
      <c r="M1543"/>
      <c r="W1543"/>
    </row>
    <row r="1544" spans="10:23" x14ac:dyDescent="0.25">
      <c r="J1544"/>
      <c r="M1544"/>
      <c r="W1544"/>
    </row>
    <row r="1545" spans="10:23" x14ac:dyDescent="0.25">
      <c r="J1545"/>
      <c r="M1545"/>
      <c r="W1545"/>
    </row>
    <row r="1546" spans="10:23" x14ac:dyDescent="0.25">
      <c r="J1546"/>
      <c r="M1546"/>
      <c r="W1546"/>
    </row>
    <row r="1547" spans="10:23" x14ac:dyDescent="0.25">
      <c r="J1547"/>
      <c r="M1547"/>
      <c r="W1547"/>
    </row>
    <row r="1548" spans="10:23" x14ac:dyDescent="0.25">
      <c r="J1548"/>
      <c r="M1548"/>
      <c r="W1548"/>
    </row>
    <row r="1549" spans="10:23" x14ac:dyDescent="0.25">
      <c r="J1549"/>
      <c r="M1549"/>
      <c r="W1549"/>
    </row>
    <row r="1550" spans="10:23" x14ac:dyDescent="0.25">
      <c r="J1550"/>
      <c r="M1550"/>
      <c r="W1550"/>
    </row>
    <row r="1551" spans="10:23" x14ac:dyDescent="0.25">
      <c r="J1551"/>
      <c r="M1551"/>
      <c r="W1551"/>
    </row>
    <row r="1552" spans="10:23" x14ac:dyDescent="0.25">
      <c r="J1552"/>
      <c r="M1552"/>
      <c r="W1552"/>
    </row>
    <row r="1553" spans="10:23" x14ac:dyDescent="0.25">
      <c r="J1553"/>
      <c r="M1553"/>
      <c r="W1553"/>
    </row>
    <row r="1554" spans="10:23" x14ac:dyDescent="0.25">
      <c r="J1554"/>
      <c r="M1554"/>
      <c r="W1554"/>
    </row>
    <row r="1555" spans="10:23" x14ac:dyDescent="0.25">
      <c r="J1555"/>
      <c r="M1555"/>
      <c r="W1555"/>
    </row>
    <row r="1556" spans="10:23" x14ac:dyDescent="0.25">
      <c r="J1556"/>
      <c r="M1556"/>
      <c r="W1556"/>
    </row>
    <row r="1557" spans="10:23" x14ac:dyDescent="0.25">
      <c r="J1557"/>
      <c r="M1557"/>
      <c r="W1557"/>
    </row>
    <row r="1558" spans="10:23" x14ac:dyDescent="0.25">
      <c r="J1558"/>
      <c r="M1558"/>
      <c r="W1558"/>
    </row>
    <row r="1559" spans="10:23" x14ac:dyDescent="0.25">
      <c r="J1559"/>
      <c r="M1559"/>
      <c r="W1559"/>
    </row>
    <row r="1560" spans="10:23" x14ac:dyDescent="0.25">
      <c r="J1560"/>
      <c r="M1560"/>
      <c r="W1560"/>
    </row>
    <row r="1561" spans="10:23" x14ac:dyDescent="0.25">
      <c r="J1561"/>
      <c r="M1561"/>
      <c r="W1561"/>
    </row>
    <row r="1562" spans="10:23" x14ac:dyDescent="0.25">
      <c r="J1562"/>
      <c r="M1562"/>
      <c r="W1562"/>
    </row>
    <row r="1563" spans="10:23" x14ac:dyDescent="0.25">
      <c r="J1563"/>
      <c r="M1563"/>
      <c r="W1563"/>
    </row>
    <row r="1564" spans="10:23" x14ac:dyDescent="0.25">
      <c r="J1564"/>
      <c r="M1564"/>
      <c r="W1564"/>
    </row>
    <row r="1565" spans="10:23" x14ac:dyDescent="0.25">
      <c r="J1565"/>
      <c r="M1565"/>
      <c r="W1565"/>
    </row>
    <row r="1566" spans="10:23" x14ac:dyDescent="0.25">
      <c r="J1566"/>
      <c r="M1566"/>
      <c r="W1566"/>
    </row>
    <row r="1567" spans="10:23" x14ac:dyDescent="0.25">
      <c r="J1567"/>
      <c r="M1567"/>
      <c r="W1567"/>
    </row>
    <row r="1568" spans="10:23" x14ac:dyDescent="0.25">
      <c r="J1568"/>
      <c r="M1568"/>
      <c r="W1568"/>
    </row>
    <row r="1569" spans="10:23" x14ac:dyDescent="0.25">
      <c r="J1569"/>
      <c r="M1569"/>
      <c r="W1569"/>
    </row>
    <row r="1570" spans="10:23" x14ac:dyDescent="0.25">
      <c r="J1570"/>
      <c r="M1570"/>
      <c r="W1570"/>
    </row>
    <row r="1571" spans="10:23" x14ac:dyDescent="0.25">
      <c r="J1571"/>
      <c r="M1571"/>
      <c r="W1571"/>
    </row>
    <row r="1572" spans="10:23" x14ac:dyDescent="0.25">
      <c r="J1572"/>
      <c r="M1572"/>
      <c r="W1572"/>
    </row>
    <row r="1573" spans="10:23" x14ac:dyDescent="0.25">
      <c r="J1573"/>
      <c r="M1573"/>
      <c r="W1573"/>
    </row>
    <row r="1574" spans="10:23" x14ac:dyDescent="0.25">
      <c r="J1574"/>
      <c r="M1574"/>
      <c r="W1574"/>
    </row>
    <row r="1575" spans="10:23" x14ac:dyDescent="0.25">
      <c r="J1575"/>
      <c r="M1575"/>
      <c r="W1575"/>
    </row>
    <row r="1576" spans="10:23" x14ac:dyDescent="0.25">
      <c r="J1576"/>
      <c r="M1576"/>
      <c r="W1576"/>
    </row>
    <row r="1577" spans="10:23" x14ac:dyDescent="0.25">
      <c r="J1577"/>
      <c r="M1577"/>
      <c r="W1577"/>
    </row>
    <row r="1578" spans="10:23" x14ac:dyDescent="0.25">
      <c r="J1578"/>
      <c r="M1578"/>
      <c r="W1578"/>
    </row>
    <row r="1579" spans="10:23" x14ac:dyDescent="0.25">
      <c r="J1579"/>
      <c r="M1579"/>
      <c r="W1579"/>
    </row>
    <row r="1580" spans="10:23" x14ac:dyDescent="0.25">
      <c r="J1580"/>
      <c r="M1580"/>
      <c r="W1580"/>
    </row>
    <row r="1581" spans="10:23" x14ac:dyDescent="0.25">
      <c r="J1581"/>
      <c r="M1581"/>
      <c r="W1581"/>
    </row>
    <row r="1582" spans="10:23" x14ac:dyDescent="0.25">
      <c r="J1582"/>
      <c r="M1582"/>
      <c r="W1582"/>
    </row>
    <row r="1583" spans="10:23" x14ac:dyDescent="0.25">
      <c r="J1583"/>
      <c r="M1583"/>
      <c r="W1583"/>
    </row>
    <row r="1584" spans="10:23" x14ac:dyDescent="0.25">
      <c r="J1584"/>
      <c r="M1584"/>
      <c r="W1584"/>
    </row>
    <row r="1585" spans="10:23" x14ac:dyDescent="0.25">
      <c r="J1585"/>
      <c r="M1585"/>
      <c r="W1585"/>
    </row>
    <row r="1586" spans="10:23" x14ac:dyDescent="0.25">
      <c r="J1586"/>
      <c r="M1586"/>
      <c r="W1586"/>
    </row>
    <row r="1587" spans="10:23" x14ac:dyDescent="0.25">
      <c r="J1587"/>
      <c r="M1587"/>
      <c r="W1587"/>
    </row>
    <row r="1588" spans="10:23" x14ac:dyDescent="0.25">
      <c r="J1588"/>
      <c r="M1588"/>
      <c r="W1588"/>
    </row>
    <row r="1589" spans="10:23" x14ac:dyDescent="0.25">
      <c r="J1589"/>
      <c r="M1589"/>
      <c r="W1589"/>
    </row>
    <row r="1590" spans="10:23" x14ac:dyDescent="0.25">
      <c r="J1590"/>
      <c r="M1590"/>
      <c r="W1590"/>
    </row>
    <row r="1591" spans="10:23" x14ac:dyDescent="0.25">
      <c r="J1591"/>
      <c r="M1591"/>
      <c r="W1591"/>
    </row>
    <row r="1592" spans="10:23" x14ac:dyDescent="0.25">
      <c r="J1592"/>
      <c r="M1592"/>
      <c r="W1592"/>
    </row>
    <row r="1593" spans="10:23" x14ac:dyDescent="0.25">
      <c r="J1593"/>
      <c r="M1593"/>
      <c r="W1593"/>
    </row>
    <row r="1594" spans="10:23" x14ac:dyDescent="0.25">
      <c r="J1594"/>
      <c r="M1594"/>
      <c r="W1594"/>
    </row>
    <row r="1595" spans="10:23" x14ac:dyDescent="0.25">
      <c r="J1595"/>
      <c r="M1595"/>
      <c r="W1595"/>
    </row>
    <row r="1596" spans="10:23" x14ac:dyDescent="0.25">
      <c r="J1596"/>
      <c r="M1596"/>
      <c r="W1596"/>
    </row>
    <row r="1597" spans="10:23" x14ac:dyDescent="0.25">
      <c r="J1597"/>
      <c r="M1597"/>
      <c r="W1597"/>
    </row>
    <row r="1598" spans="10:23" x14ac:dyDescent="0.25">
      <c r="J1598"/>
      <c r="M1598"/>
      <c r="W1598"/>
    </row>
    <row r="1599" spans="10:23" x14ac:dyDescent="0.25">
      <c r="J1599"/>
      <c r="M1599"/>
      <c r="W1599"/>
    </row>
    <row r="1600" spans="10:23" x14ac:dyDescent="0.25">
      <c r="J1600"/>
      <c r="M1600"/>
      <c r="W1600"/>
    </row>
    <row r="1601" spans="10:23" x14ac:dyDescent="0.25">
      <c r="J1601"/>
      <c r="M1601"/>
      <c r="W1601"/>
    </row>
    <row r="1602" spans="10:23" x14ac:dyDescent="0.25">
      <c r="J1602"/>
      <c r="M1602"/>
      <c r="W1602"/>
    </row>
    <row r="1603" spans="10:23" x14ac:dyDescent="0.25">
      <c r="J1603"/>
      <c r="M1603"/>
      <c r="W1603"/>
    </row>
    <row r="1604" spans="10:23" x14ac:dyDescent="0.25">
      <c r="J1604"/>
      <c r="M1604"/>
      <c r="W1604"/>
    </row>
    <row r="1605" spans="10:23" x14ac:dyDescent="0.25">
      <c r="J1605"/>
      <c r="M1605"/>
      <c r="W1605"/>
    </row>
    <row r="1606" spans="10:23" x14ac:dyDescent="0.25">
      <c r="J1606"/>
      <c r="M1606"/>
      <c r="W1606"/>
    </row>
    <row r="1607" spans="10:23" x14ac:dyDescent="0.25">
      <c r="J1607"/>
      <c r="M1607"/>
      <c r="W1607"/>
    </row>
    <row r="1608" spans="10:23" x14ac:dyDescent="0.25">
      <c r="J1608"/>
      <c r="M1608"/>
      <c r="W1608"/>
    </row>
    <row r="1609" spans="10:23" x14ac:dyDescent="0.25">
      <c r="J1609"/>
      <c r="M1609"/>
      <c r="W1609"/>
    </row>
    <row r="1610" spans="10:23" x14ac:dyDescent="0.25">
      <c r="J1610"/>
      <c r="M1610"/>
      <c r="W1610"/>
    </row>
    <row r="1611" spans="10:23" x14ac:dyDescent="0.25">
      <c r="J1611"/>
      <c r="M1611"/>
      <c r="W1611"/>
    </row>
    <row r="1612" spans="10:23" x14ac:dyDescent="0.25">
      <c r="J1612"/>
      <c r="M1612"/>
      <c r="W1612"/>
    </row>
    <row r="1613" spans="10:23" x14ac:dyDescent="0.25">
      <c r="J1613"/>
      <c r="M1613"/>
      <c r="W1613"/>
    </row>
    <row r="1614" spans="10:23" x14ac:dyDescent="0.25">
      <c r="J1614"/>
      <c r="M1614"/>
      <c r="W1614"/>
    </row>
    <row r="1615" spans="10:23" x14ac:dyDescent="0.25">
      <c r="J1615"/>
      <c r="M1615"/>
      <c r="W1615"/>
    </row>
    <row r="1616" spans="10:23" x14ac:dyDescent="0.25">
      <c r="J1616"/>
      <c r="M1616"/>
      <c r="W1616"/>
    </row>
    <row r="1617" spans="10:23" x14ac:dyDescent="0.25">
      <c r="J1617"/>
      <c r="M1617"/>
      <c r="W1617"/>
    </row>
    <row r="1618" spans="10:23" x14ac:dyDescent="0.25">
      <c r="J1618"/>
      <c r="M1618"/>
      <c r="W1618"/>
    </row>
    <row r="1619" spans="10:23" x14ac:dyDescent="0.25">
      <c r="J1619"/>
      <c r="M1619"/>
      <c r="W1619"/>
    </row>
    <row r="1620" spans="10:23" x14ac:dyDescent="0.25">
      <c r="J1620"/>
      <c r="M1620"/>
      <c r="W1620"/>
    </row>
    <row r="1621" spans="10:23" x14ac:dyDescent="0.25">
      <c r="J1621"/>
      <c r="M1621"/>
      <c r="W1621"/>
    </row>
    <row r="1622" spans="10:23" x14ac:dyDescent="0.25">
      <c r="J1622"/>
      <c r="M1622"/>
      <c r="W1622"/>
    </row>
    <row r="1623" spans="10:23" x14ac:dyDescent="0.25">
      <c r="J1623"/>
      <c r="M1623"/>
      <c r="W1623"/>
    </row>
    <row r="1624" spans="10:23" x14ac:dyDescent="0.25">
      <c r="J1624"/>
      <c r="M1624"/>
      <c r="W1624"/>
    </row>
    <row r="1625" spans="10:23" x14ac:dyDescent="0.25">
      <c r="J1625"/>
      <c r="M1625"/>
      <c r="W1625"/>
    </row>
    <row r="1626" spans="10:23" x14ac:dyDescent="0.25">
      <c r="J1626"/>
      <c r="M1626"/>
      <c r="W1626"/>
    </row>
    <row r="1627" spans="10:23" x14ac:dyDescent="0.25">
      <c r="J1627"/>
      <c r="M1627"/>
      <c r="W1627"/>
    </row>
    <row r="1628" spans="10:23" x14ac:dyDescent="0.25">
      <c r="J1628"/>
      <c r="M1628"/>
      <c r="W1628"/>
    </row>
    <row r="1629" spans="10:23" x14ac:dyDescent="0.25">
      <c r="J1629"/>
      <c r="M1629"/>
      <c r="W1629"/>
    </row>
    <row r="1630" spans="10:23" x14ac:dyDescent="0.25">
      <c r="J1630"/>
      <c r="M1630"/>
      <c r="W1630"/>
    </row>
    <row r="1631" spans="10:23" x14ac:dyDescent="0.25">
      <c r="J1631"/>
      <c r="M1631"/>
      <c r="W1631"/>
    </row>
    <row r="1632" spans="10:23" x14ac:dyDescent="0.25">
      <c r="J1632"/>
      <c r="M1632"/>
      <c r="W1632"/>
    </row>
    <row r="1633" spans="10:23" x14ac:dyDescent="0.25">
      <c r="J1633"/>
      <c r="M1633"/>
      <c r="W1633"/>
    </row>
    <row r="1634" spans="10:23" x14ac:dyDescent="0.25">
      <c r="J1634"/>
      <c r="M1634"/>
      <c r="W1634"/>
    </row>
    <row r="1635" spans="10:23" x14ac:dyDescent="0.25">
      <c r="J1635"/>
      <c r="M1635"/>
      <c r="W1635"/>
    </row>
    <row r="1636" spans="10:23" x14ac:dyDescent="0.25">
      <c r="J1636"/>
      <c r="M1636"/>
      <c r="W1636"/>
    </row>
    <row r="1637" spans="10:23" x14ac:dyDescent="0.25">
      <c r="J1637"/>
      <c r="M1637"/>
      <c r="W1637"/>
    </row>
    <row r="1638" spans="10:23" x14ac:dyDescent="0.25">
      <c r="J1638"/>
      <c r="M1638"/>
      <c r="W1638"/>
    </row>
    <row r="1639" spans="10:23" x14ac:dyDescent="0.25">
      <c r="J1639"/>
      <c r="M1639"/>
      <c r="W1639"/>
    </row>
    <row r="1640" spans="10:23" x14ac:dyDescent="0.25">
      <c r="J1640"/>
      <c r="M1640"/>
      <c r="W1640"/>
    </row>
    <row r="1641" spans="10:23" x14ac:dyDescent="0.25">
      <c r="J1641"/>
      <c r="M1641"/>
      <c r="W1641"/>
    </row>
    <row r="1642" spans="10:23" x14ac:dyDescent="0.25">
      <c r="J1642"/>
      <c r="M1642"/>
      <c r="W1642"/>
    </row>
    <row r="1643" spans="10:23" x14ac:dyDescent="0.25">
      <c r="J1643"/>
      <c r="M1643"/>
      <c r="W1643"/>
    </row>
    <row r="1644" spans="10:23" x14ac:dyDescent="0.25">
      <c r="J1644"/>
      <c r="M1644"/>
      <c r="W1644"/>
    </row>
    <row r="1645" spans="10:23" x14ac:dyDescent="0.25">
      <c r="J1645"/>
      <c r="M1645"/>
      <c r="W1645"/>
    </row>
    <row r="1646" spans="10:23" x14ac:dyDescent="0.25">
      <c r="J1646"/>
      <c r="M1646"/>
      <c r="W1646"/>
    </row>
    <row r="1647" spans="10:23" x14ac:dyDescent="0.25">
      <c r="J1647"/>
      <c r="M1647"/>
      <c r="W1647"/>
    </row>
    <row r="1648" spans="10:23" x14ac:dyDescent="0.25">
      <c r="J1648"/>
      <c r="M1648"/>
      <c r="W1648"/>
    </row>
    <row r="1649" spans="10:23" x14ac:dyDescent="0.25">
      <c r="J1649"/>
      <c r="M1649"/>
      <c r="W1649"/>
    </row>
    <row r="1650" spans="10:23" x14ac:dyDescent="0.25">
      <c r="J1650"/>
      <c r="M1650"/>
      <c r="W1650"/>
    </row>
    <row r="1651" spans="10:23" x14ac:dyDescent="0.25">
      <c r="J1651"/>
      <c r="M1651"/>
      <c r="W1651"/>
    </row>
    <row r="1652" spans="10:23" x14ac:dyDescent="0.25">
      <c r="J1652"/>
      <c r="M1652"/>
      <c r="W1652"/>
    </row>
    <row r="1653" spans="10:23" x14ac:dyDescent="0.25">
      <c r="J1653"/>
      <c r="M1653"/>
      <c r="W1653"/>
    </row>
    <row r="1654" spans="10:23" x14ac:dyDescent="0.25">
      <c r="J1654"/>
      <c r="M1654"/>
      <c r="W1654"/>
    </row>
    <row r="1655" spans="10:23" x14ac:dyDescent="0.25">
      <c r="J1655"/>
      <c r="M1655"/>
      <c r="W1655"/>
    </row>
    <row r="1656" spans="10:23" x14ac:dyDescent="0.25">
      <c r="J1656"/>
      <c r="M1656"/>
      <c r="W1656"/>
    </row>
    <row r="1657" spans="10:23" x14ac:dyDescent="0.25">
      <c r="J1657"/>
      <c r="M1657"/>
      <c r="W1657"/>
    </row>
    <row r="1658" spans="10:23" x14ac:dyDescent="0.25">
      <c r="J1658"/>
      <c r="M1658"/>
      <c r="W1658"/>
    </row>
    <row r="1659" spans="10:23" x14ac:dyDescent="0.25">
      <c r="J1659"/>
      <c r="M1659"/>
      <c r="W1659"/>
    </row>
    <row r="1660" spans="10:23" x14ac:dyDescent="0.25">
      <c r="J1660"/>
      <c r="M1660"/>
      <c r="W1660"/>
    </row>
    <row r="1661" spans="10:23" x14ac:dyDescent="0.25">
      <c r="J1661"/>
      <c r="M1661"/>
      <c r="W1661"/>
    </row>
    <row r="1662" spans="10:23" x14ac:dyDescent="0.25">
      <c r="J1662"/>
      <c r="M1662"/>
      <c r="W1662"/>
    </row>
    <row r="1663" spans="10:23" x14ac:dyDescent="0.25">
      <c r="J1663"/>
      <c r="M1663"/>
      <c r="W1663"/>
    </row>
    <row r="1664" spans="10:23" x14ac:dyDescent="0.25">
      <c r="J1664"/>
      <c r="M1664"/>
      <c r="W1664"/>
    </row>
    <row r="1665" spans="10:23" x14ac:dyDescent="0.25">
      <c r="J1665"/>
      <c r="M1665"/>
      <c r="W1665"/>
    </row>
    <row r="1666" spans="10:23" x14ac:dyDescent="0.25">
      <c r="J1666"/>
      <c r="M1666"/>
      <c r="W1666"/>
    </row>
    <row r="1667" spans="10:23" x14ac:dyDescent="0.25">
      <c r="J1667"/>
      <c r="M1667"/>
      <c r="W1667"/>
    </row>
    <row r="1668" spans="10:23" x14ac:dyDescent="0.25">
      <c r="J1668"/>
      <c r="M1668"/>
      <c r="W1668"/>
    </row>
    <row r="1669" spans="10:23" x14ac:dyDescent="0.25">
      <c r="J1669"/>
      <c r="M1669"/>
      <c r="W1669"/>
    </row>
    <row r="1670" spans="10:23" x14ac:dyDescent="0.25">
      <c r="J1670"/>
      <c r="M1670"/>
      <c r="W1670"/>
    </row>
    <row r="1671" spans="10:23" x14ac:dyDescent="0.25">
      <c r="J1671"/>
      <c r="M1671"/>
      <c r="W1671"/>
    </row>
    <row r="1672" spans="10:23" x14ac:dyDescent="0.25">
      <c r="J1672"/>
      <c r="M1672"/>
      <c r="W1672"/>
    </row>
    <row r="1673" spans="10:23" x14ac:dyDescent="0.25">
      <c r="J1673"/>
      <c r="M1673"/>
      <c r="W1673"/>
    </row>
    <row r="1674" spans="10:23" x14ac:dyDescent="0.25">
      <c r="J1674"/>
      <c r="M1674"/>
      <c r="W1674"/>
    </row>
    <row r="1675" spans="10:23" x14ac:dyDescent="0.25">
      <c r="J1675"/>
      <c r="M1675"/>
      <c r="W1675"/>
    </row>
    <row r="1676" spans="10:23" x14ac:dyDescent="0.25">
      <c r="J1676"/>
      <c r="M1676"/>
      <c r="W1676"/>
    </row>
    <row r="1677" spans="10:23" x14ac:dyDescent="0.25">
      <c r="J1677"/>
      <c r="M1677"/>
      <c r="W1677"/>
    </row>
    <row r="1678" spans="10:23" x14ac:dyDescent="0.25">
      <c r="J1678"/>
      <c r="M1678"/>
      <c r="W1678"/>
    </row>
    <row r="1679" spans="10:23" x14ac:dyDescent="0.25">
      <c r="J1679"/>
      <c r="M1679"/>
      <c r="W1679"/>
    </row>
    <row r="1680" spans="10:23" x14ac:dyDescent="0.25">
      <c r="J1680"/>
      <c r="M1680"/>
      <c r="W1680"/>
    </row>
    <row r="1681" spans="10:23" x14ac:dyDescent="0.25">
      <c r="J1681"/>
      <c r="M1681"/>
      <c r="W1681"/>
    </row>
    <row r="1682" spans="10:23" x14ac:dyDescent="0.25">
      <c r="J1682"/>
      <c r="M1682"/>
      <c r="W1682"/>
    </row>
    <row r="1683" spans="10:23" x14ac:dyDescent="0.25">
      <c r="J1683"/>
      <c r="M1683"/>
      <c r="W1683"/>
    </row>
    <row r="1684" spans="10:23" x14ac:dyDescent="0.25">
      <c r="J1684"/>
      <c r="M1684"/>
      <c r="W1684"/>
    </row>
    <row r="1685" spans="10:23" x14ac:dyDescent="0.25">
      <c r="J1685"/>
      <c r="M1685"/>
      <c r="W1685"/>
    </row>
    <row r="1686" spans="10:23" x14ac:dyDescent="0.25">
      <c r="J1686"/>
      <c r="M1686"/>
      <c r="W1686"/>
    </row>
    <row r="1687" spans="10:23" x14ac:dyDescent="0.25">
      <c r="J1687"/>
      <c r="M1687"/>
      <c r="W1687"/>
    </row>
    <row r="1688" spans="10:23" x14ac:dyDescent="0.25">
      <c r="J1688"/>
      <c r="M1688"/>
      <c r="W1688"/>
    </row>
    <row r="1689" spans="10:23" x14ac:dyDescent="0.25">
      <c r="J1689"/>
      <c r="M1689"/>
      <c r="W1689"/>
    </row>
    <row r="1690" spans="10:23" x14ac:dyDescent="0.25">
      <c r="J1690"/>
      <c r="M1690"/>
      <c r="W1690"/>
    </row>
    <row r="1691" spans="10:23" x14ac:dyDescent="0.25">
      <c r="J1691"/>
      <c r="M1691"/>
      <c r="W1691"/>
    </row>
    <row r="1692" spans="10:23" x14ac:dyDescent="0.25">
      <c r="J1692"/>
      <c r="M1692"/>
      <c r="W1692"/>
    </row>
    <row r="1693" spans="10:23" x14ac:dyDescent="0.25">
      <c r="J1693"/>
      <c r="M1693"/>
      <c r="W1693"/>
    </row>
    <row r="1694" spans="10:23" x14ac:dyDescent="0.25">
      <c r="J1694"/>
      <c r="M1694"/>
      <c r="W1694"/>
    </row>
    <row r="1695" spans="10:23" x14ac:dyDescent="0.25">
      <c r="J1695"/>
      <c r="M1695"/>
      <c r="W1695"/>
    </row>
    <row r="1696" spans="10:23" x14ac:dyDescent="0.25">
      <c r="J1696"/>
      <c r="M1696"/>
      <c r="W1696"/>
    </row>
    <row r="1697" spans="10:23" x14ac:dyDescent="0.25">
      <c r="J1697"/>
      <c r="M1697"/>
      <c r="W1697"/>
    </row>
    <row r="1698" spans="10:23" x14ac:dyDescent="0.25">
      <c r="J1698"/>
      <c r="M1698"/>
      <c r="W1698"/>
    </row>
    <row r="1699" spans="10:23" x14ac:dyDescent="0.25">
      <c r="J1699"/>
      <c r="M1699"/>
      <c r="W1699"/>
    </row>
    <row r="1700" spans="10:23" x14ac:dyDescent="0.25">
      <c r="J1700"/>
      <c r="M1700"/>
      <c r="W1700"/>
    </row>
    <row r="1701" spans="10:23" x14ac:dyDescent="0.25">
      <c r="J1701"/>
      <c r="M1701"/>
      <c r="W1701"/>
    </row>
    <row r="1702" spans="10:23" x14ac:dyDescent="0.25">
      <c r="J1702"/>
      <c r="M1702"/>
      <c r="W1702"/>
    </row>
    <row r="1703" spans="10:23" x14ac:dyDescent="0.25">
      <c r="J1703"/>
      <c r="M1703"/>
      <c r="W1703"/>
    </row>
    <row r="1704" spans="10:23" x14ac:dyDescent="0.25">
      <c r="J1704"/>
      <c r="M1704"/>
      <c r="W1704"/>
    </row>
    <row r="1705" spans="10:23" x14ac:dyDescent="0.25">
      <c r="J1705"/>
      <c r="M1705"/>
      <c r="W1705"/>
    </row>
    <row r="1706" spans="10:23" x14ac:dyDescent="0.25">
      <c r="J1706"/>
      <c r="M1706"/>
      <c r="W1706"/>
    </row>
    <row r="1707" spans="10:23" x14ac:dyDescent="0.25">
      <c r="J1707"/>
      <c r="M1707"/>
      <c r="W1707"/>
    </row>
    <row r="1708" spans="10:23" x14ac:dyDescent="0.25">
      <c r="J1708"/>
      <c r="M1708"/>
      <c r="W1708"/>
    </row>
    <row r="1709" spans="10:23" x14ac:dyDescent="0.25">
      <c r="J1709"/>
      <c r="M1709"/>
      <c r="W1709"/>
    </row>
    <row r="1710" spans="10:23" x14ac:dyDescent="0.25">
      <c r="J1710"/>
      <c r="M1710"/>
      <c r="W1710"/>
    </row>
    <row r="1711" spans="10:23" x14ac:dyDescent="0.25">
      <c r="J1711"/>
      <c r="M1711"/>
      <c r="W1711"/>
    </row>
    <row r="1712" spans="10:23" x14ac:dyDescent="0.25">
      <c r="J1712"/>
      <c r="M1712"/>
      <c r="W1712"/>
    </row>
    <row r="1713" spans="10:23" x14ac:dyDescent="0.25">
      <c r="J1713"/>
      <c r="M1713"/>
      <c r="W1713"/>
    </row>
    <row r="1714" spans="10:23" x14ac:dyDescent="0.25">
      <c r="J1714"/>
      <c r="M1714"/>
      <c r="W1714"/>
    </row>
    <row r="1715" spans="10:23" x14ac:dyDescent="0.25">
      <c r="J1715"/>
      <c r="M1715"/>
      <c r="W1715"/>
    </row>
    <row r="1716" spans="10:23" x14ac:dyDescent="0.25">
      <c r="J1716"/>
      <c r="M1716"/>
      <c r="W1716"/>
    </row>
    <row r="1717" spans="10:23" x14ac:dyDescent="0.25">
      <c r="J1717"/>
      <c r="M1717"/>
      <c r="W1717"/>
    </row>
    <row r="1718" spans="10:23" x14ac:dyDescent="0.25">
      <c r="J1718"/>
      <c r="M1718"/>
      <c r="W1718"/>
    </row>
    <row r="1719" spans="10:23" x14ac:dyDescent="0.25">
      <c r="J1719"/>
      <c r="M1719"/>
      <c r="W1719"/>
    </row>
    <row r="1720" spans="10:23" x14ac:dyDescent="0.25">
      <c r="J1720"/>
      <c r="M1720"/>
      <c r="W1720"/>
    </row>
    <row r="1721" spans="10:23" x14ac:dyDescent="0.25">
      <c r="J1721"/>
      <c r="M1721"/>
      <c r="W1721"/>
    </row>
    <row r="1722" spans="10:23" x14ac:dyDescent="0.25">
      <c r="J1722"/>
      <c r="M1722"/>
      <c r="W1722"/>
    </row>
    <row r="1723" spans="10:23" x14ac:dyDescent="0.25">
      <c r="J1723"/>
      <c r="M1723"/>
      <c r="W1723"/>
    </row>
    <row r="1724" spans="10:23" x14ac:dyDescent="0.25">
      <c r="J1724"/>
      <c r="M1724"/>
      <c r="W1724"/>
    </row>
    <row r="1725" spans="10:23" x14ac:dyDescent="0.25">
      <c r="J1725"/>
      <c r="M1725"/>
      <c r="W1725"/>
    </row>
    <row r="1726" spans="10:23" x14ac:dyDescent="0.25">
      <c r="J1726"/>
      <c r="M1726"/>
      <c r="W1726"/>
    </row>
    <row r="1727" spans="10:23" x14ac:dyDescent="0.25">
      <c r="J1727"/>
      <c r="M1727"/>
      <c r="W1727"/>
    </row>
    <row r="1728" spans="10:23" x14ac:dyDescent="0.25">
      <c r="J1728"/>
      <c r="M1728"/>
      <c r="W1728"/>
    </row>
    <row r="1729" spans="10:23" x14ac:dyDescent="0.25">
      <c r="J1729"/>
      <c r="M1729"/>
      <c r="W1729"/>
    </row>
    <row r="1730" spans="10:23" x14ac:dyDescent="0.25">
      <c r="J1730"/>
      <c r="M1730"/>
      <c r="W1730"/>
    </row>
    <row r="1731" spans="10:23" x14ac:dyDescent="0.25">
      <c r="J1731"/>
      <c r="M1731"/>
      <c r="W1731"/>
    </row>
    <row r="1732" spans="10:23" x14ac:dyDescent="0.25">
      <c r="J1732"/>
      <c r="M1732"/>
      <c r="W1732"/>
    </row>
    <row r="1733" spans="10:23" x14ac:dyDescent="0.25">
      <c r="J1733"/>
      <c r="M1733"/>
      <c r="W1733"/>
    </row>
    <row r="1734" spans="10:23" x14ac:dyDescent="0.25">
      <c r="J1734"/>
      <c r="M1734"/>
      <c r="W1734"/>
    </row>
    <row r="1735" spans="10:23" x14ac:dyDescent="0.25">
      <c r="J1735"/>
      <c r="M1735"/>
      <c r="W1735"/>
    </row>
    <row r="1736" spans="10:23" x14ac:dyDescent="0.25">
      <c r="J1736"/>
      <c r="M1736"/>
      <c r="W1736"/>
    </row>
    <row r="1737" spans="10:23" x14ac:dyDescent="0.25">
      <c r="J1737"/>
      <c r="M1737"/>
      <c r="W1737"/>
    </row>
    <row r="1738" spans="10:23" x14ac:dyDescent="0.25">
      <c r="J1738"/>
      <c r="M1738"/>
      <c r="W1738"/>
    </row>
    <row r="1739" spans="10:23" x14ac:dyDescent="0.25">
      <c r="J1739"/>
      <c r="M1739"/>
      <c r="W1739"/>
    </row>
    <row r="1740" spans="10:23" x14ac:dyDescent="0.25">
      <c r="J1740"/>
      <c r="M1740"/>
      <c r="W1740"/>
    </row>
    <row r="1741" spans="10:23" x14ac:dyDescent="0.25">
      <c r="J1741"/>
      <c r="M1741"/>
      <c r="W1741"/>
    </row>
    <row r="1742" spans="10:23" x14ac:dyDescent="0.25">
      <c r="J1742"/>
      <c r="M1742"/>
      <c r="W1742"/>
    </row>
    <row r="1743" spans="10:23" x14ac:dyDescent="0.25">
      <c r="J1743"/>
      <c r="M1743"/>
      <c r="W1743"/>
    </row>
    <row r="1744" spans="10:23" x14ac:dyDescent="0.25">
      <c r="J1744"/>
      <c r="M1744"/>
      <c r="W1744"/>
    </row>
    <row r="1745" spans="10:23" x14ac:dyDescent="0.25">
      <c r="J1745"/>
      <c r="M1745"/>
      <c r="W1745"/>
    </row>
    <row r="1746" spans="10:23" x14ac:dyDescent="0.25">
      <c r="J1746"/>
      <c r="M1746"/>
      <c r="W1746"/>
    </row>
    <row r="1747" spans="10:23" x14ac:dyDescent="0.25">
      <c r="J1747"/>
      <c r="M1747"/>
      <c r="W1747"/>
    </row>
    <row r="1748" spans="10:23" x14ac:dyDescent="0.25">
      <c r="J1748"/>
      <c r="M1748"/>
      <c r="W1748"/>
    </row>
    <row r="1749" spans="10:23" x14ac:dyDescent="0.25">
      <c r="J1749"/>
      <c r="M1749"/>
      <c r="W1749"/>
    </row>
    <row r="1750" spans="10:23" x14ac:dyDescent="0.25">
      <c r="J1750"/>
      <c r="M1750"/>
      <c r="W1750"/>
    </row>
    <row r="1751" spans="10:23" x14ac:dyDescent="0.25">
      <c r="J1751"/>
      <c r="M1751"/>
      <c r="W1751"/>
    </row>
    <row r="1752" spans="10:23" x14ac:dyDescent="0.25">
      <c r="J1752"/>
      <c r="M1752"/>
      <c r="W1752"/>
    </row>
    <row r="1753" spans="10:23" x14ac:dyDescent="0.25">
      <c r="J1753"/>
      <c r="M1753"/>
      <c r="W1753"/>
    </row>
    <row r="1754" spans="10:23" x14ac:dyDescent="0.25">
      <c r="J1754"/>
      <c r="M1754"/>
      <c r="W1754"/>
    </row>
    <row r="1755" spans="10:23" x14ac:dyDescent="0.25">
      <c r="J1755"/>
      <c r="M1755"/>
      <c r="W1755"/>
    </row>
    <row r="1756" spans="10:23" x14ac:dyDescent="0.25">
      <c r="J1756"/>
      <c r="M1756"/>
      <c r="W1756"/>
    </row>
    <row r="1757" spans="10:23" x14ac:dyDescent="0.25">
      <c r="J1757"/>
      <c r="M1757"/>
      <c r="W1757"/>
    </row>
    <row r="1758" spans="10:23" x14ac:dyDescent="0.25">
      <c r="J1758"/>
      <c r="M1758"/>
      <c r="W1758"/>
    </row>
    <row r="1759" spans="10:23" x14ac:dyDescent="0.25">
      <c r="J1759"/>
      <c r="M1759"/>
      <c r="W1759"/>
    </row>
    <row r="1760" spans="10:23" x14ac:dyDescent="0.25">
      <c r="J1760"/>
      <c r="M1760"/>
      <c r="W1760"/>
    </row>
    <row r="1761" spans="10:23" x14ac:dyDescent="0.25">
      <c r="J1761"/>
      <c r="M1761"/>
      <c r="W1761"/>
    </row>
    <row r="1762" spans="10:23" x14ac:dyDescent="0.25">
      <c r="J1762"/>
      <c r="M1762"/>
      <c r="W1762"/>
    </row>
    <row r="1763" spans="10:23" x14ac:dyDescent="0.25">
      <c r="J1763"/>
      <c r="M1763"/>
      <c r="W1763"/>
    </row>
    <row r="1764" spans="10:23" x14ac:dyDescent="0.25">
      <c r="J1764"/>
      <c r="M1764"/>
      <c r="W1764"/>
    </row>
    <row r="1765" spans="10:23" x14ac:dyDescent="0.25">
      <c r="J1765"/>
      <c r="M1765"/>
      <c r="W1765"/>
    </row>
    <row r="1766" spans="10:23" x14ac:dyDescent="0.25">
      <c r="J1766"/>
      <c r="M1766"/>
      <c r="W1766"/>
    </row>
    <row r="1767" spans="10:23" x14ac:dyDescent="0.25">
      <c r="J1767"/>
      <c r="M1767"/>
      <c r="W1767"/>
    </row>
    <row r="1768" spans="10:23" x14ac:dyDescent="0.25">
      <c r="J1768"/>
      <c r="M1768"/>
      <c r="W1768"/>
    </row>
    <row r="1769" spans="10:23" x14ac:dyDescent="0.25">
      <c r="J1769"/>
      <c r="M1769"/>
      <c r="W1769"/>
    </row>
    <row r="1770" spans="10:23" x14ac:dyDescent="0.25">
      <c r="J1770"/>
      <c r="M1770"/>
      <c r="W1770"/>
    </row>
    <row r="1771" spans="10:23" x14ac:dyDescent="0.25">
      <c r="J1771"/>
      <c r="M1771"/>
      <c r="W1771"/>
    </row>
    <row r="1772" spans="10:23" x14ac:dyDescent="0.25">
      <c r="J1772"/>
      <c r="M1772"/>
      <c r="W1772"/>
    </row>
    <row r="1773" spans="10:23" x14ac:dyDescent="0.25">
      <c r="J1773"/>
      <c r="M1773"/>
      <c r="W1773"/>
    </row>
    <row r="1774" spans="10:23" x14ac:dyDescent="0.25">
      <c r="J1774"/>
      <c r="M1774"/>
      <c r="W1774"/>
    </row>
    <row r="1775" spans="10:23" x14ac:dyDescent="0.25">
      <c r="J1775"/>
      <c r="M1775"/>
      <c r="W1775"/>
    </row>
    <row r="1776" spans="10:23" x14ac:dyDescent="0.25">
      <c r="J1776"/>
      <c r="M1776"/>
      <c r="W1776"/>
    </row>
    <row r="1777" spans="10:23" x14ac:dyDescent="0.25">
      <c r="J1777"/>
      <c r="M1777"/>
      <c r="W1777"/>
    </row>
    <row r="1778" spans="10:23" x14ac:dyDescent="0.25">
      <c r="J1778"/>
      <c r="M1778"/>
      <c r="W1778"/>
    </row>
    <row r="1779" spans="10:23" x14ac:dyDescent="0.25">
      <c r="J1779"/>
      <c r="M1779"/>
      <c r="W1779"/>
    </row>
    <row r="1780" spans="10:23" x14ac:dyDescent="0.25">
      <c r="J1780"/>
      <c r="M1780"/>
      <c r="W1780"/>
    </row>
    <row r="1781" spans="10:23" x14ac:dyDescent="0.25">
      <c r="J1781"/>
      <c r="M1781"/>
      <c r="W1781"/>
    </row>
    <row r="1782" spans="10:23" x14ac:dyDescent="0.25">
      <c r="J1782"/>
      <c r="M1782"/>
      <c r="W1782"/>
    </row>
    <row r="1783" spans="10:23" x14ac:dyDescent="0.25">
      <c r="J1783"/>
      <c r="M1783"/>
      <c r="W1783"/>
    </row>
    <row r="1784" spans="10:23" x14ac:dyDescent="0.25">
      <c r="J1784"/>
      <c r="M1784"/>
      <c r="W1784"/>
    </row>
    <row r="1785" spans="10:23" x14ac:dyDescent="0.25">
      <c r="J1785"/>
      <c r="M1785"/>
      <c r="W1785"/>
    </row>
    <row r="1786" spans="10:23" x14ac:dyDescent="0.25">
      <c r="J1786"/>
      <c r="M1786"/>
      <c r="W1786"/>
    </row>
    <row r="1787" spans="10:23" x14ac:dyDescent="0.25">
      <c r="J1787"/>
      <c r="M1787"/>
      <c r="W1787"/>
    </row>
    <row r="1788" spans="10:23" x14ac:dyDescent="0.25">
      <c r="J1788"/>
      <c r="M1788"/>
      <c r="W1788"/>
    </row>
    <row r="1789" spans="10:23" x14ac:dyDescent="0.25">
      <c r="J1789"/>
      <c r="M1789"/>
      <c r="W1789"/>
    </row>
    <row r="1790" spans="10:23" x14ac:dyDescent="0.25">
      <c r="J1790"/>
      <c r="M1790"/>
      <c r="W1790"/>
    </row>
    <row r="1791" spans="10:23" x14ac:dyDescent="0.25">
      <c r="J1791"/>
      <c r="M1791"/>
      <c r="W1791"/>
    </row>
    <row r="1792" spans="10:23" x14ac:dyDescent="0.25">
      <c r="J1792"/>
      <c r="M1792"/>
      <c r="W1792"/>
    </row>
    <row r="1793" spans="10:23" x14ac:dyDescent="0.25">
      <c r="J1793"/>
      <c r="M1793"/>
      <c r="W1793"/>
    </row>
    <row r="1794" spans="10:23" x14ac:dyDescent="0.25">
      <c r="J1794"/>
      <c r="M1794"/>
      <c r="W1794"/>
    </row>
    <row r="1795" spans="10:23" x14ac:dyDescent="0.25">
      <c r="J1795"/>
      <c r="M1795"/>
      <c r="W1795"/>
    </row>
    <row r="1796" spans="10:23" x14ac:dyDescent="0.25">
      <c r="J1796"/>
      <c r="M1796"/>
      <c r="W1796"/>
    </row>
    <row r="1797" spans="10:23" x14ac:dyDescent="0.25">
      <c r="J1797"/>
      <c r="M1797"/>
      <c r="W1797"/>
    </row>
    <row r="1798" spans="10:23" x14ac:dyDescent="0.25">
      <c r="J1798"/>
      <c r="M1798"/>
      <c r="W1798"/>
    </row>
    <row r="1799" spans="10:23" x14ac:dyDescent="0.25">
      <c r="J1799"/>
      <c r="M1799"/>
      <c r="W1799"/>
    </row>
    <row r="1800" spans="10:23" x14ac:dyDescent="0.25">
      <c r="J1800"/>
      <c r="M1800"/>
      <c r="W1800"/>
    </row>
    <row r="1801" spans="10:23" x14ac:dyDescent="0.25">
      <c r="J1801"/>
      <c r="M1801"/>
      <c r="W1801"/>
    </row>
    <row r="1802" spans="10:23" x14ac:dyDescent="0.25">
      <c r="J1802"/>
      <c r="M1802"/>
      <c r="W1802"/>
    </row>
    <row r="1803" spans="10:23" x14ac:dyDescent="0.25">
      <c r="J1803"/>
      <c r="M1803"/>
      <c r="W1803"/>
    </row>
    <row r="1804" spans="10:23" x14ac:dyDescent="0.25">
      <c r="J1804"/>
      <c r="M1804"/>
      <c r="W1804"/>
    </row>
    <row r="1805" spans="10:23" x14ac:dyDescent="0.25">
      <c r="J1805"/>
      <c r="M1805"/>
      <c r="W1805"/>
    </row>
    <row r="1806" spans="10:23" x14ac:dyDescent="0.25">
      <c r="J1806"/>
      <c r="M1806"/>
      <c r="W1806"/>
    </row>
    <row r="1807" spans="10:23" x14ac:dyDescent="0.25">
      <c r="J1807"/>
      <c r="M1807"/>
      <c r="W1807"/>
    </row>
    <row r="1808" spans="10:23" x14ac:dyDescent="0.25">
      <c r="J1808"/>
      <c r="M1808"/>
      <c r="W1808"/>
    </row>
    <row r="1809" spans="10:23" x14ac:dyDescent="0.25">
      <c r="J1809"/>
      <c r="M1809"/>
      <c r="W1809"/>
    </row>
    <row r="1810" spans="10:23" x14ac:dyDescent="0.25">
      <c r="J1810"/>
      <c r="M1810"/>
      <c r="W1810"/>
    </row>
    <row r="1811" spans="10:23" x14ac:dyDescent="0.25">
      <c r="J1811"/>
      <c r="M1811"/>
      <c r="W1811"/>
    </row>
    <row r="1812" spans="10:23" x14ac:dyDescent="0.25">
      <c r="J1812"/>
      <c r="M1812"/>
      <c r="W1812"/>
    </row>
    <row r="1813" spans="10:23" x14ac:dyDescent="0.25">
      <c r="J1813"/>
      <c r="M1813"/>
      <c r="W1813"/>
    </row>
    <row r="1814" spans="10:23" x14ac:dyDescent="0.25">
      <c r="J1814"/>
      <c r="M1814"/>
      <c r="W1814"/>
    </row>
    <row r="1815" spans="10:23" x14ac:dyDescent="0.25">
      <c r="J1815"/>
      <c r="M1815"/>
      <c r="W1815"/>
    </row>
    <row r="1816" spans="10:23" x14ac:dyDescent="0.25">
      <c r="J1816"/>
      <c r="M1816"/>
      <c r="W1816"/>
    </row>
    <row r="1817" spans="10:23" x14ac:dyDescent="0.25">
      <c r="J1817"/>
      <c r="M1817"/>
      <c r="W1817"/>
    </row>
    <row r="1818" spans="10:23" x14ac:dyDescent="0.25">
      <c r="J1818"/>
      <c r="M1818"/>
      <c r="W1818"/>
    </row>
    <row r="1819" spans="10:23" x14ac:dyDescent="0.25">
      <c r="J1819"/>
      <c r="M1819"/>
      <c r="W1819"/>
    </row>
    <row r="1820" spans="10:23" x14ac:dyDescent="0.25">
      <c r="J1820"/>
      <c r="M1820"/>
      <c r="W1820"/>
    </row>
    <row r="1821" spans="10:23" x14ac:dyDescent="0.25">
      <c r="J1821"/>
      <c r="M1821"/>
      <c r="W1821"/>
    </row>
    <row r="1822" spans="10:23" x14ac:dyDescent="0.25">
      <c r="J1822"/>
      <c r="M1822"/>
      <c r="W1822"/>
    </row>
    <row r="1823" spans="10:23" x14ac:dyDescent="0.25">
      <c r="J1823"/>
      <c r="M1823"/>
      <c r="W1823"/>
    </row>
    <row r="1824" spans="10:23" x14ac:dyDescent="0.25">
      <c r="J1824"/>
      <c r="M1824"/>
      <c r="W1824"/>
    </row>
    <row r="1825" spans="10:23" x14ac:dyDescent="0.25">
      <c r="J1825"/>
      <c r="M1825"/>
      <c r="W1825"/>
    </row>
    <row r="1826" spans="10:23" x14ac:dyDescent="0.25">
      <c r="J1826"/>
      <c r="M1826"/>
      <c r="W1826"/>
    </row>
    <row r="1827" spans="10:23" x14ac:dyDescent="0.25">
      <c r="J1827"/>
      <c r="M1827"/>
      <c r="W1827"/>
    </row>
    <row r="1828" spans="10:23" x14ac:dyDescent="0.25">
      <c r="J1828"/>
      <c r="M1828"/>
      <c r="W1828"/>
    </row>
    <row r="1829" spans="10:23" x14ac:dyDescent="0.25">
      <c r="J1829"/>
      <c r="M1829"/>
      <c r="W1829"/>
    </row>
    <row r="1830" spans="10:23" x14ac:dyDescent="0.25">
      <c r="J1830"/>
      <c r="M1830"/>
      <c r="W1830"/>
    </row>
    <row r="1831" spans="10:23" x14ac:dyDescent="0.25">
      <c r="J1831"/>
      <c r="M1831"/>
      <c r="W1831"/>
    </row>
    <row r="1832" spans="10:23" x14ac:dyDescent="0.25">
      <c r="J1832"/>
      <c r="M1832"/>
      <c r="W1832"/>
    </row>
    <row r="1833" spans="10:23" x14ac:dyDescent="0.25">
      <c r="J1833"/>
      <c r="M1833"/>
      <c r="W1833"/>
    </row>
    <row r="1834" spans="10:23" x14ac:dyDescent="0.25">
      <c r="J1834"/>
      <c r="M1834"/>
      <c r="W1834"/>
    </row>
    <row r="1835" spans="10:23" x14ac:dyDescent="0.25">
      <c r="J1835"/>
      <c r="M1835"/>
      <c r="W1835"/>
    </row>
    <row r="1836" spans="10:23" x14ac:dyDescent="0.25">
      <c r="J1836"/>
      <c r="M1836"/>
      <c r="W1836"/>
    </row>
    <row r="1837" spans="10:23" x14ac:dyDescent="0.25">
      <c r="J1837"/>
      <c r="M1837"/>
      <c r="W1837"/>
    </row>
    <row r="1838" spans="10:23" x14ac:dyDescent="0.25">
      <c r="J1838"/>
      <c r="M1838"/>
      <c r="W1838"/>
    </row>
    <row r="1839" spans="10:23" x14ac:dyDescent="0.25">
      <c r="J1839"/>
      <c r="M1839"/>
      <c r="W1839"/>
    </row>
    <row r="1840" spans="10:23" x14ac:dyDescent="0.25">
      <c r="J1840"/>
      <c r="M1840"/>
      <c r="W1840"/>
    </row>
    <row r="1841" spans="10:23" x14ac:dyDescent="0.25">
      <c r="J1841"/>
      <c r="M1841"/>
      <c r="W1841"/>
    </row>
    <row r="1842" spans="10:23" x14ac:dyDescent="0.25">
      <c r="J1842"/>
      <c r="M1842"/>
      <c r="W1842"/>
    </row>
    <row r="1843" spans="10:23" x14ac:dyDescent="0.25">
      <c r="J1843"/>
      <c r="M1843"/>
      <c r="W1843"/>
    </row>
    <row r="1844" spans="10:23" x14ac:dyDescent="0.25">
      <c r="J1844"/>
      <c r="M1844"/>
      <c r="W1844"/>
    </row>
    <row r="1845" spans="10:23" x14ac:dyDescent="0.25">
      <c r="J1845"/>
      <c r="M1845"/>
      <c r="W1845"/>
    </row>
    <row r="1846" spans="10:23" x14ac:dyDescent="0.25">
      <c r="J1846"/>
      <c r="M1846"/>
      <c r="W1846"/>
    </row>
    <row r="1847" spans="10:23" x14ac:dyDescent="0.25">
      <c r="J1847"/>
      <c r="M1847"/>
      <c r="W1847"/>
    </row>
    <row r="1848" spans="10:23" x14ac:dyDescent="0.25">
      <c r="J1848"/>
      <c r="M1848"/>
      <c r="W1848"/>
    </row>
    <row r="1849" spans="10:23" x14ac:dyDescent="0.25">
      <c r="J1849"/>
      <c r="M1849"/>
      <c r="W1849"/>
    </row>
    <row r="1850" spans="10:23" x14ac:dyDescent="0.25">
      <c r="J1850"/>
      <c r="M1850"/>
      <c r="W1850"/>
    </row>
    <row r="1851" spans="10:23" x14ac:dyDescent="0.25">
      <c r="J1851"/>
      <c r="M1851"/>
      <c r="W1851"/>
    </row>
    <row r="1852" spans="10:23" x14ac:dyDescent="0.25">
      <c r="J1852"/>
      <c r="M1852"/>
      <c r="W1852"/>
    </row>
    <row r="1853" spans="10:23" x14ac:dyDescent="0.25">
      <c r="J1853"/>
      <c r="M1853"/>
      <c r="W1853"/>
    </row>
    <row r="1854" spans="10:23" x14ac:dyDescent="0.25">
      <c r="J1854"/>
      <c r="M1854"/>
      <c r="W1854"/>
    </row>
    <row r="1855" spans="10:23" x14ac:dyDescent="0.25">
      <c r="J1855"/>
      <c r="M1855"/>
      <c r="W1855"/>
    </row>
    <row r="1856" spans="10:23" x14ac:dyDescent="0.25">
      <c r="J1856"/>
      <c r="M1856"/>
      <c r="W1856"/>
    </row>
    <row r="1857" spans="10:23" x14ac:dyDescent="0.25">
      <c r="J1857"/>
      <c r="M1857"/>
      <c r="W1857"/>
    </row>
    <row r="1858" spans="10:23" x14ac:dyDescent="0.25">
      <c r="J1858"/>
      <c r="M1858"/>
      <c r="W1858"/>
    </row>
    <row r="1859" spans="10:23" x14ac:dyDescent="0.25">
      <c r="J1859"/>
      <c r="M1859"/>
      <c r="W1859"/>
    </row>
    <row r="1860" spans="10:23" x14ac:dyDescent="0.25">
      <c r="J1860"/>
      <c r="M1860"/>
      <c r="W1860"/>
    </row>
    <row r="1861" spans="10:23" x14ac:dyDescent="0.25">
      <c r="J1861"/>
      <c r="M1861"/>
      <c r="W1861"/>
    </row>
    <row r="1862" spans="10:23" x14ac:dyDescent="0.25">
      <c r="J1862"/>
      <c r="M1862"/>
      <c r="W1862"/>
    </row>
    <row r="1863" spans="10:23" x14ac:dyDescent="0.25">
      <c r="J1863"/>
      <c r="M1863"/>
      <c r="W1863"/>
    </row>
    <row r="1864" spans="10:23" x14ac:dyDescent="0.25">
      <c r="J1864"/>
      <c r="M1864"/>
      <c r="W1864"/>
    </row>
    <row r="1865" spans="10:23" x14ac:dyDescent="0.25">
      <c r="J1865"/>
      <c r="M1865"/>
      <c r="W1865"/>
    </row>
    <row r="1866" spans="10:23" x14ac:dyDescent="0.25">
      <c r="J1866"/>
      <c r="M1866"/>
      <c r="W1866"/>
    </row>
    <row r="1867" spans="10:23" x14ac:dyDescent="0.25">
      <c r="J1867"/>
      <c r="M1867"/>
      <c r="W1867"/>
    </row>
    <row r="1868" spans="10:23" x14ac:dyDescent="0.25">
      <c r="J1868"/>
      <c r="M1868"/>
      <c r="W1868"/>
    </row>
    <row r="1869" spans="10:23" x14ac:dyDescent="0.25">
      <c r="J1869"/>
      <c r="M1869"/>
      <c r="W1869"/>
    </row>
    <row r="1870" spans="10:23" x14ac:dyDescent="0.25">
      <c r="J1870"/>
      <c r="M1870"/>
      <c r="W1870"/>
    </row>
    <row r="1871" spans="10:23" x14ac:dyDescent="0.25">
      <c r="J1871"/>
      <c r="M1871"/>
      <c r="W1871"/>
    </row>
    <row r="1872" spans="10:23" x14ac:dyDescent="0.25">
      <c r="J1872"/>
      <c r="M1872"/>
      <c r="W1872"/>
    </row>
    <row r="1873" spans="10:23" x14ac:dyDescent="0.25">
      <c r="J1873"/>
      <c r="M1873"/>
      <c r="W1873"/>
    </row>
    <row r="1874" spans="10:23" x14ac:dyDescent="0.25">
      <c r="J1874"/>
      <c r="M1874"/>
      <c r="W1874"/>
    </row>
    <row r="1875" spans="10:23" x14ac:dyDescent="0.25">
      <c r="J1875"/>
      <c r="M1875"/>
      <c r="W1875"/>
    </row>
    <row r="1876" spans="10:23" x14ac:dyDescent="0.25">
      <c r="J1876"/>
      <c r="M1876"/>
      <c r="W1876"/>
    </row>
    <row r="1877" spans="10:23" x14ac:dyDescent="0.25">
      <c r="J1877"/>
      <c r="M1877"/>
      <c r="W1877"/>
    </row>
    <row r="1878" spans="10:23" x14ac:dyDescent="0.25">
      <c r="J1878"/>
      <c r="M1878"/>
      <c r="W1878"/>
    </row>
    <row r="1879" spans="10:23" x14ac:dyDescent="0.25">
      <c r="J1879"/>
      <c r="M1879"/>
      <c r="W1879"/>
    </row>
    <row r="1880" spans="10:23" x14ac:dyDescent="0.25">
      <c r="J1880"/>
      <c r="M1880"/>
      <c r="W1880"/>
    </row>
    <row r="1881" spans="10:23" x14ac:dyDescent="0.25">
      <c r="J1881"/>
      <c r="M1881"/>
      <c r="W1881"/>
    </row>
    <row r="1882" spans="10:23" x14ac:dyDescent="0.25">
      <c r="J1882"/>
      <c r="M1882"/>
      <c r="W1882"/>
    </row>
    <row r="1883" spans="10:23" x14ac:dyDescent="0.25">
      <c r="J1883"/>
      <c r="M1883"/>
      <c r="W1883"/>
    </row>
    <row r="1884" spans="10:23" x14ac:dyDescent="0.25">
      <c r="J1884"/>
      <c r="M1884"/>
      <c r="W1884"/>
    </row>
    <row r="1885" spans="10:23" x14ac:dyDescent="0.25">
      <c r="J1885"/>
      <c r="M1885"/>
      <c r="W1885"/>
    </row>
    <row r="1886" spans="10:23" x14ac:dyDescent="0.25">
      <c r="J1886"/>
      <c r="M1886"/>
      <c r="W1886"/>
    </row>
    <row r="1887" spans="10:23" x14ac:dyDescent="0.25">
      <c r="J1887"/>
      <c r="M1887"/>
      <c r="W1887"/>
    </row>
    <row r="1888" spans="10:23" x14ac:dyDescent="0.25">
      <c r="J1888"/>
      <c r="M1888"/>
      <c r="W1888"/>
    </row>
    <row r="1889" spans="10:23" x14ac:dyDescent="0.25">
      <c r="J1889"/>
      <c r="M1889"/>
      <c r="W1889"/>
    </row>
    <row r="1890" spans="10:23" x14ac:dyDescent="0.25">
      <c r="J1890"/>
      <c r="M1890"/>
      <c r="W1890"/>
    </row>
    <row r="1891" spans="10:23" x14ac:dyDescent="0.25">
      <c r="J1891"/>
      <c r="M1891"/>
      <c r="W1891"/>
    </row>
    <row r="1892" spans="10:23" x14ac:dyDescent="0.25">
      <c r="J1892"/>
      <c r="M1892"/>
      <c r="W1892"/>
    </row>
    <row r="1893" spans="10:23" x14ac:dyDescent="0.25">
      <c r="J1893"/>
      <c r="M1893"/>
      <c r="W1893"/>
    </row>
    <row r="1894" spans="10:23" x14ac:dyDescent="0.25">
      <c r="J1894"/>
      <c r="M1894"/>
      <c r="W1894"/>
    </row>
    <row r="1895" spans="10:23" x14ac:dyDescent="0.25">
      <c r="J1895"/>
      <c r="M1895"/>
      <c r="W1895"/>
    </row>
    <row r="1896" spans="10:23" x14ac:dyDescent="0.25">
      <c r="J1896"/>
      <c r="M1896"/>
      <c r="W1896"/>
    </row>
    <row r="1897" spans="10:23" x14ac:dyDescent="0.25">
      <c r="J1897"/>
      <c r="M1897"/>
      <c r="W1897"/>
    </row>
    <row r="1898" spans="10:23" x14ac:dyDescent="0.25">
      <c r="J1898"/>
      <c r="M1898"/>
      <c r="W1898"/>
    </row>
    <row r="1899" spans="10:23" x14ac:dyDescent="0.25">
      <c r="J1899"/>
      <c r="M1899"/>
      <c r="W1899"/>
    </row>
    <row r="1900" spans="10:23" x14ac:dyDescent="0.25">
      <c r="J1900"/>
      <c r="M1900"/>
      <c r="W1900"/>
    </row>
    <row r="1901" spans="10:23" x14ac:dyDescent="0.25">
      <c r="J1901"/>
      <c r="M1901"/>
      <c r="W1901"/>
    </row>
    <row r="1902" spans="10:23" x14ac:dyDescent="0.25">
      <c r="J1902"/>
      <c r="M1902"/>
      <c r="W1902"/>
    </row>
    <row r="1903" spans="10:23" x14ac:dyDescent="0.25">
      <c r="J1903"/>
      <c r="M1903"/>
      <c r="W1903"/>
    </row>
    <row r="1904" spans="10:23" x14ac:dyDescent="0.25">
      <c r="J1904"/>
      <c r="M1904"/>
      <c r="W1904"/>
    </row>
    <row r="1905" spans="10:23" x14ac:dyDescent="0.25">
      <c r="J1905"/>
      <c r="M1905"/>
      <c r="W1905"/>
    </row>
    <row r="1906" spans="10:23" x14ac:dyDescent="0.25">
      <c r="J1906"/>
      <c r="M1906"/>
      <c r="W1906"/>
    </row>
    <row r="1907" spans="10:23" x14ac:dyDescent="0.25">
      <c r="J1907"/>
      <c r="M1907"/>
      <c r="W1907"/>
    </row>
    <row r="1908" spans="10:23" x14ac:dyDescent="0.25">
      <c r="J1908"/>
      <c r="M1908"/>
      <c r="W1908"/>
    </row>
    <row r="1909" spans="10:23" x14ac:dyDescent="0.25">
      <c r="J1909"/>
      <c r="M1909"/>
      <c r="W1909"/>
    </row>
    <row r="1910" spans="10:23" x14ac:dyDescent="0.25">
      <c r="J1910"/>
      <c r="M1910"/>
      <c r="W1910"/>
    </row>
    <row r="1911" spans="10:23" x14ac:dyDescent="0.25">
      <c r="J1911"/>
      <c r="M1911"/>
      <c r="W1911"/>
    </row>
    <row r="1912" spans="10:23" x14ac:dyDescent="0.25">
      <c r="J1912"/>
      <c r="M1912"/>
      <c r="W1912"/>
    </row>
    <row r="1913" spans="10:23" x14ac:dyDescent="0.25">
      <c r="J1913"/>
      <c r="M1913"/>
      <c r="W1913"/>
    </row>
    <row r="1914" spans="10:23" x14ac:dyDescent="0.25">
      <c r="J1914"/>
      <c r="M1914"/>
      <c r="W1914"/>
    </row>
    <row r="1915" spans="10:23" x14ac:dyDescent="0.25">
      <c r="J1915"/>
      <c r="M1915"/>
      <c r="W1915"/>
    </row>
    <row r="1916" spans="10:23" x14ac:dyDescent="0.25">
      <c r="J1916"/>
      <c r="M1916"/>
      <c r="W1916"/>
    </row>
    <row r="1917" spans="10:23" x14ac:dyDescent="0.25">
      <c r="J1917"/>
      <c r="M1917"/>
      <c r="W1917"/>
    </row>
    <row r="1918" spans="10:23" x14ac:dyDescent="0.25">
      <c r="J1918"/>
      <c r="M1918"/>
      <c r="W1918"/>
    </row>
    <row r="1919" spans="10:23" x14ac:dyDescent="0.25">
      <c r="J1919"/>
      <c r="M1919"/>
      <c r="W1919"/>
    </row>
    <row r="1920" spans="10:23" x14ac:dyDescent="0.25">
      <c r="J1920"/>
      <c r="M1920"/>
      <c r="W1920"/>
    </row>
    <row r="1921" spans="10:23" x14ac:dyDescent="0.25">
      <c r="J1921"/>
      <c r="M1921"/>
      <c r="W1921"/>
    </row>
    <row r="1922" spans="10:23" x14ac:dyDescent="0.25">
      <c r="J1922"/>
      <c r="M1922"/>
      <c r="W1922"/>
    </row>
    <row r="1923" spans="10:23" x14ac:dyDescent="0.25">
      <c r="J1923"/>
      <c r="M1923"/>
      <c r="W1923"/>
    </row>
    <row r="1924" spans="10:23" x14ac:dyDescent="0.25">
      <c r="J1924"/>
      <c r="M1924"/>
      <c r="W1924"/>
    </row>
    <row r="1925" spans="10:23" x14ac:dyDescent="0.25">
      <c r="J1925"/>
      <c r="M1925"/>
      <c r="W1925"/>
    </row>
    <row r="1926" spans="10:23" x14ac:dyDescent="0.25">
      <c r="J1926"/>
      <c r="M1926"/>
      <c r="W1926"/>
    </row>
    <row r="1927" spans="10:23" x14ac:dyDescent="0.25">
      <c r="J1927"/>
      <c r="M1927"/>
      <c r="W1927"/>
    </row>
    <row r="1928" spans="10:23" x14ac:dyDescent="0.25">
      <c r="J1928"/>
      <c r="M1928"/>
      <c r="W1928"/>
    </row>
    <row r="1929" spans="10:23" x14ac:dyDescent="0.25">
      <c r="J1929"/>
      <c r="M1929"/>
      <c r="W1929"/>
    </row>
    <row r="1930" spans="10:23" x14ac:dyDescent="0.25">
      <c r="J1930"/>
      <c r="M1930"/>
      <c r="W1930"/>
    </row>
    <row r="1931" spans="10:23" x14ac:dyDescent="0.25">
      <c r="J1931"/>
      <c r="M1931"/>
      <c r="W1931"/>
    </row>
    <row r="1932" spans="10:23" x14ac:dyDescent="0.25">
      <c r="J1932"/>
      <c r="M1932"/>
      <c r="W1932"/>
    </row>
    <row r="1933" spans="10:23" x14ac:dyDescent="0.25">
      <c r="J1933"/>
      <c r="M1933"/>
      <c r="W1933"/>
    </row>
    <row r="1934" spans="10:23" x14ac:dyDescent="0.25">
      <c r="J1934"/>
      <c r="M1934"/>
      <c r="W1934"/>
    </row>
    <row r="1935" spans="10:23" x14ac:dyDescent="0.25">
      <c r="J1935"/>
      <c r="M1935"/>
      <c r="W1935"/>
    </row>
    <row r="1936" spans="10:23" x14ac:dyDescent="0.25">
      <c r="J1936"/>
      <c r="M1936"/>
      <c r="W1936"/>
    </row>
    <row r="1937" spans="10:23" x14ac:dyDescent="0.25">
      <c r="J1937"/>
      <c r="M1937"/>
      <c r="W1937"/>
    </row>
    <row r="1938" spans="10:23" x14ac:dyDescent="0.25">
      <c r="J1938"/>
      <c r="M1938"/>
      <c r="W1938"/>
    </row>
    <row r="1939" spans="10:23" x14ac:dyDescent="0.25">
      <c r="J1939"/>
      <c r="M1939"/>
      <c r="W1939"/>
    </row>
    <row r="1940" spans="10:23" x14ac:dyDescent="0.25">
      <c r="J1940"/>
      <c r="M1940"/>
      <c r="W1940"/>
    </row>
    <row r="1941" spans="10:23" x14ac:dyDescent="0.25">
      <c r="J1941"/>
      <c r="M1941"/>
      <c r="W1941"/>
    </row>
    <row r="1942" spans="10:23" x14ac:dyDescent="0.25">
      <c r="J1942"/>
      <c r="M1942"/>
      <c r="W1942"/>
    </row>
    <row r="1943" spans="10:23" x14ac:dyDescent="0.25">
      <c r="J1943"/>
      <c r="M1943"/>
      <c r="W1943"/>
    </row>
    <row r="1944" spans="10:23" x14ac:dyDescent="0.25">
      <c r="J1944"/>
      <c r="M1944"/>
      <c r="W1944"/>
    </row>
    <row r="1945" spans="10:23" x14ac:dyDescent="0.25">
      <c r="J1945"/>
      <c r="M1945"/>
      <c r="W1945"/>
    </row>
    <row r="1946" spans="10:23" x14ac:dyDescent="0.25">
      <c r="J1946"/>
      <c r="M1946"/>
      <c r="W1946"/>
    </row>
    <row r="1947" spans="10:23" x14ac:dyDescent="0.25">
      <c r="J1947"/>
      <c r="M1947"/>
      <c r="W1947"/>
    </row>
    <row r="1948" spans="10:23" x14ac:dyDescent="0.25">
      <c r="J1948"/>
      <c r="M1948"/>
      <c r="W1948"/>
    </row>
    <row r="1949" spans="10:23" x14ac:dyDescent="0.25">
      <c r="J1949"/>
      <c r="M1949"/>
      <c r="W1949"/>
    </row>
    <row r="1950" spans="10:23" x14ac:dyDescent="0.25">
      <c r="J1950"/>
      <c r="M1950"/>
      <c r="W1950"/>
    </row>
    <row r="1951" spans="10:23" x14ac:dyDescent="0.25">
      <c r="J1951"/>
      <c r="M1951"/>
      <c r="W1951"/>
    </row>
    <row r="1952" spans="10:23" x14ac:dyDescent="0.25">
      <c r="J1952"/>
      <c r="M1952"/>
      <c r="W1952"/>
    </row>
    <row r="1953" spans="10:23" x14ac:dyDescent="0.25">
      <c r="J1953"/>
      <c r="M1953"/>
      <c r="W1953"/>
    </row>
    <row r="1954" spans="10:23" x14ac:dyDescent="0.25">
      <c r="J1954"/>
      <c r="M1954"/>
      <c r="W1954"/>
    </row>
    <row r="1955" spans="10:23" x14ac:dyDescent="0.25">
      <c r="J1955"/>
      <c r="M1955"/>
      <c r="W1955"/>
    </row>
    <row r="1956" spans="10:23" x14ac:dyDescent="0.25">
      <c r="J1956"/>
      <c r="M1956"/>
      <c r="W1956"/>
    </row>
    <row r="1957" spans="10:23" x14ac:dyDescent="0.25">
      <c r="J1957"/>
      <c r="M1957"/>
      <c r="W1957"/>
    </row>
    <row r="1958" spans="10:23" x14ac:dyDescent="0.25">
      <c r="J1958"/>
      <c r="M1958"/>
      <c r="W1958"/>
    </row>
    <row r="1959" spans="10:23" x14ac:dyDescent="0.25">
      <c r="J1959"/>
      <c r="M1959"/>
      <c r="W1959"/>
    </row>
    <row r="1960" spans="10:23" x14ac:dyDescent="0.25">
      <c r="J1960"/>
      <c r="M1960"/>
      <c r="W1960"/>
    </row>
    <row r="1961" spans="10:23" x14ac:dyDescent="0.25">
      <c r="J1961"/>
      <c r="M1961"/>
      <c r="W1961"/>
    </row>
    <row r="1962" spans="10:23" x14ac:dyDescent="0.25">
      <c r="J1962"/>
      <c r="M1962"/>
      <c r="W1962"/>
    </row>
    <row r="1963" spans="10:23" x14ac:dyDescent="0.25">
      <c r="J1963"/>
      <c r="M1963"/>
      <c r="W1963"/>
    </row>
    <row r="1964" spans="10:23" x14ac:dyDescent="0.25">
      <c r="J1964"/>
      <c r="M1964"/>
      <c r="W1964"/>
    </row>
    <row r="1965" spans="10:23" x14ac:dyDescent="0.25">
      <c r="J1965"/>
      <c r="M1965"/>
      <c r="W1965"/>
    </row>
    <row r="1966" spans="10:23" x14ac:dyDescent="0.25">
      <c r="J1966"/>
      <c r="M1966"/>
      <c r="W1966"/>
    </row>
    <row r="1967" spans="10:23" x14ac:dyDescent="0.25">
      <c r="J1967"/>
      <c r="M1967"/>
      <c r="W1967"/>
    </row>
    <row r="1968" spans="10:23" x14ac:dyDescent="0.25">
      <c r="J1968"/>
      <c r="M1968"/>
      <c r="W1968"/>
    </row>
    <row r="1969" spans="10:23" x14ac:dyDescent="0.25">
      <c r="J1969"/>
      <c r="M1969"/>
      <c r="W1969"/>
    </row>
    <row r="1970" spans="10:23" x14ac:dyDescent="0.25">
      <c r="J1970"/>
      <c r="M1970"/>
      <c r="W1970"/>
    </row>
    <row r="1971" spans="10:23" x14ac:dyDescent="0.25">
      <c r="J1971"/>
      <c r="M1971"/>
      <c r="W1971"/>
    </row>
    <row r="1972" spans="10:23" x14ac:dyDescent="0.25">
      <c r="J1972"/>
      <c r="M1972"/>
      <c r="W1972"/>
    </row>
    <row r="1973" spans="10:23" x14ac:dyDescent="0.25">
      <c r="J1973"/>
      <c r="M1973"/>
      <c r="W1973"/>
    </row>
    <row r="1974" spans="10:23" x14ac:dyDescent="0.25">
      <c r="J1974"/>
      <c r="M1974"/>
      <c r="W1974"/>
    </row>
    <row r="1975" spans="10:23" x14ac:dyDescent="0.25">
      <c r="J1975"/>
      <c r="M1975"/>
      <c r="W1975"/>
    </row>
    <row r="1976" spans="10:23" x14ac:dyDescent="0.25">
      <c r="J1976"/>
      <c r="M1976"/>
      <c r="W1976"/>
    </row>
    <row r="1977" spans="10:23" x14ac:dyDescent="0.25">
      <c r="J1977"/>
      <c r="M1977"/>
      <c r="W1977"/>
    </row>
    <row r="1978" spans="10:23" x14ac:dyDescent="0.25">
      <c r="J1978"/>
      <c r="M1978"/>
      <c r="W1978"/>
    </row>
    <row r="1979" spans="10:23" x14ac:dyDescent="0.25">
      <c r="J1979"/>
      <c r="M1979"/>
      <c r="W1979"/>
    </row>
    <row r="1980" spans="10:23" x14ac:dyDescent="0.25">
      <c r="J1980"/>
      <c r="M1980"/>
      <c r="W1980"/>
    </row>
    <row r="1981" spans="10:23" x14ac:dyDescent="0.25">
      <c r="J1981"/>
      <c r="M1981"/>
      <c r="W1981"/>
    </row>
    <row r="1982" spans="10:23" x14ac:dyDescent="0.25">
      <c r="J1982"/>
      <c r="M1982"/>
      <c r="W1982"/>
    </row>
    <row r="1983" spans="10:23" x14ac:dyDescent="0.25">
      <c r="J1983"/>
      <c r="M1983"/>
      <c r="W1983"/>
    </row>
    <row r="1984" spans="10:23" x14ac:dyDescent="0.25">
      <c r="J1984"/>
      <c r="M1984"/>
      <c r="W1984"/>
    </row>
    <row r="1985" spans="10:23" x14ac:dyDescent="0.25">
      <c r="J1985"/>
      <c r="M1985"/>
      <c r="W1985"/>
    </row>
    <row r="1986" spans="10:23" x14ac:dyDescent="0.25">
      <c r="J1986"/>
      <c r="M1986"/>
      <c r="W1986"/>
    </row>
    <row r="1987" spans="10:23" x14ac:dyDescent="0.25">
      <c r="J1987"/>
      <c r="M1987"/>
      <c r="W1987"/>
    </row>
    <row r="1988" spans="10:23" x14ac:dyDescent="0.25">
      <c r="J1988"/>
      <c r="M1988"/>
      <c r="W1988"/>
    </row>
    <row r="1989" spans="10:23" x14ac:dyDescent="0.25">
      <c r="J1989"/>
      <c r="M1989"/>
      <c r="W1989"/>
    </row>
    <row r="1990" spans="10:23" x14ac:dyDescent="0.25">
      <c r="J1990"/>
      <c r="M1990"/>
      <c r="W1990"/>
    </row>
    <row r="1991" spans="10:23" x14ac:dyDescent="0.25">
      <c r="J1991"/>
      <c r="M1991"/>
      <c r="W1991"/>
    </row>
    <row r="1992" spans="10:23" x14ac:dyDescent="0.25">
      <c r="J1992"/>
      <c r="M1992"/>
      <c r="W1992"/>
    </row>
    <row r="1993" spans="10:23" x14ac:dyDescent="0.25">
      <c r="J1993"/>
      <c r="M1993"/>
      <c r="W1993"/>
    </row>
    <row r="1994" spans="10:23" x14ac:dyDescent="0.25">
      <c r="J1994"/>
      <c r="M1994"/>
      <c r="W1994"/>
    </row>
    <row r="1995" spans="10:23" x14ac:dyDescent="0.25">
      <c r="J1995"/>
      <c r="M1995"/>
      <c r="W1995"/>
    </row>
    <row r="1996" spans="10:23" x14ac:dyDescent="0.25">
      <c r="J1996"/>
      <c r="M1996"/>
      <c r="W1996"/>
    </row>
    <row r="1997" spans="10:23" x14ac:dyDescent="0.25">
      <c r="J1997"/>
      <c r="M1997"/>
      <c r="W1997"/>
    </row>
    <row r="1998" spans="10:23" x14ac:dyDescent="0.25">
      <c r="J1998"/>
      <c r="M1998"/>
      <c r="W1998"/>
    </row>
    <row r="1999" spans="10:23" x14ac:dyDescent="0.25">
      <c r="J1999"/>
      <c r="M1999"/>
      <c r="W1999"/>
    </row>
    <row r="2000" spans="10:23" x14ac:dyDescent="0.25">
      <c r="J2000"/>
      <c r="M2000"/>
      <c r="W2000"/>
    </row>
    <row r="2001" spans="10:23" x14ac:dyDescent="0.25">
      <c r="J2001"/>
      <c r="M2001"/>
      <c r="W2001"/>
    </row>
    <row r="2002" spans="10:23" x14ac:dyDescent="0.25">
      <c r="J2002"/>
      <c r="M2002"/>
      <c r="W2002"/>
    </row>
    <row r="2003" spans="10:23" x14ac:dyDescent="0.25">
      <c r="J2003"/>
      <c r="M2003"/>
      <c r="W2003"/>
    </row>
    <row r="2004" spans="10:23" x14ac:dyDescent="0.25">
      <c r="J2004"/>
      <c r="M2004"/>
      <c r="W2004"/>
    </row>
    <row r="2005" spans="10:23" x14ac:dyDescent="0.25">
      <c r="J2005"/>
      <c r="M2005"/>
      <c r="W2005"/>
    </row>
    <row r="2006" spans="10:23" x14ac:dyDescent="0.25">
      <c r="J2006"/>
      <c r="M2006"/>
      <c r="W2006"/>
    </row>
    <row r="2007" spans="10:23" x14ac:dyDescent="0.25">
      <c r="J2007"/>
      <c r="M2007"/>
      <c r="W2007"/>
    </row>
    <row r="2008" spans="10:23" x14ac:dyDescent="0.25">
      <c r="J2008"/>
      <c r="M2008"/>
      <c r="W2008"/>
    </row>
    <row r="2009" spans="10:23" x14ac:dyDescent="0.25">
      <c r="J2009"/>
      <c r="M2009"/>
      <c r="W2009"/>
    </row>
    <row r="2010" spans="10:23" x14ac:dyDescent="0.25">
      <c r="J2010"/>
      <c r="M2010"/>
      <c r="W2010"/>
    </row>
    <row r="2011" spans="10:23" x14ac:dyDescent="0.25">
      <c r="J2011"/>
      <c r="M2011"/>
      <c r="W2011"/>
    </row>
    <row r="2012" spans="10:23" x14ac:dyDescent="0.25">
      <c r="J2012"/>
      <c r="M2012"/>
      <c r="W2012"/>
    </row>
    <row r="2013" spans="10:23" x14ac:dyDescent="0.25">
      <c r="J2013"/>
      <c r="M2013"/>
      <c r="W2013"/>
    </row>
    <row r="2014" spans="10:23" x14ac:dyDescent="0.25">
      <c r="J2014"/>
      <c r="M2014"/>
      <c r="W2014"/>
    </row>
    <row r="2015" spans="10:23" x14ac:dyDescent="0.25">
      <c r="J2015"/>
      <c r="M2015"/>
      <c r="W2015"/>
    </row>
    <row r="2016" spans="10:23" x14ac:dyDescent="0.25">
      <c r="J2016"/>
      <c r="M2016"/>
      <c r="W2016"/>
    </row>
    <row r="2017" spans="10:23" x14ac:dyDescent="0.25">
      <c r="J2017"/>
      <c r="M2017"/>
      <c r="W2017"/>
    </row>
    <row r="2018" spans="10:23" x14ac:dyDescent="0.25">
      <c r="J2018"/>
      <c r="M2018"/>
      <c r="W2018"/>
    </row>
    <row r="2019" spans="10:23" x14ac:dyDescent="0.25">
      <c r="J2019"/>
      <c r="M2019"/>
      <c r="W2019"/>
    </row>
    <row r="2020" spans="10:23" x14ac:dyDescent="0.25">
      <c r="J2020"/>
      <c r="M2020"/>
      <c r="W2020"/>
    </row>
    <row r="2021" spans="10:23" x14ac:dyDescent="0.25">
      <c r="J2021"/>
      <c r="M2021"/>
      <c r="W2021"/>
    </row>
    <row r="2022" spans="10:23" x14ac:dyDescent="0.25">
      <c r="J2022"/>
      <c r="M2022"/>
      <c r="W2022"/>
    </row>
    <row r="2023" spans="10:23" x14ac:dyDescent="0.25">
      <c r="J2023"/>
      <c r="M2023"/>
      <c r="W2023"/>
    </row>
    <row r="2024" spans="10:23" x14ac:dyDescent="0.25">
      <c r="J2024"/>
      <c r="M2024"/>
      <c r="W2024"/>
    </row>
    <row r="2025" spans="10:23" x14ac:dyDescent="0.25">
      <c r="J2025"/>
      <c r="M2025"/>
      <c r="W2025"/>
    </row>
    <row r="2026" spans="10:23" x14ac:dyDescent="0.25">
      <c r="J2026"/>
      <c r="M2026"/>
      <c r="W2026"/>
    </row>
    <row r="2027" spans="10:23" x14ac:dyDescent="0.25">
      <c r="J2027"/>
      <c r="M2027"/>
      <c r="W2027"/>
    </row>
    <row r="2028" spans="10:23" x14ac:dyDescent="0.25">
      <c r="J2028"/>
      <c r="M2028"/>
      <c r="W2028"/>
    </row>
    <row r="2029" spans="10:23" x14ac:dyDescent="0.25">
      <c r="J2029"/>
      <c r="M2029"/>
      <c r="W2029"/>
    </row>
    <row r="2030" spans="10:23" x14ac:dyDescent="0.25">
      <c r="J2030"/>
      <c r="M2030"/>
      <c r="W2030"/>
    </row>
    <row r="2031" spans="10:23" x14ac:dyDescent="0.25">
      <c r="J2031"/>
      <c r="M2031"/>
      <c r="W2031"/>
    </row>
    <row r="2032" spans="10:23" x14ac:dyDescent="0.25">
      <c r="J2032"/>
      <c r="M2032"/>
      <c r="W2032"/>
    </row>
    <row r="2033" spans="10:23" x14ac:dyDescent="0.25">
      <c r="J2033"/>
      <c r="M2033"/>
      <c r="W2033"/>
    </row>
    <row r="2034" spans="10:23" x14ac:dyDescent="0.25">
      <c r="J2034"/>
      <c r="M2034"/>
      <c r="W2034"/>
    </row>
    <row r="2035" spans="10:23" x14ac:dyDescent="0.25">
      <c r="J2035"/>
      <c r="M2035"/>
      <c r="W2035"/>
    </row>
    <row r="2036" spans="10:23" x14ac:dyDescent="0.25">
      <c r="J2036"/>
      <c r="M2036"/>
      <c r="W2036"/>
    </row>
    <row r="2037" spans="10:23" x14ac:dyDescent="0.25">
      <c r="J2037"/>
      <c r="M2037"/>
      <c r="W2037"/>
    </row>
    <row r="2038" spans="10:23" x14ac:dyDescent="0.25">
      <c r="J2038"/>
      <c r="M2038"/>
      <c r="W2038"/>
    </row>
    <row r="2039" spans="10:23" x14ac:dyDescent="0.25">
      <c r="J2039"/>
      <c r="M2039"/>
      <c r="W2039"/>
    </row>
    <row r="2040" spans="10:23" x14ac:dyDescent="0.25">
      <c r="J2040"/>
      <c r="M2040"/>
      <c r="W2040"/>
    </row>
    <row r="2041" spans="10:23" x14ac:dyDescent="0.25">
      <c r="J2041"/>
      <c r="M2041"/>
      <c r="W2041"/>
    </row>
    <row r="2042" spans="10:23" x14ac:dyDescent="0.25">
      <c r="J2042"/>
      <c r="M2042"/>
      <c r="W2042"/>
    </row>
    <row r="2043" spans="10:23" x14ac:dyDescent="0.25">
      <c r="J2043"/>
      <c r="M2043"/>
      <c r="W2043"/>
    </row>
    <row r="2044" spans="10:23" x14ac:dyDescent="0.25">
      <c r="J2044"/>
      <c r="M2044"/>
      <c r="W2044"/>
    </row>
    <row r="2045" spans="10:23" x14ac:dyDescent="0.25">
      <c r="J2045"/>
      <c r="M2045"/>
      <c r="W2045"/>
    </row>
    <row r="2046" spans="10:23" x14ac:dyDescent="0.25">
      <c r="J2046"/>
      <c r="M2046"/>
      <c r="W2046"/>
    </row>
    <row r="2047" spans="10:23" x14ac:dyDescent="0.25">
      <c r="J2047"/>
      <c r="M2047"/>
      <c r="W2047"/>
    </row>
    <row r="2048" spans="10:23" x14ac:dyDescent="0.25">
      <c r="J2048"/>
      <c r="M2048"/>
      <c r="W2048"/>
    </row>
    <row r="2049" spans="10:23" x14ac:dyDescent="0.25">
      <c r="J2049"/>
      <c r="M2049"/>
      <c r="W2049"/>
    </row>
    <row r="2050" spans="10:23" x14ac:dyDescent="0.25">
      <c r="J2050"/>
      <c r="M2050"/>
      <c r="W2050"/>
    </row>
    <row r="2051" spans="10:23" x14ac:dyDescent="0.25">
      <c r="J2051"/>
      <c r="M2051"/>
      <c r="W2051"/>
    </row>
    <row r="2052" spans="10:23" x14ac:dyDescent="0.25">
      <c r="J2052"/>
      <c r="M2052"/>
      <c r="W2052"/>
    </row>
    <row r="2053" spans="10:23" x14ac:dyDescent="0.25">
      <c r="J2053"/>
      <c r="M2053"/>
      <c r="W2053"/>
    </row>
    <row r="2054" spans="10:23" x14ac:dyDescent="0.25">
      <c r="J2054"/>
      <c r="M2054"/>
      <c r="W2054"/>
    </row>
    <row r="2055" spans="10:23" x14ac:dyDescent="0.25">
      <c r="J2055"/>
      <c r="M2055"/>
      <c r="W2055"/>
    </row>
    <row r="2056" spans="10:23" x14ac:dyDescent="0.25">
      <c r="J2056"/>
      <c r="M2056"/>
      <c r="W2056"/>
    </row>
    <row r="2057" spans="10:23" x14ac:dyDescent="0.25">
      <c r="J2057"/>
      <c r="M2057"/>
      <c r="W2057"/>
    </row>
    <row r="2058" spans="10:23" x14ac:dyDescent="0.25">
      <c r="J2058"/>
      <c r="M2058"/>
      <c r="W2058"/>
    </row>
    <row r="2059" spans="10:23" x14ac:dyDescent="0.25">
      <c r="J2059"/>
      <c r="M2059"/>
      <c r="W2059"/>
    </row>
    <row r="2060" spans="10:23" x14ac:dyDescent="0.25">
      <c r="J2060"/>
      <c r="M2060"/>
      <c r="W2060"/>
    </row>
    <row r="2061" spans="10:23" x14ac:dyDescent="0.25">
      <c r="J2061"/>
      <c r="M2061"/>
      <c r="W2061"/>
    </row>
    <row r="2062" spans="10:23" x14ac:dyDescent="0.25">
      <c r="J2062"/>
      <c r="M2062"/>
      <c r="W2062"/>
    </row>
    <row r="2063" spans="10:23" x14ac:dyDescent="0.25">
      <c r="J2063"/>
      <c r="M2063"/>
      <c r="W2063"/>
    </row>
    <row r="2064" spans="10:23" x14ac:dyDescent="0.25">
      <c r="J2064"/>
      <c r="M2064"/>
      <c r="W2064"/>
    </row>
    <row r="2065" spans="10:23" x14ac:dyDescent="0.25">
      <c r="J2065"/>
      <c r="M2065"/>
      <c r="W2065"/>
    </row>
    <row r="2066" spans="10:23" x14ac:dyDescent="0.25">
      <c r="J2066"/>
      <c r="M2066"/>
      <c r="W2066"/>
    </row>
    <row r="2067" spans="10:23" x14ac:dyDescent="0.25">
      <c r="J2067"/>
      <c r="M2067"/>
      <c r="W2067"/>
    </row>
    <row r="2068" spans="10:23" x14ac:dyDescent="0.25">
      <c r="J2068"/>
      <c r="M2068"/>
      <c r="W2068"/>
    </row>
    <row r="2069" spans="10:23" x14ac:dyDescent="0.25">
      <c r="J2069"/>
      <c r="M2069"/>
      <c r="W2069"/>
    </row>
    <row r="2070" spans="10:23" x14ac:dyDescent="0.25">
      <c r="J2070"/>
      <c r="M2070"/>
      <c r="W2070"/>
    </row>
    <row r="2071" spans="10:23" x14ac:dyDescent="0.25">
      <c r="J2071"/>
      <c r="M2071"/>
      <c r="W2071"/>
    </row>
    <row r="2072" spans="10:23" x14ac:dyDescent="0.25">
      <c r="J2072"/>
      <c r="M2072"/>
      <c r="W2072"/>
    </row>
    <row r="2073" spans="10:23" x14ac:dyDescent="0.25">
      <c r="J2073"/>
      <c r="M2073"/>
      <c r="W2073"/>
    </row>
    <row r="2074" spans="10:23" x14ac:dyDescent="0.25">
      <c r="J2074"/>
      <c r="M2074"/>
      <c r="W2074"/>
    </row>
    <row r="2075" spans="10:23" x14ac:dyDescent="0.25">
      <c r="J2075"/>
      <c r="M2075"/>
      <c r="W2075"/>
    </row>
    <row r="2076" spans="10:23" x14ac:dyDescent="0.25">
      <c r="J2076"/>
      <c r="M2076"/>
      <c r="W2076"/>
    </row>
    <row r="2077" spans="10:23" x14ac:dyDescent="0.25">
      <c r="J2077"/>
      <c r="M2077"/>
      <c r="W2077"/>
    </row>
    <row r="2078" spans="10:23" x14ac:dyDescent="0.25">
      <c r="J2078"/>
      <c r="M2078"/>
      <c r="W2078"/>
    </row>
    <row r="2079" spans="10:23" x14ac:dyDescent="0.25">
      <c r="J2079"/>
      <c r="M2079"/>
      <c r="W2079"/>
    </row>
    <row r="2080" spans="10:23" x14ac:dyDescent="0.25">
      <c r="J2080"/>
      <c r="M2080"/>
      <c r="W2080"/>
    </row>
    <row r="2081" spans="10:23" x14ac:dyDescent="0.25">
      <c r="J2081"/>
      <c r="M2081"/>
      <c r="W2081"/>
    </row>
    <row r="2082" spans="10:23" x14ac:dyDescent="0.25">
      <c r="J2082"/>
      <c r="M2082"/>
      <c r="W2082"/>
    </row>
    <row r="2083" spans="10:23" x14ac:dyDescent="0.25">
      <c r="J2083"/>
      <c r="M2083"/>
      <c r="W2083"/>
    </row>
    <row r="2084" spans="10:23" x14ac:dyDescent="0.25">
      <c r="J2084"/>
      <c r="M2084"/>
      <c r="W2084"/>
    </row>
    <row r="2085" spans="10:23" x14ac:dyDescent="0.25">
      <c r="J2085"/>
      <c r="M2085"/>
      <c r="W2085"/>
    </row>
    <row r="2086" spans="10:23" x14ac:dyDescent="0.25">
      <c r="J2086"/>
      <c r="M2086"/>
      <c r="W2086"/>
    </row>
    <row r="2087" spans="10:23" x14ac:dyDescent="0.25">
      <c r="J2087"/>
      <c r="M2087"/>
      <c r="W2087"/>
    </row>
    <row r="2088" spans="10:23" x14ac:dyDescent="0.25">
      <c r="J2088"/>
      <c r="M2088"/>
      <c r="W2088"/>
    </row>
    <row r="2089" spans="10:23" x14ac:dyDescent="0.25">
      <c r="J2089"/>
      <c r="M2089"/>
      <c r="W2089"/>
    </row>
    <row r="2090" spans="10:23" x14ac:dyDescent="0.25">
      <c r="J2090"/>
      <c r="M2090"/>
      <c r="W2090"/>
    </row>
    <row r="2091" spans="10:23" x14ac:dyDescent="0.25">
      <c r="J2091"/>
      <c r="M2091"/>
      <c r="W2091"/>
    </row>
    <row r="2092" spans="10:23" x14ac:dyDescent="0.25">
      <c r="J2092"/>
      <c r="M2092"/>
      <c r="W2092"/>
    </row>
    <row r="2093" spans="10:23" x14ac:dyDescent="0.25">
      <c r="J2093"/>
      <c r="M2093"/>
      <c r="W2093"/>
    </row>
    <row r="2094" spans="10:23" x14ac:dyDescent="0.25">
      <c r="J2094"/>
      <c r="M2094"/>
      <c r="W2094"/>
    </row>
    <row r="2095" spans="10:23" x14ac:dyDescent="0.25">
      <c r="J2095"/>
      <c r="M2095"/>
      <c r="W2095"/>
    </row>
    <row r="2096" spans="10:23" x14ac:dyDescent="0.25">
      <c r="J2096"/>
      <c r="M2096"/>
      <c r="W2096"/>
    </row>
    <row r="2097" spans="10:23" x14ac:dyDescent="0.25">
      <c r="J2097"/>
      <c r="M2097"/>
      <c r="W2097"/>
    </row>
    <row r="2098" spans="10:23" x14ac:dyDescent="0.25">
      <c r="J2098"/>
      <c r="M2098"/>
      <c r="W2098"/>
    </row>
    <row r="2099" spans="10:23" x14ac:dyDescent="0.25">
      <c r="J2099"/>
      <c r="M2099"/>
      <c r="W2099"/>
    </row>
    <row r="2100" spans="10:23" x14ac:dyDescent="0.25">
      <c r="J2100"/>
      <c r="M2100"/>
      <c r="W2100"/>
    </row>
    <row r="2101" spans="10:23" x14ac:dyDescent="0.25">
      <c r="J2101"/>
      <c r="M2101"/>
      <c r="W2101"/>
    </row>
    <row r="2102" spans="10:23" x14ac:dyDescent="0.25">
      <c r="J2102"/>
      <c r="M2102"/>
      <c r="W2102"/>
    </row>
    <row r="2103" spans="10:23" x14ac:dyDescent="0.25">
      <c r="J2103"/>
      <c r="M2103"/>
      <c r="W2103"/>
    </row>
    <row r="2104" spans="10:23" x14ac:dyDescent="0.25">
      <c r="J2104"/>
      <c r="M2104"/>
      <c r="W2104"/>
    </row>
    <row r="2105" spans="10:23" x14ac:dyDescent="0.25">
      <c r="J2105"/>
      <c r="M2105"/>
      <c r="W2105"/>
    </row>
    <row r="2106" spans="10:23" x14ac:dyDescent="0.25">
      <c r="J2106"/>
      <c r="M2106"/>
      <c r="W2106"/>
    </row>
    <row r="2107" spans="10:23" x14ac:dyDescent="0.25">
      <c r="J2107"/>
      <c r="M2107"/>
      <c r="W2107"/>
    </row>
    <row r="2108" spans="10:23" x14ac:dyDescent="0.25">
      <c r="J2108"/>
      <c r="M2108"/>
      <c r="W2108"/>
    </row>
    <row r="2109" spans="10:23" x14ac:dyDescent="0.25">
      <c r="J2109"/>
      <c r="M2109"/>
      <c r="W2109"/>
    </row>
    <row r="2110" spans="10:23" x14ac:dyDescent="0.25">
      <c r="J2110"/>
      <c r="M2110"/>
      <c r="W2110"/>
    </row>
    <row r="2111" spans="10:23" x14ac:dyDescent="0.25">
      <c r="J2111"/>
      <c r="M2111"/>
      <c r="W2111"/>
    </row>
    <row r="2112" spans="10:23" x14ac:dyDescent="0.25">
      <c r="J2112"/>
      <c r="M2112"/>
      <c r="W2112"/>
    </row>
    <row r="2113" spans="10:23" x14ac:dyDescent="0.25">
      <c r="J2113"/>
      <c r="M2113"/>
      <c r="W2113"/>
    </row>
    <row r="2114" spans="10:23" x14ac:dyDescent="0.25">
      <c r="J2114"/>
      <c r="M2114"/>
      <c r="W2114"/>
    </row>
    <row r="2115" spans="10:23" x14ac:dyDescent="0.25">
      <c r="J2115"/>
      <c r="M2115"/>
      <c r="W2115"/>
    </row>
    <row r="2116" spans="10:23" x14ac:dyDescent="0.25">
      <c r="J2116"/>
      <c r="M2116"/>
      <c r="W2116"/>
    </row>
    <row r="2117" spans="10:23" x14ac:dyDescent="0.25">
      <c r="J2117"/>
      <c r="M2117"/>
      <c r="W2117"/>
    </row>
    <row r="2118" spans="10:23" x14ac:dyDescent="0.25">
      <c r="J2118"/>
      <c r="M2118"/>
      <c r="W2118"/>
    </row>
    <row r="2119" spans="10:23" x14ac:dyDescent="0.25">
      <c r="J2119"/>
      <c r="M2119"/>
      <c r="W2119"/>
    </row>
    <row r="2120" spans="10:23" x14ac:dyDescent="0.25">
      <c r="J2120"/>
      <c r="M2120"/>
      <c r="W2120"/>
    </row>
    <row r="2121" spans="10:23" x14ac:dyDescent="0.25">
      <c r="J2121"/>
      <c r="M2121"/>
      <c r="W2121"/>
    </row>
    <row r="2122" spans="10:23" x14ac:dyDescent="0.25">
      <c r="J2122"/>
      <c r="M2122"/>
      <c r="W2122"/>
    </row>
    <row r="2123" spans="10:23" x14ac:dyDescent="0.25">
      <c r="J2123"/>
      <c r="M2123"/>
      <c r="W2123"/>
    </row>
    <row r="2124" spans="10:23" x14ac:dyDescent="0.25">
      <c r="J2124"/>
      <c r="M2124"/>
      <c r="W2124"/>
    </row>
    <row r="2125" spans="10:23" x14ac:dyDescent="0.25">
      <c r="J2125"/>
      <c r="M2125"/>
      <c r="W2125"/>
    </row>
    <row r="2126" spans="10:23" x14ac:dyDescent="0.25">
      <c r="J2126"/>
      <c r="M2126"/>
      <c r="W2126"/>
    </row>
    <row r="2127" spans="10:23" x14ac:dyDescent="0.25">
      <c r="J2127"/>
      <c r="M2127"/>
      <c r="W2127"/>
    </row>
    <row r="2128" spans="10:23" x14ac:dyDescent="0.25">
      <c r="J2128"/>
      <c r="M2128"/>
      <c r="W2128"/>
    </row>
    <row r="2129" spans="10:23" x14ac:dyDescent="0.25">
      <c r="J2129"/>
      <c r="M2129"/>
      <c r="W2129"/>
    </row>
    <row r="2130" spans="10:23" x14ac:dyDescent="0.25">
      <c r="J2130"/>
      <c r="M2130"/>
      <c r="W2130"/>
    </row>
    <row r="2131" spans="10:23" x14ac:dyDescent="0.25">
      <c r="J2131"/>
      <c r="M2131"/>
      <c r="W2131"/>
    </row>
    <row r="2132" spans="10:23" x14ac:dyDescent="0.25">
      <c r="J2132"/>
      <c r="M2132"/>
      <c r="W2132"/>
    </row>
    <row r="2133" spans="10:23" x14ac:dyDescent="0.25">
      <c r="J2133"/>
      <c r="M2133"/>
      <c r="W2133"/>
    </row>
    <row r="2134" spans="10:23" x14ac:dyDescent="0.25">
      <c r="J2134"/>
      <c r="M2134"/>
      <c r="W2134"/>
    </row>
    <row r="2135" spans="10:23" x14ac:dyDescent="0.25">
      <c r="J2135"/>
      <c r="M2135"/>
      <c r="W2135"/>
    </row>
    <row r="2136" spans="10:23" x14ac:dyDescent="0.25">
      <c r="J2136"/>
      <c r="M2136"/>
      <c r="W2136"/>
    </row>
    <row r="2137" spans="10:23" x14ac:dyDescent="0.25">
      <c r="J2137"/>
      <c r="M2137"/>
      <c r="W2137"/>
    </row>
    <row r="2138" spans="10:23" x14ac:dyDescent="0.25">
      <c r="J2138"/>
      <c r="M2138"/>
      <c r="W2138"/>
    </row>
    <row r="2139" spans="10:23" x14ac:dyDescent="0.25">
      <c r="J2139"/>
      <c r="M2139"/>
      <c r="W2139"/>
    </row>
    <row r="2140" spans="10:23" x14ac:dyDescent="0.25">
      <c r="J2140"/>
      <c r="M2140"/>
      <c r="W2140"/>
    </row>
    <row r="2141" spans="10:23" x14ac:dyDescent="0.25">
      <c r="J2141"/>
      <c r="M2141"/>
      <c r="W2141"/>
    </row>
    <row r="2142" spans="10:23" x14ac:dyDescent="0.25">
      <c r="J2142"/>
      <c r="M2142"/>
      <c r="W2142"/>
    </row>
    <row r="2143" spans="10:23" x14ac:dyDescent="0.25">
      <c r="J2143"/>
      <c r="M2143"/>
      <c r="W2143"/>
    </row>
    <row r="2144" spans="10:23" x14ac:dyDescent="0.25">
      <c r="J2144"/>
      <c r="M2144"/>
      <c r="W2144"/>
    </row>
    <row r="2145" spans="10:23" x14ac:dyDescent="0.25">
      <c r="J2145"/>
      <c r="M2145"/>
      <c r="W2145"/>
    </row>
    <row r="2146" spans="10:23" x14ac:dyDescent="0.25">
      <c r="J2146"/>
      <c r="M2146"/>
      <c r="W2146"/>
    </row>
    <row r="2147" spans="10:23" x14ac:dyDescent="0.25">
      <c r="J2147"/>
      <c r="M2147"/>
      <c r="W2147"/>
    </row>
    <row r="2148" spans="10:23" x14ac:dyDescent="0.25">
      <c r="J2148"/>
      <c r="M2148"/>
      <c r="W2148"/>
    </row>
    <row r="2149" spans="10:23" x14ac:dyDescent="0.25">
      <c r="J2149"/>
      <c r="M2149"/>
      <c r="W2149"/>
    </row>
    <row r="2150" spans="10:23" x14ac:dyDescent="0.25">
      <c r="J2150"/>
      <c r="M2150"/>
      <c r="W2150"/>
    </row>
    <row r="2151" spans="10:23" x14ac:dyDescent="0.25">
      <c r="J2151"/>
      <c r="M2151"/>
      <c r="W2151"/>
    </row>
    <row r="2152" spans="10:23" x14ac:dyDescent="0.25">
      <c r="J2152"/>
      <c r="M2152"/>
      <c r="W2152"/>
    </row>
    <row r="2153" spans="10:23" x14ac:dyDescent="0.25">
      <c r="J2153"/>
      <c r="M2153"/>
      <c r="W2153"/>
    </row>
    <row r="2154" spans="10:23" x14ac:dyDescent="0.25">
      <c r="J2154"/>
      <c r="M2154"/>
      <c r="W2154"/>
    </row>
    <row r="2155" spans="10:23" x14ac:dyDescent="0.25">
      <c r="J2155"/>
      <c r="M2155"/>
      <c r="W2155"/>
    </row>
    <row r="2156" spans="10:23" x14ac:dyDescent="0.25">
      <c r="J2156"/>
      <c r="M2156"/>
      <c r="W2156"/>
    </row>
    <row r="2157" spans="10:23" x14ac:dyDescent="0.25">
      <c r="J2157"/>
      <c r="M2157"/>
      <c r="W2157"/>
    </row>
    <row r="2158" spans="10:23" x14ac:dyDescent="0.25">
      <c r="J2158"/>
      <c r="M2158"/>
      <c r="W2158"/>
    </row>
    <row r="2159" spans="10:23" x14ac:dyDescent="0.25">
      <c r="J2159"/>
      <c r="M2159"/>
      <c r="W2159"/>
    </row>
    <row r="2160" spans="10:23" x14ac:dyDescent="0.25">
      <c r="J2160"/>
      <c r="M2160"/>
      <c r="W2160"/>
    </row>
    <row r="2161" spans="10:23" x14ac:dyDescent="0.25">
      <c r="J2161"/>
      <c r="M2161"/>
      <c r="W2161"/>
    </row>
    <row r="2162" spans="10:23" x14ac:dyDescent="0.25">
      <c r="J2162"/>
      <c r="M2162"/>
      <c r="W2162"/>
    </row>
    <row r="2163" spans="10:23" x14ac:dyDescent="0.25">
      <c r="J2163"/>
      <c r="M2163"/>
      <c r="W2163"/>
    </row>
    <row r="2164" spans="10:23" x14ac:dyDescent="0.25">
      <c r="J2164"/>
      <c r="M2164"/>
      <c r="W2164"/>
    </row>
    <row r="2165" spans="10:23" x14ac:dyDescent="0.25">
      <c r="J2165"/>
      <c r="M2165"/>
      <c r="W2165"/>
    </row>
    <row r="2166" spans="10:23" x14ac:dyDescent="0.25">
      <c r="J2166"/>
      <c r="M2166"/>
      <c r="W2166"/>
    </row>
    <row r="2167" spans="10:23" x14ac:dyDescent="0.25">
      <c r="J2167"/>
      <c r="M2167"/>
      <c r="W2167"/>
    </row>
    <row r="2168" spans="10:23" x14ac:dyDescent="0.25">
      <c r="J2168"/>
      <c r="M2168"/>
      <c r="W2168"/>
    </row>
    <row r="2169" spans="10:23" x14ac:dyDescent="0.25">
      <c r="J2169"/>
      <c r="M2169"/>
      <c r="W2169"/>
    </row>
    <row r="2170" spans="10:23" x14ac:dyDescent="0.25">
      <c r="J2170"/>
      <c r="M2170"/>
      <c r="W2170"/>
    </row>
    <row r="2171" spans="10:23" x14ac:dyDescent="0.25">
      <c r="J2171"/>
      <c r="M2171"/>
      <c r="W2171"/>
    </row>
    <row r="2172" spans="10:23" x14ac:dyDescent="0.25">
      <c r="J2172"/>
      <c r="M2172"/>
      <c r="W2172"/>
    </row>
    <row r="2173" spans="10:23" x14ac:dyDescent="0.25">
      <c r="J2173"/>
      <c r="M2173"/>
      <c r="W2173"/>
    </row>
    <row r="2174" spans="10:23" x14ac:dyDescent="0.25">
      <c r="J2174"/>
      <c r="M2174"/>
      <c r="W2174"/>
    </row>
    <row r="2175" spans="10:23" x14ac:dyDescent="0.25">
      <c r="J2175"/>
      <c r="M2175"/>
      <c r="W2175"/>
    </row>
    <row r="2176" spans="10:23" x14ac:dyDescent="0.25">
      <c r="J2176"/>
      <c r="M2176"/>
      <c r="W2176"/>
    </row>
    <row r="2177" spans="10:23" x14ac:dyDescent="0.25">
      <c r="J2177"/>
      <c r="M2177"/>
      <c r="W2177"/>
    </row>
    <row r="2178" spans="10:23" x14ac:dyDescent="0.25">
      <c r="J2178"/>
      <c r="M2178"/>
      <c r="W2178"/>
    </row>
    <row r="2179" spans="10:23" x14ac:dyDescent="0.25">
      <c r="J2179"/>
      <c r="M2179"/>
      <c r="W2179"/>
    </row>
    <row r="2180" spans="10:23" x14ac:dyDescent="0.25">
      <c r="J2180"/>
      <c r="M2180"/>
      <c r="W2180"/>
    </row>
    <row r="2181" spans="10:23" x14ac:dyDescent="0.25">
      <c r="J2181"/>
      <c r="M2181"/>
      <c r="W2181"/>
    </row>
    <row r="2182" spans="10:23" x14ac:dyDescent="0.25">
      <c r="J2182"/>
      <c r="M2182"/>
      <c r="W2182"/>
    </row>
    <row r="2183" spans="10:23" x14ac:dyDescent="0.25">
      <c r="J2183"/>
      <c r="M2183"/>
      <c r="W2183"/>
    </row>
    <row r="2184" spans="10:23" x14ac:dyDescent="0.25">
      <c r="J2184"/>
      <c r="M2184"/>
      <c r="W2184"/>
    </row>
    <row r="2185" spans="10:23" x14ac:dyDescent="0.25">
      <c r="J2185"/>
      <c r="M2185"/>
      <c r="W2185"/>
    </row>
    <row r="2186" spans="10:23" x14ac:dyDescent="0.25">
      <c r="J2186"/>
      <c r="M2186"/>
      <c r="W2186"/>
    </row>
    <row r="2187" spans="10:23" x14ac:dyDescent="0.25">
      <c r="J2187"/>
      <c r="M2187"/>
      <c r="W2187"/>
    </row>
    <row r="2188" spans="10:23" x14ac:dyDescent="0.25">
      <c r="J2188"/>
      <c r="M2188"/>
      <c r="W2188"/>
    </row>
    <row r="2189" spans="10:23" x14ac:dyDescent="0.25">
      <c r="J2189"/>
      <c r="M2189"/>
      <c r="W2189"/>
    </row>
    <row r="2190" spans="10:23" x14ac:dyDescent="0.25">
      <c r="J2190"/>
      <c r="M2190"/>
      <c r="W2190"/>
    </row>
    <row r="2191" spans="10:23" x14ac:dyDescent="0.25">
      <c r="J2191"/>
      <c r="M2191"/>
      <c r="W2191"/>
    </row>
    <row r="2192" spans="10:23" x14ac:dyDescent="0.25">
      <c r="J2192"/>
      <c r="M2192"/>
      <c r="W2192"/>
    </row>
    <row r="2193" spans="10:23" x14ac:dyDescent="0.25">
      <c r="J2193"/>
      <c r="M2193"/>
      <c r="W2193"/>
    </row>
    <row r="2194" spans="10:23" x14ac:dyDescent="0.25">
      <c r="J2194"/>
      <c r="M2194"/>
      <c r="W2194"/>
    </row>
    <row r="2195" spans="10:23" x14ac:dyDescent="0.25">
      <c r="J2195"/>
      <c r="M2195"/>
      <c r="W2195"/>
    </row>
    <row r="2196" spans="10:23" x14ac:dyDescent="0.25">
      <c r="J2196"/>
      <c r="M2196"/>
      <c r="W2196"/>
    </row>
    <row r="2197" spans="10:23" x14ac:dyDescent="0.25">
      <c r="J2197"/>
      <c r="M2197"/>
      <c r="W2197"/>
    </row>
    <row r="2198" spans="10:23" x14ac:dyDescent="0.25">
      <c r="J2198"/>
      <c r="M2198"/>
      <c r="W2198"/>
    </row>
    <row r="2199" spans="10:23" x14ac:dyDescent="0.25">
      <c r="J2199"/>
      <c r="M2199"/>
      <c r="W2199"/>
    </row>
    <row r="2200" spans="10:23" x14ac:dyDescent="0.25">
      <c r="J2200"/>
      <c r="M2200"/>
      <c r="W2200"/>
    </row>
    <row r="2201" spans="10:23" x14ac:dyDescent="0.25">
      <c r="J2201"/>
      <c r="M2201"/>
      <c r="W2201"/>
    </row>
    <row r="2202" spans="10:23" x14ac:dyDescent="0.25">
      <c r="J2202"/>
      <c r="M2202"/>
      <c r="W2202"/>
    </row>
    <row r="2203" spans="10:23" x14ac:dyDescent="0.25">
      <c r="J2203"/>
      <c r="M2203"/>
      <c r="W2203"/>
    </row>
    <row r="2204" spans="10:23" x14ac:dyDescent="0.25">
      <c r="J2204"/>
      <c r="M2204"/>
      <c r="W2204"/>
    </row>
    <row r="2205" spans="10:23" x14ac:dyDescent="0.25">
      <c r="J2205"/>
      <c r="M2205"/>
      <c r="W2205"/>
    </row>
    <row r="2206" spans="10:23" x14ac:dyDescent="0.25">
      <c r="J2206"/>
      <c r="M2206"/>
      <c r="W2206"/>
    </row>
    <row r="2207" spans="10:23" x14ac:dyDescent="0.25">
      <c r="J2207"/>
      <c r="M2207"/>
      <c r="W2207"/>
    </row>
    <row r="2208" spans="10:23" x14ac:dyDescent="0.25">
      <c r="J2208"/>
      <c r="M2208"/>
      <c r="W2208"/>
    </row>
    <row r="2209" spans="10:23" x14ac:dyDescent="0.25">
      <c r="J2209"/>
      <c r="M2209"/>
      <c r="W2209"/>
    </row>
    <row r="2210" spans="10:23" x14ac:dyDescent="0.25">
      <c r="J2210"/>
      <c r="M2210"/>
      <c r="W2210"/>
    </row>
    <row r="2211" spans="10:23" x14ac:dyDescent="0.25">
      <c r="J2211"/>
      <c r="M2211"/>
      <c r="W2211"/>
    </row>
    <row r="2212" spans="10:23" x14ac:dyDescent="0.25">
      <c r="J2212"/>
      <c r="M2212"/>
      <c r="W2212"/>
    </row>
    <row r="2213" spans="10:23" x14ac:dyDescent="0.25">
      <c r="J2213"/>
      <c r="M2213"/>
      <c r="W2213"/>
    </row>
    <row r="2214" spans="10:23" x14ac:dyDescent="0.25">
      <c r="J2214"/>
      <c r="M2214"/>
      <c r="W2214"/>
    </row>
    <row r="2215" spans="10:23" x14ac:dyDescent="0.25">
      <c r="J2215"/>
      <c r="M2215"/>
      <c r="W2215"/>
    </row>
    <row r="2216" spans="10:23" x14ac:dyDescent="0.25">
      <c r="J2216"/>
      <c r="M2216"/>
      <c r="W2216"/>
    </row>
    <row r="2217" spans="10:23" x14ac:dyDescent="0.25">
      <c r="J2217"/>
      <c r="M2217"/>
      <c r="W2217"/>
    </row>
    <row r="2218" spans="10:23" x14ac:dyDescent="0.25">
      <c r="J2218"/>
      <c r="M2218"/>
      <c r="W2218"/>
    </row>
    <row r="2219" spans="10:23" x14ac:dyDescent="0.25">
      <c r="J2219"/>
      <c r="M2219"/>
      <c r="W2219"/>
    </row>
    <row r="2220" spans="10:23" x14ac:dyDescent="0.25">
      <c r="J2220"/>
      <c r="M2220"/>
      <c r="W2220"/>
    </row>
    <row r="2221" spans="10:23" x14ac:dyDescent="0.25">
      <c r="J2221"/>
      <c r="M2221"/>
      <c r="W2221"/>
    </row>
    <row r="2222" spans="10:23" x14ac:dyDescent="0.25">
      <c r="J2222"/>
      <c r="M2222"/>
      <c r="W2222"/>
    </row>
    <row r="2223" spans="10:23" x14ac:dyDescent="0.25">
      <c r="J2223"/>
      <c r="M2223"/>
      <c r="W2223"/>
    </row>
    <row r="2224" spans="10:23" x14ac:dyDescent="0.25">
      <c r="J2224"/>
      <c r="M2224"/>
      <c r="W2224"/>
    </row>
    <row r="2225" spans="10:23" x14ac:dyDescent="0.25">
      <c r="J2225"/>
      <c r="M2225"/>
      <c r="W2225"/>
    </row>
    <row r="2226" spans="10:23" x14ac:dyDescent="0.25">
      <c r="J2226"/>
      <c r="M2226"/>
      <c r="W2226"/>
    </row>
    <row r="2227" spans="10:23" x14ac:dyDescent="0.25">
      <c r="J2227"/>
      <c r="M2227"/>
      <c r="W2227"/>
    </row>
    <row r="2228" spans="10:23" x14ac:dyDescent="0.25">
      <c r="J2228"/>
      <c r="M2228"/>
      <c r="W2228"/>
    </row>
    <row r="2229" spans="10:23" x14ac:dyDescent="0.25">
      <c r="J2229"/>
      <c r="M2229"/>
      <c r="W2229"/>
    </row>
    <row r="2230" spans="10:23" x14ac:dyDescent="0.25">
      <c r="J2230"/>
      <c r="M2230"/>
      <c r="W2230"/>
    </row>
    <row r="2231" spans="10:23" x14ac:dyDescent="0.25">
      <c r="J2231"/>
      <c r="M2231"/>
      <c r="W2231"/>
    </row>
    <row r="2232" spans="10:23" x14ac:dyDescent="0.25">
      <c r="J2232"/>
      <c r="M2232"/>
      <c r="W2232"/>
    </row>
    <row r="2233" spans="10:23" x14ac:dyDescent="0.25">
      <c r="J2233"/>
      <c r="M2233"/>
      <c r="W2233"/>
    </row>
    <row r="2234" spans="10:23" x14ac:dyDescent="0.25">
      <c r="J2234"/>
      <c r="M2234"/>
      <c r="W2234"/>
    </row>
    <row r="2235" spans="10:23" x14ac:dyDescent="0.25">
      <c r="J2235"/>
      <c r="M2235"/>
      <c r="W2235"/>
    </row>
    <row r="2236" spans="10:23" x14ac:dyDescent="0.25">
      <c r="J2236"/>
      <c r="M2236"/>
      <c r="W2236"/>
    </row>
    <row r="2237" spans="10:23" x14ac:dyDescent="0.25">
      <c r="J2237"/>
      <c r="M2237"/>
      <c r="W2237"/>
    </row>
    <row r="2238" spans="10:23" x14ac:dyDescent="0.25">
      <c r="J2238"/>
      <c r="M2238"/>
      <c r="W2238"/>
    </row>
    <row r="2239" spans="10:23" x14ac:dyDescent="0.25">
      <c r="J2239"/>
      <c r="M2239"/>
      <c r="W2239"/>
    </row>
    <row r="2240" spans="10:23" x14ac:dyDescent="0.25">
      <c r="J2240"/>
      <c r="M2240"/>
      <c r="W2240"/>
    </row>
    <row r="2241" spans="10:23" x14ac:dyDescent="0.25">
      <c r="J2241"/>
      <c r="M2241"/>
      <c r="W2241"/>
    </row>
    <row r="2242" spans="10:23" x14ac:dyDescent="0.25">
      <c r="J2242"/>
      <c r="M2242"/>
      <c r="W2242"/>
    </row>
    <row r="2243" spans="10:23" x14ac:dyDescent="0.25">
      <c r="J2243"/>
      <c r="M2243"/>
      <c r="W2243"/>
    </row>
    <row r="2244" spans="10:23" x14ac:dyDescent="0.25">
      <c r="J2244"/>
      <c r="M2244"/>
      <c r="W2244"/>
    </row>
    <row r="2245" spans="10:23" x14ac:dyDescent="0.25">
      <c r="J2245"/>
      <c r="M2245"/>
      <c r="W2245"/>
    </row>
    <row r="2246" spans="10:23" x14ac:dyDescent="0.25">
      <c r="J2246"/>
      <c r="M2246"/>
      <c r="W2246"/>
    </row>
    <row r="2247" spans="10:23" x14ac:dyDescent="0.25">
      <c r="J2247"/>
      <c r="M2247"/>
      <c r="W2247"/>
    </row>
    <row r="2248" spans="10:23" x14ac:dyDescent="0.25">
      <c r="J2248"/>
      <c r="M2248"/>
      <c r="W2248"/>
    </row>
    <row r="2249" spans="10:23" x14ac:dyDescent="0.25">
      <c r="J2249"/>
      <c r="M2249"/>
      <c r="W2249"/>
    </row>
    <row r="2250" spans="10:23" x14ac:dyDescent="0.25">
      <c r="J2250"/>
      <c r="M2250"/>
      <c r="W2250"/>
    </row>
    <row r="2251" spans="10:23" x14ac:dyDescent="0.25">
      <c r="J2251"/>
      <c r="M2251"/>
      <c r="W2251"/>
    </row>
    <row r="2252" spans="10:23" x14ac:dyDescent="0.25">
      <c r="J2252"/>
      <c r="M2252"/>
      <c r="W2252"/>
    </row>
    <row r="2253" spans="10:23" x14ac:dyDescent="0.25">
      <c r="J2253"/>
      <c r="M2253"/>
      <c r="W2253"/>
    </row>
    <row r="2254" spans="10:23" x14ac:dyDescent="0.25">
      <c r="J2254"/>
      <c r="M2254"/>
      <c r="W2254"/>
    </row>
    <row r="2255" spans="10:23" x14ac:dyDescent="0.25">
      <c r="J2255"/>
      <c r="M2255"/>
      <c r="W2255"/>
    </row>
    <row r="2256" spans="10:23" x14ac:dyDescent="0.25">
      <c r="J2256"/>
      <c r="M2256"/>
      <c r="W2256"/>
    </row>
    <row r="2257" spans="10:23" x14ac:dyDescent="0.25">
      <c r="J2257"/>
      <c r="M2257"/>
      <c r="W2257"/>
    </row>
    <row r="2258" spans="10:23" x14ac:dyDescent="0.25">
      <c r="J2258"/>
      <c r="M2258"/>
      <c r="W2258"/>
    </row>
    <row r="2259" spans="10:23" x14ac:dyDescent="0.25">
      <c r="J2259"/>
      <c r="M2259"/>
      <c r="W2259"/>
    </row>
    <row r="2260" spans="10:23" x14ac:dyDescent="0.25">
      <c r="J2260"/>
      <c r="M2260"/>
      <c r="W2260"/>
    </row>
    <row r="2261" spans="10:23" x14ac:dyDescent="0.25">
      <c r="J2261"/>
      <c r="M2261"/>
      <c r="W2261"/>
    </row>
    <row r="2262" spans="10:23" x14ac:dyDescent="0.25">
      <c r="J2262"/>
      <c r="M2262"/>
      <c r="W2262"/>
    </row>
    <row r="2263" spans="10:23" x14ac:dyDescent="0.25">
      <c r="J2263"/>
      <c r="M2263"/>
      <c r="W2263"/>
    </row>
    <row r="2264" spans="10:23" x14ac:dyDescent="0.25">
      <c r="J2264"/>
      <c r="M2264"/>
      <c r="W2264"/>
    </row>
    <row r="2265" spans="10:23" x14ac:dyDescent="0.25">
      <c r="J2265"/>
      <c r="M2265"/>
      <c r="W2265"/>
    </row>
    <row r="2266" spans="10:23" x14ac:dyDescent="0.25">
      <c r="J2266"/>
      <c r="M2266"/>
      <c r="W2266"/>
    </row>
    <row r="2267" spans="10:23" x14ac:dyDescent="0.25">
      <c r="J2267"/>
      <c r="M2267"/>
      <c r="W2267"/>
    </row>
    <row r="2268" spans="10:23" x14ac:dyDescent="0.25">
      <c r="J2268"/>
      <c r="M2268"/>
      <c r="W2268"/>
    </row>
    <row r="2269" spans="10:23" x14ac:dyDescent="0.25">
      <c r="J2269"/>
      <c r="M2269"/>
      <c r="W2269"/>
    </row>
    <row r="2270" spans="10:23" x14ac:dyDescent="0.25">
      <c r="J2270"/>
      <c r="M2270"/>
      <c r="W2270"/>
    </row>
    <row r="2271" spans="10:23" x14ac:dyDescent="0.25">
      <c r="J2271"/>
      <c r="M2271"/>
      <c r="W2271"/>
    </row>
    <row r="2272" spans="10:23" x14ac:dyDescent="0.25">
      <c r="J2272"/>
      <c r="M2272"/>
      <c r="W2272"/>
    </row>
    <row r="2273" spans="10:23" x14ac:dyDescent="0.25">
      <c r="J2273"/>
      <c r="M2273"/>
      <c r="W2273"/>
    </row>
    <row r="2274" spans="10:23" x14ac:dyDescent="0.25">
      <c r="J2274"/>
      <c r="M2274"/>
      <c r="W2274"/>
    </row>
    <row r="2275" spans="10:23" x14ac:dyDescent="0.25">
      <c r="J2275"/>
      <c r="M2275"/>
      <c r="W2275"/>
    </row>
    <row r="2276" spans="10:23" x14ac:dyDescent="0.25">
      <c r="J2276"/>
      <c r="M2276"/>
      <c r="W2276"/>
    </row>
    <row r="2277" spans="10:23" x14ac:dyDescent="0.25">
      <c r="J2277"/>
      <c r="M2277"/>
      <c r="W2277"/>
    </row>
    <row r="2278" spans="10:23" x14ac:dyDescent="0.25">
      <c r="J2278"/>
      <c r="M2278"/>
      <c r="W2278"/>
    </row>
    <row r="2279" spans="10:23" x14ac:dyDescent="0.25">
      <c r="J2279"/>
      <c r="M2279"/>
      <c r="W2279"/>
    </row>
    <row r="2280" spans="10:23" x14ac:dyDescent="0.25">
      <c r="J2280"/>
      <c r="M2280"/>
      <c r="W2280"/>
    </row>
    <row r="2281" spans="10:23" x14ac:dyDescent="0.25">
      <c r="J2281"/>
      <c r="M2281"/>
      <c r="W2281"/>
    </row>
    <row r="2282" spans="10:23" x14ac:dyDescent="0.25">
      <c r="J2282"/>
      <c r="M2282"/>
      <c r="W2282"/>
    </row>
    <row r="2283" spans="10:23" x14ac:dyDescent="0.25">
      <c r="J2283"/>
      <c r="M2283"/>
      <c r="W2283"/>
    </row>
    <row r="2284" spans="10:23" x14ac:dyDescent="0.25">
      <c r="J2284"/>
      <c r="M2284"/>
      <c r="W2284"/>
    </row>
    <row r="2285" spans="10:23" x14ac:dyDescent="0.25">
      <c r="J2285"/>
      <c r="M2285"/>
      <c r="W2285"/>
    </row>
    <row r="2286" spans="10:23" x14ac:dyDescent="0.25">
      <c r="J2286"/>
      <c r="M2286"/>
      <c r="W2286"/>
    </row>
    <row r="2287" spans="10:23" x14ac:dyDescent="0.25">
      <c r="J2287"/>
      <c r="M2287"/>
      <c r="W2287"/>
    </row>
    <row r="2288" spans="10:23" x14ac:dyDescent="0.25">
      <c r="J2288"/>
      <c r="M2288"/>
      <c r="W2288"/>
    </row>
    <row r="2289" spans="10:23" x14ac:dyDescent="0.25">
      <c r="J2289"/>
      <c r="M2289"/>
      <c r="W2289"/>
    </row>
    <row r="2290" spans="10:23" x14ac:dyDescent="0.25">
      <c r="J2290"/>
      <c r="M2290"/>
      <c r="W2290"/>
    </row>
    <row r="2291" spans="10:23" x14ac:dyDescent="0.25">
      <c r="J2291"/>
      <c r="M2291"/>
      <c r="W2291"/>
    </row>
    <row r="2292" spans="10:23" x14ac:dyDescent="0.25">
      <c r="J2292"/>
      <c r="M2292"/>
      <c r="W2292"/>
    </row>
    <row r="2293" spans="10:23" x14ac:dyDescent="0.25">
      <c r="J2293"/>
      <c r="M2293"/>
      <c r="W2293"/>
    </row>
    <row r="2294" spans="10:23" x14ac:dyDescent="0.25">
      <c r="J2294"/>
      <c r="M2294"/>
      <c r="W2294"/>
    </row>
    <row r="2295" spans="10:23" x14ac:dyDescent="0.25">
      <c r="J2295"/>
      <c r="M2295"/>
      <c r="W2295"/>
    </row>
    <row r="2296" spans="10:23" x14ac:dyDescent="0.25">
      <c r="J2296"/>
      <c r="M2296"/>
      <c r="W2296"/>
    </row>
    <row r="2297" spans="10:23" x14ac:dyDescent="0.25">
      <c r="J2297"/>
      <c r="M2297"/>
      <c r="W2297"/>
    </row>
    <row r="2298" spans="10:23" x14ac:dyDescent="0.25">
      <c r="J2298"/>
      <c r="M2298"/>
      <c r="W2298"/>
    </row>
    <row r="2299" spans="10:23" x14ac:dyDescent="0.25">
      <c r="J2299"/>
      <c r="M2299"/>
      <c r="W2299"/>
    </row>
    <row r="2300" spans="10:23" x14ac:dyDescent="0.25">
      <c r="J2300"/>
      <c r="M2300"/>
      <c r="W2300"/>
    </row>
    <row r="2301" spans="10:23" x14ac:dyDescent="0.25">
      <c r="J2301"/>
      <c r="M2301"/>
      <c r="W2301"/>
    </row>
    <row r="2302" spans="10:23" x14ac:dyDescent="0.25">
      <c r="J2302"/>
      <c r="M2302"/>
      <c r="W2302"/>
    </row>
    <row r="2303" spans="10:23" x14ac:dyDescent="0.25">
      <c r="J2303"/>
      <c r="M2303"/>
      <c r="W2303"/>
    </row>
    <row r="2304" spans="10:23" x14ac:dyDescent="0.25">
      <c r="J2304"/>
      <c r="M2304"/>
      <c r="W2304"/>
    </row>
    <row r="2305" spans="10:23" x14ac:dyDescent="0.25">
      <c r="J2305"/>
      <c r="M2305"/>
      <c r="W2305"/>
    </row>
    <row r="2306" spans="10:23" x14ac:dyDescent="0.25">
      <c r="J2306"/>
      <c r="M2306"/>
      <c r="W2306"/>
    </row>
    <row r="2307" spans="10:23" x14ac:dyDescent="0.25">
      <c r="J2307"/>
      <c r="M2307"/>
      <c r="W2307"/>
    </row>
    <row r="2308" spans="10:23" x14ac:dyDescent="0.25">
      <c r="J2308"/>
      <c r="M2308"/>
      <c r="W2308"/>
    </row>
    <row r="2309" spans="10:23" x14ac:dyDescent="0.25">
      <c r="J2309"/>
      <c r="M2309"/>
      <c r="W2309"/>
    </row>
    <row r="2310" spans="10:23" x14ac:dyDescent="0.25">
      <c r="J2310"/>
      <c r="M2310"/>
      <c r="W2310"/>
    </row>
    <row r="2311" spans="10:23" x14ac:dyDescent="0.25">
      <c r="J2311"/>
      <c r="M2311"/>
      <c r="W2311"/>
    </row>
    <row r="2312" spans="10:23" x14ac:dyDescent="0.25">
      <c r="J2312"/>
      <c r="M2312"/>
      <c r="W2312"/>
    </row>
    <row r="2313" spans="10:23" x14ac:dyDescent="0.25">
      <c r="J2313"/>
      <c r="M2313"/>
      <c r="W2313"/>
    </row>
    <row r="2314" spans="10:23" x14ac:dyDescent="0.25">
      <c r="J2314"/>
      <c r="M2314"/>
      <c r="W2314"/>
    </row>
    <row r="2315" spans="10:23" x14ac:dyDescent="0.25">
      <c r="J2315"/>
      <c r="M2315"/>
      <c r="W2315"/>
    </row>
    <row r="2316" spans="10:23" x14ac:dyDescent="0.25">
      <c r="J2316"/>
      <c r="M2316"/>
      <c r="W2316"/>
    </row>
    <row r="2317" spans="10:23" x14ac:dyDescent="0.25">
      <c r="J2317"/>
      <c r="M2317"/>
      <c r="W2317"/>
    </row>
    <row r="2318" spans="10:23" x14ac:dyDescent="0.25">
      <c r="J2318"/>
      <c r="M2318"/>
      <c r="W2318"/>
    </row>
    <row r="2319" spans="10:23" x14ac:dyDescent="0.25">
      <c r="J2319"/>
      <c r="M2319"/>
      <c r="W2319"/>
    </row>
    <row r="2320" spans="10:23" x14ac:dyDescent="0.25">
      <c r="J2320"/>
      <c r="M2320"/>
      <c r="W2320"/>
    </row>
    <row r="2321" spans="10:23" x14ac:dyDescent="0.25">
      <c r="J2321"/>
      <c r="M2321"/>
      <c r="W2321"/>
    </row>
    <row r="2322" spans="10:23" x14ac:dyDescent="0.25">
      <c r="J2322"/>
      <c r="M2322"/>
      <c r="W2322"/>
    </row>
    <row r="2323" spans="10:23" x14ac:dyDescent="0.25">
      <c r="J2323"/>
      <c r="M2323"/>
      <c r="W2323"/>
    </row>
    <row r="2324" spans="10:23" x14ac:dyDescent="0.25">
      <c r="J2324"/>
      <c r="M2324"/>
      <c r="W2324"/>
    </row>
    <row r="2325" spans="10:23" x14ac:dyDescent="0.25">
      <c r="J2325"/>
      <c r="M2325"/>
      <c r="W2325"/>
    </row>
    <row r="2326" spans="10:23" x14ac:dyDescent="0.25">
      <c r="J2326"/>
      <c r="M2326"/>
      <c r="W2326"/>
    </row>
    <row r="2327" spans="10:23" x14ac:dyDescent="0.25">
      <c r="J2327"/>
      <c r="M2327"/>
      <c r="W2327"/>
    </row>
    <row r="2328" spans="10:23" x14ac:dyDescent="0.25">
      <c r="J2328"/>
      <c r="M2328"/>
      <c r="W2328"/>
    </row>
    <row r="2329" spans="10:23" x14ac:dyDescent="0.25">
      <c r="J2329"/>
      <c r="M2329"/>
      <c r="W2329"/>
    </row>
    <row r="2330" spans="10:23" x14ac:dyDescent="0.25">
      <c r="J2330"/>
      <c r="M2330"/>
      <c r="W2330"/>
    </row>
    <row r="2331" spans="10:23" x14ac:dyDescent="0.25">
      <c r="J2331"/>
      <c r="M2331"/>
      <c r="W2331"/>
    </row>
    <row r="2332" spans="10:23" x14ac:dyDescent="0.25">
      <c r="J2332"/>
      <c r="M2332"/>
      <c r="W2332"/>
    </row>
    <row r="2333" spans="10:23" x14ac:dyDescent="0.25">
      <c r="J2333"/>
      <c r="M2333"/>
      <c r="W2333"/>
    </row>
    <row r="2334" spans="10:23" x14ac:dyDescent="0.25">
      <c r="J2334"/>
      <c r="M2334"/>
      <c r="W2334"/>
    </row>
    <row r="2335" spans="10:23" x14ac:dyDescent="0.25">
      <c r="J2335"/>
      <c r="M2335"/>
      <c r="W2335"/>
    </row>
    <row r="2336" spans="10:23" x14ac:dyDescent="0.25">
      <c r="J2336"/>
      <c r="M2336"/>
      <c r="W2336"/>
    </row>
    <row r="2337" spans="10:23" x14ac:dyDescent="0.25">
      <c r="J2337"/>
      <c r="M2337"/>
      <c r="W2337"/>
    </row>
    <row r="2338" spans="10:23" x14ac:dyDescent="0.25">
      <c r="J2338"/>
      <c r="M2338"/>
      <c r="W2338"/>
    </row>
    <row r="2339" spans="10:23" x14ac:dyDescent="0.25">
      <c r="J2339"/>
      <c r="M2339"/>
      <c r="W2339"/>
    </row>
    <row r="2340" spans="10:23" x14ac:dyDescent="0.25">
      <c r="J2340"/>
      <c r="M2340"/>
      <c r="W2340"/>
    </row>
    <row r="2341" spans="10:23" x14ac:dyDescent="0.25">
      <c r="J2341"/>
      <c r="M2341"/>
      <c r="W2341"/>
    </row>
    <row r="2342" spans="10:23" x14ac:dyDescent="0.25">
      <c r="J2342"/>
      <c r="M2342"/>
      <c r="W2342"/>
    </row>
    <row r="2343" spans="10:23" x14ac:dyDescent="0.25">
      <c r="J2343"/>
      <c r="M2343"/>
      <c r="W2343"/>
    </row>
    <row r="2344" spans="10:23" x14ac:dyDescent="0.25">
      <c r="J2344"/>
      <c r="M2344"/>
      <c r="W2344"/>
    </row>
    <row r="2345" spans="10:23" x14ac:dyDescent="0.25">
      <c r="J2345"/>
      <c r="M2345"/>
      <c r="W2345"/>
    </row>
    <row r="2346" spans="10:23" x14ac:dyDescent="0.25">
      <c r="J2346"/>
      <c r="M2346"/>
      <c r="W2346"/>
    </row>
    <row r="2347" spans="10:23" x14ac:dyDescent="0.25">
      <c r="J2347"/>
      <c r="M2347"/>
      <c r="W2347"/>
    </row>
    <row r="2348" spans="10:23" x14ac:dyDescent="0.25">
      <c r="J2348"/>
      <c r="M2348"/>
      <c r="W2348"/>
    </row>
    <row r="2349" spans="10:23" x14ac:dyDescent="0.25">
      <c r="J2349"/>
      <c r="M2349"/>
      <c r="W2349"/>
    </row>
    <row r="2350" spans="10:23" x14ac:dyDescent="0.25">
      <c r="J2350"/>
      <c r="M2350"/>
      <c r="W2350"/>
    </row>
    <row r="2351" spans="10:23" x14ac:dyDescent="0.25">
      <c r="J2351"/>
      <c r="M2351"/>
      <c r="W2351"/>
    </row>
    <row r="2352" spans="10:23" x14ac:dyDescent="0.25">
      <c r="J2352"/>
      <c r="M2352"/>
      <c r="W2352"/>
    </row>
    <row r="2353" spans="10:23" x14ac:dyDescent="0.25">
      <c r="J2353"/>
      <c r="M2353"/>
      <c r="W2353"/>
    </row>
    <row r="2354" spans="10:23" x14ac:dyDescent="0.25">
      <c r="J2354"/>
      <c r="M2354"/>
      <c r="W2354"/>
    </row>
    <row r="2355" spans="10:23" x14ac:dyDescent="0.25">
      <c r="J2355"/>
      <c r="M2355"/>
      <c r="W2355"/>
    </row>
    <row r="2356" spans="10:23" x14ac:dyDescent="0.25">
      <c r="J2356"/>
      <c r="M2356"/>
      <c r="W2356"/>
    </row>
    <row r="2357" spans="10:23" x14ac:dyDescent="0.25">
      <c r="J2357"/>
      <c r="M2357"/>
      <c r="W2357"/>
    </row>
    <row r="2358" spans="10:23" x14ac:dyDescent="0.25">
      <c r="J2358"/>
      <c r="M2358"/>
      <c r="W2358"/>
    </row>
    <row r="2359" spans="10:23" x14ac:dyDescent="0.25">
      <c r="J2359"/>
      <c r="M2359"/>
      <c r="W2359"/>
    </row>
    <row r="2360" spans="10:23" x14ac:dyDescent="0.25">
      <c r="J2360"/>
      <c r="M2360"/>
      <c r="W2360"/>
    </row>
    <row r="2361" spans="10:23" x14ac:dyDescent="0.25">
      <c r="J2361"/>
      <c r="M2361"/>
      <c r="W2361"/>
    </row>
    <row r="2362" spans="10:23" x14ac:dyDescent="0.25">
      <c r="J2362"/>
      <c r="M2362"/>
      <c r="W2362"/>
    </row>
    <row r="2363" spans="10:23" x14ac:dyDescent="0.25">
      <c r="J2363"/>
      <c r="M2363"/>
      <c r="W2363"/>
    </row>
    <row r="2364" spans="10:23" x14ac:dyDescent="0.25">
      <c r="J2364"/>
      <c r="M2364"/>
      <c r="W2364"/>
    </row>
    <row r="2365" spans="10:23" x14ac:dyDescent="0.25">
      <c r="J2365"/>
      <c r="M2365"/>
      <c r="W2365"/>
    </row>
    <row r="2366" spans="10:23" x14ac:dyDescent="0.25">
      <c r="J2366"/>
      <c r="M2366"/>
      <c r="W2366"/>
    </row>
    <row r="2367" spans="10:23" x14ac:dyDescent="0.25">
      <c r="J2367"/>
      <c r="M2367"/>
      <c r="W2367"/>
    </row>
    <row r="2368" spans="10:23" x14ac:dyDescent="0.25">
      <c r="J2368"/>
      <c r="M2368"/>
      <c r="W2368"/>
    </row>
    <row r="2369" spans="10:23" x14ac:dyDescent="0.25">
      <c r="J2369"/>
      <c r="M2369"/>
      <c r="W2369"/>
    </row>
    <row r="2370" spans="10:23" x14ac:dyDescent="0.25">
      <c r="J2370"/>
      <c r="M2370"/>
      <c r="W2370"/>
    </row>
    <row r="2371" spans="10:23" x14ac:dyDescent="0.25">
      <c r="J2371"/>
      <c r="M2371"/>
      <c r="W2371"/>
    </row>
    <row r="2372" spans="10:23" x14ac:dyDescent="0.25">
      <c r="J2372"/>
      <c r="M2372"/>
      <c r="W2372"/>
    </row>
    <row r="2373" spans="10:23" x14ac:dyDescent="0.25">
      <c r="J2373"/>
      <c r="M2373"/>
      <c r="W2373"/>
    </row>
    <row r="2374" spans="10:23" x14ac:dyDescent="0.25">
      <c r="J2374"/>
      <c r="M2374"/>
      <c r="W2374"/>
    </row>
    <row r="2375" spans="10:23" x14ac:dyDescent="0.25">
      <c r="J2375"/>
      <c r="M2375"/>
      <c r="W2375"/>
    </row>
    <row r="2376" spans="10:23" x14ac:dyDescent="0.25">
      <c r="J2376"/>
      <c r="M2376"/>
      <c r="W2376"/>
    </row>
    <row r="2377" spans="10:23" x14ac:dyDescent="0.25">
      <c r="J2377"/>
      <c r="M2377"/>
      <c r="W2377"/>
    </row>
    <row r="2378" spans="10:23" x14ac:dyDescent="0.25">
      <c r="J2378"/>
      <c r="M2378"/>
      <c r="W2378"/>
    </row>
    <row r="2379" spans="10:23" x14ac:dyDescent="0.25">
      <c r="J2379"/>
      <c r="M2379"/>
      <c r="W2379"/>
    </row>
    <row r="2380" spans="10:23" x14ac:dyDescent="0.25">
      <c r="J2380"/>
      <c r="M2380"/>
      <c r="W2380"/>
    </row>
    <row r="2381" spans="10:23" x14ac:dyDescent="0.25">
      <c r="J2381"/>
      <c r="M2381"/>
      <c r="W2381"/>
    </row>
    <row r="2382" spans="10:23" x14ac:dyDescent="0.25">
      <c r="J2382"/>
      <c r="M2382"/>
      <c r="W2382"/>
    </row>
    <row r="2383" spans="10:23" x14ac:dyDescent="0.25">
      <c r="J2383"/>
      <c r="M2383"/>
      <c r="W2383"/>
    </row>
    <row r="2384" spans="10:23" x14ac:dyDescent="0.25">
      <c r="J2384"/>
      <c r="M2384"/>
      <c r="W2384"/>
    </row>
    <row r="2385" spans="10:23" x14ac:dyDescent="0.25">
      <c r="J2385"/>
      <c r="M2385"/>
      <c r="W2385"/>
    </row>
    <row r="2386" spans="10:23" x14ac:dyDescent="0.25">
      <c r="J2386"/>
      <c r="M2386"/>
      <c r="W2386"/>
    </row>
    <row r="2387" spans="10:23" x14ac:dyDescent="0.25">
      <c r="J2387"/>
      <c r="M2387"/>
      <c r="W2387"/>
    </row>
    <row r="2388" spans="10:23" x14ac:dyDescent="0.25">
      <c r="J2388"/>
      <c r="M2388"/>
      <c r="W2388"/>
    </row>
    <row r="2389" spans="10:23" x14ac:dyDescent="0.25">
      <c r="J2389"/>
      <c r="M2389"/>
      <c r="W2389"/>
    </row>
    <row r="2390" spans="10:23" x14ac:dyDescent="0.25">
      <c r="J2390"/>
      <c r="M2390"/>
      <c r="W2390"/>
    </row>
    <row r="2391" spans="10:23" x14ac:dyDescent="0.25">
      <c r="J2391"/>
      <c r="M2391"/>
      <c r="W2391"/>
    </row>
    <row r="2392" spans="10:23" x14ac:dyDescent="0.25">
      <c r="J2392"/>
      <c r="M2392"/>
      <c r="W2392"/>
    </row>
    <row r="2393" spans="10:23" x14ac:dyDescent="0.25">
      <c r="J2393"/>
      <c r="M2393"/>
      <c r="W2393"/>
    </row>
    <row r="2394" spans="10:23" x14ac:dyDescent="0.25">
      <c r="J2394"/>
      <c r="M2394"/>
      <c r="W2394"/>
    </row>
    <row r="2395" spans="10:23" x14ac:dyDescent="0.25">
      <c r="J2395"/>
      <c r="M2395"/>
      <c r="W2395"/>
    </row>
    <row r="2396" spans="10:23" x14ac:dyDescent="0.25">
      <c r="J2396"/>
      <c r="M2396"/>
      <c r="W2396"/>
    </row>
    <row r="2397" spans="10:23" x14ac:dyDescent="0.25">
      <c r="J2397"/>
      <c r="M2397"/>
      <c r="W2397"/>
    </row>
    <row r="2398" spans="10:23" x14ac:dyDescent="0.25">
      <c r="J2398"/>
      <c r="M2398"/>
      <c r="W2398"/>
    </row>
    <row r="2399" spans="10:23" x14ac:dyDescent="0.25">
      <c r="J2399"/>
      <c r="M2399"/>
      <c r="W2399"/>
    </row>
    <row r="2400" spans="10:23" x14ac:dyDescent="0.25">
      <c r="J2400"/>
      <c r="M2400"/>
      <c r="W2400"/>
    </row>
    <row r="2401" spans="10:23" x14ac:dyDescent="0.25">
      <c r="J2401"/>
      <c r="M2401"/>
      <c r="W2401"/>
    </row>
    <row r="2402" spans="10:23" x14ac:dyDescent="0.25">
      <c r="J2402"/>
      <c r="M2402"/>
      <c r="W2402"/>
    </row>
    <row r="2403" spans="10:23" x14ac:dyDescent="0.25">
      <c r="J2403"/>
      <c r="M2403"/>
      <c r="W2403"/>
    </row>
    <row r="2404" spans="10:23" x14ac:dyDescent="0.25">
      <c r="J2404"/>
      <c r="M2404"/>
      <c r="W2404"/>
    </row>
    <row r="2405" spans="10:23" x14ac:dyDescent="0.25">
      <c r="J2405"/>
      <c r="M2405"/>
      <c r="W2405"/>
    </row>
    <row r="2406" spans="10:23" x14ac:dyDescent="0.25">
      <c r="J2406"/>
      <c r="M2406"/>
      <c r="W2406"/>
    </row>
    <row r="2407" spans="10:23" x14ac:dyDescent="0.25">
      <c r="J2407"/>
      <c r="M2407"/>
      <c r="W2407"/>
    </row>
    <row r="2408" spans="10:23" x14ac:dyDescent="0.25">
      <c r="J2408"/>
      <c r="M2408"/>
      <c r="W2408"/>
    </row>
    <row r="2409" spans="10:23" x14ac:dyDescent="0.25">
      <c r="J2409"/>
      <c r="M2409"/>
      <c r="W2409"/>
    </row>
    <row r="2410" spans="10:23" x14ac:dyDescent="0.25">
      <c r="J2410"/>
      <c r="M2410"/>
      <c r="W2410"/>
    </row>
    <row r="2411" spans="10:23" x14ac:dyDescent="0.25">
      <c r="J2411"/>
      <c r="M2411"/>
      <c r="W2411"/>
    </row>
    <row r="2412" spans="10:23" x14ac:dyDescent="0.25">
      <c r="J2412"/>
      <c r="M2412"/>
      <c r="W2412"/>
    </row>
    <row r="2413" spans="10:23" x14ac:dyDescent="0.25">
      <c r="J2413"/>
      <c r="M2413"/>
      <c r="W2413"/>
    </row>
    <row r="2414" spans="10:23" x14ac:dyDescent="0.25">
      <c r="J2414"/>
      <c r="M2414"/>
      <c r="W2414"/>
    </row>
    <row r="2415" spans="10:23" x14ac:dyDescent="0.25">
      <c r="J2415"/>
      <c r="M2415"/>
      <c r="W2415"/>
    </row>
    <row r="2416" spans="10:23" x14ac:dyDescent="0.25">
      <c r="J2416"/>
      <c r="M2416"/>
      <c r="W2416"/>
    </row>
    <row r="2417" spans="10:23" x14ac:dyDescent="0.25">
      <c r="J2417"/>
      <c r="M2417"/>
      <c r="W2417"/>
    </row>
    <row r="2418" spans="10:23" x14ac:dyDescent="0.25">
      <c r="J2418"/>
      <c r="M2418"/>
      <c r="W2418"/>
    </row>
    <row r="2419" spans="10:23" x14ac:dyDescent="0.25">
      <c r="J2419"/>
      <c r="M2419"/>
      <c r="W2419"/>
    </row>
    <row r="2420" spans="10:23" x14ac:dyDescent="0.25">
      <c r="J2420"/>
      <c r="M2420"/>
      <c r="W2420"/>
    </row>
    <row r="2421" spans="10:23" x14ac:dyDescent="0.25">
      <c r="J2421"/>
      <c r="M2421"/>
      <c r="W2421"/>
    </row>
    <row r="2422" spans="10:23" x14ac:dyDescent="0.25">
      <c r="J2422"/>
      <c r="M2422"/>
      <c r="W2422"/>
    </row>
    <row r="2423" spans="10:23" x14ac:dyDescent="0.25">
      <c r="J2423"/>
      <c r="M2423"/>
      <c r="W2423"/>
    </row>
    <row r="2424" spans="10:23" x14ac:dyDescent="0.25">
      <c r="J2424"/>
      <c r="M2424"/>
      <c r="W2424"/>
    </row>
    <row r="2425" spans="10:23" x14ac:dyDescent="0.25">
      <c r="J2425"/>
      <c r="M2425"/>
      <c r="W2425"/>
    </row>
    <row r="2426" spans="10:23" x14ac:dyDescent="0.25">
      <c r="J2426"/>
      <c r="M2426"/>
      <c r="W2426"/>
    </row>
    <row r="2427" spans="10:23" x14ac:dyDescent="0.25">
      <c r="J2427"/>
      <c r="M2427"/>
      <c r="W2427"/>
    </row>
    <row r="2428" spans="10:23" x14ac:dyDescent="0.25">
      <c r="J2428"/>
      <c r="M2428"/>
      <c r="W2428"/>
    </row>
    <row r="2429" spans="10:23" x14ac:dyDescent="0.25">
      <c r="J2429"/>
      <c r="M2429"/>
      <c r="W2429"/>
    </row>
    <row r="2430" spans="10:23" x14ac:dyDescent="0.25">
      <c r="J2430"/>
      <c r="M2430"/>
      <c r="W2430"/>
    </row>
    <row r="2431" spans="10:23" x14ac:dyDescent="0.25">
      <c r="J2431"/>
      <c r="M2431"/>
      <c r="W2431"/>
    </row>
    <row r="2432" spans="10:23" x14ac:dyDescent="0.25">
      <c r="J2432"/>
      <c r="M2432"/>
      <c r="W2432"/>
    </row>
    <row r="2433" spans="10:23" x14ac:dyDescent="0.25">
      <c r="J2433"/>
      <c r="M2433"/>
      <c r="W2433"/>
    </row>
    <row r="2434" spans="10:23" x14ac:dyDescent="0.25">
      <c r="J2434"/>
      <c r="M2434"/>
      <c r="W2434"/>
    </row>
    <row r="2435" spans="10:23" x14ac:dyDescent="0.25">
      <c r="J2435"/>
      <c r="M2435"/>
      <c r="W2435"/>
    </row>
    <row r="2436" spans="10:23" x14ac:dyDescent="0.25">
      <c r="J2436"/>
      <c r="M2436"/>
      <c r="W2436"/>
    </row>
    <row r="2437" spans="10:23" x14ac:dyDescent="0.25">
      <c r="J2437"/>
      <c r="M2437"/>
      <c r="W2437"/>
    </row>
    <row r="2438" spans="10:23" x14ac:dyDescent="0.25">
      <c r="J2438"/>
      <c r="M2438"/>
      <c r="W2438"/>
    </row>
    <row r="2439" spans="10:23" x14ac:dyDescent="0.25">
      <c r="J2439"/>
      <c r="M2439"/>
      <c r="W2439"/>
    </row>
    <row r="2440" spans="10:23" x14ac:dyDescent="0.25">
      <c r="J2440"/>
      <c r="M2440"/>
      <c r="W2440"/>
    </row>
    <row r="2441" spans="10:23" x14ac:dyDescent="0.25">
      <c r="J2441"/>
      <c r="M2441"/>
      <c r="W2441"/>
    </row>
    <row r="2442" spans="10:23" x14ac:dyDescent="0.25">
      <c r="J2442"/>
      <c r="M2442"/>
      <c r="W2442"/>
    </row>
    <row r="2443" spans="10:23" x14ac:dyDescent="0.25">
      <c r="J2443"/>
      <c r="M2443"/>
      <c r="W2443"/>
    </row>
    <row r="2444" spans="10:23" x14ac:dyDescent="0.25">
      <c r="J2444"/>
      <c r="M2444"/>
      <c r="W2444"/>
    </row>
    <row r="2445" spans="10:23" x14ac:dyDescent="0.25">
      <c r="J2445"/>
      <c r="M2445"/>
      <c r="W2445"/>
    </row>
    <row r="2446" spans="10:23" x14ac:dyDescent="0.25">
      <c r="J2446"/>
      <c r="M2446"/>
      <c r="W2446"/>
    </row>
    <row r="2447" spans="10:23" x14ac:dyDescent="0.25">
      <c r="J2447"/>
      <c r="M2447"/>
      <c r="W2447"/>
    </row>
    <row r="2448" spans="10:23" x14ac:dyDescent="0.25">
      <c r="J2448"/>
      <c r="M2448"/>
      <c r="W2448"/>
    </row>
    <row r="2449" spans="10:23" x14ac:dyDescent="0.25">
      <c r="J2449"/>
      <c r="M2449"/>
      <c r="W2449"/>
    </row>
    <row r="2450" spans="10:23" x14ac:dyDescent="0.25">
      <c r="J2450"/>
      <c r="M2450"/>
      <c r="W2450"/>
    </row>
    <row r="2451" spans="10:23" x14ac:dyDescent="0.25">
      <c r="J2451"/>
      <c r="M2451"/>
      <c r="W2451"/>
    </row>
    <row r="2452" spans="10:23" x14ac:dyDescent="0.25">
      <c r="J2452"/>
      <c r="M2452"/>
      <c r="W2452"/>
    </row>
    <row r="2453" spans="10:23" x14ac:dyDescent="0.25">
      <c r="J2453"/>
      <c r="M2453"/>
      <c r="W2453"/>
    </row>
    <row r="2454" spans="10:23" x14ac:dyDescent="0.25">
      <c r="J2454"/>
      <c r="M2454"/>
      <c r="W2454"/>
    </row>
    <row r="2455" spans="10:23" x14ac:dyDescent="0.25">
      <c r="J2455"/>
      <c r="M2455"/>
      <c r="W2455"/>
    </row>
    <row r="2456" spans="10:23" x14ac:dyDescent="0.25">
      <c r="J2456"/>
      <c r="M2456"/>
      <c r="W2456"/>
    </row>
    <row r="2457" spans="10:23" x14ac:dyDescent="0.25">
      <c r="J2457"/>
      <c r="M2457"/>
      <c r="W2457"/>
    </row>
    <row r="2458" spans="10:23" x14ac:dyDescent="0.25">
      <c r="J2458"/>
      <c r="M2458"/>
      <c r="W2458"/>
    </row>
    <row r="2459" spans="10:23" x14ac:dyDescent="0.25">
      <c r="J2459"/>
      <c r="M2459"/>
      <c r="W2459"/>
    </row>
    <row r="2460" spans="10:23" x14ac:dyDescent="0.25">
      <c r="J2460"/>
      <c r="M2460"/>
      <c r="W2460"/>
    </row>
    <row r="2461" spans="10:23" x14ac:dyDescent="0.25">
      <c r="J2461"/>
      <c r="M2461"/>
      <c r="W2461"/>
    </row>
    <row r="2462" spans="10:23" x14ac:dyDescent="0.25">
      <c r="J2462"/>
      <c r="M2462"/>
      <c r="W2462"/>
    </row>
    <row r="2463" spans="10:23" x14ac:dyDescent="0.25">
      <c r="J2463"/>
      <c r="M2463"/>
      <c r="W2463"/>
    </row>
    <row r="2464" spans="10:23" x14ac:dyDescent="0.25">
      <c r="J2464"/>
      <c r="M2464"/>
      <c r="W2464"/>
    </row>
    <row r="2465" spans="10:23" x14ac:dyDescent="0.25">
      <c r="J2465"/>
      <c r="M2465"/>
      <c r="W2465"/>
    </row>
    <row r="2466" spans="10:23" x14ac:dyDescent="0.25">
      <c r="J2466"/>
      <c r="M2466"/>
      <c r="W2466"/>
    </row>
    <row r="2467" spans="10:23" x14ac:dyDescent="0.25">
      <c r="J2467"/>
      <c r="M2467"/>
      <c r="W2467"/>
    </row>
    <row r="2468" spans="10:23" x14ac:dyDescent="0.25">
      <c r="J2468"/>
      <c r="M2468"/>
      <c r="W2468"/>
    </row>
    <row r="2469" spans="10:23" x14ac:dyDescent="0.25">
      <c r="J2469"/>
      <c r="M2469"/>
      <c r="W2469"/>
    </row>
    <row r="2470" spans="10:23" x14ac:dyDescent="0.25">
      <c r="J2470"/>
      <c r="M2470"/>
      <c r="W2470"/>
    </row>
    <row r="2471" spans="10:23" x14ac:dyDescent="0.25">
      <c r="J2471"/>
      <c r="M2471"/>
      <c r="W2471"/>
    </row>
    <row r="2472" spans="10:23" x14ac:dyDescent="0.25">
      <c r="J2472"/>
      <c r="M2472"/>
      <c r="W2472"/>
    </row>
    <row r="2473" spans="10:23" x14ac:dyDescent="0.25">
      <c r="J2473"/>
      <c r="M2473"/>
      <c r="W2473"/>
    </row>
    <row r="2474" spans="10:23" x14ac:dyDescent="0.25">
      <c r="J2474"/>
      <c r="M2474"/>
      <c r="W2474"/>
    </row>
    <row r="2475" spans="10:23" x14ac:dyDescent="0.25">
      <c r="J2475"/>
      <c r="M2475"/>
      <c r="W2475"/>
    </row>
    <row r="2476" spans="10:23" x14ac:dyDescent="0.25">
      <c r="J2476"/>
      <c r="M2476"/>
      <c r="W2476"/>
    </row>
    <row r="2477" spans="10:23" x14ac:dyDescent="0.25">
      <c r="J2477"/>
      <c r="M2477"/>
      <c r="W2477"/>
    </row>
    <row r="2478" spans="10:23" x14ac:dyDescent="0.25">
      <c r="J2478"/>
      <c r="M2478"/>
      <c r="W2478"/>
    </row>
    <row r="2479" spans="10:23" x14ac:dyDescent="0.25">
      <c r="J2479"/>
      <c r="M2479"/>
      <c r="W2479"/>
    </row>
    <row r="2480" spans="10:23" x14ac:dyDescent="0.25">
      <c r="J2480"/>
      <c r="M2480"/>
      <c r="W2480"/>
    </row>
    <row r="2481" spans="10:23" x14ac:dyDescent="0.25">
      <c r="J2481"/>
      <c r="M2481"/>
      <c r="W2481"/>
    </row>
    <row r="2482" spans="10:23" x14ac:dyDescent="0.25">
      <c r="J2482"/>
      <c r="M2482"/>
      <c r="W2482"/>
    </row>
    <row r="2483" spans="10:23" x14ac:dyDescent="0.25">
      <c r="J2483"/>
      <c r="M2483"/>
      <c r="W2483"/>
    </row>
    <row r="2484" spans="10:23" x14ac:dyDescent="0.25">
      <c r="J2484"/>
      <c r="M2484"/>
      <c r="W2484"/>
    </row>
    <row r="2485" spans="10:23" x14ac:dyDescent="0.25">
      <c r="J2485"/>
      <c r="M2485"/>
      <c r="W2485"/>
    </row>
    <row r="2486" spans="10:23" x14ac:dyDescent="0.25">
      <c r="J2486"/>
      <c r="M2486"/>
      <c r="W2486"/>
    </row>
    <row r="2487" spans="10:23" x14ac:dyDescent="0.25">
      <c r="J2487"/>
      <c r="M2487"/>
      <c r="W2487"/>
    </row>
    <row r="2488" spans="10:23" x14ac:dyDescent="0.25">
      <c r="J2488"/>
      <c r="M2488"/>
      <c r="W2488"/>
    </row>
    <row r="2489" spans="10:23" x14ac:dyDescent="0.25">
      <c r="J2489"/>
      <c r="M2489"/>
      <c r="W2489"/>
    </row>
    <row r="2490" spans="10:23" x14ac:dyDescent="0.25">
      <c r="J2490"/>
      <c r="M2490"/>
      <c r="W2490"/>
    </row>
    <row r="2491" spans="10:23" x14ac:dyDescent="0.25">
      <c r="J2491"/>
      <c r="M2491"/>
      <c r="W2491"/>
    </row>
    <row r="2492" spans="10:23" x14ac:dyDescent="0.25">
      <c r="J2492"/>
      <c r="M2492"/>
      <c r="W2492"/>
    </row>
    <row r="2493" spans="10:23" x14ac:dyDescent="0.25">
      <c r="J2493"/>
      <c r="M2493"/>
      <c r="W2493"/>
    </row>
    <row r="2494" spans="10:23" x14ac:dyDescent="0.25">
      <c r="J2494"/>
      <c r="M2494"/>
      <c r="W2494"/>
    </row>
    <row r="2495" spans="10:23" x14ac:dyDescent="0.25">
      <c r="J2495"/>
      <c r="M2495"/>
      <c r="W2495"/>
    </row>
    <row r="2496" spans="10:23" x14ac:dyDescent="0.25">
      <c r="J2496"/>
      <c r="M2496"/>
      <c r="W2496"/>
    </row>
    <row r="2497" spans="10:23" x14ac:dyDescent="0.25">
      <c r="J2497"/>
      <c r="M2497"/>
      <c r="W2497"/>
    </row>
    <row r="2498" spans="10:23" x14ac:dyDescent="0.25">
      <c r="J2498"/>
      <c r="M2498"/>
      <c r="W2498"/>
    </row>
    <row r="2499" spans="10:23" x14ac:dyDescent="0.25">
      <c r="J2499"/>
      <c r="M2499"/>
      <c r="W2499"/>
    </row>
    <row r="2500" spans="10:23" x14ac:dyDescent="0.25">
      <c r="J2500"/>
      <c r="M2500"/>
      <c r="W2500"/>
    </row>
    <row r="2501" spans="10:23" x14ac:dyDescent="0.25">
      <c r="J2501"/>
      <c r="M2501"/>
      <c r="W2501"/>
    </row>
    <row r="2502" spans="10:23" x14ac:dyDescent="0.25">
      <c r="J2502"/>
      <c r="M2502"/>
      <c r="W2502"/>
    </row>
    <row r="2503" spans="10:23" x14ac:dyDescent="0.25">
      <c r="J2503"/>
      <c r="M2503"/>
      <c r="W2503"/>
    </row>
    <row r="2504" spans="10:23" x14ac:dyDescent="0.25">
      <c r="J2504"/>
      <c r="M2504"/>
      <c r="W2504"/>
    </row>
    <row r="2505" spans="10:23" x14ac:dyDescent="0.25">
      <c r="J2505"/>
      <c r="M2505"/>
      <c r="W2505"/>
    </row>
    <row r="2506" spans="10:23" x14ac:dyDescent="0.25">
      <c r="J2506"/>
      <c r="M2506"/>
      <c r="W2506"/>
    </row>
    <row r="2507" spans="10:23" x14ac:dyDescent="0.25">
      <c r="J2507"/>
      <c r="M2507"/>
      <c r="W2507"/>
    </row>
    <row r="2508" spans="10:23" x14ac:dyDescent="0.25">
      <c r="J2508"/>
      <c r="M2508"/>
      <c r="W2508"/>
    </row>
    <row r="2509" spans="10:23" x14ac:dyDescent="0.25">
      <c r="J2509"/>
      <c r="M2509"/>
      <c r="W2509"/>
    </row>
    <row r="2510" spans="10:23" x14ac:dyDescent="0.25">
      <c r="J2510"/>
      <c r="M2510"/>
      <c r="W2510"/>
    </row>
    <row r="2511" spans="10:23" x14ac:dyDescent="0.25">
      <c r="J2511"/>
      <c r="M2511"/>
      <c r="W2511"/>
    </row>
    <row r="2512" spans="10:23" x14ac:dyDescent="0.25">
      <c r="J2512"/>
      <c r="M2512"/>
      <c r="W2512"/>
    </row>
    <row r="2513" spans="10:23" x14ac:dyDescent="0.25">
      <c r="J2513"/>
      <c r="M2513"/>
      <c r="W2513"/>
    </row>
    <row r="2514" spans="10:23" x14ac:dyDescent="0.25">
      <c r="J2514"/>
      <c r="M2514"/>
      <c r="W2514"/>
    </row>
    <row r="2515" spans="10:23" x14ac:dyDescent="0.25">
      <c r="J2515"/>
      <c r="M2515"/>
      <c r="W2515"/>
    </row>
    <row r="2516" spans="10:23" x14ac:dyDescent="0.25">
      <c r="J2516"/>
      <c r="M2516"/>
      <c r="W2516"/>
    </row>
    <row r="2517" spans="10:23" x14ac:dyDescent="0.25">
      <c r="J2517"/>
      <c r="M2517"/>
      <c r="W2517"/>
    </row>
    <row r="2518" spans="10:23" x14ac:dyDescent="0.25">
      <c r="J2518"/>
      <c r="M2518"/>
      <c r="W2518"/>
    </row>
    <row r="2519" spans="10:23" x14ac:dyDescent="0.25">
      <c r="J2519"/>
      <c r="M2519"/>
      <c r="W2519"/>
    </row>
    <row r="2520" spans="10:23" x14ac:dyDescent="0.25">
      <c r="J2520"/>
      <c r="M2520"/>
      <c r="W2520"/>
    </row>
    <row r="2521" spans="10:23" x14ac:dyDescent="0.25">
      <c r="J2521"/>
      <c r="M2521"/>
      <c r="W2521"/>
    </row>
    <row r="2522" spans="10:23" x14ac:dyDescent="0.25">
      <c r="J2522"/>
      <c r="M2522"/>
      <c r="W2522"/>
    </row>
    <row r="2523" spans="10:23" x14ac:dyDescent="0.25">
      <c r="J2523"/>
      <c r="M2523"/>
      <c r="W2523"/>
    </row>
    <row r="2524" spans="10:23" x14ac:dyDescent="0.25">
      <c r="J2524"/>
      <c r="M2524"/>
      <c r="W2524"/>
    </row>
    <row r="2525" spans="10:23" x14ac:dyDescent="0.25">
      <c r="J2525"/>
      <c r="M2525"/>
      <c r="W2525"/>
    </row>
    <row r="2526" spans="10:23" x14ac:dyDescent="0.25">
      <c r="J2526"/>
      <c r="M2526"/>
      <c r="W2526"/>
    </row>
    <row r="2527" spans="10:23" x14ac:dyDescent="0.25">
      <c r="J2527"/>
      <c r="M2527"/>
      <c r="W2527"/>
    </row>
    <row r="2528" spans="10:23" x14ac:dyDescent="0.25">
      <c r="J2528"/>
      <c r="M2528"/>
      <c r="W2528"/>
    </row>
    <row r="2529" spans="10:23" x14ac:dyDescent="0.25">
      <c r="J2529"/>
      <c r="M2529"/>
      <c r="W2529"/>
    </row>
    <row r="2530" spans="10:23" x14ac:dyDescent="0.25">
      <c r="J2530"/>
      <c r="M2530"/>
      <c r="W2530"/>
    </row>
    <row r="2531" spans="10:23" x14ac:dyDescent="0.25">
      <c r="J2531"/>
      <c r="M2531"/>
      <c r="W2531"/>
    </row>
    <row r="2532" spans="10:23" x14ac:dyDescent="0.25">
      <c r="J2532"/>
      <c r="M2532"/>
      <c r="W2532"/>
    </row>
    <row r="2533" spans="10:23" x14ac:dyDescent="0.25">
      <c r="J2533"/>
      <c r="M2533"/>
      <c r="W2533"/>
    </row>
    <row r="2534" spans="10:23" x14ac:dyDescent="0.25">
      <c r="J2534"/>
      <c r="M2534"/>
      <c r="W2534"/>
    </row>
    <row r="2535" spans="10:23" x14ac:dyDescent="0.25">
      <c r="J2535"/>
      <c r="M2535"/>
      <c r="W2535"/>
    </row>
    <row r="2536" spans="10:23" x14ac:dyDescent="0.25">
      <c r="J2536"/>
      <c r="M2536"/>
      <c r="W2536"/>
    </row>
    <row r="2537" spans="10:23" x14ac:dyDescent="0.25">
      <c r="J2537"/>
      <c r="M2537"/>
      <c r="W2537"/>
    </row>
    <row r="2538" spans="10:23" x14ac:dyDescent="0.25">
      <c r="J2538"/>
      <c r="M2538"/>
      <c r="W2538"/>
    </row>
    <row r="2539" spans="10:23" x14ac:dyDescent="0.25">
      <c r="J2539"/>
      <c r="M2539"/>
      <c r="W2539"/>
    </row>
    <row r="2540" spans="10:23" x14ac:dyDescent="0.25">
      <c r="J2540"/>
      <c r="M2540"/>
      <c r="W2540"/>
    </row>
    <row r="2541" spans="10:23" x14ac:dyDescent="0.25">
      <c r="J2541"/>
      <c r="M2541"/>
      <c r="W2541"/>
    </row>
    <row r="2542" spans="10:23" x14ac:dyDescent="0.25">
      <c r="J2542"/>
      <c r="M2542"/>
      <c r="W2542"/>
    </row>
    <row r="2543" spans="10:23" x14ac:dyDescent="0.25">
      <c r="J2543"/>
      <c r="M2543"/>
      <c r="W2543"/>
    </row>
    <row r="2544" spans="10:23" x14ac:dyDescent="0.25">
      <c r="J2544"/>
      <c r="M2544"/>
      <c r="W2544"/>
    </row>
    <row r="2545" spans="10:23" x14ac:dyDescent="0.25">
      <c r="J2545"/>
      <c r="M2545"/>
      <c r="W2545"/>
    </row>
    <row r="2546" spans="10:23" x14ac:dyDescent="0.25">
      <c r="J2546"/>
      <c r="M2546"/>
      <c r="W2546"/>
    </row>
    <row r="2547" spans="10:23" x14ac:dyDescent="0.25">
      <c r="J2547"/>
      <c r="M2547"/>
      <c r="W2547"/>
    </row>
    <row r="2548" spans="10:23" x14ac:dyDescent="0.25">
      <c r="J2548"/>
      <c r="M2548"/>
      <c r="W2548"/>
    </row>
    <row r="2549" spans="10:23" x14ac:dyDescent="0.25">
      <c r="J2549"/>
      <c r="M2549"/>
      <c r="W2549"/>
    </row>
    <row r="2550" spans="10:23" x14ac:dyDescent="0.25">
      <c r="J2550"/>
      <c r="M2550"/>
      <c r="W2550"/>
    </row>
    <row r="2551" spans="10:23" x14ac:dyDescent="0.25">
      <c r="J2551"/>
      <c r="M2551"/>
      <c r="W2551"/>
    </row>
    <row r="2552" spans="10:23" x14ac:dyDescent="0.25">
      <c r="J2552"/>
      <c r="M2552"/>
      <c r="W2552"/>
    </row>
    <row r="2553" spans="10:23" x14ac:dyDescent="0.25">
      <c r="J2553"/>
      <c r="M2553"/>
      <c r="W2553"/>
    </row>
    <row r="2554" spans="10:23" x14ac:dyDescent="0.25">
      <c r="J2554"/>
      <c r="M2554"/>
      <c r="W2554"/>
    </row>
    <row r="2555" spans="10:23" x14ac:dyDescent="0.25">
      <c r="J2555"/>
      <c r="M2555"/>
      <c r="W2555"/>
    </row>
    <row r="2556" spans="10:23" x14ac:dyDescent="0.25">
      <c r="J2556"/>
      <c r="M2556"/>
      <c r="W2556"/>
    </row>
    <row r="2557" spans="10:23" x14ac:dyDescent="0.25">
      <c r="J2557"/>
      <c r="M2557"/>
      <c r="W2557"/>
    </row>
    <row r="2558" spans="10:23" x14ac:dyDescent="0.25">
      <c r="J2558"/>
      <c r="M2558"/>
      <c r="W2558"/>
    </row>
    <row r="2559" spans="10:23" x14ac:dyDescent="0.25">
      <c r="J2559"/>
      <c r="M2559"/>
      <c r="W2559"/>
    </row>
    <row r="2560" spans="10:23" x14ac:dyDescent="0.25">
      <c r="J2560"/>
      <c r="M2560"/>
      <c r="W2560"/>
    </row>
    <row r="2561" spans="10:23" x14ac:dyDescent="0.25">
      <c r="J2561"/>
      <c r="M2561"/>
      <c r="W2561"/>
    </row>
    <row r="2562" spans="10:23" x14ac:dyDescent="0.25">
      <c r="J2562"/>
      <c r="M2562"/>
      <c r="W2562"/>
    </row>
    <row r="2563" spans="10:23" x14ac:dyDescent="0.25">
      <c r="J2563"/>
      <c r="M2563"/>
      <c r="W2563"/>
    </row>
    <row r="2564" spans="10:23" x14ac:dyDescent="0.25">
      <c r="J2564"/>
      <c r="M2564"/>
      <c r="W2564"/>
    </row>
    <row r="2565" spans="10:23" x14ac:dyDescent="0.25">
      <c r="J2565"/>
      <c r="M2565"/>
      <c r="W2565"/>
    </row>
    <row r="2566" spans="10:23" x14ac:dyDescent="0.25">
      <c r="J2566"/>
      <c r="M2566"/>
      <c r="W2566"/>
    </row>
    <row r="2567" spans="10:23" x14ac:dyDescent="0.25">
      <c r="J2567"/>
      <c r="M2567"/>
      <c r="W2567"/>
    </row>
    <row r="2568" spans="10:23" x14ac:dyDescent="0.25">
      <c r="J2568"/>
      <c r="M2568"/>
      <c r="W2568"/>
    </row>
    <row r="2569" spans="10:23" x14ac:dyDescent="0.25">
      <c r="J2569"/>
      <c r="M2569"/>
      <c r="W2569"/>
    </row>
    <row r="2570" spans="10:23" x14ac:dyDescent="0.25">
      <c r="J2570"/>
      <c r="M2570"/>
      <c r="W2570"/>
    </row>
    <row r="2571" spans="10:23" x14ac:dyDescent="0.25">
      <c r="J2571"/>
      <c r="M2571"/>
      <c r="W2571"/>
    </row>
    <row r="2572" spans="10:23" x14ac:dyDescent="0.25">
      <c r="J2572"/>
      <c r="M2572"/>
      <c r="W2572"/>
    </row>
    <row r="2573" spans="10:23" x14ac:dyDescent="0.25">
      <c r="J2573"/>
      <c r="M2573"/>
      <c r="W2573"/>
    </row>
    <row r="2574" spans="10:23" x14ac:dyDescent="0.25">
      <c r="J2574"/>
      <c r="M2574"/>
      <c r="W2574"/>
    </row>
    <row r="2575" spans="10:23" x14ac:dyDescent="0.25">
      <c r="J2575"/>
      <c r="M2575"/>
      <c r="W2575"/>
    </row>
    <row r="2576" spans="10:23" x14ac:dyDescent="0.25">
      <c r="J2576"/>
      <c r="M2576"/>
      <c r="W2576"/>
    </row>
    <row r="2577" spans="10:23" x14ac:dyDescent="0.25">
      <c r="J2577"/>
      <c r="M2577"/>
      <c r="W2577"/>
    </row>
    <row r="2578" spans="10:23" x14ac:dyDescent="0.25">
      <c r="J2578"/>
      <c r="M2578"/>
      <c r="W2578"/>
    </row>
    <row r="2579" spans="10:23" x14ac:dyDescent="0.25">
      <c r="J2579"/>
      <c r="M2579"/>
      <c r="W2579"/>
    </row>
    <row r="2580" spans="10:23" x14ac:dyDescent="0.25">
      <c r="J2580"/>
      <c r="M2580"/>
      <c r="W2580"/>
    </row>
    <row r="2581" spans="10:23" x14ac:dyDescent="0.25">
      <c r="J2581"/>
      <c r="M2581"/>
      <c r="W2581"/>
    </row>
    <row r="2582" spans="10:23" x14ac:dyDescent="0.25">
      <c r="J2582"/>
      <c r="M2582"/>
      <c r="W2582"/>
    </row>
    <row r="2583" spans="10:23" x14ac:dyDescent="0.25">
      <c r="J2583"/>
      <c r="M2583"/>
      <c r="W2583"/>
    </row>
    <row r="2584" spans="10:23" x14ac:dyDescent="0.25">
      <c r="J2584"/>
      <c r="M2584"/>
      <c r="W2584"/>
    </row>
    <row r="2585" spans="10:23" x14ac:dyDescent="0.25">
      <c r="J2585"/>
      <c r="M2585"/>
      <c r="W2585"/>
    </row>
    <row r="2586" spans="10:23" x14ac:dyDescent="0.25">
      <c r="J2586"/>
      <c r="M2586"/>
      <c r="W2586"/>
    </row>
    <row r="2587" spans="10:23" x14ac:dyDescent="0.25">
      <c r="J2587"/>
      <c r="M2587"/>
      <c r="W2587"/>
    </row>
    <row r="2588" spans="10:23" x14ac:dyDescent="0.25">
      <c r="J2588"/>
      <c r="M2588"/>
      <c r="W2588"/>
    </row>
    <row r="2589" spans="10:23" x14ac:dyDescent="0.25">
      <c r="J2589"/>
      <c r="M2589"/>
      <c r="W2589"/>
    </row>
    <row r="2590" spans="10:23" x14ac:dyDescent="0.25">
      <c r="J2590"/>
      <c r="M2590"/>
      <c r="W2590"/>
    </row>
    <row r="2591" spans="10:23" x14ac:dyDescent="0.25">
      <c r="J2591"/>
      <c r="M2591"/>
      <c r="W2591"/>
    </row>
    <row r="2592" spans="10:23" x14ac:dyDescent="0.25">
      <c r="J2592"/>
      <c r="M2592"/>
      <c r="W2592"/>
    </row>
    <row r="2593" spans="10:23" x14ac:dyDescent="0.25">
      <c r="J2593"/>
      <c r="M2593"/>
      <c r="W2593"/>
    </row>
    <row r="2594" spans="10:23" x14ac:dyDescent="0.25">
      <c r="J2594"/>
      <c r="M2594"/>
      <c r="W2594"/>
    </row>
    <row r="2595" spans="10:23" x14ac:dyDescent="0.25">
      <c r="J2595"/>
      <c r="M2595"/>
      <c r="W2595"/>
    </row>
    <row r="2596" spans="10:23" x14ac:dyDescent="0.25">
      <c r="J2596"/>
      <c r="M2596"/>
      <c r="W2596"/>
    </row>
    <row r="2597" spans="10:23" x14ac:dyDescent="0.25">
      <c r="J2597"/>
      <c r="M2597"/>
      <c r="W2597"/>
    </row>
    <row r="2598" spans="10:23" x14ac:dyDescent="0.25">
      <c r="J2598"/>
      <c r="M2598"/>
      <c r="W2598"/>
    </row>
    <row r="2599" spans="10:23" x14ac:dyDescent="0.25">
      <c r="J2599"/>
      <c r="M2599"/>
      <c r="W2599"/>
    </row>
    <row r="2600" spans="10:23" x14ac:dyDescent="0.25">
      <c r="J2600"/>
      <c r="M2600"/>
      <c r="W2600"/>
    </row>
    <row r="2601" spans="10:23" x14ac:dyDescent="0.25">
      <c r="J2601"/>
      <c r="M2601"/>
      <c r="W2601"/>
    </row>
    <row r="2602" spans="10:23" x14ac:dyDescent="0.25">
      <c r="J2602"/>
      <c r="M2602"/>
      <c r="W2602"/>
    </row>
    <row r="2603" spans="10:23" x14ac:dyDescent="0.25">
      <c r="J2603"/>
      <c r="M2603"/>
      <c r="W2603"/>
    </row>
    <row r="2604" spans="10:23" x14ac:dyDescent="0.25">
      <c r="J2604"/>
      <c r="M2604"/>
      <c r="W2604"/>
    </row>
    <row r="2605" spans="10:23" x14ac:dyDescent="0.25">
      <c r="J2605"/>
      <c r="M2605"/>
      <c r="W2605"/>
    </row>
    <row r="2606" spans="10:23" x14ac:dyDescent="0.25">
      <c r="J2606"/>
      <c r="M2606"/>
      <c r="W2606"/>
    </row>
    <row r="2607" spans="10:23" x14ac:dyDescent="0.25">
      <c r="J2607"/>
      <c r="M2607"/>
      <c r="W2607"/>
    </row>
    <row r="2608" spans="10:23" x14ac:dyDescent="0.25">
      <c r="J2608"/>
      <c r="M2608"/>
      <c r="W2608"/>
    </row>
    <row r="2609" spans="10:23" x14ac:dyDescent="0.25">
      <c r="J2609"/>
      <c r="M2609"/>
      <c r="W2609"/>
    </row>
    <row r="2610" spans="10:23" x14ac:dyDescent="0.25">
      <c r="J2610"/>
      <c r="M2610"/>
      <c r="W2610"/>
    </row>
    <row r="2611" spans="10:23" x14ac:dyDescent="0.25">
      <c r="J2611"/>
      <c r="M2611"/>
      <c r="W2611"/>
    </row>
    <row r="2612" spans="10:23" x14ac:dyDescent="0.25">
      <c r="J2612"/>
      <c r="M2612"/>
      <c r="W2612"/>
    </row>
    <row r="2613" spans="10:23" x14ac:dyDescent="0.25">
      <c r="J2613"/>
      <c r="M2613"/>
      <c r="W2613"/>
    </row>
    <row r="2614" spans="10:23" x14ac:dyDescent="0.25">
      <c r="J2614"/>
      <c r="M2614"/>
      <c r="W2614"/>
    </row>
    <row r="2615" spans="10:23" x14ac:dyDescent="0.25">
      <c r="J2615"/>
      <c r="M2615"/>
      <c r="W2615"/>
    </row>
    <row r="2616" spans="10:23" x14ac:dyDescent="0.25">
      <c r="J2616"/>
      <c r="M2616"/>
      <c r="W2616"/>
    </row>
    <row r="2617" spans="10:23" x14ac:dyDescent="0.25">
      <c r="J2617"/>
      <c r="M2617"/>
      <c r="W2617"/>
    </row>
    <row r="2618" spans="10:23" x14ac:dyDescent="0.25">
      <c r="J2618"/>
      <c r="M2618"/>
      <c r="W2618"/>
    </row>
    <row r="2619" spans="10:23" x14ac:dyDescent="0.25">
      <c r="J2619"/>
      <c r="M2619"/>
      <c r="W2619"/>
    </row>
    <row r="2620" spans="10:23" x14ac:dyDescent="0.25">
      <c r="J2620"/>
      <c r="M2620"/>
      <c r="W2620"/>
    </row>
    <row r="2621" spans="10:23" x14ac:dyDescent="0.25">
      <c r="J2621"/>
      <c r="M2621"/>
      <c r="W2621"/>
    </row>
    <row r="2622" spans="10:23" x14ac:dyDescent="0.25">
      <c r="J2622"/>
      <c r="M2622"/>
      <c r="W2622"/>
    </row>
    <row r="2623" spans="10:23" x14ac:dyDescent="0.25">
      <c r="J2623"/>
      <c r="M2623"/>
      <c r="W2623"/>
    </row>
    <row r="2624" spans="10:23" x14ac:dyDescent="0.25">
      <c r="J2624"/>
      <c r="M2624"/>
      <c r="W2624"/>
    </row>
    <row r="2625" spans="10:23" x14ac:dyDescent="0.25">
      <c r="J2625"/>
      <c r="M2625"/>
      <c r="W2625"/>
    </row>
    <row r="2626" spans="10:23" x14ac:dyDescent="0.25">
      <c r="J2626"/>
      <c r="M2626"/>
      <c r="W2626"/>
    </row>
    <row r="2627" spans="10:23" x14ac:dyDescent="0.25">
      <c r="J2627"/>
      <c r="M2627"/>
      <c r="W2627"/>
    </row>
    <row r="2628" spans="10:23" x14ac:dyDescent="0.25">
      <c r="J2628"/>
      <c r="M2628"/>
      <c r="W2628"/>
    </row>
    <row r="2629" spans="10:23" x14ac:dyDescent="0.25">
      <c r="J2629"/>
      <c r="M2629"/>
      <c r="W2629"/>
    </row>
    <row r="2630" spans="10:23" x14ac:dyDescent="0.25">
      <c r="J2630"/>
      <c r="M2630"/>
      <c r="W2630"/>
    </row>
    <row r="2631" spans="10:23" x14ac:dyDescent="0.25">
      <c r="J2631"/>
      <c r="M2631"/>
      <c r="W2631"/>
    </row>
    <row r="2632" spans="10:23" x14ac:dyDescent="0.25">
      <c r="J2632"/>
      <c r="M2632"/>
      <c r="W2632"/>
    </row>
    <row r="2633" spans="10:23" x14ac:dyDescent="0.25">
      <c r="J2633"/>
      <c r="M2633"/>
      <c r="W2633"/>
    </row>
    <row r="2634" spans="10:23" x14ac:dyDescent="0.25">
      <c r="J2634"/>
      <c r="M2634"/>
      <c r="W2634"/>
    </row>
    <row r="2635" spans="10:23" x14ac:dyDescent="0.25">
      <c r="J2635"/>
      <c r="M2635"/>
      <c r="W2635"/>
    </row>
    <row r="2636" spans="10:23" x14ac:dyDescent="0.25">
      <c r="J2636"/>
      <c r="M2636"/>
      <c r="W2636"/>
    </row>
    <row r="2637" spans="10:23" x14ac:dyDescent="0.25">
      <c r="J2637"/>
      <c r="M2637"/>
      <c r="W2637"/>
    </row>
    <row r="2638" spans="10:23" x14ac:dyDescent="0.25">
      <c r="J2638"/>
      <c r="M2638"/>
      <c r="W2638"/>
    </row>
    <row r="2639" spans="10:23" x14ac:dyDescent="0.25">
      <c r="J2639"/>
      <c r="M2639"/>
      <c r="W2639"/>
    </row>
    <row r="2640" spans="10:23" x14ac:dyDescent="0.25">
      <c r="J2640"/>
      <c r="M2640"/>
      <c r="W2640"/>
    </row>
    <row r="2641" spans="10:23" x14ac:dyDescent="0.25">
      <c r="J2641"/>
      <c r="M2641"/>
      <c r="W2641"/>
    </row>
    <row r="2642" spans="10:23" x14ac:dyDescent="0.25">
      <c r="J2642"/>
      <c r="M2642"/>
      <c r="W2642"/>
    </row>
    <row r="2643" spans="10:23" x14ac:dyDescent="0.25">
      <c r="J2643"/>
      <c r="M2643"/>
      <c r="W2643"/>
    </row>
    <row r="2644" spans="10:23" x14ac:dyDescent="0.25">
      <c r="J2644"/>
      <c r="M2644"/>
      <c r="W2644"/>
    </row>
    <row r="2645" spans="10:23" x14ac:dyDescent="0.25">
      <c r="J2645"/>
      <c r="M2645"/>
      <c r="W2645"/>
    </row>
    <row r="2646" spans="10:23" x14ac:dyDescent="0.25">
      <c r="J2646"/>
      <c r="M2646"/>
      <c r="W2646"/>
    </row>
    <row r="2647" spans="10:23" x14ac:dyDescent="0.25">
      <c r="J2647"/>
      <c r="M2647"/>
      <c r="W2647"/>
    </row>
    <row r="2648" spans="10:23" x14ac:dyDescent="0.25">
      <c r="J2648"/>
      <c r="M2648"/>
      <c r="W2648"/>
    </row>
    <row r="2649" spans="10:23" x14ac:dyDescent="0.25">
      <c r="J2649"/>
      <c r="M2649"/>
      <c r="W2649"/>
    </row>
    <row r="2650" spans="10:23" x14ac:dyDescent="0.25">
      <c r="J2650"/>
      <c r="M2650"/>
      <c r="W2650"/>
    </row>
    <row r="2651" spans="10:23" x14ac:dyDescent="0.25">
      <c r="J2651"/>
      <c r="M2651"/>
      <c r="W2651"/>
    </row>
    <row r="2652" spans="10:23" x14ac:dyDescent="0.25">
      <c r="J2652"/>
      <c r="M2652"/>
      <c r="W2652"/>
    </row>
    <row r="2653" spans="10:23" x14ac:dyDescent="0.25">
      <c r="J2653"/>
      <c r="M2653"/>
      <c r="W2653"/>
    </row>
    <row r="2654" spans="10:23" x14ac:dyDescent="0.25">
      <c r="J2654"/>
      <c r="M2654"/>
      <c r="W2654"/>
    </row>
    <row r="2655" spans="10:23" x14ac:dyDescent="0.25">
      <c r="J2655"/>
      <c r="M2655"/>
      <c r="W2655"/>
    </row>
    <row r="2656" spans="10:23" x14ac:dyDescent="0.25">
      <c r="J2656"/>
      <c r="M2656"/>
      <c r="W2656"/>
    </row>
    <row r="2657" spans="10:23" x14ac:dyDescent="0.25">
      <c r="J2657"/>
      <c r="M2657"/>
      <c r="W2657"/>
    </row>
    <row r="2658" spans="10:23" x14ac:dyDescent="0.25">
      <c r="J2658"/>
      <c r="M2658"/>
      <c r="W2658"/>
    </row>
    <row r="2659" spans="10:23" x14ac:dyDescent="0.25">
      <c r="J2659"/>
      <c r="M2659"/>
      <c r="W2659"/>
    </row>
    <row r="2660" spans="10:23" x14ac:dyDescent="0.25">
      <c r="J2660"/>
      <c r="M2660"/>
      <c r="W2660"/>
    </row>
    <row r="2661" spans="10:23" x14ac:dyDescent="0.25">
      <c r="J2661"/>
      <c r="M2661"/>
      <c r="W2661"/>
    </row>
    <row r="2662" spans="10:23" x14ac:dyDescent="0.25">
      <c r="J2662"/>
      <c r="M2662"/>
      <c r="W2662"/>
    </row>
    <row r="2663" spans="10:23" x14ac:dyDescent="0.25">
      <c r="J2663"/>
      <c r="M2663"/>
      <c r="W2663"/>
    </row>
    <row r="2664" spans="10:23" x14ac:dyDescent="0.25">
      <c r="J2664"/>
      <c r="M2664"/>
      <c r="W2664"/>
    </row>
    <row r="2665" spans="10:23" x14ac:dyDescent="0.25">
      <c r="J2665"/>
      <c r="M2665"/>
      <c r="W2665"/>
    </row>
    <row r="2666" spans="10:23" x14ac:dyDescent="0.25">
      <c r="J2666"/>
      <c r="M2666"/>
      <c r="W2666"/>
    </row>
    <row r="2667" spans="10:23" x14ac:dyDescent="0.25">
      <c r="J2667"/>
      <c r="M2667"/>
      <c r="W2667"/>
    </row>
    <row r="2668" spans="10:23" x14ac:dyDescent="0.25">
      <c r="J2668"/>
      <c r="M2668"/>
      <c r="W2668"/>
    </row>
    <row r="2669" spans="10:23" x14ac:dyDescent="0.25">
      <c r="J2669"/>
      <c r="M2669"/>
      <c r="W2669"/>
    </row>
    <row r="2670" spans="10:23" x14ac:dyDescent="0.25">
      <c r="J2670"/>
      <c r="M2670"/>
      <c r="W2670"/>
    </row>
    <row r="2671" spans="10:23" x14ac:dyDescent="0.25">
      <c r="J2671"/>
      <c r="M2671"/>
      <c r="W2671"/>
    </row>
    <row r="2672" spans="10:23" x14ac:dyDescent="0.25">
      <c r="J2672"/>
      <c r="M2672"/>
      <c r="W2672"/>
    </row>
    <row r="2673" spans="10:23" x14ac:dyDescent="0.25">
      <c r="J2673"/>
      <c r="M2673"/>
      <c r="W2673"/>
    </row>
    <row r="2674" spans="10:23" x14ac:dyDescent="0.25">
      <c r="J2674"/>
      <c r="M2674"/>
      <c r="W2674"/>
    </row>
    <row r="2675" spans="10:23" x14ac:dyDescent="0.25">
      <c r="J2675"/>
      <c r="M2675"/>
      <c r="W2675"/>
    </row>
    <row r="2676" spans="10:23" x14ac:dyDescent="0.25">
      <c r="J2676"/>
      <c r="M2676"/>
      <c r="W2676"/>
    </row>
    <row r="2677" spans="10:23" x14ac:dyDescent="0.25">
      <c r="J2677"/>
      <c r="M2677"/>
      <c r="W2677"/>
    </row>
    <row r="2678" spans="10:23" x14ac:dyDescent="0.25">
      <c r="J2678"/>
      <c r="M2678"/>
      <c r="W2678"/>
    </row>
    <row r="2679" spans="10:23" x14ac:dyDescent="0.25">
      <c r="J2679"/>
      <c r="M2679"/>
      <c r="W2679"/>
    </row>
    <row r="2680" spans="10:23" x14ac:dyDescent="0.25">
      <c r="J2680"/>
      <c r="M2680"/>
      <c r="W2680"/>
    </row>
    <row r="2681" spans="10:23" x14ac:dyDescent="0.25">
      <c r="J2681"/>
      <c r="M2681"/>
      <c r="W2681"/>
    </row>
    <row r="2682" spans="10:23" x14ac:dyDescent="0.25">
      <c r="J2682"/>
      <c r="M2682"/>
      <c r="W2682"/>
    </row>
    <row r="2683" spans="10:23" x14ac:dyDescent="0.25">
      <c r="J2683"/>
      <c r="M2683"/>
      <c r="W2683"/>
    </row>
    <row r="2684" spans="10:23" x14ac:dyDescent="0.25">
      <c r="J2684"/>
      <c r="M2684"/>
      <c r="W2684"/>
    </row>
    <row r="2685" spans="10:23" x14ac:dyDescent="0.25">
      <c r="J2685"/>
      <c r="M2685"/>
      <c r="W2685"/>
    </row>
    <row r="2686" spans="10:23" x14ac:dyDescent="0.25">
      <c r="J2686"/>
      <c r="M2686"/>
      <c r="W2686"/>
    </row>
    <row r="2687" spans="10:23" x14ac:dyDescent="0.25">
      <c r="J2687"/>
      <c r="M2687"/>
      <c r="W2687"/>
    </row>
    <row r="2688" spans="10:23" x14ac:dyDescent="0.25">
      <c r="J2688"/>
      <c r="M2688"/>
      <c r="W2688"/>
    </row>
    <row r="2689" spans="10:23" x14ac:dyDescent="0.25">
      <c r="J2689"/>
      <c r="M2689"/>
      <c r="W2689"/>
    </row>
    <row r="2690" spans="10:23" x14ac:dyDescent="0.25">
      <c r="J2690"/>
      <c r="M2690"/>
      <c r="W2690"/>
    </row>
    <row r="2691" spans="10:23" x14ac:dyDescent="0.25">
      <c r="J2691"/>
      <c r="M2691"/>
      <c r="W2691"/>
    </row>
    <row r="2692" spans="10:23" x14ac:dyDescent="0.25">
      <c r="J2692"/>
      <c r="M2692"/>
      <c r="W2692"/>
    </row>
    <row r="2693" spans="10:23" x14ac:dyDescent="0.25">
      <c r="J2693"/>
      <c r="M2693"/>
      <c r="W2693"/>
    </row>
    <row r="2694" spans="10:23" x14ac:dyDescent="0.25">
      <c r="J2694"/>
      <c r="M2694"/>
      <c r="W2694"/>
    </row>
    <row r="2695" spans="10:23" x14ac:dyDescent="0.25">
      <c r="J2695"/>
      <c r="M2695"/>
      <c r="W2695"/>
    </row>
    <row r="2696" spans="10:23" x14ac:dyDescent="0.25">
      <c r="J2696"/>
      <c r="M2696"/>
      <c r="W2696"/>
    </row>
    <row r="2697" spans="10:23" x14ac:dyDescent="0.25">
      <c r="J2697"/>
      <c r="M2697"/>
      <c r="W2697"/>
    </row>
    <row r="2698" spans="10:23" x14ac:dyDescent="0.25">
      <c r="J2698"/>
      <c r="M2698"/>
      <c r="W2698"/>
    </row>
    <row r="2699" spans="10:23" x14ac:dyDescent="0.25">
      <c r="J2699"/>
      <c r="M2699"/>
      <c r="W2699"/>
    </row>
    <row r="2700" spans="10:23" x14ac:dyDescent="0.25">
      <c r="J2700"/>
      <c r="M2700"/>
      <c r="W2700"/>
    </row>
    <row r="2701" spans="10:23" x14ac:dyDescent="0.25">
      <c r="J2701"/>
      <c r="M2701"/>
      <c r="W2701"/>
    </row>
    <row r="2702" spans="10:23" x14ac:dyDescent="0.25">
      <c r="J2702"/>
      <c r="M2702"/>
      <c r="W2702"/>
    </row>
    <row r="2703" spans="10:23" x14ac:dyDescent="0.25">
      <c r="J2703"/>
      <c r="M2703"/>
      <c r="W2703"/>
    </row>
    <row r="2704" spans="10:23" x14ac:dyDescent="0.25">
      <c r="J2704"/>
      <c r="M2704"/>
      <c r="W2704"/>
    </row>
    <row r="2705" spans="10:23" x14ac:dyDescent="0.25">
      <c r="J2705"/>
      <c r="M2705"/>
      <c r="W2705"/>
    </row>
    <row r="2706" spans="10:23" x14ac:dyDescent="0.25">
      <c r="J2706"/>
      <c r="M2706"/>
      <c r="W2706"/>
    </row>
    <row r="2707" spans="10:23" x14ac:dyDescent="0.25">
      <c r="J2707"/>
      <c r="M2707"/>
      <c r="W2707"/>
    </row>
    <row r="2708" spans="10:23" x14ac:dyDescent="0.25">
      <c r="J2708"/>
      <c r="M2708"/>
      <c r="W2708"/>
    </row>
    <row r="2709" spans="10:23" x14ac:dyDescent="0.25">
      <c r="J2709"/>
      <c r="M2709"/>
      <c r="W2709"/>
    </row>
    <row r="2710" spans="10:23" x14ac:dyDescent="0.25">
      <c r="J2710"/>
      <c r="M2710"/>
      <c r="W2710"/>
    </row>
    <row r="2711" spans="10:23" x14ac:dyDescent="0.25">
      <c r="J2711"/>
      <c r="M2711"/>
      <c r="W2711"/>
    </row>
    <row r="2712" spans="10:23" x14ac:dyDescent="0.25">
      <c r="J2712"/>
      <c r="M2712"/>
      <c r="W2712"/>
    </row>
    <row r="2713" spans="10:23" x14ac:dyDescent="0.25">
      <c r="J2713"/>
      <c r="M2713"/>
      <c r="W2713"/>
    </row>
    <row r="2714" spans="10:23" x14ac:dyDescent="0.25">
      <c r="J2714"/>
      <c r="M2714"/>
      <c r="W2714"/>
    </row>
    <row r="2715" spans="10:23" x14ac:dyDescent="0.25">
      <c r="J2715"/>
      <c r="M2715"/>
      <c r="W2715"/>
    </row>
    <row r="2716" spans="10:23" x14ac:dyDescent="0.25">
      <c r="J2716"/>
      <c r="M2716"/>
      <c r="W2716"/>
    </row>
    <row r="2717" spans="10:23" x14ac:dyDescent="0.25">
      <c r="J2717"/>
      <c r="M2717"/>
      <c r="W2717"/>
    </row>
    <row r="2718" spans="10:23" x14ac:dyDescent="0.25">
      <c r="J2718"/>
      <c r="M2718"/>
      <c r="W2718"/>
    </row>
    <row r="2719" spans="10:23" x14ac:dyDescent="0.25">
      <c r="J2719"/>
      <c r="M2719"/>
      <c r="W2719"/>
    </row>
    <row r="2720" spans="10:23" x14ac:dyDescent="0.25">
      <c r="J2720"/>
      <c r="M2720"/>
      <c r="W2720"/>
    </row>
    <row r="2721" spans="10:23" x14ac:dyDescent="0.25">
      <c r="J2721"/>
      <c r="M2721"/>
      <c r="W2721"/>
    </row>
    <row r="2722" spans="10:23" x14ac:dyDescent="0.25">
      <c r="J2722"/>
      <c r="M2722"/>
      <c r="W2722"/>
    </row>
    <row r="2723" spans="10:23" x14ac:dyDescent="0.25">
      <c r="J2723"/>
      <c r="M2723"/>
      <c r="W2723"/>
    </row>
    <row r="2724" spans="10:23" x14ac:dyDescent="0.25">
      <c r="J2724"/>
      <c r="M2724"/>
      <c r="W2724"/>
    </row>
    <row r="2725" spans="10:23" x14ac:dyDescent="0.25">
      <c r="J2725"/>
      <c r="M2725"/>
      <c r="W2725"/>
    </row>
    <row r="2726" spans="10:23" x14ac:dyDescent="0.25">
      <c r="J2726"/>
      <c r="M2726"/>
      <c r="W2726"/>
    </row>
    <row r="2727" spans="10:23" x14ac:dyDescent="0.25">
      <c r="J2727"/>
      <c r="M2727"/>
      <c r="W2727"/>
    </row>
    <row r="2728" spans="10:23" x14ac:dyDescent="0.25">
      <c r="J2728"/>
      <c r="M2728"/>
      <c r="W2728"/>
    </row>
    <row r="2729" spans="10:23" x14ac:dyDescent="0.25">
      <c r="J2729"/>
      <c r="M2729"/>
      <c r="W2729"/>
    </row>
    <row r="2730" spans="10:23" x14ac:dyDescent="0.25">
      <c r="J2730"/>
      <c r="M2730"/>
      <c r="W2730"/>
    </row>
    <row r="2731" spans="10:23" x14ac:dyDescent="0.25">
      <c r="J2731"/>
      <c r="M2731"/>
      <c r="W2731"/>
    </row>
    <row r="2732" spans="10:23" x14ac:dyDescent="0.25">
      <c r="J2732"/>
      <c r="M2732"/>
      <c r="W2732"/>
    </row>
    <row r="2733" spans="10:23" x14ac:dyDescent="0.25">
      <c r="J2733"/>
      <c r="M2733"/>
      <c r="W2733"/>
    </row>
    <row r="2734" spans="10:23" x14ac:dyDescent="0.25">
      <c r="J2734"/>
      <c r="M2734"/>
      <c r="W2734"/>
    </row>
    <row r="2735" spans="10:23" x14ac:dyDescent="0.25">
      <c r="J2735"/>
      <c r="M2735"/>
      <c r="W2735"/>
    </row>
    <row r="2736" spans="10:23" x14ac:dyDescent="0.25">
      <c r="J2736"/>
      <c r="M2736"/>
      <c r="W2736"/>
    </row>
    <row r="2737" spans="10:23" x14ac:dyDescent="0.25">
      <c r="J2737"/>
      <c r="M2737"/>
      <c r="W2737"/>
    </row>
    <row r="2738" spans="10:23" x14ac:dyDescent="0.25">
      <c r="J2738"/>
      <c r="M2738"/>
      <c r="W2738"/>
    </row>
    <row r="2739" spans="10:23" x14ac:dyDescent="0.25">
      <c r="J2739"/>
      <c r="M2739"/>
      <c r="W2739"/>
    </row>
    <row r="2740" spans="10:23" x14ac:dyDescent="0.25">
      <c r="J2740"/>
      <c r="M2740"/>
      <c r="W2740"/>
    </row>
    <row r="2741" spans="10:23" x14ac:dyDescent="0.25">
      <c r="J2741"/>
      <c r="M2741"/>
      <c r="W2741"/>
    </row>
    <row r="2742" spans="10:23" x14ac:dyDescent="0.25">
      <c r="J2742"/>
      <c r="M2742"/>
      <c r="W2742"/>
    </row>
    <row r="2743" spans="10:23" x14ac:dyDescent="0.25">
      <c r="J2743"/>
      <c r="M2743"/>
      <c r="W2743"/>
    </row>
    <row r="2744" spans="10:23" x14ac:dyDescent="0.25">
      <c r="J2744"/>
      <c r="M2744"/>
      <c r="W2744"/>
    </row>
    <row r="2745" spans="10:23" x14ac:dyDescent="0.25">
      <c r="J2745"/>
      <c r="M2745"/>
      <c r="W2745"/>
    </row>
    <row r="2746" spans="10:23" x14ac:dyDescent="0.25">
      <c r="J2746"/>
      <c r="M2746"/>
      <c r="W2746"/>
    </row>
    <row r="2747" spans="10:23" x14ac:dyDescent="0.25">
      <c r="J2747"/>
      <c r="M2747"/>
      <c r="W2747"/>
    </row>
    <row r="2748" spans="10:23" x14ac:dyDescent="0.25">
      <c r="J2748"/>
      <c r="M2748"/>
      <c r="W2748"/>
    </row>
    <row r="2749" spans="10:23" x14ac:dyDescent="0.25">
      <c r="J2749"/>
      <c r="M2749"/>
      <c r="W2749"/>
    </row>
    <row r="2750" spans="10:23" x14ac:dyDescent="0.25">
      <c r="J2750"/>
      <c r="M2750"/>
      <c r="W2750"/>
    </row>
    <row r="2751" spans="10:23" x14ac:dyDescent="0.25">
      <c r="J2751"/>
      <c r="M2751"/>
      <c r="W2751"/>
    </row>
    <row r="2752" spans="10:23" x14ac:dyDescent="0.25">
      <c r="J2752"/>
      <c r="M2752"/>
      <c r="W2752"/>
    </row>
    <row r="2753" spans="10:23" x14ac:dyDescent="0.25">
      <c r="J2753"/>
      <c r="M2753"/>
      <c r="W2753"/>
    </row>
    <row r="2754" spans="10:23" x14ac:dyDescent="0.25">
      <c r="J2754"/>
      <c r="M2754"/>
      <c r="W2754"/>
    </row>
    <row r="2755" spans="10:23" x14ac:dyDescent="0.25">
      <c r="J2755"/>
      <c r="M2755"/>
      <c r="W2755"/>
    </row>
    <row r="2756" spans="10:23" x14ac:dyDescent="0.25">
      <c r="J2756"/>
      <c r="M2756"/>
      <c r="W2756"/>
    </row>
    <row r="2757" spans="10:23" x14ac:dyDescent="0.25">
      <c r="J2757"/>
      <c r="M2757"/>
      <c r="W2757"/>
    </row>
    <row r="2758" spans="10:23" x14ac:dyDescent="0.25">
      <c r="J2758"/>
      <c r="M2758"/>
      <c r="W2758"/>
    </row>
    <row r="2759" spans="10:23" x14ac:dyDescent="0.25">
      <c r="J2759"/>
      <c r="M2759"/>
      <c r="W2759"/>
    </row>
    <row r="2760" spans="10:23" x14ac:dyDescent="0.25">
      <c r="J2760"/>
      <c r="M2760"/>
      <c r="W2760"/>
    </row>
    <row r="2761" spans="10:23" x14ac:dyDescent="0.25">
      <c r="J2761"/>
      <c r="M2761"/>
      <c r="W2761"/>
    </row>
    <row r="2762" spans="10:23" x14ac:dyDescent="0.25">
      <c r="J2762"/>
      <c r="M2762"/>
      <c r="W2762"/>
    </row>
    <row r="2763" spans="10:23" x14ac:dyDescent="0.25">
      <c r="J2763"/>
      <c r="M2763"/>
      <c r="W2763"/>
    </row>
    <row r="2764" spans="10:23" x14ac:dyDescent="0.25">
      <c r="J2764"/>
      <c r="M2764"/>
      <c r="W2764"/>
    </row>
    <row r="2765" spans="10:23" x14ac:dyDescent="0.25">
      <c r="J2765"/>
      <c r="M2765"/>
      <c r="W2765"/>
    </row>
    <row r="2766" spans="10:23" x14ac:dyDescent="0.25">
      <c r="J2766"/>
      <c r="M2766"/>
      <c r="W2766"/>
    </row>
    <row r="2767" spans="10:23" x14ac:dyDescent="0.25">
      <c r="J2767"/>
      <c r="M2767"/>
      <c r="W2767"/>
    </row>
    <row r="2768" spans="10:23" x14ac:dyDescent="0.25">
      <c r="J2768"/>
      <c r="M2768"/>
      <c r="W2768"/>
    </row>
    <row r="2769" spans="10:23" x14ac:dyDescent="0.25">
      <c r="J2769"/>
      <c r="M2769"/>
      <c r="W2769"/>
    </row>
    <row r="2770" spans="10:23" x14ac:dyDescent="0.25">
      <c r="J2770"/>
      <c r="M2770"/>
      <c r="W2770"/>
    </row>
    <row r="2771" spans="10:23" x14ac:dyDescent="0.25">
      <c r="J2771"/>
      <c r="M2771"/>
      <c r="W2771"/>
    </row>
    <row r="2772" spans="10:23" x14ac:dyDescent="0.25">
      <c r="J2772"/>
      <c r="M2772"/>
      <c r="W2772"/>
    </row>
    <row r="2773" spans="10:23" x14ac:dyDescent="0.25">
      <c r="J2773"/>
      <c r="M2773"/>
      <c r="W2773"/>
    </row>
    <row r="2774" spans="10:23" x14ac:dyDescent="0.25">
      <c r="J2774"/>
      <c r="M2774"/>
      <c r="W2774"/>
    </row>
    <row r="2775" spans="10:23" x14ac:dyDescent="0.25">
      <c r="J2775"/>
      <c r="M2775"/>
      <c r="W2775"/>
    </row>
    <row r="2776" spans="10:23" x14ac:dyDescent="0.25">
      <c r="J2776"/>
      <c r="M2776"/>
      <c r="W2776"/>
    </row>
    <row r="2777" spans="10:23" x14ac:dyDescent="0.25">
      <c r="J2777"/>
      <c r="M2777"/>
      <c r="W2777"/>
    </row>
    <row r="2778" spans="10:23" x14ac:dyDescent="0.25">
      <c r="J2778"/>
      <c r="M2778"/>
      <c r="W2778"/>
    </row>
    <row r="2779" spans="10:23" x14ac:dyDescent="0.25">
      <c r="J2779"/>
      <c r="M2779"/>
      <c r="W2779"/>
    </row>
    <row r="2780" spans="10:23" x14ac:dyDescent="0.25">
      <c r="J2780"/>
      <c r="M2780"/>
      <c r="W2780"/>
    </row>
    <row r="2781" spans="10:23" x14ac:dyDescent="0.25">
      <c r="J2781"/>
      <c r="M2781"/>
      <c r="W2781"/>
    </row>
    <row r="2782" spans="10:23" x14ac:dyDescent="0.25">
      <c r="J2782"/>
      <c r="M2782"/>
      <c r="W2782"/>
    </row>
    <row r="2783" spans="10:23" x14ac:dyDescent="0.25">
      <c r="J2783"/>
      <c r="M2783"/>
      <c r="W2783"/>
    </row>
    <row r="2784" spans="10:23" x14ac:dyDescent="0.25">
      <c r="J2784"/>
      <c r="M2784"/>
      <c r="W2784"/>
    </row>
    <row r="2785" spans="10:23" x14ac:dyDescent="0.25">
      <c r="J2785"/>
      <c r="M2785"/>
      <c r="W2785"/>
    </row>
    <row r="2786" spans="10:23" x14ac:dyDescent="0.25">
      <c r="J2786"/>
      <c r="M2786"/>
      <c r="W2786"/>
    </row>
    <row r="2787" spans="10:23" x14ac:dyDescent="0.25">
      <c r="J2787"/>
      <c r="M2787"/>
      <c r="W2787"/>
    </row>
    <row r="2788" spans="10:23" x14ac:dyDescent="0.25">
      <c r="J2788"/>
      <c r="M2788"/>
      <c r="W2788"/>
    </row>
    <row r="2789" spans="10:23" x14ac:dyDescent="0.25">
      <c r="J2789"/>
      <c r="M2789"/>
      <c r="W2789"/>
    </row>
    <row r="2790" spans="10:23" x14ac:dyDescent="0.25">
      <c r="J2790"/>
      <c r="M2790"/>
      <c r="W2790"/>
    </row>
    <row r="2791" spans="10:23" x14ac:dyDescent="0.25">
      <c r="J2791"/>
      <c r="M2791"/>
      <c r="W2791"/>
    </row>
    <row r="2792" spans="10:23" x14ac:dyDescent="0.25">
      <c r="J2792"/>
      <c r="M2792"/>
      <c r="W2792"/>
    </row>
    <row r="2793" spans="10:23" x14ac:dyDescent="0.25">
      <c r="J2793"/>
      <c r="M2793"/>
      <c r="W2793"/>
    </row>
    <row r="2794" spans="10:23" x14ac:dyDescent="0.25">
      <c r="J2794"/>
      <c r="M2794"/>
      <c r="W2794"/>
    </row>
    <row r="2795" spans="10:23" x14ac:dyDescent="0.25">
      <c r="J2795"/>
      <c r="M2795"/>
      <c r="W2795"/>
    </row>
    <row r="2796" spans="10:23" x14ac:dyDescent="0.25">
      <c r="J2796"/>
      <c r="M2796"/>
      <c r="W2796"/>
    </row>
    <row r="2797" spans="10:23" x14ac:dyDescent="0.25">
      <c r="J2797"/>
      <c r="M2797"/>
      <c r="W2797"/>
    </row>
    <row r="2798" spans="10:23" x14ac:dyDescent="0.25">
      <c r="J2798"/>
      <c r="M2798"/>
      <c r="W2798"/>
    </row>
    <row r="2799" spans="10:23" x14ac:dyDescent="0.25">
      <c r="J2799"/>
      <c r="M2799"/>
      <c r="W2799"/>
    </row>
    <row r="2800" spans="10:23" x14ac:dyDescent="0.25">
      <c r="J2800"/>
      <c r="M2800"/>
      <c r="W2800"/>
    </row>
    <row r="2801" spans="10:23" x14ac:dyDescent="0.25">
      <c r="J2801"/>
      <c r="M2801"/>
      <c r="W2801"/>
    </row>
    <row r="2802" spans="10:23" x14ac:dyDescent="0.25">
      <c r="J2802"/>
      <c r="M2802"/>
      <c r="W2802"/>
    </row>
    <row r="2803" spans="10:23" x14ac:dyDescent="0.25">
      <c r="J2803"/>
      <c r="M2803"/>
      <c r="W2803"/>
    </row>
    <row r="2804" spans="10:23" x14ac:dyDescent="0.25">
      <c r="J2804"/>
      <c r="M2804"/>
      <c r="W2804"/>
    </row>
    <row r="2805" spans="10:23" x14ac:dyDescent="0.25">
      <c r="J2805"/>
      <c r="M2805"/>
      <c r="W2805"/>
    </row>
    <row r="2806" spans="10:23" x14ac:dyDescent="0.25">
      <c r="J2806"/>
      <c r="M2806"/>
      <c r="W2806"/>
    </row>
    <row r="2807" spans="10:23" x14ac:dyDescent="0.25">
      <c r="J2807"/>
      <c r="M2807"/>
      <c r="W2807"/>
    </row>
    <row r="2808" spans="10:23" x14ac:dyDescent="0.25">
      <c r="J2808"/>
      <c r="M2808"/>
      <c r="W2808"/>
    </row>
    <row r="2809" spans="10:23" x14ac:dyDescent="0.25">
      <c r="J2809"/>
      <c r="M2809"/>
      <c r="W2809"/>
    </row>
    <row r="2810" spans="10:23" x14ac:dyDescent="0.25">
      <c r="J2810"/>
      <c r="M2810"/>
      <c r="W2810"/>
    </row>
    <row r="2811" spans="10:23" x14ac:dyDescent="0.25">
      <c r="J2811"/>
      <c r="M2811"/>
      <c r="W2811"/>
    </row>
    <row r="2812" spans="10:23" x14ac:dyDescent="0.25">
      <c r="J2812"/>
      <c r="M2812"/>
      <c r="W2812"/>
    </row>
    <row r="2813" spans="10:23" x14ac:dyDescent="0.25">
      <c r="J2813"/>
      <c r="M2813"/>
      <c r="W2813"/>
    </row>
    <row r="2814" spans="10:23" x14ac:dyDescent="0.25">
      <c r="J2814"/>
      <c r="M2814"/>
      <c r="W2814"/>
    </row>
    <row r="2815" spans="10:23" x14ac:dyDescent="0.25">
      <c r="J2815"/>
      <c r="M2815"/>
      <c r="W2815"/>
    </row>
    <row r="2816" spans="10:23" x14ac:dyDescent="0.25">
      <c r="J2816"/>
      <c r="M2816"/>
      <c r="W2816"/>
    </row>
    <row r="2817" spans="10:23" x14ac:dyDescent="0.25">
      <c r="J2817"/>
      <c r="M2817"/>
      <c r="W2817"/>
    </row>
    <row r="2818" spans="10:23" x14ac:dyDescent="0.25">
      <c r="J2818"/>
      <c r="M2818"/>
      <c r="W2818"/>
    </row>
    <row r="2819" spans="10:23" x14ac:dyDescent="0.25">
      <c r="J2819"/>
      <c r="M2819"/>
      <c r="W2819"/>
    </row>
    <row r="2820" spans="10:23" x14ac:dyDescent="0.25">
      <c r="J2820"/>
      <c r="M2820"/>
      <c r="W2820"/>
    </row>
    <row r="2821" spans="10:23" x14ac:dyDescent="0.25">
      <c r="J2821"/>
      <c r="M2821"/>
      <c r="W2821"/>
    </row>
    <row r="2822" spans="10:23" x14ac:dyDescent="0.25">
      <c r="J2822"/>
      <c r="M2822"/>
      <c r="W2822"/>
    </row>
    <row r="2823" spans="10:23" x14ac:dyDescent="0.25">
      <c r="J2823"/>
      <c r="M2823"/>
      <c r="W2823"/>
    </row>
    <row r="2824" spans="10:23" x14ac:dyDescent="0.25">
      <c r="J2824"/>
      <c r="M2824"/>
      <c r="W2824"/>
    </row>
    <row r="2825" spans="10:23" x14ac:dyDescent="0.25">
      <c r="J2825"/>
      <c r="M2825"/>
      <c r="W2825"/>
    </row>
    <row r="2826" spans="10:23" x14ac:dyDescent="0.25">
      <c r="J2826"/>
      <c r="M2826"/>
      <c r="W2826"/>
    </row>
    <row r="2827" spans="10:23" x14ac:dyDescent="0.25">
      <c r="J2827"/>
      <c r="M2827"/>
      <c r="W2827"/>
    </row>
    <row r="2828" spans="10:23" x14ac:dyDescent="0.25">
      <c r="J2828"/>
      <c r="M2828"/>
      <c r="W2828"/>
    </row>
    <row r="2829" spans="10:23" x14ac:dyDescent="0.25">
      <c r="J2829"/>
      <c r="M2829"/>
      <c r="W2829"/>
    </row>
    <row r="2830" spans="10:23" x14ac:dyDescent="0.25">
      <c r="J2830"/>
      <c r="M2830"/>
      <c r="W2830"/>
    </row>
    <row r="2831" spans="10:23" x14ac:dyDescent="0.25">
      <c r="J2831"/>
      <c r="M2831"/>
      <c r="W2831"/>
    </row>
    <row r="2832" spans="10:23" x14ac:dyDescent="0.25">
      <c r="J2832"/>
      <c r="M2832"/>
      <c r="W2832"/>
    </row>
    <row r="2833" spans="10:23" x14ac:dyDescent="0.25">
      <c r="J2833"/>
      <c r="M2833"/>
      <c r="W2833"/>
    </row>
    <row r="2834" spans="10:23" x14ac:dyDescent="0.25">
      <c r="J2834"/>
      <c r="M2834"/>
      <c r="W2834"/>
    </row>
    <row r="2835" spans="10:23" x14ac:dyDescent="0.25">
      <c r="J2835"/>
      <c r="M2835"/>
      <c r="W2835"/>
    </row>
    <row r="2836" spans="10:23" x14ac:dyDescent="0.25">
      <c r="J2836"/>
      <c r="M2836"/>
      <c r="W2836"/>
    </row>
    <row r="2837" spans="10:23" x14ac:dyDescent="0.25">
      <c r="J2837"/>
      <c r="M2837"/>
      <c r="W2837"/>
    </row>
    <row r="2838" spans="10:23" x14ac:dyDescent="0.25">
      <c r="J2838"/>
      <c r="M2838"/>
      <c r="W2838"/>
    </row>
    <row r="2839" spans="10:23" x14ac:dyDescent="0.25">
      <c r="J2839"/>
      <c r="M2839"/>
      <c r="W2839"/>
    </row>
    <row r="2840" spans="10:23" x14ac:dyDescent="0.25">
      <c r="J2840"/>
      <c r="M2840"/>
      <c r="W2840"/>
    </row>
    <row r="2841" spans="10:23" x14ac:dyDescent="0.25">
      <c r="J2841"/>
      <c r="M2841"/>
      <c r="W2841"/>
    </row>
    <row r="2842" spans="10:23" x14ac:dyDescent="0.25">
      <c r="J2842"/>
      <c r="M2842"/>
      <c r="W2842"/>
    </row>
    <row r="2843" spans="10:23" x14ac:dyDescent="0.25">
      <c r="J2843"/>
      <c r="M2843"/>
      <c r="W2843"/>
    </row>
    <row r="2844" spans="10:23" x14ac:dyDescent="0.25">
      <c r="J2844"/>
      <c r="M2844"/>
      <c r="W2844"/>
    </row>
    <row r="2845" spans="10:23" x14ac:dyDescent="0.25">
      <c r="J2845"/>
      <c r="M2845"/>
      <c r="W2845"/>
    </row>
    <row r="2846" spans="10:23" x14ac:dyDescent="0.25">
      <c r="J2846"/>
      <c r="M2846"/>
      <c r="W2846"/>
    </row>
    <row r="2847" spans="10:23" x14ac:dyDescent="0.25">
      <c r="J2847"/>
      <c r="M2847"/>
      <c r="W2847"/>
    </row>
    <row r="2848" spans="10:23" x14ac:dyDescent="0.25">
      <c r="J2848"/>
      <c r="M2848"/>
      <c r="W2848"/>
    </row>
    <row r="2849" spans="10:23" x14ac:dyDescent="0.25">
      <c r="J2849"/>
      <c r="M2849"/>
      <c r="W2849"/>
    </row>
    <row r="2850" spans="10:23" x14ac:dyDescent="0.25">
      <c r="J2850"/>
      <c r="M2850"/>
      <c r="W2850"/>
    </row>
    <row r="2851" spans="10:23" x14ac:dyDescent="0.25">
      <c r="J2851"/>
      <c r="M2851"/>
      <c r="W2851"/>
    </row>
    <row r="2852" spans="10:23" x14ac:dyDescent="0.25">
      <c r="J2852"/>
      <c r="M2852"/>
      <c r="W2852"/>
    </row>
    <row r="2853" spans="10:23" x14ac:dyDescent="0.25">
      <c r="J2853"/>
      <c r="M2853"/>
      <c r="W2853"/>
    </row>
    <row r="2854" spans="10:23" x14ac:dyDescent="0.25">
      <c r="J2854"/>
      <c r="M2854"/>
      <c r="W2854"/>
    </row>
    <row r="2855" spans="10:23" x14ac:dyDescent="0.25">
      <c r="J2855"/>
      <c r="M2855"/>
      <c r="W2855"/>
    </row>
    <row r="2856" spans="10:23" x14ac:dyDescent="0.25">
      <c r="J2856"/>
      <c r="M2856"/>
      <c r="W2856"/>
    </row>
    <row r="2857" spans="10:23" x14ac:dyDescent="0.25">
      <c r="J2857"/>
      <c r="M2857"/>
      <c r="W2857"/>
    </row>
    <row r="2858" spans="10:23" x14ac:dyDescent="0.25">
      <c r="J2858"/>
      <c r="M2858"/>
      <c r="W2858"/>
    </row>
    <row r="2859" spans="10:23" x14ac:dyDescent="0.25">
      <c r="J2859"/>
      <c r="M2859"/>
      <c r="W2859"/>
    </row>
    <row r="2860" spans="10:23" x14ac:dyDescent="0.25">
      <c r="J2860"/>
      <c r="M2860"/>
      <c r="W2860"/>
    </row>
    <row r="2861" spans="10:23" x14ac:dyDescent="0.25">
      <c r="J2861"/>
      <c r="M2861"/>
      <c r="W2861"/>
    </row>
    <row r="2862" spans="10:23" x14ac:dyDescent="0.25">
      <c r="J2862"/>
      <c r="M2862"/>
      <c r="W2862"/>
    </row>
    <row r="2863" spans="10:23" x14ac:dyDescent="0.25">
      <c r="J2863"/>
      <c r="M2863"/>
      <c r="W2863"/>
    </row>
    <row r="2864" spans="10:23" x14ac:dyDescent="0.25">
      <c r="J2864"/>
      <c r="M2864"/>
      <c r="W2864"/>
    </row>
    <row r="2865" spans="10:23" x14ac:dyDescent="0.25">
      <c r="J2865"/>
      <c r="M2865"/>
      <c r="W2865"/>
    </row>
    <row r="2866" spans="10:23" x14ac:dyDescent="0.25">
      <c r="J2866"/>
      <c r="M2866"/>
      <c r="W2866"/>
    </row>
    <row r="2867" spans="10:23" x14ac:dyDescent="0.25">
      <c r="J2867"/>
      <c r="M2867"/>
      <c r="W2867"/>
    </row>
    <row r="2868" spans="10:23" x14ac:dyDescent="0.25">
      <c r="J2868"/>
      <c r="M2868"/>
      <c r="W2868"/>
    </row>
    <row r="2869" spans="10:23" x14ac:dyDescent="0.25">
      <c r="J2869"/>
      <c r="M2869"/>
      <c r="W2869"/>
    </row>
    <row r="2870" spans="10:23" x14ac:dyDescent="0.25">
      <c r="J2870"/>
      <c r="M2870"/>
      <c r="W2870"/>
    </row>
    <row r="2871" spans="10:23" x14ac:dyDescent="0.25">
      <c r="J2871"/>
      <c r="M2871"/>
      <c r="W2871"/>
    </row>
    <row r="2872" spans="10:23" x14ac:dyDescent="0.25">
      <c r="J2872"/>
      <c r="M2872"/>
      <c r="W2872"/>
    </row>
    <row r="2873" spans="10:23" x14ac:dyDescent="0.25">
      <c r="J2873"/>
      <c r="M2873"/>
      <c r="W2873"/>
    </row>
    <row r="2874" spans="10:23" x14ac:dyDescent="0.25">
      <c r="J2874"/>
      <c r="M2874"/>
      <c r="W2874"/>
    </row>
    <row r="2875" spans="10:23" x14ac:dyDescent="0.25">
      <c r="J2875"/>
      <c r="M2875"/>
      <c r="W2875"/>
    </row>
    <row r="2876" spans="10:23" x14ac:dyDescent="0.25">
      <c r="J2876"/>
      <c r="M2876"/>
      <c r="W2876"/>
    </row>
    <row r="2877" spans="10:23" x14ac:dyDescent="0.25">
      <c r="J2877"/>
      <c r="M2877"/>
      <c r="W2877"/>
    </row>
    <row r="2878" spans="10:23" x14ac:dyDescent="0.25">
      <c r="J2878"/>
      <c r="M2878"/>
      <c r="W2878"/>
    </row>
    <row r="2879" spans="10:23" x14ac:dyDescent="0.25">
      <c r="J2879"/>
      <c r="M2879"/>
      <c r="W2879"/>
    </row>
    <row r="2880" spans="10:23" x14ac:dyDescent="0.25">
      <c r="J2880"/>
      <c r="M2880"/>
      <c r="W2880"/>
    </row>
    <row r="2881" spans="10:23" x14ac:dyDescent="0.25">
      <c r="J2881"/>
      <c r="M2881"/>
      <c r="W2881"/>
    </row>
    <row r="2882" spans="10:23" x14ac:dyDescent="0.25">
      <c r="J2882"/>
      <c r="M2882"/>
      <c r="W2882"/>
    </row>
    <row r="2883" spans="10:23" x14ac:dyDescent="0.25">
      <c r="J2883"/>
      <c r="M2883"/>
      <c r="W2883"/>
    </row>
    <row r="2884" spans="10:23" x14ac:dyDescent="0.25">
      <c r="J2884"/>
      <c r="M2884"/>
      <c r="W2884"/>
    </row>
    <row r="2885" spans="10:23" x14ac:dyDescent="0.25">
      <c r="J2885"/>
      <c r="M2885"/>
      <c r="W2885"/>
    </row>
    <row r="2886" spans="10:23" x14ac:dyDescent="0.25">
      <c r="J2886"/>
      <c r="M2886"/>
      <c r="W2886"/>
    </row>
    <row r="2887" spans="10:23" x14ac:dyDescent="0.25">
      <c r="J2887"/>
      <c r="M2887"/>
      <c r="W2887"/>
    </row>
    <row r="2888" spans="10:23" x14ac:dyDescent="0.25">
      <c r="J2888"/>
      <c r="M2888"/>
      <c r="W2888"/>
    </row>
    <row r="2889" spans="10:23" x14ac:dyDescent="0.25">
      <c r="J2889"/>
      <c r="M2889"/>
      <c r="W2889"/>
    </row>
    <row r="2890" spans="10:23" x14ac:dyDescent="0.25">
      <c r="J2890"/>
      <c r="M2890"/>
      <c r="W2890"/>
    </row>
    <row r="2891" spans="10:23" x14ac:dyDescent="0.25">
      <c r="J2891"/>
      <c r="M2891"/>
      <c r="W2891"/>
    </row>
    <row r="2892" spans="10:23" x14ac:dyDescent="0.25">
      <c r="J2892"/>
      <c r="M2892"/>
      <c r="W2892"/>
    </row>
    <row r="2893" spans="10:23" x14ac:dyDescent="0.25">
      <c r="J2893"/>
      <c r="M2893"/>
      <c r="W2893"/>
    </row>
    <row r="2894" spans="10:23" x14ac:dyDescent="0.25">
      <c r="J2894"/>
      <c r="M2894"/>
      <c r="W2894"/>
    </row>
    <row r="2895" spans="10:23" x14ac:dyDescent="0.25">
      <c r="J2895"/>
      <c r="M2895"/>
      <c r="W2895"/>
    </row>
    <row r="2896" spans="10:23" x14ac:dyDescent="0.25">
      <c r="J2896"/>
      <c r="M2896"/>
      <c r="W2896"/>
    </row>
    <row r="2897" spans="10:23" x14ac:dyDescent="0.25">
      <c r="J2897"/>
      <c r="M2897"/>
      <c r="W2897"/>
    </row>
    <row r="2898" spans="10:23" x14ac:dyDescent="0.25">
      <c r="J2898"/>
      <c r="M2898"/>
      <c r="W2898"/>
    </row>
    <row r="2899" spans="10:23" x14ac:dyDescent="0.25">
      <c r="J2899"/>
      <c r="M2899"/>
      <c r="W2899"/>
    </row>
    <row r="2900" spans="10:23" x14ac:dyDescent="0.25">
      <c r="J2900"/>
      <c r="M2900"/>
      <c r="W2900"/>
    </row>
    <row r="2901" spans="10:23" x14ac:dyDescent="0.25">
      <c r="J2901"/>
      <c r="M2901"/>
      <c r="W2901"/>
    </row>
    <row r="2902" spans="10:23" x14ac:dyDescent="0.25">
      <c r="J2902"/>
      <c r="M2902"/>
      <c r="W2902"/>
    </row>
    <row r="2903" spans="10:23" x14ac:dyDescent="0.25">
      <c r="J2903"/>
      <c r="M2903"/>
      <c r="W2903"/>
    </row>
    <row r="2904" spans="10:23" x14ac:dyDescent="0.25">
      <c r="J2904"/>
      <c r="M2904"/>
      <c r="W2904"/>
    </row>
    <row r="2905" spans="10:23" x14ac:dyDescent="0.25">
      <c r="J2905"/>
      <c r="M2905"/>
      <c r="W2905"/>
    </row>
    <row r="2906" spans="10:23" x14ac:dyDescent="0.25">
      <c r="J2906"/>
      <c r="M2906"/>
      <c r="W2906"/>
    </row>
    <row r="2907" spans="10:23" x14ac:dyDescent="0.25">
      <c r="J2907"/>
      <c r="M2907"/>
      <c r="W2907"/>
    </row>
    <row r="2908" spans="10:23" x14ac:dyDescent="0.25">
      <c r="J2908"/>
      <c r="M2908"/>
      <c r="W2908"/>
    </row>
    <row r="2909" spans="10:23" x14ac:dyDescent="0.25">
      <c r="J2909"/>
      <c r="M2909"/>
      <c r="W2909"/>
    </row>
    <row r="2910" spans="10:23" x14ac:dyDescent="0.25">
      <c r="J2910"/>
      <c r="M2910"/>
      <c r="W2910"/>
    </row>
    <row r="2911" spans="10:23" x14ac:dyDescent="0.25">
      <c r="J2911"/>
      <c r="M2911"/>
      <c r="W2911"/>
    </row>
    <row r="2912" spans="10:23" x14ac:dyDescent="0.25">
      <c r="J2912"/>
      <c r="M2912"/>
      <c r="W2912"/>
    </row>
    <row r="2913" spans="10:23" x14ac:dyDescent="0.25">
      <c r="J2913"/>
      <c r="M2913"/>
      <c r="W2913"/>
    </row>
    <row r="2914" spans="10:23" x14ac:dyDescent="0.25">
      <c r="J2914"/>
      <c r="M2914"/>
      <c r="W2914"/>
    </row>
    <row r="2915" spans="10:23" x14ac:dyDescent="0.25">
      <c r="J2915"/>
      <c r="M2915"/>
      <c r="W2915"/>
    </row>
    <row r="2916" spans="10:23" x14ac:dyDescent="0.25">
      <c r="J2916"/>
      <c r="M2916"/>
      <c r="W2916"/>
    </row>
    <row r="2917" spans="10:23" x14ac:dyDescent="0.25">
      <c r="J2917"/>
      <c r="M2917"/>
      <c r="W2917"/>
    </row>
    <row r="2918" spans="10:23" x14ac:dyDescent="0.25">
      <c r="J2918"/>
      <c r="M2918"/>
      <c r="W2918"/>
    </row>
    <row r="2919" spans="10:23" x14ac:dyDescent="0.25">
      <c r="J2919"/>
      <c r="M2919"/>
      <c r="W2919"/>
    </row>
    <row r="2920" spans="10:23" x14ac:dyDescent="0.25">
      <c r="J2920"/>
      <c r="M2920"/>
      <c r="W2920"/>
    </row>
    <row r="2921" spans="10:23" x14ac:dyDescent="0.25">
      <c r="J2921"/>
      <c r="M2921"/>
      <c r="W2921"/>
    </row>
    <row r="2922" spans="10:23" x14ac:dyDescent="0.25">
      <c r="J2922"/>
      <c r="M2922"/>
      <c r="W2922"/>
    </row>
    <row r="2923" spans="10:23" x14ac:dyDescent="0.25">
      <c r="J2923"/>
      <c r="M2923"/>
      <c r="W2923"/>
    </row>
    <row r="2924" spans="10:23" x14ac:dyDescent="0.25">
      <c r="J2924"/>
      <c r="M2924"/>
      <c r="W2924"/>
    </row>
    <row r="2925" spans="10:23" x14ac:dyDescent="0.25">
      <c r="J2925"/>
      <c r="M2925"/>
      <c r="W2925"/>
    </row>
    <row r="2926" spans="10:23" x14ac:dyDescent="0.25">
      <c r="J2926"/>
      <c r="M2926"/>
      <c r="W2926"/>
    </row>
    <row r="2927" spans="10:23" x14ac:dyDescent="0.25">
      <c r="J2927"/>
      <c r="M2927"/>
      <c r="W2927"/>
    </row>
    <row r="2928" spans="10:23" x14ac:dyDescent="0.25">
      <c r="J2928"/>
      <c r="M2928"/>
      <c r="W2928"/>
    </row>
    <row r="2929" spans="10:23" x14ac:dyDescent="0.25">
      <c r="J2929"/>
      <c r="M2929"/>
      <c r="W2929"/>
    </row>
    <row r="2930" spans="10:23" x14ac:dyDescent="0.25">
      <c r="J2930"/>
      <c r="M2930"/>
      <c r="W2930"/>
    </row>
    <row r="2931" spans="10:23" x14ac:dyDescent="0.25">
      <c r="J2931"/>
      <c r="M2931"/>
      <c r="W2931"/>
    </row>
    <row r="2932" spans="10:23" x14ac:dyDescent="0.25">
      <c r="J2932"/>
      <c r="M2932"/>
      <c r="W2932"/>
    </row>
    <row r="2933" spans="10:23" x14ac:dyDescent="0.25">
      <c r="J2933"/>
      <c r="M2933"/>
      <c r="W2933"/>
    </row>
    <row r="2934" spans="10:23" x14ac:dyDescent="0.25">
      <c r="J2934"/>
      <c r="M2934"/>
      <c r="W2934"/>
    </row>
    <row r="2935" spans="10:23" x14ac:dyDescent="0.25">
      <c r="J2935"/>
      <c r="M2935"/>
      <c r="W2935"/>
    </row>
    <row r="2936" spans="10:23" x14ac:dyDescent="0.25">
      <c r="J2936"/>
      <c r="M2936"/>
      <c r="W2936"/>
    </row>
    <row r="2937" spans="10:23" x14ac:dyDescent="0.25">
      <c r="J2937"/>
      <c r="M2937"/>
      <c r="W2937"/>
    </row>
    <row r="2938" spans="10:23" x14ac:dyDescent="0.25">
      <c r="J2938"/>
      <c r="M2938"/>
      <c r="W2938"/>
    </row>
    <row r="2939" spans="10:23" x14ac:dyDescent="0.25">
      <c r="J2939"/>
      <c r="M2939"/>
      <c r="W2939"/>
    </row>
    <row r="2940" spans="10:23" x14ac:dyDescent="0.25">
      <c r="J2940"/>
      <c r="M2940"/>
      <c r="W2940"/>
    </row>
    <row r="2941" spans="10:23" x14ac:dyDescent="0.25">
      <c r="J2941"/>
      <c r="M2941"/>
      <c r="W2941"/>
    </row>
    <row r="2942" spans="10:23" x14ac:dyDescent="0.25">
      <c r="J2942"/>
      <c r="M2942"/>
      <c r="W2942"/>
    </row>
    <row r="2943" spans="10:23" x14ac:dyDescent="0.25">
      <c r="J2943"/>
      <c r="M2943"/>
      <c r="W2943"/>
    </row>
    <row r="2944" spans="10:23" x14ac:dyDescent="0.25">
      <c r="J2944"/>
      <c r="M2944"/>
      <c r="W2944"/>
    </row>
    <row r="2945" spans="10:23" x14ac:dyDescent="0.25">
      <c r="J2945"/>
      <c r="M2945"/>
      <c r="W2945"/>
    </row>
    <row r="2946" spans="10:23" x14ac:dyDescent="0.25">
      <c r="J2946"/>
      <c r="M2946"/>
      <c r="W2946"/>
    </row>
    <row r="2947" spans="10:23" x14ac:dyDescent="0.25">
      <c r="J2947"/>
      <c r="M2947"/>
      <c r="W2947"/>
    </row>
    <row r="2948" spans="10:23" x14ac:dyDescent="0.25">
      <c r="J2948"/>
      <c r="M2948"/>
      <c r="W2948"/>
    </row>
    <row r="2949" spans="10:23" x14ac:dyDescent="0.25">
      <c r="J2949"/>
      <c r="M2949"/>
      <c r="W2949"/>
    </row>
    <row r="2950" spans="10:23" x14ac:dyDescent="0.25">
      <c r="J2950"/>
      <c r="M2950"/>
      <c r="W2950"/>
    </row>
    <row r="2951" spans="10:23" x14ac:dyDescent="0.25">
      <c r="J2951"/>
      <c r="M2951"/>
      <c r="W2951"/>
    </row>
    <row r="2952" spans="10:23" x14ac:dyDescent="0.25">
      <c r="J2952"/>
      <c r="M2952"/>
      <c r="W2952"/>
    </row>
    <row r="2953" spans="10:23" x14ac:dyDescent="0.25">
      <c r="J2953"/>
      <c r="M2953"/>
      <c r="W2953"/>
    </row>
    <row r="2954" spans="10:23" x14ac:dyDescent="0.25">
      <c r="J2954"/>
      <c r="M2954"/>
      <c r="W2954"/>
    </row>
    <row r="2955" spans="10:23" x14ac:dyDescent="0.25">
      <c r="J2955"/>
      <c r="M2955"/>
      <c r="W2955"/>
    </row>
    <row r="2956" spans="10:23" x14ac:dyDescent="0.25">
      <c r="J2956"/>
      <c r="M2956"/>
      <c r="W2956"/>
    </row>
    <row r="2957" spans="10:23" x14ac:dyDescent="0.25">
      <c r="J2957"/>
      <c r="M2957"/>
      <c r="W2957"/>
    </row>
    <row r="2958" spans="10:23" x14ac:dyDescent="0.25">
      <c r="J2958"/>
      <c r="M2958"/>
      <c r="W2958"/>
    </row>
    <row r="2959" spans="10:23" x14ac:dyDescent="0.25">
      <c r="J2959"/>
      <c r="M2959"/>
      <c r="W2959"/>
    </row>
    <row r="2960" spans="10:23" x14ac:dyDescent="0.25">
      <c r="J2960"/>
      <c r="M2960"/>
      <c r="W2960"/>
    </row>
    <row r="2961" spans="10:23" x14ac:dyDescent="0.25">
      <c r="J2961"/>
      <c r="M2961"/>
      <c r="W2961"/>
    </row>
    <row r="2962" spans="10:23" x14ac:dyDescent="0.25">
      <c r="J2962"/>
      <c r="M2962"/>
      <c r="W2962"/>
    </row>
    <row r="2963" spans="10:23" x14ac:dyDescent="0.25">
      <c r="J2963"/>
      <c r="M2963"/>
      <c r="W2963"/>
    </row>
    <row r="2964" spans="10:23" x14ac:dyDescent="0.25">
      <c r="J2964"/>
      <c r="M2964"/>
      <c r="W2964"/>
    </row>
    <row r="2965" spans="10:23" x14ac:dyDescent="0.25">
      <c r="J2965"/>
      <c r="M2965"/>
      <c r="W2965"/>
    </row>
    <row r="2966" spans="10:23" x14ac:dyDescent="0.25">
      <c r="J2966"/>
      <c r="M2966"/>
      <c r="W2966"/>
    </row>
    <row r="2967" spans="10:23" x14ac:dyDescent="0.25">
      <c r="J2967"/>
      <c r="M2967"/>
      <c r="W2967"/>
    </row>
    <row r="2968" spans="10:23" x14ac:dyDescent="0.25">
      <c r="J2968"/>
      <c r="M2968"/>
      <c r="W2968"/>
    </row>
    <row r="2969" spans="10:23" x14ac:dyDescent="0.25">
      <c r="J2969"/>
      <c r="M2969"/>
      <c r="W2969"/>
    </row>
    <row r="2970" spans="10:23" x14ac:dyDescent="0.25">
      <c r="J2970"/>
      <c r="M2970"/>
      <c r="W2970"/>
    </row>
    <row r="2971" spans="10:23" x14ac:dyDescent="0.25">
      <c r="J2971"/>
      <c r="M2971"/>
      <c r="W2971"/>
    </row>
    <row r="2972" spans="10:23" x14ac:dyDescent="0.25">
      <c r="J2972"/>
      <c r="M2972"/>
      <c r="W2972"/>
    </row>
    <row r="2973" spans="10:23" x14ac:dyDescent="0.25">
      <c r="J2973"/>
      <c r="M2973"/>
      <c r="W2973"/>
    </row>
    <row r="2974" spans="10:23" x14ac:dyDescent="0.25">
      <c r="J2974"/>
      <c r="M2974"/>
      <c r="W2974"/>
    </row>
    <row r="2975" spans="10:23" x14ac:dyDescent="0.25">
      <c r="J2975"/>
      <c r="M2975"/>
      <c r="W2975"/>
    </row>
    <row r="2976" spans="10:23" x14ac:dyDescent="0.25">
      <c r="J2976"/>
      <c r="M2976"/>
      <c r="W2976"/>
    </row>
    <row r="2977" spans="10:23" x14ac:dyDescent="0.25">
      <c r="J2977"/>
      <c r="M2977"/>
      <c r="W2977"/>
    </row>
    <row r="2978" spans="10:23" x14ac:dyDescent="0.25">
      <c r="J2978"/>
      <c r="M2978"/>
      <c r="W2978"/>
    </row>
    <row r="2979" spans="10:23" x14ac:dyDescent="0.25">
      <c r="J2979"/>
      <c r="M2979"/>
      <c r="W2979"/>
    </row>
    <row r="2980" spans="10:23" x14ac:dyDescent="0.25">
      <c r="J2980"/>
      <c r="M2980"/>
      <c r="W2980"/>
    </row>
    <row r="2981" spans="10:23" x14ac:dyDescent="0.25">
      <c r="J2981"/>
      <c r="M2981"/>
      <c r="W2981"/>
    </row>
    <row r="2982" spans="10:23" x14ac:dyDescent="0.25">
      <c r="J2982"/>
      <c r="M2982"/>
      <c r="W2982"/>
    </row>
    <row r="2983" spans="10:23" x14ac:dyDescent="0.25">
      <c r="J2983"/>
      <c r="M2983"/>
      <c r="W2983"/>
    </row>
    <row r="2984" spans="10:23" x14ac:dyDescent="0.25">
      <c r="J2984"/>
      <c r="M2984"/>
      <c r="W2984"/>
    </row>
    <row r="2985" spans="10:23" x14ac:dyDescent="0.25">
      <c r="J2985"/>
      <c r="M2985"/>
      <c r="W2985"/>
    </row>
    <row r="2986" spans="10:23" x14ac:dyDescent="0.25">
      <c r="J2986"/>
      <c r="M2986"/>
      <c r="W2986"/>
    </row>
    <row r="2987" spans="10:23" x14ac:dyDescent="0.25">
      <c r="J2987"/>
      <c r="M2987"/>
      <c r="W2987"/>
    </row>
    <row r="2988" spans="10:23" x14ac:dyDescent="0.25">
      <c r="J2988"/>
      <c r="M2988"/>
      <c r="W2988"/>
    </row>
    <row r="2989" spans="10:23" x14ac:dyDescent="0.25">
      <c r="J2989"/>
      <c r="M2989"/>
      <c r="W2989"/>
    </row>
    <row r="2990" spans="10:23" x14ac:dyDescent="0.25">
      <c r="J2990"/>
      <c r="M2990"/>
      <c r="W2990"/>
    </row>
    <row r="2991" spans="10:23" x14ac:dyDescent="0.25">
      <c r="J2991"/>
      <c r="M2991"/>
      <c r="W2991"/>
    </row>
    <row r="2992" spans="10:23" x14ac:dyDescent="0.25">
      <c r="J2992"/>
      <c r="M2992"/>
      <c r="W2992"/>
    </row>
    <row r="2993" spans="10:23" x14ac:dyDescent="0.25">
      <c r="J2993"/>
      <c r="M2993"/>
      <c r="W2993"/>
    </row>
    <row r="2994" spans="10:23" x14ac:dyDescent="0.25">
      <c r="J2994"/>
      <c r="M2994"/>
      <c r="W2994"/>
    </row>
    <row r="2995" spans="10:23" x14ac:dyDescent="0.25">
      <c r="J2995"/>
      <c r="M2995"/>
      <c r="W2995"/>
    </row>
    <row r="2996" spans="10:23" x14ac:dyDescent="0.25">
      <c r="J2996"/>
      <c r="M2996"/>
      <c r="W2996"/>
    </row>
    <row r="2997" spans="10:23" x14ac:dyDescent="0.25">
      <c r="J2997"/>
      <c r="M2997"/>
      <c r="W2997"/>
    </row>
    <row r="2998" spans="10:23" x14ac:dyDescent="0.25">
      <c r="J2998"/>
      <c r="M2998"/>
      <c r="W2998"/>
    </row>
    <row r="2999" spans="10:23" x14ac:dyDescent="0.25">
      <c r="J2999"/>
      <c r="M2999"/>
      <c r="W2999"/>
    </row>
    <row r="3000" spans="10:23" x14ac:dyDescent="0.25">
      <c r="J3000"/>
      <c r="M3000"/>
      <c r="W3000"/>
    </row>
    <row r="3001" spans="10:23" x14ac:dyDescent="0.25">
      <c r="J3001"/>
      <c r="M3001"/>
      <c r="W3001"/>
    </row>
    <row r="3002" spans="10:23" x14ac:dyDescent="0.25">
      <c r="J3002"/>
      <c r="M3002"/>
      <c r="W3002"/>
    </row>
    <row r="3003" spans="10:23" x14ac:dyDescent="0.25">
      <c r="J3003"/>
      <c r="M3003"/>
      <c r="W3003"/>
    </row>
    <row r="3004" spans="10:23" x14ac:dyDescent="0.25">
      <c r="J3004"/>
      <c r="M3004"/>
      <c r="W3004"/>
    </row>
    <row r="3005" spans="10:23" x14ac:dyDescent="0.25">
      <c r="J3005"/>
      <c r="M3005"/>
      <c r="W3005"/>
    </row>
    <row r="3006" spans="10:23" x14ac:dyDescent="0.25">
      <c r="J3006"/>
      <c r="M3006"/>
      <c r="W3006"/>
    </row>
    <row r="3007" spans="10:23" x14ac:dyDescent="0.25">
      <c r="J3007"/>
      <c r="M3007"/>
      <c r="W3007"/>
    </row>
    <row r="3008" spans="10:23" x14ac:dyDescent="0.25">
      <c r="J3008"/>
      <c r="M3008"/>
      <c r="W3008"/>
    </row>
    <row r="3009" spans="10:23" x14ac:dyDescent="0.25">
      <c r="J3009"/>
      <c r="M3009"/>
      <c r="W3009"/>
    </row>
    <row r="3010" spans="10:23" x14ac:dyDescent="0.25">
      <c r="J3010"/>
      <c r="M3010"/>
      <c r="W3010"/>
    </row>
    <row r="3011" spans="10:23" x14ac:dyDescent="0.25">
      <c r="J3011"/>
      <c r="M3011"/>
      <c r="W3011"/>
    </row>
    <row r="3012" spans="10:23" x14ac:dyDescent="0.25">
      <c r="J3012"/>
      <c r="M3012"/>
      <c r="W3012"/>
    </row>
    <row r="3013" spans="10:23" x14ac:dyDescent="0.25">
      <c r="J3013"/>
      <c r="M3013"/>
      <c r="W3013"/>
    </row>
    <row r="3014" spans="10:23" x14ac:dyDescent="0.25">
      <c r="J3014"/>
      <c r="M3014"/>
      <c r="W3014"/>
    </row>
    <row r="3015" spans="10:23" x14ac:dyDescent="0.25">
      <c r="J3015"/>
      <c r="M3015"/>
      <c r="W3015"/>
    </row>
    <row r="3016" spans="10:23" x14ac:dyDescent="0.25">
      <c r="J3016"/>
      <c r="M3016"/>
      <c r="W3016"/>
    </row>
    <row r="3017" spans="10:23" x14ac:dyDescent="0.25">
      <c r="J3017"/>
      <c r="M3017"/>
      <c r="W3017"/>
    </row>
    <row r="3018" spans="10:23" x14ac:dyDescent="0.25">
      <c r="J3018"/>
      <c r="M3018"/>
      <c r="W3018"/>
    </row>
    <row r="3019" spans="10:23" x14ac:dyDescent="0.25">
      <c r="J3019"/>
      <c r="M3019"/>
      <c r="W3019"/>
    </row>
    <row r="3020" spans="10:23" x14ac:dyDescent="0.25">
      <c r="J3020"/>
      <c r="M3020"/>
      <c r="W3020"/>
    </row>
    <row r="3021" spans="10:23" x14ac:dyDescent="0.25">
      <c r="J3021"/>
      <c r="M3021"/>
      <c r="W3021"/>
    </row>
    <row r="3022" spans="10:23" x14ac:dyDescent="0.25">
      <c r="J3022"/>
      <c r="M3022"/>
      <c r="W3022"/>
    </row>
    <row r="3023" spans="10:23" x14ac:dyDescent="0.25">
      <c r="J3023"/>
      <c r="M3023"/>
      <c r="W3023"/>
    </row>
    <row r="3024" spans="10:23" x14ac:dyDescent="0.25">
      <c r="J3024"/>
      <c r="M3024"/>
      <c r="W3024"/>
    </row>
    <row r="3025" spans="10:23" x14ac:dyDescent="0.25">
      <c r="J3025"/>
      <c r="M3025"/>
      <c r="W3025"/>
    </row>
    <row r="3026" spans="10:23" x14ac:dyDescent="0.25">
      <c r="J3026"/>
      <c r="M3026"/>
      <c r="W3026"/>
    </row>
    <row r="3027" spans="10:23" x14ac:dyDescent="0.25">
      <c r="J3027"/>
      <c r="M3027"/>
      <c r="W3027"/>
    </row>
    <row r="3028" spans="10:23" x14ac:dyDescent="0.25">
      <c r="J3028"/>
      <c r="M3028"/>
      <c r="W3028"/>
    </row>
    <row r="3029" spans="10:23" x14ac:dyDescent="0.25">
      <c r="J3029"/>
      <c r="M3029"/>
      <c r="W3029"/>
    </row>
    <row r="3030" spans="10:23" x14ac:dyDescent="0.25">
      <c r="J3030"/>
      <c r="M3030"/>
      <c r="W3030"/>
    </row>
    <row r="3031" spans="10:23" x14ac:dyDescent="0.25">
      <c r="J3031"/>
      <c r="M3031"/>
      <c r="W3031"/>
    </row>
    <row r="3032" spans="10:23" x14ac:dyDescent="0.25">
      <c r="J3032"/>
      <c r="M3032"/>
      <c r="W3032"/>
    </row>
    <row r="3033" spans="10:23" x14ac:dyDescent="0.25">
      <c r="J3033"/>
      <c r="M3033"/>
      <c r="W3033"/>
    </row>
    <row r="3034" spans="10:23" x14ac:dyDescent="0.25">
      <c r="J3034"/>
      <c r="M3034"/>
      <c r="W3034"/>
    </row>
    <row r="3035" spans="10:23" x14ac:dyDescent="0.25">
      <c r="J3035"/>
      <c r="M3035"/>
      <c r="W3035"/>
    </row>
    <row r="3036" spans="10:23" x14ac:dyDescent="0.25">
      <c r="J3036"/>
      <c r="M3036"/>
      <c r="W3036"/>
    </row>
    <row r="3037" spans="10:23" x14ac:dyDescent="0.25">
      <c r="J3037"/>
      <c r="M3037"/>
      <c r="W3037"/>
    </row>
    <row r="3038" spans="10:23" x14ac:dyDescent="0.25">
      <c r="J3038"/>
      <c r="M3038"/>
      <c r="W3038"/>
    </row>
    <row r="3039" spans="10:23" x14ac:dyDescent="0.25">
      <c r="J3039"/>
      <c r="M3039"/>
      <c r="W3039"/>
    </row>
    <row r="3040" spans="10:23" x14ac:dyDescent="0.25">
      <c r="J3040"/>
      <c r="M3040"/>
      <c r="W3040"/>
    </row>
    <row r="3041" spans="10:23" x14ac:dyDescent="0.25">
      <c r="J3041"/>
      <c r="M3041"/>
      <c r="W3041"/>
    </row>
    <row r="3042" spans="10:23" x14ac:dyDescent="0.25">
      <c r="J3042"/>
      <c r="M3042"/>
      <c r="W3042"/>
    </row>
    <row r="3043" spans="10:23" x14ac:dyDescent="0.25">
      <c r="J3043"/>
      <c r="M3043"/>
      <c r="W3043"/>
    </row>
    <row r="3044" spans="10:23" x14ac:dyDescent="0.25">
      <c r="J3044"/>
      <c r="M3044"/>
      <c r="W3044"/>
    </row>
    <row r="3045" spans="10:23" x14ac:dyDescent="0.25">
      <c r="J3045"/>
      <c r="M3045"/>
      <c r="W3045"/>
    </row>
    <row r="3046" spans="10:23" x14ac:dyDescent="0.25">
      <c r="J3046"/>
      <c r="M3046"/>
      <c r="W3046"/>
    </row>
    <row r="3047" spans="10:23" x14ac:dyDescent="0.25">
      <c r="J3047"/>
      <c r="M3047"/>
      <c r="W3047"/>
    </row>
    <row r="3048" spans="10:23" x14ac:dyDescent="0.25">
      <c r="J3048"/>
      <c r="M3048"/>
      <c r="W3048"/>
    </row>
    <row r="3049" spans="10:23" x14ac:dyDescent="0.25">
      <c r="J3049"/>
      <c r="M3049"/>
      <c r="W3049"/>
    </row>
    <row r="3050" spans="10:23" x14ac:dyDescent="0.25">
      <c r="J3050"/>
      <c r="M3050"/>
      <c r="W3050"/>
    </row>
    <row r="3051" spans="10:23" x14ac:dyDescent="0.25">
      <c r="J3051"/>
      <c r="M3051"/>
      <c r="W3051"/>
    </row>
    <row r="3052" spans="10:23" x14ac:dyDescent="0.25">
      <c r="J3052"/>
      <c r="M3052"/>
      <c r="W3052"/>
    </row>
    <row r="3053" spans="10:23" x14ac:dyDescent="0.25">
      <c r="J3053"/>
      <c r="M3053"/>
      <c r="W3053"/>
    </row>
    <row r="3054" spans="10:23" x14ac:dyDescent="0.25">
      <c r="J3054"/>
      <c r="M3054"/>
      <c r="W3054"/>
    </row>
    <row r="3055" spans="10:23" x14ac:dyDescent="0.25">
      <c r="J3055"/>
      <c r="M3055"/>
      <c r="W3055"/>
    </row>
    <row r="3056" spans="10:23" x14ac:dyDescent="0.25">
      <c r="J3056"/>
      <c r="M3056"/>
      <c r="W3056"/>
    </row>
    <row r="3057" spans="10:23" x14ac:dyDescent="0.25">
      <c r="J3057"/>
      <c r="M3057"/>
      <c r="W3057"/>
    </row>
    <row r="3058" spans="10:23" x14ac:dyDescent="0.25">
      <c r="J3058"/>
      <c r="M3058"/>
      <c r="W3058"/>
    </row>
    <row r="3059" spans="10:23" x14ac:dyDescent="0.25">
      <c r="J3059"/>
      <c r="M3059"/>
      <c r="W3059"/>
    </row>
    <row r="3060" spans="10:23" x14ac:dyDescent="0.25">
      <c r="J3060"/>
      <c r="M3060"/>
      <c r="W3060"/>
    </row>
    <row r="3061" spans="10:23" x14ac:dyDescent="0.25">
      <c r="J3061"/>
      <c r="M3061"/>
      <c r="W3061"/>
    </row>
    <row r="3062" spans="10:23" x14ac:dyDescent="0.25">
      <c r="J3062"/>
      <c r="M3062"/>
      <c r="W3062"/>
    </row>
    <row r="3063" spans="10:23" x14ac:dyDescent="0.25">
      <c r="J3063"/>
      <c r="M3063"/>
      <c r="W3063"/>
    </row>
    <row r="3064" spans="10:23" x14ac:dyDescent="0.25">
      <c r="J3064"/>
      <c r="M3064"/>
      <c r="W3064"/>
    </row>
    <row r="3065" spans="10:23" x14ac:dyDescent="0.25">
      <c r="J3065"/>
      <c r="M3065"/>
      <c r="W3065"/>
    </row>
    <row r="3066" spans="10:23" x14ac:dyDescent="0.25">
      <c r="J3066"/>
      <c r="M3066"/>
      <c r="W3066"/>
    </row>
    <row r="3067" spans="10:23" x14ac:dyDescent="0.25">
      <c r="J3067"/>
      <c r="M3067"/>
      <c r="W3067"/>
    </row>
    <row r="3068" spans="10:23" x14ac:dyDescent="0.25">
      <c r="J3068"/>
      <c r="M3068"/>
      <c r="W3068"/>
    </row>
    <row r="3069" spans="10:23" x14ac:dyDescent="0.25">
      <c r="J3069"/>
      <c r="M3069"/>
      <c r="W3069"/>
    </row>
    <row r="3070" spans="10:23" x14ac:dyDescent="0.25">
      <c r="J3070"/>
      <c r="M3070"/>
      <c r="W3070"/>
    </row>
    <row r="3071" spans="10:23" x14ac:dyDescent="0.25">
      <c r="J3071"/>
      <c r="M3071"/>
      <c r="W3071"/>
    </row>
    <row r="3072" spans="10:23" x14ac:dyDescent="0.25">
      <c r="J3072"/>
      <c r="M3072"/>
      <c r="W3072"/>
    </row>
    <row r="3073" spans="10:23" x14ac:dyDescent="0.25">
      <c r="J3073"/>
      <c r="M3073"/>
      <c r="W3073"/>
    </row>
    <row r="3074" spans="10:23" x14ac:dyDescent="0.25">
      <c r="J3074"/>
      <c r="M3074"/>
      <c r="W3074"/>
    </row>
    <row r="3075" spans="10:23" x14ac:dyDescent="0.25">
      <c r="J3075"/>
      <c r="M3075"/>
      <c r="W3075"/>
    </row>
    <row r="3076" spans="10:23" x14ac:dyDescent="0.25">
      <c r="J3076"/>
      <c r="M3076"/>
      <c r="W3076"/>
    </row>
    <row r="3077" spans="10:23" x14ac:dyDescent="0.25">
      <c r="J3077"/>
      <c r="M3077"/>
      <c r="W3077"/>
    </row>
    <row r="3078" spans="10:23" x14ac:dyDescent="0.25">
      <c r="J3078"/>
      <c r="M3078"/>
      <c r="W3078"/>
    </row>
    <row r="3079" spans="10:23" x14ac:dyDescent="0.25">
      <c r="J3079"/>
      <c r="M3079"/>
      <c r="W3079"/>
    </row>
    <row r="3080" spans="10:23" x14ac:dyDescent="0.25">
      <c r="J3080"/>
      <c r="M3080"/>
      <c r="W3080"/>
    </row>
    <row r="3081" spans="10:23" x14ac:dyDescent="0.25">
      <c r="J3081"/>
      <c r="M3081"/>
      <c r="W3081"/>
    </row>
    <row r="3082" spans="10:23" x14ac:dyDescent="0.25">
      <c r="J3082"/>
      <c r="M3082"/>
      <c r="W3082"/>
    </row>
    <row r="3083" spans="10:23" x14ac:dyDescent="0.25">
      <c r="J3083"/>
      <c r="M3083"/>
      <c r="W3083"/>
    </row>
    <row r="3084" spans="10:23" x14ac:dyDescent="0.25">
      <c r="J3084"/>
      <c r="M3084"/>
      <c r="W3084"/>
    </row>
    <row r="3085" spans="10:23" x14ac:dyDescent="0.25">
      <c r="J3085"/>
      <c r="M3085"/>
      <c r="W3085"/>
    </row>
    <row r="3086" spans="10:23" x14ac:dyDescent="0.25">
      <c r="J3086"/>
      <c r="M3086"/>
      <c r="W3086"/>
    </row>
    <row r="3087" spans="10:23" x14ac:dyDescent="0.25">
      <c r="J3087"/>
      <c r="M3087"/>
      <c r="W3087"/>
    </row>
    <row r="3088" spans="10:23" x14ac:dyDescent="0.25">
      <c r="J3088"/>
      <c r="M3088"/>
      <c r="W3088"/>
    </row>
    <row r="3089" spans="10:23" x14ac:dyDescent="0.25">
      <c r="J3089"/>
      <c r="M3089"/>
      <c r="W3089"/>
    </row>
    <row r="3090" spans="10:23" x14ac:dyDescent="0.25">
      <c r="J3090"/>
      <c r="M3090"/>
      <c r="W3090"/>
    </row>
    <row r="3091" spans="10:23" x14ac:dyDescent="0.25">
      <c r="J3091"/>
      <c r="M3091"/>
      <c r="W3091"/>
    </row>
    <row r="3092" spans="10:23" x14ac:dyDescent="0.25">
      <c r="J3092"/>
      <c r="M3092"/>
      <c r="W3092"/>
    </row>
    <row r="3093" spans="10:23" x14ac:dyDescent="0.25">
      <c r="J3093"/>
      <c r="M3093"/>
      <c r="W3093"/>
    </row>
    <row r="3094" spans="10:23" x14ac:dyDescent="0.25">
      <c r="J3094"/>
      <c r="M3094"/>
      <c r="W3094"/>
    </row>
    <row r="3095" spans="10:23" x14ac:dyDescent="0.25">
      <c r="J3095"/>
      <c r="M3095"/>
      <c r="W3095"/>
    </row>
    <row r="3096" spans="10:23" x14ac:dyDescent="0.25">
      <c r="J3096"/>
      <c r="M3096"/>
      <c r="W3096"/>
    </row>
    <row r="3097" spans="10:23" x14ac:dyDescent="0.25">
      <c r="J3097"/>
      <c r="M3097"/>
      <c r="W3097"/>
    </row>
    <row r="3098" spans="10:23" x14ac:dyDescent="0.25">
      <c r="J3098"/>
      <c r="M3098"/>
      <c r="W3098"/>
    </row>
    <row r="3099" spans="10:23" x14ac:dyDescent="0.25">
      <c r="J3099"/>
      <c r="M3099"/>
      <c r="W3099"/>
    </row>
    <row r="3100" spans="10:23" x14ac:dyDescent="0.25">
      <c r="J3100"/>
      <c r="M3100"/>
      <c r="W3100"/>
    </row>
    <row r="3101" spans="10:23" x14ac:dyDescent="0.25">
      <c r="J3101"/>
      <c r="M3101"/>
      <c r="W3101"/>
    </row>
    <row r="3102" spans="10:23" x14ac:dyDescent="0.25">
      <c r="J3102"/>
      <c r="M3102"/>
      <c r="W3102"/>
    </row>
    <row r="3103" spans="10:23" x14ac:dyDescent="0.25">
      <c r="J3103"/>
      <c r="M3103"/>
      <c r="W3103"/>
    </row>
    <row r="3104" spans="10:23" x14ac:dyDescent="0.25">
      <c r="J3104"/>
      <c r="M3104"/>
      <c r="W3104"/>
    </row>
    <row r="3105" spans="10:23" x14ac:dyDescent="0.25">
      <c r="J3105"/>
      <c r="M3105"/>
      <c r="W3105"/>
    </row>
    <row r="3106" spans="10:23" x14ac:dyDescent="0.25">
      <c r="J3106"/>
      <c r="M3106"/>
      <c r="W3106"/>
    </row>
    <row r="3107" spans="10:23" x14ac:dyDescent="0.25">
      <c r="J3107"/>
      <c r="M3107"/>
      <c r="W3107"/>
    </row>
    <row r="3108" spans="10:23" x14ac:dyDescent="0.25">
      <c r="J3108"/>
      <c r="M3108"/>
      <c r="W3108"/>
    </row>
    <row r="3109" spans="10:23" x14ac:dyDescent="0.25">
      <c r="J3109"/>
      <c r="M3109"/>
      <c r="W3109"/>
    </row>
    <row r="3110" spans="10:23" x14ac:dyDescent="0.25">
      <c r="J3110"/>
      <c r="M3110"/>
      <c r="W3110"/>
    </row>
    <row r="3111" spans="10:23" x14ac:dyDescent="0.25">
      <c r="J3111"/>
      <c r="M3111"/>
      <c r="W3111"/>
    </row>
    <row r="3112" spans="10:23" x14ac:dyDescent="0.25">
      <c r="J3112"/>
      <c r="M3112"/>
      <c r="W3112"/>
    </row>
    <row r="3113" spans="10:23" x14ac:dyDescent="0.25">
      <c r="J3113"/>
      <c r="M3113"/>
      <c r="W3113"/>
    </row>
    <row r="3114" spans="10:23" x14ac:dyDescent="0.25">
      <c r="J3114"/>
      <c r="M3114"/>
      <c r="W3114"/>
    </row>
    <row r="3115" spans="10:23" x14ac:dyDescent="0.25">
      <c r="J3115"/>
      <c r="M3115"/>
      <c r="W3115"/>
    </row>
    <row r="3116" spans="10:23" x14ac:dyDescent="0.25">
      <c r="J3116"/>
      <c r="M3116"/>
      <c r="W3116"/>
    </row>
    <row r="3117" spans="10:23" x14ac:dyDescent="0.25">
      <c r="J3117"/>
      <c r="M3117"/>
      <c r="W3117"/>
    </row>
    <row r="3118" spans="10:23" x14ac:dyDescent="0.25">
      <c r="J3118"/>
      <c r="M3118"/>
      <c r="W3118"/>
    </row>
    <row r="3119" spans="10:23" x14ac:dyDescent="0.25">
      <c r="J3119"/>
      <c r="M3119"/>
      <c r="W3119"/>
    </row>
    <row r="3120" spans="10:23" x14ac:dyDescent="0.25">
      <c r="J3120"/>
      <c r="M3120"/>
      <c r="W3120"/>
    </row>
    <row r="3121" spans="10:23" x14ac:dyDescent="0.25">
      <c r="J3121"/>
      <c r="M3121"/>
      <c r="W3121"/>
    </row>
    <row r="3122" spans="10:23" x14ac:dyDescent="0.25">
      <c r="J3122"/>
      <c r="M3122"/>
      <c r="W3122"/>
    </row>
    <row r="3123" spans="10:23" x14ac:dyDescent="0.25">
      <c r="J3123"/>
      <c r="M3123"/>
      <c r="W3123"/>
    </row>
    <row r="3124" spans="10:23" x14ac:dyDescent="0.25">
      <c r="J3124"/>
      <c r="M3124"/>
      <c r="W3124"/>
    </row>
    <row r="3125" spans="10:23" x14ac:dyDescent="0.25">
      <c r="J3125"/>
      <c r="M3125"/>
      <c r="W3125"/>
    </row>
    <row r="3126" spans="10:23" x14ac:dyDescent="0.25">
      <c r="J3126"/>
      <c r="M3126"/>
      <c r="W3126"/>
    </row>
    <row r="3127" spans="10:23" x14ac:dyDescent="0.25">
      <c r="J3127"/>
      <c r="M3127"/>
      <c r="W3127"/>
    </row>
    <row r="3128" spans="10:23" x14ac:dyDescent="0.25">
      <c r="J3128"/>
      <c r="M3128"/>
      <c r="W3128"/>
    </row>
    <row r="3129" spans="10:23" x14ac:dyDescent="0.25">
      <c r="J3129"/>
      <c r="M3129"/>
      <c r="W3129"/>
    </row>
    <row r="3130" spans="10:23" x14ac:dyDescent="0.25">
      <c r="J3130"/>
      <c r="M3130"/>
      <c r="W3130"/>
    </row>
    <row r="3131" spans="10:23" x14ac:dyDescent="0.25">
      <c r="J3131"/>
      <c r="M3131"/>
      <c r="W3131"/>
    </row>
    <row r="3132" spans="10:23" x14ac:dyDescent="0.25">
      <c r="J3132"/>
      <c r="M3132"/>
      <c r="W3132"/>
    </row>
    <row r="3133" spans="10:23" x14ac:dyDescent="0.25">
      <c r="J3133"/>
      <c r="M3133"/>
      <c r="W3133"/>
    </row>
    <row r="3134" spans="10:23" x14ac:dyDescent="0.25">
      <c r="J3134"/>
      <c r="M3134"/>
      <c r="W3134"/>
    </row>
    <row r="3135" spans="10:23" x14ac:dyDescent="0.25">
      <c r="J3135"/>
      <c r="M3135"/>
      <c r="W3135"/>
    </row>
    <row r="3136" spans="10:23" x14ac:dyDescent="0.25">
      <c r="J3136"/>
      <c r="M3136"/>
      <c r="W3136"/>
    </row>
    <row r="3137" spans="10:23" x14ac:dyDescent="0.25">
      <c r="J3137"/>
      <c r="M3137"/>
      <c r="W3137"/>
    </row>
    <row r="3138" spans="10:23" x14ac:dyDescent="0.25">
      <c r="J3138"/>
      <c r="M3138"/>
      <c r="W3138"/>
    </row>
    <row r="3139" spans="10:23" x14ac:dyDescent="0.25">
      <c r="J3139"/>
      <c r="M3139"/>
      <c r="W3139"/>
    </row>
    <row r="3140" spans="10:23" x14ac:dyDescent="0.25">
      <c r="J3140"/>
      <c r="M3140"/>
      <c r="W3140"/>
    </row>
    <row r="3141" spans="10:23" x14ac:dyDescent="0.25">
      <c r="J3141"/>
      <c r="M3141"/>
      <c r="W3141"/>
    </row>
    <row r="3142" spans="10:23" x14ac:dyDescent="0.25">
      <c r="J3142"/>
      <c r="M3142"/>
      <c r="W3142"/>
    </row>
    <row r="3143" spans="10:23" x14ac:dyDescent="0.25">
      <c r="J3143"/>
      <c r="M3143"/>
      <c r="W3143"/>
    </row>
    <row r="3144" spans="10:23" x14ac:dyDescent="0.25">
      <c r="J3144"/>
      <c r="M3144"/>
      <c r="W3144"/>
    </row>
    <row r="3145" spans="10:23" x14ac:dyDescent="0.25">
      <c r="J3145"/>
      <c r="M3145"/>
      <c r="W3145"/>
    </row>
    <row r="3146" spans="10:23" x14ac:dyDescent="0.25">
      <c r="J3146"/>
      <c r="M3146"/>
      <c r="W3146"/>
    </row>
    <row r="3147" spans="10:23" x14ac:dyDescent="0.25">
      <c r="J3147"/>
      <c r="M3147"/>
      <c r="W3147"/>
    </row>
    <row r="3148" spans="10:23" x14ac:dyDescent="0.25">
      <c r="J3148"/>
      <c r="M3148"/>
      <c r="W3148"/>
    </row>
    <row r="3149" spans="10:23" x14ac:dyDescent="0.25">
      <c r="J3149"/>
      <c r="M3149"/>
      <c r="W3149"/>
    </row>
    <row r="3150" spans="10:23" x14ac:dyDescent="0.25">
      <c r="J3150"/>
      <c r="M3150"/>
      <c r="W3150"/>
    </row>
    <row r="3151" spans="10:23" x14ac:dyDescent="0.25">
      <c r="J3151"/>
      <c r="M3151"/>
      <c r="W3151"/>
    </row>
    <row r="3152" spans="10:23" x14ac:dyDescent="0.25">
      <c r="J3152"/>
      <c r="M3152"/>
      <c r="W3152"/>
    </row>
    <row r="3153" spans="10:23" x14ac:dyDescent="0.25">
      <c r="J3153"/>
      <c r="M3153"/>
      <c r="W3153"/>
    </row>
    <row r="3154" spans="10:23" x14ac:dyDescent="0.25">
      <c r="J3154"/>
      <c r="M3154"/>
      <c r="W3154"/>
    </row>
    <row r="3155" spans="10:23" x14ac:dyDescent="0.25">
      <c r="J3155"/>
      <c r="M3155"/>
      <c r="W3155"/>
    </row>
    <row r="3156" spans="10:23" x14ac:dyDescent="0.25">
      <c r="J3156"/>
      <c r="M3156"/>
      <c r="W3156"/>
    </row>
    <row r="3157" spans="10:23" x14ac:dyDescent="0.25">
      <c r="J3157"/>
      <c r="M3157"/>
      <c r="W3157"/>
    </row>
    <row r="3158" spans="10:23" x14ac:dyDescent="0.25">
      <c r="J3158"/>
      <c r="M3158"/>
      <c r="W3158"/>
    </row>
    <row r="3159" spans="10:23" x14ac:dyDescent="0.25">
      <c r="J3159"/>
      <c r="M3159"/>
      <c r="W3159"/>
    </row>
    <row r="3160" spans="10:23" x14ac:dyDescent="0.25">
      <c r="J3160"/>
      <c r="M3160"/>
      <c r="W3160"/>
    </row>
    <row r="3161" spans="10:23" x14ac:dyDescent="0.25">
      <c r="J3161"/>
      <c r="M3161"/>
      <c r="W3161"/>
    </row>
    <row r="3162" spans="10:23" x14ac:dyDescent="0.25">
      <c r="J3162"/>
      <c r="M3162"/>
      <c r="W3162"/>
    </row>
    <row r="3163" spans="10:23" x14ac:dyDescent="0.25">
      <c r="J3163"/>
      <c r="M3163"/>
      <c r="W3163"/>
    </row>
    <row r="3164" spans="10:23" x14ac:dyDescent="0.25">
      <c r="J3164"/>
      <c r="M3164"/>
      <c r="W3164"/>
    </row>
    <row r="3165" spans="10:23" x14ac:dyDescent="0.25">
      <c r="J3165"/>
      <c r="M3165"/>
      <c r="W3165"/>
    </row>
    <row r="3166" spans="10:23" x14ac:dyDescent="0.25">
      <c r="J3166"/>
      <c r="M3166"/>
      <c r="W3166"/>
    </row>
    <row r="3167" spans="10:23" x14ac:dyDescent="0.25">
      <c r="J3167"/>
      <c r="M3167"/>
      <c r="W3167"/>
    </row>
    <row r="3168" spans="10:23" x14ac:dyDescent="0.25">
      <c r="J3168"/>
      <c r="M3168"/>
      <c r="W3168"/>
    </row>
    <row r="3169" spans="10:23" x14ac:dyDescent="0.25">
      <c r="J3169"/>
      <c r="M3169"/>
      <c r="W3169"/>
    </row>
    <row r="3170" spans="10:23" x14ac:dyDescent="0.25">
      <c r="J3170"/>
      <c r="M3170"/>
      <c r="W3170"/>
    </row>
    <row r="3171" spans="10:23" x14ac:dyDescent="0.25">
      <c r="J3171"/>
      <c r="M3171"/>
      <c r="W3171"/>
    </row>
    <row r="3172" spans="10:23" x14ac:dyDescent="0.25">
      <c r="J3172"/>
      <c r="M3172"/>
      <c r="W3172"/>
    </row>
    <row r="3173" spans="10:23" x14ac:dyDescent="0.25">
      <c r="J3173"/>
      <c r="M3173"/>
      <c r="W3173"/>
    </row>
    <row r="3174" spans="10:23" x14ac:dyDescent="0.25">
      <c r="J3174"/>
      <c r="M3174"/>
      <c r="W3174"/>
    </row>
    <row r="3175" spans="10:23" x14ac:dyDescent="0.25">
      <c r="J3175"/>
      <c r="M3175"/>
      <c r="W3175"/>
    </row>
    <row r="3176" spans="10:23" x14ac:dyDescent="0.25">
      <c r="J3176"/>
      <c r="M3176"/>
      <c r="W3176"/>
    </row>
    <row r="3177" spans="10:23" x14ac:dyDescent="0.25">
      <c r="J3177"/>
      <c r="M3177"/>
      <c r="W3177"/>
    </row>
    <row r="3178" spans="10:23" x14ac:dyDescent="0.25">
      <c r="J3178"/>
      <c r="M3178"/>
      <c r="W3178"/>
    </row>
    <row r="3179" spans="10:23" x14ac:dyDescent="0.25">
      <c r="J3179"/>
      <c r="M3179"/>
      <c r="W3179"/>
    </row>
    <row r="3180" spans="10:23" x14ac:dyDescent="0.25">
      <c r="J3180"/>
      <c r="M3180"/>
      <c r="W3180"/>
    </row>
    <row r="3181" spans="10:23" x14ac:dyDescent="0.25">
      <c r="J3181"/>
      <c r="M3181"/>
      <c r="W3181"/>
    </row>
    <row r="3182" spans="10:23" x14ac:dyDescent="0.25">
      <c r="J3182"/>
      <c r="M3182"/>
      <c r="W3182"/>
    </row>
    <row r="3183" spans="10:23" x14ac:dyDescent="0.25">
      <c r="J3183"/>
      <c r="M3183"/>
      <c r="W3183"/>
    </row>
    <row r="3184" spans="10:23" x14ac:dyDescent="0.25">
      <c r="J3184"/>
      <c r="M3184"/>
      <c r="W3184"/>
    </row>
    <row r="3185" spans="10:23" x14ac:dyDescent="0.25">
      <c r="J3185"/>
      <c r="M3185"/>
      <c r="W3185"/>
    </row>
    <row r="3186" spans="10:23" x14ac:dyDescent="0.25">
      <c r="J3186"/>
      <c r="M3186"/>
      <c r="W3186"/>
    </row>
    <row r="3187" spans="10:23" x14ac:dyDescent="0.25">
      <c r="J3187"/>
      <c r="M3187"/>
      <c r="W3187"/>
    </row>
    <row r="3188" spans="10:23" x14ac:dyDescent="0.25">
      <c r="J3188"/>
      <c r="M3188"/>
      <c r="W3188"/>
    </row>
    <row r="3189" spans="10:23" x14ac:dyDescent="0.25">
      <c r="J3189"/>
      <c r="M3189"/>
      <c r="W3189"/>
    </row>
    <row r="3190" spans="10:23" x14ac:dyDescent="0.25">
      <c r="J3190"/>
      <c r="M3190"/>
      <c r="W3190"/>
    </row>
    <row r="3191" spans="10:23" x14ac:dyDescent="0.25">
      <c r="J3191"/>
      <c r="M3191"/>
      <c r="W3191"/>
    </row>
    <row r="3192" spans="10:23" x14ac:dyDescent="0.25">
      <c r="J3192"/>
      <c r="M3192"/>
      <c r="W3192"/>
    </row>
    <row r="3193" spans="10:23" x14ac:dyDescent="0.25">
      <c r="J3193"/>
      <c r="M3193"/>
      <c r="W3193"/>
    </row>
    <row r="3194" spans="10:23" x14ac:dyDescent="0.25">
      <c r="J3194"/>
      <c r="M3194"/>
      <c r="W3194"/>
    </row>
    <row r="3195" spans="10:23" x14ac:dyDescent="0.25">
      <c r="J3195"/>
      <c r="M3195"/>
      <c r="W3195"/>
    </row>
    <row r="3196" spans="10:23" x14ac:dyDescent="0.25">
      <c r="J3196"/>
      <c r="M3196"/>
      <c r="W3196"/>
    </row>
    <row r="3197" spans="10:23" x14ac:dyDescent="0.25">
      <c r="J3197"/>
      <c r="M3197"/>
      <c r="W3197"/>
    </row>
    <row r="3198" spans="10:23" x14ac:dyDescent="0.25">
      <c r="J3198"/>
      <c r="M3198"/>
      <c r="W3198"/>
    </row>
    <row r="3199" spans="10:23" x14ac:dyDescent="0.25">
      <c r="J3199"/>
      <c r="M3199"/>
      <c r="W3199"/>
    </row>
    <row r="3200" spans="10:23" x14ac:dyDescent="0.25">
      <c r="J3200"/>
      <c r="M3200"/>
      <c r="W3200"/>
    </row>
    <row r="3201" spans="10:23" x14ac:dyDescent="0.25">
      <c r="J3201"/>
      <c r="M3201"/>
      <c r="W3201"/>
    </row>
    <row r="3202" spans="10:23" x14ac:dyDescent="0.25">
      <c r="J3202"/>
      <c r="M3202"/>
      <c r="W3202"/>
    </row>
    <row r="3203" spans="10:23" x14ac:dyDescent="0.25">
      <c r="J3203"/>
      <c r="M3203"/>
      <c r="W3203"/>
    </row>
    <row r="3204" spans="10:23" x14ac:dyDescent="0.25">
      <c r="J3204"/>
      <c r="M3204"/>
      <c r="W3204"/>
    </row>
    <row r="3205" spans="10:23" x14ac:dyDescent="0.25">
      <c r="J3205"/>
      <c r="M3205"/>
      <c r="W3205"/>
    </row>
    <row r="3206" spans="10:23" x14ac:dyDescent="0.25">
      <c r="J3206"/>
      <c r="M3206"/>
      <c r="W3206"/>
    </row>
    <row r="3207" spans="10:23" x14ac:dyDescent="0.25">
      <c r="J3207"/>
      <c r="M3207"/>
      <c r="W3207"/>
    </row>
    <row r="3208" spans="10:23" x14ac:dyDescent="0.25">
      <c r="J3208"/>
      <c r="M3208"/>
      <c r="W3208"/>
    </row>
    <row r="3209" spans="10:23" x14ac:dyDescent="0.25">
      <c r="J3209"/>
      <c r="M3209"/>
      <c r="W3209"/>
    </row>
    <row r="3210" spans="10:23" x14ac:dyDescent="0.25">
      <c r="J3210"/>
      <c r="M3210"/>
      <c r="W3210"/>
    </row>
    <row r="3211" spans="10:23" x14ac:dyDescent="0.25">
      <c r="J3211"/>
      <c r="M3211"/>
      <c r="W3211"/>
    </row>
    <row r="3212" spans="10:23" x14ac:dyDescent="0.25">
      <c r="J3212"/>
      <c r="M3212"/>
      <c r="W3212"/>
    </row>
    <row r="3213" spans="10:23" x14ac:dyDescent="0.25">
      <c r="J3213"/>
      <c r="M3213"/>
      <c r="W3213"/>
    </row>
    <row r="3214" spans="10:23" x14ac:dyDescent="0.25">
      <c r="J3214"/>
      <c r="M3214"/>
      <c r="W3214"/>
    </row>
    <row r="3215" spans="10:23" x14ac:dyDescent="0.25">
      <c r="J3215"/>
      <c r="M3215"/>
      <c r="W3215"/>
    </row>
    <row r="3216" spans="10:23" x14ac:dyDescent="0.25">
      <c r="J3216"/>
      <c r="M3216"/>
      <c r="W3216"/>
    </row>
    <row r="3217" spans="10:23" x14ac:dyDescent="0.25">
      <c r="J3217"/>
      <c r="M3217"/>
      <c r="W3217"/>
    </row>
    <row r="3218" spans="10:23" x14ac:dyDescent="0.25">
      <c r="J3218"/>
      <c r="M3218"/>
      <c r="W3218"/>
    </row>
    <row r="3219" spans="10:23" x14ac:dyDescent="0.25">
      <c r="J3219"/>
      <c r="M3219"/>
      <c r="W3219"/>
    </row>
    <row r="3220" spans="10:23" x14ac:dyDescent="0.25">
      <c r="J3220"/>
      <c r="M3220"/>
      <c r="W3220"/>
    </row>
    <row r="3221" spans="10:23" x14ac:dyDescent="0.25">
      <c r="J3221"/>
      <c r="M3221"/>
      <c r="W3221"/>
    </row>
    <row r="3222" spans="10:23" x14ac:dyDescent="0.25">
      <c r="J3222"/>
      <c r="M3222"/>
      <c r="W3222"/>
    </row>
    <row r="3223" spans="10:23" x14ac:dyDescent="0.25">
      <c r="J3223"/>
      <c r="M3223"/>
      <c r="W3223"/>
    </row>
    <row r="3224" spans="10:23" x14ac:dyDescent="0.25">
      <c r="J3224"/>
      <c r="M3224"/>
      <c r="W3224"/>
    </row>
    <row r="3225" spans="10:23" x14ac:dyDescent="0.25">
      <c r="J3225"/>
      <c r="M3225"/>
      <c r="W3225"/>
    </row>
    <row r="3226" spans="10:23" x14ac:dyDescent="0.25">
      <c r="J3226"/>
      <c r="M3226"/>
      <c r="W3226"/>
    </row>
    <row r="3227" spans="10:23" x14ac:dyDescent="0.25">
      <c r="J3227"/>
      <c r="M3227"/>
      <c r="W3227"/>
    </row>
    <row r="3228" spans="10:23" x14ac:dyDescent="0.25">
      <c r="J3228"/>
      <c r="M3228"/>
      <c r="W3228"/>
    </row>
    <row r="3229" spans="10:23" x14ac:dyDescent="0.25">
      <c r="J3229"/>
      <c r="M3229"/>
      <c r="W3229"/>
    </row>
    <row r="3230" spans="10:23" x14ac:dyDescent="0.25">
      <c r="J3230"/>
      <c r="M3230"/>
      <c r="W3230"/>
    </row>
    <row r="3231" spans="10:23" x14ac:dyDescent="0.25">
      <c r="J3231"/>
      <c r="M3231"/>
      <c r="W3231"/>
    </row>
    <row r="3232" spans="10:23" x14ac:dyDescent="0.25">
      <c r="J3232"/>
      <c r="M3232"/>
      <c r="W3232"/>
    </row>
    <row r="3233" spans="10:23" x14ac:dyDescent="0.25">
      <c r="J3233"/>
      <c r="M3233"/>
      <c r="W3233"/>
    </row>
    <row r="3234" spans="10:23" x14ac:dyDescent="0.25">
      <c r="J3234"/>
      <c r="M3234"/>
      <c r="W3234"/>
    </row>
    <row r="3235" spans="10:23" x14ac:dyDescent="0.25">
      <c r="J3235"/>
      <c r="M3235"/>
      <c r="W3235"/>
    </row>
    <row r="3236" spans="10:23" x14ac:dyDescent="0.25">
      <c r="J3236"/>
      <c r="M3236"/>
      <c r="W3236"/>
    </row>
    <row r="3237" spans="10:23" x14ac:dyDescent="0.25">
      <c r="J3237"/>
      <c r="M3237"/>
      <c r="W3237"/>
    </row>
    <row r="3238" spans="10:23" x14ac:dyDescent="0.25">
      <c r="J3238"/>
      <c r="M3238"/>
      <c r="W3238"/>
    </row>
    <row r="3239" spans="10:23" x14ac:dyDescent="0.25">
      <c r="J3239"/>
      <c r="M3239"/>
      <c r="W3239"/>
    </row>
    <row r="3240" spans="10:23" x14ac:dyDescent="0.25">
      <c r="J3240"/>
      <c r="M3240"/>
      <c r="W3240"/>
    </row>
    <row r="3241" spans="10:23" x14ac:dyDescent="0.25">
      <c r="J3241"/>
      <c r="M3241"/>
      <c r="W3241"/>
    </row>
    <row r="3242" spans="10:23" x14ac:dyDescent="0.25">
      <c r="J3242"/>
      <c r="M3242"/>
      <c r="W3242"/>
    </row>
    <row r="3243" spans="10:23" x14ac:dyDescent="0.25">
      <c r="J3243"/>
      <c r="M3243"/>
      <c r="W3243"/>
    </row>
    <row r="3244" spans="10:23" x14ac:dyDescent="0.25">
      <c r="J3244"/>
      <c r="M3244"/>
      <c r="W3244"/>
    </row>
    <row r="3245" spans="10:23" x14ac:dyDescent="0.25">
      <c r="J3245"/>
      <c r="M3245"/>
      <c r="W3245"/>
    </row>
    <row r="3246" spans="10:23" x14ac:dyDescent="0.25">
      <c r="J3246"/>
      <c r="M3246"/>
      <c r="W3246"/>
    </row>
    <row r="3247" spans="10:23" x14ac:dyDescent="0.25">
      <c r="J3247"/>
      <c r="M3247"/>
      <c r="W3247"/>
    </row>
    <row r="3248" spans="10:23" x14ac:dyDescent="0.25">
      <c r="J3248"/>
      <c r="M3248"/>
      <c r="W3248"/>
    </row>
    <row r="3249" spans="10:23" x14ac:dyDescent="0.25">
      <c r="J3249"/>
      <c r="M3249"/>
      <c r="W3249"/>
    </row>
    <row r="3250" spans="10:23" x14ac:dyDescent="0.25">
      <c r="J3250"/>
      <c r="M3250"/>
      <c r="W3250"/>
    </row>
    <row r="3251" spans="10:23" x14ac:dyDescent="0.25">
      <c r="J3251"/>
      <c r="M3251"/>
      <c r="W3251"/>
    </row>
    <row r="3252" spans="10:23" x14ac:dyDescent="0.25">
      <c r="J3252"/>
      <c r="M3252"/>
      <c r="W3252"/>
    </row>
    <row r="3253" spans="10:23" x14ac:dyDescent="0.25">
      <c r="J3253"/>
      <c r="M3253"/>
      <c r="W3253"/>
    </row>
    <row r="3254" spans="10:23" x14ac:dyDescent="0.25">
      <c r="J3254"/>
      <c r="M3254"/>
      <c r="W3254"/>
    </row>
    <row r="3255" spans="10:23" x14ac:dyDescent="0.25">
      <c r="J3255"/>
      <c r="M3255"/>
      <c r="W3255"/>
    </row>
    <row r="3256" spans="10:23" x14ac:dyDescent="0.25">
      <c r="J3256"/>
      <c r="M3256"/>
      <c r="W3256"/>
    </row>
    <row r="3257" spans="10:23" x14ac:dyDescent="0.25">
      <c r="J3257"/>
      <c r="M3257"/>
      <c r="W3257"/>
    </row>
    <row r="3258" spans="10:23" x14ac:dyDescent="0.25">
      <c r="J3258"/>
      <c r="M3258"/>
      <c r="W3258"/>
    </row>
    <row r="3259" spans="10:23" x14ac:dyDescent="0.25">
      <c r="J3259"/>
      <c r="M3259"/>
      <c r="W3259"/>
    </row>
    <row r="3260" spans="10:23" x14ac:dyDescent="0.25">
      <c r="J3260"/>
      <c r="M3260"/>
      <c r="W3260"/>
    </row>
    <row r="3261" spans="10:23" x14ac:dyDescent="0.25">
      <c r="J3261"/>
      <c r="M3261"/>
      <c r="W3261"/>
    </row>
    <row r="3262" spans="10:23" x14ac:dyDescent="0.25">
      <c r="J3262"/>
      <c r="M3262"/>
      <c r="W3262"/>
    </row>
    <row r="3263" spans="10:23" x14ac:dyDescent="0.25">
      <c r="J3263"/>
      <c r="M3263"/>
      <c r="W3263"/>
    </row>
    <row r="3264" spans="10:23" x14ac:dyDescent="0.25">
      <c r="J3264"/>
      <c r="M3264"/>
      <c r="W3264"/>
    </row>
    <row r="3265" spans="10:23" x14ac:dyDescent="0.25">
      <c r="J3265"/>
      <c r="M3265"/>
      <c r="W3265"/>
    </row>
    <row r="3266" spans="10:23" x14ac:dyDescent="0.25">
      <c r="J3266"/>
      <c r="M3266"/>
      <c r="W3266"/>
    </row>
    <row r="3267" spans="10:23" x14ac:dyDescent="0.25">
      <c r="J3267"/>
      <c r="M3267"/>
      <c r="W3267"/>
    </row>
    <row r="3268" spans="10:23" x14ac:dyDescent="0.25">
      <c r="J3268"/>
      <c r="M3268"/>
      <c r="W3268"/>
    </row>
    <row r="3269" spans="10:23" x14ac:dyDescent="0.25">
      <c r="J3269"/>
      <c r="M3269"/>
      <c r="W3269"/>
    </row>
    <row r="3270" spans="10:23" x14ac:dyDescent="0.25">
      <c r="J3270"/>
      <c r="M3270"/>
      <c r="W3270"/>
    </row>
    <row r="3271" spans="10:23" x14ac:dyDescent="0.25">
      <c r="J3271"/>
      <c r="M3271"/>
      <c r="W3271"/>
    </row>
    <row r="3272" spans="10:23" x14ac:dyDescent="0.25">
      <c r="J3272"/>
      <c r="M3272"/>
      <c r="W3272"/>
    </row>
    <row r="3273" spans="10:23" x14ac:dyDescent="0.25">
      <c r="J3273"/>
      <c r="M3273"/>
      <c r="W3273"/>
    </row>
    <row r="3274" spans="10:23" x14ac:dyDescent="0.25">
      <c r="J3274"/>
      <c r="M3274"/>
      <c r="W3274"/>
    </row>
    <row r="3275" spans="10:23" x14ac:dyDescent="0.25">
      <c r="J3275"/>
      <c r="M3275"/>
      <c r="W3275"/>
    </row>
    <row r="3276" spans="10:23" x14ac:dyDescent="0.25">
      <c r="J3276"/>
      <c r="M3276"/>
      <c r="W3276"/>
    </row>
    <row r="3277" spans="10:23" x14ac:dyDescent="0.25">
      <c r="J3277"/>
      <c r="M3277"/>
      <c r="W3277"/>
    </row>
    <row r="3278" spans="10:23" x14ac:dyDescent="0.25">
      <c r="J3278"/>
      <c r="M3278"/>
      <c r="W3278"/>
    </row>
    <row r="3279" spans="10:23" x14ac:dyDescent="0.25">
      <c r="J3279"/>
      <c r="M3279"/>
      <c r="W3279"/>
    </row>
    <row r="3280" spans="10:23" x14ac:dyDescent="0.25">
      <c r="J3280"/>
      <c r="M3280"/>
      <c r="W3280"/>
    </row>
    <row r="3281" spans="10:23" x14ac:dyDescent="0.25">
      <c r="J3281"/>
      <c r="M3281"/>
      <c r="W3281"/>
    </row>
    <row r="3282" spans="10:23" x14ac:dyDescent="0.25">
      <c r="J3282"/>
      <c r="M3282"/>
      <c r="W3282"/>
    </row>
    <row r="3283" spans="10:23" x14ac:dyDescent="0.25">
      <c r="J3283"/>
      <c r="M3283"/>
      <c r="W3283"/>
    </row>
    <row r="3284" spans="10:23" x14ac:dyDescent="0.25">
      <c r="J3284"/>
      <c r="M3284"/>
      <c r="W3284"/>
    </row>
    <row r="3285" spans="10:23" x14ac:dyDescent="0.25">
      <c r="J3285"/>
      <c r="M3285"/>
      <c r="W3285"/>
    </row>
    <row r="3286" spans="10:23" x14ac:dyDescent="0.25">
      <c r="J3286"/>
      <c r="M3286"/>
      <c r="W3286"/>
    </row>
    <row r="3287" spans="10:23" x14ac:dyDescent="0.25">
      <c r="J3287"/>
      <c r="M3287"/>
      <c r="W3287"/>
    </row>
    <row r="3288" spans="10:23" x14ac:dyDescent="0.25">
      <c r="J3288"/>
      <c r="M3288"/>
      <c r="W3288"/>
    </row>
    <row r="3289" spans="10:23" x14ac:dyDescent="0.25">
      <c r="J3289"/>
      <c r="M3289"/>
      <c r="W3289"/>
    </row>
    <row r="3290" spans="10:23" x14ac:dyDescent="0.25">
      <c r="J3290"/>
      <c r="M3290"/>
      <c r="W3290"/>
    </row>
    <row r="3291" spans="10:23" x14ac:dyDescent="0.25">
      <c r="J3291"/>
      <c r="M3291"/>
      <c r="W3291"/>
    </row>
    <row r="3292" spans="10:23" x14ac:dyDescent="0.25">
      <c r="J3292"/>
      <c r="M3292"/>
      <c r="W3292"/>
    </row>
    <row r="3293" spans="10:23" x14ac:dyDescent="0.25">
      <c r="J3293"/>
      <c r="M3293"/>
      <c r="W3293"/>
    </row>
    <row r="3294" spans="10:23" x14ac:dyDescent="0.25">
      <c r="J3294"/>
      <c r="M3294"/>
      <c r="W3294"/>
    </row>
    <row r="3295" spans="10:23" x14ac:dyDescent="0.25">
      <c r="J3295"/>
      <c r="M3295"/>
      <c r="W3295"/>
    </row>
    <row r="3296" spans="10:23" x14ac:dyDescent="0.25">
      <c r="J3296"/>
      <c r="M3296"/>
      <c r="W3296"/>
    </row>
    <row r="3297" spans="10:23" x14ac:dyDescent="0.25">
      <c r="J3297"/>
      <c r="M3297"/>
      <c r="W3297"/>
    </row>
    <row r="3298" spans="10:23" x14ac:dyDescent="0.25">
      <c r="J3298"/>
      <c r="M3298"/>
      <c r="W3298"/>
    </row>
    <row r="3299" spans="10:23" x14ac:dyDescent="0.25">
      <c r="J3299"/>
      <c r="M3299"/>
      <c r="W3299"/>
    </row>
    <row r="3300" spans="10:23" x14ac:dyDescent="0.25">
      <c r="J3300"/>
      <c r="M3300"/>
      <c r="W3300"/>
    </row>
    <row r="3301" spans="10:23" x14ac:dyDescent="0.25">
      <c r="J3301"/>
      <c r="M3301"/>
      <c r="W3301"/>
    </row>
    <row r="3302" spans="10:23" x14ac:dyDescent="0.25">
      <c r="J3302"/>
      <c r="M3302"/>
      <c r="W3302"/>
    </row>
    <row r="3303" spans="10:23" x14ac:dyDescent="0.25">
      <c r="J3303"/>
      <c r="M3303"/>
      <c r="W3303"/>
    </row>
    <row r="3304" spans="10:23" x14ac:dyDescent="0.25">
      <c r="J3304"/>
      <c r="M3304"/>
      <c r="W3304"/>
    </row>
    <row r="3305" spans="10:23" x14ac:dyDescent="0.25">
      <c r="J3305"/>
      <c r="M3305"/>
      <c r="W3305"/>
    </row>
    <row r="3306" spans="10:23" x14ac:dyDescent="0.25">
      <c r="J3306"/>
      <c r="M3306"/>
      <c r="W3306"/>
    </row>
    <row r="3307" spans="10:23" x14ac:dyDescent="0.25">
      <c r="J3307"/>
      <c r="M3307"/>
      <c r="W3307"/>
    </row>
    <row r="3308" spans="10:23" x14ac:dyDescent="0.25">
      <c r="J3308"/>
      <c r="M3308"/>
      <c r="W3308"/>
    </row>
    <row r="3309" spans="10:23" x14ac:dyDescent="0.25">
      <c r="J3309"/>
      <c r="M3309"/>
      <c r="W3309"/>
    </row>
    <row r="3310" spans="10:23" x14ac:dyDescent="0.25">
      <c r="J3310"/>
      <c r="M3310"/>
      <c r="W3310"/>
    </row>
    <row r="3311" spans="10:23" x14ac:dyDescent="0.25">
      <c r="J3311"/>
      <c r="M3311"/>
      <c r="W3311"/>
    </row>
    <row r="3312" spans="10:23" x14ac:dyDescent="0.25">
      <c r="J3312"/>
      <c r="M3312"/>
      <c r="W3312"/>
    </row>
    <row r="3313" spans="10:23" x14ac:dyDescent="0.25">
      <c r="J3313"/>
      <c r="M3313"/>
      <c r="W3313"/>
    </row>
    <row r="3314" spans="10:23" x14ac:dyDescent="0.25">
      <c r="J3314"/>
      <c r="M3314"/>
      <c r="W3314"/>
    </row>
    <row r="3315" spans="10:23" x14ac:dyDescent="0.25">
      <c r="J3315"/>
      <c r="M3315"/>
      <c r="W3315"/>
    </row>
    <row r="3316" spans="10:23" x14ac:dyDescent="0.25">
      <c r="J3316"/>
      <c r="M3316"/>
      <c r="W3316"/>
    </row>
    <row r="3317" spans="10:23" x14ac:dyDescent="0.25">
      <c r="J3317"/>
      <c r="M3317"/>
      <c r="W3317"/>
    </row>
    <row r="3318" spans="10:23" x14ac:dyDescent="0.25">
      <c r="J3318"/>
      <c r="M3318"/>
      <c r="W3318"/>
    </row>
    <row r="3319" spans="10:23" x14ac:dyDescent="0.25">
      <c r="J3319"/>
      <c r="M3319"/>
      <c r="W3319"/>
    </row>
    <row r="3320" spans="10:23" x14ac:dyDescent="0.25">
      <c r="J3320"/>
      <c r="M3320"/>
      <c r="W3320"/>
    </row>
    <row r="3321" spans="10:23" x14ac:dyDescent="0.25">
      <c r="J3321"/>
      <c r="M3321"/>
      <c r="W3321"/>
    </row>
    <row r="3322" spans="10:23" x14ac:dyDescent="0.25">
      <c r="J3322"/>
      <c r="M3322"/>
      <c r="W3322"/>
    </row>
    <row r="3323" spans="10:23" x14ac:dyDescent="0.25">
      <c r="J3323"/>
      <c r="M3323"/>
      <c r="W3323"/>
    </row>
    <row r="3324" spans="10:23" x14ac:dyDescent="0.25">
      <c r="J3324"/>
      <c r="M3324"/>
      <c r="W3324"/>
    </row>
    <row r="3325" spans="10:23" x14ac:dyDescent="0.25">
      <c r="J3325"/>
      <c r="M3325"/>
      <c r="W3325"/>
    </row>
    <row r="3326" spans="10:23" x14ac:dyDescent="0.25">
      <c r="J3326"/>
      <c r="M3326"/>
      <c r="W3326"/>
    </row>
    <row r="3327" spans="10:23" x14ac:dyDescent="0.25">
      <c r="J3327"/>
      <c r="M3327"/>
      <c r="W3327"/>
    </row>
    <row r="3328" spans="10:23" x14ac:dyDescent="0.25">
      <c r="J3328"/>
      <c r="M3328"/>
      <c r="W3328"/>
    </row>
    <row r="3329" spans="10:23" x14ac:dyDescent="0.25">
      <c r="J3329"/>
      <c r="M3329"/>
      <c r="W3329"/>
    </row>
    <row r="3330" spans="10:23" x14ac:dyDescent="0.25">
      <c r="J3330"/>
      <c r="M3330"/>
      <c r="W3330"/>
    </row>
    <row r="3331" spans="10:23" x14ac:dyDescent="0.25">
      <c r="J3331"/>
      <c r="M3331"/>
      <c r="W3331"/>
    </row>
    <row r="3332" spans="10:23" x14ac:dyDescent="0.25">
      <c r="J3332"/>
      <c r="M3332"/>
      <c r="W3332"/>
    </row>
    <row r="3333" spans="10:23" x14ac:dyDescent="0.25">
      <c r="J3333"/>
      <c r="M3333"/>
      <c r="W3333"/>
    </row>
    <row r="3334" spans="10:23" x14ac:dyDescent="0.25">
      <c r="J3334"/>
      <c r="M3334"/>
      <c r="W3334"/>
    </row>
    <row r="3335" spans="10:23" x14ac:dyDescent="0.25">
      <c r="J3335"/>
      <c r="M3335"/>
      <c r="W3335"/>
    </row>
    <row r="3336" spans="10:23" x14ac:dyDescent="0.25">
      <c r="J3336"/>
      <c r="M3336"/>
      <c r="W3336"/>
    </row>
    <row r="3337" spans="10:23" x14ac:dyDescent="0.25">
      <c r="J3337"/>
      <c r="M3337"/>
      <c r="W3337"/>
    </row>
    <row r="3338" spans="10:23" x14ac:dyDescent="0.25">
      <c r="J3338"/>
      <c r="M3338"/>
      <c r="W3338"/>
    </row>
    <row r="3339" spans="10:23" x14ac:dyDescent="0.25">
      <c r="J3339"/>
      <c r="M3339"/>
      <c r="W3339"/>
    </row>
    <row r="3340" spans="10:23" x14ac:dyDescent="0.25">
      <c r="J3340"/>
      <c r="M3340"/>
      <c r="W3340"/>
    </row>
    <row r="3341" spans="10:23" x14ac:dyDescent="0.25">
      <c r="J3341"/>
      <c r="M3341"/>
      <c r="W3341"/>
    </row>
    <row r="3342" spans="10:23" x14ac:dyDescent="0.25">
      <c r="J3342"/>
      <c r="M3342"/>
      <c r="W3342"/>
    </row>
    <row r="3343" spans="10:23" x14ac:dyDescent="0.25">
      <c r="J3343"/>
      <c r="M3343"/>
      <c r="W3343"/>
    </row>
    <row r="3344" spans="10:23" x14ac:dyDescent="0.25">
      <c r="J3344"/>
      <c r="M3344"/>
      <c r="W3344"/>
    </row>
    <row r="3345" spans="10:23" x14ac:dyDescent="0.25">
      <c r="J3345"/>
      <c r="M3345"/>
      <c r="W3345"/>
    </row>
    <row r="3346" spans="10:23" x14ac:dyDescent="0.25">
      <c r="J3346"/>
      <c r="M3346"/>
      <c r="W3346"/>
    </row>
    <row r="3347" spans="10:23" x14ac:dyDescent="0.25">
      <c r="J3347"/>
      <c r="M3347"/>
      <c r="W3347"/>
    </row>
    <row r="3348" spans="10:23" x14ac:dyDescent="0.25">
      <c r="J3348"/>
      <c r="M3348"/>
      <c r="W3348"/>
    </row>
    <row r="3349" spans="10:23" x14ac:dyDescent="0.25">
      <c r="J3349"/>
      <c r="M3349"/>
      <c r="W3349"/>
    </row>
    <row r="3350" spans="10:23" x14ac:dyDescent="0.25">
      <c r="J3350"/>
      <c r="M3350"/>
      <c r="W3350"/>
    </row>
    <row r="3351" spans="10:23" x14ac:dyDescent="0.25">
      <c r="J3351"/>
      <c r="M3351"/>
      <c r="W3351"/>
    </row>
    <row r="3352" spans="10:23" x14ac:dyDescent="0.25">
      <c r="J3352"/>
      <c r="M3352"/>
      <c r="W3352"/>
    </row>
    <row r="3353" spans="10:23" x14ac:dyDescent="0.25">
      <c r="J3353"/>
      <c r="M3353"/>
      <c r="W3353"/>
    </row>
    <row r="3354" spans="10:23" x14ac:dyDescent="0.25">
      <c r="J3354"/>
      <c r="M3354"/>
      <c r="W3354"/>
    </row>
    <row r="3355" spans="10:23" x14ac:dyDescent="0.25">
      <c r="J3355"/>
      <c r="M3355"/>
      <c r="W3355"/>
    </row>
    <row r="3356" spans="10:23" x14ac:dyDescent="0.25">
      <c r="J3356"/>
      <c r="M3356"/>
      <c r="W3356"/>
    </row>
    <row r="3357" spans="10:23" x14ac:dyDescent="0.25">
      <c r="J3357"/>
      <c r="M3357"/>
      <c r="W3357"/>
    </row>
    <row r="3358" spans="10:23" x14ac:dyDescent="0.25">
      <c r="J3358"/>
      <c r="M3358"/>
      <c r="W3358"/>
    </row>
    <row r="3359" spans="10:23" x14ac:dyDescent="0.25">
      <c r="J3359"/>
      <c r="M3359"/>
      <c r="W3359"/>
    </row>
    <row r="3360" spans="10:23" x14ac:dyDescent="0.25">
      <c r="J3360"/>
      <c r="M3360"/>
      <c r="W3360"/>
    </row>
    <row r="3361" spans="10:23" x14ac:dyDescent="0.25">
      <c r="J3361"/>
      <c r="M3361"/>
      <c r="W3361"/>
    </row>
    <row r="3362" spans="10:23" x14ac:dyDescent="0.25">
      <c r="J3362"/>
      <c r="M3362"/>
      <c r="W3362"/>
    </row>
    <row r="3363" spans="10:23" x14ac:dyDescent="0.25">
      <c r="J3363"/>
      <c r="M3363"/>
      <c r="W3363"/>
    </row>
    <row r="3364" spans="10:23" x14ac:dyDescent="0.25">
      <c r="J3364"/>
      <c r="M3364"/>
      <c r="W3364"/>
    </row>
    <row r="3365" spans="10:23" x14ac:dyDescent="0.25">
      <c r="J3365"/>
      <c r="M3365"/>
      <c r="W3365"/>
    </row>
    <row r="3366" spans="10:23" x14ac:dyDescent="0.25">
      <c r="J3366"/>
      <c r="M3366"/>
      <c r="W3366"/>
    </row>
    <row r="3367" spans="10:23" x14ac:dyDescent="0.25">
      <c r="J3367"/>
      <c r="M3367"/>
      <c r="W3367"/>
    </row>
    <row r="3368" spans="10:23" x14ac:dyDescent="0.25">
      <c r="J3368"/>
      <c r="M3368"/>
      <c r="W3368"/>
    </row>
    <row r="3369" spans="10:23" x14ac:dyDescent="0.25">
      <c r="J3369"/>
      <c r="M3369"/>
      <c r="W3369"/>
    </row>
    <row r="3370" spans="10:23" x14ac:dyDescent="0.25">
      <c r="J3370"/>
      <c r="M3370"/>
      <c r="W3370"/>
    </row>
    <row r="3371" spans="10:23" x14ac:dyDescent="0.25">
      <c r="J3371"/>
      <c r="M3371"/>
      <c r="W3371"/>
    </row>
    <row r="3372" spans="10:23" x14ac:dyDescent="0.25">
      <c r="J3372"/>
      <c r="M3372"/>
      <c r="W3372"/>
    </row>
    <row r="3373" spans="10:23" x14ac:dyDescent="0.25">
      <c r="J3373"/>
      <c r="M3373"/>
      <c r="W3373"/>
    </row>
    <row r="3374" spans="10:23" x14ac:dyDescent="0.25">
      <c r="J3374"/>
      <c r="M3374"/>
      <c r="W3374"/>
    </row>
    <row r="3375" spans="10:23" x14ac:dyDescent="0.25">
      <c r="J3375"/>
      <c r="M3375"/>
      <c r="W3375"/>
    </row>
    <row r="3376" spans="10:23" x14ac:dyDescent="0.25">
      <c r="J3376"/>
      <c r="M3376"/>
      <c r="W3376"/>
    </row>
    <row r="3377" spans="10:23" x14ac:dyDescent="0.25">
      <c r="J3377"/>
      <c r="M3377"/>
      <c r="W3377"/>
    </row>
    <row r="3378" spans="10:23" x14ac:dyDescent="0.25">
      <c r="J3378"/>
      <c r="M3378"/>
      <c r="W3378"/>
    </row>
    <row r="3379" spans="10:23" x14ac:dyDescent="0.25">
      <c r="J3379"/>
      <c r="M3379"/>
      <c r="W3379"/>
    </row>
    <row r="3380" spans="10:23" x14ac:dyDescent="0.25">
      <c r="J3380"/>
      <c r="M3380"/>
      <c r="W3380"/>
    </row>
    <row r="3381" spans="10:23" x14ac:dyDescent="0.25">
      <c r="J3381"/>
      <c r="M3381"/>
      <c r="W3381"/>
    </row>
    <row r="3382" spans="10:23" x14ac:dyDescent="0.25">
      <c r="J3382"/>
      <c r="M3382"/>
      <c r="W3382"/>
    </row>
    <row r="3383" spans="10:23" x14ac:dyDescent="0.25">
      <c r="J3383"/>
      <c r="M3383"/>
      <c r="W3383"/>
    </row>
    <row r="3384" spans="10:23" x14ac:dyDescent="0.25">
      <c r="J3384"/>
      <c r="M3384"/>
      <c r="W3384"/>
    </row>
    <row r="3385" spans="10:23" x14ac:dyDescent="0.25">
      <c r="J3385"/>
      <c r="M3385"/>
      <c r="W3385"/>
    </row>
    <row r="3386" spans="10:23" x14ac:dyDescent="0.25">
      <c r="J3386"/>
      <c r="M3386"/>
      <c r="W3386"/>
    </row>
    <row r="3387" spans="10:23" x14ac:dyDescent="0.25">
      <c r="J3387"/>
      <c r="M3387"/>
      <c r="W3387"/>
    </row>
    <row r="3388" spans="10:23" x14ac:dyDescent="0.25">
      <c r="J3388"/>
      <c r="M3388"/>
      <c r="W3388"/>
    </row>
    <row r="3389" spans="10:23" x14ac:dyDescent="0.25">
      <c r="J3389"/>
      <c r="M3389"/>
      <c r="W3389"/>
    </row>
    <row r="3390" spans="10:23" x14ac:dyDescent="0.25">
      <c r="J3390"/>
      <c r="M3390"/>
      <c r="W3390"/>
    </row>
    <row r="3391" spans="10:23" x14ac:dyDescent="0.25">
      <c r="J3391"/>
      <c r="M3391"/>
      <c r="W3391"/>
    </row>
    <row r="3392" spans="10:23" x14ac:dyDescent="0.25">
      <c r="J3392"/>
      <c r="M3392"/>
      <c r="W3392"/>
    </row>
    <row r="3393" spans="10:23" x14ac:dyDescent="0.25">
      <c r="J3393"/>
      <c r="M3393"/>
      <c r="W3393"/>
    </row>
    <row r="3394" spans="10:23" x14ac:dyDescent="0.25">
      <c r="J3394"/>
      <c r="M3394"/>
      <c r="W3394"/>
    </row>
    <row r="3395" spans="10:23" x14ac:dyDescent="0.25">
      <c r="J3395"/>
      <c r="M3395"/>
      <c r="W3395"/>
    </row>
    <row r="3396" spans="10:23" x14ac:dyDescent="0.25">
      <c r="J3396"/>
      <c r="M3396"/>
      <c r="W3396"/>
    </row>
    <row r="3397" spans="10:23" x14ac:dyDescent="0.25">
      <c r="J3397"/>
      <c r="M3397"/>
      <c r="W3397"/>
    </row>
    <row r="3398" spans="10:23" x14ac:dyDescent="0.25">
      <c r="J3398"/>
      <c r="M3398"/>
      <c r="W3398"/>
    </row>
    <row r="3399" spans="10:23" x14ac:dyDescent="0.25">
      <c r="J3399"/>
      <c r="M3399"/>
      <c r="W3399"/>
    </row>
    <row r="3400" spans="10:23" x14ac:dyDescent="0.25">
      <c r="J3400"/>
      <c r="M3400"/>
      <c r="W3400"/>
    </row>
    <row r="3401" spans="10:23" x14ac:dyDescent="0.25">
      <c r="J3401"/>
      <c r="M3401"/>
      <c r="W3401"/>
    </row>
    <row r="3402" spans="10:23" x14ac:dyDescent="0.25">
      <c r="J3402"/>
      <c r="M3402"/>
      <c r="W3402"/>
    </row>
    <row r="3403" spans="10:23" x14ac:dyDescent="0.25">
      <c r="J3403"/>
      <c r="M3403"/>
      <c r="W3403"/>
    </row>
    <row r="3404" spans="10:23" x14ac:dyDescent="0.25">
      <c r="J3404"/>
      <c r="M3404"/>
      <c r="W3404"/>
    </row>
    <row r="3405" spans="10:23" x14ac:dyDescent="0.25">
      <c r="J3405"/>
      <c r="M3405"/>
      <c r="W3405"/>
    </row>
    <row r="3406" spans="10:23" x14ac:dyDescent="0.25">
      <c r="J3406"/>
      <c r="M3406"/>
      <c r="W3406"/>
    </row>
    <row r="3407" spans="10:23" x14ac:dyDescent="0.25">
      <c r="J3407"/>
      <c r="M3407"/>
      <c r="W3407"/>
    </row>
    <row r="3408" spans="10:23" x14ac:dyDescent="0.25">
      <c r="J3408"/>
      <c r="M3408"/>
      <c r="W3408"/>
    </row>
    <row r="3409" spans="10:23" x14ac:dyDescent="0.25">
      <c r="J3409"/>
      <c r="M3409"/>
      <c r="W3409"/>
    </row>
    <row r="3410" spans="10:23" x14ac:dyDescent="0.25">
      <c r="J3410"/>
      <c r="M3410"/>
      <c r="W3410"/>
    </row>
    <row r="3411" spans="10:23" x14ac:dyDescent="0.25">
      <c r="J3411"/>
      <c r="M3411"/>
      <c r="W3411"/>
    </row>
    <row r="3412" spans="10:23" x14ac:dyDescent="0.25">
      <c r="J3412"/>
      <c r="M3412"/>
      <c r="W3412"/>
    </row>
    <row r="3413" spans="10:23" x14ac:dyDescent="0.25">
      <c r="J3413"/>
      <c r="M3413"/>
      <c r="W3413"/>
    </row>
    <row r="3414" spans="10:23" x14ac:dyDescent="0.25">
      <c r="J3414"/>
      <c r="M3414"/>
      <c r="W3414"/>
    </row>
    <row r="3415" spans="10:23" x14ac:dyDescent="0.25">
      <c r="J3415"/>
      <c r="M3415"/>
      <c r="W3415"/>
    </row>
    <row r="3416" spans="10:23" x14ac:dyDescent="0.25">
      <c r="J3416"/>
      <c r="M3416"/>
      <c r="W3416"/>
    </row>
    <row r="3417" spans="10:23" x14ac:dyDescent="0.25">
      <c r="J3417"/>
      <c r="M3417"/>
      <c r="W3417"/>
    </row>
    <row r="3418" spans="10:23" x14ac:dyDescent="0.25">
      <c r="J3418"/>
      <c r="M3418"/>
      <c r="W3418"/>
    </row>
    <row r="3419" spans="10:23" x14ac:dyDescent="0.25">
      <c r="J3419"/>
      <c r="M3419"/>
      <c r="W3419"/>
    </row>
    <row r="3420" spans="10:23" x14ac:dyDescent="0.25">
      <c r="J3420"/>
      <c r="M3420"/>
      <c r="W3420"/>
    </row>
    <row r="3421" spans="10:23" x14ac:dyDescent="0.25">
      <c r="J3421"/>
      <c r="M3421"/>
      <c r="W3421"/>
    </row>
    <row r="3422" spans="10:23" x14ac:dyDescent="0.25">
      <c r="J3422"/>
      <c r="M3422"/>
      <c r="W3422"/>
    </row>
    <row r="3423" spans="10:23" x14ac:dyDescent="0.25">
      <c r="J3423"/>
      <c r="M3423"/>
      <c r="W3423"/>
    </row>
    <row r="3424" spans="10:23" x14ac:dyDescent="0.25">
      <c r="J3424"/>
      <c r="M3424"/>
      <c r="W3424"/>
    </row>
    <row r="3425" spans="10:23" x14ac:dyDescent="0.25">
      <c r="J3425"/>
      <c r="M3425"/>
      <c r="W3425"/>
    </row>
    <row r="3426" spans="10:23" x14ac:dyDescent="0.25">
      <c r="J3426"/>
      <c r="M3426"/>
      <c r="W3426"/>
    </row>
    <row r="3427" spans="10:23" x14ac:dyDescent="0.25">
      <c r="J3427"/>
      <c r="M3427"/>
      <c r="W3427"/>
    </row>
    <row r="3428" spans="10:23" x14ac:dyDescent="0.25">
      <c r="J3428"/>
      <c r="M3428"/>
      <c r="W3428"/>
    </row>
    <row r="3429" spans="10:23" x14ac:dyDescent="0.25">
      <c r="J3429"/>
      <c r="M3429"/>
      <c r="W3429"/>
    </row>
    <row r="3430" spans="10:23" x14ac:dyDescent="0.25">
      <c r="J3430"/>
      <c r="M3430"/>
      <c r="W3430"/>
    </row>
    <row r="3431" spans="10:23" x14ac:dyDescent="0.25">
      <c r="J3431"/>
      <c r="M3431"/>
      <c r="W3431"/>
    </row>
    <row r="3432" spans="10:23" x14ac:dyDescent="0.25">
      <c r="J3432"/>
      <c r="M3432"/>
      <c r="W3432"/>
    </row>
    <row r="3433" spans="10:23" x14ac:dyDescent="0.25">
      <c r="J3433"/>
      <c r="M3433"/>
      <c r="W3433"/>
    </row>
    <row r="3434" spans="10:23" x14ac:dyDescent="0.25">
      <c r="J3434"/>
      <c r="M3434"/>
      <c r="W3434"/>
    </row>
    <row r="3435" spans="10:23" x14ac:dyDescent="0.25">
      <c r="J3435"/>
      <c r="M3435"/>
      <c r="W3435"/>
    </row>
    <row r="3436" spans="10:23" x14ac:dyDescent="0.25">
      <c r="J3436"/>
      <c r="M3436"/>
      <c r="W3436"/>
    </row>
    <row r="3437" spans="10:23" x14ac:dyDescent="0.25">
      <c r="J3437"/>
      <c r="M3437"/>
      <c r="W3437"/>
    </row>
    <row r="3438" spans="10:23" x14ac:dyDescent="0.25">
      <c r="J3438"/>
      <c r="M3438"/>
      <c r="W3438"/>
    </row>
    <row r="3439" spans="10:23" x14ac:dyDescent="0.25">
      <c r="J3439"/>
      <c r="M3439"/>
      <c r="W3439"/>
    </row>
    <row r="3440" spans="10:23" x14ac:dyDescent="0.25">
      <c r="J3440"/>
      <c r="M3440"/>
      <c r="W3440"/>
    </row>
    <row r="3441" spans="10:23" x14ac:dyDescent="0.25">
      <c r="J3441"/>
      <c r="M3441"/>
      <c r="W3441"/>
    </row>
    <row r="3442" spans="10:23" x14ac:dyDescent="0.25">
      <c r="J3442"/>
      <c r="M3442"/>
      <c r="W3442"/>
    </row>
    <row r="3443" spans="10:23" x14ac:dyDescent="0.25">
      <c r="J3443"/>
      <c r="M3443"/>
      <c r="W3443"/>
    </row>
    <row r="3444" spans="10:23" x14ac:dyDescent="0.25">
      <c r="J3444"/>
      <c r="M3444"/>
      <c r="W3444"/>
    </row>
    <row r="3445" spans="10:23" x14ac:dyDescent="0.25">
      <c r="J3445"/>
      <c r="M3445"/>
      <c r="W3445"/>
    </row>
    <row r="3446" spans="10:23" x14ac:dyDescent="0.25">
      <c r="J3446"/>
      <c r="M3446"/>
      <c r="W3446"/>
    </row>
    <row r="3447" spans="10:23" x14ac:dyDescent="0.25">
      <c r="J3447"/>
      <c r="M3447"/>
      <c r="W3447"/>
    </row>
    <row r="3448" spans="10:23" x14ac:dyDescent="0.25">
      <c r="J3448"/>
      <c r="M3448"/>
      <c r="W3448"/>
    </row>
    <row r="3449" spans="10:23" x14ac:dyDescent="0.25">
      <c r="J3449"/>
      <c r="M3449"/>
      <c r="W3449"/>
    </row>
    <row r="3450" spans="10:23" x14ac:dyDescent="0.25">
      <c r="J3450"/>
      <c r="M3450"/>
      <c r="W3450"/>
    </row>
    <row r="3451" spans="10:23" x14ac:dyDescent="0.25">
      <c r="J3451"/>
      <c r="M3451"/>
      <c r="W3451"/>
    </row>
    <row r="3452" spans="10:23" x14ac:dyDescent="0.25">
      <c r="J3452"/>
      <c r="M3452"/>
      <c r="W3452"/>
    </row>
    <row r="3453" spans="10:23" x14ac:dyDescent="0.25">
      <c r="J3453"/>
      <c r="M3453"/>
      <c r="W3453"/>
    </row>
    <row r="3454" spans="10:23" x14ac:dyDescent="0.25">
      <c r="J3454"/>
      <c r="M3454"/>
      <c r="W3454"/>
    </row>
    <row r="3455" spans="10:23" x14ac:dyDescent="0.25">
      <c r="J3455"/>
      <c r="M3455"/>
      <c r="W3455"/>
    </row>
    <row r="3456" spans="10:23" x14ac:dyDescent="0.25">
      <c r="J3456"/>
      <c r="M3456"/>
      <c r="W3456"/>
    </row>
    <row r="3457" spans="10:23" x14ac:dyDescent="0.25">
      <c r="J3457"/>
      <c r="M3457"/>
      <c r="W3457"/>
    </row>
    <row r="3458" spans="10:23" x14ac:dyDescent="0.25">
      <c r="J3458"/>
      <c r="M3458"/>
      <c r="W3458"/>
    </row>
    <row r="3459" spans="10:23" x14ac:dyDescent="0.25">
      <c r="J3459"/>
      <c r="M3459"/>
      <c r="W3459"/>
    </row>
    <row r="3460" spans="10:23" x14ac:dyDescent="0.25">
      <c r="J3460"/>
      <c r="M3460"/>
      <c r="W3460"/>
    </row>
    <row r="3461" spans="10:23" x14ac:dyDescent="0.25">
      <c r="J3461"/>
      <c r="M3461"/>
      <c r="W3461"/>
    </row>
    <row r="3462" spans="10:23" x14ac:dyDescent="0.25">
      <c r="J3462"/>
      <c r="M3462"/>
      <c r="W3462"/>
    </row>
    <row r="3463" spans="10:23" x14ac:dyDescent="0.25">
      <c r="J3463"/>
      <c r="M3463"/>
      <c r="W3463"/>
    </row>
    <row r="3464" spans="10:23" x14ac:dyDescent="0.25">
      <c r="J3464"/>
      <c r="M3464"/>
      <c r="W3464"/>
    </row>
    <row r="3465" spans="10:23" x14ac:dyDescent="0.25">
      <c r="J3465"/>
      <c r="M3465"/>
      <c r="W3465"/>
    </row>
    <row r="3466" spans="10:23" x14ac:dyDescent="0.25">
      <c r="J3466"/>
      <c r="M3466"/>
      <c r="W3466"/>
    </row>
    <row r="3467" spans="10:23" x14ac:dyDescent="0.25">
      <c r="J3467"/>
      <c r="M3467"/>
      <c r="W3467"/>
    </row>
    <row r="3468" spans="10:23" x14ac:dyDescent="0.25">
      <c r="J3468"/>
      <c r="M3468"/>
      <c r="W3468"/>
    </row>
    <row r="3469" spans="10:23" x14ac:dyDescent="0.25">
      <c r="J3469"/>
      <c r="M3469"/>
      <c r="W3469"/>
    </row>
    <row r="3470" spans="10:23" x14ac:dyDescent="0.25">
      <c r="J3470"/>
      <c r="M3470"/>
      <c r="W3470"/>
    </row>
    <row r="3471" spans="10:23" x14ac:dyDescent="0.25">
      <c r="J3471"/>
      <c r="M3471"/>
      <c r="W3471"/>
    </row>
    <row r="3472" spans="10:23" x14ac:dyDescent="0.25">
      <c r="J3472"/>
      <c r="M3472"/>
      <c r="W3472"/>
    </row>
    <row r="3473" spans="10:23" x14ac:dyDescent="0.25">
      <c r="J3473"/>
      <c r="M3473"/>
      <c r="W3473"/>
    </row>
    <row r="3474" spans="10:23" x14ac:dyDescent="0.25">
      <c r="J3474"/>
      <c r="M3474"/>
      <c r="W3474"/>
    </row>
    <row r="3475" spans="10:23" x14ac:dyDescent="0.25">
      <c r="J3475"/>
      <c r="M3475"/>
      <c r="W3475"/>
    </row>
    <row r="3476" spans="10:23" x14ac:dyDescent="0.25">
      <c r="J3476"/>
      <c r="M3476"/>
      <c r="W3476"/>
    </row>
    <row r="3477" spans="10:23" x14ac:dyDescent="0.25">
      <c r="J3477"/>
      <c r="M3477"/>
      <c r="W3477"/>
    </row>
    <row r="3478" spans="10:23" x14ac:dyDescent="0.25">
      <c r="J3478"/>
      <c r="M3478"/>
      <c r="W3478"/>
    </row>
    <row r="3479" spans="10:23" x14ac:dyDescent="0.25">
      <c r="J3479"/>
      <c r="M3479"/>
      <c r="W3479"/>
    </row>
    <row r="3480" spans="10:23" x14ac:dyDescent="0.25">
      <c r="J3480"/>
      <c r="M3480"/>
      <c r="W3480"/>
    </row>
    <row r="3481" spans="10:23" x14ac:dyDescent="0.25">
      <c r="J3481"/>
      <c r="M3481"/>
      <c r="W3481"/>
    </row>
    <row r="3482" spans="10:23" x14ac:dyDescent="0.25">
      <c r="J3482"/>
      <c r="M3482"/>
      <c r="W3482"/>
    </row>
    <row r="3483" spans="10:23" x14ac:dyDescent="0.25">
      <c r="J3483"/>
      <c r="M3483"/>
      <c r="W3483"/>
    </row>
    <row r="3484" spans="10:23" x14ac:dyDescent="0.25">
      <c r="J3484"/>
      <c r="M3484"/>
      <c r="W3484"/>
    </row>
    <row r="3485" spans="10:23" x14ac:dyDescent="0.25">
      <c r="J3485"/>
      <c r="M3485"/>
      <c r="W3485"/>
    </row>
    <row r="3486" spans="10:23" x14ac:dyDescent="0.25">
      <c r="J3486"/>
      <c r="M3486"/>
      <c r="W3486"/>
    </row>
    <row r="3487" spans="10:23" x14ac:dyDescent="0.25">
      <c r="J3487"/>
      <c r="M3487"/>
      <c r="W3487"/>
    </row>
    <row r="3488" spans="10:23" x14ac:dyDescent="0.25">
      <c r="J3488"/>
      <c r="M3488"/>
      <c r="W3488"/>
    </row>
    <row r="3489" spans="10:23" x14ac:dyDescent="0.25">
      <c r="J3489"/>
      <c r="M3489"/>
      <c r="W3489"/>
    </row>
    <row r="3490" spans="10:23" x14ac:dyDescent="0.25">
      <c r="J3490"/>
      <c r="M3490"/>
      <c r="W3490"/>
    </row>
    <row r="3491" spans="10:23" x14ac:dyDescent="0.25">
      <c r="J3491"/>
      <c r="M3491"/>
      <c r="W3491"/>
    </row>
    <row r="3492" spans="10:23" x14ac:dyDescent="0.25">
      <c r="J3492"/>
      <c r="M3492"/>
      <c r="W3492"/>
    </row>
    <row r="3493" spans="10:23" x14ac:dyDescent="0.25">
      <c r="J3493"/>
      <c r="M3493"/>
      <c r="W3493"/>
    </row>
    <row r="3494" spans="10:23" x14ac:dyDescent="0.25">
      <c r="J3494"/>
      <c r="M3494"/>
      <c r="W3494"/>
    </row>
    <row r="3495" spans="10:23" x14ac:dyDescent="0.25">
      <c r="J3495"/>
      <c r="M3495"/>
      <c r="W3495"/>
    </row>
    <row r="3496" spans="10:23" x14ac:dyDescent="0.25">
      <c r="J3496"/>
      <c r="M3496"/>
      <c r="W3496"/>
    </row>
    <row r="3497" spans="10:23" x14ac:dyDescent="0.25">
      <c r="J3497"/>
      <c r="M3497"/>
      <c r="W3497"/>
    </row>
    <row r="3498" spans="10:23" x14ac:dyDescent="0.25">
      <c r="J3498"/>
      <c r="M3498"/>
      <c r="W3498"/>
    </row>
    <row r="3499" spans="10:23" x14ac:dyDescent="0.25">
      <c r="J3499"/>
      <c r="M3499"/>
      <c r="W3499"/>
    </row>
    <row r="3500" spans="10:23" x14ac:dyDescent="0.25">
      <c r="J3500"/>
      <c r="M3500"/>
      <c r="W3500"/>
    </row>
    <row r="3501" spans="10:23" x14ac:dyDescent="0.25">
      <c r="J3501"/>
      <c r="M3501"/>
      <c r="W3501"/>
    </row>
    <row r="3502" spans="10:23" x14ac:dyDescent="0.25">
      <c r="J3502"/>
      <c r="M3502"/>
      <c r="W3502"/>
    </row>
    <row r="3503" spans="10:23" x14ac:dyDescent="0.25">
      <c r="J3503"/>
      <c r="M3503"/>
      <c r="W3503"/>
    </row>
    <row r="3504" spans="10:23" x14ac:dyDescent="0.25">
      <c r="J3504"/>
      <c r="M3504"/>
      <c r="W3504"/>
    </row>
    <row r="3505" spans="10:23" x14ac:dyDescent="0.25">
      <c r="J3505"/>
      <c r="M3505"/>
      <c r="W3505"/>
    </row>
    <row r="3506" spans="10:23" x14ac:dyDescent="0.25">
      <c r="J3506"/>
      <c r="M3506"/>
      <c r="W3506"/>
    </row>
    <row r="3507" spans="10:23" x14ac:dyDescent="0.25">
      <c r="J3507"/>
      <c r="M3507"/>
      <c r="W3507"/>
    </row>
    <row r="3508" spans="10:23" x14ac:dyDescent="0.25">
      <c r="J3508"/>
      <c r="M3508"/>
      <c r="W3508"/>
    </row>
    <row r="3509" spans="10:23" x14ac:dyDescent="0.25">
      <c r="J3509"/>
      <c r="M3509"/>
      <c r="W3509"/>
    </row>
    <row r="3510" spans="10:23" x14ac:dyDescent="0.25">
      <c r="J3510"/>
      <c r="M3510"/>
      <c r="W3510"/>
    </row>
    <row r="3511" spans="10:23" x14ac:dyDescent="0.25">
      <c r="J3511"/>
      <c r="M3511"/>
      <c r="W3511"/>
    </row>
    <row r="3512" spans="10:23" x14ac:dyDescent="0.25">
      <c r="J3512"/>
      <c r="M3512"/>
      <c r="W3512"/>
    </row>
    <row r="3513" spans="10:23" x14ac:dyDescent="0.25">
      <c r="J3513"/>
      <c r="M3513"/>
      <c r="W3513"/>
    </row>
    <row r="3514" spans="10:23" x14ac:dyDescent="0.25">
      <c r="J3514"/>
      <c r="M3514"/>
      <c r="W3514"/>
    </row>
    <row r="3515" spans="10:23" x14ac:dyDescent="0.25">
      <c r="J3515"/>
      <c r="M3515"/>
      <c r="W3515"/>
    </row>
    <row r="3516" spans="10:23" x14ac:dyDescent="0.25">
      <c r="J3516"/>
      <c r="M3516"/>
      <c r="W3516"/>
    </row>
    <row r="3517" spans="10:23" x14ac:dyDescent="0.25">
      <c r="J3517"/>
      <c r="M3517"/>
      <c r="W3517"/>
    </row>
    <row r="3518" spans="10:23" x14ac:dyDescent="0.25">
      <c r="J3518"/>
      <c r="M3518"/>
      <c r="W3518"/>
    </row>
    <row r="3519" spans="10:23" x14ac:dyDescent="0.25">
      <c r="J3519"/>
      <c r="M3519"/>
      <c r="W3519"/>
    </row>
    <row r="3520" spans="10:23" x14ac:dyDescent="0.25">
      <c r="J3520"/>
      <c r="M3520"/>
      <c r="W3520"/>
    </row>
    <row r="3521" spans="10:23" x14ac:dyDescent="0.25">
      <c r="J3521"/>
      <c r="M3521"/>
      <c r="W3521"/>
    </row>
    <row r="3522" spans="10:23" x14ac:dyDescent="0.25">
      <c r="J3522"/>
      <c r="M3522"/>
      <c r="W3522"/>
    </row>
    <row r="3523" spans="10:23" x14ac:dyDescent="0.25">
      <c r="J3523"/>
      <c r="M3523"/>
      <c r="W3523"/>
    </row>
    <row r="3524" spans="10:23" x14ac:dyDescent="0.25">
      <c r="J3524"/>
      <c r="M3524"/>
      <c r="W3524"/>
    </row>
    <row r="3525" spans="10:23" x14ac:dyDescent="0.25">
      <c r="J3525"/>
      <c r="M3525"/>
      <c r="W3525"/>
    </row>
    <row r="3526" spans="10:23" x14ac:dyDescent="0.25">
      <c r="J3526"/>
      <c r="M3526"/>
      <c r="W3526"/>
    </row>
    <row r="3527" spans="10:23" x14ac:dyDescent="0.25">
      <c r="J3527"/>
      <c r="M3527"/>
      <c r="W3527"/>
    </row>
    <row r="3528" spans="10:23" x14ac:dyDescent="0.25">
      <c r="J3528"/>
      <c r="M3528"/>
      <c r="W3528"/>
    </row>
    <row r="3529" spans="10:23" x14ac:dyDescent="0.25">
      <c r="J3529"/>
      <c r="M3529"/>
      <c r="W3529"/>
    </row>
    <row r="3530" spans="10:23" x14ac:dyDescent="0.25">
      <c r="J3530"/>
      <c r="M3530"/>
      <c r="W3530"/>
    </row>
    <row r="3531" spans="10:23" x14ac:dyDescent="0.25">
      <c r="J3531"/>
      <c r="M3531"/>
      <c r="W3531"/>
    </row>
    <row r="3532" spans="10:23" x14ac:dyDescent="0.25">
      <c r="J3532"/>
      <c r="M3532"/>
      <c r="W3532"/>
    </row>
    <row r="3533" spans="10:23" x14ac:dyDescent="0.25">
      <c r="J3533"/>
      <c r="M3533"/>
      <c r="W3533"/>
    </row>
    <row r="3534" spans="10:23" x14ac:dyDescent="0.25">
      <c r="J3534"/>
      <c r="M3534"/>
      <c r="W3534"/>
    </row>
    <row r="3535" spans="10:23" x14ac:dyDescent="0.25">
      <c r="J3535"/>
      <c r="M3535"/>
      <c r="W3535"/>
    </row>
    <row r="3536" spans="10:23" x14ac:dyDescent="0.25">
      <c r="J3536"/>
      <c r="M3536"/>
      <c r="W3536"/>
    </row>
    <row r="3537" spans="10:23" x14ac:dyDescent="0.25">
      <c r="J3537"/>
      <c r="M3537"/>
      <c r="W3537"/>
    </row>
    <row r="3538" spans="10:23" x14ac:dyDescent="0.25">
      <c r="J3538"/>
      <c r="M3538"/>
      <c r="W3538"/>
    </row>
    <row r="3539" spans="10:23" x14ac:dyDescent="0.25">
      <c r="J3539"/>
      <c r="M3539"/>
      <c r="W3539"/>
    </row>
    <row r="3540" spans="10:23" x14ac:dyDescent="0.25">
      <c r="J3540"/>
      <c r="M3540"/>
      <c r="W3540"/>
    </row>
    <row r="3541" spans="10:23" x14ac:dyDescent="0.25">
      <c r="J3541"/>
      <c r="M3541"/>
      <c r="W3541"/>
    </row>
    <row r="3542" spans="10:23" x14ac:dyDescent="0.25">
      <c r="J3542"/>
      <c r="M3542"/>
      <c r="W3542"/>
    </row>
    <row r="3543" spans="10:23" x14ac:dyDescent="0.25">
      <c r="J3543"/>
      <c r="M3543"/>
      <c r="W3543"/>
    </row>
    <row r="3544" spans="10:23" x14ac:dyDescent="0.25">
      <c r="J3544"/>
      <c r="M3544"/>
      <c r="W3544"/>
    </row>
    <row r="3545" spans="10:23" x14ac:dyDescent="0.25">
      <c r="J3545"/>
      <c r="M3545"/>
      <c r="W3545"/>
    </row>
    <row r="3546" spans="10:23" x14ac:dyDescent="0.25">
      <c r="J3546"/>
      <c r="M3546"/>
      <c r="W3546"/>
    </row>
    <row r="3547" spans="10:23" x14ac:dyDescent="0.25">
      <c r="J3547"/>
      <c r="M3547"/>
      <c r="W3547"/>
    </row>
    <row r="3548" spans="10:23" x14ac:dyDescent="0.25">
      <c r="J3548"/>
      <c r="M3548"/>
      <c r="W3548"/>
    </row>
    <row r="3549" spans="10:23" x14ac:dyDescent="0.25">
      <c r="J3549"/>
      <c r="M3549"/>
      <c r="W3549"/>
    </row>
    <row r="3550" spans="10:23" x14ac:dyDescent="0.25">
      <c r="J3550"/>
      <c r="M3550"/>
      <c r="W3550"/>
    </row>
    <row r="3551" spans="10:23" x14ac:dyDescent="0.25">
      <c r="J3551"/>
      <c r="M3551"/>
      <c r="W3551"/>
    </row>
    <row r="3552" spans="10:23" x14ac:dyDescent="0.25">
      <c r="J3552"/>
      <c r="M3552"/>
      <c r="W3552"/>
    </row>
    <row r="3553" spans="10:23" x14ac:dyDescent="0.25">
      <c r="J3553"/>
      <c r="M3553"/>
      <c r="W3553"/>
    </row>
    <row r="3554" spans="10:23" x14ac:dyDescent="0.25">
      <c r="J3554"/>
      <c r="M3554"/>
      <c r="W3554"/>
    </row>
    <row r="3555" spans="10:23" x14ac:dyDescent="0.25">
      <c r="J3555"/>
      <c r="M3555"/>
      <c r="W3555"/>
    </row>
    <row r="3556" spans="10:23" x14ac:dyDescent="0.25">
      <c r="J3556"/>
      <c r="M3556"/>
      <c r="W3556"/>
    </row>
    <row r="3557" spans="10:23" x14ac:dyDescent="0.25">
      <c r="J3557"/>
      <c r="M3557"/>
      <c r="W3557"/>
    </row>
    <row r="3558" spans="10:23" x14ac:dyDescent="0.25">
      <c r="J3558"/>
      <c r="M3558"/>
      <c r="W3558"/>
    </row>
    <row r="3559" spans="10:23" x14ac:dyDescent="0.25">
      <c r="J3559"/>
      <c r="M3559"/>
      <c r="W3559"/>
    </row>
    <row r="3560" spans="10:23" x14ac:dyDescent="0.25">
      <c r="J3560"/>
      <c r="M3560"/>
      <c r="W3560"/>
    </row>
    <row r="3561" spans="10:23" x14ac:dyDescent="0.25">
      <c r="J3561"/>
      <c r="M3561"/>
      <c r="W3561"/>
    </row>
    <row r="3562" spans="10:23" x14ac:dyDescent="0.25">
      <c r="J3562"/>
      <c r="M3562"/>
      <c r="W3562"/>
    </row>
    <row r="3563" spans="10:23" x14ac:dyDescent="0.25">
      <c r="J3563"/>
      <c r="M3563"/>
      <c r="W3563"/>
    </row>
    <row r="3564" spans="10:23" x14ac:dyDescent="0.25">
      <c r="J3564"/>
      <c r="M3564"/>
      <c r="W3564"/>
    </row>
    <row r="3565" spans="10:23" x14ac:dyDescent="0.25">
      <c r="J3565"/>
      <c r="M3565"/>
      <c r="W3565"/>
    </row>
    <row r="3566" spans="10:23" x14ac:dyDescent="0.25">
      <c r="J3566"/>
      <c r="M3566"/>
      <c r="W3566"/>
    </row>
    <row r="3567" spans="10:23" x14ac:dyDescent="0.25">
      <c r="J3567"/>
      <c r="M3567"/>
      <c r="W3567"/>
    </row>
    <row r="3568" spans="10:23" x14ac:dyDescent="0.25">
      <c r="J3568"/>
      <c r="M3568"/>
      <c r="W3568"/>
    </row>
    <row r="3569" spans="10:23" x14ac:dyDescent="0.25">
      <c r="J3569"/>
      <c r="M3569"/>
      <c r="W3569"/>
    </row>
    <row r="3570" spans="10:23" x14ac:dyDescent="0.25">
      <c r="J3570"/>
      <c r="M3570"/>
      <c r="W3570"/>
    </row>
    <row r="3571" spans="10:23" x14ac:dyDescent="0.25">
      <c r="J3571"/>
      <c r="M3571"/>
      <c r="W3571"/>
    </row>
    <row r="3572" spans="10:23" x14ac:dyDescent="0.25">
      <c r="J3572"/>
      <c r="M3572"/>
      <c r="W3572"/>
    </row>
    <row r="3573" spans="10:23" x14ac:dyDescent="0.25">
      <c r="J3573"/>
      <c r="M3573"/>
      <c r="W3573"/>
    </row>
    <row r="3574" spans="10:23" x14ac:dyDescent="0.25">
      <c r="J3574"/>
      <c r="M3574"/>
      <c r="W3574"/>
    </row>
    <row r="3575" spans="10:23" x14ac:dyDescent="0.25">
      <c r="J3575"/>
      <c r="M3575"/>
      <c r="W3575"/>
    </row>
    <row r="3576" spans="10:23" x14ac:dyDescent="0.25">
      <c r="J3576"/>
      <c r="M3576"/>
      <c r="W3576"/>
    </row>
    <row r="3577" spans="10:23" x14ac:dyDescent="0.25">
      <c r="J3577"/>
      <c r="M3577"/>
      <c r="W3577"/>
    </row>
    <row r="3578" spans="10:23" x14ac:dyDescent="0.25">
      <c r="J3578"/>
      <c r="M3578"/>
      <c r="W3578"/>
    </row>
    <row r="3579" spans="10:23" x14ac:dyDescent="0.25">
      <c r="J3579"/>
      <c r="M3579"/>
      <c r="W3579"/>
    </row>
    <row r="3580" spans="10:23" x14ac:dyDescent="0.25">
      <c r="J3580"/>
      <c r="M3580"/>
      <c r="W3580"/>
    </row>
    <row r="3581" spans="10:23" x14ac:dyDescent="0.25">
      <c r="J3581"/>
      <c r="M3581"/>
      <c r="W3581"/>
    </row>
    <row r="3582" spans="10:23" x14ac:dyDescent="0.25">
      <c r="J3582"/>
      <c r="M3582"/>
      <c r="W3582"/>
    </row>
    <row r="3583" spans="10:23" x14ac:dyDescent="0.25">
      <c r="J3583"/>
      <c r="M3583"/>
      <c r="W3583"/>
    </row>
    <row r="3584" spans="10:23" x14ac:dyDescent="0.25">
      <c r="J3584"/>
      <c r="M3584"/>
      <c r="W3584"/>
    </row>
    <row r="3585" spans="10:23" x14ac:dyDescent="0.25">
      <c r="J3585"/>
      <c r="M3585"/>
      <c r="W3585"/>
    </row>
    <row r="3586" spans="10:23" x14ac:dyDescent="0.25">
      <c r="J3586"/>
      <c r="M3586"/>
      <c r="W3586"/>
    </row>
    <row r="3587" spans="10:23" x14ac:dyDescent="0.25">
      <c r="J3587"/>
      <c r="M3587"/>
      <c r="W3587"/>
    </row>
    <row r="3588" spans="10:23" x14ac:dyDescent="0.25">
      <c r="J3588"/>
      <c r="M3588"/>
      <c r="W3588"/>
    </row>
    <row r="3589" spans="10:23" x14ac:dyDescent="0.25">
      <c r="J3589"/>
      <c r="M3589"/>
      <c r="W3589"/>
    </row>
    <row r="3590" spans="10:23" x14ac:dyDescent="0.25">
      <c r="J3590"/>
      <c r="M3590"/>
      <c r="W3590"/>
    </row>
    <row r="3591" spans="10:23" x14ac:dyDescent="0.25">
      <c r="J3591"/>
      <c r="M3591"/>
      <c r="W3591"/>
    </row>
    <row r="3592" spans="10:23" x14ac:dyDescent="0.25">
      <c r="J3592"/>
      <c r="M3592"/>
      <c r="W3592"/>
    </row>
    <row r="3593" spans="10:23" x14ac:dyDescent="0.25">
      <c r="J3593"/>
      <c r="M3593"/>
      <c r="W3593"/>
    </row>
    <row r="3594" spans="10:23" x14ac:dyDescent="0.25">
      <c r="J3594"/>
      <c r="M3594"/>
      <c r="W3594"/>
    </row>
    <row r="3595" spans="10:23" x14ac:dyDescent="0.25">
      <c r="J3595"/>
      <c r="M3595"/>
      <c r="W3595"/>
    </row>
    <row r="3596" spans="10:23" x14ac:dyDescent="0.25">
      <c r="J3596"/>
      <c r="M3596"/>
      <c r="W3596"/>
    </row>
    <row r="3597" spans="10:23" x14ac:dyDescent="0.25">
      <c r="J3597"/>
      <c r="M3597"/>
      <c r="W3597"/>
    </row>
    <row r="3598" spans="10:23" x14ac:dyDescent="0.25">
      <c r="J3598"/>
      <c r="M3598"/>
      <c r="W3598"/>
    </row>
    <row r="3599" spans="10:23" x14ac:dyDescent="0.25">
      <c r="J3599"/>
      <c r="M3599"/>
      <c r="W3599"/>
    </row>
    <row r="3600" spans="10:23" x14ac:dyDescent="0.25">
      <c r="J3600"/>
      <c r="M3600"/>
      <c r="W3600"/>
    </row>
    <row r="3601" spans="10:23" x14ac:dyDescent="0.25">
      <c r="J3601"/>
      <c r="M3601"/>
      <c r="W3601"/>
    </row>
    <row r="3602" spans="10:23" x14ac:dyDescent="0.25">
      <c r="J3602"/>
      <c r="M3602"/>
      <c r="W3602"/>
    </row>
    <row r="3603" spans="10:23" x14ac:dyDescent="0.25">
      <c r="J3603"/>
      <c r="M3603"/>
      <c r="W3603"/>
    </row>
    <row r="3604" spans="10:23" x14ac:dyDescent="0.25">
      <c r="J3604"/>
      <c r="M3604"/>
      <c r="W3604"/>
    </row>
    <row r="3605" spans="10:23" x14ac:dyDescent="0.25">
      <c r="J3605"/>
      <c r="M3605"/>
      <c r="W3605"/>
    </row>
    <row r="3606" spans="10:23" x14ac:dyDescent="0.25">
      <c r="J3606"/>
      <c r="M3606"/>
      <c r="W3606"/>
    </row>
    <row r="3607" spans="10:23" x14ac:dyDescent="0.25">
      <c r="J3607"/>
      <c r="M3607"/>
      <c r="W3607"/>
    </row>
    <row r="3608" spans="10:23" x14ac:dyDescent="0.25">
      <c r="J3608"/>
      <c r="M3608"/>
      <c r="W3608"/>
    </row>
    <row r="3609" spans="10:23" x14ac:dyDescent="0.25">
      <c r="J3609"/>
      <c r="M3609"/>
      <c r="W3609"/>
    </row>
    <row r="3610" spans="10:23" x14ac:dyDescent="0.25">
      <c r="J3610"/>
      <c r="M3610"/>
      <c r="W3610"/>
    </row>
    <row r="3611" spans="10:23" x14ac:dyDescent="0.25">
      <c r="J3611"/>
      <c r="M3611"/>
      <c r="W3611"/>
    </row>
    <row r="3612" spans="10:23" x14ac:dyDescent="0.25">
      <c r="J3612"/>
      <c r="M3612"/>
      <c r="W3612"/>
    </row>
    <row r="3613" spans="10:23" x14ac:dyDescent="0.25">
      <c r="J3613"/>
      <c r="M3613"/>
      <c r="W3613"/>
    </row>
    <row r="3614" spans="10:23" x14ac:dyDescent="0.25">
      <c r="J3614"/>
      <c r="M3614"/>
      <c r="W3614"/>
    </row>
    <row r="3615" spans="10:23" x14ac:dyDescent="0.25">
      <c r="J3615"/>
      <c r="M3615"/>
      <c r="W3615"/>
    </row>
    <row r="3616" spans="10:23" x14ac:dyDescent="0.25">
      <c r="J3616"/>
      <c r="M3616"/>
      <c r="W3616"/>
    </row>
    <row r="3617" spans="10:23" x14ac:dyDescent="0.25">
      <c r="J3617"/>
      <c r="M3617"/>
      <c r="W3617"/>
    </row>
    <row r="3618" spans="10:23" x14ac:dyDescent="0.25">
      <c r="J3618"/>
      <c r="M3618"/>
      <c r="W3618"/>
    </row>
    <row r="3619" spans="10:23" x14ac:dyDescent="0.25">
      <c r="J3619"/>
      <c r="M3619"/>
      <c r="W3619"/>
    </row>
    <row r="3620" spans="10:23" x14ac:dyDescent="0.25">
      <c r="J3620"/>
      <c r="M3620"/>
      <c r="W3620"/>
    </row>
    <row r="3621" spans="10:23" x14ac:dyDescent="0.25">
      <c r="J3621"/>
      <c r="M3621"/>
      <c r="W3621"/>
    </row>
    <row r="3622" spans="10:23" x14ac:dyDescent="0.25">
      <c r="J3622"/>
      <c r="M3622"/>
      <c r="W3622"/>
    </row>
    <row r="3623" spans="10:23" x14ac:dyDescent="0.25">
      <c r="J3623"/>
      <c r="M3623"/>
      <c r="W3623"/>
    </row>
    <row r="3624" spans="10:23" x14ac:dyDescent="0.25">
      <c r="J3624"/>
      <c r="M3624"/>
      <c r="W3624"/>
    </row>
    <row r="3625" spans="10:23" x14ac:dyDescent="0.25">
      <c r="J3625"/>
      <c r="M3625"/>
      <c r="W3625"/>
    </row>
    <row r="3626" spans="10:23" x14ac:dyDescent="0.25">
      <c r="J3626"/>
      <c r="M3626"/>
      <c r="W3626"/>
    </row>
    <row r="3627" spans="10:23" x14ac:dyDescent="0.25">
      <c r="J3627"/>
      <c r="M3627"/>
      <c r="W3627"/>
    </row>
    <row r="3628" spans="10:23" x14ac:dyDescent="0.25">
      <c r="J3628"/>
      <c r="M3628"/>
      <c r="W3628"/>
    </row>
    <row r="3629" spans="10:23" x14ac:dyDescent="0.25">
      <c r="J3629"/>
      <c r="M3629"/>
      <c r="W3629"/>
    </row>
    <row r="3630" spans="10:23" x14ac:dyDescent="0.25">
      <c r="J3630"/>
      <c r="M3630"/>
      <c r="W3630"/>
    </row>
    <row r="3631" spans="10:23" x14ac:dyDescent="0.25">
      <c r="J3631"/>
      <c r="M3631"/>
      <c r="W3631"/>
    </row>
    <row r="3632" spans="10:23" x14ac:dyDescent="0.25">
      <c r="J3632"/>
      <c r="M3632"/>
      <c r="W3632"/>
    </row>
    <row r="3633" spans="10:23" x14ac:dyDescent="0.25">
      <c r="J3633"/>
      <c r="M3633"/>
      <c r="W3633"/>
    </row>
    <row r="3634" spans="10:23" x14ac:dyDescent="0.25">
      <c r="J3634"/>
      <c r="M3634"/>
      <c r="W3634"/>
    </row>
    <row r="3635" spans="10:23" x14ac:dyDescent="0.25">
      <c r="J3635"/>
      <c r="M3635"/>
      <c r="W3635"/>
    </row>
    <row r="3636" spans="10:23" x14ac:dyDescent="0.25">
      <c r="J3636"/>
      <c r="M3636"/>
      <c r="W3636"/>
    </row>
    <row r="3637" spans="10:23" x14ac:dyDescent="0.25">
      <c r="J3637"/>
      <c r="M3637"/>
      <c r="W3637"/>
    </row>
    <row r="3638" spans="10:23" x14ac:dyDescent="0.25">
      <c r="J3638"/>
      <c r="M3638"/>
      <c r="W3638"/>
    </row>
    <row r="3639" spans="10:23" x14ac:dyDescent="0.25">
      <c r="J3639"/>
      <c r="M3639"/>
      <c r="W3639"/>
    </row>
    <row r="3640" spans="10:23" x14ac:dyDescent="0.25">
      <c r="J3640"/>
      <c r="M3640"/>
      <c r="W3640"/>
    </row>
    <row r="3641" spans="10:23" x14ac:dyDescent="0.25">
      <c r="J3641"/>
      <c r="M3641"/>
      <c r="W3641"/>
    </row>
    <row r="3642" spans="10:23" x14ac:dyDescent="0.25">
      <c r="J3642"/>
      <c r="M3642"/>
      <c r="W3642"/>
    </row>
    <row r="3643" spans="10:23" x14ac:dyDescent="0.25">
      <c r="J3643"/>
      <c r="M3643"/>
      <c r="W3643"/>
    </row>
    <row r="3644" spans="10:23" x14ac:dyDescent="0.25">
      <c r="J3644"/>
      <c r="M3644"/>
      <c r="W3644"/>
    </row>
    <row r="3645" spans="10:23" x14ac:dyDescent="0.25">
      <c r="J3645"/>
      <c r="M3645"/>
      <c r="W3645"/>
    </row>
    <row r="3646" spans="10:23" x14ac:dyDescent="0.25">
      <c r="J3646"/>
      <c r="M3646"/>
      <c r="W3646"/>
    </row>
    <row r="3647" spans="10:23" x14ac:dyDescent="0.25">
      <c r="J3647"/>
      <c r="M3647"/>
      <c r="W3647"/>
    </row>
    <row r="3648" spans="10:23" x14ac:dyDescent="0.25">
      <c r="J3648"/>
      <c r="M3648"/>
      <c r="W3648"/>
    </row>
    <row r="3649" spans="10:23" x14ac:dyDescent="0.25">
      <c r="J3649"/>
      <c r="M3649"/>
      <c r="W3649"/>
    </row>
    <row r="3650" spans="10:23" x14ac:dyDescent="0.25">
      <c r="J3650"/>
      <c r="M3650"/>
      <c r="W3650"/>
    </row>
    <row r="3651" spans="10:23" x14ac:dyDescent="0.25">
      <c r="J3651"/>
      <c r="M3651"/>
      <c r="W3651"/>
    </row>
    <row r="3652" spans="10:23" x14ac:dyDescent="0.25">
      <c r="J3652"/>
      <c r="M3652"/>
      <c r="W3652"/>
    </row>
    <row r="3653" spans="10:23" x14ac:dyDescent="0.25">
      <c r="J3653"/>
      <c r="M3653"/>
      <c r="W3653"/>
    </row>
    <row r="3654" spans="10:23" x14ac:dyDescent="0.25">
      <c r="J3654"/>
      <c r="M3654"/>
      <c r="W3654"/>
    </row>
    <row r="3655" spans="10:23" x14ac:dyDescent="0.25">
      <c r="J3655"/>
      <c r="M3655"/>
      <c r="W3655"/>
    </row>
    <row r="3656" spans="10:23" x14ac:dyDescent="0.25">
      <c r="J3656"/>
      <c r="M3656"/>
      <c r="W3656"/>
    </row>
    <row r="3657" spans="10:23" x14ac:dyDescent="0.25">
      <c r="J3657"/>
      <c r="M3657"/>
      <c r="W3657"/>
    </row>
    <row r="3658" spans="10:23" x14ac:dyDescent="0.25">
      <c r="J3658"/>
      <c r="M3658"/>
      <c r="W3658"/>
    </row>
    <row r="3659" spans="10:23" x14ac:dyDescent="0.25">
      <c r="J3659"/>
      <c r="M3659"/>
      <c r="W3659"/>
    </row>
    <row r="3660" spans="10:23" x14ac:dyDescent="0.25">
      <c r="J3660"/>
      <c r="M3660"/>
      <c r="W3660"/>
    </row>
    <row r="3661" spans="10:23" x14ac:dyDescent="0.25">
      <c r="J3661"/>
      <c r="M3661"/>
      <c r="W3661"/>
    </row>
    <row r="3662" spans="10:23" x14ac:dyDescent="0.25">
      <c r="J3662"/>
      <c r="M3662"/>
      <c r="W3662"/>
    </row>
    <row r="3663" spans="10:23" x14ac:dyDescent="0.25">
      <c r="J3663"/>
      <c r="M3663"/>
      <c r="W3663"/>
    </row>
    <row r="3664" spans="10:23" x14ac:dyDescent="0.25">
      <c r="J3664"/>
      <c r="M3664"/>
      <c r="W3664"/>
    </row>
    <row r="3665" spans="10:23" x14ac:dyDescent="0.25">
      <c r="J3665"/>
      <c r="M3665"/>
      <c r="W3665"/>
    </row>
    <row r="3666" spans="10:23" x14ac:dyDescent="0.25">
      <c r="J3666"/>
      <c r="M3666"/>
      <c r="W3666"/>
    </row>
    <row r="3667" spans="10:23" x14ac:dyDescent="0.25">
      <c r="J3667"/>
      <c r="M3667"/>
      <c r="W3667"/>
    </row>
    <row r="3668" spans="10:23" x14ac:dyDescent="0.25">
      <c r="J3668"/>
      <c r="M3668"/>
      <c r="W3668"/>
    </row>
    <row r="3669" spans="10:23" x14ac:dyDescent="0.25">
      <c r="J3669"/>
      <c r="M3669"/>
      <c r="W3669"/>
    </row>
    <row r="3670" spans="10:23" x14ac:dyDescent="0.25">
      <c r="J3670"/>
      <c r="M3670"/>
      <c r="W3670"/>
    </row>
    <row r="3671" spans="10:23" x14ac:dyDescent="0.25">
      <c r="J3671"/>
      <c r="M3671"/>
      <c r="W3671"/>
    </row>
    <row r="3672" spans="10:23" x14ac:dyDescent="0.25">
      <c r="J3672"/>
      <c r="M3672"/>
      <c r="W3672"/>
    </row>
    <row r="3673" spans="10:23" x14ac:dyDescent="0.25">
      <c r="J3673"/>
      <c r="M3673"/>
      <c r="W3673"/>
    </row>
    <row r="3674" spans="10:23" x14ac:dyDescent="0.25">
      <c r="J3674"/>
      <c r="M3674"/>
      <c r="W3674"/>
    </row>
    <row r="3675" spans="10:23" x14ac:dyDescent="0.25">
      <c r="J3675"/>
      <c r="M3675"/>
      <c r="W3675"/>
    </row>
    <row r="3676" spans="10:23" x14ac:dyDescent="0.25">
      <c r="J3676"/>
      <c r="M3676"/>
      <c r="W3676"/>
    </row>
    <row r="3677" spans="10:23" x14ac:dyDescent="0.25">
      <c r="J3677"/>
      <c r="M3677"/>
      <c r="W3677"/>
    </row>
    <row r="3678" spans="10:23" x14ac:dyDescent="0.25">
      <c r="J3678"/>
      <c r="M3678"/>
      <c r="W3678"/>
    </row>
    <row r="3679" spans="10:23" x14ac:dyDescent="0.25">
      <c r="J3679"/>
      <c r="M3679"/>
      <c r="W3679"/>
    </row>
    <row r="3680" spans="10:23" x14ac:dyDescent="0.25">
      <c r="J3680"/>
      <c r="M3680"/>
      <c r="W3680"/>
    </row>
    <row r="3681" spans="10:23" x14ac:dyDescent="0.25">
      <c r="J3681"/>
      <c r="M3681"/>
      <c r="W3681"/>
    </row>
    <row r="3682" spans="10:23" x14ac:dyDescent="0.25">
      <c r="J3682"/>
      <c r="M3682"/>
      <c r="W3682"/>
    </row>
    <row r="3683" spans="10:23" x14ac:dyDescent="0.25">
      <c r="J3683"/>
      <c r="M3683"/>
      <c r="W3683"/>
    </row>
    <row r="3684" spans="10:23" x14ac:dyDescent="0.25">
      <c r="J3684"/>
      <c r="M3684"/>
      <c r="W3684"/>
    </row>
    <row r="3685" spans="10:23" x14ac:dyDescent="0.25">
      <c r="J3685"/>
      <c r="M3685"/>
      <c r="W3685"/>
    </row>
    <row r="3686" spans="10:23" x14ac:dyDescent="0.25">
      <c r="J3686"/>
      <c r="M3686"/>
      <c r="W3686"/>
    </row>
    <row r="3687" spans="10:23" x14ac:dyDescent="0.25">
      <c r="J3687"/>
      <c r="M3687"/>
      <c r="W3687"/>
    </row>
    <row r="3688" spans="10:23" x14ac:dyDescent="0.25">
      <c r="J3688"/>
      <c r="M3688"/>
      <c r="W3688"/>
    </row>
    <row r="3689" spans="10:23" x14ac:dyDescent="0.25">
      <c r="J3689"/>
      <c r="M3689"/>
      <c r="W3689"/>
    </row>
    <row r="3690" spans="10:23" x14ac:dyDescent="0.25">
      <c r="J3690"/>
      <c r="M3690"/>
      <c r="W3690"/>
    </row>
    <row r="3691" spans="10:23" x14ac:dyDescent="0.25">
      <c r="J3691"/>
      <c r="M3691"/>
      <c r="W3691"/>
    </row>
    <row r="3692" spans="10:23" x14ac:dyDescent="0.25">
      <c r="J3692"/>
      <c r="M3692"/>
      <c r="W3692"/>
    </row>
    <row r="3693" spans="10:23" x14ac:dyDescent="0.25">
      <c r="J3693"/>
      <c r="M3693"/>
      <c r="W3693"/>
    </row>
    <row r="3694" spans="10:23" x14ac:dyDescent="0.25">
      <c r="J3694"/>
      <c r="M3694"/>
      <c r="W3694"/>
    </row>
    <row r="3695" spans="10:23" x14ac:dyDescent="0.25">
      <c r="J3695"/>
      <c r="M3695"/>
      <c r="W3695"/>
    </row>
    <row r="3696" spans="10:23" x14ac:dyDescent="0.25">
      <c r="J3696"/>
      <c r="M3696"/>
      <c r="W3696"/>
    </row>
    <row r="3697" spans="10:23" x14ac:dyDescent="0.25">
      <c r="J3697"/>
      <c r="M3697"/>
      <c r="W3697"/>
    </row>
    <row r="3698" spans="10:23" x14ac:dyDescent="0.25">
      <c r="J3698"/>
      <c r="M3698"/>
      <c r="W3698"/>
    </row>
    <row r="3699" spans="10:23" x14ac:dyDescent="0.25">
      <c r="J3699"/>
      <c r="M3699"/>
      <c r="W3699"/>
    </row>
    <row r="3700" spans="10:23" x14ac:dyDescent="0.25">
      <c r="J3700"/>
      <c r="M3700"/>
      <c r="W3700"/>
    </row>
    <row r="3701" spans="10:23" x14ac:dyDescent="0.25">
      <c r="J3701"/>
      <c r="M3701"/>
      <c r="W3701"/>
    </row>
    <row r="3702" spans="10:23" x14ac:dyDescent="0.25">
      <c r="J3702"/>
      <c r="M3702"/>
      <c r="W3702"/>
    </row>
    <row r="3703" spans="10:23" x14ac:dyDescent="0.25">
      <c r="J3703"/>
      <c r="M3703"/>
      <c r="W3703"/>
    </row>
    <row r="3704" spans="10:23" x14ac:dyDescent="0.25">
      <c r="J3704"/>
      <c r="M3704"/>
      <c r="W3704"/>
    </row>
    <row r="3705" spans="10:23" x14ac:dyDescent="0.25">
      <c r="J3705"/>
      <c r="M3705"/>
      <c r="W3705"/>
    </row>
    <row r="3706" spans="10:23" x14ac:dyDescent="0.25">
      <c r="J3706"/>
      <c r="M3706"/>
      <c r="W3706"/>
    </row>
    <row r="3707" spans="10:23" x14ac:dyDescent="0.25">
      <c r="J3707"/>
      <c r="M3707"/>
      <c r="W3707"/>
    </row>
    <row r="3708" spans="10:23" x14ac:dyDescent="0.25">
      <c r="J3708"/>
      <c r="M3708"/>
      <c r="W3708"/>
    </row>
    <row r="3709" spans="10:23" x14ac:dyDescent="0.25">
      <c r="J3709"/>
      <c r="M3709"/>
      <c r="W3709"/>
    </row>
    <row r="3710" spans="10:23" x14ac:dyDescent="0.25">
      <c r="J3710"/>
      <c r="M3710"/>
      <c r="W3710"/>
    </row>
    <row r="3711" spans="10:23" x14ac:dyDescent="0.25">
      <c r="J3711"/>
      <c r="M3711"/>
      <c r="W3711"/>
    </row>
    <row r="3712" spans="10:23" x14ac:dyDescent="0.25">
      <c r="J3712"/>
      <c r="M3712"/>
      <c r="W3712"/>
    </row>
    <row r="3713" spans="10:23" x14ac:dyDescent="0.25">
      <c r="J3713"/>
      <c r="M3713"/>
      <c r="W3713"/>
    </row>
    <row r="3714" spans="10:23" x14ac:dyDescent="0.25">
      <c r="J3714"/>
      <c r="M3714"/>
      <c r="W3714"/>
    </row>
    <row r="3715" spans="10:23" x14ac:dyDescent="0.25">
      <c r="J3715"/>
      <c r="M3715"/>
      <c r="W3715"/>
    </row>
    <row r="3716" spans="10:23" x14ac:dyDescent="0.25">
      <c r="J3716"/>
      <c r="M3716"/>
      <c r="W3716"/>
    </row>
    <row r="3717" spans="10:23" x14ac:dyDescent="0.25">
      <c r="J3717"/>
      <c r="M3717"/>
      <c r="W3717"/>
    </row>
    <row r="3718" spans="10:23" x14ac:dyDescent="0.25">
      <c r="J3718"/>
      <c r="M3718"/>
      <c r="W3718"/>
    </row>
    <row r="3719" spans="10:23" x14ac:dyDescent="0.25">
      <c r="J3719"/>
      <c r="M3719"/>
      <c r="W3719"/>
    </row>
    <row r="3720" spans="10:23" x14ac:dyDescent="0.25">
      <c r="J3720"/>
      <c r="M3720"/>
      <c r="W3720"/>
    </row>
    <row r="3721" spans="10:23" x14ac:dyDescent="0.25">
      <c r="J3721"/>
      <c r="M3721"/>
      <c r="W3721"/>
    </row>
    <row r="3722" spans="10:23" x14ac:dyDescent="0.25">
      <c r="J3722"/>
      <c r="M3722"/>
      <c r="W3722"/>
    </row>
    <row r="3723" spans="10:23" x14ac:dyDescent="0.25">
      <c r="J3723"/>
      <c r="M3723"/>
      <c r="W3723"/>
    </row>
    <row r="3724" spans="10:23" x14ac:dyDescent="0.25">
      <c r="J3724"/>
      <c r="M3724"/>
      <c r="W3724"/>
    </row>
    <row r="3725" spans="10:23" x14ac:dyDescent="0.25">
      <c r="J3725"/>
      <c r="M3725"/>
      <c r="W3725"/>
    </row>
    <row r="3726" spans="10:23" x14ac:dyDescent="0.25">
      <c r="J3726"/>
      <c r="M3726"/>
      <c r="W3726"/>
    </row>
    <row r="3727" spans="10:23" x14ac:dyDescent="0.25">
      <c r="J3727"/>
      <c r="M3727"/>
      <c r="W3727"/>
    </row>
    <row r="3728" spans="10:23" x14ac:dyDescent="0.25">
      <c r="J3728"/>
      <c r="M3728"/>
      <c r="W3728"/>
    </row>
    <row r="3729" spans="10:23" x14ac:dyDescent="0.25">
      <c r="J3729"/>
      <c r="M3729"/>
      <c r="W3729"/>
    </row>
    <row r="3730" spans="10:23" x14ac:dyDescent="0.25">
      <c r="J3730"/>
      <c r="M3730"/>
      <c r="W3730"/>
    </row>
    <row r="3731" spans="10:23" x14ac:dyDescent="0.25">
      <c r="J3731"/>
      <c r="M3731"/>
      <c r="W3731"/>
    </row>
    <row r="3732" spans="10:23" x14ac:dyDescent="0.25">
      <c r="J3732"/>
      <c r="M3732"/>
      <c r="W3732"/>
    </row>
    <row r="3733" spans="10:23" x14ac:dyDescent="0.25">
      <c r="J3733"/>
      <c r="M3733"/>
      <c r="W3733"/>
    </row>
    <row r="3734" spans="10:23" x14ac:dyDescent="0.25">
      <c r="J3734"/>
      <c r="M3734"/>
      <c r="W3734"/>
    </row>
    <row r="3735" spans="10:23" x14ac:dyDescent="0.25">
      <c r="J3735"/>
      <c r="M3735"/>
      <c r="W3735"/>
    </row>
    <row r="3736" spans="10:23" x14ac:dyDescent="0.25">
      <c r="J3736"/>
      <c r="M3736"/>
      <c r="W3736"/>
    </row>
    <row r="3737" spans="10:23" x14ac:dyDescent="0.25">
      <c r="J3737"/>
      <c r="M3737"/>
      <c r="W3737"/>
    </row>
    <row r="3738" spans="10:23" x14ac:dyDescent="0.25">
      <c r="J3738"/>
      <c r="M3738"/>
      <c r="W3738"/>
    </row>
    <row r="3739" spans="10:23" x14ac:dyDescent="0.25">
      <c r="J3739"/>
      <c r="M3739"/>
      <c r="W3739"/>
    </row>
    <row r="3740" spans="10:23" x14ac:dyDescent="0.25">
      <c r="J3740"/>
      <c r="M3740"/>
      <c r="W3740"/>
    </row>
    <row r="3741" spans="10:23" x14ac:dyDescent="0.25">
      <c r="J3741"/>
      <c r="M3741"/>
      <c r="W3741"/>
    </row>
    <row r="3742" spans="10:23" x14ac:dyDescent="0.25">
      <c r="J3742"/>
      <c r="M3742"/>
      <c r="W3742"/>
    </row>
    <row r="3743" spans="10:23" x14ac:dyDescent="0.25">
      <c r="J3743"/>
      <c r="M3743"/>
      <c r="W3743"/>
    </row>
    <row r="3744" spans="10:23" x14ac:dyDescent="0.25">
      <c r="J3744"/>
      <c r="M3744"/>
      <c r="W3744"/>
    </row>
    <row r="3745" spans="10:23" x14ac:dyDescent="0.25">
      <c r="J3745"/>
      <c r="M3745"/>
      <c r="W3745"/>
    </row>
    <row r="3746" spans="10:23" x14ac:dyDescent="0.25">
      <c r="J3746"/>
      <c r="M3746"/>
      <c r="W3746"/>
    </row>
    <row r="3747" spans="10:23" x14ac:dyDescent="0.25">
      <c r="J3747"/>
      <c r="M3747"/>
      <c r="W3747"/>
    </row>
    <row r="3748" spans="10:23" x14ac:dyDescent="0.25">
      <c r="J3748"/>
      <c r="M3748"/>
      <c r="W3748"/>
    </row>
    <row r="3749" spans="10:23" x14ac:dyDescent="0.25">
      <c r="J3749"/>
      <c r="M3749"/>
      <c r="W3749"/>
    </row>
    <row r="3750" spans="10:23" x14ac:dyDescent="0.25">
      <c r="J3750"/>
      <c r="M3750"/>
      <c r="W3750"/>
    </row>
    <row r="3751" spans="10:23" x14ac:dyDescent="0.25">
      <c r="J3751"/>
      <c r="M3751"/>
      <c r="W3751"/>
    </row>
    <row r="3752" spans="10:23" x14ac:dyDescent="0.25">
      <c r="J3752"/>
      <c r="M3752"/>
      <c r="W3752"/>
    </row>
    <row r="3753" spans="10:23" x14ac:dyDescent="0.25">
      <c r="J3753"/>
      <c r="M3753"/>
      <c r="W3753"/>
    </row>
    <row r="3754" spans="10:23" x14ac:dyDescent="0.25">
      <c r="J3754"/>
      <c r="M3754"/>
      <c r="W3754"/>
    </row>
    <row r="3755" spans="10:23" x14ac:dyDescent="0.25">
      <c r="J3755"/>
      <c r="M3755"/>
      <c r="W3755"/>
    </row>
    <row r="3756" spans="10:23" x14ac:dyDescent="0.25">
      <c r="J3756"/>
      <c r="M3756"/>
      <c r="W3756"/>
    </row>
    <row r="3757" spans="10:23" x14ac:dyDescent="0.25">
      <c r="J3757"/>
      <c r="M3757"/>
      <c r="W3757"/>
    </row>
    <row r="3758" spans="10:23" x14ac:dyDescent="0.25">
      <c r="J3758"/>
      <c r="M3758"/>
      <c r="W3758"/>
    </row>
    <row r="3759" spans="10:23" x14ac:dyDescent="0.25">
      <c r="J3759"/>
      <c r="M3759"/>
      <c r="W3759"/>
    </row>
    <row r="3760" spans="10:23" x14ac:dyDescent="0.25">
      <c r="J3760"/>
      <c r="M3760"/>
      <c r="W3760"/>
    </row>
    <row r="3761" spans="10:23" x14ac:dyDescent="0.25">
      <c r="J3761"/>
      <c r="M3761"/>
      <c r="W3761"/>
    </row>
    <row r="3762" spans="10:23" x14ac:dyDescent="0.25">
      <c r="J3762"/>
      <c r="M3762"/>
      <c r="W3762"/>
    </row>
    <row r="3763" spans="10:23" x14ac:dyDescent="0.25">
      <c r="J3763"/>
      <c r="M3763"/>
      <c r="W3763"/>
    </row>
    <row r="3764" spans="10:23" x14ac:dyDescent="0.25">
      <c r="J3764"/>
      <c r="M3764"/>
      <c r="W3764"/>
    </row>
    <row r="3765" spans="10:23" x14ac:dyDescent="0.25">
      <c r="J3765"/>
      <c r="M3765"/>
      <c r="W3765"/>
    </row>
    <row r="3766" spans="10:23" x14ac:dyDescent="0.25">
      <c r="J3766"/>
      <c r="M3766"/>
      <c r="W3766"/>
    </row>
    <row r="3767" spans="10:23" x14ac:dyDescent="0.25">
      <c r="J3767"/>
      <c r="M3767"/>
      <c r="W3767"/>
    </row>
    <row r="3768" spans="10:23" x14ac:dyDescent="0.25">
      <c r="J3768"/>
      <c r="M3768"/>
      <c r="W3768"/>
    </row>
    <row r="3769" spans="10:23" x14ac:dyDescent="0.25">
      <c r="J3769"/>
      <c r="M3769"/>
      <c r="W3769"/>
    </row>
    <row r="3770" spans="10:23" x14ac:dyDescent="0.25">
      <c r="J3770"/>
      <c r="M3770"/>
      <c r="W3770"/>
    </row>
    <row r="3771" spans="10:23" x14ac:dyDescent="0.25">
      <c r="J3771"/>
      <c r="M3771"/>
      <c r="W3771"/>
    </row>
    <row r="3772" spans="10:23" x14ac:dyDescent="0.25">
      <c r="J3772"/>
      <c r="M3772"/>
      <c r="W3772"/>
    </row>
    <row r="3773" spans="10:23" x14ac:dyDescent="0.25">
      <c r="J3773"/>
      <c r="M3773"/>
      <c r="W3773"/>
    </row>
    <row r="3774" spans="10:23" x14ac:dyDescent="0.25">
      <c r="J3774"/>
      <c r="M3774"/>
      <c r="W3774"/>
    </row>
    <row r="3775" spans="10:23" x14ac:dyDescent="0.25">
      <c r="J3775"/>
      <c r="M3775"/>
      <c r="W3775"/>
    </row>
    <row r="3776" spans="10:23" x14ac:dyDescent="0.25">
      <c r="J3776"/>
      <c r="M3776"/>
      <c r="W3776"/>
    </row>
    <row r="3777" spans="10:23" x14ac:dyDescent="0.25">
      <c r="J3777"/>
      <c r="M3777"/>
      <c r="W3777"/>
    </row>
    <row r="3778" spans="10:23" x14ac:dyDescent="0.25">
      <c r="J3778"/>
      <c r="M3778"/>
      <c r="W3778"/>
    </row>
    <row r="3779" spans="10:23" x14ac:dyDescent="0.25">
      <c r="J3779"/>
      <c r="M3779"/>
      <c r="W3779"/>
    </row>
    <row r="3780" spans="10:23" x14ac:dyDescent="0.25">
      <c r="J3780"/>
      <c r="M3780"/>
      <c r="W3780"/>
    </row>
    <row r="3781" spans="10:23" x14ac:dyDescent="0.25">
      <c r="J3781"/>
      <c r="M3781"/>
      <c r="W3781"/>
    </row>
    <row r="3782" spans="10:23" x14ac:dyDescent="0.25">
      <c r="J3782"/>
      <c r="M3782"/>
      <c r="W3782"/>
    </row>
    <row r="3783" spans="10:23" x14ac:dyDescent="0.25">
      <c r="J3783"/>
      <c r="M3783"/>
      <c r="W3783"/>
    </row>
    <row r="3784" spans="10:23" x14ac:dyDescent="0.25">
      <c r="J3784"/>
      <c r="M3784"/>
      <c r="W3784"/>
    </row>
    <row r="3785" spans="10:23" x14ac:dyDescent="0.25">
      <c r="J3785"/>
      <c r="M3785"/>
      <c r="W3785"/>
    </row>
    <row r="3786" spans="10:23" x14ac:dyDescent="0.25">
      <c r="J3786"/>
      <c r="M3786"/>
      <c r="W3786"/>
    </row>
    <row r="3787" spans="10:23" x14ac:dyDescent="0.25">
      <c r="J3787"/>
      <c r="M3787"/>
      <c r="W3787"/>
    </row>
    <row r="3788" spans="10:23" x14ac:dyDescent="0.25">
      <c r="J3788"/>
      <c r="M3788"/>
      <c r="W3788"/>
    </row>
    <row r="3789" spans="10:23" x14ac:dyDescent="0.25">
      <c r="J3789"/>
      <c r="M3789"/>
      <c r="W3789"/>
    </row>
    <row r="3790" spans="10:23" x14ac:dyDescent="0.25">
      <c r="J3790"/>
      <c r="M3790"/>
      <c r="W3790"/>
    </row>
    <row r="3791" spans="10:23" x14ac:dyDescent="0.25">
      <c r="J3791"/>
      <c r="M3791"/>
      <c r="W3791"/>
    </row>
    <row r="3792" spans="10:23" x14ac:dyDescent="0.25">
      <c r="J3792"/>
      <c r="M3792"/>
      <c r="W3792"/>
    </row>
    <row r="3793" spans="10:23" x14ac:dyDescent="0.25">
      <c r="J3793"/>
      <c r="M3793"/>
      <c r="W3793"/>
    </row>
    <row r="3794" spans="10:23" x14ac:dyDescent="0.25">
      <c r="J3794"/>
      <c r="M3794"/>
      <c r="W3794"/>
    </row>
    <row r="3795" spans="10:23" x14ac:dyDescent="0.25">
      <c r="J3795"/>
      <c r="M3795"/>
      <c r="W3795"/>
    </row>
    <row r="3796" spans="10:23" x14ac:dyDescent="0.25">
      <c r="J3796"/>
      <c r="M3796"/>
      <c r="W3796"/>
    </row>
    <row r="3797" spans="10:23" x14ac:dyDescent="0.25">
      <c r="J3797"/>
      <c r="M3797"/>
      <c r="W3797"/>
    </row>
    <row r="3798" spans="10:23" x14ac:dyDescent="0.25">
      <c r="J3798"/>
      <c r="M3798"/>
      <c r="W3798"/>
    </row>
    <row r="3799" spans="10:23" x14ac:dyDescent="0.25">
      <c r="J3799"/>
      <c r="M3799"/>
      <c r="W3799"/>
    </row>
    <row r="3800" spans="10:23" x14ac:dyDescent="0.25">
      <c r="J3800"/>
      <c r="M3800"/>
      <c r="W3800"/>
    </row>
    <row r="3801" spans="10:23" x14ac:dyDescent="0.25">
      <c r="J3801"/>
      <c r="M3801"/>
      <c r="W3801"/>
    </row>
    <row r="3802" spans="10:23" x14ac:dyDescent="0.25">
      <c r="J3802"/>
      <c r="M3802"/>
      <c r="W3802"/>
    </row>
    <row r="3803" spans="10:23" x14ac:dyDescent="0.25">
      <c r="J3803"/>
      <c r="M3803"/>
      <c r="W3803"/>
    </row>
    <row r="3804" spans="10:23" x14ac:dyDescent="0.25">
      <c r="J3804"/>
      <c r="M3804"/>
      <c r="W3804"/>
    </row>
    <row r="3805" spans="10:23" x14ac:dyDescent="0.25">
      <c r="J3805"/>
      <c r="M3805"/>
      <c r="W3805"/>
    </row>
    <row r="3806" spans="10:23" x14ac:dyDescent="0.25">
      <c r="J3806"/>
      <c r="M3806"/>
      <c r="W3806"/>
    </row>
    <row r="3807" spans="10:23" x14ac:dyDescent="0.25">
      <c r="J3807"/>
      <c r="M3807"/>
      <c r="W3807"/>
    </row>
    <row r="3808" spans="10:23" x14ac:dyDescent="0.25">
      <c r="J3808"/>
      <c r="M3808"/>
      <c r="W3808"/>
    </row>
    <row r="3809" spans="10:23" x14ac:dyDescent="0.25">
      <c r="J3809"/>
      <c r="M3809"/>
      <c r="W3809"/>
    </row>
    <row r="3810" spans="10:23" x14ac:dyDescent="0.25">
      <c r="J3810"/>
      <c r="M3810"/>
      <c r="W3810"/>
    </row>
    <row r="3811" spans="10:23" x14ac:dyDescent="0.25">
      <c r="J3811"/>
      <c r="M3811"/>
      <c r="W3811"/>
    </row>
    <row r="3812" spans="10:23" x14ac:dyDescent="0.25">
      <c r="J3812"/>
      <c r="M3812"/>
      <c r="W3812"/>
    </row>
    <row r="3813" spans="10:23" x14ac:dyDescent="0.25">
      <c r="J3813"/>
      <c r="M3813"/>
      <c r="W3813"/>
    </row>
    <row r="3814" spans="10:23" x14ac:dyDescent="0.25">
      <c r="J3814"/>
      <c r="M3814"/>
      <c r="W3814"/>
    </row>
    <row r="3815" spans="10:23" x14ac:dyDescent="0.25">
      <c r="J3815"/>
      <c r="M3815"/>
      <c r="W3815"/>
    </row>
    <row r="3816" spans="10:23" x14ac:dyDescent="0.25">
      <c r="J3816"/>
      <c r="M3816"/>
      <c r="W3816"/>
    </row>
    <row r="3817" spans="10:23" x14ac:dyDescent="0.25">
      <c r="J3817"/>
      <c r="M3817"/>
      <c r="W3817"/>
    </row>
    <row r="3818" spans="10:23" x14ac:dyDescent="0.25">
      <c r="J3818"/>
      <c r="M3818"/>
      <c r="W3818"/>
    </row>
    <row r="3819" spans="10:23" x14ac:dyDescent="0.25">
      <c r="J3819"/>
      <c r="M3819"/>
      <c r="W3819"/>
    </row>
    <row r="3820" spans="10:23" x14ac:dyDescent="0.25">
      <c r="J3820"/>
      <c r="M3820"/>
      <c r="W3820"/>
    </row>
    <row r="3821" spans="10:23" x14ac:dyDescent="0.25">
      <c r="J3821"/>
      <c r="M3821"/>
      <c r="W3821"/>
    </row>
    <row r="3822" spans="10:23" x14ac:dyDescent="0.25">
      <c r="J3822"/>
      <c r="M3822"/>
      <c r="W3822"/>
    </row>
    <row r="3823" spans="10:23" x14ac:dyDescent="0.25">
      <c r="J3823"/>
      <c r="M3823"/>
      <c r="W3823"/>
    </row>
    <row r="3824" spans="10:23" x14ac:dyDescent="0.25">
      <c r="J3824"/>
      <c r="M3824"/>
      <c r="W3824"/>
    </row>
    <row r="3825" spans="10:23" x14ac:dyDescent="0.25">
      <c r="J3825"/>
      <c r="M3825"/>
      <c r="W3825"/>
    </row>
    <row r="3826" spans="10:23" x14ac:dyDescent="0.25">
      <c r="J3826"/>
      <c r="M3826"/>
      <c r="W3826"/>
    </row>
    <row r="3827" spans="10:23" x14ac:dyDescent="0.25">
      <c r="J3827"/>
      <c r="M3827"/>
      <c r="W3827"/>
    </row>
    <row r="3828" spans="10:23" x14ac:dyDescent="0.25">
      <c r="J3828"/>
      <c r="M3828"/>
      <c r="W3828"/>
    </row>
    <row r="3829" spans="10:23" x14ac:dyDescent="0.25">
      <c r="J3829"/>
      <c r="M3829"/>
      <c r="W3829"/>
    </row>
    <row r="3830" spans="10:23" x14ac:dyDescent="0.25">
      <c r="J3830"/>
      <c r="M3830"/>
      <c r="W3830"/>
    </row>
    <row r="3831" spans="10:23" x14ac:dyDescent="0.25">
      <c r="J3831"/>
      <c r="M3831"/>
      <c r="W3831"/>
    </row>
    <row r="3832" spans="10:23" x14ac:dyDescent="0.25">
      <c r="J3832"/>
      <c r="M3832"/>
      <c r="W3832"/>
    </row>
    <row r="3833" spans="10:23" x14ac:dyDescent="0.25">
      <c r="J3833"/>
      <c r="M3833"/>
      <c r="W3833"/>
    </row>
    <row r="3834" spans="10:23" x14ac:dyDescent="0.25">
      <c r="J3834"/>
      <c r="M3834"/>
      <c r="W3834"/>
    </row>
    <row r="3835" spans="10:23" x14ac:dyDescent="0.25">
      <c r="J3835"/>
      <c r="M3835"/>
      <c r="W3835"/>
    </row>
    <row r="3836" spans="10:23" x14ac:dyDescent="0.25">
      <c r="J3836"/>
      <c r="M3836"/>
      <c r="W3836"/>
    </row>
    <row r="3837" spans="10:23" x14ac:dyDescent="0.25">
      <c r="J3837"/>
      <c r="M3837"/>
      <c r="W3837"/>
    </row>
    <row r="3838" spans="10:23" x14ac:dyDescent="0.25">
      <c r="J3838"/>
      <c r="M3838"/>
      <c r="W3838"/>
    </row>
    <row r="3839" spans="10:23" x14ac:dyDescent="0.25">
      <c r="J3839"/>
      <c r="M3839"/>
      <c r="W3839"/>
    </row>
    <row r="3840" spans="10:23" x14ac:dyDescent="0.25">
      <c r="J3840"/>
      <c r="M3840"/>
      <c r="W3840"/>
    </row>
    <row r="3841" spans="10:23" x14ac:dyDescent="0.25">
      <c r="J3841"/>
      <c r="M3841"/>
      <c r="W3841"/>
    </row>
    <row r="3842" spans="10:23" x14ac:dyDescent="0.25">
      <c r="J3842"/>
      <c r="M3842"/>
      <c r="W3842"/>
    </row>
    <row r="3843" spans="10:23" x14ac:dyDescent="0.25">
      <c r="J3843"/>
      <c r="M3843"/>
      <c r="W3843"/>
    </row>
    <row r="3844" spans="10:23" x14ac:dyDescent="0.25">
      <c r="J3844"/>
      <c r="M3844"/>
      <c r="W3844"/>
    </row>
    <row r="3845" spans="10:23" x14ac:dyDescent="0.25">
      <c r="J3845"/>
      <c r="M3845"/>
      <c r="W3845"/>
    </row>
    <row r="3846" spans="10:23" x14ac:dyDescent="0.25">
      <c r="J3846"/>
      <c r="M3846"/>
      <c r="W3846"/>
    </row>
    <row r="3847" spans="10:23" x14ac:dyDescent="0.25">
      <c r="J3847"/>
      <c r="M3847"/>
      <c r="W3847"/>
    </row>
    <row r="3848" spans="10:23" x14ac:dyDescent="0.25">
      <c r="J3848"/>
      <c r="M3848"/>
      <c r="W3848"/>
    </row>
    <row r="3849" spans="10:23" x14ac:dyDescent="0.25">
      <c r="J3849"/>
      <c r="M3849"/>
      <c r="W3849"/>
    </row>
    <row r="3850" spans="10:23" x14ac:dyDescent="0.25">
      <c r="J3850"/>
      <c r="M3850"/>
      <c r="W3850"/>
    </row>
    <row r="3851" spans="10:23" x14ac:dyDescent="0.25">
      <c r="J3851"/>
      <c r="M3851"/>
      <c r="W3851"/>
    </row>
    <row r="3852" spans="10:23" x14ac:dyDescent="0.25">
      <c r="J3852"/>
      <c r="M3852"/>
      <c r="W3852"/>
    </row>
    <row r="3853" spans="10:23" x14ac:dyDescent="0.25">
      <c r="J3853"/>
      <c r="M3853"/>
      <c r="W3853"/>
    </row>
    <row r="3854" spans="10:23" x14ac:dyDescent="0.25">
      <c r="J3854"/>
      <c r="M3854"/>
      <c r="W3854"/>
    </row>
    <row r="3855" spans="10:23" x14ac:dyDescent="0.25">
      <c r="J3855"/>
      <c r="M3855"/>
      <c r="W3855"/>
    </row>
    <row r="3856" spans="10:23" x14ac:dyDescent="0.25">
      <c r="J3856"/>
      <c r="M3856"/>
      <c r="W3856"/>
    </row>
    <row r="3857" spans="10:23" x14ac:dyDescent="0.25">
      <c r="J3857"/>
      <c r="M3857"/>
      <c r="W3857"/>
    </row>
    <row r="3858" spans="10:23" x14ac:dyDescent="0.25">
      <c r="J3858"/>
      <c r="M3858"/>
      <c r="W3858"/>
    </row>
    <row r="3859" spans="10:23" x14ac:dyDescent="0.25">
      <c r="J3859"/>
      <c r="M3859"/>
      <c r="W3859"/>
    </row>
    <row r="3860" spans="10:23" x14ac:dyDescent="0.25">
      <c r="J3860"/>
      <c r="M3860"/>
      <c r="W3860"/>
    </row>
    <row r="3861" spans="10:23" x14ac:dyDescent="0.25">
      <c r="J3861"/>
      <c r="M3861"/>
      <c r="W3861"/>
    </row>
    <row r="3862" spans="10:23" x14ac:dyDescent="0.25">
      <c r="J3862"/>
      <c r="M3862"/>
      <c r="W3862"/>
    </row>
    <row r="3863" spans="10:23" x14ac:dyDescent="0.25">
      <c r="J3863"/>
      <c r="M3863"/>
      <c r="W3863"/>
    </row>
    <row r="3864" spans="10:23" x14ac:dyDescent="0.25">
      <c r="J3864"/>
      <c r="M3864"/>
      <c r="W3864"/>
    </row>
    <row r="3865" spans="10:23" x14ac:dyDescent="0.25">
      <c r="J3865"/>
      <c r="M3865"/>
      <c r="W3865"/>
    </row>
    <row r="3866" spans="10:23" x14ac:dyDescent="0.25">
      <c r="J3866"/>
      <c r="M3866"/>
      <c r="W3866"/>
    </row>
    <row r="3867" spans="10:23" x14ac:dyDescent="0.25">
      <c r="J3867"/>
      <c r="M3867"/>
      <c r="W3867"/>
    </row>
    <row r="3868" spans="10:23" x14ac:dyDescent="0.25">
      <c r="J3868"/>
      <c r="M3868"/>
      <c r="W3868"/>
    </row>
    <row r="3869" spans="10:23" x14ac:dyDescent="0.25">
      <c r="J3869"/>
      <c r="M3869"/>
      <c r="W3869"/>
    </row>
    <row r="3870" spans="10:23" x14ac:dyDescent="0.25">
      <c r="J3870"/>
      <c r="M3870"/>
      <c r="W3870"/>
    </row>
    <row r="3871" spans="10:23" x14ac:dyDescent="0.25">
      <c r="J3871"/>
      <c r="M3871"/>
      <c r="W3871"/>
    </row>
    <row r="3872" spans="10:23" x14ac:dyDescent="0.25">
      <c r="J3872"/>
      <c r="M3872"/>
      <c r="W3872"/>
    </row>
    <row r="3873" spans="10:23" x14ac:dyDescent="0.25">
      <c r="J3873"/>
      <c r="M3873"/>
      <c r="W3873"/>
    </row>
    <row r="3874" spans="10:23" x14ac:dyDescent="0.25">
      <c r="J3874"/>
      <c r="M3874"/>
      <c r="W3874"/>
    </row>
    <row r="3875" spans="10:23" x14ac:dyDescent="0.25">
      <c r="J3875"/>
      <c r="M3875"/>
      <c r="W3875"/>
    </row>
    <row r="3876" spans="10:23" x14ac:dyDescent="0.25">
      <c r="J3876"/>
      <c r="M3876"/>
      <c r="W3876"/>
    </row>
    <row r="3877" spans="10:23" x14ac:dyDescent="0.25">
      <c r="J3877"/>
      <c r="M3877"/>
      <c r="W3877"/>
    </row>
    <row r="3878" spans="10:23" x14ac:dyDescent="0.25">
      <c r="J3878"/>
      <c r="M3878"/>
      <c r="W3878"/>
    </row>
    <row r="3879" spans="10:23" x14ac:dyDescent="0.25">
      <c r="J3879"/>
      <c r="M3879"/>
      <c r="W3879"/>
    </row>
    <row r="3880" spans="10:23" x14ac:dyDescent="0.25">
      <c r="J3880"/>
      <c r="M3880"/>
      <c r="W3880"/>
    </row>
    <row r="3881" spans="10:23" x14ac:dyDescent="0.25">
      <c r="J3881"/>
      <c r="M3881"/>
      <c r="W3881"/>
    </row>
    <row r="3882" spans="10:23" x14ac:dyDescent="0.25">
      <c r="J3882"/>
      <c r="M3882"/>
      <c r="W3882"/>
    </row>
    <row r="3883" spans="10:23" x14ac:dyDescent="0.25">
      <c r="J3883"/>
      <c r="M3883"/>
      <c r="W3883"/>
    </row>
    <row r="3884" spans="10:23" x14ac:dyDescent="0.25">
      <c r="J3884"/>
      <c r="M3884"/>
      <c r="W3884"/>
    </row>
    <row r="3885" spans="10:23" x14ac:dyDescent="0.25">
      <c r="J3885"/>
      <c r="M3885"/>
      <c r="W3885"/>
    </row>
    <row r="3886" spans="10:23" x14ac:dyDescent="0.25">
      <c r="J3886"/>
      <c r="M3886"/>
      <c r="W3886"/>
    </row>
    <row r="3887" spans="10:23" x14ac:dyDescent="0.25">
      <c r="J3887"/>
      <c r="M3887"/>
      <c r="W3887"/>
    </row>
    <row r="3888" spans="10:23" x14ac:dyDescent="0.25">
      <c r="J3888"/>
      <c r="M3888"/>
      <c r="W3888"/>
    </row>
    <row r="3889" spans="10:23" x14ac:dyDescent="0.25">
      <c r="J3889"/>
      <c r="M3889"/>
      <c r="W3889"/>
    </row>
    <row r="3890" spans="10:23" x14ac:dyDescent="0.25">
      <c r="J3890"/>
      <c r="M3890"/>
      <c r="W3890"/>
    </row>
    <row r="3891" spans="10:23" x14ac:dyDescent="0.25">
      <c r="J3891"/>
      <c r="M3891"/>
      <c r="W3891"/>
    </row>
    <row r="3892" spans="10:23" x14ac:dyDescent="0.25">
      <c r="J3892"/>
      <c r="M3892"/>
      <c r="W3892"/>
    </row>
    <row r="3893" spans="10:23" x14ac:dyDescent="0.25">
      <c r="J3893"/>
      <c r="M3893"/>
      <c r="W3893"/>
    </row>
    <row r="3894" spans="10:23" x14ac:dyDescent="0.25">
      <c r="J3894"/>
      <c r="M3894"/>
      <c r="W3894"/>
    </row>
    <row r="3895" spans="10:23" x14ac:dyDescent="0.25">
      <c r="J3895"/>
      <c r="M3895"/>
      <c r="W3895"/>
    </row>
    <row r="3896" spans="10:23" x14ac:dyDescent="0.25">
      <c r="J3896"/>
      <c r="M3896"/>
      <c r="W3896"/>
    </row>
    <row r="3897" spans="10:23" x14ac:dyDescent="0.25">
      <c r="J3897"/>
      <c r="M3897"/>
      <c r="W3897"/>
    </row>
    <row r="3898" spans="10:23" x14ac:dyDescent="0.25">
      <c r="J3898"/>
      <c r="M3898"/>
      <c r="W3898"/>
    </row>
    <row r="3899" spans="10:23" x14ac:dyDescent="0.25">
      <c r="J3899"/>
      <c r="M3899"/>
      <c r="W3899"/>
    </row>
    <row r="3900" spans="10:23" x14ac:dyDescent="0.25">
      <c r="J3900"/>
      <c r="M3900"/>
      <c r="W3900"/>
    </row>
    <row r="3901" spans="10:23" x14ac:dyDescent="0.25">
      <c r="J3901"/>
      <c r="M3901"/>
      <c r="W3901"/>
    </row>
    <row r="3902" spans="10:23" x14ac:dyDescent="0.25">
      <c r="J3902"/>
      <c r="M3902"/>
      <c r="W3902"/>
    </row>
    <row r="3903" spans="10:23" x14ac:dyDescent="0.25">
      <c r="J3903"/>
      <c r="M3903"/>
      <c r="W3903"/>
    </row>
    <row r="3904" spans="10:23" x14ac:dyDescent="0.25">
      <c r="J3904"/>
      <c r="M3904"/>
      <c r="W3904"/>
    </row>
    <row r="3905" spans="10:23" x14ac:dyDescent="0.25">
      <c r="J3905"/>
      <c r="M3905"/>
      <c r="W3905"/>
    </row>
    <row r="3906" spans="10:23" x14ac:dyDescent="0.25">
      <c r="J3906"/>
      <c r="M3906"/>
      <c r="W3906"/>
    </row>
    <row r="3907" spans="10:23" x14ac:dyDescent="0.25">
      <c r="J3907"/>
      <c r="M3907"/>
      <c r="W3907"/>
    </row>
    <row r="3908" spans="10:23" x14ac:dyDescent="0.25">
      <c r="J3908"/>
      <c r="M3908"/>
      <c r="W3908"/>
    </row>
    <row r="3909" spans="10:23" x14ac:dyDescent="0.25">
      <c r="J3909"/>
      <c r="M3909"/>
      <c r="W3909"/>
    </row>
    <row r="3910" spans="10:23" x14ac:dyDescent="0.25">
      <c r="J3910"/>
      <c r="M3910"/>
      <c r="W3910"/>
    </row>
    <row r="3911" spans="10:23" x14ac:dyDescent="0.25">
      <c r="J3911"/>
      <c r="M3911"/>
      <c r="W3911"/>
    </row>
    <row r="3912" spans="10:23" x14ac:dyDescent="0.25">
      <c r="J3912"/>
      <c r="M3912"/>
      <c r="W3912"/>
    </row>
    <row r="3913" spans="10:23" x14ac:dyDescent="0.25">
      <c r="J3913"/>
      <c r="M3913"/>
      <c r="W3913"/>
    </row>
    <row r="3914" spans="10:23" x14ac:dyDescent="0.25">
      <c r="J3914"/>
      <c r="M3914"/>
      <c r="W3914"/>
    </row>
    <row r="3915" spans="10:23" x14ac:dyDescent="0.25">
      <c r="J3915"/>
      <c r="M3915"/>
      <c r="W3915"/>
    </row>
    <row r="3916" spans="10:23" x14ac:dyDescent="0.25">
      <c r="J3916"/>
      <c r="M3916"/>
      <c r="W3916"/>
    </row>
    <row r="3917" spans="10:23" x14ac:dyDescent="0.25">
      <c r="J3917"/>
      <c r="M3917"/>
      <c r="W3917"/>
    </row>
    <row r="3918" spans="10:23" x14ac:dyDescent="0.25">
      <c r="J3918"/>
      <c r="M3918"/>
      <c r="W3918"/>
    </row>
    <row r="3919" spans="10:23" x14ac:dyDescent="0.25">
      <c r="J3919"/>
      <c r="M3919"/>
      <c r="W3919"/>
    </row>
    <row r="3920" spans="10:23" x14ac:dyDescent="0.25">
      <c r="J3920"/>
      <c r="M3920"/>
      <c r="W3920"/>
    </row>
    <row r="3921" spans="10:23" x14ac:dyDescent="0.25">
      <c r="J3921"/>
      <c r="M3921"/>
      <c r="W3921"/>
    </row>
    <row r="3922" spans="10:23" x14ac:dyDescent="0.25">
      <c r="J3922"/>
      <c r="M3922"/>
      <c r="W3922"/>
    </row>
    <row r="3923" spans="10:23" x14ac:dyDescent="0.25">
      <c r="J3923"/>
      <c r="M3923"/>
      <c r="W3923"/>
    </row>
    <row r="3924" spans="10:23" x14ac:dyDescent="0.25">
      <c r="J3924"/>
      <c r="M3924"/>
      <c r="W3924"/>
    </row>
    <row r="3925" spans="10:23" x14ac:dyDescent="0.25">
      <c r="J3925"/>
      <c r="M3925"/>
      <c r="W3925"/>
    </row>
    <row r="3926" spans="10:23" x14ac:dyDescent="0.25">
      <c r="J3926"/>
      <c r="M3926"/>
      <c r="W3926"/>
    </row>
    <row r="3927" spans="10:23" x14ac:dyDescent="0.25">
      <c r="J3927"/>
      <c r="M3927"/>
      <c r="W3927"/>
    </row>
    <row r="3928" spans="10:23" x14ac:dyDescent="0.25">
      <c r="J3928"/>
      <c r="M3928"/>
      <c r="W3928"/>
    </row>
    <row r="3929" spans="10:23" x14ac:dyDescent="0.25">
      <c r="J3929"/>
      <c r="M3929"/>
      <c r="W3929"/>
    </row>
    <row r="3930" spans="10:23" x14ac:dyDescent="0.25">
      <c r="J3930"/>
      <c r="M3930"/>
      <c r="W3930"/>
    </row>
    <row r="3931" spans="10:23" x14ac:dyDescent="0.25">
      <c r="J3931"/>
      <c r="M3931"/>
      <c r="W3931"/>
    </row>
    <row r="3932" spans="10:23" x14ac:dyDescent="0.25">
      <c r="J3932"/>
      <c r="M3932"/>
      <c r="W3932"/>
    </row>
    <row r="3933" spans="10:23" x14ac:dyDescent="0.25">
      <c r="J3933"/>
      <c r="M3933"/>
      <c r="W3933"/>
    </row>
    <row r="3934" spans="10:23" x14ac:dyDescent="0.25">
      <c r="J3934"/>
      <c r="M3934"/>
      <c r="W3934"/>
    </row>
    <row r="3935" spans="10:23" x14ac:dyDescent="0.25">
      <c r="J3935"/>
      <c r="M3935"/>
      <c r="W3935"/>
    </row>
    <row r="3936" spans="10:23" x14ac:dyDescent="0.25">
      <c r="J3936"/>
      <c r="M3936"/>
      <c r="W3936"/>
    </row>
    <row r="3937" spans="10:23" x14ac:dyDescent="0.25">
      <c r="J3937"/>
      <c r="M3937"/>
      <c r="W3937"/>
    </row>
    <row r="3938" spans="10:23" x14ac:dyDescent="0.25">
      <c r="J3938"/>
      <c r="M3938"/>
      <c r="W3938"/>
    </row>
    <row r="3939" spans="10:23" x14ac:dyDescent="0.25">
      <c r="J3939"/>
      <c r="M3939"/>
      <c r="W3939"/>
    </row>
    <row r="3940" spans="10:23" x14ac:dyDescent="0.25">
      <c r="J3940"/>
      <c r="M3940"/>
      <c r="W3940"/>
    </row>
    <row r="3941" spans="10:23" x14ac:dyDescent="0.25">
      <c r="J3941"/>
      <c r="M3941"/>
      <c r="W3941"/>
    </row>
    <row r="3942" spans="10:23" x14ac:dyDescent="0.25">
      <c r="J3942"/>
      <c r="M3942"/>
      <c r="W3942"/>
    </row>
    <row r="3943" spans="10:23" x14ac:dyDescent="0.25">
      <c r="J3943"/>
      <c r="M3943"/>
      <c r="W3943"/>
    </row>
    <row r="3944" spans="10:23" x14ac:dyDescent="0.25">
      <c r="J3944"/>
      <c r="M3944"/>
      <c r="W3944"/>
    </row>
    <row r="3945" spans="10:23" x14ac:dyDescent="0.25">
      <c r="J3945"/>
      <c r="M3945"/>
      <c r="W3945"/>
    </row>
    <row r="3946" spans="10:23" x14ac:dyDescent="0.25">
      <c r="J3946"/>
      <c r="M3946"/>
      <c r="W3946"/>
    </row>
    <row r="3947" spans="10:23" x14ac:dyDescent="0.25">
      <c r="J3947"/>
      <c r="M3947"/>
      <c r="W3947"/>
    </row>
    <row r="3948" spans="10:23" x14ac:dyDescent="0.25">
      <c r="J3948"/>
      <c r="M3948"/>
      <c r="W3948"/>
    </row>
    <row r="3949" spans="10:23" x14ac:dyDescent="0.25">
      <c r="J3949"/>
      <c r="M3949"/>
      <c r="W3949"/>
    </row>
    <row r="3950" spans="10:23" x14ac:dyDescent="0.25">
      <c r="J3950"/>
      <c r="M3950"/>
      <c r="W3950"/>
    </row>
    <row r="3951" spans="10:23" x14ac:dyDescent="0.25">
      <c r="J3951"/>
      <c r="M3951"/>
      <c r="W3951"/>
    </row>
    <row r="3952" spans="10:23" x14ac:dyDescent="0.25">
      <c r="J3952"/>
      <c r="M3952"/>
      <c r="W3952"/>
    </row>
    <row r="3953" spans="10:23" x14ac:dyDescent="0.25">
      <c r="J3953"/>
      <c r="M3953"/>
      <c r="W3953"/>
    </row>
    <row r="3954" spans="10:23" x14ac:dyDescent="0.25">
      <c r="J3954"/>
      <c r="M3954"/>
      <c r="W3954"/>
    </row>
    <row r="3955" spans="10:23" x14ac:dyDescent="0.25">
      <c r="J3955"/>
      <c r="M3955"/>
      <c r="W3955"/>
    </row>
    <row r="3956" spans="10:23" x14ac:dyDescent="0.25">
      <c r="J3956"/>
      <c r="M3956"/>
      <c r="W3956"/>
    </row>
    <row r="3957" spans="10:23" x14ac:dyDescent="0.25">
      <c r="J3957"/>
      <c r="M3957"/>
      <c r="W3957"/>
    </row>
    <row r="3958" spans="10:23" x14ac:dyDescent="0.25">
      <c r="J3958"/>
      <c r="M3958"/>
      <c r="W3958"/>
    </row>
    <row r="3959" spans="10:23" x14ac:dyDescent="0.25">
      <c r="J3959"/>
      <c r="M3959"/>
      <c r="W3959"/>
    </row>
    <row r="3960" spans="10:23" x14ac:dyDescent="0.25">
      <c r="J3960"/>
      <c r="M3960"/>
      <c r="W3960"/>
    </row>
    <row r="3961" spans="10:23" x14ac:dyDescent="0.25">
      <c r="J3961"/>
      <c r="M3961"/>
      <c r="W3961"/>
    </row>
    <row r="3962" spans="10:23" x14ac:dyDescent="0.25">
      <c r="J3962"/>
      <c r="M3962"/>
      <c r="W3962"/>
    </row>
    <row r="3963" spans="10:23" x14ac:dyDescent="0.25">
      <c r="J3963"/>
      <c r="M3963"/>
      <c r="W3963"/>
    </row>
    <row r="3964" spans="10:23" x14ac:dyDescent="0.25">
      <c r="J3964"/>
      <c r="M3964"/>
      <c r="W3964"/>
    </row>
    <row r="3965" spans="10:23" x14ac:dyDescent="0.25">
      <c r="J3965"/>
      <c r="M3965"/>
      <c r="W3965"/>
    </row>
    <row r="3966" spans="10:23" x14ac:dyDescent="0.25">
      <c r="J3966"/>
      <c r="M3966"/>
      <c r="W3966"/>
    </row>
    <row r="3967" spans="10:23" x14ac:dyDescent="0.25">
      <c r="J3967"/>
      <c r="M3967"/>
      <c r="W3967"/>
    </row>
    <row r="3968" spans="10:23" x14ac:dyDescent="0.25">
      <c r="J3968"/>
      <c r="M3968"/>
      <c r="W3968"/>
    </row>
    <row r="3969" spans="10:23" x14ac:dyDescent="0.25">
      <c r="J3969"/>
      <c r="M3969"/>
      <c r="W3969"/>
    </row>
    <row r="3970" spans="10:23" x14ac:dyDescent="0.25">
      <c r="J3970"/>
      <c r="M3970"/>
      <c r="W3970"/>
    </row>
    <row r="3971" spans="10:23" x14ac:dyDescent="0.25">
      <c r="J3971"/>
      <c r="M3971"/>
      <c r="W3971"/>
    </row>
    <row r="3972" spans="10:23" x14ac:dyDescent="0.25">
      <c r="J3972"/>
      <c r="M3972"/>
      <c r="W3972"/>
    </row>
    <row r="3973" spans="10:23" x14ac:dyDescent="0.25">
      <c r="J3973"/>
      <c r="M3973"/>
      <c r="W3973"/>
    </row>
    <row r="3974" spans="10:23" x14ac:dyDescent="0.25">
      <c r="J3974"/>
      <c r="M3974"/>
      <c r="W3974"/>
    </row>
    <row r="3975" spans="10:23" x14ac:dyDescent="0.25">
      <c r="J3975"/>
      <c r="M3975"/>
      <c r="W3975"/>
    </row>
    <row r="3976" spans="10:23" x14ac:dyDescent="0.25">
      <c r="J3976"/>
      <c r="M3976"/>
      <c r="W3976"/>
    </row>
    <row r="3977" spans="10:23" x14ac:dyDescent="0.25">
      <c r="J3977"/>
      <c r="M3977"/>
      <c r="W3977"/>
    </row>
    <row r="3978" spans="10:23" x14ac:dyDescent="0.25">
      <c r="J3978"/>
      <c r="M3978"/>
      <c r="W3978"/>
    </row>
    <row r="3979" spans="10:23" x14ac:dyDescent="0.25">
      <c r="J3979"/>
      <c r="M3979"/>
      <c r="W3979"/>
    </row>
    <row r="3980" spans="10:23" x14ac:dyDescent="0.25">
      <c r="J3980"/>
      <c r="M3980"/>
      <c r="W3980"/>
    </row>
    <row r="3981" spans="10:23" x14ac:dyDescent="0.25">
      <c r="J3981"/>
      <c r="M3981"/>
      <c r="W3981"/>
    </row>
    <row r="3982" spans="10:23" x14ac:dyDescent="0.25">
      <c r="J3982"/>
      <c r="M3982"/>
      <c r="W3982"/>
    </row>
    <row r="3983" spans="10:23" x14ac:dyDescent="0.25">
      <c r="J3983"/>
      <c r="M3983"/>
      <c r="W3983"/>
    </row>
    <row r="3984" spans="10:23" x14ac:dyDescent="0.25">
      <c r="J3984"/>
      <c r="M3984"/>
      <c r="W3984"/>
    </row>
    <row r="3985" spans="10:23" x14ac:dyDescent="0.25">
      <c r="J3985"/>
      <c r="M3985"/>
      <c r="W3985"/>
    </row>
    <row r="3986" spans="10:23" x14ac:dyDescent="0.25">
      <c r="J3986"/>
      <c r="M3986"/>
      <c r="W3986"/>
    </row>
    <row r="3987" spans="10:23" x14ac:dyDescent="0.25">
      <c r="J3987"/>
      <c r="M3987"/>
      <c r="W3987"/>
    </row>
    <row r="3988" spans="10:23" x14ac:dyDescent="0.25">
      <c r="J3988"/>
      <c r="M3988"/>
      <c r="W3988"/>
    </row>
    <row r="3989" spans="10:23" x14ac:dyDescent="0.25">
      <c r="J3989"/>
      <c r="M3989"/>
      <c r="W3989"/>
    </row>
    <row r="3990" spans="10:23" x14ac:dyDescent="0.25">
      <c r="J3990"/>
      <c r="M3990"/>
      <c r="W3990"/>
    </row>
    <row r="3991" spans="10:23" x14ac:dyDescent="0.25">
      <c r="J3991"/>
      <c r="M3991"/>
      <c r="W3991"/>
    </row>
    <row r="3992" spans="10:23" x14ac:dyDescent="0.25">
      <c r="J3992"/>
      <c r="M3992"/>
      <c r="W3992"/>
    </row>
    <row r="3993" spans="10:23" x14ac:dyDescent="0.25">
      <c r="J3993"/>
      <c r="M3993"/>
      <c r="W3993"/>
    </row>
    <row r="3994" spans="10:23" x14ac:dyDescent="0.25">
      <c r="J3994"/>
      <c r="M3994"/>
      <c r="W3994"/>
    </row>
    <row r="3995" spans="10:23" x14ac:dyDescent="0.25">
      <c r="J3995"/>
      <c r="M3995"/>
      <c r="W3995"/>
    </row>
    <row r="3996" spans="10:23" x14ac:dyDescent="0.25">
      <c r="J3996"/>
      <c r="M3996"/>
      <c r="W3996"/>
    </row>
    <row r="3997" spans="10:23" x14ac:dyDescent="0.25">
      <c r="J3997"/>
      <c r="M3997"/>
      <c r="W3997"/>
    </row>
    <row r="3998" spans="10:23" x14ac:dyDescent="0.25">
      <c r="J3998"/>
      <c r="M3998"/>
      <c r="W3998"/>
    </row>
    <row r="3999" spans="10:23" x14ac:dyDescent="0.25">
      <c r="J3999"/>
      <c r="M3999"/>
      <c r="W3999"/>
    </row>
    <row r="4000" spans="10:23" x14ac:dyDescent="0.25">
      <c r="J4000"/>
      <c r="M4000"/>
      <c r="W4000"/>
    </row>
    <row r="4001" spans="10:23" x14ac:dyDescent="0.25">
      <c r="J4001"/>
      <c r="M4001"/>
      <c r="W4001"/>
    </row>
    <row r="4002" spans="10:23" x14ac:dyDescent="0.25">
      <c r="J4002"/>
      <c r="M4002"/>
      <c r="W4002"/>
    </row>
    <row r="4003" spans="10:23" x14ac:dyDescent="0.25">
      <c r="J4003"/>
      <c r="M4003"/>
      <c r="W4003"/>
    </row>
    <row r="4004" spans="10:23" x14ac:dyDescent="0.25">
      <c r="J4004"/>
      <c r="M4004"/>
      <c r="W4004"/>
    </row>
    <row r="4005" spans="10:23" x14ac:dyDescent="0.25">
      <c r="J4005"/>
      <c r="M4005"/>
      <c r="W4005"/>
    </row>
    <row r="4006" spans="10:23" x14ac:dyDescent="0.25">
      <c r="J4006"/>
      <c r="M4006"/>
      <c r="W4006"/>
    </row>
    <row r="4007" spans="10:23" x14ac:dyDescent="0.25">
      <c r="J4007"/>
      <c r="M4007"/>
      <c r="W4007"/>
    </row>
    <row r="4008" spans="10:23" x14ac:dyDescent="0.25">
      <c r="J4008"/>
      <c r="M4008"/>
      <c r="W4008"/>
    </row>
    <row r="4009" spans="10:23" x14ac:dyDescent="0.25">
      <c r="J4009"/>
      <c r="M4009"/>
      <c r="W4009"/>
    </row>
    <row r="4010" spans="10:23" x14ac:dyDescent="0.25">
      <c r="J4010"/>
      <c r="M4010"/>
      <c r="W4010"/>
    </row>
    <row r="4011" spans="10:23" x14ac:dyDescent="0.25">
      <c r="J4011"/>
      <c r="M4011"/>
      <c r="W4011"/>
    </row>
    <row r="4012" spans="10:23" x14ac:dyDescent="0.25">
      <c r="J4012"/>
      <c r="M4012"/>
      <c r="W4012"/>
    </row>
    <row r="4013" spans="10:23" x14ac:dyDescent="0.25">
      <c r="J4013"/>
      <c r="M4013"/>
      <c r="W4013"/>
    </row>
    <row r="4014" spans="10:23" x14ac:dyDescent="0.25">
      <c r="J4014"/>
      <c r="M4014"/>
      <c r="W4014"/>
    </row>
    <row r="4015" spans="10:23" x14ac:dyDescent="0.25">
      <c r="J4015"/>
      <c r="M4015"/>
      <c r="W4015"/>
    </row>
    <row r="4016" spans="10:23" x14ac:dyDescent="0.25">
      <c r="J4016"/>
      <c r="M4016"/>
      <c r="W4016"/>
    </row>
    <row r="4017" spans="10:23" x14ac:dyDescent="0.25">
      <c r="J4017"/>
      <c r="M4017"/>
      <c r="W4017"/>
    </row>
    <row r="4018" spans="10:23" x14ac:dyDescent="0.25">
      <c r="J4018"/>
      <c r="M4018"/>
      <c r="W4018"/>
    </row>
    <row r="4019" spans="10:23" x14ac:dyDescent="0.25">
      <c r="J4019"/>
      <c r="M4019"/>
      <c r="W4019"/>
    </row>
    <row r="4020" spans="10:23" x14ac:dyDescent="0.25">
      <c r="J4020"/>
      <c r="M4020"/>
      <c r="W4020"/>
    </row>
    <row r="4021" spans="10:23" x14ac:dyDescent="0.25">
      <c r="J4021"/>
      <c r="M4021"/>
      <c r="W4021"/>
    </row>
    <row r="4022" spans="10:23" x14ac:dyDescent="0.25">
      <c r="J4022"/>
      <c r="M4022"/>
      <c r="W4022"/>
    </row>
    <row r="4023" spans="10:23" x14ac:dyDescent="0.25">
      <c r="J4023"/>
      <c r="M4023"/>
      <c r="W4023"/>
    </row>
    <row r="4024" spans="10:23" x14ac:dyDescent="0.25">
      <c r="J4024"/>
      <c r="M4024"/>
      <c r="W4024"/>
    </row>
    <row r="4025" spans="10:23" x14ac:dyDescent="0.25">
      <c r="J4025"/>
      <c r="M4025"/>
      <c r="W4025"/>
    </row>
    <row r="4026" spans="10:23" x14ac:dyDescent="0.25">
      <c r="J4026"/>
      <c r="M4026"/>
      <c r="W4026"/>
    </row>
    <row r="4027" spans="10:23" x14ac:dyDescent="0.25">
      <c r="J4027"/>
      <c r="M4027"/>
      <c r="W4027"/>
    </row>
    <row r="4028" spans="10:23" x14ac:dyDescent="0.25">
      <c r="J4028"/>
      <c r="M4028"/>
      <c r="W4028"/>
    </row>
    <row r="4029" spans="10:23" x14ac:dyDescent="0.25">
      <c r="J4029"/>
      <c r="M4029"/>
      <c r="W4029"/>
    </row>
    <row r="4030" spans="10:23" x14ac:dyDescent="0.25">
      <c r="J4030"/>
      <c r="M4030"/>
      <c r="W4030"/>
    </row>
    <row r="4031" spans="10:23" x14ac:dyDescent="0.25">
      <c r="J4031"/>
      <c r="M4031"/>
      <c r="W4031"/>
    </row>
    <row r="4032" spans="10:23" x14ac:dyDescent="0.25">
      <c r="J4032"/>
      <c r="M4032"/>
      <c r="W4032"/>
    </row>
    <row r="4033" spans="10:23" x14ac:dyDescent="0.25">
      <c r="J4033"/>
      <c r="M4033"/>
      <c r="W4033"/>
    </row>
    <row r="4034" spans="10:23" x14ac:dyDescent="0.25">
      <c r="J4034"/>
      <c r="M4034"/>
      <c r="W4034"/>
    </row>
    <row r="4035" spans="10:23" x14ac:dyDescent="0.25">
      <c r="J4035"/>
      <c r="M4035"/>
      <c r="W4035"/>
    </row>
    <row r="4036" spans="10:23" x14ac:dyDescent="0.25">
      <c r="J4036"/>
      <c r="M4036"/>
      <c r="W4036"/>
    </row>
    <row r="4037" spans="10:23" x14ac:dyDescent="0.25">
      <c r="J4037"/>
      <c r="M4037"/>
      <c r="W4037"/>
    </row>
    <row r="4038" spans="10:23" x14ac:dyDescent="0.25">
      <c r="J4038"/>
      <c r="M4038"/>
      <c r="W4038"/>
    </row>
    <row r="4039" spans="10:23" x14ac:dyDescent="0.25">
      <c r="J4039"/>
      <c r="M4039"/>
      <c r="W4039"/>
    </row>
    <row r="4040" spans="10:23" x14ac:dyDescent="0.25">
      <c r="J4040"/>
      <c r="M4040"/>
      <c r="W4040"/>
    </row>
    <row r="4041" spans="10:23" x14ac:dyDescent="0.25">
      <c r="J4041"/>
      <c r="M4041"/>
      <c r="W4041"/>
    </row>
    <row r="4042" spans="10:23" x14ac:dyDescent="0.25">
      <c r="J4042"/>
      <c r="M4042"/>
      <c r="W4042"/>
    </row>
    <row r="4043" spans="10:23" x14ac:dyDescent="0.25">
      <c r="J4043"/>
      <c r="M4043"/>
      <c r="W4043"/>
    </row>
    <row r="4044" spans="10:23" x14ac:dyDescent="0.25">
      <c r="J4044"/>
      <c r="M4044"/>
      <c r="W4044"/>
    </row>
    <row r="4045" spans="10:23" x14ac:dyDescent="0.25">
      <c r="J4045"/>
      <c r="M4045"/>
      <c r="W4045"/>
    </row>
    <row r="4046" spans="10:23" x14ac:dyDescent="0.25">
      <c r="J4046"/>
      <c r="M4046"/>
      <c r="W4046"/>
    </row>
    <row r="4047" spans="10:23" x14ac:dyDescent="0.25">
      <c r="J4047"/>
      <c r="M4047"/>
      <c r="W4047"/>
    </row>
    <row r="4048" spans="10:23" x14ac:dyDescent="0.25">
      <c r="J4048"/>
      <c r="M4048"/>
      <c r="W4048"/>
    </row>
    <row r="4049" spans="10:23" x14ac:dyDescent="0.25">
      <c r="J4049"/>
      <c r="M4049"/>
      <c r="W4049"/>
    </row>
    <row r="4050" spans="10:23" x14ac:dyDescent="0.25">
      <c r="J4050"/>
      <c r="M4050"/>
      <c r="W4050"/>
    </row>
    <row r="4051" spans="10:23" x14ac:dyDescent="0.25">
      <c r="J4051"/>
      <c r="M4051"/>
      <c r="W4051"/>
    </row>
    <row r="4052" spans="10:23" x14ac:dyDescent="0.25">
      <c r="J4052"/>
      <c r="M4052"/>
      <c r="W4052"/>
    </row>
    <row r="4053" spans="10:23" x14ac:dyDescent="0.25">
      <c r="J4053"/>
      <c r="M4053"/>
      <c r="W4053"/>
    </row>
    <row r="4054" spans="10:23" x14ac:dyDescent="0.25">
      <c r="J4054"/>
      <c r="M4054"/>
      <c r="W4054"/>
    </row>
    <row r="4055" spans="10:23" x14ac:dyDescent="0.25">
      <c r="J4055"/>
      <c r="M4055"/>
      <c r="W4055"/>
    </row>
    <row r="4056" spans="10:23" x14ac:dyDescent="0.25">
      <c r="J4056"/>
      <c r="M4056"/>
      <c r="W4056"/>
    </row>
    <row r="4057" spans="10:23" x14ac:dyDescent="0.25">
      <c r="J4057"/>
      <c r="M4057"/>
      <c r="W4057"/>
    </row>
    <row r="4058" spans="10:23" x14ac:dyDescent="0.25">
      <c r="J4058"/>
      <c r="M4058"/>
      <c r="W4058"/>
    </row>
    <row r="4059" spans="10:23" x14ac:dyDescent="0.25">
      <c r="J4059"/>
      <c r="M4059"/>
      <c r="W4059"/>
    </row>
    <row r="4060" spans="10:23" x14ac:dyDescent="0.25">
      <c r="J4060"/>
      <c r="M4060"/>
      <c r="W4060"/>
    </row>
    <row r="4061" spans="10:23" x14ac:dyDescent="0.25">
      <c r="J4061"/>
      <c r="M4061"/>
      <c r="W4061"/>
    </row>
    <row r="4062" spans="10:23" x14ac:dyDescent="0.25">
      <c r="J4062"/>
      <c r="M4062"/>
      <c r="W4062"/>
    </row>
    <row r="4063" spans="10:23" x14ac:dyDescent="0.25">
      <c r="J4063"/>
      <c r="M4063"/>
      <c r="W4063"/>
    </row>
    <row r="4064" spans="10:23" x14ac:dyDescent="0.25">
      <c r="J4064"/>
      <c r="M4064"/>
      <c r="W4064"/>
    </row>
    <row r="4065" spans="10:23" x14ac:dyDescent="0.25">
      <c r="J4065"/>
      <c r="M4065"/>
      <c r="W4065"/>
    </row>
    <row r="4066" spans="10:23" x14ac:dyDescent="0.25">
      <c r="J4066"/>
      <c r="M4066"/>
      <c r="W4066"/>
    </row>
    <row r="4067" spans="10:23" x14ac:dyDescent="0.25">
      <c r="J4067"/>
      <c r="M4067"/>
      <c r="W4067"/>
    </row>
    <row r="4068" spans="10:23" x14ac:dyDescent="0.25">
      <c r="J4068"/>
      <c r="M4068"/>
      <c r="W4068"/>
    </row>
    <row r="4069" spans="10:23" x14ac:dyDescent="0.25">
      <c r="J4069"/>
      <c r="M4069"/>
      <c r="W4069"/>
    </row>
    <row r="4070" spans="10:23" x14ac:dyDescent="0.25">
      <c r="J4070"/>
      <c r="M4070"/>
      <c r="W4070"/>
    </row>
    <row r="4071" spans="10:23" x14ac:dyDescent="0.25">
      <c r="J4071"/>
      <c r="M4071"/>
      <c r="W4071"/>
    </row>
    <row r="4072" spans="10:23" x14ac:dyDescent="0.25">
      <c r="J4072"/>
      <c r="M4072"/>
      <c r="W4072"/>
    </row>
    <row r="4073" spans="10:23" x14ac:dyDescent="0.25">
      <c r="J4073"/>
      <c r="M4073"/>
      <c r="W4073"/>
    </row>
    <row r="4074" spans="10:23" x14ac:dyDescent="0.25">
      <c r="J4074"/>
      <c r="M4074"/>
      <c r="W4074"/>
    </row>
    <row r="4075" spans="10:23" x14ac:dyDescent="0.25">
      <c r="J4075"/>
      <c r="M4075"/>
      <c r="W4075"/>
    </row>
    <row r="4076" spans="10:23" x14ac:dyDescent="0.25">
      <c r="J4076"/>
      <c r="M4076"/>
      <c r="W4076"/>
    </row>
    <row r="4077" spans="10:23" x14ac:dyDescent="0.25">
      <c r="J4077"/>
      <c r="M4077"/>
      <c r="W4077"/>
    </row>
    <row r="4078" spans="10:23" x14ac:dyDescent="0.25">
      <c r="J4078"/>
      <c r="M4078"/>
      <c r="W4078"/>
    </row>
    <row r="4079" spans="10:23" x14ac:dyDescent="0.25">
      <c r="J4079"/>
      <c r="M4079"/>
      <c r="W4079"/>
    </row>
    <row r="4080" spans="10:23" x14ac:dyDescent="0.25">
      <c r="J4080"/>
      <c r="M4080"/>
      <c r="W4080"/>
    </row>
    <row r="4081" spans="10:23" x14ac:dyDescent="0.25">
      <c r="J4081"/>
      <c r="M4081"/>
      <c r="W4081"/>
    </row>
    <row r="4082" spans="10:23" x14ac:dyDescent="0.25">
      <c r="J4082"/>
      <c r="M4082"/>
      <c r="W4082"/>
    </row>
    <row r="4083" spans="10:23" x14ac:dyDescent="0.25">
      <c r="J4083"/>
      <c r="M4083"/>
      <c r="W4083"/>
    </row>
    <row r="4084" spans="10:23" x14ac:dyDescent="0.25">
      <c r="J4084"/>
      <c r="M4084"/>
      <c r="W4084"/>
    </row>
    <row r="4085" spans="10:23" x14ac:dyDescent="0.25">
      <c r="J4085"/>
      <c r="M4085"/>
      <c r="W4085"/>
    </row>
    <row r="4086" spans="10:23" x14ac:dyDescent="0.25">
      <c r="J4086"/>
      <c r="M4086"/>
      <c r="W4086"/>
    </row>
    <row r="4087" spans="10:23" x14ac:dyDescent="0.25">
      <c r="J4087"/>
      <c r="M4087"/>
      <c r="W4087"/>
    </row>
    <row r="4088" spans="10:23" x14ac:dyDescent="0.25">
      <c r="J4088"/>
      <c r="M4088"/>
      <c r="W4088"/>
    </row>
    <row r="4089" spans="10:23" x14ac:dyDescent="0.25">
      <c r="J4089"/>
      <c r="M4089"/>
      <c r="W4089"/>
    </row>
    <row r="4090" spans="10:23" x14ac:dyDescent="0.25">
      <c r="J4090"/>
      <c r="M4090"/>
      <c r="W4090"/>
    </row>
    <row r="4091" spans="10:23" x14ac:dyDescent="0.25">
      <c r="J4091"/>
      <c r="M4091"/>
      <c r="W4091"/>
    </row>
    <row r="4092" spans="10:23" x14ac:dyDescent="0.25">
      <c r="J4092"/>
      <c r="M4092"/>
      <c r="W4092"/>
    </row>
    <row r="4093" spans="10:23" x14ac:dyDescent="0.25">
      <c r="J4093"/>
      <c r="M4093"/>
      <c r="W4093"/>
    </row>
    <row r="4094" spans="10:23" x14ac:dyDescent="0.25">
      <c r="J4094"/>
      <c r="M4094"/>
      <c r="W4094"/>
    </row>
    <row r="4095" spans="10:23" x14ac:dyDescent="0.25">
      <c r="J4095"/>
      <c r="M4095"/>
      <c r="W4095"/>
    </row>
    <row r="4096" spans="10:23" x14ac:dyDescent="0.25">
      <c r="J4096"/>
      <c r="M4096"/>
      <c r="W4096"/>
    </row>
    <row r="4097" spans="10:23" x14ac:dyDescent="0.25">
      <c r="J4097"/>
      <c r="M4097"/>
      <c r="W4097"/>
    </row>
    <row r="4098" spans="10:23" x14ac:dyDescent="0.25">
      <c r="J4098"/>
      <c r="M4098"/>
      <c r="W4098"/>
    </row>
    <row r="4099" spans="10:23" x14ac:dyDescent="0.25">
      <c r="J4099"/>
      <c r="M4099"/>
      <c r="W4099"/>
    </row>
    <row r="4100" spans="10:23" x14ac:dyDescent="0.25">
      <c r="J4100"/>
      <c r="M4100"/>
      <c r="W4100"/>
    </row>
    <row r="4101" spans="10:23" x14ac:dyDescent="0.25">
      <c r="J4101"/>
      <c r="M4101"/>
      <c r="W4101"/>
    </row>
    <row r="4102" spans="10:23" x14ac:dyDescent="0.25">
      <c r="J4102"/>
      <c r="M4102"/>
      <c r="W4102"/>
    </row>
    <row r="4103" spans="10:23" x14ac:dyDescent="0.25">
      <c r="J4103"/>
      <c r="M4103"/>
      <c r="W4103"/>
    </row>
    <row r="4104" spans="10:23" x14ac:dyDescent="0.25">
      <c r="J4104"/>
      <c r="M4104"/>
      <c r="W4104"/>
    </row>
    <row r="4105" spans="10:23" x14ac:dyDescent="0.25">
      <c r="J4105"/>
      <c r="M4105"/>
      <c r="W4105"/>
    </row>
    <row r="4106" spans="10:23" x14ac:dyDescent="0.25">
      <c r="J4106"/>
      <c r="M4106"/>
      <c r="W4106"/>
    </row>
    <row r="4107" spans="10:23" x14ac:dyDescent="0.25">
      <c r="J4107"/>
      <c r="M4107"/>
      <c r="W4107"/>
    </row>
    <row r="4108" spans="10:23" x14ac:dyDescent="0.25">
      <c r="J4108"/>
      <c r="M4108"/>
      <c r="W4108"/>
    </row>
    <row r="4109" spans="10:23" x14ac:dyDescent="0.25">
      <c r="J4109"/>
      <c r="M4109"/>
      <c r="W4109"/>
    </row>
    <row r="4110" spans="10:23" x14ac:dyDescent="0.25">
      <c r="J4110"/>
      <c r="M4110"/>
      <c r="W4110"/>
    </row>
    <row r="4111" spans="10:23" x14ac:dyDescent="0.25">
      <c r="J4111"/>
      <c r="M4111"/>
      <c r="W4111"/>
    </row>
    <row r="4112" spans="10:23" x14ac:dyDescent="0.25">
      <c r="J4112"/>
      <c r="M4112"/>
      <c r="W4112"/>
    </row>
    <row r="4113" spans="10:23" x14ac:dyDescent="0.25">
      <c r="J4113"/>
      <c r="M4113"/>
      <c r="W4113"/>
    </row>
    <row r="4114" spans="10:23" x14ac:dyDescent="0.25">
      <c r="J4114"/>
      <c r="M4114"/>
      <c r="W4114"/>
    </row>
    <row r="4115" spans="10:23" x14ac:dyDescent="0.25">
      <c r="J4115"/>
      <c r="M4115"/>
      <c r="W4115"/>
    </row>
    <row r="4116" spans="10:23" x14ac:dyDescent="0.25">
      <c r="J4116"/>
      <c r="M4116"/>
      <c r="W4116"/>
    </row>
    <row r="4117" spans="10:23" x14ac:dyDescent="0.25">
      <c r="J4117"/>
      <c r="M4117"/>
      <c r="W4117"/>
    </row>
    <row r="4118" spans="10:23" x14ac:dyDescent="0.25">
      <c r="J4118"/>
      <c r="M4118"/>
      <c r="W4118"/>
    </row>
    <row r="4119" spans="10:23" x14ac:dyDescent="0.25">
      <c r="J4119"/>
      <c r="M4119"/>
      <c r="W4119"/>
    </row>
    <row r="4120" spans="10:23" x14ac:dyDescent="0.25">
      <c r="J4120"/>
      <c r="M4120"/>
      <c r="W4120"/>
    </row>
    <row r="4121" spans="10:23" x14ac:dyDescent="0.25">
      <c r="J4121"/>
      <c r="M4121"/>
      <c r="W4121"/>
    </row>
    <row r="4122" spans="10:23" x14ac:dyDescent="0.25">
      <c r="J4122"/>
      <c r="M4122"/>
      <c r="W4122"/>
    </row>
    <row r="4123" spans="10:23" x14ac:dyDescent="0.25">
      <c r="J4123"/>
      <c r="M4123"/>
      <c r="W4123"/>
    </row>
    <row r="4124" spans="10:23" x14ac:dyDescent="0.25">
      <c r="J4124"/>
      <c r="M4124"/>
      <c r="W4124"/>
    </row>
    <row r="4125" spans="10:23" x14ac:dyDescent="0.25">
      <c r="J4125"/>
      <c r="M4125"/>
      <c r="W4125"/>
    </row>
    <row r="4126" spans="10:23" x14ac:dyDescent="0.25">
      <c r="J4126"/>
      <c r="M4126"/>
      <c r="W4126"/>
    </row>
    <row r="4127" spans="10:23" x14ac:dyDescent="0.25">
      <c r="J4127"/>
      <c r="M4127"/>
      <c r="W4127"/>
    </row>
    <row r="4128" spans="10:23" x14ac:dyDescent="0.25">
      <c r="J4128"/>
      <c r="M4128"/>
      <c r="W4128"/>
    </row>
    <row r="4129" spans="10:23" x14ac:dyDescent="0.25">
      <c r="J4129"/>
      <c r="M4129"/>
      <c r="W4129"/>
    </row>
    <row r="4130" spans="10:23" x14ac:dyDescent="0.25">
      <c r="J4130"/>
      <c r="M4130"/>
      <c r="W4130"/>
    </row>
    <row r="4131" spans="10:23" x14ac:dyDescent="0.25">
      <c r="J4131"/>
      <c r="M4131"/>
      <c r="W4131"/>
    </row>
    <row r="4132" spans="10:23" x14ac:dyDescent="0.25">
      <c r="J4132"/>
      <c r="M4132"/>
      <c r="W4132"/>
    </row>
    <row r="4133" spans="10:23" x14ac:dyDescent="0.25">
      <c r="J4133"/>
      <c r="M4133"/>
      <c r="W4133"/>
    </row>
    <row r="4134" spans="10:23" x14ac:dyDescent="0.25">
      <c r="J4134"/>
      <c r="M4134"/>
      <c r="W4134"/>
    </row>
    <row r="4135" spans="10:23" x14ac:dyDescent="0.25">
      <c r="J4135"/>
      <c r="M4135"/>
      <c r="W4135"/>
    </row>
    <row r="4136" spans="10:23" x14ac:dyDescent="0.25">
      <c r="J4136"/>
      <c r="M4136"/>
      <c r="W4136"/>
    </row>
    <row r="4137" spans="10:23" x14ac:dyDescent="0.25">
      <c r="J4137"/>
      <c r="M4137"/>
      <c r="W4137"/>
    </row>
    <row r="4138" spans="10:23" x14ac:dyDescent="0.25">
      <c r="J4138"/>
      <c r="M4138"/>
      <c r="W4138"/>
    </row>
    <row r="4139" spans="10:23" x14ac:dyDescent="0.25">
      <c r="J4139"/>
      <c r="M4139"/>
      <c r="W4139"/>
    </row>
    <row r="4140" spans="10:23" x14ac:dyDescent="0.25">
      <c r="J4140"/>
      <c r="M4140"/>
      <c r="W4140"/>
    </row>
    <row r="4141" spans="10:23" x14ac:dyDescent="0.25">
      <c r="J4141"/>
      <c r="M4141"/>
      <c r="W4141"/>
    </row>
    <row r="4142" spans="10:23" x14ac:dyDescent="0.25">
      <c r="J4142"/>
      <c r="M4142"/>
      <c r="W4142"/>
    </row>
    <row r="4143" spans="10:23" x14ac:dyDescent="0.25">
      <c r="J4143"/>
      <c r="M4143"/>
      <c r="W4143"/>
    </row>
    <row r="4144" spans="10:23" x14ac:dyDescent="0.25">
      <c r="J4144"/>
      <c r="M4144"/>
      <c r="W4144"/>
    </row>
    <row r="4145" spans="10:23" x14ac:dyDescent="0.25">
      <c r="J4145"/>
      <c r="M4145"/>
      <c r="W4145"/>
    </row>
    <row r="4146" spans="10:23" x14ac:dyDescent="0.25">
      <c r="J4146"/>
      <c r="M4146"/>
      <c r="W4146"/>
    </row>
    <row r="4147" spans="10:23" x14ac:dyDescent="0.25">
      <c r="J4147"/>
      <c r="M4147"/>
      <c r="W4147"/>
    </row>
    <row r="4148" spans="10:23" x14ac:dyDescent="0.25">
      <c r="J4148"/>
      <c r="M4148"/>
      <c r="W4148"/>
    </row>
    <row r="4149" spans="10:23" x14ac:dyDescent="0.25">
      <c r="J4149"/>
      <c r="M4149"/>
      <c r="W4149"/>
    </row>
    <row r="4150" spans="10:23" x14ac:dyDescent="0.25">
      <c r="J4150"/>
      <c r="M4150"/>
      <c r="W4150"/>
    </row>
    <row r="4151" spans="10:23" x14ac:dyDescent="0.25">
      <c r="J4151"/>
      <c r="M4151"/>
      <c r="W4151"/>
    </row>
    <row r="4152" spans="10:23" x14ac:dyDescent="0.25">
      <c r="J4152"/>
      <c r="M4152"/>
      <c r="W4152"/>
    </row>
    <row r="4153" spans="10:23" x14ac:dyDescent="0.25">
      <c r="J4153"/>
      <c r="M4153"/>
      <c r="W4153"/>
    </row>
    <row r="4154" spans="10:23" x14ac:dyDescent="0.25">
      <c r="J4154"/>
      <c r="M4154"/>
      <c r="W4154"/>
    </row>
    <row r="4155" spans="10:23" x14ac:dyDescent="0.25">
      <c r="J4155"/>
      <c r="M4155"/>
      <c r="W4155"/>
    </row>
    <row r="4156" spans="10:23" x14ac:dyDescent="0.25">
      <c r="J4156"/>
      <c r="M4156"/>
      <c r="W4156"/>
    </row>
    <row r="4157" spans="10:23" x14ac:dyDescent="0.25">
      <c r="J4157"/>
      <c r="M4157"/>
      <c r="W4157"/>
    </row>
    <row r="4158" spans="10:23" x14ac:dyDescent="0.25">
      <c r="J4158"/>
      <c r="M4158"/>
      <c r="W4158"/>
    </row>
    <row r="4159" spans="10:23" x14ac:dyDescent="0.25">
      <c r="J4159"/>
      <c r="M4159"/>
      <c r="W4159"/>
    </row>
    <row r="4160" spans="10:23" x14ac:dyDescent="0.25">
      <c r="J4160"/>
      <c r="M4160"/>
      <c r="W4160"/>
    </row>
    <row r="4161" spans="10:23" x14ac:dyDescent="0.25">
      <c r="J4161"/>
      <c r="M4161"/>
      <c r="W4161"/>
    </row>
    <row r="4162" spans="10:23" x14ac:dyDescent="0.25">
      <c r="J4162"/>
      <c r="M4162"/>
      <c r="W4162"/>
    </row>
    <row r="4163" spans="10:23" x14ac:dyDescent="0.25">
      <c r="J4163"/>
      <c r="M4163"/>
      <c r="W4163"/>
    </row>
    <row r="4164" spans="10:23" x14ac:dyDescent="0.25">
      <c r="J4164"/>
      <c r="M4164"/>
      <c r="W4164"/>
    </row>
    <row r="4165" spans="10:23" x14ac:dyDescent="0.25">
      <c r="J4165"/>
      <c r="M4165"/>
      <c r="W4165"/>
    </row>
    <row r="4166" spans="10:23" x14ac:dyDescent="0.25">
      <c r="J4166"/>
      <c r="M4166"/>
      <c r="W4166"/>
    </row>
    <row r="4167" spans="10:23" x14ac:dyDescent="0.25">
      <c r="J4167"/>
      <c r="M4167"/>
      <c r="W4167"/>
    </row>
    <row r="4168" spans="10:23" x14ac:dyDescent="0.25">
      <c r="J4168"/>
      <c r="M4168"/>
      <c r="W4168"/>
    </row>
    <row r="4169" spans="10:23" x14ac:dyDescent="0.25">
      <c r="J4169"/>
      <c r="M4169"/>
      <c r="W4169"/>
    </row>
    <row r="4170" spans="10:23" x14ac:dyDescent="0.25">
      <c r="J4170"/>
      <c r="M4170"/>
      <c r="W4170"/>
    </row>
    <row r="4171" spans="10:23" x14ac:dyDescent="0.25">
      <c r="J4171"/>
      <c r="M4171"/>
      <c r="W4171"/>
    </row>
    <row r="4172" spans="10:23" x14ac:dyDescent="0.25">
      <c r="J4172"/>
      <c r="M4172"/>
      <c r="W4172"/>
    </row>
    <row r="4173" spans="10:23" x14ac:dyDescent="0.25">
      <c r="J4173"/>
      <c r="M4173"/>
      <c r="W4173"/>
    </row>
    <row r="4174" spans="10:23" x14ac:dyDescent="0.25">
      <c r="J4174"/>
      <c r="M4174"/>
      <c r="W4174"/>
    </row>
    <row r="4175" spans="10:23" x14ac:dyDescent="0.25">
      <c r="J4175"/>
      <c r="M4175"/>
      <c r="W4175"/>
    </row>
    <row r="4176" spans="10:23" x14ac:dyDescent="0.25">
      <c r="J4176"/>
      <c r="M4176"/>
      <c r="W4176"/>
    </row>
    <row r="4177" spans="10:23" x14ac:dyDescent="0.25">
      <c r="J4177"/>
      <c r="M4177"/>
      <c r="W4177"/>
    </row>
    <row r="4178" spans="10:23" x14ac:dyDescent="0.25">
      <c r="J4178"/>
      <c r="M4178"/>
      <c r="W4178"/>
    </row>
    <row r="4179" spans="10:23" x14ac:dyDescent="0.25">
      <c r="J4179"/>
      <c r="M4179"/>
      <c r="W4179"/>
    </row>
    <row r="4180" spans="10:23" x14ac:dyDescent="0.25">
      <c r="J4180"/>
      <c r="M4180"/>
      <c r="W4180"/>
    </row>
    <row r="4181" spans="10:23" x14ac:dyDescent="0.25">
      <c r="J4181"/>
      <c r="M4181"/>
      <c r="W4181"/>
    </row>
    <row r="4182" spans="10:23" x14ac:dyDescent="0.25">
      <c r="J4182"/>
      <c r="M4182"/>
      <c r="W4182"/>
    </row>
    <row r="4183" spans="10:23" x14ac:dyDescent="0.25">
      <c r="J4183"/>
      <c r="M4183"/>
      <c r="W4183"/>
    </row>
    <row r="4184" spans="10:23" x14ac:dyDescent="0.25">
      <c r="J4184"/>
      <c r="M4184"/>
      <c r="W4184"/>
    </row>
    <row r="4185" spans="10:23" x14ac:dyDescent="0.25">
      <c r="J4185"/>
      <c r="M4185"/>
      <c r="W4185"/>
    </row>
    <row r="4186" spans="10:23" x14ac:dyDescent="0.25">
      <c r="J4186"/>
      <c r="M4186"/>
      <c r="W4186"/>
    </row>
    <row r="4187" spans="10:23" x14ac:dyDescent="0.25">
      <c r="J4187"/>
      <c r="M4187"/>
      <c r="W4187"/>
    </row>
    <row r="4188" spans="10:23" x14ac:dyDescent="0.25">
      <c r="J4188"/>
      <c r="M4188"/>
      <c r="W4188"/>
    </row>
    <row r="4189" spans="10:23" x14ac:dyDescent="0.25">
      <c r="J4189"/>
      <c r="M4189"/>
      <c r="W4189"/>
    </row>
    <row r="4190" spans="10:23" x14ac:dyDescent="0.25">
      <c r="J4190"/>
      <c r="M4190"/>
      <c r="W4190"/>
    </row>
    <row r="4191" spans="10:23" x14ac:dyDescent="0.25">
      <c r="J4191"/>
      <c r="M4191"/>
      <c r="W4191"/>
    </row>
    <row r="4192" spans="10:23" x14ac:dyDescent="0.25">
      <c r="J4192"/>
      <c r="M4192"/>
      <c r="W4192"/>
    </row>
    <row r="4193" spans="10:23" x14ac:dyDescent="0.25">
      <c r="J4193"/>
      <c r="M4193"/>
      <c r="W4193"/>
    </row>
    <row r="4194" spans="10:23" x14ac:dyDescent="0.25">
      <c r="J4194"/>
      <c r="M4194"/>
      <c r="W4194"/>
    </row>
    <row r="4195" spans="10:23" x14ac:dyDescent="0.25">
      <c r="J4195"/>
      <c r="M4195"/>
      <c r="W4195"/>
    </row>
    <row r="4196" spans="10:23" x14ac:dyDescent="0.25">
      <c r="J4196"/>
      <c r="M4196"/>
      <c r="W4196"/>
    </row>
    <row r="4197" spans="10:23" x14ac:dyDescent="0.25">
      <c r="J4197"/>
      <c r="M4197"/>
      <c r="W4197"/>
    </row>
    <row r="4198" spans="10:23" x14ac:dyDescent="0.25">
      <c r="J4198"/>
      <c r="M4198"/>
      <c r="W4198"/>
    </row>
    <row r="4199" spans="10:23" x14ac:dyDescent="0.25">
      <c r="J4199"/>
      <c r="M4199"/>
      <c r="W4199"/>
    </row>
    <row r="4200" spans="10:23" x14ac:dyDescent="0.25">
      <c r="J4200"/>
      <c r="M4200"/>
      <c r="W4200"/>
    </row>
    <row r="4201" spans="10:23" x14ac:dyDescent="0.25">
      <c r="J4201"/>
      <c r="M4201"/>
      <c r="W4201"/>
    </row>
    <row r="4202" spans="10:23" x14ac:dyDescent="0.25">
      <c r="J4202"/>
      <c r="M4202"/>
      <c r="W4202"/>
    </row>
    <row r="4203" spans="10:23" x14ac:dyDescent="0.25">
      <c r="J4203"/>
      <c r="M4203"/>
      <c r="W4203"/>
    </row>
    <row r="4204" spans="10:23" x14ac:dyDescent="0.25">
      <c r="J4204"/>
      <c r="M4204"/>
      <c r="W4204"/>
    </row>
    <row r="4205" spans="10:23" x14ac:dyDescent="0.25">
      <c r="J4205"/>
      <c r="M4205"/>
      <c r="W4205"/>
    </row>
    <row r="4206" spans="10:23" x14ac:dyDescent="0.25">
      <c r="J4206"/>
      <c r="M4206"/>
      <c r="W4206"/>
    </row>
    <row r="4207" spans="10:23" x14ac:dyDescent="0.25">
      <c r="J4207"/>
      <c r="M4207"/>
      <c r="W4207"/>
    </row>
    <row r="4208" spans="10:23" x14ac:dyDescent="0.25">
      <c r="J4208"/>
      <c r="M4208"/>
      <c r="W4208"/>
    </row>
    <row r="4209" spans="10:23" x14ac:dyDescent="0.25">
      <c r="J4209"/>
      <c r="M4209"/>
      <c r="W4209"/>
    </row>
    <row r="4210" spans="10:23" x14ac:dyDescent="0.25">
      <c r="J4210"/>
      <c r="M4210"/>
      <c r="W4210"/>
    </row>
    <row r="4211" spans="10:23" x14ac:dyDescent="0.25">
      <c r="J4211"/>
      <c r="M4211"/>
      <c r="W4211"/>
    </row>
    <row r="4212" spans="10:23" x14ac:dyDescent="0.25">
      <c r="J4212"/>
      <c r="M4212"/>
      <c r="W4212"/>
    </row>
    <row r="4213" spans="10:23" x14ac:dyDescent="0.25">
      <c r="J4213"/>
      <c r="M4213"/>
      <c r="W4213"/>
    </row>
    <row r="4214" spans="10:23" x14ac:dyDescent="0.25">
      <c r="J4214"/>
      <c r="M4214"/>
      <c r="W4214"/>
    </row>
    <row r="4215" spans="10:23" x14ac:dyDescent="0.25">
      <c r="J4215"/>
      <c r="M4215"/>
      <c r="W4215"/>
    </row>
    <row r="4216" spans="10:23" x14ac:dyDescent="0.25">
      <c r="J4216"/>
      <c r="M4216"/>
      <c r="W4216"/>
    </row>
    <row r="4217" spans="10:23" x14ac:dyDescent="0.25">
      <c r="J4217"/>
      <c r="M4217"/>
      <c r="W4217"/>
    </row>
    <row r="4218" spans="10:23" x14ac:dyDescent="0.25">
      <c r="J4218"/>
      <c r="M4218"/>
      <c r="W4218"/>
    </row>
    <row r="4219" spans="10:23" x14ac:dyDescent="0.25">
      <c r="J4219"/>
      <c r="M4219"/>
      <c r="W4219"/>
    </row>
    <row r="4220" spans="10:23" x14ac:dyDescent="0.25">
      <c r="J4220"/>
      <c r="M4220"/>
      <c r="W4220"/>
    </row>
    <row r="4221" spans="10:23" x14ac:dyDescent="0.25">
      <c r="J4221"/>
      <c r="M4221"/>
      <c r="W4221"/>
    </row>
    <row r="4222" spans="10:23" x14ac:dyDescent="0.25">
      <c r="J4222"/>
      <c r="M4222"/>
      <c r="W4222"/>
    </row>
    <row r="4223" spans="10:23" x14ac:dyDescent="0.25">
      <c r="J4223"/>
      <c r="M4223"/>
      <c r="W4223"/>
    </row>
    <row r="4224" spans="10:23" x14ac:dyDescent="0.25">
      <c r="J4224"/>
      <c r="M4224"/>
      <c r="W4224"/>
    </row>
    <row r="4225" spans="10:23" x14ac:dyDescent="0.25">
      <c r="J4225"/>
      <c r="M4225"/>
      <c r="W4225"/>
    </row>
    <row r="4226" spans="10:23" x14ac:dyDescent="0.25">
      <c r="J4226"/>
      <c r="M4226"/>
      <c r="W4226"/>
    </row>
    <row r="4227" spans="10:23" x14ac:dyDescent="0.25">
      <c r="J4227"/>
      <c r="M4227"/>
      <c r="W4227"/>
    </row>
    <row r="4228" spans="10:23" x14ac:dyDescent="0.25">
      <c r="J4228"/>
      <c r="M4228"/>
      <c r="W4228"/>
    </row>
    <row r="4229" spans="10:23" x14ac:dyDescent="0.25">
      <c r="J4229"/>
      <c r="M4229"/>
      <c r="W4229"/>
    </row>
    <row r="4230" spans="10:23" x14ac:dyDescent="0.25">
      <c r="J4230"/>
      <c r="M4230"/>
      <c r="W4230"/>
    </row>
    <row r="4231" spans="10:23" x14ac:dyDescent="0.25">
      <c r="J4231"/>
      <c r="M4231"/>
      <c r="W4231"/>
    </row>
    <row r="4232" spans="10:23" x14ac:dyDescent="0.25">
      <c r="J4232"/>
      <c r="M4232"/>
      <c r="W4232"/>
    </row>
    <row r="4233" spans="10:23" x14ac:dyDescent="0.25">
      <c r="J4233"/>
      <c r="M4233"/>
      <c r="W4233"/>
    </row>
    <row r="4234" spans="10:23" x14ac:dyDescent="0.25">
      <c r="J4234"/>
      <c r="M4234"/>
      <c r="W4234"/>
    </row>
    <row r="4235" spans="10:23" x14ac:dyDescent="0.25">
      <c r="J4235"/>
      <c r="M4235"/>
      <c r="W4235"/>
    </row>
    <row r="4236" spans="10:23" x14ac:dyDescent="0.25">
      <c r="J4236"/>
      <c r="M4236"/>
      <c r="W4236"/>
    </row>
    <row r="4237" spans="10:23" x14ac:dyDescent="0.25">
      <c r="J4237"/>
      <c r="M4237"/>
      <c r="W4237"/>
    </row>
    <row r="4238" spans="10:23" x14ac:dyDescent="0.25">
      <c r="J4238"/>
      <c r="M4238"/>
      <c r="W4238"/>
    </row>
    <row r="4239" spans="10:23" x14ac:dyDescent="0.25">
      <c r="J4239"/>
      <c r="M4239"/>
      <c r="W4239"/>
    </row>
    <row r="4240" spans="10:23" x14ac:dyDescent="0.25">
      <c r="J4240"/>
      <c r="M4240"/>
      <c r="W4240"/>
    </row>
    <row r="4241" spans="10:23" x14ac:dyDescent="0.25">
      <c r="J4241"/>
      <c r="M4241"/>
      <c r="W4241"/>
    </row>
    <row r="4242" spans="10:23" x14ac:dyDescent="0.25">
      <c r="J4242"/>
      <c r="M4242"/>
      <c r="W4242"/>
    </row>
    <row r="4243" spans="10:23" x14ac:dyDescent="0.25">
      <c r="J4243"/>
      <c r="M4243"/>
      <c r="W4243"/>
    </row>
    <row r="4244" spans="10:23" x14ac:dyDescent="0.25">
      <c r="J4244"/>
      <c r="M4244"/>
      <c r="W4244"/>
    </row>
    <row r="4245" spans="10:23" x14ac:dyDescent="0.25">
      <c r="J4245"/>
      <c r="M4245"/>
      <c r="W4245"/>
    </row>
    <row r="4246" spans="10:23" x14ac:dyDescent="0.25">
      <c r="J4246"/>
      <c r="M4246"/>
      <c r="W4246"/>
    </row>
    <row r="4247" spans="10:23" x14ac:dyDescent="0.25">
      <c r="J4247"/>
      <c r="M4247"/>
      <c r="W4247"/>
    </row>
    <row r="4248" spans="10:23" x14ac:dyDescent="0.25">
      <c r="J4248"/>
      <c r="M4248"/>
      <c r="W4248"/>
    </row>
    <row r="4249" spans="10:23" x14ac:dyDescent="0.25">
      <c r="J4249"/>
      <c r="M4249"/>
      <c r="W4249"/>
    </row>
    <row r="4250" spans="10:23" x14ac:dyDescent="0.25">
      <c r="J4250"/>
      <c r="M4250"/>
      <c r="W4250"/>
    </row>
    <row r="4251" spans="10:23" x14ac:dyDescent="0.25">
      <c r="J4251"/>
      <c r="M4251"/>
      <c r="W4251"/>
    </row>
    <row r="4252" spans="10:23" x14ac:dyDescent="0.25">
      <c r="J4252"/>
      <c r="M4252"/>
      <c r="W4252"/>
    </row>
    <row r="4253" spans="10:23" x14ac:dyDescent="0.25">
      <c r="J4253"/>
      <c r="M4253"/>
      <c r="W4253"/>
    </row>
    <row r="4254" spans="10:23" x14ac:dyDescent="0.25">
      <c r="J4254"/>
      <c r="M4254"/>
      <c r="W4254"/>
    </row>
    <row r="4255" spans="10:23" x14ac:dyDescent="0.25">
      <c r="J4255"/>
      <c r="M4255"/>
      <c r="W4255"/>
    </row>
    <row r="4256" spans="10:23" x14ac:dyDescent="0.25">
      <c r="J4256"/>
      <c r="M4256"/>
      <c r="W4256"/>
    </row>
    <row r="4257" spans="10:23" x14ac:dyDescent="0.25">
      <c r="J4257"/>
      <c r="M4257"/>
      <c r="W4257"/>
    </row>
    <row r="4258" spans="10:23" x14ac:dyDescent="0.25">
      <c r="J4258"/>
      <c r="M4258"/>
      <c r="W4258"/>
    </row>
    <row r="4259" spans="10:23" x14ac:dyDescent="0.25">
      <c r="J4259"/>
      <c r="M4259"/>
      <c r="W4259"/>
    </row>
    <row r="4260" spans="10:23" x14ac:dyDescent="0.25">
      <c r="J4260"/>
      <c r="M4260"/>
      <c r="W4260"/>
    </row>
    <row r="4261" spans="10:23" x14ac:dyDescent="0.25">
      <c r="J4261"/>
      <c r="M4261"/>
      <c r="W4261"/>
    </row>
    <row r="4262" spans="10:23" x14ac:dyDescent="0.25">
      <c r="J4262"/>
      <c r="M4262"/>
      <c r="W4262"/>
    </row>
    <row r="4263" spans="10:23" x14ac:dyDescent="0.25">
      <c r="J4263"/>
      <c r="M4263"/>
      <c r="W4263"/>
    </row>
    <row r="4264" spans="10:23" x14ac:dyDescent="0.25">
      <c r="J4264"/>
      <c r="M4264"/>
      <c r="W4264"/>
    </row>
    <row r="4265" spans="10:23" x14ac:dyDescent="0.25">
      <c r="J4265"/>
      <c r="M4265"/>
      <c r="W4265"/>
    </row>
    <row r="4266" spans="10:23" x14ac:dyDescent="0.25">
      <c r="J4266"/>
      <c r="M4266"/>
      <c r="W4266"/>
    </row>
    <row r="4267" spans="10:23" x14ac:dyDescent="0.25">
      <c r="J4267"/>
      <c r="M4267"/>
      <c r="W4267"/>
    </row>
    <row r="4268" spans="10:23" x14ac:dyDescent="0.25">
      <c r="J4268"/>
      <c r="M4268"/>
      <c r="W4268"/>
    </row>
    <row r="4269" spans="10:23" x14ac:dyDescent="0.25">
      <c r="J4269"/>
      <c r="M4269"/>
      <c r="W4269"/>
    </row>
    <row r="4270" spans="10:23" x14ac:dyDescent="0.25">
      <c r="J4270"/>
      <c r="M4270"/>
      <c r="W4270"/>
    </row>
    <row r="4271" spans="10:23" x14ac:dyDescent="0.25">
      <c r="J4271"/>
      <c r="M4271"/>
      <c r="W4271"/>
    </row>
    <row r="4272" spans="10:23" x14ac:dyDescent="0.25">
      <c r="J4272"/>
      <c r="M4272"/>
      <c r="W4272"/>
    </row>
    <row r="4273" spans="10:23" x14ac:dyDescent="0.25">
      <c r="J4273"/>
      <c r="M4273"/>
      <c r="W4273"/>
    </row>
    <row r="4274" spans="10:23" x14ac:dyDescent="0.25">
      <c r="J4274"/>
      <c r="M4274"/>
      <c r="W4274"/>
    </row>
    <row r="4275" spans="10:23" x14ac:dyDescent="0.25">
      <c r="J4275"/>
      <c r="M4275"/>
      <c r="W4275"/>
    </row>
    <row r="4276" spans="10:23" x14ac:dyDescent="0.25">
      <c r="J4276"/>
      <c r="M4276"/>
      <c r="W4276"/>
    </row>
    <row r="4277" spans="10:23" x14ac:dyDescent="0.25">
      <c r="J4277"/>
      <c r="M4277"/>
      <c r="W4277"/>
    </row>
    <row r="4278" spans="10:23" x14ac:dyDescent="0.25">
      <c r="J4278"/>
      <c r="M4278"/>
      <c r="W4278"/>
    </row>
    <row r="4279" spans="10:23" x14ac:dyDescent="0.25">
      <c r="J4279"/>
      <c r="M4279"/>
      <c r="W4279"/>
    </row>
    <row r="4280" spans="10:23" x14ac:dyDescent="0.25">
      <c r="J4280"/>
      <c r="M4280"/>
      <c r="W4280"/>
    </row>
    <row r="4281" spans="10:23" x14ac:dyDescent="0.25">
      <c r="J4281"/>
      <c r="M4281"/>
      <c r="W4281"/>
    </row>
    <row r="4282" spans="10:23" x14ac:dyDescent="0.25">
      <c r="J4282"/>
      <c r="M4282"/>
      <c r="W4282"/>
    </row>
    <row r="4283" spans="10:23" x14ac:dyDescent="0.25">
      <c r="J4283"/>
      <c r="M4283"/>
      <c r="W4283"/>
    </row>
    <row r="4284" spans="10:23" x14ac:dyDescent="0.25">
      <c r="J4284"/>
      <c r="M4284"/>
      <c r="W4284"/>
    </row>
    <row r="4285" spans="10:23" x14ac:dyDescent="0.25">
      <c r="J4285"/>
      <c r="M4285"/>
      <c r="W4285"/>
    </row>
    <row r="4286" spans="10:23" x14ac:dyDescent="0.25">
      <c r="J4286"/>
      <c r="M4286"/>
      <c r="W4286"/>
    </row>
    <row r="4287" spans="10:23" x14ac:dyDescent="0.25">
      <c r="J4287"/>
      <c r="M4287"/>
      <c r="W4287"/>
    </row>
    <row r="4288" spans="10:23" x14ac:dyDescent="0.25">
      <c r="J4288"/>
      <c r="M4288"/>
      <c r="W4288"/>
    </row>
    <row r="4289" spans="10:23" x14ac:dyDescent="0.25">
      <c r="J4289"/>
      <c r="M4289"/>
      <c r="W4289"/>
    </row>
    <row r="4290" spans="10:23" x14ac:dyDescent="0.25">
      <c r="J4290"/>
      <c r="M4290"/>
      <c r="W4290"/>
    </row>
    <row r="4291" spans="10:23" x14ac:dyDescent="0.25">
      <c r="J4291"/>
      <c r="M4291"/>
      <c r="W4291"/>
    </row>
    <row r="4292" spans="10:23" x14ac:dyDescent="0.25">
      <c r="J4292"/>
      <c r="M4292"/>
      <c r="W4292"/>
    </row>
    <row r="4293" spans="10:23" x14ac:dyDescent="0.25">
      <c r="J4293"/>
      <c r="M4293"/>
      <c r="W4293"/>
    </row>
    <row r="4294" spans="10:23" x14ac:dyDescent="0.25">
      <c r="J4294"/>
      <c r="M4294"/>
      <c r="W4294"/>
    </row>
    <row r="4295" spans="10:23" x14ac:dyDescent="0.25">
      <c r="J4295"/>
      <c r="M4295"/>
      <c r="W4295"/>
    </row>
    <row r="4296" spans="10:23" x14ac:dyDescent="0.25">
      <c r="J4296"/>
      <c r="M4296"/>
      <c r="W4296"/>
    </row>
    <row r="4297" spans="10:23" x14ac:dyDescent="0.25">
      <c r="J4297"/>
      <c r="M4297"/>
      <c r="W4297"/>
    </row>
    <row r="4298" spans="10:23" x14ac:dyDescent="0.25">
      <c r="J4298"/>
      <c r="M4298"/>
      <c r="W4298"/>
    </row>
    <row r="4299" spans="10:23" x14ac:dyDescent="0.25">
      <c r="J4299"/>
      <c r="M4299"/>
      <c r="W4299"/>
    </row>
    <row r="4300" spans="10:23" x14ac:dyDescent="0.25">
      <c r="J4300"/>
      <c r="M4300"/>
      <c r="W4300"/>
    </row>
    <row r="4301" spans="10:23" x14ac:dyDescent="0.25">
      <c r="J4301"/>
      <c r="M4301"/>
      <c r="W4301"/>
    </row>
    <row r="4302" spans="10:23" x14ac:dyDescent="0.25">
      <c r="J4302"/>
      <c r="M4302"/>
      <c r="W4302"/>
    </row>
    <row r="4303" spans="10:23" x14ac:dyDescent="0.25">
      <c r="J4303"/>
      <c r="M4303"/>
      <c r="W4303"/>
    </row>
    <row r="4304" spans="10:23" x14ac:dyDescent="0.25">
      <c r="J4304"/>
      <c r="M4304"/>
      <c r="W4304"/>
    </row>
    <row r="4305" spans="10:23" x14ac:dyDescent="0.25">
      <c r="J4305"/>
      <c r="M4305"/>
      <c r="W4305"/>
    </row>
    <row r="4306" spans="10:23" x14ac:dyDescent="0.25">
      <c r="J4306"/>
      <c r="M4306"/>
      <c r="W4306"/>
    </row>
    <row r="4307" spans="10:23" x14ac:dyDescent="0.25">
      <c r="J4307"/>
      <c r="M4307"/>
      <c r="W4307"/>
    </row>
    <row r="4308" spans="10:23" x14ac:dyDescent="0.25">
      <c r="J4308"/>
      <c r="M4308"/>
      <c r="W4308"/>
    </row>
    <row r="4309" spans="10:23" x14ac:dyDescent="0.25">
      <c r="J4309"/>
      <c r="M4309"/>
      <c r="W4309"/>
    </row>
    <row r="4310" spans="10:23" x14ac:dyDescent="0.25">
      <c r="J4310"/>
      <c r="M4310"/>
      <c r="W4310"/>
    </row>
    <row r="4311" spans="10:23" x14ac:dyDescent="0.25">
      <c r="J4311"/>
      <c r="M4311"/>
      <c r="W4311"/>
    </row>
    <row r="4312" spans="10:23" x14ac:dyDescent="0.25">
      <c r="J4312"/>
      <c r="M4312"/>
      <c r="W4312"/>
    </row>
    <row r="4313" spans="10:23" x14ac:dyDescent="0.25">
      <c r="J4313"/>
      <c r="M4313"/>
      <c r="W4313"/>
    </row>
    <row r="4314" spans="10:23" x14ac:dyDescent="0.25">
      <c r="J4314"/>
      <c r="M4314"/>
      <c r="W4314"/>
    </row>
    <row r="4315" spans="10:23" x14ac:dyDescent="0.25">
      <c r="J4315"/>
      <c r="M4315"/>
      <c r="W4315"/>
    </row>
    <row r="4316" spans="10:23" x14ac:dyDescent="0.25">
      <c r="J4316"/>
      <c r="M4316"/>
      <c r="W4316"/>
    </row>
    <row r="4317" spans="10:23" x14ac:dyDescent="0.25">
      <c r="J4317"/>
      <c r="M4317"/>
      <c r="W4317"/>
    </row>
    <row r="4318" spans="10:23" x14ac:dyDescent="0.25">
      <c r="J4318"/>
      <c r="M4318"/>
      <c r="W4318"/>
    </row>
    <row r="4319" spans="10:23" x14ac:dyDescent="0.25">
      <c r="J4319"/>
      <c r="M4319"/>
      <c r="W4319"/>
    </row>
    <row r="4320" spans="10:23" x14ac:dyDescent="0.25">
      <c r="J4320"/>
      <c r="M4320"/>
      <c r="W4320"/>
    </row>
    <row r="4321" spans="10:23" x14ac:dyDescent="0.25">
      <c r="J4321"/>
      <c r="M4321"/>
      <c r="W4321"/>
    </row>
    <row r="4322" spans="10:23" x14ac:dyDescent="0.25">
      <c r="J4322"/>
      <c r="M4322"/>
      <c r="W4322"/>
    </row>
    <row r="4323" spans="10:23" x14ac:dyDescent="0.25">
      <c r="J4323"/>
      <c r="M4323"/>
      <c r="W4323"/>
    </row>
    <row r="4324" spans="10:23" x14ac:dyDescent="0.25">
      <c r="J4324"/>
      <c r="M4324"/>
      <c r="W4324"/>
    </row>
    <row r="4325" spans="10:23" x14ac:dyDescent="0.25">
      <c r="J4325"/>
      <c r="M4325"/>
      <c r="W4325"/>
    </row>
    <row r="4326" spans="10:23" x14ac:dyDescent="0.25">
      <c r="J4326"/>
      <c r="M4326"/>
      <c r="W4326"/>
    </row>
    <row r="4327" spans="10:23" x14ac:dyDescent="0.25">
      <c r="J4327"/>
      <c r="M4327"/>
      <c r="W4327"/>
    </row>
    <row r="4328" spans="10:23" x14ac:dyDescent="0.25">
      <c r="J4328"/>
      <c r="M4328"/>
      <c r="W4328"/>
    </row>
    <row r="4329" spans="10:23" x14ac:dyDescent="0.25">
      <c r="J4329"/>
      <c r="M4329"/>
      <c r="W4329"/>
    </row>
    <row r="4330" spans="10:23" x14ac:dyDescent="0.25">
      <c r="J4330"/>
      <c r="M4330"/>
      <c r="W4330"/>
    </row>
    <row r="4331" spans="10:23" x14ac:dyDescent="0.25">
      <c r="J4331"/>
      <c r="M4331"/>
      <c r="W4331"/>
    </row>
    <row r="4332" spans="10:23" x14ac:dyDescent="0.25">
      <c r="J4332"/>
      <c r="M4332"/>
      <c r="W4332"/>
    </row>
    <row r="4333" spans="10:23" x14ac:dyDescent="0.25">
      <c r="J4333"/>
      <c r="M4333"/>
      <c r="W4333"/>
    </row>
    <row r="4334" spans="10:23" x14ac:dyDescent="0.25">
      <c r="J4334"/>
      <c r="M4334"/>
      <c r="W4334"/>
    </row>
    <row r="4335" spans="10:23" x14ac:dyDescent="0.25">
      <c r="J4335"/>
      <c r="M4335"/>
      <c r="W4335"/>
    </row>
    <row r="4336" spans="10:23" x14ac:dyDescent="0.25">
      <c r="J4336"/>
      <c r="M4336"/>
      <c r="W4336"/>
    </row>
    <row r="4337" spans="10:23" x14ac:dyDescent="0.25">
      <c r="J4337"/>
      <c r="M4337"/>
      <c r="W4337"/>
    </row>
    <row r="4338" spans="10:23" x14ac:dyDescent="0.25">
      <c r="J4338"/>
      <c r="M4338"/>
      <c r="W4338"/>
    </row>
    <row r="4339" spans="10:23" x14ac:dyDescent="0.25">
      <c r="J4339"/>
      <c r="M4339"/>
      <c r="W4339"/>
    </row>
    <row r="4340" spans="10:23" x14ac:dyDescent="0.25">
      <c r="J4340"/>
      <c r="M4340"/>
      <c r="W4340"/>
    </row>
    <row r="4341" spans="10:23" x14ac:dyDescent="0.25">
      <c r="J4341"/>
      <c r="M4341"/>
      <c r="W4341"/>
    </row>
    <row r="4342" spans="10:23" x14ac:dyDescent="0.25">
      <c r="J4342"/>
      <c r="M4342"/>
      <c r="W4342"/>
    </row>
    <row r="4343" spans="10:23" x14ac:dyDescent="0.25">
      <c r="J4343"/>
      <c r="M4343"/>
      <c r="W4343"/>
    </row>
    <row r="4344" spans="10:23" x14ac:dyDescent="0.25">
      <c r="J4344"/>
      <c r="M4344"/>
      <c r="W4344"/>
    </row>
    <row r="4345" spans="10:23" x14ac:dyDescent="0.25">
      <c r="J4345"/>
      <c r="M4345"/>
      <c r="W4345"/>
    </row>
    <row r="4346" spans="10:23" x14ac:dyDescent="0.25">
      <c r="J4346"/>
      <c r="M4346"/>
      <c r="W4346"/>
    </row>
    <row r="4347" spans="10:23" x14ac:dyDescent="0.25">
      <c r="J4347"/>
      <c r="M4347"/>
      <c r="W4347"/>
    </row>
    <row r="4348" spans="10:23" x14ac:dyDescent="0.25">
      <c r="J4348"/>
      <c r="M4348"/>
      <c r="W4348"/>
    </row>
    <row r="4349" spans="10:23" x14ac:dyDescent="0.25">
      <c r="J4349"/>
      <c r="M4349"/>
      <c r="W4349"/>
    </row>
    <row r="4350" spans="10:23" x14ac:dyDescent="0.25">
      <c r="J4350"/>
      <c r="M4350"/>
      <c r="W4350"/>
    </row>
    <row r="4351" spans="10:23" x14ac:dyDescent="0.25">
      <c r="J4351"/>
      <c r="M4351"/>
      <c r="W4351"/>
    </row>
    <row r="4352" spans="10:23" x14ac:dyDescent="0.25">
      <c r="J4352"/>
      <c r="M4352"/>
      <c r="W4352"/>
    </row>
    <row r="4353" spans="10:23" x14ac:dyDescent="0.25">
      <c r="J4353"/>
      <c r="M4353"/>
      <c r="W4353"/>
    </row>
    <row r="4354" spans="10:23" x14ac:dyDescent="0.25">
      <c r="J4354"/>
      <c r="M4354"/>
      <c r="W4354"/>
    </row>
    <row r="4355" spans="10:23" x14ac:dyDescent="0.25">
      <c r="J4355"/>
      <c r="M4355"/>
      <c r="W4355"/>
    </row>
    <row r="4356" spans="10:23" x14ac:dyDescent="0.25">
      <c r="J4356"/>
      <c r="M4356"/>
      <c r="W4356"/>
    </row>
    <row r="4357" spans="10:23" x14ac:dyDescent="0.25">
      <c r="J4357"/>
      <c r="M4357"/>
      <c r="W4357"/>
    </row>
    <row r="4358" spans="10:23" x14ac:dyDescent="0.25">
      <c r="J4358"/>
      <c r="M4358"/>
      <c r="W4358"/>
    </row>
    <row r="4359" spans="10:23" x14ac:dyDescent="0.25">
      <c r="J4359"/>
      <c r="M4359"/>
      <c r="W4359"/>
    </row>
    <row r="4360" spans="10:23" x14ac:dyDescent="0.25">
      <c r="J4360"/>
      <c r="M4360"/>
      <c r="W4360"/>
    </row>
    <row r="4361" spans="10:23" x14ac:dyDescent="0.25">
      <c r="J4361"/>
      <c r="M4361"/>
      <c r="W4361"/>
    </row>
    <row r="4362" spans="10:23" x14ac:dyDescent="0.25">
      <c r="J4362"/>
      <c r="M4362"/>
      <c r="W4362"/>
    </row>
    <row r="4363" spans="10:23" x14ac:dyDescent="0.25">
      <c r="J4363"/>
      <c r="M4363"/>
      <c r="W4363"/>
    </row>
    <row r="4364" spans="10:23" x14ac:dyDescent="0.25">
      <c r="J4364"/>
      <c r="M4364"/>
      <c r="W4364"/>
    </row>
    <row r="4365" spans="10:23" x14ac:dyDescent="0.25">
      <c r="J4365"/>
      <c r="M4365"/>
      <c r="W4365"/>
    </row>
    <row r="4366" spans="10:23" x14ac:dyDescent="0.25">
      <c r="J4366"/>
      <c r="M4366"/>
      <c r="W4366"/>
    </row>
    <row r="4367" spans="10:23" x14ac:dyDescent="0.25">
      <c r="J4367"/>
      <c r="M4367"/>
      <c r="W4367"/>
    </row>
    <row r="4368" spans="10:23" x14ac:dyDescent="0.25">
      <c r="J4368"/>
      <c r="M4368"/>
      <c r="W4368"/>
    </row>
    <row r="4369" spans="10:23" x14ac:dyDescent="0.25">
      <c r="J4369"/>
      <c r="M4369"/>
      <c r="W4369"/>
    </row>
    <row r="4370" spans="10:23" x14ac:dyDescent="0.25">
      <c r="J4370"/>
      <c r="M4370"/>
      <c r="W4370"/>
    </row>
    <row r="4371" spans="10:23" x14ac:dyDescent="0.25">
      <c r="J4371"/>
      <c r="M4371"/>
      <c r="W4371"/>
    </row>
    <row r="4372" spans="10:23" x14ac:dyDescent="0.25">
      <c r="J4372"/>
      <c r="M4372"/>
      <c r="W4372"/>
    </row>
    <row r="4373" spans="10:23" x14ac:dyDescent="0.25">
      <c r="J4373"/>
      <c r="M4373"/>
      <c r="W4373"/>
    </row>
    <row r="4374" spans="10:23" x14ac:dyDescent="0.25">
      <c r="J4374"/>
      <c r="M4374"/>
      <c r="W4374"/>
    </row>
    <row r="4375" spans="10:23" x14ac:dyDescent="0.25">
      <c r="J4375"/>
      <c r="M4375"/>
      <c r="W4375"/>
    </row>
    <row r="4376" spans="10:23" x14ac:dyDescent="0.25">
      <c r="J4376"/>
      <c r="M4376"/>
      <c r="W4376"/>
    </row>
    <row r="4377" spans="10:23" x14ac:dyDescent="0.25">
      <c r="J4377"/>
      <c r="M4377"/>
      <c r="W4377"/>
    </row>
    <row r="4378" spans="10:23" x14ac:dyDescent="0.25">
      <c r="J4378"/>
      <c r="M4378"/>
      <c r="W4378"/>
    </row>
    <row r="4379" spans="10:23" x14ac:dyDescent="0.25">
      <c r="J4379"/>
      <c r="M4379"/>
      <c r="W4379"/>
    </row>
    <row r="4380" spans="10:23" x14ac:dyDescent="0.25">
      <c r="J4380"/>
      <c r="M4380"/>
      <c r="W4380"/>
    </row>
    <row r="4381" spans="10:23" x14ac:dyDescent="0.25">
      <c r="J4381"/>
      <c r="M4381"/>
      <c r="W4381"/>
    </row>
    <row r="4382" spans="10:23" x14ac:dyDescent="0.25">
      <c r="J4382"/>
      <c r="M4382"/>
      <c r="W4382"/>
    </row>
    <row r="4383" spans="10:23" x14ac:dyDescent="0.25">
      <c r="J4383"/>
      <c r="M4383"/>
      <c r="W4383"/>
    </row>
    <row r="4384" spans="10:23" x14ac:dyDescent="0.25">
      <c r="J4384"/>
      <c r="M4384"/>
      <c r="W4384"/>
    </row>
    <row r="4385" spans="10:23" x14ac:dyDescent="0.25">
      <c r="J4385"/>
      <c r="M4385"/>
      <c r="W4385"/>
    </row>
    <row r="4386" spans="10:23" x14ac:dyDescent="0.25">
      <c r="J4386"/>
      <c r="M4386"/>
      <c r="W4386"/>
    </row>
    <row r="4387" spans="10:23" x14ac:dyDescent="0.25">
      <c r="J4387"/>
      <c r="M4387"/>
      <c r="W4387"/>
    </row>
    <row r="4388" spans="10:23" x14ac:dyDescent="0.25">
      <c r="J4388"/>
      <c r="M4388"/>
      <c r="W4388"/>
    </row>
    <row r="4389" spans="10:23" x14ac:dyDescent="0.25">
      <c r="J4389"/>
      <c r="M4389"/>
      <c r="W4389"/>
    </row>
    <row r="4390" spans="10:23" x14ac:dyDescent="0.25">
      <c r="J4390"/>
      <c r="M4390"/>
      <c r="W4390"/>
    </row>
    <row r="4391" spans="10:23" x14ac:dyDescent="0.25">
      <c r="J4391"/>
      <c r="M4391"/>
      <c r="W4391"/>
    </row>
    <row r="4392" spans="10:23" x14ac:dyDescent="0.25">
      <c r="J4392"/>
      <c r="M4392"/>
      <c r="W4392"/>
    </row>
    <row r="4393" spans="10:23" x14ac:dyDescent="0.25">
      <c r="J4393"/>
      <c r="M4393"/>
      <c r="W4393"/>
    </row>
    <row r="4394" spans="10:23" x14ac:dyDescent="0.25">
      <c r="J4394"/>
      <c r="M4394"/>
      <c r="W4394"/>
    </row>
    <row r="4395" spans="10:23" x14ac:dyDescent="0.25">
      <c r="J4395"/>
      <c r="M4395"/>
      <c r="W4395"/>
    </row>
    <row r="4396" spans="10:23" x14ac:dyDescent="0.25">
      <c r="J4396"/>
      <c r="M4396"/>
      <c r="W4396"/>
    </row>
    <row r="4397" spans="10:23" x14ac:dyDescent="0.25">
      <c r="J4397"/>
      <c r="M4397"/>
      <c r="W4397"/>
    </row>
    <row r="4398" spans="10:23" x14ac:dyDescent="0.25">
      <c r="J4398"/>
      <c r="M4398"/>
      <c r="W4398"/>
    </row>
    <row r="4399" spans="10:23" x14ac:dyDescent="0.25">
      <c r="J4399"/>
      <c r="M4399"/>
      <c r="W4399"/>
    </row>
    <row r="4400" spans="10:23" x14ac:dyDescent="0.25">
      <c r="J4400"/>
      <c r="M4400"/>
      <c r="W4400"/>
    </row>
    <row r="4401" spans="10:23" x14ac:dyDescent="0.25">
      <c r="J4401"/>
      <c r="M4401"/>
      <c r="W4401"/>
    </row>
    <row r="4402" spans="10:23" x14ac:dyDescent="0.25">
      <c r="J4402"/>
      <c r="M4402"/>
      <c r="W4402"/>
    </row>
    <row r="4403" spans="10:23" x14ac:dyDescent="0.25">
      <c r="J4403"/>
      <c r="M4403"/>
      <c r="W4403"/>
    </row>
    <row r="4404" spans="10:23" x14ac:dyDescent="0.25">
      <c r="J4404"/>
      <c r="M4404"/>
      <c r="W4404"/>
    </row>
    <row r="4405" spans="10:23" x14ac:dyDescent="0.25">
      <c r="J4405"/>
      <c r="M4405"/>
      <c r="W4405"/>
    </row>
    <row r="4406" spans="10:23" x14ac:dyDescent="0.25">
      <c r="J4406"/>
      <c r="M4406"/>
      <c r="W4406"/>
    </row>
    <row r="4407" spans="10:23" x14ac:dyDescent="0.25">
      <c r="J4407"/>
      <c r="M4407"/>
      <c r="W4407"/>
    </row>
    <row r="4408" spans="10:23" x14ac:dyDescent="0.25">
      <c r="J4408"/>
      <c r="M4408"/>
      <c r="W4408"/>
    </row>
    <row r="4409" spans="10:23" x14ac:dyDescent="0.25">
      <c r="J4409"/>
      <c r="M4409"/>
      <c r="W4409"/>
    </row>
    <row r="4410" spans="10:23" x14ac:dyDescent="0.25">
      <c r="J4410"/>
      <c r="M4410"/>
      <c r="W4410"/>
    </row>
    <row r="4411" spans="10:23" x14ac:dyDescent="0.25">
      <c r="J4411"/>
      <c r="M4411"/>
      <c r="W4411"/>
    </row>
    <row r="4412" spans="10:23" x14ac:dyDescent="0.25">
      <c r="J4412"/>
      <c r="M4412"/>
      <c r="W4412"/>
    </row>
    <row r="4413" spans="10:23" x14ac:dyDescent="0.25">
      <c r="J4413"/>
      <c r="M4413"/>
      <c r="W4413"/>
    </row>
    <row r="4414" spans="10:23" x14ac:dyDescent="0.25">
      <c r="J4414"/>
      <c r="M4414"/>
      <c r="W4414"/>
    </row>
    <row r="4415" spans="10:23" x14ac:dyDescent="0.25">
      <c r="J4415"/>
      <c r="M4415"/>
      <c r="W4415"/>
    </row>
    <row r="4416" spans="10:23" x14ac:dyDescent="0.25">
      <c r="J4416"/>
      <c r="M4416"/>
      <c r="W4416"/>
    </row>
    <row r="4417" spans="10:23" x14ac:dyDescent="0.25">
      <c r="J4417"/>
      <c r="M4417"/>
      <c r="W4417"/>
    </row>
    <row r="4418" spans="10:23" x14ac:dyDescent="0.25">
      <c r="J4418"/>
      <c r="M4418"/>
      <c r="W4418"/>
    </row>
    <row r="4419" spans="10:23" x14ac:dyDescent="0.25">
      <c r="J4419"/>
      <c r="M4419"/>
      <c r="W4419"/>
    </row>
    <row r="4420" spans="10:23" x14ac:dyDescent="0.25">
      <c r="J4420"/>
      <c r="M4420"/>
      <c r="W4420"/>
    </row>
    <row r="4421" spans="10:23" x14ac:dyDescent="0.25">
      <c r="J4421"/>
      <c r="M4421"/>
      <c r="W4421"/>
    </row>
    <row r="4422" spans="10:23" x14ac:dyDescent="0.25">
      <c r="J4422"/>
      <c r="M4422"/>
      <c r="W4422"/>
    </row>
    <row r="4423" spans="10:23" x14ac:dyDescent="0.25">
      <c r="J4423"/>
      <c r="M4423"/>
      <c r="W4423"/>
    </row>
    <row r="4424" spans="10:23" x14ac:dyDescent="0.25">
      <c r="J4424"/>
      <c r="M4424"/>
      <c r="W4424"/>
    </row>
    <row r="4425" spans="10:23" x14ac:dyDescent="0.25">
      <c r="J4425"/>
      <c r="M4425"/>
      <c r="W4425"/>
    </row>
    <row r="4426" spans="10:23" x14ac:dyDescent="0.25">
      <c r="J4426"/>
      <c r="M4426"/>
      <c r="W4426"/>
    </row>
    <row r="4427" spans="10:23" x14ac:dyDescent="0.25">
      <c r="J4427"/>
      <c r="M4427"/>
      <c r="W4427"/>
    </row>
    <row r="4428" spans="10:23" x14ac:dyDescent="0.25">
      <c r="J4428"/>
      <c r="M4428"/>
      <c r="W4428"/>
    </row>
    <row r="4429" spans="10:23" x14ac:dyDescent="0.25">
      <c r="J4429"/>
      <c r="M4429"/>
      <c r="W4429"/>
    </row>
    <row r="4430" spans="10:23" x14ac:dyDescent="0.25">
      <c r="J4430"/>
      <c r="M4430"/>
      <c r="W4430"/>
    </row>
    <row r="4431" spans="10:23" x14ac:dyDescent="0.25">
      <c r="J4431"/>
      <c r="M4431"/>
      <c r="W4431"/>
    </row>
    <row r="4432" spans="10:23" x14ac:dyDescent="0.25">
      <c r="J4432"/>
      <c r="M4432"/>
      <c r="W4432"/>
    </row>
    <row r="4433" spans="10:23" x14ac:dyDescent="0.25">
      <c r="J4433"/>
      <c r="M4433"/>
      <c r="W4433"/>
    </row>
    <row r="4434" spans="10:23" x14ac:dyDescent="0.25">
      <c r="J4434"/>
      <c r="M4434"/>
      <c r="W4434"/>
    </row>
    <row r="4435" spans="10:23" x14ac:dyDescent="0.25">
      <c r="J4435"/>
      <c r="M4435"/>
      <c r="W4435"/>
    </row>
    <row r="4436" spans="10:23" x14ac:dyDescent="0.25">
      <c r="J4436"/>
      <c r="M4436"/>
      <c r="W4436"/>
    </row>
    <row r="4437" spans="10:23" x14ac:dyDescent="0.25">
      <c r="J4437"/>
      <c r="M4437"/>
      <c r="W4437"/>
    </row>
    <row r="4438" spans="10:23" x14ac:dyDescent="0.25">
      <c r="J4438"/>
      <c r="M4438"/>
      <c r="W4438"/>
    </row>
    <row r="4439" spans="10:23" x14ac:dyDescent="0.25">
      <c r="J4439"/>
      <c r="M4439"/>
      <c r="W4439"/>
    </row>
    <row r="4440" spans="10:23" x14ac:dyDescent="0.25">
      <c r="J4440"/>
      <c r="M4440"/>
      <c r="W4440"/>
    </row>
    <row r="4441" spans="10:23" x14ac:dyDescent="0.25">
      <c r="J4441"/>
      <c r="M4441"/>
      <c r="W4441"/>
    </row>
    <row r="4442" spans="10:23" x14ac:dyDescent="0.25">
      <c r="J4442"/>
      <c r="M4442"/>
      <c r="W4442"/>
    </row>
    <row r="4443" spans="10:23" x14ac:dyDescent="0.25">
      <c r="J4443"/>
      <c r="M4443"/>
      <c r="W4443"/>
    </row>
    <row r="4444" spans="10:23" x14ac:dyDescent="0.25">
      <c r="J4444"/>
      <c r="M4444"/>
      <c r="W4444"/>
    </row>
    <row r="4445" spans="10:23" x14ac:dyDescent="0.25">
      <c r="J4445"/>
      <c r="M4445"/>
      <c r="W4445"/>
    </row>
    <row r="4446" spans="10:23" x14ac:dyDescent="0.25">
      <c r="J4446"/>
      <c r="M4446"/>
      <c r="W4446"/>
    </row>
    <row r="4447" spans="10:23" x14ac:dyDescent="0.25">
      <c r="J4447"/>
      <c r="M4447"/>
      <c r="W4447"/>
    </row>
    <row r="4448" spans="10:23" x14ac:dyDescent="0.25">
      <c r="J4448"/>
      <c r="M4448"/>
      <c r="W4448"/>
    </row>
    <row r="4449" spans="10:23" x14ac:dyDescent="0.25">
      <c r="J4449"/>
      <c r="M4449"/>
      <c r="W4449"/>
    </row>
    <row r="4450" spans="10:23" x14ac:dyDescent="0.25">
      <c r="J4450"/>
      <c r="M4450"/>
      <c r="W4450"/>
    </row>
    <row r="4451" spans="10:23" x14ac:dyDescent="0.25">
      <c r="J4451"/>
      <c r="M4451"/>
      <c r="W4451"/>
    </row>
    <row r="4452" spans="10:23" x14ac:dyDescent="0.25">
      <c r="J4452"/>
      <c r="M4452"/>
      <c r="W4452"/>
    </row>
    <row r="4453" spans="10:23" x14ac:dyDescent="0.25">
      <c r="J4453"/>
      <c r="M4453"/>
      <c r="W4453"/>
    </row>
    <row r="4454" spans="10:23" x14ac:dyDescent="0.25">
      <c r="J4454"/>
      <c r="M4454"/>
      <c r="W4454"/>
    </row>
    <row r="4455" spans="10:23" x14ac:dyDescent="0.25">
      <c r="J4455"/>
      <c r="M4455"/>
      <c r="W4455"/>
    </row>
    <row r="4456" spans="10:23" x14ac:dyDescent="0.25">
      <c r="J4456"/>
      <c r="M4456"/>
      <c r="W4456"/>
    </row>
    <row r="4457" spans="10:23" x14ac:dyDescent="0.25">
      <c r="J4457"/>
      <c r="M4457"/>
      <c r="W4457"/>
    </row>
    <row r="4458" spans="10:23" x14ac:dyDescent="0.25">
      <c r="J4458"/>
      <c r="M4458"/>
      <c r="W4458"/>
    </row>
    <row r="4459" spans="10:23" x14ac:dyDescent="0.25">
      <c r="J4459"/>
      <c r="M4459"/>
      <c r="W4459"/>
    </row>
    <row r="4460" spans="10:23" x14ac:dyDescent="0.25">
      <c r="J4460"/>
      <c r="M4460"/>
      <c r="W4460"/>
    </row>
    <row r="4461" spans="10:23" x14ac:dyDescent="0.25">
      <c r="J4461"/>
      <c r="M4461"/>
      <c r="W4461"/>
    </row>
    <row r="4462" spans="10:23" x14ac:dyDescent="0.25">
      <c r="J4462"/>
      <c r="M4462"/>
      <c r="W4462"/>
    </row>
    <row r="4463" spans="10:23" x14ac:dyDescent="0.25">
      <c r="J4463"/>
      <c r="M4463"/>
      <c r="W4463"/>
    </row>
    <row r="4464" spans="10:23" x14ac:dyDescent="0.25">
      <c r="J4464"/>
      <c r="M4464"/>
      <c r="W4464"/>
    </row>
    <row r="4465" spans="10:23" x14ac:dyDescent="0.25">
      <c r="J4465"/>
      <c r="M4465"/>
      <c r="W4465"/>
    </row>
    <row r="4466" spans="10:23" x14ac:dyDescent="0.25">
      <c r="J4466"/>
      <c r="M4466"/>
      <c r="W4466"/>
    </row>
    <row r="4467" spans="10:23" x14ac:dyDescent="0.25">
      <c r="J4467"/>
      <c r="M4467"/>
      <c r="W4467"/>
    </row>
    <row r="4468" spans="10:23" x14ac:dyDescent="0.25">
      <c r="J4468"/>
      <c r="M4468"/>
      <c r="W4468"/>
    </row>
    <row r="4469" spans="10:23" x14ac:dyDescent="0.25">
      <c r="J4469"/>
      <c r="M4469"/>
      <c r="W4469"/>
    </row>
    <row r="4470" spans="10:23" x14ac:dyDescent="0.25">
      <c r="J4470"/>
      <c r="M4470"/>
      <c r="W4470"/>
    </row>
    <row r="4471" spans="10:23" x14ac:dyDescent="0.25">
      <c r="J4471"/>
      <c r="M4471"/>
      <c r="W4471"/>
    </row>
    <row r="4472" spans="10:23" x14ac:dyDescent="0.25">
      <c r="J4472"/>
      <c r="M4472"/>
      <c r="W4472"/>
    </row>
    <row r="4473" spans="10:23" x14ac:dyDescent="0.25">
      <c r="J4473"/>
      <c r="M4473"/>
      <c r="W4473"/>
    </row>
    <row r="4474" spans="10:23" x14ac:dyDescent="0.25">
      <c r="J4474"/>
      <c r="M4474"/>
      <c r="W4474"/>
    </row>
    <row r="4475" spans="10:23" x14ac:dyDescent="0.25">
      <c r="J4475"/>
      <c r="M4475"/>
      <c r="W4475"/>
    </row>
    <row r="4476" spans="10:23" x14ac:dyDescent="0.25">
      <c r="J4476"/>
      <c r="M4476"/>
      <c r="W4476"/>
    </row>
    <row r="4477" spans="10:23" x14ac:dyDescent="0.25">
      <c r="J4477"/>
      <c r="M4477"/>
      <c r="W4477"/>
    </row>
    <row r="4478" spans="10:23" x14ac:dyDescent="0.25">
      <c r="J4478"/>
      <c r="M4478"/>
      <c r="W4478"/>
    </row>
    <row r="4479" spans="10:23" x14ac:dyDescent="0.25">
      <c r="J4479"/>
      <c r="M4479"/>
      <c r="W4479"/>
    </row>
    <row r="4480" spans="10:23" x14ac:dyDescent="0.25">
      <c r="J4480"/>
      <c r="M4480"/>
      <c r="W4480"/>
    </row>
    <row r="4481" spans="10:23" x14ac:dyDescent="0.25">
      <c r="J4481"/>
      <c r="M4481"/>
      <c r="W4481"/>
    </row>
    <row r="4482" spans="10:23" x14ac:dyDescent="0.25">
      <c r="J4482"/>
      <c r="M4482"/>
      <c r="W4482"/>
    </row>
    <row r="4483" spans="10:23" x14ac:dyDescent="0.25">
      <c r="J4483"/>
      <c r="M4483"/>
      <c r="W4483"/>
    </row>
    <row r="4484" spans="10:23" x14ac:dyDescent="0.25">
      <c r="J4484"/>
      <c r="M4484"/>
      <c r="W4484"/>
    </row>
    <row r="4485" spans="10:23" x14ac:dyDescent="0.25">
      <c r="J4485"/>
      <c r="M4485"/>
      <c r="W4485"/>
    </row>
    <row r="4486" spans="10:23" x14ac:dyDescent="0.25">
      <c r="J4486"/>
      <c r="M4486"/>
      <c r="W4486"/>
    </row>
    <row r="4487" spans="10:23" x14ac:dyDescent="0.25">
      <c r="J4487"/>
      <c r="M4487"/>
      <c r="W4487"/>
    </row>
    <row r="4488" spans="10:23" x14ac:dyDescent="0.25">
      <c r="J4488"/>
      <c r="M4488"/>
      <c r="W4488"/>
    </row>
    <row r="4489" spans="10:23" x14ac:dyDescent="0.25">
      <c r="J4489"/>
      <c r="M4489"/>
      <c r="W4489"/>
    </row>
    <row r="4490" spans="10:23" x14ac:dyDescent="0.25">
      <c r="J4490"/>
      <c r="M4490"/>
      <c r="W4490"/>
    </row>
    <row r="4491" spans="10:23" x14ac:dyDescent="0.25">
      <c r="J4491"/>
      <c r="M4491"/>
      <c r="W4491"/>
    </row>
    <row r="4492" spans="10:23" x14ac:dyDescent="0.25">
      <c r="J4492"/>
      <c r="M4492"/>
      <c r="W4492"/>
    </row>
    <row r="4493" spans="10:23" x14ac:dyDescent="0.25">
      <c r="J4493"/>
      <c r="M4493"/>
      <c r="W4493"/>
    </row>
    <row r="4494" spans="10:23" x14ac:dyDescent="0.25">
      <c r="J4494"/>
      <c r="M4494"/>
      <c r="W4494"/>
    </row>
    <row r="4495" spans="10:23" x14ac:dyDescent="0.25">
      <c r="J4495"/>
      <c r="M4495"/>
      <c r="W4495"/>
    </row>
    <row r="4496" spans="10:23" x14ac:dyDescent="0.25">
      <c r="J4496"/>
      <c r="M4496"/>
      <c r="W4496"/>
    </row>
    <row r="4497" spans="10:23" x14ac:dyDescent="0.25">
      <c r="J4497"/>
      <c r="M4497"/>
      <c r="W4497"/>
    </row>
    <row r="4498" spans="10:23" x14ac:dyDescent="0.25">
      <c r="J4498"/>
      <c r="M4498"/>
      <c r="W4498"/>
    </row>
    <row r="4499" spans="10:23" x14ac:dyDescent="0.25">
      <c r="J4499"/>
      <c r="M4499"/>
      <c r="W4499"/>
    </row>
    <row r="4500" spans="10:23" x14ac:dyDescent="0.25">
      <c r="J4500"/>
      <c r="M4500"/>
      <c r="W4500"/>
    </row>
    <row r="4501" spans="10:23" x14ac:dyDescent="0.25">
      <c r="J4501"/>
      <c r="M4501"/>
      <c r="W4501"/>
    </row>
    <row r="4502" spans="10:23" x14ac:dyDescent="0.25">
      <c r="J4502"/>
      <c r="M4502"/>
      <c r="W4502"/>
    </row>
    <row r="4503" spans="10:23" x14ac:dyDescent="0.25">
      <c r="J4503"/>
      <c r="M4503"/>
      <c r="W4503"/>
    </row>
    <row r="4504" spans="10:23" x14ac:dyDescent="0.25">
      <c r="J4504"/>
      <c r="M4504"/>
      <c r="W4504"/>
    </row>
    <row r="4505" spans="10:23" x14ac:dyDescent="0.25">
      <c r="J4505"/>
      <c r="M4505"/>
      <c r="W4505"/>
    </row>
    <row r="4506" spans="10:23" x14ac:dyDescent="0.25">
      <c r="J4506"/>
      <c r="M4506"/>
      <c r="W4506"/>
    </row>
    <row r="4507" spans="10:23" x14ac:dyDescent="0.25">
      <c r="J4507"/>
      <c r="M4507"/>
      <c r="W4507"/>
    </row>
    <row r="4508" spans="10:23" x14ac:dyDescent="0.25">
      <c r="J4508"/>
      <c r="M4508"/>
      <c r="W4508"/>
    </row>
    <row r="4509" spans="10:23" x14ac:dyDescent="0.25">
      <c r="J4509"/>
      <c r="M4509"/>
      <c r="W4509"/>
    </row>
    <row r="4510" spans="10:23" x14ac:dyDescent="0.25">
      <c r="J4510"/>
      <c r="M4510"/>
      <c r="W4510"/>
    </row>
    <row r="4511" spans="10:23" x14ac:dyDescent="0.25">
      <c r="J4511"/>
      <c r="M4511"/>
      <c r="W4511"/>
    </row>
    <row r="4512" spans="10:23" x14ac:dyDescent="0.25">
      <c r="J4512"/>
      <c r="M4512"/>
      <c r="W4512"/>
    </row>
    <row r="4513" spans="10:23" x14ac:dyDescent="0.25">
      <c r="J4513"/>
      <c r="M4513"/>
      <c r="W4513"/>
    </row>
    <row r="4514" spans="10:23" x14ac:dyDescent="0.25">
      <c r="J4514"/>
      <c r="M4514"/>
      <c r="W4514"/>
    </row>
    <row r="4515" spans="10:23" x14ac:dyDescent="0.25">
      <c r="J4515"/>
      <c r="M4515"/>
      <c r="W4515"/>
    </row>
    <row r="4516" spans="10:23" x14ac:dyDescent="0.25">
      <c r="J4516"/>
      <c r="M4516"/>
      <c r="W4516"/>
    </row>
    <row r="4517" spans="10:23" x14ac:dyDescent="0.25">
      <c r="J4517"/>
      <c r="M4517"/>
      <c r="W4517"/>
    </row>
    <row r="4518" spans="10:23" x14ac:dyDescent="0.25">
      <c r="J4518"/>
      <c r="M4518"/>
      <c r="W4518"/>
    </row>
    <row r="4519" spans="10:23" x14ac:dyDescent="0.25">
      <c r="J4519"/>
      <c r="M4519"/>
      <c r="W4519"/>
    </row>
    <row r="4520" spans="10:23" x14ac:dyDescent="0.25">
      <c r="J4520"/>
      <c r="M4520"/>
      <c r="W4520"/>
    </row>
    <row r="4521" spans="10:23" x14ac:dyDescent="0.25">
      <c r="J4521"/>
      <c r="M4521"/>
      <c r="W4521"/>
    </row>
    <row r="4522" spans="10:23" x14ac:dyDescent="0.25">
      <c r="J4522"/>
      <c r="M4522"/>
      <c r="W4522"/>
    </row>
    <row r="4523" spans="10:23" x14ac:dyDescent="0.25">
      <c r="J4523"/>
      <c r="M4523"/>
      <c r="W4523"/>
    </row>
    <row r="4524" spans="10:23" x14ac:dyDescent="0.25">
      <c r="J4524"/>
      <c r="M4524"/>
      <c r="W4524"/>
    </row>
    <row r="4525" spans="10:23" x14ac:dyDescent="0.25">
      <c r="J4525"/>
      <c r="M4525"/>
      <c r="W4525"/>
    </row>
    <row r="4526" spans="10:23" x14ac:dyDescent="0.25">
      <c r="J4526"/>
      <c r="M4526"/>
      <c r="W4526"/>
    </row>
    <row r="4527" spans="10:23" x14ac:dyDescent="0.25">
      <c r="J4527"/>
      <c r="M4527"/>
      <c r="W4527"/>
    </row>
    <row r="4528" spans="10:23" x14ac:dyDescent="0.25">
      <c r="J4528"/>
      <c r="M4528"/>
      <c r="W4528"/>
    </row>
    <row r="4529" spans="10:23" x14ac:dyDescent="0.25">
      <c r="J4529"/>
      <c r="M4529"/>
      <c r="W4529"/>
    </row>
    <row r="4530" spans="10:23" x14ac:dyDescent="0.25">
      <c r="J4530"/>
      <c r="M4530"/>
      <c r="W4530"/>
    </row>
    <row r="4531" spans="10:23" x14ac:dyDescent="0.25">
      <c r="J4531"/>
      <c r="M4531"/>
      <c r="W4531"/>
    </row>
    <row r="4532" spans="10:23" x14ac:dyDescent="0.25">
      <c r="J4532"/>
      <c r="M4532"/>
      <c r="W4532"/>
    </row>
    <row r="4533" spans="10:23" x14ac:dyDescent="0.25">
      <c r="J4533"/>
      <c r="M4533"/>
      <c r="W4533"/>
    </row>
    <row r="4534" spans="10:23" x14ac:dyDescent="0.25">
      <c r="J4534"/>
      <c r="M4534"/>
      <c r="W4534"/>
    </row>
    <row r="4535" spans="10:23" x14ac:dyDescent="0.25">
      <c r="J4535"/>
      <c r="M4535"/>
      <c r="W4535"/>
    </row>
    <row r="4536" spans="10:23" x14ac:dyDescent="0.25">
      <c r="J4536"/>
      <c r="M4536"/>
      <c r="W4536"/>
    </row>
    <row r="4537" spans="10:23" x14ac:dyDescent="0.25">
      <c r="J4537"/>
      <c r="M4537"/>
      <c r="W4537"/>
    </row>
    <row r="4538" spans="10:23" x14ac:dyDescent="0.25">
      <c r="J4538"/>
      <c r="M4538"/>
      <c r="W4538"/>
    </row>
    <row r="4539" spans="10:23" x14ac:dyDescent="0.25">
      <c r="J4539"/>
      <c r="M4539"/>
      <c r="W4539"/>
    </row>
    <row r="4540" spans="10:23" x14ac:dyDescent="0.25">
      <c r="J4540"/>
      <c r="M4540"/>
      <c r="W4540"/>
    </row>
    <row r="4541" spans="10:23" x14ac:dyDescent="0.25">
      <c r="J4541"/>
      <c r="M4541"/>
      <c r="W4541"/>
    </row>
    <row r="4542" spans="10:23" x14ac:dyDescent="0.25">
      <c r="J4542"/>
      <c r="M4542"/>
      <c r="W4542"/>
    </row>
    <row r="4543" spans="10:23" x14ac:dyDescent="0.25">
      <c r="J4543"/>
      <c r="M4543"/>
      <c r="W4543"/>
    </row>
    <row r="4544" spans="10:23" x14ac:dyDescent="0.25">
      <c r="J4544"/>
      <c r="M4544"/>
      <c r="W4544"/>
    </row>
    <row r="4545" spans="10:23" x14ac:dyDescent="0.25">
      <c r="J4545"/>
      <c r="M4545"/>
      <c r="W4545"/>
    </row>
    <row r="4546" spans="10:23" x14ac:dyDescent="0.25">
      <c r="J4546"/>
      <c r="M4546"/>
      <c r="W4546"/>
    </row>
    <row r="4547" spans="10:23" x14ac:dyDescent="0.25">
      <c r="J4547"/>
      <c r="M4547"/>
      <c r="W4547"/>
    </row>
    <row r="4548" spans="10:23" x14ac:dyDescent="0.25">
      <c r="J4548"/>
      <c r="M4548"/>
      <c r="W4548"/>
    </row>
    <row r="4549" spans="10:23" x14ac:dyDescent="0.25">
      <c r="J4549"/>
      <c r="M4549"/>
      <c r="W4549"/>
    </row>
    <row r="4550" spans="10:23" x14ac:dyDescent="0.25">
      <c r="J4550"/>
      <c r="M4550"/>
      <c r="W4550"/>
    </row>
    <row r="4551" spans="10:23" x14ac:dyDescent="0.25">
      <c r="J4551"/>
      <c r="M4551"/>
      <c r="W4551"/>
    </row>
    <row r="4552" spans="10:23" x14ac:dyDescent="0.25">
      <c r="J4552"/>
      <c r="M4552"/>
      <c r="W4552"/>
    </row>
    <row r="4553" spans="10:23" x14ac:dyDescent="0.25">
      <c r="J4553"/>
      <c r="M4553"/>
      <c r="W4553"/>
    </row>
    <row r="4554" spans="10:23" x14ac:dyDescent="0.25">
      <c r="J4554"/>
      <c r="M4554"/>
      <c r="W4554"/>
    </row>
    <row r="4555" spans="10:23" x14ac:dyDescent="0.25">
      <c r="J4555"/>
      <c r="M4555"/>
      <c r="W4555"/>
    </row>
    <row r="4556" spans="10:23" x14ac:dyDescent="0.25">
      <c r="J4556"/>
      <c r="M4556"/>
      <c r="W4556"/>
    </row>
    <row r="4557" spans="10:23" x14ac:dyDescent="0.25">
      <c r="J4557"/>
      <c r="M4557"/>
      <c r="W4557"/>
    </row>
    <row r="4558" spans="10:23" x14ac:dyDescent="0.25">
      <c r="J4558"/>
      <c r="M4558"/>
      <c r="W4558"/>
    </row>
    <row r="4559" spans="10:23" x14ac:dyDescent="0.25">
      <c r="J4559"/>
      <c r="M4559"/>
      <c r="W4559"/>
    </row>
    <row r="4560" spans="10:23" x14ac:dyDescent="0.25">
      <c r="J4560"/>
      <c r="M4560"/>
      <c r="W4560"/>
    </row>
    <row r="4561" spans="10:23" x14ac:dyDescent="0.25">
      <c r="J4561"/>
      <c r="M4561"/>
      <c r="W4561"/>
    </row>
    <row r="4562" spans="10:23" x14ac:dyDescent="0.25">
      <c r="J4562"/>
      <c r="M4562"/>
      <c r="W4562"/>
    </row>
    <row r="4563" spans="10:23" x14ac:dyDescent="0.25">
      <c r="J4563"/>
      <c r="M4563"/>
      <c r="W4563"/>
    </row>
    <row r="4564" spans="10:23" x14ac:dyDescent="0.25">
      <c r="J4564"/>
      <c r="M4564"/>
      <c r="W4564"/>
    </row>
    <row r="4565" spans="10:23" x14ac:dyDescent="0.25">
      <c r="J4565"/>
      <c r="M4565"/>
      <c r="W4565"/>
    </row>
    <row r="4566" spans="10:23" x14ac:dyDescent="0.25">
      <c r="J4566"/>
      <c r="M4566"/>
      <c r="W4566"/>
    </row>
    <row r="4567" spans="10:23" x14ac:dyDescent="0.25">
      <c r="J4567"/>
      <c r="M4567"/>
      <c r="W4567"/>
    </row>
    <row r="4568" spans="10:23" x14ac:dyDescent="0.25">
      <c r="J4568"/>
      <c r="M4568"/>
      <c r="W4568"/>
    </row>
    <row r="4569" spans="10:23" x14ac:dyDescent="0.25">
      <c r="J4569"/>
      <c r="M4569"/>
      <c r="W4569"/>
    </row>
    <row r="4570" spans="10:23" x14ac:dyDescent="0.25">
      <c r="J4570"/>
      <c r="M4570"/>
      <c r="W4570"/>
    </row>
    <row r="4571" spans="10:23" x14ac:dyDescent="0.25">
      <c r="J4571"/>
      <c r="M4571"/>
      <c r="W4571"/>
    </row>
    <row r="4572" spans="10:23" x14ac:dyDescent="0.25">
      <c r="J4572"/>
      <c r="M4572"/>
      <c r="W4572"/>
    </row>
    <row r="4573" spans="10:23" x14ac:dyDescent="0.25">
      <c r="J4573"/>
      <c r="M4573"/>
      <c r="W4573"/>
    </row>
    <row r="4574" spans="10:23" x14ac:dyDescent="0.25">
      <c r="J4574"/>
      <c r="M4574"/>
      <c r="W4574"/>
    </row>
    <row r="4575" spans="10:23" x14ac:dyDescent="0.25">
      <c r="J4575"/>
      <c r="M4575"/>
      <c r="W4575"/>
    </row>
    <row r="4576" spans="10:23" x14ac:dyDescent="0.25">
      <c r="J4576"/>
      <c r="M4576"/>
      <c r="W4576"/>
    </row>
    <row r="4577" spans="10:23" x14ac:dyDescent="0.25">
      <c r="J4577"/>
      <c r="M4577"/>
      <c r="W4577"/>
    </row>
    <row r="4578" spans="10:23" x14ac:dyDescent="0.25">
      <c r="J4578"/>
      <c r="M4578"/>
      <c r="W4578"/>
    </row>
    <row r="4579" spans="10:23" x14ac:dyDescent="0.25">
      <c r="J4579"/>
      <c r="M4579"/>
      <c r="W4579"/>
    </row>
    <row r="4580" spans="10:23" x14ac:dyDescent="0.25">
      <c r="J4580"/>
      <c r="M4580"/>
      <c r="W4580"/>
    </row>
    <row r="4581" spans="10:23" x14ac:dyDescent="0.25">
      <c r="J4581"/>
      <c r="M4581"/>
      <c r="W4581"/>
    </row>
    <row r="4582" spans="10:23" x14ac:dyDescent="0.25">
      <c r="J4582"/>
      <c r="M4582"/>
      <c r="W4582"/>
    </row>
    <row r="4583" spans="10:23" x14ac:dyDescent="0.25">
      <c r="J4583"/>
      <c r="M4583"/>
      <c r="W4583"/>
    </row>
    <row r="4584" spans="10:23" x14ac:dyDescent="0.25">
      <c r="J4584"/>
      <c r="M4584"/>
      <c r="W4584"/>
    </row>
    <row r="4585" spans="10:23" x14ac:dyDescent="0.25">
      <c r="J4585"/>
      <c r="M4585"/>
      <c r="W4585"/>
    </row>
    <row r="4586" spans="10:23" x14ac:dyDescent="0.25">
      <c r="J4586"/>
      <c r="M4586"/>
      <c r="W4586"/>
    </row>
    <row r="4587" spans="10:23" x14ac:dyDescent="0.25">
      <c r="J4587"/>
      <c r="M4587"/>
      <c r="W4587"/>
    </row>
    <row r="4588" spans="10:23" x14ac:dyDescent="0.25">
      <c r="J4588"/>
      <c r="M4588"/>
      <c r="W4588"/>
    </row>
    <row r="4589" spans="10:23" x14ac:dyDescent="0.25">
      <c r="J4589"/>
      <c r="M4589"/>
      <c r="W4589"/>
    </row>
    <row r="4590" spans="10:23" x14ac:dyDescent="0.25">
      <c r="J4590"/>
      <c r="M4590"/>
      <c r="W4590"/>
    </row>
    <row r="4591" spans="10:23" x14ac:dyDescent="0.25">
      <c r="J4591"/>
      <c r="M4591"/>
      <c r="W4591"/>
    </row>
    <row r="4592" spans="10:23" x14ac:dyDescent="0.25">
      <c r="J4592"/>
      <c r="M4592"/>
      <c r="W4592"/>
    </row>
    <row r="4593" spans="10:23" x14ac:dyDescent="0.25">
      <c r="J4593"/>
      <c r="M4593"/>
      <c r="W4593"/>
    </row>
    <row r="4594" spans="10:23" x14ac:dyDescent="0.25">
      <c r="J4594"/>
      <c r="M4594"/>
      <c r="W4594"/>
    </row>
    <row r="4595" spans="10:23" x14ac:dyDescent="0.25">
      <c r="J4595"/>
      <c r="M4595"/>
      <c r="W4595"/>
    </row>
    <row r="4596" spans="10:23" x14ac:dyDescent="0.25">
      <c r="J4596"/>
      <c r="M4596"/>
      <c r="W4596"/>
    </row>
    <row r="4597" spans="10:23" x14ac:dyDescent="0.25">
      <c r="J4597"/>
      <c r="M4597"/>
      <c r="W4597"/>
    </row>
    <row r="4598" spans="10:23" x14ac:dyDescent="0.25">
      <c r="J4598"/>
      <c r="M4598"/>
      <c r="W4598"/>
    </row>
    <row r="4599" spans="10:23" x14ac:dyDescent="0.25">
      <c r="J4599"/>
      <c r="M4599"/>
      <c r="W4599"/>
    </row>
    <row r="4600" spans="10:23" x14ac:dyDescent="0.25">
      <c r="J4600"/>
      <c r="M4600"/>
      <c r="W4600"/>
    </row>
    <row r="4601" spans="10:23" x14ac:dyDescent="0.25">
      <c r="J4601"/>
      <c r="M4601"/>
      <c r="W4601"/>
    </row>
    <row r="4602" spans="10:23" x14ac:dyDescent="0.25">
      <c r="J4602"/>
      <c r="M4602"/>
      <c r="W4602"/>
    </row>
    <row r="4603" spans="10:23" x14ac:dyDescent="0.25">
      <c r="J4603"/>
      <c r="M4603"/>
      <c r="W4603"/>
    </row>
    <row r="4604" spans="10:23" x14ac:dyDescent="0.25">
      <c r="J4604"/>
      <c r="M4604"/>
      <c r="W4604"/>
    </row>
    <row r="4605" spans="10:23" x14ac:dyDescent="0.25">
      <c r="J4605"/>
      <c r="M4605"/>
      <c r="W4605"/>
    </row>
    <row r="4606" spans="10:23" x14ac:dyDescent="0.25">
      <c r="J4606"/>
      <c r="M4606"/>
      <c r="W4606"/>
    </row>
    <row r="4607" spans="10:23" x14ac:dyDescent="0.25">
      <c r="J4607"/>
      <c r="M4607"/>
      <c r="W4607"/>
    </row>
    <row r="4608" spans="10:23" x14ac:dyDescent="0.25">
      <c r="J4608"/>
      <c r="M4608"/>
      <c r="W4608"/>
    </row>
    <row r="4609" spans="10:23" x14ac:dyDescent="0.25">
      <c r="J4609"/>
      <c r="M4609"/>
      <c r="W4609"/>
    </row>
    <row r="4610" spans="10:23" x14ac:dyDescent="0.25">
      <c r="J4610"/>
      <c r="M4610"/>
      <c r="W4610"/>
    </row>
    <row r="4611" spans="10:23" x14ac:dyDescent="0.25">
      <c r="J4611"/>
      <c r="M4611"/>
      <c r="W4611"/>
    </row>
    <row r="4612" spans="10:23" x14ac:dyDescent="0.25">
      <c r="J4612"/>
      <c r="M4612"/>
      <c r="W4612"/>
    </row>
    <row r="4613" spans="10:23" x14ac:dyDescent="0.25">
      <c r="J4613"/>
      <c r="M4613"/>
      <c r="W4613"/>
    </row>
    <row r="4614" spans="10:23" x14ac:dyDescent="0.25">
      <c r="J4614"/>
      <c r="M4614"/>
      <c r="W4614"/>
    </row>
    <row r="4615" spans="10:23" x14ac:dyDescent="0.25">
      <c r="J4615"/>
      <c r="M4615"/>
      <c r="W4615"/>
    </row>
    <row r="4616" spans="10:23" x14ac:dyDescent="0.25">
      <c r="J4616"/>
      <c r="M4616"/>
      <c r="W4616"/>
    </row>
    <row r="4617" spans="10:23" x14ac:dyDescent="0.25">
      <c r="J4617"/>
      <c r="M4617"/>
      <c r="W4617"/>
    </row>
    <row r="4618" spans="10:23" x14ac:dyDescent="0.25">
      <c r="J4618"/>
      <c r="M4618"/>
      <c r="W4618"/>
    </row>
    <row r="4619" spans="10:23" x14ac:dyDescent="0.25">
      <c r="J4619"/>
      <c r="M4619"/>
      <c r="W4619"/>
    </row>
    <row r="4620" spans="10:23" x14ac:dyDescent="0.25">
      <c r="J4620"/>
      <c r="M4620"/>
      <c r="W4620"/>
    </row>
    <row r="4621" spans="10:23" x14ac:dyDescent="0.25">
      <c r="J4621"/>
      <c r="M4621"/>
      <c r="W4621"/>
    </row>
    <row r="4622" spans="10:23" x14ac:dyDescent="0.25">
      <c r="J4622"/>
      <c r="M4622"/>
      <c r="W4622"/>
    </row>
    <row r="4623" spans="10:23" x14ac:dyDescent="0.25">
      <c r="J4623"/>
      <c r="M4623"/>
      <c r="W4623"/>
    </row>
    <row r="4624" spans="10:23" x14ac:dyDescent="0.25">
      <c r="J4624"/>
      <c r="M4624"/>
      <c r="W4624"/>
    </row>
    <row r="4625" spans="10:23" x14ac:dyDescent="0.25">
      <c r="J4625"/>
      <c r="M4625"/>
      <c r="W4625"/>
    </row>
    <row r="4626" spans="10:23" x14ac:dyDescent="0.25">
      <c r="J4626"/>
      <c r="M4626"/>
      <c r="W4626"/>
    </row>
    <row r="4627" spans="10:23" x14ac:dyDescent="0.25">
      <c r="J4627"/>
      <c r="M4627"/>
      <c r="W4627"/>
    </row>
    <row r="4628" spans="10:23" x14ac:dyDescent="0.25">
      <c r="J4628"/>
      <c r="M4628"/>
      <c r="W4628"/>
    </row>
    <row r="4629" spans="10:23" x14ac:dyDescent="0.25">
      <c r="J4629"/>
      <c r="M4629"/>
      <c r="W4629"/>
    </row>
    <row r="4630" spans="10:23" x14ac:dyDescent="0.25">
      <c r="J4630"/>
      <c r="M4630"/>
      <c r="W4630"/>
    </row>
    <row r="4631" spans="10:23" x14ac:dyDescent="0.25">
      <c r="J4631"/>
      <c r="M4631"/>
      <c r="W4631"/>
    </row>
    <row r="4632" spans="10:23" x14ac:dyDescent="0.25">
      <c r="J4632"/>
      <c r="M4632"/>
      <c r="W4632"/>
    </row>
    <row r="4633" spans="10:23" x14ac:dyDescent="0.25">
      <c r="J4633"/>
      <c r="M4633"/>
      <c r="W4633"/>
    </row>
    <row r="4634" spans="10:23" x14ac:dyDescent="0.25">
      <c r="J4634"/>
      <c r="M4634"/>
      <c r="W4634"/>
    </row>
    <row r="4635" spans="10:23" x14ac:dyDescent="0.25">
      <c r="J4635"/>
      <c r="M4635"/>
      <c r="W4635"/>
    </row>
    <row r="4636" spans="10:23" x14ac:dyDescent="0.25">
      <c r="J4636"/>
      <c r="M4636"/>
      <c r="W4636"/>
    </row>
    <row r="4637" spans="10:23" x14ac:dyDescent="0.25">
      <c r="J4637"/>
      <c r="M4637"/>
      <c r="W4637"/>
    </row>
    <row r="4638" spans="10:23" x14ac:dyDescent="0.25">
      <c r="J4638"/>
      <c r="M4638"/>
      <c r="W4638"/>
    </row>
    <row r="4639" spans="10:23" x14ac:dyDescent="0.25">
      <c r="J4639"/>
      <c r="M4639"/>
      <c r="W4639"/>
    </row>
    <row r="4640" spans="10:23" x14ac:dyDescent="0.25">
      <c r="J4640"/>
      <c r="M4640"/>
      <c r="W4640"/>
    </row>
    <row r="4641" spans="10:23" x14ac:dyDescent="0.25">
      <c r="J4641"/>
      <c r="M4641"/>
      <c r="W4641"/>
    </row>
    <row r="4642" spans="10:23" x14ac:dyDescent="0.25">
      <c r="J4642"/>
      <c r="M4642"/>
      <c r="W4642"/>
    </row>
    <row r="4643" spans="10:23" x14ac:dyDescent="0.25">
      <c r="J4643"/>
      <c r="M4643"/>
      <c r="W4643"/>
    </row>
    <row r="4644" spans="10:23" x14ac:dyDescent="0.25">
      <c r="J4644"/>
      <c r="M4644"/>
      <c r="W4644"/>
    </row>
    <row r="4645" spans="10:23" x14ac:dyDescent="0.25">
      <c r="J4645"/>
      <c r="M4645"/>
      <c r="W4645"/>
    </row>
    <row r="4646" spans="10:23" x14ac:dyDescent="0.25">
      <c r="J4646"/>
      <c r="M4646"/>
      <c r="W4646"/>
    </row>
    <row r="4647" spans="10:23" x14ac:dyDescent="0.25">
      <c r="J4647"/>
      <c r="M4647"/>
      <c r="W4647"/>
    </row>
    <row r="4648" spans="10:23" x14ac:dyDescent="0.25">
      <c r="J4648"/>
      <c r="M4648"/>
      <c r="W4648"/>
    </row>
    <row r="4649" spans="10:23" x14ac:dyDescent="0.25">
      <c r="J4649"/>
      <c r="M4649"/>
      <c r="W4649"/>
    </row>
    <row r="4650" spans="10:23" x14ac:dyDescent="0.25">
      <c r="J4650"/>
      <c r="M4650"/>
      <c r="W4650"/>
    </row>
    <row r="4651" spans="10:23" x14ac:dyDescent="0.25">
      <c r="J4651"/>
      <c r="M4651"/>
      <c r="W4651"/>
    </row>
    <row r="4652" spans="10:23" x14ac:dyDescent="0.25">
      <c r="J4652"/>
      <c r="M4652"/>
      <c r="W4652"/>
    </row>
    <row r="4653" spans="10:23" x14ac:dyDescent="0.25">
      <c r="J4653"/>
      <c r="M4653"/>
      <c r="W4653"/>
    </row>
    <row r="4654" spans="10:23" x14ac:dyDescent="0.25">
      <c r="J4654"/>
      <c r="M4654"/>
      <c r="W4654"/>
    </row>
    <row r="4655" spans="10:23" x14ac:dyDescent="0.25">
      <c r="J4655"/>
      <c r="M4655"/>
      <c r="W4655"/>
    </row>
    <row r="4656" spans="10:23" x14ac:dyDescent="0.25">
      <c r="J4656"/>
      <c r="M4656"/>
      <c r="W4656"/>
    </row>
    <row r="4657" spans="10:23" x14ac:dyDescent="0.25">
      <c r="J4657"/>
      <c r="M4657"/>
      <c r="W4657"/>
    </row>
    <row r="4658" spans="10:23" x14ac:dyDescent="0.25">
      <c r="J4658"/>
      <c r="M4658"/>
      <c r="W4658"/>
    </row>
    <row r="4659" spans="10:23" x14ac:dyDescent="0.25">
      <c r="J4659"/>
      <c r="M4659"/>
      <c r="W4659"/>
    </row>
    <row r="4660" spans="10:23" x14ac:dyDescent="0.25">
      <c r="J4660"/>
      <c r="M4660"/>
      <c r="W4660"/>
    </row>
    <row r="4661" spans="10:23" x14ac:dyDescent="0.25">
      <c r="J4661"/>
      <c r="M4661"/>
      <c r="W4661"/>
    </row>
    <row r="4662" spans="10:23" x14ac:dyDescent="0.25">
      <c r="J4662"/>
      <c r="M4662"/>
      <c r="W4662"/>
    </row>
    <row r="4663" spans="10:23" x14ac:dyDescent="0.25">
      <c r="J4663"/>
      <c r="M4663"/>
      <c r="W4663"/>
    </row>
    <row r="4664" spans="10:23" x14ac:dyDescent="0.25">
      <c r="J4664"/>
      <c r="M4664"/>
      <c r="W4664"/>
    </row>
    <row r="4665" spans="10:23" x14ac:dyDescent="0.25">
      <c r="J4665"/>
      <c r="M4665"/>
      <c r="W4665"/>
    </row>
    <row r="4666" spans="10:23" x14ac:dyDescent="0.25">
      <c r="J4666"/>
      <c r="M4666"/>
      <c r="W4666"/>
    </row>
    <row r="4667" spans="10:23" x14ac:dyDescent="0.25">
      <c r="J4667"/>
      <c r="M4667"/>
      <c r="W4667"/>
    </row>
    <row r="4668" spans="10:23" x14ac:dyDescent="0.25">
      <c r="J4668"/>
      <c r="M4668"/>
      <c r="W4668"/>
    </row>
    <row r="4669" spans="10:23" x14ac:dyDescent="0.25">
      <c r="J4669"/>
      <c r="M4669"/>
      <c r="W4669"/>
    </row>
    <row r="4670" spans="10:23" x14ac:dyDescent="0.25">
      <c r="J4670"/>
      <c r="M4670"/>
      <c r="W4670"/>
    </row>
    <row r="4671" spans="10:23" x14ac:dyDescent="0.25">
      <c r="J4671"/>
      <c r="M4671"/>
      <c r="W4671"/>
    </row>
    <row r="4672" spans="10:23" x14ac:dyDescent="0.25">
      <c r="J4672"/>
      <c r="M4672"/>
      <c r="W4672"/>
    </row>
    <row r="4673" spans="10:23" x14ac:dyDescent="0.25">
      <c r="J4673"/>
      <c r="M4673"/>
      <c r="W4673"/>
    </row>
    <row r="4674" spans="10:23" x14ac:dyDescent="0.25">
      <c r="J4674"/>
      <c r="M4674"/>
      <c r="W4674"/>
    </row>
    <row r="4675" spans="10:23" x14ac:dyDescent="0.25">
      <c r="J4675"/>
      <c r="M4675"/>
      <c r="W4675"/>
    </row>
    <row r="4676" spans="10:23" x14ac:dyDescent="0.25">
      <c r="J4676"/>
      <c r="M4676"/>
      <c r="W4676"/>
    </row>
    <row r="4677" spans="10:23" x14ac:dyDescent="0.25">
      <c r="J4677"/>
      <c r="M4677"/>
      <c r="W4677"/>
    </row>
    <row r="4678" spans="10:23" x14ac:dyDescent="0.25">
      <c r="J4678"/>
      <c r="M4678"/>
      <c r="W4678"/>
    </row>
    <row r="4679" spans="10:23" x14ac:dyDescent="0.25">
      <c r="J4679"/>
      <c r="M4679"/>
      <c r="W4679"/>
    </row>
    <row r="4680" spans="10:23" x14ac:dyDescent="0.25">
      <c r="J4680"/>
      <c r="M4680"/>
      <c r="W4680"/>
    </row>
    <row r="4681" spans="10:23" x14ac:dyDescent="0.25">
      <c r="J4681"/>
      <c r="M4681"/>
      <c r="W4681"/>
    </row>
    <row r="4682" spans="10:23" x14ac:dyDescent="0.25">
      <c r="J4682"/>
      <c r="M4682"/>
      <c r="W4682"/>
    </row>
    <row r="4683" spans="10:23" x14ac:dyDescent="0.25">
      <c r="J4683"/>
      <c r="M4683"/>
      <c r="W4683"/>
    </row>
    <row r="4684" spans="10:23" x14ac:dyDescent="0.25">
      <c r="J4684"/>
      <c r="M4684"/>
      <c r="W4684"/>
    </row>
    <row r="4685" spans="10:23" x14ac:dyDescent="0.25">
      <c r="J4685"/>
      <c r="M4685"/>
      <c r="W4685"/>
    </row>
    <row r="4686" spans="10:23" x14ac:dyDescent="0.25">
      <c r="J4686"/>
      <c r="M4686"/>
      <c r="W4686"/>
    </row>
    <row r="4687" spans="10:23" x14ac:dyDescent="0.25">
      <c r="J4687"/>
      <c r="M4687"/>
      <c r="W4687"/>
    </row>
    <row r="4688" spans="10:23" x14ac:dyDescent="0.25">
      <c r="J4688"/>
      <c r="M4688"/>
      <c r="W4688"/>
    </row>
    <row r="4689" spans="10:23" x14ac:dyDescent="0.25">
      <c r="J4689"/>
      <c r="M4689"/>
      <c r="W4689"/>
    </row>
    <row r="4690" spans="10:23" x14ac:dyDescent="0.25">
      <c r="J4690"/>
      <c r="M4690"/>
      <c r="W4690"/>
    </row>
    <row r="4691" spans="10:23" x14ac:dyDescent="0.25">
      <c r="J4691"/>
      <c r="M4691"/>
      <c r="W4691"/>
    </row>
    <row r="4692" spans="10:23" x14ac:dyDescent="0.25">
      <c r="J4692"/>
      <c r="M4692"/>
      <c r="W4692"/>
    </row>
    <row r="4693" spans="10:23" x14ac:dyDescent="0.25">
      <c r="J4693"/>
      <c r="M4693"/>
      <c r="W4693"/>
    </row>
    <row r="4694" spans="10:23" x14ac:dyDescent="0.25">
      <c r="J4694"/>
      <c r="M4694"/>
      <c r="W4694"/>
    </row>
    <row r="4695" spans="10:23" x14ac:dyDescent="0.25">
      <c r="J4695"/>
      <c r="M4695"/>
      <c r="W4695"/>
    </row>
    <row r="4696" spans="10:23" x14ac:dyDescent="0.25">
      <c r="J4696"/>
      <c r="M4696"/>
      <c r="W4696"/>
    </row>
    <row r="4697" spans="10:23" x14ac:dyDescent="0.25">
      <c r="J4697"/>
      <c r="M4697"/>
      <c r="W4697"/>
    </row>
    <row r="4698" spans="10:23" x14ac:dyDescent="0.25">
      <c r="J4698"/>
      <c r="M4698"/>
      <c r="W4698"/>
    </row>
    <row r="4699" spans="10:23" x14ac:dyDescent="0.25">
      <c r="J4699"/>
      <c r="M4699"/>
      <c r="W4699"/>
    </row>
    <row r="4700" spans="10:23" x14ac:dyDescent="0.25">
      <c r="J4700"/>
      <c r="M4700"/>
      <c r="W4700"/>
    </row>
    <row r="4701" spans="10:23" x14ac:dyDescent="0.25">
      <c r="J4701"/>
      <c r="M4701"/>
      <c r="W4701"/>
    </row>
    <row r="4702" spans="10:23" x14ac:dyDescent="0.25">
      <c r="J4702"/>
      <c r="M4702"/>
      <c r="W4702"/>
    </row>
    <row r="4703" spans="10:23" x14ac:dyDescent="0.25">
      <c r="J4703"/>
      <c r="M4703"/>
      <c r="W4703"/>
    </row>
    <row r="4704" spans="10:23" x14ac:dyDescent="0.25">
      <c r="J4704"/>
      <c r="M4704"/>
      <c r="W4704"/>
    </row>
    <row r="4705" spans="10:23" x14ac:dyDescent="0.25">
      <c r="J4705"/>
      <c r="M4705"/>
      <c r="W4705"/>
    </row>
    <row r="4706" spans="10:23" x14ac:dyDescent="0.25">
      <c r="J4706"/>
      <c r="M4706"/>
      <c r="W4706"/>
    </row>
    <row r="4707" spans="10:23" x14ac:dyDescent="0.25">
      <c r="J4707"/>
      <c r="M4707"/>
      <c r="W4707"/>
    </row>
    <row r="4708" spans="10:23" x14ac:dyDescent="0.25">
      <c r="J4708"/>
      <c r="M4708"/>
      <c r="W4708"/>
    </row>
    <row r="4709" spans="10:23" x14ac:dyDescent="0.25">
      <c r="J4709"/>
      <c r="M4709"/>
      <c r="W4709"/>
    </row>
    <row r="4710" spans="10:23" x14ac:dyDescent="0.25">
      <c r="J4710"/>
      <c r="M4710"/>
      <c r="W4710"/>
    </row>
    <row r="4711" spans="10:23" x14ac:dyDescent="0.25">
      <c r="J4711"/>
      <c r="M4711"/>
      <c r="W4711"/>
    </row>
    <row r="4712" spans="10:23" x14ac:dyDescent="0.25">
      <c r="J4712"/>
      <c r="M4712"/>
      <c r="W4712"/>
    </row>
    <row r="4713" spans="10:23" x14ac:dyDescent="0.25">
      <c r="J4713"/>
      <c r="M4713"/>
      <c r="W4713"/>
    </row>
    <row r="4714" spans="10:23" x14ac:dyDescent="0.25">
      <c r="J4714"/>
      <c r="M4714"/>
      <c r="W4714"/>
    </row>
    <row r="4715" spans="10:23" x14ac:dyDescent="0.25">
      <c r="J4715"/>
      <c r="M4715"/>
      <c r="W4715"/>
    </row>
    <row r="4716" spans="10:23" x14ac:dyDescent="0.25">
      <c r="J4716"/>
      <c r="M4716"/>
      <c r="W4716"/>
    </row>
    <row r="4717" spans="10:23" x14ac:dyDescent="0.25">
      <c r="J4717"/>
      <c r="M4717"/>
      <c r="W4717"/>
    </row>
    <row r="4718" spans="10:23" x14ac:dyDescent="0.25">
      <c r="J4718"/>
      <c r="M4718"/>
      <c r="W4718"/>
    </row>
    <row r="4719" spans="10:23" x14ac:dyDescent="0.25">
      <c r="J4719"/>
      <c r="M4719"/>
      <c r="W4719"/>
    </row>
    <row r="4720" spans="10:23" x14ac:dyDescent="0.25">
      <c r="J4720"/>
      <c r="M4720"/>
      <c r="W4720"/>
    </row>
    <row r="4721" spans="10:23" x14ac:dyDescent="0.25">
      <c r="J4721"/>
      <c r="M4721"/>
      <c r="W4721"/>
    </row>
    <row r="4722" spans="10:23" x14ac:dyDescent="0.25">
      <c r="J4722"/>
      <c r="M4722"/>
      <c r="W4722"/>
    </row>
    <row r="4723" spans="10:23" x14ac:dyDescent="0.25">
      <c r="J4723"/>
      <c r="M4723"/>
      <c r="W4723"/>
    </row>
    <row r="4724" spans="10:23" x14ac:dyDescent="0.25">
      <c r="J4724"/>
      <c r="M4724"/>
      <c r="W4724"/>
    </row>
    <row r="4725" spans="10:23" x14ac:dyDescent="0.25">
      <c r="J4725"/>
      <c r="M4725"/>
      <c r="W4725"/>
    </row>
    <row r="4726" spans="10:23" x14ac:dyDescent="0.25">
      <c r="J4726"/>
      <c r="M4726"/>
      <c r="W4726"/>
    </row>
    <row r="4727" spans="10:23" x14ac:dyDescent="0.25">
      <c r="J4727"/>
      <c r="M4727"/>
      <c r="W4727"/>
    </row>
    <row r="4728" spans="10:23" x14ac:dyDescent="0.25">
      <c r="J4728"/>
      <c r="M4728"/>
      <c r="W4728"/>
    </row>
    <row r="4729" spans="10:23" x14ac:dyDescent="0.25">
      <c r="J4729"/>
      <c r="M4729"/>
      <c r="W4729"/>
    </row>
    <row r="4730" spans="10:23" x14ac:dyDescent="0.25">
      <c r="J4730"/>
      <c r="M4730"/>
      <c r="W4730"/>
    </row>
    <row r="4731" spans="10:23" x14ac:dyDescent="0.25">
      <c r="J4731"/>
      <c r="M4731"/>
      <c r="W4731"/>
    </row>
    <row r="4732" spans="10:23" x14ac:dyDescent="0.25">
      <c r="J4732"/>
      <c r="M4732"/>
      <c r="W4732"/>
    </row>
    <row r="4733" spans="10:23" x14ac:dyDescent="0.25">
      <c r="J4733"/>
      <c r="M4733"/>
      <c r="W4733"/>
    </row>
    <row r="4734" spans="10:23" x14ac:dyDescent="0.25">
      <c r="J4734"/>
      <c r="M4734"/>
      <c r="W4734"/>
    </row>
    <row r="4735" spans="10:23" x14ac:dyDescent="0.25">
      <c r="J4735"/>
      <c r="M4735"/>
      <c r="W4735"/>
    </row>
    <row r="4736" spans="10:23" x14ac:dyDescent="0.25">
      <c r="J4736"/>
      <c r="M4736"/>
      <c r="W4736"/>
    </row>
    <row r="4737" spans="10:23" x14ac:dyDescent="0.25">
      <c r="J4737"/>
      <c r="M4737"/>
      <c r="W4737"/>
    </row>
    <row r="4738" spans="10:23" x14ac:dyDescent="0.25">
      <c r="J4738"/>
      <c r="M4738"/>
      <c r="W4738"/>
    </row>
    <row r="4739" spans="10:23" x14ac:dyDescent="0.25">
      <c r="J4739"/>
      <c r="M4739"/>
      <c r="W4739"/>
    </row>
    <row r="4740" spans="10:23" x14ac:dyDescent="0.25">
      <c r="J4740"/>
      <c r="M4740"/>
      <c r="W4740"/>
    </row>
    <row r="4741" spans="10:23" x14ac:dyDescent="0.25">
      <c r="J4741"/>
      <c r="M4741"/>
      <c r="W4741"/>
    </row>
    <row r="4742" spans="10:23" x14ac:dyDescent="0.25">
      <c r="J4742"/>
      <c r="M4742"/>
      <c r="W4742"/>
    </row>
    <row r="4743" spans="10:23" x14ac:dyDescent="0.25">
      <c r="J4743"/>
      <c r="M4743"/>
      <c r="W4743"/>
    </row>
    <row r="4744" spans="10:23" x14ac:dyDescent="0.25">
      <c r="J4744"/>
      <c r="M4744"/>
      <c r="W4744"/>
    </row>
    <row r="4745" spans="10:23" x14ac:dyDescent="0.25">
      <c r="J4745"/>
      <c r="M4745"/>
      <c r="W4745"/>
    </row>
    <row r="4746" spans="10:23" x14ac:dyDescent="0.25">
      <c r="J4746"/>
      <c r="M4746"/>
      <c r="W4746"/>
    </row>
    <row r="4747" spans="10:23" x14ac:dyDescent="0.25">
      <c r="J4747"/>
      <c r="M4747"/>
      <c r="W4747"/>
    </row>
    <row r="4748" spans="10:23" x14ac:dyDescent="0.25">
      <c r="J4748"/>
      <c r="M4748"/>
      <c r="W4748"/>
    </row>
    <row r="4749" spans="10:23" x14ac:dyDescent="0.25">
      <c r="J4749"/>
      <c r="M4749"/>
      <c r="W4749"/>
    </row>
    <row r="4750" spans="10:23" x14ac:dyDescent="0.25">
      <c r="J4750"/>
      <c r="M4750"/>
      <c r="W4750"/>
    </row>
    <row r="4751" spans="10:23" x14ac:dyDescent="0.25">
      <c r="J4751"/>
      <c r="M4751"/>
      <c r="W4751"/>
    </row>
    <row r="4752" spans="10:23" x14ac:dyDescent="0.25">
      <c r="J4752"/>
      <c r="M4752"/>
      <c r="W4752"/>
    </row>
    <row r="4753" spans="10:23" x14ac:dyDescent="0.25">
      <c r="J4753"/>
      <c r="M4753"/>
      <c r="W4753"/>
    </row>
    <row r="4754" spans="10:23" x14ac:dyDescent="0.25">
      <c r="J4754"/>
      <c r="M4754"/>
      <c r="W4754"/>
    </row>
    <row r="4755" spans="10:23" x14ac:dyDescent="0.25">
      <c r="J4755"/>
      <c r="M4755"/>
      <c r="W4755"/>
    </row>
    <row r="4756" spans="10:23" x14ac:dyDescent="0.25">
      <c r="J4756"/>
      <c r="M4756"/>
      <c r="W4756"/>
    </row>
    <row r="4757" spans="10:23" x14ac:dyDescent="0.25">
      <c r="J4757"/>
      <c r="M4757"/>
      <c r="W4757"/>
    </row>
    <row r="4758" spans="10:23" x14ac:dyDescent="0.25">
      <c r="J4758"/>
      <c r="M4758"/>
      <c r="W4758"/>
    </row>
    <row r="4759" spans="10:23" x14ac:dyDescent="0.25">
      <c r="J4759"/>
      <c r="M4759"/>
      <c r="W4759"/>
    </row>
    <row r="4760" spans="10:23" x14ac:dyDescent="0.25">
      <c r="J4760"/>
      <c r="M4760"/>
      <c r="W4760"/>
    </row>
    <row r="4761" spans="10:23" x14ac:dyDescent="0.25">
      <c r="J4761"/>
      <c r="M4761"/>
      <c r="W4761"/>
    </row>
    <row r="4762" spans="10:23" x14ac:dyDescent="0.25">
      <c r="J4762"/>
      <c r="M4762"/>
      <c r="W4762"/>
    </row>
    <row r="4763" spans="10:23" x14ac:dyDescent="0.25">
      <c r="J4763"/>
      <c r="M4763"/>
      <c r="W4763"/>
    </row>
    <row r="4764" spans="10:23" x14ac:dyDescent="0.25">
      <c r="J4764"/>
      <c r="M4764"/>
      <c r="W4764"/>
    </row>
    <row r="4765" spans="10:23" x14ac:dyDescent="0.25">
      <c r="J4765"/>
      <c r="M4765"/>
      <c r="W4765"/>
    </row>
    <row r="4766" spans="10:23" x14ac:dyDescent="0.25">
      <c r="J4766"/>
      <c r="M4766"/>
      <c r="W4766"/>
    </row>
    <row r="4767" spans="10:23" x14ac:dyDescent="0.25">
      <c r="J4767"/>
      <c r="M4767"/>
      <c r="W4767"/>
    </row>
    <row r="4768" spans="10:23" x14ac:dyDescent="0.25">
      <c r="J4768"/>
      <c r="M4768"/>
      <c r="W4768"/>
    </row>
    <row r="4769" spans="10:23" x14ac:dyDescent="0.25">
      <c r="J4769"/>
      <c r="M4769"/>
      <c r="W4769"/>
    </row>
    <row r="4770" spans="10:23" x14ac:dyDescent="0.25">
      <c r="J4770"/>
      <c r="M4770"/>
      <c r="W4770"/>
    </row>
    <row r="4771" spans="10:23" x14ac:dyDescent="0.25">
      <c r="J4771"/>
      <c r="M4771"/>
      <c r="W4771"/>
    </row>
    <row r="4772" spans="10:23" x14ac:dyDescent="0.25">
      <c r="J4772"/>
      <c r="M4772"/>
      <c r="W4772"/>
    </row>
    <row r="4773" spans="10:23" x14ac:dyDescent="0.25">
      <c r="J4773"/>
      <c r="M4773"/>
      <c r="W4773"/>
    </row>
    <row r="4774" spans="10:23" x14ac:dyDescent="0.25">
      <c r="J4774"/>
      <c r="M4774"/>
      <c r="W4774"/>
    </row>
    <row r="4775" spans="10:23" x14ac:dyDescent="0.25">
      <c r="J4775"/>
      <c r="M4775"/>
      <c r="W4775"/>
    </row>
    <row r="4776" spans="10:23" x14ac:dyDescent="0.25">
      <c r="J4776"/>
      <c r="M4776"/>
      <c r="W4776"/>
    </row>
    <row r="4777" spans="10:23" x14ac:dyDescent="0.25">
      <c r="J4777"/>
      <c r="M4777"/>
      <c r="W4777"/>
    </row>
    <row r="4778" spans="10:23" x14ac:dyDescent="0.25">
      <c r="J4778"/>
      <c r="M4778"/>
      <c r="W4778"/>
    </row>
    <row r="4779" spans="10:23" x14ac:dyDescent="0.25">
      <c r="J4779"/>
      <c r="M4779"/>
      <c r="W4779"/>
    </row>
    <row r="4780" spans="10:23" x14ac:dyDescent="0.25">
      <c r="J4780"/>
      <c r="M4780"/>
      <c r="W4780"/>
    </row>
    <row r="4781" spans="10:23" x14ac:dyDescent="0.25">
      <c r="J4781"/>
      <c r="M4781"/>
      <c r="W4781"/>
    </row>
    <row r="4782" spans="10:23" x14ac:dyDescent="0.25">
      <c r="J4782"/>
      <c r="M4782"/>
      <c r="W4782"/>
    </row>
    <row r="4783" spans="10:23" x14ac:dyDescent="0.25">
      <c r="J4783"/>
      <c r="M4783"/>
      <c r="W4783"/>
    </row>
    <row r="4784" spans="10:23" x14ac:dyDescent="0.25">
      <c r="J4784"/>
      <c r="M4784"/>
      <c r="W4784"/>
    </row>
    <row r="4785" spans="10:23" x14ac:dyDescent="0.25">
      <c r="J4785"/>
      <c r="M4785"/>
      <c r="W4785"/>
    </row>
    <row r="4786" spans="10:23" x14ac:dyDescent="0.25">
      <c r="J4786"/>
      <c r="M4786"/>
      <c r="W4786"/>
    </row>
    <row r="4787" spans="10:23" x14ac:dyDescent="0.25">
      <c r="J4787"/>
      <c r="M4787"/>
      <c r="W4787"/>
    </row>
    <row r="4788" spans="10:23" x14ac:dyDescent="0.25">
      <c r="J4788"/>
      <c r="M4788"/>
      <c r="W4788"/>
    </row>
    <row r="4789" spans="10:23" x14ac:dyDescent="0.25">
      <c r="J4789"/>
      <c r="M4789"/>
      <c r="W4789"/>
    </row>
    <row r="4790" spans="10:23" x14ac:dyDescent="0.25">
      <c r="J4790"/>
      <c r="M4790"/>
      <c r="W4790"/>
    </row>
    <row r="4791" spans="10:23" x14ac:dyDescent="0.25">
      <c r="J4791"/>
      <c r="M4791"/>
      <c r="W4791"/>
    </row>
    <row r="4792" spans="10:23" x14ac:dyDescent="0.25">
      <c r="J4792"/>
      <c r="M4792"/>
      <c r="W4792"/>
    </row>
    <row r="4793" spans="10:23" x14ac:dyDescent="0.25">
      <c r="J4793"/>
      <c r="M4793"/>
      <c r="W4793"/>
    </row>
    <row r="4794" spans="10:23" x14ac:dyDescent="0.25">
      <c r="J4794"/>
      <c r="M4794"/>
      <c r="W4794"/>
    </row>
    <row r="4795" spans="10:23" x14ac:dyDescent="0.25">
      <c r="J4795"/>
      <c r="M4795"/>
      <c r="W4795"/>
    </row>
    <row r="4796" spans="10:23" x14ac:dyDescent="0.25">
      <c r="J4796"/>
      <c r="M4796"/>
      <c r="W4796"/>
    </row>
    <row r="4797" spans="10:23" x14ac:dyDescent="0.25">
      <c r="J4797"/>
      <c r="M4797"/>
      <c r="W4797"/>
    </row>
    <row r="4798" spans="10:23" x14ac:dyDescent="0.25">
      <c r="J4798"/>
      <c r="M4798"/>
      <c r="W4798"/>
    </row>
    <row r="4799" spans="10:23" x14ac:dyDescent="0.25">
      <c r="J4799"/>
      <c r="M4799"/>
      <c r="W4799"/>
    </row>
    <row r="4800" spans="10:23" x14ac:dyDescent="0.25">
      <c r="J4800"/>
      <c r="M4800"/>
      <c r="W4800"/>
    </row>
    <row r="4801" spans="10:23" x14ac:dyDescent="0.25">
      <c r="J4801"/>
      <c r="M4801"/>
      <c r="W4801"/>
    </row>
    <row r="4802" spans="10:23" x14ac:dyDescent="0.25">
      <c r="J4802"/>
      <c r="M4802"/>
      <c r="W4802"/>
    </row>
    <row r="4803" spans="10:23" x14ac:dyDescent="0.25">
      <c r="J4803"/>
      <c r="M4803"/>
      <c r="W4803"/>
    </row>
    <row r="4804" spans="10:23" x14ac:dyDescent="0.25">
      <c r="J4804"/>
      <c r="M4804"/>
      <c r="W4804"/>
    </row>
    <row r="4805" spans="10:23" x14ac:dyDescent="0.25">
      <c r="J4805"/>
      <c r="M4805"/>
      <c r="W4805"/>
    </row>
    <row r="4806" spans="10:23" x14ac:dyDescent="0.25">
      <c r="J4806"/>
      <c r="M4806"/>
      <c r="W4806"/>
    </row>
    <row r="4807" spans="10:23" x14ac:dyDescent="0.25">
      <c r="J4807"/>
      <c r="M4807"/>
      <c r="W4807"/>
    </row>
    <row r="4808" spans="10:23" x14ac:dyDescent="0.25">
      <c r="J4808"/>
      <c r="M4808"/>
      <c r="W4808"/>
    </row>
    <row r="4809" spans="10:23" x14ac:dyDescent="0.25">
      <c r="J4809"/>
      <c r="M4809"/>
      <c r="W4809"/>
    </row>
    <row r="4810" spans="10:23" x14ac:dyDescent="0.25">
      <c r="J4810"/>
      <c r="M4810"/>
      <c r="W4810"/>
    </row>
    <row r="4811" spans="10:23" x14ac:dyDescent="0.25">
      <c r="J4811"/>
      <c r="M4811"/>
      <c r="W4811"/>
    </row>
    <row r="4812" spans="10:23" x14ac:dyDescent="0.25">
      <c r="J4812"/>
      <c r="M4812"/>
      <c r="W4812"/>
    </row>
    <row r="4813" spans="10:23" x14ac:dyDescent="0.25">
      <c r="J4813"/>
      <c r="M4813"/>
      <c r="W4813"/>
    </row>
    <row r="4814" spans="10:23" x14ac:dyDescent="0.25">
      <c r="J4814"/>
      <c r="M4814"/>
      <c r="W4814"/>
    </row>
    <row r="4815" spans="10:23" x14ac:dyDescent="0.25">
      <c r="J4815"/>
      <c r="M4815"/>
      <c r="W4815"/>
    </row>
    <row r="4816" spans="10:23" x14ac:dyDescent="0.25">
      <c r="J4816"/>
      <c r="M4816"/>
      <c r="W4816"/>
    </row>
    <row r="4817" spans="10:23" x14ac:dyDescent="0.25">
      <c r="J4817"/>
      <c r="M4817"/>
      <c r="W4817"/>
    </row>
    <row r="4818" spans="10:23" x14ac:dyDescent="0.25">
      <c r="J4818"/>
      <c r="M4818"/>
      <c r="W4818"/>
    </row>
    <row r="4819" spans="10:23" x14ac:dyDescent="0.25">
      <c r="J4819"/>
      <c r="M4819"/>
      <c r="W4819"/>
    </row>
    <row r="4820" spans="10:23" x14ac:dyDescent="0.25">
      <c r="J4820"/>
      <c r="M4820"/>
      <c r="W4820"/>
    </row>
    <row r="4821" spans="10:23" x14ac:dyDescent="0.25">
      <c r="J4821"/>
      <c r="M4821"/>
      <c r="W4821"/>
    </row>
    <row r="4822" spans="10:23" x14ac:dyDescent="0.25">
      <c r="J4822"/>
      <c r="M4822"/>
      <c r="W4822"/>
    </row>
    <row r="4823" spans="10:23" x14ac:dyDescent="0.25">
      <c r="J4823"/>
      <c r="M4823"/>
      <c r="W4823"/>
    </row>
    <row r="4824" spans="10:23" x14ac:dyDescent="0.25">
      <c r="J4824"/>
      <c r="M4824"/>
      <c r="W4824"/>
    </row>
    <row r="4825" spans="10:23" x14ac:dyDescent="0.25">
      <c r="J4825"/>
      <c r="M4825"/>
      <c r="W4825"/>
    </row>
    <row r="4826" spans="10:23" x14ac:dyDescent="0.25">
      <c r="J4826"/>
      <c r="M4826"/>
      <c r="W4826"/>
    </row>
    <row r="4827" spans="10:23" x14ac:dyDescent="0.25">
      <c r="J4827"/>
      <c r="M4827"/>
      <c r="W4827"/>
    </row>
    <row r="4828" spans="10:23" x14ac:dyDescent="0.25">
      <c r="J4828"/>
      <c r="M4828"/>
      <c r="W4828"/>
    </row>
    <row r="4829" spans="10:23" x14ac:dyDescent="0.25">
      <c r="J4829"/>
      <c r="M4829"/>
      <c r="W4829"/>
    </row>
    <row r="4830" spans="10:23" x14ac:dyDescent="0.25">
      <c r="J4830"/>
      <c r="M4830"/>
      <c r="W4830"/>
    </row>
    <row r="4831" spans="10:23" x14ac:dyDescent="0.25">
      <c r="J4831"/>
      <c r="M4831"/>
      <c r="W4831"/>
    </row>
    <row r="4832" spans="10:23" x14ac:dyDescent="0.25">
      <c r="J4832"/>
      <c r="M4832"/>
      <c r="W4832"/>
    </row>
    <row r="4833" spans="10:23" x14ac:dyDescent="0.25">
      <c r="J4833"/>
      <c r="M4833"/>
      <c r="W4833"/>
    </row>
    <row r="4834" spans="10:23" x14ac:dyDescent="0.25">
      <c r="J4834"/>
      <c r="M4834"/>
      <c r="W4834"/>
    </row>
    <row r="4835" spans="10:23" x14ac:dyDescent="0.25">
      <c r="J4835"/>
      <c r="M4835"/>
      <c r="W4835"/>
    </row>
    <row r="4836" spans="10:23" x14ac:dyDescent="0.25">
      <c r="J4836"/>
      <c r="M4836"/>
      <c r="W4836"/>
    </row>
    <row r="4837" spans="10:23" x14ac:dyDescent="0.25">
      <c r="J4837"/>
      <c r="M4837"/>
      <c r="W4837"/>
    </row>
    <row r="4838" spans="10:23" x14ac:dyDescent="0.25">
      <c r="J4838"/>
      <c r="M4838"/>
      <c r="W4838"/>
    </row>
    <row r="4839" spans="10:23" x14ac:dyDescent="0.25">
      <c r="J4839"/>
      <c r="M4839"/>
      <c r="W4839"/>
    </row>
    <row r="4840" spans="10:23" x14ac:dyDescent="0.25">
      <c r="J4840"/>
      <c r="M4840"/>
      <c r="W4840"/>
    </row>
    <row r="4841" spans="10:23" x14ac:dyDescent="0.25">
      <c r="J4841"/>
      <c r="M4841"/>
      <c r="W4841"/>
    </row>
    <row r="4842" spans="10:23" x14ac:dyDescent="0.25">
      <c r="J4842"/>
      <c r="M4842"/>
      <c r="W4842"/>
    </row>
    <row r="4843" spans="10:23" x14ac:dyDescent="0.25">
      <c r="J4843"/>
      <c r="M4843"/>
      <c r="W4843"/>
    </row>
    <row r="4844" spans="10:23" x14ac:dyDescent="0.25">
      <c r="J4844"/>
      <c r="M4844"/>
      <c r="W4844"/>
    </row>
    <row r="4845" spans="10:23" x14ac:dyDescent="0.25">
      <c r="J4845"/>
      <c r="M4845"/>
      <c r="W4845"/>
    </row>
    <row r="4846" spans="10:23" x14ac:dyDescent="0.25">
      <c r="J4846"/>
      <c r="M4846"/>
      <c r="W4846"/>
    </row>
    <row r="4847" spans="10:23" x14ac:dyDescent="0.25">
      <c r="J4847"/>
      <c r="M4847"/>
      <c r="W4847"/>
    </row>
    <row r="4848" spans="10:23" x14ac:dyDescent="0.25">
      <c r="J4848"/>
      <c r="M4848"/>
      <c r="W4848"/>
    </row>
    <row r="4849" spans="10:23" x14ac:dyDescent="0.25">
      <c r="J4849"/>
      <c r="M4849"/>
      <c r="W4849"/>
    </row>
    <row r="4850" spans="10:23" x14ac:dyDescent="0.25">
      <c r="J4850"/>
      <c r="M4850"/>
      <c r="W4850"/>
    </row>
    <row r="4851" spans="10:23" x14ac:dyDescent="0.25">
      <c r="J4851"/>
      <c r="M4851"/>
      <c r="W4851"/>
    </row>
    <row r="4852" spans="10:23" x14ac:dyDescent="0.25">
      <c r="J4852"/>
      <c r="M4852"/>
      <c r="W4852"/>
    </row>
    <row r="4853" spans="10:23" x14ac:dyDescent="0.25">
      <c r="J4853"/>
      <c r="M4853"/>
      <c r="W4853"/>
    </row>
    <row r="4854" spans="10:23" x14ac:dyDescent="0.25">
      <c r="J4854"/>
      <c r="M4854"/>
      <c r="W4854"/>
    </row>
    <row r="4855" spans="10:23" x14ac:dyDescent="0.25">
      <c r="J4855"/>
      <c r="M4855"/>
      <c r="W4855"/>
    </row>
    <row r="4856" spans="10:23" x14ac:dyDescent="0.25">
      <c r="J4856"/>
      <c r="M4856"/>
      <c r="W4856"/>
    </row>
    <row r="4857" spans="10:23" x14ac:dyDescent="0.25">
      <c r="J4857"/>
      <c r="M4857"/>
      <c r="W4857"/>
    </row>
    <row r="4858" spans="10:23" x14ac:dyDescent="0.25">
      <c r="J4858"/>
      <c r="M4858"/>
      <c r="W4858"/>
    </row>
    <row r="4859" spans="10:23" x14ac:dyDescent="0.25">
      <c r="J4859"/>
      <c r="M4859"/>
      <c r="W4859"/>
    </row>
    <row r="4860" spans="10:23" x14ac:dyDescent="0.25">
      <c r="J4860"/>
      <c r="M4860"/>
      <c r="W4860"/>
    </row>
    <row r="4861" spans="10:23" x14ac:dyDescent="0.25">
      <c r="J4861"/>
      <c r="M4861"/>
      <c r="W4861"/>
    </row>
    <row r="4862" spans="10:23" x14ac:dyDescent="0.25">
      <c r="J4862"/>
      <c r="M4862"/>
      <c r="W4862"/>
    </row>
    <row r="4863" spans="10:23" x14ac:dyDescent="0.25">
      <c r="J4863"/>
      <c r="M4863"/>
      <c r="W4863"/>
    </row>
    <row r="4864" spans="10:23" x14ac:dyDescent="0.25">
      <c r="J4864"/>
      <c r="M4864"/>
      <c r="W4864"/>
    </row>
    <row r="4865" spans="10:23" x14ac:dyDescent="0.25">
      <c r="J4865"/>
      <c r="M4865"/>
      <c r="W4865"/>
    </row>
    <row r="4866" spans="10:23" x14ac:dyDescent="0.25">
      <c r="J4866"/>
      <c r="M4866"/>
      <c r="W4866"/>
    </row>
    <row r="4867" spans="10:23" x14ac:dyDescent="0.25">
      <c r="J4867"/>
      <c r="M4867"/>
      <c r="W4867"/>
    </row>
    <row r="4868" spans="10:23" x14ac:dyDescent="0.25">
      <c r="J4868"/>
      <c r="M4868"/>
      <c r="W4868"/>
    </row>
    <row r="4869" spans="10:23" x14ac:dyDescent="0.25">
      <c r="J4869"/>
      <c r="M4869"/>
      <c r="W4869"/>
    </row>
    <row r="4870" spans="10:23" x14ac:dyDescent="0.25">
      <c r="J4870"/>
      <c r="M4870"/>
      <c r="W4870"/>
    </row>
    <row r="4871" spans="10:23" x14ac:dyDescent="0.25">
      <c r="J4871"/>
      <c r="M4871"/>
      <c r="W4871"/>
    </row>
    <row r="4872" spans="10:23" x14ac:dyDescent="0.25">
      <c r="J4872"/>
      <c r="M4872"/>
      <c r="W4872"/>
    </row>
    <row r="4873" spans="10:23" x14ac:dyDescent="0.25">
      <c r="J4873"/>
      <c r="M4873"/>
      <c r="W4873"/>
    </row>
    <row r="4874" spans="10:23" x14ac:dyDescent="0.25">
      <c r="J4874"/>
      <c r="M4874"/>
      <c r="W4874"/>
    </row>
    <row r="4875" spans="10:23" x14ac:dyDescent="0.25">
      <c r="J4875"/>
      <c r="M4875"/>
      <c r="W4875"/>
    </row>
    <row r="4876" spans="10:23" x14ac:dyDescent="0.25">
      <c r="J4876"/>
      <c r="M4876"/>
      <c r="W4876"/>
    </row>
    <row r="4877" spans="10:23" x14ac:dyDescent="0.25">
      <c r="J4877"/>
      <c r="M4877"/>
      <c r="W4877"/>
    </row>
    <row r="4878" spans="10:23" x14ac:dyDescent="0.25">
      <c r="J4878"/>
      <c r="M4878"/>
      <c r="W4878"/>
    </row>
    <row r="4879" spans="10:23" x14ac:dyDescent="0.25">
      <c r="J4879"/>
      <c r="M4879"/>
      <c r="W4879"/>
    </row>
    <row r="4880" spans="10:23" x14ac:dyDescent="0.25">
      <c r="J4880"/>
      <c r="M4880"/>
      <c r="W4880"/>
    </row>
    <row r="4881" spans="10:23" x14ac:dyDescent="0.25">
      <c r="J4881"/>
      <c r="M4881"/>
      <c r="W4881"/>
    </row>
    <row r="4882" spans="10:23" x14ac:dyDescent="0.25">
      <c r="J4882"/>
      <c r="M4882"/>
      <c r="W4882"/>
    </row>
    <row r="4883" spans="10:23" x14ac:dyDescent="0.25">
      <c r="J4883"/>
      <c r="M4883"/>
      <c r="W4883"/>
    </row>
    <row r="4884" spans="10:23" x14ac:dyDescent="0.25">
      <c r="J4884"/>
      <c r="M4884"/>
      <c r="W4884"/>
    </row>
    <row r="4885" spans="10:23" x14ac:dyDescent="0.25">
      <c r="J4885"/>
      <c r="M4885"/>
      <c r="W4885"/>
    </row>
    <row r="4886" spans="10:23" x14ac:dyDescent="0.25">
      <c r="J4886"/>
      <c r="M4886"/>
      <c r="W4886"/>
    </row>
    <row r="4887" spans="10:23" x14ac:dyDescent="0.25">
      <c r="J4887"/>
      <c r="M4887"/>
      <c r="W4887"/>
    </row>
    <row r="4888" spans="10:23" x14ac:dyDescent="0.25">
      <c r="J4888"/>
      <c r="M4888"/>
      <c r="W4888"/>
    </row>
    <row r="4889" spans="10:23" x14ac:dyDescent="0.25">
      <c r="J4889"/>
      <c r="M4889"/>
      <c r="W4889"/>
    </row>
    <row r="4890" spans="10:23" x14ac:dyDescent="0.25">
      <c r="J4890"/>
      <c r="M4890"/>
      <c r="W4890"/>
    </row>
    <row r="4891" spans="10:23" x14ac:dyDescent="0.25">
      <c r="J4891"/>
      <c r="M4891"/>
      <c r="W4891"/>
    </row>
    <row r="4892" spans="10:23" x14ac:dyDescent="0.25">
      <c r="J4892"/>
      <c r="M4892"/>
      <c r="W4892"/>
    </row>
    <row r="4893" spans="10:23" x14ac:dyDescent="0.25">
      <c r="J4893"/>
      <c r="M4893"/>
      <c r="W4893"/>
    </row>
    <row r="4894" spans="10:23" x14ac:dyDescent="0.25">
      <c r="J4894"/>
      <c r="M4894"/>
      <c r="W4894"/>
    </row>
    <row r="4895" spans="10:23" x14ac:dyDescent="0.25">
      <c r="J4895"/>
      <c r="M4895"/>
      <c r="W4895"/>
    </row>
    <row r="4896" spans="10:23" x14ac:dyDescent="0.25">
      <c r="J4896"/>
      <c r="M4896"/>
      <c r="W4896"/>
    </row>
    <row r="4897" spans="10:23" x14ac:dyDescent="0.25">
      <c r="J4897"/>
      <c r="M4897"/>
      <c r="W4897"/>
    </row>
    <row r="4898" spans="10:23" x14ac:dyDescent="0.25">
      <c r="J4898"/>
      <c r="M4898"/>
      <c r="W4898"/>
    </row>
    <row r="4899" spans="10:23" x14ac:dyDescent="0.25">
      <c r="J4899"/>
      <c r="M4899"/>
      <c r="W4899"/>
    </row>
    <row r="4900" spans="10:23" x14ac:dyDescent="0.25">
      <c r="J4900"/>
      <c r="M4900"/>
      <c r="W4900"/>
    </row>
    <row r="4901" spans="10:23" x14ac:dyDescent="0.25">
      <c r="J4901"/>
      <c r="M4901"/>
      <c r="W4901"/>
    </row>
    <row r="4902" spans="10:23" x14ac:dyDescent="0.25">
      <c r="J4902"/>
      <c r="M4902"/>
      <c r="W4902"/>
    </row>
    <row r="4903" spans="10:23" x14ac:dyDescent="0.25">
      <c r="J4903"/>
      <c r="M4903"/>
      <c r="W4903"/>
    </row>
    <row r="4904" spans="10:23" x14ac:dyDescent="0.25">
      <c r="J4904"/>
      <c r="M4904"/>
      <c r="W4904"/>
    </row>
    <row r="4905" spans="10:23" x14ac:dyDescent="0.25">
      <c r="J4905"/>
      <c r="M4905"/>
      <c r="W4905"/>
    </row>
    <row r="4906" spans="10:23" x14ac:dyDescent="0.25">
      <c r="J4906"/>
      <c r="M4906"/>
      <c r="W4906"/>
    </row>
    <row r="4907" spans="10:23" x14ac:dyDescent="0.25">
      <c r="J4907"/>
      <c r="M4907"/>
      <c r="W4907"/>
    </row>
    <row r="4908" spans="10:23" x14ac:dyDescent="0.25">
      <c r="J4908"/>
      <c r="M4908"/>
      <c r="W4908"/>
    </row>
    <row r="4909" spans="10:23" x14ac:dyDescent="0.25">
      <c r="J4909"/>
      <c r="M4909"/>
      <c r="W4909"/>
    </row>
    <row r="4910" spans="10:23" x14ac:dyDescent="0.25">
      <c r="J4910"/>
      <c r="M4910"/>
      <c r="W4910"/>
    </row>
    <row r="4911" spans="10:23" x14ac:dyDescent="0.25">
      <c r="J4911"/>
      <c r="M4911"/>
      <c r="W4911"/>
    </row>
    <row r="4912" spans="10:23" x14ac:dyDescent="0.25">
      <c r="J4912"/>
      <c r="M4912"/>
      <c r="W4912"/>
    </row>
    <row r="4913" spans="10:23" x14ac:dyDescent="0.25">
      <c r="J4913"/>
      <c r="M4913"/>
      <c r="W4913"/>
    </row>
    <row r="4914" spans="10:23" x14ac:dyDescent="0.25">
      <c r="J4914"/>
      <c r="M4914"/>
      <c r="W4914"/>
    </row>
    <row r="4915" spans="10:23" x14ac:dyDescent="0.25">
      <c r="J4915"/>
      <c r="M4915"/>
      <c r="W4915"/>
    </row>
    <row r="4916" spans="10:23" x14ac:dyDescent="0.25">
      <c r="J4916"/>
      <c r="M4916"/>
      <c r="W4916"/>
    </row>
    <row r="4917" spans="10:23" x14ac:dyDescent="0.25">
      <c r="J4917"/>
      <c r="M4917"/>
      <c r="W4917"/>
    </row>
    <row r="4918" spans="10:23" x14ac:dyDescent="0.25">
      <c r="J4918"/>
      <c r="M4918"/>
      <c r="W4918"/>
    </row>
    <row r="4919" spans="10:23" x14ac:dyDescent="0.25">
      <c r="J4919"/>
      <c r="M4919"/>
      <c r="W4919"/>
    </row>
    <row r="4920" spans="10:23" x14ac:dyDescent="0.25">
      <c r="J4920"/>
      <c r="M4920"/>
      <c r="W4920"/>
    </row>
    <row r="4921" spans="10:23" x14ac:dyDescent="0.25">
      <c r="J4921"/>
      <c r="M4921"/>
      <c r="W4921"/>
    </row>
    <row r="4922" spans="10:23" x14ac:dyDescent="0.25">
      <c r="J4922"/>
      <c r="M4922"/>
      <c r="W4922"/>
    </row>
    <row r="4923" spans="10:23" x14ac:dyDescent="0.25">
      <c r="J4923"/>
      <c r="M4923"/>
      <c r="W4923"/>
    </row>
    <row r="4924" spans="10:23" x14ac:dyDescent="0.25">
      <c r="J4924"/>
      <c r="M4924"/>
      <c r="W4924"/>
    </row>
    <row r="4925" spans="10:23" x14ac:dyDescent="0.25">
      <c r="J4925"/>
      <c r="M4925"/>
      <c r="W4925"/>
    </row>
    <row r="4926" spans="10:23" x14ac:dyDescent="0.25">
      <c r="J4926"/>
      <c r="M4926"/>
      <c r="W4926"/>
    </row>
    <row r="4927" spans="10:23" x14ac:dyDescent="0.25">
      <c r="J4927"/>
      <c r="M4927"/>
      <c r="W4927"/>
    </row>
    <row r="4928" spans="10:23" x14ac:dyDescent="0.25">
      <c r="J4928"/>
      <c r="M4928"/>
      <c r="W4928"/>
    </row>
    <row r="4929" spans="10:23" x14ac:dyDescent="0.25">
      <c r="J4929"/>
      <c r="M4929"/>
      <c r="W4929"/>
    </row>
    <row r="4930" spans="10:23" x14ac:dyDescent="0.25">
      <c r="J4930"/>
      <c r="M4930"/>
      <c r="W4930"/>
    </row>
    <row r="4931" spans="10:23" x14ac:dyDescent="0.25">
      <c r="J4931"/>
      <c r="M4931"/>
      <c r="W4931"/>
    </row>
    <row r="4932" spans="10:23" x14ac:dyDescent="0.25">
      <c r="J4932"/>
      <c r="M4932"/>
      <c r="W4932"/>
    </row>
    <row r="4933" spans="10:23" x14ac:dyDescent="0.25">
      <c r="J4933"/>
      <c r="M4933"/>
      <c r="W4933"/>
    </row>
    <row r="4934" spans="10:23" x14ac:dyDescent="0.25">
      <c r="J4934"/>
      <c r="M4934"/>
      <c r="W4934"/>
    </row>
    <row r="4935" spans="10:23" x14ac:dyDescent="0.25">
      <c r="J4935"/>
      <c r="M4935"/>
      <c r="W4935"/>
    </row>
    <row r="4936" spans="10:23" x14ac:dyDescent="0.25">
      <c r="J4936"/>
      <c r="M4936"/>
      <c r="W4936"/>
    </row>
    <row r="4937" spans="10:23" x14ac:dyDescent="0.25">
      <c r="J4937"/>
      <c r="M4937"/>
      <c r="W4937"/>
    </row>
    <row r="4938" spans="10:23" x14ac:dyDescent="0.25">
      <c r="J4938"/>
      <c r="M4938"/>
      <c r="W4938"/>
    </row>
    <row r="4939" spans="10:23" x14ac:dyDescent="0.25">
      <c r="J4939"/>
      <c r="M4939"/>
      <c r="W4939"/>
    </row>
    <row r="4940" spans="10:23" x14ac:dyDescent="0.25">
      <c r="J4940"/>
      <c r="M4940"/>
      <c r="W4940"/>
    </row>
    <row r="4941" spans="10:23" x14ac:dyDescent="0.25">
      <c r="J4941"/>
      <c r="M4941"/>
      <c r="W4941"/>
    </row>
    <row r="4942" spans="10:23" x14ac:dyDescent="0.25">
      <c r="J4942"/>
      <c r="M4942"/>
      <c r="W4942"/>
    </row>
    <row r="4943" spans="10:23" x14ac:dyDescent="0.25">
      <c r="J4943"/>
      <c r="M4943"/>
      <c r="W4943"/>
    </row>
    <row r="4944" spans="10:23" x14ac:dyDescent="0.25">
      <c r="J4944"/>
      <c r="M4944"/>
      <c r="W4944"/>
    </row>
    <row r="4945" spans="10:23" x14ac:dyDescent="0.25">
      <c r="J4945"/>
      <c r="M4945"/>
      <c r="W4945"/>
    </row>
    <row r="4946" spans="10:23" x14ac:dyDescent="0.25">
      <c r="J4946"/>
      <c r="M4946"/>
      <c r="W4946"/>
    </row>
    <row r="4947" spans="10:23" x14ac:dyDescent="0.25">
      <c r="J4947"/>
      <c r="M4947"/>
      <c r="W4947"/>
    </row>
    <row r="4948" spans="10:23" x14ac:dyDescent="0.25">
      <c r="J4948"/>
      <c r="M4948"/>
      <c r="W4948"/>
    </row>
    <row r="4949" spans="10:23" x14ac:dyDescent="0.25">
      <c r="J4949"/>
      <c r="M4949"/>
      <c r="W4949"/>
    </row>
    <row r="4950" spans="10:23" x14ac:dyDescent="0.25">
      <c r="J4950"/>
      <c r="M4950"/>
      <c r="W4950"/>
    </row>
    <row r="4951" spans="10:23" x14ac:dyDescent="0.25">
      <c r="J4951"/>
      <c r="M4951"/>
      <c r="W4951"/>
    </row>
    <row r="4952" spans="10:23" x14ac:dyDescent="0.25">
      <c r="J4952"/>
      <c r="M4952"/>
      <c r="W4952"/>
    </row>
    <row r="4953" spans="10:23" x14ac:dyDescent="0.25">
      <c r="J4953"/>
      <c r="M4953"/>
      <c r="W4953"/>
    </row>
    <row r="4954" spans="10:23" x14ac:dyDescent="0.25">
      <c r="J4954"/>
      <c r="M4954"/>
      <c r="W4954"/>
    </row>
    <row r="4955" spans="10:23" x14ac:dyDescent="0.25">
      <c r="J4955"/>
      <c r="M4955"/>
      <c r="W4955"/>
    </row>
    <row r="4956" spans="10:23" x14ac:dyDescent="0.25">
      <c r="J4956"/>
      <c r="M4956"/>
      <c r="W4956"/>
    </row>
    <row r="4957" spans="10:23" x14ac:dyDescent="0.25">
      <c r="J4957"/>
      <c r="M4957"/>
      <c r="W4957"/>
    </row>
    <row r="4958" spans="10:23" x14ac:dyDescent="0.25">
      <c r="J4958"/>
      <c r="M4958"/>
      <c r="W4958"/>
    </row>
    <row r="4959" spans="10:23" x14ac:dyDescent="0.25">
      <c r="J4959"/>
      <c r="M4959"/>
      <c r="W4959"/>
    </row>
    <row r="4960" spans="10:23" x14ac:dyDescent="0.25">
      <c r="J4960"/>
      <c r="M4960"/>
      <c r="W4960"/>
    </row>
    <row r="4961" spans="10:23" x14ac:dyDescent="0.25">
      <c r="J4961"/>
      <c r="M4961"/>
      <c r="W4961"/>
    </row>
    <row r="4962" spans="10:23" x14ac:dyDescent="0.25">
      <c r="J4962"/>
      <c r="M4962"/>
      <c r="W4962"/>
    </row>
    <row r="4963" spans="10:23" x14ac:dyDescent="0.25">
      <c r="J4963"/>
      <c r="M4963"/>
      <c r="W4963"/>
    </row>
    <row r="4964" spans="10:23" x14ac:dyDescent="0.25">
      <c r="J4964"/>
      <c r="M4964"/>
      <c r="W4964"/>
    </row>
    <row r="4965" spans="10:23" x14ac:dyDescent="0.25">
      <c r="J4965"/>
      <c r="M4965"/>
      <c r="W4965"/>
    </row>
    <row r="4966" spans="10:23" x14ac:dyDescent="0.25">
      <c r="J4966"/>
      <c r="M4966"/>
      <c r="W4966"/>
    </row>
    <row r="4967" spans="10:23" x14ac:dyDescent="0.25">
      <c r="J4967"/>
      <c r="M4967"/>
      <c r="W4967"/>
    </row>
    <row r="4968" spans="10:23" x14ac:dyDescent="0.25">
      <c r="J4968"/>
      <c r="M4968"/>
      <c r="W4968"/>
    </row>
    <row r="4969" spans="10:23" x14ac:dyDescent="0.25">
      <c r="J4969"/>
      <c r="M4969"/>
      <c r="W4969"/>
    </row>
    <row r="4970" spans="10:23" x14ac:dyDescent="0.25">
      <c r="J4970"/>
      <c r="M4970"/>
      <c r="W4970"/>
    </row>
    <row r="4971" spans="10:23" x14ac:dyDescent="0.25">
      <c r="J4971"/>
      <c r="M4971"/>
      <c r="W4971"/>
    </row>
    <row r="4972" spans="10:23" x14ac:dyDescent="0.25">
      <c r="J4972"/>
      <c r="M4972"/>
      <c r="W4972"/>
    </row>
    <row r="4973" spans="10:23" x14ac:dyDescent="0.25">
      <c r="J4973"/>
      <c r="M4973"/>
      <c r="W4973"/>
    </row>
    <row r="4974" spans="10:23" x14ac:dyDescent="0.25">
      <c r="J4974"/>
      <c r="M4974"/>
      <c r="W4974"/>
    </row>
    <row r="4975" spans="10:23" x14ac:dyDescent="0.25">
      <c r="J4975"/>
      <c r="M4975"/>
      <c r="W4975"/>
    </row>
    <row r="4976" spans="10:23" x14ac:dyDescent="0.25">
      <c r="J4976"/>
      <c r="M4976"/>
      <c r="W4976"/>
    </row>
    <row r="4977" spans="10:23" x14ac:dyDescent="0.25">
      <c r="J4977"/>
      <c r="M4977"/>
      <c r="W4977"/>
    </row>
    <row r="4978" spans="10:23" x14ac:dyDescent="0.25">
      <c r="J4978"/>
      <c r="M4978"/>
      <c r="W4978"/>
    </row>
    <row r="4979" spans="10:23" x14ac:dyDescent="0.25">
      <c r="J4979"/>
      <c r="M4979"/>
      <c r="W4979"/>
    </row>
    <row r="4980" spans="10:23" x14ac:dyDescent="0.25">
      <c r="J4980"/>
      <c r="M4980"/>
      <c r="W4980"/>
    </row>
    <row r="4981" spans="10:23" x14ac:dyDescent="0.25">
      <c r="J4981"/>
      <c r="M4981"/>
      <c r="W4981"/>
    </row>
    <row r="4982" spans="10:23" x14ac:dyDescent="0.25">
      <c r="J4982"/>
      <c r="M4982"/>
      <c r="W4982"/>
    </row>
    <row r="4983" spans="10:23" x14ac:dyDescent="0.25">
      <c r="J4983"/>
      <c r="M4983"/>
      <c r="W4983"/>
    </row>
    <row r="4984" spans="10:23" x14ac:dyDescent="0.25">
      <c r="J4984"/>
      <c r="M4984"/>
      <c r="W4984"/>
    </row>
    <row r="4985" spans="10:23" x14ac:dyDescent="0.25">
      <c r="J4985"/>
      <c r="M4985"/>
      <c r="W4985"/>
    </row>
    <row r="4986" spans="10:23" x14ac:dyDescent="0.25">
      <c r="J4986"/>
      <c r="M4986"/>
      <c r="W4986"/>
    </row>
    <row r="4987" spans="10:23" x14ac:dyDescent="0.25">
      <c r="J4987"/>
      <c r="M4987"/>
      <c r="W4987"/>
    </row>
    <row r="4988" spans="10:23" x14ac:dyDescent="0.25">
      <c r="J4988"/>
      <c r="M4988"/>
      <c r="W4988"/>
    </row>
    <row r="4989" spans="10:23" x14ac:dyDescent="0.25">
      <c r="J4989"/>
      <c r="M4989"/>
      <c r="W4989"/>
    </row>
    <row r="4990" spans="10:23" x14ac:dyDescent="0.25">
      <c r="J4990"/>
      <c r="M4990"/>
      <c r="W4990"/>
    </row>
    <row r="4991" spans="10:23" x14ac:dyDescent="0.25">
      <c r="J4991"/>
      <c r="M4991"/>
      <c r="W4991"/>
    </row>
    <row r="4992" spans="10:23" x14ac:dyDescent="0.25">
      <c r="J4992"/>
      <c r="M4992"/>
      <c r="W4992"/>
    </row>
    <row r="4993" spans="10:23" x14ac:dyDescent="0.25">
      <c r="J4993"/>
      <c r="M4993"/>
      <c r="W4993"/>
    </row>
    <row r="4994" spans="10:23" x14ac:dyDescent="0.25">
      <c r="J4994"/>
      <c r="M4994"/>
      <c r="W4994"/>
    </row>
    <row r="4995" spans="10:23" x14ac:dyDescent="0.25">
      <c r="J4995"/>
      <c r="M4995"/>
      <c r="W4995"/>
    </row>
    <row r="4996" spans="10:23" x14ac:dyDescent="0.25">
      <c r="J4996"/>
      <c r="M4996"/>
      <c r="W4996"/>
    </row>
    <row r="4997" spans="10:23" x14ac:dyDescent="0.25">
      <c r="J4997"/>
      <c r="M4997"/>
      <c r="W4997"/>
    </row>
    <row r="4998" spans="10:23" x14ac:dyDescent="0.25">
      <c r="J4998"/>
      <c r="M4998"/>
      <c r="W4998"/>
    </row>
    <row r="4999" spans="10:23" x14ac:dyDescent="0.25">
      <c r="J4999"/>
      <c r="M4999"/>
      <c r="W4999"/>
    </row>
    <row r="5000" spans="10:23" x14ac:dyDescent="0.25">
      <c r="J5000"/>
      <c r="M5000"/>
      <c r="W5000"/>
    </row>
    <row r="5001" spans="10:23" x14ac:dyDescent="0.25">
      <c r="J5001"/>
      <c r="M5001"/>
      <c r="W5001"/>
    </row>
    <row r="5002" spans="10:23" x14ac:dyDescent="0.25">
      <c r="J5002"/>
      <c r="M5002"/>
      <c r="W5002"/>
    </row>
    <row r="5003" spans="10:23" x14ac:dyDescent="0.25">
      <c r="J5003"/>
      <c r="M5003"/>
      <c r="W5003"/>
    </row>
    <row r="5004" spans="10:23" x14ac:dyDescent="0.25">
      <c r="J5004"/>
      <c r="M5004"/>
      <c r="W5004"/>
    </row>
    <row r="5005" spans="10:23" x14ac:dyDescent="0.25">
      <c r="J5005"/>
      <c r="M5005"/>
      <c r="W5005"/>
    </row>
    <row r="5006" spans="10:23" x14ac:dyDescent="0.25">
      <c r="J5006"/>
      <c r="M5006"/>
      <c r="W5006"/>
    </row>
    <row r="5007" spans="10:23" x14ac:dyDescent="0.25">
      <c r="J5007"/>
      <c r="M5007"/>
      <c r="W5007"/>
    </row>
    <row r="5008" spans="10:23" x14ac:dyDescent="0.25">
      <c r="J5008"/>
      <c r="M5008"/>
      <c r="W5008"/>
    </row>
    <row r="5009" spans="10:23" x14ac:dyDescent="0.25">
      <c r="J5009"/>
      <c r="M5009"/>
      <c r="W5009"/>
    </row>
    <row r="5010" spans="10:23" x14ac:dyDescent="0.25">
      <c r="J5010"/>
      <c r="M5010"/>
      <c r="W5010"/>
    </row>
    <row r="5011" spans="10:23" x14ac:dyDescent="0.25">
      <c r="J5011"/>
      <c r="M5011"/>
      <c r="W5011"/>
    </row>
    <row r="5012" spans="10:23" x14ac:dyDescent="0.25">
      <c r="J5012"/>
      <c r="M5012"/>
      <c r="W5012"/>
    </row>
    <row r="5013" spans="10:23" x14ac:dyDescent="0.25">
      <c r="J5013"/>
      <c r="M5013"/>
      <c r="W5013"/>
    </row>
    <row r="5014" spans="10:23" x14ac:dyDescent="0.25">
      <c r="J5014"/>
      <c r="M5014"/>
      <c r="W5014"/>
    </row>
    <row r="5015" spans="10:23" x14ac:dyDescent="0.25">
      <c r="J5015"/>
      <c r="M5015"/>
      <c r="W5015"/>
    </row>
    <row r="5016" spans="10:23" x14ac:dyDescent="0.25">
      <c r="J5016"/>
      <c r="M5016"/>
      <c r="W5016"/>
    </row>
    <row r="5017" spans="10:23" x14ac:dyDescent="0.25">
      <c r="J5017"/>
      <c r="M5017"/>
      <c r="W5017"/>
    </row>
    <row r="5018" spans="10:23" x14ac:dyDescent="0.25">
      <c r="J5018"/>
      <c r="M5018"/>
      <c r="W5018"/>
    </row>
    <row r="5019" spans="10:23" x14ac:dyDescent="0.25">
      <c r="J5019"/>
      <c r="M5019"/>
      <c r="W5019"/>
    </row>
    <row r="5020" spans="10:23" x14ac:dyDescent="0.25">
      <c r="J5020"/>
      <c r="M5020"/>
      <c r="W5020"/>
    </row>
    <row r="5021" spans="10:23" x14ac:dyDescent="0.25">
      <c r="J5021"/>
      <c r="M5021"/>
      <c r="W5021"/>
    </row>
    <row r="5022" spans="10:23" x14ac:dyDescent="0.25">
      <c r="J5022"/>
      <c r="M5022"/>
      <c r="W5022"/>
    </row>
    <row r="5023" spans="10:23" x14ac:dyDescent="0.25">
      <c r="J5023"/>
      <c r="M5023"/>
      <c r="W5023"/>
    </row>
    <row r="5024" spans="10:23" x14ac:dyDescent="0.25">
      <c r="J5024"/>
      <c r="M5024"/>
      <c r="W5024"/>
    </row>
    <row r="5025" spans="10:23" x14ac:dyDescent="0.25">
      <c r="J5025"/>
      <c r="M5025"/>
      <c r="W5025"/>
    </row>
    <row r="5026" spans="10:23" x14ac:dyDescent="0.25">
      <c r="J5026"/>
      <c r="M5026"/>
      <c r="W5026"/>
    </row>
    <row r="5027" spans="10:23" x14ac:dyDescent="0.25">
      <c r="J5027"/>
      <c r="M5027"/>
      <c r="W5027"/>
    </row>
    <row r="5028" spans="10:23" x14ac:dyDescent="0.25">
      <c r="J5028"/>
      <c r="M5028"/>
      <c r="W5028"/>
    </row>
    <row r="5029" spans="10:23" x14ac:dyDescent="0.25">
      <c r="J5029"/>
      <c r="M5029"/>
      <c r="W5029"/>
    </row>
    <row r="5030" spans="10:23" x14ac:dyDescent="0.25">
      <c r="J5030"/>
      <c r="M5030"/>
      <c r="W5030"/>
    </row>
    <row r="5031" spans="10:23" x14ac:dyDescent="0.25">
      <c r="J5031"/>
      <c r="M5031"/>
      <c r="W5031"/>
    </row>
    <row r="5032" spans="10:23" x14ac:dyDescent="0.25">
      <c r="J5032"/>
      <c r="M5032"/>
      <c r="W5032"/>
    </row>
    <row r="5033" spans="10:23" x14ac:dyDescent="0.25">
      <c r="J5033"/>
      <c r="M5033"/>
      <c r="W5033"/>
    </row>
    <row r="5034" spans="10:23" x14ac:dyDescent="0.25">
      <c r="J5034"/>
      <c r="M5034"/>
      <c r="W5034"/>
    </row>
    <row r="5035" spans="10:23" x14ac:dyDescent="0.25">
      <c r="J5035"/>
      <c r="M5035"/>
      <c r="W5035"/>
    </row>
    <row r="5036" spans="10:23" x14ac:dyDescent="0.25">
      <c r="J5036"/>
      <c r="M5036"/>
      <c r="W5036"/>
    </row>
    <row r="5037" spans="10:23" x14ac:dyDescent="0.25">
      <c r="J5037"/>
      <c r="M5037"/>
      <c r="W5037"/>
    </row>
    <row r="5038" spans="10:23" x14ac:dyDescent="0.25">
      <c r="J5038"/>
      <c r="M5038"/>
      <c r="W5038"/>
    </row>
    <row r="5039" spans="10:23" x14ac:dyDescent="0.25">
      <c r="J5039"/>
      <c r="M5039"/>
      <c r="W5039"/>
    </row>
    <row r="5040" spans="10:23" x14ac:dyDescent="0.25">
      <c r="J5040"/>
      <c r="M5040"/>
      <c r="W5040"/>
    </row>
    <row r="5041" spans="10:23" x14ac:dyDescent="0.25">
      <c r="J5041"/>
      <c r="M5041"/>
      <c r="W5041"/>
    </row>
    <row r="5042" spans="10:23" x14ac:dyDescent="0.25">
      <c r="J5042"/>
      <c r="M5042"/>
      <c r="W5042"/>
    </row>
    <row r="5043" spans="10:23" x14ac:dyDescent="0.25">
      <c r="J5043"/>
      <c r="M5043"/>
      <c r="W5043"/>
    </row>
    <row r="5044" spans="10:23" x14ac:dyDescent="0.25">
      <c r="J5044"/>
      <c r="M5044"/>
      <c r="W5044"/>
    </row>
    <row r="5045" spans="10:23" x14ac:dyDescent="0.25">
      <c r="J5045"/>
      <c r="M5045"/>
      <c r="W5045"/>
    </row>
    <row r="5046" spans="10:23" x14ac:dyDescent="0.25">
      <c r="J5046"/>
      <c r="M5046"/>
      <c r="W5046"/>
    </row>
    <row r="5047" spans="10:23" x14ac:dyDescent="0.25">
      <c r="J5047"/>
      <c r="M5047"/>
      <c r="W5047"/>
    </row>
    <row r="5048" spans="10:23" x14ac:dyDescent="0.25">
      <c r="J5048"/>
      <c r="M5048"/>
      <c r="W5048"/>
    </row>
    <row r="5049" spans="10:23" x14ac:dyDescent="0.25">
      <c r="J5049"/>
      <c r="M5049"/>
      <c r="W5049"/>
    </row>
    <row r="5050" spans="10:23" x14ac:dyDescent="0.25">
      <c r="J5050"/>
      <c r="M5050"/>
      <c r="W5050"/>
    </row>
    <row r="5051" spans="10:23" x14ac:dyDescent="0.25">
      <c r="J5051"/>
      <c r="M5051"/>
      <c r="W5051"/>
    </row>
    <row r="5052" spans="10:23" x14ac:dyDescent="0.25">
      <c r="J5052"/>
      <c r="M5052"/>
      <c r="W5052"/>
    </row>
    <row r="5053" spans="10:23" x14ac:dyDescent="0.25">
      <c r="J5053"/>
      <c r="M5053"/>
      <c r="W5053"/>
    </row>
    <row r="5054" spans="10:23" x14ac:dyDescent="0.25">
      <c r="J5054"/>
      <c r="M5054"/>
      <c r="W5054"/>
    </row>
    <row r="5055" spans="10:23" x14ac:dyDescent="0.25">
      <c r="J5055"/>
      <c r="M5055"/>
      <c r="W5055"/>
    </row>
    <row r="5056" spans="10:23" x14ac:dyDescent="0.25">
      <c r="J5056"/>
      <c r="M5056"/>
      <c r="W5056"/>
    </row>
    <row r="5057" spans="10:23" x14ac:dyDescent="0.25">
      <c r="J5057"/>
      <c r="M5057"/>
      <c r="W5057"/>
    </row>
    <row r="5058" spans="10:23" x14ac:dyDescent="0.25">
      <c r="J5058"/>
      <c r="M5058"/>
      <c r="W5058"/>
    </row>
    <row r="5059" spans="10:23" x14ac:dyDescent="0.25">
      <c r="J5059"/>
      <c r="M5059"/>
      <c r="W5059"/>
    </row>
    <row r="5060" spans="10:23" x14ac:dyDescent="0.25">
      <c r="J5060"/>
      <c r="M5060"/>
      <c r="W5060"/>
    </row>
    <row r="5061" spans="10:23" x14ac:dyDescent="0.25">
      <c r="J5061"/>
      <c r="M5061"/>
      <c r="W5061"/>
    </row>
    <row r="5062" spans="10:23" x14ac:dyDescent="0.25">
      <c r="J5062"/>
      <c r="M5062"/>
      <c r="W5062"/>
    </row>
    <row r="5063" spans="10:23" x14ac:dyDescent="0.25">
      <c r="J5063"/>
      <c r="M5063"/>
      <c r="W5063"/>
    </row>
    <row r="5064" spans="10:23" x14ac:dyDescent="0.25">
      <c r="J5064"/>
      <c r="M5064"/>
      <c r="W5064"/>
    </row>
    <row r="5065" spans="10:23" x14ac:dyDescent="0.25">
      <c r="J5065"/>
      <c r="M5065"/>
      <c r="W5065"/>
    </row>
    <row r="5066" spans="10:23" x14ac:dyDescent="0.25">
      <c r="J5066"/>
      <c r="M5066"/>
      <c r="W5066"/>
    </row>
    <row r="5067" spans="10:23" x14ac:dyDescent="0.25">
      <c r="J5067"/>
      <c r="M5067"/>
      <c r="W5067"/>
    </row>
    <row r="5068" spans="10:23" x14ac:dyDescent="0.25">
      <c r="J5068"/>
      <c r="M5068"/>
      <c r="W5068"/>
    </row>
    <row r="5069" spans="10:23" x14ac:dyDescent="0.25">
      <c r="J5069"/>
      <c r="M5069"/>
      <c r="W5069"/>
    </row>
    <row r="5070" spans="10:23" x14ac:dyDescent="0.25">
      <c r="J5070"/>
      <c r="M5070"/>
      <c r="W5070"/>
    </row>
    <row r="5071" spans="10:23" x14ac:dyDescent="0.25">
      <c r="J5071"/>
      <c r="M5071"/>
      <c r="W5071"/>
    </row>
    <row r="5072" spans="10:23" x14ac:dyDescent="0.25">
      <c r="J5072"/>
      <c r="M5072"/>
      <c r="W5072"/>
    </row>
    <row r="5073" spans="10:23" x14ac:dyDescent="0.25">
      <c r="J5073"/>
      <c r="M5073"/>
      <c r="W5073"/>
    </row>
    <row r="5074" spans="10:23" x14ac:dyDescent="0.25">
      <c r="J5074"/>
      <c r="M5074"/>
      <c r="W5074"/>
    </row>
    <row r="5075" spans="10:23" x14ac:dyDescent="0.25">
      <c r="J5075"/>
      <c r="M5075"/>
      <c r="W5075"/>
    </row>
    <row r="5076" spans="10:23" x14ac:dyDescent="0.25">
      <c r="J5076"/>
      <c r="M5076"/>
      <c r="W5076"/>
    </row>
    <row r="5077" spans="10:23" x14ac:dyDescent="0.25">
      <c r="J5077"/>
      <c r="M5077"/>
      <c r="W5077"/>
    </row>
    <row r="5078" spans="10:23" x14ac:dyDescent="0.25">
      <c r="J5078"/>
      <c r="M5078"/>
      <c r="W5078"/>
    </row>
    <row r="5079" spans="10:23" x14ac:dyDescent="0.25">
      <c r="J5079"/>
      <c r="M5079"/>
      <c r="W5079"/>
    </row>
    <row r="5080" spans="10:23" x14ac:dyDescent="0.25">
      <c r="J5080"/>
      <c r="M5080"/>
      <c r="W5080"/>
    </row>
    <row r="5081" spans="10:23" x14ac:dyDescent="0.25">
      <c r="J5081"/>
      <c r="M5081"/>
      <c r="W5081"/>
    </row>
    <row r="5082" spans="10:23" x14ac:dyDescent="0.25">
      <c r="J5082"/>
      <c r="M5082"/>
      <c r="W5082"/>
    </row>
    <row r="5083" spans="10:23" x14ac:dyDescent="0.25">
      <c r="J5083"/>
      <c r="M5083"/>
      <c r="W5083"/>
    </row>
    <row r="5084" spans="10:23" x14ac:dyDescent="0.25">
      <c r="J5084"/>
      <c r="M5084"/>
      <c r="W5084"/>
    </row>
    <row r="5085" spans="10:23" x14ac:dyDescent="0.25">
      <c r="J5085"/>
      <c r="M5085"/>
      <c r="W5085"/>
    </row>
    <row r="5086" spans="10:23" x14ac:dyDescent="0.25">
      <c r="J5086"/>
      <c r="M5086"/>
      <c r="W5086"/>
    </row>
    <row r="5087" spans="10:23" x14ac:dyDescent="0.25">
      <c r="J5087"/>
      <c r="M5087"/>
      <c r="W5087"/>
    </row>
    <row r="5088" spans="10:23" x14ac:dyDescent="0.25">
      <c r="J5088"/>
      <c r="M5088"/>
      <c r="W5088"/>
    </row>
    <row r="5089" spans="10:23" x14ac:dyDescent="0.25">
      <c r="J5089"/>
      <c r="M5089"/>
      <c r="W5089"/>
    </row>
    <row r="5090" spans="10:23" x14ac:dyDescent="0.25">
      <c r="J5090"/>
      <c r="M5090"/>
      <c r="W5090"/>
    </row>
    <row r="5091" spans="10:23" x14ac:dyDescent="0.25">
      <c r="J5091"/>
      <c r="M5091"/>
      <c r="W5091"/>
    </row>
    <row r="5092" spans="10:23" x14ac:dyDescent="0.25">
      <c r="J5092"/>
      <c r="M5092"/>
      <c r="W5092"/>
    </row>
    <row r="5093" spans="10:23" x14ac:dyDescent="0.25">
      <c r="J5093"/>
      <c r="M5093"/>
      <c r="W5093"/>
    </row>
    <row r="5094" spans="10:23" x14ac:dyDescent="0.25">
      <c r="J5094"/>
      <c r="M5094"/>
      <c r="W5094"/>
    </row>
    <row r="5095" spans="10:23" x14ac:dyDescent="0.25">
      <c r="J5095"/>
      <c r="M5095"/>
      <c r="W5095"/>
    </row>
    <row r="5096" spans="10:23" x14ac:dyDescent="0.25">
      <c r="J5096"/>
      <c r="M5096"/>
      <c r="W5096"/>
    </row>
    <row r="5097" spans="10:23" x14ac:dyDescent="0.25">
      <c r="J5097"/>
      <c r="M5097"/>
      <c r="W5097"/>
    </row>
    <row r="5098" spans="10:23" x14ac:dyDescent="0.25">
      <c r="J5098"/>
      <c r="M5098"/>
      <c r="W5098"/>
    </row>
    <row r="5099" spans="10:23" x14ac:dyDescent="0.25">
      <c r="J5099"/>
      <c r="M5099"/>
      <c r="W5099"/>
    </row>
    <row r="5100" spans="10:23" x14ac:dyDescent="0.25">
      <c r="J5100"/>
      <c r="M5100"/>
      <c r="W5100"/>
    </row>
    <row r="5101" spans="10:23" x14ac:dyDescent="0.25">
      <c r="J5101"/>
      <c r="M5101"/>
      <c r="W5101"/>
    </row>
    <row r="5102" spans="10:23" x14ac:dyDescent="0.25">
      <c r="J5102"/>
      <c r="M5102"/>
      <c r="W5102"/>
    </row>
    <row r="5103" spans="10:23" x14ac:dyDescent="0.25">
      <c r="J5103"/>
      <c r="M5103"/>
      <c r="W5103"/>
    </row>
    <row r="5104" spans="10:23" x14ac:dyDescent="0.25">
      <c r="J5104"/>
      <c r="M5104"/>
      <c r="W5104"/>
    </row>
    <row r="5105" spans="10:23" x14ac:dyDescent="0.25">
      <c r="J5105"/>
      <c r="M5105"/>
      <c r="W5105"/>
    </row>
    <row r="5106" spans="10:23" x14ac:dyDescent="0.25">
      <c r="J5106"/>
      <c r="M5106"/>
      <c r="W5106"/>
    </row>
    <row r="5107" spans="10:23" x14ac:dyDescent="0.25">
      <c r="J5107"/>
      <c r="M5107"/>
      <c r="W5107"/>
    </row>
    <row r="5108" spans="10:23" x14ac:dyDescent="0.25">
      <c r="J5108"/>
      <c r="M5108"/>
      <c r="W5108"/>
    </row>
    <row r="5109" spans="10:23" x14ac:dyDescent="0.25">
      <c r="J5109"/>
      <c r="M5109"/>
      <c r="W5109"/>
    </row>
    <row r="5110" spans="10:23" x14ac:dyDescent="0.25">
      <c r="J5110"/>
      <c r="M5110"/>
      <c r="W5110"/>
    </row>
    <row r="5111" spans="10:23" x14ac:dyDescent="0.25">
      <c r="J5111"/>
      <c r="M5111"/>
      <c r="W5111"/>
    </row>
    <row r="5112" spans="10:23" x14ac:dyDescent="0.25">
      <c r="J5112"/>
      <c r="M5112"/>
      <c r="W5112"/>
    </row>
    <row r="5113" spans="10:23" x14ac:dyDescent="0.25">
      <c r="J5113"/>
      <c r="M5113"/>
      <c r="W5113"/>
    </row>
    <row r="5114" spans="10:23" x14ac:dyDescent="0.25">
      <c r="J5114"/>
      <c r="M5114"/>
      <c r="W5114"/>
    </row>
    <row r="5115" spans="10:23" x14ac:dyDescent="0.25">
      <c r="J5115"/>
      <c r="M5115"/>
      <c r="W5115"/>
    </row>
    <row r="5116" spans="10:23" x14ac:dyDescent="0.25">
      <c r="J5116"/>
      <c r="M5116"/>
      <c r="W5116"/>
    </row>
    <row r="5117" spans="10:23" x14ac:dyDescent="0.25">
      <c r="J5117"/>
      <c r="M5117"/>
      <c r="W5117"/>
    </row>
    <row r="5118" spans="10:23" x14ac:dyDescent="0.25">
      <c r="J5118"/>
      <c r="M5118"/>
      <c r="W5118"/>
    </row>
    <row r="5119" spans="10:23" x14ac:dyDescent="0.25">
      <c r="J5119"/>
      <c r="M5119"/>
      <c r="W5119"/>
    </row>
    <row r="5120" spans="10:23" x14ac:dyDescent="0.25">
      <c r="J5120"/>
      <c r="M5120"/>
      <c r="W5120"/>
    </row>
    <row r="5121" spans="10:23" x14ac:dyDescent="0.25">
      <c r="J5121"/>
      <c r="M5121"/>
      <c r="W5121"/>
    </row>
    <row r="5122" spans="10:23" x14ac:dyDescent="0.25">
      <c r="J5122"/>
      <c r="M5122"/>
      <c r="W5122"/>
    </row>
    <row r="5123" spans="10:23" x14ac:dyDescent="0.25">
      <c r="J5123"/>
      <c r="M5123"/>
      <c r="W5123"/>
    </row>
    <row r="5124" spans="10:23" x14ac:dyDescent="0.25">
      <c r="J5124"/>
      <c r="M5124"/>
      <c r="W5124"/>
    </row>
    <row r="5125" spans="10:23" x14ac:dyDescent="0.25">
      <c r="J5125"/>
      <c r="M5125"/>
      <c r="W5125"/>
    </row>
    <row r="5126" spans="10:23" x14ac:dyDescent="0.25">
      <c r="J5126"/>
      <c r="M5126"/>
      <c r="W5126"/>
    </row>
    <row r="5127" spans="10:23" x14ac:dyDescent="0.25">
      <c r="J5127"/>
      <c r="M5127"/>
      <c r="W5127"/>
    </row>
    <row r="5128" spans="10:23" x14ac:dyDescent="0.25">
      <c r="J5128"/>
      <c r="M5128"/>
      <c r="W5128"/>
    </row>
    <row r="5129" spans="10:23" x14ac:dyDescent="0.25">
      <c r="J5129"/>
      <c r="M5129"/>
      <c r="W5129"/>
    </row>
    <row r="5130" spans="10:23" x14ac:dyDescent="0.25">
      <c r="J5130"/>
      <c r="M5130"/>
      <c r="W5130"/>
    </row>
    <row r="5131" spans="10:23" x14ac:dyDescent="0.25">
      <c r="J5131"/>
      <c r="M5131"/>
      <c r="W5131"/>
    </row>
    <row r="5132" spans="10:23" x14ac:dyDescent="0.25">
      <c r="J5132"/>
      <c r="M5132"/>
      <c r="W5132"/>
    </row>
    <row r="5133" spans="10:23" x14ac:dyDescent="0.25">
      <c r="J5133"/>
      <c r="M5133"/>
      <c r="W5133"/>
    </row>
    <row r="5134" spans="10:23" x14ac:dyDescent="0.25">
      <c r="J5134"/>
      <c r="M5134"/>
      <c r="W5134"/>
    </row>
    <row r="5135" spans="10:23" x14ac:dyDescent="0.25">
      <c r="J5135"/>
      <c r="M5135"/>
      <c r="W5135"/>
    </row>
    <row r="5136" spans="10:23" x14ac:dyDescent="0.25">
      <c r="J5136"/>
      <c r="M5136"/>
      <c r="W5136"/>
    </row>
    <row r="5137" spans="10:23" x14ac:dyDescent="0.25">
      <c r="J5137"/>
      <c r="M5137"/>
      <c r="W5137"/>
    </row>
    <row r="5138" spans="10:23" x14ac:dyDescent="0.25">
      <c r="J5138"/>
      <c r="M5138"/>
      <c r="W5138"/>
    </row>
    <row r="5139" spans="10:23" x14ac:dyDescent="0.25">
      <c r="J5139"/>
      <c r="M5139"/>
      <c r="W5139"/>
    </row>
    <row r="5140" spans="10:23" x14ac:dyDescent="0.25">
      <c r="J5140"/>
      <c r="M5140"/>
      <c r="W5140"/>
    </row>
    <row r="5141" spans="10:23" x14ac:dyDescent="0.25">
      <c r="J5141"/>
      <c r="M5141"/>
      <c r="W5141"/>
    </row>
    <row r="5142" spans="10:23" x14ac:dyDescent="0.25">
      <c r="J5142"/>
      <c r="M5142"/>
      <c r="W5142"/>
    </row>
    <row r="5143" spans="10:23" x14ac:dyDescent="0.25">
      <c r="J5143"/>
      <c r="M5143"/>
      <c r="W5143"/>
    </row>
    <row r="5144" spans="10:23" x14ac:dyDescent="0.25">
      <c r="J5144"/>
      <c r="M5144"/>
      <c r="W5144"/>
    </row>
    <row r="5145" spans="10:23" x14ac:dyDescent="0.25">
      <c r="J5145"/>
      <c r="M5145"/>
      <c r="W5145"/>
    </row>
    <row r="5146" spans="10:23" x14ac:dyDescent="0.25">
      <c r="J5146"/>
      <c r="M5146"/>
      <c r="W5146"/>
    </row>
    <row r="5147" spans="10:23" x14ac:dyDescent="0.25">
      <c r="J5147"/>
      <c r="M5147"/>
      <c r="W5147"/>
    </row>
    <row r="5148" spans="10:23" x14ac:dyDescent="0.25">
      <c r="J5148"/>
      <c r="M5148"/>
      <c r="W5148"/>
    </row>
    <row r="5149" spans="10:23" x14ac:dyDescent="0.25">
      <c r="J5149"/>
      <c r="M5149"/>
      <c r="W5149"/>
    </row>
    <row r="5150" spans="10:23" x14ac:dyDescent="0.25">
      <c r="J5150"/>
      <c r="M5150"/>
      <c r="W5150"/>
    </row>
    <row r="5151" spans="10:23" x14ac:dyDescent="0.25">
      <c r="J5151"/>
      <c r="M5151"/>
      <c r="W5151"/>
    </row>
    <row r="5152" spans="10:23" x14ac:dyDescent="0.25">
      <c r="J5152"/>
      <c r="M5152"/>
      <c r="W5152"/>
    </row>
    <row r="5153" spans="10:23" x14ac:dyDescent="0.25">
      <c r="J5153"/>
      <c r="M5153"/>
      <c r="W5153"/>
    </row>
    <row r="5154" spans="10:23" x14ac:dyDescent="0.25">
      <c r="J5154"/>
      <c r="M5154"/>
      <c r="W5154"/>
    </row>
    <row r="5155" spans="10:23" x14ac:dyDescent="0.25">
      <c r="J5155"/>
      <c r="M5155"/>
      <c r="W5155"/>
    </row>
    <row r="5156" spans="10:23" x14ac:dyDescent="0.25">
      <c r="J5156"/>
      <c r="M5156"/>
      <c r="W5156"/>
    </row>
    <row r="5157" spans="10:23" x14ac:dyDescent="0.25">
      <c r="J5157"/>
      <c r="M5157"/>
      <c r="W5157"/>
    </row>
    <row r="5158" spans="10:23" x14ac:dyDescent="0.25">
      <c r="J5158"/>
      <c r="M5158"/>
      <c r="W5158"/>
    </row>
    <row r="5159" spans="10:23" x14ac:dyDescent="0.25">
      <c r="J5159"/>
      <c r="M5159"/>
      <c r="W5159"/>
    </row>
    <row r="5160" spans="10:23" x14ac:dyDescent="0.25">
      <c r="J5160"/>
      <c r="M5160"/>
      <c r="W5160"/>
    </row>
    <row r="5161" spans="10:23" x14ac:dyDescent="0.25">
      <c r="J5161"/>
      <c r="M5161"/>
      <c r="W5161"/>
    </row>
    <row r="5162" spans="10:23" x14ac:dyDescent="0.25">
      <c r="J5162"/>
      <c r="M5162"/>
      <c r="W5162"/>
    </row>
    <row r="5163" spans="10:23" x14ac:dyDescent="0.25">
      <c r="J5163"/>
      <c r="M5163"/>
      <c r="W5163"/>
    </row>
    <row r="5164" spans="10:23" x14ac:dyDescent="0.25">
      <c r="J5164"/>
      <c r="M5164"/>
      <c r="W5164"/>
    </row>
    <row r="5165" spans="10:23" x14ac:dyDescent="0.25">
      <c r="J5165"/>
      <c r="M5165"/>
      <c r="W5165"/>
    </row>
    <row r="5166" spans="10:23" x14ac:dyDescent="0.25">
      <c r="J5166"/>
      <c r="M5166"/>
      <c r="W5166"/>
    </row>
    <row r="5167" spans="10:23" x14ac:dyDescent="0.25">
      <c r="J5167"/>
      <c r="M5167"/>
      <c r="W5167"/>
    </row>
    <row r="5168" spans="10:23" x14ac:dyDescent="0.25">
      <c r="J5168"/>
      <c r="M5168"/>
      <c r="W5168"/>
    </row>
    <row r="5169" spans="10:23" x14ac:dyDescent="0.25">
      <c r="J5169"/>
      <c r="M5169"/>
      <c r="W5169"/>
    </row>
    <row r="5170" spans="10:23" x14ac:dyDescent="0.25">
      <c r="J5170"/>
      <c r="M5170"/>
      <c r="W5170"/>
    </row>
    <row r="5171" spans="10:23" x14ac:dyDescent="0.25">
      <c r="J5171"/>
      <c r="M5171"/>
      <c r="W5171"/>
    </row>
    <row r="5172" spans="10:23" x14ac:dyDescent="0.25">
      <c r="J5172"/>
      <c r="M5172"/>
      <c r="W5172"/>
    </row>
    <row r="5173" spans="10:23" x14ac:dyDescent="0.25">
      <c r="J5173"/>
      <c r="M5173"/>
      <c r="W5173"/>
    </row>
    <row r="5174" spans="10:23" x14ac:dyDescent="0.25">
      <c r="J5174"/>
      <c r="M5174"/>
      <c r="W5174"/>
    </row>
    <row r="5175" spans="10:23" x14ac:dyDescent="0.25">
      <c r="J5175"/>
      <c r="M5175"/>
      <c r="W5175"/>
    </row>
    <row r="5176" spans="10:23" x14ac:dyDescent="0.25">
      <c r="J5176"/>
      <c r="M5176"/>
      <c r="W5176"/>
    </row>
    <row r="5177" spans="10:23" x14ac:dyDescent="0.25">
      <c r="J5177"/>
      <c r="M5177"/>
      <c r="W5177"/>
    </row>
    <row r="5178" spans="10:23" x14ac:dyDescent="0.25">
      <c r="J5178"/>
      <c r="M5178"/>
      <c r="W5178"/>
    </row>
    <row r="5179" spans="10:23" x14ac:dyDescent="0.25">
      <c r="J5179"/>
      <c r="M5179"/>
      <c r="W5179"/>
    </row>
    <row r="5180" spans="10:23" x14ac:dyDescent="0.25">
      <c r="J5180"/>
      <c r="M5180"/>
      <c r="W5180"/>
    </row>
    <row r="5181" spans="10:23" x14ac:dyDescent="0.25">
      <c r="J5181"/>
      <c r="M5181"/>
      <c r="W5181"/>
    </row>
    <row r="5182" spans="10:23" x14ac:dyDescent="0.25">
      <c r="J5182"/>
      <c r="M5182"/>
      <c r="W5182"/>
    </row>
    <row r="5183" spans="10:23" x14ac:dyDescent="0.25">
      <c r="J5183"/>
      <c r="M5183"/>
      <c r="W5183"/>
    </row>
    <row r="5184" spans="10:23" x14ac:dyDescent="0.25">
      <c r="J5184"/>
      <c r="M5184"/>
      <c r="W5184"/>
    </row>
    <row r="5185" spans="10:23" x14ac:dyDescent="0.25">
      <c r="J5185"/>
      <c r="M5185"/>
      <c r="W5185"/>
    </row>
    <row r="5186" spans="10:23" x14ac:dyDescent="0.25">
      <c r="J5186"/>
      <c r="M5186"/>
      <c r="W5186"/>
    </row>
    <row r="5187" spans="10:23" x14ac:dyDescent="0.25">
      <c r="J5187"/>
      <c r="M5187"/>
      <c r="W5187"/>
    </row>
    <row r="5188" spans="10:23" x14ac:dyDescent="0.25">
      <c r="J5188"/>
      <c r="M5188"/>
      <c r="W5188"/>
    </row>
    <row r="5189" spans="10:23" x14ac:dyDescent="0.25">
      <c r="J5189"/>
      <c r="M5189"/>
      <c r="W5189"/>
    </row>
    <row r="5190" spans="10:23" x14ac:dyDescent="0.25">
      <c r="J5190"/>
      <c r="M5190"/>
      <c r="W5190"/>
    </row>
    <row r="5191" spans="10:23" x14ac:dyDescent="0.25">
      <c r="J5191"/>
      <c r="M5191"/>
      <c r="W5191"/>
    </row>
    <row r="5192" spans="10:23" x14ac:dyDescent="0.25">
      <c r="J5192"/>
      <c r="M5192"/>
      <c r="W5192"/>
    </row>
    <row r="5193" spans="10:23" x14ac:dyDescent="0.25">
      <c r="J5193"/>
      <c r="M5193"/>
      <c r="W5193"/>
    </row>
    <row r="5194" spans="10:23" x14ac:dyDescent="0.25">
      <c r="J5194"/>
      <c r="M5194"/>
      <c r="W5194"/>
    </row>
    <row r="5195" spans="10:23" x14ac:dyDescent="0.25">
      <c r="J5195"/>
      <c r="M5195"/>
      <c r="W5195"/>
    </row>
    <row r="5196" spans="10:23" x14ac:dyDescent="0.25">
      <c r="J5196"/>
      <c r="M5196"/>
      <c r="W5196"/>
    </row>
    <row r="5197" spans="10:23" x14ac:dyDescent="0.25">
      <c r="J5197"/>
      <c r="M5197"/>
      <c r="W5197"/>
    </row>
    <row r="5198" spans="10:23" x14ac:dyDescent="0.25">
      <c r="J5198"/>
      <c r="M5198"/>
      <c r="W5198"/>
    </row>
    <row r="5199" spans="10:23" x14ac:dyDescent="0.25">
      <c r="J5199"/>
      <c r="M5199"/>
      <c r="W5199"/>
    </row>
    <row r="5200" spans="10:23" x14ac:dyDescent="0.25">
      <c r="J5200"/>
      <c r="M5200"/>
      <c r="W5200"/>
    </row>
    <row r="5201" spans="10:23" x14ac:dyDescent="0.25">
      <c r="J5201"/>
      <c r="M5201"/>
      <c r="W5201"/>
    </row>
    <row r="5202" spans="10:23" x14ac:dyDescent="0.25">
      <c r="J5202"/>
      <c r="M5202"/>
      <c r="W5202"/>
    </row>
    <row r="5203" spans="10:23" x14ac:dyDescent="0.25">
      <c r="J5203"/>
      <c r="M5203"/>
      <c r="W5203"/>
    </row>
    <row r="5204" spans="10:23" x14ac:dyDescent="0.25">
      <c r="J5204"/>
      <c r="M5204"/>
      <c r="W5204"/>
    </row>
    <row r="5205" spans="10:23" x14ac:dyDescent="0.25">
      <c r="J5205"/>
      <c r="M5205"/>
      <c r="W5205"/>
    </row>
    <row r="5206" spans="10:23" x14ac:dyDescent="0.25">
      <c r="J5206"/>
      <c r="M5206"/>
      <c r="W5206"/>
    </row>
    <row r="5207" spans="10:23" x14ac:dyDescent="0.25">
      <c r="J5207"/>
      <c r="M5207"/>
      <c r="W5207"/>
    </row>
    <row r="5208" spans="10:23" x14ac:dyDescent="0.25">
      <c r="J5208"/>
      <c r="M5208"/>
      <c r="W5208"/>
    </row>
    <row r="5209" spans="10:23" x14ac:dyDescent="0.25">
      <c r="J5209"/>
      <c r="M5209"/>
      <c r="W5209"/>
    </row>
    <row r="5210" spans="10:23" x14ac:dyDescent="0.25">
      <c r="J5210"/>
      <c r="M5210"/>
      <c r="W5210"/>
    </row>
    <row r="5211" spans="10:23" x14ac:dyDescent="0.25">
      <c r="J5211"/>
      <c r="M5211"/>
      <c r="W5211"/>
    </row>
    <row r="5212" spans="10:23" x14ac:dyDescent="0.25">
      <c r="J5212"/>
      <c r="M5212"/>
      <c r="W5212"/>
    </row>
    <row r="5213" spans="10:23" x14ac:dyDescent="0.25">
      <c r="J5213"/>
      <c r="M5213"/>
      <c r="W5213"/>
    </row>
    <row r="5214" spans="10:23" x14ac:dyDescent="0.25">
      <c r="J5214"/>
      <c r="M5214"/>
      <c r="W5214"/>
    </row>
    <row r="5215" spans="10:23" x14ac:dyDescent="0.25">
      <c r="J5215"/>
      <c r="M5215"/>
      <c r="W5215"/>
    </row>
    <row r="5216" spans="10:23" x14ac:dyDescent="0.25">
      <c r="J5216"/>
      <c r="M5216"/>
      <c r="W5216"/>
    </row>
    <row r="5217" spans="10:23" x14ac:dyDescent="0.25">
      <c r="J5217"/>
      <c r="M5217"/>
      <c r="W5217"/>
    </row>
    <row r="5218" spans="10:23" x14ac:dyDescent="0.25">
      <c r="J5218"/>
      <c r="M5218"/>
      <c r="W5218"/>
    </row>
    <row r="5219" spans="10:23" x14ac:dyDescent="0.25">
      <c r="J5219"/>
      <c r="M5219"/>
      <c r="W5219"/>
    </row>
    <row r="5220" spans="10:23" x14ac:dyDescent="0.25">
      <c r="J5220"/>
      <c r="M5220"/>
      <c r="W5220"/>
    </row>
    <row r="5221" spans="10:23" x14ac:dyDescent="0.25">
      <c r="J5221"/>
      <c r="M5221"/>
      <c r="W5221"/>
    </row>
    <row r="5222" spans="10:23" x14ac:dyDescent="0.25">
      <c r="J5222"/>
      <c r="M5222"/>
      <c r="W5222"/>
    </row>
    <row r="5223" spans="10:23" x14ac:dyDescent="0.25">
      <c r="J5223"/>
      <c r="M5223"/>
      <c r="W5223"/>
    </row>
    <row r="5224" spans="10:23" x14ac:dyDescent="0.25">
      <c r="J5224"/>
      <c r="M5224"/>
      <c r="W5224"/>
    </row>
    <row r="5225" spans="10:23" x14ac:dyDescent="0.25">
      <c r="J5225"/>
      <c r="M5225"/>
      <c r="W5225"/>
    </row>
    <row r="5226" spans="10:23" x14ac:dyDescent="0.25">
      <c r="J5226"/>
      <c r="M5226"/>
      <c r="W5226"/>
    </row>
    <row r="5227" spans="10:23" x14ac:dyDescent="0.25">
      <c r="J5227"/>
      <c r="M5227"/>
      <c r="W5227"/>
    </row>
    <row r="5228" spans="10:23" x14ac:dyDescent="0.25">
      <c r="J5228"/>
      <c r="M5228"/>
      <c r="W5228"/>
    </row>
    <row r="5229" spans="10:23" x14ac:dyDescent="0.25">
      <c r="J5229"/>
      <c r="M5229"/>
      <c r="W5229"/>
    </row>
    <row r="5230" spans="10:23" x14ac:dyDescent="0.25">
      <c r="J5230"/>
      <c r="M5230"/>
      <c r="W5230"/>
    </row>
    <row r="5231" spans="10:23" x14ac:dyDescent="0.25">
      <c r="J5231"/>
      <c r="M5231"/>
      <c r="W5231"/>
    </row>
    <row r="5232" spans="10:23" x14ac:dyDescent="0.25">
      <c r="J5232"/>
      <c r="M5232"/>
      <c r="W5232"/>
    </row>
    <row r="5233" spans="10:23" x14ac:dyDescent="0.25">
      <c r="J5233"/>
      <c r="M5233"/>
      <c r="W5233"/>
    </row>
    <row r="5234" spans="10:23" x14ac:dyDescent="0.25">
      <c r="J5234"/>
      <c r="M5234"/>
      <c r="W5234"/>
    </row>
    <row r="5235" spans="10:23" x14ac:dyDescent="0.25">
      <c r="J5235"/>
      <c r="M5235"/>
      <c r="W5235"/>
    </row>
    <row r="5236" spans="10:23" x14ac:dyDescent="0.25">
      <c r="J5236"/>
      <c r="M5236"/>
      <c r="W5236"/>
    </row>
    <row r="5237" spans="10:23" x14ac:dyDescent="0.25">
      <c r="J5237"/>
      <c r="M5237"/>
      <c r="W5237"/>
    </row>
    <row r="5238" spans="10:23" x14ac:dyDescent="0.25">
      <c r="J5238"/>
      <c r="M5238"/>
      <c r="W5238"/>
    </row>
    <row r="5239" spans="10:23" x14ac:dyDescent="0.25">
      <c r="J5239"/>
      <c r="M5239"/>
      <c r="W5239"/>
    </row>
    <row r="5240" spans="10:23" x14ac:dyDescent="0.25">
      <c r="J5240"/>
      <c r="M5240"/>
      <c r="W5240"/>
    </row>
    <row r="5241" spans="10:23" x14ac:dyDescent="0.25">
      <c r="J5241"/>
      <c r="M5241"/>
      <c r="W5241"/>
    </row>
    <row r="5242" spans="10:23" x14ac:dyDescent="0.25">
      <c r="J5242"/>
      <c r="M5242"/>
      <c r="W5242"/>
    </row>
    <row r="5243" spans="10:23" x14ac:dyDescent="0.25">
      <c r="J5243"/>
      <c r="M5243"/>
      <c r="W5243"/>
    </row>
    <row r="5244" spans="10:23" x14ac:dyDescent="0.25">
      <c r="J5244"/>
      <c r="M5244"/>
      <c r="W5244"/>
    </row>
    <row r="5245" spans="10:23" x14ac:dyDescent="0.25">
      <c r="J5245"/>
      <c r="M5245"/>
      <c r="W5245"/>
    </row>
    <row r="5246" spans="10:23" x14ac:dyDescent="0.25">
      <c r="J5246"/>
      <c r="M5246"/>
      <c r="W5246"/>
    </row>
    <row r="5247" spans="10:23" x14ac:dyDescent="0.25">
      <c r="J5247"/>
      <c r="M5247"/>
      <c r="W5247"/>
    </row>
    <row r="5248" spans="10:23" x14ac:dyDescent="0.25">
      <c r="J5248"/>
      <c r="M5248"/>
      <c r="W5248"/>
    </row>
    <row r="5249" spans="10:23" x14ac:dyDescent="0.25">
      <c r="J5249"/>
      <c r="M5249"/>
      <c r="W5249"/>
    </row>
    <row r="5250" spans="10:23" x14ac:dyDescent="0.25">
      <c r="J5250"/>
      <c r="M5250"/>
      <c r="W5250"/>
    </row>
    <row r="5251" spans="10:23" x14ac:dyDescent="0.25">
      <c r="J5251"/>
      <c r="M5251"/>
      <c r="W5251"/>
    </row>
    <row r="5252" spans="10:23" x14ac:dyDescent="0.25">
      <c r="J5252"/>
      <c r="M5252"/>
      <c r="W5252"/>
    </row>
    <row r="5253" spans="10:23" x14ac:dyDescent="0.25">
      <c r="J5253"/>
      <c r="M5253"/>
      <c r="W5253"/>
    </row>
    <row r="5254" spans="10:23" x14ac:dyDescent="0.25">
      <c r="J5254"/>
      <c r="M5254"/>
      <c r="W5254"/>
    </row>
    <row r="5255" spans="10:23" x14ac:dyDescent="0.25">
      <c r="J5255"/>
      <c r="M5255"/>
      <c r="W5255"/>
    </row>
    <row r="5256" spans="10:23" x14ac:dyDescent="0.25">
      <c r="J5256"/>
      <c r="M5256"/>
      <c r="W5256"/>
    </row>
    <row r="5257" spans="10:23" x14ac:dyDescent="0.25">
      <c r="J5257"/>
      <c r="M5257"/>
      <c r="W5257"/>
    </row>
    <row r="5258" spans="10:23" x14ac:dyDescent="0.25">
      <c r="J5258"/>
      <c r="M5258"/>
      <c r="W5258"/>
    </row>
    <row r="5259" spans="10:23" x14ac:dyDescent="0.25">
      <c r="J5259"/>
      <c r="M5259"/>
      <c r="W5259"/>
    </row>
    <row r="5260" spans="10:23" x14ac:dyDescent="0.25">
      <c r="J5260"/>
      <c r="M5260"/>
      <c r="W5260"/>
    </row>
    <row r="5261" spans="10:23" x14ac:dyDescent="0.25">
      <c r="J5261"/>
      <c r="M5261"/>
      <c r="W5261"/>
    </row>
    <row r="5262" spans="10:23" x14ac:dyDescent="0.25">
      <c r="J5262"/>
      <c r="M5262"/>
      <c r="W5262"/>
    </row>
    <row r="5263" spans="10:23" x14ac:dyDescent="0.25">
      <c r="J5263"/>
      <c r="M5263"/>
      <c r="W5263"/>
    </row>
    <row r="5264" spans="10:23" x14ac:dyDescent="0.25">
      <c r="J5264"/>
      <c r="M5264"/>
      <c r="W5264"/>
    </row>
    <row r="5265" spans="10:23" x14ac:dyDescent="0.25">
      <c r="J5265"/>
      <c r="M5265"/>
      <c r="W5265"/>
    </row>
    <row r="5266" spans="10:23" x14ac:dyDescent="0.25">
      <c r="J5266"/>
      <c r="M5266"/>
      <c r="W5266"/>
    </row>
    <row r="5267" spans="10:23" x14ac:dyDescent="0.25">
      <c r="J5267"/>
      <c r="M5267"/>
      <c r="W5267"/>
    </row>
    <row r="5268" spans="10:23" x14ac:dyDescent="0.25">
      <c r="J5268"/>
      <c r="M5268"/>
      <c r="W5268"/>
    </row>
    <row r="5269" spans="10:23" x14ac:dyDescent="0.25">
      <c r="J5269"/>
      <c r="M5269"/>
      <c r="W5269"/>
    </row>
    <row r="5270" spans="10:23" x14ac:dyDescent="0.25">
      <c r="J5270"/>
      <c r="M5270"/>
      <c r="W5270"/>
    </row>
    <row r="5271" spans="10:23" x14ac:dyDescent="0.25">
      <c r="J5271"/>
      <c r="M5271"/>
      <c r="W5271"/>
    </row>
    <row r="5272" spans="10:23" x14ac:dyDescent="0.25">
      <c r="J5272"/>
      <c r="M5272"/>
      <c r="W5272"/>
    </row>
    <row r="5273" spans="10:23" x14ac:dyDescent="0.25">
      <c r="J5273"/>
      <c r="M5273"/>
      <c r="W5273"/>
    </row>
    <row r="5274" spans="10:23" x14ac:dyDescent="0.25">
      <c r="J5274"/>
      <c r="M5274"/>
      <c r="W5274"/>
    </row>
    <row r="5275" spans="10:23" x14ac:dyDescent="0.25">
      <c r="J5275"/>
      <c r="M5275"/>
      <c r="W5275"/>
    </row>
    <row r="5276" spans="10:23" x14ac:dyDescent="0.25">
      <c r="J5276"/>
      <c r="M5276"/>
      <c r="W5276"/>
    </row>
    <row r="5277" spans="10:23" x14ac:dyDescent="0.25">
      <c r="J5277"/>
      <c r="M5277"/>
      <c r="W5277"/>
    </row>
    <row r="5278" spans="10:23" x14ac:dyDescent="0.25">
      <c r="J5278"/>
      <c r="M5278"/>
      <c r="W5278"/>
    </row>
    <row r="5279" spans="10:23" x14ac:dyDescent="0.25">
      <c r="J5279"/>
      <c r="M5279"/>
      <c r="W5279"/>
    </row>
    <row r="5280" spans="10:23" x14ac:dyDescent="0.25">
      <c r="J5280"/>
      <c r="M5280"/>
      <c r="W5280"/>
    </row>
    <row r="5281" spans="10:23" x14ac:dyDescent="0.25">
      <c r="J5281"/>
      <c r="M5281"/>
      <c r="W5281"/>
    </row>
    <row r="5282" spans="10:23" x14ac:dyDescent="0.25">
      <c r="J5282"/>
      <c r="M5282"/>
      <c r="W5282"/>
    </row>
    <row r="5283" spans="10:23" x14ac:dyDescent="0.25">
      <c r="J5283"/>
      <c r="M5283"/>
      <c r="W5283"/>
    </row>
    <row r="5284" spans="10:23" x14ac:dyDescent="0.25">
      <c r="J5284"/>
      <c r="M5284"/>
      <c r="W5284"/>
    </row>
    <row r="5285" spans="10:23" x14ac:dyDescent="0.25">
      <c r="J5285"/>
      <c r="M5285"/>
      <c r="W5285"/>
    </row>
    <row r="5286" spans="10:23" x14ac:dyDescent="0.25">
      <c r="J5286"/>
      <c r="M5286"/>
      <c r="W5286"/>
    </row>
    <row r="5287" spans="10:23" x14ac:dyDescent="0.25">
      <c r="J5287"/>
      <c r="M5287"/>
      <c r="W5287"/>
    </row>
    <row r="5288" spans="10:23" x14ac:dyDescent="0.25">
      <c r="J5288"/>
      <c r="M5288"/>
      <c r="W5288"/>
    </row>
    <row r="5289" spans="10:23" x14ac:dyDescent="0.25">
      <c r="J5289"/>
      <c r="M5289"/>
      <c r="W5289"/>
    </row>
    <row r="5290" spans="10:23" x14ac:dyDescent="0.25">
      <c r="J5290"/>
      <c r="M5290"/>
      <c r="W5290"/>
    </row>
    <row r="5291" spans="10:23" x14ac:dyDescent="0.25">
      <c r="J5291"/>
      <c r="M5291"/>
      <c r="W5291"/>
    </row>
    <row r="5292" spans="10:23" x14ac:dyDescent="0.25">
      <c r="J5292"/>
      <c r="M5292"/>
      <c r="W5292"/>
    </row>
    <row r="5293" spans="10:23" x14ac:dyDescent="0.25">
      <c r="J5293"/>
      <c r="M5293"/>
      <c r="W5293"/>
    </row>
    <row r="5294" spans="10:23" x14ac:dyDescent="0.25">
      <c r="J5294"/>
      <c r="M5294"/>
      <c r="W5294"/>
    </row>
    <row r="5295" spans="10:23" x14ac:dyDescent="0.25">
      <c r="J5295"/>
      <c r="M5295"/>
      <c r="W5295"/>
    </row>
    <row r="5296" spans="10:23" x14ac:dyDescent="0.25">
      <c r="J5296"/>
      <c r="M5296"/>
      <c r="W5296"/>
    </row>
    <row r="5297" spans="10:23" x14ac:dyDescent="0.25">
      <c r="J5297"/>
      <c r="M5297"/>
      <c r="W5297"/>
    </row>
    <row r="5298" spans="10:23" x14ac:dyDescent="0.25">
      <c r="J5298"/>
      <c r="M5298"/>
      <c r="W5298"/>
    </row>
    <row r="5299" spans="10:23" x14ac:dyDescent="0.25">
      <c r="J5299"/>
      <c r="M5299"/>
      <c r="W5299"/>
    </row>
    <row r="5300" spans="10:23" x14ac:dyDescent="0.25">
      <c r="J5300"/>
      <c r="M5300"/>
      <c r="W5300"/>
    </row>
    <row r="5301" spans="10:23" x14ac:dyDescent="0.25">
      <c r="J5301"/>
      <c r="M5301"/>
      <c r="W5301"/>
    </row>
    <row r="5302" spans="10:23" x14ac:dyDescent="0.25">
      <c r="J5302"/>
      <c r="M5302"/>
      <c r="W5302"/>
    </row>
    <row r="5303" spans="10:23" x14ac:dyDescent="0.25">
      <c r="J5303"/>
      <c r="M5303"/>
      <c r="W5303"/>
    </row>
    <row r="5304" spans="10:23" x14ac:dyDescent="0.25">
      <c r="J5304"/>
      <c r="M5304"/>
      <c r="W5304"/>
    </row>
    <row r="5305" spans="10:23" x14ac:dyDescent="0.25">
      <c r="J5305"/>
      <c r="M5305"/>
      <c r="W5305"/>
    </row>
    <row r="5306" spans="10:23" x14ac:dyDescent="0.25">
      <c r="J5306"/>
      <c r="M5306"/>
      <c r="W5306"/>
    </row>
    <row r="5307" spans="10:23" x14ac:dyDescent="0.25">
      <c r="J5307"/>
      <c r="M5307"/>
      <c r="W5307"/>
    </row>
    <row r="5308" spans="10:23" x14ac:dyDescent="0.25">
      <c r="J5308"/>
      <c r="M5308"/>
      <c r="W5308"/>
    </row>
    <row r="5309" spans="10:23" x14ac:dyDescent="0.25">
      <c r="J5309"/>
      <c r="M5309"/>
      <c r="W5309"/>
    </row>
    <row r="5310" spans="10:23" x14ac:dyDescent="0.25">
      <c r="J5310"/>
      <c r="M5310"/>
      <c r="W5310"/>
    </row>
    <row r="5311" spans="10:23" x14ac:dyDescent="0.25">
      <c r="J5311"/>
      <c r="M5311"/>
      <c r="W5311"/>
    </row>
    <row r="5312" spans="10:23" x14ac:dyDescent="0.25">
      <c r="J5312"/>
      <c r="M5312"/>
      <c r="W5312"/>
    </row>
    <row r="5313" spans="10:23" x14ac:dyDescent="0.25">
      <c r="J5313"/>
      <c r="M5313"/>
      <c r="W5313"/>
    </row>
    <row r="5314" spans="10:23" x14ac:dyDescent="0.25">
      <c r="J5314"/>
      <c r="M5314"/>
      <c r="W5314"/>
    </row>
    <row r="5315" spans="10:23" x14ac:dyDescent="0.25">
      <c r="J5315"/>
      <c r="M5315"/>
      <c r="W5315"/>
    </row>
    <row r="5316" spans="10:23" x14ac:dyDescent="0.25">
      <c r="J5316"/>
      <c r="M5316"/>
      <c r="W5316"/>
    </row>
    <row r="5317" spans="10:23" x14ac:dyDescent="0.25">
      <c r="J5317"/>
      <c r="M5317"/>
      <c r="W5317"/>
    </row>
    <row r="5318" spans="10:23" x14ac:dyDescent="0.25">
      <c r="J5318"/>
      <c r="M5318"/>
      <c r="W5318"/>
    </row>
    <row r="5319" spans="10:23" x14ac:dyDescent="0.25">
      <c r="J5319"/>
      <c r="M5319"/>
      <c r="W5319"/>
    </row>
    <row r="5320" spans="10:23" x14ac:dyDescent="0.25">
      <c r="J5320"/>
      <c r="M5320"/>
      <c r="W5320"/>
    </row>
    <row r="5321" spans="10:23" x14ac:dyDescent="0.25">
      <c r="J5321"/>
      <c r="M5321"/>
      <c r="W5321"/>
    </row>
    <row r="5322" spans="10:23" x14ac:dyDescent="0.25">
      <c r="J5322"/>
      <c r="M5322"/>
      <c r="W5322"/>
    </row>
    <row r="5323" spans="10:23" x14ac:dyDescent="0.25">
      <c r="J5323"/>
      <c r="M5323"/>
      <c r="W5323"/>
    </row>
    <row r="5324" spans="10:23" x14ac:dyDescent="0.25">
      <c r="J5324"/>
      <c r="M5324"/>
      <c r="W5324"/>
    </row>
    <row r="5325" spans="10:23" x14ac:dyDescent="0.25">
      <c r="J5325"/>
      <c r="M5325"/>
      <c r="W5325"/>
    </row>
    <row r="5326" spans="10:23" x14ac:dyDescent="0.25">
      <c r="J5326"/>
      <c r="M5326"/>
      <c r="W5326"/>
    </row>
    <row r="5327" spans="10:23" x14ac:dyDescent="0.25">
      <c r="J5327"/>
      <c r="M5327"/>
      <c r="W5327"/>
    </row>
    <row r="5328" spans="10:23" x14ac:dyDescent="0.25">
      <c r="J5328"/>
      <c r="M5328"/>
      <c r="W5328"/>
    </row>
    <row r="5329" spans="10:23" x14ac:dyDescent="0.25">
      <c r="J5329"/>
      <c r="M5329"/>
      <c r="W5329"/>
    </row>
    <row r="5330" spans="10:23" x14ac:dyDescent="0.25">
      <c r="J5330"/>
      <c r="M5330"/>
      <c r="W5330"/>
    </row>
    <row r="5331" spans="10:23" x14ac:dyDescent="0.25">
      <c r="J5331"/>
      <c r="M5331"/>
      <c r="W5331"/>
    </row>
    <row r="5332" spans="10:23" x14ac:dyDescent="0.25">
      <c r="J5332"/>
      <c r="M5332"/>
      <c r="W5332"/>
    </row>
    <row r="5333" spans="10:23" x14ac:dyDescent="0.25">
      <c r="J5333"/>
      <c r="M5333"/>
      <c r="W5333"/>
    </row>
    <row r="5334" spans="10:23" x14ac:dyDescent="0.25">
      <c r="J5334"/>
      <c r="M5334"/>
      <c r="W5334"/>
    </row>
    <row r="5335" spans="10:23" x14ac:dyDescent="0.25">
      <c r="J5335"/>
      <c r="M5335"/>
      <c r="W5335"/>
    </row>
    <row r="5336" spans="10:23" x14ac:dyDescent="0.25">
      <c r="J5336"/>
      <c r="M5336"/>
      <c r="W5336"/>
    </row>
    <row r="5337" spans="10:23" x14ac:dyDescent="0.25">
      <c r="J5337"/>
      <c r="M5337"/>
      <c r="W5337"/>
    </row>
    <row r="5338" spans="10:23" x14ac:dyDescent="0.25">
      <c r="J5338"/>
      <c r="M5338"/>
      <c r="W5338"/>
    </row>
    <row r="5339" spans="10:23" x14ac:dyDescent="0.25">
      <c r="J5339"/>
      <c r="M5339"/>
      <c r="W5339"/>
    </row>
    <row r="5340" spans="10:23" x14ac:dyDescent="0.25">
      <c r="J5340"/>
      <c r="M5340"/>
      <c r="W5340"/>
    </row>
    <row r="5341" spans="10:23" x14ac:dyDescent="0.25">
      <c r="J5341"/>
      <c r="M5341"/>
      <c r="W5341"/>
    </row>
    <row r="5342" spans="10:23" x14ac:dyDescent="0.25">
      <c r="J5342"/>
      <c r="M5342"/>
      <c r="W5342"/>
    </row>
    <row r="5343" spans="10:23" x14ac:dyDescent="0.25">
      <c r="J5343"/>
      <c r="M5343"/>
      <c r="W5343"/>
    </row>
    <row r="5344" spans="10:23" x14ac:dyDescent="0.25">
      <c r="J5344"/>
      <c r="M5344"/>
      <c r="W5344"/>
    </row>
    <row r="5345" spans="10:23" x14ac:dyDescent="0.25">
      <c r="J5345"/>
      <c r="M5345"/>
      <c r="W5345"/>
    </row>
    <row r="5346" spans="10:23" x14ac:dyDescent="0.25">
      <c r="J5346"/>
      <c r="M5346"/>
      <c r="W5346"/>
    </row>
    <row r="5347" spans="10:23" x14ac:dyDescent="0.25">
      <c r="J5347"/>
      <c r="M5347"/>
      <c r="W5347"/>
    </row>
    <row r="5348" spans="10:23" x14ac:dyDescent="0.25">
      <c r="J5348"/>
      <c r="M5348"/>
      <c r="W5348"/>
    </row>
    <row r="5349" spans="10:23" x14ac:dyDescent="0.25">
      <c r="J5349"/>
      <c r="M5349"/>
      <c r="W5349"/>
    </row>
    <row r="5350" spans="10:23" x14ac:dyDescent="0.25">
      <c r="J5350"/>
      <c r="M5350"/>
      <c r="W5350"/>
    </row>
    <row r="5351" spans="10:23" x14ac:dyDescent="0.25">
      <c r="J5351"/>
      <c r="M5351"/>
      <c r="W5351"/>
    </row>
    <row r="5352" spans="10:23" x14ac:dyDescent="0.25">
      <c r="J5352"/>
      <c r="M5352"/>
      <c r="W5352"/>
    </row>
    <row r="5353" spans="10:23" x14ac:dyDescent="0.25">
      <c r="J5353"/>
      <c r="M5353"/>
      <c r="W5353"/>
    </row>
    <row r="5354" spans="10:23" x14ac:dyDescent="0.25">
      <c r="J5354"/>
      <c r="M5354"/>
      <c r="W5354"/>
    </row>
    <row r="5355" spans="10:23" x14ac:dyDescent="0.25">
      <c r="J5355"/>
      <c r="M5355"/>
      <c r="W5355"/>
    </row>
    <row r="5356" spans="10:23" x14ac:dyDescent="0.25">
      <c r="J5356"/>
      <c r="M5356"/>
      <c r="W5356"/>
    </row>
    <row r="5357" spans="10:23" x14ac:dyDescent="0.25">
      <c r="J5357"/>
      <c r="M5357"/>
      <c r="W5357"/>
    </row>
    <row r="5358" spans="10:23" x14ac:dyDescent="0.25">
      <c r="J5358"/>
      <c r="M5358"/>
      <c r="W5358"/>
    </row>
    <row r="5359" spans="10:23" x14ac:dyDescent="0.25">
      <c r="J5359"/>
      <c r="M5359"/>
      <c r="W5359"/>
    </row>
    <row r="5360" spans="10:23" x14ac:dyDescent="0.25">
      <c r="J5360"/>
      <c r="M5360"/>
      <c r="W5360"/>
    </row>
    <row r="5361" spans="10:23" x14ac:dyDescent="0.25">
      <c r="J5361"/>
      <c r="M5361"/>
      <c r="W5361"/>
    </row>
    <row r="5362" spans="10:23" x14ac:dyDescent="0.25">
      <c r="J5362"/>
      <c r="M5362"/>
      <c r="W5362"/>
    </row>
    <row r="5363" spans="10:23" x14ac:dyDescent="0.25">
      <c r="J5363"/>
      <c r="M5363"/>
      <c r="W5363"/>
    </row>
    <row r="5364" spans="10:23" x14ac:dyDescent="0.25">
      <c r="J5364"/>
      <c r="M5364"/>
      <c r="W5364"/>
    </row>
    <row r="5365" spans="10:23" x14ac:dyDescent="0.25">
      <c r="J5365"/>
      <c r="M5365"/>
      <c r="W5365"/>
    </row>
    <row r="5366" spans="10:23" x14ac:dyDescent="0.25">
      <c r="J5366"/>
      <c r="M5366"/>
      <c r="W5366"/>
    </row>
    <row r="5367" spans="10:23" x14ac:dyDescent="0.25">
      <c r="J5367"/>
      <c r="M5367"/>
      <c r="W5367"/>
    </row>
    <row r="5368" spans="10:23" x14ac:dyDescent="0.25">
      <c r="J5368"/>
      <c r="M5368"/>
      <c r="W5368"/>
    </row>
    <row r="5369" spans="10:23" x14ac:dyDescent="0.25">
      <c r="J5369"/>
      <c r="M5369"/>
      <c r="W5369"/>
    </row>
    <row r="5370" spans="10:23" x14ac:dyDescent="0.25">
      <c r="J5370"/>
      <c r="M5370"/>
      <c r="W5370"/>
    </row>
    <row r="5371" spans="10:23" x14ac:dyDescent="0.25">
      <c r="J5371"/>
      <c r="M5371"/>
      <c r="W5371"/>
    </row>
    <row r="5372" spans="10:23" x14ac:dyDescent="0.25">
      <c r="J5372"/>
      <c r="M5372"/>
      <c r="W5372"/>
    </row>
    <row r="5373" spans="10:23" x14ac:dyDescent="0.25">
      <c r="J5373"/>
      <c r="M5373"/>
      <c r="W5373"/>
    </row>
    <row r="5374" spans="10:23" x14ac:dyDescent="0.25">
      <c r="J5374"/>
      <c r="M5374"/>
      <c r="W5374"/>
    </row>
    <row r="5375" spans="10:23" x14ac:dyDescent="0.25">
      <c r="J5375"/>
      <c r="M5375"/>
      <c r="W5375"/>
    </row>
    <row r="5376" spans="10:23" x14ac:dyDescent="0.25">
      <c r="J5376"/>
      <c r="M5376"/>
      <c r="W5376"/>
    </row>
    <row r="5377" spans="10:23" x14ac:dyDescent="0.25">
      <c r="J5377"/>
      <c r="M5377"/>
      <c r="W5377"/>
    </row>
    <row r="5378" spans="10:23" x14ac:dyDescent="0.25">
      <c r="J5378"/>
      <c r="M5378"/>
      <c r="W5378"/>
    </row>
    <row r="5379" spans="10:23" x14ac:dyDescent="0.25">
      <c r="J5379"/>
      <c r="M5379"/>
      <c r="W5379"/>
    </row>
    <row r="5380" spans="10:23" x14ac:dyDescent="0.25">
      <c r="J5380"/>
      <c r="M5380"/>
      <c r="W5380"/>
    </row>
    <row r="5381" spans="10:23" x14ac:dyDescent="0.25">
      <c r="J5381"/>
      <c r="M5381"/>
      <c r="W5381"/>
    </row>
    <row r="5382" spans="10:23" x14ac:dyDescent="0.25">
      <c r="J5382"/>
      <c r="M5382"/>
      <c r="W5382"/>
    </row>
    <row r="5383" spans="10:23" x14ac:dyDescent="0.25">
      <c r="J5383"/>
      <c r="M5383"/>
      <c r="W5383"/>
    </row>
    <row r="5384" spans="10:23" x14ac:dyDescent="0.25">
      <c r="J5384"/>
      <c r="M5384"/>
      <c r="W5384"/>
    </row>
    <row r="5385" spans="10:23" x14ac:dyDescent="0.25">
      <c r="J5385"/>
      <c r="M5385"/>
      <c r="W5385"/>
    </row>
    <row r="5386" spans="10:23" x14ac:dyDescent="0.25">
      <c r="J5386"/>
      <c r="M5386"/>
      <c r="W5386"/>
    </row>
    <row r="5387" spans="10:23" x14ac:dyDescent="0.25">
      <c r="J5387"/>
      <c r="M5387"/>
      <c r="W5387"/>
    </row>
    <row r="5388" spans="10:23" x14ac:dyDescent="0.25">
      <c r="J5388"/>
      <c r="M5388"/>
      <c r="W5388"/>
    </row>
    <row r="5389" spans="10:23" x14ac:dyDescent="0.25">
      <c r="J5389"/>
      <c r="M5389"/>
      <c r="W5389"/>
    </row>
    <row r="5390" spans="10:23" x14ac:dyDescent="0.25">
      <c r="J5390"/>
      <c r="M5390"/>
      <c r="W5390"/>
    </row>
    <row r="5391" spans="10:23" x14ac:dyDescent="0.25">
      <c r="J5391"/>
      <c r="M5391"/>
      <c r="W5391"/>
    </row>
    <row r="5392" spans="10:23" x14ac:dyDescent="0.25">
      <c r="J5392"/>
      <c r="M5392"/>
      <c r="W5392"/>
    </row>
    <row r="5393" spans="10:23" x14ac:dyDescent="0.25">
      <c r="J5393"/>
      <c r="M5393"/>
      <c r="W5393"/>
    </row>
    <row r="5394" spans="10:23" x14ac:dyDescent="0.25">
      <c r="J5394"/>
      <c r="M5394"/>
      <c r="W5394"/>
    </row>
    <row r="5395" spans="10:23" x14ac:dyDescent="0.25">
      <c r="J5395"/>
      <c r="M5395"/>
      <c r="W5395"/>
    </row>
    <row r="5396" spans="10:23" x14ac:dyDescent="0.25">
      <c r="J5396"/>
      <c r="M5396"/>
      <c r="W5396"/>
    </row>
    <row r="5397" spans="10:23" x14ac:dyDescent="0.25">
      <c r="J5397"/>
      <c r="M5397"/>
      <c r="W5397"/>
    </row>
    <row r="5398" spans="10:23" x14ac:dyDescent="0.25">
      <c r="J5398"/>
      <c r="M5398"/>
      <c r="W5398"/>
    </row>
    <row r="5399" spans="10:23" x14ac:dyDescent="0.25">
      <c r="J5399"/>
      <c r="M5399"/>
      <c r="W5399"/>
    </row>
    <row r="5400" spans="10:23" x14ac:dyDescent="0.25">
      <c r="J5400"/>
      <c r="M5400"/>
      <c r="W5400"/>
    </row>
    <row r="5401" spans="10:23" x14ac:dyDescent="0.25">
      <c r="J5401"/>
      <c r="M5401"/>
      <c r="W5401"/>
    </row>
    <row r="5402" spans="10:23" x14ac:dyDescent="0.25">
      <c r="J5402"/>
      <c r="M5402"/>
      <c r="W5402"/>
    </row>
    <row r="5403" spans="10:23" x14ac:dyDescent="0.25">
      <c r="J5403"/>
      <c r="M5403"/>
      <c r="W5403"/>
    </row>
    <row r="5404" spans="10:23" x14ac:dyDescent="0.25">
      <c r="J5404"/>
      <c r="M5404"/>
      <c r="W5404"/>
    </row>
    <row r="5405" spans="10:23" x14ac:dyDescent="0.25">
      <c r="J5405"/>
      <c r="M5405"/>
      <c r="W5405"/>
    </row>
    <row r="5406" spans="10:23" x14ac:dyDescent="0.25">
      <c r="J5406"/>
      <c r="M5406"/>
      <c r="W5406"/>
    </row>
    <row r="5407" spans="10:23" x14ac:dyDescent="0.25">
      <c r="J5407"/>
      <c r="M5407"/>
      <c r="W5407"/>
    </row>
    <row r="5408" spans="10:23" x14ac:dyDescent="0.25">
      <c r="J5408"/>
      <c r="M5408"/>
      <c r="W5408"/>
    </row>
    <row r="5409" spans="10:23" x14ac:dyDescent="0.25">
      <c r="J5409"/>
      <c r="M5409"/>
      <c r="W5409"/>
    </row>
    <row r="5410" spans="10:23" x14ac:dyDescent="0.25">
      <c r="J5410"/>
      <c r="M5410"/>
      <c r="W5410"/>
    </row>
    <row r="5411" spans="10:23" x14ac:dyDescent="0.25">
      <c r="J5411"/>
      <c r="M5411"/>
      <c r="W5411"/>
    </row>
    <row r="5412" spans="10:23" x14ac:dyDescent="0.25">
      <c r="J5412"/>
      <c r="M5412"/>
      <c r="W5412"/>
    </row>
    <row r="5413" spans="10:23" x14ac:dyDescent="0.25">
      <c r="J5413"/>
      <c r="M5413"/>
      <c r="W5413"/>
    </row>
    <row r="5414" spans="10:23" x14ac:dyDescent="0.25">
      <c r="J5414"/>
      <c r="M5414"/>
      <c r="W5414"/>
    </row>
    <row r="5415" spans="10:23" x14ac:dyDescent="0.25">
      <c r="J5415"/>
      <c r="M5415"/>
      <c r="W5415"/>
    </row>
    <row r="5416" spans="10:23" x14ac:dyDescent="0.25">
      <c r="J5416"/>
      <c r="M5416"/>
      <c r="W5416"/>
    </row>
    <row r="5417" spans="10:23" x14ac:dyDescent="0.25">
      <c r="J5417"/>
      <c r="M5417"/>
      <c r="W5417"/>
    </row>
    <row r="5418" spans="10:23" x14ac:dyDescent="0.25">
      <c r="J5418"/>
      <c r="M5418"/>
      <c r="W5418"/>
    </row>
    <row r="5419" spans="10:23" x14ac:dyDescent="0.25">
      <c r="J5419"/>
      <c r="M5419"/>
      <c r="W5419"/>
    </row>
    <row r="5420" spans="10:23" x14ac:dyDescent="0.25">
      <c r="J5420"/>
      <c r="M5420"/>
      <c r="W5420"/>
    </row>
    <row r="5421" spans="10:23" x14ac:dyDescent="0.25">
      <c r="J5421"/>
      <c r="M5421"/>
      <c r="W5421"/>
    </row>
    <row r="5422" spans="10:23" x14ac:dyDescent="0.25">
      <c r="J5422"/>
      <c r="M5422"/>
      <c r="W5422"/>
    </row>
    <row r="5423" spans="10:23" x14ac:dyDescent="0.25">
      <c r="J5423"/>
      <c r="M5423"/>
      <c r="W5423"/>
    </row>
    <row r="5424" spans="10:23" x14ac:dyDescent="0.25">
      <c r="J5424"/>
      <c r="M5424"/>
      <c r="W5424"/>
    </row>
    <row r="5425" spans="10:23" x14ac:dyDescent="0.25">
      <c r="J5425"/>
      <c r="M5425"/>
      <c r="W5425"/>
    </row>
    <row r="5426" spans="10:23" x14ac:dyDescent="0.25">
      <c r="J5426"/>
      <c r="M5426"/>
      <c r="W5426"/>
    </row>
    <row r="5427" spans="10:23" x14ac:dyDescent="0.25">
      <c r="J5427"/>
      <c r="M5427"/>
      <c r="W5427"/>
    </row>
    <row r="5428" spans="10:23" x14ac:dyDescent="0.25">
      <c r="J5428"/>
      <c r="M5428"/>
      <c r="W5428"/>
    </row>
    <row r="5429" spans="10:23" x14ac:dyDescent="0.25">
      <c r="J5429"/>
      <c r="M5429"/>
      <c r="W5429"/>
    </row>
    <row r="5430" spans="10:23" x14ac:dyDescent="0.25">
      <c r="J5430"/>
      <c r="M5430"/>
      <c r="W5430"/>
    </row>
    <row r="5431" spans="10:23" x14ac:dyDescent="0.25">
      <c r="J5431"/>
      <c r="M5431"/>
      <c r="W5431"/>
    </row>
    <row r="5432" spans="10:23" x14ac:dyDescent="0.25">
      <c r="J5432"/>
      <c r="M5432"/>
      <c r="W5432"/>
    </row>
    <row r="5433" spans="10:23" x14ac:dyDescent="0.25">
      <c r="J5433"/>
      <c r="M5433"/>
      <c r="W5433"/>
    </row>
    <row r="5434" spans="10:23" x14ac:dyDescent="0.25">
      <c r="J5434"/>
      <c r="M5434"/>
      <c r="W5434"/>
    </row>
    <row r="5435" spans="10:23" x14ac:dyDescent="0.25">
      <c r="J5435"/>
      <c r="M5435"/>
      <c r="W5435"/>
    </row>
    <row r="5436" spans="10:23" x14ac:dyDescent="0.25">
      <c r="J5436"/>
      <c r="M5436"/>
      <c r="W5436"/>
    </row>
    <row r="5437" spans="10:23" x14ac:dyDescent="0.25">
      <c r="J5437"/>
      <c r="M5437"/>
      <c r="W5437"/>
    </row>
    <row r="5438" spans="10:23" x14ac:dyDescent="0.25">
      <c r="J5438"/>
      <c r="M5438"/>
      <c r="W5438"/>
    </row>
    <row r="5439" spans="10:23" x14ac:dyDescent="0.25">
      <c r="J5439"/>
      <c r="M5439"/>
      <c r="W5439"/>
    </row>
    <row r="5440" spans="10:23" x14ac:dyDescent="0.25">
      <c r="J5440"/>
      <c r="M5440"/>
      <c r="W5440"/>
    </row>
    <row r="5441" spans="10:23" x14ac:dyDescent="0.25">
      <c r="J5441"/>
      <c r="M5441"/>
      <c r="W5441"/>
    </row>
    <row r="5442" spans="10:23" x14ac:dyDescent="0.25">
      <c r="J5442"/>
      <c r="M5442"/>
      <c r="W5442"/>
    </row>
    <row r="5443" spans="10:23" x14ac:dyDescent="0.25">
      <c r="J5443"/>
      <c r="M5443"/>
      <c r="W5443"/>
    </row>
    <row r="5444" spans="10:23" x14ac:dyDescent="0.25">
      <c r="J5444"/>
      <c r="M5444"/>
      <c r="W5444"/>
    </row>
    <row r="5445" spans="10:23" x14ac:dyDescent="0.25">
      <c r="J5445"/>
      <c r="M5445"/>
      <c r="W5445"/>
    </row>
    <row r="5446" spans="10:23" x14ac:dyDescent="0.25">
      <c r="J5446"/>
      <c r="M5446"/>
      <c r="W5446"/>
    </row>
    <row r="5447" spans="10:23" x14ac:dyDescent="0.25">
      <c r="J5447"/>
      <c r="M5447"/>
      <c r="W5447"/>
    </row>
    <row r="5448" spans="10:23" x14ac:dyDescent="0.25">
      <c r="J5448"/>
      <c r="M5448"/>
      <c r="W5448"/>
    </row>
    <row r="5449" spans="10:23" x14ac:dyDescent="0.25">
      <c r="J5449"/>
      <c r="M5449"/>
      <c r="W5449"/>
    </row>
    <row r="5450" spans="10:23" x14ac:dyDescent="0.25">
      <c r="J5450"/>
      <c r="M5450"/>
      <c r="W5450"/>
    </row>
    <row r="5451" spans="10:23" x14ac:dyDescent="0.25">
      <c r="J5451"/>
      <c r="M5451"/>
      <c r="W5451"/>
    </row>
    <row r="5452" spans="10:23" x14ac:dyDescent="0.25">
      <c r="J5452"/>
      <c r="M5452"/>
      <c r="W5452"/>
    </row>
    <row r="5453" spans="10:23" x14ac:dyDescent="0.25">
      <c r="J5453"/>
      <c r="M5453"/>
      <c r="W5453"/>
    </row>
    <row r="5454" spans="10:23" x14ac:dyDescent="0.25">
      <c r="J5454"/>
      <c r="M5454"/>
      <c r="W5454"/>
    </row>
    <row r="5455" spans="10:23" x14ac:dyDescent="0.25">
      <c r="J5455"/>
      <c r="M5455"/>
      <c r="W5455"/>
    </row>
    <row r="5456" spans="10:23" x14ac:dyDescent="0.25">
      <c r="J5456"/>
      <c r="M5456"/>
      <c r="W5456"/>
    </row>
    <row r="5457" spans="10:23" x14ac:dyDescent="0.25">
      <c r="J5457"/>
      <c r="M5457"/>
      <c r="W5457"/>
    </row>
    <row r="5458" spans="10:23" x14ac:dyDescent="0.25">
      <c r="J5458"/>
      <c r="M5458"/>
      <c r="W5458"/>
    </row>
    <row r="5459" spans="10:23" x14ac:dyDescent="0.25">
      <c r="J5459"/>
      <c r="M5459"/>
      <c r="W5459"/>
    </row>
    <row r="5460" spans="10:23" x14ac:dyDescent="0.25">
      <c r="J5460"/>
      <c r="M5460"/>
      <c r="W5460"/>
    </row>
    <row r="5461" spans="10:23" x14ac:dyDescent="0.25">
      <c r="J5461"/>
      <c r="M5461"/>
      <c r="W5461"/>
    </row>
    <row r="5462" spans="10:23" x14ac:dyDescent="0.25">
      <c r="J5462"/>
      <c r="M5462"/>
      <c r="W5462"/>
    </row>
    <row r="5463" spans="10:23" x14ac:dyDescent="0.25">
      <c r="J5463"/>
      <c r="M5463"/>
      <c r="W5463"/>
    </row>
    <row r="5464" spans="10:23" x14ac:dyDescent="0.25">
      <c r="J5464"/>
      <c r="M5464"/>
      <c r="W5464"/>
    </row>
    <row r="5465" spans="10:23" x14ac:dyDescent="0.25">
      <c r="J5465"/>
      <c r="M5465"/>
      <c r="W5465"/>
    </row>
    <row r="5466" spans="10:23" x14ac:dyDescent="0.25">
      <c r="J5466"/>
      <c r="M5466"/>
      <c r="W5466"/>
    </row>
    <row r="5467" spans="10:23" x14ac:dyDescent="0.25">
      <c r="J5467"/>
      <c r="M5467"/>
      <c r="W5467"/>
    </row>
    <row r="5468" spans="10:23" x14ac:dyDescent="0.25">
      <c r="J5468"/>
      <c r="M5468"/>
      <c r="W5468"/>
    </row>
    <row r="5469" spans="10:23" x14ac:dyDescent="0.25">
      <c r="J5469"/>
      <c r="M5469"/>
      <c r="W5469"/>
    </row>
    <row r="5470" spans="10:23" x14ac:dyDescent="0.25">
      <c r="J5470"/>
      <c r="M5470"/>
      <c r="W5470"/>
    </row>
    <row r="5471" spans="10:23" x14ac:dyDescent="0.25">
      <c r="J5471"/>
      <c r="M5471"/>
      <c r="W5471"/>
    </row>
    <row r="5472" spans="10:23" x14ac:dyDescent="0.25">
      <c r="J5472"/>
      <c r="M5472"/>
      <c r="W5472"/>
    </row>
    <row r="5473" spans="10:23" x14ac:dyDescent="0.25">
      <c r="J5473"/>
      <c r="M5473"/>
      <c r="W5473"/>
    </row>
    <row r="5474" spans="10:23" x14ac:dyDescent="0.25">
      <c r="J5474"/>
      <c r="M5474"/>
      <c r="W5474"/>
    </row>
    <row r="5475" spans="10:23" x14ac:dyDescent="0.25">
      <c r="J5475"/>
      <c r="M5475"/>
      <c r="W5475"/>
    </row>
    <row r="5476" spans="10:23" x14ac:dyDescent="0.25">
      <c r="J5476"/>
      <c r="M5476"/>
      <c r="W5476"/>
    </row>
    <row r="5477" spans="10:23" x14ac:dyDescent="0.25">
      <c r="J5477"/>
      <c r="M5477"/>
      <c r="W5477"/>
    </row>
    <row r="5478" spans="10:23" x14ac:dyDescent="0.25">
      <c r="J5478"/>
      <c r="M5478"/>
      <c r="W5478"/>
    </row>
    <row r="5479" spans="10:23" x14ac:dyDescent="0.25">
      <c r="J5479"/>
      <c r="M5479"/>
      <c r="W5479"/>
    </row>
    <row r="5480" spans="10:23" x14ac:dyDescent="0.25">
      <c r="J5480"/>
      <c r="M5480"/>
      <c r="W5480"/>
    </row>
    <row r="5481" spans="10:23" x14ac:dyDescent="0.25">
      <c r="J5481"/>
      <c r="M5481"/>
      <c r="W5481"/>
    </row>
    <row r="5482" spans="10:23" x14ac:dyDescent="0.25">
      <c r="J5482"/>
      <c r="M5482"/>
      <c r="W5482"/>
    </row>
    <row r="5483" spans="10:23" x14ac:dyDescent="0.25">
      <c r="J5483"/>
      <c r="M5483"/>
      <c r="W5483"/>
    </row>
    <row r="5484" spans="10:23" x14ac:dyDescent="0.25">
      <c r="J5484"/>
      <c r="M5484"/>
      <c r="W5484"/>
    </row>
    <row r="5485" spans="10:23" x14ac:dyDescent="0.25">
      <c r="J5485"/>
      <c r="M5485"/>
      <c r="W5485"/>
    </row>
    <row r="5486" spans="10:23" x14ac:dyDescent="0.25">
      <c r="J5486"/>
      <c r="M5486"/>
      <c r="W5486"/>
    </row>
    <row r="5487" spans="10:23" x14ac:dyDescent="0.25">
      <c r="J5487"/>
      <c r="M5487"/>
      <c r="W5487"/>
    </row>
    <row r="5488" spans="10:23" x14ac:dyDescent="0.25">
      <c r="J5488"/>
      <c r="M5488"/>
      <c r="W5488"/>
    </row>
    <row r="5489" spans="10:23" x14ac:dyDescent="0.25">
      <c r="J5489"/>
      <c r="M5489"/>
      <c r="W5489"/>
    </row>
    <row r="5490" spans="10:23" x14ac:dyDescent="0.25">
      <c r="J5490"/>
      <c r="M5490"/>
      <c r="W5490"/>
    </row>
    <row r="5491" spans="10:23" x14ac:dyDescent="0.25">
      <c r="J5491"/>
      <c r="M5491"/>
      <c r="W5491"/>
    </row>
    <row r="5492" spans="10:23" x14ac:dyDescent="0.25">
      <c r="J5492"/>
      <c r="M5492"/>
      <c r="W5492"/>
    </row>
    <row r="5493" spans="10:23" x14ac:dyDescent="0.25">
      <c r="J5493"/>
      <c r="M5493"/>
      <c r="W5493"/>
    </row>
    <row r="5494" spans="10:23" x14ac:dyDescent="0.25">
      <c r="J5494"/>
      <c r="M5494"/>
      <c r="W5494"/>
    </row>
    <row r="5495" spans="10:23" x14ac:dyDescent="0.25">
      <c r="J5495"/>
      <c r="M5495"/>
      <c r="W5495"/>
    </row>
    <row r="5496" spans="10:23" x14ac:dyDescent="0.25">
      <c r="J5496"/>
      <c r="M5496"/>
      <c r="W5496"/>
    </row>
    <row r="5497" spans="10:23" x14ac:dyDescent="0.25">
      <c r="J5497"/>
      <c r="M5497"/>
      <c r="W5497"/>
    </row>
    <row r="5498" spans="10:23" x14ac:dyDescent="0.25">
      <c r="J5498"/>
      <c r="M5498"/>
      <c r="W5498"/>
    </row>
    <row r="5499" spans="10:23" x14ac:dyDescent="0.25">
      <c r="J5499"/>
      <c r="M5499"/>
      <c r="W5499"/>
    </row>
    <row r="5500" spans="10:23" x14ac:dyDescent="0.25">
      <c r="J5500"/>
      <c r="M5500"/>
      <c r="W5500"/>
    </row>
    <row r="5501" spans="10:23" x14ac:dyDescent="0.25">
      <c r="J5501"/>
      <c r="M5501"/>
      <c r="W5501"/>
    </row>
    <row r="5502" spans="10:23" x14ac:dyDescent="0.25">
      <c r="J5502"/>
      <c r="M5502"/>
      <c r="W5502"/>
    </row>
    <row r="5503" spans="10:23" x14ac:dyDescent="0.25">
      <c r="J5503"/>
      <c r="M5503"/>
      <c r="W5503"/>
    </row>
    <row r="5504" spans="10:23" x14ac:dyDescent="0.25">
      <c r="J5504"/>
      <c r="M5504"/>
      <c r="W5504"/>
    </row>
    <row r="5505" spans="10:23" x14ac:dyDescent="0.25">
      <c r="J5505"/>
      <c r="M5505"/>
      <c r="W5505"/>
    </row>
    <row r="5506" spans="10:23" x14ac:dyDescent="0.25">
      <c r="J5506"/>
      <c r="M5506"/>
      <c r="W5506"/>
    </row>
    <row r="5507" spans="10:23" x14ac:dyDescent="0.25">
      <c r="J5507"/>
      <c r="M5507"/>
      <c r="W5507"/>
    </row>
    <row r="5508" spans="10:23" x14ac:dyDescent="0.25">
      <c r="J5508"/>
      <c r="M5508"/>
      <c r="W5508"/>
    </row>
    <row r="5509" spans="10:23" x14ac:dyDescent="0.25">
      <c r="J5509"/>
      <c r="M5509"/>
      <c r="W5509"/>
    </row>
    <row r="5510" spans="10:23" x14ac:dyDescent="0.25">
      <c r="J5510"/>
      <c r="M5510"/>
      <c r="W5510"/>
    </row>
    <row r="5511" spans="10:23" x14ac:dyDescent="0.25">
      <c r="J5511"/>
      <c r="M5511"/>
      <c r="W5511"/>
    </row>
    <row r="5512" spans="10:23" x14ac:dyDescent="0.25">
      <c r="J5512"/>
      <c r="M5512"/>
      <c r="W5512"/>
    </row>
    <row r="5513" spans="10:23" x14ac:dyDescent="0.25">
      <c r="J5513"/>
      <c r="M5513"/>
      <c r="W5513"/>
    </row>
    <row r="5514" spans="10:23" x14ac:dyDescent="0.25">
      <c r="J5514"/>
      <c r="M5514"/>
      <c r="W5514"/>
    </row>
    <row r="5515" spans="10:23" x14ac:dyDescent="0.25">
      <c r="J5515"/>
      <c r="M5515"/>
      <c r="W5515"/>
    </row>
    <row r="5516" spans="10:23" x14ac:dyDescent="0.25">
      <c r="J5516"/>
      <c r="M5516"/>
      <c r="W5516"/>
    </row>
    <row r="5517" spans="10:23" x14ac:dyDescent="0.25">
      <c r="J5517"/>
      <c r="M5517"/>
      <c r="W5517"/>
    </row>
    <row r="5518" spans="10:23" x14ac:dyDescent="0.25">
      <c r="J5518"/>
      <c r="M5518"/>
      <c r="W5518"/>
    </row>
    <row r="5519" spans="10:23" x14ac:dyDescent="0.25">
      <c r="J5519"/>
      <c r="M5519"/>
      <c r="W5519"/>
    </row>
    <row r="5520" spans="10:23" x14ac:dyDescent="0.25">
      <c r="J5520"/>
      <c r="M5520"/>
      <c r="W5520"/>
    </row>
    <row r="5521" spans="10:23" x14ac:dyDescent="0.25">
      <c r="J5521"/>
      <c r="M5521"/>
      <c r="W5521"/>
    </row>
    <row r="5522" spans="10:23" x14ac:dyDescent="0.25">
      <c r="J5522"/>
      <c r="M5522"/>
      <c r="W5522"/>
    </row>
    <row r="5523" spans="10:23" x14ac:dyDescent="0.25">
      <c r="J5523"/>
      <c r="M5523"/>
      <c r="W5523"/>
    </row>
    <row r="5524" spans="10:23" x14ac:dyDescent="0.25">
      <c r="J5524"/>
      <c r="M5524"/>
      <c r="W5524"/>
    </row>
    <row r="5525" spans="10:23" x14ac:dyDescent="0.25">
      <c r="J5525"/>
      <c r="M5525"/>
      <c r="W5525"/>
    </row>
    <row r="5526" spans="10:23" x14ac:dyDescent="0.25">
      <c r="J5526"/>
      <c r="M5526"/>
      <c r="W5526"/>
    </row>
    <row r="5527" spans="10:23" x14ac:dyDescent="0.25">
      <c r="J5527"/>
      <c r="M5527"/>
      <c r="W5527"/>
    </row>
    <row r="5528" spans="10:23" x14ac:dyDescent="0.25">
      <c r="J5528"/>
      <c r="M5528"/>
      <c r="W5528"/>
    </row>
    <row r="5529" spans="10:23" x14ac:dyDescent="0.25">
      <c r="J5529"/>
      <c r="M5529"/>
      <c r="W5529"/>
    </row>
    <row r="5530" spans="10:23" x14ac:dyDescent="0.25">
      <c r="J5530"/>
      <c r="M5530"/>
      <c r="W5530"/>
    </row>
    <row r="5531" spans="10:23" x14ac:dyDescent="0.25">
      <c r="J5531"/>
      <c r="M5531"/>
      <c r="W5531"/>
    </row>
    <row r="5532" spans="10:23" x14ac:dyDescent="0.25">
      <c r="J5532"/>
      <c r="M5532"/>
      <c r="W5532"/>
    </row>
    <row r="5533" spans="10:23" x14ac:dyDescent="0.25">
      <c r="J5533"/>
      <c r="M5533"/>
      <c r="W5533"/>
    </row>
    <row r="5534" spans="10:23" x14ac:dyDescent="0.25">
      <c r="J5534"/>
      <c r="M5534"/>
      <c r="W5534"/>
    </row>
    <row r="5535" spans="10:23" x14ac:dyDescent="0.25">
      <c r="J5535"/>
      <c r="M5535"/>
      <c r="W5535"/>
    </row>
    <row r="5536" spans="10:23" x14ac:dyDescent="0.25">
      <c r="J5536"/>
      <c r="M5536"/>
      <c r="W5536"/>
    </row>
    <row r="5537" spans="10:23" x14ac:dyDescent="0.25">
      <c r="J5537"/>
      <c r="M5537"/>
      <c r="W5537"/>
    </row>
    <row r="5538" spans="10:23" x14ac:dyDescent="0.25">
      <c r="J5538"/>
      <c r="M5538"/>
      <c r="W5538"/>
    </row>
    <row r="5539" spans="10:23" x14ac:dyDescent="0.25">
      <c r="J5539"/>
      <c r="M5539"/>
      <c r="W5539"/>
    </row>
    <row r="5540" spans="10:23" x14ac:dyDescent="0.25">
      <c r="J5540"/>
      <c r="M5540"/>
      <c r="W5540"/>
    </row>
    <row r="5541" spans="10:23" x14ac:dyDescent="0.25">
      <c r="J5541"/>
      <c r="M5541"/>
      <c r="W5541"/>
    </row>
    <row r="5542" spans="10:23" x14ac:dyDescent="0.25">
      <c r="J5542"/>
      <c r="M5542"/>
      <c r="W5542"/>
    </row>
    <row r="5543" spans="10:23" x14ac:dyDescent="0.25">
      <c r="J5543"/>
      <c r="M5543"/>
      <c r="W5543"/>
    </row>
    <row r="5544" spans="10:23" x14ac:dyDescent="0.25">
      <c r="J5544"/>
      <c r="M5544"/>
      <c r="W5544"/>
    </row>
    <row r="5545" spans="10:23" x14ac:dyDescent="0.25">
      <c r="J5545"/>
      <c r="M5545"/>
      <c r="W5545"/>
    </row>
    <row r="5546" spans="10:23" x14ac:dyDescent="0.25">
      <c r="J5546"/>
      <c r="M5546"/>
      <c r="W5546"/>
    </row>
    <row r="5547" spans="10:23" x14ac:dyDescent="0.25">
      <c r="J5547"/>
      <c r="M5547"/>
      <c r="W5547"/>
    </row>
    <row r="5548" spans="10:23" x14ac:dyDescent="0.25">
      <c r="J5548"/>
      <c r="M5548"/>
      <c r="W5548"/>
    </row>
    <row r="5549" spans="10:23" x14ac:dyDescent="0.25">
      <c r="J5549"/>
      <c r="M5549"/>
      <c r="W5549"/>
    </row>
    <row r="5550" spans="10:23" x14ac:dyDescent="0.25">
      <c r="J5550"/>
      <c r="M5550"/>
      <c r="W5550"/>
    </row>
    <row r="5551" spans="10:23" x14ac:dyDescent="0.25">
      <c r="J5551"/>
      <c r="M5551"/>
      <c r="W5551"/>
    </row>
    <row r="5552" spans="10:23" x14ac:dyDescent="0.25">
      <c r="J5552"/>
      <c r="M5552"/>
      <c r="W5552"/>
    </row>
    <row r="5553" spans="10:23" x14ac:dyDescent="0.25">
      <c r="J5553"/>
      <c r="M5553"/>
      <c r="W5553"/>
    </row>
    <row r="5554" spans="10:23" x14ac:dyDescent="0.25">
      <c r="J5554"/>
      <c r="M5554"/>
      <c r="W5554"/>
    </row>
    <row r="5555" spans="10:23" x14ac:dyDescent="0.25">
      <c r="J5555"/>
      <c r="M5555"/>
      <c r="W5555"/>
    </row>
    <row r="5556" spans="10:23" x14ac:dyDescent="0.25">
      <c r="J5556"/>
      <c r="M5556"/>
      <c r="W5556"/>
    </row>
    <row r="5557" spans="10:23" x14ac:dyDescent="0.25">
      <c r="J5557"/>
      <c r="M5557"/>
      <c r="W5557"/>
    </row>
    <row r="5558" spans="10:23" x14ac:dyDescent="0.25">
      <c r="J5558"/>
      <c r="M5558"/>
      <c r="W5558"/>
    </row>
    <row r="5559" spans="10:23" x14ac:dyDescent="0.25">
      <c r="J5559"/>
      <c r="M5559"/>
      <c r="W5559"/>
    </row>
    <row r="5560" spans="10:23" x14ac:dyDescent="0.25">
      <c r="J5560"/>
      <c r="M5560"/>
      <c r="W5560"/>
    </row>
    <row r="5561" spans="10:23" x14ac:dyDescent="0.25">
      <c r="J5561"/>
      <c r="M5561"/>
      <c r="W5561"/>
    </row>
    <row r="5562" spans="10:23" x14ac:dyDescent="0.25">
      <c r="J5562"/>
      <c r="M5562"/>
      <c r="W5562"/>
    </row>
    <row r="5563" spans="10:23" x14ac:dyDescent="0.25">
      <c r="J5563"/>
      <c r="M5563"/>
      <c r="W5563"/>
    </row>
    <row r="5564" spans="10:23" x14ac:dyDescent="0.25">
      <c r="J5564"/>
      <c r="M5564"/>
      <c r="W5564"/>
    </row>
    <row r="5565" spans="10:23" x14ac:dyDescent="0.25">
      <c r="J5565"/>
      <c r="M5565"/>
      <c r="W5565"/>
    </row>
    <row r="5566" spans="10:23" x14ac:dyDescent="0.25">
      <c r="J5566"/>
      <c r="M5566"/>
      <c r="W5566"/>
    </row>
    <row r="5567" spans="10:23" x14ac:dyDescent="0.25">
      <c r="J5567"/>
      <c r="M5567"/>
      <c r="W5567"/>
    </row>
    <row r="5568" spans="10:23" x14ac:dyDescent="0.25">
      <c r="J5568"/>
      <c r="M5568"/>
      <c r="W5568"/>
    </row>
    <row r="5569" spans="10:23" x14ac:dyDescent="0.25">
      <c r="J5569"/>
      <c r="M5569"/>
      <c r="W5569"/>
    </row>
    <row r="5570" spans="10:23" x14ac:dyDescent="0.25">
      <c r="J5570"/>
      <c r="M5570"/>
      <c r="W5570"/>
    </row>
    <row r="5571" spans="10:23" x14ac:dyDescent="0.25">
      <c r="J5571"/>
      <c r="M5571"/>
      <c r="W5571"/>
    </row>
    <row r="5572" spans="10:23" x14ac:dyDescent="0.25">
      <c r="J5572"/>
      <c r="M5572"/>
      <c r="W5572"/>
    </row>
    <row r="5573" spans="10:23" x14ac:dyDescent="0.25">
      <c r="J5573"/>
      <c r="M5573"/>
      <c r="W5573"/>
    </row>
    <row r="5574" spans="10:23" x14ac:dyDescent="0.25">
      <c r="J5574"/>
      <c r="M5574"/>
      <c r="W5574"/>
    </row>
    <row r="5575" spans="10:23" x14ac:dyDescent="0.25">
      <c r="J5575"/>
      <c r="M5575"/>
      <c r="W5575"/>
    </row>
    <row r="5576" spans="10:23" x14ac:dyDescent="0.25">
      <c r="J5576"/>
      <c r="M5576"/>
      <c r="W5576"/>
    </row>
    <row r="5577" spans="10:23" x14ac:dyDescent="0.25">
      <c r="J5577"/>
      <c r="M5577"/>
      <c r="W5577"/>
    </row>
    <row r="5578" spans="10:23" x14ac:dyDescent="0.25">
      <c r="J5578"/>
      <c r="M5578"/>
      <c r="W5578"/>
    </row>
    <row r="5579" spans="10:23" x14ac:dyDescent="0.25">
      <c r="J5579"/>
      <c r="M5579"/>
      <c r="W5579"/>
    </row>
    <row r="5580" spans="10:23" x14ac:dyDescent="0.25">
      <c r="J5580"/>
      <c r="M5580"/>
      <c r="W5580"/>
    </row>
    <row r="5581" spans="10:23" x14ac:dyDescent="0.25">
      <c r="J5581"/>
      <c r="M5581"/>
      <c r="W5581"/>
    </row>
    <row r="5582" spans="10:23" x14ac:dyDescent="0.25">
      <c r="J5582"/>
      <c r="M5582"/>
      <c r="W5582"/>
    </row>
    <row r="5583" spans="10:23" x14ac:dyDescent="0.25">
      <c r="J5583"/>
      <c r="M5583"/>
      <c r="W5583"/>
    </row>
    <row r="5584" spans="10:23" x14ac:dyDescent="0.25">
      <c r="J5584"/>
      <c r="M5584"/>
      <c r="W5584"/>
    </row>
    <row r="5585" spans="10:23" x14ac:dyDescent="0.25">
      <c r="J5585"/>
      <c r="M5585"/>
      <c r="W5585"/>
    </row>
    <row r="5586" spans="10:23" x14ac:dyDescent="0.25">
      <c r="J5586"/>
      <c r="M5586"/>
      <c r="W5586"/>
    </row>
    <row r="5587" spans="10:23" x14ac:dyDescent="0.25">
      <c r="J5587"/>
      <c r="M5587"/>
      <c r="W5587"/>
    </row>
    <row r="5588" spans="10:23" x14ac:dyDescent="0.25">
      <c r="J5588"/>
      <c r="M5588"/>
      <c r="W5588"/>
    </row>
    <row r="5589" spans="10:23" x14ac:dyDescent="0.25">
      <c r="J5589"/>
      <c r="M5589"/>
      <c r="W5589"/>
    </row>
    <row r="5590" spans="10:23" x14ac:dyDescent="0.25">
      <c r="J5590"/>
      <c r="M5590"/>
      <c r="W5590"/>
    </row>
    <row r="5591" spans="10:23" x14ac:dyDescent="0.25">
      <c r="J5591"/>
      <c r="M5591"/>
      <c r="W5591"/>
    </row>
    <row r="5592" spans="10:23" x14ac:dyDescent="0.25">
      <c r="J5592"/>
      <c r="M5592"/>
      <c r="W5592"/>
    </row>
    <row r="5593" spans="10:23" x14ac:dyDescent="0.25">
      <c r="J5593"/>
      <c r="M5593"/>
      <c r="W5593"/>
    </row>
    <row r="5594" spans="10:23" x14ac:dyDescent="0.25">
      <c r="J5594"/>
      <c r="M5594"/>
      <c r="W5594"/>
    </row>
    <row r="5595" spans="10:23" x14ac:dyDescent="0.25">
      <c r="J5595"/>
      <c r="M5595"/>
      <c r="W5595"/>
    </row>
    <row r="5596" spans="10:23" x14ac:dyDescent="0.25">
      <c r="J5596"/>
      <c r="M5596"/>
      <c r="W5596"/>
    </row>
    <row r="5597" spans="10:23" x14ac:dyDescent="0.25">
      <c r="J5597"/>
      <c r="M5597"/>
      <c r="W5597"/>
    </row>
    <row r="5598" spans="10:23" x14ac:dyDescent="0.25">
      <c r="J5598"/>
      <c r="M5598"/>
      <c r="W5598"/>
    </row>
    <row r="5599" spans="10:23" x14ac:dyDescent="0.25">
      <c r="J5599"/>
      <c r="M5599"/>
      <c r="W5599"/>
    </row>
    <row r="5600" spans="10:23" x14ac:dyDescent="0.25">
      <c r="J5600"/>
      <c r="M5600"/>
      <c r="W5600"/>
    </row>
    <row r="5601" spans="10:23" x14ac:dyDescent="0.25">
      <c r="J5601"/>
      <c r="M5601"/>
      <c r="W5601"/>
    </row>
    <row r="5602" spans="10:23" x14ac:dyDescent="0.25">
      <c r="J5602"/>
      <c r="M5602"/>
      <c r="W5602"/>
    </row>
    <row r="5603" spans="10:23" x14ac:dyDescent="0.25">
      <c r="J5603"/>
      <c r="M5603"/>
      <c r="W5603"/>
    </row>
    <row r="5604" spans="10:23" x14ac:dyDescent="0.25">
      <c r="J5604"/>
      <c r="M5604"/>
      <c r="W5604"/>
    </row>
    <row r="5605" spans="10:23" x14ac:dyDescent="0.25">
      <c r="J5605"/>
      <c r="M5605"/>
      <c r="W5605"/>
    </row>
    <row r="5606" spans="10:23" x14ac:dyDescent="0.25">
      <c r="J5606"/>
      <c r="M5606"/>
      <c r="W5606"/>
    </row>
    <row r="5607" spans="10:23" x14ac:dyDescent="0.25">
      <c r="J5607"/>
      <c r="M5607"/>
      <c r="W5607"/>
    </row>
    <row r="5608" spans="10:23" x14ac:dyDescent="0.25">
      <c r="J5608"/>
      <c r="M5608"/>
      <c r="W5608"/>
    </row>
    <row r="5609" spans="10:23" x14ac:dyDescent="0.25">
      <c r="J5609"/>
      <c r="M5609"/>
      <c r="W5609"/>
    </row>
    <row r="5610" spans="10:23" x14ac:dyDescent="0.25">
      <c r="J5610"/>
      <c r="M5610"/>
      <c r="W5610"/>
    </row>
    <row r="5611" spans="10:23" x14ac:dyDescent="0.25">
      <c r="J5611"/>
      <c r="M5611"/>
      <c r="W5611"/>
    </row>
    <row r="5612" spans="10:23" x14ac:dyDescent="0.25">
      <c r="J5612"/>
      <c r="M5612"/>
      <c r="W5612"/>
    </row>
    <row r="5613" spans="10:23" x14ac:dyDescent="0.25">
      <c r="J5613"/>
      <c r="M5613"/>
      <c r="W5613"/>
    </row>
    <row r="5614" spans="10:23" x14ac:dyDescent="0.25">
      <c r="J5614"/>
      <c r="M5614"/>
      <c r="W5614"/>
    </row>
    <row r="5615" spans="10:23" x14ac:dyDescent="0.25">
      <c r="J5615"/>
      <c r="M5615"/>
      <c r="W5615"/>
    </row>
    <row r="5616" spans="10:23" x14ac:dyDescent="0.25">
      <c r="J5616"/>
      <c r="M5616"/>
      <c r="W5616"/>
    </row>
    <row r="5617" spans="10:23" x14ac:dyDescent="0.25">
      <c r="J5617"/>
      <c r="M5617"/>
      <c r="W5617"/>
    </row>
    <row r="5618" spans="10:23" x14ac:dyDescent="0.25">
      <c r="J5618"/>
      <c r="M5618"/>
      <c r="W5618"/>
    </row>
    <row r="5619" spans="10:23" x14ac:dyDescent="0.25">
      <c r="J5619"/>
      <c r="M5619"/>
      <c r="W5619"/>
    </row>
    <row r="5620" spans="10:23" x14ac:dyDescent="0.25">
      <c r="J5620"/>
      <c r="M5620"/>
      <c r="W5620"/>
    </row>
    <row r="5621" spans="10:23" x14ac:dyDescent="0.25">
      <c r="J5621"/>
      <c r="M5621"/>
      <c r="W5621"/>
    </row>
    <row r="5622" spans="10:23" x14ac:dyDescent="0.25">
      <c r="J5622"/>
      <c r="M5622"/>
      <c r="W5622"/>
    </row>
    <row r="5623" spans="10:23" x14ac:dyDescent="0.25">
      <c r="J5623"/>
      <c r="M5623"/>
      <c r="W5623"/>
    </row>
    <row r="5624" spans="10:23" x14ac:dyDescent="0.25">
      <c r="J5624"/>
      <c r="M5624"/>
      <c r="W5624"/>
    </row>
    <row r="5625" spans="10:23" x14ac:dyDescent="0.25">
      <c r="J5625"/>
      <c r="M5625"/>
      <c r="W5625"/>
    </row>
    <row r="5626" spans="10:23" x14ac:dyDescent="0.25">
      <c r="J5626"/>
      <c r="M5626"/>
      <c r="W5626"/>
    </row>
    <row r="5627" spans="10:23" x14ac:dyDescent="0.25">
      <c r="J5627"/>
      <c r="M5627"/>
      <c r="W5627"/>
    </row>
    <row r="5628" spans="10:23" x14ac:dyDescent="0.25">
      <c r="J5628"/>
      <c r="M5628"/>
      <c r="W5628"/>
    </row>
    <row r="5629" spans="10:23" x14ac:dyDescent="0.25">
      <c r="J5629"/>
      <c r="M5629"/>
      <c r="W5629"/>
    </row>
    <row r="5630" spans="10:23" x14ac:dyDescent="0.25">
      <c r="J5630"/>
      <c r="M5630"/>
      <c r="W5630"/>
    </row>
    <row r="5631" spans="10:23" x14ac:dyDescent="0.25">
      <c r="J5631"/>
      <c r="M5631"/>
      <c r="W5631"/>
    </row>
    <row r="5632" spans="10:23" x14ac:dyDescent="0.25">
      <c r="J5632"/>
      <c r="M5632"/>
      <c r="W5632"/>
    </row>
    <row r="5633" spans="10:23" x14ac:dyDescent="0.25">
      <c r="J5633"/>
      <c r="M5633"/>
      <c r="W5633"/>
    </row>
    <row r="5634" spans="10:23" x14ac:dyDescent="0.25">
      <c r="J5634"/>
      <c r="M5634"/>
      <c r="W5634"/>
    </row>
    <row r="5635" spans="10:23" x14ac:dyDescent="0.25">
      <c r="J5635"/>
      <c r="M5635"/>
      <c r="W5635"/>
    </row>
    <row r="5636" spans="10:23" x14ac:dyDescent="0.25">
      <c r="J5636"/>
      <c r="M5636"/>
      <c r="W5636"/>
    </row>
    <row r="5637" spans="10:23" x14ac:dyDescent="0.25">
      <c r="J5637"/>
      <c r="M5637"/>
      <c r="W5637"/>
    </row>
    <row r="5638" spans="10:23" x14ac:dyDescent="0.25">
      <c r="J5638"/>
      <c r="M5638"/>
      <c r="W5638"/>
    </row>
    <row r="5639" spans="10:23" x14ac:dyDescent="0.25">
      <c r="J5639"/>
      <c r="M5639"/>
      <c r="W5639"/>
    </row>
    <row r="5640" spans="10:23" x14ac:dyDescent="0.25">
      <c r="J5640"/>
      <c r="M5640"/>
      <c r="W5640"/>
    </row>
    <row r="5641" spans="10:23" x14ac:dyDescent="0.25">
      <c r="J5641"/>
      <c r="M5641"/>
      <c r="W5641"/>
    </row>
    <row r="5642" spans="10:23" x14ac:dyDescent="0.25">
      <c r="J5642"/>
      <c r="M5642"/>
      <c r="W5642"/>
    </row>
    <row r="5643" spans="10:23" x14ac:dyDescent="0.25">
      <c r="J5643"/>
      <c r="M5643"/>
      <c r="W5643"/>
    </row>
    <row r="5644" spans="10:23" x14ac:dyDescent="0.25">
      <c r="J5644"/>
      <c r="M5644"/>
      <c r="W5644"/>
    </row>
    <row r="5645" spans="10:23" x14ac:dyDescent="0.25">
      <c r="J5645"/>
      <c r="M5645"/>
      <c r="W5645"/>
    </row>
    <row r="5646" spans="10:23" x14ac:dyDescent="0.25">
      <c r="J5646"/>
      <c r="M5646"/>
      <c r="W5646"/>
    </row>
    <row r="5647" spans="10:23" x14ac:dyDescent="0.25">
      <c r="J5647"/>
      <c r="M5647"/>
      <c r="W5647"/>
    </row>
    <row r="5648" spans="10:23" x14ac:dyDescent="0.25">
      <c r="J5648"/>
      <c r="M5648"/>
      <c r="W5648"/>
    </row>
    <row r="5649" spans="10:23" x14ac:dyDescent="0.25">
      <c r="J5649"/>
      <c r="M5649"/>
      <c r="W5649"/>
    </row>
    <row r="5650" spans="10:23" x14ac:dyDescent="0.25">
      <c r="J5650"/>
      <c r="M5650"/>
      <c r="W5650"/>
    </row>
    <row r="5651" spans="10:23" x14ac:dyDescent="0.25">
      <c r="J5651"/>
      <c r="M5651"/>
      <c r="W5651"/>
    </row>
    <row r="5652" spans="10:23" x14ac:dyDescent="0.25">
      <c r="J5652"/>
      <c r="M5652"/>
      <c r="W5652"/>
    </row>
    <row r="5653" spans="10:23" x14ac:dyDescent="0.25">
      <c r="J5653"/>
      <c r="M5653"/>
      <c r="W5653"/>
    </row>
    <row r="5654" spans="10:23" x14ac:dyDescent="0.25">
      <c r="J5654"/>
      <c r="M5654"/>
      <c r="W5654"/>
    </row>
    <row r="5655" spans="10:23" x14ac:dyDescent="0.25">
      <c r="J5655"/>
      <c r="M5655"/>
      <c r="W5655"/>
    </row>
    <row r="5656" spans="10:23" x14ac:dyDescent="0.25">
      <c r="J5656"/>
      <c r="M5656"/>
      <c r="W5656"/>
    </row>
    <row r="5657" spans="10:23" x14ac:dyDescent="0.25">
      <c r="J5657"/>
      <c r="M5657"/>
      <c r="W5657"/>
    </row>
    <row r="5658" spans="10:23" x14ac:dyDescent="0.25">
      <c r="J5658"/>
      <c r="M5658"/>
      <c r="W5658"/>
    </row>
    <row r="5659" spans="10:23" x14ac:dyDescent="0.25">
      <c r="J5659"/>
      <c r="M5659"/>
      <c r="W5659"/>
    </row>
    <row r="5660" spans="10:23" x14ac:dyDescent="0.25">
      <c r="J5660"/>
      <c r="M5660"/>
      <c r="W5660"/>
    </row>
    <row r="5661" spans="10:23" x14ac:dyDescent="0.25">
      <c r="J5661"/>
      <c r="M5661"/>
      <c r="W5661"/>
    </row>
    <row r="5662" spans="10:23" x14ac:dyDescent="0.25">
      <c r="J5662"/>
      <c r="M5662"/>
      <c r="W5662"/>
    </row>
    <row r="5663" spans="10:23" x14ac:dyDescent="0.25">
      <c r="J5663"/>
      <c r="M5663"/>
      <c r="W5663"/>
    </row>
    <row r="5664" spans="10:23" x14ac:dyDescent="0.25">
      <c r="J5664"/>
      <c r="M5664"/>
      <c r="W5664"/>
    </row>
    <row r="5665" spans="10:23" x14ac:dyDescent="0.25">
      <c r="J5665"/>
      <c r="M5665"/>
      <c r="W5665"/>
    </row>
    <row r="5666" spans="10:23" x14ac:dyDescent="0.25">
      <c r="J5666"/>
      <c r="M5666"/>
      <c r="W5666"/>
    </row>
    <row r="5667" spans="10:23" x14ac:dyDescent="0.25">
      <c r="J5667"/>
      <c r="M5667"/>
      <c r="W5667"/>
    </row>
    <row r="5668" spans="10:23" x14ac:dyDescent="0.25">
      <c r="J5668"/>
      <c r="M5668"/>
      <c r="W5668"/>
    </row>
    <row r="5669" spans="10:23" x14ac:dyDescent="0.25">
      <c r="J5669"/>
      <c r="M5669"/>
      <c r="W5669"/>
    </row>
    <row r="5670" spans="10:23" x14ac:dyDescent="0.25">
      <c r="J5670"/>
      <c r="M5670"/>
      <c r="W5670"/>
    </row>
    <row r="5671" spans="10:23" x14ac:dyDescent="0.25">
      <c r="J5671"/>
      <c r="M5671"/>
      <c r="W5671"/>
    </row>
    <row r="5672" spans="10:23" x14ac:dyDescent="0.25">
      <c r="J5672"/>
      <c r="M5672"/>
      <c r="W5672"/>
    </row>
    <row r="5673" spans="10:23" x14ac:dyDescent="0.25">
      <c r="J5673"/>
      <c r="M5673"/>
      <c r="W5673"/>
    </row>
    <row r="5674" spans="10:23" x14ac:dyDescent="0.25">
      <c r="J5674"/>
      <c r="M5674"/>
      <c r="W5674"/>
    </row>
    <row r="5675" spans="10:23" x14ac:dyDescent="0.25">
      <c r="J5675"/>
      <c r="M5675"/>
      <c r="W5675"/>
    </row>
    <row r="5676" spans="10:23" x14ac:dyDescent="0.25">
      <c r="J5676"/>
      <c r="M5676"/>
      <c r="W5676"/>
    </row>
    <row r="5677" spans="10:23" x14ac:dyDescent="0.25">
      <c r="J5677"/>
      <c r="M5677"/>
      <c r="W5677"/>
    </row>
    <row r="5678" spans="10:23" x14ac:dyDescent="0.25">
      <c r="J5678"/>
      <c r="M5678"/>
      <c r="W5678"/>
    </row>
    <row r="5679" spans="10:23" x14ac:dyDescent="0.25">
      <c r="J5679"/>
      <c r="M5679"/>
      <c r="W5679"/>
    </row>
    <row r="5680" spans="10:23" x14ac:dyDescent="0.25">
      <c r="J5680"/>
      <c r="M5680"/>
      <c r="W5680"/>
    </row>
    <row r="5681" spans="10:23" x14ac:dyDescent="0.25">
      <c r="J5681"/>
      <c r="M5681"/>
      <c r="W5681"/>
    </row>
    <row r="5682" spans="10:23" x14ac:dyDescent="0.25">
      <c r="J5682"/>
      <c r="M5682"/>
      <c r="W5682"/>
    </row>
    <row r="5683" spans="10:23" x14ac:dyDescent="0.25">
      <c r="J5683"/>
      <c r="M5683"/>
      <c r="W5683"/>
    </row>
    <row r="5684" spans="10:23" x14ac:dyDescent="0.25">
      <c r="J5684"/>
      <c r="M5684"/>
      <c r="W5684"/>
    </row>
    <row r="5685" spans="10:23" x14ac:dyDescent="0.25">
      <c r="J5685"/>
      <c r="M5685"/>
      <c r="W5685"/>
    </row>
    <row r="5686" spans="10:23" x14ac:dyDescent="0.25">
      <c r="J5686"/>
      <c r="M5686"/>
      <c r="W5686"/>
    </row>
    <row r="5687" spans="10:23" x14ac:dyDescent="0.25">
      <c r="J5687"/>
      <c r="M5687"/>
      <c r="W5687"/>
    </row>
    <row r="5688" spans="10:23" x14ac:dyDescent="0.25">
      <c r="J5688"/>
      <c r="M5688"/>
      <c r="W5688"/>
    </row>
    <row r="5689" spans="10:23" x14ac:dyDescent="0.25">
      <c r="J5689"/>
      <c r="M5689"/>
      <c r="W5689"/>
    </row>
    <row r="5690" spans="10:23" x14ac:dyDescent="0.25">
      <c r="J5690"/>
      <c r="M5690"/>
      <c r="W5690"/>
    </row>
    <row r="5691" spans="10:23" x14ac:dyDescent="0.25">
      <c r="J5691"/>
      <c r="M5691"/>
      <c r="W5691"/>
    </row>
    <row r="5692" spans="10:23" x14ac:dyDescent="0.25">
      <c r="J5692"/>
      <c r="M5692"/>
      <c r="W5692"/>
    </row>
    <row r="5693" spans="10:23" x14ac:dyDescent="0.25">
      <c r="J5693"/>
      <c r="M5693"/>
      <c r="W5693"/>
    </row>
    <row r="5694" spans="10:23" x14ac:dyDescent="0.25">
      <c r="J5694"/>
      <c r="M5694"/>
      <c r="W5694"/>
    </row>
    <row r="5695" spans="10:23" x14ac:dyDescent="0.25">
      <c r="J5695"/>
      <c r="M5695"/>
      <c r="W5695"/>
    </row>
    <row r="5696" spans="10:23" x14ac:dyDescent="0.25">
      <c r="J5696"/>
      <c r="M5696"/>
      <c r="W5696"/>
    </row>
    <row r="5697" spans="10:23" x14ac:dyDescent="0.25">
      <c r="J5697"/>
      <c r="M5697"/>
      <c r="W5697"/>
    </row>
    <row r="5698" spans="10:23" x14ac:dyDescent="0.25">
      <c r="J5698"/>
      <c r="M5698"/>
      <c r="W5698"/>
    </row>
    <row r="5699" spans="10:23" x14ac:dyDescent="0.25">
      <c r="J5699"/>
      <c r="M5699"/>
      <c r="W5699"/>
    </row>
    <row r="5700" spans="10:23" x14ac:dyDescent="0.25">
      <c r="J5700"/>
      <c r="M5700"/>
      <c r="W5700"/>
    </row>
    <row r="5701" spans="10:23" x14ac:dyDescent="0.25">
      <c r="J5701"/>
      <c r="M5701"/>
      <c r="W5701"/>
    </row>
    <row r="5702" spans="10:23" x14ac:dyDescent="0.25">
      <c r="J5702"/>
      <c r="M5702"/>
      <c r="W5702"/>
    </row>
    <row r="5703" spans="10:23" x14ac:dyDescent="0.25">
      <c r="J5703"/>
      <c r="M5703"/>
      <c r="W5703"/>
    </row>
    <row r="5704" spans="10:23" x14ac:dyDescent="0.25">
      <c r="J5704"/>
      <c r="M5704"/>
      <c r="W5704"/>
    </row>
    <row r="5705" spans="10:23" x14ac:dyDescent="0.25">
      <c r="J5705"/>
      <c r="M5705"/>
      <c r="W5705"/>
    </row>
    <row r="5706" spans="10:23" x14ac:dyDescent="0.25">
      <c r="J5706"/>
      <c r="M5706"/>
      <c r="W5706"/>
    </row>
    <row r="5707" spans="10:23" x14ac:dyDescent="0.25">
      <c r="J5707"/>
      <c r="M5707"/>
      <c r="W5707"/>
    </row>
    <row r="5708" spans="10:23" x14ac:dyDescent="0.25">
      <c r="J5708"/>
      <c r="M5708"/>
      <c r="W5708"/>
    </row>
    <row r="5709" spans="10:23" x14ac:dyDescent="0.25">
      <c r="J5709"/>
      <c r="M5709"/>
      <c r="W5709"/>
    </row>
    <row r="5710" spans="10:23" x14ac:dyDescent="0.25">
      <c r="J5710"/>
      <c r="M5710"/>
      <c r="W5710"/>
    </row>
    <row r="5711" spans="10:23" x14ac:dyDescent="0.25">
      <c r="J5711"/>
      <c r="M5711"/>
      <c r="W5711"/>
    </row>
    <row r="5712" spans="10:23" x14ac:dyDescent="0.25">
      <c r="J5712"/>
      <c r="M5712"/>
      <c r="W5712"/>
    </row>
    <row r="5713" spans="10:23" x14ac:dyDescent="0.25">
      <c r="J5713"/>
      <c r="M5713"/>
      <c r="W5713"/>
    </row>
    <row r="5714" spans="10:23" x14ac:dyDescent="0.25">
      <c r="J5714"/>
      <c r="M5714"/>
      <c r="W5714"/>
    </row>
    <row r="5715" spans="10:23" x14ac:dyDescent="0.25">
      <c r="J5715"/>
      <c r="M5715"/>
      <c r="W5715"/>
    </row>
    <row r="5716" spans="10:23" x14ac:dyDescent="0.25">
      <c r="J5716"/>
      <c r="M5716"/>
      <c r="W5716"/>
    </row>
    <row r="5717" spans="10:23" x14ac:dyDescent="0.25">
      <c r="J5717"/>
      <c r="M5717"/>
      <c r="W5717"/>
    </row>
    <row r="5718" spans="10:23" x14ac:dyDescent="0.25">
      <c r="J5718"/>
      <c r="M5718"/>
      <c r="W5718"/>
    </row>
    <row r="5719" spans="10:23" x14ac:dyDescent="0.25">
      <c r="J5719"/>
      <c r="M5719"/>
      <c r="W5719"/>
    </row>
    <row r="5720" spans="10:23" x14ac:dyDescent="0.25">
      <c r="J5720"/>
      <c r="M5720"/>
      <c r="W5720"/>
    </row>
    <row r="5721" spans="10:23" x14ac:dyDescent="0.25">
      <c r="J5721"/>
      <c r="M5721"/>
      <c r="W5721"/>
    </row>
    <row r="5722" spans="10:23" x14ac:dyDescent="0.25">
      <c r="J5722"/>
      <c r="M5722"/>
      <c r="W5722"/>
    </row>
    <row r="5723" spans="10:23" x14ac:dyDescent="0.25">
      <c r="J5723"/>
      <c r="M5723"/>
      <c r="W5723"/>
    </row>
    <row r="5724" spans="10:23" x14ac:dyDescent="0.25">
      <c r="J5724"/>
      <c r="M5724"/>
      <c r="W5724"/>
    </row>
    <row r="5725" spans="10:23" x14ac:dyDescent="0.25">
      <c r="J5725"/>
      <c r="M5725"/>
      <c r="W5725"/>
    </row>
    <row r="5726" spans="10:23" x14ac:dyDescent="0.25">
      <c r="J5726"/>
      <c r="M5726"/>
      <c r="W5726"/>
    </row>
    <row r="5727" spans="10:23" x14ac:dyDescent="0.25">
      <c r="J5727"/>
      <c r="M5727"/>
      <c r="W5727"/>
    </row>
    <row r="5728" spans="10:23" x14ac:dyDescent="0.25">
      <c r="J5728"/>
      <c r="M5728"/>
      <c r="W5728"/>
    </row>
    <row r="5729" spans="10:23" x14ac:dyDescent="0.25">
      <c r="J5729"/>
      <c r="M5729"/>
      <c r="W5729"/>
    </row>
    <row r="5730" spans="10:23" x14ac:dyDescent="0.25">
      <c r="J5730"/>
      <c r="M5730"/>
      <c r="W5730"/>
    </row>
    <row r="5731" spans="10:23" x14ac:dyDescent="0.25">
      <c r="J5731"/>
      <c r="M5731"/>
      <c r="W5731"/>
    </row>
    <row r="5732" spans="10:23" x14ac:dyDescent="0.25">
      <c r="J5732"/>
      <c r="M5732"/>
      <c r="W5732"/>
    </row>
    <row r="5733" spans="10:23" x14ac:dyDescent="0.25">
      <c r="J5733"/>
      <c r="M5733"/>
      <c r="W5733"/>
    </row>
    <row r="5734" spans="10:23" x14ac:dyDescent="0.25">
      <c r="J5734"/>
      <c r="M5734"/>
      <c r="W5734"/>
    </row>
    <row r="5735" spans="10:23" x14ac:dyDescent="0.25">
      <c r="J5735"/>
      <c r="M5735"/>
      <c r="W5735"/>
    </row>
    <row r="5736" spans="10:23" x14ac:dyDescent="0.25">
      <c r="J5736"/>
      <c r="M5736"/>
      <c r="W5736"/>
    </row>
    <row r="5737" spans="10:23" x14ac:dyDescent="0.25">
      <c r="J5737"/>
      <c r="M5737"/>
      <c r="W5737"/>
    </row>
    <row r="5738" spans="10:23" x14ac:dyDescent="0.25">
      <c r="J5738"/>
      <c r="M5738"/>
      <c r="W5738"/>
    </row>
    <row r="5739" spans="10:23" x14ac:dyDescent="0.25">
      <c r="J5739"/>
      <c r="M5739"/>
      <c r="W5739"/>
    </row>
    <row r="5740" spans="10:23" x14ac:dyDescent="0.25">
      <c r="J5740"/>
      <c r="M5740"/>
      <c r="W5740"/>
    </row>
    <row r="5741" spans="10:23" x14ac:dyDescent="0.25">
      <c r="J5741"/>
      <c r="M5741"/>
      <c r="W5741"/>
    </row>
    <row r="5742" spans="10:23" x14ac:dyDescent="0.25">
      <c r="J5742"/>
      <c r="M5742"/>
      <c r="W5742"/>
    </row>
    <row r="5743" spans="10:23" x14ac:dyDescent="0.25">
      <c r="J5743"/>
      <c r="M5743"/>
      <c r="W5743"/>
    </row>
    <row r="5744" spans="10:23" x14ac:dyDescent="0.25">
      <c r="J5744"/>
      <c r="M5744"/>
      <c r="W5744"/>
    </row>
    <row r="5745" spans="10:23" x14ac:dyDescent="0.25">
      <c r="J5745"/>
      <c r="M5745"/>
      <c r="W5745"/>
    </row>
    <row r="5746" spans="10:23" x14ac:dyDescent="0.25">
      <c r="J5746"/>
      <c r="M5746"/>
      <c r="W5746"/>
    </row>
    <row r="5747" spans="10:23" x14ac:dyDescent="0.25">
      <c r="J5747"/>
      <c r="M5747"/>
      <c r="W5747"/>
    </row>
    <row r="5748" spans="10:23" x14ac:dyDescent="0.25">
      <c r="J5748"/>
      <c r="M5748"/>
      <c r="W5748"/>
    </row>
    <row r="5749" spans="10:23" x14ac:dyDescent="0.25">
      <c r="J5749"/>
      <c r="M5749"/>
      <c r="W5749"/>
    </row>
    <row r="5750" spans="10:23" x14ac:dyDescent="0.25">
      <c r="J5750"/>
      <c r="M5750"/>
      <c r="W5750"/>
    </row>
    <row r="5751" spans="10:23" x14ac:dyDescent="0.25">
      <c r="J5751"/>
      <c r="M5751"/>
      <c r="W5751"/>
    </row>
    <row r="5752" spans="10:23" x14ac:dyDescent="0.25">
      <c r="J5752"/>
      <c r="M5752"/>
      <c r="W5752"/>
    </row>
    <row r="5753" spans="10:23" x14ac:dyDescent="0.25">
      <c r="J5753"/>
      <c r="M5753"/>
      <c r="W5753"/>
    </row>
    <row r="5754" spans="10:23" x14ac:dyDescent="0.25">
      <c r="J5754"/>
      <c r="M5754"/>
      <c r="W5754"/>
    </row>
    <row r="5755" spans="10:23" x14ac:dyDescent="0.25">
      <c r="J5755"/>
      <c r="M5755"/>
      <c r="W5755"/>
    </row>
    <row r="5756" spans="10:23" x14ac:dyDescent="0.25">
      <c r="J5756"/>
      <c r="M5756"/>
      <c r="W5756"/>
    </row>
    <row r="5757" spans="10:23" x14ac:dyDescent="0.25">
      <c r="J5757"/>
      <c r="M5757"/>
      <c r="W5757"/>
    </row>
    <row r="5758" spans="10:23" x14ac:dyDescent="0.25">
      <c r="J5758"/>
      <c r="M5758"/>
      <c r="W5758"/>
    </row>
    <row r="5759" spans="10:23" x14ac:dyDescent="0.25">
      <c r="J5759"/>
      <c r="M5759"/>
      <c r="W5759"/>
    </row>
    <row r="5760" spans="10:23" x14ac:dyDescent="0.25">
      <c r="J5760"/>
      <c r="M5760"/>
      <c r="W5760"/>
    </row>
    <row r="5761" spans="10:23" x14ac:dyDescent="0.25">
      <c r="J5761"/>
      <c r="M5761"/>
      <c r="W5761"/>
    </row>
    <row r="5762" spans="10:23" x14ac:dyDescent="0.25">
      <c r="J5762"/>
      <c r="M5762"/>
      <c r="W5762"/>
    </row>
    <row r="5763" spans="10:23" x14ac:dyDescent="0.25">
      <c r="J5763"/>
      <c r="M5763"/>
      <c r="W5763"/>
    </row>
    <row r="5764" spans="10:23" x14ac:dyDescent="0.25">
      <c r="J5764"/>
      <c r="M5764"/>
      <c r="W5764"/>
    </row>
    <row r="5765" spans="10:23" x14ac:dyDescent="0.25">
      <c r="J5765"/>
      <c r="M5765"/>
      <c r="W5765"/>
    </row>
    <row r="5766" spans="10:23" x14ac:dyDescent="0.25">
      <c r="J5766"/>
      <c r="M5766"/>
      <c r="W5766"/>
    </row>
    <row r="5767" spans="10:23" x14ac:dyDescent="0.25">
      <c r="J5767"/>
      <c r="M5767"/>
      <c r="W5767"/>
    </row>
    <row r="5768" spans="10:23" x14ac:dyDescent="0.25">
      <c r="J5768"/>
      <c r="M5768"/>
      <c r="W5768"/>
    </row>
    <row r="5769" spans="10:23" x14ac:dyDescent="0.25">
      <c r="J5769"/>
      <c r="M5769"/>
      <c r="W5769"/>
    </row>
    <row r="5770" spans="10:23" x14ac:dyDescent="0.25">
      <c r="J5770"/>
      <c r="M5770"/>
      <c r="W5770"/>
    </row>
    <row r="5771" spans="10:23" x14ac:dyDescent="0.25">
      <c r="J5771"/>
      <c r="M5771"/>
      <c r="W5771"/>
    </row>
    <row r="5772" spans="10:23" x14ac:dyDescent="0.25">
      <c r="J5772"/>
      <c r="M5772"/>
      <c r="W5772"/>
    </row>
    <row r="5773" spans="10:23" x14ac:dyDescent="0.25">
      <c r="J5773"/>
      <c r="M5773"/>
      <c r="W5773"/>
    </row>
    <row r="5774" spans="10:23" x14ac:dyDescent="0.25">
      <c r="J5774"/>
      <c r="M5774"/>
      <c r="W5774"/>
    </row>
    <row r="5775" spans="10:23" x14ac:dyDescent="0.25">
      <c r="J5775"/>
      <c r="M5775"/>
      <c r="W5775"/>
    </row>
    <row r="5776" spans="10:23" x14ac:dyDescent="0.25">
      <c r="J5776"/>
      <c r="M5776"/>
      <c r="W5776"/>
    </row>
    <row r="5777" spans="10:23" x14ac:dyDescent="0.25">
      <c r="J5777"/>
      <c r="M5777"/>
      <c r="W5777"/>
    </row>
    <row r="5778" spans="10:23" x14ac:dyDescent="0.25">
      <c r="J5778"/>
      <c r="M5778"/>
      <c r="W5778"/>
    </row>
    <row r="5779" spans="10:23" x14ac:dyDescent="0.25">
      <c r="J5779"/>
      <c r="M5779"/>
      <c r="W5779"/>
    </row>
    <row r="5780" spans="10:23" x14ac:dyDescent="0.25">
      <c r="J5780"/>
      <c r="M5780"/>
      <c r="W5780"/>
    </row>
    <row r="5781" spans="10:23" x14ac:dyDescent="0.25">
      <c r="J5781"/>
      <c r="M5781"/>
      <c r="W5781"/>
    </row>
    <row r="5782" spans="10:23" x14ac:dyDescent="0.25">
      <c r="J5782"/>
      <c r="M5782"/>
      <c r="W5782"/>
    </row>
    <row r="5783" spans="10:23" x14ac:dyDescent="0.25">
      <c r="J5783"/>
      <c r="M5783"/>
      <c r="W5783"/>
    </row>
    <row r="5784" spans="10:23" x14ac:dyDescent="0.25">
      <c r="J5784"/>
      <c r="M5784"/>
      <c r="W5784"/>
    </row>
    <row r="5785" spans="10:23" x14ac:dyDescent="0.25">
      <c r="J5785"/>
      <c r="M5785"/>
      <c r="W5785"/>
    </row>
    <row r="5786" spans="10:23" x14ac:dyDescent="0.25">
      <c r="J5786"/>
      <c r="M5786"/>
      <c r="W5786"/>
    </row>
    <row r="5787" spans="10:23" x14ac:dyDescent="0.25">
      <c r="J5787"/>
      <c r="M5787"/>
      <c r="W5787"/>
    </row>
    <row r="5788" spans="10:23" x14ac:dyDescent="0.25">
      <c r="J5788"/>
      <c r="M5788"/>
      <c r="W5788"/>
    </row>
    <row r="5789" spans="10:23" x14ac:dyDescent="0.25">
      <c r="J5789"/>
      <c r="M5789"/>
      <c r="W5789"/>
    </row>
    <row r="5790" spans="10:23" x14ac:dyDescent="0.25">
      <c r="J5790"/>
      <c r="M5790"/>
      <c r="W5790"/>
    </row>
    <row r="5791" spans="10:23" x14ac:dyDescent="0.25">
      <c r="J5791"/>
      <c r="M5791"/>
      <c r="W5791"/>
    </row>
    <row r="5792" spans="10:23" x14ac:dyDescent="0.25">
      <c r="J5792"/>
      <c r="M5792"/>
      <c r="W5792"/>
    </row>
    <row r="5793" spans="10:23" x14ac:dyDescent="0.25">
      <c r="J5793"/>
      <c r="M5793"/>
      <c r="W5793"/>
    </row>
    <row r="5794" spans="10:23" x14ac:dyDescent="0.25">
      <c r="J5794"/>
      <c r="M5794"/>
      <c r="W5794"/>
    </row>
    <row r="5795" spans="10:23" x14ac:dyDescent="0.25">
      <c r="J5795"/>
      <c r="M5795"/>
      <c r="W5795"/>
    </row>
    <row r="5796" spans="10:23" x14ac:dyDescent="0.25">
      <c r="J5796"/>
      <c r="M5796"/>
      <c r="W5796"/>
    </row>
    <row r="5797" spans="10:23" x14ac:dyDescent="0.25">
      <c r="J5797"/>
      <c r="M5797"/>
      <c r="W5797"/>
    </row>
    <row r="5798" spans="10:23" x14ac:dyDescent="0.25">
      <c r="J5798"/>
      <c r="M5798"/>
      <c r="W5798"/>
    </row>
    <row r="5799" spans="10:23" x14ac:dyDescent="0.25">
      <c r="J5799"/>
      <c r="M5799"/>
      <c r="W5799"/>
    </row>
    <row r="5800" spans="10:23" x14ac:dyDescent="0.25">
      <c r="J5800"/>
      <c r="M5800"/>
      <c r="W5800"/>
    </row>
    <row r="5801" spans="10:23" x14ac:dyDescent="0.25">
      <c r="J5801"/>
      <c r="M5801"/>
      <c r="W5801"/>
    </row>
    <row r="5802" spans="10:23" x14ac:dyDescent="0.25">
      <c r="J5802"/>
      <c r="M5802"/>
      <c r="W5802"/>
    </row>
    <row r="5803" spans="10:23" x14ac:dyDescent="0.25">
      <c r="J5803"/>
      <c r="M5803"/>
      <c r="W5803"/>
    </row>
    <row r="5804" spans="10:23" x14ac:dyDescent="0.25">
      <c r="J5804"/>
      <c r="M5804"/>
      <c r="W5804"/>
    </row>
    <row r="5805" spans="10:23" x14ac:dyDescent="0.25">
      <c r="J5805"/>
      <c r="M5805"/>
      <c r="W5805"/>
    </row>
    <row r="5806" spans="10:23" x14ac:dyDescent="0.25">
      <c r="J5806"/>
      <c r="M5806"/>
      <c r="W5806"/>
    </row>
    <row r="5807" spans="10:23" x14ac:dyDescent="0.25">
      <c r="J5807"/>
      <c r="M5807"/>
      <c r="W5807"/>
    </row>
    <row r="5808" spans="10:23" x14ac:dyDescent="0.25">
      <c r="J5808"/>
      <c r="M5808"/>
      <c r="W5808"/>
    </row>
    <row r="5809" spans="10:23" x14ac:dyDescent="0.25">
      <c r="J5809"/>
      <c r="M5809"/>
      <c r="W5809"/>
    </row>
    <row r="5810" spans="10:23" x14ac:dyDescent="0.25">
      <c r="J5810"/>
      <c r="M5810"/>
      <c r="W5810"/>
    </row>
    <row r="5811" spans="10:23" x14ac:dyDescent="0.25">
      <c r="J5811"/>
      <c r="M5811"/>
      <c r="W5811"/>
    </row>
    <row r="5812" spans="10:23" x14ac:dyDescent="0.25">
      <c r="J5812"/>
      <c r="M5812"/>
      <c r="W5812"/>
    </row>
    <row r="5813" spans="10:23" x14ac:dyDescent="0.25">
      <c r="J5813"/>
      <c r="M5813"/>
      <c r="W5813"/>
    </row>
    <row r="5814" spans="10:23" x14ac:dyDescent="0.25">
      <c r="J5814"/>
      <c r="M5814"/>
      <c r="W5814"/>
    </row>
    <row r="5815" spans="10:23" x14ac:dyDescent="0.25">
      <c r="J5815"/>
      <c r="M5815"/>
      <c r="W5815"/>
    </row>
    <row r="5816" spans="10:23" x14ac:dyDescent="0.25">
      <c r="J5816"/>
      <c r="M5816"/>
      <c r="W5816"/>
    </row>
    <row r="5817" spans="10:23" x14ac:dyDescent="0.25">
      <c r="J5817"/>
      <c r="M5817"/>
      <c r="W5817"/>
    </row>
    <row r="5818" spans="10:23" x14ac:dyDescent="0.25">
      <c r="J5818"/>
      <c r="M5818"/>
      <c r="W5818"/>
    </row>
    <row r="5819" spans="10:23" x14ac:dyDescent="0.25">
      <c r="J5819"/>
      <c r="M5819"/>
      <c r="W5819"/>
    </row>
    <row r="5820" spans="10:23" x14ac:dyDescent="0.25">
      <c r="J5820"/>
      <c r="M5820"/>
      <c r="W5820"/>
    </row>
    <row r="5821" spans="10:23" x14ac:dyDescent="0.25">
      <c r="J5821"/>
      <c r="M5821"/>
      <c r="W5821"/>
    </row>
    <row r="5822" spans="10:23" x14ac:dyDescent="0.25">
      <c r="J5822"/>
      <c r="M5822"/>
      <c r="W5822"/>
    </row>
    <row r="5823" spans="10:23" x14ac:dyDescent="0.25">
      <c r="J5823"/>
      <c r="M5823"/>
      <c r="W5823"/>
    </row>
    <row r="5824" spans="10:23" x14ac:dyDescent="0.25">
      <c r="J5824"/>
      <c r="M5824"/>
      <c r="W5824"/>
    </row>
    <row r="5825" spans="10:23" x14ac:dyDescent="0.25">
      <c r="J5825"/>
      <c r="M5825"/>
      <c r="W5825"/>
    </row>
    <row r="5826" spans="10:23" x14ac:dyDescent="0.25">
      <c r="J5826"/>
      <c r="M5826"/>
      <c r="W5826"/>
    </row>
    <row r="5827" spans="10:23" x14ac:dyDescent="0.25">
      <c r="J5827"/>
      <c r="M5827"/>
      <c r="W5827"/>
    </row>
    <row r="5828" spans="10:23" x14ac:dyDescent="0.25">
      <c r="J5828"/>
      <c r="M5828"/>
      <c r="W5828"/>
    </row>
    <row r="5829" spans="10:23" x14ac:dyDescent="0.25">
      <c r="J5829"/>
      <c r="M5829"/>
      <c r="W5829"/>
    </row>
    <row r="5830" spans="10:23" x14ac:dyDescent="0.25">
      <c r="J5830"/>
      <c r="M5830"/>
      <c r="W5830"/>
    </row>
    <row r="5831" spans="10:23" x14ac:dyDescent="0.25">
      <c r="J5831"/>
      <c r="M5831"/>
      <c r="W5831"/>
    </row>
    <row r="5832" spans="10:23" x14ac:dyDescent="0.25">
      <c r="J5832"/>
      <c r="M5832"/>
      <c r="W5832"/>
    </row>
    <row r="5833" spans="10:23" x14ac:dyDescent="0.25">
      <c r="J5833"/>
      <c r="M5833"/>
      <c r="W5833"/>
    </row>
    <row r="5834" spans="10:23" x14ac:dyDescent="0.25">
      <c r="J5834"/>
      <c r="M5834"/>
      <c r="W5834"/>
    </row>
    <row r="5835" spans="10:23" x14ac:dyDescent="0.25">
      <c r="J5835"/>
      <c r="M5835"/>
      <c r="W5835"/>
    </row>
    <row r="5836" spans="10:23" x14ac:dyDescent="0.25">
      <c r="J5836"/>
      <c r="M5836"/>
      <c r="W5836"/>
    </row>
    <row r="5837" spans="10:23" x14ac:dyDescent="0.25">
      <c r="J5837"/>
      <c r="M5837"/>
      <c r="W5837"/>
    </row>
    <row r="5838" spans="10:23" x14ac:dyDescent="0.25">
      <c r="J5838"/>
      <c r="M5838"/>
      <c r="W5838"/>
    </row>
    <row r="5839" spans="10:23" x14ac:dyDescent="0.25">
      <c r="J5839"/>
      <c r="M5839"/>
      <c r="W5839"/>
    </row>
    <row r="5840" spans="10:23" x14ac:dyDescent="0.25">
      <c r="J5840"/>
      <c r="M5840"/>
      <c r="W5840"/>
    </row>
    <row r="5841" spans="10:23" x14ac:dyDescent="0.25">
      <c r="J5841"/>
      <c r="M5841"/>
      <c r="W5841"/>
    </row>
    <row r="5842" spans="10:23" x14ac:dyDescent="0.25">
      <c r="J5842"/>
      <c r="M5842"/>
      <c r="W5842"/>
    </row>
    <row r="5843" spans="10:23" x14ac:dyDescent="0.25">
      <c r="J5843"/>
      <c r="M5843"/>
      <c r="W5843"/>
    </row>
    <row r="5844" spans="10:23" x14ac:dyDescent="0.25">
      <c r="J5844"/>
      <c r="M5844"/>
      <c r="W5844"/>
    </row>
    <row r="5845" spans="10:23" x14ac:dyDescent="0.25">
      <c r="J5845"/>
      <c r="M5845"/>
      <c r="W5845"/>
    </row>
    <row r="5846" spans="10:23" x14ac:dyDescent="0.25">
      <c r="J5846"/>
      <c r="M5846"/>
      <c r="W5846"/>
    </row>
    <row r="5847" spans="10:23" x14ac:dyDescent="0.25">
      <c r="J5847"/>
      <c r="M5847"/>
      <c r="W5847"/>
    </row>
    <row r="5848" spans="10:23" x14ac:dyDescent="0.25">
      <c r="J5848"/>
      <c r="M5848"/>
      <c r="W5848"/>
    </row>
    <row r="5849" spans="10:23" x14ac:dyDescent="0.25">
      <c r="J5849"/>
      <c r="M5849"/>
      <c r="W5849"/>
    </row>
    <row r="5850" spans="10:23" x14ac:dyDescent="0.25">
      <c r="J5850"/>
      <c r="M5850"/>
      <c r="W5850"/>
    </row>
    <row r="5851" spans="10:23" x14ac:dyDescent="0.25">
      <c r="J5851"/>
      <c r="M5851"/>
      <c r="W5851"/>
    </row>
    <row r="5852" spans="10:23" x14ac:dyDescent="0.25">
      <c r="J5852"/>
      <c r="M5852"/>
      <c r="W5852"/>
    </row>
    <row r="5853" spans="10:23" x14ac:dyDescent="0.25">
      <c r="J5853"/>
      <c r="M5853"/>
      <c r="W5853"/>
    </row>
    <row r="5854" spans="10:23" x14ac:dyDescent="0.25">
      <c r="J5854"/>
      <c r="M5854"/>
      <c r="W5854"/>
    </row>
    <row r="5855" spans="10:23" x14ac:dyDescent="0.25">
      <c r="J5855"/>
      <c r="M5855"/>
      <c r="W5855"/>
    </row>
    <row r="5856" spans="10:23" x14ac:dyDescent="0.25">
      <c r="J5856"/>
      <c r="M5856"/>
      <c r="W5856"/>
    </row>
    <row r="5857" spans="10:23" x14ac:dyDescent="0.25">
      <c r="J5857"/>
      <c r="M5857"/>
      <c r="W5857"/>
    </row>
    <row r="5858" spans="10:23" x14ac:dyDescent="0.25">
      <c r="J5858"/>
      <c r="M5858"/>
      <c r="W5858"/>
    </row>
    <row r="5859" spans="10:23" x14ac:dyDescent="0.25">
      <c r="J5859"/>
      <c r="M5859"/>
      <c r="W5859"/>
    </row>
    <row r="5860" spans="10:23" x14ac:dyDescent="0.25">
      <c r="J5860"/>
      <c r="M5860"/>
      <c r="W5860"/>
    </row>
    <row r="5861" spans="10:23" x14ac:dyDescent="0.25">
      <c r="J5861"/>
      <c r="M5861"/>
      <c r="W5861"/>
    </row>
    <row r="5862" spans="10:23" x14ac:dyDescent="0.25">
      <c r="J5862"/>
      <c r="M5862"/>
      <c r="W5862"/>
    </row>
    <row r="5863" spans="10:23" x14ac:dyDescent="0.25">
      <c r="J5863"/>
      <c r="M5863"/>
      <c r="W5863"/>
    </row>
    <row r="5864" spans="10:23" x14ac:dyDescent="0.25">
      <c r="J5864"/>
      <c r="M5864"/>
      <c r="W5864"/>
    </row>
    <row r="5865" spans="10:23" x14ac:dyDescent="0.25">
      <c r="J5865"/>
      <c r="M5865"/>
      <c r="W5865"/>
    </row>
    <row r="5866" spans="10:23" x14ac:dyDescent="0.25">
      <c r="J5866"/>
      <c r="M5866"/>
      <c r="W5866"/>
    </row>
    <row r="5867" spans="10:23" x14ac:dyDescent="0.25">
      <c r="J5867"/>
      <c r="M5867"/>
      <c r="W5867"/>
    </row>
    <row r="5868" spans="10:23" x14ac:dyDescent="0.25">
      <c r="J5868"/>
      <c r="M5868"/>
      <c r="W5868"/>
    </row>
    <row r="5869" spans="10:23" x14ac:dyDescent="0.25">
      <c r="J5869"/>
      <c r="M5869"/>
      <c r="W5869"/>
    </row>
    <row r="5870" spans="10:23" x14ac:dyDescent="0.25">
      <c r="J5870"/>
      <c r="M5870"/>
      <c r="W5870"/>
    </row>
    <row r="5871" spans="10:23" x14ac:dyDescent="0.25">
      <c r="J5871"/>
      <c r="M5871"/>
      <c r="W5871"/>
    </row>
    <row r="5872" spans="10:23" x14ac:dyDescent="0.25">
      <c r="J5872"/>
      <c r="M5872"/>
      <c r="W5872"/>
    </row>
    <row r="5873" spans="10:23" x14ac:dyDescent="0.25">
      <c r="J5873"/>
      <c r="M5873"/>
      <c r="W5873"/>
    </row>
    <row r="5874" spans="10:23" x14ac:dyDescent="0.25">
      <c r="J5874"/>
      <c r="M5874"/>
      <c r="W5874"/>
    </row>
    <row r="5875" spans="10:23" x14ac:dyDescent="0.25">
      <c r="J5875"/>
      <c r="M5875"/>
      <c r="W5875"/>
    </row>
    <row r="5876" spans="10:23" x14ac:dyDescent="0.25">
      <c r="J5876"/>
      <c r="M5876"/>
      <c r="W5876"/>
    </row>
    <row r="5877" spans="10:23" x14ac:dyDescent="0.25">
      <c r="J5877"/>
      <c r="M5877"/>
      <c r="W5877"/>
    </row>
    <row r="5878" spans="10:23" x14ac:dyDescent="0.25">
      <c r="J5878"/>
      <c r="M5878"/>
      <c r="W5878"/>
    </row>
    <row r="5879" spans="10:23" x14ac:dyDescent="0.25">
      <c r="J5879"/>
      <c r="M5879"/>
      <c r="W5879"/>
    </row>
    <row r="5880" spans="10:23" x14ac:dyDescent="0.25">
      <c r="J5880"/>
      <c r="M5880"/>
      <c r="W5880"/>
    </row>
    <row r="5881" spans="10:23" x14ac:dyDescent="0.25">
      <c r="J5881"/>
      <c r="M5881"/>
      <c r="W5881"/>
    </row>
    <row r="5882" spans="10:23" x14ac:dyDescent="0.25">
      <c r="J5882"/>
      <c r="M5882"/>
      <c r="W5882"/>
    </row>
    <row r="5883" spans="10:23" x14ac:dyDescent="0.25">
      <c r="J5883"/>
      <c r="M5883"/>
      <c r="W5883"/>
    </row>
    <row r="5884" spans="10:23" x14ac:dyDescent="0.25">
      <c r="J5884"/>
      <c r="M5884"/>
      <c r="W5884"/>
    </row>
    <row r="5885" spans="10:23" x14ac:dyDescent="0.25">
      <c r="J5885"/>
      <c r="M5885"/>
      <c r="W5885"/>
    </row>
    <row r="5886" spans="10:23" x14ac:dyDescent="0.25">
      <c r="J5886"/>
      <c r="M5886"/>
      <c r="W5886"/>
    </row>
    <row r="5887" spans="10:23" x14ac:dyDescent="0.25">
      <c r="J5887"/>
      <c r="M5887"/>
      <c r="W5887"/>
    </row>
    <row r="5888" spans="10:23" x14ac:dyDescent="0.25">
      <c r="J5888"/>
      <c r="M5888"/>
      <c r="W5888"/>
    </row>
    <row r="5889" spans="10:23" x14ac:dyDescent="0.25">
      <c r="J5889"/>
      <c r="M5889"/>
      <c r="W5889"/>
    </row>
    <row r="5890" spans="10:23" x14ac:dyDescent="0.25">
      <c r="J5890"/>
      <c r="M5890"/>
      <c r="W5890"/>
    </row>
    <row r="5891" spans="10:23" x14ac:dyDescent="0.25">
      <c r="J5891"/>
      <c r="M5891"/>
      <c r="W5891"/>
    </row>
    <row r="5892" spans="10:23" x14ac:dyDescent="0.25">
      <c r="J5892"/>
      <c r="M5892"/>
      <c r="W5892"/>
    </row>
    <row r="5893" spans="10:23" x14ac:dyDescent="0.25">
      <c r="J5893"/>
      <c r="M5893"/>
      <c r="W5893"/>
    </row>
    <row r="5894" spans="10:23" x14ac:dyDescent="0.25">
      <c r="J5894"/>
      <c r="M5894"/>
      <c r="W5894"/>
    </row>
    <row r="5895" spans="10:23" x14ac:dyDescent="0.25">
      <c r="J5895"/>
      <c r="M5895"/>
      <c r="W5895"/>
    </row>
    <row r="5896" spans="10:23" x14ac:dyDescent="0.25">
      <c r="J5896"/>
      <c r="M5896"/>
      <c r="W5896"/>
    </row>
    <row r="5897" spans="10:23" x14ac:dyDescent="0.25">
      <c r="J5897"/>
      <c r="M5897"/>
      <c r="W5897"/>
    </row>
    <row r="5898" spans="10:23" x14ac:dyDescent="0.25">
      <c r="J5898"/>
      <c r="M5898"/>
      <c r="W5898"/>
    </row>
    <row r="5899" spans="10:23" x14ac:dyDescent="0.25">
      <c r="J5899"/>
      <c r="M5899"/>
      <c r="W5899"/>
    </row>
    <row r="5900" spans="10:23" x14ac:dyDescent="0.25">
      <c r="J5900"/>
      <c r="M5900"/>
      <c r="W5900"/>
    </row>
    <row r="5901" spans="10:23" x14ac:dyDescent="0.25">
      <c r="J5901"/>
      <c r="M5901"/>
      <c r="W5901"/>
    </row>
    <row r="5902" spans="10:23" x14ac:dyDescent="0.25">
      <c r="J5902"/>
      <c r="M5902"/>
      <c r="W5902"/>
    </row>
    <row r="5903" spans="10:23" x14ac:dyDescent="0.25">
      <c r="J5903"/>
      <c r="M5903"/>
      <c r="W5903"/>
    </row>
    <row r="5904" spans="10:23" x14ac:dyDescent="0.25">
      <c r="J5904"/>
      <c r="M5904"/>
      <c r="W5904"/>
    </row>
    <row r="5905" spans="10:23" x14ac:dyDescent="0.25">
      <c r="J5905"/>
      <c r="M5905"/>
      <c r="W5905"/>
    </row>
    <row r="5906" spans="10:23" x14ac:dyDescent="0.25">
      <c r="J5906"/>
      <c r="M5906"/>
      <c r="W5906"/>
    </row>
    <row r="5907" spans="10:23" x14ac:dyDescent="0.25">
      <c r="J5907"/>
      <c r="M5907"/>
      <c r="W5907"/>
    </row>
    <row r="5908" spans="10:23" x14ac:dyDescent="0.25">
      <c r="J5908"/>
      <c r="M5908"/>
      <c r="W5908"/>
    </row>
    <row r="5909" spans="10:23" x14ac:dyDescent="0.25">
      <c r="J5909"/>
      <c r="M5909"/>
      <c r="W5909"/>
    </row>
    <row r="5910" spans="10:23" x14ac:dyDescent="0.25">
      <c r="J5910"/>
      <c r="M5910"/>
      <c r="W5910"/>
    </row>
    <row r="5911" spans="10:23" x14ac:dyDescent="0.25">
      <c r="J5911"/>
      <c r="M5911"/>
      <c r="W5911"/>
    </row>
    <row r="5912" spans="10:23" x14ac:dyDescent="0.25">
      <c r="J5912"/>
      <c r="M5912"/>
      <c r="W5912"/>
    </row>
    <row r="5913" spans="10:23" x14ac:dyDescent="0.25">
      <c r="J5913"/>
      <c r="M5913"/>
      <c r="W5913"/>
    </row>
    <row r="5914" spans="10:23" x14ac:dyDescent="0.25">
      <c r="J5914"/>
      <c r="M5914"/>
      <c r="W5914"/>
    </row>
    <row r="5915" spans="10:23" x14ac:dyDescent="0.25">
      <c r="J5915"/>
      <c r="M5915"/>
      <c r="W5915"/>
    </row>
    <row r="5916" spans="10:23" x14ac:dyDescent="0.25">
      <c r="J5916"/>
      <c r="M5916"/>
      <c r="W5916"/>
    </row>
    <row r="5917" spans="10:23" x14ac:dyDescent="0.25">
      <c r="J5917"/>
      <c r="M5917"/>
      <c r="W5917"/>
    </row>
    <row r="5918" spans="10:23" x14ac:dyDescent="0.25">
      <c r="J5918"/>
      <c r="M5918"/>
      <c r="W5918"/>
    </row>
    <row r="5919" spans="10:23" x14ac:dyDescent="0.25">
      <c r="J5919"/>
      <c r="M5919"/>
      <c r="W5919"/>
    </row>
    <row r="5920" spans="10:23" x14ac:dyDescent="0.25">
      <c r="J5920"/>
      <c r="M5920"/>
      <c r="W5920"/>
    </row>
    <row r="5921" spans="10:23" x14ac:dyDescent="0.25">
      <c r="J5921"/>
      <c r="M5921"/>
      <c r="W5921"/>
    </row>
    <row r="5922" spans="10:23" x14ac:dyDescent="0.25">
      <c r="J5922"/>
      <c r="M5922"/>
      <c r="W5922"/>
    </row>
    <row r="5923" spans="10:23" x14ac:dyDescent="0.25">
      <c r="J5923"/>
      <c r="M5923"/>
      <c r="W5923"/>
    </row>
    <row r="5924" spans="10:23" x14ac:dyDescent="0.25">
      <c r="J5924"/>
      <c r="M5924"/>
      <c r="W5924"/>
    </row>
    <row r="5925" spans="10:23" x14ac:dyDescent="0.25">
      <c r="J5925"/>
      <c r="M5925"/>
      <c r="W5925"/>
    </row>
    <row r="5926" spans="10:23" x14ac:dyDescent="0.25">
      <c r="J5926"/>
      <c r="M5926"/>
      <c r="W5926"/>
    </row>
    <row r="5927" spans="10:23" x14ac:dyDescent="0.25">
      <c r="J5927"/>
      <c r="M5927"/>
      <c r="W5927"/>
    </row>
    <row r="5928" spans="10:23" x14ac:dyDescent="0.25">
      <c r="J5928"/>
      <c r="M5928"/>
      <c r="W5928"/>
    </row>
    <row r="5929" spans="10:23" x14ac:dyDescent="0.25">
      <c r="J5929"/>
      <c r="M5929"/>
      <c r="W5929"/>
    </row>
    <row r="5930" spans="10:23" x14ac:dyDescent="0.25">
      <c r="J5930"/>
      <c r="M5930"/>
      <c r="W5930"/>
    </row>
    <row r="5931" spans="10:23" x14ac:dyDescent="0.25">
      <c r="J5931"/>
      <c r="M5931"/>
      <c r="W5931"/>
    </row>
    <row r="5932" spans="10:23" x14ac:dyDescent="0.25">
      <c r="J5932"/>
      <c r="M5932"/>
      <c r="W5932"/>
    </row>
    <row r="5933" spans="10:23" x14ac:dyDescent="0.25">
      <c r="J5933"/>
      <c r="M5933"/>
      <c r="W5933"/>
    </row>
    <row r="5934" spans="10:23" x14ac:dyDescent="0.25">
      <c r="J5934"/>
      <c r="M5934"/>
      <c r="W5934"/>
    </row>
    <row r="5935" spans="10:23" x14ac:dyDescent="0.25">
      <c r="J5935"/>
      <c r="M5935"/>
      <c r="W5935"/>
    </row>
    <row r="5936" spans="10:23" x14ac:dyDescent="0.25">
      <c r="J5936"/>
      <c r="M5936"/>
      <c r="W5936"/>
    </row>
    <row r="5937" spans="10:23" x14ac:dyDescent="0.25">
      <c r="J5937"/>
      <c r="M5937"/>
      <c r="W5937"/>
    </row>
    <row r="5938" spans="10:23" x14ac:dyDescent="0.25">
      <c r="J5938"/>
      <c r="M5938"/>
      <c r="W5938"/>
    </row>
    <row r="5939" spans="10:23" x14ac:dyDescent="0.25">
      <c r="J5939"/>
      <c r="M5939"/>
      <c r="W5939"/>
    </row>
    <row r="5940" spans="10:23" x14ac:dyDescent="0.25">
      <c r="J5940"/>
      <c r="M5940"/>
      <c r="W5940"/>
    </row>
    <row r="5941" spans="10:23" x14ac:dyDescent="0.25">
      <c r="J5941"/>
      <c r="M5941"/>
      <c r="W5941"/>
    </row>
    <row r="5942" spans="10:23" x14ac:dyDescent="0.25">
      <c r="J5942"/>
      <c r="M5942"/>
      <c r="W5942"/>
    </row>
    <row r="5943" spans="10:23" x14ac:dyDescent="0.25">
      <c r="J5943"/>
      <c r="M5943"/>
      <c r="W5943"/>
    </row>
    <row r="5944" spans="10:23" x14ac:dyDescent="0.25">
      <c r="J5944"/>
      <c r="M5944"/>
      <c r="W5944"/>
    </row>
    <row r="5945" spans="10:23" x14ac:dyDescent="0.25">
      <c r="J5945"/>
      <c r="M5945"/>
      <c r="W5945"/>
    </row>
    <row r="5946" spans="10:23" x14ac:dyDescent="0.25">
      <c r="J5946"/>
      <c r="M5946"/>
      <c r="W5946"/>
    </row>
    <row r="5947" spans="10:23" x14ac:dyDescent="0.25">
      <c r="J5947"/>
      <c r="M5947"/>
      <c r="W5947"/>
    </row>
    <row r="5948" spans="10:23" x14ac:dyDescent="0.25">
      <c r="J5948"/>
      <c r="M5948"/>
      <c r="W5948"/>
    </row>
    <row r="5949" spans="10:23" x14ac:dyDescent="0.25">
      <c r="J5949"/>
      <c r="M5949"/>
      <c r="W5949"/>
    </row>
    <row r="5950" spans="10:23" x14ac:dyDescent="0.25">
      <c r="J5950"/>
      <c r="M5950"/>
      <c r="W5950"/>
    </row>
    <row r="5951" spans="10:23" x14ac:dyDescent="0.25">
      <c r="J5951"/>
      <c r="M5951"/>
      <c r="W5951"/>
    </row>
    <row r="5952" spans="10:23" x14ac:dyDescent="0.25">
      <c r="J5952"/>
      <c r="M5952"/>
      <c r="W5952"/>
    </row>
    <row r="5953" spans="10:23" x14ac:dyDescent="0.25">
      <c r="J5953"/>
      <c r="M5953"/>
      <c r="W5953"/>
    </row>
    <row r="5954" spans="10:23" x14ac:dyDescent="0.25">
      <c r="J5954"/>
      <c r="M5954"/>
      <c r="W5954"/>
    </row>
    <row r="5955" spans="10:23" x14ac:dyDescent="0.25">
      <c r="J5955"/>
      <c r="M5955"/>
      <c r="W5955"/>
    </row>
    <row r="5956" spans="10:23" x14ac:dyDescent="0.25">
      <c r="J5956"/>
      <c r="M5956"/>
      <c r="W5956"/>
    </row>
    <row r="5957" spans="10:23" x14ac:dyDescent="0.25">
      <c r="J5957"/>
      <c r="M5957"/>
      <c r="W5957"/>
    </row>
    <row r="5958" spans="10:23" x14ac:dyDescent="0.25">
      <c r="J5958"/>
      <c r="M5958"/>
      <c r="W5958"/>
    </row>
    <row r="5959" spans="10:23" x14ac:dyDescent="0.25">
      <c r="J5959"/>
      <c r="M5959"/>
      <c r="W5959"/>
    </row>
    <row r="5960" spans="10:23" x14ac:dyDescent="0.25">
      <c r="J5960"/>
      <c r="M5960"/>
      <c r="W5960"/>
    </row>
    <row r="5961" spans="10:23" x14ac:dyDescent="0.25">
      <c r="J5961"/>
      <c r="M5961"/>
      <c r="W5961"/>
    </row>
    <row r="5962" spans="10:23" x14ac:dyDescent="0.25">
      <c r="J5962"/>
      <c r="M5962"/>
      <c r="W5962"/>
    </row>
    <row r="5963" spans="10:23" x14ac:dyDescent="0.25">
      <c r="J5963"/>
      <c r="M5963"/>
      <c r="W5963"/>
    </row>
    <row r="5964" spans="10:23" x14ac:dyDescent="0.25">
      <c r="J5964"/>
      <c r="M5964"/>
      <c r="W5964"/>
    </row>
    <row r="5965" spans="10:23" x14ac:dyDescent="0.25">
      <c r="J5965"/>
      <c r="M5965"/>
      <c r="W5965"/>
    </row>
    <row r="5966" spans="10:23" x14ac:dyDescent="0.25">
      <c r="J5966"/>
      <c r="M5966"/>
      <c r="W5966"/>
    </row>
    <row r="5967" spans="10:23" x14ac:dyDescent="0.25">
      <c r="J5967"/>
      <c r="M5967"/>
      <c r="W5967"/>
    </row>
    <row r="5968" spans="10:23" x14ac:dyDescent="0.25">
      <c r="J5968"/>
      <c r="M5968"/>
      <c r="W5968"/>
    </row>
    <row r="5969" spans="10:23" x14ac:dyDescent="0.25">
      <c r="J5969"/>
      <c r="M5969"/>
      <c r="W5969"/>
    </row>
    <row r="5970" spans="10:23" x14ac:dyDescent="0.25">
      <c r="J5970"/>
      <c r="M5970"/>
      <c r="W5970"/>
    </row>
    <row r="5971" spans="10:23" x14ac:dyDescent="0.25">
      <c r="J5971"/>
      <c r="M5971"/>
      <c r="W5971"/>
    </row>
    <row r="5972" spans="10:23" x14ac:dyDescent="0.25">
      <c r="J5972"/>
      <c r="M5972"/>
      <c r="W5972"/>
    </row>
    <row r="5973" spans="10:23" x14ac:dyDescent="0.25">
      <c r="J5973"/>
      <c r="M5973"/>
      <c r="W5973"/>
    </row>
    <row r="5974" spans="10:23" x14ac:dyDescent="0.25">
      <c r="J5974"/>
      <c r="M5974"/>
      <c r="W5974"/>
    </row>
    <row r="5975" spans="10:23" x14ac:dyDescent="0.25">
      <c r="J5975"/>
      <c r="M5975"/>
      <c r="W5975"/>
    </row>
    <row r="5976" spans="10:23" x14ac:dyDescent="0.25">
      <c r="J5976"/>
      <c r="M5976"/>
      <c r="W5976"/>
    </row>
    <row r="5977" spans="10:23" x14ac:dyDescent="0.25">
      <c r="J5977"/>
      <c r="M5977"/>
      <c r="W5977"/>
    </row>
    <row r="5978" spans="10:23" x14ac:dyDescent="0.25">
      <c r="J5978"/>
      <c r="M5978"/>
      <c r="W5978"/>
    </row>
    <row r="5979" spans="10:23" x14ac:dyDescent="0.25">
      <c r="J5979"/>
      <c r="M5979"/>
      <c r="W5979"/>
    </row>
    <row r="5980" spans="10:23" x14ac:dyDescent="0.25">
      <c r="J5980"/>
      <c r="M5980"/>
      <c r="W5980"/>
    </row>
    <row r="5981" spans="10:23" x14ac:dyDescent="0.25">
      <c r="J5981"/>
      <c r="M5981"/>
      <c r="W5981"/>
    </row>
    <row r="5982" spans="10:23" x14ac:dyDescent="0.25">
      <c r="J5982"/>
      <c r="M5982"/>
      <c r="W5982"/>
    </row>
    <row r="5983" spans="10:23" x14ac:dyDescent="0.25">
      <c r="J5983"/>
      <c r="M5983"/>
      <c r="W5983"/>
    </row>
    <row r="5984" spans="10:23" x14ac:dyDescent="0.25">
      <c r="J5984"/>
      <c r="M5984"/>
      <c r="W5984"/>
    </row>
    <row r="5985" spans="10:23" x14ac:dyDescent="0.25">
      <c r="J5985"/>
      <c r="M5985"/>
      <c r="W5985"/>
    </row>
    <row r="5986" spans="10:23" x14ac:dyDescent="0.25">
      <c r="J5986"/>
      <c r="M5986"/>
      <c r="W5986"/>
    </row>
    <row r="5987" spans="10:23" x14ac:dyDescent="0.25">
      <c r="J5987"/>
      <c r="M5987"/>
      <c r="W5987"/>
    </row>
    <row r="5988" spans="10:23" x14ac:dyDescent="0.25">
      <c r="J5988"/>
      <c r="M5988"/>
      <c r="W5988"/>
    </row>
    <row r="5989" spans="10:23" x14ac:dyDescent="0.25">
      <c r="J5989"/>
      <c r="M5989"/>
      <c r="W5989"/>
    </row>
    <row r="5990" spans="10:23" x14ac:dyDescent="0.25">
      <c r="J5990"/>
      <c r="M5990"/>
      <c r="W5990"/>
    </row>
    <row r="5991" spans="10:23" x14ac:dyDescent="0.25">
      <c r="J5991"/>
      <c r="M5991"/>
      <c r="W5991"/>
    </row>
    <row r="5992" spans="10:23" x14ac:dyDescent="0.25">
      <c r="J5992"/>
      <c r="M5992"/>
      <c r="W5992"/>
    </row>
    <row r="5993" spans="10:23" x14ac:dyDescent="0.25">
      <c r="J5993"/>
      <c r="M5993"/>
      <c r="W5993"/>
    </row>
    <row r="5994" spans="10:23" x14ac:dyDescent="0.25">
      <c r="J5994"/>
      <c r="M5994"/>
      <c r="W5994"/>
    </row>
    <row r="5995" spans="10:23" x14ac:dyDescent="0.25">
      <c r="J5995"/>
      <c r="M5995"/>
      <c r="W5995"/>
    </row>
    <row r="5996" spans="10:23" x14ac:dyDescent="0.25">
      <c r="J5996"/>
      <c r="M5996"/>
      <c r="W5996"/>
    </row>
    <row r="5997" spans="10:23" x14ac:dyDescent="0.25">
      <c r="J5997"/>
      <c r="M5997"/>
      <c r="W5997"/>
    </row>
    <row r="5998" spans="10:23" x14ac:dyDescent="0.25">
      <c r="J5998"/>
      <c r="M5998"/>
      <c r="W5998"/>
    </row>
    <row r="5999" spans="10:23" x14ac:dyDescent="0.25">
      <c r="J5999"/>
      <c r="M5999"/>
      <c r="W5999"/>
    </row>
    <row r="6000" spans="10:23" x14ac:dyDescent="0.25">
      <c r="J6000"/>
      <c r="M6000"/>
      <c r="W6000"/>
    </row>
    <row r="6001" spans="10:23" x14ac:dyDescent="0.25">
      <c r="J6001"/>
      <c r="M6001"/>
      <c r="W6001"/>
    </row>
    <row r="6002" spans="10:23" x14ac:dyDescent="0.25">
      <c r="J6002"/>
      <c r="M6002"/>
      <c r="W6002"/>
    </row>
    <row r="6003" spans="10:23" x14ac:dyDescent="0.25">
      <c r="J6003"/>
      <c r="M6003"/>
      <c r="W6003"/>
    </row>
    <row r="6004" spans="10:23" x14ac:dyDescent="0.25">
      <c r="J6004"/>
      <c r="M6004"/>
      <c r="W6004"/>
    </row>
    <row r="6005" spans="10:23" x14ac:dyDescent="0.25">
      <c r="J6005"/>
      <c r="M6005"/>
      <c r="W6005"/>
    </row>
    <row r="6006" spans="10:23" x14ac:dyDescent="0.25">
      <c r="J6006"/>
      <c r="M6006"/>
      <c r="W6006"/>
    </row>
    <row r="6007" spans="10:23" x14ac:dyDescent="0.25">
      <c r="J6007"/>
      <c r="M6007"/>
      <c r="W6007"/>
    </row>
    <row r="6008" spans="10:23" x14ac:dyDescent="0.25">
      <c r="J6008"/>
      <c r="M6008"/>
      <c r="W6008"/>
    </row>
    <row r="6009" spans="10:23" x14ac:dyDescent="0.25">
      <c r="J6009"/>
      <c r="M6009"/>
      <c r="W6009"/>
    </row>
    <row r="6010" spans="10:23" x14ac:dyDescent="0.25">
      <c r="J6010"/>
      <c r="M6010"/>
      <c r="W6010"/>
    </row>
    <row r="6011" spans="10:23" x14ac:dyDescent="0.25">
      <c r="J6011"/>
      <c r="M6011"/>
      <c r="W6011"/>
    </row>
    <row r="6012" spans="10:23" x14ac:dyDescent="0.25">
      <c r="J6012"/>
      <c r="M6012"/>
      <c r="W6012"/>
    </row>
    <row r="6013" spans="10:23" x14ac:dyDescent="0.25">
      <c r="J6013"/>
      <c r="M6013"/>
      <c r="W6013"/>
    </row>
    <row r="6014" spans="10:23" x14ac:dyDescent="0.25">
      <c r="J6014"/>
      <c r="M6014"/>
      <c r="W6014"/>
    </row>
    <row r="6015" spans="10:23" x14ac:dyDescent="0.25">
      <c r="J6015"/>
      <c r="M6015"/>
      <c r="W6015"/>
    </row>
    <row r="6016" spans="10:23" x14ac:dyDescent="0.25">
      <c r="J6016"/>
      <c r="M6016"/>
      <c r="W6016"/>
    </row>
    <row r="6017" spans="10:23" x14ac:dyDescent="0.25">
      <c r="J6017"/>
      <c r="M6017"/>
      <c r="W6017"/>
    </row>
    <row r="6018" spans="10:23" x14ac:dyDescent="0.25">
      <c r="J6018"/>
      <c r="M6018"/>
      <c r="W6018"/>
    </row>
    <row r="6019" spans="10:23" x14ac:dyDescent="0.25">
      <c r="J6019"/>
      <c r="M6019"/>
      <c r="W6019"/>
    </row>
    <row r="6020" spans="10:23" x14ac:dyDescent="0.25">
      <c r="J6020"/>
      <c r="M6020"/>
      <c r="W6020"/>
    </row>
    <row r="6021" spans="10:23" x14ac:dyDescent="0.25">
      <c r="J6021"/>
      <c r="M6021"/>
      <c r="W6021"/>
    </row>
    <row r="6022" spans="10:23" x14ac:dyDescent="0.25">
      <c r="J6022"/>
      <c r="M6022"/>
      <c r="W6022"/>
    </row>
    <row r="6023" spans="10:23" x14ac:dyDescent="0.25">
      <c r="J6023"/>
      <c r="M6023"/>
      <c r="W6023"/>
    </row>
    <row r="6024" spans="10:23" x14ac:dyDescent="0.25">
      <c r="J6024"/>
      <c r="M6024"/>
      <c r="W6024"/>
    </row>
    <row r="6025" spans="10:23" x14ac:dyDescent="0.25">
      <c r="J6025"/>
      <c r="M6025"/>
      <c r="W6025"/>
    </row>
    <row r="6026" spans="10:23" x14ac:dyDescent="0.25">
      <c r="J6026"/>
      <c r="M6026"/>
      <c r="W6026"/>
    </row>
    <row r="6027" spans="10:23" x14ac:dyDescent="0.25">
      <c r="J6027"/>
      <c r="M6027"/>
      <c r="W6027"/>
    </row>
    <row r="6028" spans="10:23" x14ac:dyDescent="0.25">
      <c r="J6028"/>
      <c r="M6028"/>
      <c r="W6028"/>
    </row>
    <row r="6029" spans="10:23" x14ac:dyDescent="0.25">
      <c r="J6029"/>
      <c r="M6029"/>
      <c r="W6029"/>
    </row>
    <row r="6030" spans="10:23" x14ac:dyDescent="0.25">
      <c r="J6030"/>
      <c r="M6030"/>
      <c r="W6030"/>
    </row>
    <row r="6031" spans="10:23" x14ac:dyDescent="0.25">
      <c r="J6031"/>
      <c r="M6031"/>
      <c r="W6031"/>
    </row>
    <row r="6032" spans="10:23" x14ac:dyDescent="0.25">
      <c r="J6032"/>
      <c r="M6032"/>
      <c r="W6032"/>
    </row>
    <row r="6033" spans="10:23" x14ac:dyDescent="0.25">
      <c r="J6033"/>
      <c r="M6033"/>
      <c r="W6033"/>
    </row>
    <row r="6034" spans="10:23" x14ac:dyDescent="0.25">
      <c r="J6034"/>
      <c r="M6034"/>
      <c r="W6034"/>
    </row>
    <row r="6035" spans="10:23" x14ac:dyDescent="0.25">
      <c r="J6035"/>
      <c r="M6035"/>
      <c r="W6035"/>
    </row>
    <row r="6036" spans="10:23" x14ac:dyDescent="0.25">
      <c r="J6036"/>
      <c r="M6036"/>
      <c r="W6036"/>
    </row>
    <row r="6037" spans="10:23" x14ac:dyDescent="0.25">
      <c r="J6037"/>
      <c r="M6037"/>
      <c r="W6037"/>
    </row>
    <row r="6038" spans="10:23" x14ac:dyDescent="0.25">
      <c r="J6038"/>
      <c r="M6038"/>
      <c r="W6038"/>
    </row>
    <row r="6039" spans="10:23" x14ac:dyDescent="0.25">
      <c r="J6039"/>
      <c r="M6039"/>
      <c r="W6039"/>
    </row>
    <row r="6040" spans="10:23" x14ac:dyDescent="0.25">
      <c r="J6040"/>
      <c r="M6040"/>
      <c r="W6040"/>
    </row>
    <row r="6041" spans="10:23" x14ac:dyDescent="0.25">
      <c r="J6041"/>
      <c r="M6041"/>
      <c r="W6041"/>
    </row>
    <row r="6042" spans="10:23" x14ac:dyDescent="0.25">
      <c r="J6042"/>
      <c r="M6042"/>
      <c r="W6042"/>
    </row>
    <row r="6043" spans="10:23" x14ac:dyDescent="0.25">
      <c r="J6043"/>
      <c r="M6043"/>
      <c r="W6043"/>
    </row>
    <row r="6044" spans="10:23" x14ac:dyDescent="0.25">
      <c r="J6044"/>
      <c r="M6044"/>
      <c r="W6044"/>
    </row>
    <row r="6045" spans="10:23" x14ac:dyDescent="0.25">
      <c r="J6045"/>
      <c r="M6045"/>
      <c r="W6045"/>
    </row>
    <row r="6046" spans="10:23" x14ac:dyDescent="0.25">
      <c r="J6046"/>
      <c r="M6046"/>
      <c r="W6046"/>
    </row>
    <row r="6047" spans="10:23" x14ac:dyDescent="0.25">
      <c r="J6047"/>
      <c r="M6047"/>
      <c r="W6047"/>
    </row>
    <row r="6048" spans="10:23" x14ac:dyDescent="0.25">
      <c r="J6048"/>
      <c r="M6048"/>
      <c r="W6048"/>
    </row>
    <row r="6049" spans="10:23" x14ac:dyDescent="0.25">
      <c r="J6049"/>
      <c r="M6049"/>
      <c r="W6049"/>
    </row>
    <row r="6050" spans="10:23" x14ac:dyDescent="0.25">
      <c r="J6050"/>
      <c r="M6050"/>
      <c r="W6050"/>
    </row>
    <row r="6051" spans="10:23" x14ac:dyDescent="0.25">
      <c r="J6051"/>
      <c r="M6051"/>
      <c r="W6051"/>
    </row>
    <row r="6052" spans="10:23" x14ac:dyDescent="0.25">
      <c r="J6052"/>
      <c r="M6052"/>
      <c r="W6052"/>
    </row>
    <row r="6053" spans="10:23" x14ac:dyDescent="0.25">
      <c r="J6053"/>
      <c r="M6053"/>
      <c r="W6053"/>
    </row>
    <row r="6054" spans="10:23" x14ac:dyDescent="0.25">
      <c r="J6054"/>
      <c r="M6054"/>
      <c r="W6054"/>
    </row>
    <row r="6055" spans="10:23" x14ac:dyDescent="0.25">
      <c r="J6055"/>
      <c r="M6055"/>
      <c r="W6055"/>
    </row>
    <row r="6056" spans="10:23" x14ac:dyDescent="0.25">
      <c r="J6056"/>
      <c r="M6056"/>
      <c r="W6056"/>
    </row>
    <row r="6057" spans="10:23" x14ac:dyDescent="0.25">
      <c r="J6057"/>
      <c r="M6057"/>
      <c r="W6057"/>
    </row>
    <row r="6058" spans="10:23" x14ac:dyDescent="0.25">
      <c r="J6058"/>
      <c r="M6058"/>
      <c r="W6058"/>
    </row>
    <row r="6059" spans="10:23" x14ac:dyDescent="0.25">
      <c r="J6059"/>
      <c r="M6059"/>
      <c r="W6059"/>
    </row>
    <row r="6060" spans="10:23" x14ac:dyDescent="0.25">
      <c r="J6060"/>
      <c r="M6060"/>
      <c r="W6060"/>
    </row>
    <row r="6061" spans="10:23" x14ac:dyDescent="0.25">
      <c r="J6061"/>
      <c r="M6061"/>
      <c r="W6061"/>
    </row>
    <row r="6062" spans="10:23" x14ac:dyDescent="0.25">
      <c r="J6062"/>
      <c r="M6062"/>
      <c r="W6062"/>
    </row>
    <row r="6063" spans="10:23" x14ac:dyDescent="0.25">
      <c r="J6063"/>
      <c r="M6063"/>
      <c r="W6063"/>
    </row>
    <row r="6064" spans="10:23" x14ac:dyDescent="0.25">
      <c r="J6064"/>
      <c r="M6064"/>
      <c r="W6064"/>
    </row>
    <row r="6065" spans="10:23" x14ac:dyDescent="0.25">
      <c r="J6065"/>
      <c r="M6065"/>
      <c r="W6065"/>
    </row>
    <row r="6066" spans="10:23" x14ac:dyDescent="0.25">
      <c r="J6066"/>
      <c r="M6066"/>
      <c r="W6066"/>
    </row>
    <row r="6067" spans="10:23" x14ac:dyDescent="0.25">
      <c r="J6067"/>
      <c r="M6067"/>
      <c r="W6067"/>
    </row>
    <row r="6068" spans="10:23" x14ac:dyDescent="0.25">
      <c r="J6068"/>
      <c r="M6068"/>
      <c r="W6068"/>
    </row>
    <row r="6069" spans="10:23" x14ac:dyDescent="0.25">
      <c r="J6069"/>
      <c r="M6069"/>
      <c r="W6069"/>
    </row>
    <row r="6070" spans="10:23" x14ac:dyDescent="0.25">
      <c r="J6070"/>
      <c r="M6070"/>
      <c r="W6070"/>
    </row>
    <row r="6071" spans="10:23" x14ac:dyDescent="0.25">
      <c r="J6071"/>
      <c r="M6071"/>
      <c r="W6071"/>
    </row>
    <row r="6072" spans="10:23" x14ac:dyDescent="0.25">
      <c r="J6072"/>
      <c r="M6072"/>
      <c r="W6072"/>
    </row>
    <row r="6073" spans="10:23" x14ac:dyDescent="0.25">
      <c r="J6073"/>
      <c r="M6073"/>
      <c r="W6073"/>
    </row>
    <row r="6074" spans="10:23" x14ac:dyDescent="0.25">
      <c r="J6074"/>
      <c r="M6074"/>
      <c r="W6074"/>
    </row>
    <row r="6075" spans="10:23" x14ac:dyDescent="0.25">
      <c r="J6075"/>
      <c r="M6075"/>
      <c r="W6075"/>
    </row>
    <row r="6076" spans="10:23" x14ac:dyDescent="0.25">
      <c r="J6076"/>
      <c r="M6076"/>
      <c r="W6076"/>
    </row>
    <row r="6077" spans="10:23" x14ac:dyDescent="0.25">
      <c r="J6077"/>
      <c r="M6077"/>
      <c r="W6077"/>
    </row>
    <row r="6078" spans="10:23" x14ac:dyDescent="0.25">
      <c r="J6078"/>
      <c r="M6078"/>
      <c r="W6078"/>
    </row>
    <row r="6079" spans="10:23" x14ac:dyDescent="0.25">
      <c r="J6079"/>
      <c r="M6079"/>
      <c r="W6079"/>
    </row>
    <row r="6080" spans="10:23" x14ac:dyDescent="0.25">
      <c r="J6080"/>
      <c r="M6080"/>
      <c r="W6080"/>
    </row>
    <row r="6081" spans="10:23" x14ac:dyDescent="0.25">
      <c r="J6081"/>
      <c r="M6081"/>
      <c r="W6081"/>
    </row>
    <row r="6082" spans="10:23" x14ac:dyDescent="0.25">
      <c r="J6082"/>
      <c r="M6082"/>
      <c r="W6082"/>
    </row>
    <row r="6083" spans="10:23" x14ac:dyDescent="0.25">
      <c r="J6083"/>
      <c r="M6083"/>
      <c r="W6083"/>
    </row>
    <row r="6084" spans="10:23" x14ac:dyDescent="0.25">
      <c r="J6084"/>
      <c r="M6084"/>
      <c r="W6084"/>
    </row>
    <row r="6085" spans="10:23" x14ac:dyDescent="0.25">
      <c r="J6085"/>
      <c r="M6085"/>
      <c r="W6085"/>
    </row>
    <row r="6086" spans="10:23" x14ac:dyDescent="0.25">
      <c r="J6086"/>
      <c r="M6086"/>
      <c r="W6086"/>
    </row>
    <row r="6087" spans="10:23" x14ac:dyDescent="0.25">
      <c r="J6087"/>
      <c r="M6087"/>
      <c r="W6087"/>
    </row>
    <row r="6088" spans="10:23" x14ac:dyDescent="0.25">
      <c r="J6088"/>
      <c r="M6088"/>
      <c r="W6088"/>
    </row>
    <row r="6089" spans="10:23" x14ac:dyDescent="0.25">
      <c r="J6089"/>
      <c r="M6089"/>
      <c r="W6089"/>
    </row>
    <row r="6090" spans="10:23" x14ac:dyDescent="0.25">
      <c r="J6090"/>
      <c r="M6090"/>
      <c r="W6090"/>
    </row>
    <row r="6091" spans="10:23" x14ac:dyDescent="0.25">
      <c r="J6091"/>
      <c r="M6091"/>
      <c r="W6091"/>
    </row>
    <row r="6092" spans="10:23" x14ac:dyDescent="0.25">
      <c r="J6092"/>
      <c r="M6092"/>
      <c r="W6092"/>
    </row>
    <row r="6093" spans="10:23" x14ac:dyDescent="0.25">
      <c r="J6093"/>
      <c r="M6093"/>
      <c r="W6093"/>
    </row>
    <row r="6094" spans="10:23" x14ac:dyDescent="0.25">
      <c r="J6094"/>
      <c r="M6094"/>
      <c r="W6094"/>
    </row>
    <row r="6095" spans="10:23" x14ac:dyDescent="0.25">
      <c r="J6095"/>
      <c r="M6095"/>
      <c r="W6095"/>
    </row>
    <row r="6096" spans="10:23" x14ac:dyDescent="0.25">
      <c r="J6096"/>
      <c r="M6096"/>
      <c r="W6096"/>
    </row>
    <row r="6097" spans="10:23" x14ac:dyDescent="0.25">
      <c r="J6097"/>
      <c r="M6097"/>
      <c r="W6097"/>
    </row>
    <row r="6098" spans="10:23" x14ac:dyDescent="0.25">
      <c r="J6098"/>
      <c r="M6098"/>
      <c r="W6098"/>
    </row>
    <row r="6099" spans="10:23" x14ac:dyDescent="0.25">
      <c r="J6099"/>
      <c r="M6099"/>
      <c r="W6099"/>
    </row>
    <row r="6100" spans="10:23" x14ac:dyDescent="0.25">
      <c r="J6100"/>
      <c r="M6100"/>
      <c r="W6100"/>
    </row>
    <row r="6101" spans="10:23" x14ac:dyDescent="0.25">
      <c r="J6101"/>
      <c r="M6101"/>
      <c r="W6101"/>
    </row>
    <row r="6102" spans="10:23" x14ac:dyDescent="0.25">
      <c r="J6102"/>
      <c r="M6102"/>
      <c r="W6102"/>
    </row>
    <row r="6103" spans="10:23" x14ac:dyDescent="0.25">
      <c r="J6103"/>
      <c r="M6103"/>
      <c r="W6103"/>
    </row>
    <row r="6104" spans="10:23" x14ac:dyDescent="0.25">
      <c r="J6104"/>
      <c r="M6104"/>
      <c r="W6104"/>
    </row>
    <row r="6105" spans="10:23" x14ac:dyDescent="0.25">
      <c r="J6105"/>
      <c r="M6105"/>
      <c r="W6105"/>
    </row>
    <row r="6106" spans="10:23" x14ac:dyDescent="0.25">
      <c r="J6106"/>
      <c r="M6106"/>
      <c r="W6106"/>
    </row>
    <row r="6107" spans="10:23" x14ac:dyDescent="0.25">
      <c r="J6107"/>
      <c r="M6107"/>
      <c r="W6107"/>
    </row>
    <row r="6108" spans="10:23" x14ac:dyDescent="0.25">
      <c r="J6108"/>
      <c r="M6108"/>
      <c r="W6108"/>
    </row>
    <row r="6109" spans="10:23" x14ac:dyDescent="0.25">
      <c r="J6109"/>
      <c r="M6109"/>
      <c r="W6109"/>
    </row>
    <row r="6110" spans="10:23" x14ac:dyDescent="0.25">
      <c r="J6110"/>
      <c r="M6110"/>
      <c r="W6110"/>
    </row>
    <row r="6111" spans="10:23" x14ac:dyDescent="0.25">
      <c r="J6111"/>
      <c r="M6111"/>
      <c r="W6111"/>
    </row>
    <row r="6112" spans="10:23" x14ac:dyDescent="0.25">
      <c r="J6112"/>
      <c r="M6112"/>
      <c r="W6112"/>
    </row>
    <row r="6113" spans="10:23" x14ac:dyDescent="0.25">
      <c r="J6113"/>
      <c r="M6113"/>
      <c r="W6113"/>
    </row>
    <row r="6114" spans="10:23" x14ac:dyDescent="0.25">
      <c r="J6114"/>
      <c r="M6114"/>
      <c r="W6114"/>
    </row>
    <row r="6115" spans="10:23" x14ac:dyDescent="0.25">
      <c r="J6115"/>
      <c r="M6115"/>
      <c r="W6115"/>
    </row>
    <row r="6116" spans="10:23" x14ac:dyDescent="0.25">
      <c r="J6116"/>
      <c r="M6116"/>
      <c r="W6116"/>
    </row>
    <row r="6117" spans="10:23" x14ac:dyDescent="0.25">
      <c r="J6117"/>
      <c r="M6117"/>
      <c r="W6117"/>
    </row>
    <row r="6118" spans="10:23" x14ac:dyDescent="0.25">
      <c r="J6118"/>
      <c r="M6118"/>
      <c r="W6118"/>
    </row>
    <row r="6119" spans="10:23" x14ac:dyDescent="0.25">
      <c r="J6119"/>
      <c r="M6119"/>
      <c r="W6119"/>
    </row>
    <row r="6120" spans="10:23" x14ac:dyDescent="0.25">
      <c r="J6120"/>
      <c r="M6120"/>
      <c r="W6120"/>
    </row>
    <row r="6121" spans="10:23" x14ac:dyDescent="0.25">
      <c r="J6121"/>
      <c r="M6121"/>
      <c r="W6121"/>
    </row>
    <row r="6122" spans="10:23" x14ac:dyDescent="0.25">
      <c r="J6122"/>
      <c r="M6122"/>
      <c r="W6122"/>
    </row>
    <row r="6123" spans="10:23" x14ac:dyDescent="0.25">
      <c r="J6123"/>
      <c r="M6123"/>
      <c r="W6123"/>
    </row>
    <row r="6124" spans="10:23" x14ac:dyDescent="0.25">
      <c r="J6124"/>
      <c r="M6124"/>
      <c r="W6124"/>
    </row>
    <row r="6125" spans="10:23" x14ac:dyDescent="0.25">
      <c r="J6125"/>
      <c r="M6125"/>
      <c r="W6125"/>
    </row>
    <row r="6126" spans="10:23" x14ac:dyDescent="0.25">
      <c r="J6126"/>
      <c r="M6126"/>
      <c r="W6126"/>
    </row>
    <row r="6127" spans="10:23" x14ac:dyDescent="0.25">
      <c r="J6127"/>
      <c r="M6127"/>
      <c r="W6127"/>
    </row>
    <row r="6128" spans="10:23" x14ac:dyDescent="0.25">
      <c r="J6128"/>
      <c r="M6128"/>
      <c r="W6128"/>
    </row>
    <row r="6129" spans="10:23" x14ac:dyDescent="0.25">
      <c r="J6129"/>
      <c r="M6129"/>
      <c r="W6129"/>
    </row>
    <row r="6130" spans="10:23" x14ac:dyDescent="0.25">
      <c r="J6130"/>
      <c r="M6130"/>
      <c r="W6130"/>
    </row>
    <row r="6131" spans="10:23" x14ac:dyDescent="0.25">
      <c r="J6131"/>
      <c r="M6131"/>
      <c r="W6131"/>
    </row>
    <row r="6132" spans="10:23" x14ac:dyDescent="0.25">
      <c r="J6132"/>
      <c r="M6132"/>
      <c r="W6132"/>
    </row>
    <row r="6133" spans="10:23" x14ac:dyDescent="0.25">
      <c r="J6133"/>
      <c r="M6133"/>
      <c r="W6133"/>
    </row>
    <row r="6134" spans="10:23" x14ac:dyDescent="0.25">
      <c r="J6134"/>
      <c r="M6134"/>
      <c r="W6134"/>
    </row>
    <row r="6135" spans="10:23" x14ac:dyDescent="0.25">
      <c r="J6135"/>
      <c r="M6135"/>
      <c r="W6135"/>
    </row>
    <row r="6136" spans="10:23" x14ac:dyDescent="0.25">
      <c r="J6136"/>
      <c r="M6136"/>
      <c r="W6136"/>
    </row>
    <row r="6137" spans="10:23" x14ac:dyDescent="0.25">
      <c r="J6137"/>
      <c r="M6137"/>
      <c r="W6137"/>
    </row>
    <row r="6138" spans="10:23" x14ac:dyDescent="0.25">
      <c r="J6138"/>
      <c r="M6138"/>
      <c r="W6138"/>
    </row>
    <row r="6139" spans="10:23" x14ac:dyDescent="0.25">
      <c r="J6139"/>
      <c r="M6139"/>
      <c r="W6139"/>
    </row>
    <row r="6140" spans="10:23" x14ac:dyDescent="0.25">
      <c r="J6140"/>
      <c r="M6140"/>
      <c r="W6140"/>
    </row>
    <row r="6141" spans="10:23" x14ac:dyDescent="0.25">
      <c r="J6141"/>
      <c r="M6141"/>
      <c r="W6141"/>
    </row>
    <row r="6142" spans="10:23" x14ac:dyDescent="0.25">
      <c r="J6142"/>
      <c r="M6142"/>
      <c r="W6142"/>
    </row>
    <row r="6143" spans="10:23" x14ac:dyDescent="0.25">
      <c r="J6143"/>
      <c r="M6143"/>
      <c r="W6143"/>
    </row>
    <row r="6144" spans="10:23" x14ac:dyDescent="0.25">
      <c r="J6144"/>
      <c r="M6144"/>
      <c r="W6144"/>
    </row>
    <row r="6145" spans="10:23" x14ac:dyDescent="0.25">
      <c r="J6145"/>
      <c r="M6145"/>
      <c r="W6145"/>
    </row>
    <row r="6146" spans="10:23" x14ac:dyDescent="0.25">
      <c r="J6146"/>
      <c r="M6146"/>
      <c r="W6146"/>
    </row>
    <row r="6147" spans="10:23" x14ac:dyDescent="0.25">
      <c r="J6147"/>
      <c r="M6147"/>
      <c r="W6147"/>
    </row>
    <row r="6148" spans="10:23" x14ac:dyDescent="0.25">
      <c r="J6148"/>
      <c r="M6148"/>
      <c r="W6148"/>
    </row>
    <row r="6149" spans="10:23" x14ac:dyDescent="0.25">
      <c r="J6149"/>
      <c r="M6149"/>
      <c r="W6149"/>
    </row>
    <row r="6150" spans="10:23" x14ac:dyDescent="0.25">
      <c r="J6150"/>
      <c r="M6150"/>
      <c r="W6150"/>
    </row>
    <row r="6151" spans="10:23" x14ac:dyDescent="0.25">
      <c r="J6151"/>
      <c r="M6151"/>
      <c r="W6151"/>
    </row>
    <row r="6152" spans="10:23" x14ac:dyDescent="0.25">
      <c r="J6152"/>
      <c r="M6152"/>
      <c r="W6152"/>
    </row>
    <row r="6153" spans="10:23" x14ac:dyDescent="0.25">
      <c r="J6153"/>
      <c r="M6153"/>
      <c r="W6153"/>
    </row>
    <row r="6154" spans="10:23" x14ac:dyDescent="0.25">
      <c r="J6154"/>
      <c r="M6154"/>
      <c r="W6154"/>
    </row>
    <row r="6155" spans="10:23" x14ac:dyDescent="0.25">
      <c r="J6155"/>
      <c r="M6155"/>
      <c r="W6155"/>
    </row>
    <row r="6156" spans="10:23" x14ac:dyDescent="0.25">
      <c r="J6156"/>
      <c r="M6156"/>
      <c r="W6156"/>
    </row>
    <row r="6157" spans="10:23" x14ac:dyDescent="0.25">
      <c r="J6157"/>
      <c r="M6157"/>
      <c r="W6157"/>
    </row>
    <row r="6158" spans="10:23" x14ac:dyDescent="0.25">
      <c r="J6158"/>
      <c r="M6158"/>
      <c r="W6158"/>
    </row>
    <row r="6159" spans="10:23" x14ac:dyDescent="0.25">
      <c r="J6159"/>
      <c r="M6159"/>
      <c r="W6159"/>
    </row>
    <row r="6160" spans="10:23" x14ac:dyDescent="0.25">
      <c r="J6160"/>
      <c r="M6160"/>
      <c r="W6160"/>
    </row>
    <row r="6161" spans="10:23" x14ac:dyDescent="0.25">
      <c r="J6161"/>
      <c r="M6161"/>
      <c r="W6161"/>
    </row>
    <row r="6162" spans="10:23" x14ac:dyDescent="0.25">
      <c r="J6162"/>
      <c r="M6162"/>
      <c r="W6162"/>
    </row>
    <row r="6163" spans="10:23" x14ac:dyDescent="0.25">
      <c r="J6163"/>
      <c r="M6163"/>
      <c r="W6163"/>
    </row>
    <row r="6164" spans="10:23" x14ac:dyDescent="0.25">
      <c r="J6164"/>
      <c r="M6164"/>
      <c r="W6164"/>
    </row>
    <row r="6165" spans="10:23" x14ac:dyDescent="0.25">
      <c r="J6165"/>
      <c r="M6165"/>
      <c r="W6165"/>
    </row>
    <row r="6166" spans="10:23" x14ac:dyDescent="0.25">
      <c r="J6166"/>
      <c r="M6166"/>
      <c r="W6166"/>
    </row>
    <row r="6167" spans="10:23" x14ac:dyDescent="0.25">
      <c r="J6167"/>
      <c r="M6167"/>
      <c r="W6167"/>
    </row>
    <row r="6168" spans="10:23" x14ac:dyDescent="0.25">
      <c r="J6168"/>
      <c r="M6168"/>
      <c r="W6168"/>
    </row>
    <row r="6169" spans="10:23" x14ac:dyDescent="0.25">
      <c r="J6169"/>
      <c r="M6169"/>
      <c r="W6169"/>
    </row>
    <row r="6170" spans="10:23" x14ac:dyDescent="0.25">
      <c r="J6170"/>
      <c r="M6170"/>
      <c r="W6170"/>
    </row>
    <row r="6171" spans="10:23" x14ac:dyDescent="0.25">
      <c r="J6171"/>
      <c r="M6171"/>
      <c r="W6171"/>
    </row>
    <row r="6172" spans="10:23" x14ac:dyDescent="0.25">
      <c r="J6172"/>
      <c r="M6172"/>
      <c r="W6172"/>
    </row>
    <row r="6173" spans="10:23" x14ac:dyDescent="0.25">
      <c r="J6173"/>
      <c r="M6173"/>
      <c r="W6173"/>
    </row>
    <row r="6174" spans="10:23" x14ac:dyDescent="0.25">
      <c r="J6174"/>
      <c r="M6174"/>
      <c r="W6174"/>
    </row>
    <row r="6175" spans="10:23" x14ac:dyDescent="0.25">
      <c r="J6175"/>
      <c r="M6175"/>
      <c r="W6175"/>
    </row>
    <row r="6176" spans="10:23" x14ac:dyDescent="0.25">
      <c r="J6176"/>
      <c r="M6176"/>
      <c r="W6176"/>
    </row>
    <row r="6177" spans="10:23" x14ac:dyDescent="0.25">
      <c r="J6177"/>
      <c r="M6177"/>
      <c r="W6177"/>
    </row>
    <row r="6178" spans="10:23" x14ac:dyDescent="0.25">
      <c r="J6178"/>
      <c r="M6178"/>
      <c r="W6178"/>
    </row>
    <row r="6179" spans="10:23" x14ac:dyDescent="0.25">
      <c r="J6179"/>
      <c r="M6179"/>
      <c r="W6179"/>
    </row>
    <row r="6180" spans="10:23" x14ac:dyDescent="0.25">
      <c r="J6180"/>
      <c r="M6180"/>
      <c r="W6180"/>
    </row>
    <row r="6181" spans="10:23" x14ac:dyDescent="0.25">
      <c r="J6181"/>
      <c r="M6181"/>
      <c r="W6181"/>
    </row>
    <row r="6182" spans="10:23" x14ac:dyDescent="0.25">
      <c r="J6182"/>
      <c r="M6182"/>
      <c r="W6182"/>
    </row>
    <row r="6183" spans="10:23" x14ac:dyDescent="0.25">
      <c r="J6183"/>
      <c r="M6183"/>
      <c r="W6183"/>
    </row>
    <row r="6184" spans="10:23" x14ac:dyDescent="0.25">
      <c r="J6184"/>
      <c r="M6184"/>
      <c r="W6184"/>
    </row>
    <row r="6185" spans="10:23" x14ac:dyDescent="0.25">
      <c r="J6185"/>
      <c r="M6185"/>
      <c r="W6185"/>
    </row>
    <row r="6186" spans="10:23" x14ac:dyDescent="0.25">
      <c r="J6186"/>
      <c r="M6186"/>
      <c r="W6186"/>
    </row>
    <row r="6187" spans="10:23" x14ac:dyDescent="0.25">
      <c r="J6187"/>
      <c r="M6187"/>
      <c r="W6187"/>
    </row>
    <row r="6188" spans="10:23" x14ac:dyDescent="0.25">
      <c r="J6188"/>
      <c r="M6188"/>
      <c r="W6188"/>
    </row>
    <row r="6189" spans="10:23" x14ac:dyDescent="0.25">
      <c r="J6189"/>
      <c r="M6189"/>
      <c r="W6189"/>
    </row>
    <row r="6190" spans="10:23" x14ac:dyDescent="0.25">
      <c r="J6190"/>
      <c r="M6190"/>
      <c r="W6190"/>
    </row>
    <row r="6191" spans="10:23" x14ac:dyDescent="0.25">
      <c r="J6191"/>
      <c r="M6191"/>
      <c r="W6191"/>
    </row>
    <row r="6192" spans="10:23" x14ac:dyDescent="0.25">
      <c r="J6192"/>
      <c r="M6192"/>
      <c r="W6192"/>
    </row>
    <row r="6193" spans="10:23" x14ac:dyDescent="0.25">
      <c r="J6193"/>
      <c r="M6193"/>
      <c r="W6193"/>
    </row>
    <row r="6194" spans="10:23" x14ac:dyDescent="0.25">
      <c r="J6194"/>
      <c r="M6194"/>
      <c r="W6194"/>
    </row>
    <row r="6195" spans="10:23" x14ac:dyDescent="0.25">
      <c r="J6195"/>
      <c r="M6195"/>
      <c r="W6195"/>
    </row>
    <row r="6196" spans="10:23" x14ac:dyDescent="0.25">
      <c r="J6196"/>
      <c r="M6196"/>
      <c r="W6196"/>
    </row>
    <row r="6197" spans="10:23" x14ac:dyDescent="0.25">
      <c r="J6197"/>
      <c r="M6197"/>
      <c r="W6197"/>
    </row>
    <row r="6198" spans="10:23" x14ac:dyDescent="0.25">
      <c r="J6198"/>
      <c r="M6198"/>
      <c r="W6198"/>
    </row>
    <row r="6199" spans="10:23" x14ac:dyDescent="0.25">
      <c r="J6199"/>
      <c r="M6199"/>
      <c r="W6199"/>
    </row>
    <row r="6200" spans="10:23" x14ac:dyDescent="0.25">
      <c r="J6200"/>
      <c r="M6200"/>
      <c r="W6200"/>
    </row>
    <row r="6201" spans="10:23" x14ac:dyDescent="0.25">
      <c r="J6201"/>
      <c r="M6201"/>
      <c r="W6201"/>
    </row>
    <row r="6202" spans="10:23" x14ac:dyDescent="0.25">
      <c r="J6202"/>
      <c r="M6202"/>
      <c r="W6202"/>
    </row>
    <row r="6203" spans="10:23" x14ac:dyDescent="0.25">
      <c r="J6203"/>
      <c r="M6203"/>
      <c r="W6203"/>
    </row>
    <row r="6204" spans="10:23" x14ac:dyDescent="0.25">
      <c r="J6204"/>
      <c r="M6204"/>
      <c r="W6204"/>
    </row>
    <row r="6205" spans="10:23" x14ac:dyDescent="0.25">
      <c r="J6205"/>
      <c r="M6205"/>
      <c r="W6205"/>
    </row>
    <row r="6206" spans="10:23" x14ac:dyDescent="0.25">
      <c r="J6206"/>
      <c r="M6206"/>
      <c r="W6206"/>
    </row>
    <row r="6207" spans="10:23" x14ac:dyDescent="0.25">
      <c r="J6207"/>
      <c r="M6207"/>
      <c r="W6207"/>
    </row>
    <row r="6208" spans="10:23" x14ac:dyDescent="0.25">
      <c r="J6208"/>
      <c r="M6208"/>
      <c r="W6208"/>
    </row>
    <row r="6209" spans="10:23" x14ac:dyDescent="0.25">
      <c r="J6209"/>
      <c r="M6209"/>
      <c r="W6209"/>
    </row>
    <row r="6210" spans="10:23" x14ac:dyDescent="0.25">
      <c r="J6210"/>
      <c r="M6210"/>
      <c r="W6210"/>
    </row>
    <row r="6211" spans="10:23" x14ac:dyDescent="0.25">
      <c r="J6211"/>
      <c r="M6211"/>
      <c r="W6211"/>
    </row>
    <row r="6212" spans="10:23" x14ac:dyDescent="0.25">
      <c r="J6212"/>
      <c r="M6212"/>
      <c r="W6212"/>
    </row>
    <row r="6213" spans="10:23" x14ac:dyDescent="0.25">
      <c r="J6213"/>
      <c r="M6213"/>
      <c r="W6213"/>
    </row>
    <row r="6214" spans="10:23" x14ac:dyDescent="0.25">
      <c r="J6214"/>
      <c r="M6214"/>
      <c r="W6214"/>
    </row>
    <row r="6215" spans="10:23" x14ac:dyDescent="0.25">
      <c r="J6215"/>
      <c r="M6215"/>
      <c r="W6215"/>
    </row>
    <row r="6216" spans="10:23" x14ac:dyDescent="0.25">
      <c r="J6216"/>
      <c r="M6216"/>
      <c r="W6216"/>
    </row>
    <row r="6217" spans="10:23" x14ac:dyDescent="0.25">
      <c r="J6217"/>
      <c r="M6217"/>
      <c r="W6217"/>
    </row>
    <row r="6218" spans="10:23" x14ac:dyDescent="0.25">
      <c r="J6218"/>
      <c r="M6218"/>
      <c r="W6218"/>
    </row>
    <row r="6219" spans="10:23" x14ac:dyDescent="0.25">
      <c r="J6219"/>
      <c r="M6219"/>
      <c r="W6219"/>
    </row>
    <row r="6220" spans="10:23" x14ac:dyDescent="0.25">
      <c r="J6220"/>
      <c r="M6220"/>
      <c r="W6220"/>
    </row>
    <row r="6221" spans="10:23" x14ac:dyDescent="0.25">
      <c r="J6221"/>
      <c r="M6221"/>
      <c r="W6221"/>
    </row>
    <row r="6222" spans="10:23" x14ac:dyDescent="0.25">
      <c r="J6222"/>
      <c r="M6222"/>
      <c r="W6222"/>
    </row>
    <row r="6223" spans="10:23" x14ac:dyDescent="0.25">
      <c r="J6223"/>
      <c r="M6223"/>
      <c r="W6223"/>
    </row>
    <row r="6224" spans="10:23" x14ac:dyDescent="0.25">
      <c r="J6224"/>
      <c r="M6224"/>
      <c r="W6224"/>
    </row>
    <row r="6225" spans="10:23" x14ac:dyDescent="0.25">
      <c r="J6225"/>
      <c r="M6225"/>
      <c r="W6225"/>
    </row>
    <row r="6226" spans="10:23" x14ac:dyDescent="0.25">
      <c r="J6226"/>
      <c r="M6226"/>
      <c r="W6226"/>
    </row>
    <row r="6227" spans="10:23" x14ac:dyDescent="0.25">
      <c r="J6227"/>
      <c r="M6227"/>
      <c r="W6227"/>
    </row>
    <row r="6228" spans="10:23" x14ac:dyDescent="0.25">
      <c r="J6228"/>
      <c r="M6228"/>
      <c r="W6228"/>
    </row>
    <row r="6229" spans="10:23" x14ac:dyDescent="0.25">
      <c r="J6229"/>
      <c r="M6229"/>
      <c r="W6229"/>
    </row>
    <row r="6230" spans="10:23" x14ac:dyDescent="0.25">
      <c r="J6230"/>
      <c r="M6230"/>
      <c r="W6230"/>
    </row>
    <row r="6231" spans="10:23" x14ac:dyDescent="0.25">
      <c r="J6231"/>
      <c r="M6231"/>
      <c r="W6231"/>
    </row>
    <row r="6232" spans="10:23" x14ac:dyDescent="0.25">
      <c r="J6232"/>
      <c r="M6232"/>
      <c r="W6232"/>
    </row>
    <row r="6233" spans="10:23" x14ac:dyDescent="0.25">
      <c r="J6233"/>
      <c r="M6233"/>
      <c r="W6233"/>
    </row>
    <row r="6234" spans="10:23" x14ac:dyDescent="0.25">
      <c r="J6234"/>
      <c r="M6234"/>
      <c r="W6234"/>
    </row>
    <row r="6235" spans="10:23" x14ac:dyDescent="0.25">
      <c r="J6235"/>
      <c r="M6235"/>
      <c r="W6235"/>
    </row>
    <row r="6236" spans="10:23" x14ac:dyDescent="0.25">
      <c r="J6236"/>
      <c r="M6236"/>
      <c r="W6236"/>
    </row>
    <row r="6237" spans="10:23" x14ac:dyDescent="0.25">
      <c r="J6237"/>
      <c r="M6237"/>
      <c r="W6237"/>
    </row>
    <row r="6238" spans="10:23" x14ac:dyDescent="0.25">
      <c r="J6238"/>
      <c r="M6238"/>
      <c r="W6238"/>
    </row>
    <row r="6239" spans="10:23" x14ac:dyDescent="0.25">
      <c r="J6239"/>
      <c r="M6239"/>
      <c r="W6239"/>
    </row>
    <row r="6240" spans="10:23" x14ac:dyDescent="0.25">
      <c r="J6240"/>
      <c r="M6240"/>
      <c r="W6240"/>
    </row>
    <row r="6241" spans="10:23" x14ac:dyDescent="0.25">
      <c r="J6241"/>
      <c r="M6241"/>
      <c r="W6241"/>
    </row>
    <row r="6242" spans="10:23" x14ac:dyDescent="0.25">
      <c r="J6242"/>
      <c r="M6242"/>
      <c r="W6242"/>
    </row>
    <row r="6243" spans="10:23" x14ac:dyDescent="0.25">
      <c r="J6243"/>
      <c r="M6243"/>
      <c r="W6243"/>
    </row>
    <row r="6244" spans="10:23" x14ac:dyDescent="0.25">
      <c r="J6244"/>
      <c r="M6244"/>
      <c r="W6244"/>
    </row>
    <row r="6245" spans="10:23" x14ac:dyDescent="0.25">
      <c r="J6245"/>
      <c r="M6245"/>
      <c r="W6245"/>
    </row>
    <row r="6246" spans="10:23" x14ac:dyDescent="0.25">
      <c r="J6246"/>
      <c r="M6246"/>
      <c r="W6246"/>
    </row>
    <row r="6247" spans="10:23" x14ac:dyDescent="0.25">
      <c r="J6247"/>
      <c r="M6247"/>
      <c r="W6247"/>
    </row>
    <row r="6248" spans="10:23" x14ac:dyDescent="0.25">
      <c r="J6248"/>
      <c r="M6248"/>
      <c r="W6248"/>
    </row>
    <row r="6249" spans="10:23" x14ac:dyDescent="0.25">
      <c r="J6249"/>
      <c r="M6249"/>
      <c r="W6249"/>
    </row>
    <row r="6250" spans="10:23" x14ac:dyDescent="0.25">
      <c r="J6250"/>
      <c r="M6250"/>
      <c r="W6250"/>
    </row>
    <row r="6251" spans="10:23" x14ac:dyDescent="0.25">
      <c r="J6251"/>
      <c r="M6251"/>
      <c r="W6251"/>
    </row>
    <row r="6252" spans="10:23" x14ac:dyDescent="0.25">
      <c r="J6252"/>
      <c r="M6252"/>
      <c r="W6252"/>
    </row>
    <row r="6253" spans="10:23" x14ac:dyDescent="0.25">
      <c r="J6253"/>
      <c r="M6253"/>
      <c r="W6253"/>
    </row>
    <row r="6254" spans="10:23" x14ac:dyDescent="0.25">
      <c r="J6254"/>
      <c r="M6254"/>
      <c r="W6254"/>
    </row>
    <row r="6255" spans="10:23" x14ac:dyDescent="0.25">
      <c r="J6255"/>
      <c r="M6255"/>
      <c r="W6255"/>
    </row>
    <row r="6256" spans="10:23" x14ac:dyDescent="0.25">
      <c r="J6256"/>
      <c r="M6256"/>
      <c r="W6256"/>
    </row>
    <row r="6257" spans="10:23" x14ac:dyDescent="0.25">
      <c r="J6257"/>
      <c r="M6257"/>
      <c r="W6257"/>
    </row>
    <row r="6258" spans="10:23" x14ac:dyDescent="0.25">
      <c r="J6258"/>
      <c r="M6258"/>
      <c r="W6258"/>
    </row>
    <row r="6259" spans="10:23" x14ac:dyDescent="0.25">
      <c r="J6259"/>
      <c r="M6259"/>
      <c r="W6259"/>
    </row>
    <row r="6260" spans="10:23" x14ac:dyDescent="0.25">
      <c r="J6260"/>
      <c r="M6260"/>
      <c r="W6260"/>
    </row>
    <row r="6261" spans="10:23" x14ac:dyDescent="0.25">
      <c r="J6261"/>
      <c r="M6261"/>
      <c r="W6261"/>
    </row>
    <row r="6262" spans="10:23" x14ac:dyDescent="0.25">
      <c r="J6262"/>
      <c r="M6262"/>
      <c r="W6262"/>
    </row>
    <row r="6263" spans="10:23" x14ac:dyDescent="0.25">
      <c r="J6263"/>
      <c r="M6263"/>
      <c r="W6263"/>
    </row>
    <row r="6264" spans="10:23" x14ac:dyDescent="0.25">
      <c r="J6264"/>
      <c r="M6264"/>
      <c r="W6264"/>
    </row>
    <row r="6265" spans="10:23" x14ac:dyDescent="0.25">
      <c r="J6265"/>
      <c r="M6265"/>
      <c r="W6265"/>
    </row>
    <row r="6266" spans="10:23" x14ac:dyDescent="0.25">
      <c r="J6266"/>
      <c r="M6266"/>
      <c r="W6266"/>
    </row>
    <row r="6267" spans="10:23" x14ac:dyDescent="0.25">
      <c r="J6267"/>
      <c r="M6267"/>
      <c r="W6267"/>
    </row>
    <row r="6268" spans="10:23" x14ac:dyDescent="0.25">
      <c r="J6268"/>
      <c r="M6268"/>
      <c r="W6268"/>
    </row>
    <row r="6269" spans="10:23" x14ac:dyDescent="0.25">
      <c r="J6269"/>
      <c r="M6269"/>
      <c r="W6269"/>
    </row>
    <row r="6270" spans="10:23" x14ac:dyDescent="0.25">
      <c r="J6270"/>
      <c r="M6270"/>
      <c r="W6270"/>
    </row>
    <row r="6271" spans="10:23" x14ac:dyDescent="0.25">
      <c r="J6271"/>
      <c r="M6271"/>
      <c r="W6271"/>
    </row>
    <row r="6272" spans="10:23" x14ac:dyDescent="0.25">
      <c r="J6272"/>
      <c r="M6272"/>
      <c r="W6272"/>
    </row>
    <row r="6273" spans="10:23" x14ac:dyDescent="0.25">
      <c r="J6273"/>
      <c r="M6273"/>
      <c r="W6273"/>
    </row>
    <row r="6274" spans="10:23" x14ac:dyDescent="0.25">
      <c r="J6274"/>
      <c r="M6274"/>
      <c r="W6274"/>
    </row>
    <row r="6275" spans="10:23" x14ac:dyDescent="0.25">
      <c r="J6275"/>
      <c r="M6275"/>
      <c r="W6275"/>
    </row>
    <row r="6276" spans="10:23" x14ac:dyDescent="0.25">
      <c r="J6276"/>
      <c r="M6276"/>
      <c r="W6276"/>
    </row>
    <row r="6277" spans="10:23" x14ac:dyDescent="0.25">
      <c r="J6277"/>
      <c r="M6277"/>
      <c r="W6277"/>
    </row>
    <row r="6278" spans="10:23" x14ac:dyDescent="0.25">
      <c r="J6278"/>
      <c r="M6278"/>
      <c r="W6278"/>
    </row>
    <row r="6279" spans="10:23" x14ac:dyDescent="0.25">
      <c r="J6279"/>
      <c r="M6279"/>
      <c r="W6279"/>
    </row>
    <row r="6280" spans="10:23" x14ac:dyDescent="0.25">
      <c r="J6280"/>
      <c r="M6280"/>
      <c r="W6280"/>
    </row>
    <row r="6281" spans="10:23" x14ac:dyDescent="0.25">
      <c r="J6281"/>
      <c r="M6281"/>
      <c r="W6281"/>
    </row>
    <row r="6282" spans="10:23" x14ac:dyDescent="0.25">
      <c r="J6282"/>
      <c r="M6282"/>
      <c r="W6282"/>
    </row>
    <row r="6283" spans="10:23" x14ac:dyDescent="0.25">
      <c r="J6283"/>
      <c r="M6283"/>
      <c r="W6283"/>
    </row>
    <row r="6284" spans="10:23" x14ac:dyDescent="0.25">
      <c r="J6284"/>
      <c r="M6284"/>
      <c r="W6284"/>
    </row>
    <row r="6285" spans="10:23" x14ac:dyDescent="0.25">
      <c r="J6285"/>
      <c r="M6285"/>
      <c r="W6285"/>
    </row>
    <row r="6286" spans="10:23" x14ac:dyDescent="0.25">
      <c r="J6286"/>
      <c r="M6286"/>
      <c r="W6286"/>
    </row>
    <row r="6287" spans="10:23" x14ac:dyDescent="0.25">
      <c r="J6287"/>
      <c r="M6287"/>
      <c r="W6287"/>
    </row>
    <row r="6288" spans="10:23" x14ac:dyDescent="0.25">
      <c r="J6288"/>
      <c r="M6288"/>
      <c r="W6288"/>
    </row>
    <row r="6289" spans="10:23" x14ac:dyDescent="0.25">
      <c r="J6289"/>
      <c r="M6289"/>
      <c r="W6289"/>
    </row>
    <row r="6290" spans="10:23" x14ac:dyDescent="0.25">
      <c r="J6290"/>
      <c r="M6290"/>
      <c r="W6290"/>
    </row>
    <row r="6291" spans="10:23" x14ac:dyDescent="0.25">
      <c r="J6291"/>
      <c r="M6291"/>
      <c r="W6291"/>
    </row>
    <row r="6292" spans="10:23" x14ac:dyDescent="0.25">
      <c r="J6292"/>
      <c r="M6292"/>
      <c r="W6292"/>
    </row>
    <row r="6293" spans="10:23" x14ac:dyDescent="0.25">
      <c r="J6293"/>
      <c r="M6293"/>
      <c r="W6293"/>
    </row>
    <row r="6294" spans="10:23" x14ac:dyDescent="0.25">
      <c r="J6294"/>
      <c r="M6294"/>
      <c r="W6294"/>
    </row>
    <row r="6295" spans="10:23" x14ac:dyDescent="0.25">
      <c r="J6295"/>
      <c r="M6295"/>
      <c r="W6295"/>
    </row>
    <row r="6296" spans="10:23" x14ac:dyDescent="0.25">
      <c r="J6296"/>
      <c r="M6296"/>
      <c r="W6296"/>
    </row>
    <row r="6297" spans="10:23" x14ac:dyDescent="0.25">
      <c r="J6297"/>
      <c r="M6297"/>
      <c r="W6297"/>
    </row>
    <row r="6298" spans="10:23" x14ac:dyDescent="0.25">
      <c r="J6298"/>
      <c r="M6298"/>
      <c r="W6298"/>
    </row>
    <row r="6299" spans="10:23" x14ac:dyDescent="0.25">
      <c r="J6299"/>
      <c r="M6299"/>
      <c r="W6299"/>
    </row>
    <row r="6300" spans="10:23" x14ac:dyDescent="0.25">
      <c r="J6300"/>
      <c r="M6300"/>
      <c r="W6300"/>
    </row>
    <row r="6301" spans="10:23" x14ac:dyDescent="0.25">
      <c r="J6301"/>
      <c r="M6301"/>
      <c r="W6301"/>
    </row>
    <row r="6302" spans="10:23" x14ac:dyDescent="0.25">
      <c r="J6302"/>
      <c r="M6302"/>
      <c r="W6302"/>
    </row>
    <row r="6303" spans="10:23" x14ac:dyDescent="0.25">
      <c r="J6303"/>
      <c r="M6303"/>
      <c r="W6303"/>
    </row>
    <row r="6304" spans="10:23" x14ac:dyDescent="0.25">
      <c r="J6304"/>
      <c r="M6304"/>
      <c r="W6304"/>
    </row>
    <row r="6305" spans="10:23" x14ac:dyDescent="0.25">
      <c r="J6305"/>
      <c r="M6305"/>
      <c r="W6305"/>
    </row>
    <row r="6306" spans="10:23" x14ac:dyDescent="0.25">
      <c r="J6306"/>
      <c r="M6306"/>
      <c r="W6306"/>
    </row>
    <row r="6307" spans="10:23" x14ac:dyDescent="0.25">
      <c r="J6307"/>
      <c r="M6307"/>
      <c r="W6307"/>
    </row>
    <row r="6308" spans="10:23" x14ac:dyDescent="0.25">
      <c r="J6308"/>
      <c r="M6308"/>
      <c r="W6308"/>
    </row>
    <row r="6309" spans="10:23" x14ac:dyDescent="0.25">
      <c r="J6309"/>
      <c r="M6309"/>
      <c r="W6309"/>
    </row>
    <row r="6310" spans="10:23" x14ac:dyDescent="0.25">
      <c r="J6310"/>
      <c r="M6310"/>
      <c r="W6310"/>
    </row>
    <row r="6311" spans="10:23" x14ac:dyDescent="0.25">
      <c r="J6311"/>
      <c r="M6311"/>
      <c r="W6311"/>
    </row>
    <row r="6312" spans="10:23" x14ac:dyDescent="0.25">
      <c r="J6312"/>
      <c r="M6312"/>
      <c r="W6312"/>
    </row>
    <row r="6313" spans="10:23" x14ac:dyDescent="0.25">
      <c r="J6313"/>
      <c r="M6313"/>
      <c r="W6313"/>
    </row>
    <row r="6314" spans="10:23" x14ac:dyDescent="0.25">
      <c r="J6314"/>
      <c r="M6314"/>
      <c r="W6314"/>
    </row>
    <row r="6315" spans="10:23" x14ac:dyDescent="0.25">
      <c r="J6315"/>
      <c r="M6315"/>
      <c r="W6315"/>
    </row>
    <row r="6316" spans="10:23" x14ac:dyDescent="0.25">
      <c r="J6316"/>
      <c r="M6316"/>
      <c r="W6316"/>
    </row>
    <row r="6317" spans="10:23" x14ac:dyDescent="0.25">
      <c r="J6317"/>
      <c r="M6317"/>
      <c r="W6317"/>
    </row>
    <row r="6318" spans="10:23" x14ac:dyDescent="0.25">
      <c r="J6318"/>
      <c r="M6318"/>
      <c r="W6318"/>
    </row>
    <row r="6319" spans="10:23" x14ac:dyDescent="0.25">
      <c r="J6319"/>
      <c r="M6319"/>
      <c r="W6319"/>
    </row>
    <row r="6320" spans="10:23" x14ac:dyDescent="0.25">
      <c r="J6320"/>
      <c r="M6320"/>
      <c r="W6320"/>
    </row>
    <row r="6321" spans="10:23" x14ac:dyDescent="0.25">
      <c r="J6321"/>
      <c r="M6321"/>
      <c r="W6321"/>
    </row>
    <row r="6322" spans="10:23" x14ac:dyDescent="0.25">
      <c r="J6322"/>
      <c r="M6322"/>
      <c r="W6322"/>
    </row>
    <row r="6323" spans="10:23" x14ac:dyDescent="0.25">
      <c r="J6323"/>
      <c r="M6323"/>
      <c r="W6323"/>
    </row>
    <row r="6324" spans="10:23" x14ac:dyDescent="0.25">
      <c r="J6324"/>
      <c r="M6324"/>
      <c r="W6324"/>
    </row>
    <row r="6325" spans="10:23" x14ac:dyDescent="0.25">
      <c r="J6325"/>
      <c r="M6325"/>
      <c r="W6325"/>
    </row>
    <row r="6326" spans="10:23" x14ac:dyDescent="0.25">
      <c r="J6326"/>
      <c r="M6326"/>
      <c r="W6326"/>
    </row>
    <row r="6327" spans="10:23" x14ac:dyDescent="0.25">
      <c r="J6327"/>
      <c r="M6327"/>
      <c r="W6327"/>
    </row>
    <row r="6328" spans="10:23" x14ac:dyDescent="0.25">
      <c r="J6328"/>
      <c r="M6328"/>
      <c r="W6328"/>
    </row>
    <row r="6329" spans="10:23" x14ac:dyDescent="0.25">
      <c r="J6329"/>
      <c r="M6329"/>
      <c r="W6329"/>
    </row>
    <row r="6330" spans="10:23" x14ac:dyDescent="0.25">
      <c r="J6330"/>
      <c r="M6330"/>
      <c r="W6330"/>
    </row>
    <row r="6331" spans="10:23" x14ac:dyDescent="0.25">
      <c r="J6331"/>
      <c r="M6331"/>
      <c r="W6331"/>
    </row>
    <row r="6332" spans="10:23" x14ac:dyDescent="0.25">
      <c r="J6332"/>
      <c r="M6332"/>
      <c r="W6332"/>
    </row>
    <row r="6333" spans="10:23" x14ac:dyDescent="0.25">
      <c r="J6333"/>
      <c r="M6333"/>
      <c r="W6333"/>
    </row>
    <row r="6334" spans="10:23" x14ac:dyDescent="0.25">
      <c r="J6334"/>
      <c r="M6334"/>
      <c r="W6334"/>
    </row>
    <row r="6335" spans="10:23" x14ac:dyDescent="0.25">
      <c r="J6335"/>
      <c r="M6335"/>
      <c r="W6335"/>
    </row>
    <row r="6336" spans="10:23" x14ac:dyDescent="0.25">
      <c r="J6336"/>
      <c r="M6336"/>
      <c r="W6336"/>
    </row>
    <row r="6337" spans="10:23" x14ac:dyDescent="0.25">
      <c r="J6337"/>
      <c r="M6337"/>
      <c r="W6337"/>
    </row>
    <row r="6338" spans="10:23" x14ac:dyDescent="0.25">
      <c r="J6338"/>
      <c r="M6338"/>
      <c r="W6338"/>
    </row>
    <row r="6339" spans="10:23" x14ac:dyDescent="0.25">
      <c r="J6339"/>
      <c r="M6339"/>
      <c r="W6339"/>
    </row>
    <row r="6340" spans="10:23" x14ac:dyDescent="0.25">
      <c r="J6340"/>
      <c r="M6340"/>
      <c r="W6340"/>
    </row>
    <row r="6341" spans="10:23" x14ac:dyDescent="0.25">
      <c r="J6341"/>
      <c r="M6341"/>
      <c r="W6341"/>
    </row>
    <row r="6342" spans="10:23" x14ac:dyDescent="0.25">
      <c r="J6342"/>
      <c r="M6342"/>
      <c r="W6342"/>
    </row>
    <row r="6343" spans="10:23" x14ac:dyDescent="0.25">
      <c r="J6343"/>
      <c r="M6343"/>
      <c r="W6343"/>
    </row>
    <row r="6344" spans="10:23" x14ac:dyDescent="0.25">
      <c r="J6344"/>
      <c r="M6344"/>
      <c r="W6344"/>
    </row>
    <row r="6345" spans="10:23" x14ac:dyDescent="0.25">
      <c r="J6345"/>
      <c r="M6345"/>
      <c r="W6345"/>
    </row>
    <row r="6346" spans="10:23" x14ac:dyDescent="0.25">
      <c r="J6346"/>
      <c r="M6346"/>
      <c r="W6346"/>
    </row>
    <row r="6347" spans="10:23" x14ac:dyDescent="0.25">
      <c r="J6347"/>
      <c r="M6347"/>
      <c r="W6347"/>
    </row>
    <row r="6348" spans="10:23" x14ac:dyDescent="0.25">
      <c r="J6348"/>
      <c r="M6348"/>
      <c r="W6348"/>
    </row>
    <row r="6349" spans="10:23" x14ac:dyDescent="0.25">
      <c r="J6349"/>
      <c r="M6349"/>
      <c r="W6349"/>
    </row>
    <row r="6350" spans="10:23" x14ac:dyDescent="0.25">
      <c r="J6350"/>
      <c r="M6350"/>
      <c r="W6350"/>
    </row>
    <row r="6351" spans="10:23" x14ac:dyDescent="0.25">
      <c r="J6351"/>
      <c r="M6351"/>
      <c r="W6351"/>
    </row>
    <row r="6352" spans="10:23" x14ac:dyDescent="0.25">
      <c r="J6352"/>
      <c r="M6352"/>
      <c r="W6352"/>
    </row>
    <row r="6353" spans="10:23" x14ac:dyDescent="0.25">
      <c r="J6353"/>
      <c r="M6353"/>
      <c r="W6353"/>
    </row>
    <row r="6354" spans="10:23" x14ac:dyDescent="0.25">
      <c r="J6354"/>
      <c r="M6354"/>
      <c r="W6354"/>
    </row>
    <row r="6355" spans="10:23" x14ac:dyDescent="0.25">
      <c r="J6355"/>
      <c r="M6355"/>
      <c r="W6355"/>
    </row>
    <row r="6356" spans="10:23" x14ac:dyDescent="0.25">
      <c r="J6356"/>
      <c r="M6356"/>
      <c r="W6356"/>
    </row>
    <row r="6357" spans="10:23" x14ac:dyDescent="0.25">
      <c r="J6357"/>
      <c r="M6357"/>
      <c r="W6357"/>
    </row>
    <row r="6358" spans="10:23" x14ac:dyDescent="0.25">
      <c r="J6358"/>
      <c r="M6358"/>
      <c r="W6358"/>
    </row>
    <row r="6359" spans="10:23" x14ac:dyDescent="0.25">
      <c r="J6359"/>
      <c r="M6359"/>
      <c r="W6359"/>
    </row>
    <row r="6360" spans="10:23" x14ac:dyDescent="0.25">
      <c r="J6360"/>
      <c r="M6360"/>
      <c r="W6360"/>
    </row>
    <row r="6361" spans="10:23" x14ac:dyDescent="0.25">
      <c r="J6361"/>
      <c r="M6361"/>
      <c r="W6361"/>
    </row>
    <row r="6362" spans="10:23" x14ac:dyDescent="0.25">
      <c r="J6362"/>
      <c r="M6362"/>
      <c r="W6362"/>
    </row>
    <row r="6363" spans="10:23" x14ac:dyDescent="0.25">
      <c r="J6363"/>
      <c r="M6363"/>
      <c r="W6363"/>
    </row>
    <row r="6364" spans="10:23" x14ac:dyDescent="0.25">
      <c r="J6364"/>
      <c r="M6364"/>
      <c r="W6364"/>
    </row>
    <row r="6365" spans="10:23" x14ac:dyDescent="0.25">
      <c r="J6365"/>
      <c r="M6365"/>
      <c r="W6365"/>
    </row>
    <row r="6366" spans="10:23" x14ac:dyDescent="0.25">
      <c r="J6366"/>
      <c r="M6366"/>
      <c r="W6366"/>
    </row>
    <row r="6367" spans="10:23" x14ac:dyDescent="0.25">
      <c r="J6367"/>
      <c r="M6367"/>
      <c r="W6367"/>
    </row>
    <row r="6368" spans="10:23" x14ac:dyDescent="0.25">
      <c r="J6368"/>
      <c r="M6368"/>
      <c r="W6368"/>
    </row>
    <row r="6369" spans="10:23" x14ac:dyDescent="0.25">
      <c r="J6369"/>
      <c r="M6369"/>
      <c r="W6369"/>
    </row>
    <row r="6370" spans="10:23" x14ac:dyDescent="0.25">
      <c r="J6370"/>
      <c r="M6370"/>
      <c r="W6370"/>
    </row>
    <row r="6371" spans="10:23" x14ac:dyDescent="0.25">
      <c r="J6371"/>
      <c r="M6371"/>
      <c r="W6371"/>
    </row>
    <row r="6372" spans="10:23" x14ac:dyDescent="0.25">
      <c r="J6372"/>
      <c r="M6372"/>
      <c r="W6372"/>
    </row>
    <row r="6373" spans="10:23" x14ac:dyDescent="0.25">
      <c r="J6373"/>
      <c r="M6373"/>
      <c r="W6373"/>
    </row>
    <row r="6374" spans="10:23" x14ac:dyDescent="0.25">
      <c r="J6374"/>
      <c r="M6374"/>
      <c r="W6374"/>
    </row>
    <row r="6375" spans="10:23" x14ac:dyDescent="0.25">
      <c r="J6375"/>
      <c r="M6375"/>
      <c r="W6375"/>
    </row>
    <row r="6376" spans="10:23" x14ac:dyDescent="0.25">
      <c r="J6376"/>
      <c r="M6376"/>
      <c r="W6376"/>
    </row>
    <row r="6377" spans="10:23" x14ac:dyDescent="0.25">
      <c r="J6377"/>
      <c r="M6377"/>
      <c r="W6377"/>
    </row>
    <row r="6378" spans="10:23" x14ac:dyDescent="0.25">
      <c r="J6378"/>
      <c r="M6378"/>
      <c r="W6378"/>
    </row>
    <row r="6379" spans="10:23" x14ac:dyDescent="0.25">
      <c r="J6379"/>
      <c r="M6379"/>
      <c r="W6379"/>
    </row>
    <row r="6380" spans="10:23" x14ac:dyDescent="0.25">
      <c r="J6380"/>
      <c r="M6380"/>
      <c r="W6380"/>
    </row>
    <row r="6381" spans="10:23" x14ac:dyDescent="0.25">
      <c r="J6381"/>
      <c r="M6381"/>
      <c r="W6381"/>
    </row>
    <row r="6382" spans="10:23" x14ac:dyDescent="0.25">
      <c r="J6382"/>
      <c r="M6382"/>
      <c r="W6382"/>
    </row>
    <row r="6383" spans="10:23" x14ac:dyDescent="0.25">
      <c r="J6383"/>
      <c r="M6383"/>
      <c r="W6383"/>
    </row>
    <row r="6384" spans="10:23" x14ac:dyDescent="0.25">
      <c r="J6384"/>
      <c r="M6384"/>
      <c r="W6384"/>
    </row>
    <row r="6385" spans="10:23" x14ac:dyDescent="0.25">
      <c r="J6385"/>
      <c r="M6385"/>
      <c r="W6385"/>
    </row>
    <row r="6386" spans="10:23" x14ac:dyDescent="0.25">
      <c r="J6386"/>
      <c r="M6386"/>
      <c r="W6386"/>
    </row>
    <row r="6387" spans="10:23" x14ac:dyDescent="0.25">
      <c r="J6387"/>
      <c r="M6387"/>
      <c r="W6387"/>
    </row>
    <row r="6388" spans="10:23" x14ac:dyDescent="0.25">
      <c r="J6388"/>
      <c r="M6388"/>
      <c r="W6388"/>
    </row>
    <row r="6389" spans="10:23" x14ac:dyDescent="0.25">
      <c r="J6389"/>
      <c r="M6389"/>
      <c r="W6389"/>
    </row>
    <row r="6390" spans="10:23" x14ac:dyDescent="0.25">
      <c r="J6390"/>
      <c r="M6390"/>
      <c r="W6390"/>
    </row>
    <row r="6391" spans="10:23" x14ac:dyDescent="0.25">
      <c r="J6391"/>
      <c r="M6391"/>
      <c r="W6391"/>
    </row>
    <row r="6392" spans="10:23" x14ac:dyDescent="0.25">
      <c r="J6392"/>
      <c r="M6392"/>
      <c r="W6392"/>
    </row>
    <row r="6393" spans="10:23" x14ac:dyDescent="0.25">
      <c r="J6393"/>
      <c r="M6393"/>
      <c r="W6393"/>
    </row>
    <row r="6394" spans="10:23" x14ac:dyDescent="0.25">
      <c r="J6394"/>
      <c r="M6394"/>
      <c r="W6394"/>
    </row>
    <row r="6395" spans="10:23" x14ac:dyDescent="0.25">
      <c r="J6395"/>
      <c r="M6395"/>
      <c r="W6395"/>
    </row>
    <row r="6396" spans="10:23" x14ac:dyDescent="0.25">
      <c r="J6396"/>
      <c r="M6396"/>
      <c r="W6396"/>
    </row>
    <row r="6397" spans="10:23" x14ac:dyDescent="0.25">
      <c r="J6397"/>
      <c r="M6397"/>
      <c r="W6397"/>
    </row>
    <row r="6398" spans="10:23" x14ac:dyDescent="0.25">
      <c r="J6398"/>
      <c r="M6398"/>
      <c r="W6398"/>
    </row>
    <row r="6399" spans="10:23" x14ac:dyDescent="0.25">
      <c r="J6399"/>
      <c r="M6399"/>
      <c r="W6399"/>
    </row>
    <row r="6400" spans="10:23" x14ac:dyDescent="0.25">
      <c r="J6400"/>
      <c r="M6400"/>
      <c r="W6400"/>
    </row>
    <row r="6401" spans="10:23" x14ac:dyDescent="0.25">
      <c r="J6401"/>
      <c r="M6401"/>
      <c r="W6401"/>
    </row>
    <row r="6402" spans="10:23" x14ac:dyDescent="0.25">
      <c r="J6402"/>
      <c r="M6402"/>
      <c r="W6402"/>
    </row>
    <row r="6403" spans="10:23" x14ac:dyDescent="0.25">
      <c r="J6403"/>
      <c r="M6403"/>
      <c r="W6403"/>
    </row>
    <row r="6404" spans="10:23" x14ac:dyDescent="0.25">
      <c r="J6404"/>
      <c r="M6404"/>
      <c r="W6404"/>
    </row>
    <row r="6405" spans="10:23" x14ac:dyDescent="0.25">
      <c r="J6405"/>
      <c r="M6405"/>
      <c r="W6405"/>
    </row>
    <row r="6406" spans="10:23" x14ac:dyDescent="0.25">
      <c r="J6406"/>
      <c r="M6406"/>
      <c r="W6406"/>
    </row>
    <row r="6407" spans="10:23" x14ac:dyDescent="0.25">
      <c r="J6407"/>
      <c r="M6407"/>
      <c r="W6407"/>
    </row>
    <row r="6408" spans="10:23" x14ac:dyDescent="0.25">
      <c r="J6408"/>
      <c r="M6408"/>
      <c r="W6408"/>
    </row>
    <row r="6409" spans="10:23" x14ac:dyDescent="0.25">
      <c r="J6409"/>
      <c r="M6409"/>
      <c r="W6409"/>
    </row>
    <row r="6410" spans="10:23" x14ac:dyDescent="0.25">
      <c r="J6410"/>
      <c r="M6410"/>
      <c r="W6410"/>
    </row>
    <row r="6411" spans="10:23" x14ac:dyDescent="0.25">
      <c r="J6411"/>
      <c r="M6411"/>
      <c r="W6411"/>
    </row>
    <row r="6412" spans="10:23" x14ac:dyDescent="0.25">
      <c r="J6412"/>
      <c r="M6412"/>
      <c r="W6412"/>
    </row>
    <row r="6413" spans="10:23" x14ac:dyDescent="0.25">
      <c r="J6413"/>
      <c r="M6413"/>
      <c r="W6413"/>
    </row>
    <row r="6414" spans="10:23" x14ac:dyDescent="0.25">
      <c r="J6414"/>
      <c r="M6414"/>
      <c r="W6414"/>
    </row>
    <row r="6415" spans="10:23" x14ac:dyDescent="0.25">
      <c r="J6415"/>
      <c r="M6415"/>
      <c r="W6415"/>
    </row>
    <row r="6416" spans="10:23" x14ac:dyDescent="0.25">
      <c r="J6416"/>
      <c r="M6416"/>
      <c r="W6416"/>
    </row>
    <row r="6417" spans="10:23" x14ac:dyDescent="0.25">
      <c r="J6417"/>
      <c r="M6417"/>
      <c r="W6417"/>
    </row>
    <row r="6418" spans="10:23" x14ac:dyDescent="0.25">
      <c r="J6418"/>
      <c r="M6418"/>
      <c r="W6418"/>
    </row>
    <row r="6419" spans="10:23" x14ac:dyDescent="0.25">
      <c r="J6419"/>
      <c r="M6419"/>
      <c r="W6419"/>
    </row>
    <row r="6420" spans="10:23" x14ac:dyDescent="0.25">
      <c r="J6420"/>
      <c r="M6420"/>
      <c r="W6420"/>
    </row>
    <row r="6421" spans="10:23" x14ac:dyDescent="0.25">
      <c r="J6421"/>
      <c r="M6421"/>
      <c r="W6421"/>
    </row>
    <row r="6422" spans="10:23" x14ac:dyDescent="0.25">
      <c r="J6422"/>
      <c r="M6422"/>
      <c r="W6422"/>
    </row>
    <row r="6423" spans="10:23" x14ac:dyDescent="0.25">
      <c r="J6423"/>
      <c r="M6423"/>
      <c r="W6423"/>
    </row>
    <row r="6424" spans="10:23" x14ac:dyDescent="0.25">
      <c r="J6424"/>
      <c r="M6424"/>
      <c r="W6424"/>
    </row>
    <row r="6425" spans="10:23" x14ac:dyDescent="0.25">
      <c r="J6425"/>
      <c r="M6425"/>
      <c r="W6425"/>
    </row>
    <row r="6426" spans="10:23" x14ac:dyDescent="0.25">
      <c r="J6426"/>
      <c r="M6426"/>
      <c r="W6426"/>
    </row>
    <row r="6427" spans="10:23" x14ac:dyDescent="0.25">
      <c r="J6427"/>
      <c r="M6427"/>
      <c r="W6427"/>
    </row>
    <row r="6428" spans="10:23" x14ac:dyDescent="0.25">
      <c r="J6428"/>
      <c r="M6428"/>
      <c r="W6428"/>
    </row>
    <row r="6429" spans="10:23" x14ac:dyDescent="0.25">
      <c r="J6429"/>
      <c r="M6429"/>
      <c r="W6429"/>
    </row>
    <row r="6430" spans="10:23" x14ac:dyDescent="0.25">
      <c r="J6430"/>
      <c r="M6430"/>
      <c r="W6430"/>
    </row>
    <row r="6431" spans="10:23" x14ac:dyDescent="0.25">
      <c r="J6431"/>
      <c r="M6431"/>
      <c r="W6431"/>
    </row>
    <row r="6432" spans="10:23" x14ac:dyDescent="0.25">
      <c r="J6432"/>
      <c r="M6432"/>
      <c r="W6432"/>
    </row>
    <row r="6433" spans="10:23" x14ac:dyDescent="0.25">
      <c r="J6433"/>
      <c r="M6433"/>
      <c r="W6433"/>
    </row>
    <row r="6434" spans="10:23" x14ac:dyDescent="0.25">
      <c r="J6434"/>
      <c r="M6434"/>
      <c r="W6434"/>
    </row>
    <row r="6435" spans="10:23" x14ac:dyDescent="0.25">
      <c r="J6435"/>
      <c r="M6435"/>
      <c r="W6435"/>
    </row>
    <row r="6436" spans="10:23" x14ac:dyDescent="0.25">
      <c r="J6436"/>
      <c r="M6436"/>
      <c r="W6436"/>
    </row>
    <row r="6437" spans="10:23" x14ac:dyDescent="0.25">
      <c r="J6437"/>
      <c r="M6437"/>
      <c r="W6437"/>
    </row>
    <row r="6438" spans="10:23" x14ac:dyDescent="0.25">
      <c r="J6438"/>
      <c r="M6438"/>
      <c r="W6438"/>
    </row>
    <row r="6439" spans="10:23" x14ac:dyDescent="0.25">
      <c r="J6439"/>
      <c r="M6439"/>
      <c r="W6439"/>
    </row>
    <row r="6440" spans="10:23" x14ac:dyDescent="0.25">
      <c r="J6440"/>
      <c r="M6440"/>
      <c r="W6440"/>
    </row>
    <row r="6441" spans="10:23" x14ac:dyDescent="0.25">
      <c r="J6441"/>
      <c r="M6441"/>
      <c r="W6441"/>
    </row>
    <row r="6442" spans="10:23" x14ac:dyDescent="0.25">
      <c r="J6442"/>
      <c r="M6442"/>
      <c r="W6442"/>
    </row>
    <row r="6443" spans="10:23" x14ac:dyDescent="0.25">
      <c r="J6443"/>
      <c r="M6443"/>
      <c r="W6443"/>
    </row>
    <row r="6444" spans="10:23" x14ac:dyDescent="0.25">
      <c r="J6444"/>
      <c r="M6444"/>
      <c r="W6444"/>
    </row>
    <row r="6445" spans="10:23" x14ac:dyDescent="0.25">
      <c r="J6445"/>
      <c r="M6445"/>
      <c r="W6445"/>
    </row>
    <row r="6446" spans="10:23" x14ac:dyDescent="0.25">
      <c r="J6446"/>
      <c r="M6446"/>
      <c r="W6446"/>
    </row>
    <row r="6447" spans="10:23" x14ac:dyDescent="0.25">
      <c r="J6447"/>
      <c r="M6447"/>
      <c r="W6447"/>
    </row>
    <row r="6448" spans="10:23" x14ac:dyDescent="0.25">
      <c r="J6448"/>
      <c r="M6448"/>
      <c r="W6448"/>
    </row>
    <row r="6449" spans="10:23" x14ac:dyDescent="0.25">
      <c r="J6449"/>
      <c r="M6449"/>
      <c r="W6449"/>
    </row>
    <row r="6450" spans="10:23" x14ac:dyDescent="0.25">
      <c r="J6450"/>
      <c r="M6450"/>
      <c r="W6450"/>
    </row>
    <row r="6451" spans="10:23" x14ac:dyDescent="0.25">
      <c r="J6451"/>
      <c r="M6451"/>
      <c r="W6451"/>
    </row>
    <row r="6452" spans="10:23" x14ac:dyDescent="0.25">
      <c r="J6452"/>
      <c r="M6452"/>
      <c r="W6452"/>
    </row>
    <row r="6453" spans="10:23" x14ac:dyDescent="0.25">
      <c r="J6453"/>
      <c r="M6453"/>
      <c r="W6453"/>
    </row>
    <row r="6454" spans="10:23" x14ac:dyDescent="0.25">
      <c r="J6454"/>
      <c r="M6454"/>
      <c r="W6454"/>
    </row>
    <row r="6455" spans="10:23" x14ac:dyDescent="0.25">
      <c r="J6455"/>
      <c r="M6455"/>
      <c r="W6455"/>
    </row>
    <row r="6456" spans="10:23" x14ac:dyDescent="0.25">
      <c r="J6456"/>
      <c r="M6456"/>
      <c r="W6456"/>
    </row>
    <row r="6457" spans="10:23" x14ac:dyDescent="0.25">
      <c r="J6457"/>
      <c r="M6457"/>
      <c r="W6457"/>
    </row>
    <row r="6458" spans="10:23" x14ac:dyDescent="0.25">
      <c r="J6458"/>
      <c r="M6458"/>
      <c r="W6458"/>
    </row>
    <row r="6459" spans="10:23" x14ac:dyDescent="0.25">
      <c r="J6459"/>
      <c r="M6459"/>
      <c r="W6459"/>
    </row>
    <row r="6460" spans="10:23" x14ac:dyDescent="0.25">
      <c r="J6460"/>
      <c r="M6460"/>
      <c r="W6460"/>
    </row>
    <row r="6461" spans="10:23" x14ac:dyDescent="0.25">
      <c r="J6461"/>
      <c r="M6461"/>
      <c r="W6461"/>
    </row>
    <row r="6462" spans="10:23" x14ac:dyDescent="0.25">
      <c r="J6462"/>
      <c r="M6462"/>
      <c r="W6462"/>
    </row>
    <row r="6463" spans="10:23" x14ac:dyDescent="0.25">
      <c r="J6463"/>
      <c r="M6463"/>
      <c r="W6463"/>
    </row>
    <row r="6464" spans="10:23" x14ac:dyDescent="0.25">
      <c r="J6464"/>
      <c r="M6464"/>
      <c r="W6464"/>
    </row>
    <row r="6465" spans="10:23" x14ac:dyDescent="0.25">
      <c r="J6465"/>
      <c r="M6465"/>
      <c r="W6465"/>
    </row>
    <row r="6466" spans="10:23" x14ac:dyDescent="0.25">
      <c r="J6466"/>
      <c r="M6466"/>
      <c r="W6466"/>
    </row>
    <row r="6467" spans="10:23" x14ac:dyDescent="0.25">
      <c r="J6467"/>
      <c r="M6467"/>
      <c r="W6467"/>
    </row>
    <row r="6468" spans="10:23" x14ac:dyDescent="0.25">
      <c r="J6468"/>
      <c r="M6468"/>
      <c r="W6468"/>
    </row>
    <row r="6469" spans="10:23" x14ac:dyDescent="0.25">
      <c r="J6469"/>
      <c r="M6469"/>
      <c r="W6469"/>
    </row>
    <row r="6470" spans="10:23" x14ac:dyDescent="0.25">
      <c r="J6470"/>
      <c r="M6470"/>
      <c r="W6470"/>
    </row>
    <row r="6471" spans="10:23" x14ac:dyDescent="0.25">
      <c r="J6471"/>
      <c r="M6471"/>
      <c r="W6471"/>
    </row>
    <row r="6472" spans="10:23" x14ac:dyDescent="0.25">
      <c r="J6472"/>
      <c r="M6472"/>
      <c r="W6472"/>
    </row>
    <row r="6473" spans="10:23" x14ac:dyDescent="0.25">
      <c r="J6473"/>
      <c r="M6473"/>
      <c r="W6473"/>
    </row>
    <row r="6474" spans="10:23" x14ac:dyDescent="0.25">
      <c r="J6474"/>
      <c r="M6474"/>
      <c r="W6474"/>
    </row>
    <row r="6475" spans="10:23" x14ac:dyDescent="0.25">
      <c r="J6475"/>
      <c r="M6475"/>
      <c r="W6475"/>
    </row>
    <row r="6476" spans="10:23" x14ac:dyDescent="0.25">
      <c r="J6476"/>
      <c r="M6476"/>
      <c r="W6476"/>
    </row>
    <row r="6477" spans="10:23" x14ac:dyDescent="0.25">
      <c r="J6477"/>
      <c r="M6477"/>
      <c r="W6477"/>
    </row>
    <row r="6478" spans="10:23" x14ac:dyDescent="0.25">
      <c r="J6478"/>
      <c r="M6478"/>
      <c r="W6478"/>
    </row>
    <row r="6479" spans="10:23" x14ac:dyDescent="0.25">
      <c r="J6479"/>
      <c r="M6479"/>
      <c r="W6479"/>
    </row>
    <row r="6480" spans="10:23" x14ac:dyDescent="0.25">
      <c r="J6480"/>
      <c r="M6480"/>
      <c r="W6480"/>
    </row>
    <row r="6481" spans="10:23" x14ac:dyDescent="0.25">
      <c r="J6481"/>
      <c r="M6481"/>
      <c r="W6481"/>
    </row>
    <row r="6482" spans="10:23" x14ac:dyDescent="0.25">
      <c r="J6482"/>
      <c r="M6482"/>
      <c r="W6482"/>
    </row>
    <row r="6483" spans="10:23" x14ac:dyDescent="0.25">
      <c r="J6483"/>
      <c r="M6483"/>
      <c r="W6483"/>
    </row>
    <row r="6484" spans="10:23" x14ac:dyDescent="0.25">
      <c r="J6484"/>
      <c r="M6484"/>
      <c r="W6484"/>
    </row>
    <row r="6485" spans="10:23" x14ac:dyDescent="0.25">
      <c r="J6485"/>
      <c r="M6485"/>
      <c r="W6485"/>
    </row>
    <row r="6486" spans="10:23" x14ac:dyDescent="0.25">
      <c r="J6486"/>
      <c r="M6486"/>
      <c r="W6486"/>
    </row>
    <row r="6487" spans="10:23" x14ac:dyDescent="0.25">
      <c r="J6487"/>
      <c r="M6487"/>
      <c r="W6487"/>
    </row>
    <row r="6488" spans="10:23" x14ac:dyDescent="0.25">
      <c r="J6488"/>
      <c r="M6488"/>
      <c r="W6488"/>
    </row>
    <row r="6489" spans="10:23" x14ac:dyDescent="0.25">
      <c r="J6489"/>
      <c r="M6489"/>
      <c r="W6489"/>
    </row>
    <row r="6490" spans="10:23" x14ac:dyDescent="0.25">
      <c r="J6490"/>
      <c r="M6490"/>
      <c r="W6490"/>
    </row>
    <row r="6491" spans="10:23" x14ac:dyDescent="0.25">
      <c r="J6491"/>
      <c r="M6491"/>
      <c r="W6491"/>
    </row>
    <row r="6492" spans="10:23" x14ac:dyDescent="0.25">
      <c r="J6492"/>
      <c r="M6492"/>
      <c r="W6492"/>
    </row>
    <row r="6493" spans="10:23" x14ac:dyDescent="0.25">
      <c r="J6493"/>
      <c r="M6493"/>
      <c r="W6493"/>
    </row>
    <row r="6494" spans="10:23" x14ac:dyDescent="0.25">
      <c r="J6494"/>
      <c r="M6494"/>
      <c r="W6494"/>
    </row>
    <row r="6495" spans="10:23" x14ac:dyDescent="0.25">
      <c r="J6495"/>
      <c r="M6495"/>
      <c r="W6495"/>
    </row>
    <row r="6496" spans="10:23" x14ac:dyDescent="0.25">
      <c r="J6496"/>
      <c r="M6496"/>
      <c r="W6496"/>
    </row>
    <row r="6497" spans="10:23" x14ac:dyDescent="0.25">
      <c r="J6497"/>
      <c r="M6497"/>
      <c r="W6497"/>
    </row>
    <row r="6498" spans="10:23" x14ac:dyDescent="0.25">
      <c r="J6498"/>
      <c r="M6498"/>
      <c r="W6498"/>
    </row>
    <row r="6499" spans="10:23" x14ac:dyDescent="0.25">
      <c r="J6499"/>
      <c r="M6499"/>
      <c r="W6499"/>
    </row>
    <row r="6500" spans="10:23" x14ac:dyDescent="0.25">
      <c r="J6500"/>
      <c r="M6500"/>
      <c r="W6500"/>
    </row>
    <row r="6501" spans="10:23" x14ac:dyDescent="0.25">
      <c r="J6501"/>
      <c r="M6501"/>
      <c r="W6501"/>
    </row>
    <row r="6502" spans="10:23" x14ac:dyDescent="0.25">
      <c r="J6502"/>
      <c r="M6502"/>
      <c r="W6502"/>
    </row>
    <row r="6503" spans="10:23" x14ac:dyDescent="0.25">
      <c r="J6503"/>
      <c r="M6503"/>
      <c r="W6503"/>
    </row>
    <row r="6504" spans="10:23" x14ac:dyDescent="0.25">
      <c r="J6504"/>
      <c r="M6504"/>
      <c r="W6504"/>
    </row>
    <row r="6505" spans="10:23" x14ac:dyDescent="0.25">
      <c r="J6505"/>
      <c r="M6505"/>
      <c r="W6505"/>
    </row>
    <row r="6506" spans="10:23" x14ac:dyDescent="0.25">
      <c r="J6506"/>
      <c r="M6506"/>
      <c r="W6506"/>
    </row>
    <row r="6507" spans="10:23" x14ac:dyDescent="0.25">
      <c r="J6507"/>
      <c r="M6507"/>
      <c r="W6507"/>
    </row>
    <row r="6508" spans="10:23" x14ac:dyDescent="0.25">
      <c r="J6508"/>
      <c r="M6508"/>
      <c r="W6508"/>
    </row>
    <row r="6509" spans="10:23" x14ac:dyDescent="0.25">
      <c r="J6509"/>
      <c r="M6509"/>
      <c r="W6509"/>
    </row>
    <row r="6510" spans="10:23" x14ac:dyDescent="0.25">
      <c r="J6510"/>
      <c r="M6510"/>
      <c r="W6510"/>
    </row>
    <row r="6511" spans="10:23" x14ac:dyDescent="0.25">
      <c r="J6511"/>
      <c r="M6511"/>
      <c r="W6511"/>
    </row>
    <row r="6512" spans="10:23" x14ac:dyDescent="0.25">
      <c r="J6512"/>
      <c r="M6512"/>
      <c r="W6512"/>
    </row>
    <row r="6513" spans="10:23" x14ac:dyDescent="0.25">
      <c r="J6513"/>
      <c r="M6513"/>
      <c r="W6513"/>
    </row>
    <row r="6514" spans="10:23" x14ac:dyDescent="0.25">
      <c r="J6514"/>
      <c r="M6514"/>
      <c r="W6514"/>
    </row>
    <row r="6515" spans="10:23" x14ac:dyDescent="0.25">
      <c r="J6515"/>
      <c r="M6515"/>
      <c r="W6515"/>
    </row>
    <row r="6516" spans="10:23" x14ac:dyDescent="0.25">
      <c r="J6516"/>
      <c r="M6516"/>
      <c r="W6516"/>
    </row>
    <row r="6517" spans="10:23" x14ac:dyDescent="0.25">
      <c r="J6517"/>
      <c r="M6517"/>
      <c r="W6517"/>
    </row>
    <row r="6518" spans="10:23" x14ac:dyDescent="0.25">
      <c r="J6518"/>
      <c r="M6518"/>
      <c r="W6518"/>
    </row>
    <row r="6519" spans="10:23" x14ac:dyDescent="0.25">
      <c r="J6519"/>
      <c r="M6519"/>
      <c r="W6519"/>
    </row>
    <row r="6520" spans="10:23" x14ac:dyDescent="0.25">
      <c r="J6520"/>
      <c r="M6520"/>
      <c r="W6520"/>
    </row>
    <row r="6521" spans="10:23" x14ac:dyDescent="0.25">
      <c r="J6521"/>
      <c r="M6521"/>
      <c r="W6521"/>
    </row>
    <row r="6522" spans="10:23" x14ac:dyDescent="0.25">
      <c r="J6522"/>
      <c r="M6522"/>
      <c r="W6522"/>
    </row>
    <row r="6523" spans="10:23" x14ac:dyDescent="0.25">
      <c r="J6523"/>
      <c r="M6523"/>
      <c r="W6523"/>
    </row>
    <row r="6524" spans="10:23" x14ac:dyDescent="0.25">
      <c r="J6524"/>
      <c r="M6524"/>
      <c r="W6524"/>
    </row>
    <row r="6525" spans="10:23" x14ac:dyDescent="0.25">
      <c r="J6525"/>
      <c r="M6525"/>
      <c r="W6525"/>
    </row>
    <row r="6526" spans="10:23" x14ac:dyDescent="0.25">
      <c r="J6526"/>
      <c r="M6526"/>
      <c r="W6526"/>
    </row>
    <row r="6527" spans="10:23" x14ac:dyDescent="0.25">
      <c r="J6527"/>
      <c r="M6527"/>
      <c r="W6527"/>
    </row>
    <row r="6528" spans="10:23" x14ac:dyDescent="0.25">
      <c r="J6528"/>
      <c r="M6528"/>
      <c r="W6528"/>
    </row>
    <row r="6529" spans="10:23" x14ac:dyDescent="0.25">
      <c r="J6529"/>
      <c r="M6529"/>
      <c r="W6529"/>
    </row>
    <row r="6530" spans="10:23" x14ac:dyDescent="0.25">
      <c r="J6530"/>
      <c r="M6530"/>
      <c r="W6530"/>
    </row>
    <row r="6531" spans="10:23" x14ac:dyDescent="0.25">
      <c r="J6531"/>
      <c r="M6531"/>
      <c r="W6531"/>
    </row>
    <row r="6532" spans="10:23" x14ac:dyDescent="0.25">
      <c r="J6532"/>
      <c r="M6532"/>
      <c r="W6532"/>
    </row>
    <row r="6533" spans="10:23" x14ac:dyDescent="0.25">
      <c r="J6533"/>
      <c r="M6533"/>
      <c r="W6533"/>
    </row>
    <row r="6534" spans="10:23" x14ac:dyDescent="0.25">
      <c r="J6534"/>
      <c r="M6534"/>
      <c r="W6534"/>
    </row>
    <row r="6535" spans="10:23" x14ac:dyDescent="0.25">
      <c r="J6535"/>
      <c r="M6535"/>
      <c r="W6535"/>
    </row>
    <row r="6536" spans="10:23" x14ac:dyDescent="0.25">
      <c r="J6536"/>
      <c r="M6536"/>
      <c r="W6536"/>
    </row>
    <row r="6537" spans="10:23" x14ac:dyDescent="0.25">
      <c r="J6537"/>
      <c r="M6537"/>
      <c r="W6537"/>
    </row>
    <row r="6538" spans="10:23" x14ac:dyDescent="0.25">
      <c r="J6538"/>
      <c r="M6538"/>
      <c r="W6538"/>
    </row>
    <row r="6539" spans="10:23" x14ac:dyDescent="0.25">
      <c r="J6539"/>
      <c r="M6539"/>
      <c r="W6539"/>
    </row>
    <row r="6540" spans="10:23" x14ac:dyDescent="0.25">
      <c r="J6540"/>
      <c r="M6540"/>
      <c r="W6540"/>
    </row>
    <row r="6541" spans="10:23" x14ac:dyDescent="0.25">
      <c r="J6541"/>
      <c r="M6541"/>
      <c r="W6541"/>
    </row>
    <row r="6542" spans="10:23" x14ac:dyDescent="0.25">
      <c r="J6542"/>
      <c r="M6542"/>
      <c r="W6542"/>
    </row>
    <row r="6543" spans="10:23" x14ac:dyDescent="0.25">
      <c r="J6543"/>
      <c r="M6543"/>
      <c r="W6543"/>
    </row>
    <row r="6544" spans="10:23" x14ac:dyDescent="0.25">
      <c r="J6544"/>
      <c r="M6544"/>
      <c r="W6544"/>
    </row>
    <row r="6545" spans="10:23" x14ac:dyDescent="0.25">
      <c r="J6545"/>
      <c r="M6545"/>
      <c r="W6545"/>
    </row>
    <row r="6546" spans="10:23" x14ac:dyDescent="0.25">
      <c r="J6546"/>
      <c r="M6546"/>
      <c r="W6546"/>
    </row>
    <row r="6547" spans="10:23" x14ac:dyDescent="0.25">
      <c r="J6547"/>
      <c r="M6547"/>
      <c r="W6547"/>
    </row>
    <row r="6548" spans="10:23" x14ac:dyDescent="0.25">
      <c r="J6548"/>
      <c r="M6548"/>
      <c r="W6548"/>
    </row>
    <row r="6549" spans="10:23" x14ac:dyDescent="0.25">
      <c r="J6549"/>
      <c r="M6549"/>
      <c r="W6549"/>
    </row>
    <row r="6550" spans="10:23" x14ac:dyDescent="0.25">
      <c r="J6550"/>
      <c r="M6550"/>
      <c r="W6550"/>
    </row>
    <row r="6551" spans="10:23" x14ac:dyDescent="0.25">
      <c r="J6551"/>
      <c r="M6551"/>
      <c r="W6551"/>
    </row>
    <row r="6552" spans="10:23" x14ac:dyDescent="0.25">
      <c r="J6552"/>
      <c r="M6552"/>
      <c r="W6552"/>
    </row>
    <row r="6553" spans="10:23" x14ac:dyDescent="0.25">
      <c r="J6553"/>
      <c r="M6553"/>
      <c r="W6553"/>
    </row>
    <row r="6554" spans="10:23" x14ac:dyDescent="0.25">
      <c r="J6554"/>
      <c r="M6554"/>
      <c r="W6554"/>
    </row>
    <row r="6555" spans="10:23" x14ac:dyDescent="0.25">
      <c r="J6555"/>
      <c r="M6555"/>
      <c r="W6555"/>
    </row>
    <row r="6556" spans="10:23" x14ac:dyDescent="0.25">
      <c r="J6556"/>
      <c r="M6556"/>
      <c r="W6556"/>
    </row>
    <row r="6557" spans="10:23" x14ac:dyDescent="0.25">
      <c r="J6557"/>
      <c r="M6557"/>
      <c r="W6557"/>
    </row>
    <row r="6558" spans="10:23" x14ac:dyDescent="0.25">
      <c r="J6558"/>
      <c r="M6558"/>
      <c r="W6558"/>
    </row>
    <row r="6559" spans="10:23" x14ac:dyDescent="0.25">
      <c r="J6559"/>
      <c r="M6559"/>
      <c r="W6559"/>
    </row>
    <row r="6560" spans="10:23" x14ac:dyDescent="0.25">
      <c r="J6560"/>
      <c r="M6560"/>
      <c r="W6560"/>
    </row>
    <row r="6561" spans="10:23" x14ac:dyDescent="0.25">
      <c r="J6561"/>
      <c r="M6561"/>
      <c r="W6561"/>
    </row>
    <row r="6562" spans="10:23" x14ac:dyDescent="0.25">
      <c r="J6562"/>
      <c r="M6562"/>
      <c r="W6562"/>
    </row>
    <row r="6563" spans="10:23" x14ac:dyDescent="0.25">
      <c r="J6563"/>
      <c r="M6563"/>
      <c r="W6563"/>
    </row>
    <row r="6564" spans="10:23" x14ac:dyDescent="0.25">
      <c r="J6564"/>
      <c r="M6564"/>
      <c r="W6564"/>
    </row>
    <row r="6565" spans="10:23" x14ac:dyDescent="0.25">
      <c r="J6565"/>
      <c r="M6565"/>
      <c r="W6565"/>
    </row>
    <row r="6566" spans="10:23" x14ac:dyDescent="0.25">
      <c r="J6566"/>
      <c r="M6566"/>
      <c r="W6566"/>
    </row>
    <row r="6567" spans="10:23" x14ac:dyDescent="0.25">
      <c r="J6567"/>
      <c r="M6567"/>
      <c r="W6567"/>
    </row>
    <row r="6568" spans="10:23" x14ac:dyDescent="0.25">
      <c r="J6568"/>
      <c r="M6568"/>
      <c r="W6568"/>
    </row>
    <row r="6569" spans="10:23" x14ac:dyDescent="0.25">
      <c r="J6569"/>
      <c r="M6569"/>
      <c r="W6569"/>
    </row>
    <row r="6570" spans="10:23" x14ac:dyDescent="0.25">
      <c r="J6570"/>
      <c r="M6570"/>
      <c r="W6570"/>
    </row>
    <row r="6571" spans="10:23" x14ac:dyDescent="0.25">
      <c r="J6571"/>
      <c r="M6571"/>
      <c r="W6571"/>
    </row>
    <row r="6572" spans="10:23" x14ac:dyDescent="0.25">
      <c r="J6572"/>
      <c r="M6572"/>
      <c r="W6572"/>
    </row>
    <row r="6573" spans="10:23" x14ac:dyDescent="0.25">
      <c r="J6573"/>
      <c r="M6573"/>
      <c r="W6573"/>
    </row>
    <row r="6574" spans="10:23" x14ac:dyDescent="0.25">
      <c r="J6574"/>
      <c r="M6574"/>
      <c r="W6574"/>
    </row>
    <row r="6575" spans="10:23" x14ac:dyDescent="0.25">
      <c r="J6575"/>
      <c r="M6575"/>
      <c r="W6575"/>
    </row>
    <row r="6576" spans="10:23" x14ac:dyDescent="0.25">
      <c r="J6576"/>
      <c r="M6576"/>
      <c r="W6576"/>
    </row>
    <row r="6577" spans="10:23" x14ac:dyDescent="0.25">
      <c r="J6577"/>
      <c r="M6577"/>
      <c r="W6577"/>
    </row>
    <row r="6578" spans="10:23" x14ac:dyDescent="0.25">
      <c r="J6578"/>
      <c r="M6578"/>
      <c r="W6578"/>
    </row>
    <row r="6579" spans="10:23" x14ac:dyDescent="0.25">
      <c r="J6579"/>
      <c r="M6579"/>
      <c r="W6579"/>
    </row>
    <row r="6580" spans="10:23" x14ac:dyDescent="0.25">
      <c r="J6580"/>
      <c r="M6580"/>
      <c r="W6580"/>
    </row>
    <row r="6581" spans="10:23" x14ac:dyDescent="0.25">
      <c r="J6581"/>
      <c r="M6581"/>
      <c r="W6581"/>
    </row>
    <row r="6582" spans="10:23" x14ac:dyDescent="0.25">
      <c r="J6582"/>
      <c r="M6582"/>
      <c r="W6582"/>
    </row>
    <row r="6583" spans="10:23" x14ac:dyDescent="0.25">
      <c r="J6583"/>
      <c r="M6583"/>
      <c r="W6583"/>
    </row>
    <row r="6584" spans="10:23" x14ac:dyDescent="0.25">
      <c r="J6584"/>
      <c r="M6584"/>
      <c r="W6584"/>
    </row>
    <row r="6585" spans="10:23" x14ac:dyDescent="0.25">
      <c r="J6585"/>
      <c r="M6585"/>
      <c r="W6585"/>
    </row>
    <row r="6586" spans="10:23" x14ac:dyDescent="0.25">
      <c r="J6586"/>
      <c r="M6586"/>
      <c r="W6586"/>
    </row>
    <row r="6587" spans="10:23" x14ac:dyDescent="0.25">
      <c r="J6587"/>
      <c r="M6587"/>
      <c r="W6587"/>
    </row>
    <row r="6588" spans="10:23" x14ac:dyDescent="0.25">
      <c r="J6588"/>
      <c r="M6588"/>
      <c r="W6588"/>
    </row>
    <row r="6589" spans="10:23" x14ac:dyDescent="0.25">
      <c r="J6589"/>
      <c r="M6589"/>
      <c r="W6589"/>
    </row>
    <row r="6590" spans="10:23" x14ac:dyDescent="0.25">
      <c r="J6590"/>
      <c r="M6590"/>
      <c r="W6590"/>
    </row>
    <row r="6591" spans="10:23" x14ac:dyDescent="0.25">
      <c r="J6591"/>
      <c r="M6591"/>
      <c r="W6591"/>
    </row>
    <row r="6592" spans="10:23" x14ac:dyDescent="0.25">
      <c r="J6592"/>
      <c r="M6592"/>
      <c r="W6592"/>
    </row>
    <row r="6593" spans="10:23" x14ac:dyDescent="0.25">
      <c r="J6593"/>
      <c r="M6593"/>
      <c r="W6593"/>
    </row>
    <row r="6594" spans="10:23" x14ac:dyDescent="0.25">
      <c r="J6594"/>
      <c r="M6594"/>
      <c r="W6594"/>
    </row>
    <row r="6595" spans="10:23" x14ac:dyDescent="0.25">
      <c r="J6595"/>
      <c r="M6595"/>
      <c r="W6595"/>
    </row>
    <row r="6596" spans="10:23" x14ac:dyDescent="0.25">
      <c r="J6596"/>
      <c r="M6596"/>
      <c r="W6596"/>
    </row>
    <row r="6597" spans="10:23" x14ac:dyDescent="0.25">
      <c r="J6597"/>
      <c r="M6597"/>
      <c r="W6597"/>
    </row>
    <row r="6598" spans="10:23" x14ac:dyDescent="0.25">
      <c r="J6598"/>
      <c r="M6598"/>
      <c r="W6598"/>
    </row>
    <row r="6599" spans="10:23" x14ac:dyDescent="0.25">
      <c r="J6599"/>
      <c r="M6599"/>
      <c r="W6599"/>
    </row>
    <row r="6600" spans="10:23" x14ac:dyDescent="0.25">
      <c r="J6600"/>
      <c r="M6600"/>
      <c r="W6600"/>
    </row>
    <row r="6601" spans="10:23" x14ac:dyDescent="0.25">
      <c r="J6601"/>
      <c r="M6601"/>
      <c r="W6601"/>
    </row>
    <row r="6602" spans="10:23" x14ac:dyDescent="0.25">
      <c r="J6602"/>
      <c r="M6602"/>
      <c r="W6602"/>
    </row>
    <row r="6603" spans="10:23" x14ac:dyDescent="0.25">
      <c r="J6603"/>
      <c r="M6603"/>
      <c r="W6603"/>
    </row>
    <row r="6604" spans="10:23" x14ac:dyDescent="0.25">
      <c r="J6604"/>
      <c r="M6604"/>
      <c r="W6604"/>
    </row>
    <row r="6605" spans="10:23" x14ac:dyDescent="0.25">
      <c r="J6605"/>
      <c r="M6605"/>
      <c r="W6605"/>
    </row>
    <row r="6606" spans="10:23" x14ac:dyDescent="0.25">
      <c r="J6606"/>
      <c r="M6606"/>
      <c r="W6606"/>
    </row>
    <row r="6607" spans="10:23" x14ac:dyDescent="0.25">
      <c r="J6607"/>
      <c r="M6607"/>
      <c r="W6607"/>
    </row>
    <row r="6608" spans="10:23" x14ac:dyDescent="0.25">
      <c r="J6608"/>
      <c r="M6608"/>
      <c r="W6608"/>
    </row>
    <row r="6609" spans="10:23" x14ac:dyDescent="0.25">
      <c r="J6609"/>
      <c r="M6609"/>
      <c r="W6609"/>
    </row>
    <row r="6610" spans="10:23" x14ac:dyDescent="0.25">
      <c r="J6610"/>
      <c r="M6610"/>
      <c r="W6610"/>
    </row>
    <row r="6611" spans="10:23" x14ac:dyDescent="0.25">
      <c r="J6611"/>
      <c r="M6611"/>
      <c r="W6611"/>
    </row>
    <row r="6612" spans="10:23" x14ac:dyDescent="0.25">
      <c r="J6612"/>
      <c r="M6612"/>
      <c r="W6612"/>
    </row>
    <row r="6613" spans="10:23" x14ac:dyDescent="0.25">
      <c r="J6613"/>
      <c r="M6613"/>
      <c r="W6613"/>
    </row>
    <row r="6614" spans="10:23" x14ac:dyDescent="0.25">
      <c r="J6614"/>
      <c r="M6614"/>
      <c r="W6614"/>
    </row>
    <row r="6615" spans="10:23" x14ac:dyDescent="0.25">
      <c r="J6615"/>
      <c r="M6615"/>
      <c r="W6615"/>
    </row>
    <row r="6616" spans="10:23" x14ac:dyDescent="0.25">
      <c r="J6616"/>
      <c r="M6616"/>
      <c r="W6616"/>
    </row>
    <row r="6617" spans="10:23" x14ac:dyDescent="0.25">
      <c r="J6617"/>
      <c r="M6617"/>
      <c r="W6617"/>
    </row>
    <row r="6618" spans="10:23" x14ac:dyDescent="0.25">
      <c r="J6618"/>
      <c r="M6618"/>
      <c r="W6618"/>
    </row>
    <row r="6619" spans="10:23" x14ac:dyDescent="0.25">
      <c r="J6619"/>
      <c r="M6619"/>
      <c r="W6619"/>
    </row>
    <row r="6620" spans="10:23" x14ac:dyDescent="0.25">
      <c r="J6620"/>
      <c r="M6620"/>
      <c r="W6620"/>
    </row>
    <row r="6621" spans="10:23" x14ac:dyDescent="0.25">
      <c r="J6621"/>
      <c r="M6621"/>
      <c r="W6621"/>
    </row>
    <row r="6622" spans="10:23" x14ac:dyDescent="0.25">
      <c r="J6622"/>
      <c r="M6622"/>
      <c r="W6622"/>
    </row>
    <row r="6623" spans="10:23" x14ac:dyDescent="0.25">
      <c r="J6623"/>
      <c r="M6623"/>
      <c r="W6623"/>
    </row>
    <row r="6624" spans="10:23" x14ac:dyDescent="0.25">
      <c r="J6624"/>
      <c r="M6624"/>
      <c r="W6624"/>
    </row>
    <row r="6625" spans="10:23" x14ac:dyDescent="0.25">
      <c r="J6625"/>
      <c r="M6625"/>
      <c r="W6625"/>
    </row>
    <row r="6626" spans="10:23" x14ac:dyDescent="0.25">
      <c r="J6626"/>
      <c r="M6626"/>
      <c r="W6626"/>
    </row>
    <row r="6627" spans="10:23" x14ac:dyDescent="0.25">
      <c r="J6627"/>
      <c r="M6627"/>
      <c r="W6627"/>
    </row>
    <row r="6628" spans="10:23" x14ac:dyDescent="0.25">
      <c r="J6628"/>
      <c r="M6628"/>
      <c r="W6628"/>
    </row>
    <row r="6629" spans="10:23" x14ac:dyDescent="0.25">
      <c r="J6629"/>
      <c r="M6629"/>
      <c r="W6629"/>
    </row>
    <row r="6630" spans="10:23" x14ac:dyDescent="0.25">
      <c r="J6630"/>
      <c r="M6630"/>
      <c r="W6630"/>
    </row>
    <row r="6631" spans="10:23" x14ac:dyDescent="0.25">
      <c r="J6631"/>
      <c r="M6631"/>
      <c r="W6631"/>
    </row>
    <row r="6632" spans="10:23" x14ac:dyDescent="0.25">
      <c r="J6632"/>
      <c r="M6632"/>
      <c r="W6632"/>
    </row>
    <row r="6633" spans="10:23" x14ac:dyDescent="0.25">
      <c r="J6633"/>
      <c r="M6633"/>
      <c r="W6633"/>
    </row>
    <row r="6634" spans="10:23" x14ac:dyDescent="0.25">
      <c r="J6634"/>
      <c r="M6634"/>
      <c r="W6634"/>
    </row>
    <row r="6635" spans="10:23" x14ac:dyDescent="0.25">
      <c r="J6635"/>
      <c r="M6635"/>
      <c r="W6635"/>
    </row>
    <row r="6636" spans="10:23" x14ac:dyDescent="0.25">
      <c r="J6636"/>
      <c r="M6636"/>
      <c r="W6636"/>
    </row>
    <row r="6637" spans="10:23" x14ac:dyDescent="0.25">
      <c r="J6637"/>
      <c r="M6637"/>
      <c r="W6637"/>
    </row>
    <row r="6638" spans="10:23" x14ac:dyDescent="0.25">
      <c r="J6638"/>
      <c r="M6638"/>
      <c r="W6638"/>
    </row>
    <row r="6639" spans="10:23" x14ac:dyDescent="0.25">
      <c r="J6639"/>
      <c r="M6639"/>
      <c r="W6639"/>
    </row>
    <row r="6640" spans="10:23" x14ac:dyDescent="0.25">
      <c r="J6640"/>
      <c r="M6640"/>
      <c r="W6640"/>
    </row>
    <row r="6641" spans="10:23" x14ac:dyDescent="0.25">
      <c r="J6641"/>
      <c r="M6641"/>
      <c r="W6641"/>
    </row>
    <row r="6642" spans="10:23" x14ac:dyDescent="0.25">
      <c r="J6642"/>
      <c r="M6642"/>
      <c r="W6642"/>
    </row>
    <row r="6643" spans="10:23" x14ac:dyDescent="0.25">
      <c r="J6643"/>
      <c r="M6643"/>
      <c r="W6643"/>
    </row>
    <row r="6644" spans="10:23" x14ac:dyDescent="0.25">
      <c r="J6644"/>
      <c r="M6644"/>
      <c r="W6644"/>
    </row>
    <row r="6645" spans="10:23" x14ac:dyDescent="0.25">
      <c r="J6645"/>
      <c r="M6645"/>
      <c r="W6645"/>
    </row>
    <row r="6646" spans="10:23" x14ac:dyDescent="0.25">
      <c r="J6646"/>
      <c r="M6646"/>
      <c r="W6646"/>
    </row>
    <row r="6647" spans="10:23" x14ac:dyDescent="0.25">
      <c r="J6647"/>
      <c r="M6647"/>
      <c r="W6647"/>
    </row>
    <row r="6648" spans="10:23" x14ac:dyDescent="0.25">
      <c r="J6648"/>
      <c r="M6648"/>
      <c r="W6648"/>
    </row>
    <row r="6649" spans="10:23" x14ac:dyDescent="0.25">
      <c r="J6649"/>
      <c r="M6649"/>
      <c r="W6649"/>
    </row>
    <row r="6650" spans="10:23" x14ac:dyDescent="0.25">
      <c r="J6650"/>
      <c r="M6650"/>
      <c r="W6650"/>
    </row>
    <row r="6651" spans="10:23" x14ac:dyDescent="0.25">
      <c r="J6651"/>
      <c r="M6651"/>
      <c r="W6651"/>
    </row>
    <row r="6652" spans="10:23" x14ac:dyDescent="0.25">
      <c r="J6652"/>
      <c r="M6652"/>
      <c r="W6652"/>
    </row>
    <row r="6653" spans="10:23" x14ac:dyDescent="0.25">
      <c r="J6653"/>
      <c r="M6653"/>
      <c r="W6653"/>
    </row>
    <row r="6654" spans="10:23" x14ac:dyDescent="0.25">
      <c r="J6654"/>
      <c r="M6654"/>
      <c r="W6654"/>
    </row>
    <row r="6655" spans="10:23" x14ac:dyDescent="0.25">
      <c r="J6655"/>
      <c r="M6655"/>
      <c r="W6655"/>
    </row>
    <row r="6656" spans="10:23" x14ac:dyDescent="0.25">
      <c r="J6656"/>
      <c r="M6656"/>
      <c r="W6656"/>
    </row>
    <row r="6657" spans="10:23" x14ac:dyDescent="0.25">
      <c r="J6657"/>
      <c r="M6657"/>
      <c r="W6657"/>
    </row>
    <row r="6658" spans="10:23" x14ac:dyDescent="0.25">
      <c r="J6658"/>
      <c r="M6658"/>
      <c r="W6658"/>
    </row>
    <row r="6659" spans="10:23" x14ac:dyDescent="0.25">
      <c r="J6659"/>
      <c r="M6659"/>
      <c r="W6659"/>
    </row>
    <row r="6660" spans="10:23" x14ac:dyDescent="0.25">
      <c r="J6660"/>
      <c r="M6660"/>
      <c r="W6660"/>
    </row>
    <row r="6661" spans="10:23" x14ac:dyDescent="0.25">
      <c r="J6661"/>
      <c r="M6661"/>
      <c r="W6661"/>
    </row>
    <row r="6662" spans="10:23" x14ac:dyDescent="0.25">
      <c r="J6662"/>
      <c r="M6662"/>
      <c r="W6662"/>
    </row>
    <row r="6663" spans="10:23" x14ac:dyDescent="0.25">
      <c r="J6663"/>
      <c r="M6663"/>
      <c r="W6663"/>
    </row>
    <row r="6664" spans="10:23" x14ac:dyDescent="0.25">
      <c r="J6664"/>
      <c r="M6664"/>
      <c r="W6664"/>
    </row>
    <row r="6665" spans="10:23" x14ac:dyDescent="0.25">
      <c r="J6665"/>
      <c r="M6665"/>
      <c r="W6665"/>
    </row>
    <row r="6666" spans="10:23" x14ac:dyDescent="0.25">
      <c r="J6666"/>
      <c r="M6666"/>
      <c r="W6666"/>
    </row>
    <row r="6667" spans="10:23" x14ac:dyDescent="0.25">
      <c r="J6667"/>
      <c r="M6667"/>
      <c r="W6667"/>
    </row>
    <row r="6668" spans="10:23" x14ac:dyDescent="0.25">
      <c r="J6668"/>
      <c r="M6668"/>
      <c r="W6668"/>
    </row>
    <row r="6669" spans="10:23" x14ac:dyDescent="0.25">
      <c r="J6669"/>
      <c r="M6669"/>
      <c r="W6669"/>
    </row>
    <row r="6670" spans="10:23" x14ac:dyDescent="0.25">
      <c r="J6670"/>
      <c r="M6670"/>
      <c r="W6670"/>
    </row>
    <row r="6671" spans="10:23" x14ac:dyDescent="0.25">
      <c r="J6671"/>
      <c r="M6671"/>
      <c r="W6671"/>
    </row>
    <row r="6672" spans="10:23" x14ac:dyDescent="0.25">
      <c r="J6672"/>
      <c r="M6672"/>
      <c r="W6672"/>
    </row>
    <row r="6673" spans="10:23" x14ac:dyDescent="0.25">
      <c r="J6673"/>
      <c r="M6673"/>
      <c r="W6673"/>
    </row>
    <row r="6674" spans="10:23" x14ac:dyDescent="0.25">
      <c r="J6674"/>
      <c r="M6674"/>
      <c r="W6674"/>
    </row>
    <row r="6675" spans="10:23" x14ac:dyDescent="0.25">
      <c r="J6675"/>
      <c r="M6675"/>
      <c r="W6675"/>
    </row>
    <row r="6676" spans="10:23" x14ac:dyDescent="0.25">
      <c r="J6676"/>
      <c r="M6676"/>
      <c r="W6676"/>
    </row>
    <row r="6677" spans="10:23" x14ac:dyDescent="0.25">
      <c r="J6677"/>
      <c r="M6677"/>
      <c r="W6677"/>
    </row>
    <row r="6678" spans="10:23" x14ac:dyDescent="0.25">
      <c r="J6678"/>
      <c r="M6678"/>
      <c r="W6678"/>
    </row>
    <row r="6679" spans="10:23" x14ac:dyDescent="0.25">
      <c r="J6679"/>
      <c r="M6679"/>
      <c r="W6679"/>
    </row>
    <row r="6680" spans="10:23" x14ac:dyDescent="0.25">
      <c r="J6680"/>
      <c r="M6680"/>
      <c r="W6680"/>
    </row>
    <row r="6681" spans="10:23" x14ac:dyDescent="0.25">
      <c r="J6681"/>
      <c r="M6681"/>
      <c r="W6681"/>
    </row>
    <row r="6682" spans="10:23" x14ac:dyDescent="0.25">
      <c r="J6682"/>
      <c r="M6682"/>
      <c r="W6682"/>
    </row>
    <row r="6683" spans="10:23" x14ac:dyDescent="0.25">
      <c r="J6683"/>
      <c r="M6683"/>
      <c r="W6683"/>
    </row>
    <row r="6684" spans="10:23" x14ac:dyDescent="0.25">
      <c r="J6684"/>
      <c r="M6684"/>
      <c r="W6684"/>
    </row>
    <row r="6685" spans="10:23" x14ac:dyDescent="0.25">
      <c r="J6685"/>
      <c r="M6685"/>
      <c r="W6685"/>
    </row>
    <row r="6686" spans="10:23" x14ac:dyDescent="0.25">
      <c r="J6686"/>
      <c r="M6686"/>
      <c r="W6686"/>
    </row>
    <row r="6687" spans="10:23" x14ac:dyDescent="0.25">
      <c r="J6687"/>
      <c r="M6687"/>
      <c r="W6687"/>
    </row>
    <row r="6688" spans="10:23" x14ac:dyDescent="0.25">
      <c r="J6688"/>
      <c r="M6688"/>
      <c r="W6688"/>
    </row>
    <row r="6689" spans="10:23" x14ac:dyDescent="0.25">
      <c r="J6689"/>
      <c r="M6689"/>
      <c r="W6689"/>
    </row>
    <row r="6690" spans="10:23" x14ac:dyDescent="0.25">
      <c r="J6690"/>
      <c r="M6690"/>
      <c r="W6690"/>
    </row>
    <row r="6691" spans="10:23" x14ac:dyDescent="0.25">
      <c r="J6691"/>
      <c r="M6691"/>
      <c r="W6691"/>
    </row>
    <row r="6692" spans="10:23" x14ac:dyDescent="0.25">
      <c r="J6692"/>
      <c r="M6692"/>
      <c r="W6692"/>
    </row>
    <row r="6693" spans="10:23" x14ac:dyDescent="0.25">
      <c r="J6693"/>
      <c r="M6693"/>
      <c r="W6693"/>
    </row>
    <row r="6694" spans="10:23" x14ac:dyDescent="0.25">
      <c r="J6694"/>
      <c r="M6694"/>
      <c r="W6694"/>
    </row>
    <row r="6695" spans="10:23" x14ac:dyDescent="0.25">
      <c r="J6695"/>
      <c r="M6695"/>
      <c r="W6695"/>
    </row>
    <row r="6696" spans="10:23" x14ac:dyDescent="0.25">
      <c r="J6696"/>
      <c r="M6696"/>
      <c r="W6696"/>
    </row>
    <row r="6697" spans="10:23" x14ac:dyDescent="0.25">
      <c r="J6697"/>
      <c r="M6697"/>
      <c r="W6697"/>
    </row>
    <row r="6698" spans="10:23" x14ac:dyDescent="0.25">
      <c r="J6698"/>
      <c r="M6698"/>
      <c r="W6698"/>
    </row>
    <row r="6699" spans="10:23" x14ac:dyDescent="0.25">
      <c r="J6699"/>
      <c r="M6699"/>
      <c r="W6699"/>
    </row>
    <row r="6700" spans="10:23" x14ac:dyDescent="0.25">
      <c r="J6700"/>
      <c r="M6700"/>
      <c r="W6700"/>
    </row>
    <row r="6701" spans="10:23" x14ac:dyDescent="0.25">
      <c r="J6701"/>
      <c r="M6701"/>
      <c r="W6701"/>
    </row>
    <row r="6702" spans="10:23" x14ac:dyDescent="0.25">
      <c r="J6702"/>
      <c r="M6702"/>
      <c r="W6702"/>
    </row>
    <row r="6703" spans="10:23" x14ac:dyDescent="0.25">
      <c r="J6703"/>
      <c r="M6703"/>
      <c r="W6703"/>
    </row>
    <row r="6704" spans="10:23" x14ac:dyDescent="0.25">
      <c r="J6704"/>
      <c r="M6704"/>
      <c r="W6704"/>
    </row>
    <row r="6705" spans="10:23" x14ac:dyDescent="0.25">
      <c r="J6705"/>
      <c r="M6705"/>
      <c r="W6705"/>
    </row>
    <row r="6706" spans="10:23" x14ac:dyDescent="0.25">
      <c r="J6706"/>
      <c r="M6706"/>
      <c r="W6706"/>
    </row>
    <row r="6707" spans="10:23" x14ac:dyDescent="0.25">
      <c r="J6707"/>
      <c r="M6707"/>
      <c r="W6707"/>
    </row>
    <row r="6708" spans="10:23" x14ac:dyDescent="0.25">
      <c r="J6708"/>
      <c r="M6708"/>
      <c r="W6708"/>
    </row>
    <row r="6709" spans="10:23" x14ac:dyDescent="0.25">
      <c r="J6709"/>
      <c r="M6709"/>
      <c r="W6709"/>
    </row>
    <row r="6710" spans="10:23" x14ac:dyDescent="0.25">
      <c r="J6710"/>
      <c r="M6710"/>
      <c r="W6710"/>
    </row>
    <row r="6711" spans="10:23" x14ac:dyDescent="0.25">
      <c r="J6711"/>
      <c r="M6711"/>
      <c r="W6711"/>
    </row>
    <row r="6712" spans="10:23" x14ac:dyDescent="0.25">
      <c r="J6712"/>
      <c r="M6712"/>
      <c r="W6712"/>
    </row>
    <row r="6713" spans="10:23" x14ac:dyDescent="0.25">
      <c r="J6713"/>
      <c r="M6713"/>
      <c r="W6713"/>
    </row>
    <row r="6714" spans="10:23" x14ac:dyDescent="0.25">
      <c r="J6714"/>
      <c r="M6714"/>
      <c r="W6714"/>
    </row>
    <row r="6715" spans="10:23" x14ac:dyDescent="0.25">
      <c r="J6715"/>
      <c r="M6715"/>
      <c r="W6715"/>
    </row>
    <row r="6716" spans="10:23" x14ac:dyDescent="0.25">
      <c r="J6716"/>
      <c r="M6716"/>
      <c r="W6716"/>
    </row>
    <row r="6717" spans="10:23" x14ac:dyDescent="0.25">
      <c r="J6717"/>
      <c r="M6717"/>
      <c r="W6717"/>
    </row>
    <row r="6718" spans="10:23" x14ac:dyDescent="0.25">
      <c r="J6718"/>
      <c r="M6718"/>
      <c r="W6718"/>
    </row>
    <row r="6719" spans="10:23" x14ac:dyDescent="0.25">
      <c r="J6719"/>
      <c r="M6719"/>
      <c r="W6719"/>
    </row>
    <row r="6720" spans="10:23" x14ac:dyDescent="0.25">
      <c r="J6720"/>
      <c r="M6720"/>
      <c r="W6720"/>
    </row>
    <row r="6721" spans="10:23" x14ac:dyDescent="0.25">
      <c r="J6721"/>
      <c r="M6721"/>
      <c r="W6721"/>
    </row>
    <row r="6722" spans="10:23" x14ac:dyDescent="0.25">
      <c r="J6722"/>
      <c r="M6722"/>
      <c r="W6722"/>
    </row>
    <row r="6723" spans="10:23" x14ac:dyDescent="0.25">
      <c r="J6723"/>
      <c r="M6723"/>
      <c r="W6723"/>
    </row>
    <row r="6724" spans="10:23" x14ac:dyDescent="0.25">
      <c r="J6724"/>
      <c r="M6724"/>
      <c r="W6724"/>
    </row>
    <row r="6725" spans="10:23" x14ac:dyDescent="0.25">
      <c r="J6725"/>
      <c r="M6725"/>
      <c r="W6725"/>
    </row>
    <row r="6726" spans="10:23" x14ac:dyDescent="0.25">
      <c r="J6726"/>
      <c r="M6726"/>
      <c r="W6726"/>
    </row>
    <row r="6727" spans="10:23" x14ac:dyDescent="0.25">
      <c r="J6727"/>
      <c r="M6727"/>
      <c r="W6727"/>
    </row>
    <row r="6728" spans="10:23" x14ac:dyDescent="0.25">
      <c r="J6728"/>
      <c r="M6728"/>
      <c r="W6728"/>
    </row>
    <row r="6729" spans="10:23" x14ac:dyDescent="0.25">
      <c r="J6729"/>
      <c r="M6729"/>
      <c r="W6729"/>
    </row>
    <row r="6730" spans="10:23" x14ac:dyDescent="0.25">
      <c r="J6730"/>
      <c r="M6730"/>
      <c r="W6730"/>
    </row>
    <row r="6731" spans="10:23" x14ac:dyDescent="0.25">
      <c r="J6731"/>
      <c r="M6731"/>
      <c r="W6731"/>
    </row>
    <row r="6732" spans="10:23" x14ac:dyDescent="0.25">
      <c r="J6732"/>
      <c r="M6732"/>
      <c r="W6732"/>
    </row>
    <row r="6733" spans="10:23" x14ac:dyDescent="0.25">
      <c r="J6733"/>
      <c r="M6733"/>
      <c r="W6733"/>
    </row>
    <row r="6734" spans="10:23" x14ac:dyDescent="0.25">
      <c r="J6734"/>
      <c r="M6734"/>
      <c r="W6734"/>
    </row>
    <row r="6735" spans="10:23" x14ac:dyDescent="0.25">
      <c r="J6735"/>
      <c r="M6735"/>
      <c r="W6735"/>
    </row>
    <row r="6736" spans="10:23" x14ac:dyDescent="0.25">
      <c r="J6736"/>
      <c r="M6736"/>
      <c r="W6736"/>
    </row>
    <row r="6737" spans="10:23" x14ac:dyDescent="0.25">
      <c r="J6737"/>
      <c r="M6737"/>
      <c r="W6737"/>
    </row>
    <row r="6738" spans="10:23" x14ac:dyDescent="0.25">
      <c r="J6738"/>
      <c r="M6738"/>
      <c r="W6738"/>
    </row>
    <row r="6739" spans="10:23" x14ac:dyDescent="0.25">
      <c r="J6739"/>
      <c r="M6739"/>
      <c r="W6739"/>
    </row>
    <row r="6740" spans="10:23" x14ac:dyDescent="0.25">
      <c r="J6740"/>
      <c r="M6740"/>
      <c r="W6740"/>
    </row>
    <row r="6741" spans="10:23" x14ac:dyDescent="0.25">
      <c r="J6741"/>
      <c r="M6741"/>
      <c r="W6741"/>
    </row>
    <row r="6742" spans="10:23" x14ac:dyDescent="0.25">
      <c r="J6742"/>
      <c r="M6742"/>
      <c r="W6742"/>
    </row>
    <row r="6743" spans="10:23" x14ac:dyDescent="0.25">
      <c r="J6743"/>
      <c r="M6743"/>
      <c r="W6743"/>
    </row>
    <row r="6744" spans="10:23" x14ac:dyDescent="0.25">
      <c r="J6744"/>
      <c r="M6744"/>
      <c r="W6744"/>
    </row>
    <row r="6745" spans="10:23" x14ac:dyDescent="0.25">
      <c r="J6745"/>
      <c r="M6745"/>
      <c r="W6745"/>
    </row>
    <row r="6746" spans="10:23" x14ac:dyDescent="0.25">
      <c r="J6746"/>
      <c r="M6746"/>
      <c r="W6746"/>
    </row>
    <row r="6747" spans="10:23" x14ac:dyDescent="0.25">
      <c r="J6747"/>
      <c r="M6747"/>
      <c r="W6747"/>
    </row>
    <row r="6748" spans="10:23" x14ac:dyDescent="0.25">
      <c r="J6748"/>
      <c r="M6748"/>
      <c r="W6748"/>
    </row>
    <row r="6749" spans="10:23" x14ac:dyDescent="0.25">
      <c r="J6749"/>
      <c r="M6749"/>
      <c r="W6749"/>
    </row>
    <row r="6750" spans="10:23" x14ac:dyDescent="0.25">
      <c r="J6750"/>
      <c r="M6750"/>
      <c r="W6750"/>
    </row>
    <row r="6751" spans="10:23" x14ac:dyDescent="0.25">
      <c r="J6751"/>
      <c r="M6751"/>
      <c r="W6751"/>
    </row>
    <row r="6752" spans="10:23" x14ac:dyDescent="0.25">
      <c r="J6752"/>
      <c r="M6752"/>
      <c r="W6752"/>
    </row>
    <row r="6753" spans="10:23" x14ac:dyDescent="0.25">
      <c r="J6753"/>
      <c r="M6753"/>
      <c r="W6753"/>
    </row>
    <row r="6754" spans="10:23" x14ac:dyDescent="0.25">
      <c r="J6754"/>
      <c r="M6754"/>
      <c r="W6754"/>
    </row>
    <row r="6755" spans="10:23" x14ac:dyDescent="0.25">
      <c r="J6755"/>
      <c r="M6755"/>
      <c r="W6755"/>
    </row>
    <row r="6756" spans="10:23" x14ac:dyDescent="0.25">
      <c r="J6756"/>
      <c r="M6756"/>
      <c r="W6756"/>
    </row>
    <row r="6757" spans="10:23" x14ac:dyDescent="0.25">
      <c r="J6757"/>
      <c r="M6757"/>
      <c r="W6757"/>
    </row>
    <row r="6758" spans="10:23" x14ac:dyDescent="0.25">
      <c r="J6758"/>
      <c r="M6758"/>
      <c r="W6758"/>
    </row>
    <row r="6759" spans="10:23" x14ac:dyDescent="0.25">
      <c r="J6759"/>
      <c r="M6759"/>
      <c r="W6759"/>
    </row>
    <row r="6760" spans="10:23" x14ac:dyDescent="0.25">
      <c r="J6760"/>
      <c r="M6760"/>
      <c r="W6760"/>
    </row>
    <row r="6761" spans="10:23" x14ac:dyDescent="0.25">
      <c r="J6761"/>
      <c r="M6761"/>
      <c r="W6761"/>
    </row>
    <row r="6762" spans="10:23" x14ac:dyDescent="0.25">
      <c r="J6762"/>
      <c r="M6762"/>
      <c r="W6762"/>
    </row>
    <row r="6763" spans="10:23" x14ac:dyDescent="0.25">
      <c r="J6763"/>
      <c r="M6763"/>
      <c r="W6763"/>
    </row>
    <row r="6764" spans="10:23" x14ac:dyDescent="0.25">
      <c r="J6764"/>
      <c r="M6764"/>
      <c r="W6764"/>
    </row>
    <row r="6765" spans="10:23" x14ac:dyDescent="0.25">
      <c r="J6765"/>
      <c r="M6765"/>
      <c r="W6765"/>
    </row>
    <row r="6766" spans="10:23" x14ac:dyDescent="0.25">
      <c r="J6766"/>
      <c r="M6766"/>
      <c r="W6766"/>
    </row>
    <row r="6767" spans="10:23" x14ac:dyDescent="0.25">
      <c r="J6767"/>
      <c r="M6767"/>
      <c r="W6767"/>
    </row>
    <row r="6768" spans="10:23" x14ac:dyDescent="0.25">
      <c r="J6768"/>
      <c r="M6768"/>
      <c r="W6768"/>
    </row>
    <row r="6769" spans="10:23" x14ac:dyDescent="0.25">
      <c r="J6769"/>
      <c r="M6769"/>
      <c r="W6769"/>
    </row>
    <row r="6770" spans="10:23" x14ac:dyDescent="0.25">
      <c r="J6770"/>
      <c r="M6770"/>
      <c r="W6770"/>
    </row>
    <row r="6771" spans="10:23" x14ac:dyDescent="0.25">
      <c r="J6771"/>
      <c r="M6771"/>
      <c r="W6771"/>
    </row>
    <row r="6772" spans="10:23" x14ac:dyDescent="0.25">
      <c r="J6772"/>
      <c r="M6772"/>
      <c r="W6772"/>
    </row>
    <row r="6773" spans="10:23" x14ac:dyDescent="0.25">
      <c r="J6773"/>
      <c r="M6773"/>
      <c r="W6773"/>
    </row>
    <row r="6774" spans="10:23" x14ac:dyDescent="0.25">
      <c r="J6774"/>
      <c r="M6774"/>
      <c r="W6774"/>
    </row>
    <row r="6775" spans="10:23" x14ac:dyDescent="0.25">
      <c r="J6775"/>
      <c r="M6775"/>
      <c r="W6775"/>
    </row>
    <row r="6776" spans="10:23" x14ac:dyDescent="0.25">
      <c r="J6776"/>
      <c r="M6776"/>
      <c r="W6776"/>
    </row>
    <row r="6777" spans="10:23" x14ac:dyDescent="0.25">
      <c r="J6777"/>
      <c r="M6777"/>
      <c r="W6777"/>
    </row>
    <row r="6778" spans="10:23" x14ac:dyDescent="0.25">
      <c r="J6778"/>
      <c r="M6778"/>
      <c r="W6778"/>
    </row>
    <row r="6779" spans="10:23" x14ac:dyDescent="0.25">
      <c r="J6779"/>
      <c r="M6779"/>
      <c r="W6779"/>
    </row>
    <row r="6780" spans="10:23" x14ac:dyDescent="0.25">
      <c r="J6780"/>
      <c r="M6780"/>
      <c r="W6780"/>
    </row>
    <row r="6781" spans="10:23" x14ac:dyDescent="0.25">
      <c r="J6781"/>
      <c r="M6781"/>
      <c r="W6781"/>
    </row>
    <row r="6782" spans="10:23" x14ac:dyDescent="0.25">
      <c r="J6782"/>
      <c r="M6782"/>
      <c r="W6782"/>
    </row>
    <row r="6783" spans="10:23" x14ac:dyDescent="0.25">
      <c r="J6783"/>
      <c r="M6783"/>
      <c r="W6783"/>
    </row>
    <row r="6784" spans="10:23" x14ac:dyDescent="0.25">
      <c r="J6784"/>
      <c r="M6784"/>
      <c r="W6784"/>
    </row>
    <row r="6785" spans="10:23" x14ac:dyDescent="0.25">
      <c r="J6785"/>
      <c r="M6785"/>
      <c r="W6785"/>
    </row>
    <row r="6786" spans="10:23" x14ac:dyDescent="0.25">
      <c r="J6786"/>
      <c r="M6786"/>
      <c r="W6786"/>
    </row>
    <row r="6787" spans="10:23" x14ac:dyDescent="0.25">
      <c r="J6787"/>
      <c r="M6787"/>
      <c r="W6787"/>
    </row>
    <row r="6788" spans="10:23" x14ac:dyDescent="0.25">
      <c r="J6788"/>
      <c r="M6788"/>
      <c r="W6788"/>
    </row>
    <row r="6789" spans="10:23" x14ac:dyDescent="0.25">
      <c r="J6789"/>
      <c r="M6789"/>
      <c r="W6789"/>
    </row>
    <row r="6790" spans="10:23" x14ac:dyDescent="0.25">
      <c r="J6790"/>
      <c r="M6790"/>
      <c r="W6790"/>
    </row>
    <row r="6791" spans="10:23" x14ac:dyDescent="0.25">
      <c r="J6791"/>
      <c r="M6791"/>
      <c r="W6791"/>
    </row>
    <row r="6792" spans="10:23" x14ac:dyDescent="0.25">
      <c r="J6792"/>
      <c r="M6792"/>
      <c r="W6792"/>
    </row>
    <row r="6793" spans="10:23" x14ac:dyDescent="0.25">
      <c r="J6793"/>
      <c r="M6793"/>
      <c r="W6793"/>
    </row>
    <row r="6794" spans="10:23" x14ac:dyDescent="0.25">
      <c r="J6794"/>
      <c r="M6794"/>
      <c r="W6794"/>
    </row>
    <row r="6795" spans="10:23" x14ac:dyDescent="0.25">
      <c r="J6795"/>
      <c r="M6795"/>
      <c r="W6795"/>
    </row>
    <row r="6796" spans="10:23" x14ac:dyDescent="0.25">
      <c r="J6796"/>
      <c r="M6796"/>
      <c r="W6796"/>
    </row>
    <row r="6797" spans="10:23" x14ac:dyDescent="0.25">
      <c r="J6797"/>
      <c r="M6797"/>
      <c r="W6797"/>
    </row>
    <row r="6798" spans="10:23" x14ac:dyDescent="0.25">
      <c r="J6798"/>
      <c r="M6798"/>
      <c r="W6798"/>
    </row>
    <row r="6799" spans="10:23" x14ac:dyDescent="0.25">
      <c r="J6799"/>
      <c r="M6799"/>
      <c r="W6799"/>
    </row>
    <row r="6800" spans="10:23" x14ac:dyDescent="0.25">
      <c r="J6800"/>
      <c r="M6800"/>
      <c r="W6800"/>
    </row>
    <row r="6801" spans="10:23" x14ac:dyDescent="0.25">
      <c r="J6801"/>
      <c r="M6801"/>
      <c r="W6801"/>
    </row>
    <row r="6802" spans="10:23" x14ac:dyDescent="0.25">
      <c r="J6802"/>
      <c r="M6802"/>
      <c r="W6802"/>
    </row>
    <row r="6803" spans="10:23" x14ac:dyDescent="0.25">
      <c r="J6803"/>
      <c r="M6803"/>
      <c r="W6803"/>
    </row>
    <row r="6804" spans="10:23" x14ac:dyDescent="0.25">
      <c r="J6804"/>
      <c r="M6804"/>
      <c r="W6804"/>
    </row>
    <row r="6805" spans="10:23" x14ac:dyDescent="0.25">
      <c r="J6805"/>
      <c r="M6805"/>
      <c r="W6805"/>
    </row>
    <row r="6806" spans="10:23" x14ac:dyDescent="0.25">
      <c r="J6806"/>
      <c r="M6806"/>
      <c r="W6806"/>
    </row>
    <row r="6807" spans="10:23" x14ac:dyDescent="0.25">
      <c r="J6807"/>
      <c r="M6807"/>
      <c r="W6807"/>
    </row>
    <row r="6808" spans="10:23" x14ac:dyDescent="0.25">
      <c r="J6808"/>
      <c r="M6808"/>
      <c r="W6808"/>
    </row>
    <row r="6809" spans="10:23" x14ac:dyDescent="0.25">
      <c r="J6809"/>
      <c r="M6809"/>
      <c r="W6809"/>
    </row>
    <row r="6810" spans="10:23" x14ac:dyDescent="0.25">
      <c r="J6810"/>
      <c r="M6810"/>
      <c r="W6810"/>
    </row>
    <row r="6811" spans="10:23" x14ac:dyDescent="0.25">
      <c r="J6811"/>
      <c r="M6811"/>
      <c r="W6811"/>
    </row>
    <row r="6812" spans="10:23" x14ac:dyDescent="0.25">
      <c r="J6812"/>
      <c r="M6812"/>
      <c r="W6812"/>
    </row>
    <row r="6813" spans="10:23" x14ac:dyDescent="0.25">
      <c r="J6813"/>
      <c r="M6813"/>
      <c r="W6813"/>
    </row>
    <row r="6814" spans="10:23" x14ac:dyDescent="0.25">
      <c r="J6814"/>
      <c r="M6814"/>
      <c r="W6814"/>
    </row>
    <row r="6815" spans="10:23" x14ac:dyDescent="0.25">
      <c r="J6815"/>
      <c r="M6815"/>
      <c r="W6815"/>
    </row>
    <row r="6816" spans="10:23" x14ac:dyDescent="0.25">
      <c r="J6816"/>
      <c r="M6816"/>
      <c r="W6816"/>
    </row>
    <row r="6817" spans="10:23" x14ac:dyDescent="0.25">
      <c r="J6817"/>
      <c r="M6817"/>
      <c r="W6817"/>
    </row>
    <row r="6818" spans="10:23" x14ac:dyDescent="0.25">
      <c r="J6818"/>
      <c r="M6818"/>
      <c r="W6818"/>
    </row>
    <row r="6819" spans="10:23" x14ac:dyDescent="0.25">
      <c r="J6819"/>
      <c r="M6819"/>
      <c r="W6819"/>
    </row>
    <row r="6820" spans="10:23" x14ac:dyDescent="0.25">
      <c r="J6820"/>
      <c r="M6820"/>
      <c r="W6820"/>
    </row>
    <row r="6821" spans="10:23" x14ac:dyDescent="0.25">
      <c r="J6821"/>
      <c r="M6821"/>
      <c r="W6821"/>
    </row>
    <row r="6822" spans="10:23" x14ac:dyDescent="0.25">
      <c r="J6822"/>
      <c r="M6822"/>
      <c r="W6822"/>
    </row>
    <row r="6823" spans="10:23" x14ac:dyDescent="0.25">
      <c r="J6823"/>
      <c r="M6823"/>
      <c r="W6823"/>
    </row>
    <row r="6824" spans="10:23" x14ac:dyDescent="0.25">
      <c r="J6824"/>
      <c r="M6824"/>
      <c r="W6824"/>
    </row>
    <row r="6825" spans="10:23" x14ac:dyDescent="0.25">
      <c r="J6825"/>
      <c r="M6825"/>
      <c r="W6825"/>
    </row>
    <row r="6826" spans="10:23" x14ac:dyDescent="0.25">
      <c r="J6826"/>
      <c r="M6826"/>
      <c r="W6826"/>
    </row>
    <row r="6827" spans="10:23" x14ac:dyDescent="0.25">
      <c r="J6827"/>
      <c r="M6827"/>
      <c r="W6827"/>
    </row>
    <row r="6828" spans="10:23" x14ac:dyDescent="0.25">
      <c r="J6828"/>
      <c r="M6828"/>
      <c r="W6828"/>
    </row>
    <row r="6829" spans="10:23" x14ac:dyDescent="0.25">
      <c r="J6829"/>
      <c r="M6829"/>
      <c r="W6829"/>
    </row>
    <row r="6830" spans="10:23" x14ac:dyDescent="0.25">
      <c r="J6830"/>
      <c r="M6830"/>
      <c r="W6830"/>
    </row>
    <row r="6831" spans="10:23" x14ac:dyDescent="0.25">
      <c r="J6831"/>
      <c r="M6831"/>
      <c r="W6831"/>
    </row>
    <row r="6832" spans="10:23" x14ac:dyDescent="0.25">
      <c r="J6832"/>
      <c r="M6832"/>
      <c r="W6832"/>
    </row>
    <row r="6833" spans="10:23" x14ac:dyDescent="0.25">
      <c r="J6833"/>
      <c r="M6833"/>
      <c r="W6833"/>
    </row>
    <row r="6834" spans="10:23" x14ac:dyDescent="0.25">
      <c r="J6834"/>
      <c r="M6834"/>
      <c r="W6834"/>
    </row>
    <row r="6835" spans="10:23" x14ac:dyDescent="0.25">
      <c r="J6835"/>
      <c r="M6835"/>
      <c r="W6835"/>
    </row>
    <row r="6836" spans="10:23" x14ac:dyDescent="0.25">
      <c r="J6836"/>
      <c r="M6836"/>
      <c r="W6836"/>
    </row>
    <row r="6837" spans="10:23" x14ac:dyDescent="0.25">
      <c r="J6837"/>
      <c r="M6837"/>
      <c r="W6837"/>
    </row>
    <row r="6838" spans="10:23" x14ac:dyDescent="0.25">
      <c r="J6838"/>
      <c r="M6838"/>
      <c r="W6838"/>
    </row>
    <row r="6839" spans="10:23" x14ac:dyDescent="0.25">
      <c r="J6839"/>
      <c r="M6839"/>
      <c r="W6839"/>
    </row>
    <row r="6840" spans="10:23" x14ac:dyDescent="0.25">
      <c r="J6840"/>
      <c r="M6840"/>
      <c r="W6840"/>
    </row>
    <row r="6841" spans="10:23" x14ac:dyDescent="0.25">
      <c r="J6841"/>
      <c r="M6841"/>
      <c r="W6841"/>
    </row>
    <row r="6842" spans="10:23" x14ac:dyDescent="0.25">
      <c r="J6842"/>
      <c r="M6842"/>
      <c r="W6842"/>
    </row>
    <row r="6843" spans="10:23" x14ac:dyDescent="0.25">
      <c r="J6843"/>
      <c r="M6843"/>
      <c r="W6843"/>
    </row>
    <row r="6844" spans="10:23" x14ac:dyDescent="0.25">
      <c r="J6844"/>
      <c r="M6844"/>
      <c r="W6844"/>
    </row>
    <row r="6845" spans="10:23" x14ac:dyDescent="0.25">
      <c r="J6845"/>
      <c r="M6845"/>
      <c r="W6845"/>
    </row>
    <row r="6846" spans="10:23" x14ac:dyDescent="0.25">
      <c r="J6846"/>
      <c r="M6846"/>
      <c r="W6846"/>
    </row>
    <row r="6847" spans="10:23" x14ac:dyDescent="0.25">
      <c r="J6847"/>
      <c r="M6847"/>
      <c r="W6847"/>
    </row>
    <row r="6848" spans="10:23" x14ac:dyDescent="0.25">
      <c r="J6848"/>
      <c r="M6848"/>
      <c r="W6848"/>
    </row>
    <row r="6849" spans="10:23" x14ac:dyDescent="0.25">
      <c r="J6849"/>
      <c r="M6849"/>
      <c r="W6849"/>
    </row>
    <row r="6850" spans="10:23" x14ac:dyDescent="0.25">
      <c r="J6850"/>
      <c r="M6850"/>
      <c r="W6850"/>
    </row>
    <row r="6851" spans="10:23" x14ac:dyDescent="0.25">
      <c r="J6851"/>
      <c r="M6851"/>
      <c r="W6851"/>
    </row>
    <row r="6852" spans="10:23" x14ac:dyDescent="0.25">
      <c r="J6852"/>
      <c r="M6852"/>
      <c r="W6852"/>
    </row>
    <row r="6853" spans="10:23" x14ac:dyDescent="0.25">
      <c r="J6853"/>
      <c r="M6853"/>
      <c r="W6853"/>
    </row>
    <row r="6854" spans="10:23" x14ac:dyDescent="0.25">
      <c r="J6854"/>
      <c r="M6854"/>
      <c r="W6854"/>
    </row>
    <row r="6855" spans="10:23" x14ac:dyDescent="0.25">
      <c r="J6855"/>
      <c r="M6855"/>
      <c r="W6855"/>
    </row>
    <row r="6856" spans="10:23" x14ac:dyDescent="0.25">
      <c r="J6856"/>
      <c r="M6856"/>
      <c r="W6856"/>
    </row>
    <row r="6857" spans="10:23" x14ac:dyDescent="0.25">
      <c r="J6857"/>
      <c r="M6857"/>
      <c r="W6857"/>
    </row>
    <row r="6858" spans="10:23" x14ac:dyDescent="0.25">
      <c r="J6858"/>
      <c r="M6858"/>
      <c r="W6858"/>
    </row>
    <row r="6859" spans="10:23" x14ac:dyDescent="0.25">
      <c r="J6859"/>
      <c r="M6859"/>
      <c r="W6859"/>
    </row>
    <row r="6860" spans="10:23" x14ac:dyDescent="0.25">
      <c r="J6860"/>
      <c r="M6860"/>
      <c r="W6860"/>
    </row>
    <row r="6861" spans="10:23" x14ac:dyDescent="0.25">
      <c r="J6861"/>
      <c r="M6861"/>
      <c r="W6861"/>
    </row>
    <row r="6862" spans="10:23" x14ac:dyDescent="0.25">
      <c r="J6862"/>
      <c r="M6862"/>
      <c r="W6862"/>
    </row>
    <row r="6863" spans="10:23" x14ac:dyDescent="0.25">
      <c r="J6863"/>
      <c r="M6863"/>
      <c r="W6863"/>
    </row>
    <row r="6864" spans="10:23" x14ac:dyDescent="0.25">
      <c r="J6864"/>
      <c r="M6864"/>
      <c r="W6864"/>
    </row>
    <row r="6865" spans="10:23" x14ac:dyDescent="0.25">
      <c r="J6865"/>
      <c r="M6865"/>
      <c r="W6865"/>
    </row>
    <row r="6866" spans="10:23" x14ac:dyDescent="0.25">
      <c r="J6866"/>
      <c r="M6866"/>
      <c r="W6866"/>
    </row>
    <row r="6867" spans="10:23" x14ac:dyDescent="0.25">
      <c r="J6867"/>
      <c r="M6867"/>
      <c r="W6867"/>
    </row>
    <row r="6868" spans="10:23" x14ac:dyDescent="0.25">
      <c r="J6868"/>
      <c r="M6868"/>
      <c r="W6868"/>
    </row>
    <row r="6869" spans="10:23" x14ac:dyDescent="0.25">
      <c r="J6869"/>
      <c r="M6869"/>
      <c r="W6869"/>
    </row>
    <row r="6870" spans="10:23" x14ac:dyDescent="0.25">
      <c r="J6870"/>
      <c r="M6870"/>
      <c r="W6870"/>
    </row>
    <row r="6871" spans="10:23" x14ac:dyDescent="0.25">
      <c r="J6871"/>
      <c r="M6871"/>
      <c r="W6871"/>
    </row>
    <row r="6872" spans="10:23" x14ac:dyDescent="0.25">
      <c r="J6872"/>
      <c r="M6872"/>
      <c r="W6872"/>
    </row>
    <row r="6873" spans="10:23" x14ac:dyDescent="0.25">
      <c r="J6873"/>
      <c r="M6873"/>
      <c r="W6873"/>
    </row>
    <row r="6874" spans="10:23" x14ac:dyDescent="0.25">
      <c r="J6874"/>
      <c r="M6874"/>
      <c r="W6874"/>
    </row>
    <row r="6875" spans="10:23" x14ac:dyDescent="0.25">
      <c r="J6875"/>
      <c r="M6875"/>
      <c r="W6875"/>
    </row>
    <row r="6876" spans="10:23" x14ac:dyDescent="0.25">
      <c r="J6876"/>
      <c r="M6876"/>
      <c r="W6876"/>
    </row>
    <row r="6877" spans="10:23" x14ac:dyDescent="0.25">
      <c r="J6877"/>
      <c r="M6877"/>
      <c r="W6877"/>
    </row>
    <row r="6878" spans="10:23" x14ac:dyDescent="0.25">
      <c r="J6878"/>
      <c r="M6878"/>
      <c r="W6878"/>
    </row>
    <row r="6879" spans="10:23" x14ac:dyDescent="0.25">
      <c r="J6879"/>
      <c r="M6879"/>
      <c r="W6879"/>
    </row>
    <row r="6880" spans="10:23" x14ac:dyDescent="0.25">
      <c r="J6880"/>
      <c r="M6880"/>
      <c r="W6880"/>
    </row>
    <row r="6881" spans="10:23" x14ac:dyDescent="0.25">
      <c r="J6881"/>
      <c r="M6881"/>
      <c r="W6881"/>
    </row>
    <row r="6882" spans="10:23" x14ac:dyDescent="0.25">
      <c r="J6882"/>
      <c r="M6882"/>
      <c r="W6882"/>
    </row>
    <row r="6883" spans="10:23" x14ac:dyDescent="0.25">
      <c r="J6883"/>
      <c r="M6883"/>
      <c r="W6883"/>
    </row>
    <row r="6884" spans="10:23" x14ac:dyDescent="0.25">
      <c r="J6884"/>
      <c r="M6884"/>
      <c r="W6884"/>
    </row>
    <row r="6885" spans="10:23" x14ac:dyDescent="0.25">
      <c r="J6885"/>
      <c r="M6885"/>
      <c r="W6885"/>
    </row>
    <row r="6886" spans="10:23" x14ac:dyDescent="0.25">
      <c r="J6886"/>
      <c r="M6886"/>
      <c r="W6886"/>
    </row>
    <row r="6887" spans="10:23" x14ac:dyDescent="0.25">
      <c r="J6887"/>
      <c r="M6887"/>
      <c r="W6887"/>
    </row>
    <row r="6888" spans="10:23" x14ac:dyDescent="0.25">
      <c r="J6888"/>
      <c r="M6888"/>
      <c r="W6888"/>
    </row>
    <row r="6889" spans="10:23" x14ac:dyDescent="0.25">
      <c r="J6889"/>
      <c r="M6889"/>
      <c r="W6889"/>
    </row>
    <row r="6890" spans="10:23" x14ac:dyDescent="0.25">
      <c r="J6890"/>
      <c r="M6890"/>
      <c r="W6890"/>
    </row>
    <row r="6891" spans="10:23" x14ac:dyDescent="0.25">
      <c r="J6891"/>
      <c r="M6891"/>
      <c r="W6891"/>
    </row>
    <row r="6892" spans="10:23" x14ac:dyDescent="0.25">
      <c r="J6892"/>
      <c r="M6892"/>
      <c r="W6892"/>
    </row>
    <row r="6893" spans="10:23" x14ac:dyDescent="0.25">
      <c r="J6893"/>
      <c r="M6893"/>
      <c r="W6893"/>
    </row>
    <row r="6894" spans="10:23" x14ac:dyDescent="0.25">
      <c r="J6894"/>
      <c r="M6894"/>
      <c r="W6894"/>
    </row>
    <row r="6895" spans="10:23" x14ac:dyDescent="0.25">
      <c r="J6895"/>
      <c r="M6895"/>
      <c r="W6895"/>
    </row>
    <row r="6896" spans="10:23" x14ac:dyDescent="0.25">
      <c r="J6896"/>
      <c r="M6896"/>
      <c r="W6896"/>
    </row>
    <row r="6897" spans="10:23" x14ac:dyDescent="0.25">
      <c r="J6897"/>
      <c r="M6897"/>
      <c r="W6897"/>
    </row>
    <row r="6898" spans="10:23" x14ac:dyDescent="0.25">
      <c r="J6898"/>
      <c r="M6898"/>
      <c r="W6898"/>
    </row>
    <row r="6899" spans="10:23" x14ac:dyDescent="0.25">
      <c r="J6899"/>
      <c r="M6899"/>
      <c r="W6899"/>
    </row>
    <row r="6900" spans="10:23" x14ac:dyDescent="0.25">
      <c r="J6900"/>
      <c r="M6900"/>
      <c r="W6900"/>
    </row>
    <row r="6901" spans="10:23" x14ac:dyDescent="0.25">
      <c r="J6901"/>
      <c r="M6901"/>
      <c r="W6901"/>
    </row>
    <row r="6902" spans="10:23" x14ac:dyDescent="0.25">
      <c r="J6902"/>
      <c r="M6902"/>
      <c r="W6902"/>
    </row>
    <row r="6903" spans="10:23" x14ac:dyDescent="0.25">
      <c r="J6903"/>
      <c r="M6903"/>
      <c r="W6903"/>
    </row>
    <row r="6904" spans="10:23" x14ac:dyDescent="0.25">
      <c r="J6904"/>
      <c r="M6904"/>
      <c r="W6904"/>
    </row>
    <row r="6905" spans="10:23" x14ac:dyDescent="0.25">
      <c r="J6905"/>
      <c r="M6905"/>
      <c r="W6905"/>
    </row>
    <row r="6906" spans="10:23" x14ac:dyDescent="0.25">
      <c r="J6906"/>
      <c r="M6906"/>
      <c r="W6906"/>
    </row>
    <row r="6907" spans="10:23" x14ac:dyDescent="0.25">
      <c r="J6907"/>
      <c r="M6907"/>
      <c r="W6907"/>
    </row>
    <row r="6908" spans="10:23" x14ac:dyDescent="0.25">
      <c r="J6908"/>
      <c r="M6908"/>
      <c r="W6908"/>
    </row>
    <row r="6909" spans="10:23" x14ac:dyDescent="0.25">
      <c r="J6909"/>
      <c r="M6909"/>
      <c r="W6909"/>
    </row>
    <row r="6910" spans="10:23" x14ac:dyDescent="0.25">
      <c r="J6910"/>
      <c r="M6910"/>
      <c r="W6910"/>
    </row>
    <row r="6911" spans="10:23" x14ac:dyDescent="0.25">
      <c r="J6911"/>
      <c r="M6911"/>
      <c r="W6911"/>
    </row>
    <row r="6912" spans="10:23" x14ac:dyDescent="0.25">
      <c r="J6912"/>
      <c r="M6912"/>
      <c r="W6912"/>
    </row>
    <row r="6913" spans="10:23" x14ac:dyDescent="0.25">
      <c r="J6913"/>
      <c r="M6913"/>
      <c r="W6913"/>
    </row>
    <row r="6914" spans="10:23" x14ac:dyDescent="0.25">
      <c r="J6914"/>
      <c r="M6914"/>
      <c r="W6914"/>
    </row>
    <row r="6915" spans="10:23" x14ac:dyDescent="0.25">
      <c r="J6915"/>
      <c r="M6915"/>
      <c r="W6915"/>
    </row>
    <row r="6916" spans="10:23" x14ac:dyDescent="0.25">
      <c r="J6916"/>
      <c r="M6916"/>
      <c r="W6916"/>
    </row>
    <row r="6917" spans="10:23" x14ac:dyDescent="0.25">
      <c r="J6917"/>
      <c r="M6917"/>
      <c r="W6917"/>
    </row>
    <row r="6918" spans="10:23" x14ac:dyDescent="0.25">
      <c r="J6918"/>
      <c r="M6918"/>
      <c r="W6918"/>
    </row>
    <row r="6919" spans="10:23" x14ac:dyDescent="0.25">
      <c r="J6919"/>
      <c r="M6919"/>
      <c r="W6919"/>
    </row>
    <row r="6920" spans="10:23" x14ac:dyDescent="0.25">
      <c r="J6920"/>
      <c r="M6920"/>
      <c r="W6920"/>
    </row>
    <row r="6921" spans="10:23" x14ac:dyDescent="0.25">
      <c r="J6921"/>
      <c r="M6921"/>
      <c r="W6921"/>
    </row>
    <row r="6922" spans="10:23" x14ac:dyDescent="0.25">
      <c r="J6922"/>
      <c r="M6922"/>
      <c r="W6922"/>
    </row>
    <row r="6923" spans="10:23" x14ac:dyDescent="0.25">
      <c r="J6923"/>
      <c r="M6923"/>
      <c r="W6923"/>
    </row>
    <row r="6924" spans="10:23" x14ac:dyDescent="0.25">
      <c r="J6924"/>
      <c r="M6924"/>
      <c r="W6924"/>
    </row>
    <row r="6925" spans="10:23" x14ac:dyDescent="0.25">
      <c r="J6925"/>
      <c r="M6925"/>
      <c r="W6925"/>
    </row>
    <row r="6926" spans="10:23" x14ac:dyDescent="0.25">
      <c r="J6926"/>
      <c r="M6926"/>
      <c r="W6926"/>
    </row>
    <row r="6927" spans="10:23" x14ac:dyDescent="0.25">
      <c r="J6927"/>
      <c r="M6927"/>
      <c r="W6927"/>
    </row>
    <row r="6928" spans="10:23" x14ac:dyDescent="0.25">
      <c r="J6928"/>
      <c r="M6928"/>
      <c r="W6928"/>
    </row>
    <row r="6929" spans="10:23" x14ac:dyDescent="0.25">
      <c r="J6929"/>
      <c r="M6929"/>
      <c r="W6929"/>
    </row>
    <row r="6930" spans="10:23" x14ac:dyDescent="0.25">
      <c r="J6930"/>
      <c r="M6930"/>
      <c r="W6930"/>
    </row>
    <row r="6931" spans="10:23" x14ac:dyDescent="0.25">
      <c r="J6931"/>
      <c r="M6931"/>
      <c r="W6931"/>
    </row>
    <row r="6932" spans="10:23" x14ac:dyDescent="0.25">
      <c r="J6932"/>
      <c r="M6932"/>
      <c r="W6932"/>
    </row>
    <row r="6933" spans="10:23" x14ac:dyDescent="0.25">
      <c r="J6933"/>
      <c r="M6933"/>
      <c r="W6933"/>
    </row>
    <row r="6934" spans="10:23" x14ac:dyDescent="0.25">
      <c r="J6934"/>
      <c r="M6934"/>
      <c r="W6934"/>
    </row>
    <row r="6935" spans="10:23" x14ac:dyDescent="0.25">
      <c r="J6935"/>
      <c r="M6935"/>
      <c r="W6935"/>
    </row>
    <row r="6936" spans="10:23" x14ac:dyDescent="0.25">
      <c r="J6936"/>
      <c r="M6936"/>
      <c r="W6936"/>
    </row>
    <row r="6937" spans="10:23" x14ac:dyDescent="0.25">
      <c r="J6937"/>
      <c r="M6937"/>
      <c r="W6937"/>
    </row>
    <row r="6938" spans="10:23" x14ac:dyDescent="0.25">
      <c r="J6938"/>
      <c r="M6938"/>
      <c r="W6938"/>
    </row>
    <row r="6939" spans="10:23" x14ac:dyDescent="0.25">
      <c r="J6939"/>
      <c r="M6939"/>
      <c r="W6939"/>
    </row>
    <row r="6940" spans="10:23" x14ac:dyDescent="0.25">
      <c r="J6940"/>
      <c r="M6940"/>
      <c r="W6940"/>
    </row>
    <row r="6941" spans="10:23" x14ac:dyDescent="0.25">
      <c r="J6941"/>
      <c r="M6941"/>
      <c r="W6941"/>
    </row>
    <row r="6942" spans="10:23" x14ac:dyDescent="0.25">
      <c r="J6942"/>
      <c r="M6942"/>
      <c r="W6942"/>
    </row>
    <row r="6943" spans="10:23" x14ac:dyDescent="0.25">
      <c r="J6943"/>
      <c r="M6943"/>
      <c r="W6943"/>
    </row>
    <row r="6944" spans="10:23" x14ac:dyDescent="0.25">
      <c r="J6944"/>
      <c r="M6944"/>
      <c r="W6944"/>
    </row>
    <row r="6945" spans="10:23" x14ac:dyDescent="0.25">
      <c r="J6945"/>
      <c r="M6945"/>
      <c r="W6945"/>
    </row>
    <row r="6946" spans="10:23" x14ac:dyDescent="0.25">
      <c r="J6946"/>
      <c r="M6946"/>
      <c r="W6946"/>
    </row>
    <row r="6947" spans="10:23" x14ac:dyDescent="0.25">
      <c r="J6947"/>
      <c r="M6947"/>
      <c r="W6947"/>
    </row>
    <row r="6948" spans="10:23" x14ac:dyDescent="0.25">
      <c r="J6948"/>
      <c r="M6948"/>
      <c r="W6948"/>
    </row>
    <row r="6949" spans="10:23" x14ac:dyDescent="0.25">
      <c r="J6949"/>
      <c r="M6949"/>
      <c r="W6949"/>
    </row>
    <row r="6950" spans="10:23" x14ac:dyDescent="0.25">
      <c r="J6950"/>
      <c r="M6950"/>
      <c r="W6950"/>
    </row>
    <row r="6951" spans="10:23" x14ac:dyDescent="0.25">
      <c r="J6951"/>
      <c r="M6951"/>
      <c r="W6951"/>
    </row>
    <row r="6952" spans="10:23" x14ac:dyDescent="0.25">
      <c r="J6952"/>
      <c r="M6952"/>
      <c r="W6952"/>
    </row>
    <row r="6953" spans="10:23" x14ac:dyDescent="0.25">
      <c r="J6953"/>
      <c r="M6953"/>
      <c r="W6953"/>
    </row>
    <row r="6954" spans="10:23" x14ac:dyDescent="0.25">
      <c r="J6954"/>
      <c r="M6954"/>
      <c r="W6954"/>
    </row>
    <row r="6955" spans="10:23" x14ac:dyDescent="0.25">
      <c r="J6955"/>
      <c r="M6955"/>
      <c r="W6955"/>
    </row>
    <row r="6956" spans="10:23" x14ac:dyDescent="0.25">
      <c r="J6956"/>
      <c r="M6956"/>
      <c r="W6956"/>
    </row>
    <row r="6957" spans="10:23" x14ac:dyDescent="0.25">
      <c r="J6957"/>
      <c r="M6957"/>
      <c r="W6957"/>
    </row>
    <row r="6958" spans="10:23" x14ac:dyDescent="0.25">
      <c r="J6958"/>
      <c r="M6958"/>
      <c r="W6958"/>
    </row>
    <row r="6959" spans="10:23" x14ac:dyDescent="0.25">
      <c r="J6959"/>
      <c r="M6959"/>
      <c r="W6959"/>
    </row>
    <row r="6960" spans="10:23" x14ac:dyDescent="0.25">
      <c r="J6960"/>
      <c r="M6960"/>
      <c r="W6960"/>
    </row>
    <row r="6961" spans="10:23" x14ac:dyDescent="0.25">
      <c r="J6961"/>
      <c r="M6961"/>
      <c r="W6961"/>
    </row>
    <row r="6962" spans="10:23" x14ac:dyDescent="0.25">
      <c r="J6962"/>
      <c r="M6962"/>
      <c r="W6962"/>
    </row>
    <row r="6963" spans="10:23" x14ac:dyDescent="0.25">
      <c r="J6963"/>
      <c r="M6963"/>
      <c r="W6963"/>
    </row>
    <row r="6964" spans="10:23" x14ac:dyDescent="0.25">
      <c r="J6964"/>
      <c r="M6964"/>
      <c r="W6964"/>
    </row>
    <row r="6965" spans="10:23" x14ac:dyDescent="0.25">
      <c r="J6965"/>
      <c r="M6965"/>
      <c r="W6965"/>
    </row>
    <row r="6966" spans="10:23" x14ac:dyDescent="0.25">
      <c r="J6966"/>
      <c r="M6966"/>
      <c r="W6966"/>
    </row>
    <row r="6967" spans="10:23" x14ac:dyDescent="0.25">
      <c r="J6967"/>
      <c r="M6967"/>
      <c r="W6967"/>
    </row>
    <row r="6968" spans="10:23" x14ac:dyDescent="0.25">
      <c r="J6968"/>
      <c r="M6968"/>
      <c r="W6968"/>
    </row>
    <row r="6969" spans="10:23" x14ac:dyDescent="0.25">
      <c r="J6969"/>
      <c r="M6969"/>
      <c r="W6969"/>
    </row>
    <row r="6970" spans="10:23" x14ac:dyDescent="0.25">
      <c r="J6970"/>
      <c r="M6970"/>
      <c r="W6970"/>
    </row>
    <row r="6971" spans="10:23" x14ac:dyDescent="0.25">
      <c r="J6971"/>
      <c r="M6971"/>
      <c r="W6971"/>
    </row>
    <row r="6972" spans="10:23" x14ac:dyDescent="0.25">
      <c r="J6972"/>
      <c r="M6972"/>
      <c r="W6972"/>
    </row>
    <row r="6973" spans="10:23" x14ac:dyDescent="0.25">
      <c r="J6973"/>
      <c r="M6973"/>
      <c r="W6973"/>
    </row>
    <row r="6974" spans="10:23" x14ac:dyDescent="0.25">
      <c r="J6974"/>
      <c r="M6974"/>
      <c r="W6974"/>
    </row>
    <row r="6975" spans="10:23" x14ac:dyDescent="0.25">
      <c r="J6975"/>
      <c r="M6975"/>
      <c r="W6975"/>
    </row>
    <row r="6976" spans="10:23" x14ac:dyDescent="0.25">
      <c r="J6976"/>
      <c r="M6976"/>
      <c r="W6976"/>
    </row>
    <row r="6977" spans="10:23" x14ac:dyDescent="0.25">
      <c r="J6977"/>
      <c r="M6977"/>
      <c r="W6977"/>
    </row>
    <row r="6978" spans="10:23" x14ac:dyDescent="0.25">
      <c r="J6978"/>
      <c r="M6978"/>
      <c r="W6978"/>
    </row>
    <row r="6979" spans="10:23" x14ac:dyDescent="0.25">
      <c r="J6979"/>
      <c r="M6979"/>
      <c r="W6979"/>
    </row>
    <row r="6980" spans="10:23" x14ac:dyDescent="0.25">
      <c r="J6980"/>
      <c r="M6980"/>
      <c r="W6980"/>
    </row>
    <row r="6981" spans="10:23" x14ac:dyDescent="0.25">
      <c r="J6981"/>
      <c r="M6981"/>
      <c r="W6981"/>
    </row>
    <row r="6982" spans="10:23" x14ac:dyDescent="0.25">
      <c r="J6982"/>
      <c r="M6982"/>
      <c r="W6982"/>
    </row>
    <row r="6983" spans="10:23" x14ac:dyDescent="0.25">
      <c r="J6983"/>
      <c r="M6983"/>
      <c r="W6983"/>
    </row>
    <row r="6984" spans="10:23" x14ac:dyDescent="0.25">
      <c r="J6984"/>
      <c r="M6984"/>
      <c r="W6984"/>
    </row>
    <row r="6985" spans="10:23" x14ac:dyDescent="0.25">
      <c r="J6985"/>
      <c r="M6985"/>
      <c r="W6985"/>
    </row>
    <row r="6986" spans="10:23" x14ac:dyDescent="0.25">
      <c r="J6986"/>
      <c r="M6986"/>
      <c r="W6986"/>
    </row>
    <row r="6987" spans="10:23" x14ac:dyDescent="0.25">
      <c r="J6987"/>
      <c r="M6987"/>
      <c r="W6987"/>
    </row>
    <row r="6988" spans="10:23" x14ac:dyDescent="0.25">
      <c r="J6988"/>
      <c r="M6988"/>
      <c r="W6988"/>
    </row>
    <row r="6989" spans="10:23" x14ac:dyDescent="0.25">
      <c r="J6989"/>
      <c r="M6989"/>
      <c r="W6989"/>
    </row>
    <row r="6990" spans="10:23" x14ac:dyDescent="0.25">
      <c r="J6990"/>
      <c r="M6990"/>
      <c r="W6990"/>
    </row>
    <row r="6991" spans="10:23" x14ac:dyDescent="0.25">
      <c r="J6991"/>
      <c r="M6991"/>
      <c r="W6991"/>
    </row>
    <row r="6992" spans="10:23" x14ac:dyDescent="0.25">
      <c r="J6992"/>
      <c r="M6992"/>
      <c r="W6992"/>
    </row>
    <row r="6993" spans="10:23" x14ac:dyDescent="0.25">
      <c r="J6993"/>
      <c r="M6993"/>
      <c r="W6993"/>
    </row>
    <row r="6994" spans="10:23" x14ac:dyDescent="0.25">
      <c r="J6994"/>
      <c r="M6994"/>
      <c r="W6994"/>
    </row>
    <row r="6995" spans="10:23" x14ac:dyDescent="0.25">
      <c r="J6995"/>
      <c r="M6995"/>
      <c r="W6995"/>
    </row>
    <row r="6996" spans="10:23" x14ac:dyDescent="0.25">
      <c r="J6996"/>
      <c r="M6996"/>
      <c r="W6996"/>
    </row>
    <row r="6997" spans="10:23" x14ac:dyDescent="0.25">
      <c r="J6997"/>
      <c r="M6997"/>
      <c r="W6997"/>
    </row>
    <row r="6998" spans="10:23" x14ac:dyDescent="0.25">
      <c r="J6998"/>
      <c r="M6998"/>
      <c r="W6998"/>
    </row>
    <row r="6999" spans="10:23" x14ac:dyDescent="0.25">
      <c r="J6999"/>
      <c r="M6999"/>
      <c r="W6999"/>
    </row>
    <row r="7000" spans="10:23" x14ac:dyDescent="0.25">
      <c r="J7000"/>
      <c r="M7000"/>
      <c r="W7000"/>
    </row>
    <row r="7001" spans="10:23" x14ac:dyDescent="0.25">
      <c r="J7001"/>
      <c r="M7001"/>
      <c r="W7001"/>
    </row>
    <row r="7002" spans="10:23" x14ac:dyDescent="0.25">
      <c r="J7002"/>
      <c r="M7002"/>
      <c r="W7002"/>
    </row>
    <row r="7003" spans="10:23" x14ac:dyDescent="0.25">
      <c r="J7003"/>
      <c r="M7003"/>
      <c r="W7003"/>
    </row>
    <row r="7004" spans="10:23" x14ac:dyDescent="0.25">
      <c r="J7004"/>
      <c r="M7004"/>
      <c r="W7004"/>
    </row>
    <row r="7005" spans="10:23" x14ac:dyDescent="0.25">
      <c r="J7005"/>
      <c r="M7005"/>
      <c r="W7005"/>
    </row>
    <row r="7006" spans="10:23" x14ac:dyDescent="0.25">
      <c r="J7006"/>
      <c r="M7006"/>
      <c r="W7006"/>
    </row>
    <row r="7007" spans="10:23" x14ac:dyDescent="0.25">
      <c r="J7007"/>
      <c r="M7007"/>
      <c r="W7007"/>
    </row>
    <row r="7008" spans="10:23" x14ac:dyDescent="0.25">
      <c r="J7008"/>
      <c r="M7008"/>
      <c r="W7008"/>
    </row>
    <row r="7009" spans="10:23" x14ac:dyDescent="0.25">
      <c r="J7009"/>
      <c r="M7009"/>
      <c r="W7009"/>
    </row>
    <row r="7010" spans="10:23" x14ac:dyDescent="0.25">
      <c r="J7010"/>
      <c r="M7010"/>
      <c r="W7010"/>
    </row>
    <row r="7011" spans="10:23" x14ac:dyDescent="0.25">
      <c r="J7011"/>
      <c r="M7011"/>
      <c r="W7011"/>
    </row>
    <row r="7012" spans="10:23" x14ac:dyDescent="0.25">
      <c r="J7012"/>
      <c r="M7012"/>
      <c r="W7012"/>
    </row>
    <row r="7013" spans="10:23" x14ac:dyDescent="0.25">
      <c r="J7013"/>
      <c r="M7013"/>
      <c r="W7013"/>
    </row>
    <row r="7014" spans="10:23" x14ac:dyDescent="0.25">
      <c r="J7014"/>
      <c r="M7014"/>
      <c r="W7014"/>
    </row>
    <row r="7015" spans="10:23" x14ac:dyDescent="0.25">
      <c r="J7015"/>
      <c r="M7015"/>
      <c r="W7015"/>
    </row>
    <row r="7016" spans="10:23" x14ac:dyDescent="0.25">
      <c r="J7016"/>
      <c r="M7016"/>
      <c r="W7016"/>
    </row>
    <row r="7017" spans="10:23" x14ac:dyDescent="0.25">
      <c r="J7017"/>
      <c r="M7017"/>
      <c r="W7017"/>
    </row>
    <row r="7018" spans="10:23" x14ac:dyDescent="0.25">
      <c r="J7018"/>
      <c r="M7018"/>
      <c r="W7018"/>
    </row>
    <row r="7019" spans="10:23" x14ac:dyDescent="0.25">
      <c r="J7019"/>
      <c r="M7019"/>
      <c r="W7019"/>
    </row>
    <row r="7020" spans="10:23" x14ac:dyDescent="0.25">
      <c r="J7020"/>
      <c r="M7020"/>
      <c r="W7020"/>
    </row>
    <row r="7021" spans="10:23" x14ac:dyDescent="0.25">
      <c r="J7021"/>
      <c r="M7021"/>
      <c r="W7021"/>
    </row>
    <row r="7022" spans="10:23" x14ac:dyDescent="0.25">
      <c r="J7022"/>
      <c r="M7022"/>
      <c r="W7022"/>
    </row>
    <row r="7023" spans="10:23" x14ac:dyDescent="0.25">
      <c r="J7023"/>
      <c r="M7023"/>
      <c r="W7023"/>
    </row>
    <row r="7024" spans="10:23" x14ac:dyDescent="0.25">
      <c r="J7024"/>
      <c r="M7024"/>
      <c r="W7024"/>
    </row>
    <row r="7025" spans="10:23" x14ac:dyDescent="0.25">
      <c r="J7025"/>
      <c r="M7025"/>
      <c r="W7025"/>
    </row>
    <row r="7026" spans="10:23" x14ac:dyDescent="0.25">
      <c r="J7026"/>
      <c r="M7026"/>
      <c r="W7026"/>
    </row>
    <row r="7027" spans="10:23" x14ac:dyDescent="0.25">
      <c r="J7027"/>
      <c r="M7027"/>
      <c r="W7027"/>
    </row>
    <row r="7028" spans="10:23" x14ac:dyDescent="0.25">
      <c r="J7028"/>
      <c r="M7028"/>
      <c r="W7028"/>
    </row>
    <row r="7029" spans="10:23" x14ac:dyDescent="0.25">
      <c r="J7029"/>
      <c r="M7029"/>
      <c r="W7029"/>
    </row>
    <row r="7030" spans="10:23" x14ac:dyDescent="0.25">
      <c r="J7030"/>
      <c r="M7030"/>
      <c r="W7030"/>
    </row>
    <row r="7031" spans="10:23" x14ac:dyDescent="0.25">
      <c r="J7031"/>
      <c r="M7031"/>
      <c r="W7031"/>
    </row>
    <row r="7032" spans="10:23" x14ac:dyDescent="0.25">
      <c r="J7032"/>
      <c r="M7032"/>
      <c r="W7032"/>
    </row>
    <row r="7033" spans="10:23" x14ac:dyDescent="0.25">
      <c r="J7033"/>
      <c r="M7033"/>
      <c r="W7033"/>
    </row>
    <row r="7034" spans="10:23" x14ac:dyDescent="0.25">
      <c r="J7034"/>
      <c r="M7034"/>
      <c r="W7034"/>
    </row>
    <row r="7035" spans="10:23" x14ac:dyDescent="0.25">
      <c r="J7035"/>
      <c r="M7035"/>
      <c r="W7035"/>
    </row>
    <row r="7036" spans="10:23" x14ac:dyDescent="0.25">
      <c r="J7036"/>
      <c r="M7036"/>
      <c r="W7036"/>
    </row>
    <row r="7037" spans="10:23" x14ac:dyDescent="0.25">
      <c r="J7037"/>
      <c r="M7037"/>
      <c r="W7037"/>
    </row>
    <row r="7038" spans="10:23" x14ac:dyDescent="0.25">
      <c r="J7038"/>
      <c r="M7038"/>
      <c r="W7038"/>
    </row>
    <row r="7039" spans="10:23" x14ac:dyDescent="0.25">
      <c r="J7039"/>
      <c r="M7039"/>
      <c r="W7039"/>
    </row>
    <row r="7040" spans="10:23" x14ac:dyDescent="0.25">
      <c r="J7040"/>
      <c r="M7040"/>
      <c r="W7040"/>
    </row>
    <row r="7041" spans="10:23" x14ac:dyDescent="0.25">
      <c r="J7041"/>
      <c r="M7041"/>
      <c r="W7041"/>
    </row>
    <row r="7042" spans="10:23" x14ac:dyDescent="0.25">
      <c r="J7042"/>
      <c r="M7042"/>
      <c r="W7042"/>
    </row>
    <row r="7043" spans="10:23" x14ac:dyDescent="0.25">
      <c r="J7043"/>
      <c r="M7043"/>
      <c r="W7043"/>
    </row>
    <row r="7044" spans="10:23" x14ac:dyDescent="0.25">
      <c r="J7044"/>
      <c r="M7044"/>
      <c r="W7044"/>
    </row>
    <row r="7045" spans="10:23" x14ac:dyDescent="0.25">
      <c r="J7045"/>
      <c r="M7045"/>
      <c r="W7045"/>
    </row>
    <row r="7046" spans="10:23" x14ac:dyDescent="0.25">
      <c r="J7046"/>
      <c r="M7046"/>
      <c r="W7046"/>
    </row>
    <row r="7047" spans="10:23" x14ac:dyDescent="0.25">
      <c r="J7047"/>
      <c r="M7047"/>
      <c r="W7047"/>
    </row>
    <row r="7048" spans="10:23" x14ac:dyDescent="0.25">
      <c r="J7048"/>
      <c r="M7048"/>
      <c r="W7048"/>
    </row>
    <row r="7049" spans="10:23" x14ac:dyDescent="0.25">
      <c r="J7049"/>
      <c r="M7049"/>
      <c r="W7049"/>
    </row>
    <row r="7050" spans="10:23" x14ac:dyDescent="0.25">
      <c r="J7050"/>
      <c r="M7050"/>
      <c r="W7050"/>
    </row>
    <row r="7051" spans="10:23" x14ac:dyDescent="0.25">
      <c r="J7051"/>
      <c r="M7051"/>
      <c r="W7051"/>
    </row>
    <row r="7052" spans="10:23" x14ac:dyDescent="0.25">
      <c r="J7052"/>
      <c r="M7052"/>
      <c r="W7052"/>
    </row>
    <row r="7053" spans="10:23" x14ac:dyDescent="0.25">
      <c r="J7053"/>
      <c r="M7053"/>
      <c r="W7053"/>
    </row>
    <row r="7054" spans="10:23" x14ac:dyDescent="0.25">
      <c r="J7054"/>
      <c r="M7054"/>
      <c r="W7054"/>
    </row>
    <row r="7055" spans="10:23" x14ac:dyDescent="0.25">
      <c r="J7055"/>
      <c r="M7055"/>
      <c r="W7055"/>
    </row>
    <row r="7056" spans="10:23" x14ac:dyDescent="0.25">
      <c r="J7056"/>
      <c r="M7056"/>
      <c r="W7056"/>
    </row>
    <row r="7057" spans="10:23" x14ac:dyDescent="0.25">
      <c r="J7057"/>
      <c r="M7057"/>
      <c r="W7057"/>
    </row>
    <row r="7058" spans="10:23" x14ac:dyDescent="0.25">
      <c r="J7058"/>
      <c r="M7058"/>
      <c r="W7058"/>
    </row>
    <row r="7059" spans="10:23" x14ac:dyDescent="0.25">
      <c r="J7059"/>
      <c r="M7059"/>
      <c r="W7059"/>
    </row>
    <row r="7060" spans="10:23" x14ac:dyDescent="0.25">
      <c r="J7060"/>
      <c r="M7060"/>
      <c r="W7060"/>
    </row>
    <row r="7061" spans="10:23" x14ac:dyDescent="0.25">
      <c r="J7061"/>
      <c r="M7061"/>
      <c r="W7061"/>
    </row>
    <row r="7062" spans="10:23" x14ac:dyDescent="0.25">
      <c r="J7062"/>
      <c r="M7062"/>
      <c r="W7062"/>
    </row>
    <row r="7063" spans="10:23" x14ac:dyDescent="0.25">
      <c r="J7063"/>
      <c r="M7063"/>
      <c r="W7063"/>
    </row>
    <row r="7064" spans="10:23" x14ac:dyDescent="0.25">
      <c r="J7064"/>
      <c r="M7064"/>
      <c r="W7064"/>
    </row>
    <row r="7065" spans="10:23" x14ac:dyDescent="0.25">
      <c r="J7065"/>
      <c r="M7065"/>
      <c r="W7065"/>
    </row>
    <row r="7066" spans="10:23" x14ac:dyDescent="0.25">
      <c r="J7066"/>
      <c r="M7066"/>
      <c r="W7066"/>
    </row>
    <row r="7067" spans="10:23" x14ac:dyDescent="0.25">
      <c r="J7067"/>
      <c r="M7067"/>
      <c r="W7067"/>
    </row>
    <row r="7068" spans="10:23" x14ac:dyDescent="0.25">
      <c r="J7068"/>
      <c r="M7068"/>
      <c r="W7068"/>
    </row>
    <row r="7069" spans="10:23" x14ac:dyDescent="0.25">
      <c r="J7069"/>
      <c r="M7069"/>
      <c r="W7069"/>
    </row>
    <row r="7070" spans="10:23" x14ac:dyDescent="0.25">
      <c r="J7070"/>
      <c r="M7070"/>
      <c r="W7070"/>
    </row>
    <row r="7071" spans="10:23" x14ac:dyDescent="0.25">
      <c r="J7071"/>
      <c r="M7071"/>
      <c r="W7071"/>
    </row>
    <row r="7072" spans="10:23" x14ac:dyDescent="0.25">
      <c r="J7072"/>
      <c r="M7072"/>
      <c r="W7072"/>
    </row>
    <row r="7073" spans="10:23" x14ac:dyDescent="0.25">
      <c r="J7073"/>
      <c r="M7073"/>
      <c r="W7073"/>
    </row>
    <row r="7074" spans="10:23" x14ac:dyDescent="0.25">
      <c r="J7074"/>
      <c r="M7074"/>
      <c r="W7074"/>
    </row>
    <row r="7075" spans="10:23" x14ac:dyDescent="0.25">
      <c r="J7075"/>
      <c r="M7075"/>
      <c r="W7075"/>
    </row>
    <row r="7076" spans="10:23" x14ac:dyDescent="0.25">
      <c r="J7076"/>
      <c r="M7076"/>
      <c r="W7076"/>
    </row>
    <row r="7077" spans="10:23" x14ac:dyDescent="0.25">
      <c r="J7077"/>
      <c r="M7077"/>
      <c r="W7077"/>
    </row>
    <row r="7078" spans="10:23" x14ac:dyDescent="0.25">
      <c r="J7078"/>
      <c r="M7078"/>
      <c r="W7078"/>
    </row>
    <row r="7079" spans="10:23" x14ac:dyDescent="0.25">
      <c r="J7079"/>
      <c r="M7079"/>
      <c r="W7079"/>
    </row>
    <row r="7080" spans="10:23" x14ac:dyDescent="0.25">
      <c r="J7080"/>
      <c r="M7080"/>
      <c r="W7080"/>
    </row>
    <row r="7081" spans="10:23" x14ac:dyDescent="0.25">
      <c r="J7081"/>
      <c r="M7081"/>
      <c r="W7081"/>
    </row>
    <row r="7082" spans="10:23" x14ac:dyDescent="0.25">
      <c r="J7082"/>
      <c r="M7082"/>
      <c r="W7082"/>
    </row>
    <row r="7083" spans="10:23" x14ac:dyDescent="0.25">
      <c r="J7083"/>
      <c r="M7083"/>
      <c r="W7083"/>
    </row>
    <row r="7084" spans="10:23" x14ac:dyDescent="0.25">
      <c r="J7084"/>
      <c r="M7084"/>
      <c r="W7084"/>
    </row>
    <row r="7085" spans="10:23" x14ac:dyDescent="0.25">
      <c r="J7085"/>
      <c r="M7085"/>
      <c r="W7085"/>
    </row>
    <row r="7086" spans="10:23" x14ac:dyDescent="0.25">
      <c r="J7086"/>
      <c r="M7086"/>
      <c r="W7086"/>
    </row>
    <row r="7087" spans="10:23" x14ac:dyDescent="0.25">
      <c r="J7087"/>
      <c r="M7087"/>
      <c r="W7087"/>
    </row>
    <row r="7088" spans="10:23" x14ac:dyDescent="0.25">
      <c r="J7088"/>
      <c r="M7088"/>
      <c r="W7088"/>
    </row>
    <row r="7089" spans="10:23" x14ac:dyDescent="0.25">
      <c r="J7089"/>
      <c r="M7089"/>
      <c r="W7089"/>
    </row>
    <row r="7090" spans="10:23" x14ac:dyDescent="0.25">
      <c r="J7090"/>
      <c r="M7090"/>
      <c r="W7090"/>
    </row>
    <row r="7091" spans="10:23" x14ac:dyDescent="0.25">
      <c r="J7091"/>
      <c r="M7091"/>
      <c r="W7091"/>
    </row>
    <row r="7092" spans="10:23" x14ac:dyDescent="0.25">
      <c r="J7092"/>
      <c r="M7092"/>
      <c r="W7092"/>
    </row>
    <row r="7093" spans="10:23" x14ac:dyDescent="0.25">
      <c r="J7093"/>
      <c r="M7093"/>
      <c r="W7093"/>
    </row>
    <row r="7094" spans="10:23" x14ac:dyDescent="0.25">
      <c r="J7094"/>
      <c r="M7094"/>
      <c r="W7094"/>
    </row>
    <row r="7095" spans="10:23" x14ac:dyDescent="0.25">
      <c r="J7095"/>
      <c r="M7095"/>
      <c r="W7095"/>
    </row>
    <row r="7096" spans="10:23" x14ac:dyDescent="0.25">
      <c r="J7096"/>
      <c r="M7096"/>
      <c r="W7096"/>
    </row>
    <row r="7097" spans="10:23" x14ac:dyDescent="0.25">
      <c r="J7097"/>
      <c r="M7097"/>
      <c r="W7097"/>
    </row>
    <row r="7098" spans="10:23" x14ac:dyDescent="0.25">
      <c r="J7098"/>
      <c r="M7098"/>
      <c r="W7098"/>
    </row>
    <row r="7099" spans="10:23" x14ac:dyDescent="0.25">
      <c r="J7099"/>
      <c r="M7099"/>
      <c r="W7099"/>
    </row>
    <row r="7100" spans="10:23" x14ac:dyDescent="0.25">
      <c r="J7100"/>
      <c r="M7100"/>
      <c r="W7100"/>
    </row>
    <row r="7101" spans="10:23" x14ac:dyDescent="0.25">
      <c r="J7101"/>
      <c r="M7101"/>
      <c r="W7101"/>
    </row>
    <row r="7102" spans="10:23" x14ac:dyDescent="0.25">
      <c r="J7102"/>
      <c r="M7102"/>
      <c r="W7102"/>
    </row>
    <row r="7103" spans="10:23" x14ac:dyDescent="0.25">
      <c r="J7103"/>
      <c r="M7103"/>
      <c r="W7103"/>
    </row>
    <row r="7104" spans="10:23" x14ac:dyDescent="0.25">
      <c r="J7104"/>
      <c r="M7104"/>
      <c r="W7104"/>
    </row>
    <row r="7105" spans="10:23" x14ac:dyDescent="0.25">
      <c r="J7105"/>
      <c r="M7105"/>
      <c r="W7105"/>
    </row>
    <row r="7106" spans="10:23" x14ac:dyDescent="0.25">
      <c r="J7106"/>
      <c r="M7106"/>
      <c r="W7106"/>
    </row>
    <row r="7107" spans="10:23" x14ac:dyDescent="0.25">
      <c r="J7107"/>
      <c r="M7107"/>
      <c r="W7107"/>
    </row>
    <row r="7108" spans="10:23" x14ac:dyDescent="0.25">
      <c r="J7108"/>
      <c r="M7108"/>
      <c r="W7108"/>
    </row>
    <row r="7109" spans="10:23" x14ac:dyDescent="0.25">
      <c r="J7109"/>
      <c r="M7109"/>
      <c r="W7109"/>
    </row>
    <row r="7110" spans="10:23" x14ac:dyDescent="0.25">
      <c r="J7110"/>
      <c r="M7110"/>
      <c r="W7110"/>
    </row>
    <row r="7111" spans="10:23" x14ac:dyDescent="0.25">
      <c r="J7111"/>
      <c r="M7111"/>
      <c r="W7111"/>
    </row>
    <row r="7112" spans="10:23" x14ac:dyDescent="0.25">
      <c r="J7112"/>
      <c r="M7112"/>
      <c r="W7112"/>
    </row>
    <row r="7113" spans="10:23" x14ac:dyDescent="0.25">
      <c r="J7113"/>
      <c r="M7113"/>
      <c r="W7113"/>
    </row>
    <row r="7114" spans="10:23" x14ac:dyDescent="0.25">
      <c r="J7114"/>
      <c r="M7114"/>
      <c r="W7114"/>
    </row>
    <row r="7115" spans="10:23" x14ac:dyDescent="0.25">
      <c r="J7115"/>
      <c r="M7115"/>
      <c r="W7115"/>
    </row>
    <row r="7116" spans="10:23" x14ac:dyDescent="0.25">
      <c r="J7116"/>
      <c r="M7116"/>
      <c r="W7116"/>
    </row>
    <row r="7117" spans="10:23" x14ac:dyDescent="0.25">
      <c r="J7117"/>
      <c r="M7117"/>
      <c r="W7117"/>
    </row>
    <row r="7118" spans="10:23" x14ac:dyDescent="0.25">
      <c r="J7118"/>
      <c r="M7118"/>
      <c r="W7118"/>
    </row>
    <row r="7119" spans="10:23" x14ac:dyDescent="0.25">
      <c r="J7119"/>
      <c r="M7119"/>
      <c r="W7119"/>
    </row>
    <row r="7120" spans="10:23" x14ac:dyDescent="0.25">
      <c r="J7120"/>
      <c r="M7120"/>
      <c r="W7120"/>
    </row>
    <row r="7121" spans="10:23" x14ac:dyDescent="0.25">
      <c r="J7121"/>
      <c r="M7121"/>
      <c r="W7121"/>
    </row>
    <row r="7122" spans="10:23" x14ac:dyDescent="0.25">
      <c r="J7122"/>
      <c r="M7122"/>
      <c r="W7122"/>
    </row>
    <row r="7123" spans="10:23" x14ac:dyDescent="0.25">
      <c r="J7123"/>
      <c r="M7123"/>
      <c r="W7123"/>
    </row>
    <row r="7124" spans="10:23" x14ac:dyDescent="0.25">
      <c r="J7124"/>
      <c r="M7124"/>
      <c r="W7124"/>
    </row>
    <row r="7125" spans="10:23" x14ac:dyDescent="0.25">
      <c r="J7125"/>
      <c r="M7125"/>
      <c r="W7125"/>
    </row>
    <row r="7126" spans="10:23" x14ac:dyDescent="0.25">
      <c r="J7126"/>
      <c r="M7126"/>
      <c r="W7126"/>
    </row>
    <row r="7127" spans="10:23" x14ac:dyDescent="0.25">
      <c r="J7127"/>
      <c r="M7127"/>
      <c r="W7127"/>
    </row>
    <row r="7128" spans="10:23" x14ac:dyDescent="0.25">
      <c r="J7128"/>
      <c r="M7128"/>
      <c r="W7128"/>
    </row>
    <row r="7129" spans="10:23" x14ac:dyDescent="0.25">
      <c r="J7129"/>
      <c r="M7129"/>
      <c r="W7129"/>
    </row>
    <row r="7130" spans="10:23" x14ac:dyDescent="0.25">
      <c r="J7130"/>
      <c r="M7130"/>
      <c r="W7130"/>
    </row>
    <row r="7131" spans="10:23" x14ac:dyDescent="0.25">
      <c r="J7131"/>
      <c r="M7131"/>
      <c r="W7131"/>
    </row>
    <row r="7132" spans="10:23" x14ac:dyDescent="0.25">
      <c r="J7132"/>
      <c r="M7132"/>
      <c r="W7132"/>
    </row>
    <row r="7133" spans="10:23" x14ac:dyDescent="0.25">
      <c r="J7133"/>
      <c r="M7133"/>
      <c r="W7133"/>
    </row>
    <row r="7134" spans="10:23" x14ac:dyDescent="0.25">
      <c r="J7134"/>
      <c r="M7134"/>
      <c r="W7134"/>
    </row>
    <row r="7135" spans="10:23" x14ac:dyDescent="0.25">
      <c r="J7135"/>
      <c r="M7135"/>
      <c r="W7135"/>
    </row>
    <row r="7136" spans="10:23" x14ac:dyDescent="0.25">
      <c r="J7136"/>
      <c r="M7136"/>
      <c r="W7136"/>
    </row>
    <row r="7137" spans="10:23" x14ac:dyDescent="0.25">
      <c r="J7137"/>
      <c r="M7137"/>
      <c r="W7137"/>
    </row>
    <row r="7138" spans="10:23" x14ac:dyDescent="0.25">
      <c r="J7138"/>
      <c r="M7138"/>
      <c r="W7138"/>
    </row>
    <row r="7139" spans="10:23" x14ac:dyDescent="0.25">
      <c r="J7139"/>
      <c r="M7139"/>
      <c r="W7139"/>
    </row>
    <row r="7140" spans="10:23" x14ac:dyDescent="0.25">
      <c r="J7140"/>
      <c r="M7140"/>
      <c r="W7140"/>
    </row>
    <row r="7141" spans="10:23" x14ac:dyDescent="0.25">
      <c r="J7141"/>
      <c r="M7141"/>
      <c r="W7141"/>
    </row>
    <row r="7142" spans="10:23" x14ac:dyDescent="0.25">
      <c r="J7142"/>
      <c r="M7142"/>
      <c r="W7142"/>
    </row>
    <row r="7143" spans="10:23" x14ac:dyDescent="0.25">
      <c r="J7143"/>
      <c r="M7143"/>
      <c r="W7143"/>
    </row>
    <row r="7144" spans="10:23" x14ac:dyDescent="0.25">
      <c r="J7144"/>
      <c r="M7144"/>
      <c r="W7144"/>
    </row>
    <row r="7145" spans="10:23" x14ac:dyDescent="0.25">
      <c r="J7145"/>
      <c r="M7145"/>
      <c r="W7145"/>
    </row>
    <row r="7146" spans="10:23" x14ac:dyDescent="0.25">
      <c r="J7146"/>
      <c r="M7146"/>
      <c r="W7146"/>
    </row>
    <row r="7147" spans="10:23" x14ac:dyDescent="0.25">
      <c r="J7147"/>
      <c r="M7147"/>
      <c r="W7147"/>
    </row>
    <row r="7148" spans="10:23" x14ac:dyDescent="0.25">
      <c r="J7148"/>
      <c r="M7148"/>
      <c r="W7148"/>
    </row>
    <row r="7149" spans="10:23" x14ac:dyDescent="0.25">
      <c r="J7149"/>
      <c r="M7149"/>
      <c r="W7149"/>
    </row>
    <row r="7150" spans="10:23" x14ac:dyDescent="0.25">
      <c r="J7150"/>
      <c r="M7150"/>
      <c r="W7150"/>
    </row>
    <row r="7151" spans="10:23" x14ac:dyDescent="0.25">
      <c r="J7151"/>
      <c r="M7151"/>
      <c r="W7151"/>
    </row>
    <row r="7152" spans="10:23" x14ac:dyDescent="0.25">
      <c r="J7152"/>
      <c r="M7152"/>
      <c r="W7152"/>
    </row>
    <row r="7153" spans="10:23" x14ac:dyDescent="0.25">
      <c r="J7153"/>
      <c r="M7153"/>
      <c r="W7153"/>
    </row>
    <row r="7154" spans="10:23" x14ac:dyDescent="0.25">
      <c r="J7154"/>
      <c r="M7154"/>
      <c r="W7154"/>
    </row>
    <row r="7155" spans="10:23" x14ac:dyDescent="0.25">
      <c r="J7155"/>
      <c r="M7155"/>
      <c r="W7155"/>
    </row>
    <row r="7156" spans="10:23" x14ac:dyDescent="0.25">
      <c r="J7156"/>
      <c r="M7156"/>
      <c r="W7156"/>
    </row>
    <row r="7157" spans="10:23" x14ac:dyDescent="0.25">
      <c r="J7157"/>
      <c r="M7157"/>
      <c r="W7157"/>
    </row>
    <row r="7158" spans="10:23" x14ac:dyDescent="0.25">
      <c r="J7158"/>
      <c r="M7158"/>
      <c r="W7158"/>
    </row>
    <row r="7159" spans="10:23" x14ac:dyDescent="0.25">
      <c r="J7159"/>
      <c r="M7159"/>
      <c r="W7159"/>
    </row>
    <row r="7160" spans="10:23" x14ac:dyDescent="0.25">
      <c r="J7160"/>
      <c r="M7160"/>
      <c r="W7160"/>
    </row>
    <row r="7161" spans="10:23" x14ac:dyDescent="0.25">
      <c r="J7161"/>
      <c r="M7161"/>
      <c r="W7161"/>
    </row>
    <row r="7162" spans="10:23" x14ac:dyDescent="0.25">
      <c r="J7162"/>
      <c r="M7162"/>
      <c r="W7162"/>
    </row>
    <row r="7163" spans="10:23" x14ac:dyDescent="0.25">
      <c r="J7163"/>
      <c r="M7163"/>
      <c r="W7163"/>
    </row>
    <row r="7164" spans="10:23" x14ac:dyDescent="0.25">
      <c r="J7164"/>
      <c r="M7164"/>
      <c r="W7164"/>
    </row>
    <row r="7165" spans="10:23" x14ac:dyDescent="0.25">
      <c r="J7165"/>
      <c r="M7165"/>
      <c r="W7165"/>
    </row>
    <row r="7166" spans="10:23" x14ac:dyDescent="0.25">
      <c r="J7166"/>
      <c r="M7166"/>
      <c r="W7166"/>
    </row>
    <row r="7167" spans="10:23" x14ac:dyDescent="0.25">
      <c r="J7167"/>
      <c r="M7167"/>
      <c r="W7167"/>
    </row>
    <row r="7168" spans="10:23" x14ac:dyDescent="0.25">
      <c r="J7168"/>
      <c r="M7168"/>
      <c r="W7168"/>
    </row>
    <row r="7169" spans="10:23" x14ac:dyDescent="0.25">
      <c r="J7169"/>
      <c r="M7169"/>
      <c r="W7169"/>
    </row>
    <row r="7170" spans="10:23" x14ac:dyDescent="0.25">
      <c r="J7170"/>
      <c r="M7170"/>
      <c r="W7170"/>
    </row>
    <row r="7171" spans="10:23" x14ac:dyDescent="0.25">
      <c r="J7171"/>
      <c r="M7171"/>
      <c r="W7171"/>
    </row>
    <row r="7172" spans="10:23" x14ac:dyDescent="0.25">
      <c r="J7172"/>
      <c r="M7172"/>
      <c r="W7172"/>
    </row>
    <row r="7173" spans="10:23" x14ac:dyDescent="0.25">
      <c r="J7173"/>
      <c r="M7173"/>
      <c r="W7173"/>
    </row>
    <row r="7174" spans="10:23" x14ac:dyDescent="0.25">
      <c r="J7174"/>
      <c r="M7174"/>
      <c r="W7174"/>
    </row>
    <row r="7175" spans="10:23" x14ac:dyDescent="0.25">
      <c r="J7175"/>
      <c r="M7175"/>
      <c r="W7175"/>
    </row>
    <row r="7176" spans="10:23" x14ac:dyDescent="0.25">
      <c r="J7176"/>
      <c r="M7176"/>
      <c r="W7176"/>
    </row>
    <row r="7177" spans="10:23" x14ac:dyDescent="0.25">
      <c r="J7177"/>
      <c r="M7177"/>
      <c r="W7177"/>
    </row>
    <row r="7178" spans="10:23" x14ac:dyDescent="0.25">
      <c r="J7178"/>
      <c r="M7178"/>
      <c r="W7178"/>
    </row>
    <row r="7179" spans="10:23" x14ac:dyDescent="0.25">
      <c r="J7179"/>
      <c r="M7179"/>
      <c r="W7179"/>
    </row>
    <row r="7180" spans="10:23" x14ac:dyDescent="0.25">
      <c r="J7180"/>
      <c r="M7180"/>
      <c r="W7180"/>
    </row>
    <row r="7181" spans="10:23" x14ac:dyDescent="0.25">
      <c r="J7181"/>
      <c r="M7181"/>
      <c r="W7181"/>
    </row>
    <row r="7182" spans="10:23" x14ac:dyDescent="0.25">
      <c r="J7182"/>
      <c r="M7182"/>
      <c r="W7182"/>
    </row>
    <row r="7183" spans="10:23" x14ac:dyDescent="0.25">
      <c r="J7183"/>
      <c r="M7183"/>
      <c r="W7183"/>
    </row>
    <row r="7184" spans="10:23" x14ac:dyDescent="0.25">
      <c r="J7184"/>
      <c r="M7184"/>
      <c r="W7184"/>
    </row>
    <row r="7185" spans="10:23" x14ac:dyDescent="0.25">
      <c r="J7185"/>
      <c r="M7185"/>
      <c r="W7185"/>
    </row>
    <row r="7186" spans="10:23" x14ac:dyDescent="0.25">
      <c r="J7186"/>
      <c r="M7186"/>
      <c r="W7186"/>
    </row>
    <row r="7187" spans="10:23" x14ac:dyDescent="0.25">
      <c r="J7187"/>
      <c r="M7187"/>
      <c r="W7187"/>
    </row>
    <row r="7188" spans="10:23" x14ac:dyDescent="0.25">
      <c r="J7188"/>
      <c r="M7188"/>
      <c r="W7188"/>
    </row>
    <row r="7189" spans="10:23" x14ac:dyDescent="0.25">
      <c r="J7189"/>
      <c r="M7189"/>
      <c r="W7189"/>
    </row>
    <row r="7190" spans="10:23" x14ac:dyDescent="0.25">
      <c r="J7190"/>
      <c r="M7190"/>
      <c r="W7190"/>
    </row>
    <row r="7191" spans="10:23" x14ac:dyDescent="0.25">
      <c r="J7191"/>
      <c r="M7191"/>
      <c r="W7191"/>
    </row>
    <row r="7192" spans="10:23" x14ac:dyDescent="0.25">
      <c r="J7192"/>
      <c r="M7192"/>
      <c r="W7192"/>
    </row>
    <row r="7193" spans="10:23" x14ac:dyDescent="0.25">
      <c r="J7193"/>
      <c r="M7193"/>
      <c r="W7193"/>
    </row>
    <row r="7194" spans="10:23" x14ac:dyDescent="0.25">
      <c r="J7194"/>
      <c r="M7194"/>
      <c r="W7194"/>
    </row>
    <row r="7195" spans="10:23" x14ac:dyDescent="0.25">
      <c r="J7195"/>
      <c r="M7195"/>
      <c r="W7195"/>
    </row>
    <row r="7196" spans="10:23" x14ac:dyDescent="0.25">
      <c r="J7196"/>
      <c r="M7196"/>
      <c r="W7196"/>
    </row>
    <row r="7197" spans="10:23" x14ac:dyDescent="0.25">
      <c r="J7197"/>
      <c r="M7197"/>
      <c r="W7197"/>
    </row>
    <row r="7198" spans="10:23" x14ac:dyDescent="0.25">
      <c r="J7198"/>
      <c r="M7198"/>
      <c r="W7198"/>
    </row>
    <row r="7199" spans="10:23" x14ac:dyDescent="0.25">
      <c r="J7199"/>
      <c r="M7199"/>
      <c r="W7199"/>
    </row>
    <row r="7200" spans="10:23" x14ac:dyDescent="0.25">
      <c r="J7200"/>
      <c r="M7200"/>
      <c r="W7200"/>
    </row>
    <row r="7201" spans="10:23" x14ac:dyDescent="0.25">
      <c r="J7201"/>
      <c r="M7201"/>
      <c r="W7201"/>
    </row>
    <row r="7202" spans="10:23" x14ac:dyDescent="0.25">
      <c r="J7202"/>
      <c r="M7202"/>
      <c r="W7202"/>
    </row>
    <row r="7203" spans="10:23" x14ac:dyDescent="0.25">
      <c r="J7203"/>
      <c r="M7203"/>
      <c r="W7203"/>
    </row>
    <row r="7204" spans="10:23" x14ac:dyDescent="0.25">
      <c r="J7204"/>
      <c r="M7204"/>
      <c r="W7204"/>
    </row>
    <row r="7205" spans="10:23" x14ac:dyDescent="0.25">
      <c r="J7205"/>
      <c r="M7205"/>
      <c r="W7205"/>
    </row>
    <row r="7206" spans="10:23" x14ac:dyDescent="0.25">
      <c r="J7206"/>
      <c r="M7206"/>
      <c r="W7206"/>
    </row>
    <row r="7207" spans="10:23" x14ac:dyDescent="0.25">
      <c r="J7207"/>
      <c r="M7207"/>
      <c r="W7207"/>
    </row>
    <row r="7208" spans="10:23" x14ac:dyDescent="0.25">
      <c r="J7208"/>
      <c r="M7208"/>
      <c r="W7208"/>
    </row>
    <row r="7209" spans="10:23" x14ac:dyDescent="0.25">
      <c r="J7209"/>
      <c r="M7209"/>
      <c r="W7209"/>
    </row>
    <row r="7210" spans="10:23" x14ac:dyDescent="0.25">
      <c r="J7210"/>
      <c r="M7210"/>
      <c r="W7210"/>
    </row>
    <row r="7211" spans="10:23" x14ac:dyDescent="0.25">
      <c r="J7211"/>
      <c r="M7211"/>
      <c r="W7211"/>
    </row>
    <row r="7212" spans="10:23" x14ac:dyDescent="0.25">
      <c r="J7212"/>
      <c r="M7212"/>
      <c r="W7212"/>
    </row>
    <row r="7213" spans="10:23" x14ac:dyDescent="0.25">
      <c r="J7213"/>
      <c r="M7213"/>
      <c r="W7213"/>
    </row>
    <row r="7214" spans="10:23" x14ac:dyDescent="0.25">
      <c r="J7214"/>
      <c r="M7214"/>
      <c r="W7214"/>
    </row>
    <row r="7215" spans="10:23" x14ac:dyDescent="0.25">
      <c r="J7215"/>
      <c r="M7215"/>
      <c r="W7215"/>
    </row>
    <row r="7216" spans="10:23" x14ac:dyDescent="0.25">
      <c r="J7216"/>
      <c r="M7216"/>
      <c r="W7216"/>
    </row>
    <row r="7217" spans="10:23" x14ac:dyDescent="0.25">
      <c r="J7217"/>
      <c r="M7217"/>
      <c r="W7217"/>
    </row>
    <row r="7218" spans="10:23" x14ac:dyDescent="0.25">
      <c r="J7218"/>
      <c r="M7218"/>
      <c r="W7218"/>
    </row>
    <row r="7219" spans="10:23" x14ac:dyDescent="0.25">
      <c r="J7219"/>
      <c r="M7219"/>
      <c r="W7219"/>
    </row>
    <row r="7220" spans="10:23" x14ac:dyDescent="0.25">
      <c r="J7220"/>
      <c r="M7220"/>
      <c r="W7220"/>
    </row>
    <row r="7221" spans="10:23" x14ac:dyDescent="0.25">
      <c r="J7221"/>
      <c r="M7221"/>
      <c r="W7221"/>
    </row>
    <row r="7222" spans="10:23" x14ac:dyDescent="0.25">
      <c r="J7222"/>
      <c r="M7222"/>
      <c r="W7222"/>
    </row>
    <row r="7223" spans="10:23" x14ac:dyDescent="0.25">
      <c r="J7223"/>
      <c r="M7223"/>
      <c r="W7223"/>
    </row>
    <row r="7224" spans="10:23" x14ac:dyDescent="0.25">
      <c r="J7224"/>
      <c r="M7224"/>
      <c r="W7224"/>
    </row>
    <row r="7225" spans="10:23" x14ac:dyDescent="0.25">
      <c r="J7225"/>
      <c r="M7225"/>
      <c r="W7225"/>
    </row>
    <row r="7226" spans="10:23" x14ac:dyDescent="0.25">
      <c r="J7226"/>
      <c r="M7226"/>
      <c r="W7226"/>
    </row>
    <row r="7227" spans="10:23" x14ac:dyDescent="0.25">
      <c r="J7227"/>
      <c r="M7227"/>
      <c r="W7227"/>
    </row>
    <row r="7228" spans="10:23" x14ac:dyDescent="0.25">
      <c r="J7228"/>
      <c r="M7228"/>
      <c r="W7228"/>
    </row>
    <row r="7229" spans="10:23" x14ac:dyDescent="0.25">
      <c r="J7229"/>
      <c r="M7229"/>
      <c r="W7229"/>
    </row>
    <row r="7230" spans="10:23" x14ac:dyDescent="0.25">
      <c r="J7230"/>
      <c r="M7230"/>
      <c r="W7230"/>
    </row>
    <row r="7231" spans="10:23" x14ac:dyDescent="0.25">
      <c r="J7231"/>
      <c r="M7231"/>
      <c r="W7231"/>
    </row>
    <row r="7232" spans="10:23" x14ac:dyDescent="0.25">
      <c r="J7232"/>
      <c r="M7232"/>
      <c r="W7232"/>
    </row>
    <row r="7233" spans="10:23" x14ac:dyDescent="0.25">
      <c r="J7233"/>
      <c r="M7233"/>
      <c r="W7233"/>
    </row>
    <row r="7234" spans="10:23" x14ac:dyDescent="0.25">
      <c r="J7234"/>
      <c r="M7234"/>
      <c r="W7234"/>
    </row>
    <row r="7235" spans="10:23" x14ac:dyDescent="0.25">
      <c r="J7235"/>
      <c r="M7235"/>
      <c r="W7235"/>
    </row>
    <row r="7236" spans="10:23" x14ac:dyDescent="0.25">
      <c r="J7236"/>
      <c r="M7236"/>
      <c r="W7236"/>
    </row>
    <row r="7237" spans="10:23" x14ac:dyDescent="0.25">
      <c r="J7237"/>
      <c r="M7237"/>
      <c r="W7237"/>
    </row>
    <row r="7238" spans="10:23" x14ac:dyDescent="0.25">
      <c r="J7238"/>
      <c r="M7238"/>
      <c r="W7238"/>
    </row>
    <row r="7239" spans="10:23" x14ac:dyDescent="0.25">
      <c r="J7239"/>
      <c r="M7239"/>
      <c r="W7239"/>
    </row>
    <row r="7240" spans="10:23" x14ac:dyDescent="0.25">
      <c r="J7240"/>
      <c r="M7240"/>
      <c r="W7240"/>
    </row>
    <row r="7241" spans="10:23" x14ac:dyDescent="0.25">
      <c r="J7241"/>
      <c r="M7241"/>
      <c r="W7241"/>
    </row>
    <row r="7242" spans="10:23" x14ac:dyDescent="0.25">
      <c r="J7242"/>
      <c r="M7242"/>
      <c r="W7242"/>
    </row>
    <row r="7243" spans="10:23" x14ac:dyDescent="0.25">
      <c r="J7243"/>
      <c r="M7243"/>
      <c r="W7243"/>
    </row>
    <row r="7244" spans="10:23" x14ac:dyDescent="0.25">
      <c r="J7244"/>
      <c r="M7244"/>
      <c r="W7244"/>
    </row>
    <row r="7245" spans="10:23" x14ac:dyDescent="0.25">
      <c r="J7245"/>
      <c r="M7245"/>
      <c r="W7245"/>
    </row>
    <row r="7246" spans="10:23" x14ac:dyDescent="0.25">
      <c r="J7246"/>
      <c r="M7246"/>
      <c r="W7246"/>
    </row>
    <row r="7247" spans="10:23" x14ac:dyDescent="0.25">
      <c r="J7247"/>
      <c r="M7247"/>
      <c r="W7247"/>
    </row>
    <row r="7248" spans="10:23" x14ac:dyDescent="0.25">
      <c r="J7248"/>
      <c r="M7248"/>
      <c r="W7248"/>
    </row>
    <row r="7249" spans="10:23" x14ac:dyDescent="0.25">
      <c r="J7249"/>
      <c r="M7249"/>
      <c r="W7249"/>
    </row>
    <row r="7250" spans="10:23" x14ac:dyDescent="0.25">
      <c r="J7250"/>
      <c r="M7250"/>
      <c r="W7250"/>
    </row>
    <row r="7251" spans="10:23" x14ac:dyDescent="0.25">
      <c r="J7251"/>
      <c r="M7251"/>
      <c r="W7251"/>
    </row>
    <row r="7252" spans="10:23" x14ac:dyDescent="0.25">
      <c r="J7252"/>
      <c r="M7252"/>
      <c r="W7252"/>
    </row>
    <row r="7253" spans="10:23" x14ac:dyDescent="0.25">
      <c r="J7253"/>
      <c r="M7253"/>
      <c r="W7253"/>
    </row>
    <row r="7254" spans="10:23" x14ac:dyDescent="0.25">
      <c r="J7254"/>
      <c r="M7254"/>
      <c r="W7254"/>
    </row>
    <row r="7255" spans="10:23" x14ac:dyDescent="0.25">
      <c r="J7255"/>
      <c r="M7255"/>
      <c r="W7255"/>
    </row>
    <row r="7256" spans="10:23" x14ac:dyDescent="0.25">
      <c r="J7256"/>
      <c r="M7256"/>
      <c r="W7256"/>
    </row>
    <row r="7257" spans="10:23" x14ac:dyDescent="0.25">
      <c r="J7257"/>
      <c r="M7257"/>
      <c r="W7257"/>
    </row>
    <row r="7258" spans="10:23" x14ac:dyDescent="0.25">
      <c r="J7258"/>
      <c r="M7258"/>
      <c r="W7258"/>
    </row>
    <row r="7259" spans="10:23" x14ac:dyDescent="0.25">
      <c r="J7259"/>
      <c r="M7259"/>
      <c r="W7259"/>
    </row>
    <row r="7260" spans="10:23" x14ac:dyDescent="0.25">
      <c r="J7260"/>
      <c r="M7260"/>
      <c r="W7260"/>
    </row>
    <row r="7261" spans="10:23" x14ac:dyDescent="0.25">
      <c r="J7261"/>
      <c r="M7261"/>
      <c r="W7261"/>
    </row>
    <row r="7262" spans="10:23" x14ac:dyDescent="0.25">
      <c r="J7262"/>
      <c r="M7262"/>
      <c r="W7262"/>
    </row>
    <row r="7263" spans="10:23" x14ac:dyDescent="0.25">
      <c r="J7263"/>
      <c r="M7263"/>
      <c r="W7263"/>
    </row>
    <row r="7264" spans="10:23" x14ac:dyDescent="0.25">
      <c r="J7264"/>
      <c r="M7264"/>
      <c r="W7264"/>
    </row>
    <row r="7265" spans="10:23" x14ac:dyDescent="0.25">
      <c r="J7265"/>
      <c r="M7265"/>
      <c r="W7265"/>
    </row>
    <row r="7266" spans="10:23" x14ac:dyDescent="0.25">
      <c r="J7266"/>
      <c r="M7266"/>
      <c r="W7266"/>
    </row>
    <row r="7267" spans="10:23" x14ac:dyDescent="0.25">
      <c r="J7267"/>
      <c r="M7267"/>
      <c r="W7267"/>
    </row>
    <row r="7268" spans="10:23" x14ac:dyDescent="0.25">
      <c r="J7268"/>
      <c r="M7268"/>
      <c r="W7268"/>
    </row>
    <row r="7269" spans="10:23" x14ac:dyDescent="0.25">
      <c r="J7269"/>
      <c r="M7269"/>
      <c r="W7269"/>
    </row>
    <row r="7270" spans="10:23" x14ac:dyDescent="0.25">
      <c r="J7270"/>
      <c r="M7270"/>
      <c r="W7270"/>
    </row>
    <row r="7271" spans="10:23" x14ac:dyDescent="0.25">
      <c r="J7271"/>
      <c r="M7271"/>
      <c r="W7271"/>
    </row>
    <row r="7272" spans="10:23" x14ac:dyDescent="0.25">
      <c r="J7272"/>
      <c r="M7272"/>
      <c r="W7272"/>
    </row>
    <row r="7273" spans="10:23" x14ac:dyDescent="0.25">
      <c r="J7273"/>
      <c r="M7273"/>
      <c r="W7273"/>
    </row>
    <row r="7274" spans="10:23" x14ac:dyDescent="0.25">
      <c r="J7274"/>
      <c r="M7274"/>
      <c r="W7274"/>
    </row>
    <row r="7275" spans="10:23" x14ac:dyDescent="0.25">
      <c r="J7275"/>
      <c r="M7275"/>
      <c r="W7275"/>
    </row>
    <row r="7276" spans="10:23" x14ac:dyDescent="0.25">
      <c r="J7276"/>
      <c r="M7276"/>
      <c r="W7276"/>
    </row>
    <row r="7277" spans="10:23" x14ac:dyDescent="0.25">
      <c r="J7277"/>
      <c r="M7277"/>
      <c r="W7277"/>
    </row>
    <row r="7278" spans="10:23" x14ac:dyDescent="0.25">
      <c r="J7278"/>
      <c r="M7278"/>
      <c r="W7278"/>
    </row>
    <row r="7279" spans="10:23" x14ac:dyDescent="0.25">
      <c r="J7279"/>
      <c r="M7279"/>
      <c r="W7279"/>
    </row>
    <row r="7280" spans="10:23" x14ac:dyDescent="0.25">
      <c r="J7280"/>
      <c r="M7280"/>
      <c r="W7280"/>
    </row>
    <row r="7281" spans="10:23" x14ac:dyDescent="0.25">
      <c r="J7281"/>
      <c r="M7281"/>
      <c r="W7281"/>
    </row>
    <row r="7282" spans="10:23" x14ac:dyDescent="0.25">
      <c r="J7282"/>
      <c r="M7282"/>
      <c r="W7282"/>
    </row>
    <row r="7283" spans="10:23" x14ac:dyDescent="0.25">
      <c r="J7283"/>
      <c r="M7283"/>
      <c r="W7283"/>
    </row>
    <row r="7284" spans="10:23" x14ac:dyDescent="0.25">
      <c r="J7284"/>
      <c r="M7284"/>
      <c r="W7284"/>
    </row>
    <row r="7285" spans="10:23" x14ac:dyDescent="0.25">
      <c r="J7285"/>
      <c r="M7285"/>
      <c r="W7285"/>
    </row>
    <row r="7286" spans="10:23" x14ac:dyDescent="0.25">
      <c r="J7286"/>
      <c r="M7286"/>
      <c r="W7286"/>
    </row>
    <row r="7287" spans="10:23" x14ac:dyDescent="0.25">
      <c r="J7287"/>
      <c r="M7287"/>
      <c r="W7287"/>
    </row>
    <row r="7288" spans="10:23" x14ac:dyDescent="0.25">
      <c r="J7288"/>
      <c r="M7288"/>
      <c r="W7288"/>
    </row>
    <row r="7289" spans="10:23" x14ac:dyDescent="0.25">
      <c r="J7289"/>
      <c r="M7289"/>
      <c r="W7289"/>
    </row>
    <row r="7290" spans="10:23" x14ac:dyDescent="0.25">
      <c r="J7290"/>
      <c r="M7290"/>
      <c r="W7290"/>
    </row>
    <row r="7291" spans="10:23" x14ac:dyDescent="0.25">
      <c r="J7291"/>
      <c r="M7291"/>
      <c r="W7291"/>
    </row>
    <row r="7292" spans="10:23" x14ac:dyDescent="0.25">
      <c r="J7292"/>
      <c r="M7292"/>
      <c r="W7292"/>
    </row>
    <row r="7293" spans="10:23" x14ac:dyDescent="0.25">
      <c r="J7293"/>
      <c r="M7293"/>
      <c r="W7293"/>
    </row>
    <row r="7294" spans="10:23" x14ac:dyDescent="0.25">
      <c r="J7294"/>
      <c r="M7294"/>
      <c r="W7294"/>
    </row>
    <row r="7295" spans="10:23" x14ac:dyDescent="0.25">
      <c r="J7295"/>
      <c r="M7295"/>
      <c r="W7295"/>
    </row>
    <row r="7296" spans="10:23" x14ac:dyDescent="0.25">
      <c r="J7296"/>
      <c r="M7296"/>
      <c r="W7296"/>
    </row>
    <row r="7297" spans="10:23" x14ac:dyDescent="0.25">
      <c r="J7297"/>
      <c r="M7297"/>
      <c r="W7297"/>
    </row>
    <row r="7298" spans="10:23" x14ac:dyDescent="0.25">
      <c r="J7298"/>
      <c r="M7298"/>
      <c r="W7298"/>
    </row>
    <row r="7299" spans="10:23" x14ac:dyDescent="0.25">
      <c r="J7299"/>
      <c r="M7299"/>
      <c r="W7299"/>
    </row>
    <row r="7300" spans="10:23" x14ac:dyDescent="0.25">
      <c r="J7300"/>
      <c r="M7300"/>
      <c r="W7300"/>
    </row>
    <row r="7301" spans="10:23" x14ac:dyDescent="0.25">
      <c r="J7301"/>
      <c r="M7301"/>
      <c r="W7301"/>
    </row>
    <row r="7302" spans="10:23" x14ac:dyDescent="0.25">
      <c r="J7302"/>
      <c r="M7302"/>
      <c r="W7302"/>
    </row>
    <row r="7303" spans="10:23" x14ac:dyDescent="0.25">
      <c r="J7303"/>
      <c r="M7303"/>
      <c r="W7303"/>
    </row>
    <row r="7304" spans="10:23" x14ac:dyDescent="0.25">
      <c r="J7304"/>
      <c r="M7304"/>
      <c r="W7304"/>
    </row>
    <row r="7305" spans="10:23" x14ac:dyDescent="0.25">
      <c r="J7305"/>
      <c r="M7305"/>
      <c r="W7305"/>
    </row>
    <row r="7306" spans="10:23" x14ac:dyDescent="0.25">
      <c r="J7306"/>
      <c r="M7306"/>
      <c r="W7306"/>
    </row>
    <row r="7307" spans="10:23" x14ac:dyDescent="0.25">
      <c r="J7307"/>
      <c r="M7307"/>
      <c r="W7307"/>
    </row>
    <row r="7308" spans="10:23" x14ac:dyDescent="0.25">
      <c r="J7308"/>
      <c r="M7308"/>
      <c r="W7308"/>
    </row>
    <row r="7309" spans="10:23" x14ac:dyDescent="0.25">
      <c r="J7309"/>
      <c r="M7309"/>
      <c r="W7309"/>
    </row>
    <row r="7310" spans="10:23" x14ac:dyDescent="0.25">
      <c r="J7310"/>
      <c r="M7310"/>
      <c r="W7310"/>
    </row>
    <row r="7311" spans="10:23" x14ac:dyDescent="0.25">
      <c r="J7311"/>
      <c r="M7311"/>
      <c r="W7311"/>
    </row>
    <row r="7312" spans="10:23" x14ac:dyDescent="0.25">
      <c r="J7312"/>
      <c r="M7312"/>
      <c r="W7312"/>
    </row>
    <row r="7313" spans="10:23" x14ac:dyDescent="0.25">
      <c r="J7313"/>
      <c r="M7313"/>
      <c r="W7313"/>
    </row>
    <row r="7314" spans="10:23" x14ac:dyDescent="0.25">
      <c r="J7314"/>
      <c r="M7314"/>
      <c r="W7314"/>
    </row>
    <row r="7315" spans="10:23" x14ac:dyDescent="0.25">
      <c r="J7315"/>
      <c r="M7315"/>
      <c r="W7315"/>
    </row>
    <row r="7316" spans="10:23" x14ac:dyDescent="0.25">
      <c r="J7316"/>
      <c r="M7316"/>
      <c r="W7316"/>
    </row>
    <row r="7317" spans="10:23" x14ac:dyDescent="0.25">
      <c r="J7317"/>
      <c r="M7317"/>
      <c r="W7317"/>
    </row>
    <row r="7318" spans="10:23" x14ac:dyDescent="0.25">
      <c r="J7318"/>
      <c r="M7318"/>
      <c r="W7318"/>
    </row>
    <row r="7319" spans="10:23" x14ac:dyDescent="0.25">
      <c r="J7319"/>
      <c r="M7319"/>
      <c r="W7319"/>
    </row>
    <row r="7320" spans="10:23" x14ac:dyDescent="0.25">
      <c r="J7320"/>
      <c r="M7320"/>
      <c r="W7320"/>
    </row>
    <row r="7321" spans="10:23" x14ac:dyDescent="0.25">
      <c r="J7321"/>
      <c r="M7321"/>
      <c r="W7321"/>
    </row>
    <row r="7322" spans="10:23" x14ac:dyDescent="0.25">
      <c r="J7322"/>
      <c r="M7322"/>
      <c r="W7322"/>
    </row>
    <row r="7323" spans="10:23" x14ac:dyDescent="0.25">
      <c r="J7323"/>
      <c r="M7323"/>
      <c r="W7323"/>
    </row>
    <row r="7324" spans="10:23" x14ac:dyDescent="0.25">
      <c r="J7324"/>
      <c r="M7324"/>
      <c r="W7324"/>
    </row>
    <row r="7325" spans="10:23" x14ac:dyDescent="0.25">
      <c r="J7325"/>
      <c r="M7325"/>
      <c r="W7325"/>
    </row>
    <row r="7326" spans="10:23" x14ac:dyDescent="0.25">
      <c r="J7326"/>
      <c r="M7326"/>
      <c r="W7326"/>
    </row>
    <row r="7327" spans="10:23" x14ac:dyDescent="0.25">
      <c r="J7327"/>
      <c r="M7327"/>
      <c r="W7327"/>
    </row>
    <row r="7328" spans="10:23" x14ac:dyDescent="0.25">
      <c r="J7328"/>
      <c r="M7328"/>
      <c r="W7328"/>
    </row>
    <row r="7329" spans="10:23" x14ac:dyDescent="0.25">
      <c r="J7329"/>
      <c r="M7329"/>
      <c r="W7329"/>
    </row>
    <row r="7330" spans="10:23" x14ac:dyDescent="0.25">
      <c r="J7330"/>
      <c r="M7330"/>
      <c r="W7330"/>
    </row>
    <row r="7331" spans="10:23" x14ac:dyDescent="0.25">
      <c r="J7331"/>
      <c r="M7331"/>
      <c r="W7331"/>
    </row>
    <row r="7332" spans="10:23" x14ac:dyDescent="0.25">
      <c r="J7332"/>
      <c r="M7332"/>
      <c r="W7332"/>
    </row>
    <row r="7333" spans="10:23" x14ac:dyDescent="0.25">
      <c r="J7333"/>
      <c r="M7333"/>
      <c r="W7333"/>
    </row>
    <row r="7334" spans="10:23" x14ac:dyDescent="0.25">
      <c r="J7334"/>
      <c r="M7334"/>
      <c r="W7334"/>
    </row>
    <row r="7335" spans="10:23" x14ac:dyDescent="0.25">
      <c r="J7335"/>
      <c r="M7335"/>
      <c r="W7335"/>
    </row>
    <row r="7336" spans="10:23" x14ac:dyDescent="0.25">
      <c r="J7336"/>
      <c r="M7336"/>
      <c r="W7336"/>
    </row>
    <row r="7337" spans="10:23" x14ac:dyDescent="0.25">
      <c r="J7337"/>
      <c r="M7337"/>
      <c r="W7337"/>
    </row>
    <row r="7338" spans="10:23" x14ac:dyDescent="0.25">
      <c r="J7338"/>
      <c r="M7338"/>
      <c r="W7338"/>
    </row>
    <row r="7339" spans="10:23" x14ac:dyDescent="0.25">
      <c r="J7339"/>
      <c r="M7339"/>
      <c r="W7339"/>
    </row>
    <row r="7340" spans="10:23" x14ac:dyDescent="0.25">
      <c r="J7340"/>
      <c r="M7340"/>
      <c r="W7340"/>
    </row>
    <row r="7341" spans="10:23" x14ac:dyDescent="0.25">
      <c r="J7341"/>
      <c r="M7341"/>
      <c r="W7341"/>
    </row>
    <row r="7342" spans="10:23" x14ac:dyDescent="0.25">
      <c r="J7342"/>
      <c r="M7342"/>
      <c r="W7342"/>
    </row>
    <row r="7343" spans="10:23" x14ac:dyDescent="0.25">
      <c r="J7343"/>
      <c r="M7343"/>
      <c r="W7343"/>
    </row>
    <row r="7344" spans="10:23" x14ac:dyDescent="0.25">
      <c r="J7344"/>
      <c r="M7344"/>
      <c r="W7344"/>
    </row>
    <row r="7345" spans="10:23" x14ac:dyDescent="0.25">
      <c r="J7345"/>
      <c r="M7345"/>
      <c r="W7345"/>
    </row>
    <row r="7346" spans="10:23" x14ac:dyDescent="0.25">
      <c r="J7346"/>
      <c r="M7346"/>
      <c r="W7346"/>
    </row>
    <row r="7347" spans="10:23" x14ac:dyDescent="0.25">
      <c r="J7347"/>
      <c r="M7347"/>
      <c r="W7347"/>
    </row>
    <row r="7348" spans="10:23" x14ac:dyDescent="0.25">
      <c r="J7348"/>
      <c r="M7348"/>
      <c r="W7348"/>
    </row>
    <row r="7349" spans="10:23" x14ac:dyDescent="0.25">
      <c r="J7349"/>
      <c r="M7349"/>
      <c r="W7349"/>
    </row>
    <row r="7350" spans="10:23" x14ac:dyDescent="0.25">
      <c r="J7350"/>
      <c r="M7350"/>
      <c r="W7350"/>
    </row>
    <row r="7351" spans="10:23" x14ac:dyDescent="0.25">
      <c r="J7351"/>
      <c r="M7351"/>
      <c r="W7351"/>
    </row>
    <row r="7352" spans="10:23" x14ac:dyDescent="0.25">
      <c r="J7352"/>
      <c r="M7352"/>
      <c r="W7352"/>
    </row>
    <row r="7353" spans="10:23" x14ac:dyDescent="0.25">
      <c r="J7353"/>
      <c r="M7353"/>
      <c r="W7353"/>
    </row>
    <row r="7354" spans="10:23" x14ac:dyDescent="0.25">
      <c r="J7354"/>
      <c r="M7354"/>
      <c r="W7354"/>
    </row>
    <row r="7355" spans="10:23" x14ac:dyDescent="0.25">
      <c r="J7355"/>
      <c r="M7355"/>
      <c r="W7355"/>
    </row>
    <row r="7356" spans="10:23" x14ac:dyDescent="0.25">
      <c r="J7356"/>
      <c r="M7356"/>
      <c r="W7356"/>
    </row>
    <row r="7357" spans="10:23" x14ac:dyDescent="0.25">
      <c r="J7357"/>
      <c r="M7357"/>
      <c r="W7357"/>
    </row>
    <row r="7358" spans="10:23" x14ac:dyDescent="0.25">
      <c r="J7358"/>
      <c r="M7358"/>
      <c r="W7358"/>
    </row>
    <row r="7359" spans="10:23" x14ac:dyDescent="0.25">
      <c r="J7359"/>
      <c r="M7359"/>
      <c r="W7359"/>
    </row>
    <row r="7360" spans="10:23" x14ac:dyDescent="0.25">
      <c r="J7360"/>
      <c r="M7360"/>
      <c r="W7360"/>
    </row>
    <row r="7361" spans="10:23" x14ac:dyDescent="0.25">
      <c r="J7361"/>
      <c r="M7361"/>
      <c r="W7361"/>
    </row>
    <row r="7362" spans="10:23" x14ac:dyDescent="0.25">
      <c r="J7362"/>
      <c r="M7362"/>
      <c r="W7362"/>
    </row>
    <row r="7363" spans="10:23" x14ac:dyDescent="0.25">
      <c r="J7363"/>
      <c r="M7363"/>
      <c r="W7363"/>
    </row>
    <row r="7364" spans="10:23" x14ac:dyDescent="0.25">
      <c r="J7364"/>
      <c r="M7364"/>
      <c r="W7364"/>
    </row>
    <row r="7365" spans="10:23" x14ac:dyDescent="0.25">
      <c r="J7365"/>
      <c r="M7365"/>
      <c r="W7365"/>
    </row>
    <row r="7366" spans="10:23" x14ac:dyDescent="0.25">
      <c r="J7366"/>
      <c r="M7366"/>
      <c r="W7366"/>
    </row>
    <row r="7367" spans="10:23" x14ac:dyDescent="0.25">
      <c r="J7367"/>
      <c r="M7367"/>
      <c r="W7367"/>
    </row>
    <row r="7368" spans="10:23" x14ac:dyDescent="0.25">
      <c r="J7368"/>
      <c r="M7368"/>
      <c r="W7368"/>
    </row>
    <row r="7369" spans="10:23" x14ac:dyDescent="0.25">
      <c r="J7369"/>
      <c r="M7369"/>
      <c r="W7369"/>
    </row>
    <row r="7370" spans="10:23" x14ac:dyDescent="0.25">
      <c r="J7370"/>
      <c r="M7370"/>
      <c r="W7370"/>
    </row>
    <row r="7371" spans="10:23" x14ac:dyDescent="0.25">
      <c r="J7371"/>
      <c r="M7371"/>
      <c r="W7371"/>
    </row>
    <row r="7372" spans="10:23" x14ac:dyDescent="0.25">
      <c r="J7372"/>
      <c r="M7372"/>
      <c r="W7372"/>
    </row>
    <row r="7373" spans="10:23" x14ac:dyDescent="0.25">
      <c r="J7373"/>
      <c r="M7373"/>
      <c r="W7373"/>
    </row>
    <row r="7374" spans="10:23" x14ac:dyDescent="0.25">
      <c r="J7374"/>
      <c r="M7374"/>
      <c r="W7374"/>
    </row>
    <row r="7375" spans="10:23" x14ac:dyDescent="0.25">
      <c r="J7375"/>
      <c r="M7375"/>
      <c r="W7375"/>
    </row>
    <row r="7376" spans="10:23" x14ac:dyDescent="0.25">
      <c r="J7376"/>
      <c r="M7376"/>
      <c r="W7376"/>
    </row>
    <row r="7377" spans="10:23" x14ac:dyDescent="0.25">
      <c r="J7377"/>
      <c r="M7377"/>
      <c r="W7377"/>
    </row>
    <row r="7378" spans="10:23" x14ac:dyDescent="0.25">
      <c r="J7378"/>
      <c r="M7378"/>
      <c r="W7378"/>
    </row>
    <row r="7379" spans="10:23" x14ac:dyDescent="0.25">
      <c r="J7379"/>
      <c r="M7379"/>
      <c r="W7379"/>
    </row>
    <row r="7380" spans="10:23" x14ac:dyDescent="0.25">
      <c r="J7380"/>
      <c r="M7380"/>
      <c r="W7380"/>
    </row>
    <row r="7381" spans="10:23" x14ac:dyDescent="0.25">
      <c r="J7381"/>
      <c r="M7381"/>
      <c r="W7381"/>
    </row>
    <row r="7382" spans="10:23" x14ac:dyDescent="0.25">
      <c r="J7382"/>
      <c r="M7382"/>
      <c r="W7382"/>
    </row>
    <row r="7383" spans="10:23" x14ac:dyDescent="0.25">
      <c r="J7383"/>
      <c r="M7383"/>
      <c r="W7383"/>
    </row>
    <row r="7384" spans="10:23" x14ac:dyDescent="0.25">
      <c r="J7384"/>
      <c r="M7384"/>
      <c r="W7384"/>
    </row>
    <row r="7385" spans="10:23" x14ac:dyDescent="0.25">
      <c r="J7385"/>
      <c r="M7385"/>
      <c r="W7385"/>
    </row>
    <row r="7386" spans="10:23" x14ac:dyDescent="0.25">
      <c r="J7386"/>
      <c r="M7386"/>
      <c r="W7386"/>
    </row>
    <row r="7387" spans="10:23" x14ac:dyDescent="0.25">
      <c r="J7387"/>
      <c r="M7387"/>
      <c r="W7387"/>
    </row>
    <row r="7388" spans="10:23" x14ac:dyDescent="0.25">
      <c r="J7388"/>
      <c r="M7388"/>
      <c r="W7388"/>
    </row>
    <row r="7389" spans="10:23" x14ac:dyDescent="0.25">
      <c r="J7389"/>
      <c r="M7389"/>
      <c r="W7389"/>
    </row>
    <row r="7390" spans="10:23" x14ac:dyDescent="0.25">
      <c r="J7390"/>
      <c r="M7390"/>
      <c r="W7390"/>
    </row>
    <row r="7391" spans="10:23" x14ac:dyDescent="0.25">
      <c r="J7391"/>
      <c r="M7391"/>
      <c r="W7391"/>
    </row>
    <row r="7392" spans="10:23" x14ac:dyDescent="0.25">
      <c r="J7392"/>
      <c r="M7392"/>
      <c r="W7392"/>
    </row>
    <row r="7393" spans="10:23" x14ac:dyDescent="0.25">
      <c r="J7393"/>
      <c r="M7393"/>
      <c r="W7393"/>
    </row>
    <row r="7394" spans="10:23" x14ac:dyDescent="0.25">
      <c r="J7394"/>
      <c r="M7394"/>
      <c r="W7394"/>
    </row>
    <row r="7395" spans="10:23" x14ac:dyDescent="0.25">
      <c r="J7395"/>
      <c r="M7395"/>
      <c r="W7395"/>
    </row>
    <row r="7396" spans="10:23" x14ac:dyDescent="0.25">
      <c r="J7396"/>
      <c r="M7396"/>
      <c r="W7396"/>
    </row>
    <row r="7397" spans="10:23" x14ac:dyDescent="0.25">
      <c r="J7397"/>
      <c r="M7397"/>
      <c r="W7397"/>
    </row>
    <row r="7398" spans="10:23" x14ac:dyDescent="0.25">
      <c r="J7398"/>
      <c r="M7398"/>
      <c r="W7398"/>
    </row>
    <row r="7399" spans="10:23" x14ac:dyDescent="0.25">
      <c r="J7399"/>
      <c r="M7399"/>
      <c r="W7399"/>
    </row>
    <row r="7400" spans="10:23" x14ac:dyDescent="0.25">
      <c r="J7400"/>
      <c r="M7400"/>
      <c r="W7400"/>
    </row>
    <row r="7401" spans="10:23" x14ac:dyDescent="0.25">
      <c r="J7401"/>
      <c r="M7401"/>
      <c r="W7401"/>
    </row>
    <row r="7402" spans="10:23" x14ac:dyDescent="0.25">
      <c r="J7402"/>
      <c r="M7402"/>
      <c r="W7402"/>
    </row>
    <row r="7403" spans="10:23" x14ac:dyDescent="0.25">
      <c r="J7403"/>
      <c r="M7403"/>
      <c r="W7403"/>
    </row>
    <row r="7404" spans="10:23" x14ac:dyDescent="0.25">
      <c r="J7404"/>
      <c r="M7404"/>
      <c r="W7404"/>
    </row>
    <row r="7405" spans="10:23" x14ac:dyDescent="0.25">
      <c r="J7405"/>
      <c r="M7405"/>
      <c r="W7405"/>
    </row>
    <row r="7406" spans="10:23" x14ac:dyDescent="0.25">
      <c r="J7406"/>
      <c r="M7406"/>
      <c r="W7406"/>
    </row>
    <row r="7407" spans="10:23" x14ac:dyDescent="0.25">
      <c r="J7407"/>
      <c r="M7407"/>
      <c r="W7407"/>
    </row>
    <row r="7408" spans="10:23" x14ac:dyDescent="0.25">
      <c r="J7408"/>
      <c r="M7408"/>
      <c r="W7408"/>
    </row>
    <row r="7409" spans="10:23" x14ac:dyDescent="0.25">
      <c r="J7409"/>
      <c r="M7409"/>
      <c r="W7409"/>
    </row>
    <row r="7410" spans="10:23" x14ac:dyDescent="0.25">
      <c r="J7410"/>
      <c r="M7410"/>
      <c r="W7410"/>
    </row>
    <row r="7411" spans="10:23" x14ac:dyDescent="0.25">
      <c r="J7411"/>
      <c r="M7411"/>
      <c r="W7411"/>
    </row>
    <row r="7412" spans="10:23" x14ac:dyDescent="0.25">
      <c r="J7412"/>
      <c r="M7412"/>
      <c r="W7412"/>
    </row>
    <row r="7413" spans="10:23" x14ac:dyDescent="0.25">
      <c r="J7413"/>
      <c r="M7413"/>
      <c r="W7413"/>
    </row>
    <row r="7414" spans="10:23" x14ac:dyDescent="0.25">
      <c r="J7414"/>
      <c r="M7414"/>
      <c r="W7414"/>
    </row>
    <row r="7415" spans="10:23" x14ac:dyDescent="0.25">
      <c r="J7415"/>
      <c r="M7415"/>
      <c r="W7415"/>
    </row>
    <row r="7416" spans="10:23" x14ac:dyDescent="0.25">
      <c r="J7416"/>
      <c r="M7416"/>
      <c r="W7416"/>
    </row>
    <row r="7417" spans="10:23" x14ac:dyDescent="0.25">
      <c r="J7417"/>
      <c r="M7417"/>
      <c r="W7417"/>
    </row>
    <row r="7418" spans="10:23" x14ac:dyDescent="0.25">
      <c r="J7418"/>
      <c r="M7418"/>
      <c r="W7418"/>
    </row>
    <row r="7419" spans="10:23" x14ac:dyDescent="0.25">
      <c r="J7419"/>
      <c r="M7419"/>
      <c r="W7419"/>
    </row>
    <row r="7420" spans="10:23" x14ac:dyDescent="0.25">
      <c r="J7420"/>
      <c r="M7420"/>
      <c r="W7420"/>
    </row>
    <row r="7421" spans="10:23" x14ac:dyDescent="0.25">
      <c r="J7421"/>
      <c r="M7421"/>
      <c r="W7421"/>
    </row>
    <row r="7422" spans="10:23" x14ac:dyDescent="0.25">
      <c r="J7422"/>
      <c r="M7422"/>
      <c r="W7422"/>
    </row>
    <row r="7423" spans="10:23" x14ac:dyDescent="0.25">
      <c r="J7423"/>
      <c r="M7423"/>
      <c r="W7423"/>
    </row>
    <row r="7424" spans="10:23" x14ac:dyDescent="0.25">
      <c r="J7424"/>
      <c r="M7424"/>
      <c r="W7424"/>
    </row>
    <row r="7425" spans="10:23" x14ac:dyDescent="0.25">
      <c r="J7425"/>
      <c r="M7425"/>
      <c r="W7425"/>
    </row>
    <row r="7426" spans="10:23" x14ac:dyDescent="0.25">
      <c r="J7426"/>
      <c r="M7426"/>
      <c r="W7426"/>
    </row>
    <row r="7427" spans="10:23" x14ac:dyDescent="0.25">
      <c r="J7427"/>
      <c r="M7427"/>
      <c r="W7427"/>
    </row>
    <row r="7428" spans="10:23" x14ac:dyDescent="0.25">
      <c r="J7428"/>
      <c r="M7428"/>
      <c r="W7428"/>
    </row>
    <row r="7429" spans="10:23" x14ac:dyDescent="0.25">
      <c r="J7429"/>
      <c r="M7429"/>
      <c r="W7429"/>
    </row>
    <row r="7430" spans="10:23" x14ac:dyDescent="0.25">
      <c r="J7430"/>
      <c r="M7430"/>
      <c r="W7430"/>
    </row>
    <row r="7431" spans="10:23" x14ac:dyDescent="0.25">
      <c r="J7431"/>
      <c r="M7431"/>
      <c r="W7431"/>
    </row>
    <row r="7432" spans="10:23" x14ac:dyDescent="0.25">
      <c r="J7432"/>
      <c r="M7432"/>
      <c r="W7432"/>
    </row>
    <row r="7433" spans="10:23" x14ac:dyDescent="0.25">
      <c r="J7433"/>
      <c r="M7433"/>
      <c r="W7433"/>
    </row>
    <row r="7434" spans="10:23" x14ac:dyDescent="0.25">
      <c r="J7434"/>
      <c r="M7434"/>
      <c r="W7434"/>
    </row>
    <row r="7435" spans="10:23" x14ac:dyDescent="0.25">
      <c r="J7435"/>
      <c r="M7435"/>
      <c r="W7435"/>
    </row>
    <row r="7436" spans="10:23" x14ac:dyDescent="0.25">
      <c r="J7436"/>
      <c r="M7436"/>
      <c r="W7436"/>
    </row>
    <row r="7437" spans="10:23" x14ac:dyDescent="0.25">
      <c r="J7437"/>
      <c r="M7437"/>
      <c r="W7437"/>
    </row>
    <row r="7438" spans="10:23" x14ac:dyDescent="0.25">
      <c r="J7438"/>
      <c r="M7438"/>
      <c r="W7438"/>
    </row>
    <row r="7439" spans="10:23" x14ac:dyDescent="0.25">
      <c r="J7439"/>
      <c r="M7439"/>
      <c r="W7439"/>
    </row>
    <row r="7440" spans="10:23" x14ac:dyDescent="0.25">
      <c r="J7440"/>
      <c r="M7440"/>
      <c r="W7440"/>
    </row>
    <row r="7441" spans="10:23" x14ac:dyDescent="0.25">
      <c r="J7441"/>
      <c r="M7441"/>
      <c r="W7441"/>
    </row>
    <row r="7442" spans="10:23" x14ac:dyDescent="0.25">
      <c r="J7442"/>
      <c r="M7442"/>
      <c r="W7442"/>
    </row>
    <row r="7443" spans="10:23" x14ac:dyDescent="0.25">
      <c r="J7443"/>
      <c r="M7443"/>
      <c r="W7443"/>
    </row>
    <row r="7444" spans="10:23" x14ac:dyDescent="0.25">
      <c r="J7444"/>
      <c r="M7444"/>
      <c r="W7444"/>
    </row>
    <row r="7445" spans="10:23" x14ac:dyDescent="0.25">
      <c r="J7445"/>
      <c r="M7445"/>
      <c r="W7445"/>
    </row>
    <row r="7446" spans="10:23" x14ac:dyDescent="0.25">
      <c r="J7446"/>
      <c r="M7446"/>
      <c r="W7446"/>
    </row>
    <row r="7447" spans="10:23" x14ac:dyDescent="0.25">
      <c r="J7447"/>
      <c r="M7447"/>
      <c r="W7447"/>
    </row>
    <row r="7448" spans="10:23" x14ac:dyDescent="0.25">
      <c r="J7448"/>
      <c r="M7448"/>
      <c r="W7448"/>
    </row>
    <row r="7449" spans="10:23" x14ac:dyDescent="0.25">
      <c r="J7449"/>
      <c r="M7449"/>
      <c r="W7449"/>
    </row>
    <row r="7450" spans="10:23" x14ac:dyDescent="0.25">
      <c r="J7450"/>
      <c r="M7450"/>
      <c r="W7450"/>
    </row>
    <row r="7451" spans="10:23" x14ac:dyDescent="0.25">
      <c r="J7451"/>
      <c r="M7451"/>
      <c r="W7451"/>
    </row>
    <row r="7452" spans="10:23" x14ac:dyDescent="0.25">
      <c r="J7452"/>
      <c r="M7452"/>
      <c r="W7452"/>
    </row>
    <row r="7453" spans="10:23" x14ac:dyDescent="0.25">
      <c r="J7453"/>
      <c r="M7453"/>
      <c r="W7453"/>
    </row>
    <row r="7454" spans="10:23" x14ac:dyDescent="0.25">
      <c r="J7454"/>
      <c r="M7454"/>
      <c r="W7454"/>
    </row>
    <row r="7455" spans="10:23" x14ac:dyDescent="0.25">
      <c r="J7455"/>
      <c r="M7455"/>
      <c r="W7455"/>
    </row>
    <row r="7456" spans="10:23" x14ac:dyDescent="0.25">
      <c r="J7456"/>
      <c r="M7456"/>
      <c r="W7456"/>
    </row>
    <row r="7457" spans="10:23" x14ac:dyDescent="0.25">
      <c r="J7457"/>
      <c r="M7457"/>
      <c r="W7457"/>
    </row>
    <row r="7458" spans="10:23" x14ac:dyDescent="0.25">
      <c r="J7458"/>
      <c r="M7458"/>
      <c r="W7458"/>
    </row>
    <row r="7459" spans="10:23" x14ac:dyDescent="0.25">
      <c r="J7459"/>
      <c r="M7459"/>
      <c r="W7459"/>
    </row>
    <row r="7460" spans="10:23" x14ac:dyDescent="0.25">
      <c r="J7460"/>
      <c r="M7460"/>
      <c r="W7460"/>
    </row>
    <row r="7461" spans="10:23" x14ac:dyDescent="0.25">
      <c r="J7461"/>
      <c r="M7461"/>
      <c r="W7461"/>
    </row>
    <row r="7462" spans="10:23" x14ac:dyDescent="0.25">
      <c r="J7462"/>
      <c r="M7462"/>
      <c r="W7462"/>
    </row>
    <row r="7463" spans="10:23" x14ac:dyDescent="0.25">
      <c r="J7463"/>
      <c r="M7463"/>
      <c r="W7463"/>
    </row>
    <row r="7464" spans="10:23" x14ac:dyDescent="0.25">
      <c r="J7464"/>
      <c r="M7464"/>
      <c r="W7464"/>
    </row>
    <row r="7465" spans="10:23" x14ac:dyDescent="0.25">
      <c r="J7465"/>
      <c r="M7465"/>
      <c r="W7465"/>
    </row>
    <row r="7466" spans="10:23" x14ac:dyDescent="0.25">
      <c r="J7466"/>
      <c r="M7466"/>
      <c r="W7466"/>
    </row>
    <row r="7467" spans="10:23" x14ac:dyDescent="0.25">
      <c r="J7467"/>
      <c r="M7467"/>
      <c r="W7467"/>
    </row>
    <row r="7468" spans="10:23" x14ac:dyDescent="0.25">
      <c r="J7468"/>
      <c r="M7468"/>
      <c r="W7468"/>
    </row>
    <row r="7469" spans="10:23" x14ac:dyDescent="0.25">
      <c r="J7469"/>
      <c r="M7469"/>
      <c r="W7469"/>
    </row>
    <row r="7470" spans="10:23" x14ac:dyDescent="0.25">
      <c r="J7470"/>
      <c r="M7470"/>
      <c r="W7470"/>
    </row>
    <row r="7471" spans="10:23" x14ac:dyDescent="0.25">
      <c r="J7471"/>
      <c r="M7471"/>
      <c r="W7471"/>
    </row>
    <row r="7472" spans="10:23" x14ac:dyDescent="0.25">
      <c r="J7472"/>
      <c r="M7472"/>
      <c r="W7472"/>
    </row>
    <row r="7473" spans="10:23" x14ac:dyDescent="0.25">
      <c r="J7473"/>
      <c r="M7473"/>
      <c r="W7473"/>
    </row>
    <row r="7474" spans="10:23" x14ac:dyDescent="0.25">
      <c r="J7474"/>
      <c r="M7474"/>
      <c r="W7474"/>
    </row>
    <row r="7475" spans="10:23" x14ac:dyDescent="0.25">
      <c r="J7475"/>
      <c r="M7475"/>
      <c r="W7475"/>
    </row>
    <row r="7476" spans="10:23" x14ac:dyDescent="0.25">
      <c r="J7476"/>
      <c r="M7476"/>
      <c r="W7476"/>
    </row>
    <row r="7477" spans="10:23" x14ac:dyDescent="0.25">
      <c r="J7477"/>
      <c r="M7477"/>
      <c r="W7477"/>
    </row>
    <row r="7478" spans="10:23" x14ac:dyDescent="0.25">
      <c r="J7478"/>
      <c r="M7478"/>
      <c r="W7478"/>
    </row>
    <row r="7479" spans="10:23" x14ac:dyDescent="0.25">
      <c r="J7479"/>
      <c r="M7479"/>
      <c r="W7479"/>
    </row>
    <row r="7480" spans="10:23" x14ac:dyDescent="0.25">
      <c r="J7480"/>
      <c r="M7480"/>
      <c r="W7480"/>
    </row>
    <row r="7481" spans="10:23" x14ac:dyDescent="0.25">
      <c r="J7481"/>
      <c r="M7481"/>
      <c r="W7481"/>
    </row>
    <row r="7482" spans="10:23" x14ac:dyDescent="0.25">
      <c r="J7482"/>
      <c r="M7482"/>
      <c r="W7482"/>
    </row>
    <row r="7483" spans="10:23" x14ac:dyDescent="0.25">
      <c r="J7483"/>
      <c r="M7483"/>
      <c r="W7483"/>
    </row>
    <row r="7484" spans="10:23" x14ac:dyDescent="0.25">
      <c r="J7484"/>
      <c r="M7484"/>
      <c r="W7484"/>
    </row>
    <row r="7485" spans="10:23" x14ac:dyDescent="0.25">
      <c r="J7485"/>
      <c r="M7485"/>
      <c r="W7485"/>
    </row>
    <row r="7486" spans="10:23" x14ac:dyDescent="0.25">
      <c r="J7486"/>
      <c r="M7486"/>
      <c r="W7486"/>
    </row>
    <row r="7487" spans="10:23" x14ac:dyDescent="0.25">
      <c r="J7487"/>
      <c r="M7487"/>
      <c r="W7487"/>
    </row>
    <row r="7488" spans="10:23" x14ac:dyDescent="0.25">
      <c r="J7488"/>
      <c r="M7488"/>
      <c r="W7488"/>
    </row>
    <row r="7489" spans="10:23" x14ac:dyDescent="0.25">
      <c r="J7489"/>
      <c r="M7489"/>
      <c r="W7489"/>
    </row>
    <row r="7490" spans="10:23" x14ac:dyDescent="0.25">
      <c r="J7490"/>
      <c r="M7490"/>
      <c r="W7490"/>
    </row>
    <row r="7491" spans="10:23" x14ac:dyDescent="0.25">
      <c r="J7491"/>
      <c r="M7491"/>
      <c r="W7491"/>
    </row>
    <row r="7492" spans="10:23" x14ac:dyDescent="0.25">
      <c r="J7492"/>
      <c r="M7492"/>
      <c r="W7492"/>
    </row>
    <row r="7493" spans="10:23" x14ac:dyDescent="0.25">
      <c r="J7493"/>
      <c r="M7493"/>
      <c r="W7493"/>
    </row>
    <row r="7494" spans="10:23" x14ac:dyDescent="0.25">
      <c r="J7494"/>
      <c r="M7494"/>
      <c r="W7494"/>
    </row>
    <row r="7495" spans="10:23" x14ac:dyDescent="0.25">
      <c r="J7495"/>
      <c r="M7495"/>
      <c r="W7495"/>
    </row>
    <row r="7496" spans="10:23" x14ac:dyDescent="0.25">
      <c r="J7496"/>
      <c r="M7496"/>
      <c r="W7496"/>
    </row>
    <row r="7497" spans="10:23" x14ac:dyDescent="0.25">
      <c r="J7497"/>
      <c r="M7497"/>
      <c r="W7497"/>
    </row>
    <row r="7498" spans="10:23" x14ac:dyDescent="0.25">
      <c r="J7498"/>
      <c r="M7498"/>
      <c r="W7498"/>
    </row>
    <row r="7499" spans="10:23" x14ac:dyDescent="0.25">
      <c r="J7499"/>
      <c r="M7499"/>
      <c r="W7499"/>
    </row>
    <row r="7500" spans="10:23" x14ac:dyDescent="0.25">
      <c r="J7500"/>
      <c r="M7500"/>
      <c r="W7500"/>
    </row>
    <row r="7501" spans="10:23" x14ac:dyDescent="0.25">
      <c r="J7501"/>
      <c r="M7501"/>
      <c r="W7501"/>
    </row>
    <row r="7502" spans="10:23" x14ac:dyDescent="0.25">
      <c r="J7502"/>
      <c r="M7502"/>
      <c r="W7502"/>
    </row>
    <row r="7503" spans="10:23" x14ac:dyDescent="0.25">
      <c r="J7503"/>
      <c r="M7503"/>
      <c r="W7503"/>
    </row>
    <row r="7504" spans="10:23" x14ac:dyDescent="0.25">
      <c r="J7504"/>
      <c r="M7504"/>
      <c r="W7504"/>
    </row>
    <row r="7505" spans="10:23" x14ac:dyDescent="0.25">
      <c r="J7505"/>
      <c r="M7505"/>
      <c r="W7505"/>
    </row>
    <row r="7506" spans="10:23" x14ac:dyDescent="0.25">
      <c r="J7506"/>
      <c r="M7506"/>
      <c r="W7506"/>
    </row>
    <row r="7507" spans="10:23" x14ac:dyDescent="0.25">
      <c r="J7507"/>
      <c r="M7507"/>
      <c r="W7507"/>
    </row>
    <row r="7508" spans="10:23" x14ac:dyDescent="0.25">
      <c r="J7508"/>
      <c r="M7508"/>
      <c r="W7508"/>
    </row>
    <row r="7509" spans="10:23" x14ac:dyDescent="0.25">
      <c r="J7509"/>
      <c r="M7509"/>
      <c r="W7509"/>
    </row>
    <row r="7510" spans="10:23" x14ac:dyDescent="0.25">
      <c r="J7510"/>
      <c r="M7510"/>
      <c r="W7510"/>
    </row>
    <row r="7511" spans="10:23" x14ac:dyDescent="0.25">
      <c r="J7511"/>
      <c r="M7511"/>
      <c r="W7511"/>
    </row>
    <row r="7512" spans="10:23" x14ac:dyDescent="0.25">
      <c r="J7512"/>
      <c r="M7512"/>
      <c r="W7512"/>
    </row>
    <row r="7513" spans="10:23" x14ac:dyDescent="0.25">
      <c r="J7513"/>
      <c r="M7513"/>
      <c r="W7513"/>
    </row>
    <row r="7514" spans="10:23" x14ac:dyDescent="0.25">
      <c r="J7514"/>
      <c r="M7514"/>
      <c r="W7514"/>
    </row>
    <row r="7515" spans="10:23" x14ac:dyDescent="0.25">
      <c r="J7515"/>
      <c r="M7515"/>
      <c r="W7515"/>
    </row>
    <row r="7516" spans="10:23" x14ac:dyDescent="0.25">
      <c r="J7516"/>
      <c r="M7516"/>
      <c r="W7516"/>
    </row>
    <row r="7517" spans="10:23" x14ac:dyDescent="0.25">
      <c r="J7517"/>
      <c r="M7517"/>
      <c r="W7517"/>
    </row>
    <row r="7518" spans="10:23" x14ac:dyDescent="0.25">
      <c r="J7518"/>
      <c r="M7518"/>
      <c r="W7518"/>
    </row>
    <row r="7519" spans="10:23" x14ac:dyDescent="0.25">
      <c r="J7519"/>
      <c r="M7519"/>
      <c r="W7519"/>
    </row>
    <row r="7520" spans="10:23" x14ac:dyDescent="0.25">
      <c r="J7520"/>
      <c r="M7520"/>
      <c r="W7520"/>
    </row>
    <row r="7521" spans="10:23" x14ac:dyDescent="0.25">
      <c r="J7521"/>
      <c r="M7521"/>
      <c r="W7521"/>
    </row>
    <row r="7522" spans="10:23" x14ac:dyDescent="0.25">
      <c r="J7522"/>
      <c r="M7522"/>
      <c r="W7522"/>
    </row>
    <row r="7523" spans="10:23" x14ac:dyDescent="0.25">
      <c r="J7523"/>
      <c r="M7523"/>
      <c r="W7523"/>
    </row>
    <row r="7524" spans="10:23" x14ac:dyDescent="0.25">
      <c r="J7524"/>
      <c r="M7524"/>
      <c r="W7524"/>
    </row>
    <row r="7525" spans="10:23" x14ac:dyDescent="0.25">
      <c r="J7525"/>
      <c r="M7525"/>
      <c r="W7525"/>
    </row>
    <row r="7526" spans="10:23" x14ac:dyDescent="0.25">
      <c r="J7526"/>
      <c r="M7526"/>
      <c r="W7526"/>
    </row>
    <row r="7527" spans="10:23" x14ac:dyDescent="0.25">
      <c r="J7527"/>
      <c r="M7527"/>
      <c r="W7527"/>
    </row>
    <row r="7528" spans="10:23" x14ac:dyDescent="0.25">
      <c r="J7528"/>
      <c r="M7528"/>
      <c r="W7528"/>
    </row>
    <row r="7529" spans="10:23" x14ac:dyDescent="0.25">
      <c r="J7529"/>
      <c r="M7529"/>
      <c r="W7529"/>
    </row>
    <row r="7530" spans="10:23" x14ac:dyDescent="0.25">
      <c r="J7530"/>
      <c r="M7530"/>
      <c r="W7530"/>
    </row>
    <row r="7531" spans="10:23" x14ac:dyDescent="0.25">
      <c r="J7531"/>
      <c r="M7531"/>
      <c r="W7531"/>
    </row>
    <row r="7532" spans="10:23" x14ac:dyDescent="0.25">
      <c r="J7532"/>
      <c r="M7532"/>
      <c r="W7532"/>
    </row>
    <row r="7533" spans="10:23" x14ac:dyDescent="0.25">
      <c r="J7533"/>
      <c r="M7533"/>
      <c r="W7533"/>
    </row>
    <row r="7534" spans="10:23" x14ac:dyDescent="0.25">
      <c r="J7534"/>
      <c r="M7534"/>
      <c r="W7534"/>
    </row>
    <row r="7535" spans="10:23" x14ac:dyDescent="0.25">
      <c r="J7535"/>
      <c r="M7535"/>
      <c r="W7535"/>
    </row>
    <row r="7536" spans="10:23" x14ac:dyDescent="0.25">
      <c r="J7536"/>
      <c r="M7536"/>
      <c r="W7536"/>
    </row>
    <row r="7537" spans="10:23" x14ac:dyDescent="0.25">
      <c r="J7537"/>
      <c r="M7537"/>
      <c r="W7537"/>
    </row>
    <row r="7538" spans="10:23" x14ac:dyDescent="0.25">
      <c r="J7538"/>
      <c r="M7538"/>
      <c r="W7538"/>
    </row>
    <row r="7539" spans="10:23" x14ac:dyDescent="0.25">
      <c r="J7539"/>
      <c r="M7539"/>
      <c r="W7539"/>
    </row>
    <row r="7540" spans="10:23" x14ac:dyDescent="0.25">
      <c r="J7540"/>
      <c r="M7540"/>
      <c r="W7540"/>
    </row>
    <row r="7541" spans="10:23" x14ac:dyDescent="0.25">
      <c r="J7541"/>
      <c r="M7541"/>
      <c r="W7541"/>
    </row>
    <row r="7542" spans="10:23" x14ac:dyDescent="0.25">
      <c r="J7542"/>
      <c r="M7542"/>
      <c r="W7542"/>
    </row>
    <row r="7543" spans="10:23" x14ac:dyDescent="0.25">
      <c r="J7543"/>
      <c r="M7543"/>
      <c r="W7543"/>
    </row>
    <row r="7544" spans="10:23" x14ac:dyDescent="0.25">
      <c r="J7544"/>
      <c r="M7544"/>
      <c r="W7544"/>
    </row>
    <row r="7545" spans="10:23" x14ac:dyDescent="0.25">
      <c r="J7545"/>
      <c r="M7545"/>
      <c r="W7545"/>
    </row>
    <row r="7546" spans="10:23" x14ac:dyDescent="0.25">
      <c r="J7546"/>
      <c r="M7546"/>
      <c r="W7546"/>
    </row>
    <row r="7547" spans="10:23" x14ac:dyDescent="0.25">
      <c r="J7547"/>
      <c r="M7547"/>
      <c r="W7547"/>
    </row>
    <row r="7548" spans="10:23" x14ac:dyDescent="0.25">
      <c r="J7548"/>
      <c r="M7548"/>
      <c r="W7548"/>
    </row>
    <row r="7549" spans="10:23" x14ac:dyDescent="0.25">
      <c r="J7549"/>
      <c r="M7549"/>
      <c r="W7549"/>
    </row>
    <row r="7550" spans="10:23" x14ac:dyDescent="0.25">
      <c r="J7550"/>
      <c r="M7550"/>
      <c r="W7550"/>
    </row>
    <row r="7551" spans="10:23" x14ac:dyDescent="0.25">
      <c r="J7551"/>
      <c r="M7551"/>
      <c r="W7551"/>
    </row>
    <row r="7552" spans="10:23" x14ac:dyDescent="0.25">
      <c r="J7552"/>
      <c r="M7552"/>
      <c r="W7552"/>
    </row>
    <row r="7553" spans="10:23" x14ac:dyDescent="0.25">
      <c r="J7553"/>
      <c r="M7553"/>
      <c r="W7553"/>
    </row>
    <row r="7554" spans="10:23" x14ac:dyDescent="0.25">
      <c r="J7554"/>
      <c r="M7554"/>
      <c r="W7554"/>
    </row>
    <row r="7555" spans="10:23" x14ac:dyDescent="0.25">
      <c r="J7555"/>
      <c r="M7555"/>
      <c r="W7555"/>
    </row>
    <row r="7556" spans="10:23" x14ac:dyDescent="0.25">
      <c r="J7556"/>
      <c r="M7556"/>
      <c r="W7556"/>
    </row>
    <row r="7557" spans="10:23" x14ac:dyDescent="0.25">
      <c r="J7557"/>
      <c r="M7557"/>
      <c r="W7557"/>
    </row>
    <row r="7558" spans="10:23" x14ac:dyDescent="0.25">
      <c r="J7558"/>
      <c r="M7558"/>
      <c r="W7558"/>
    </row>
    <row r="7559" spans="10:23" x14ac:dyDescent="0.25">
      <c r="J7559"/>
      <c r="M7559"/>
      <c r="W7559"/>
    </row>
    <row r="7560" spans="10:23" x14ac:dyDescent="0.25">
      <c r="J7560"/>
      <c r="M7560"/>
      <c r="W7560"/>
    </row>
    <row r="7561" spans="10:23" x14ac:dyDescent="0.25">
      <c r="J7561"/>
      <c r="M7561"/>
      <c r="W7561"/>
    </row>
    <row r="7562" spans="10:23" x14ac:dyDescent="0.25">
      <c r="J7562"/>
      <c r="M7562"/>
      <c r="W7562"/>
    </row>
    <row r="7563" spans="10:23" x14ac:dyDescent="0.25">
      <c r="J7563"/>
      <c r="M7563"/>
      <c r="W7563"/>
    </row>
    <row r="7564" spans="10:23" x14ac:dyDescent="0.25">
      <c r="J7564"/>
      <c r="M7564"/>
      <c r="W7564"/>
    </row>
    <row r="7565" spans="10:23" x14ac:dyDescent="0.25">
      <c r="J7565"/>
      <c r="M7565"/>
      <c r="W7565"/>
    </row>
    <row r="7566" spans="10:23" x14ac:dyDescent="0.25">
      <c r="J7566"/>
      <c r="M7566"/>
      <c r="W7566"/>
    </row>
    <row r="7567" spans="10:23" x14ac:dyDescent="0.25">
      <c r="J7567"/>
      <c r="M7567"/>
      <c r="W7567"/>
    </row>
    <row r="7568" spans="10:23" x14ac:dyDescent="0.25">
      <c r="J7568"/>
      <c r="M7568"/>
      <c r="W7568"/>
    </row>
    <row r="7569" spans="10:23" x14ac:dyDescent="0.25">
      <c r="J7569"/>
      <c r="M7569"/>
      <c r="W7569"/>
    </row>
    <row r="7570" spans="10:23" x14ac:dyDescent="0.25">
      <c r="J7570"/>
      <c r="M7570"/>
      <c r="W7570"/>
    </row>
    <row r="7571" spans="10:23" x14ac:dyDescent="0.25">
      <c r="J7571"/>
      <c r="M7571"/>
      <c r="W7571"/>
    </row>
    <row r="7572" spans="10:23" x14ac:dyDescent="0.25">
      <c r="J7572"/>
      <c r="M7572"/>
      <c r="W7572"/>
    </row>
    <row r="7573" spans="10:23" x14ac:dyDescent="0.25">
      <c r="J7573"/>
      <c r="M7573"/>
      <c r="W7573"/>
    </row>
    <row r="7574" spans="10:23" x14ac:dyDescent="0.25">
      <c r="J7574"/>
      <c r="M7574"/>
      <c r="W7574"/>
    </row>
    <row r="7575" spans="10:23" x14ac:dyDescent="0.25">
      <c r="J7575"/>
      <c r="M7575"/>
      <c r="W7575"/>
    </row>
    <row r="7576" spans="10:23" x14ac:dyDescent="0.25">
      <c r="J7576"/>
      <c r="M7576"/>
      <c r="W7576"/>
    </row>
    <row r="7577" spans="10:23" x14ac:dyDescent="0.25">
      <c r="J7577"/>
      <c r="M7577"/>
      <c r="W7577"/>
    </row>
    <row r="7578" spans="10:23" x14ac:dyDescent="0.25">
      <c r="J7578"/>
      <c r="M7578"/>
      <c r="W7578"/>
    </row>
    <row r="7579" spans="10:23" x14ac:dyDescent="0.25">
      <c r="J7579"/>
      <c r="M7579"/>
      <c r="W7579"/>
    </row>
    <row r="7580" spans="10:23" x14ac:dyDescent="0.25">
      <c r="J7580"/>
      <c r="M7580"/>
      <c r="W7580"/>
    </row>
    <row r="7581" spans="10:23" x14ac:dyDescent="0.25">
      <c r="J7581"/>
      <c r="M7581"/>
      <c r="W7581"/>
    </row>
    <row r="7582" spans="10:23" x14ac:dyDescent="0.25">
      <c r="J7582"/>
      <c r="M7582"/>
      <c r="W7582"/>
    </row>
    <row r="7583" spans="10:23" x14ac:dyDescent="0.25">
      <c r="J7583"/>
      <c r="M7583"/>
      <c r="W7583"/>
    </row>
    <row r="7584" spans="10:23" x14ac:dyDescent="0.25">
      <c r="J7584"/>
      <c r="M7584"/>
      <c r="W7584"/>
    </row>
    <row r="7585" spans="10:23" x14ac:dyDescent="0.25">
      <c r="J7585"/>
      <c r="M7585"/>
      <c r="W7585"/>
    </row>
    <row r="7586" spans="10:23" x14ac:dyDescent="0.25">
      <c r="J7586"/>
      <c r="M7586"/>
      <c r="W7586"/>
    </row>
    <row r="7587" spans="10:23" x14ac:dyDescent="0.25">
      <c r="J7587"/>
      <c r="M7587"/>
      <c r="W7587"/>
    </row>
    <row r="7588" spans="10:23" x14ac:dyDescent="0.25">
      <c r="J7588"/>
      <c r="M7588"/>
      <c r="W7588"/>
    </row>
    <row r="7589" spans="10:23" x14ac:dyDescent="0.25">
      <c r="J7589"/>
      <c r="M7589"/>
      <c r="W7589"/>
    </row>
    <row r="7590" spans="10:23" x14ac:dyDescent="0.25">
      <c r="J7590"/>
      <c r="M7590"/>
      <c r="W7590"/>
    </row>
    <row r="7591" spans="10:23" x14ac:dyDescent="0.25">
      <c r="J7591"/>
      <c r="M7591"/>
      <c r="W7591"/>
    </row>
    <row r="7592" spans="10:23" x14ac:dyDescent="0.25">
      <c r="J7592"/>
      <c r="M7592"/>
      <c r="W7592"/>
    </row>
    <row r="7593" spans="10:23" x14ac:dyDescent="0.25">
      <c r="J7593"/>
      <c r="M7593"/>
      <c r="W7593"/>
    </row>
    <row r="7594" spans="10:23" x14ac:dyDescent="0.25">
      <c r="J7594"/>
      <c r="M7594"/>
      <c r="W7594"/>
    </row>
    <row r="7595" spans="10:23" x14ac:dyDescent="0.25">
      <c r="J7595"/>
      <c r="M7595"/>
      <c r="W7595"/>
    </row>
    <row r="7596" spans="10:23" x14ac:dyDescent="0.25">
      <c r="J7596"/>
      <c r="M7596"/>
      <c r="W7596"/>
    </row>
    <row r="7597" spans="10:23" x14ac:dyDescent="0.25">
      <c r="J7597"/>
      <c r="M7597"/>
      <c r="W7597"/>
    </row>
    <row r="7598" spans="10:23" x14ac:dyDescent="0.25">
      <c r="J7598"/>
      <c r="M7598"/>
      <c r="W7598"/>
    </row>
    <row r="7599" spans="10:23" x14ac:dyDescent="0.25">
      <c r="J7599"/>
      <c r="M7599"/>
      <c r="W7599"/>
    </row>
    <row r="7600" spans="10:23" x14ac:dyDescent="0.25">
      <c r="J7600"/>
      <c r="M7600"/>
      <c r="W7600"/>
    </row>
    <row r="7601" spans="10:23" x14ac:dyDescent="0.25">
      <c r="J7601"/>
      <c r="M7601"/>
      <c r="W7601"/>
    </row>
    <row r="7602" spans="10:23" x14ac:dyDescent="0.25">
      <c r="J7602"/>
      <c r="M7602"/>
      <c r="W7602"/>
    </row>
    <row r="7603" spans="10:23" x14ac:dyDescent="0.25">
      <c r="J7603"/>
      <c r="M7603"/>
      <c r="W7603"/>
    </row>
    <row r="7604" spans="10:23" x14ac:dyDescent="0.25">
      <c r="J7604"/>
      <c r="M7604"/>
      <c r="W7604"/>
    </row>
    <row r="7605" spans="10:23" x14ac:dyDescent="0.25">
      <c r="J7605"/>
      <c r="M7605"/>
      <c r="W7605"/>
    </row>
    <row r="7606" spans="10:23" x14ac:dyDescent="0.25">
      <c r="J7606"/>
      <c r="M7606"/>
      <c r="W7606"/>
    </row>
    <row r="7607" spans="10:23" x14ac:dyDescent="0.25">
      <c r="J7607"/>
      <c r="M7607"/>
      <c r="W7607"/>
    </row>
    <row r="7608" spans="10:23" x14ac:dyDescent="0.25">
      <c r="J7608"/>
      <c r="M7608"/>
      <c r="W7608"/>
    </row>
    <row r="7609" spans="10:23" x14ac:dyDescent="0.25">
      <c r="J7609"/>
      <c r="M7609"/>
      <c r="W7609"/>
    </row>
    <row r="7610" spans="10:23" x14ac:dyDescent="0.25">
      <c r="J7610"/>
      <c r="M7610"/>
      <c r="W7610"/>
    </row>
    <row r="7611" spans="10:23" x14ac:dyDescent="0.25">
      <c r="J7611"/>
      <c r="M7611"/>
      <c r="W7611"/>
    </row>
    <row r="7612" spans="10:23" x14ac:dyDescent="0.25">
      <c r="J7612"/>
      <c r="M7612"/>
      <c r="W7612"/>
    </row>
    <row r="7613" spans="10:23" x14ac:dyDescent="0.25">
      <c r="J7613"/>
      <c r="M7613"/>
      <c r="W7613"/>
    </row>
    <row r="7614" spans="10:23" x14ac:dyDescent="0.25">
      <c r="J7614"/>
      <c r="M7614"/>
      <c r="W7614"/>
    </row>
    <row r="7615" spans="10:23" x14ac:dyDescent="0.25">
      <c r="J7615"/>
      <c r="M7615"/>
      <c r="W7615"/>
    </row>
    <row r="7616" spans="10:23" x14ac:dyDescent="0.25">
      <c r="J7616"/>
      <c r="M7616"/>
      <c r="W7616"/>
    </row>
    <row r="7617" spans="10:23" x14ac:dyDescent="0.25">
      <c r="J7617"/>
      <c r="M7617"/>
      <c r="W7617"/>
    </row>
    <row r="7618" spans="10:23" x14ac:dyDescent="0.25">
      <c r="J7618"/>
      <c r="M7618"/>
      <c r="W7618"/>
    </row>
    <row r="7619" spans="10:23" x14ac:dyDescent="0.25">
      <c r="J7619"/>
      <c r="M7619"/>
      <c r="W7619"/>
    </row>
    <row r="7620" spans="10:23" x14ac:dyDescent="0.25">
      <c r="J7620"/>
      <c r="M7620"/>
      <c r="W7620"/>
    </row>
    <row r="7621" spans="10:23" x14ac:dyDescent="0.25">
      <c r="J7621"/>
      <c r="M7621"/>
      <c r="W7621"/>
    </row>
    <row r="7622" spans="10:23" x14ac:dyDescent="0.25">
      <c r="J7622"/>
      <c r="M7622"/>
      <c r="W7622"/>
    </row>
    <row r="7623" spans="10:23" x14ac:dyDescent="0.25">
      <c r="J7623"/>
      <c r="M7623"/>
      <c r="W7623"/>
    </row>
    <row r="7624" spans="10:23" x14ac:dyDescent="0.25">
      <c r="J7624"/>
      <c r="M7624"/>
      <c r="W7624"/>
    </row>
    <row r="7625" spans="10:23" x14ac:dyDescent="0.25">
      <c r="J7625"/>
      <c r="M7625"/>
      <c r="W7625"/>
    </row>
    <row r="7626" spans="10:23" x14ac:dyDescent="0.25">
      <c r="J7626"/>
      <c r="M7626"/>
      <c r="W7626"/>
    </row>
    <row r="7627" spans="10:23" x14ac:dyDescent="0.25">
      <c r="J7627"/>
      <c r="M7627"/>
      <c r="W7627"/>
    </row>
    <row r="7628" spans="10:23" x14ac:dyDescent="0.25">
      <c r="J7628"/>
      <c r="M7628"/>
      <c r="W7628"/>
    </row>
    <row r="7629" spans="10:23" x14ac:dyDescent="0.25">
      <c r="J7629"/>
      <c r="M7629"/>
      <c r="W7629"/>
    </row>
    <row r="7630" spans="10:23" x14ac:dyDescent="0.25">
      <c r="J7630"/>
      <c r="M7630"/>
      <c r="W7630"/>
    </row>
    <row r="7631" spans="10:23" x14ac:dyDescent="0.25">
      <c r="J7631"/>
      <c r="M7631"/>
      <c r="W7631"/>
    </row>
    <row r="7632" spans="10:23" x14ac:dyDescent="0.25">
      <c r="J7632"/>
      <c r="M7632"/>
      <c r="W7632"/>
    </row>
    <row r="7633" spans="10:23" x14ac:dyDescent="0.25">
      <c r="J7633"/>
      <c r="M7633"/>
      <c r="W7633"/>
    </row>
    <row r="7634" spans="10:23" x14ac:dyDescent="0.25">
      <c r="J7634"/>
      <c r="M7634"/>
      <c r="W7634"/>
    </row>
    <row r="7635" spans="10:23" x14ac:dyDescent="0.25">
      <c r="J7635"/>
      <c r="M7635"/>
      <c r="W7635"/>
    </row>
    <row r="7636" spans="10:23" x14ac:dyDescent="0.25">
      <c r="J7636"/>
      <c r="M7636"/>
      <c r="W7636"/>
    </row>
    <row r="7637" spans="10:23" x14ac:dyDescent="0.25">
      <c r="J7637"/>
      <c r="M7637"/>
      <c r="W7637"/>
    </row>
    <row r="7638" spans="10:23" x14ac:dyDescent="0.25">
      <c r="J7638"/>
      <c r="M7638"/>
      <c r="W7638"/>
    </row>
    <row r="7639" spans="10:23" x14ac:dyDescent="0.25">
      <c r="J7639"/>
      <c r="M7639"/>
      <c r="W7639"/>
    </row>
    <row r="7640" spans="10:23" x14ac:dyDescent="0.25">
      <c r="J7640"/>
      <c r="M7640"/>
      <c r="W7640"/>
    </row>
    <row r="7641" spans="10:23" x14ac:dyDescent="0.25">
      <c r="J7641"/>
      <c r="M7641"/>
      <c r="W7641"/>
    </row>
    <row r="7642" spans="10:23" x14ac:dyDescent="0.25">
      <c r="J7642"/>
      <c r="M7642"/>
      <c r="W7642"/>
    </row>
    <row r="7643" spans="10:23" x14ac:dyDescent="0.25">
      <c r="J7643"/>
      <c r="M7643"/>
      <c r="W7643"/>
    </row>
    <row r="7644" spans="10:23" x14ac:dyDescent="0.25">
      <c r="J7644"/>
      <c r="M7644"/>
      <c r="W7644"/>
    </row>
    <row r="7645" spans="10:23" x14ac:dyDescent="0.25">
      <c r="J7645"/>
      <c r="M7645"/>
      <c r="W7645"/>
    </row>
    <row r="7646" spans="10:23" x14ac:dyDescent="0.25">
      <c r="J7646"/>
      <c r="M7646"/>
      <c r="W7646"/>
    </row>
    <row r="7647" spans="10:23" x14ac:dyDescent="0.25">
      <c r="J7647"/>
      <c r="M7647"/>
      <c r="W7647"/>
    </row>
    <row r="7648" spans="10:23" x14ac:dyDescent="0.25">
      <c r="J7648"/>
      <c r="M7648"/>
      <c r="W7648"/>
    </row>
    <row r="7649" spans="10:23" x14ac:dyDescent="0.25">
      <c r="J7649"/>
      <c r="M7649"/>
      <c r="W7649"/>
    </row>
    <row r="7650" spans="10:23" x14ac:dyDescent="0.25">
      <c r="J7650"/>
      <c r="M7650"/>
      <c r="W7650"/>
    </row>
    <row r="7651" spans="10:23" x14ac:dyDescent="0.25">
      <c r="J7651"/>
      <c r="M7651"/>
      <c r="W7651"/>
    </row>
    <row r="7652" spans="10:23" x14ac:dyDescent="0.25">
      <c r="J7652"/>
      <c r="M7652"/>
      <c r="W7652"/>
    </row>
    <row r="7653" spans="10:23" x14ac:dyDescent="0.25">
      <c r="J7653"/>
      <c r="M7653"/>
      <c r="W7653"/>
    </row>
    <row r="7654" spans="10:23" x14ac:dyDescent="0.25">
      <c r="J7654"/>
      <c r="M7654"/>
      <c r="W7654"/>
    </row>
    <row r="7655" spans="10:23" x14ac:dyDescent="0.25">
      <c r="J7655"/>
      <c r="M7655"/>
      <c r="W7655"/>
    </row>
    <row r="7656" spans="10:23" x14ac:dyDescent="0.25">
      <c r="J7656"/>
      <c r="M7656"/>
      <c r="W7656"/>
    </row>
    <row r="7657" spans="10:23" x14ac:dyDescent="0.25">
      <c r="J7657"/>
      <c r="M7657"/>
      <c r="W7657"/>
    </row>
    <row r="7658" spans="10:23" x14ac:dyDescent="0.25">
      <c r="J7658"/>
      <c r="M7658"/>
      <c r="W7658"/>
    </row>
    <row r="7659" spans="10:23" x14ac:dyDescent="0.25">
      <c r="J7659"/>
      <c r="M7659"/>
      <c r="W7659"/>
    </row>
    <row r="7660" spans="10:23" x14ac:dyDescent="0.25">
      <c r="J7660"/>
      <c r="M7660"/>
      <c r="W7660"/>
    </row>
    <row r="7661" spans="10:23" x14ac:dyDescent="0.25">
      <c r="J7661"/>
      <c r="M7661"/>
      <c r="W7661"/>
    </row>
    <row r="7662" spans="10:23" x14ac:dyDescent="0.25">
      <c r="J7662"/>
      <c r="M7662"/>
      <c r="W7662"/>
    </row>
    <row r="7663" spans="10:23" x14ac:dyDescent="0.25">
      <c r="J7663"/>
      <c r="M7663"/>
      <c r="W7663"/>
    </row>
    <row r="7664" spans="10:23" x14ac:dyDescent="0.25">
      <c r="J7664"/>
      <c r="M7664"/>
      <c r="W7664"/>
    </row>
    <row r="7665" spans="10:23" x14ac:dyDescent="0.25">
      <c r="J7665"/>
      <c r="M7665"/>
      <c r="W7665"/>
    </row>
    <row r="7666" spans="10:23" x14ac:dyDescent="0.25">
      <c r="J7666"/>
      <c r="M7666"/>
      <c r="W7666"/>
    </row>
    <row r="7667" spans="10:23" x14ac:dyDescent="0.25">
      <c r="J7667"/>
      <c r="M7667"/>
      <c r="W7667"/>
    </row>
    <row r="7668" spans="10:23" x14ac:dyDescent="0.25">
      <c r="J7668"/>
      <c r="M7668"/>
      <c r="W7668"/>
    </row>
    <row r="7669" spans="10:23" x14ac:dyDescent="0.25">
      <c r="J7669"/>
      <c r="M7669"/>
      <c r="W7669"/>
    </row>
    <row r="7670" spans="10:23" x14ac:dyDescent="0.25">
      <c r="J7670"/>
      <c r="M7670"/>
      <c r="W7670"/>
    </row>
    <row r="7671" spans="10:23" x14ac:dyDescent="0.25">
      <c r="J7671"/>
      <c r="M7671"/>
      <c r="W7671"/>
    </row>
    <row r="7672" spans="10:23" x14ac:dyDescent="0.25">
      <c r="J7672"/>
      <c r="M7672"/>
      <c r="W7672"/>
    </row>
    <row r="7673" spans="10:23" x14ac:dyDescent="0.25">
      <c r="J7673"/>
      <c r="M7673"/>
      <c r="W7673"/>
    </row>
    <row r="7674" spans="10:23" x14ac:dyDescent="0.25">
      <c r="J7674"/>
      <c r="M7674"/>
      <c r="W7674"/>
    </row>
    <row r="7675" spans="10:23" x14ac:dyDescent="0.25">
      <c r="J7675"/>
      <c r="M7675"/>
      <c r="W7675"/>
    </row>
    <row r="7676" spans="10:23" x14ac:dyDescent="0.25">
      <c r="J7676"/>
      <c r="M7676"/>
      <c r="W7676"/>
    </row>
    <row r="7677" spans="10:23" x14ac:dyDescent="0.25">
      <c r="J7677"/>
      <c r="M7677"/>
      <c r="W7677"/>
    </row>
    <row r="7678" spans="10:23" x14ac:dyDescent="0.25">
      <c r="J7678"/>
      <c r="M7678"/>
      <c r="W7678"/>
    </row>
    <row r="7679" spans="10:23" x14ac:dyDescent="0.25">
      <c r="J7679"/>
      <c r="M7679"/>
      <c r="W7679"/>
    </row>
    <row r="7680" spans="10:23" x14ac:dyDescent="0.25">
      <c r="J7680"/>
      <c r="M7680"/>
      <c r="W7680"/>
    </row>
    <row r="7681" spans="10:23" x14ac:dyDescent="0.25">
      <c r="J7681"/>
      <c r="M7681"/>
      <c r="W7681"/>
    </row>
    <row r="7682" spans="10:23" x14ac:dyDescent="0.25">
      <c r="J7682"/>
      <c r="M7682"/>
      <c r="W7682"/>
    </row>
    <row r="7683" spans="10:23" x14ac:dyDescent="0.25">
      <c r="J7683"/>
      <c r="M7683"/>
      <c r="W7683"/>
    </row>
    <row r="7684" spans="10:23" x14ac:dyDescent="0.25">
      <c r="J7684"/>
      <c r="M7684"/>
      <c r="W7684"/>
    </row>
    <row r="7685" spans="10:23" x14ac:dyDescent="0.25">
      <c r="J7685"/>
      <c r="M7685"/>
      <c r="W7685"/>
    </row>
    <row r="7686" spans="10:23" x14ac:dyDescent="0.25">
      <c r="J7686"/>
      <c r="M7686"/>
      <c r="W7686"/>
    </row>
    <row r="7687" spans="10:23" x14ac:dyDescent="0.25">
      <c r="J7687"/>
      <c r="M7687"/>
      <c r="W7687"/>
    </row>
    <row r="7688" spans="10:23" x14ac:dyDescent="0.25">
      <c r="J7688"/>
      <c r="M7688"/>
      <c r="W7688"/>
    </row>
    <row r="7689" spans="10:23" x14ac:dyDescent="0.25">
      <c r="J7689"/>
      <c r="M7689"/>
      <c r="W7689"/>
    </row>
    <row r="7690" spans="10:23" x14ac:dyDescent="0.25">
      <c r="J7690"/>
      <c r="M7690"/>
      <c r="W7690"/>
    </row>
    <row r="7691" spans="10:23" x14ac:dyDescent="0.25">
      <c r="J7691"/>
      <c r="M7691"/>
      <c r="W7691"/>
    </row>
    <row r="7692" spans="10:23" x14ac:dyDescent="0.25">
      <c r="J7692"/>
      <c r="M7692"/>
      <c r="W7692"/>
    </row>
    <row r="7693" spans="10:23" x14ac:dyDescent="0.25">
      <c r="J7693"/>
      <c r="M7693"/>
      <c r="W7693"/>
    </row>
    <row r="7694" spans="10:23" x14ac:dyDescent="0.25">
      <c r="J7694"/>
      <c r="M7694"/>
      <c r="W7694"/>
    </row>
    <row r="7695" spans="10:23" x14ac:dyDescent="0.25">
      <c r="J7695"/>
      <c r="M7695"/>
      <c r="W7695"/>
    </row>
    <row r="7696" spans="10:23" x14ac:dyDescent="0.25">
      <c r="J7696"/>
      <c r="M7696"/>
      <c r="W7696"/>
    </row>
    <row r="7697" spans="10:23" x14ac:dyDescent="0.25">
      <c r="J7697"/>
      <c r="M7697"/>
      <c r="W7697"/>
    </row>
    <row r="7698" spans="10:23" x14ac:dyDescent="0.25">
      <c r="J7698"/>
      <c r="M7698"/>
      <c r="W7698"/>
    </row>
    <row r="7699" spans="10:23" x14ac:dyDescent="0.25">
      <c r="J7699"/>
      <c r="M7699"/>
      <c r="W7699"/>
    </row>
    <row r="7700" spans="10:23" x14ac:dyDescent="0.25">
      <c r="J7700"/>
      <c r="M7700"/>
      <c r="W7700"/>
    </row>
    <row r="7701" spans="10:23" x14ac:dyDescent="0.25">
      <c r="J7701"/>
      <c r="M7701"/>
      <c r="W7701"/>
    </row>
    <row r="7702" spans="10:23" x14ac:dyDescent="0.25">
      <c r="J7702"/>
      <c r="M7702"/>
      <c r="W7702"/>
    </row>
    <row r="7703" spans="10:23" x14ac:dyDescent="0.25">
      <c r="J7703"/>
      <c r="M7703"/>
      <c r="W7703"/>
    </row>
    <row r="7704" spans="10:23" x14ac:dyDescent="0.25">
      <c r="J7704"/>
      <c r="M7704"/>
      <c r="W7704"/>
    </row>
    <row r="7705" spans="10:23" x14ac:dyDescent="0.25">
      <c r="J7705"/>
      <c r="M7705"/>
      <c r="W7705"/>
    </row>
    <row r="7706" spans="10:23" x14ac:dyDescent="0.25">
      <c r="J7706"/>
      <c r="M7706"/>
      <c r="W7706"/>
    </row>
    <row r="7707" spans="10:23" x14ac:dyDescent="0.25">
      <c r="J7707"/>
      <c r="M7707"/>
      <c r="W7707"/>
    </row>
    <row r="7708" spans="10:23" x14ac:dyDescent="0.25">
      <c r="J7708"/>
      <c r="M7708"/>
      <c r="W7708"/>
    </row>
    <row r="7709" spans="10:23" x14ac:dyDescent="0.25">
      <c r="J7709"/>
      <c r="M7709"/>
      <c r="W7709"/>
    </row>
    <row r="7710" spans="10:23" x14ac:dyDescent="0.25">
      <c r="J7710"/>
      <c r="M7710"/>
      <c r="W7710"/>
    </row>
    <row r="7711" spans="10:23" x14ac:dyDescent="0.25">
      <c r="J7711"/>
      <c r="M7711"/>
      <c r="W7711"/>
    </row>
    <row r="7712" spans="10:23" x14ac:dyDescent="0.25">
      <c r="J7712"/>
      <c r="M7712"/>
      <c r="W7712"/>
    </row>
    <row r="7713" spans="10:23" x14ac:dyDescent="0.25">
      <c r="J7713"/>
      <c r="M7713"/>
      <c r="W7713"/>
    </row>
    <row r="7714" spans="10:23" x14ac:dyDescent="0.25">
      <c r="J7714"/>
      <c r="M7714"/>
      <c r="W7714"/>
    </row>
    <row r="7715" spans="10:23" x14ac:dyDescent="0.25">
      <c r="J7715"/>
      <c r="M7715"/>
      <c r="W7715"/>
    </row>
    <row r="7716" spans="10:23" x14ac:dyDescent="0.25">
      <c r="J7716"/>
      <c r="M7716"/>
      <c r="W7716"/>
    </row>
    <row r="7717" spans="10:23" x14ac:dyDescent="0.25">
      <c r="J7717"/>
      <c r="M7717"/>
      <c r="W7717"/>
    </row>
    <row r="7718" spans="10:23" x14ac:dyDescent="0.25">
      <c r="J7718"/>
      <c r="M7718"/>
      <c r="W7718"/>
    </row>
    <row r="7719" spans="10:23" x14ac:dyDescent="0.25">
      <c r="J7719"/>
      <c r="M7719"/>
      <c r="W7719"/>
    </row>
    <row r="7720" spans="10:23" x14ac:dyDescent="0.25">
      <c r="J7720"/>
      <c r="M7720"/>
      <c r="W7720"/>
    </row>
    <row r="7721" spans="10:23" x14ac:dyDescent="0.25">
      <c r="J7721"/>
      <c r="M7721"/>
      <c r="W7721"/>
    </row>
    <row r="7722" spans="10:23" x14ac:dyDescent="0.25">
      <c r="J7722"/>
      <c r="M7722"/>
      <c r="W7722"/>
    </row>
    <row r="7723" spans="10:23" x14ac:dyDescent="0.25">
      <c r="J7723"/>
      <c r="M7723"/>
      <c r="W7723"/>
    </row>
    <row r="7724" spans="10:23" x14ac:dyDescent="0.25">
      <c r="J7724"/>
      <c r="M7724"/>
      <c r="W7724"/>
    </row>
    <row r="7725" spans="10:23" x14ac:dyDescent="0.25">
      <c r="J7725"/>
      <c r="M7725"/>
      <c r="W7725"/>
    </row>
    <row r="7726" spans="10:23" x14ac:dyDescent="0.25">
      <c r="J7726"/>
      <c r="M7726"/>
      <c r="W7726"/>
    </row>
    <row r="7727" spans="10:23" x14ac:dyDescent="0.25">
      <c r="J7727"/>
      <c r="M7727"/>
      <c r="W7727"/>
    </row>
    <row r="7728" spans="10:23" x14ac:dyDescent="0.25">
      <c r="J7728"/>
      <c r="M7728"/>
      <c r="W7728"/>
    </row>
    <row r="7729" spans="10:23" x14ac:dyDescent="0.25">
      <c r="J7729"/>
      <c r="M7729"/>
      <c r="W7729"/>
    </row>
    <row r="7730" spans="10:23" x14ac:dyDescent="0.25">
      <c r="J7730"/>
      <c r="M7730"/>
      <c r="W7730"/>
    </row>
    <row r="7731" spans="10:23" x14ac:dyDescent="0.25">
      <c r="J7731"/>
      <c r="M7731"/>
      <c r="W7731"/>
    </row>
    <row r="7732" spans="10:23" x14ac:dyDescent="0.25">
      <c r="J7732"/>
      <c r="M7732"/>
      <c r="W7732"/>
    </row>
    <row r="7733" spans="10:23" x14ac:dyDescent="0.25">
      <c r="J7733"/>
      <c r="M7733"/>
      <c r="W7733"/>
    </row>
    <row r="7734" spans="10:23" x14ac:dyDescent="0.25">
      <c r="J7734"/>
      <c r="M7734"/>
      <c r="W7734"/>
    </row>
    <row r="7735" spans="10:23" x14ac:dyDescent="0.25">
      <c r="J7735"/>
      <c r="M7735"/>
      <c r="W7735"/>
    </row>
    <row r="7736" spans="10:23" x14ac:dyDescent="0.25">
      <c r="J7736"/>
      <c r="M7736"/>
      <c r="W7736"/>
    </row>
    <row r="7737" spans="10:23" x14ac:dyDescent="0.25">
      <c r="J7737"/>
      <c r="M7737"/>
      <c r="W7737"/>
    </row>
    <row r="7738" spans="10:23" x14ac:dyDescent="0.25">
      <c r="J7738"/>
      <c r="M7738"/>
      <c r="W7738"/>
    </row>
    <row r="7739" spans="10:23" x14ac:dyDescent="0.25">
      <c r="J7739"/>
      <c r="M7739"/>
      <c r="W7739"/>
    </row>
    <row r="7740" spans="10:23" x14ac:dyDescent="0.25">
      <c r="J7740"/>
      <c r="M7740"/>
      <c r="W7740"/>
    </row>
    <row r="7741" spans="10:23" x14ac:dyDescent="0.25">
      <c r="J7741"/>
      <c r="M7741"/>
      <c r="W7741"/>
    </row>
    <row r="7742" spans="10:23" x14ac:dyDescent="0.25">
      <c r="J7742"/>
      <c r="M7742"/>
      <c r="W7742"/>
    </row>
    <row r="7743" spans="10:23" x14ac:dyDescent="0.25">
      <c r="J7743"/>
      <c r="M7743"/>
      <c r="W7743"/>
    </row>
    <row r="7744" spans="10:23" x14ac:dyDescent="0.25">
      <c r="J7744"/>
      <c r="M7744"/>
      <c r="W7744"/>
    </row>
    <row r="7745" spans="10:23" x14ac:dyDescent="0.25">
      <c r="J7745"/>
      <c r="M7745"/>
      <c r="W7745"/>
    </row>
    <row r="7746" spans="10:23" x14ac:dyDescent="0.25">
      <c r="J7746"/>
      <c r="M7746"/>
      <c r="W7746"/>
    </row>
    <row r="7747" spans="10:23" x14ac:dyDescent="0.25">
      <c r="J7747"/>
      <c r="M7747"/>
      <c r="W7747"/>
    </row>
    <row r="7748" spans="10:23" x14ac:dyDescent="0.25">
      <c r="J7748"/>
      <c r="M7748"/>
      <c r="W7748"/>
    </row>
    <row r="7749" spans="10:23" x14ac:dyDescent="0.25">
      <c r="J7749"/>
      <c r="M7749"/>
      <c r="W7749"/>
    </row>
    <row r="7750" spans="10:23" x14ac:dyDescent="0.25">
      <c r="J7750"/>
      <c r="M7750"/>
      <c r="W7750"/>
    </row>
    <row r="7751" spans="10:23" x14ac:dyDescent="0.25">
      <c r="J7751"/>
      <c r="M7751"/>
      <c r="W7751"/>
    </row>
    <row r="7752" spans="10:23" x14ac:dyDescent="0.25">
      <c r="J7752"/>
      <c r="M7752"/>
      <c r="W7752"/>
    </row>
    <row r="7753" spans="10:23" x14ac:dyDescent="0.25">
      <c r="J7753"/>
      <c r="M7753"/>
      <c r="W7753"/>
    </row>
    <row r="7754" spans="10:23" x14ac:dyDescent="0.25">
      <c r="J7754"/>
      <c r="M7754"/>
      <c r="W7754"/>
    </row>
    <row r="7755" spans="10:23" x14ac:dyDescent="0.25">
      <c r="J7755"/>
      <c r="M7755"/>
      <c r="W7755"/>
    </row>
    <row r="7756" spans="10:23" x14ac:dyDescent="0.25">
      <c r="J7756"/>
      <c r="M7756"/>
      <c r="W7756"/>
    </row>
    <row r="7757" spans="10:23" x14ac:dyDescent="0.25">
      <c r="J7757"/>
      <c r="M7757"/>
      <c r="W7757"/>
    </row>
    <row r="7758" spans="10:23" x14ac:dyDescent="0.25">
      <c r="J7758"/>
      <c r="M7758"/>
      <c r="W7758"/>
    </row>
    <row r="7759" spans="10:23" x14ac:dyDescent="0.25">
      <c r="J7759"/>
      <c r="M7759"/>
      <c r="W7759"/>
    </row>
    <row r="7760" spans="10:23" x14ac:dyDescent="0.25">
      <c r="J7760"/>
      <c r="M7760"/>
      <c r="W7760"/>
    </row>
    <row r="7761" spans="10:23" x14ac:dyDescent="0.25">
      <c r="J7761"/>
      <c r="M7761"/>
      <c r="W7761"/>
    </row>
    <row r="7762" spans="10:23" x14ac:dyDescent="0.25">
      <c r="J7762"/>
      <c r="M7762"/>
      <c r="W7762"/>
    </row>
    <row r="7763" spans="10:23" x14ac:dyDescent="0.25">
      <c r="J7763"/>
      <c r="M7763"/>
      <c r="W7763"/>
    </row>
    <row r="7764" spans="10:23" x14ac:dyDescent="0.25">
      <c r="J7764"/>
      <c r="M7764"/>
      <c r="W7764"/>
    </row>
    <row r="7765" spans="10:23" x14ac:dyDescent="0.25">
      <c r="J7765"/>
      <c r="M7765"/>
      <c r="W7765"/>
    </row>
    <row r="7766" spans="10:23" x14ac:dyDescent="0.25">
      <c r="J7766"/>
      <c r="M7766"/>
      <c r="W7766"/>
    </row>
    <row r="7767" spans="10:23" x14ac:dyDescent="0.25">
      <c r="J7767"/>
      <c r="M7767"/>
      <c r="W7767"/>
    </row>
    <row r="7768" spans="10:23" x14ac:dyDescent="0.25">
      <c r="J7768"/>
      <c r="M7768"/>
      <c r="W7768"/>
    </row>
    <row r="7769" spans="10:23" x14ac:dyDescent="0.25">
      <c r="J7769"/>
      <c r="M7769"/>
      <c r="W7769"/>
    </row>
    <row r="7770" spans="10:23" x14ac:dyDescent="0.25">
      <c r="J7770"/>
      <c r="M7770"/>
      <c r="W7770"/>
    </row>
    <row r="7771" spans="10:23" x14ac:dyDescent="0.25">
      <c r="J7771"/>
      <c r="M7771"/>
      <c r="W7771"/>
    </row>
    <row r="7772" spans="10:23" x14ac:dyDescent="0.25">
      <c r="J7772"/>
      <c r="M7772"/>
      <c r="W7772"/>
    </row>
    <row r="7773" spans="10:23" x14ac:dyDescent="0.25">
      <c r="J7773"/>
      <c r="M7773"/>
      <c r="W7773"/>
    </row>
    <row r="7774" spans="10:23" x14ac:dyDescent="0.25">
      <c r="J7774"/>
      <c r="M7774"/>
      <c r="W7774"/>
    </row>
    <row r="7775" spans="10:23" x14ac:dyDescent="0.25">
      <c r="J7775"/>
      <c r="M7775"/>
      <c r="W7775"/>
    </row>
    <row r="7776" spans="10:23" x14ac:dyDescent="0.25">
      <c r="J7776"/>
      <c r="M7776"/>
      <c r="W7776"/>
    </row>
    <row r="7777" spans="10:23" x14ac:dyDescent="0.25">
      <c r="J7777"/>
      <c r="M7777"/>
      <c r="W7777"/>
    </row>
    <row r="7778" spans="10:23" x14ac:dyDescent="0.25">
      <c r="J7778"/>
      <c r="M7778"/>
      <c r="W7778"/>
    </row>
    <row r="7779" spans="10:23" x14ac:dyDescent="0.25">
      <c r="J7779"/>
      <c r="M7779"/>
      <c r="W7779"/>
    </row>
    <row r="7780" spans="10:23" x14ac:dyDescent="0.25">
      <c r="J7780"/>
      <c r="M7780"/>
      <c r="W7780"/>
    </row>
    <row r="7781" spans="10:23" x14ac:dyDescent="0.25">
      <c r="J7781"/>
      <c r="M7781"/>
      <c r="W7781"/>
    </row>
    <row r="7782" spans="10:23" x14ac:dyDescent="0.25">
      <c r="J7782"/>
      <c r="M7782"/>
      <c r="W7782"/>
    </row>
    <row r="7783" spans="10:23" x14ac:dyDescent="0.25">
      <c r="J7783"/>
      <c r="M7783"/>
      <c r="W7783"/>
    </row>
    <row r="7784" spans="10:23" x14ac:dyDescent="0.25">
      <c r="J7784"/>
      <c r="M7784"/>
      <c r="W7784"/>
    </row>
    <row r="7785" spans="10:23" x14ac:dyDescent="0.25">
      <c r="J7785"/>
      <c r="M7785"/>
      <c r="W7785"/>
    </row>
    <row r="7786" spans="10:23" x14ac:dyDescent="0.25">
      <c r="J7786"/>
      <c r="M7786"/>
      <c r="W7786"/>
    </row>
    <row r="7787" spans="10:23" x14ac:dyDescent="0.25">
      <c r="J7787"/>
      <c r="M7787"/>
      <c r="W7787"/>
    </row>
    <row r="7788" spans="10:23" x14ac:dyDescent="0.25">
      <c r="J7788"/>
      <c r="M7788"/>
      <c r="W7788"/>
    </row>
    <row r="7789" spans="10:23" x14ac:dyDescent="0.25">
      <c r="J7789"/>
      <c r="M7789"/>
      <c r="W7789"/>
    </row>
    <row r="7790" spans="10:23" x14ac:dyDescent="0.25">
      <c r="J7790"/>
      <c r="M7790"/>
      <c r="W7790"/>
    </row>
    <row r="7791" spans="10:23" x14ac:dyDescent="0.25">
      <c r="J7791"/>
      <c r="M7791"/>
      <c r="W7791"/>
    </row>
    <row r="7792" spans="10:23" x14ac:dyDescent="0.25">
      <c r="J7792"/>
      <c r="M7792"/>
      <c r="W7792"/>
    </row>
    <row r="7793" spans="10:23" x14ac:dyDescent="0.25">
      <c r="J7793"/>
      <c r="M7793"/>
      <c r="W7793"/>
    </row>
    <row r="7794" spans="10:23" x14ac:dyDescent="0.25">
      <c r="J7794"/>
      <c r="M7794"/>
      <c r="W7794"/>
    </row>
    <row r="7795" spans="10:23" x14ac:dyDescent="0.25">
      <c r="J7795"/>
      <c r="M7795"/>
      <c r="W7795"/>
    </row>
    <row r="7796" spans="10:23" x14ac:dyDescent="0.25">
      <c r="J7796"/>
      <c r="M7796"/>
      <c r="W7796"/>
    </row>
    <row r="7797" spans="10:23" x14ac:dyDescent="0.25">
      <c r="J7797"/>
      <c r="M7797"/>
      <c r="W7797"/>
    </row>
    <row r="7798" spans="10:23" x14ac:dyDescent="0.25">
      <c r="J7798"/>
      <c r="M7798"/>
      <c r="W7798"/>
    </row>
    <row r="7799" spans="10:23" x14ac:dyDescent="0.25">
      <c r="J7799"/>
      <c r="M7799"/>
      <c r="W7799"/>
    </row>
    <row r="7800" spans="10:23" x14ac:dyDescent="0.25">
      <c r="J7800"/>
      <c r="M7800"/>
      <c r="W7800"/>
    </row>
    <row r="7801" spans="10:23" x14ac:dyDescent="0.25">
      <c r="J7801"/>
      <c r="M7801"/>
      <c r="W7801"/>
    </row>
    <row r="7802" spans="10:23" x14ac:dyDescent="0.25">
      <c r="J7802"/>
      <c r="M7802"/>
      <c r="W7802"/>
    </row>
    <row r="7803" spans="10:23" x14ac:dyDescent="0.25">
      <c r="J7803"/>
      <c r="M7803"/>
      <c r="W7803"/>
    </row>
    <row r="7804" spans="10:23" x14ac:dyDescent="0.25">
      <c r="J7804"/>
      <c r="M7804"/>
      <c r="W7804"/>
    </row>
    <row r="7805" spans="10:23" x14ac:dyDescent="0.25">
      <c r="J7805"/>
      <c r="M7805"/>
      <c r="W7805"/>
    </row>
    <row r="7806" spans="10:23" x14ac:dyDescent="0.25">
      <c r="J7806"/>
      <c r="M7806"/>
      <c r="W7806"/>
    </row>
    <row r="7807" spans="10:23" x14ac:dyDescent="0.25">
      <c r="J7807"/>
      <c r="M7807"/>
      <c r="W7807"/>
    </row>
    <row r="7808" spans="10:23" x14ac:dyDescent="0.25">
      <c r="J7808"/>
      <c r="M7808"/>
      <c r="W7808"/>
    </row>
    <row r="7809" spans="10:23" x14ac:dyDescent="0.25">
      <c r="J7809"/>
      <c r="M7809"/>
      <c r="W7809"/>
    </row>
    <row r="7810" spans="10:23" x14ac:dyDescent="0.25">
      <c r="J7810"/>
      <c r="M7810"/>
      <c r="W7810"/>
    </row>
    <row r="7811" spans="10:23" x14ac:dyDescent="0.25">
      <c r="J7811"/>
      <c r="M7811"/>
      <c r="W7811"/>
    </row>
    <row r="7812" spans="10:23" x14ac:dyDescent="0.25">
      <c r="J7812"/>
      <c r="M7812"/>
      <c r="W7812"/>
    </row>
    <row r="7813" spans="10:23" x14ac:dyDescent="0.25">
      <c r="J7813"/>
      <c r="M7813"/>
      <c r="W7813"/>
    </row>
    <row r="7814" spans="10:23" x14ac:dyDescent="0.25">
      <c r="J7814"/>
      <c r="M7814"/>
      <c r="W7814"/>
    </row>
    <row r="7815" spans="10:23" x14ac:dyDescent="0.25">
      <c r="J7815"/>
      <c r="M7815"/>
      <c r="W7815"/>
    </row>
    <row r="7816" spans="10:23" x14ac:dyDescent="0.25">
      <c r="J7816"/>
      <c r="M7816"/>
      <c r="W7816"/>
    </row>
    <row r="7817" spans="10:23" x14ac:dyDescent="0.25">
      <c r="J7817"/>
      <c r="M7817"/>
      <c r="W7817"/>
    </row>
    <row r="7818" spans="10:23" x14ac:dyDescent="0.25">
      <c r="J7818"/>
      <c r="M7818"/>
      <c r="W7818"/>
    </row>
    <row r="7819" spans="10:23" x14ac:dyDescent="0.25">
      <c r="J7819"/>
      <c r="M7819"/>
      <c r="W7819"/>
    </row>
    <row r="7820" spans="10:23" x14ac:dyDescent="0.25">
      <c r="J7820"/>
      <c r="M7820"/>
      <c r="W7820"/>
    </row>
    <row r="7821" spans="10:23" x14ac:dyDescent="0.25">
      <c r="J7821"/>
      <c r="M7821"/>
      <c r="W7821"/>
    </row>
    <row r="7822" spans="10:23" x14ac:dyDescent="0.25">
      <c r="J7822"/>
      <c r="M7822"/>
      <c r="W7822"/>
    </row>
    <row r="7823" spans="10:23" x14ac:dyDescent="0.25">
      <c r="J7823"/>
      <c r="M7823"/>
      <c r="W7823"/>
    </row>
    <row r="7824" spans="10:23" x14ac:dyDescent="0.25">
      <c r="J7824"/>
      <c r="M7824"/>
      <c r="W7824"/>
    </row>
    <row r="7825" spans="10:23" x14ac:dyDescent="0.25">
      <c r="J7825"/>
      <c r="M7825"/>
      <c r="W7825"/>
    </row>
    <row r="7826" spans="10:23" x14ac:dyDescent="0.25">
      <c r="J7826"/>
      <c r="M7826"/>
      <c r="W7826"/>
    </row>
    <row r="7827" spans="10:23" x14ac:dyDescent="0.25">
      <c r="J7827"/>
      <c r="M7827"/>
      <c r="W7827"/>
    </row>
    <row r="7828" spans="10:23" x14ac:dyDescent="0.25">
      <c r="J7828"/>
      <c r="M7828"/>
      <c r="W7828"/>
    </row>
    <row r="7829" spans="10:23" x14ac:dyDescent="0.25">
      <c r="J7829"/>
      <c r="M7829"/>
      <c r="W7829"/>
    </row>
    <row r="7830" spans="10:23" x14ac:dyDescent="0.25">
      <c r="J7830"/>
      <c r="M7830"/>
      <c r="W7830"/>
    </row>
    <row r="7831" spans="10:23" x14ac:dyDescent="0.25">
      <c r="J7831"/>
      <c r="M7831"/>
      <c r="W7831"/>
    </row>
    <row r="7832" spans="10:23" x14ac:dyDescent="0.25">
      <c r="J7832"/>
      <c r="M7832"/>
      <c r="W7832"/>
    </row>
    <row r="7833" spans="10:23" x14ac:dyDescent="0.25">
      <c r="J7833"/>
      <c r="M7833"/>
      <c r="W7833"/>
    </row>
    <row r="7834" spans="10:23" x14ac:dyDescent="0.25">
      <c r="J7834"/>
      <c r="M7834"/>
      <c r="W7834"/>
    </row>
    <row r="7835" spans="10:23" x14ac:dyDescent="0.25">
      <c r="J7835"/>
      <c r="M7835"/>
      <c r="W7835"/>
    </row>
    <row r="7836" spans="10:23" x14ac:dyDescent="0.25">
      <c r="J7836"/>
      <c r="M7836"/>
      <c r="W7836"/>
    </row>
    <row r="7837" spans="10:23" x14ac:dyDescent="0.25">
      <c r="J7837"/>
      <c r="M7837"/>
      <c r="W7837"/>
    </row>
    <row r="7838" spans="10:23" x14ac:dyDescent="0.25">
      <c r="J7838"/>
      <c r="M7838"/>
      <c r="W7838"/>
    </row>
    <row r="7839" spans="10:23" x14ac:dyDescent="0.25">
      <c r="J7839"/>
      <c r="M7839"/>
      <c r="W7839"/>
    </row>
    <row r="7840" spans="10:23" x14ac:dyDescent="0.25">
      <c r="J7840"/>
      <c r="M7840"/>
      <c r="W7840"/>
    </row>
    <row r="7841" spans="10:23" x14ac:dyDescent="0.25">
      <c r="J7841"/>
      <c r="M7841"/>
      <c r="W7841"/>
    </row>
    <row r="7842" spans="10:23" x14ac:dyDescent="0.25">
      <c r="J7842"/>
      <c r="M7842"/>
      <c r="W7842"/>
    </row>
    <row r="7843" spans="10:23" x14ac:dyDescent="0.25">
      <c r="J7843"/>
      <c r="M7843"/>
      <c r="W7843"/>
    </row>
    <row r="7844" spans="10:23" x14ac:dyDescent="0.25">
      <c r="J7844"/>
      <c r="M7844"/>
      <c r="W7844"/>
    </row>
    <row r="7845" spans="10:23" x14ac:dyDescent="0.25">
      <c r="J7845"/>
      <c r="M7845"/>
      <c r="W7845"/>
    </row>
    <row r="7846" spans="10:23" x14ac:dyDescent="0.25">
      <c r="J7846"/>
      <c r="M7846"/>
      <c r="W7846"/>
    </row>
    <row r="7847" spans="10:23" x14ac:dyDescent="0.25">
      <c r="J7847"/>
      <c r="M7847"/>
      <c r="W7847"/>
    </row>
    <row r="7848" spans="10:23" x14ac:dyDescent="0.25">
      <c r="J7848"/>
      <c r="M7848"/>
      <c r="W7848"/>
    </row>
    <row r="7849" spans="10:23" x14ac:dyDescent="0.25">
      <c r="J7849"/>
      <c r="M7849"/>
      <c r="W7849"/>
    </row>
    <row r="7850" spans="10:23" x14ac:dyDescent="0.25">
      <c r="J7850"/>
      <c r="M7850"/>
      <c r="W7850"/>
    </row>
    <row r="7851" spans="10:23" x14ac:dyDescent="0.25">
      <c r="J7851"/>
      <c r="M7851"/>
      <c r="W7851"/>
    </row>
    <row r="7852" spans="10:23" x14ac:dyDescent="0.25">
      <c r="J7852"/>
      <c r="M7852"/>
      <c r="W7852"/>
    </row>
    <row r="7853" spans="10:23" x14ac:dyDescent="0.25">
      <c r="J7853"/>
      <c r="M7853"/>
      <c r="W7853"/>
    </row>
    <row r="7854" spans="10:23" x14ac:dyDescent="0.25">
      <c r="J7854"/>
      <c r="M7854"/>
      <c r="W7854"/>
    </row>
    <row r="7855" spans="10:23" x14ac:dyDescent="0.25">
      <c r="J7855"/>
      <c r="M7855"/>
      <c r="W7855"/>
    </row>
    <row r="7856" spans="10:23" x14ac:dyDescent="0.25">
      <c r="J7856"/>
      <c r="M7856"/>
      <c r="W7856"/>
    </row>
    <row r="7857" spans="10:23" x14ac:dyDescent="0.25">
      <c r="J7857"/>
      <c r="M7857"/>
      <c r="W7857"/>
    </row>
    <row r="7858" spans="10:23" x14ac:dyDescent="0.25">
      <c r="J7858"/>
      <c r="M7858"/>
      <c r="W7858"/>
    </row>
    <row r="7859" spans="10:23" x14ac:dyDescent="0.25">
      <c r="J7859"/>
      <c r="M7859"/>
      <c r="W7859"/>
    </row>
    <row r="7860" spans="10:23" x14ac:dyDescent="0.25">
      <c r="J7860"/>
      <c r="M7860"/>
      <c r="W7860"/>
    </row>
    <row r="7861" spans="10:23" x14ac:dyDescent="0.25">
      <c r="J7861"/>
      <c r="M7861"/>
      <c r="W7861"/>
    </row>
    <row r="7862" spans="10:23" x14ac:dyDescent="0.25">
      <c r="J7862"/>
      <c r="M7862"/>
      <c r="W7862"/>
    </row>
    <row r="7863" spans="10:23" x14ac:dyDescent="0.25">
      <c r="J7863"/>
      <c r="M7863"/>
      <c r="W7863"/>
    </row>
    <row r="7864" spans="10:23" x14ac:dyDescent="0.25">
      <c r="J7864"/>
      <c r="M7864"/>
      <c r="W7864"/>
    </row>
    <row r="7865" spans="10:23" x14ac:dyDescent="0.25">
      <c r="J7865"/>
      <c r="M7865"/>
      <c r="W7865"/>
    </row>
    <row r="7866" spans="10:23" x14ac:dyDescent="0.25">
      <c r="J7866"/>
      <c r="M7866"/>
      <c r="W7866"/>
    </row>
    <row r="7867" spans="10:23" x14ac:dyDescent="0.25">
      <c r="J7867"/>
      <c r="M7867"/>
      <c r="W7867"/>
    </row>
    <row r="7868" spans="10:23" x14ac:dyDescent="0.25">
      <c r="J7868"/>
      <c r="M7868"/>
      <c r="W7868"/>
    </row>
    <row r="7869" spans="10:23" x14ac:dyDescent="0.25">
      <c r="J7869"/>
      <c r="M7869"/>
      <c r="W7869"/>
    </row>
    <row r="7870" spans="10:23" x14ac:dyDescent="0.25">
      <c r="J7870"/>
      <c r="M7870"/>
      <c r="W7870"/>
    </row>
    <row r="7871" spans="10:23" x14ac:dyDescent="0.25">
      <c r="J7871"/>
      <c r="M7871"/>
      <c r="W7871"/>
    </row>
    <row r="7872" spans="10:23" x14ac:dyDescent="0.25">
      <c r="J7872"/>
      <c r="M7872"/>
      <c r="W7872"/>
    </row>
    <row r="7873" spans="10:23" x14ac:dyDescent="0.25">
      <c r="J7873"/>
      <c r="M7873"/>
      <c r="W7873"/>
    </row>
    <row r="7874" spans="10:23" x14ac:dyDescent="0.25">
      <c r="J7874"/>
      <c r="M7874"/>
      <c r="W7874"/>
    </row>
    <row r="7875" spans="10:23" x14ac:dyDescent="0.25">
      <c r="J7875"/>
      <c r="M7875"/>
      <c r="W7875"/>
    </row>
    <row r="7876" spans="10:23" x14ac:dyDescent="0.25">
      <c r="J7876"/>
      <c r="M7876"/>
      <c r="W7876"/>
    </row>
    <row r="7877" spans="10:23" x14ac:dyDescent="0.25">
      <c r="J7877"/>
      <c r="M7877"/>
      <c r="W7877"/>
    </row>
    <row r="7878" spans="10:23" x14ac:dyDescent="0.25">
      <c r="J7878"/>
      <c r="M7878"/>
      <c r="W7878"/>
    </row>
    <row r="7879" spans="10:23" x14ac:dyDescent="0.25">
      <c r="J7879"/>
      <c r="M7879"/>
      <c r="W7879"/>
    </row>
    <row r="7880" spans="10:23" x14ac:dyDescent="0.25">
      <c r="J7880"/>
      <c r="M7880"/>
      <c r="W7880"/>
    </row>
    <row r="7881" spans="10:23" x14ac:dyDescent="0.25">
      <c r="J7881"/>
      <c r="M7881"/>
      <c r="W7881"/>
    </row>
    <row r="7882" spans="10:23" x14ac:dyDescent="0.25">
      <c r="J7882"/>
      <c r="M7882"/>
      <c r="W7882"/>
    </row>
    <row r="7883" spans="10:23" x14ac:dyDescent="0.25">
      <c r="J7883"/>
      <c r="M7883"/>
      <c r="W7883"/>
    </row>
    <row r="7884" spans="10:23" x14ac:dyDescent="0.25">
      <c r="J7884"/>
      <c r="M7884"/>
      <c r="W7884"/>
    </row>
    <row r="7885" spans="10:23" x14ac:dyDescent="0.25">
      <c r="J7885"/>
      <c r="M7885"/>
      <c r="W7885"/>
    </row>
    <row r="7886" spans="10:23" x14ac:dyDescent="0.25">
      <c r="J7886"/>
      <c r="M7886"/>
      <c r="W7886"/>
    </row>
    <row r="7887" spans="10:23" x14ac:dyDescent="0.25">
      <c r="J7887"/>
      <c r="M7887"/>
      <c r="W7887"/>
    </row>
    <row r="7888" spans="10:23" x14ac:dyDescent="0.25">
      <c r="J7888"/>
      <c r="M7888"/>
      <c r="W7888"/>
    </row>
    <row r="7889" spans="10:23" x14ac:dyDescent="0.25">
      <c r="J7889"/>
      <c r="M7889"/>
      <c r="W7889"/>
    </row>
    <row r="7890" spans="10:23" x14ac:dyDescent="0.25">
      <c r="J7890"/>
      <c r="M7890"/>
      <c r="W7890"/>
    </row>
    <row r="7891" spans="10:23" x14ac:dyDescent="0.25">
      <c r="J7891"/>
      <c r="M7891"/>
      <c r="W7891"/>
    </row>
    <row r="7892" spans="10:23" x14ac:dyDescent="0.25">
      <c r="J7892"/>
      <c r="M7892"/>
      <c r="W7892"/>
    </row>
    <row r="7893" spans="10:23" x14ac:dyDescent="0.25">
      <c r="J7893"/>
      <c r="M7893"/>
      <c r="W7893"/>
    </row>
    <row r="7894" spans="10:23" x14ac:dyDescent="0.25">
      <c r="J7894"/>
      <c r="M7894"/>
      <c r="W7894"/>
    </row>
    <row r="7895" spans="10:23" x14ac:dyDescent="0.25">
      <c r="J7895"/>
      <c r="M7895"/>
      <c r="W7895"/>
    </row>
    <row r="7896" spans="10:23" x14ac:dyDescent="0.25">
      <c r="J7896"/>
      <c r="M7896"/>
      <c r="W7896"/>
    </row>
    <row r="7897" spans="10:23" x14ac:dyDescent="0.25">
      <c r="J7897"/>
      <c r="M7897"/>
      <c r="W7897"/>
    </row>
    <row r="7898" spans="10:23" x14ac:dyDescent="0.25">
      <c r="J7898"/>
      <c r="M7898"/>
      <c r="W7898"/>
    </row>
    <row r="7899" spans="10:23" x14ac:dyDescent="0.25">
      <c r="J7899"/>
      <c r="M7899"/>
      <c r="W7899"/>
    </row>
    <row r="7900" spans="10:23" x14ac:dyDescent="0.25">
      <c r="J7900"/>
      <c r="M7900"/>
      <c r="W7900"/>
    </row>
    <row r="7901" spans="10:23" x14ac:dyDescent="0.25">
      <c r="J7901"/>
      <c r="M7901"/>
      <c r="W7901"/>
    </row>
    <row r="7902" spans="10:23" x14ac:dyDescent="0.25">
      <c r="J7902"/>
      <c r="M7902"/>
      <c r="W7902"/>
    </row>
    <row r="7903" spans="10:23" x14ac:dyDescent="0.25">
      <c r="J7903"/>
      <c r="M7903"/>
      <c r="W7903"/>
    </row>
    <row r="7904" spans="10:23" x14ac:dyDescent="0.25">
      <c r="J7904"/>
      <c r="M7904"/>
      <c r="W7904"/>
    </row>
    <row r="7905" spans="10:23" x14ac:dyDescent="0.25">
      <c r="J7905"/>
      <c r="M7905"/>
      <c r="W7905"/>
    </row>
    <row r="7906" spans="10:23" x14ac:dyDescent="0.25">
      <c r="J7906"/>
      <c r="M7906"/>
      <c r="W7906"/>
    </row>
    <row r="7907" spans="10:23" x14ac:dyDescent="0.25">
      <c r="J7907"/>
      <c r="M7907"/>
      <c r="W7907"/>
    </row>
    <row r="7908" spans="10:23" x14ac:dyDescent="0.25">
      <c r="J7908"/>
      <c r="M7908"/>
      <c r="W7908"/>
    </row>
    <row r="7909" spans="10:23" x14ac:dyDescent="0.25">
      <c r="J7909"/>
      <c r="M7909"/>
      <c r="W7909"/>
    </row>
    <row r="7910" spans="10:23" x14ac:dyDescent="0.25">
      <c r="J7910"/>
      <c r="M7910"/>
      <c r="W7910"/>
    </row>
    <row r="7911" spans="10:23" x14ac:dyDescent="0.25">
      <c r="J7911"/>
      <c r="M7911"/>
      <c r="W7911"/>
    </row>
    <row r="7912" spans="10:23" x14ac:dyDescent="0.25">
      <c r="J7912"/>
      <c r="M7912"/>
      <c r="W7912"/>
    </row>
    <row r="7913" spans="10:23" x14ac:dyDescent="0.25">
      <c r="J7913"/>
      <c r="M7913"/>
      <c r="W7913"/>
    </row>
    <row r="7914" spans="10:23" x14ac:dyDescent="0.25">
      <c r="J7914"/>
      <c r="M7914"/>
      <c r="W7914"/>
    </row>
    <row r="7915" spans="10:23" x14ac:dyDescent="0.25">
      <c r="J7915"/>
      <c r="M7915"/>
      <c r="W7915"/>
    </row>
    <row r="7916" spans="10:23" x14ac:dyDescent="0.25">
      <c r="J7916"/>
      <c r="M7916"/>
      <c r="W7916"/>
    </row>
    <row r="7917" spans="10:23" x14ac:dyDescent="0.25">
      <c r="J7917"/>
      <c r="M7917"/>
      <c r="W7917"/>
    </row>
    <row r="7918" spans="10:23" x14ac:dyDescent="0.25">
      <c r="J7918"/>
      <c r="M7918"/>
      <c r="W7918"/>
    </row>
    <row r="7919" spans="10:23" x14ac:dyDescent="0.25">
      <c r="J7919"/>
      <c r="M7919"/>
      <c r="W7919"/>
    </row>
    <row r="7920" spans="10:23" x14ac:dyDescent="0.25">
      <c r="J7920"/>
      <c r="M7920"/>
      <c r="W7920"/>
    </row>
    <row r="7921" spans="10:23" x14ac:dyDescent="0.25">
      <c r="J7921"/>
      <c r="M7921"/>
      <c r="W7921"/>
    </row>
    <row r="7922" spans="10:23" x14ac:dyDescent="0.25">
      <c r="J7922"/>
      <c r="M7922"/>
      <c r="W7922"/>
    </row>
    <row r="7923" spans="10:23" x14ac:dyDescent="0.25">
      <c r="J7923"/>
      <c r="M7923"/>
      <c r="W7923"/>
    </row>
    <row r="7924" spans="10:23" x14ac:dyDescent="0.25">
      <c r="J7924"/>
      <c r="M7924"/>
      <c r="W7924"/>
    </row>
    <row r="7925" spans="10:23" x14ac:dyDescent="0.25">
      <c r="J7925"/>
      <c r="M7925"/>
      <c r="W7925"/>
    </row>
    <row r="7926" spans="10:23" x14ac:dyDescent="0.25">
      <c r="J7926"/>
      <c r="M7926"/>
      <c r="W7926"/>
    </row>
    <row r="7927" spans="10:23" x14ac:dyDescent="0.25">
      <c r="J7927"/>
      <c r="M7927"/>
      <c r="W7927"/>
    </row>
    <row r="7928" spans="10:23" x14ac:dyDescent="0.25">
      <c r="J7928"/>
      <c r="M7928"/>
      <c r="W7928"/>
    </row>
    <row r="7929" spans="10:23" x14ac:dyDescent="0.25">
      <c r="J7929"/>
      <c r="M7929"/>
      <c r="W7929"/>
    </row>
    <row r="7930" spans="10:23" x14ac:dyDescent="0.25">
      <c r="J7930"/>
      <c r="M7930"/>
      <c r="W7930"/>
    </row>
    <row r="7931" spans="10:23" x14ac:dyDescent="0.25">
      <c r="J7931"/>
      <c r="M7931"/>
      <c r="W7931"/>
    </row>
    <row r="7932" spans="10:23" x14ac:dyDescent="0.25">
      <c r="J7932"/>
      <c r="M7932"/>
      <c r="W7932"/>
    </row>
    <row r="7933" spans="10:23" x14ac:dyDescent="0.25">
      <c r="J7933"/>
      <c r="M7933"/>
      <c r="W7933"/>
    </row>
    <row r="7934" spans="10:23" x14ac:dyDescent="0.25">
      <c r="J7934"/>
      <c r="M7934"/>
      <c r="W7934"/>
    </row>
    <row r="7935" spans="10:23" x14ac:dyDescent="0.25">
      <c r="J7935"/>
      <c r="M7935"/>
      <c r="W7935"/>
    </row>
    <row r="7936" spans="10:23" x14ac:dyDescent="0.25">
      <c r="J7936"/>
      <c r="M7936"/>
      <c r="W7936"/>
    </row>
    <row r="7937" spans="10:23" x14ac:dyDescent="0.25">
      <c r="J7937"/>
      <c r="M7937"/>
      <c r="W7937"/>
    </row>
    <row r="7938" spans="10:23" x14ac:dyDescent="0.25">
      <c r="J7938"/>
      <c r="M7938"/>
      <c r="W7938"/>
    </row>
    <row r="7939" spans="10:23" x14ac:dyDescent="0.25">
      <c r="J7939"/>
      <c r="M7939"/>
      <c r="W7939"/>
    </row>
    <row r="7940" spans="10:23" x14ac:dyDescent="0.25">
      <c r="J7940"/>
      <c r="M7940"/>
      <c r="W7940"/>
    </row>
    <row r="7941" spans="10:23" x14ac:dyDescent="0.25">
      <c r="J7941"/>
      <c r="M7941"/>
      <c r="W7941"/>
    </row>
    <row r="7942" spans="10:23" x14ac:dyDescent="0.25">
      <c r="J7942"/>
      <c r="M7942"/>
      <c r="W7942"/>
    </row>
    <row r="7943" spans="10:23" x14ac:dyDescent="0.25">
      <c r="J7943"/>
      <c r="M7943"/>
      <c r="W7943"/>
    </row>
    <row r="7944" spans="10:23" x14ac:dyDescent="0.25">
      <c r="J7944"/>
      <c r="M7944"/>
      <c r="W7944"/>
    </row>
    <row r="7945" spans="10:23" x14ac:dyDescent="0.25">
      <c r="J7945"/>
      <c r="M7945"/>
      <c r="W7945"/>
    </row>
    <row r="7946" spans="10:23" x14ac:dyDescent="0.25">
      <c r="J7946"/>
      <c r="M7946"/>
      <c r="W7946"/>
    </row>
    <row r="7947" spans="10:23" x14ac:dyDescent="0.25">
      <c r="J7947"/>
      <c r="M7947"/>
      <c r="W7947"/>
    </row>
    <row r="7948" spans="10:23" x14ac:dyDescent="0.25">
      <c r="J7948"/>
      <c r="M7948"/>
      <c r="W7948"/>
    </row>
    <row r="7949" spans="10:23" x14ac:dyDescent="0.25">
      <c r="J7949"/>
      <c r="M7949"/>
      <c r="W7949"/>
    </row>
    <row r="7950" spans="10:23" x14ac:dyDescent="0.25">
      <c r="J7950"/>
      <c r="M7950"/>
      <c r="W7950"/>
    </row>
    <row r="7951" spans="10:23" x14ac:dyDescent="0.25">
      <c r="J7951"/>
      <c r="M7951"/>
      <c r="W7951"/>
    </row>
    <row r="7952" spans="10:23" x14ac:dyDescent="0.25">
      <c r="J7952"/>
      <c r="M7952"/>
      <c r="W7952"/>
    </row>
    <row r="7953" spans="10:23" x14ac:dyDescent="0.25">
      <c r="J7953"/>
      <c r="M7953"/>
      <c r="W7953"/>
    </row>
    <row r="7954" spans="10:23" x14ac:dyDescent="0.25">
      <c r="J7954"/>
      <c r="M7954"/>
      <c r="W7954"/>
    </row>
    <row r="7955" spans="10:23" x14ac:dyDescent="0.25">
      <c r="J7955"/>
      <c r="M7955"/>
      <c r="W7955"/>
    </row>
    <row r="7956" spans="10:23" x14ac:dyDescent="0.25">
      <c r="J7956"/>
      <c r="M7956"/>
      <c r="W7956"/>
    </row>
    <row r="7957" spans="10:23" x14ac:dyDescent="0.25">
      <c r="J7957"/>
      <c r="M7957"/>
      <c r="W7957"/>
    </row>
    <row r="7958" spans="10:23" x14ac:dyDescent="0.25">
      <c r="J7958"/>
      <c r="M7958"/>
      <c r="W7958"/>
    </row>
    <row r="7959" spans="10:23" x14ac:dyDescent="0.25">
      <c r="J7959"/>
      <c r="M7959"/>
      <c r="W7959"/>
    </row>
    <row r="7960" spans="10:23" x14ac:dyDescent="0.25">
      <c r="J7960"/>
      <c r="M7960"/>
      <c r="W7960"/>
    </row>
    <row r="7961" spans="10:23" x14ac:dyDescent="0.25">
      <c r="J7961"/>
      <c r="M7961"/>
      <c r="W7961"/>
    </row>
    <row r="7962" spans="10:23" x14ac:dyDescent="0.25">
      <c r="J7962"/>
      <c r="M7962"/>
      <c r="W7962"/>
    </row>
    <row r="7963" spans="10:23" x14ac:dyDescent="0.25">
      <c r="J7963"/>
      <c r="M7963"/>
      <c r="W7963"/>
    </row>
    <row r="7964" spans="10:23" x14ac:dyDescent="0.25">
      <c r="J7964"/>
      <c r="M7964"/>
      <c r="W7964"/>
    </row>
    <row r="7965" spans="10:23" x14ac:dyDescent="0.25">
      <c r="J7965"/>
      <c r="M7965"/>
      <c r="W7965"/>
    </row>
    <row r="7966" spans="10:23" x14ac:dyDescent="0.25">
      <c r="J7966"/>
      <c r="M7966"/>
      <c r="W7966"/>
    </row>
    <row r="7967" spans="10:23" x14ac:dyDescent="0.25">
      <c r="J7967"/>
      <c r="M7967"/>
      <c r="W7967"/>
    </row>
    <row r="7968" spans="10:23" x14ac:dyDescent="0.25">
      <c r="J7968"/>
      <c r="M7968"/>
      <c r="W7968"/>
    </row>
    <row r="7969" spans="10:23" x14ac:dyDescent="0.25">
      <c r="J7969"/>
      <c r="M7969"/>
      <c r="W7969"/>
    </row>
    <row r="7970" spans="10:23" x14ac:dyDescent="0.25">
      <c r="J7970"/>
      <c r="M7970"/>
      <c r="W7970"/>
    </row>
    <row r="7971" spans="10:23" x14ac:dyDescent="0.25">
      <c r="J7971"/>
      <c r="M7971"/>
      <c r="W7971"/>
    </row>
    <row r="7972" spans="10:23" x14ac:dyDescent="0.25">
      <c r="J7972"/>
      <c r="M7972"/>
      <c r="W7972"/>
    </row>
    <row r="7973" spans="10:23" x14ac:dyDescent="0.25">
      <c r="J7973"/>
      <c r="M7973"/>
      <c r="W7973"/>
    </row>
    <row r="7974" spans="10:23" x14ac:dyDescent="0.25">
      <c r="J7974"/>
      <c r="M7974"/>
      <c r="W7974"/>
    </row>
    <row r="7975" spans="10:23" x14ac:dyDescent="0.25">
      <c r="J7975"/>
      <c r="M7975"/>
      <c r="W7975"/>
    </row>
    <row r="7976" spans="10:23" x14ac:dyDescent="0.25">
      <c r="J7976"/>
      <c r="M7976"/>
      <c r="W7976"/>
    </row>
    <row r="7977" spans="10:23" x14ac:dyDescent="0.25">
      <c r="J7977"/>
      <c r="M7977"/>
      <c r="W7977"/>
    </row>
    <row r="7978" spans="10:23" x14ac:dyDescent="0.25">
      <c r="J7978"/>
      <c r="M7978"/>
      <c r="W7978"/>
    </row>
    <row r="7979" spans="10:23" x14ac:dyDescent="0.25">
      <c r="J7979"/>
      <c r="M7979"/>
      <c r="W7979"/>
    </row>
    <row r="7980" spans="10:23" x14ac:dyDescent="0.25">
      <c r="J7980"/>
      <c r="M7980"/>
      <c r="W7980"/>
    </row>
    <row r="7981" spans="10:23" x14ac:dyDescent="0.25">
      <c r="J7981"/>
      <c r="M7981"/>
      <c r="W7981"/>
    </row>
    <row r="7982" spans="10:23" x14ac:dyDescent="0.25">
      <c r="J7982"/>
      <c r="M7982"/>
      <c r="W7982"/>
    </row>
    <row r="7983" spans="10:23" x14ac:dyDescent="0.25">
      <c r="J7983"/>
      <c r="M7983"/>
      <c r="W7983"/>
    </row>
    <row r="7984" spans="10:23" x14ac:dyDescent="0.25">
      <c r="J7984"/>
      <c r="M7984"/>
      <c r="W7984"/>
    </row>
    <row r="7985" spans="10:23" x14ac:dyDescent="0.25">
      <c r="J7985"/>
      <c r="M7985"/>
      <c r="W7985"/>
    </row>
    <row r="7986" spans="10:23" x14ac:dyDescent="0.25">
      <c r="J7986"/>
      <c r="M7986"/>
      <c r="W7986"/>
    </row>
    <row r="7987" spans="10:23" x14ac:dyDescent="0.25">
      <c r="J7987"/>
      <c r="M7987"/>
      <c r="W7987"/>
    </row>
    <row r="7988" spans="10:23" x14ac:dyDescent="0.25">
      <c r="J7988"/>
      <c r="M7988"/>
      <c r="W7988"/>
    </row>
    <row r="7989" spans="10:23" x14ac:dyDescent="0.25">
      <c r="J7989"/>
      <c r="M7989"/>
      <c r="W7989"/>
    </row>
    <row r="7990" spans="10:23" x14ac:dyDescent="0.25">
      <c r="J7990"/>
      <c r="M7990"/>
      <c r="W7990"/>
    </row>
    <row r="7991" spans="10:23" x14ac:dyDescent="0.25">
      <c r="J7991"/>
      <c r="M7991"/>
      <c r="W7991"/>
    </row>
    <row r="7992" spans="10:23" x14ac:dyDescent="0.25">
      <c r="J7992"/>
      <c r="M7992"/>
      <c r="W7992"/>
    </row>
    <row r="7993" spans="10:23" x14ac:dyDescent="0.25">
      <c r="J7993"/>
      <c r="M7993"/>
      <c r="W7993"/>
    </row>
    <row r="7994" spans="10:23" x14ac:dyDescent="0.25">
      <c r="J7994"/>
      <c r="M7994"/>
      <c r="W7994"/>
    </row>
    <row r="7995" spans="10:23" x14ac:dyDescent="0.25">
      <c r="J7995"/>
      <c r="M7995"/>
      <c r="W7995"/>
    </row>
    <row r="7996" spans="10:23" x14ac:dyDescent="0.25">
      <c r="J7996"/>
      <c r="M7996"/>
      <c r="W7996"/>
    </row>
    <row r="7997" spans="10:23" x14ac:dyDescent="0.25">
      <c r="J7997"/>
      <c r="M7997"/>
      <c r="W7997"/>
    </row>
    <row r="7998" spans="10:23" x14ac:dyDescent="0.25">
      <c r="J7998"/>
      <c r="M7998"/>
      <c r="W7998"/>
    </row>
    <row r="7999" spans="10:23" x14ac:dyDescent="0.25">
      <c r="J7999"/>
      <c r="M7999"/>
      <c r="W7999"/>
    </row>
    <row r="8000" spans="10:23" x14ac:dyDescent="0.25">
      <c r="J8000"/>
      <c r="M8000"/>
      <c r="W8000"/>
    </row>
    <row r="8001" spans="10:23" x14ac:dyDescent="0.25">
      <c r="J8001"/>
      <c r="M8001"/>
      <c r="W8001"/>
    </row>
    <row r="8002" spans="10:23" x14ac:dyDescent="0.25">
      <c r="J8002"/>
      <c r="M8002"/>
      <c r="W8002"/>
    </row>
    <row r="8003" spans="10:23" x14ac:dyDescent="0.25">
      <c r="J8003"/>
      <c r="M8003"/>
      <c r="W8003"/>
    </row>
    <row r="8004" spans="10:23" x14ac:dyDescent="0.25">
      <c r="J8004"/>
      <c r="M8004"/>
      <c r="W8004"/>
    </row>
    <row r="8005" spans="10:23" x14ac:dyDescent="0.25">
      <c r="J8005"/>
      <c r="M8005"/>
      <c r="W8005"/>
    </row>
    <row r="8006" spans="10:23" x14ac:dyDescent="0.25">
      <c r="J8006"/>
      <c r="M8006"/>
      <c r="W8006"/>
    </row>
    <row r="8007" spans="10:23" x14ac:dyDescent="0.25">
      <c r="J8007"/>
      <c r="M8007"/>
      <c r="W8007"/>
    </row>
    <row r="8008" spans="10:23" x14ac:dyDescent="0.25">
      <c r="J8008"/>
      <c r="M8008"/>
      <c r="W8008"/>
    </row>
    <row r="8009" spans="10:23" x14ac:dyDescent="0.25">
      <c r="J8009"/>
      <c r="M8009"/>
      <c r="W8009"/>
    </row>
    <row r="8010" spans="10:23" x14ac:dyDescent="0.25">
      <c r="J8010"/>
      <c r="M8010"/>
      <c r="W8010"/>
    </row>
    <row r="8011" spans="10:23" x14ac:dyDescent="0.25">
      <c r="J8011"/>
      <c r="M8011"/>
      <c r="W8011"/>
    </row>
    <row r="8012" spans="10:23" x14ac:dyDescent="0.25">
      <c r="J8012"/>
      <c r="M8012"/>
      <c r="W8012"/>
    </row>
    <row r="8013" spans="10:23" x14ac:dyDescent="0.25">
      <c r="J8013"/>
      <c r="M8013"/>
      <c r="W8013"/>
    </row>
    <row r="8014" spans="10:23" x14ac:dyDescent="0.25">
      <c r="J8014"/>
      <c r="M8014"/>
      <c r="W8014"/>
    </row>
    <row r="8015" spans="10:23" x14ac:dyDescent="0.25">
      <c r="J8015"/>
      <c r="M8015"/>
      <c r="W8015"/>
    </row>
    <row r="8016" spans="10:23" x14ac:dyDescent="0.25">
      <c r="J8016"/>
      <c r="M8016"/>
      <c r="W8016"/>
    </row>
    <row r="8017" spans="10:23" x14ac:dyDescent="0.25">
      <c r="J8017"/>
      <c r="M8017"/>
      <c r="W8017"/>
    </row>
    <row r="8018" spans="10:23" x14ac:dyDescent="0.25">
      <c r="J8018"/>
      <c r="M8018"/>
      <c r="W8018"/>
    </row>
    <row r="8019" spans="10:23" x14ac:dyDescent="0.25">
      <c r="J8019"/>
      <c r="M8019"/>
      <c r="W8019"/>
    </row>
    <row r="8020" spans="10:23" x14ac:dyDescent="0.25">
      <c r="J8020"/>
      <c r="M8020"/>
      <c r="W8020"/>
    </row>
    <row r="8021" spans="10:23" x14ac:dyDescent="0.25">
      <c r="J8021"/>
      <c r="M8021"/>
      <c r="W8021"/>
    </row>
    <row r="8022" spans="10:23" x14ac:dyDescent="0.25">
      <c r="J8022"/>
      <c r="M8022"/>
      <c r="W8022"/>
    </row>
    <row r="8023" spans="10:23" x14ac:dyDescent="0.25">
      <c r="J8023"/>
      <c r="M8023"/>
      <c r="W8023"/>
    </row>
    <row r="8024" spans="10:23" x14ac:dyDescent="0.25">
      <c r="J8024"/>
      <c r="M8024"/>
      <c r="W8024"/>
    </row>
    <row r="8025" spans="10:23" x14ac:dyDescent="0.25">
      <c r="J8025"/>
      <c r="M8025"/>
      <c r="W8025"/>
    </row>
    <row r="8026" spans="10:23" x14ac:dyDescent="0.25">
      <c r="J8026"/>
      <c r="M8026"/>
      <c r="W8026"/>
    </row>
    <row r="8027" spans="10:23" x14ac:dyDescent="0.25">
      <c r="J8027"/>
      <c r="M8027"/>
      <c r="W8027"/>
    </row>
    <row r="8028" spans="10:23" x14ac:dyDescent="0.25">
      <c r="J8028"/>
      <c r="M8028"/>
      <c r="W8028"/>
    </row>
    <row r="8029" spans="10:23" x14ac:dyDescent="0.25">
      <c r="J8029"/>
      <c r="M8029"/>
      <c r="W8029"/>
    </row>
    <row r="8030" spans="10:23" x14ac:dyDescent="0.25">
      <c r="J8030"/>
      <c r="M8030"/>
      <c r="W8030"/>
    </row>
    <row r="8031" spans="10:23" x14ac:dyDescent="0.25">
      <c r="J8031"/>
      <c r="M8031"/>
      <c r="W8031"/>
    </row>
    <row r="8032" spans="10:23" x14ac:dyDescent="0.25">
      <c r="J8032"/>
      <c r="M8032"/>
      <c r="W8032"/>
    </row>
    <row r="8033" spans="10:23" x14ac:dyDescent="0.25">
      <c r="J8033"/>
      <c r="M8033"/>
      <c r="W8033"/>
    </row>
    <row r="8034" spans="10:23" x14ac:dyDescent="0.25">
      <c r="J8034"/>
      <c r="M8034"/>
      <c r="W8034"/>
    </row>
    <row r="8035" spans="10:23" x14ac:dyDescent="0.25">
      <c r="J8035"/>
      <c r="M8035"/>
      <c r="W8035"/>
    </row>
    <row r="8036" spans="10:23" x14ac:dyDescent="0.25">
      <c r="J8036"/>
      <c r="M8036"/>
      <c r="W8036"/>
    </row>
    <row r="8037" spans="10:23" x14ac:dyDescent="0.25">
      <c r="J8037"/>
      <c r="M8037"/>
      <c r="W8037"/>
    </row>
    <row r="8038" spans="10:23" x14ac:dyDescent="0.25">
      <c r="J8038"/>
      <c r="M8038"/>
      <c r="W8038"/>
    </row>
    <row r="8039" spans="10:23" x14ac:dyDescent="0.25">
      <c r="J8039"/>
      <c r="M8039"/>
      <c r="W8039"/>
    </row>
    <row r="8040" spans="10:23" x14ac:dyDescent="0.25">
      <c r="J8040"/>
      <c r="M8040"/>
      <c r="W8040"/>
    </row>
    <row r="8041" spans="10:23" x14ac:dyDescent="0.25">
      <c r="J8041"/>
      <c r="M8041"/>
      <c r="W8041"/>
    </row>
    <row r="8042" spans="10:23" x14ac:dyDescent="0.25">
      <c r="J8042"/>
      <c r="M8042"/>
      <c r="W8042"/>
    </row>
    <row r="8043" spans="10:23" x14ac:dyDescent="0.25">
      <c r="J8043"/>
      <c r="M8043"/>
      <c r="W8043"/>
    </row>
    <row r="8044" spans="10:23" x14ac:dyDescent="0.25">
      <c r="J8044"/>
      <c r="M8044"/>
      <c r="W8044"/>
    </row>
    <row r="8045" spans="10:23" x14ac:dyDescent="0.25">
      <c r="J8045"/>
      <c r="M8045"/>
      <c r="W8045"/>
    </row>
    <row r="8046" spans="10:23" x14ac:dyDescent="0.25">
      <c r="J8046"/>
      <c r="M8046"/>
      <c r="W8046"/>
    </row>
    <row r="8047" spans="10:23" x14ac:dyDescent="0.25">
      <c r="J8047"/>
      <c r="M8047"/>
      <c r="W8047"/>
    </row>
    <row r="8048" spans="10:23" x14ac:dyDescent="0.25">
      <c r="J8048"/>
      <c r="M8048"/>
      <c r="W8048"/>
    </row>
    <row r="8049" spans="10:23" x14ac:dyDescent="0.25">
      <c r="J8049"/>
      <c r="M8049"/>
      <c r="W8049"/>
    </row>
    <row r="8050" spans="10:23" x14ac:dyDescent="0.25">
      <c r="J8050"/>
      <c r="M8050"/>
      <c r="W8050"/>
    </row>
    <row r="8051" spans="10:23" x14ac:dyDescent="0.25">
      <c r="J8051"/>
      <c r="M8051"/>
      <c r="W8051"/>
    </row>
    <row r="8052" spans="10:23" x14ac:dyDescent="0.25">
      <c r="J8052"/>
      <c r="M8052"/>
      <c r="W8052"/>
    </row>
    <row r="8053" spans="10:23" x14ac:dyDescent="0.25">
      <c r="J8053"/>
      <c r="M8053"/>
      <c r="W8053"/>
    </row>
    <row r="8054" spans="10:23" x14ac:dyDescent="0.25">
      <c r="J8054"/>
      <c r="M8054"/>
      <c r="W8054"/>
    </row>
    <row r="8055" spans="10:23" x14ac:dyDescent="0.25">
      <c r="J8055"/>
      <c r="M8055"/>
      <c r="W8055"/>
    </row>
    <row r="8056" spans="10:23" x14ac:dyDescent="0.25">
      <c r="J8056"/>
      <c r="M8056"/>
      <c r="W8056"/>
    </row>
    <row r="8057" spans="10:23" x14ac:dyDescent="0.25">
      <c r="J8057"/>
      <c r="M8057"/>
      <c r="W8057"/>
    </row>
    <row r="8058" spans="10:23" x14ac:dyDescent="0.25">
      <c r="J8058"/>
      <c r="M8058"/>
      <c r="W8058"/>
    </row>
    <row r="8059" spans="10:23" x14ac:dyDescent="0.25">
      <c r="J8059"/>
      <c r="M8059"/>
      <c r="W8059"/>
    </row>
    <row r="8060" spans="10:23" x14ac:dyDescent="0.25">
      <c r="J8060"/>
      <c r="M8060"/>
      <c r="W8060"/>
    </row>
    <row r="8061" spans="10:23" x14ac:dyDescent="0.25">
      <c r="J8061"/>
      <c r="M8061"/>
      <c r="W8061"/>
    </row>
    <row r="8062" spans="10:23" x14ac:dyDescent="0.25">
      <c r="J8062"/>
      <c r="M8062"/>
      <c r="W8062"/>
    </row>
    <row r="8063" spans="10:23" x14ac:dyDescent="0.25">
      <c r="J8063"/>
      <c r="M8063"/>
      <c r="W8063"/>
    </row>
    <row r="8064" spans="10:23" x14ac:dyDescent="0.25">
      <c r="J8064"/>
      <c r="M8064"/>
      <c r="W8064"/>
    </row>
    <row r="8065" spans="10:23" x14ac:dyDescent="0.25">
      <c r="J8065"/>
      <c r="M8065"/>
      <c r="W8065"/>
    </row>
    <row r="8066" spans="10:23" x14ac:dyDescent="0.25">
      <c r="J8066"/>
      <c r="M8066"/>
      <c r="W8066"/>
    </row>
    <row r="8067" spans="10:23" x14ac:dyDescent="0.25">
      <c r="J8067"/>
      <c r="M8067"/>
      <c r="W8067"/>
    </row>
    <row r="8068" spans="10:23" x14ac:dyDescent="0.25">
      <c r="J8068"/>
      <c r="M8068"/>
      <c r="W8068"/>
    </row>
    <row r="8069" spans="10:23" x14ac:dyDescent="0.25">
      <c r="J8069"/>
      <c r="M8069"/>
      <c r="W8069"/>
    </row>
    <row r="8070" spans="10:23" x14ac:dyDescent="0.25">
      <c r="J8070"/>
      <c r="M8070"/>
      <c r="W8070"/>
    </row>
    <row r="8071" spans="10:23" x14ac:dyDescent="0.25">
      <c r="J8071"/>
      <c r="M8071"/>
      <c r="W8071"/>
    </row>
    <row r="8072" spans="10:23" x14ac:dyDescent="0.25">
      <c r="J8072"/>
      <c r="M8072"/>
      <c r="W8072"/>
    </row>
    <row r="8073" spans="10:23" x14ac:dyDescent="0.25">
      <c r="J8073"/>
      <c r="M8073"/>
      <c r="W8073"/>
    </row>
    <row r="8074" spans="10:23" x14ac:dyDescent="0.25">
      <c r="J8074"/>
      <c r="M8074"/>
      <c r="W8074"/>
    </row>
    <row r="8075" spans="10:23" x14ac:dyDescent="0.25">
      <c r="J8075"/>
      <c r="M8075"/>
      <c r="W8075"/>
    </row>
    <row r="8076" spans="10:23" x14ac:dyDescent="0.25">
      <c r="J8076"/>
      <c r="M8076"/>
      <c r="W8076"/>
    </row>
    <row r="8077" spans="10:23" x14ac:dyDescent="0.25">
      <c r="J8077"/>
      <c r="M8077"/>
      <c r="W8077"/>
    </row>
    <row r="8078" spans="10:23" x14ac:dyDescent="0.25">
      <c r="J8078"/>
      <c r="M8078"/>
      <c r="W8078"/>
    </row>
    <row r="8079" spans="10:23" x14ac:dyDescent="0.25">
      <c r="J8079"/>
      <c r="M8079"/>
      <c r="W8079"/>
    </row>
    <row r="8080" spans="10:23" x14ac:dyDescent="0.25">
      <c r="J8080"/>
      <c r="M8080"/>
      <c r="W8080"/>
    </row>
    <row r="8081" spans="10:23" x14ac:dyDescent="0.25">
      <c r="J8081"/>
      <c r="M8081"/>
      <c r="W8081"/>
    </row>
    <row r="8082" spans="10:23" x14ac:dyDescent="0.25">
      <c r="J8082"/>
      <c r="M8082"/>
      <c r="W8082"/>
    </row>
    <row r="8083" spans="10:23" x14ac:dyDescent="0.25">
      <c r="J8083"/>
      <c r="M8083"/>
      <c r="W8083"/>
    </row>
    <row r="8084" spans="10:23" x14ac:dyDescent="0.25">
      <c r="J8084"/>
      <c r="M8084"/>
      <c r="W8084"/>
    </row>
    <row r="8085" spans="10:23" x14ac:dyDescent="0.25">
      <c r="J8085"/>
      <c r="M8085"/>
      <c r="W8085"/>
    </row>
    <row r="8086" spans="10:23" x14ac:dyDescent="0.25">
      <c r="J8086"/>
      <c r="M8086"/>
      <c r="W8086"/>
    </row>
    <row r="8087" spans="10:23" x14ac:dyDescent="0.25">
      <c r="J8087"/>
      <c r="M8087"/>
      <c r="W8087"/>
    </row>
    <row r="8088" spans="10:23" x14ac:dyDescent="0.25">
      <c r="J8088"/>
      <c r="M8088"/>
      <c r="W8088"/>
    </row>
    <row r="8089" spans="10:23" x14ac:dyDescent="0.25">
      <c r="J8089"/>
      <c r="M8089"/>
      <c r="W8089"/>
    </row>
    <row r="8090" spans="10:23" x14ac:dyDescent="0.25">
      <c r="J8090"/>
      <c r="M8090"/>
      <c r="W8090"/>
    </row>
    <row r="8091" spans="10:23" x14ac:dyDescent="0.25">
      <c r="J8091"/>
      <c r="M8091"/>
      <c r="W8091"/>
    </row>
    <row r="8092" spans="10:23" x14ac:dyDescent="0.25">
      <c r="J8092"/>
      <c r="M8092"/>
      <c r="W8092"/>
    </row>
    <row r="8093" spans="10:23" x14ac:dyDescent="0.25">
      <c r="J8093"/>
      <c r="M8093"/>
      <c r="W8093"/>
    </row>
    <row r="8094" spans="10:23" x14ac:dyDescent="0.25">
      <c r="J8094"/>
      <c r="M8094"/>
      <c r="W8094"/>
    </row>
    <row r="8095" spans="10:23" x14ac:dyDescent="0.25">
      <c r="J8095"/>
      <c r="M8095"/>
      <c r="W8095"/>
    </row>
    <row r="8096" spans="10:23" x14ac:dyDescent="0.25">
      <c r="J8096"/>
      <c r="M8096"/>
      <c r="W8096"/>
    </row>
    <row r="8097" spans="10:23" x14ac:dyDescent="0.25">
      <c r="J8097"/>
      <c r="M8097"/>
      <c r="W8097"/>
    </row>
    <row r="8098" spans="10:23" x14ac:dyDescent="0.25">
      <c r="J8098"/>
      <c r="M8098"/>
      <c r="W8098"/>
    </row>
    <row r="8099" spans="10:23" x14ac:dyDescent="0.25">
      <c r="J8099"/>
      <c r="M8099"/>
      <c r="W8099"/>
    </row>
    <row r="8100" spans="10:23" x14ac:dyDescent="0.25">
      <c r="J8100"/>
      <c r="M8100"/>
      <c r="W8100"/>
    </row>
    <row r="8101" spans="10:23" x14ac:dyDescent="0.25">
      <c r="J8101"/>
      <c r="M8101"/>
      <c r="W8101"/>
    </row>
    <row r="8102" spans="10:23" x14ac:dyDescent="0.25">
      <c r="J8102"/>
      <c r="M8102"/>
      <c r="W8102"/>
    </row>
    <row r="8103" spans="10:23" x14ac:dyDescent="0.25">
      <c r="J8103"/>
      <c r="M8103"/>
      <c r="W8103"/>
    </row>
    <row r="8104" spans="10:23" x14ac:dyDescent="0.25">
      <c r="J8104"/>
      <c r="M8104"/>
      <c r="W8104"/>
    </row>
    <row r="8105" spans="10:23" x14ac:dyDescent="0.25">
      <c r="J8105"/>
      <c r="M8105"/>
      <c r="W8105"/>
    </row>
    <row r="8106" spans="10:23" x14ac:dyDescent="0.25">
      <c r="J8106"/>
      <c r="M8106"/>
      <c r="W8106"/>
    </row>
    <row r="8107" spans="10:23" x14ac:dyDescent="0.25">
      <c r="J8107"/>
      <c r="M8107"/>
      <c r="W8107"/>
    </row>
    <row r="8108" spans="10:23" x14ac:dyDescent="0.25">
      <c r="J8108"/>
      <c r="M8108"/>
      <c r="W8108"/>
    </row>
    <row r="8109" spans="10:23" x14ac:dyDescent="0.25">
      <c r="J8109"/>
      <c r="M8109"/>
      <c r="W8109"/>
    </row>
    <row r="8110" spans="10:23" x14ac:dyDescent="0.25">
      <c r="J8110"/>
      <c r="M8110"/>
      <c r="W8110"/>
    </row>
    <row r="8111" spans="10:23" x14ac:dyDescent="0.25">
      <c r="J8111"/>
      <c r="M8111"/>
      <c r="W8111"/>
    </row>
    <row r="8112" spans="10:23" x14ac:dyDescent="0.25">
      <c r="J8112"/>
      <c r="M8112"/>
      <c r="W8112"/>
    </row>
    <row r="8113" spans="10:23" x14ac:dyDescent="0.25">
      <c r="J8113"/>
      <c r="M8113"/>
      <c r="W8113"/>
    </row>
    <row r="8114" spans="10:23" x14ac:dyDescent="0.25">
      <c r="J8114"/>
      <c r="M8114"/>
      <c r="W8114"/>
    </row>
    <row r="8115" spans="10:23" x14ac:dyDescent="0.25">
      <c r="J8115"/>
      <c r="M8115"/>
      <c r="W8115"/>
    </row>
    <row r="8116" spans="10:23" x14ac:dyDescent="0.25">
      <c r="J8116"/>
      <c r="M8116"/>
      <c r="W8116"/>
    </row>
    <row r="8117" spans="10:23" x14ac:dyDescent="0.25">
      <c r="J8117"/>
      <c r="M8117"/>
      <c r="W8117"/>
    </row>
    <row r="8118" spans="10:23" x14ac:dyDescent="0.25">
      <c r="J8118"/>
      <c r="M8118"/>
      <c r="W8118"/>
    </row>
    <row r="8119" spans="10:23" x14ac:dyDescent="0.25">
      <c r="J8119"/>
      <c r="M8119"/>
      <c r="W8119"/>
    </row>
    <row r="8120" spans="10:23" x14ac:dyDescent="0.25">
      <c r="J8120"/>
      <c r="M8120"/>
      <c r="W8120"/>
    </row>
    <row r="8121" spans="10:23" x14ac:dyDescent="0.25">
      <c r="J8121"/>
      <c r="M8121"/>
      <c r="W8121"/>
    </row>
    <row r="8122" spans="10:23" x14ac:dyDescent="0.25">
      <c r="J8122"/>
      <c r="M8122"/>
      <c r="W8122"/>
    </row>
    <row r="8123" spans="10:23" x14ac:dyDescent="0.25">
      <c r="J8123"/>
      <c r="M8123"/>
      <c r="W8123"/>
    </row>
    <row r="8124" spans="10:23" x14ac:dyDescent="0.25">
      <c r="J8124"/>
      <c r="M8124"/>
      <c r="W8124"/>
    </row>
    <row r="8125" spans="10:23" x14ac:dyDescent="0.25">
      <c r="J8125"/>
      <c r="M8125"/>
      <c r="W8125"/>
    </row>
    <row r="8126" spans="10:23" x14ac:dyDescent="0.25">
      <c r="J8126"/>
      <c r="M8126"/>
      <c r="W8126"/>
    </row>
    <row r="8127" spans="10:23" x14ac:dyDescent="0.25">
      <c r="J8127"/>
      <c r="M8127"/>
      <c r="W8127"/>
    </row>
    <row r="8128" spans="10:23" x14ac:dyDescent="0.25">
      <c r="J8128"/>
      <c r="M8128"/>
      <c r="W8128"/>
    </row>
    <row r="8129" spans="10:23" x14ac:dyDescent="0.25">
      <c r="J8129"/>
      <c r="M8129"/>
      <c r="W8129"/>
    </row>
    <row r="8130" spans="10:23" x14ac:dyDescent="0.25">
      <c r="J8130"/>
      <c r="M8130"/>
      <c r="W8130"/>
    </row>
    <row r="8131" spans="10:23" x14ac:dyDescent="0.25">
      <c r="J8131"/>
      <c r="M8131"/>
      <c r="W8131"/>
    </row>
    <row r="8132" spans="10:23" x14ac:dyDescent="0.25">
      <c r="J8132"/>
      <c r="M8132"/>
      <c r="W8132"/>
    </row>
    <row r="8133" spans="10:23" x14ac:dyDescent="0.25">
      <c r="J8133"/>
      <c r="M8133"/>
      <c r="W8133"/>
    </row>
    <row r="8134" spans="10:23" x14ac:dyDescent="0.25">
      <c r="J8134"/>
      <c r="M8134"/>
      <c r="W8134"/>
    </row>
    <row r="8135" spans="10:23" x14ac:dyDescent="0.25">
      <c r="J8135"/>
      <c r="M8135"/>
      <c r="W8135"/>
    </row>
    <row r="8136" spans="10:23" x14ac:dyDescent="0.25">
      <c r="J8136"/>
      <c r="M8136"/>
      <c r="W8136"/>
    </row>
    <row r="8137" spans="10:23" x14ac:dyDescent="0.25">
      <c r="J8137"/>
      <c r="M8137"/>
      <c r="W8137"/>
    </row>
    <row r="8138" spans="10:23" x14ac:dyDescent="0.25">
      <c r="J8138"/>
      <c r="M8138"/>
      <c r="W8138"/>
    </row>
    <row r="8139" spans="10:23" x14ac:dyDescent="0.25">
      <c r="J8139"/>
      <c r="M8139"/>
      <c r="W8139"/>
    </row>
    <row r="8140" spans="10:23" x14ac:dyDescent="0.25">
      <c r="J8140"/>
      <c r="M8140"/>
      <c r="W8140"/>
    </row>
    <row r="8141" spans="10:23" x14ac:dyDescent="0.25">
      <c r="J8141"/>
      <c r="M8141"/>
      <c r="W8141"/>
    </row>
    <row r="8142" spans="10:23" x14ac:dyDescent="0.25">
      <c r="J8142"/>
      <c r="M8142"/>
      <c r="W8142"/>
    </row>
    <row r="8143" spans="10:23" x14ac:dyDescent="0.25">
      <c r="J8143"/>
      <c r="M8143"/>
      <c r="W8143"/>
    </row>
    <row r="8144" spans="10:23" x14ac:dyDescent="0.25">
      <c r="J8144"/>
      <c r="M8144"/>
      <c r="W8144"/>
    </row>
    <row r="8145" spans="10:23" x14ac:dyDescent="0.25">
      <c r="J8145"/>
      <c r="M8145"/>
      <c r="W8145"/>
    </row>
    <row r="8146" spans="10:23" x14ac:dyDescent="0.25">
      <c r="J8146"/>
      <c r="M8146"/>
      <c r="W8146"/>
    </row>
    <row r="8147" spans="10:23" x14ac:dyDescent="0.25">
      <c r="J8147"/>
      <c r="M8147"/>
      <c r="W8147"/>
    </row>
    <row r="8148" spans="10:23" x14ac:dyDescent="0.25">
      <c r="J8148"/>
      <c r="M8148"/>
      <c r="W8148"/>
    </row>
    <row r="8149" spans="10:23" x14ac:dyDescent="0.25">
      <c r="J8149"/>
      <c r="M8149"/>
      <c r="W8149"/>
    </row>
    <row r="8150" spans="10:23" x14ac:dyDescent="0.25">
      <c r="J8150"/>
      <c r="M8150"/>
      <c r="W8150"/>
    </row>
    <row r="8151" spans="10:23" x14ac:dyDescent="0.25">
      <c r="J8151"/>
      <c r="M8151"/>
      <c r="W8151"/>
    </row>
    <row r="8152" spans="10:23" x14ac:dyDescent="0.25">
      <c r="J8152"/>
      <c r="M8152"/>
      <c r="W8152"/>
    </row>
    <row r="8153" spans="10:23" x14ac:dyDescent="0.25">
      <c r="J8153"/>
      <c r="M8153"/>
      <c r="W8153"/>
    </row>
    <row r="8154" spans="10:23" x14ac:dyDescent="0.25">
      <c r="J8154"/>
      <c r="M8154"/>
      <c r="W8154"/>
    </row>
    <row r="8155" spans="10:23" x14ac:dyDescent="0.25">
      <c r="J8155"/>
      <c r="M8155"/>
      <c r="W8155"/>
    </row>
    <row r="8156" spans="10:23" x14ac:dyDescent="0.25">
      <c r="J8156"/>
      <c r="M8156"/>
      <c r="W8156"/>
    </row>
    <row r="8157" spans="10:23" x14ac:dyDescent="0.25">
      <c r="J8157"/>
      <c r="M8157"/>
      <c r="W8157"/>
    </row>
    <row r="8158" spans="10:23" x14ac:dyDescent="0.25">
      <c r="J8158"/>
      <c r="M8158"/>
      <c r="W8158"/>
    </row>
    <row r="8159" spans="10:23" x14ac:dyDescent="0.25">
      <c r="J8159"/>
      <c r="M8159"/>
      <c r="W8159"/>
    </row>
    <row r="8160" spans="10:23" x14ac:dyDescent="0.25">
      <c r="J8160"/>
      <c r="M8160"/>
      <c r="W8160"/>
    </row>
    <row r="8161" spans="10:23" x14ac:dyDescent="0.25">
      <c r="J8161"/>
      <c r="M8161"/>
      <c r="W8161"/>
    </row>
    <row r="8162" spans="10:23" x14ac:dyDescent="0.25">
      <c r="J8162"/>
      <c r="M8162"/>
      <c r="W8162"/>
    </row>
    <row r="8163" spans="10:23" x14ac:dyDescent="0.25">
      <c r="J8163"/>
      <c r="M8163"/>
      <c r="W8163"/>
    </row>
    <row r="8164" spans="10:23" x14ac:dyDescent="0.25">
      <c r="J8164"/>
      <c r="M8164"/>
      <c r="W8164"/>
    </row>
    <row r="8165" spans="10:23" x14ac:dyDescent="0.25">
      <c r="J8165"/>
      <c r="M8165"/>
      <c r="W8165"/>
    </row>
    <row r="8166" spans="10:23" x14ac:dyDescent="0.25">
      <c r="J8166"/>
      <c r="M8166"/>
      <c r="W8166"/>
    </row>
    <row r="8167" spans="10:23" x14ac:dyDescent="0.25">
      <c r="J8167"/>
      <c r="M8167"/>
      <c r="W8167"/>
    </row>
    <row r="8168" spans="10:23" x14ac:dyDescent="0.25">
      <c r="J8168"/>
      <c r="M8168"/>
      <c r="W8168"/>
    </row>
    <row r="8169" spans="10:23" x14ac:dyDescent="0.25">
      <c r="J8169"/>
      <c r="M8169"/>
      <c r="W8169"/>
    </row>
    <row r="8170" spans="10:23" x14ac:dyDescent="0.25">
      <c r="J8170"/>
      <c r="M8170"/>
      <c r="W8170"/>
    </row>
    <row r="8171" spans="10:23" x14ac:dyDescent="0.25">
      <c r="J8171"/>
      <c r="M8171"/>
      <c r="W8171"/>
    </row>
    <row r="8172" spans="10:23" x14ac:dyDescent="0.25">
      <c r="J8172"/>
      <c r="M8172"/>
      <c r="W8172"/>
    </row>
    <row r="8173" spans="10:23" x14ac:dyDescent="0.25">
      <c r="J8173"/>
      <c r="M8173"/>
      <c r="W8173"/>
    </row>
    <row r="8174" spans="10:23" x14ac:dyDescent="0.25">
      <c r="J8174"/>
      <c r="M8174"/>
      <c r="W8174"/>
    </row>
    <row r="8175" spans="10:23" x14ac:dyDescent="0.25">
      <c r="J8175"/>
      <c r="M8175"/>
      <c r="W8175"/>
    </row>
    <row r="8176" spans="10:23" x14ac:dyDescent="0.25">
      <c r="J8176"/>
      <c r="M8176"/>
      <c r="W8176"/>
    </row>
    <row r="8177" spans="10:23" x14ac:dyDescent="0.25">
      <c r="J8177"/>
      <c r="M8177"/>
      <c r="W8177"/>
    </row>
    <row r="8178" spans="10:23" x14ac:dyDescent="0.25">
      <c r="J8178"/>
      <c r="M8178"/>
      <c r="W8178"/>
    </row>
    <row r="8179" spans="10:23" x14ac:dyDescent="0.25">
      <c r="J8179"/>
      <c r="M8179"/>
      <c r="W8179"/>
    </row>
    <row r="8180" spans="10:23" x14ac:dyDescent="0.25">
      <c r="J8180"/>
      <c r="M8180"/>
      <c r="W8180"/>
    </row>
    <row r="8181" spans="10:23" x14ac:dyDescent="0.25">
      <c r="J8181"/>
      <c r="M8181"/>
      <c r="W8181"/>
    </row>
    <row r="8182" spans="10:23" x14ac:dyDescent="0.25">
      <c r="J8182"/>
      <c r="M8182"/>
      <c r="W8182"/>
    </row>
    <row r="8183" spans="10:23" x14ac:dyDescent="0.25">
      <c r="J8183"/>
      <c r="M8183"/>
      <c r="W8183"/>
    </row>
    <row r="8184" spans="10:23" x14ac:dyDescent="0.25">
      <c r="J8184"/>
      <c r="M8184"/>
      <c r="W8184"/>
    </row>
    <row r="8185" spans="10:23" x14ac:dyDescent="0.25">
      <c r="J8185"/>
      <c r="M8185"/>
      <c r="W8185"/>
    </row>
    <row r="8186" spans="10:23" x14ac:dyDescent="0.25">
      <c r="J8186"/>
      <c r="M8186"/>
      <c r="W8186"/>
    </row>
    <row r="8187" spans="10:23" x14ac:dyDescent="0.25">
      <c r="J8187"/>
      <c r="M8187"/>
      <c r="W8187"/>
    </row>
    <row r="8188" spans="10:23" x14ac:dyDescent="0.25">
      <c r="J8188"/>
      <c r="M8188"/>
      <c r="W8188"/>
    </row>
    <row r="8189" spans="10:23" x14ac:dyDescent="0.25">
      <c r="J8189"/>
      <c r="M8189"/>
      <c r="W8189"/>
    </row>
    <row r="8190" spans="10:23" x14ac:dyDescent="0.25">
      <c r="J8190"/>
      <c r="M8190"/>
      <c r="W8190"/>
    </row>
    <row r="8191" spans="10:23" x14ac:dyDescent="0.25">
      <c r="J8191"/>
      <c r="M8191"/>
      <c r="W8191"/>
    </row>
    <row r="8192" spans="10:23" x14ac:dyDescent="0.25">
      <c r="J8192"/>
      <c r="M8192"/>
      <c r="W8192"/>
    </row>
    <row r="8193" spans="10:23" x14ac:dyDescent="0.25">
      <c r="J8193"/>
      <c r="M8193"/>
      <c r="W8193"/>
    </row>
    <row r="8194" spans="10:23" x14ac:dyDescent="0.25">
      <c r="J8194"/>
      <c r="M8194"/>
      <c r="W8194"/>
    </row>
    <row r="8195" spans="10:23" x14ac:dyDescent="0.25">
      <c r="J8195"/>
      <c r="M8195"/>
      <c r="W8195"/>
    </row>
    <row r="8196" spans="10:23" x14ac:dyDescent="0.25">
      <c r="J8196"/>
      <c r="M8196"/>
      <c r="W8196"/>
    </row>
    <row r="8197" spans="10:23" x14ac:dyDescent="0.25">
      <c r="J8197"/>
      <c r="M8197"/>
      <c r="W8197"/>
    </row>
    <row r="8198" spans="10:23" x14ac:dyDescent="0.25">
      <c r="J8198"/>
      <c r="M8198"/>
      <c r="W8198"/>
    </row>
    <row r="8199" spans="10:23" x14ac:dyDescent="0.25">
      <c r="J8199"/>
      <c r="M8199"/>
      <c r="W8199"/>
    </row>
    <row r="8200" spans="10:23" x14ac:dyDescent="0.25">
      <c r="J8200"/>
      <c r="M8200"/>
      <c r="W8200"/>
    </row>
    <row r="8201" spans="10:23" x14ac:dyDescent="0.25">
      <c r="J8201"/>
      <c r="M8201"/>
      <c r="W8201"/>
    </row>
    <row r="8202" spans="10:23" x14ac:dyDescent="0.25">
      <c r="J8202"/>
      <c r="M8202"/>
      <c r="W8202"/>
    </row>
    <row r="8203" spans="10:23" x14ac:dyDescent="0.25">
      <c r="J8203"/>
      <c r="M8203"/>
      <c r="W8203"/>
    </row>
    <row r="8204" spans="10:23" x14ac:dyDescent="0.25">
      <c r="J8204"/>
      <c r="M8204"/>
      <c r="W8204"/>
    </row>
    <row r="8205" spans="10:23" x14ac:dyDescent="0.25">
      <c r="J8205"/>
      <c r="M8205"/>
      <c r="W8205"/>
    </row>
    <row r="8206" spans="10:23" x14ac:dyDescent="0.25">
      <c r="J8206"/>
      <c r="M8206"/>
      <c r="W8206"/>
    </row>
    <row r="8207" spans="10:23" x14ac:dyDescent="0.25">
      <c r="J8207"/>
      <c r="M8207"/>
      <c r="W8207"/>
    </row>
    <row r="8208" spans="10:23" x14ac:dyDescent="0.25">
      <c r="J8208"/>
      <c r="M8208"/>
      <c r="W8208"/>
    </row>
    <row r="8209" spans="10:23" x14ac:dyDescent="0.25">
      <c r="J8209"/>
      <c r="M8209"/>
      <c r="W8209"/>
    </row>
    <row r="8210" spans="10:23" x14ac:dyDescent="0.25">
      <c r="J8210"/>
      <c r="M8210"/>
      <c r="W8210"/>
    </row>
    <row r="8211" spans="10:23" x14ac:dyDescent="0.25">
      <c r="J8211"/>
      <c r="M8211"/>
      <c r="W8211"/>
    </row>
    <row r="8212" spans="10:23" x14ac:dyDescent="0.25">
      <c r="J8212"/>
      <c r="M8212"/>
      <c r="W8212"/>
    </row>
    <row r="8213" spans="10:23" x14ac:dyDescent="0.25">
      <c r="J8213"/>
      <c r="M8213"/>
      <c r="W8213"/>
    </row>
    <row r="8214" spans="10:23" x14ac:dyDescent="0.25">
      <c r="J8214"/>
      <c r="M8214"/>
      <c r="W8214"/>
    </row>
    <row r="8215" spans="10:23" x14ac:dyDescent="0.25">
      <c r="J8215"/>
      <c r="M8215"/>
      <c r="W8215"/>
    </row>
    <row r="8216" spans="10:23" x14ac:dyDescent="0.25">
      <c r="J8216"/>
      <c r="M8216"/>
      <c r="W8216"/>
    </row>
    <row r="8217" spans="10:23" x14ac:dyDescent="0.25">
      <c r="J8217"/>
      <c r="M8217"/>
      <c r="W8217"/>
    </row>
    <row r="8218" spans="10:23" x14ac:dyDescent="0.25">
      <c r="J8218"/>
      <c r="M8218"/>
      <c r="W8218"/>
    </row>
    <row r="8219" spans="10:23" x14ac:dyDescent="0.25">
      <c r="J8219"/>
      <c r="M8219"/>
      <c r="W8219"/>
    </row>
    <row r="8220" spans="10:23" x14ac:dyDescent="0.25">
      <c r="J8220"/>
      <c r="M8220"/>
      <c r="W8220"/>
    </row>
    <row r="8221" spans="10:23" x14ac:dyDescent="0.25">
      <c r="J8221"/>
      <c r="M8221"/>
      <c r="W8221"/>
    </row>
    <row r="8222" spans="10:23" x14ac:dyDescent="0.25">
      <c r="J8222"/>
      <c r="M8222"/>
      <c r="W8222"/>
    </row>
    <row r="8223" spans="10:23" x14ac:dyDescent="0.25">
      <c r="J8223"/>
      <c r="M8223"/>
      <c r="W8223"/>
    </row>
    <row r="8224" spans="10:23" x14ac:dyDescent="0.25">
      <c r="J8224"/>
      <c r="M8224"/>
      <c r="W8224"/>
    </row>
    <row r="8225" spans="10:23" x14ac:dyDescent="0.25">
      <c r="J8225"/>
      <c r="M8225"/>
      <c r="W8225"/>
    </row>
    <row r="8226" spans="10:23" x14ac:dyDescent="0.25">
      <c r="J8226"/>
      <c r="M8226"/>
      <c r="W8226"/>
    </row>
    <row r="8227" spans="10:23" x14ac:dyDescent="0.25">
      <c r="J8227"/>
      <c r="M8227"/>
      <c r="W8227"/>
    </row>
    <row r="8228" spans="10:23" x14ac:dyDescent="0.25">
      <c r="J8228"/>
      <c r="M8228"/>
      <c r="W8228"/>
    </row>
    <row r="8229" spans="10:23" x14ac:dyDescent="0.25">
      <c r="J8229"/>
      <c r="M8229"/>
      <c r="W8229"/>
    </row>
    <row r="8230" spans="10:23" x14ac:dyDescent="0.25">
      <c r="J8230"/>
      <c r="M8230"/>
      <c r="W8230"/>
    </row>
    <row r="8231" spans="10:23" x14ac:dyDescent="0.25">
      <c r="J8231"/>
      <c r="M8231"/>
      <c r="W8231"/>
    </row>
    <row r="8232" spans="10:23" x14ac:dyDescent="0.25">
      <c r="J8232"/>
      <c r="M8232"/>
      <c r="W8232"/>
    </row>
    <row r="8233" spans="10:23" x14ac:dyDescent="0.25">
      <c r="J8233"/>
      <c r="M8233"/>
      <c r="W8233"/>
    </row>
    <row r="8234" spans="10:23" x14ac:dyDescent="0.25">
      <c r="J8234"/>
      <c r="M8234"/>
      <c r="W8234"/>
    </row>
    <row r="8235" spans="10:23" x14ac:dyDescent="0.25">
      <c r="J8235"/>
      <c r="M8235"/>
      <c r="W8235"/>
    </row>
    <row r="8236" spans="10:23" x14ac:dyDescent="0.25">
      <c r="J8236"/>
      <c r="M8236"/>
      <c r="W8236"/>
    </row>
    <row r="8237" spans="10:23" x14ac:dyDescent="0.25">
      <c r="J8237"/>
      <c r="M8237"/>
      <c r="W8237"/>
    </row>
    <row r="8238" spans="10:23" x14ac:dyDescent="0.25">
      <c r="J8238"/>
      <c r="M8238"/>
      <c r="W8238"/>
    </row>
    <row r="8239" spans="10:23" x14ac:dyDescent="0.25">
      <c r="J8239"/>
      <c r="M8239"/>
      <c r="W8239"/>
    </row>
    <row r="8240" spans="10:23" x14ac:dyDescent="0.25">
      <c r="J8240"/>
      <c r="M8240"/>
      <c r="W8240"/>
    </row>
    <row r="8241" spans="10:23" x14ac:dyDescent="0.25">
      <c r="J8241"/>
      <c r="M8241"/>
      <c r="W8241"/>
    </row>
    <row r="8242" spans="10:23" x14ac:dyDescent="0.25">
      <c r="J8242"/>
      <c r="M8242"/>
      <c r="W8242"/>
    </row>
    <row r="8243" spans="10:23" x14ac:dyDescent="0.25">
      <c r="J8243"/>
      <c r="M8243"/>
      <c r="W8243"/>
    </row>
    <row r="8244" spans="10:23" x14ac:dyDescent="0.25">
      <c r="J8244"/>
      <c r="M8244"/>
      <c r="W8244"/>
    </row>
    <row r="8245" spans="10:23" x14ac:dyDescent="0.25">
      <c r="J8245"/>
      <c r="M8245"/>
      <c r="W8245"/>
    </row>
    <row r="8246" spans="10:23" x14ac:dyDescent="0.25">
      <c r="J8246"/>
      <c r="M8246"/>
      <c r="W8246"/>
    </row>
    <row r="8247" spans="10:23" x14ac:dyDescent="0.25">
      <c r="J8247"/>
      <c r="M8247"/>
      <c r="W8247"/>
    </row>
    <row r="8248" spans="10:23" x14ac:dyDescent="0.25">
      <c r="J8248"/>
      <c r="M8248"/>
      <c r="W8248"/>
    </row>
    <row r="8249" spans="10:23" x14ac:dyDescent="0.25">
      <c r="J8249"/>
      <c r="M8249"/>
      <c r="W8249"/>
    </row>
    <row r="8250" spans="10:23" x14ac:dyDescent="0.25">
      <c r="J8250"/>
      <c r="M8250"/>
      <c r="W8250"/>
    </row>
    <row r="8251" spans="10:23" x14ac:dyDescent="0.25">
      <c r="J8251"/>
      <c r="M8251"/>
      <c r="W8251"/>
    </row>
    <row r="8252" spans="10:23" x14ac:dyDescent="0.25">
      <c r="J8252"/>
      <c r="M8252"/>
      <c r="W8252"/>
    </row>
    <row r="8253" spans="10:23" x14ac:dyDescent="0.25">
      <c r="J8253"/>
      <c r="M8253"/>
      <c r="W8253"/>
    </row>
    <row r="8254" spans="10:23" x14ac:dyDescent="0.25">
      <c r="J8254"/>
      <c r="M8254"/>
      <c r="W8254"/>
    </row>
    <row r="8255" spans="10:23" x14ac:dyDescent="0.25">
      <c r="J8255"/>
      <c r="M8255"/>
      <c r="W8255"/>
    </row>
    <row r="8256" spans="10:23" x14ac:dyDescent="0.25">
      <c r="J8256"/>
      <c r="M8256"/>
      <c r="W8256"/>
    </row>
    <row r="8257" spans="10:23" x14ac:dyDescent="0.25">
      <c r="J8257"/>
      <c r="M8257"/>
      <c r="W8257"/>
    </row>
    <row r="8258" spans="10:23" x14ac:dyDescent="0.25">
      <c r="J8258"/>
      <c r="M8258"/>
      <c r="W8258"/>
    </row>
    <row r="8259" spans="10:23" x14ac:dyDescent="0.25">
      <c r="J8259"/>
      <c r="M8259"/>
      <c r="W8259"/>
    </row>
    <row r="8260" spans="10:23" x14ac:dyDescent="0.25">
      <c r="J8260"/>
      <c r="M8260"/>
      <c r="W8260"/>
    </row>
    <row r="8261" spans="10:23" x14ac:dyDescent="0.25">
      <c r="J8261"/>
      <c r="M8261"/>
      <c r="W8261"/>
    </row>
    <row r="8262" spans="10:23" x14ac:dyDescent="0.25">
      <c r="J8262"/>
      <c r="M8262"/>
      <c r="W8262"/>
    </row>
    <row r="8263" spans="10:23" x14ac:dyDescent="0.25">
      <c r="J8263"/>
      <c r="M8263"/>
      <c r="W8263"/>
    </row>
    <row r="8264" spans="10:23" x14ac:dyDescent="0.25">
      <c r="J8264"/>
      <c r="M8264"/>
      <c r="W8264"/>
    </row>
    <row r="8265" spans="10:23" x14ac:dyDescent="0.25">
      <c r="J8265"/>
      <c r="M8265"/>
      <c r="W8265"/>
    </row>
    <row r="8266" spans="10:23" x14ac:dyDescent="0.25">
      <c r="J8266"/>
      <c r="M8266"/>
      <c r="W8266"/>
    </row>
    <row r="8267" spans="10:23" x14ac:dyDescent="0.25">
      <c r="J8267"/>
      <c r="M8267"/>
      <c r="W8267"/>
    </row>
    <row r="8268" spans="10:23" x14ac:dyDescent="0.25">
      <c r="J8268"/>
      <c r="M8268"/>
      <c r="W8268"/>
    </row>
    <row r="8269" spans="10:23" x14ac:dyDescent="0.25">
      <c r="J8269"/>
      <c r="M8269"/>
      <c r="W8269"/>
    </row>
    <row r="8270" spans="10:23" x14ac:dyDescent="0.25">
      <c r="J8270"/>
      <c r="M8270"/>
      <c r="W8270"/>
    </row>
    <row r="8271" spans="10:23" x14ac:dyDescent="0.25">
      <c r="J8271"/>
      <c r="M8271"/>
      <c r="W8271"/>
    </row>
    <row r="8272" spans="10:23" x14ac:dyDescent="0.25">
      <c r="J8272"/>
      <c r="M8272"/>
      <c r="W8272"/>
    </row>
    <row r="8273" spans="10:23" x14ac:dyDescent="0.25">
      <c r="J8273"/>
      <c r="M8273"/>
      <c r="W8273"/>
    </row>
    <row r="8274" spans="10:23" x14ac:dyDescent="0.25">
      <c r="J8274"/>
      <c r="M8274"/>
      <c r="W8274"/>
    </row>
    <row r="8275" spans="10:23" x14ac:dyDescent="0.25">
      <c r="J8275"/>
      <c r="M8275"/>
      <c r="W8275"/>
    </row>
    <row r="8276" spans="10:23" x14ac:dyDescent="0.25">
      <c r="J8276"/>
      <c r="M8276"/>
      <c r="W8276"/>
    </row>
    <row r="8277" spans="10:23" x14ac:dyDescent="0.25">
      <c r="J8277"/>
      <c r="M8277"/>
      <c r="W8277"/>
    </row>
    <row r="8278" spans="10:23" x14ac:dyDescent="0.25">
      <c r="J8278"/>
      <c r="M8278"/>
      <c r="W8278"/>
    </row>
    <row r="8279" spans="10:23" x14ac:dyDescent="0.25">
      <c r="J8279"/>
      <c r="M8279"/>
      <c r="W8279"/>
    </row>
    <row r="8280" spans="10:23" x14ac:dyDescent="0.25">
      <c r="J8280"/>
      <c r="M8280"/>
      <c r="W8280"/>
    </row>
    <row r="8281" spans="10:23" x14ac:dyDescent="0.25">
      <c r="J8281"/>
      <c r="M8281"/>
      <c r="W8281"/>
    </row>
    <row r="8282" spans="10:23" x14ac:dyDescent="0.25">
      <c r="J8282"/>
      <c r="M8282"/>
      <c r="W8282"/>
    </row>
    <row r="8283" spans="10:23" x14ac:dyDescent="0.25">
      <c r="J8283"/>
      <c r="M8283"/>
      <c r="W8283"/>
    </row>
    <row r="8284" spans="10:23" x14ac:dyDescent="0.25">
      <c r="J8284"/>
      <c r="M8284"/>
      <c r="W8284"/>
    </row>
    <row r="8285" spans="10:23" x14ac:dyDescent="0.25">
      <c r="J8285"/>
      <c r="M8285"/>
      <c r="W8285"/>
    </row>
    <row r="8286" spans="10:23" x14ac:dyDescent="0.25">
      <c r="J8286"/>
      <c r="M8286"/>
      <c r="W8286"/>
    </row>
    <row r="8287" spans="10:23" x14ac:dyDescent="0.25">
      <c r="J8287"/>
      <c r="M8287"/>
      <c r="W8287"/>
    </row>
    <row r="8288" spans="10:23" x14ac:dyDescent="0.25">
      <c r="J8288"/>
      <c r="M8288"/>
      <c r="W8288"/>
    </row>
    <row r="8289" spans="10:23" x14ac:dyDescent="0.25">
      <c r="J8289"/>
      <c r="M8289"/>
      <c r="W8289"/>
    </row>
    <row r="8290" spans="10:23" x14ac:dyDescent="0.25">
      <c r="J8290"/>
      <c r="M8290"/>
      <c r="W8290"/>
    </row>
    <row r="8291" spans="10:23" x14ac:dyDescent="0.25">
      <c r="J8291"/>
      <c r="M8291"/>
      <c r="W8291"/>
    </row>
    <row r="8292" spans="10:23" x14ac:dyDescent="0.25">
      <c r="J8292"/>
      <c r="M8292"/>
      <c r="W8292"/>
    </row>
    <row r="8293" spans="10:23" x14ac:dyDescent="0.25">
      <c r="J8293"/>
      <c r="M8293"/>
      <c r="W8293"/>
    </row>
    <row r="8294" spans="10:23" x14ac:dyDescent="0.25">
      <c r="J8294"/>
      <c r="M8294"/>
      <c r="W8294"/>
    </row>
    <row r="8295" spans="10:23" x14ac:dyDescent="0.25">
      <c r="J8295"/>
      <c r="M8295"/>
      <c r="W8295"/>
    </row>
    <row r="8296" spans="10:23" x14ac:dyDescent="0.25">
      <c r="J8296"/>
      <c r="M8296"/>
      <c r="W8296"/>
    </row>
    <row r="8297" spans="10:23" x14ac:dyDescent="0.25">
      <c r="J8297"/>
      <c r="M8297"/>
      <c r="W8297"/>
    </row>
    <row r="8298" spans="10:23" x14ac:dyDescent="0.25">
      <c r="J8298"/>
      <c r="M8298"/>
      <c r="W8298"/>
    </row>
    <row r="8299" spans="10:23" x14ac:dyDescent="0.25">
      <c r="J8299"/>
      <c r="M8299"/>
      <c r="W8299"/>
    </row>
    <row r="8300" spans="10:23" x14ac:dyDescent="0.25">
      <c r="J8300"/>
      <c r="M8300"/>
      <c r="W8300"/>
    </row>
    <row r="8301" spans="10:23" x14ac:dyDescent="0.25">
      <c r="J8301"/>
      <c r="M8301"/>
      <c r="W8301"/>
    </row>
    <row r="8302" spans="10:23" x14ac:dyDescent="0.25">
      <c r="J8302"/>
      <c r="M8302"/>
      <c r="W8302"/>
    </row>
    <row r="8303" spans="10:23" x14ac:dyDescent="0.25">
      <c r="J8303"/>
      <c r="M8303"/>
      <c r="W8303"/>
    </row>
    <row r="8304" spans="10:23" x14ac:dyDescent="0.25">
      <c r="J8304"/>
      <c r="M8304"/>
      <c r="W8304"/>
    </row>
    <row r="8305" spans="10:23" x14ac:dyDescent="0.25">
      <c r="J8305"/>
      <c r="M8305"/>
      <c r="W8305"/>
    </row>
    <row r="8306" spans="10:23" x14ac:dyDescent="0.25">
      <c r="J8306"/>
      <c r="M8306"/>
      <c r="W8306"/>
    </row>
    <row r="8307" spans="10:23" x14ac:dyDescent="0.25">
      <c r="J8307"/>
      <c r="M8307"/>
      <c r="W8307"/>
    </row>
    <row r="8308" spans="10:23" x14ac:dyDescent="0.25">
      <c r="J8308"/>
      <c r="M8308"/>
      <c r="W8308"/>
    </row>
    <row r="8309" spans="10:23" x14ac:dyDescent="0.25">
      <c r="J8309"/>
      <c r="M8309"/>
      <c r="W8309"/>
    </row>
    <row r="8310" spans="10:23" x14ac:dyDescent="0.25">
      <c r="J8310"/>
      <c r="M8310"/>
      <c r="W8310"/>
    </row>
    <row r="8311" spans="10:23" x14ac:dyDescent="0.25">
      <c r="J8311"/>
      <c r="M8311"/>
      <c r="W8311"/>
    </row>
    <row r="8312" spans="10:23" x14ac:dyDescent="0.25">
      <c r="J8312"/>
      <c r="M8312"/>
      <c r="W8312"/>
    </row>
    <row r="8313" spans="10:23" x14ac:dyDescent="0.25">
      <c r="J8313"/>
      <c r="M8313"/>
      <c r="W8313"/>
    </row>
    <row r="8314" spans="10:23" x14ac:dyDescent="0.25">
      <c r="J8314"/>
      <c r="M8314"/>
      <c r="W8314"/>
    </row>
    <row r="8315" spans="10:23" x14ac:dyDescent="0.25">
      <c r="J8315"/>
      <c r="M8315"/>
      <c r="W8315"/>
    </row>
    <row r="8316" spans="10:23" x14ac:dyDescent="0.25">
      <c r="J8316"/>
      <c r="M8316"/>
      <c r="W8316"/>
    </row>
    <row r="8317" spans="10:23" x14ac:dyDescent="0.25">
      <c r="J8317"/>
      <c r="M8317"/>
      <c r="W8317"/>
    </row>
    <row r="8318" spans="10:23" x14ac:dyDescent="0.25">
      <c r="J8318"/>
      <c r="M8318"/>
      <c r="W8318"/>
    </row>
    <row r="8319" spans="10:23" x14ac:dyDescent="0.25">
      <c r="J8319"/>
      <c r="M8319"/>
      <c r="W8319"/>
    </row>
    <row r="8320" spans="10:23" x14ac:dyDescent="0.25">
      <c r="J8320"/>
      <c r="M8320"/>
      <c r="W8320"/>
    </row>
    <row r="8321" spans="10:23" x14ac:dyDescent="0.25">
      <c r="J8321"/>
      <c r="M8321"/>
      <c r="W8321"/>
    </row>
    <row r="8322" spans="10:23" x14ac:dyDescent="0.25">
      <c r="J8322"/>
      <c r="M8322"/>
      <c r="W8322"/>
    </row>
    <row r="8323" spans="10:23" x14ac:dyDescent="0.25">
      <c r="J8323"/>
      <c r="M8323"/>
      <c r="W8323"/>
    </row>
    <row r="8324" spans="10:23" x14ac:dyDescent="0.25">
      <c r="J8324"/>
      <c r="M8324"/>
      <c r="W8324"/>
    </row>
    <row r="8325" spans="10:23" x14ac:dyDescent="0.25">
      <c r="J8325"/>
      <c r="M8325"/>
      <c r="W8325"/>
    </row>
    <row r="8326" spans="10:23" x14ac:dyDescent="0.25">
      <c r="J8326"/>
      <c r="M8326"/>
      <c r="W8326"/>
    </row>
    <row r="8327" spans="10:23" x14ac:dyDescent="0.25">
      <c r="J8327"/>
      <c r="M8327"/>
      <c r="W8327"/>
    </row>
    <row r="8328" spans="10:23" x14ac:dyDescent="0.25">
      <c r="J8328"/>
      <c r="M8328"/>
      <c r="W8328"/>
    </row>
    <row r="8329" spans="10:23" x14ac:dyDescent="0.25">
      <c r="J8329"/>
      <c r="M8329"/>
      <c r="W8329"/>
    </row>
    <row r="8330" spans="10:23" x14ac:dyDescent="0.25">
      <c r="J8330"/>
      <c r="M8330"/>
      <c r="W8330"/>
    </row>
    <row r="8331" spans="10:23" x14ac:dyDescent="0.25">
      <c r="J8331"/>
      <c r="M8331"/>
      <c r="W8331"/>
    </row>
    <row r="8332" spans="10:23" x14ac:dyDescent="0.25">
      <c r="J8332"/>
      <c r="M8332"/>
      <c r="W8332"/>
    </row>
    <row r="8333" spans="10:23" x14ac:dyDescent="0.25">
      <c r="J8333"/>
      <c r="M8333"/>
      <c r="W8333"/>
    </row>
    <row r="8334" spans="10:23" x14ac:dyDescent="0.25">
      <c r="J8334"/>
      <c r="M8334"/>
      <c r="W8334"/>
    </row>
    <row r="8335" spans="10:23" x14ac:dyDescent="0.25">
      <c r="J8335"/>
      <c r="M8335"/>
      <c r="W8335"/>
    </row>
    <row r="8336" spans="10:23" x14ac:dyDescent="0.25">
      <c r="J8336"/>
      <c r="M8336"/>
      <c r="W8336"/>
    </row>
    <row r="8337" spans="10:23" x14ac:dyDescent="0.25">
      <c r="J8337"/>
      <c r="M8337"/>
      <c r="W8337"/>
    </row>
    <row r="8338" spans="10:23" x14ac:dyDescent="0.25">
      <c r="J8338"/>
      <c r="M8338"/>
      <c r="W8338"/>
    </row>
    <row r="8339" spans="10:23" x14ac:dyDescent="0.25">
      <c r="J8339"/>
      <c r="M8339"/>
      <c r="W8339"/>
    </row>
    <row r="8340" spans="10:23" x14ac:dyDescent="0.25">
      <c r="J8340"/>
      <c r="M8340"/>
      <c r="W8340"/>
    </row>
    <row r="8341" spans="10:23" x14ac:dyDescent="0.25">
      <c r="J8341"/>
      <c r="M8341"/>
      <c r="W8341"/>
    </row>
    <row r="8342" spans="10:23" x14ac:dyDescent="0.25">
      <c r="J8342"/>
      <c r="M8342"/>
      <c r="W8342"/>
    </row>
    <row r="8343" spans="10:23" x14ac:dyDescent="0.25">
      <c r="J8343"/>
      <c r="M8343"/>
      <c r="W8343"/>
    </row>
    <row r="8344" spans="10:23" x14ac:dyDescent="0.25">
      <c r="J8344"/>
      <c r="M8344"/>
      <c r="W8344"/>
    </row>
    <row r="8345" spans="10:23" x14ac:dyDescent="0.25">
      <c r="J8345"/>
      <c r="M8345"/>
      <c r="W8345"/>
    </row>
    <row r="8346" spans="10:23" x14ac:dyDescent="0.25">
      <c r="J8346"/>
      <c r="M8346"/>
      <c r="W8346"/>
    </row>
    <row r="8347" spans="10:23" x14ac:dyDescent="0.25">
      <c r="J8347"/>
      <c r="M8347"/>
      <c r="W8347"/>
    </row>
    <row r="8348" spans="10:23" x14ac:dyDescent="0.25">
      <c r="J8348"/>
      <c r="M8348"/>
      <c r="W8348"/>
    </row>
    <row r="8349" spans="10:23" x14ac:dyDescent="0.25">
      <c r="J8349"/>
      <c r="M8349"/>
      <c r="W8349"/>
    </row>
    <row r="8350" spans="10:23" x14ac:dyDescent="0.25">
      <c r="J8350"/>
      <c r="M8350"/>
      <c r="W8350"/>
    </row>
    <row r="8351" spans="10:23" x14ac:dyDescent="0.25">
      <c r="J8351"/>
      <c r="M8351"/>
      <c r="W8351"/>
    </row>
    <row r="8352" spans="10:23" x14ac:dyDescent="0.25">
      <c r="J8352"/>
      <c r="M8352"/>
      <c r="W8352"/>
    </row>
    <row r="8353" spans="10:23" x14ac:dyDescent="0.25">
      <c r="J8353"/>
      <c r="M8353"/>
      <c r="W8353"/>
    </row>
    <row r="8354" spans="10:23" x14ac:dyDescent="0.25">
      <c r="J8354"/>
      <c r="M8354"/>
      <c r="W8354"/>
    </row>
    <row r="8355" spans="10:23" x14ac:dyDescent="0.25">
      <c r="J8355"/>
      <c r="M8355"/>
      <c r="W8355"/>
    </row>
    <row r="8356" spans="10:23" x14ac:dyDescent="0.25">
      <c r="J8356"/>
      <c r="M8356"/>
      <c r="W8356"/>
    </row>
    <row r="8357" spans="10:23" x14ac:dyDescent="0.25">
      <c r="J8357"/>
      <c r="M8357"/>
      <c r="W8357"/>
    </row>
    <row r="8358" spans="10:23" x14ac:dyDescent="0.25">
      <c r="J8358"/>
      <c r="M8358"/>
      <c r="W8358"/>
    </row>
    <row r="8359" spans="10:23" x14ac:dyDescent="0.25">
      <c r="J8359"/>
      <c r="M8359"/>
      <c r="W8359"/>
    </row>
    <row r="8360" spans="10:23" x14ac:dyDescent="0.25">
      <c r="J8360"/>
      <c r="M8360"/>
      <c r="W8360"/>
    </row>
    <row r="8361" spans="10:23" x14ac:dyDescent="0.25">
      <c r="J8361"/>
      <c r="M8361"/>
      <c r="W8361"/>
    </row>
    <row r="8362" spans="10:23" x14ac:dyDescent="0.25">
      <c r="J8362"/>
      <c r="M8362"/>
      <c r="W8362"/>
    </row>
    <row r="8363" spans="10:23" x14ac:dyDescent="0.25">
      <c r="J8363"/>
      <c r="M8363"/>
      <c r="W8363"/>
    </row>
    <row r="8364" spans="10:23" x14ac:dyDescent="0.25">
      <c r="J8364"/>
      <c r="M8364"/>
      <c r="W8364"/>
    </row>
    <row r="8365" spans="10:23" x14ac:dyDescent="0.25">
      <c r="J8365"/>
      <c r="M8365"/>
      <c r="W8365"/>
    </row>
    <row r="8366" spans="10:23" x14ac:dyDescent="0.25">
      <c r="J8366"/>
      <c r="M8366"/>
      <c r="W8366"/>
    </row>
    <row r="8367" spans="10:23" x14ac:dyDescent="0.25">
      <c r="J8367"/>
      <c r="M8367"/>
      <c r="W8367"/>
    </row>
    <row r="8368" spans="10:23" x14ac:dyDescent="0.25">
      <c r="J8368"/>
      <c r="M8368"/>
      <c r="W8368"/>
    </row>
    <row r="8369" spans="10:23" x14ac:dyDescent="0.25">
      <c r="J8369"/>
      <c r="M8369"/>
      <c r="W8369"/>
    </row>
    <row r="8370" spans="10:23" x14ac:dyDescent="0.25">
      <c r="J8370"/>
      <c r="M8370"/>
      <c r="W8370"/>
    </row>
    <row r="8371" spans="10:23" x14ac:dyDescent="0.25">
      <c r="J8371"/>
      <c r="M8371"/>
      <c r="W8371"/>
    </row>
    <row r="8372" spans="10:23" x14ac:dyDescent="0.25">
      <c r="J8372"/>
      <c r="M8372"/>
      <c r="W8372"/>
    </row>
    <row r="8373" spans="10:23" x14ac:dyDescent="0.25">
      <c r="J8373"/>
      <c r="M8373"/>
      <c r="W8373"/>
    </row>
    <row r="8374" spans="10:23" x14ac:dyDescent="0.25">
      <c r="J8374"/>
      <c r="M8374"/>
      <c r="W8374"/>
    </row>
    <row r="8375" spans="10:23" x14ac:dyDescent="0.25">
      <c r="J8375"/>
      <c r="M8375"/>
      <c r="W8375"/>
    </row>
    <row r="8376" spans="10:23" x14ac:dyDescent="0.25">
      <c r="J8376"/>
      <c r="M8376"/>
      <c r="W8376"/>
    </row>
    <row r="8377" spans="10:23" x14ac:dyDescent="0.25">
      <c r="J8377"/>
      <c r="M8377"/>
      <c r="W8377"/>
    </row>
    <row r="8378" spans="10:23" x14ac:dyDescent="0.25">
      <c r="J8378"/>
      <c r="M8378"/>
      <c r="W8378"/>
    </row>
    <row r="8379" spans="10:23" x14ac:dyDescent="0.25">
      <c r="J8379"/>
      <c r="M8379"/>
      <c r="W8379"/>
    </row>
    <row r="8380" spans="10:23" x14ac:dyDescent="0.25">
      <c r="J8380"/>
      <c r="M8380"/>
      <c r="W8380"/>
    </row>
    <row r="8381" spans="10:23" x14ac:dyDescent="0.25">
      <c r="J8381"/>
      <c r="M8381"/>
      <c r="W8381"/>
    </row>
    <row r="8382" spans="10:23" x14ac:dyDescent="0.25">
      <c r="J8382"/>
      <c r="M8382"/>
      <c r="W8382"/>
    </row>
    <row r="8383" spans="10:23" x14ac:dyDescent="0.25">
      <c r="J8383"/>
      <c r="M8383"/>
      <c r="W8383"/>
    </row>
    <row r="8384" spans="10:23" x14ac:dyDescent="0.25">
      <c r="J8384"/>
      <c r="M8384"/>
      <c r="W8384"/>
    </row>
    <row r="8385" spans="10:23" x14ac:dyDescent="0.25">
      <c r="J8385"/>
      <c r="M8385"/>
      <c r="W8385"/>
    </row>
    <row r="8386" spans="10:23" x14ac:dyDescent="0.25">
      <c r="J8386"/>
      <c r="M8386"/>
      <c r="W8386"/>
    </row>
    <row r="8387" spans="10:23" x14ac:dyDescent="0.25">
      <c r="J8387"/>
      <c r="M8387"/>
      <c r="W8387"/>
    </row>
    <row r="8388" spans="10:23" x14ac:dyDescent="0.25">
      <c r="J8388"/>
      <c r="M8388"/>
      <c r="W8388"/>
    </row>
    <row r="8389" spans="10:23" x14ac:dyDescent="0.25">
      <c r="J8389"/>
      <c r="M8389"/>
      <c r="W8389"/>
    </row>
    <row r="8390" spans="10:23" x14ac:dyDescent="0.25">
      <c r="J8390"/>
      <c r="M8390"/>
      <c r="W8390"/>
    </row>
    <row r="8391" spans="10:23" x14ac:dyDescent="0.25">
      <c r="J8391"/>
      <c r="M8391"/>
      <c r="W8391"/>
    </row>
    <row r="8392" spans="10:23" x14ac:dyDescent="0.25">
      <c r="J8392"/>
      <c r="M8392"/>
      <c r="W8392"/>
    </row>
    <row r="8393" spans="10:23" x14ac:dyDescent="0.25">
      <c r="J8393"/>
      <c r="M8393"/>
      <c r="W8393"/>
    </row>
    <row r="8394" spans="10:23" x14ac:dyDescent="0.25">
      <c r="J8394"/>
      <c r="M8394"/>
      <c r="W8394"/>
    </row>
    <row r="8395" spans="10:23" x14ac:dyDescent="0.25">
      <c r="J8395"/>
      <c r="M8395"/>
      <c r="W8395"/>
    </row>
    <row r="8396" spans="10:23" x14ac:dyDescent="0.25">
      <c r="J8396"/>
      <c r="M8396"/>
      <c r="W8396"/>
    </row>
    <row r="8397" spans="10:23" x14ac:dyDescent="0.25">
      <c r="J8397"/>
      <c r="M8397"/>
      <c r="W8397"/>
    </row>
    <row r="8398" spans="10:23" x14ac:dyDescent="0.25">
      <c r="J8398"/>
      <c r="M8398"/>
      <c r="W8398"/>
    </row>
    <row r="8399" spans="10:23" x14ac:dyDescent="0.25">
      <c r="J8399"/>
      <c r="M8399"/>
      <c r="W8399"/>
    </row>
    <row r="8400" spans="10:23" x14ac:dyDescent="0.25">
      <c r="J8400"/>
      <c r="M8400"/>
      <c r="W8400"/>
    </row>
    <row r="8401" spans="10:23" x14ac:dyDescent="0.25">
      <c r="J8401"/>
      <c r="M8401"/>
      <c r="W8401"/>
    </row>
    <row r="8402" spans="10:23" x14ac:dyDescent="0.25">
      <c r="J8402"/>
      <c r="M8402"/>
      <c r="W8402"/>
    </row>
    <row r="8403" spans="10:23" x14ac:dyDescent="0.25">
      <c r="J8403"/>
      <c r="M8403"/>
      <c r="W8403"/>
    </row>
    <row r="8404" spans="10:23" x14ac:dyDescent="0.25">
      <c r="J8404"/>
      <c r="M8404"/>
      <c r="W8404"/>
    </row>
    <row r="8405" spans="10:23" x14ac:dyDescent="0.25">
      <c r="J8405"/>
      <c r="M8405"/>
      <c r="W8405"/>
    </row>
    <row r="8406" spans="10:23" x14ac:dyDescent="0.25">
      <c r="J8406"/>
      <c r="M8406"/>
      <c r="W8406"/>
    </row>
    <row r="8407" spans="10:23" x14ac:dyDescent="0.25">
      <c r="J8407"/>
      <c r="M8407"/>
      <c r="W8407"/>
    </row>
    <row r="8408" spans="10:23" x14ac:dyDescent="0.25">
      <c r="J8408"/>
      <c r="M8408"/>
      <c r="W8408"/>
    </row>
    <row r="8409" spans="10:23" x14ac:dyDescent="0.25">
      <c r="J8409"/>
      <c r="M8409"/>
      <c r="W8409"/>
    </row>
    <row r="8410" spans="10:23" x14ac:dyDescent="0.25">
      <c r="J8410"/>
      <c r="M8410"/>
      <c r="W8410"/>
    </row>
    <row r="8411" spans="10:23" x14ac:dyDescent="0.25">
      <c r="J8411"/>
      <c r="M8411"/>
      <c r="W8411"/>
    </row>
    <row r="8412" spans="10:23" x14ac:dyDescent="0.25">
      <c r="J8412"/>
      <c r="M8412"/>
      <c r="W8412"/>
    </row>
    <row r="8413" spans="10:23" x14ac:dyDescent="0.25">
      <c r="J8413"/>
      <c r="M8413"/>
      <c r="W8413"/>
    </row>
    <row r="8414" spans="10:23" x14ac:dyDescent="0.25">
      <c r="J8414"/>
      <c r="M8414"/>
      <c r="W8414"/>
    </row>
    <row r="8415" spans="10:23" x14ac:dyDescent="0.25">
      <c r="J8415"/>
      <c r="M8415"/>
      <c r="W8415"/>
    </row>
    <row r="8416" spans="10:23" x14ac:dyDescent="0.25">
      <c r="J8416"/>
      <c r="M8416"/>
      <c r="W8416"/>
    </row>
    <row r="8417" spans="10:23" x14ac:dyDescent="0.25">
      <c r="J8417"/>
      <c r="M8417"/>
      <c r="W8417"/>
    </row>
    <row r="8418" spans="10:23" x14ac:dyDescent="0.25">
      <c r="J8418"/>
      <c r="M8418"/>
      <c r="W8418"/>
    </row>
    <row r="8419" spans="10:23" x14ac:dyDescent="0.25">
      <c r="J8419"/>
      <c r="M8419"/>
      <c r="W8419"/>
    </row>
    <row r="8420" spans="10:23" x14ac:dyDescent="0.25">
      <c r="J8420"/>
      <c r="M8420"/>
      <c r="W8420"/>
    </row>
    <row r="8421" spans="10:23" x14ac:dyDescent="0.25">
      <c r="J8421"/>
      <c r="M8421"/>
      <c r="W8421"/>
    </row>
    <row r="8422" spans="10:23" x14ac:dyDescent="0.25">
      <c r="J8422"/>
      <c r="M8422"/>
      <c r="W8422"/>
    </row>
    <row r="8423" spans="10:23" x14ac:dyDescent="0.25">
      <c r="J8423"/>
      <c r="M8423"/>
      <c r="W8423"/>
    </row>
    <row r="8424" spans="10:23" x14ac:dyDescent="0.25">
      <c r="J8424"/>
      <c r="M8424"/>
      <c r="W8424"/>
    </row>
    <row r="8425" spans="10:23" x14ac:dyDescent="0.25">
      <c r="J8425"/>
      <c r="M8425"/>
      <c r="W8425"/>
    </row>
    <row r="8426" spans="10:23" x14ac:dyDescent="0.25">
      <c r="J8426"/>
      <c r="M8426"/>
      <c r="W8426"/>
    </row>
    <row r="8427" spans="10:23" x14ac:dyDescent="0.25">
      <c r="J8427"/>
      <c r="M8427"/>
      <c r="W8427"/>
    </row>
    <row r="8428" spans="10:23" x14ac:dyDescent="0.25">
      <c r="J8428"/>
      <c r="M8428"/>
      <c r="W8428"/>
    </row>
    <row r="8429" spans="10:23" x14ac:dyDescent="0.25">
      <c r="J8429"/>
      <c r="M8429"/>
      <c r="W8429"/>
    </row>
    <row r="8430" spans="10:23" x14ac:dyDescent="0.25">
      <c r="J8430"/>
      <c r="M8430"/>
      <c r="W8430"/>
    </row>
    <row r="8431" spans="10:23" x14ac:dyDescent="0.25">
      <c r="J8431"/>
      <c r="M8431"/>
      <c r="W8431"/>
    </row>
    <row r="8432" spans="10:23" x14ac:dyDescent="0.25">
      <c r="J8432"/>
      <c r="M8432"/>
      <c r="W8432"/>
    </row>
    <row r="8433" spans="10:23" x14ac:dyDescent="0.25">
      <c r="J8433"/>
      <c r="M8433"/>
      <c r="W8433"/>
    </row>
    <row r="8434" spans="10:23" x14ac:dyDescent="0.25">
      <c r="J8434"/>
      <c r="M8434"/>
      <c r="W8434"/>
    </row>
    <row r="8435" spans="10:23" x14ac:dyDescent="0.25">
      <c r="J8435"/>
      <c r="M8435"/>
      <c r="W8435"/>
    </row>
    <row r="8436" spans="10:23" x14ac:dyDescent="0.25">
      <c r="J8436"/>
      <c r="M8436"/>
      <c r="W8436"/>
    </row>
    <row r="8437" spans="10:23" x14ac:dyDescent="0.25">
      <c r="J8437"/>
      <c r="M8437"/>
      <c r="W8437"/>
    </row>
    <row r="8438" spans="10:23" x14ac:dyDescent="0.25">
      <c r="J8438"/>
      <c r="M8438"/>
      <c r="W8438"/>
    </row>
    <row r="8439" spans="10:23" x14ac:dyDescent="0.25">
      <c r="J8439"/>
      <c r="M8439"/>
      <c r="W8439"/>
    </row>
    <row r="8440" spans="10:23" x14ac:dyDescent="0.25">
      <c r="J8440"/>
      <c r="M8440"/>
      <c r="W8440"/>
    </row>
    <row r="8441" spans="10:23" x14ac:dyDescent="0.25">
      <c r="J8441"/>
      <c r="M8441"/>
      <c r="W8441"/>
    </row>
    <row r="8442" spans="10:23" x14ac:dyDescent="0.25">
      <c r="J8442"/>
      <c r="M8442"/>
      <c r="W8442"/>
    </row>
    <row r="8443" spans="10:23" x14ac:dyDescent="0.25">
      <c r="J8443"/>
      <c r="M8443"/>
      <c r="W8443"/>
    </row>
    <row r="8444" spans="10:23" x14ac:dyDescent="0.25">
      <c r="J8444"/>
      <c r="M8444"/>
      <c r="W8444"/>
    </row>
    <row r="8445" spans="10:23" x14ac:dyDescent="0.25">
      <c r="J8445"/>
      <c r="M8445"/>
      <c r="W8445"/>
    </row>
    <row r="8446" spans="10:23" x14ac:dyDescent="0.25">
      <c r="J8446"/>
      <c r="M8446"/>
      <c r="W8446"/>
    </row>
    <row r="8447" spans="10:23" x14ac:dyDescent="0.25">
      <c r="J8447"/>
      <c r="M8447"/>
      <c r="W8447"/>
    </row>
    <row r="8448" spans="10:23" x14ac:dyDescent="0.25">
      <c r="J8448"/>
      <c r="M8448"/>
      <c r="W8448"/>
    </row>
    <row r="8449" spans="10:23" x14ac:dyDescent="0.25">
      <c r="J8449"/>
      <c r="M8449"/>
      <c r="W8449"/>
    </row>
    <row r="8450" spans="10:23" x14ac:dyDescent="0.25">
      <c r="J8450"/>
      <c r="M8450"/>
      <c r="W8450"/>
    </row>
    <row r="8451" spans="10:23" x14ac:dyDescent="0.25">
      <c r="J8451"/>
      <c r="M8451"/>
      <c r="W8451"/>
    </row>
    <row r="8452" spans="10:23" x14ac:dyDescent="0.25">
      <c r="J8452"/>
      <c r="M8452"/>
      <c r="W8452"/>
    </row>
    <row r="8453" spans="10:23" x14ac:dyDescent="0.25">
      <c r="J8453"/>
      <c r="M8453"/>
      <c r="W8453"/>
    </row>
    <row r="8454" spans="10:23" x14ac:dyDescent="0.25">
      <c r="J8454"/>
      <c r="M8454"/>
      <c r="W8454"/>
    </row>
    <row r="8455" spans="10:23" x14ac:dyDescent="0.25">
      <c r="J8455"/>
      <c r="M8455"/>
      <c r="W8455"/>
    </row>
    <row r="8456" spans="10:23" x14ac:dyDescent="0.25">
      <c r="J8456"/>
      <c r="M8456"/>
      <c r="W8456"/>
    </row>
    <row r="8457" spans="10:23" x14ac:dyDescent="0.25">
      <c r="J8457"/>
      <c r="M8457"/>
      <c r="W8457"/>
    </row>
    <row r="8458" spans="10:23" x14ac:dyDescent="0.25">
      <c r="J8458"/>
      <c r="M8458"/>
      <c r="W8458"/>
    </row>
    <row r="8459" spans="10:23" x14ac:dyDescent="0.25">
      <c r="J8459"/>
      <c r="M8459"/>
      <c r="W8459"/>
    </row>
    <row r="8460" spans="10:23" x14ac:dyDescent="0.25">
      <c r="J8460"/>
      <c r="M8460"/>
      <c r="W8460"/>
    </row>
    <row r="8461" spans="10:23" x14ac:dyDescent="0.25">
      <c r="J8461"/>
      <c r="M8461"/>
      <c r="W8461"/>
    </row>
    <row r="8462" spans="10:23" x14ac:dyDescent="0.25">
      <c r="J8462"/>
      <c r="M8462"/>
      <c r="W8462"/>
    </row>
    <row r="8463" spans="10:23" x14ac:dyDescent="0.25">
      <c r="J8463"/>
      <c r="M8463"/>
      <c r="W8463"/>
    </row>
    <row r="8464" spans="10:23" x14ac:dyDescent="0.25">
      <c r="J8464"/>
      <c r="M8464"/>
      <c r="W8464"/>
    </row>
    <row r="8465" spans="10:23" x14ac:dyDescent="0.25">
      <c r="J8465"/>
      <c r="M8465"/>
      <c r="W8465"/>
    </row>
    <row r="8466" spans="10:23" x14ac:dyDescent="0.25">
      <c r="J8466"/>
      <c r="M8466"/>
      <c r="W8466"/>
    </row>
    <row r="8467" spans="10:23" x14ac:dyDescent="0.25">
      <c r="J8467"/>
      <c r="M8467"/>
      <c r="W8467"/>
    </row>
    <row r="8468" spans="10:23" x14ac:dyDescent="0.25">
      <c r="J8468"/>
      <c r="M8468"/>
      <c r="W8468"/>
    </row>
    <row r="8469" spans="10:23" x14ac:dyDescent="0.25">
      <c r="J8469"/>
      <c r="M8469"/>
      <c r="W8469"/>
    </row>
    <row r="8470" spans="10:23" x14ac:dyDescent="0.25">
      <c r="J8470"/>
      <c r="M8470"/>
      <c r="W8470"/>
    </row>
    <row r="8471" spans="10:23" x14ac:dyDescent="0.25">
      <c r="J8471"/>
      <c r="M8471"/>
      <c r="W8471"/>
    </row>
    <row r="8472" spans="10:23" x14ac:dyDescent="0.25">
      <c r="J8472"/>
      <c r="M8472"/>
      <c r="W8472"/>
    </row>
    <row r="8473" spans="10:23" x14ac:dyDescent="0.25">
      <c r="J8473"/>
      <c r="M8473"/>
      <c r="W8473"/>
    </row>
    <row r="8474" spans="10:23" x14ac:dyDescent="0.25">
      <c r="J8474"/>
      <c r="M8474"/>
      <c r="W8474"/>
    </row>
    <row r="8475" spans="10:23" x14ac:dyDescent="0.25">
      <c r="J8475"/>
      <c r="M8475"/>
      <c r="W8475"/>
    </row>
    <row r="8476" spans="10:23" x14ac:dyDescent="0.25">
      <c r="J8476"/>
      <c r="M8476"/>
      <c r="W8476"/>
    </row>
    <row r="8477" spans="10:23" x14ac:dyDescent="0.25">
      <c r="J8477"/>
      <c r="M8477"/>
      <c r="W8477"/>
    </row>
    <row r="8478" spans="10:23" x14ac:dyDescent="0.25">
      <c r="J8478"/>
      <c r="M8478"/>
      <c r="W8478"/>
    </row>
    <row r="8479" spans="10:23" x14ac:dyDescent="0.25">
      <c r="J8479"/>
      <c r="M8479"/>
      <c r="W8479"/>
    </row>
    <row r="8480" spans="10:23" x14ac:dyDescent="0.25">
      <c r="J8480"/>
      <c r="M8480"/>
      <c r="W8480"/>
    </row>
    <row r="8481" spans="10:23" x14ac:dyDescent="0.25">
      <c r="J8481"/>
      <c r="M8481"/>
      <c r="W8481"/>
    </row>
    <row r="8482" spans="10:23" x14ac:dyDescent="0.25">
      <c r="J8482"/>
      <c r="M8482"/>
      <c r="W8482"/>
    </row>
    <row r="8483" spans="10:23" x14ac:dyDescent="0.25">
      <c r="J8483"/>
      <c r="M8483"/>
      <c r="W8483"/>
    </row>
    <row r="8484" spans="10:23" x14ac:dyDescent="0.25">
      <c r="J8484"/>
      <c r="M8484"/>
      <c r="W8484"/>
    </row>
    <row r="8485" spans="10:23" x14ac:dyDescent="0.25">
      <c r="J8485"/>
      <c r="M8485"/>
      <c r="W8485"/>
    </row>
    <row r="8486" spans="10:23" x14ac:dyDescent="0.25">
      <c r="J8486"/>
      <c r="M8486"/>
      <c r="W8486"/>
    </row>
    <row r="8487" spans="10:23" x14ac:dyDescent="0.25">
      <c r="J8487"/>
      <c r="M8487"/>
      <c r="W8487"/>
    </row>
    <row r="8488" spans="10:23" x14ac:dyDescent="0.25">
      <c r="J8488"/>
      <c r="M8488"/>
      <c r="W8488"/>
    </row>
    <row r="8489" spans="10:23" x14ac:dyDescent="0.25">
      <c r="J8489"/>
      <c r="M8489"/>
      <c r="W8489"/>
    </row>
    <row r="8490" spans="10:23" x14ac:dyDescent="0.25">
      <c r="J8490"/>
      <c r="M8490"/>
      <c r="W8490"/>
    </row>
    <row r="8491" spans="10:23" x14ac:dyDescent="0.25">
      <c r="J8491"/>
      <c r="M8491"/>
      <c r="W8491"/>
    </row>
    <row r="8492" spans="10:23" x14ac:dyDescent="0.25">
      <c r="J8492"/>
      <c r="M8492"/>
      <c r="W8492"/>
    </row>
    <row r="8493" spans="10:23" x14ac:dyDescent="0.25">
      <c r="J8493"/>
      <c r="M8493"/>
      <c r="W8493"/>
    </row>
    <row r="8494" spans="10:23" x14ac:dyDescent="0.25">
      <c r="J8494"/>
      <c r="M8494"/>
      <c r="W8494"/>
    </row>
    <row r="8495" spans="10:23" x14ac:dyDescent="0.25">
      <c r="J8495"/>
      <c r="M8495"/>
      <c r="W8495"/>
    </row>
    <row r="8496" spans="10:23" x14ac:dyDescent="0.25">
      <c r="J8496"/>
      <c r="M8496"/>
      <c r="W8496"/>
    </row>
    <row r="8497" spans="10:23" x14ac:dyDescent="0.25">
      <c r="J8497"/>
      <c r="M8497"/>
      <c r="W8497"/>
    </row>
    <row r="8498" spans="10:23" x14ac:dyDescent="0.25">
      <c r="J8498"/>
      <c r="M8498"/>
      <c r="W8498"/>
    </row>
    <row r="8499" spans="10:23" x14ac:dyDescent="0.25">
      <c r="J8499"/>
      <c r="M8499"/>
      <c r="W8499"/>
    </row>
    <row r="8500" spans="10:23" x14ac:dyDescent="0.25">
      <c r="J8500"/>
      <c r="M8500"/>
      <c r="W8500"/>
    </row>
    <row r="8501" spans="10:23" x14ac:dyDescent="0.25">
      <c r="J8501"/>
      <c r="M8501"/>
      <c r="W8501"/>
    </row>
    <row r="8502" spans="10:23" x14ac:dyDescent="0.25">
      <c r="J8502"/>
      <c r="M8502"/>
      <c r="W8502"/>
    </row>
    <row r="8503" spans="10:23" x14ac:dyDescent="0.25">
      <c r="J8503"/>
      <c r="M8503"/>
      <c r="W8503"/>
    </row>
    <row r="8504" spans="10:23" x14ac:dyDescent="0.25">
      <c r="J8504"/>
      <c r="M8504"/>
      <c r="W8504"/>
    </row>
    <row r="8505" spans="10:23" x14ac:dyDescent="0.25">
      <c r="J8505"/>
      <c r="M8505"/>
      <c r="W8505"/>
    </row>
    <row r="8506" spans="10:23" x14ac:dyDescent="0.25">
      <c r="J8506"/>
      <c r="M8506"/>
      <c r="W8506"/>
    </row>
    <row r="8507" spans="10:23" x14ac:dyDescent="0.25">
      <c r="J8507"/>
      <c r="M8507"/>
      <c r="W8507"/>
    </row>
    <row r="8508" spans="10:23" x14ac:dyDescent="0.25">
      <c r="J8508"/>
      <c r="M8508"/>
      <c r="W8508"/>
    </row>
    <row r="8509" spans="10:23" x14ac:dyDescent="0.25">
      <c r="J8509"/>
      <c r="M8509"/>
      <c r="W8509"/>
    </row>
    <row r="8510" spans="10:23" x14ac:dyDescent="0.25">
      <c r="J8510"/>
      <c r="M8510"/>
      <c r="W8510"/>
    </row>
    <row r="8511" spans="10:23" x14ac:dyDescent="0.25">
      <c r="J8511"/>
      <c r="M8511"/>
      <c r="W8511"/>
    </row>
    <row r="8512" spans="10:23" x14ac:dyDescent="0.25">
      <c r="J8512"/>
      <c r="M8512"/>
      <c r="W8512"/>
    </row>
    <row r="8513" spans="10:23" x14ac:dyDescent="0.25">
      <c r="J8513"/>
      <c r="M8513"/>
      <c r="W8513"/>
    </row>
    <row r="8514" spans="10:23" x14ac:dyDescent="0.25">
      <c r="J8514"/>
      <c r="M8514"/>
      <c r="W8514"/>
    </row>
    <row r="8515" spans="10:23" x14ac:dyDescent="0.25">
      <c r="J8515"/>
      <c r="M8515"/>
      <c r="W8515"/>
    </row>
    <row r="8516" spans="10:23" x14ac:dyDescent="0.25">
      <c r="J8516"/>
      <c r="M8516"/>
      <c r="W8516"/>
    </row>
    <row r="8517" spans="10:23" x14ac:dyDescent="0.25">
      <c r="J8517"/>
      <c r="M8517"/>
      <c r="W8517"/>
    </row>
    <row r="8518" spans="10:23" x14ac:dyDescent="0.25">
      <c r="J8518"/>
      <c r="M8518"/>
      <c r="W8518"/>
    </row>
    <row r="8519" spans="10:23" x14ac:dyDescent="0.25">
      <c r="J8519"/>
      <c r="M8519"/>
      <c r="W8519"/>
    </row>
    <row r="8520" spans="10:23" x14ac:dyDescent="0.25">
      <c r="J8520"/>
      <c r="M8520"/>
      <c r="W8520"/>
    </row>
    <row r="8521" spans="10:23" x14ac:dyDescent="0.25">
      <c r="J8521"/>
      <c r="M8521"/>
      <c r="W8521"/>
    </row>
    <row r="8522" spans="10:23" x14ac:dyDescent="0.25">
      <c r="J8522"/>
      <c r="M8522"/>
      <c r="W8522"/>
    </row>
    <row r="8523" spans="10:23" x14ac:dyDescent="0.25">
      <c r="J8523"/>
      <c r="M8523"/>
      <c r="W8523"/>
    </row>
    <row r="8524" spans="10:23" x14ac:dyDescent="0.25">
      <c r="J8524"/>
      <c r="M8524"/>
      <c r="W8524"/>
    </row>
    <row r="8525" spans="10:23" x14ac:dyDescent="0.25">
      <c r="J8525"/>
      <c r="M8525"/>
      <c r="W8525"/>
    </row>
    <row r="8526" spans="10:23" x14ac:dyDescent="0.25">
      <c r="J8526"/>
      <c r="M8526"/>
      <c r="W8526"/>
    </row>
    <row r="8527" spans="10:23" x14ac:dyDescent="0.25">
      <c r="J8527"/>
      <c r="M8527"/>
      <c r="W8527"/>
    </row>
    <row r="8528" spans="10:23" x14ac:dyDescent="0.25">
      <c r="J8528"/>
      <c r="M8528"/>
      <c r="W8528"/>
    </row>
    <row r="8529" spans="10:23" x14ac:dyDescent="0.25">
      <c r="J8529"/>
      <c r="M8529"/>
      <c r="W8529"/>
    </row>
    <row r="8530" spans="10:23" x14ac:dyDescent="0.25">
      <c r="J8530"/>
      <c r="M8530"/>
      <c r="W8530"/>
    </row>
    <row r="8531" spans="10:23" x14ac:dyDescent="0.25">
      <c r="J8531"/>
      <c r="M8531"/>
      <c r="W8531"/>
    </row>
    <row r="8532" spans="10:23" x14ac:dyDescent="0.25">
      <c r="J8532"/>
      <c r="M8532"/>
      <c r="W8532"/>
    </row>
    <row r="8533" spans="10:23" x14ac:dyDescent="0.25">
      <c r="J8533"/>
      <c r="M8533"/>
      <c r="W8533"/>
    </row>
    <row r="8534" spans="10:23" x14ac:dyDescent="0.25">
      <c r="J8534"/>
      <c r="M8534"/>
      <c r="W8534"/>
    </row>
    <row r="8535" spans="10:23" x14ac:dyDescent="0.25">
      <c r="J8535"/>
      <c r="M8535"/>
      <c r="W8535"/>
    </row>
    <row r="8536" spans="10:23" x14ac:dyDescent="0.25">
      <c r="J8536"/>
      <c r="M8536"/>
      <c r="W8536"/>
    </row>
    <row r="8537" spans="10:23" x14ac:dyDescent="0.25">
      <c r="J8537"/>
      <c r="M8537"/>
      <c r="W8537"/>
    </row>
    <row r="8538" spans="10:23" x14ac:dyDescent="0.25">
      <c r="J8538"/>
      <c r="M8538"/>
      <c r="W8538"/>
    </row>
    <row r="8539" spans="10:23" x14ac:dyDescent="0.25">
      <c r="J8539"/>
      <c r="M8539"/>
      <c r="W8539"/>
    </row>
    <row r="8540" spans="10:23" x14ac:dyDescent="0.25">
      <c r="J8540"/>
      <c r="M8540"/>
      <c r="W8540"/>
    </row>
    <row r="8541" spans="10:23" x14ac:dyDescent="0.25">
      <c r="J8541"/>
      <c r="M8541"/>
      <c r="W8541"/>
    </row>
    <row r="8542" spans="10:23" x14ac:dyDescent="0.25">
      <c r="J8542"/>
      <c r="M8542"/>
      <c r="W8542"/>
    </row>
    <row r="8543" spans="10:23" x14ac:dyDescent="0.25">
      <c r="J8543"/>
      <c r="M8543"/>
      <c r="W8543"/>
    </row>
    <row r="8544" spans="10:23" x14ac:dyDescent="0.25">
      <c r="J8544"/>
      <c r="M8544"/>
      <c r="W8544"/>
    </row>
    <row r="8545" spans="10:23" x14ac:dyDescent="0.25">
      <c r="J8545"/>
      <c r="M8545"/>
      <c r="W8545"/>
    </row>
    <row r="8546" spans="10:23" x14ac:dyDescent="0.25">
      <c r="J8546"/>
      <c r="M8546"/>
      <c r="W8546"/>
    </row>
    <row r="8547" spans="10:23" x14ac:dyDescent="0.25">
      <c r="J8547"/>
      <c r="M8547"/>
      <c r="W8547"/>
    </row>
    <row r="8548" spans="10:23" x14ac:dyDescent="0.25">
      <c r="J8548"/>
      <c r="M8548"/>
      <c r="W8548"/>
    </row>
    <row r="8549" spans="10:23" x14ac:dyDescent="0.25">
      <c r="J8549"/>
      <c r="M8549"/>
      <c r="W8549"/>
    </row>
    <row r="8550" spans="10:23" x14ac:dyDescent="0.25">
      <c r="J8550"/>
      <c r="M8550"/>
      <c r="W8550"/>
    </row>
    <row r="8551" spans="10:23" x14ac:dyDescent="0.25">
      <c r="J8551"/>
      <c r="M8551"/>
      <c r="W8551"/>
    </row>
    <row r="8552" spans="10:23" x14ac:dyDescent="0.25">
      <c r="J8552"/>
      <c r="M8552"/>
      <c r="W8552"/>
    </row>
    <row r="8553" spans="10:23" x14ac:dyDescent="0.25">
      <c r="J8553"/>
      <c r="M8553"/>
      <c r="W8553"/>
    </row>
    <row r="8554" spans="10:23" x14ac:dyDescent="0.25">
      <c r="J8554"/>
      <c r="M8554"/>
      <c r="W8554"/>
    </row>
    <row r="8555" spans="10:23" x14ac:dyDescent="0.25">
      <c r="J8555"/>
      <c r="M8555"/>
      <c r="W8555"/>
    </row>
    <row r="8556" spans="10:23" x14ac:dyDescent="0.25">
      <c r="J8556"/>
      <c r="M8556"/>
      <c r="W8556"/>
    </row>
    <row r="8557" spans="10:23" x14ac:dyDescent="0.25">
      <c r="J8557"/>
      <c r="M8557"/>
      <c r="W8557"/>
    </row>
    <row r="8558" spans="10:23" x14ac:dyDescent="0.25">
      <c r="J8558"/>
      <c r="M8558"/>
      <c r="W8558"/>
    </row>
    <row r="8559" spans="10:23" x14ac:dyDescent="0.25">
      <c r="J8559"/>
      <c r="M8559"/>
      <c r="W8559"/>
    </row>
    <row r="8560" spans="10:23" x14ac:dyDescent="0.25">
      <c r="J8560"/>
      <c r="M8560"/>
      <c r="W8560"/>
    </row>
    <row r="8561" spans="10:23" x14ac:dyDescent="0.25">
      <c r="J8561"/>
      <c r="M8561"/>
      <c r="W8561"/>
    </row>
    <row r="8562" spans="10:23" x14ac:dyDescent="0.25">
      <c r="J8562"/>
      <c r="M8562"/>
      <c r="W8562"/>
    </row>
    <row r="8563" spans="10:23" x14ac:dyDescent="0.25">
      <c r="J8563"/>
      <c r="M8563"/>
      <c r="W8563"/>
    </row>
    <row r="8564" spans="10:23" x14ac:dyDescent="0.25">
      <c r="J8564"/>
      <c r="M8564"/>
      <c r="W8564"/>
    </row>
    <row r="8565" spans="10:23" x14ac:dyDescent="0.25">
      <c r="J8565"/>
      <c r="M8565"/>
      <c r="W8565"/>
    </row>
    <row r="8566" spans="10:23" x14ac:dyDescent="0.25">
      <c r="J8566"/>
      <c r="M8566"/>
      <c r="W8566"/>
    </row>
    <row r="8567" spans="10:23" x14ac:dyDescent="0.25">
      <c r="J8567"/>
      <c r="M8567"/>
      <c r="W8567"/>
    </row>
    <row r="8568" spans="10:23" x14ac:dyDescent="0.25">
      <c r="J8568"/>
      <c r="M8568"/>
      <c r="W8568"/>
    </row>
    <row r="8569" spans="10:23" x14ac:dyDescent="0.25">
      <c r="J8569"/>
      <c r="M8569"/>
      <c r="W8569"/>
    </row>
    <row r="8570" spans="10:23" x14ac:dyDescent="0.25">
      <c r="J8570"/>
      <c r="M8570"/>
      <c r="W8570"/>
    </row>
    <row r="8571" spans="10:23" x14ac:dyDescent="0.25">
      <c r="J8571"/>
      <c r="M8571"/>
      <c r="W8571"/>
    </row>
    <row r="8572" spans="10:23" x14ac:dyDescent="0.25">
      <c r="J8572"/>
      <c r="M8572"/>
      <c r="W8572"/>
    </row>
    <row r="8573" spans="10:23" x14ac:dyDescent="0.25">
      <c r="J8573"/>
      <c r="M8573"/>
      <c r="W8573"/>
    </row>
    <row r="8574" spans="10:23" x14ac:dyDescent="0.25">
      <c r="J8574"/>
      <c r="M8574"/>
      <c r="W8574"/>
    </row>
    <row r="8575" spans="10:23" x14ac:dyDescent="0.25">
      <c r="J8575"/>
      <c r="M8575"/>
      <c r="W8575"/>
    </row>
    <row r="8576" spans="10:23" x14ac:dyDescent="0.25">
      <c r="J8576"/>
      <c r="M8576"/>
      <c r="W8576"/>
    </row>
    <row r="8577" spans="10:23" x14ac:dyDescent="0.25">
      <c r="J8577"/>
      <c r="M8577"/>
      <c r="W8577"/>
    </row>
    <row r="8578" spans="10:23" x14ac:dyDescent="0.25">
      <c r="J8578"/>
      <c r="M8578"/>
      <c r="W8578"/>
    </row>
    <row r="8579" spans="10:23" x14ac:dyDescent="0.25">
      <c r="J8579"/>
      <c r="M8579"/>
      <c r="W8579"/>
    </row>
    <row r="8580" spans="10:23" x14ac:dyDescent="0.25">
      <c r="J8580"/>
      <c r="M8580"/>
      <c r="W8580"/>
    </row>
    <row r="8581" spans="10:23" x14ac:dyDescent="0.25">
      <c r="J8581"/>
      <c r="M8581"/>
      <c r="W8581"/>
    </row>
    <row r="8582" spans="10:23" x14ac:dyDescent="0.25">
      <c r="J8582"/>
      <c r="M8582"/>
      <c r="W8582"/>
    </row>
    <row r="8583" spans="10:23" x14ac:dyDescent="0.25">
      <c r="J8583"/>
      <c r="M8583"/>
      <c r="W8583"/>
    </row>
    <row r="8584" spans="10:23" x14ac:dyDescent="0.25">
      <c r="J8584"/>
      <c r="M8584"/>
      <c r="W8584"/>
    </row>
    <row r="8585" spans="10:23" x14ac:dyDescent="0.25">
      <c r="J8585"/>
      <c r="M8585"/>
      <c r="W8585"/>
    </row>
    <row r="8586" spans="10:23" x14ac:dyDescent="0.25">
      <c r="J8586"/>
      <c r="M8586"/>
      <c r="W8586"/>
    </row>
    <row r="8587" spans="10:23" x14ac:dyDescent="0.25">
      <c r="J8587"/>
      <c r="M8587"/>
      <c r="W8587"/>
    </row>
    <row r="8588" spans="10:23" x14ac:dyDescent="0.25">
      <c r="J8588"/>
      <c r="M8588"/>
      <c r="W8588"/>
    </row>
    <row r="8589" spans="10:23" x14ac:dyDescent="0.25">
      <c r="J8589"/>
      <c r="M8589"/>
      <c r="W8589"/>
    </row>
    <row r="8590" spans="10:23" x14ac:dyDescent="0.25">
      <c r="J8590"/>
      <c r="M8590"/>
      <c r="W8590"/>
    </row>
    <row r="8591" spans="10:23" x14ac:dyDescent="0.25">
      <c r="J8591"/>
      <c r="M8591"/>
      <c r="W8591"/>
    </row>
    <row r="8592" spans="10:23" x14ac:dyDescent="0.25">
      <c r="J8592"/>
      <c r="M8592"/>
      <c r="W8592"/>
    </row>
    <row r="8593" spans="10:23" x14ac:dyDescent="0.25">
      <c r="J8593"/>
      <c r="M8593"/>
      <c r="W8593"/>
    </row>
    <row r="8594" spans="10:23" x14ac:dyDescent="0.25">
      <c r="J8594"/>
      <c r="M8594"/>
      <c r="W8594"/>
    </row>
    <row r="8595" spans="10:23" x14ac:dyDescent="0.25">
      <c r="J8595"/>
      <c r="M8595"/>
      <c r="W8595"/>
    </row>
    <row r="8596" spans="10:23" x14ac:dyDescent="0.25">
      <c r="J8596"/>
      <c r="M8596"/>
      <c r="W8596"/>
    </row>
    <row r="8597" spans="10:23" x14ac:dyDescent="0.25">
      <c r="J8597"/>
      <c r="M8597"/>
      <c r="W8597"/>
    </row>
    <row r="8598" spans="10:23" x14ac:dyDescent="0.25">
      <c r="J8598"/>
      <c r="M8598"/>
      <c r="W8598"/>
    </row>
    <row r="8599" spans="10:23" x14ac:dyDescent="0.25">
      <c r="J8599"/>
      <c r="M8599"/>
      <c r="W8599"/>
    </row>
    <row r="8600" spans="10:23" x14ac:dyDescent="0.25">
      <c r="J8600"/>
      <c r="M8600"/>
      <c r="W8600"/>
    </row>
    <row r="8601" spans="10:23" x14ac:dyDescent="0.25">
      <c r="J8601"/>
      <c r="M8601"/>
      <c r="W8601"/>
    </row>
    <row r="8602" spans="10:23" x14ac:dyDescent="0.25">
      <c r="J8602"/>
      <c r="M8602"/>
      <c r="W8602"/>
    </row>
    <row r="8603" spans="10:23" x14ac:dyDescent="0.25">
      <c r="J8603"/>
      <c r="M8603"/>
      <c r="W8603"/>
    </row>
    <row r="8604" spans="10:23" x14ac:dyDescent="0.25">
      <c r="J8604"/>
      <c r="M8604"/>
      <c r="W8604"/>
    </row>
    <row r="8605" spans="10:23" x14ac:dyDescent="0.25">
      <c r="J8605"/>
      <c r="M8605"/>
      <c r="W8605"/>
    </row>
    <row r="8606" spans="10:23" x14ac:dyDescent="0.25">
      <c r="J8606"/>
      <c r="M8606"/>
      <c r="W8606"/>
    </row>
    <row r="8607" spans="10:23" x14ac:dyDescent="0.25">
      <c r="J8607"/>
      <c r="M8607"/>
      <c r="W8607"/>
    </row>
    <row r="8608" spans="10:23" x14ac:dyDescent="0.25">
      <c r="J8608"/>
      <c r="M8608"/>
      <c r="W8608"/>
    </row>
    <row r="8609" spans="10:23" x14ac:dyDescent="0.25">
      <c r="J8609"/>
      <c r="M8609"/>
      <c r="W8609"/>
    </row>
    <row r="8610" spans="10:23" x14ac:dyDescent="0.25">
      <c r="J8610"/>
      <c r="M8610"/>
      <c r="W8610"/>
    </row>
    <row r="8611" spans="10:23" x14ac:dyDescent="0.25">
      <c r="J8611"/>
      <c r="M8611"/>
      <c r="W8611"/>
    </row>
    <row r="8612" spans="10:23" x14ac:dyDescent="0.25">
      <c r="J8612"/>
      <c r="M8612"/>
      <c r="W8612"/>
    </row>
    <row r="8613" spans="10:23" x14ac:dyDescent="0.25">
      <c r="J8613"/>
      <c r="M8613"/>
      <c r="W8613"/>
    </row>
    <row r="8614" spans="10:23" x14ac:dyDescent="0.25">
      <c r="J8614"/>
      <c r="M8614"/>
      <c r="W8614"/>
    </row>
    <row r="8615" spans="10:23" x14ac:dyDescent="0.25">
      <c r="J8615"/>
      <c r="M8615"/>
      <c r="W8615"/>
    </row>
    <row r="8616" spans="10:23" x14ac:dyDescent="0.25">
      <c r="J8616"/>
      <c r="M8616"/>
      <c r="W8616"/>
    </row>
    <row r="8617" spans="10:23" x14ac:dyDescent="0.25">
      <c r="J8617"/>
      <c r="M8617"/>
      <c r="W8617"/>
    </row>
    <row r="8618" spans="10:23" x14ac:dyDescent="0.25">
      <c r="J8618"/>
      <c r="M8618"/>
      <c r="W8618"/>
    </row>
    <row r="8619" spans="10:23" x14ac:dyDescent="0.25">
      <c r="J8619"/>
      <c r="M8619"/>
      <c r="W8619"/>
    </row>
    <row r="8620" spans="10:23" x14ac:dyDescent="0.25">
      <c r="J8620"/>
      <c r="M8620"/>
      <c r="W8620"/>
    </row>
    <row r="8621" spans="10:23" x14ac:dyDescent="0.25">
      <c r="J8621"/>
      <c r="M8621"/>
      <c r="W8621"/>
    </row>
    <row r="8622" spans="10:23" x14ac:dyDescent="0.25">
      <c r="J8622"/>
      <c r="M8622"/>
      <c r="W8622"/>
    </row>
    <row r="8623" spans="10:23" x14ac:dyDescent="0.25">
      <c r="J8623"/>
      <c r="M8623"/>
      <c r="W8623"/>
    </row>
    <row r="8624" spans="10:23" x14ac:dyDescent="0.25">
      <c r="J8624"/>
      <c r="M8624"/>
      <c r="W8624"/>
    </row>
    <row r="8625" spans="10:23" x14ac:dyDescent="0.25">
      <c r="J8625"/>
      <c r="M8625"/>
      <c r="W8625"/>
    </row>
    <row r="8626" spans="10:23" x14ac:dyDescent="0.25">
      <c r="J8626"/>
      <c r="M8626"/>
      <c r="W8626"/>
    </row>
    <row r="8627" spans="10:23" x14ac:dyDescent="0.25">
      <c r="J8627"/>
      <c r="M8627"/>
      <c r="W8627"/>
    </row>
    <row r="8628" spans="10:23" x14ac:dyDescent="0.25">
      <c r="J8628"/>
      <c r="M8628"/>
      <c r="W8628"/>
    </row>
    <row r="8629" spans="10:23" x14ac:dyDescent="0.25">
      <c r="J8629"/>
      <c r="M8629"/>
      <c r="W8629"/>
    </row>
    <row r="8630" spans="10:23" x14ac:dyDescent="0.25">
      <c r="J8630"/>
      <c r="M8630"/>
      <c r="W8630"/>
    </row>
    <row r="8631" spans="10:23" x14ac:dyDescent="0.25">
      <c r="J8631"/>
      <c r="M8631"/>
      <c r="W8631"/>
    </row>
    <row r="8632" spans="10:23" x14ac:dyDescent="0.25">
      <c r="J8632"/>
      <c r="M8632"/>
      <c r="W8632"/>
    </row>
    <row r="8633" spans="10:23" x14ac:dyDescent="0.25">
      <c r="J8633"/>
      <c r="M8633"/>
      <c r="W8633"/>
    </row>
    <row r="8634" spans="10:23" x14ac:dyDescent="0.25">
      <c r="J8634"/>
      <c r="M8634"/>
      <c r="W8634"/>
    </row>
    <row r="8635" spans="10:23" x14ac:dyDescent="0.25">
      <c r="J8635"/>
      <c r="M8635"/>
      <c r="W8635"/>
    </row>
    <row r="8636" spans="10:23" x14ac:dyDescent="0.25">
      <c r="J8636"/>
      <c r="M8636"/>
      <c r="W8636"/>
    </row>
    <row r="8637" spans="10:23" x14ac:dyDescent="0.25">
      <c r="J8637"/>
      <c r="M8637"/>
      <c r="W8637"/>
    </row>
    <row r="8638" spans="10:23" x14ac:dyDescent="0.25">
      <c r="J8638"/>
      <c r="M8638"/>
      <c r="W8638"/>
    </row>
    <row r="8639" spans="10:23" x14ac:dyDescent="0.25">
      <c r="J8639"/>
      <c r="M8639"/>
      <c r="W8639"/>
    </row>
    <row r="8640" spans="10:23" x14ac:dyDescent="0.25">
      <c r="J8640"/>
      <c r="M8640"/>
      <c r="W8640"/>
    </row>
    <row r="8641" spans="10:23" x14ac:dyDescent="0.25">
      <c r="J8641"/>
      <c r="M8641"/>
      <c r="W8641"/>
    </row>
    <row r="8642" spans="10:23" x14ac:dyDescent="0.25">
      <c r="J8642"/>
      <c r="M8642"/>
      <c r="W8642"/>
    </row>
    <row r="8643" spans="10:23" x14ac:dyDescent="0.25">
      <c r="J8643"/>
      <c r="M8643"/>
      <c r="W8643"/>
    </row>
    <row r="8644" spans="10:23" x14ac:dyDescent="0.25">
      <c r="J8644"/>
      <c r="M8644"/>
      <c r="W8644"/>
    </row>
    <row r="8645" spans="10:23" x14ac:dyDescent="0.25">
      <c r="J8645"/>
      <c r="M8645"/>
      <c r="W8645"/>
    </row>
    <row r="8646" spans="10:23" x14ac:dyDescent="0.25">
      <c r="J8646"/>
      <c r="M8646"/>
      <c r="W8646"/>
    </row>
    <row r="8647" spans="10:23" x14ac:dyDescent="0.25">
      <c r="J8647"/>
      <c r="M8647"/>
      <c r="W8647"/>
    </row>
    <row r="8648" spans="10:23" x14ac:dyDescent="0.25">
      <c r="J8648"/>
      <c r="M8648"/>
      <c r="W8648"/>
    </row>
    <row r="8649" spans="10:23" x14ac:dyDescent="0.25">
      <c r="J8649"/>
      <c r="M8649"/>
      <c r="W8649"/>
    </row>
    <row r="8650" spans="10:23" x14ac:dyDescent="0.25">
      <c r="J8650"/>
      <c r="M8650"/>
      <c r="W8650"/>
    </row>
    <row r="8651" spans="10:23" x14ac:dyDescent="0.25">
      <c r="J8651"/>
      <c r="M8651"/>
      <c r="W8651"/>
    </row>
    <row r="8652" spans="10:23" x14ac:dyDescent="0.25">
      <c r="J8652"/>
      <c r="M8652"/>
      <c r="W8652"/>
    </row>
    <row r="8653" spans="10:23" x14ac:dyDescent="0.25">
      <c r="J8653"/>
      <c r="M8653"/>
      <c r="W8653"/>
    </row>
    <row r="8654" spans="10:23" x14ac:dyDescent="0.25">
      <c r="J8654"/>
      <c r="M8654"/>
      <c r="W8654"/>
    </row>
    <row r="8655" spans="10:23" x14ac:dyDescent="0.25">
      <c r="J8655"/>
      <c r="M8655"/>
      <c r="W8655"/>
    </row>
    <row r="8656" spans="10:23" x14ac:dyDescent="0.25">
      <c r="J8656"/>
      <c r="M8656"/>
      <c r="W8656"/>
    </row>
    <row r="8657" spans="10:23" x14ac:dyDescent="0.25">
      <c r="J8657"/>
      <c r="M8657"/>
      <c r="W8657"/>
    </row>
    <row r="8658" spans="10:23" x14ac:dyDescent="0.25">
      <c r="J8658"/>
      <c r="M8658"/>
      <c r="W8658"/>
    </row>
    <row r="8659" spans="10:23" x14ac:dyDescent="0.25">
      <c r="J8659"/>
      <c r="M8659"/>
      <c r="W8659"/>
    </row>
    <row r="8660" spans="10:23" x14ac:dyDescent="0.25">
      <c r="J8660"/>
      <c r="M8660"/>
      <c r="W8660"/>
    </row>
    <row r="8661" spans="10:23" x14ac:dyDescent="0.25">
      <c r="J8661"/>
      <c r="M8661"/>
      <c r="W8661"/>
    </row>
    <row r="8662" spans="10:23" x14ac:dyDescent="0.25">
      <c r="J8662"/>
      <c r="M8662"/>
      <c r="W8662"/>
    </row>
    <row r="8663" spans="10:23" x14ac:dyDescent="0.25">
      <c r="J8663"/>
      <c r="M8663"/>
      <c r="W8663"/>
    </row>
    <row r="8664" spans="10:23" x14ac:dyDescent="0.25">
      <c r="J8664"/>
      <c r="M8664"/>
      <c r="W8664"/>
    </row>
    <row r="8665" spans="10:23" x14ac:dyDescent="0.25">
      <c r="J8665"/>
      <c r="M8665"/>
      <c r="W8665"/>
    </row>
    <row r="8666" spans="10:23" x14ac:dyDescent="0.25">
      <c r="J8666"/>
      <c r="M8666"/>
      <c r="W8666"/>
    </row>
    <row r="8667" spans="10:23" x14ac:dyDescent="0.25">
      <c r="J8667"/>
      <c r="M8667"/>
      <c r="W8667"/>
    </row>
    <row r="8668" spans="10:23" x14ac:dyDescent="0.25">
      <c r="J8668"/>
      <c r="M8668"/>
      <c r="W8668"/>
    </row>
    <row r="8669" spans="10:23" x14ac:dyDescent="0.25">
      <c r="J8669"/>
      <c r="M8669"/>
      <c r="W8669"/>
    </row>
    <row r="8670" spans="10:23" x14ac:dyDescent="0.25">
      <c r="J8670"/>
      <c r="M8670"/>
      <c r="W8670"/>
    </row>
    <row r="8671" spans="10:23" x14ac:dyDescent="0.25">
      <c r="J8671"/>
      <c r="M8671"/>
      <c r="W8671"/>
    </row>
    <row r="8672" spans="10:23" x14ac:dyDescent="0.25">
      <c r="J8672"/>
      <c r="M8672"/>
      <c r="W8672"/>
    </row>
    <row r="8673" spans="10:23" x14ac:dyDescent="0.25">
      <c r="J8673"/>
      <c r="M8673"/>
      <c r="W8673"/>
    </row>
    <row r="8674" spans="10:23" x14ac:dyDescent="0.25">
      <c r="J8674"/>
      <c r="M8674"/>
      <c r="W8674"/>
    </row>
    <row r="8675" spans="10:23" x14ac:dyDescent="0.25">
      <c r="J8675"/>
      <c r="M8675"/>
      <c r="W8675"/>
    </row>
    <row r="8676" spans="10:23" x14ac:dyDescent="0.25">
      <c r="J8676"/>
      <c r="M8676"/>
      <c r="W8676"/>
    </row>
    <row r="8677" spans="10:23" x14ac:dyDescent="0.25">
      <c r="J8677"/>
      <c r="M8677"/>
      <c r="W8677"/>
    </row>
    <row r="8678" spans="10:23" x14ac:dyDescent="0.25">
      <c r="J8678"/>
      <c r="M8678"/>
      <c r="W8678"/>
    </row>
    <row r="8679" spans="10:23" x14ac:dyDescent="0.25">
      <c r="J8679"/>
      <c r="M8679"/>
      <c r="W8679"/>
    </row>
    <row r="8680" spans="10:23" x14ac:dyDescent="0.25">
      <c r="J8680"/>
      <c r="M8680"/>
      <c r="W8680"/>
    </row>
    <row r="8681" spans="10:23" x14ac:dyDescent="0.25">
      <c r="J8681"/>
      <c r="M8681"/>
      <c r="W8681"/>
    </row>
    <row r="8682" spans="10:23" x14ac:dyDescent="0.25">
      <c r="J8682"/>
      <c r="M8682"/>
      <c r="W8682"/>
    </row>
    <row r="8683" spans="10:23" x14ac:dyDescent="0.25">
      <c r="J8683"/>
      <c r="M8683"/>
      <c r="W8683"/>
    </row>
    <row r="8684" spans="10:23" x14ac:dyDescent="0.25">
      <c r="J8684"/>
      <c r="M8684"/>
      <c r="W8684"/>
    </row>
    <row r="8685" spans="10:23" x14ac:dyDescent="0.25">
      <c r="J8685"/>
      <c r="M8685"/>
      <c r="W8685"/>
    </row>
    <row r="8686" spans="10:23" x14ac:dyDescent="0.25">
      <c r="J8686"/>
      <c r="M8686"/>
      <c r="W8686"/>
    </row>
    <row r="8687" spans="10:23" x14ac:dyDescent="0.25">
      <c r="J8687"/>
      <c r="M8687"/>
      <c r="W8687"/>
    </row>
    <row r="8688" spans="10:23" x14ac:dyDescent="0.25">
      <c r="J8688"/>
      <c r="M8688"/>
      <c r="W8688"/>
    </row>
    <row r="8689" spans="10:23" x14ac:dyDescent="0.25">
      <c r="J8689"/>
      <c r="M8689"/>
      <c r="W8689"/>
    </row>
    <row r="8690" spans="10:23" x14ac:dyDescent="0.25">
      <c r="J8690"/>
      <c r="M8690"/>
      <c r="W8690"/>
    </row>
    <row r="8691" spans="10:23" x14ac:dyDescent="0.25">
      <c r="J8691"/>
      <c r="M8691"/>
      <c r="W8691"/>
    </row>
    <row r="8692" spans="10:23" x14ac:dyDescent="0.25">
      <c r="J8692"/>
      <c r="M8692"/>
      <c r="W8692"/>
    </row>
    <row r="8693" spans="10:23" x14ac:dyDescent="0.25">
      <c r="J8693"/>
      <c r="M8693"/>
      <c r="W8693"/>
    </row>
    <row r="8694" spans="10:23" x14ac:dyDescent="0.25">
      <c r="J8694"/>
      <c r="M8694"/>
      <c r="W8694"/>
    </row>
    <row r="8695" spans="10:23" x14ac:dyDescent="0.25">
      <c r="J8695"/>
      <c r="M8695"/>
      <c r="W8695"/>
    </row>
    <row r="8696" spans="10:23" x14ac:dyDescent="0.25">
      <c r="J8696"/>
      <c r="M8696"/>
      <c r="W8696"/>
    </row>
    <row r="8697" spans="10:23" x14ac:dyDescent="0.25">
      <c r="J8697"/>
      <c r="M8697"/>
      <c r="W8697"/>
    </row>
    <row r="8698" spans="10:23" x14ac:dyDescent="0.25">
      <c r="J8698"/>
      <c r="M8698"/>
      <c r="W8698"/>
    </row>
    <row r="8699" spans="10:23" x14ac:dyDescent="0.25">
      <c r="J8699"/>
      <c r="M8699"/>
      <c r="W8699"/>
    </row>
    <row r="8700" spans="10:23" x14ac:dyDescent="0.25">
      <c r="J8700"/>
      <c r="M8700"/>
      <c r="W8700"/>
    </row>
    <row r="8701" spans="10:23" x14ac:dyDescent="0.25">
      <c r="J8701"/>
      <c r="M8701"/>
      <c r="W8701"/>
    </row>
    <row r="8702" spans="10:23" x14ac:dyDescent="0.25">
      <c r="J8702"/>
      <c r="M8702"/>
      <c r="W8702"/>
    </row>
    <row r="8703" spans="10:23" x14ac:dyDescent="0.25">
      <c r="J8703"/>
      <c r="M8703"/>
      <c r="W8703"/>
    </row>
    <row r="8704" spans="10:23" x14ac:dyDescent="0.25">
      <c r="J8704"/>
      <c r="M8704"/>
      <c r="W8704"/>
    </row>
    <row r="8705" spans="10:23" x14ac:dyDescent="0.25">
      <c r="J8705"/>
      <c r="M8705"/>
      <c r="W8705"/>
    </row>
    <row r="8706" spans="10:23" x14ac:dyDescent="0.25">
      <c r="J8706"/>
      <c r="M8706"/>
      <c r="W8706"/>
    </row>
    <row r="8707" spans="10:23" x14ac:dyDescent="0.25">
      <c r="J8707"/>
      <c r="M8707"/>
      <c r="W8707"/>
    </row>
    <row r="8708" spans="10:23" x14ac:dyDescent="0.25">
      <c r="J8708"/>
      <c r="M8708"/>
      <c r="W8708"/>
    </row>
    <row r="8709" spans="10:23" x14ac:dyDescent="0.25">
      <c r="J8709"/>
      <c r="M8709"/>
      <c r="W8709"/>
    </row>
    <row r="8710" spans="10:23" x14ac:dyDescent="0.25">
      <c r="J8710"/>
      <c r="M8710"/>
      <c r="W8710"/>
    </row>
    <row r="8711" spans="10:23" x14ac:dyDescent="0.25">
      <c r="J8711"/>
      <c r="M8711"/>
      <c r="W8711"/>
    </row>
    <row r="8712" spans="10:23" x14ac:dyDescent="0.25">
      <c r="J8712"/>
      <c r="M8712"/>
      <c r="W8712"/>
    </row>
    <row r="8713" spans="10:23" x14ac:dyDescent="0.25">
      <c r="J8713"/>
      <c r="M8713"/>
      <c r="W8713"/>
    </row>
    <row r="8714" spans="10:23" x14ac:dyDescent="0.25">
      <c r="J8714"/>
      <c r="M8714"/>
      <c r="W8714"/>
    </row>
    <row r="8715" spans="10:23" x14ac:dyDescent="0.25">
      <c r="J8715"/>
      <c r="M8715"/>
      <c r="W8715"/>
    </row>
    <row r="8716" spans="10:23" x14ac:dyDescent="0.25">
      <c r="J8716"/>
      <c r="M8716"/>
      <c r="W8716"/>
    </row>
    <row r="8717" spans="10:23" x14ac:dyDescent="0.25">
      <c r="J8717"/>
      <c r="M8717"/>
      <c r="W8717"/>
    </row>
    <row r="8718" spans="10:23" x14ac:dyDescent="0.25">
      <c r="J8718"/>
      <c r="M8718"/>
      <c r="W8718"/>
    </row>
    <row r="8719" spans="10:23" x14ac:dyDescent="0.25">
      <c r="J8719"/>
      <c r="M8719"/>
      <c r="W8719"/>
    </row>
    <row r="8720" spans="10:23" x14ac:dyDescent="0.25">
      <c r="J8720"/>
      <c r="M8720"/>
      <c r="W8720"/>
    </row>
    <row r="8721" spans="10:23" x14ac:dyDescent="0.25">
      <c r="J8721"/>
      <c r="M8721"/>
      <c r="W8721"/>
    </row>
    <row r="8722" spans="10:23" x14ac:dyDescent="0.25">
      <c r="J8722"/>
      <c r="M8722"/>
      <c r="W8722"/>
    </row>
    <row r="8723" spans="10:23" x14ac:dyDescent="0.25">
      <c r="J8723"/>
      <c r="M8723"/>
      <c r="W8723"/>
    </row>
    <row r="8724" spans="10:23" x14ac:dyDescent="0.25">
      <c r="J8724"/>
      <c r="M8724"/>
      <c r="W8724"/>
    </row>
    <row r="8725" spans="10:23" x14ac:dyDescent="0.25">
      <c r="J8725"/>
      <c r="M8725"/>
      <c r="W8725"/>
    </row>
    <row r="8726" spans="10:23" x14ac:dyDescent="0.25">
      <c r="J8726"/>
      <c r="M8726"/>
      <c r="W8726"/>
    </row>
    <row r="8727" spans="10:23" x14ac:dyDescent="0.25">
      <c r="J8727"/>
      <c r="M8727"/>
      <c r="W8727"/>
    </row>
    <row r="8728" spans="10:23" x14ac:dyDescent="0.25">
      <c r="J8728"/>
      <c r="M8728"/>
      <c r="W8728"/>
    </row>
    <row r="8729" spans="10:23" x14ac:dyDescent="0.25">
      <c r="J8729"/>
      <c r="M8729"/>
      <c r="W8729"/>
    </row>
    <row r="8730" spans="10:23" x14ac:dyDescent="0.25">
      <c r="J8730"/>
      <c r="M8730"/>
      <c r="W8730"/>
    </row>
    <row r="8731" spans="10:23" x14ac:dyDescent="0.25">
      <c r="J8731"/>
      <c r="M8731"/>
      <c r="W8731"/>
    </row>
    <row r="8732" spans="10:23" x14ac:dyDescent="0.25">
      <c r="J8732"/>
      <c r="M8732"/>
      <c r="W8732"/>
    </row>
    <row r="8733" spans="10:23" x14ac:dyDescent="0.25">
      <c r="J8733"/>
      <c r="M8733"/>
      <c r="W8733"/>
    </row>
    <row r="8734" spans="10:23" x14ac:dyDescent="0.25">
      <c r="J8734"/>
      <c r="M8734"/>
      <c r="W8734"/>
    </row>
    <row r="8735" spans="10:23" x14ac:dyDescent="0.25">
      <c r="J8735"/>
      <c r="M8735"/>
      <c r="W8735"/>
    </row>
    <row r="8736" spans="10:23" x14ac:dyDescent="0.25">
      <c r="J8736"/>
      <c r="M8736"/>
      <c r="W8736"/>
    </row>
    <row r="8737" spans="10:23" x14ac:dyDescent="0.25">
      <c r="J8737"/>
      <c r="M8737"/>
      <c r="W8737"/>
    </row>
    <row r="8738" spans="10:23" x14ac:dyDescent="0.25">
      <c r="J8738"/>
      <c r="M8738"/>
      <c r="W8738"/>
    </row>
    <row r="8739" spans="10:23" x14ac:dyDescent="0.25">
      <c r="J8739"/>
      <c r="M8739"/>
      <c r="W8739"/>
    </row>
    <row r="8740" spans="10:23" x14ac:dyDescent="0.25">
      <c r="J8740"/>
      <c r="M8740"/>
      <c r="W8740"/>
    </row>
    <row r="8741" spans="10:23" x14ac:dyDescent="0.25">
      <c r="J8741"/>
      <c r="M8741"/>
      <c r="W8741"/>
    </row>
    <row r="8742" spans="10:23" x14ac:dyDescent="0.25">
      <c r="J8742"/>
      <c r="M8742"/>
      <c r="W8742"/>
    </row>
    <row r="8743" spans="10:23" x14ac:dyDescent="0.25">
      <c r="J8743"/>
      <c r="M8743"/>
      <c r="W8743"/>
    </row>
    <row r="8744" spans="10:23" x14ac:dyDescent="0.25">
      <c r="J8744"/>
      <c r="M8744"/>
      <c r="W8744"/>
    </row>
    <row r="8745" spans="10:23" x14ac:dyDescent="0.25">
      <c r="J8745"/>
      <c r="M8745"/>
      <c r="W8745"/>
    </row>
    <row r="8746" spans="10:23" x14ac:dyDescent="0.25">
      <c r="J8746"/>
      <c r="M8746"/>
      <c r="W8746"/>
    </row>
    <row r="8747" spans="10:23" x14ac:dyDescent="0.25">
      <c r="J8747"/>
      <c r="M8747"/>
      <c r="W8747"/>
    </row>
    <row r="8748" spans="10:23" x14ac:dyDescent="0.25">
      <c r="J8748"/>
      <c r="M8748"/>
      <c r="W8748"/>
    </row>
    <row r="8749" spans="10:23" x14ac:dyDescent="0.25">
      <c r="J8749"/>
      <c r="M8749"/>
      <c r="W8749"/>
    </row>
    <row r="8750" spans="10:23" x14ac:dyDescent="0.25">
      <c r="J8750"/>
      <c r="M8750"/>
      <c r="W8750"/>
    </row>
    <row r="8751" spans="10:23" x14ac:dyDescent="0.25">
      <c r="J8751"/>
      <c r="M8751"/>
      <c r="W8751"/>
    </row>
    <row r="8752" spans="10:23" x14ac:dyDescent="0.25">
      <c r="J8752"/>
      <c r="M8752"/>
      <c r="W8752"/>
    </row>
    <row r="8753" spans="10:23" x14ac:dyDescent="0.25">
      <c r="J8753"/>
      <c r="M8753"/>
      <c r="W8753"/>
    </row>
    <row r="8754" spans="10:23" x14ac:dyDescent="0.25">
      <c r="J8754"/>
      <c r="M8754"/>
      <c r="W8754"/>
    </row>
    <row r="8755" spans="10:23" x14ac:dyDescent="0.25">
      <c r="J8755"/>
      <c r="M8755"/>
      <c r="W8755"/>
    </row>
    <row r="8756" spans="10:23" x14ac:dyDescent="0.25">
      <c r="J8756"/>
      <c r="M8756"/>
      <c r="W8756"/>
    </row>
    <row r="8757" spans="10:23" x14ac:dyDescent="0.25">
      <c r="J8757"/>
      <c r="M8757"/>
      <c r="W8757"/>
    </row>
    <row r="8758" spans="10:23" x14ac:dyDescent="0.25">
      <c r="J8758"/>
      <c r="M8758"/>
      <c r="W8758"/>
    </row>
    <row r="8759" spans="10:23" x14ac:dyDescent="0.25">
      <c r="J8759"/>
      <c r="M8759"/>
      <c r="W8759"/>
    </row>
    <row r="8760" spans="10:23" x14ac:dyDescent="0.25">
      <c r="J8760"/>
      <c r="M8760"/>
      <c r="W8760"/>
    </row>
    <row r="8761" spans="10:23" x14ac:dyDescent="0.25">
      <c r="J8761"/>
      <c r="M8761"/>
      <c r="W8761"/>
    </row>
    <row r="8762" spans="10:23" x14ac:dyDescent="0.25">
      <c r="J8762"/>
      <c r="M8762"/>
      <c r="W8762"/>
    </row>
    <row r="8763" spans="10:23" x14ac:dyDescent="0.25">
      <c r="J8763"/>
      <c r="M8763"/>
      <c r="W8763"/>
    </row>
    <row r="8764" spans="10:23" x14ac:dyDescent="0.25">
      <c r="J8764"/>
      <c r="M8764"/>
      <c r="W8764"/>
    </row>
    <row r="8765" spans="10:23" x14ac:dyDescent="0.25">
      <c r="J8765"/>
      <c r="M8765"/>
      <c r="W8765"/>
    </row>
    <row r="8766" spans="10:23" x14ac:dyDescent="0.25">
      <c r="J8766"/>
      <c r="M8766"/>
      <c r="W8766"/>
    </row>
    <row r="8767" spans="10:23" x14ac:dyDescent="0.25">
      <c r="J8767"/>
      <c r="M8767"/>
      <c r="W8767"/>
    </row>
    <row r="8768" spans="10:23" x14ac:dyDescent="0.25">
      <c r="J8768"/>
      <c r="M8768"/>
      <c r="W8768"/>
    </row>
    <row r="8769" spans="10:23" x14ac:dyDescent="0.25">
      <c r="J8769"/>
      <c r="M8769"/>
      <c r="W8769"/>
    </row>
    <row r="8770" spans="10:23" x14ac:dyDescent="0.25">
      <c r="J8770"/>
      <c r="M8770"/>
      <c r="W8770"/>
    </row>
    <row r="8771" spans="10:23" x14ac:dyDescent="0.25">
      <c r="J8771"/>
      <c r="M8771"/>
      <c r="W8771"/>
    </row>
    <row r="8772" spans="10:23" x14ac:dyDescent="0.25">
      <c r="J8772"/>
      <c r="M8772"/>
      <c r="W8772"/>
    </row>
    <row r="8773" spans="10:23" x14ac:dyDescent="0.25">
      <c r="J8773"/>
      <c r="M8773"/>
      <c r="W8773"/>
    </row>
    <row r="8774" spans="10:23" x14ac:dyDescent="0.25">
      <c r="J8774"/>
      <c r="M8774"/>
      <c r="W8774"/>
    </row>
    <row r="8775" spans="10:23" x14ac:dyDescent="0.25">
      <c r="J8775"/>
      <c r="M8775"/>
      <c r="W8775"/>
    </row>
    <row r="8776" spans="10:23" x14ac:dyDescent="0.25">
      <c r="J8776"/>
      <c r="M8776"/>
      <c r="W8776"/>
    </row>
    <row r="8777" spans="10:23" x14ac:dyDescent="0.25">
      <c r="J8777"/>
      <c r="M8777"/>
      <c r="W8777"/>
    </row>
    <row r="8778" spans="10:23" x14ac:dyDescent="0.25">
      <c r="J8778"/>
      <c r="M8778"/>
      <c r="W8778"/>
    </row>
    <row r="8779" spans="10:23" x14ac:dyDescent="0.25">
      <c r="J8779"/>
      <c r="M8779"/>
      <c r="W8779"/>
    </row>
    <row r="8780" spans="10:23" x14ac:dyDescent="0.25">
      <c r="J8780"/>
      <c r="M8780"/>
      <c r="W8780"/>
    </row>
    <row r="8781" spans="10:23" x14ac:dyDescent="0.25">
      <c r="J8781"/>
      <c r="M8781"/>
      <c r="W8781"/>
    </row>
    <row r="8782" spans="10:23" x14ac:dyDescent="0.25">
      <c r="J8782"/>
      <c r="M8782"/>
      <c r="W8782"/>
    </row>
    <row r="8783" spans="10:23" x14ac:dyDescent="0.25">
      <c r="J8783"/>
      <c r="M8783"/>
      <c r="W8783"/>
    </row>
    <row r="8784" spans="10:23" x14ac:dyDescent="0.25">
      <c r="J8784"/>
      <c r="M8784"/>
      <c r="W8784"/>
    </row>
    <row r="8785" spans="10:23" x14ac:dyDescent="0.25">
      <c r="J8785"/>
      <c r="M8785"/>
      <c r="W8785"/>
    </row>
    <row r="8786" spans="10:23" x14ac:dyDescent="0.25">
      <c r="J8786"/>
      <c r="M8786"/>
      <c r="W8786"/>
    </row>
    <row r="8787" spans="10:23" x14ac:dyDescent="0.25">
      <c r="J8787"/>
      <c r="M8787"/>
      <c r="W8787"/>
    </row>
    <row r="8788" spans="10:23" x14ac:dyDescent="0.25">
      <c r="J8788"/>
      <c r="M8788"/>
      <c r="W8788"/>
    </row>
    <row r="8789" spans="10:23" x14ac:dyDescent="0.25">
      <c r="J8789"/>
      <c r="M8789"/>
      <c r="W8789"/>
    </row>
    <row r="8790" spans="10:23" x14ac:dyDescent="0.25">
      <c r="J8790"/>
      <c r="M8790"/>
      <c r="W8790"/>
    </row>
    <row r="8791" spans="10:23" x14ac:dyDescent="0.25">
      <c r="J8791"/>
      <c r="M8791"/>
      <c r="W8791"/>
    </row>
    <row r="8792" spans="10:23" x14ac:dyDescent="0.25">
      <c r="J8792"/>
      <c r="M8792"/>
      <c r="W8792"/>
    </row>
    <row r="8793" spans="10:23" x14ac:dyDescent="0.25">
      <c r="J8793"/>
      <c r="M8793"/>
      <c r="W8793"/>
    </row>
    <row r="8794" spans="10:23" x14ac:dyDescent="0.25">
      <c r="J8794"/>
      <c r="M8794"/>
      <c r="W8794"/>
    </row>
    <row r="8795" spans="10:23" x14ac:dyDescent="0.25">
      <c r="J8795"/>
      <c r="M8795"/>
      <c r="W8795"/>
    </row>
    <row r="8796" spans="10:23" x14ac:dyDescent="0.25">
      <c r="J8796"/>
      <c r="M8796"/>
      <c r="W8796"/>
    </row>
    <row r="8797" spans="10:23" x14ac:dyDescent="0.25">
      <c r="J8797"/>
      <c r="M8797"/>
      <c r="W8797"/>
    </row>
    <row r="8798" spans="10:23" x14ac:dyDescent="0.25">
      <c r="J8798"/>
      <c r="M8798"/>
      <c r="W8798"/>
    </row>
    <row r="8799" spans="10:23" x14ac:dyDescent="0.25">
      <c r="J8799"/>
      <c r="M8799"/>
      <c r="W8799"/>
    </row>
    <row r="8800" spans="10:23" x14ac:dyDescent="0.25">
      <c r="J8800"/>
      <c r="M8800"/>
      <c r="W8800"/>
    </row>
    <row r="8801" spans="10:23" x14ac:dyDescent="0.25">
      <c r="J8801"/>
      <c r="M8801"/>
      <c r="W8801"/>
    </row>
    <row r="8802" spans="10:23" x14ac:dyDescent="0.25">
      <c r="J8802"/>
      <c r="M8802"/>
      <c r="W8802"/>
    </row>
    <row r="8803" spans="10:23" x14ac:dyDescent="0.25">
      <c r="J8803"/>
      <c r="M8803"/>
      <c r="W8803"/>
    </row>
    <row r="8804" spans="10:23" x14ac:dyDescent="0.25">
      <c r="J8804"/>
      <c r="M8804"/>
      <c r="W8804"/>
    </row>
    <row r="8805" spans="10:23" x14ac:dyDescent="0.25">
      <c r="J8805"/>
      <c r="M8805"/>
      <c r="W8805"/>
    </row>
    <row r="8806" spans="10:23" x14ac:dyDescent="0.25">
      <c r="J8806"/>
      <c r="M8806"/>
      <c r="W8806"/>
    </row>
    <row r="8807" spans="10:23" x14ac:dyDescent="0.25">
      <c r="J8807"/>
      <c r="M8807"/>
      <c r="W8807"/>
    </row>
    <row r="8808" spans="10:23" x14ac:dyDescent="0.25">
      <c r="J8808"/>
      <c r="M8808"/>
      <c r="W8808"/>
    </row>
    <row r="8809" spans="10:23" x14ac:dyDescent="0.25">
      <c r="J8809"/>
      <c r="M8809"/>
      <c r="W8809"/>
    </row>
    <row r="8810" spans="10:23" x14ac:dyDescent="0.25">
      <c r="J8810"/>
      <c r="M8810"/>
      <c r="W8810"/>
    </row>
    <row r="8811" spans="10:23" x14ac:dyDescent="0.25">
      <c r="J8811"/>
      <c r="M8811"/>
      <c r="W8811"/>
    </row>
    <row r="8812" spans="10:23" x14ac:dyDescent="0.25">
      <c r="J8812"/>
      <c r="M8812"/>
      <c r="W8812"/>
    </row>
    <row r="8813" spans="10:23" x14ac:dyDescent="0.25">
      <c r="J8813"/>
      <c r="M8813"/>
      <c r="W8813"/>
    </row>
    <row r="8814" spans="10:23" x14ac:dyDescent="0.25">
      <c r="J8814"/>
      <c r="M8814"/>
      <c r="W8814"/>
    </row>
    <row r="8815" spans="10:23" x14ac:dyDescent="0.25">
      <c r="J8815"/>
      <c r="M8815"/>
      <c r="W8815"/>
    </row>
    <row r="8816" spans="10:23" x14ac:dyDescent="0.25">
      <c r="J8816"/>
      <c r="M8816"/>
      <c r="W8816"/>
    </row>
    <row r="8817" spans="10:23" x14ac:dyDescent="0.25">
      <c r="J8817"/>
      <c r="M8817"/>
      <c r="W8817"/>
    </row>
    <row r="8818" spans="10:23" x14ac:dyDescent="0.25">
      <c r="J8818"/>
      <c r="M8818"/>
      <c r="W8818"/>
    </row>
    <row r="8819" spans="10:23" x14ac:dyDescent="0.25">
      <c r="J8819"/>
      <c r="M8819"/>
      <c r="W8819"/>
    </row>
    <row r="8820" spans="10:23" x14ac:dyDescent="0.25">
      <c r="J8820"/>
      <c r="M8820"/>
      <c r="W8820"/>
    </row>
    <row r="8821" spans="10:23" x14ac:dyDescent="0.25">
      <c r="J8821"/>
      <c r="M8821"/>
      <c r="W8821"/>
    </row>
    <row r="8822" spans="10:23" x14ac:dyDescent="0.25">
      <c r="J8822"/>
      <c r="M8822"/>
      <c r="W8822"/>
    </row>
    <row r="8823" spans="10:23" x14ac:dyDescent="0.25">
      <c r="J8823"/>
      <c r="M8823"/>
      <c r="W8823"/>
    </row>
    <row r="8824" spans="10:23" x14ac:dyDescent="0.25">
      <c r="J8824"/>
      <c r="M8824"/>
      <c r="W8824"/>
    </row>
    <row r="8825" spans="10:23" x14ac:dyDescent="0.25">
      <c r="J8825"/>
      <c r="M8825"/>
      <c r="W8825"/>
    </row>
    <row r="8826" spans="10:23" x14ac:dyDescent="0.25">
      <c r="J8826"/>
      <c r="M8826"/>
      <c r="W8826"/>
    </row>
    <row r="8827" spans="10:23" x14ac:dyDescent="0.25">
      <c r="J8827"/>
      <c r="M8827"/>
      <c r="W8827"/>
    </row>
    <row r="8828" spans="10:23" x14ac:dyDescent="0.25">
      <c r="J8828"/>
      <c r="M8828"/>
      <c r="W8828"/>
    </row>
    <row r="8829" spans="10:23" x14ac:dyDescent="0.25">
      <c r="J8829"/>
      <c r="M8829"/>
      <c r="W8829"/>
    </row>
    <row r="8830" spans="10:23" x14ac:dyDescent="0.25">
      <c r="J8830"/>
      <c r="M8830"/>
      <c r="W8830"/>
    </row>
    <row r="8831" spans="10:23" x14ac:dyDescent="0.25">
      <c r="J8831"/>
      <c r="M8831"/>
      <c r="W8831"/>
    </row>
    <row r="8832" spans="10:23" x14ac:dyDescent="0.25">
      <c r="J8832"/>
      <c r="M8832"/>
      <c r="W8832"/>
    </row>
    <row r="8833" spans="10:23" x14ac:dyDescent="0.25">
      <c r="J8833"/>
      <c r="M8833"/>
      <c r="W8833"/>
    </row>
    <row r="8834" spans="10:23" x14ac:dyDescent="0.25">
      <c r="J8834"/>
      <c r="M8834"/>
      <c r="W8834"/>
    </row>
    <row r="8835" spans="10:23" x14ac:dyDescent="0.25">
      <c r="J8835"/>
      <c r="M8835"/>
      <c r="W8835"/>
    </row>
    <row r="8836" spans="10:23" x14ac:dyDescent="0.25">
      <c r="J8836"/>
      <c r="M8836"/>
      <c r="W8836"/>
    </row>
    <row r="8837" spans="10:23" x14ac:dyDescent="0.25">
      <c r="J8837"/>
      <c r="M8837"/>
      <c r="W8837"/>
    </row>
    <row r="8838" spans="10:23" x14ac:dyDescent="0.25">
      <c r="J8838"/>
      <c r="M8838"/>
      <c r="W8838"/>
    </row>
    <row r="8839" spans="10:23" x14ac:dyDescent="0.25">
      <c r="J8839"/>
      <c r="M8839"/>
      <c r="W8839"/>
    </row>
    <row r="8840" spans="10:23" x14ac:dyDescent="0.25">
      <c r="J8840"/>
      <c r="M8840"/>
      <c r="W8840"/>
    </row>
    <row r="8841" spans="10:23" x14ac:dyDescent="0.25">
      <c r="J8841"/>
      <c r="M8841"/>
      <c r="W8841"/>
    </row>
    <row r="8842" spans="10:23" x14ac:dyDescent="0.25">
      <c r="J8842"/>
      <c r="M8842"/>
      <c r="W8842"/>
    </row>
    <row r="8843" spans="10:23" x14ac:dyDescent="0.25">
      <c r="J8843"/>
      <c r="M8843"/>
      <c r="W8843"/>
    </row>
    <row r="8844" spans="10:23" x14ac:dyDescent="0.25">
      <c r="J8844"/>
      <c r="M8844"/>
      <c r="W8844"/>
    </row>
    <row r="8845" spans="10:23" x14ac:dyDescent="0.25">
      <c r="J8845"/>
      <c r="M8845"/>
      <c r="W8845"/>
    </row>
    <row r="8846" spans="10:23" x14ac:dyDescent="0.25">
      <c r="J8846"/>
      <c r="M8846"/>
      <c r="W8846"/>
    </row>
    <row r="8847" spans="10:23" x14ac:dyDescent="0.25">
      <c r="J8847"/>
      <c r="M8847"/>
      <c r="W8847"/>
    </row>
    <row r="8848" spans="10:23" x14ac:dyDescent="0.25">
      <c r="J8848"/>
      <c r="M8848"/>
      <c r="W8848"/>
    </row>
    <row r="8849" spans="10:23" x14ac:dyDescent="0.25">
      <c r="J8849"/>
      <c r="M8849"/>
      <c r="W8849"/>
    </row>
    <row r="8850" spans="10:23" x14ac:dyDescent="0.25">
      <c r="J8850"/>
      <c r="M8850"/>
      <c r="W8850"/>
    </row>
    <row r="8851" spans="10:23" x14ac:dyDescent="0.25">
      <c r="J8851"/>
      <c r="M8851"/>
      <c r="W8851"/>
    </row>
    <row r="8852" spans="10:23" x14ac:dyDescent="0.25">
      <c r="J8852"/>
      <c r="M8852"/>
      <c r="W8852"/>
    </row>
    <row r="8853" spans="10:23" x14ac:dyDescent="0.25">
      <c r="J8853"/>
      <c r="M8853"/>
      <c r="W8853"/>
    </row>
    <row r="8854" spans="10:23" x14ac:dyDescent="0.25">
      <c r="J8854"/>
      <c r="M8854"/>
      <c r="W8854"/>
    </row>
    <row r="8855" spans="10:23" x14ac:dyDescent="0.25">
      <c r="J8855"/>
      <c r="M8855"/>
      <c r="W8855"/>
    </row>
    <row r="8856" spans="10:23" x14ac:dyDescent="0.25">
      <c r="J8856"/>
      <c r="M8856"/>
      <c r="W8856"/>
    </row>
    <row r="8857" spans="10:23" x14ac:dyDescent="0.25">
      <c r="J8857"/>
      <c r="M8857"/>
      <c r="W8857"/>
    </row>
    <row r="8858" spans="10:23" x14ac:dyDescent="0.25">
      <c r="J8858"/>
      <c r="M8858"/>
      <c r="W8858"/>
    </row>
    <row r="8859" spans="10:23" x14ac:dyDescent="0.25">
      <c r="J8859"/>
      <c r="M8859"/>
      <c r="W8859"/>
    </row>
    <row r="8860" spans="10:23" x14ac:dyDescent="0.25">
      <c r="J8860"/>
      <c r="M8860"/>
      <c r="W8860"/>
    </row>
    <row r="8861" spans="10:23" x14ac:dyDescent="0.25">
      <c r="J8861"/>
      <c r="M8861"/>
      <c r="W8861"/>
    </row>
    <row r="8862" spans="10:23" x14ac:dyDescent="0.25">
      <c r="J8862"/>
      <c r="M8862"/>
      <c r="W8862"/>
    </row>
    <row r="8863" spans="10:23" x14ac:dyDescent="0.25">
      <c r="J8863"/>
      <c r="M8863"/>
      <c r="W8863"/>
    </row>
    <row r="8864" spans="10:23" x14ac:dyDescent="0.25">
      <c r="J8864"/>
      <c r="M8864"/>
      <c r="W8864"/>
    </row>
    <row r="8865" spans="10:23" x14ac:dyDescent="0.25">
      <c r="J8865"/>
      <c r="M8865"/>
      <c r="W8865"/>
    </row>
    <row r="8866" spans="10:23" x14ac:dyDescent="0.25">
      <c r="J8866"/>
      <c r="M8866"/>
      <c r="W8866"/>
    </row>
    <row r="8867" spans="10:23" x14ac:dyDescent="0.25">
      <c r="J8867"/>
      <c r="M8867"/>
      <c r="W8867"/>
    </row>
    <row r="8868" spans="10:23" x14ac:dyDescent="0.25">
      <c r="J8868"/>
      <c r="M8868"/>
      <c r="W8868"/>
    </row>
    <row r="8869" spans="10:23" x14ac:dyDescent="0.25">
      <c r="J8869"/>
      <c r="M8869"/>
      <c r="W8869"/>
    </row>
    <row r="8870" spans="10:23" x14ac:dyDescent="0.25">
      <c r="J8870"/>
      <c r="M8870"/>
      <c r="W8870"/>
    </row>
    <row r="8871" spans="10:23" x14ac:dyDescent="0.25">
      <c r="J8871"/>
      <c r="M8871"/>
      <c r="W8871"/>
    </row>
    <row r="8872" spans="10:23" x14ac:dyDescent="0.25">
      <c r="J8872"/>
      <c r="M8872"/>
      <c r="W8872"/>
    </row>
    <row r="8873" spans="10:23" x14ac:dyDescent="0.25">
      <c r="J8873"/>
      <c r="M8873"/>
      <c r="W8873"/>
    </row>
    <row r="8874" spans="10:23" x14ac:dyDescent="0.25">
      <c r="J8874"/>
      <c r="M8874"/>
      <c r="W8874"/>
    </row>
    <row r="8875" spans="10:23" x14ac:dyDescent="0.25">
      <c r="J8875"/>
      <c r="M8875"/>
      <c r="W8875"/>
    </row>
    <row r="8876" spans="10:23" x14ac:dyDescent="0.25">
      <c r="J8876"/>
      <c r="M8876"/>
      <c r="W8876"/>
    </row>
    <row r="8877" spans="10:23" x14ac:dyDescent="0.25">
      <c r="J8877"/>
      <c r="M8877"/>
      <c r="W8877"/>
    </row>
    <row r="8878" spans="10:23" x14ac:dyDescent="0.25">
      <c r="J8878"/>
      <c r="M8878"/>
      <c r="W8878"/>
    </row>
    <row r="8879" spans="10:23" x14ac:dyDescent="0.25">
      <c r="J8879"/>
      <c r="M8879"/>
      <c r="W8879"/>
    </row>
    <row r="8880" spans="10:23" x14ac:dyDescent="0.25">
      <c r="J8880"/>
      <c r="M8880"/>
      <c r="W8880"/>
    </row>
    <row r="8881" spans="10:23" x14ac:dyDescent="0.25">
      <c r="J8881"/>
      <c r="M8881"/>
      <c r="W8881"/>
    </row>
    <row r="8882" spans="10:23" x14ac:dyDescent="0.25">
      <c r="J8882"/>
      <c r="M8882"/>
      <c r="W8882"/>
    </row>
    <row r="8883" spans="10:23" x14ac:dyDescent="0.25">
      <c r="J8883"/>
      <c r="M8883"/>
      <c r="W8883"/>
    </row>
    <row r="8884" spans="10:23" x14ac:dyDescent="0.25">
      <c r="J8884"/>
      <c r="M8884"/>
      <c r="W8884"/>
    </row>
    <row r="8885" spans="10:23" x14ac:dyDescent="0.25">
      <c r="J8885"/>
      <c r="M8885"/>
      <c r="W8885"/>
    </row>
    <row r="8886" spans="10:23" x14ac:dyDescent="0.25">
      <c r="J8886"/>
      <c r="M8886"/>
      <c r="W8886"/>
    </row>
    <row r="8887" spans="10:23" x14ac:dyDescent="0.25">
      <c r="J8887"/>
      <c r="M8887"/>
      <c r="W8887"/>
    </row>
    <row r="8888" spans="10:23" x14ac:dyDescent="0.25">
      <c r="J8888"/>
      <c r="M8888"/>
      <c r="W8888"/>
    </row>
    <row r="8889" spans="10:23" x14ac:dyDescent="0.25">
      <c r="J8889"/>
      <c r="M8889"/>
      <c r="W8889"/>
    </row>
    <row r="8890" spans="10:23" x14ac:dyDescent="0.25">
      <c r="J8890"/>
      <c r="M8890"/>
      <c r="W8890"/>
    </row>
    <row r="8891" spans="10:23" x14ac:dyDescent="0.25">
      <c r="J8891"/>
      <c r="M8891"/>
      <c r="W8891"/>
    </row>
    <row r="8892" spans="10:23" x14ac:dyDescent="0.25">
      <c r="J8892"/>
      <c r="M8892"/>
      <c r="W8892"/>
    </row>
    <row r="8893" spans="10:23" x14ac:dyDescent="0.25">
      <c r="J8893"/>
      <c r="M8893"/>
      <c r="W8893"/>
    </row>
    <row r="8894" spans="10:23" x14ac:dyDescent="0.25">
      <c r="J8894"/>
      <c r="M8894"/>
      <c r="W8894"/>
    </row>
    <row r="8895" spans="10:23" x14ac:dyDescent="0.25">
      <c r="J8895"/>
      <c r="M8895"/>
      <c r="W8895"/>
    </row>
    <row r="8896" spans="10:23" x14ac:dyDescent="0.25">
      <c r="J8896"/>
      <c r="M8896"/>
      <c r="W8896"/>
    </row>
    <row r="8897" spans="10:23" x14ac:dyDescent="0.25">
      <c r="J8897"/>
      <c r="M8897"/>
      <c r="W8897"/>
    </row>
    <row r="8898" spans="10:23" x14ac:dyDescent="0.25">
      <c r="J8898"/>
      <c r="M8898"/>
      <c r="W8898"/>
    </row>
    <row r="8899" spans="10:23" x14ac:dyDescent="0.25">
      <c r="J8899"/>
      <c r="M8899"/>
      <c r="W8899"/>
    </row>
    <row r="8900" spans="10:23" x14ac:dyDescent="0.25">
      <c r="J8900"/>
      <c r="M8900"/>
      <c r="W8900"/>
    </row>
    <row r="8901" spans="10:23" x14ac:dyDescent="0.25">
      <c r="J8901"/>
      <c r="M8901"/>
      <c r="W8901"/>
    </row>
    <row r="8902" spans="10:23" x14ac:dyDescent="0.25">
      <c r="J8902"/>
      <c r="M8902"/>
      <c r="W8902"/>
    </row>
    <row r="8903" spans="10:23" x14ac:dyDescent="0.25">
      <c r="J8903"/>
      <c r="M8903"/>
      <c r="W8903"/>
    </row>
    <row r="8904" spans="10:23" x14ac:dyDescent="0.25">
      <c r="J8904"/>
      <c r="M8904"/>
      <c r="W8904"/>
    </row>
    <row r="8905" spans="10:23" x14ac:dyDescent="0.25">
      <c r="J8905"/>
      <c r="M8905"/>
      <c r="W8905"/>
    </row>
    <row r="8906" spans="10:23" x14ac:dyDescent="0.25">
      <c r="J8906"/>
      <c r="M8906"/>
      <c r="W8906"/>
    </row>
    <row r="8907" spans="10:23" x14ac:dyDescent="0.25">
      <c r="J8907"/>
      <c r="M8907"/>
      <c r="W8907"/>
    </row>
    <row r="8908" spans="10:23" x14ac:dyDescent="0.25">
      <c r="J8908"/>
      <c r="M8908"/>
      <c r="W8908"/>
    </row>
    <row r="8909" spans="10:23" x14ac:dyDescent="0.25">
      <c r="J8909"/>
      <c r="M8909"/>
      <c r="W8909"/>
    </row>
    <row r="8910" spans="10:23" x14ac:dyDescent="0.25">
      <c r="J8910"/>
      <c r="M8910"/>
      <c r="W8910"/>
    </row>
    <row r="8911" spans="10:23" x14ac:dyDescent="0.25">
      <c r="J8911"/>
      <c r="M8911"/>
      <c r="W8911"/>
    </row>
    <row r="8912" spans="10:23" x14ac:dyDescent="0.25">
      <c r="J8912"/>
      <c r="M8912"/>
      <c r="W8912"/>
    </row>
    <row r="8913" spans="10:23" x14ac:dyDescent="0.25">
      <c r="J8913"/>
      <c r="M8913"/>
      <c r="W8913"/>
    </row>
    <row r="8914" spans="10:23" x14ac:dyDescent="0.25">
      <c r="J8914"/>
      <c r="M8914"/>
      <c r="W8914"/>
    </row>
    <row r="8915" spans="10:23" x14ac:dyDescent="0.25">
      <c r="J8915"/>
      <c r="M8915"/>
      <c r="W8915"/>
    </row>
    <row r="8916" spans="10:23" x14ac:dyDescent="0.25">
      <c r="J8916"/>
      <c r="M8916"/>
      <c r="W8916"/>
    </row>
    <row r="8917" spans="10:23" x14ac:dyDescent="0.25">
      <c r="J8917"/>
      <c r="M8917"/>
      <c r="W8917"/>
    </row>
    <row r="8918" spans="10:23" x14ac:dyDescent="0.25">
      <c r="J8918"/>
      <c r="M8918"/>
      <c r="W8918"/>
    </row>
    <row r="8919" spans="10:23" x14ac:dyDescent="0.25">
      <c r="J8919"/>
      <c r="M8919"/>
      <c r="W8919"/>
    </row>
    <row r="8920" spans="10:23" x14ac:dyDescent="0.25">
      <c r="J8920"/>
      <c r="M8920"/>
      <c r="W8920"/>
    </row>
    <row r="8921" spans="10:23" x14ac:dyDescent="0.25">
      <c r="J8921"/>
      <c r="M8921"/>
      <c r="W8921"/>
    </row>
    <row r="8922" spans="10:23" x14ac:dyDescent="0.25">
      <c r="J8922"/>
      <c r="M8922"/>
      <c r="W8922"/>
    </row>
    <row r="8923" spans="10:23" x14ac:dyDescent="0.25">
      <c r="J8923"/>
      <c r="M8923"/>
      <c r="W8923"/>
    </row>
    <row r="8924" spans="10:23" x14ac:dyDescent="0.25">
      <c r="J8924"/>
      <c r="M8924"/>
      <c r="W8924"/>
    </row>
    <row r="8925" spans="10:23" x14ac:dyDescent="0.25">
      <c r="J8925"/>
      <c r="M8925"/>
      <c r="W8925"/>
    </row>
    <row r="8926" spans="10:23" x14ac:dyDescent="0.25">
      <c r="J8926"/>
      <c r="M8926"/>
      <c r="W8926"/>
    </row>
    <row r="8927" spans="10:23" x14ac:dyDescent="0.25">
      <c r="J8927"/>
      <c r="M8927"/>
      <c r="W8927"/>
    </row>
    <row r="8928" spans="10:23" x14ac:dyDescent="0.25">
      <c r="J8928"/>
      <c r="M8928"/>
      <c r="W8928"/>
    </row>
    <row r="8929" spans="10:23" x14ac:dyDescent="0.25">
      <c r="J8929"/>
      <c r="M8929"/>
      <c r="W8929"/>
    </row>
    <row r="8930" spans="10:23" x14ac:dyDescent="0.25">
      <c r="J8930"/>
      <c r="M8930"/>
      <c r="W8930"/>
    </row>
    <row r="8931" spans="10:23" x14ac:dyDescent="0.25">
      <c r="J8931"/>
      <c r="M8931"/>
      <c r="W8931"/>
    </row>
    <row r="8932" spans="10:23" x14ac:dyDescent="0.25">
      <c r="J8932"/>
      <c r="M8932"/>
      <c r="W8932"/>
    </row>
    <row r="8933" spans="10:23" x14ac:dyDescent="0.25">
      <c r="J8933"/>
      <c r="M8933"/>
      <c r="W8933"/>
    </row>
    <row r="8934" spans="10:23" x14ac:dyDescent="0.25">
      <c r="J8934"/>
      <c r="M8934"/>
      <c r="W8934"/>
    </row>
    <row r="8935" spans="10:23" x14ac:dyDescent="0.25">
      <c r="J8935"/>
      <c r="M8935"/>
      <c r="W8935"/>
    </row>
    <row r="8936" spans="10:23" x14ac:dyDescent="0.25">
      <c r="J8936"/>
      <c r="M8936"/>
      <c r="W8936"/>
    </row>
    <row r="8937" spans="10:23" x14ac:dyDescent="0.25">
      <c r="J8937"/>
      <c r="M8937"/>
      <c r="W8937"/>
    </row>
    <row r="8938" spans="10:23" x14ac:dyDescent="0.25">
      <c r="J8938"/>
      <c r="M8938"/>
      <c r="W8938"/>
    </row>
    <row r="8939" spans="10:23" x14ac:dyDescent="0.25">
      <c r="J8939"/>
      <c r="M8939"/>
      <c r="W8939"/>
    </row>
    <row r="8940" spans="10:23" x14ac:dyDescent="0.25">
      <c r="J8940"/>
      <c r="M8940"/>
      <c r="W8940"/>
    </row>
    <row r="8941" spans="10:23" x14ac:dyDescent="0.25">
      <c r="J8941"/>
      <c r="M8941"/>
      <c r="W8941"/>
    </row>
    <row r="8942" spans="10:23" x14ac:dyDescent="0.25">
      <c r="J8942"/>
      <c r="M8942"/>
      <c r="W8942"/>
    </row>
    <row r="8943" spans="10:23" x14ac:dyDescent="0.25">
      <c r="J8943"/>
      <c r="M8943"/>
      <c r="W8943"/>
    </row>
    <row r="8944" spans="10:23" x14ac:dyDescent="0.25">
      <c r="J8944"/>
      <c r="M8944"/>
      <c r="W8944"/>
    </row>
    <row r="8945" spans="10:23" x14ac:dyDescent="0.25">
      <c r="J8945"/>
      <c r="M8945"/>
      <c r="W8945"/>
    </row>
    <row r="8946" spans="10:23" x14ac:dyDescent="0.25">
      <c r="J8946"/>
      <c r="M8946"/>
      <c r="W8946"/>
    </row>
    <row r="8947" spans="10:23" x14ac:dyDescent="0.25">
      <c r="J8947"/>
      <c r="M8947"/>
      <c r="W8947"/>
    </row>
    <row r="8948" spans="10:23" x14ac:dyDescent="0.25">
      <c r="J8948"/>
      <c r="M8948"/>
      <c r="W8948"/>
    </row>
    <row r="8949" spans="10:23" x14ac:dyDescent="0.25">
      <c r="J8949"/>
      <c r="M8949"/>
      <c r="W8949"/>
    </row>
    <row r="8950" spans="10:23" x14ac:dyDescent="0.25">
      <c r="J8950"/>
      <c r="M8950"/>
      <c r="W8950"/>
    </row>
    <row r="8951" spans="10:23" x14ac:dyDescent="0.25">
      <c r="J8951"/>
      <c r="M8951"/>
      <c r="W8951"/>
    </row>
    <row r="8952" spans="10:23" x14ac:dyDescent="0.25">
      <c r="J8952"/>
      <c r="M8952"/>
      <c r="W8952"/>
    </row>
    <row r="8953" spans="10:23" x14ac:dyDescent="0.25">
      <c r="J8953"/>
      <c r="M8953"/>
      <c r="W8953"/>
    </row>
    <row r="8954" spans="10:23" x14ac:dyDescent="0.25">
      <c r="J8954"/>
      <c r="M8954"/>
      <c r="W8954"/>
    </row>
    <row r="8955" spans="10:23" x14ac:dyDescent="0.25">
      <c r="J8955"/>
      <c r="M8955"/>
      <c r="W8955"/>
    </row>
    <row r="8956" spans="10:23" x14ac:dyDescent="0.25">
      <c r="J8956"/>
      <c r="M8956"/>
      <c r="W8956"/>
    </row>
    <row r="8957" spans="10:23" x14ac:dyDescent="0.25">
      <c r="J8957"/>
      <c r="M8957"/>
      <c r="W8957"/>
    </row>
    <row r="8958" spans="10:23" x14ac:dyDescent="0.25">
      <c r="J8958"/>
      <c r="M8958"/>
      <c r="W8958"/>
    </row>
    <row r="8959" spans="10:23" x14ac:dyDescent="0.25">
      <c r="J8959"/>
      <c r="M8959"/>
      <c r="W8959"/>
    </row>
    <row r="8960" spans="10:23" x14ac:dyDescent="0.25">
      <c r="J8960"/>
      <c r="M8960"/>
      <c r="W8960"/>
    </row>
    <row r="8961" spans="10:23" x14ac:dyDescent="0.25">
      <c r="J8961"/>
      <c r="M8961"/>
      <c r="W8961"/>
    </row>
    <row r="8962" spans="10:23" x14ac:dyDescent="0.25">
      <c r="J8962"/>
      <c r="M8962"/>
      <c r="W8962"/>
    </row>
    <row r="8963" spans="10:23" x14ac:dyDescent="0.25">
      <c r="J8963"/>
      <c r="M8963"/>
      <c r="W8963"/>
    </row>
    <row r="8964" spans="10:23" x14ac:dyDescent="0.25">
      <c r="J8964"/>
      <c r="M8964"/>
      <c r="W8964"/>
    </row>
    <row r="8965" spans="10:23" x14ac:dyDescent="0.25">
      <c r="J8965"/>
      <c r="M8965"/>
      <c r="W8965"/>
    </row>
    <row r="8966" spans="10:23" x14ac:dyDescent="0.25">
      <c r="J8966"/>
      <c r="M8966"/>
      <c r="W8966"/>
    </row>
    <row r="8967" spans="10:23" x14ac:dyDescent="0.25">
      <c r="J8967"/>
      <c r="M8967"/>
      <c r="W8967"/>
    </row>
    <row r="8968" spans="10:23" x14ac:dyDescent="0.25">
      <c r="J8968"/>
      <c r="M8968"/>
      <c r="W8968"/>
    </row>
    <row r="8969" spans="10:23" x14ac:dyDescent="0.25">
      <c r="J8969"/>
      <c r="M8969"/>
      <c r="W8969"/>
    </row>
    <row r="8970" spans="10:23" x14ac:dyDescent="0.25">
      <c r="J8970"/>
      <c r="M8970"/>
      <c r="W8970"/>
    </row>
    <row r="8971" spans="10:23" x14ac:dyDescent="0.25">
      <c r="J8971"/>
      <c r="M8971"/>
      <c r="W8971"/>
    </row>
    <row r="8972" spans="10:23" x14ac:dyDescent="0.25">
      <c r="J8972"/>
      <c r="M8972"/>
      <c r="W8972"/>
    </row>
    <row r="8973" spans="10:23" x14ac:dyDescent="0.25">
      <c r="J8973"/>
      <c r="M8973"/>
      <c r="W8973"/>
    </row>
    <row r="8974" spans="10:23" x14ac:dyDescent="0.25">
      <c r="J8974"/>
      <c r="M8974"/>
      <c r="W8974"/>
    </row>
    <row r="8975" spans="10:23" x14ac:dyDescent="0.25">
      <c r="J8975"/>
      <c r="M8975"/>
      <c r="W8975"/>
    </row>
    <row r="8976" spans="10:23" x14ac:dyDescent="0.25">
      <c r="J8976"/>
      <c r="M8976"/>
      <c r="W8976"/>
    </row>
    <row r="8977" spans="10:23" x14ac:dyDescent="0.25">
      <c r="J8977"/>
      <c r="M8977"/>
      <c r="W8977"/>
    </row>
    <row r="8978" spans="10:23" x14ac:dyDescent="0.25">
      <c r="J8978"/>
      <c r="M8978"/>
      <c r="W8978"/>
    </row>
    <row r="8979" spans="10:23" x14ac:dyDescent="0.25">
      <c r="J8979"/>
      <c r="M8979"/>
      <c r="W8979"/>
    </row>
    <row r="8980" spans="10:23" x14ac:dyDescent="0.25">
      <c r="J8980"/>
      <c r="M8980"/>
      <c r="W8980"/>
    </row>
    <row r="8981" spans="10:23" x14ac:dyDescent="0.25">
      <c r="J8981"/>
      <c r="M8981"/>
      <c r="W8981"/>
    </row>
    <row r="8982" spans="10:23" x14ac:dyDescent="0.25">
      <c r="J8982"/>
      <c r="M8982"/>
      <c r="W8982"/>
    </row>
    <row r="8983" spans="10:23" x14ac:dyDescent="0.25">
      <c r="J8983"/>
      <c r="M8983"/>
      <c r="W8983"/>
    </row>
    <row r="8984" spans="10:23" x14ac:dyDescent="0.25">
      <c r="J8984"/>
      <c r="M8984"/>
      <c r="W8984"/>
    </row>
    <row r="8985" spans="10:23" x14ac:dyDescent="0.25">
      <c r="J8985"/>
      <c r="M8985"/>
      <c r="W8985"/>
    </row>
    <row r="8986" spans="10:23" x14ac:dyDescent="0.25">
      <c r="J8986"/>
      <c r="M8986"/>
      <c r="W8986"/>
    </row>
    <row r="8987" spans="10:23" x14ac:dyDescent="0.25">
      <c r="J8987"/>
      <c r="M8987"/>
      <c r="W8987"/>
    </row>
    <row r="8988" spans="10:23" x14ac:dyDescent="0.25">
      <c r="J8988"/>
      <c r="M8988"/>
      <c r="W8988"/>
    </row>
    <row r="8989" spans="10:23" x14ac:dyDescent="0.25">
      <c r="J8989"/>
      <c r="M8989"/>
      <c r="W8989"/>
    </row>
    <row r="8990" spans="10:23" x14ac:dyDescent="0.25">
      <c r="J8990"/>
      <c r="M8990"/>
      <c r="W8990"/>
    </row>
    <row r="8991" spans="10:23" x14ac:dyDescent="0.25">
      <c r="J8991"/>
      <c r="M8991"/>
      <c r="W8991"/>
    </row>
    <row r="8992" spans="10:23" x14ac:dyDescent="0.25">
      <c r="J8992"/>
      <c r="M8992"/>
      <c r="W8992"/>
    </row>
    <row r="8993" spans="10:23" x14ac:dyDescent="0.25">
      <c r="J8993"/>
      <c r="M8993"/>
      <c r="W8993"/>
    </row>
    <row r="8994" spans="10:23" x14ac:dyDescent="0.25">
      <c r="J8994"/>
      <c r="M8994"/>
      <c r="W8994"/>
    </row>
    <row r="8995" spans="10:23" x14ac:dyDescent="0.25">
      <c r="J8995"/>
      <c r="M8995"/>
      <c r="W8995"/>
    </row>
    <row r="8996" spans="10:23" x14ac:dyDescent="0.25">
      <c r="J8996"/>
      <c r="M8996"/>
      <c r="W8996"/>
    </row>
    <row r="8997" spans="10:23" x14ac:dyDescent="0.25">
      <c r="J8997"/>
      <c r="M8997"/>
      <c r="W8997"/>
    </row>
    <row r="8998" spans="10:23" x14ac:dyDescent="0.25">
      <c r="J8998"/>
      <c r="M8998"/>
      <c r="W8998"/>
    </row>
    <row r="8999" spans="10:23" x14ac:dyDescent="0.25">
      <c r="J8999"/>
      <c r="M8999"/>
      <c r="W8999"/>
    </row>
    <row r="9000" spans="10:23" x14ac:dyDescent="0.25">
      <c r="J9000"/>
      <c r="M9000"/>
      <c r="W9000"/>
    </row>
    <row r="9001" spans="10:23" x14ac:dyDescent="0.25">
      <c r="J9001"/>
      <c r="M9001"/>
      <c r="W9001"/>
    </row>
    <row r="9002" spans="10:23" x14ac:dyDescent="0.25">
      <c r="J9002"/>
      <c r="M9002"/>
      <c r="W9002"/>
    </row>
    <row r="9003" spans="10:23" x14ac:dyDescent="0.25">
      <c r="J9003"/>
      <c r="M9003"/>
      <c r="W9003"/>
    </row>
    <row r="9004" spans="10:23" x14ac:dyDescent="0.25">
      <c r="J9004"/>
      <c r="M9004"/>
      <c r="W9004"/>
    </row>
    <row r="9005" spans="10:23" x14ac:dyDescent="0.25">
      <c r="J9005"/>
      <c r="M9005"/>
      <c r="W9005"/>
    </row>
    <row r="9006" spans="10:23" x14ac:dyDescent="0.25">
      <c r="J9006"/>
      <c r="M9006"/>
      <c r="W9006"/>
    </row>
    <row r="9007" spans="10:23" x14ac:dyDescent="0.25">
      <c r="J9007"/>
      <c r="M9007"/>
      <c r="W9007"/>
    </row>
    <row r="9008" spans="10:23" x14ac:dyDescent="0.25">
      <c r="J9008"/>
      <c r="M9008"/>
      <c r="W9008"/>
    </row>
    <row r="9009" spans="10:23" x14ac:dyDescent="0.25">
      <c r="J9009"/>
      <c r="M9009"/>
      <c r="W9009"/>
    </row>
    <row r="9010" spans="10:23" x14ac:dyDescent="0.25">
      <c r="J9010"/>
      <c r="M9010"/>
      <c r="W9010"/>
    </row>
    <row r="9011" spans="10:23" x14ac:dyDescent="0.25">
      <c r="J9011"/>
      <c r="M9011"/>
      <c r="W9011"/>
    </row>
    <row r="9012" spans="10:23" x14ac:dyDescent="0.25">
      <c r="J9012"/>
      <c r="M9012"/>
      <c r="W9012"/>
    </row>
    <row r="9013" spans="10:23" x14ac:dyDescent="0.25">
      <c r="J9013"/>
      <c r="M9013"/>
      <c r="W9013"/>
    </row>
    <row r="9014" spans="10:23" x14ac:dyDescent="0.25">
      <c r="J9014"/>
      <c r="M9014"/>
      <c r="W9014"/>
    </row>
    <row r="9015" spans="10:23" x14ac:dyDescent="0.25">
      <c r="J9015"/>
      <c r="M9015"/>
      <c r="W9015"/>
    </row>
    <row r="9016" spans="10:23" x14ac:dyDescent="0.25">
      <c r="J9016"/>
      <c r="M9016"/>
      <c r="W9016"/>
    </row>
    <row r="9017" spans="10:23" x14ac:dyDescent="0.25">
      <c r="J9017"/>
      <c r="M9017"/>
      <c r="W9017"/>
    </row>
    <row r="9018" spans="10:23" x14ac:dyDescent="0.25">
      <c r="J9018"/>
      <c r="M9018"/>
      <c r="W9018"/>
    </row>
    <row r="9019" spans="10:23" x14ac:dyDescent="0.25">
      <c r="J9019"/>
      <c r="M9019"/>
      <c r="W9019"/>
    </row>
    <row r="9020" spans="10:23" x14ac:dyDescent="0.25">
      <c r="J9020"/>
      <c r="M9020"/>
      <c r="W9020"/>
    </row>
    <row r="9021" spans="10:23" x14ac:dyDescent="0.25">
      <c r="J9021"/>
      <c r="M9021"/>
      <c r="W9021"/>
    </row>
    <row r="9022" spans="10:23" x14ac:dyDescent="0.25">
      <c r="J9022"/>
      <c r="M9022"/>
      <c r="W9022"/>
    </row>
    <row r="9023" spans="10:23" x14ac:dyDescent="0.25">
      <c r="J9023"/>
      <c r="M9023"/>
      <c r="W9023"/>
    </row>
    <row r="9024" spans="10:23" x14ac:dyDescent="0.25">
      <c r="J9024"/>
      <c r="M9024"/>
      <c r="W9024"/>
    </row>
    <row r="9025" spans="10:23" x14ac:dyDescent="0.25">
      <c r="J9025"/>
      <c r="M9025"/>
      <c r="W9025"/>
    </row>
    <row r="9026" spans="10:23" x14ac:dyDescent="0.25">
      <c r="J9026"/>
      <c r="M9026"/>
      <c r="W9026"/>
    </row>
    <row r="9027" spans="10:23" x14ac:dyDescent="0.25">
      <c r="J9027"/>
      <c r="M9027"/>
      <c r="W9027"/>
    </row>
    <row r="9028" spans="10:23" x14ac:dyDescent="0.25">
      <c r="J9028"/>
      <c r="M9028"/>
      <c r="W9028"/>
    </row>
    <row r="9029" spans="10:23" x14ac:dyDescent="0.25">
      <c r="J9029"/>
      <c r="M9029"/>
      <c r="W9029"/>
    </row>
    <row r="9030" spans="10:23" x14ac:dyDescent="0.25">
      <c r="J9030"/>
      <c r="M9030"/>
      <c r="W9030"/>
    </row>
    <row r="9031" spans="10:23" x14ac:dyDescent="0.25">
      <c r="J9031"/>
      <c r="M9031"/>
      <c r="W9031"/>
    </row>
    <row r="9032" spans="10:23" x14ac:dyDescent="0.25">
      <c r="J9032"/>
      <c r="M9032"/>
      <c r="W9032"/>
    </row>
    <row r="9033" spans="10:23" x14ac:dyDescent="0.25">
      <c r="J9033"/>
      <c r="M9033"/>
      <c r="W9033"/>
    </row>
    <row r="9034" spans="10:23" x14ac:dyDescent="0.25">
      <c r="J9034"/>
      <c r="M9034"/>
      <c r="W9034"/>
    </row>
    <row r="9035" spans="10:23" x14ac:dyDescent="0.25">
      <c r="J9035"/>
      <c r="M9035"/>
      <c r="W9035"/>
    </row>
    <row r="9036" spans="10:23" x14ac:dyDescent="0.25">
      <c r="J9036"/>
      <c r="M9036"/>
      <c r="W9036"/>
    </row>
    <row r="9037" spans="10:23" x14ac:dyDescent="0.25">
      <c r="J9037"/>
      <c r="M9037"/>
      <c r="W9037"/>
    </row>
    <row r="9038" spans="10:23" x14ac:dyDescent="0.25">
      <c r="J9038"/>
      <c r="M9038"/>
      <c r="W9038"/>
    </row>
    <row r="9039" spans="10:23" x14ac:dyDescent="0.25">
      <c r="J9039"/>
      <c r="M9039"/>
      <c r="W9039"/>
    </row>
    <row r="9040" spans="10:23" x14ac:dyDescent="0.25">
      <c r="J9040"/>
      <c r="M9040"/>
      <c r="W9040"/>
    </row>
    <row r="9041" spans="10:23" x14ac:dyDescent="0.25">
      <c r="J9041"/>
      <c r="M9041"/>
      <c r="W9041"/>
    </row>
    <row r="9042" spans="10:23" x14ac:dyDescent="0.25">
      <c r="J9042"/>
      <c r="M9042"/>
      <c r="W9042"/>
    </row>
    <row r="9043" spans="10:23" x14ac:dyDescent="0.25">
      <c r="J9043"/>
      <c r="M9043"/>
      <c r="W9043"/>
    </row>
    <row r="9044" spans="10:23" x14ac:dyDescent="0.25">
      <c r="J9044"/>
      <c r="M9044"/>
      <c r="W9044"/>
    </row>
    <row r="9045" spans="10:23" x14ac:dyDescent="0.25">
      <c r="J9045"/>
      <c r="M9045"/>
      <c r="W9045"/>
    </row>
    <row r="9046" spans="10:23" x14ac:dyDescent="0.25">
      <c r="J9046"/>
      <c r="M9046"/>
      <c r="W9046"/>
    </row>
    <row r="9047" spans="10:23" x14ac:dyDescent="0.25">
      <c r="J9047"/>
      <c r="M9047"/>
      <c r="W9047"/>
    </row>
    <row r="9048" spans="10:23" x14ac:dyDescent="0.25">
      <c r="J9048"/>
      <c r="M9048"/>
      <c r="W9048"/>
    </row>
    <row r="9049" spans="10:23" x14ac:dyDescent="0.25">
      <c r="J9049"/>
      <c r="M9049"/>
      <c r="W9049"/>
    </row>
    <row r="9050" spans="10:23" x14ac:dyDescent="0.25">
      <c r="J9050"/>
      <c r="M9050"/>
      <c r="W9050"/>
    </row>
    <row r="9051" spans="10:23" x14ac:dyDescent="0.25">
      <c r="J9051"/>
      <c r="M9051"/>
      <c r="W9051"/>
    </row>
    <row r="9052" spans="10:23" x14ac:dyDescent="0.25">
      <c r="J9052"/>
      <c r="M9052"/>
      <c r="W9052"/>
    </row>
    <row r="9053" spans="10:23" x14ac:dyDescent="0.25">
      <c r="J9053"/>
      <c r="M9053"/>
      <c r="W9053"/>
    </row>
    <row r="9054" spans="10:23" x14ac:dyDescent="0.25">
      <c r="J9054"/>
      <c r="M9054"/>
      <c r="W9054"/>
    </row>
    <row r="9055" spans="10:23" x14ac:dyDescent="0.25">
      <c r="J9055"/>
      <c r="M9055"/>
      <c r="W9055"/>
    </row>
    <row r="9056" spans="10:23" x14ac:dyDescent="0.25">
      <c r="J9056"/>
      <c r="M9056"/>
      <c r="W9056"/>
    </row>
    <row r="9057" spans="10:23" x14ac:dyDescent="0.25">
      <c r="J9057"/>
      <c r="M9057"/>
      <c r="W9057"/>
    </row>
    <row r="9058" spans="10:23" x14ac:dyDescent="0.25">
      <c r="J9058"/>
      <c r="M9058"/>
      <c r="W9058"/>
    </row>
    <row r="9059" spans="10:23" x14ac:dyDescent="0.25">
      <c r="J9059"/>
      <c r="M9059"/>
      <c r="W9059"/>
    </row>
    <row r="9060" spans="10:23" x14ac:dyDescent="0.25">
      <c r="J9060"/>
      <c r="M9060"/>
      <c r="W9060"/>
    </row>
    <row r="9061" spans="10:23" x14ac:dyDescent="0.25">
      <c r="J9061"/>
      <c r="M9061"/>
      <c r="W9061"/>
    </row>
    <row r="9062" spans="10:23" x14ac:dyDescent="0.25">
      <c r="J9062"/>
      <c r="M9062"/>
      <c r="W9062"/>
    </row>
    <row r="9063" spans="10:23" x14ac:dyDescent="0.25">
      <c r="J9063"/>
      <c r="M9063"/>
      <c r="W9063"/>
    </row>
    <row r="9064" spans="10:23" x14ac:dyDescent="0.25">
      <c r="J9064"/>
      <c r="M9064"/>
      <c r="W9064"/>
    </row>
    <row r="9065" spans="10:23" x14ac:dyDescent="0.25">
      <c r="J9065"/>
      <c r="M9065"/>
      <c r="W9065"/>
    </row>
    <row r="9066" spans="10:23" x14ac:dyDescent="0.25">
      <c r="J9066"/>
      <c r="M9066"/>
      <c r="W9066"/>
    </row>
    <row r="9067" spans="10:23" x14ac:dyDescent="0.25">
      <c r="J9067"/>
      <c r="M9067"/>
      <c r="W9067"/>
    </row>
    <row r="9068" spans="10:23" x14ac:dyDescent="0.25">
      <c r="J9068"/>
      <c r="M9068"/>
      <c r="W9068"/>
    </row>
    <row r="9069" spans="10:23" x14ac:dyDescent="0.25">
      <c r="J9069"/>
      <c r="M9069"/>
      <c r="W9069"/>
    </row>
    <row r="9070" spans="10:23" x14ac:dyDescent="0.25">
      <c r="J9070"/>
      <c r="M9070"/>
      <c r="W9070"/>
    </row>
    <row r="9071" spans="10:23" x14ac:dyDescent="0.25">
      <c r="J9071"/>
      <c r="M9071"/>
      <c r="W9071"/>
    </row>
    <row r="9072" spans="10:23" x14ac:dyDescent="0.25">
      <c r="J9072"/>
      <c r="M9072"/>
      <c r="W9072"/>
    </row>
    <row r="9073" spans="10:23" x14ac:dyDescent="0.25">
      <c r="J9073"/>
      <c r="M9073"/>
      <c r="W9073"/>
    </row>
    <row r="9074" spans="10:23" x14ac:dyDescent="0.25">
      <c r="J9074"/>
      <c r="M9074"/>
      <c r="W9074"/>
    </row>
    <row r="9075" spans="10:23" x14ac:dyDescent="0.25">
      <c r="J9075"/>
      <c r="M9075"/>
      <c r="W9075"/>
    </row>
    <row r="9076" spans="10:23" x14ac:dyDescent="0.25">
      <c r="J9076"/>
      <c r="M9076"/>
      <c r="W9076"/>
    </row>
    <row r="9077" spans="10:23" x14ac:dyDescent="0.25">
      <c r="J9077"/>
      <c r="M9077"/>
      <c r="W9077"/>
    </row>
    <row r="9078" spans="10:23" x14ac:dyDescent="0.25">
      <c r="J9078"/>
      <c r="M9078"/>
      <c r="W9078"/>
    </row>
    <row r="9079" spans="10:23" x14ac:dyDescent="0.25">
      <c r="J9079"/>
      <c r="M9079"/>
      <c r="W9079"/>
    </row>
    <row r="9080" spans="10:23" x14ac:dyDescent="0.25">
      <c r="J9080"/>
      <c r="M9080"/>
      <c r="W9080"/>
    </row>
    <row r="9081" spans="10:23" x14ac:dyDescent="0.25">
      <c r="J9081"/>
      <c r="M9081"/>
      <c r="W9081"/>
    </row>
    <row r="9082" spans="10:23" x14ac:dyDescent="0.25">
      <c r="J9082"/>
      <c r="M9082"/>
      <c r="W9082"/>
    </row>
    <row r="9083" spans="10:23" x14ac:dyDescent="0.25">
      <c r="J9083"/>
      <c r="M9083"/>
      <c r="W9083"/>
    </row>
    <row r="9084" spans="10:23" x14ac:dyDescent="0.25">
      <c r="J9084"/>
      <c r="M9084"/>
      <c r="W9084"/>
    </row>
    <row r="9085" spans="10:23" x14ac:dyDescent="0.25">
      <c r="J9085"/>
      <c r="M9085"/>
      <c r="W9085"/>
    </row>
    <row r="9086" spans="10:23" x14ac:dyDescent="0.25">
      <c r="J9086"/>
      <c r="M9086"/>
      <c r="W9086"/>
    </row>
    <row r="9087" spans="10:23" x14ac:dyDescent="0.25">
      <c r="J9087"/>
      <c r="M9087"/>
      <c r="W9087"/>
    </row>
    <row r="9088" spans="10:23" x14ac:dyDescent="0.25">
      <c r="J9088"/>
      <c r="M9088"/>
      <c r="W9088"/>
    </row>
    <row r="9089" spans="10:23" x14ac:dyDescent="0.25">
      <c r="J9089"/>
      <c r="M9089"/>
      <c r="W9089"/>
    </row>
    <row r="9090" spans="10:23" x14ac:dyDescent="0.25">
      <c r="J9090"/>
      <c r="M9090"/>
      <c r="W9090"/>
    </row>
    <row r="9091" spans="10:23" x14ac:dyDescent="0.25">
      <c r="J9091"/>
      <c r="M9091"/>
      <c r="W9091"/>
    </row>
    <row r="9092" spans="10:23" x14ac:dyDescent="0.25">
      <c r="J9092"/>
      <c r="M9092"/>
      <c r="W9092"/>
    </row>
    <row r="9093" spans="10:23" x14ac:dyDescent="0.25">
      <c r="J9093"/>
      <c r="M9093"/>
      <c r="W9093"/>
    </row>
    <row r="9094" spans="10:23" x14ac:dyDescent="0.25">
      <c r="J9094"/>
      <c r="M9094"/>
      <c r="W9094"/>
    </row>
    <row r="9095" spans="10:23" x14ac:dyDescent="0.25">
      <c r="J9095"/>
      <c r="M9095"/>
      <c r="W9095"/>
    </row>
    <row r="9096" spans="10:23" x14ac:dyDescent="0.25">
      <c r="J9096"/>
      <c r="M9096"/>
      <c r="W9096"/>
    </row>
    <row r="9097" spans="10:23" x14ac:dyDescent="0.25">
      <c r="J9097"/>
      <c r="M9097"/>
      <c r="W9097"/>
    </row>
    <row r="9098" spans="10:23" x14ac:dyDescent="0.25">
      <c r="J9098"/>
      <c r="M9098"/>
      <c r="W9098"/>
    </row>
    <row r="9099" spans="10:23" x14ac:dyDescent="0.25">
      <c r="J9099"/>
      <c r="M9099"/>
      <c r="W9099"/>
    </row>
    <row r="9100" spans="10:23" x14ac:dyDescent="0.25">
      <c r="J9100"/>
      <c r="M9100"/>
      <c r="W9100"/>
    </row>
    <row r="9101" spans="10:23" x14ac:dyDescent="0.25">
      <c r="J9101"/>
      <c r="M9101"/>
      <c r="W9101"/>
    </row>
    <row r="9102" spans="10:23" x14ac:dyDescent="0.25">
      <c r="J9102"/>
      <c r="M9102"/>
      <c r="W9102"/>
    </row>
    <row r="9103" spans="10:23" x14ac:dyDescent="0.25">
      <c r="J9103"/>
      <c r="M9103"/>
      <c r="W9103"/>
    </row>
    <row r="9104" spans="10:23" x14ac:dyDescent="0.25">
      <c r="J9104"/>
      <c r="M9104"/>
      <c r="W9104"/>
    </row>
    <row r="9105" spans="10:23" x14ac:dyDescent="0.25">
      <c r="J9105"/>
      <c r="M9105"/>
      <c r="W9105"/>
    </row>
    <row r="9106" spans="10:23" x14ac:dyDescent="0.25">
      <c r="J9106"/>
      <c r="M9106"/>
      <c r="W9106"/>
    </row>
    <row r="9107" spans="10:23" x14ac:dyDescent="0.25">
      <c r="J9107"/>
      <c r="M9107"/>
      <c r="W9107"/>
    </row>
    <row r="9108" spans="10:23" x14ac:dyDescent="0.25">
      <c r="J9108"/>
      <c r="M9108"/>
      <c r="W9108"/>
    </row>
    <row r="9109" spans="10:23" x14ac:dyDescent="0.25">
      <c r="J9109"/>
      <c r="M9109"/>
      <c r="W9109"/>
    </row>
    <row r="9110" spans="10:23" x14ac:dyDescent="0.25">
      <c r="J9110"/>
      <c r="M9110"/>
      <c r="W9110"/>
    </row>
    <row r="9111" spans="10:23" x14ac:dyDescent="0.25">
      <c r="J9111"/>
      <c r="M9111"/>
      <c r="W9111"/>
    </row>
    <row r="9112" spans="10:23" x14ac:dyDescent="0.25">
      <c r="J9112"/>
      <c r="M9112"/>
      <c r="W9112"/>
    </row>
    <row r="9113" spans="10:23" x14ac:dyDescent="0.25">
      <c r="J9113"/>
      <c r="M9113"/>
      <c r="W9113"/>
    </row>
    <row r="9114" spans="10:23" x14ac:dyDescent="0.25">
      <c r="J9114"/>
      <c r="M9114"/>
      <c r="W9114"/>
    </row>
    <row r="9115" spans="10:23" x14ac:dyDescent="0.25">
      <c r="J9115"/>
      <c r="M9115"/>
      <c r="W9115"/>
    </row>
    <row r="9116" spans="10:23" x14ac:dyDescent="0.25">
      <c r="J9116"/>
      <c r="M9116"/>
      <c r="W9116"/>
    </row>
    <row r="9117" spans="10:23" x14ac:dyDescent="0.25">
      <c r="J9117"/>
      <c r="M9117"/>
      <c r="W9117"/>
    </row>
    <row r="9118" spans="10:23" x14ac:dyDescent="0.25">
      <c r="J9118"/>
      <c r="M9118"/>
      <c r="W9118"/>
    </row>
    <row r="9119" spans="10:23" x14ac:dyDescent="0.25">
      <c r="J9119"/>
      <c r="M9119"/>
      <c r="W9119"/>
    </row>
    <row r="9120" spans="10:23" x14ac:dyDescent="0.25">
      <c r="J9120"/>
      <c r="M9120"/>
      <c r="W9120"/>
    </row>
    <row r="9121" spans="10:23" x14ac:dyDescent="0.25">
      <c r="J9121"/>
      <c r="M9121"/>
      <c r="W9121"/>
    </row>
    <row r="9122" spans="10:23" x14ac:dyDescent="0.25">
      <c r="J9122"/>
      <c r="M9122"/>
      <c r="W9122"/>
    </row>
    <row r="9123" spans="10:23" x14ac:dyDescent="0.25">
      <c r="J9123"/>
      <c r="M9123"/>
      <c r="W9123"/>
    </row>
    <row r="9124" spans="10:23" x14ac:dyDescent="0.25">
      <c r="J9124"/>
      <c r="M9124"/>
      <c r="W9124"/>
    </row>
    <row r="9125" spans="10:23" x14ac:dyDescent="0.25">
      <c r="J9125"/>
      <c r="M9125"/>
      <c r="W9125"/>
    </row>
    <row r="9126" spans="10:23" x14ac:dyDescent="0.25">
      <c r="J9126"/>
      <c r="M9126"/>
      <c r="W9126"/>
    </row>
    <row r="9127" spans="10:23" x14ac:dyDescent="0.25">
      <c r="J9127"/>
      <c r="M9127"/>
      <c r="W9127"/>
    </row>
    <row r="9128" spans="10:23" x14ac:dyDescent="0.25">
      <c r="J9128"/>
      <c r="M9128"/>
      <c r="W9128"/>
    </row>
    <row r="9129" spans="10:23" x14ac:dyDescent="0.25">
      <c r="J9129"/>
      <c r="M9129"/>
      <c r="W9129"/>
    </row>
    <row r="9130" spans="10:23" x14ac:dyDescent="0.25">
      <c r="J9130"/>
      <c r="M9130"/>
      <c r="W9130"/>
    </row>
    <row r="9131" spans="10:23" x14ac:dyDescent="0.25">
      <c r="J9131"/>
      <c r="M9131"/>
      <c r="W9131"/>
    </row>
    <row r="9132" spans="10:23" x14ac:dyDescent="0.25">
      <c r="J9132"/>
      <c r="M9132"/>
      <c r="W9132"/>
    </row>
    <row r="9133" spans="10:23" x14ac:dyDescent="0.25">
      <c r="J9133"/>
      <c r="M9133"/>
      <c r="W9133"/>
    </row>
    <row r="9134" spans="10:23" x14ac:dyDescent="0.25">
      <c r="J9134"/>
      <c r="M9134"/>
      <c r="W9134"/>
    </row>
    <row r="9135" spans="10:23" x14ac:dyDescent="0.25">
      <c r="J9135"/>
      <c r="M9135"/>
      <c r="W9135"/>
    </row>
    <row r="9136" spans="10:23" x14ac:dyDescent="0.25">
      <c r="J9136"/>
      <c r="M9136"/>
      <c r="W9136"/>
    </row>
    <row r="9137" spans="10:23" x14ac:dyDescent="0.25">
      <c r="J9137"/>
      <c r="M9137"/>
      <c r="W9137"/>
    </row>
    <row r="9138" spans="10:23" x14ac:dyDescent="0.25">
      <c r="J9138"/>
      <c r="M9138"/>
      <c r="W9138"/>
    </row>
    <row r="9139" spans="10:23" x14ac:dyDescent="0.25">
      <c r="J9139"/>
      <c r="M9139"/>
      <c r="W9139"/>
    </row>
    <row r="9140" spans="10:23" x14ac:dyDescent="0.25">
      <c r="J9140"/>
      <c r="M9140"/>
      <c r="W9140"/>
    </row>
    <row r="9141" spans="10:23" x14ac:dyDescent="0.25">
      <c r="J9141"/>
      <c r="M9141"/>
      <c r="W9141"/>
    </row>
    <row r="9142" spans="10:23" x14ac:dyDescent="0.25">
      <c r="J9142"/>
      <c r="M9142"/>
      <c r="W9142"/>
    </row>
    <row r="9143" spans="10:23" x14ac:dyDescent="0.25">
      <c r="J9143"/>
      <c r="M9143"/>
      <c r="W9143"/>
    </row>
    <row r="9144" spans="10:23" x14ac:dyDescent="0.25">
      <c r="J9144"/>
      <c r="M9144"/>
      <c r="W9144"/>
    </row>
    <row r="9145" spans="10:23" x14ac:dyDescent="0.25">
      <c r="J9145"/>
      <c r="M9145"/>
      <c r="W9145"/>
    </row>
    <row r="9146" spans="10:23" x14ac:dyDescent="0.25">
      <c r="J9146"/>
      <c r="M9146"/>
      <c r="W9146"/>
    </row>
    <row r="9147" spans="10:23" x14ac:dyDescent="0.25">
      <c r="J9147"/>
      <c r="M9147"/>
      <c r="W9147"/>
    </row>
    <row r="9148" spans="10:23" x14ac:dyDescent="0.25">
      <c r="J9148"/>
      <c r="M9148"/>
      <c r="W9148"/>
    </row>
    <row r="9149" spans="10:23" x14ac:dyDescent="0.25">
      <c r="J9149"/>
      <c r="M9149"/>
      <c r="W9149"/>
    </row>
    <row r="9150" spans="10:23" x14ac:dyDescent="0.25">
      <c r="J9150"/>
      <c r="M9150"/>
      <c r="W9150"/>
    </row>
    <row r="9151" spans="10:23" x14ac:dyDescent="0.25">
      <c r="J9151"/>
      <c r="M9151"/>
      <c r="W9151"/>
    </row>
    <row r="9152" spans="10:23" x14ac:dyDescent="0.25">
      <c r="J9152"/>
      <c r="M9152"/>
      <c r="W9152"/>
    </row>
    <row r="9153" spans="10:23" x14ac:dyDescent="0.25">
      <c r="J9153"/>
      <c r="M9153"/>
      <c r="W9153"/>
    </row>
    <row r="9154" spans="10:23" x14ac:dyDescent="0.25">
      <c r="J9154"/>
      <c r="M9154"/>
      <c r="W9154"/>
    </row>
    <row r="9155" spans="10:23" x14ac:dyDescent="0.25">
      <c r="J9155"/>
      <c r="M9155"/>
      <c r="W9155"/>
    </row>
    <row r="9156" spans="10:23" x14ac:dyDescent="0.25">
      <c r="J9156"/>
      <c r="M9156"/>
      <c r="W9156"/>
    </row>
    <row r="9157" spans="10:23" x14ac:dyDescent="0.25">
      <c r="J9157"/>
      <c r="M9157"/>
      <c r="W9157"/>
    </row>
    <row r="9158" spans="10:23" x14ac:dyDescent="0.25">
      <c r="J9158"/>
      <c r="M9158"/>
      <c r="W9158"/>
    </row>
    <row r="9159" spans="10:23" x14ac:dyDescent="0.25">
      <c r="J9159"/>
      <c r="M9159"/>
      <c r="W9159"/>
    </row>
    <row r="9160" spans="10:23" x14ac:dyDescent="0.25">
      <c r="J9160"/>
      <c r="M9160"/>
      <c r="W9160"/>
    </row>
    <row r="9161" spans="10:23" x14ac:dyDescent="0.25">
      <c r="J9161"/>
      <c r="M9161"/>
      <c r="W9161"/>
    </row>
    <row r="9162" spans="10:23" x14ac:dyDescent="0.25">
      <c r="J9162"/>
      <c r="M9162"/>
      <c r="W9162"/>
    </row>
    <row r="9163" spans="10:23" x14ac:dyDescent="0.25">
      <c r="J9163"/>
      <c r="M9163"/>
      <c r="W9163"/>
    </row>
    <row r="9164" spans="10:23" x14ac:dyDescent="0.25">
      <c r="J9164"/>
      <c r="M9164"/>
      <c r="W9164"/>
    </row>
    <row r="9165" spans="10:23" x14ac:dyDescent="0.25">
      <c r="J9165"/>
      <c r="M9165"/>
      <c r="W9165"/>
    </row>
    <row r="9166" spans="10:23" x14ac:dyDescent="0.25">
      <c r="J9166"/>
      <c r="M9166"/>
      <c r="W9166"/>
    </row>
    <row r="9167" spans="10:23" x14ac:dyDescent="0.25">
      <c r="J9167"/>
      <c r="M9167"/>
      <c r="W9167"/>
    </row>
    <row r="9168" spans="10:23" x14ac:dyDescent="0.25">
      <c r="J9168"/>
      <c r="M9168"/>
      <c r="W9168"/>
    </row>
    <row r="9169" spans="10:23" x14ac:dyDescent="0.25">
      <c r="J9169"/>
      <c r="M9169"/>
      <c r="W9169"/>
    </row>
    <row r="9170" spans="10:23" x14ac:dyDescent="0.25">
      <c r="J9170"/>
      <c r="M9170"/>
      <c r="W9170"/>
    </row>
    <row r="9171" spans="10:23" x14ac:dyDescent="0.25">
      <c r="J9171"/>
      <c r="M9171"/>
      <c r="W9171"/>
    </row>
    <row r="9172" spans="10:23" x14ac:dyDescent="0.25">
      <c r="J9172"/>
      <c r="M9172"/>
      <c r="W9172"/>
    </row>
    <row r="9173" spans="10:23" x14ac:dyDescent="0.25">
      <c r="J9173"/>
      <c r="M9173"/>
      <c r="W9173"/>
    </row>
    <row r="9174" spans="10:23" x14ac:dyDescent="0.25">
      <c r="J9174"/>
      <c r="M9174"/>
      <c r="W9174"/>
    </row>
    <row r="9175" spans="10:23" x14ac:dyDescent="0.25">
      <c r="J9175"/>
      <c r="M9175"/>
      <c r="W9175"/>
    </row>
    <row r="9176" spans="10:23" x14ac:dyDescent="0.25">
      <c r="J9176"/>
      <c r="M9176"/>
      <c r="W9176"/>
    </row>
    <row r="9177" spans="10:23" x14ac:dyDescent="0.25">
      <c r="J9177"/>
      <c r="M9177"/>
      <c r="W9177"/>
    </row>
    <row r="9178" spans="10:23" x14ac:dyDescent="0.25">
      <c r="J9178"/>
      <c r="M9178"/>
      <c r="W9178"/>
    </row>
    <row r="9179" spans="10:23" x14ac:dyDescent="0.25">
      <c r="J9179"/>
      <c r="M9179"/>
      <c r="W9179"/>
    </row>
    <row r="9180" spans="10:23" x14ac:dyDescent="0.25">
      <c r="J9180"/>
      <c r="M9180"/>
      <c r="W9180"/>
    </row>
    <row r="9181" spans="10:23" x14ac:dyDescent="0.25">
      <c r="J9181"/>
      <c r="M9181"/>
      <c r="W9181"/>
    </row>
    <row r="9182" spans="10:23" x14ac:dyDescent="0.25">
      <c r="J9182"/>
      <c r="M9182"/>
      <c r="W9182"/>
    </row>
    <row r="9183" spans="10:23" x14ac:dyDescent="0.25">
      <c r="J9183"/>
      <c r="M9183"/>
      <c r="W9183"/>
    </row>
    <row r="9184" spans="10:23" x14ac:dyDescent="0.25">
      <c r="J9184"/>
      <c r="M9184"/>
      <c r="W9184"/>
    </row>
    <row r="9185" spans="10:23" x14ac:dyDescent="0.25">
      <c r="J9185"/>
      <c r="M9185"/>
      <c r="W9185"/>
    </row>
    <row r="9186" spans="10:23" x14ac:dyDescent="0.25">
      <c r="J9186"/>
      <c r="M9186"/>
      <c r="W9186"/>
    </row>
    <row r="9187" spans="10:23" x14ac:dyDescent="0.25">
      <c r="J9187"/>
      <c r="M9187"/>
      <c r="W9187"/>
    </row>
    <row r="9188" spans="10:23" x14ac:dyDescent="0.25">
      <c r="J9188"/>
      <c r="M9188"/>
      <c r="W9188"/>
    </row>
    <row r="9189" spans="10:23" x14ac:dyDescent="0.25">
      <c r="J9189"/>
      <c r="M9189"/>
      <c r="W9189"/>
    </row>
    <row r="9190" spans="10:23" x14ac:dyDescent="0.25">
      <c r="J9190"/>
      <c r="M9190"/>
      <c r="W9190"/>
    </row>
    <row r="9191" spans="10:23" x14ac:dyDescent="0.25">
      <c r="J9191"/>
      <c r="M9191"/>
      <c r="W9191"/>
    </row>
    <row r="9192" spans="10:23" x14ac:dyDescent="0.25">
      <c r="J9192"/>
      <c r="M9192"/>
      <c r="W9192"/>
    </row>
    <row r="9193" spans="10:23" x14ac:dyDescent="0.25">
      <c r="J9193"/>
      <c r="M9193"/>
      <c r="W9193"/>
    </row>
    <row r="9194" spans="10:23" x14ac:dyDescent="0.25">
      <c r="J9194"/>
      <c r="M9194"/>
      <c r="W9194"/>
    </row>
    <row r="9195" spans="10:23" x14ac:dyDescent="0.25">
      <c r="J9195"/>
      <c r="M9195"/>
      <c r="W9195"/>
    </row>
    <row r="9196" spans="10:23" x14ac:dyDescent="0.25">
      <c r="J9196"/>
      <c r="M9196"/>
      <c r="W9196"/>
    </row>
    <row r="9197" spans="10:23" x14ac:dyDescent="0.25">
      <c r="J9197"/>
      <c r="M9197"/>
      <c r="W9197"/>
    </row>
    <row r="9198" spans="10:23" x14ac:dyDescent="0.25">
      <c r="J9198"/>
      <c r="M9198"/>
      <c r="W9198"/>
    </row>
    <row r="9199" spans="10:23" x14ac:dyDescent="0.25">
      <c r="J9199"/>
      <c r="M9199"/>
      <c r="W9199"/>
    </row>
    <row r="9200" spans="10:23" x14ac:dyDescent="0.25">
      <c r="J9200"/>
      <c r="M9200"/>
      <c r="W9200"/>
    </row>
    <row r="9201" spans="10:23" x14ac:dyDescent="0.25">
      <c r="J9201"/>
      <c r="M9201"/>
      <c r="W9201"/>
    </row>
    <row r="9202" spans="10:23" x14ac:dyDescent="0.25">
      <c r="J9202"/>
      <c r="M9202"/>
      <c r="W9202"/>
    </row>
    <row r="9203" spans="10:23" x14ac:dyDescent="0.25">
      <c r="J9203"/>
      <c r="M9203"/>
      <c r="W9203"/>
    </row>
    <row r="9204" spans="10:23" x14ac:dyDescent="0.25">
      <c r="J9204"/>
      <c r="M9204"/>
      <c r="W9204"/>
    </row>
    <row r="9205" spans="10:23" x14ac:dyDescent="0.25">
      <c r="J9205"/>
      <c r="M9205"/>
      <c r="W9205"/>
    </row>
    <row r="9206" spans="10:23" x14ac:dyDescent="0.25">
      <c r="J9206"/>
      <c r="M9206"/>
      <c r="W9206"/>
    </row>
    <row r="9207" spans="10:23" x14ac:dyDescent="0.25">
      <c r="J9207"/>
      <c r="M9207"/>
      <c r="W9207"/>
    </row>
    <row r="9208" spans="10:23" x14ac:dyDescent="0.25">
      <c r="J9208"/>
      <c r="M9208"/>
      <c r="W9208"/>
    </row>
    <row r="9209" spans="10:23" x14ac:dyDescent="0.25">
      <c r="J9209"/>
      <c r="M9209"/>
      <c r="W9209"/>
    </row>
    <row r="9210" spans="10:23" x14ac:dyDescent="0.25">
      <c r="J9210"/>
      <c r="M9210"/>
      <c r="W9210"/>
    </row>
    <row r="9211" spans="10:23" x14ac:dyDescent="0.25">
      <c r="J9211"/>
      <c r="M9211"/>
      <c r="W9211"/>
    </row>
    <row r="9212" spans="10:23" x14ac:dyDescent="0.25">
      <c r="J9212"/>
      <c r="M9212"/>
      <c r="W9212"/>
    </row>
    <row r="9213" spans="10:23" x14ac:dyDescent="0.25">
      <c r="J9213"/>
      <c r="M9213"/>
      <c r="W9213"/>
    </row>
    <row r="9214" spans="10:23" x14ac:dyDescent="0.25">
      <c r="J9214"/>
      <c r="M9214"/>
      <c r="W9214"/>
    </row>
    <row r="9215" spans="10:23" x14ac:dyDescent="0.25">
      <c r="J9215"/>
      <c r="M9215"/>
      <c r="W9215"/>
    </row>
    <row r="9216" spans="10:23" x14ac:dyDescent="0.25">
      <c r="J9216"/>
      <c r="M9216"/>
      <c r="W9216"/>
    </row>
    <row r="9217" spans="10:23" x14ac:dyDescent="0.25">
      <c r="J9217"/>
      <c r="M9217"/>
      <c r="W9217"/>
    </row>
    <row r="9218" spans="10:23" x14ac:dyDescent="0.25">
      <c r="J9218"/>
      <c r="M9218"/>
      <c r="W9218"/>
    </row>
    <row r="9219" spans="10:23" x14ac:dyDescent="0.25">
      <c r="J9219"/>
      <c r="M9219"/>
      <c r="W9219"/>
    </row>
    <row r="9220" spans="10:23" x14ac:dyDescent="0.25">
      <c r="J9220"/>
      <c r="M9220"/>
      <c r="W9220"/>
    </row>
    <row r="9221" spans="10:23" x14ac:dyDescent="0.25">
      <c r="J9221"/>
      <c r="M9221"/>
      <c r="W9221"/>
    </row>
    <row r="9222" spans="10:23" x14ac:dyDescent="0.25">
      <c r="J9222"/>
      <c r="M9222"/>
      <c r="W9222"/>
    </row>
    <row r="9223" spans="10:23" x14ac:dyDescent="0.25">
      <c r="J9223"/>
      <c r="M9223"/>
      <c r="W9223"/>
    </row>
    <row r="9224" spans="10:23" x14ac:dyDescent="0.25">
      <c r="J9224"/>
      <c r="M9224"/>
      <c r="W9224"/>
    </row>
    <row r="9225" spans="10:23" x14ac:dyDescent="0.25">
      <c r="J9225"/>
      <c r="M9225"/>
      <c r="W9225"/>
    </row>
    <row r="9226" spans="10:23" x14ac:dyDescent="0.25">
      <c r="J9226"/>
      <c r="M9226"/>
      <c r="W9226"/>
    </row>
    <row r="9227" spans="10:23" x14ac:dyDescent="0.25">
      <c r="J9227"/>
      <c r="M9227"/>
      <c r="W9227"/>
    </row>
    <row r="9228" spans="10:23" x14ac:dyDescent="0.25">
      <c r="J9228"/>
      <c r="M9228"/>
      <c r="W9228"/>
    </row>
    <row r="9229" spans="10:23" x14ac:dyDescent="0.25">
      <c r="J9229"/>
      <c r="M9229"/>
      <c r="W9229"/>
    </row>
    <row r="9230" spans="10:23" x14ac:dyDescent="0.25">
      <c r="J9230"/>
      <c r="M9230"/>
      <c r="W9230"/>
    </row>
    <row r="9231" spans="10:23" x14ac:dyDescent="0.25">
      <c r="J9231"/>
      <c r="M9231"/>
      <c r="W9231"/>
    </row>
    <row r="9232" spans="10:23" x14ac:dyDescent="0.25">
      <c r="J9232"/>
      <c r="M9232"/>
      <c r="W9232"/>
    </row>
    <row r="9233" spans="10:23" x14ac:dyDescent="0.25">
      <c r="J9233"/>
      <c r="M9233"/>
      <c r="W9233"/>
    </row>
    <row r="9234" spans="10:23" x14ac:dyDescent="0.25">
      <c r="J9234"/>
      <c r="M9234"/>
      <c r="W9234"/>
    </row>
    <row r="9235" spans="10:23" x14ac:dyDescent="0.25">
      <c r="J9235"/>
      <c r="M9235"/>
      <c r="W9235"/>
    </row>
    <row r="9236" spans="10:23" x14ac:dyDescent="0.25">
      <c r="J9236"/>
      <c r="M9236"/>
      <c r="W9236"/>
    </row>
    <row r="9237" spans="10:23" x14ac:dyDescent="0.25">
      <c r="J9237"/>
      <c r="M9237"/>
      <c r="W9237"/>
    </row>
    <row r="9238" spans="10:23" x14ac:dyDescent="0.25">
      <c r="J9238"/>
      <c r="M9238"/>
      <c r="W9238"/>
    </row>
    <row r="9239" spans="10:23" x14ac:dyDescent="0.25">
      <c r="J9239"/>
      <c r="M9239"/>
      <c r="W9239"/>
    </row>
    <row r="9240" spans="10:23" x14ac:dyDescent="0.25">
      <c r="J9240"/>
      <c r="M9240"/>
      <c r="W9240"/>
    </row>
    <row r="9241" spans="10:23" x14ac:dyDescent="0.25">
      <c r="J9241"/>
      <c r="M9241"/>
      <c r="W9241"/>
    </row>
    <row r="9242" spans="10:23" x14ac:dyDescent="0.25">
      <c r="J9242"/>
      <c r="M9242"/>
      <c r="W9242"/>
    </row>
    <row r="9243" spans="10:23" x14ac:dyDescent="0.25">
      <c r="J9243"/>
      <c r="M9243"/>
      <c r="W9243"/>
    </row>
    <row r="9244" spans="10:23" x14ac:dyDescent="0.25">
      <c r="J9244"/>
      <c r="M9244"/>
      <c r="W9244"/>
    </row>
    <row r="9245" spans="10:23" x14ac:dyDescent="0.25">
      <c r="J9245"/>
      <c r="M9245"/>
      <c r="W9245"/>
    </row>
    <row r="9246" spans="10:23" x14ac:dyDescent="0.25">
      <c r="J9246"/>
      <c r="M9246"/>
      <c r="W9246"/>
    </row>
    <row r="9247" spans="10:23" x14ac:dyDescent="0.25">
      <c r="J9247"/>
      <c r="M9247"/>
      <c r="W9247"/>
    </row>
    <row r="9248" spans="10:23" x14ac:dyDescent="0.25">
      <c r="J9248"/>
      <c r="M9248"/>
      <c r="W9248"/>
    </row>
    <row r="9249" spans="10:23" x14ac:dyDescent="0.25">
      <c r="J9249"/>
      <c r="M9249"/>
      <c r="W9249"/>
    </row>
    <row r="9250" spans="10:23" x14ac:dyDescent="0.25">
      <c r="J9250"/>
      <c r="M9250"/>
      <c r="W9250"/>
    </row>
    <row r="9251" spans="10:23" x14ac:dyDescent="0.25">
      <c r="J9251"/>
      <c r="M9251"/>
      <c r="W9251"/>
    </row>
    <row r="9252" spans="10:23" x14ac:dyDescent="0.25">
      <c r="J9252"/>
      <c r="M9252"/>
      <c r="W9252"/>
    </row>
    <row r="9253" spans="10:23" x14ac:dyDescent="0.25">
      <c r="J9253"/>
      <c r="M9253"/>
      <c r="W9253"/>
    </row>
    <row r="9254" spans="10:23" x14ac:dyDescent="0.25">
      <c r="J9254"/>
      <c r="M9254"/>
      <c r="W9254"/>
    </row>
    <row r="9255" spans="10:23" x14ac:dyDescent="0.25">
      <c r="J9255"/>
      <c r="M9255"/>
      <c r="W9255"/>
    </row>
    <row r="9256" spans="10:23" x14ac:dyDescent="0.25">
      <c r="J9256"/>
      <c r="M9256"/>
      <c r="W9256"/>
    </row>
    <row r="9257" spans="10:23" x14ac:dyDescent="0.25">
      <c r="J9257"/>
      <c r="M9257"/>
      <c r="W9257"/>
    </row>
    <row r="9258" spans="10:23" x14ac:dyDescent="0.25">
      <c r="J9258"/>
      <c r="M9258"/>
      <c r="W9258"/>
    </row>
    <row r="9259" spans="10:23" x14ac:dyDescent="0.25">
      <c r="J9259"/>
      <c r="M9259"/>
      <c r="W9259"/>
    </row>
    <row r="9260" spans="10:23" x14ac:dyDescent="0.25">
      <c r="J9260"/>
      <c r="M9260"/>
      <c r="W9260"/>
    </row>
    <row r="9261" spans="10:23" x14ac:dyDescent="0.25">
      <c r="J9261"/>
      <c r="M9261"/>
      <c r="W9261"/>
    </row>
    <row r="9262" spans="10:23" x14ac:dyDescent="0.25">
      <c r="J9262"/>
      <c r="M9262"/>
      <c r="W9262"/>
    </row>
    <row r="9263" spans="10:23" x14ac:dyDescent="0.25">
      <c r="J9263"/>
      <c r="M9263"/>
      <c r="W9263"/>
    </row>
    <row r="9264" spans="10:23" x14ac:dyDescent="0.25">
      <c r="J9264"/>
      <c r="M9264"/>
      <c r="W9264"/>
    </row>
    <row r="9265" spans="10:23" x14ac:dyDescent="0.25">
      <c r="J9265"/>
      <c r="M9265"/>
      <c r="W9265"/>
    </row>
    <row r="9266" spans="10:23" x14ac:dyDescent="0.25">
      <c r="J9266"/>
      <c r="M9266"/>
      <c r="W9266"/>
    </row>
    <row r="9267" spans="10:23" x14ac:dyDescent="0.25">
      <c r="J9267"/>
      <c r="M9267"/>
      <c r="W9267"/>
    </row>
    <row r="9268" spans="10:23" x14ac:dyDescent="0.25">
      <c r="J9268"/>
      <c r="M9268"/>
      <c r="W9268"/>
    </row>
    <row r="9269" spans="10:23" x14ac:dyDescent="0.25">
      <c r="J9269"/>
      <c r="M9269"/>
      <c r="W9269"/>
    </row>
    <row r="9270" spans="10:23" x14ac:dyDescent="0.25">
      <c r="J9270"/>
      <c r="M9270"/>
      <c r="W9270"/>
    </row>
    <row r="9271" spans="10:23" x14ac:dyDescent="0.25">
      <c r="J9271"/>
      <c r="M9271"/>
      <c r="W9271"/>
    </row>
    <row r="9272" spans="10:23" x14ac:dyDescent="0.25">
      <c r="J9272"/>
      <c r="M9272"/>
      <c r="W9272"/>
    </row>
    <row r="9273" spans="10:23" x14ac:dyDescent="0.25">
      <c r="J9273"/>
      <c r="M9273"/>
      <c r="W9273"/>
    </row>
    <row r="9274" spans="10:23" x14ac:dyDescent="0.25">
      <c r="J9274"/>
      <c r="M9274"/>
      <c r="W9274"/>
    </row>
    <row r="9275" spans="10:23" x14ac:dyDescent="0.25">
      <c r="J9275"/>
      <c r="M9275"/>
      <c r="W9275"/>
    </row>
    <row r="9276" spans="10:23" x14ac:dyDescent="0.25">
      <c r="J9276"/>
      <c r="M9276"/>
      <c r="W9276"/>
    </row>
    <row r="9277" spans="10:23" x14ac:dyDescent="0.25">
      <c r="J9277"/>
      <c r="M9277"/>
      <c r="W9277"/>
    </row>
    <row r="9278" spans="10:23" x14ac:dyDescent="0.25">
      <c r="J9278"/>
      <c r="M9278"/>
      <c r="W9278"/>
    </row>
    <row r="9279" spans="10:23" x14ac:dyDescent="0.25">
      <c r="J9279"/>
      <c r="M9279"/>
      <c r="W9279"/>
    </row>
    <row r="9280" spans="10:23" x14ac:dyDescent="0.25">
      <c r="J9280"/>
      <c r="M9280"/>
      <c r="W9280"/>
    </row>
    <row r="9281" spans="10:23" x14ac:dyDescent="0.25">
      <c r="J9281"/>
      <c r="M9281"/>
      <c r="W9281"/>
    </row>
    <row r="9282" spans="10:23" x14ac:dyDescent="0.25">
      <c r="J9282"/>
      <c r="M9282"/>
      <c r="W9282"/>
    </row>
    <row r="9283" spans="10:23" x14ac:dyDescent="0.25">
      <c r="J9283"/>
      <c r="M9283"/>
      <c r="W9283"/>
    </row>
    <row r="9284" spans="10:23" x14ac:dyDescent="0.25">
      <c r="J9284"/>
      <c r="M9284"/>
      <c r="W9284"/>
    </row>
    <row r="9285" spans="10:23" x14ac:dyDescent="0.25">
      <c r="J9285"/>
      <c r="M9285"/>
      <c r="W9285"/>
    </row>
    <row r="9286" spans="10:23" x14ac:dyDescent="0.25">
      <c r="J9286"/>
      <c r="M9286"/>
      <c r="W9286"/>
    </row>
    <row r="9287" spans="10:23" x14ac:dyDescent="0.25">
      <c r="J9287"/>
      <c r="M9287"/>
      <c r="W9287"/>
    </row>
    <row r="9288" spans="10:23" x14ac:dyDescent="0.25">
      <c r="J9288"/>
      <c r="M9288"/>
      <c r="W9288"/>
    </row>
    <row r="9289" spans="10:23" x14ac:dyDescent="0.25">
      <c r="J9289"/>
      <c r="M9289"/>
      <c r="W9289"/>
    </row>
    <row r="9290" spans="10:23" x14ac:dyDescent="0.25">
      <c r="J9290"/>
      <c r="M9290"/>
      <c r="W9290"/>
    </row>
    <row r="9291" spans="10:23" x14ac:dyDescent="0.25">
      <c r="J9291"/>
      <c r="M9291"/>
      <c r="W9291"/>
    </row>
    <row r="9292" spans="10:23" x14ac:dyDescent="0.25">
      <c r="J9292"/>
      <c r="M9292"/>
      <c r="W9292"/>
    </row>
    <row r="9293" spans="10:23" x14ac:dyDescent="0.25">
      <c r="J9293"/>
      <c r="M9293"/>
      <c r="W9293"/>
    </row>
    <row r="9294" spans="10:23" x14ac:dyDescent="0.25">
      <c r="J9294"/>
      <c r="M9294"/>
      <c r="W9294"/>
    </row>
    <row r="9295" spans="10:23" x14ac:dyDescent="0.25">
      <c r="J9295"/>
      <c r="M9295"/>
      <c r="W9295"/>
    </row>
    <row r="9296" spans="10:23" x14ac:dyDescent="0.25">
      <c r="J9296"/>
      <c r="M9296"/>
      <c r="W9296"/>
    </row>
    <row r="9297" spans="10:23" x14ac:dyDescent="0.25">
      <c r="J9297"/>
      <c r="M9297"/>
      <c r="W9297"/>
    </row>
    <row r="9298" spans="10:23" x14ac:dyDescent="0.25">
      <c r="J9298"/>
      <c r="M9298"/>
      <c r="W9298"/>
    </row>
    <row r="9299" spans="10:23" x14ac:dyDescent="0.25">
      <c r="J9299"/>
      <c r="M9299"/>
      <c r="W9299"/>
    </row>
    <row r="9300" spans="10:23" x14ac:dyDescent="0.25">
      <c r="J9300"/>
      <c r="M9300"/>
      <c r="W9300"/>
    </row>
    <row r="9301" spans="10:23" x14ac:dyDescent="0.25">
      <c r="J9301"/>
      <c r="M9301"/>
      <c r="W9301"/>
    </row>
    <row r="9302" spans="10:23" x14ac:dyDescent="0.25">
      <c r="J9302"/>
      <c r="M9302"/>
      <c r="W9302"/>
    </row>
    <row r="9303" spans="10:23" x14ac:dyDescent="0.25">
      <c r="J9303"/>
      <c r="M9303"/>
      <c r="W9303"/>
    </row>
    <row r="9304" spans="10:23" x14ac:dyDescent="0.25">
      <c r="J9304"/>
      <c r="M9304"/>
      <c r="W9304"/>
    </row>
    <row r="9305" spans="10:23" x14ac:dyDescent="0.25">
      <c r="J9305"/>
      <c r="M9305"/>
      <c r="W9305"/>
    </row>
    <row r="9306" spans="10:23" x14ac:dyDescent="0.25">
      <c r="J9306"/>
      <c r="M9306"/>
      <c r="W9306"/>
    </row>
    <row r="9307" spans="10:23" x14ac:dyDescent="0.25">
      <c r="J9307"/>
      <c r="M9307"/>
      <c r="W9307"/>
    </row>
    <row r="9308" spans="10:23" x14ac:dyDescent="0.25">
      <c r="J9308"/>
      <c r="M9308"/>
      <c r="W9308"/>
    </row>
    <row r="9309" spans="10:23" x14ac:dyDescent="0.25">
      <c r="J9309"/>
      <c r="M9309"/>
      <c r="W9309"/>
    </row>
    <row r="9310" spans="10:23" x14ac:dyDescent="0.25">
      <c r="J9310"/>
      <c r="M9310"/>
      <c r="W9310"/>
    </row>
    <row r="9311" spans="10:23" x14ac:dyDescent="0.25">
      <c r="J9311"/>
      <c r="M9311"/>
      <c r="W9311"/>
    </row>
    <row r="9312" spans="10:23" x14ac:dyDescent="0.25">
      <c r="J9312"/>
      <c r="M9312"/>
      <c r="W9312"/>
    </row>
    <row r="9313" spans="10:23" x14ac:dyDescent="0.25">
      <c r="J9313"/>
      <c r="M9313"/>
      <c r="W9313"/>
    </row>
    <row r="9314" spans="10:23" x14ac:dyDescent="0.25">
      <c r="J9314"/>
      <c r="M9314"/>
      <c r="W9314"/>
    </row>
    <row r="9315" spans="10:23" x14ac:dyDescent="0.25">
      <c r="J9315"/>
      <c r="M9315"/>
      <c r="W9315"/>
    </row>
    <row r="9316" spans="10:23" x14ac:dyDescent="0.25">
      <c r="J9316"/>
      <c r="M9316"/>
      <c r="W9316"/>
    </row>
    <row r="9317" spans="10:23" x14ac:dyDescent="0.25">
      <c r="J9317"/>
      <c r="M9317"/>
      <c r="W9317"/>
    </row>
    <row r="9318" spans="10:23" x14ac:dyDescent="0.25">
      <c r="J9318"/>
      <c r="M9318"/>
      <c r="W9318"/>
    </row>
    <row r="9319" spans="10:23" x14ac:dyDescent="0.25">
      <c r="J9319"/>
      <c r="M9319"/>
      <c r="W9319"/>
    </row>
    <row r="9320" spans="10:23" x14ac:dyDescent="0.25">
      <c r="J9320"/>
      <c r="M9320"/>
      <c r="W9320"/>
    </row>
    <row r="9321" spans="10:23" x14ac:dyDescent="0.25">
      <c r="J9321"/>
      <c r="M9321"/>
      <c r="W9321"/>
    </row>
    <row r="9322" spans="10:23" x14ac:dyDescent="0.25">
      <c r="J9322"/>
      <c r="M9322"/>
      <c r="W9322"/>
    </row>
    <row r="9323" spans="10:23" x14ac:dyDescent="0.25">
      <c r="J9323"/>
      <c r="M9323"/>
      <c r="W9323"/>
    </row>
    <row r="9324" spans="10:23" x14ac:dyDescent="0.25">
      <c r="J9324"/>
      <c r="M9324"/>
      <c r="W9324"/>
    </row>
    <row r="9325" spans="10:23" x14ac:dyDescent="0.25">
      <c r="J9325"/>
      <c r="M9325"/>
      <c r="W9325"/>
    </row>
    <row r="9326" spans="10:23" x14ac:dyDescent="0.25">
      <c r="J9326"/>
      <c r="M9326"/>
      <c r="W9326"/>
    </row>
    <row r="9327" spans="10:23" x14ac:dyDescent="0.25">
      <c r="J9327"/>
      <c r="M9327"/>
      <c r="W9327"/>
    </row>
    <row r="9328" spans="10:23" x14ac:dyDescent="0.25">
      <c r="J9328"/>
      <c r="M9328"/>
      <c r="W9328"/>
    </row>
    <row r="9329" spans="10:23" x14ac:dyDescent="0.25">
      <c r="J9329"/>
      <c r="M9329"/>
      <c r="W9329"/>
    </row>
    <row r="9330" spans="10:23" x14ac:dyDescent="0.25">
      <c r="J9330"/>
      <c r="M9330"/>
      <c r="W9330"/>
    </row>
    <row r="9331" spans="10:23" x14ac:dyDescent="0.25">
      <c r="J9331"/>
      <c r="M9331"/>
      <c r="W9331"/>
    </row>
    <row r="9332" spans="10:23" x14ac:dyDescent="0.25">
      <c r="J9332"/>
      <c r="M9332"/>
      <c r="W9332"/>
    </row>
    <row r="9333" spans="10:23" x14ac:dyDescent="0.25">
      <c r="J9333"/>
      <c r="M9333"/>
      <c r="W9333"/>
    </row>
    <row r="9334" spans="10:23" x14ac:dyDescent="0.25">
      <c r="J9334"/>
      <c r="M9334"/>
      <c r="W9334"/>
    </row>
    <row r="9335" spans="10:23" x14ac:dyDescent="0.25">
      <c r="J9335"/>
      <c r="M9335"/>
      <c r="W9335"/>
    </row>
    <row r="9336" spans="10:23" x14ac:dyDescent="0.25">
      <c r="J9336"/>
      <c r="M9336"/>
      <c r="W9336"/>
    </row>
    <row r="9337" spans="10:23" x14ac:dyDescent="0.25">
      <c r="J9337"/>
      <c r="M9337"/>
      <c r="W9337"/>
    </row>
    <row r="9338" spans="10:23" x14ac:dyDescent="0.25">
      <c r="J9338"/>
      <c r="M9338"/>
      <c r="W9338"/>
    </row>
    <row r="9339" spans="10:23" x14ac:dyDescent="0.25">
      <c r="J9339"/>
      <c r="M9339"/>
      <c r="W9339"/>
    </row>
    <row r="9340" spans="10:23" x14ac:dyDescent="0.25">
      <c r="J9340"/>
      <c r="M9340"/>
      <c r="W9340"/>
    </row>
    <row r="9341" spans="10:23" x14ac:dyDescent="0.25">
      <c r="J9341"/>
      <c r="M9341"/>
      <c r="W9341"/>
    </row>
    <row r="9342" spans="10:23" x14ac:dyDescent="0.25">
      <c r="J9342"/>
      <c r="M9342"/>
      <c r="W9342"/>
    </row>
    <row r="9343" spans="10:23" x14ac:dyDescent="0.25">
      <c r="J9343"/>
      <c r="M9343"/>
      <c r="W9343"/>
    </row>
    <row r="9344" spans="10:23" x14ac:dyDescent="0.25">
      <c r="J9344"/>
      <c r="M9344"/>
      <c r="W9344"/>
    </row>
    <row r="9345" spans="10:23" x14ac:dyDescent="0.25">
      <c r="J9345"/>
      <c r="M9345"/>
      <c r="W9345"/>
    </row>
    <row r="9346" spans="10:23" x14ac:dyDescent="0.25">
      <c r="J9346"/>
      <c r="M9346"/>
      <c r="W9346"/>
    </row>
    <row r="9347" spans="10:23" x14ac:dyDescent="0.25">
      <c r="J9347"/>
      <c r="M9347"/>
      <c r="W9347"/>
    </row>
    <row r="9348" spans="10:23" x14ac:dyDescent="0.25">
      <c r="J9348"/>
      <c r="M9348"/>
      <c r="W9348"/>
    </row>
    <row r="9349" spans="10:23" x14ac:dyDescent="0.25">
      <c r="J9349"/>
      <c r="M9349"/>
      <c r="W9349"/>
    </row>
    <row r="9350" spans="10:23" x14ac:dyDescent="0.25">
      <c r="J9350"/>
      <c r="M9350"/>
      <c r="W9350"/>
    </row>
    <row r="9351" spans="10:23" x14ac:dyDescent="0.25">
      <c r="J9351"/>
      <c r="M9351"/>
      <c r="W9351"/>
    </row>
    <row r="9352" spans="10:23" x14ac:dyDescent="0.25">
      <c r="J9352"/>
      <c r="M9352"/>
      <c r="W9352"/>
    </row>
    <row r="9353" spans="10:23" x14ac:dyDescent="0.25">
      <c r="J9353"/>
      <c r="M9353"/>
      <c r="W9353"/>
    </row>
    <row r="9354" spans="10:23" x14ac:dyDescent="0.25">
      <c r="J9354"/>
      <c r="M9354"/>
      <c r="W9354"/>
    </row>
    <row r="9355" spans="10:23" x14ac:dyDescent="0.25">
      <c r="J9355"/>
      <c r="M9355"/>
      <c r="W9355"/>
    </row>
    <row r="9356" spans="10:23" x14ac:dyDescent="0.25">
      <c r="J9356"/>
      <c r="M9356"/>
      <c r="W9356"/>
    </row>
    <row r="9357" spans="10:23" x14ac:dyDescent="0.25">
      <c r="J9357"/>
      <c r="M9357"/>
      <c r="W9357"/>
    </row>
    <row r="9358" spans="10:23" x14ac:dyDescent="0.25">
      <c r="J9358"/>
      <c r="M9358"/>
      <c r="W9358"/>
    </row>
    <row r="9359" spans="10:23" x14ac:dyDescent="0.25">
      <c r="J9359"/>
      <c r="M9359"/>
      <c r="W9359"/>
    </row>
    <row r="9360" spans="10:23" x14ac:dyDescent="0.25">
      <c r="J9360"/>
      <c r="M9360"/>
      <c r="W9360"/>
    </row>
    <row r="9361" spans="10:23" x14ac:dyDescent="0.25">
      <c r="J9361"/>
      <c r="M9361"/>
      <c r="W9361"/>
    </row>
    <row r="9362" spans="10:23" x14ac:dyDescent="0.25">
      <c r="J9362"/>
      <c r="M9362"/>
      <c r="W9362"/>
    </row>
    <row r="9363" spans="10:23" x14ac:dyDescent="0.25">
      <c r="J9363"/>
      <c r="M9363"/>
      <c r="W9363"/>
    </row>
    <row r="9364" spans="10:23" x14ac:dyDescent="0.25">
      <c r="J9364"/>
      <c r="M9364"/>
      <c r="W9364"/>
    </row>
    <row r="9365" spans="10:23" x14ac:dyDescent="0.25">
      <c r="J9365"/>
      <c r="M9365"/>
      <c r="W9365"/>
    </row>
    <row r="9366" spans="10:23" x14ac:dyDescent="0.25">
      <c r="J9366"/>
      <c r="M9366"/>
      <c r="W9366"/>
    </row>
    <row r="9367" spans="10:23" x14ac:dyDescent="0.25">
      <c r="J9367"/>
      <c r="M9367"/>
      <c r="W9367"/>
    </row>
    <row r="9368" spans="10:23" x14ac:dyDescent="0.25">
      <c r="J9368"/>
      <c r="M9368"/>
      <c r="W9368"/>
    </row>
    <row r="9369" spans="10:23" x14ac:dyDescent="0.25">
      <c r="J9369"/>
      <c r="M9369"/>
      <c r="W9369"/>
    </row>
    <row r="9370" spans="10:23" x14ac:dyDescent="0.25">
      <c r="J9370"/>
      <c r="M9370"/>
      <c r="W9370"/>
    </row>
    <row r="9371" spans="10:23" x14ac:dyDescent="0.25">
      <c r="J9371"/>
      <c r="M9371"/>
      <c r="W9371"/>
    </row>
    <row r="9372" spans="10:23" x14ac:dyDescent="0.25">
      <c r="J9372"/>
      <c r="M9372"/>
      <c r="W9372"/>
    </row>
    <row r="9373" spans="10:23" x14ac:dyDescent="0.25">
      <c r="J9373"/>
      <c r="M9373"/>
      <c r="W9373"/>
    </row>
    <row r="9374" spans="10:23" x14ac:dyDescent="0.25">
      <c r="J9374"/>
      <c r="M9374"/>
      <c r="W9374"/>
    </row>
    <row r="9375" spans="10:23" x14ac:dyDescent="0.25">
      <c r="J9375"/>
      <c r="M9375"/>
      <c r="W9375"/>
    </row>
    <row r="9376" spans="10:23" x14ac:dyDescent="0.25">
      <c r="J9376"/>
      <c r="M9376"/>
      <c r="W9376"/>
    </row>
    <row r="9377" spans="10:23" x14ac:dyDescent="0.25">
      <c r="J9377"/>
      <c r="M9377"/>
      <c r="W9377"/>
    </row>
    <row r="9378" spans="10:23" x14ac:dyDescent="0.25">
      <c r="J9378"/>
      <c r="M9378"/>
      <c r="W9378"/>
    </row>
    <row r="9379" spans="10:23" x14ac:dyDescent="0.25">
      <c r="J9379"/>
      <c r="M9379"/>
      <c r="W9379"/>
    </row>
    <row r="9380" spans="10:23" x14ac:dyDescent="0.25">
      <c r="J9380"/>
      <c r="M9380"/>
      <c r="W9380"/>
    </row>
    <row r="9381" spans="10:23" x14ac:dyDescent="0.25">
      <c r="J9381"/>
      <c r="M9381"/>
      <c r="W9381"/>
    </row>
    <row r="9382" spans="10:23" x14ac:dyDescent="0.25">
      <c r="J9382"/>
      <c r="M9382"/>
      <c r="W9382"/>
    </row>
    <row r="9383" spans="10:23" x14ac:dyDescent="0.25">
      <c r="J9383"/>
      <c r="M9383"/>
      <c r="W9383"/>
    </row>
    <row r="9384" spans="10:23" x14ac:dyDescent="0.25">
      <c r="J9384"/>
      <c r="M9384"/>
      <c r="W9384"/>
    </row>
    <row r="9385" spans="10:23" x14ac:dyDescent="0.25">
      <c r="J9385"/>
      <c r="M9385"/>
      <c r="W9385"/>
    </row>
    <row r="9386" spans="10:23" x14ac:dyDescent="0.25">
      <c r="J9386"/>
      <c r="M9386"/>
      <c r="W9386"/>
    </row>
    <row r="9387" spans="10:23" x14ac:dyDescent="0.25">
      <c r="J9387"/>
      <c r="M9387"/>
      <c r="W9387"/>
    </row>
    <row r="9388" spans="10:23" x14ac:dyDescent="0.25">
      <c r="J9388"/>
      <c r="M9388"/>
      <c r="W9388"/>
    </row>
    <row r="9389" spans="10:23" x14ac:dyDescent="0.25">
      <c r="J9389"/>
      <c r="M9389"/>
      <c r="W9389"/>
    </row>
    <row r="9390" spans="10:23" x14ac:dyDescent="0.25">
      <c r="J9390"/>
      <c r="M9390"/>
      <c r="W9390"/>
    </row>
    <row r="9391" spans="10:23" x14ac:dyDescent="0.25">
      <c r="J9391"/>
      <c r="M9391"/>
      <c r="W9391"/>
    </row>
    <row r="9392" spans="10:23" x14ac:dyDescent="0.25">
      <c r="J9392"/>
      <c r="M9392"/>
      <c r="W9392"/>
    </row>
    <row r="9393" spans="10:23" x14ac:dyDescent="0.25">
      <c r="J9393"/>
      <c r="M9393"/>
      <c r="W9393"/>
    </row>
    <row r="9394" spans="10:23" x14ac:dyDescent="0.25">
      <c r="J9394"/>
      <c r="M9394"/>
      <c r="W9394"/>
    </row>
    <row r="9395" spans="10:23" x14ac:dyDescent="0.25">
      <c r="J9395"/>
      <c r="M9395"/>
      <c r="W9395"/>
    </row>
    <row r="9396" spans="10:23" x14ac:dyDescent="0.25">
      <c r="J9396"/>
      <c r="M9396"/>
      <c r="W9396"/>
    </row>
    <row r="9397" spans="10:23" x14ac:dyDescent="0.25">
      <c r="J9397"/>
      <c r="M9397"/>
      <c r="W9397"/>
    </row>
    <row r="9398" spans="10:23" x14ac:dyDescent="0.25">
      <c r="J9398"/>
      <c r="M9398"/>
      <c r="W9398"/>
    </row>
    <row r="9399" spans="10:23" x14ac:dyDescent="0.25">
      <c r="J9399"/>
      <c r="M9399"/>
      <c r="W9399"/>
    </row>
    <row r="9400" spans="10:23" x14ac:dyDescent="0.25">
      <c r="J9400"/>
      <c r="M9400"/>
      <c r="W9400"/>
    </row>
    <row r="9401" spans="10:23" x14ac:dyDescent="0.25">
      <c r="J9401"/>
      <c r="M9401"/>
      <c r="W9401"/>
    </row>
    <row r="9402" spans="10:23" x14ac:dyDescent="0.25">
      <c r="J9402"/>
      <c r="M9402"/>
      <c r="W9402"/>
    </row>
    <row r="9403" spans="10:23" x14ac:dyDescent="0.25">
      <c r="J9403"/>
      <c r="M9403"/>
      <c r="W9403"/>
    </row>
    <row r="9404" spans="10:23" x14ac:dyDescent="0.25">
      <c r="J9404"/>
      <c r="M9404"/>
      <c r="W9404"/>
    </row>
    <row r="9405" spans="10:23" x14ac:dyDescent="0.25">
      <c r="J9405"/>
      <c r="M9405"/>
      <c r="W9405"/>
    </row>
    <row r="9406" spans="10:23" x14ac:dyDescent="0.25">
      <c r="J9406"/>
      <c r="M9406"/>
      <c r="W9406"/>
    </row>
    <row r="9407" spans="10:23" x14ac:dyDescent="0.25">
      <c r="J9407"/>
      <c r="M9407"/>
      <c r="W9407"/>
    </row>
    <row r="9408" spans="10:23" x14ac:dyDescent="0.25">
      <c r="J9408"/>
      <c r="M9408"/>
      <c r="W9408"/>
    </row>
    <row r="9409" spans="10:23" x14ac:dyDescent="0.25">
      <c r="J9409"/>
      <c r="M9409"/>
      <c r="W9409"/>
    </row>
    <row r="9410" spans="10:23" x14ac:dyDescent="0.25">
      <c r="J9410"/>
      <c r="M9410"/>
      <c r="W9410"/>
    </row>
    <row r="9411" spans="10:23" x14ac:dyDescent="0.25">
      <c r="J9411"/>
      <c r="M9411"/>
      <c r="W9411"/>
    </row>
    <row r="9412" spans="10:23" x14ac:dyDescent="0.25">
      <c r="J9412"/>
      <c r="M9412"/>
      <c r="W9412"/>
    </row>
    <row r="9413" spans="10:23" x14ac:dyDescent="0.25">
      <c r="J9413"/>
      <c r="M9413"/>
      <c r="W9413"/>
    </row>
    <row r="9414" spans="10:23" x14ac:dyDescent="0.25">
      <c r="J9414"/>
      <c r="M9414"/>
      <c r="W9414"/>
    </row>
    <row r="9415" spans="10:23" x14ac:dyDescent="0.25">
      <c r="J9415"/>
      <c r="M9415"/>
      <c r="W9415"/>
    </row>
    <row r="9416" spans="10:23" x14ac:dyDescent="0.25">
      <c r="J9416"/>
      <c r="M9416"/>
      <c r="W9416"/>
    </row>
    <row r="9417" spans="10:23" x14ac:dyDescent="0.25">
      <c r="J9417"/>
      <c r="M9417"/>
      <c r="W9417"/>
    </row>
    <row r="9418" spans="10:23" x14ac:dyDescent="0.25">
      <c r="J9418"/>
      <c r="M9418"/>
      <c r="W9418"/>
    </row>
    <row r="9419" spans="10:23" x14ac:dyDescent="0.25">
      <c r="J9419"/>
      <c r="M9419"/>
      <c r="W9419"/>
    </row>
    <row r="9420" spans="10:23" x14ac:dyDescent="0.25">
      <c r="J9420"/>
      <c r="M9420"/>
      <c r="W9420"/>
    </row>
    <row r="9421" spans="10:23" x14ac:dyDescent="0.25">
      <c r="J9421"/>
      <c r="M9421"/>
      <c r="W9421"/>
    </row>
    <row r="9422" spans="10:23" x14ac:dyDescent="0.25">
      <c r="J9422"/>
      <c r="M9422"/>
      <c r="W9422"/>
    </row>
    <row r="9423" spans="10:23" x14ac:dyDescent="0.25">
      <c r="J9423"/>
      <c r="M9423"/>
      <c r="W9423"/>
    </row>
    <row r="9424" spans="10:23" x14ac:dyDescent="0.25">
      <c r="J9424"/>
      <c r="M9424"/>
      <c r="W9424"/>
    </row>
    <row r="9425" spans="10:23" x14ac:dyDescent="0.25">
      <c r="J9425"/>
      <c r="M9425"/>
      <c r="W9425"/>
    </row>
    <row r="9426" spans="10:23" x14ac:dyDescent="0.25">
      <c r="J9426"/>
      <c r="M9426"/>
      <c r="W9426"/>
    </row>
    <row r="9427" spans="10:23" x14ac:dyDescent="0.25">
      <c r="J9427"/>
      <c r="M9427"/>
      <c r="W9427"/>
    </row>
    <row r="9428" spans="10:23" x14ac:dyDescent="0.25">
      <c r="J9428"/>
      <c r="M9428"/>
      <c r="W9428"/>
    </row>
    <row r="9429" spans="10:23" x14ac:dyDescent="0.25">
      <c r="J9429"/>
      <c r="M9429"/>
      <c r="W9429"/>
    </row>
    <row r="9430" spans="10:23" x14ac:dyDescent="0.25">
      <c r="J9430"/>
      <c r="M9430"/>
      <c r="W9430"/>
    </row>
    <row r="9431" spans="10:23" x14ac:dyDescent="0.25">
      <c r="J9431"/>
      <c r="M9431"/>
      <c r="W9431"/>
    </row>
    <row r="9432" spans="10:23" x14ac:dyDescent="0.25">
      <c r="J9432"/>
      <c r="M9432"/>
      <c r="W9432"/>
    </row>
    <row r="9433" spans="10:23" x14ac:dyDescent="0.25">
      <c r="J9433"/>
      <c r="M9433"/>
      <c r="W9433"/>
    </row>
    <row r="9434" spans="10:23" x14ac:dyDescent="0.25">
      <c r="J9434"/>
      <c r="M9434"/>
      <c r="W9434"/>
    </row>
    <row r="9435" spans="10:23" x14ac:dyDescent="0.25">
      <c r="J9435"/>
      <c r="M9435"/>
      <c r="W9435"/>
    </row>
    <row r="9436" spans="10:23" x14ac:dyDescent="0.25">
      <c r="J9436"/>
      <c r="M9436"/>
      <c r="W9436"/>
    </row>
    <row r="9437" spans="10:23" x14ac:dyDescent="0.25">
      <c r="J9437"/>
      <c r="M9437"/>
      <c r="W9437"/>
    </row>
    <row r="9438" spans="10:23" x14ac:dyDescent="0.25">
      <c r="J9438"/>
      <c r="M9438"/>
      <c r="W9438"/>
    </row>
    <row r="9439" spans="10:23" x14ac:dyDescent="0.25">
      <c r="J9439"/>
      <c r="M9439"/>
      <c r="W9439"/>
    </row>
    <row r="9440" spans="10:23" x14ac:dyDescent="0.25">
      <c r="J9440"/>
      <c r="M9440"/>
      <c r="W9440"/>
    </row>
    <row r="9441" spans="10:23" x14ac:dyDescent="0.25">
      <c r="J9441"/>
      <c r="M9441"/>
      <c r="W9441"/>
    </row>
    <row r="9442" spans="10:23" x14ac:dyDescent="0.25">
      <c r="J9442"/>
      <c r="M9442"/>
      <c r="W9442"/>
    </row>
    <row r="9443" spans="10:23" x14ac:dyDescent="0.25">
      <c r="J9443"/>
      <c r="M9443"/>
      <c r="W9443"/>
    </row>
    <row r="9444" spans="10:23" x14ac:dyDescent="0.25">
      <c r="J9444"/>
      <c r="M9444"/>
      <c r="W9444"/>
    </row>
    <row r="9445" spans="10:23" x14ac:dyDescent="0.25">
      <c r="J9445"/>
      <c r="M9445"/>
      <c r="W9445"/>
    </row>
    <row r="9446" spans="10:23" x14ac:dyDescent="0.25">
      <c r="J9446"/>
      <c r="M9446"/>
      <c r="W9446"/>
    </row>
    <row r="9447" spans="10:23" x14ac:dyDescent="0.25">
      <c r="J9447"/>
      <c r="M9447"/>
      <c r="W9447"/>
    </row>
    <row r="9448" spans="10:23" x14ac:dyDescent="0.25">
      <c r="J9448"/>
      <c r="M9448"/>
      <c r="W9448"/>
    </row>
    <row r="9449" spans="10:23" x14ac:dyDescent="0.25">
      <c r="J9449"/>
      <c r="M9449"/>
      <c r="W9449"/>
    </row>
    <row r="9450" spans="10:23" x14ac:dyDescent="0.25">
      <c r="J9450"/>
      <c r="M9450"/>
      <c r="W9450"/>
    </row>
    <row r="9451" spans="10:23" x14ac:dyDescent="0.25">
      <c r="J9451"/>
      <c r="M9451"/>
      <c r="W9451"/>
    </row>
    <row r="9452" spans="10:23" x14ac:dyDescent="0.25">
      <c r="J9452"/>
      <c r="M9452"/>
      <c r="W9452"/>
    </row>
    <row r="9453" spans="10:23" x14ac:dyDescent="0.25">
      <c r="J9453"/>
      <c r="M9453"/>
      <c r="W9453"/>
    </row>
    <row r="9454" spans="10:23" x14ac:dyDescent="0.25">
      <c r="J9454"/>
      <c r="M9454"/>
      <c r="W9454"/>
    </row>
    <row r="9455" spans="10:23" x14ac:dyDescent="0.25">
      <c r="J9455"/>
      <c r="M9455"/>
      <c r="W9455"/>
    </row>
    <row r="9456" spans="10:23" x14ac:dyDescent="0.25">
      <c r="J9456"/>
      <c r="M9456"/>
      <c r="W9456"/>
    </row>
    <row r="9457" spans="10:23" x14ac:dyDescent="0.25">
      <c r="J9457"/>
      <c r="M9457"/>
      <c r="W9457"/>
    </row>
    <row r="9458" spans="10:23" x14ac:dyDescent="0.25">
      <c r="J9458"/>
      <c r="M9458"/>
      <c r="W9458"/>
    </row>
    <row r="9459" spans="10:23" x14ac:dyDescent="0.25">
      <c r="J9459"/>
      <c r="M9459"/>
      <c r="W9459"/>
    </row>
    <row r="9460" spans="10:23" x14ac:dyDescent="0.25">
      <c r="J9460"/>
      <c r="M9460"/>
      <c r="W9460"/>
    </row>
    <row r="9461" spans="10:23" x14ac:dyDescent="0.25">
      <c r="J9461"/>
      <c r="M9461"/>
      <c r="W9461"/>
    </row>
    <row r="9462" spans="10:23" x14ac:dyDescent="0.25">
      <c r="J9462"/>
      <c r="M9462"/>
      <c r="W9462"/>
    </row>
    <row r="9463" spans="10:23" x14ac:dyDescent="0.25">
      <c r="J9463"/>
      <c r="M9463"/>
      <c r="W9463"/>
    </row>
    <row r="9464" spans="10:23" x14ac:dyDescent="0.25">
      <c r="J9464"/>
      <c r="M9464"/>
      <c r="W9464"/>
    </row>
    <row r="9465" spans="10:23" x14ac:dyDescent="0.25">
      <c r="J9465"/>
      <c r="M9465"/>
      <c r="W9465"/>
    </row>
    <row r="9466" spans="10:23" x14ac:dyDescent="0.25">
      <c r="J9466"/>
      <c r="M9466"/>
      <c r="W9466"/>
    </row>
    <row r="9467" spans="10:23" x14ac:dyDescent="0.25">
      <c r="J9467"/>
      <c r="M9467"/>
      <c r="W9467"/>
    </row>
    <row r="9468" spans="10:23" x14ac:dyDescent="0.25">
      <c r="J9468"/>
      <c r="M9468"/>
      <c r="W9468"/>
    </row>
    <row r="9469" spans="10:23" x14ac:dyDescent="0.25">
      <c r="J9469"/>
      <c r="M9469"/>
      <c r="W9469"/>
    </row>
    <row r="9470" spans="10:23" x14ac:dyDescent="0.25">
      <c r="J9470"/>
      <c r="M9470"/>
      <c r="W9470"/>
    </row>
    <row r="9471" spans="10:23" x14ac:dyDescent="0.25">
      <c r="J9471"/>
      <c r="M9471"/>
      <c r="W9471"/>
    </row>
    <row r="9472" spans="10:23" x14ac:dyDescent="0.25">
      <c r="J9472"/>
      <c r="M9472"/>
      <c r="W9472"/>
    </row>
    <row r="9473" spans="10:23" x14ac:dyDescent="0.25">
      <c r="J9473"/>
      <c r="M9473"/>
      <c r="W9473"/>
    </row>
    <row r="9474" spans="10:23" x14ac:dyDescent="0.25">
      <c r="J9474"/>
      <c r="M9474"/>
      <c r="W9474"/>
    </row>
    <row r="9475" spans="10:23" x14ac:dyDescent="0.25">
      <c r="J9475"/>
      <c r="M9475"/>
      <c r="W9475"/>
    </row>
    <row r="9476" spans="10:23" x14ac:dyDescent="0.25">
      <c r="J9476"/>
      <c r="M9476"/>
      <c r="W9476"/>
    </row>
    <row r="9477" spans="10:23" x14ac:dyDescent="0.25">
      <c r="J9477"/>
      <c r="M9477"/>
      <c r="W9477"/>
    </row>
    <row r="9478" spans="10:23" x14ac:dyDescent="0.25">
      <c r="J9478"/>
      <c r="M9478"/>
      <c r="W9478"/>
    </row>
    <row r="9479" spans="10:23" x14ac:dyDescent="0.25">
      <c r="J9479"/>
      <c r="M9479"/>
      <c r="W9479"/>
    </row>
    <row r="9480" spans="10:23" x14ac:dyDescent="0.25">
      <c r="J9480"/>
      <c r="M9480"/>
      <c r="W9480"/>
    </row>
    <row r="9481" spans="10:23" x14ac:dyDescent="0.25">
      <c r="J9481"/>
      <c r="M9481"/>
      <c r="W9481"/>
    </row>
    <row r="9482" spans="10:23" x14ac:dyDescent="0.25">
      <c r="J9482"/>
      <c r="M9482"/>
      <c r="W9482"/>
    </row>
    <row r="9483" spans="10:23" x14ac:dyDescent="0.25">
      <c r="J9483"/>
      <c r="M9483"/>
      <c r="W9483"/>
    </row>
    <row r="9484" spans="10:23" x14ac:dyDescent="0.25">
      <c r="J9484"/>
      <c r="M9484"/>
      <c r="W9484"/>
    </row>
    <row r="9485" spans="10:23" x14ac:dyDescent="0.25">
      <c r="J9485"/>
      <c r="M9485"/>
      <c r="W9485"/>
    </row>
    <row r="9486" spans="10:23" x14ac:dyDescent="0.25">
      <c r="J9486"/>
      <c r="M9486"/>
      <c r="W9486"/>
    </row>
    <row r="9487" spans="10:23" x14ac:dyDescent="0.25">
      <c r="J9487"/>
      <c r="M9487"/>
      <c r="W9487"/>
    </row>
    <row r="9488" spans="10:23" x14ac:dyDescent="0.25">
      <c r="J9488"/>
      <c r="M9488"/>
      <c r="W9488"/>
    </row>
    <row r="9489" spans="10:23" x14ac:dyDescent="0.25">
      <c r="J9489"/>
      <c r="M9489"/>
      <c r="W9489"/>
    </row>
    <row r="9490" spans="10:23" x14ac:dyDescent="0.25">
      <c r="J9490"/>
      <c r="M9490"/>
      <c r="W9490"/>
    </row>
    <row r="9491" spans="10:23" x14ac:dyDescent="0.25">
      <c r="J9491"/>
      <c r="M9491"/>
      <c r="W9491"/>
    </row>
    <row r="9492" spans="10:23" x14ac:dyDescent="0.25">
      <c r="J9492"/>
      <c r="M9492"/>
      <c r="W9492"/>
    </row>
    <row r="9493" spans="10:23" x14ac:dyDescent="0.25">
      <c r="J9493"/>
      <c r="M9493"/>
      <c r="W9493"/>
    </row>
    <row r="9494" spans="10:23" x14ac:dyDescent="0.25">
      <c r="J9494"/>
      <c r="M9494"/>
      <c r="W9494"/>
    </row>
    <row r="9495" spans="10:23" x14ac:dyDescent="0.25">
      <c r="J9495"/>
      <c r="M9495"/>
      <c r="W9495"/>
    </row>
    <row r="9496" spans="10:23" x14ac:dyDescent="0.25">
      <c r="J9496"/>
      <c r="M9496"/>
      <c r="W9496"/>
    </row>
    <row r="9497" spans="10:23" x14ac:dyDescent="0.25">
      <c r="J9497"/>
      <c r="M9497"/>
      <c r="W9497"/>
    </row>
    <row r="9498" spans="10:23" x14ac:dyDescent="0.25">
      <c r="J9498"/>
      <c r="M9498"/>
      <c r="W9498"/>
    </row>
    <row r="9499" spans="10:23" x14ac:dyDescent="0.25">
      <c r="J9499"/>
      <c r="M9499"/>
      <c r="W9499"/>
    </row>
    <row r="9500" spans="10:23" x14ac:dyDescent="0.25">
      <c r="J9500"/>
      <c r="M9500"/>
      <c r="W9500"/>
    </row>
    <row r="9501" spans="10:23" x14ac:dyDescent="0.25">
      <c r="J9501"/>
      <c r="M9501"/>
      <c r="W9501"/>
    </row>
    <row r="9502" spans="10:23" x14ac:dyDescent="0.25">
      <c r="J9502"/>
      <c r="M9502"/>
      <c r="W9502"/>
    </row>
    <row r="9503" spans="10:23" x14ac:dyDescent="0.25">
      <c r="J9503"/>
      <c r="M9503"/>
      <c r="W9503"/>
    </row>
    <row r="9504" spans="10:23" x14ac:dyDescent="0.25">
      <c r="J9504"/>
      <c r="M9504"/>
      <c r="W9504"/>
    </row>
    <row r="9505" spans="10:23" x14ac:dyDescent="0.25">
      <c r="J9505"/>
      <c r="M9505"/>
      <c r="W9505"/>
    </row>
    <row r="9506" spans="10:23" x14ac:dyDescent="0.25">
      <c r="J9506"/>
      <c r="M9506"/>
      <c r="W9506"/>
    </row>
    <row r="9507" spans="10:23" x14ac:dyDescent="0.25">
      <c r="J9507"/>
      <c r="M9507"/>
      <c r="W9507"/>
    </row>
    <row r="9508" spans="10:23" x14ac:dyDescent="0.25">
      <c r="J9508"/>
      <c r="M9508"/>
      <c r="W9508"/>
    </row>
    <row r="9509" spans="10:23" x14ac:dyDescent="0.25">
      <c r="J9509"/>
      <c r="M9509"/>
      <c r="W9509"/>
    </row>
    <row r="9510" spans="10:23" x14ac:dyDescent="0.25">
      <c r="J9510"/>
      <c r="M9510"/>
      <c r="W9510"/>
    </row>
    <row r="9511" spans="10:23" x14ac:dyDescent="0.25">
      <c r="J9511"/>
      <c r="M9511"/>
      <c r="W9511"/>
    </row>
    <row r="9512" spans="10:23" x14ac:dyDescent="0.25">
      <c r="J9512"/>
      <c r="M9512"/>
      <c r="W9512"/>
    </row>
    <row r="9513" spans="10:23" x14ac:dyDescent="0.25">
      <c r="J9513"/>
      <c r="M9513"/>
      <c r="W9513"/>
    </row>
    <row r="9514" spans="10:23" x14ac:dyDescent="0.25">
      <c r="J9514"/>
      <c r="M9514"/>
      <c r="W9514"/>
    </row>
    <row r="9515" spans="10:23" x14ac:dyDescent="0.25">
      <c r="J9515"/>
      <c r="M9515"/>
      <c r="W9515"/>
    </row>
    <row r="9516" spans="10:23" x14ac:dyDescent="0.25">
      <c r="J9516"/>
      <c r="M9516"/>
      <c r="W9516"/>
    </row>
    <row r="9517" spans="10:23" x14ac:dyDescent="0.25">
      <c r="J9517"/>
      <c r="M9517"/>
      <c r="W9517"/>
    </row>
    <row r="9518" spans="10:23" x14ac:dyDescent="0.25">
      <c r="J9518"/>
      <c r="M9518"/>
      <c r="W9518"/>
    </row>
    <row r="9519" spans="10:23" x14ac:dyDescent="0.25">
      <c r="J9519"/>
      <c r="M9519"/>
      <c r="W9519"/>
    </row>
    <row r="9520" spans="10:23" x14ac:dyDescent="0.25">
      <c r="J9520"/>
      <c r="M9520"/>
      <c r="W9520"/>
    </row>
    <row r="9521" spans="10:23" x14ac:dyDescent="0.25">
      <c r="J9521"/>
      <c r="M9521"/>
      <c r="W9521"/>
    </row>
    <row r="9522" spans="10:23" x14ac:dyDescent="0.25">
      <c r="J9522"/>
      <c r="M9522"/>
      <c r="W9522"/>
    </row>
    <row r="9523" spans="10:23" x14ac:dyDescent="0.25">
      <c r="J9523"/>
      <c r="M9523"/>
      <c r="W9523"/>
    </row>
    <row r="9524" spans="10:23" x14ac:dyDescent="0.25">
      <c r="J9524"/>
      <c r="M9524"/>
      <c r="W9524"/>
    </row>
    <row r="9525" spans="10:23" x14ac:dyDescent="0.25">
      <c r="J9525"/>
      <c r="M9525"/>
      <c r="W9525"/>
    </row>
    <row r="9526" spans="10:23" x14ac:dyDescent="0.25">
      <c r="J9526"/>
      <c r="M9526"/>
      <c r="W9526"/>
    </row>
    <row r="9527" spans="10:23" x14ac:dyDescent="0.25">
      <c r="J9527"/>
      <c r="M9527"/>
      <c r="W9527"/>
    </row>
    <row r="9528" spans="10:23" x14ac:dyDescent="0.25">
      <c r="J9528"/>
      <c r="M9528"/>
      <c r="W9528"/>
    </row>
    <row r="9529" spans="10:23" x14ac:dyDescent="0.25">
      <c r="J9529"/>
      <c r="M9529"/>
      <c r="W9529"/>
    </row>
    <row r="9530" spans="10:23" x14ac:dyDescent="0.25">
      <c r="J9530"/>
      <c r="M9530"/>
      <c r="W9530"/>
    </row>
    <row r="9531" spans="10:23" x14ac:dyDescent="0.25">
      <c r="J9531"/>
      <c r="M9531"/>
      <c r="W9531"/>
    </row>
    <row r="9532" spans="10:23" x14ac:dyDescent="0.25">
      <c r="J9532"/>
      <c r="M9532"/>
      <c r="W9532"/>
    </row>
    <row r="9533" spans="10:23" x14ac:dyDescent="0.25">
      <c r="J9533"/>
      <c r="M9533"/>
      <c r="W9533"/>
    </row>
    <row r="9534" spans="10:23" x14ac:dyDescent="0.25">
      <c r="J9534"/>
      <c r="M9534"/>
      <c r="W9534"/>
    </row>
    <row r="9535" spans="10:23" x14ac:dyDescent="0.25">
      <c r="J9535"/>
      <c r="M9535"/>
      <c r="W9535"/>
    </row>
    <row r="9536" spans="10:23" x14ac:dyDescent="0.25">
      <c r="J9536"/>
      <c r="M9536"/>
      <c r="W9536"/>
    </row>
    <row r="9537" spans="10:23" x14ac:dyDescent="0.25">
      <c r="J9537"/>
      <c r="M9537"/>
      <c r="W9537"/>
    </row>
    <row r="9538" spans="10:23" x14ac:dyDescent="0.25">
      <c r="J9538"/>
      <c r="M9538"/>
      <c r="W9538"/>
    </row>
    <row r="9539" spans="10:23" x14ac:dyDescent="0.25">
      <c r="J9539"/>
      <c r="M9539"/>
      <c r="W9539"/>
    </row>
    <row r="9540" spans="10:23" x14ac:dyDescent="0.25">
      <c r="J9540"/>
      <c r="M9540"/>
      <c r="W9540"/>
    </row>
    <row r="9541" spans="10:23" x14ac:dyDescent="0.25">
      <c r="J9541"/>
      <c r="M9541"/>
      <c r="W9541"/>
    </row>
    <row r="9542" spans="10:23" x14ac:dyDescent="0.25">
      <c r="J9542"/>
      <c r="M9542"/>
      <c r="W9542"/>
    </row>
    <row r="9543" spans="10:23" x14ac:dyDescent="0.25">
      <c r="J9543"/>
      <c r="M9543"/>
      <c r="W9543"/>
    </row>
    <row r="9544" spans="10:23" x14ac:dyDescent="0.25">
      <c r="J9544"/>
      <c r="M9544"/>
      <c r="W9544"/>
    </row>
    <row r="9545" spans="10:23" x14ac:dyDescent="0.25">
      <c r="J9545"/>
      <c r="M9545"/>
      <c r="W9545"/>
    </row>
    <row r="9546" spans="10:23" x14ac:dyDescent="0.25">
      <c r="J9546"/>
      <c r="M9546"/>
      <c r="W9546"/>
    </row>
    <row r="9547" spans="10:23" x14ac:dyDescent="0.25">
      <c r="J9547"/>
      <c r="M9547"/>
      <c r="W9547"/>
    </row>
    <row r="9548" spans="10:23" x14ac:dyDescent="0.25">
      <c r="J9548"/>
      <c r="M9548"/>
      <c r="W9548"/>
    </row>
    <row r="9549" spans="10:23" x14ac:dyDescent="0.25">
      <c r="J9549"/>
      <c r="M9549"/>
      <c r="W9549"/>
    </row>
    <row r="9550" spans="10:23" x14ac:dyDescent="0.25">
      <c r="J9550"/>
      <c r="M9550"/>
      <c r="W9550"/>
    </row>
    <row r="9551" spans="10:23" x14ac:dyDescent="0.25">
      <c r="J9551"/>
      <c r="M9551"/>
      <c r="W9551"/>
    </row>
    <row r="9552" spans="10:23" x14ac:dyDescent="0.25">
      <c r="J9552"/>
      <c r="M9552"/>
      <c r="W9552"/>
    </row>
    <row r="9553" spans="10:23" x14ac:dyDescent="0.25">
      <c r="J9553"/>
      <c r="M9553"/>
      <c r="W9553"/>
    </row>
    <row r="9554" spans="10:23" x14ac:dyDescent="0.25">
      <c r="J9554"/>
      <c r="M9554"/>
      <c r="W9554"/>
    </row>
    <row r="9555" spans="10:23" x14ac:dyDescent="0.25">
      <c r="J9555"/>
      <c r="M9555"/>
      <c r="W9555"/>
    </row>
    <row r="9556" spans="10:23" x14ac:dyDescent="0.25">
      <c r="J9556"/>
      <c r="M9556"/>
      <c r="W9556"/>
    </row>
    <row r="9557" spans="10:23" x14ac:dyDescent="0.25">
      <c r="J9557"/>
      <c r="M9557"/>
      <c r="W9557"/>
    </row>
    <row r="9558" spans="10:23" x14ac:dyDescent="0.25">
      <c r="J9558"/>
      <c r="M9558"/>
      <c r="W9558"/>
    </row>
    <row r="9559" spans="10:23" x14ac:dyDescent="0.25">
      <c r="J9559"/>
      <c r="M9559"/>
      <c r="W9559"/>
    </row>
    <row r="9560" spans="10:23" x14ac:dyDescent="0.25">
      <c r="J9560"/>
      <c r="M9560"/>
      <c r="W9560"/>
    </row>
    <row r="9561" spans="10:23" x14ac:dyDescent="0.25">
      <c r="J9561"/>
      <c r="M9561"/>
      <c r="W9561"/>
    </row>
    <row r="9562" spans="10:23" x14ac:dyDescent="0.25">
      <c r="J9562"/>
      <c r="M9562"/>
      <c r="W9562"/>
    </row>
    <row r="9563" spans="10:23" x14ac:dyDescent="0.25">
      <c r="J9563"/>
      <c r="M9563"/>
      <c r="W9563"/>
    </row>
    <row r="9564" spans="10:23" x14ac:dyDescent="0.25">
      <c r="J9564"/>
      <c r="M9564"/>
      <c r="W9564"/>
    </row>
    <row r="9565" spans="10:23" x14ac:dyDescent="0.25">
      <c r="J9565"/>
      <c r="M9565"/>
      <c r="W9565"/>
    </row>
    <row r="9566" spans="10:23" x14ac:dyDescent="0.25">
      <c r="J9566"/>
      <c r="M9566"/>
      <c r="W9566"/>
    </row>
    <row r="9567" spans="10:23" x14ac:dyDescent="0.25">
      <c r="J9567"/>
      <c r="M9567"/>
      <c r="W9567"/>
    </row>
    <row r="9568" spans="10:23" x14ac:dyDescent="0.25">
      <c r="J9568"/>
      <c r="M9568"/>
      <c r="W9568"/>
    </row>
    <row r="9569" spans="10:23" x14ac:dyDescent="0.25">
      <c r="J9569"/>
      <c r="M9569"/>
      <c r="W9569"/>
    </row>
    <row r="9570" spans="10:23" x14ac:dyDescent="0.25">
      <c r="J9570"/>
      <c r="M9570"/>
      <c r="W9570"/>
    </row>
    <row r="9571" spans="10:23" x14ac:dyDescent="0.25">
      <c r="J9571"/>
      <c r="M9571"/>
      <c r="W9571"/>
    </row>
    <row r="9572" spans="10:23" x14ac:dyDescent="0.25">
      <c r="J9572"/>
      <c r="M9572"/>
      <c r="W9572"/>
    </row>
    <row r="9573" spans="10:23" x14ac:dyDescent="0.25">
      <c r="J9573"/>
      <c r="M9573"/>
      <c r="W9573"/>
    </row>
    <row r="9574" spans="10:23" x14ac:dyDescent="0.25">
      <c r="J9574"/>
      <c r="M9574"/>
      <c r="W9574"/>
    </row>
    <row r="9575" spans="10:23" x14ac:dyDescent="0.25">
      <c r="J9575"/>
      <c r="M9575"/>
      <c r="W9575"/>
    </row>
    <row r="9576" spans="10:23" x14ac:dyDescent="0.25">
      <c r="J9576"/>
      <c r="M9576"/>
      <c r="W9576"/>
    </row>
    <row r="9577" spans="10:23" x14ac:dyDescent="0.25">
      <c r="J9577"/>
      <c r="M9577"/>
      <c r="W9577"/>
    </row>
    <row r="9578" spans="10:23" x14ac:dyDescent="0.25">
      <c r="J9578"/>
      <c r="M9578"/>
      <c r="W9578"/>
    </row>
    <row r="9579" spans="10:23" x14ac:dyDescent="0.25">
      <c r="J9579"/>
      <c r="M9579"/>
      <c r="W9579"/>
    </row>
    <row r="9580" spans="10:23" x14ac:dyDescent="0.25">
      <c r="J9580"/>
      <c r="M9580"/>
      <c r="W9580"/>
    </row>
    <row r="9581" spans="10:23" x14ac:dyDescent="0.25">
      <c r="J9581"/>
      <c r="M9581"/>
      <c r="W9581"/>
    </row>
    <row r="9582" spans="10:23" x14ac:dyDescent="0.25">
      <c r="J9582"/>
      <c r="M9582"/>
      <c r="W9582"/>
    </row>
    <row r="9583" spans="10:23" x14ac:dyDescent="0.25">
      <c r="J9583"/>
      <c r="M9583"/>
      <c r="W9583"/>
    </row>
    <row r="9584" spans="10:23" x14ac:dyDescent="0.25">
      <c r="J9584"/>
      <c r="M9584"/>
      <c r="W9584"/>
    </row>
    <row r="9585" spans="10:23" x14ac:dyDescent="0.25">
      <c r="J9585"/>
      <c r="M9585"/>
      <c r="W9585"/>
    </row>
    <row r="9586" spans="10:23" x14ac:dyDescent="0.25">
      <c r="J9586"/>
      <c r="M9586"/>
      <c r="W9586"/>
    </row>
    <row r="9587" spans="10:23" x14ac:dyDescent="0.25">
      <c r="J9587"/>
      <c r="M9587"/>
      <c r="W9587"/>
    </row>
    <row r="9588" spans="10:23" x14ac:dyDescent="0.25">
      <c r="J9588"/>
      <c r="M9588"/>
      <c r="W9588"/>
    </row>
    <row r="9589" spans="10:23" x14ac:dyDescent="0.25">
      <c r="J9589"/>
      <c r="M9589"/>
      <c r="W9589"/>
    </row>
    <row r="9590" spans="10:23" x14ac:dyDescent="0.25">
      <c r="J9590"/>
      <c r="M9590"/>
      <c r="W9590"/>
    </row>
    <row r="9591" spans="10:23" x14ac:dyDescent="0.25">
      <c r="J9591"/>
      <c r="M9591"/>
      <c r="W9591"/>
    </row>
    <row r="9592" spans="10:23" x14ac:dyDescent="0.25">
      <c r="J9592"/>
      <c r="M9592"/>
      <c r="W9592"/>
    </row>
    <row r="9593" spans="10:23" x14ac:dyDescent="0.25">
      <c r="J9593"/>
      <c r="M9593"/>
      <c r="W9593"/>
    </row>
    <row r="9594" spans="10:23" x14ac:dyDescent="0.25">
      <c r="J9594"/>
      <c r="M9594"/>
      <c r="W9594"/>
    </row>
    <row r="9595" spans="10:23" x14ac:dyDescent="0.25">
      <c r="J9595"/>
      <c r="M9595"/>
      <c r="W9595"/>
    </row>
    <row r="9596" spans="10:23" x14ac:dyDescent="0.25">
      <c r="J9596"/>
      <c r="M9596"/>
      <c r="W9596"/>
    </row>
    <row r="9597" spans="10:23" x14ac:dyDescent="0.25">
      <c r="J9597"/>
      <c r="M9597"/>
      <c r="W9597"/>
    </row>
    <row r="9598" spans="10:23" x14ac:dyDescent="0.25">
      <c r="J9598"/>
      <c r="M9598"/>
      <c r="W9598"/>
    </row>
    <row r="9599" spans="10:23" x14ac:dyDescent="0.25">
      <c r="J9599"/>
      <c r="M9599"/>
      <c r="W9599"/>
    </row>
    <row r="9600" spans="10:23" x14ac:dyDescent="0.25">
      <c r="J9600"/>
      <c r="M9600"/>
      <c r="W9600"/>
    </row>
    <row r="9601" spans="10:23" x14ac:dyDescent="0.25">
      <c r="J9601"/>
      <c r="M9601"/>
      <c r="W9601"/>
    </row>
    <row r="9602" spans="10:23" x14ac:dyDescent="0.25">
      <c r="J9602"/>
      <c r="M9602"/>
      <c r="W9602"/>
    </row>
    <row r="9603" spans="10:23" x14ac:dyDescent="0.25">
      <c r="J9603"/>
      <c r="M9603"/>
      <c r="W9603"/>
    </row>
    <row r="9604" spans="10:23" x14ac:dyDescent="0.25">
      <c r="J9604"/>
      <c r="M9604"/>
      <c r="W9604"/>
    </row>
    <row r="9605" spans="10:23" x14ac:dyDescent="0.25">
      <c r="J9605"/>
      <c r="M9605"/>
      <c r="W9605"/>
    </row>
    <row r="9606" spans="10:23" x14ac:dyDescent="0.25">
      <c r="J9606"/>
      <c r="M9606"/>
      <c r="W9606"/>
    </row>
    <row r="9607" spans="10:23" x14ac:dyDescent="0.25">
      <c r="J9607"/>
      <c r="M9607"/>
      <c r="W9607"/>
    </row>
    <row r="9608" spans="10:23" x14ac:dyDescent="0.25">
      <c r="J9608"/>
      <c r="M9608"/>
      <c r="W9608"/>
    </row>
    <row r="9609" spans="10:23" x14ac:dyDescent="0.25">
      <c r="J9609"/>
      <c r="M9609"/>
      <c r="W9609"/>
    </row>
    <row r="9610" spans="10:23" x14ac:dyDescent="0.25">
      <c r="J9610"/>
      <c r="M9610"/>
      <c r="W9610"/>
    </row>
    <row r="9611" spans="10:23" x14ac:dyDescent="0.25">
      <c r="J9611"/>
      <c r="M9611"/>
      <c r="W9611"/>
    </row>
    <row r="9612" spans="10:23" x14ac:dyDescent="0.25">
      <c r="J9612"/>
      <c r="M9612"/>
      <c r="W9612"/>
    </row>
    <row r="9613" spans="10:23" x14ac:dyDescent="0.25">
      <c r="J9613"/>
      <c r="M9613"/>
      <c r="W9613"/>
    </row>
    <row r="9614" spans="10:23" x14ac:dyDescent="0.25">
      <c r="J9614"/>
      <c r="M9614"/>
      <c r="W9614"/>
    </row>
    <row r="9615" spans="10:23" x14ac:dyDescent="0.25">
      <c r="J9615"/>
      <c r="M9615"/>
      <c r="W9615"/>
    </row>
    <row r="9616" spans="10:23" x14ac:dyDescent="0.25">
      <c r="J9616"/>
      <c r="M9616"/>
      <c r="W9616"/>
    </row>
    <row r="9617" spans="10:23" x14ac:dyDescent="0.25">
      <c r="J9617"/>
      <c r="M9617"/>
      <c r="W9617"/>
    </row>
    <row r="9618" spans="10:23" x14ac:dyDescent="0.25">
      <c r="J9618"/>
      <c r="M9618"/>
      <c r="W9618"/>
    </row>
    <row r="9619" spans="10:23" x14ac:dyDescent="0.25">
      <c r="J9619"/>
      <c r="M9619"/>
      <c r="W9619"/>
    </row>
    <row r="9620" spans="10:23" x14ac:dyDescent="0.25">
      <c r="J9620"/>
      <c r="M9620"/>
      <c r="W9620"/>
    </row>
    <row r="9621" spans="10:23" x14ac:dyDescent="0.25">
      <c r="J9621"/>
      <c r="M9621"/>
      <c r="W9621"/>
    </row>
    <row r="9622" spans="10:23" x14ac:dyDescent="0.25">
      <c r="J9622"/>
      <c r="M9622"/>
      <c r="W9622"/>
    </row>
    <row r="9623" spans="10:23" x14ac:dyDescent="0.25">
      <c r="J9623"/>
      <c r="M9623"/>
      <c r="W9623"/>
    </row>
    <row r="9624" spans="10:23" x14ac:dyDescent="0.25">
      <c r="J9624"/>
      <c r="M9624"/>
      <c r="W9624"/>
    </row>
    <row r="9625" spans="10:23" x14ac:dyDescent="0.25">
      <c r="J9625"/>
      <c r="M9625"/>
      <c r="W9625"/>
    </row>
    <row r="9626" spans="10:23" x14ac:dyDescent="0.25">
      <c r="J9626"/>
      <c r="M9626"/>
      <c r="W9626"/>
    </row>
    <row r="9627" spans="10:23" x14ac:dyDescent="0.25">
      <c r="J9627"/>
      <c r="M9627"/>
      <c r="W9627"/>
    </row>
    <row r="9628" spans="10:23" x14ac:dyDescent="0.25">
      <c r="J9628"/>
      <c r="M9628"/>
      <c r="W9628"/>
    </row>
    <row r="9629" spans="10:23" x14ac:dyDescent="0.25">
      <c r="J9629"/>
      <c r="M9629"/>
      <c r="W9629"/>
    </row>
    <row r="9630" spans="10:23" x14ac:dyDescent="0.25">
      <c r="J9630"/>
      <c r="M9630"/>
      <c r="W9630"/>
    </row>
    <row r="9631" spans="10:23" x14ac:dyDescent="0.25">
      <c r="J9631"/>
      <c r="M9631"/>
      <c r="W9631"/>
    </row>
    <row r="9632" spans="10:23" x14ac:dyDescent="0.25">
      <c r="J9632"/>
      <c r="M9632"/>
      <c r="W9632"/>
    </row>
    <row r="9633" spans="10:23" x14ac:dyDescent="0.25">
      <c r="J9633"/>
      <c r="M9633"/>
      <c r="W9633"/>
    </row>
    <row r="9634" spans="10:23" x14ac:dyDescent="0.25">
      <c r="J9634"/>
      <c r="M9634"/>
      <c r="W9634"/>
    </row>
    <row r="9635" spans="10:23" x14ac:dyDescent="0.25">
      <c r="J9635"/>
      <c r="M9635"/>
      <c r="W9635"/>
    </row>
    <row r="9636" spans="10:23" x14ac:dyDescent="0.25">
      <c r="J9636"/>
      <c r="M9636"/>
      <c r="W9636"/>
    </row>
    <row r="9637" spans="10:23" x14ac:dyDescent="0.25">
      <c r="J9637"/>
      <c r="M9637"/>
      <c r="W9637"/>
    </row>
    <row r="9638" spans="10:23" x14ac:dyDescent="0.25">
      <c r="J9638"/>
      <c r="M9638"/>
      <c r="W9638"/>
    </row>
    <row r="9639" spans="10:23" x14ac:dyDescent="0.25">
      <c r="J9639"/>
      <c r="M9639"/>
      <c r="W9639"/>
    </row>
    <row r="9640" spans="10:23" x14ac:dyDescent="0.25">
      <c r="J9640"/>
      <c r="M9640"/>
      <c r="W9640"/>
    </row>
    <row r="9641" spans="10:23" x14ac:dyDescent="0.25">
      <c r="J9641"/>
      <c r="M9641"/>
      <c r="W9641"/>
    </row>
    <row r="9642" spans="10:23" x14ac:dyDescent="0.25">
      <c r="J9642"/>
      <c r="M9642"/>
      <c r="W9642"/>
    </row>
    <row r="9643" spans="10:23" x14ac:dyDescent="0.25">
      <c r="J9643"/>
      <c r="M9643"/>
      <c r="W9643"/>
    </row>
    <row r="9644" spans="10:23" x14ac:dyDescent="0.25">
      <c r="J9644"/>
      <c r="M9644"/>
      <c r="W9644"/>
    </row>
    <row r="9645" spans="10:23" x14ac:dyDescent="0.25">
      <c r="J9645"/>
      <c r="M9645"/>
      <c r="W9645"/>
    </row>
    <row r="9646" spans="10:23" x14ac:dyDescent="0.25">
      <c r="J9646"/>
      <c r="M9646"/>
      <c r="W9646"/>
    </row>
    <row r="9647" spans="10:23" x14ac:dyDescent="0.25">
      <c r="J9647"/>
      <c r="M9647"/>
      <c r="W9647"/>
    </row>
    <row r="9648" spans="10:23" x14ac:dyDescent="0.25">
      <c r="J9648"/>
      <c r="M9648"/>
      <c r="W9648"/>
    </row>
    <row r="9649" spans="10:23" x14ac:dyDescent="0.25">
      <c r="J9649"/>
      <c r="M9649"/>
      <c r="W9649"/>
    </row>
    <row r="9650" spans="10:23" x14ac:dyDescent="0.25">
      <c r="J9650"/>
      <c r="M9650"/>
      <c r="W9650"/>
    </row>
    <row r="9651" spans="10:23" x14ac:dyDescent="0.25">
      <c r="J9651"/>
      <c r="M9651"/>
      <c r="W9651"/>
    </row>
    <row r="9652" spans="10:23" x14ac:dyDescent="0.25">
      <c r="J9652"/>
      <c r="M9652"/>
      <c r="W9652"/>
    </row>
    <row r="9653" spans="10:23" x14ac:dyDescent="0.25">
      <c r="J9653"/>
      <c r="M9653"/>
      <c r="W9653"/>
    </row>
    <row r="9654" spans="10:23" x14ac:dyDescent="0.25">
      <c r="J9654"/>
      <c r="M9654"/>
      <c r="W9654"/>
    </row>
    <row r="9655" spans="10:23" x14ac:dyDescent="0.25">
      <c r="J9655"/>
      <c r="M9655"/>
      <c r="W9655"/>
    </row>
    <row r="9656" spans="10:23" x14ac:dyDescent="0.25">
      <c r="J9656"/>
      <c r="M9656"/>
      <c r="W9656"/>
    </row>
    <row r="9657" spans="10:23" x14ac:dyDescent="0.25">
      <c r="J9657"/>
      <c r="M9657"/>
      <c r="W9657"/>
    </row>
    <row r="9658" spans="10:23" x14ac:dyDescent="0.25">
      <c r="J9658"/>
      <c r="M9658"/>
      <c r="W9658"/>
    </row>
    <row r="9659" spans="10:23" x14ac:dyDescent="0.25">
      <c r="J9659"/>
      <c r="M9659"/>
      <c r="W9659"/>
    </row>
    <row r="9660" spans="10:23" x14ac:dyDescent="0.25">
      <c r="J9660"/>
      <c r="M9660"/>
      <c r="W9660"/>
    </row>
    <row r="9661" spans="10:23" x14ac:dyDescent="0.25">
      <c r="J9661"/>
      <c r="M9661"/>
      <c r="W9661"/>
    </row>
    <row r="9662" spans="10:23" x14ac:dyDescent="0.25">
      <c r="J9662"/>
      <c r="M9662"/>
      <c r="W9662"/>
    </row>
    <row r="9663" spans="10:23" x14ac:dyDescent="0.25">
      <c r="J9663"/>
      <c r="M9663"/>
      <c r="W9663"/>
    </row>
    <row r="9664" spans="10:23" x14ac:dyDescent="0.25">
      <c r="J9664"/>
      <c r="M9664"/>
      <c r="W9664"/>
    </row>
    <row r="9665" spans="10:23" x14ac:dyDescent="0.25">
      <c r="J9665"/>
      <c r="M9665"/>
      <c r="W9665"/>
    </row>
    <row r="9666" spans="10:23" x14ac:dyDescent="0.25">
      <c r="J9666"/>
      <c r="M9666"/>
      <c r="W9666"/>
    </row>
    <row r="9667" spans="10:23" x14ac:dyDescent="0.25">
      <c r="J9667"/>
      <c r="M9667"/>
      <c r="W9667"/>
    </row>
    <row r="9668" spans="10:23" x14ac:dyDescent="0.25">
      <c r="J9668"/>
      <c r="M9668"/>
      <c r="W9668"/>
    </row>
    <row r="9669" spans="10:23" x14ac:dyDescent="0.25">
      <c r="J9669"/>
      <c r="M9669"/>
      <c r="W9669"/>
    </row>
    <row r="9670" spans="10:23" x14ac:dyDescent="0.25">
      <c r="J9670"/>
      <c r="M9670"/>
      <c r="W9670"/>
    </row>
    <row r="9671" spans="10:23" x14ac:dyDescent="0.25">
      <c r="J9671"/>
      <c r="M9671"/>
      <c r="W9671"/>
    </row>
    <row r="9672" spans="10:23" x14ac:dyDescent="0.25">
      <c r="J9672"/>
      <c r="M9672"/>
      <c r="W9672"/>
    </row>
    <row r="9673" spans="10:23" x14ac:dyDescent="0.25">
      <c r="J9673"/>
      <c r="M9673"/>
      <c r="W9673"/>
    </row>
    <row r="9674" spans="10:23" x14ac:dyDescent="0.25">
      <c r="J9674"/>
      <c r="M9674"/>
      <c r="W9674"/>
    </row>
    <row r="9675" spans="10:23" x14ac:dyDescent="0.25">
      <c r="J9675"/>
      <c r="M9675"/>
      <c r="W9675"/>
    </row>
    <row r="9676" spans="10:23" x14ac:dyDescent="0.25">
      <c r="J9676"/>
      <c r="M9676"/>
      <c r="W9676"/>
    </row>
    <row r="9677" spans="10:23" x14ac:dyDescent="0.25">
      <c r="J9677"/>
      <c r="M9677"/>
      <c r="W9677"/>
    </row>
    <row r="9678" spans="10:23" x14ac:dyDescent="0.25">
      <c r="J9678"/>
      <c r="M9678"/>
      <c r="W9678"/>
    </row>
    <row r="9679" spans="10:23" x14ac:dyDescent="0.25">
      <c r="J9679"/>
      <c r="M9679"/>
      <c r="W9679"/>
    </row>
    <row r="9680" spans="10:23" x14ac:dyDescent="0.25">
      <c r="J9680"/>
      <c r="M9680"/>
      <c r="W9680"/>
    </row>
    <row r="9681" spans="10:23" x14ac:dyDescent="0.25">
      <c r="J9681"/>
      <c r="M9681"/>
      <c r="W9681"/>
    </row>
    <row r="9682" spans="10:23" x14ac:dyDescent="0.25">
      <c r="J9682"/>
      <c r="M9682"/>
      <c r="W9682"/>
    </row>
    <row r="9683" spans="10:23" x14ac:dyDescent="0.25">
      <c r="J9683"/>
      <c r="M9683"/>
      <c r="W9683"/>
    </row>
    <row r="9684" spans="10:23" x14ac:dyDescent="0.25">
      <c r="J9684"/>
      <c r="M9684"/>
      <c r="W9684"/>
    </row>
    <row r="9685" spans="10:23" x14ac:dyDescent="0.25">
      <c r="J9685"/>
      <c r="M9685"/>
      <c r="W9685"/>
    </row>
    <row r="9686" spans="10:23" x14ac:dyDescent="0.25">
      <c r="J9686"/>
      <c r="M9686"/>
      <c r="W9686"/>
    </row>
    <row r="9687" spans="10:23" x14ac:dyDescent="0.25">
      <c r="J9687"/>
      <c r="M9687"/>
      <c r="W9687"/>
    </row>
    <row r="9688" spans="10:23" x14ac:dyDescent="0.25">
      <c r="J9688"/>
      <c r="M9688"/>
      <c r="W9688"/>
    </row>
    <row r="9689" spans="10:23" x14ac:dyDescent="0.25">
      <c r="J9689"/>
      <c r="M9689"/>
      <c r="W9689"/>
    </row>
    <row r="9690" spans="10:23" x14ac:dyDescent="0.25">
      <c r="J9690"/>
      <c r="M9690"/>
      <c r="W9690"/>
    </row>
    <row r="9691" spans="10:23" x14ac:dyDescent="0.25">
      <c r="J9691"/>
      <c r="M9691"/>
      <c r="W9691"/>
    </row>
    <row r="9692" spans="10:23" x14ac:dyDescent="0.25">
      <c r="J9692"/>
      <c r="M9692"/>
      <c r="W9692"/>
    </row>
    <row r="9693" spans="10:23" x14ac:dyDescent="0.25">
      <c r="J9693"/>
      <c r="M9693"/>
      <c r="W9693"/>
    </row>
    <row r="9694" spans="10:23" x14ac:dyDescent="0.25">
      <c r="J9694"/>
      <c r="M9694"/>
      <c r="W9694"/>
    </row>
    <row r="9695" spans="10:23" x14ac:dyDescent="0.25">
      <c r="J9695"/>
      <c r="M9695"/>
      <c r="W9695"/>
    </row>
    <row r="9696" spans="10:23" x14ac:dyDescent="0.25">
      <c r="J9696"/>
      <c r="M9696"/>
      <c r="W9696"/>
    </row>
    <row r="9697" spans="10:23" x14ac:dyDescent="0.25">
      <c r="J9697"/>
      <c r="M9697"/>
      <c r="W9697"/>
    </row>
    <row r="9698" spans="10:23" x14ac:dyDescent="0.25">
      <c r="J9698"/>
      <c r="M9698"/>
      <c r="W9698"/>
    </row>
    <row r="9699" spans="10:23" x14ac:dyDescent="0.25">
      <c r="J9699"/>
      <c r="M9699"/>
      <c r="W9699"/>
    </row>
    <row r="9700" spans="10:23" x14ac:dyDescent="0.25">
      <c r="J9700"/>
      <c r="M9700"/>
      <c r="W9700"/>
    </row>
    <row r="9701" spans="10:23" x14ac:dyDescent="0.25">
      <c r="J9701"/>
      <c r="M9701"/>
      <c r="W9701"/>
    </row>
    <row r="9702" spans="10:23" x14ac:dyDescent="0.25">
      <c r="J9702"/>
      <c r="M9702"/>
      <c r="W9702"/>
    </row>
    <row r="9703" spans="10:23" x14ac:dyDescent="0.25">
      <c r="J9703"/>
      <c r="M9703"/>
      <c r="W9703"/>
    </row>
    <row r="9704" spans="10:23" x14ac:dyDescent="0.25">
      <c r="J9704"/>
      <c r="M9704"/>
      <c r="W9704"/>
    </row>
    <row r="9705" spans="10:23" x14ac:dyDescent="0.25">
      <c r="J9705"/>
      <c r="M9705"/>
      <c r="W9705"/>
    </row>
    <row r="9706" spans="10:23" x14ac:dyDescent="0.25">
      <c r="J9706"/>
      <c r="M9706"/>
      <c r="W9706"/>
    </row>
    <row r="9707" spans="10:23" x14ac:dyDescent="0.25">
      <c r="J9707"/>
      <c r="M9707"/>
      <c r="W9707"/>
    </row>
    <row r="9708" spans="10:23" x14ac:dyDescent="0.25">
      <c r="J9708"/>
      <c r="M9708"/>
      <c r="W9708"/>
    </row>
    <row r="9709" spans="10:23" x14ac:dyDescent="0.25">
      <c r="J9709"/>
      <c r="M9709"/>
      <c r="W9709"/>
    </row>
    <row r="9710" spans="10:23" x14ac:dyDescent="0.25">
      <c r="J9710"/>
      <c r="M9710"/>
      <c r="W9710"/>
    </row>
    <row r="9711" spans="10:23" x14ac:dyDescent="0.25">
      <c r="J9711"/>
      <c r="M9711"/>
      <c r="W9711"/>
    </row>
    <row r="9712" spans="10:23" x14ac:dyDescent="0.25">
      <c r="J9712"/>
      <c r="M9712"/>
      <c r="W9712"/>
    </row>
    <row r="9713" spans="10:23" x14ac:dyDescent="0.25">
      <c r="J9713"/>
      <c r="M9713"/>
      <c r="W9713"/>
    </row>
    <row r="9714" spans="10:23" x14ac:dyDescent="0.25">
      <c r="J9714"/>
      <c r="M9714"/>
      <c r="W9714"/>
    </row>
    <row r="9715" spans="10:23" x14ac:dyDescent="0.25">
      <c r="J9715"/>
      <c r="M9715"/>
      <c r="W9715"/>
    </row>
    <row r="9716" spans="10:23" x14ac:dyDescent="0.25">
      <c r="J9716"/>
      <c r="M9716"/>
      <c r="W9716"/>
    </row>
    <row r="9717" spans="10:23" x14ac:dyDescent="0.25">
      <c r="J9717"/>
      <c r="M9717"/>
      <c r="W9717"/>
    </row>
    <row r="9718" spans="10:23" x14ac:dyDescent="0.25">
      <c r="J9718"/>
      <c r="M9718"/>
      <c r="W9718"/>
    </row>
    <row r="9719" spans="10:23" x14ac:dyDescent="0.25">
      <c r="J9719"/>
      <c r="M9719"/>
      <c r="W9719"/>
    </row>
    <row r="9720" spans="10:23" x14ac:dyDescent="0.25">
      <c r="J9720"/>
      <c r="M9720"/>
      <c r="W9720"/>
    </row>
    <row r="9721" spans="10:23" x14ac:dyDescent="0.25">
      <c r="J9721"/>
      <c r="M9721"/>
      <c r="W9721"/>
    </row>
    <row r="9722" spans="10:23" x14ac:dyDescent="0.25">
      <c r="J9722"/>
      <c r="M9722"/>
      <c r="W9722"/>
    </row>
    <row r="9723" spans="10:23" x14ac:dyDescent="0.25">
      <c r="J9723"/>
      <c r="M9723"/>
      <c r="W9723"/>
    </row>
    <row r="9724" spans="10:23" x14ac:dyDescent="0.25">
      <c r="J9724"/>
      <c r="M9724"/>
      <c r="W9724"/>
    </row>
    <row r="9725" spans="10:23" x14ac:dyDescent="0.25">
      <c r="J9725"/>
      <c r="M9725"/>
      <c r="W9725"/>
    </row>
    <row r="9726" spans="10:23" x14ac:dyDescent="0.25">
      <c r="J9726"/>
      <c r="M9726"/>
      <c r="W9726"/>
    </row>
    <row r="9727" spans="10:23" x14ac:dyDescent="0.25">
      <c r="J9727"/>
      <c r="M9727"/>
      <c r="W9727"/>
    </row>
    <row r="9728" spans="10:23" x14ac:dyDescent="0.25">
      <c r="J9728"/>
      <c r="M9728"/>
      <c r="W9728"/>
    </row>
    <row r="9729" spans="10:23" x14ac:dyDescent="0.25">
      <c r="J9729"/>
      <c r="M9729"/>
      <c r="W9729"/>
    </row>
    <row r="9730" spans="10:23" x14ac:dyDescent="0.25">
      <c r="J9730"/>
      <c r="M9730"/>
      <c r="W9730"/>
    </row>
    <row r="9731" spans="10:23" x14ac:dyDescent="0.25">
      <c r="J9731"/>
      <c r="M9731"/>
      <c r="W9731"/>
    </row>
    <row r="9732" spans="10:23" x14ac:dyDescent="0.25">
      <c r="J9732"/>
      <c r="M9732"/>
      <c r="W9732"/>
    </row>
    <row r="9733" spans="10:23" x14ac:dyDescent="0.25">
      <c r="J9733"/>
      <c r="M9733"/>
      <c r="W9733"/>
    </row>
    <row r="9734" spans="10:23" x14ac:dyDescent="0.25">
      <c r="J9734"/>
      <c r="M9734"/>
      <c r="W9734"/>
    </row>
    <row r="9735" spans="10:23" x14ac:dyDescent="0.25">
      <c r="J9735"/>
      <c r="M9735"/>
      <c r="W9735"/>
    </row>
    <row r="9736" spans="10:23" x14ac:dyDescent="0.25">
      <c r="J9736"/>
      <c r="M9736"/>
      <c r="W9736"/>
    </row>
    <row r="9737" spans="10:23" x14ac:dyDescent="0.25">
      <c r="J9737"/>
      <c r="M9737"/>
      <c r="W9737"/>
    </row>
    <row r="9738" spans="10:23" x14ac:dyDescent="0.25">
      <c r="J9738"/>
      <c r="M9738"/>
      <c r="W9738"/>
    </row>
    <row r="9739" spans="10:23" x14ac:dyDescent="0.25">
      <c r="J9739"/>
      <c r="M9739"/>
      <c r="W9739"/>
    </row>
    <row r="9740" spans="10:23" x14ac:dyDescent="0.25">
      <c r="J9740"/>
      <c r="M9740"/>
      <c r="W9740"/>
    </row>
    <row r="9741" spans="10:23" x14ac:dyDescent="0.25">
      <c r="J9741"/>
      <c r="M9741"/>
      <c r="W9741"/>
    </row>
    <row r="9742" spans="10:23" x14ac:dyDescent="0.25">
      <c r="J9742"/>
      <c r="M9742"/>
      <c r="W9742"/>
    </row>
    <row r="9743" spans="10:23" x14ac:dyDescent="0.25">
      <c r="J9743"/>
      <c r="M9743"/>
      <c r="W9743"/>
    </row>
    <row r="9744" spans="10:23" x14ac:dyDescent="0.25">
      <c r="J9744"/>
      <c r="M9744"/>
      <c r="W9744"/>
    </row>
    <row r="9745" spans="10:23" x14ac:dyDescent="0.25">
      <c r="J9745"/>
      <c r="M9745"/>
      <c r="W9745"/>
    </row>
    <row r="9746" spans="10:23" x14ac:dyDescent="0.25">
      <c r="J9746"/>
      <c r="M9746"/>
      <c r="W9746"/>
    </row>
    <row r="9747" spans="10:23" x14ac:dyDescent="0.25">
      <c r="J9747"/>
      <c r="M9747"/>
      <c r="W9747"/>
    </row>
    <row r="9748" spans="10:23" x14ac:dyDescent="0.25">
      <c r="J9748"/>
      <c r="M9748"/>
      <c r="W9748"/>
    </row>
    <row r="9749" spans="10:23" x14ac:dyDescent="0.25">
      <c r="J9749"/>
      <c r="M9749"/>
      <c r="W9749"/>
    </row>
    <row r="9750" spans="10:23" x14ac:dyDescent="0.25">
      <c r="J9750"/>
      <c r="M9750"/>
      <c r="W9750"/>
    </row>
    <row r="9751" spans="10:23" x14ac:dyDescent="0.25">
      <c r="J9751"/>
      <c r="M9751"/>
      <c r="W9751"/>
    </row>
    <row r="9752" spans="10:23" x14ac:dyDescent="0.25">
      <c r="J9752"/>
      <c r="M9752"/>
      <c r="W9752"/>
    </row>
    <row r="9753" spans="10:23" x14ac:dyDescent="0.25">
      <c r="J9753"/>
      <c r="M9753"/>
      <c r="W9753"/>
    </row>
    <row r="9754" spans="10:23" x14ac:dyDescent="0.25">
      <c r="J9754"/>
      <c r="M9754"/>
      <c r="W9754"/>
    </row>
    <row r="9755" spans="10:23" x14ac:dyDescent="0.25">
      <c r="J9755"/>
      <c r="M9755"/>
      <c r="W9755"/>
    </row>
    <row r="9756" spans="10:23" x14ac:dyDescent="0.25">
      <c r="J9756"/>
      <c r="M9756"/>
      <c r="W9756"/>
    </row>
    <row r="9757" spans="10:23" x14ac:dyDescent="0.25">
      <c r="J9757"/>
      <c r="M9757"/>
      <c r="W9757"/>
    </row>
    <row r="9758" spans="10:23" x14ac:dyDescent="0.25">
      <c r="J9758"/>
      <c r="M9758"/>
      <c r="W9758"/>
    </row>
    <row r="9759" spans="10:23" x14ac:dyDescent="0.25">
      <c r="J9759"/>
      <c r="M9759"/>
      <c r="W9759"/>
    </row>
    <row r="9760" spans="10:23" x14ac:dyDescent="0.25">
      <c r="J9760"/>
      <c r="M9760"/>
      <c r="W9760"/>
    </row>
    <row r="9761" spans="10:23" x14ac:dyDescent="0.25">
      <c r="J9761"/>
      <c r="M9761"/>
      <c r="W9761"/>
    </row>
    <row r="9762" spans="10:23" x14ac:dyDescent="0.25">
      <c r="J9762"/>
      <c r="M9762"/>
      <c r="W9762"/>
    </row>
    <row r="9763" spans="10:23" x14ac:dyDescent="0.25">
      <c r="J9763"/>
      <c r="M9763"/>
      <c r="W9763"/>
    </row>
    <row r="9764" spans="10:23" x14ac:dyDescent="0.25">
      <c r="J9764"/>
      <c r="M9764"/>
      <c r="W9764"/>
    </row>
    <row r="9765" spans="10:23" x14ac:dyDescent="0.25">
      <c r="J9765"/>
      <c r="M9765"/>
      <c r="W9765"/>
    </row>
    <row r="9766" spans="10:23" x14ac:dyDescent="0.25">
      <c r="J9766"/>
      <c r="M9766"/>
      <c r="W9766"/>
    </row>
    <row r="9767" spans="10:23" x14ac:dyDescent="0.25">
      <c r="J9767"/>
      <c r="M9767"/>
      <c r="W9767"/>
    </row>
    <row r="9768" spans="10:23" x14ac:dyDescent="0.25">
      <c r="J9768"/>
      <c r="M9768"/>
      <c r="W9768"/>
    </row>
    <row r="9769" spans="10:23" x14ac:dyDescent="0.25">
      <c r="J9769"/>
      <c r="M9769"/>
      <c r="W9769"/>
    </row>
    <row r="9770" spans="10:23" x14ac:dyDescent="0.25">
      <c r="J9770"/>
      <c r="M9770"/>
      <c r="W9770"/>
    </row>
    <row r="9771" spans="10:23" x14ac:dyDescent="0.25">
      <c r="J9771"/>
      <c r="M9771"/>
      <c r="W9771"/>
    </row>
    <row r="9772" spans="10:23" x14ac:dyDescent="0.25">
      <c r="J9772"/>
      <c r="M9772"/>
      <c r="W9772"/>
    </row>
    <row r="9773" spans="10:23" x14ac:dyDescent="0.25">
      <c r="J9773"/>
      <c r="M9773"/>
      <c r="W9773"/>
    </row>
    <row r="9774" spans="10:23" x14ac:dyDescent="0.25">
      <c r="J9774"/>
      <c r="M9774"/>
      <c r="W9774"/>
    </row>
    <row r="9775" spans="10:23" x14ac:dyDescent="0.25">
      <c r="J9775"/>
      <c r="M9775"/>
      <c r="W9775"/>
    </row>
    <row r="9776" spans="10:23" x14ac:dyDescent="0.25">
      <c r="J9776"/>
      <c r="M9776"/>
      <c r="W9776"/>
    </row>
    <row r="9777" spans="10:23" x14ac:dyDescent="0.25">
      <c r="J9777"/>
      <c r="M9777"/>
      <c r="W9777"/>
    </row>
    <row r="9778" spans="10:23" x14ac:dyDescent="0.25">
      <c r="J9778"/>
      <c r="M9778"/>
      <c r="W9778"/>
    </row>
    <row r="9779" spans="10:23" x14ac:dyDescent="0.25">
      <c r="J9779"/>
      <c r="M9779"/>
      <c r="W9779"/>
    </row>
    <row r="9780" spans="10:23" x14ac:dyDescent="0.25">
      <c r="J9780"/>
      <c r="M9780"/>
      <c r="W9780"/>
    </row>
    <row r="9781" spans="10:23" x14ac:dyDescent="0.25">
      <c r="J9781"/>
      <c r="M9781"/>
      <c r="W9781"/>
    </row>
    <row r="9782" spans="10:23" x14ac:dyDescent="0.25">
      <c r="J9782"/>
      <c r="M9782"/>
      <c r="W9782"/>
    </row>
    <row r="9783" spans="10:23" x14ac:dyDescent="0.25">
      <c r="J9783"/>
      <c r="M9783"/>
      <c r="W9783"/>
    </row>
    <row r="9784" spans="10:23" x14ac:dyDescent="0.25">
      <c r="J9784"/>
      <c r="M9784"/>
      <c r="W9784"/>
    </row>
    <row r="9785" spans="10:23" x14ac:dyDescent="0.25">
      <c r="J9785"/>
      <c r="M9785"/>
      <c r="W9785"/>
    </row>
    <row r="9786" spans="10:23" x14ac:dyDescent="0.25">
      <c r="J9786"/>
      <c r="M9786"/>
      <c r="W9786"/>
    </row>
    <row r="9787" spans="10:23" x14ac:dyDescent="0.25">
      <c r="J9787"/>
      <c r="M9787"/>
      <c r="W9787"/>
    </row>
    <row r="9788" spans="10:23" x14ac:dyDescent="0.25">
      <c r="J9788"/>
      <c r="M9788"/>
      <c r="W9788"/>
    </row>
    <row r="9789" spans="10:23" x14ac:dyDescent="0.25">
      <c r="J9789"/>
      <c r="M9789"/>
      <c r="W9789"/>
    </row>
    <row r="9790" spans="10:23" x14ac:dyDescent="0.25">
      <c r="J9790"/>
      <c r="M9790"/>
      <c r="W9790"/>
    </row>
    <row r="9791" spans="10:23" x14ac:dyDescent="0.25">
      <c r="J9791"/>
      <c r="M9791"/>
      <c r="W9791"/>
    </row>
    <row r="9792" spans="10:23" x14ac:dyDescent="0.25">
      <c r="J9792"/>
      <c r="M9792"/>
      <c r="W9792"/>
    </row>
    <row r="9793" spans="10:23" x14ac:dyDescent="0.25">
      <c r="J9793"/>
      <c r="M9793"/>
      <c r="W9793"/>
    </row>
    <row r="9794" spans="10:23" x14ac:dyDescent="0.25">
      <c r="J9794"/>
      <c r="M9794"/>
      <c r="W9794"/>
    </row>
    <row r="9795" spans="10:23" x14ac:dyDescent="0.25">
      <c r="J9795"/>
      <c r="M9795"/>
      <c r="W9795"/>
    </row>
    <row r="9796" spans="10:23" x14ac:dyDescent="0.25">
      <c r="J9796"/>
      <c r="M9796"/>
      <c r="W9796"/>
    </row>
    <row r="9797" spans="10:23" x14ac:dyDescent="0.25">
      <c r="J9797"/>
      <c r="M9797"/>
      <c r="W9797"/>
    </row>
    <row r="9798" spans="10:23" x14ac:dyDescent="0.25">
      <c r="J9798"/>
      <c r="M9798"/>
      <c r="W9798"/>
    </row>
    <row r="9799" spans="10:23" x14ac:dyDescent="0.25">
      <c r="J9799"/>
      <c r="M9799"/>
      <c r="W9799"/>
    </row>
    <row r="9800" spans="10:23" x14ac:dyDescent="0.25">
      <c r="J9800"/>
      <c r="M9800"/>
      <c r="W9800"/>
    </row>
    <row r="9801" spans="10:23" x14ac:dyDescent="0.25">
      <c r="J9801"/>
      <c r="M9801"/>
      <c r="W9801"/>
    </row>
    <row r="9802" spans="10:23" x14ac:dyDescent="0.25">
      <c r="J9802"/>
      <c r="M9802"/>
      <c r="W9802"/>
    </row>
    <row r="9803" spans="10:23" x14ac:dyDescent="0.25">
      <c r="J9803"/>
      <c r="M9803"/>
      <c r="W9803"/>
    </row>
    <row r="9804" spans="10:23" x14ac:dyDescent="0.25">
      <c r="J9804"/>
      <c r="M9804"/>
      <c r="W9804"/>
    </row>
    <row r="9805" spans="10:23" x14ac:dyDescent="0.25">
      <c r="J9805"/>
      <c r="M9805"/>
      <c r="W9805"/>
    </row>
    <row r="9806" spans="10:23" x14ac:dyDescent="0.25">
      <c r="J9806"/>
      <c r="M9806"/>
      <c r="W9806"/>
    </row>
    <row r="9807" spans="10:23" x14ac:dyDescent="0.25">
      <c r="J9807"/>
      <c r="M9807"/>
      <c r="W9807"/>
    </row>
    <row r="9808" spans="10:23" x14ac:dyDescent="0.25">
      <c r="J9808"/>
      <c r="M9808"/>
      <c r="W9808"/>
    </row>
    <row r="9809" spans="10:23" x14ac:dyDescent="0.25">
      <c r="J9809"/>
      <c r="M9809"/>
      <c r="W9809"/>
    </row>
    <row r="9810" spans="10:23" x14ac:dyDescent="0.25">
      <c r="J9810"/>
      <c r="M9810"/>
      <c r="W9810"/>
    </row>
    <row r="9811" spans="10:23" x14ac:dyDescent="0.25">
      <c r="J9811"/>
      <c r="M9811"/>
      <c r="W9811"/>
    </row>
    <row r="9812" spans="10:23" x14ac:dyDescent="0.25">
      <c r="J9812"/>
      <c r="M9812"/>
      <c r="W9812"/>
    </row>
    <row r="9813" spans="10:23" x14ac:dyDescent="0.25">
      <c r="J9813"/>
      <c r="M9813"/>
      <c r="W9813"/>
    </row>
    <row r="9814" spans="10:23" x14ac:dyDescent="0.25">
      <c r="J9814"/>
      <c r="M9814"/>
      <c r="W9814"/>
    </row>
    <row r="9815" spans="10:23" x14ac:dyDescent="0.25">
      <c r="J9815"/>
      <c r="M9815"/>
      <c r="W9815"/>
    </row>
    <row r="9816" spans="10:23" x14ac:dyDescent="0.25">
      <c r="J9816"/>
      <c r="M9816"/>
      <c r="W9816"/>
    </row>
    <row r="9817" spans="10:23" x14ac:dyDescent="0.25">
      <c r="J9817"/>
      <c r="M9817"/>
      <c r="W9817"/>
    </row>
    <row r="9818" spans="10:23" x14ac:dyDescent="0.25">
      <c r="J9818"/>
      <c r="M9818"/>
      <c r="W9818"/>
    </row>
    <row r="9819" spans="10:23" x14ac:dyDescent="0.25">
      <c r="J9819"/>
      <c r="M9819"/>
      <c r="W9819"/>
    </row>
    <row r="9820" spans="10:23" x14ac:dyDescent="0.25">
      <c r="J9820"/>
      <c r="M9820"/>
      <c r="W9820"/>
    </row>
    <row r="9821" spans="10:23" x14ac:dyDescent="0.25">
      <c r="J9821"/>
      <c r="M9821"/>
      <c r="W9821"/>
    </row>
    <row r="9822" spans="10:23" x14ac:dyDescent="0.25">
      <c r="J9822"/>
      <c r="M9822"/>
      <c r="W9822"/>
    </row>
    <row r="9823" spans="10:23" x14ac:dyDescent="0.25">
      <c r="J9823"/>
      <c r="M9823"/>
      <c r="W9823"/>
    </row>
    <row r="9824" spans="10:23" x14ac:dyDescent="0.25">
      <c r="J9824"/>
      <c r="M9824"/>
      <c r="W9824"/>
    </row>
    <row r="9825" spans="10:23" x14ac:dyDescent="0.25">
      <c r="J9825"/>
      <c r="M9825"/>
      <c r="W9825"/>
    </row>
    <row r="9826" spans="10:23" x14ac:dyDescent="0.25">
      <c r="J9826"/>
      <c r="M9826"/>
      <c r="W9826"/>
    </row>
    <row r="9827" spans="10:23" x14ac:dyDescent="0.25">
      <c r="J9827"/>
      <c r="M9827"/>
      <c r="W9827"/>
    </row>
    <row r="9828" spans="10:23" x14ac:dyDescent="0.25">
      <c r="J9828"/>
      <c r="M9828"/>
      <c r="W9828"/>
    </row>
    <row r="9829" spans="10:23" x14ac:dyDescent="0.25">
      <c r="J9829"/>
      <c r="M9829"/>
      <c r="W9829"/>
    </row>
    <row r="9830" spans="10:23" x14ac:dyDescent="0.25">
      <c r="J9830"/>
      <c r="M9830"/>
      <c r="W9830"/>
    </row>
    <row r="9831" spans="10:23" x14ac:dyDescent="0.25">
      <c r="J9831"/>
      <c r="M9831"/>
      <c r="W9831"/>
    </row>
    <row r="9832" spans="10:23" x14ac:dyDescent="0.25">
      <c r="J9832"/>
      <c r="M9832"/>
      <c r="W9832"/>
    </row>
    <row r="9833" spans="10:23" x14ac:dyDescent="0.25">
      <c r="J9833"/>
      <c r="M9833"/>
      <c r="W9833"/>
    </row>
    <row r="9834" spans="10:23" x14ac:dyDescent="0.25">
      <c r="J9834"/>
      <c r="M9834"/>
      <c r="W9834"/>
    </row>
    <row r="9835" spans="10:23" x14ac:dyDescent="0.25">
      <c r="J9835"/>
      <c r="M9835"/>
      <c r="W9835"/>
    </row>
    <row r="9836" spans="10:23" x14ac:dyDescent="0.25">
      <c r="J9836"/>
      <c r="M9836"/>
      <c r="W9836"/>
    </row>
    <row r="9837" spans="10:23" x14ac:dyDescent="0.25">
      <c r="J9837"/>
      <c r="M9837"/>
      <c r="W9837"/>
    </row>
    <row r="9838" spans="10:23" x14ac:dyDescent="0.25">
      <c r="J9838"/>
      <c r="M9838"/>
      <c r="W9838"/>
    </row>
    <row r="9839" spans="10:23" x14ac:dyDescent="0.25">
      <c r="J9839"/>
      <c r="M9839"/>
      <c r="W9839"/>
    </row>
    <row r="9840" spans="10:23" x14ac:dyDescent="0.25">
      <c r="J9840"/>
      <c r="M9840"/>
      <c r="W9840"/>
    </row>
    <row r="9841" spans="10:23" x14ac:dyDescent="0.25">
      <c r="J9841"/>
      <c r="M9841"/>
      <c r="W9841"/>
    </row>
    <row r="9842" spans="10:23" x14ac:dyDescent="0.25">
      <c r="J9842"/>
      <c r="M9842"/>
      <c r="W9842"/>
    </row>
    <row r="9843" spans="10:23" x14ac:dyDescent="0.25">
      <c r="J9843"/>
      <c r="M9843"/>
      <c r="W9843"/>
    </row>
    <row r="9844" spans="10:23" x14ac:dyDescent="0.25">
      <c r="J9844"/>
      <c r="M9844"/>
      <c r="W9844"/>
    </row>
    <row r="9845" spans="10:23" x14ac:dyDescent="0.25">
      <c r="J9845"/>
      <c r="M9845"/>
      <c r="W9845"/>
    </row>
    <row r="9846" spans="10:23" x14ac:dyDescent="0.25">
      <c r="J9846"/>
      <c r="M9846"/>
      <c r="W9846"/>
    </row>
    <row r="9847" spans="10:23" x14ac:dyDescent="0.25">
      <c r="J9847"/>
      <c r="M9847"/>
      <c r="W9847"/>
    </row>
    <row r="9848" spans="10:23" x14ac:dyDescent="0.25">
      <c r="J9848"/>
      <c r="M9848"/>
      <c r="W9848"/>
    </row>
    <row r="9849" spans="10:23" x14ac:dyDescent="0.25">
      <c r="J9849"/>
      <c r="M9849"/>
      <c r="W9849"/>
    </row>
    <row r="9850" spans="10:23" x14ac:dyDescent="0.25">
      <c r="J9850"/>
      <c r="M9850"/>
      <c r="W9850"/>
    </row>
    <row r="9851" spans="10:23" x14ac:dyDescent="0.25">
      <c r="J9851"/>
      <c r="M9851"/>
      <c r="W9851"/>
    </row>
    <row r="9852" spans="10:23" x14ac:dyDescent="0.25">
      <c r="J9852"/>
      <c r="M9852"/>
      <c r="W9852"/>
    </row>
    <row r="9853" spans="10:23" x14ac:dyDescent="0.25">
      <c r="J9853"/>
      <c r="M9853"/>
      <c r="W9853"/>
    </row>
    <row r="9854" spans="10:23" x14ac:dyDescent="0.25">
      <c r="J9854"/>
      <c r="M9854"/>
      <c r="W9854"/>
    </row>
    <row r="9855" spans="10:23" x14ac:dyDescent="0.25">
      <c r="J9855"/>
      <c r="M9855"/>
      <c r="W9855"/>
    </row>
    <row r="9856" spans="10:23" x14ac:dyDescent="0.25">
      <c r="J9856"/>
      <c r="M9856"/>
      <c r="W9856"/>
    </row>
    <row r="9857" spans="10:23" x14ac:dyDescent="0.25">
      <c r="J9857"/>
      <c r="M9857"/>
      <c r="W9857"/>
    </row>
    <row r="9858" spans="10:23" x14ac:dyDescent="0.25">
      <c r="J9858"/>
      <c r="M9858"/>
      <c r="W9858"/>
    </row>
    <row r="9859" spans="10:23" x14ac:dyDescent="0.25">
      <c r="J9859"/>
      <c r="M9859"/>
      <c r="W9859"/>
    </row>
    <row r="9860" spans="10:23" x14ac:dyDescent="0.25">
      <c r="J9860"/>
      <c r="M9860"/>
      <c r="W9860"/>
    </row>
    <row r="9861" spans="10:23" x14ac:dyDescent="0.25">
      <c r="J9861"/>
      <c r="M9861"/>
      <c r="W9861"/>
    </row>
    <row r="9862" spans="10:23" x14ac:dyDescent="0.25">
      <c r="J9862"/>
      <c r="M9862"/>
      <c r="W9862"/>
    </row>
    <row r="9863" spans="10:23" x14ac:dyDescent="0.25">
      <c r="J9863"/>
      <c r="M9863"/>
      <c r="W9863"/>
    </row>
    <row r="9864" spans="10:23" x14ac:dyDescent="0.25">
      <c r="J9864"/>
      <c r="M9864"/>
      <c r="W9864"/>
    </row>
    <row r="9865" spans="10:23" x14ac:dyDescent="0.25">
      <c r="J9865"/>
      <c r="M9865"/>
      <c r="W9865"/>
    </row>
    <row r="9866" spans="10:23" x14ac:dyDescent="0.25">
      <c r="J9866"/>
      <c r="M9866"/>
      <c r="W9866"/>
    </row>
    <row r="9867" spans="10:23" x14ac:dyDescent="0.25">
      <c r="J9867"/>
      <c r="M9867"/>
      <c r="W9867"/>
    </row>
    <row r="9868" spans="10:23" x14ac:dyDescent="0.25">
      <c r="J9868"/>
      <c r="M9868"/>
      <c r="W9868"/>
    </row>
    <row r="9869" spans="10:23" x14ac:dyDescent="0.25">
      <c r="J9869"/>
      <c r="M9869"/>
      <c r="W9869"/>
    </row>
    <row r="9870" spans="10:23" x14ac:dyDescent="0.25">
      <c r="J9870"/>
      <c r="M9870"/>
      <c r="W9870"/>
    </row>
    <row r="9871" spans="10:23" x14ac:dyDescent="0.25">
      <c r="J9871"/>
      <c r="M9871"/>
      <c r="W9871"/>
    </row>
    <row r="9872" spans="10:23" x14ac:dyDescent="0.25">
      <c r="J9872"/>
      <c r="M9872"/>
      <c r="W9872"/>
    </row>
    <row r="9873" spans="10:23" x14ac:dyDescent="0.25">
      <c r="J9873"/>
      <c r="M9873"/>
      <c r="W9873"/>
    </row>
    <row r="9874" spans="10:23" x14ac:dyDescent="0.25">
      <c r="J9874"/>
      <c r="M9874"/>
      <c r="W9874"/>
    </row>
    <row r="9875" spans="10:23" x14ac:dyDescent="0.25">
      <c r="J9875"/>
      <c r="M9875"/>
      <c r="W9875"/>
    </row>
    <row r="9876" spans="10:23" x14ac:dyDescent="0.25">
      <c r="J9876"/>
      <c r="M9876"/>
      <c r="W9876"/>
    </row>
    <row r="9877" spans="10:23" x14ac:dyDescent="0.25">
      <c r="J9877"/>
      <c r="M9877"/>
      <c r="W9877"/>
    </row>
    <row r="9878" spans="10:23" x14ac:dyDescent="0.25">
      <c r="J9878"/>
      <c r="M9878"/>
      <c r="W9878"/>
    </row>
    <row r="9879" spans="10:23" x14ac:dyDescent="0.25">
      <c r="J9879"/>
      <c r="M9879"/>
      <c r="W9879"/>
    </row>
    <row r="9880" spans="10:23" x14ac:dyDescent="0.25">
      <c r="J9880"/>
      <c r="M9880"/>
      <c r="W9880"/>
    </row>
    <row r="9881" spans="10:23" x14ac:dyDescent="0.25">
      <c r="J9881"/>
      <c r="M9881"/>
      <c r="W9881"/>
    </row>
    <row r="9882" spans="10:23" x14ac:dyDescent="0.25">
      <c r="J9882"/>
      <c r="M9882"/>
      <c r="W9882"/>
    </row>
    <row r="9883" spans="10:23" x14ac:dyDescent="0.25">
      <c r="J9883"/>
      <c r="M9883"/>
      <c r="W9883"/>
    </row>
    <row r="9884" spans="10:23" x14ac:dyDescent="0.25">
      <c r="J9884"/>
      <c r="M9884"/>
      <c r="W9884"/>
    </row>
    <row r="9885" spans="10:23" x14ac:dyDescent="0.25">
      <c r="J9885"/>
      <c r="M9885"/>
      <c r="W9885"/>
    </row>
    <row r="9886" spans="10:23" x14ac:dyDescent="0.25">
      <c r="J9886"/>
      <c r="M9886"/>
      <c r="W9886"/>
    </row>
    <row r="9887" spans="10:23" x14ac:dyDescent="0.25">
      <c r="J9887"/>
      <c r="M9887"/>
      <c r="W9887"/>
    </row>
    <row r="9888" spans="10:23" x14ac:dyDescent="0.25">
      <c r="J9888"/>
      <c r="M9888"/>
      <c r="W9888"/>
    </row>
    <row r="9889" spans="10:23" x14ac:dyDescent="0.25">
      <c r="J9889"/>
      <c r="M9889"/>
      <c r="W9889"/>
    </row>
    <row r="9890" spans="10:23" x14ac:dyDescent="0.25">
      <c r="J9890"/>
      <c r="M9890"/>
      <c r="W9890"/>
    </row>
    <row r="9891" spans="10:23" x14ac:dyDescent="0.25">
      <c r="J9891"/>
      <c r="M9891"/>
      <c r="W9891"/>
    </row>
    <row r="9892" spans="10:23" x14ac:dyDescent="0.25">
      <c r="J9892"/>
      <c r="M9892"/>
      <c r="W9892"/>
    </row>
    <row r="9893" spans="10:23" x14ac:dyDescent="0.25">
      <c r="J9893"/>
      <c r="M9893"/>
      <c r="W9893"/>
    </row>
    <row r="9894" spans="10:23" x14ac:dyDescent="0.25">
      <c r="J9894"/>
      <c r="M9894"/>
      <c r="W9894"/>
    </row>
    <row r="9895" spans="10:23" x14ac:dyDescent="0.25">
      <c r="J9895"/>
      <c r="M9895"/>
      <c r="W9895"/>
    </row>
    <row r="9896" spans="10:23" x14ac:dyDescent="0.25">
      <c r="J9896"/>
      <c r="M9896"/>
      <c r="W9896"/>
    </row>
    <row r="9897" spans="10:23" x14ac:dyDescent="0.25">
      <c r="J9897"/>
      <c r="M9897"/>
      <c r="W9897"/>
    </row>
    <row r="9898" spans="10:23" x14ac:dyDescent="0.25">
      <c r="J9898"/>
      <c r="M9898"/>
      <c r="W9898"/>
    </row>
    <row r="9899" spans="10:23" x14ac:dyDescent="0.25">
      <c r="J9899"/>
      <c r="M9899"/>
      <c r="W9899"/>
    </row>
    <row r="9900" spans="10:23" x14ac:dyDescent="0.25">
      <c r="J9900"/>
      <c r="M9900"/>
      <c r="W9900"/>
    </row>
    <row r="9901" spans="10:23" x14ac:dyDescent="0.25">
      <c r="J9901"/>
      <c r="M9901"/>
      <c r="W9901"/>
    </row>
    <row r="9902" spans="10:23" x14ac:dyDescent="0.25">
      <c r="J9902"/>
      <c r="M9902"/>
      <c r="W9902"/>
    </row>
    <row r="9903" spans="10:23" x14ac:dyDescent="0.25">
      <c r="J9903"/>
      <c r="M9903"/>
      <c r="W9903"/>
    </row>
    <row r="9904" spans="10:23" x14ac:dyDescent="0.25">
      <c r="J9904"/>
      <c r="M9904"/>
      <c r="W9904"/>
    </row>
    <row r="9905" spans="10:23" x14ac:dyDescent="0.25">
      <c r="J9905"/>
      <c r="M9905"/>
      <c r="W9905"/>
    </row>
    <row r="9906" spans="10:23" x14ac:dyDescent="0.25">
      <c r="J9906"/>
      <c r="M9906"/>
      <c r="W9906"/>
    </row>
    <row r="9907" spans="10:23" x14ac:dyDescent="0.25">
      <c r="J9907"/>
      <c r="M9907"/>
      <c r="W9907"/>
    </row>
    <row r="9908" spans="10:23" x14ac:dyDescent="0.25">
      <c r="J9908"/>
      <c r="M9908"/>
      <c r="W9908"/>
    </row>
    <row r="9909" spans="10:23" x14ac:dyDescent="0.25">
      <c r="J9909"/>
      <c r="M9909"/>
      <c r="W9909"/>
    </row>
    <row r="9910" spans="10:23" x14ac:dyDescent="0.25">
      <c r="J9910"/>
      <c r="M9910"/>
      <c r="W9910"/>
    </row>
    <row r="9911" spans="10:23" x14ac:dyDescent="0.25">
      <c r="J9911"/>
      <c r="M9911"/>
      <c r="W9911"/>
    </row>
    <row r="9912" spans="10:23" x14ac:dyDescent="0.25">
      <c r="J9912"/>
      <c r="M9912"/>
      <c r="W9912"/>
    </row>
    <row r="9913" spans="10:23" x14ac:dyDescent="0.25">
      <c r="J9913"/>
      <c r="M9913"/>
      <c r="W9913"/>
    </row>
    <row r="9914" spans="10:23" x14ac:dyDescent="0.25">
      <c r="J9914"/>
      <c r="M9914"/>
      <c r="W9914"/>
    </row>
    <row r="9915" spans="10:23" x14ac:dyDescent="0.25">
      <c r="J9915"/>
      <c r="M9915"/>
      <c r="W9915"/>
    </row>
    <row r="9916" spans="10:23" x14ac:dyDescent="0.25">
      <c r="J9916"/>
      <c r="M9916"/>
      <c r="W9916"/>
    </row>
    <row r="9917" spans="10:23" x14ac:dyDescent="0.25">
      <c r="J9917"/>
      <c r="M9917"/>
      <c r="W9917"/>
    </row>
    <row r="9918" spans="10:23" x14ac:dyDescent="0.25">
      <c r="J9918"/>
      <c r="M9918"/>
      <c r="W9918"/>
    </row>
    <row r="9919" spans="10:23" x14ac:dyDescent="0.25">
      <c r="J9919"/>
      <c r="M9919"/>
      <c r="W9919"/>
    </row>
    <row r="9920" spans="10:23" x14ac:dyDescent="0.25">
      <c r="J9920"/>
      <c r="M9920"/>
      <c r="W9920"/>
    </row>
    <row r="9921" spans="10:23" x14ac:dyDescent="0.25">
      <c r="J9921"/>
      <c r="M9921"/>
      <c r="W9921"/>
    </row>
    <row r="9922" spans="10:23" x14ac:dyDescent="0.25">
      <c r="J9922"/>
      <c r="M9922"/>
      <c r="W9922"/>
    </row>
    <row r="9923" spans="10:23" x14ac:dyDescent="0.25">
      <c r="J9923"/>
      <c r="M9923"/>
      <c r="W9923"/>
    </row>
    <row r="9924" spans="10:23" x14ac:dyDescent="0.25">
      <c r="J9924"/>
      <c r="M9924"/>
      <c r="W9924"/>
    </row>
    <row r="9925" spans="10:23" x14ac:dyDescent="0.25">
      <c r="J9925"/>
      <c r="M9925"/>
      <c r="W9925"/>
    </row>
    <row r="9926" spans="10:23" x14ac:dyDescent="0.25">
      <c r="J9926"/>
      <c r="M9926"/>
      <c r="W9926"/>
    </row>
    <row r="9927" spans="10:23" x14ac:dyDescent="0.25">
      <c r="J9927"/>
      <c r="M9927"/>
      <c r="W9927"/>
    </row>
    <row r="9928" spans="10:23" x14ac:dyDescent="0.25">
      <c r="J9928"/>
      <c r="M9928"/>
      <c r="W9928"/>
    </row>
    <row r="9929" spans="10:23" x14ac:dyDescent="0.25">
      <c r="J9929"/>
      <c r="M9929"/>
      <c r="W9929"/>
    </row>
    <row r="9930" spans="10:23" x14ac:dyDescent="0.25">
      <c r="J9930"/>
      <c r="M9930"/>
      <c r="W9930"/>
    </row>
    <row r="9931" spans="10:23" x14ac:dyDescent="0.25">
      <c r="J9931"/>
      <c r="M9931"/>
      <c r="W9931"/>
    </row>
    <row r="9932" spans="10:23" x14ac:dyDescent="0.25">
      <c r="J9932"/>
      <c r="M9932"/>
      <c r="W9932"/>
    </row>
    <row r="9933" spans="10:23" x14ac:dyDescent="0.25">
      <c r="J9933"/>
      <c r="M9933"/>
      <c r="W9933"/>
    </row>
    <row r="9934" spans="10:23" x14ac:dyDescent="0.25">
      <c r="J9934"/>
      <c r="M9934"/>
      <c r="W9934"/>
    </row>
    <row r="9935" spans="10:23" x14ac:dyDescent="0.25">
      <c r="J9935"/>
      <c r="M9935"/>
      <c r="W9935"/>
    </row>
    <row r="9936" spans="10:23" x14ac:dyDescent="0.25">
      <c r="J9936"/>
      <c r="M9936"/>
      <c r="W9936"/>
    </row>
    <row r="9937" spans="10:23" x14ac:dyDescent="0.25">
      <c r="J9937"/>
      <c r="M9937"/>
      <c r="W9937"/>
    </row>
    <row r="9938" spans="10:23" x14ac:dyDescent="0.25">
      <c r="J9938"/>
      <c r="M9938"/>
      <c r="W9938"/>
    </row>
    <row r="9939" spans="10:23" x14ac:dyDescent="0.25">
      <c r="J9939"/>
      <c r="M9939"/>
      <c r="W9939"/>
    </row>
    <row r="9940" spans="10:23" x14ac:dyDescent="0.25">
      <c r="J9940"/>
      <c r="M9940"/>
      <c r="W9940"/>
    </row>
    <row r="9941" spans="10:23" x14ac:dyDescent="0.25">
      <c r="J9941"/>
      <c r="M9941"/>
      <c r="W9941"/>
    </row>
    <row r="9942" spans="10:23" x14ac:dyDescent="0.25">
      <c r="J9942"/>
      <c r="M9942"/>
      <c r="W9942"/>
    </row>
    <row r="9943" spans="10:23" x14ac:dyDescent="0.25">
      <c r="J9943"/>
      <c r="M9943"/>
      <c r="W9943"/>
    </row>
    <row r="9944" spans="10:23" x14ac:dyDescent="0.25">
      <c r="J9944"/>
      <c r="M9944"/>
      <c r="W9944"/>
    </row>
    <row r="9945" spans="10:23" x14ac:dyDescent="0.25">
      <c r="J9945"/>
      <c r="M9945"/>
      <c r="W9945"/>
    </row>
    <row r="9946" spans="10:23" x14ac:dyDescent="0.25">
      <c r="J9946"/>
      <c r="M9946"/>
      <c r="W9946"/>
    </row>
    <row r="9947" spans="10:23" x14ac:dyDescent="0.25">
      <c r="J9947"/>
      <c r="M9947"/>
      <c r="W9947"/>
    </row>
    <row r="9948" spans="10:23" x14ac:dyDescent="0.25">
      <c r="J9948"/>
      <c r="M9948"/>
      <c r="W9948"/>
    </row>
    <row r="9949" spans="10:23" x14ac:dyDescent="0.25">
      <c r="J9949"/>
      <c r="M9949"/>
      <c r="W9949"/>
    </row>
    <row r="9950" spans="10:23" x14ac:dyDescent="0.25">
      <c r="J9950"/>
      <c r="M9950"/>
      <c r="W9950"/>
    </row>
    <row r="9951" spans="10:23" x14ac:dyDescent="0.25">
      <c r="J9951"/>
      <c r="M9951"/>
      <c r="W9951"/>
    </row>
    <row r="9952" spans="10:23" x14ac:dyDescent="0.25">
      <c r="J9952"/>
      <c r="M9952"/>
      <c r="W9952"/>
    </row>
    <row r="9953" spans="10:23" x14ac:dyDescent="0.25">
      <c r="J9953"/>
      <c r="M9953"/>
      <c r="W9953"/>
    </row>
    <row r="9954" spans="10:23" x14ac:dyDescent="0.25">
      <c r="J9954"/>
      <c r="M9954"/>
      <c r="W9954"/>
    </row>
    <row r="9955" spans="10:23" x14ac:dyDescent="0.25">
      <c r="J9955"/>
      <c r="M9955"/>
      <c r="W9955"/>
    </row>
    <row r="9956" spans="10:23" x14ac:dyDescent="0.25">
      <c r="J9956"/>
      <c r="M9956"/>
      <c r="W9956"/>
    </row>
    <row r="9957" spans="10:23" x14ac:dyDescent="0.25">
      <c r="J9957"/>
      <c r="M9957"/>
      <c r="W9957"/>
    </row>
    <row r="9958" spans="10:23" x14ac:dyDescent="0.25">
      <c r="J9958"/>
      <c r="M9958"/>
      <c r="W9958"/>
    </row>
    <row r="9959" spans="10:23" x14ac:dyDescent="0.25">
      <c r="J9959"/>
      <c r="M9959"/>
      <c r="W9959"/>
    </row>
    <row r="9960" spans="10:23" x14ac:dyDescent="0.25">
      <c r="J9960"/>
      <c r="M9960"/>
      <c r="W9960"/>
    </row>
    <row r="9961" spans="10:23" x14ac:dyDescent="0.25">
      <c r="J9961"/>
      <c r="M9961"/>
      <c r="W9961"/>
    </row>
    <row r="9962" spans="10:23" x14ac:dyDescent="0.25">
      <c r="J9962"/>
      <c r="M9962"/>
      <c r="W9962"/>
    </row>
    <row r="9963" spans="10:23" x14ac:dyDescent="0.25">
      <c r="J9963"/>
      <c r="M9963"/>
      <c r="W9963"/>
    </row>
    <row r="9964" spans="10:23" x14ac:dyDescent="0.25">
      <c r="J9964"/>
      <c r="M9964"/>
      <c r="W9964"/>
    </row>
    <row r="9965" spans="10:23" x14ac:dyDescent="0.25">
      <c r="J9965"/>
      <c r="M9965"/>
      <c r="W9965"/>
    </row>
    <row r="9966" spans="10:23" x14ac:dyDescent="0.25">
      <c r="J9966"/>
      <c r="M9966"/>
      <c r="W9966"/>
    </row>
    <row r="9967" spans="10:23" x14ac:dyDescent="0.25">
      <c r="J9967"/>
      <c r="M9967"/>
      <c r="W9967"/>
    </row>
    <row r="9968" spans="10:23" x14ac:dyDescent="0.25">
      <c r="J9968"/>
      <c r="M9968"/>
      <c r="W9968"/>
    </row>
    <row r="9969" spans="10:23" x14ac:dyDescent="0.25">
      <c r="J9969"/>
      <c r="M9969"/>
      <c r="W9969"/>
    </row>
    <row r="9970" spans="10:23" x14ac:dyDescent="0.25">
      <c r="J9970"/>
      <c r="M9970"/>
      <c r="W9970"/>
    </row>
    <row r="9971" spans="10:23" x14ac:dyDescent="0.25">
      <c r="J9971"/>
      <c r="M9971"/>
      <c r="W9971"/>
    </row>
    <row r="9972" spans="10:23" x14ac:dyDescent="0.25">
      <c r="J9972"/>
      <c r="M9972"/>
      <c r="W9972"/>
    </row>
    <row r="9973" spans="10:23" x14ac:dyDescent="0.25">
      <c r="J9973"/>
      <c r="M9973"/>
      <c r="W9973"/>
    </row>
    <row r="9974" spans="10:23" x14ac:dyDescent="0.25">
      <c r="J9974"/>
      <c r="M9974"/>
      <c r="W9974"/>
    </row>
    <row r="9975" spans="10:23" x14ac:dyDescent="0.25">
      <c r="J9975"/>
      <c r="M9975"/>
      <c r="W9975"/>
    </row>
    <row r="9976" spans="10:23" x14ac:dyDescent="0.25">
      <c r="J9976"/>
      <c r="M9976"/>
      <c r="W9976"/>
    </row>
    <row r="9977" spans="10:23" x14ac:dyDescent="0.25">
      <c r="J9977"/>
      <c r="M9977"/>
      <c r="W9977"/>
    </row>
    <row r="9978" spans="10:23" x14ac:dyDescent="0.25">
      <c r="J9978"/>
      <c r="M9978"/>
      <c r="W9978"/>
    </row>
    <row r="9979" spans="10:23" x14ac:dyDescent="0.25">
      <c r="J9979"/>
      <c r="M9979"/>
      <c r="W9979"/>
    </row>
    <row r="9980" spans="10:23" x14ac:dyDescent="0.25">
      <c r="J9980"/>
      <c r="M9980"/>
      <c r="W9980"/>
    </row>
    <row r="9981" spans="10:23" x14ac:dyDescent="0.25">
      <c r="J9981"/>
      <c r="M9981"/>
      <c r="W9981"/>
    </row>
    <row r="9982" spans="10:23" x14ac:dyDescent="0.25">
      <c r="J9982"/>
      <c r="M9982"/>
      <c r="W9982"/>
    </row>
    <row r="9983" spans="10:23" x14ac:dyDescent="0.25">
      <c r="J9983"/>
      <c r="M9983"/>
      <c r="W9983"/>
    </row>
    <row r="9984" spans="10:23" x14ac:dyDescent="0.25">
      <c r="J9984"/>
      <c r="M9984"/>
      <c r="W9984"/>
    </row>
    <row r="9985" spans="10:23" x14ac:dyDescent="0.25">
      <c r="J9985"/>
      <c r="M9985"/>
      <c r="W9985"/>
    </row>
    <row r="9986" spans="10:23" x14ac:dyDescent="0.25">
      <c r="J9986"/>
      <c r="M9986"/>
      <c r="W9986"/>
    </row>
    <row r="9987" spans="10:23" x14ac:dyDescent="0.25">
      <c r="J9987"/>
      <c r="M9987"/>
      <c r="W9987"/>
    </row>
    <row r="9988" spans="10:23" x14ac:dyDescent="0.25">
      <c r="J9988"/>
      <c r="M9988"/>
      <c r="W9988"/>
    </row>
    <row r="9989" spans="10:23" x14ac:dyDescent="0.25">
      <c r="J9989"/>
      <c r="M9989"/>
      <c r="W9989"/>
    </row>
    <row r="9990" spans="10:23" x14ac:dyDescent="0.25">
      <c r="J9990"/>
      <c r="M9990"/>
      <c r="W9990"/>
    </row>
    <row r="9991" spans="10:23" x14ac:dyDescent="0.25">
      <c r="J9991"/>
      <c r="M9991"/>
      <c r="W9991"/>
    </row>
    <row r="9992" spans="10:23" x14ac:dyDescent="0.25">
      <c r="J9992"/>
      <c r="M9992"/>
      <c r="W9992"/>
    </row>
    <row r="9993" spans="10:23" x14ac:dyDescent="0.25">
      <c r="J9993"/>
      <c r="M9993"/>
      <c r="W9993"/>
    </row>
    <row r="9994" spans="10:23" x14ac:dyDescent="0.25">
      <c r="J9994"/>
      <c r="M9994"/>
      <c r="W9994"/>
    </row>
    <row r="9995" spans="10:23" x14ac:dyDescent="0.25">
      <c r="J9995"/>
      <c r="M9995"/>
      <c r="W9995"/>
    </row>
    <row r="9996" spans="10:23" x14ac:dyDescent="0.25">
      <c r="J9996"/>
      <c r="M9996"/>
      <c r="W9996"/>
    </row>
    <row r="9997" spans="10:23" x14ac:dyDescent="0.25">
      <c r="J9997"/>
      <c r="M9997"/>
      <c r="W9997"/>
    </row>
    <row r="9998" spans="10:23" x14ac:dyDescent="0.25">
      <c r="J9998"/>
      <c r="M9998"/>
      <c r="W9998"/>
    </row>
    <row r="9999" spans="10:23" x14ac:dyDescent="0.25">
      <c r="J9999"/>
      <c r="M9999"/>
      <c r="W9999"/>
    </row>
    <row r="10000" spans="10:23" x14ac:dyDescent="0.25">
      <c r="J10000"/>
      <c r="M10000"/>
      <c r="W10000"/>
    </row>
    <row r="10001" spans="10:23" x14ac:dyDescent="0.25">
      <c r="J10001"/>
      <c r="M10001"/>
      <c r="W10001"/>
    </row>
    <row r="10002" spans="10:23" x14ac:dyDescent="0.25">
      <c r="J10002"/>
      <c r="M10002"/>
      <c r="W10002"/>
    </row>
    <row r="10003" spans="10:23" x14ac:dyDescent="0.25">
      <c r="J10003"/>
      <c r="M10003"/>
      <c r="W10003"/>
    </row>
    <row r="10004" spans="10:23" x14ac:dyDescent="0.25">
      <c r="J10004"/>
      <c r="M10004"/>
      <c r="W10004"/>
    </row>
    <row r="10005" spans="10:23" x14ac:dyDescent="0.25">
      <c r="J10005"/>
      <c r="M10005"/>
      <c r="W10005"/>
    </row>
    <row r="10006" spans="10:23" x14ac:dyDescent="0.25">
      <c r="J10006"/>
      <c r="M10006"/>
      <c r="W10006"/>
    </row>
    <row r="10007" spans="10:23" x14ac:dyDescent="0.25">
      <c r="J10007"/>
      <c r="M10007"/>
      <c r="W10007"/>
    </row>
    <row r="10008" spans="10:23" x14ac:dyDescent="0.25">
      <c r="J10008"/>
      <c r="M10008"/>
      <c r="W10008"/>
    </row>
    <row r="10009" spans="10:23" x14ac:dyDescent="0.25">
      <c r="J10009"/>
      <c r="M10009"/>
      <c r="W10009"/>
    </row>
    <row r="10010" spans="10:23" x14ac:dyDescent="0.25">
      <c r="J10010"/>
      <c r="M10010"/>
      <c r="W10010"/>
    </row>
    <row r="10011" spans="10:23" x14ac:dyDescent="0.25">
      <c r="J10011"/>
      <c r="M10011"/>
      <c r="W10011"/>
    </row>
    <row r="10012" spans="10:23" x14ac:dyDescent="0.25">
      <c r="J10012"/>
      <c r="M10012"/>
      <c r="W10012"/>
    </row>
    <row r="10013" spans="10:23" x14ac:dyDescent="0.25">
      <c r="J10013"/>
      <c r="M10013"/>
      <c r="W10013"/>
    </row>
    <row r="10014" spans="10:23" x14ac:dyDescent="0.25">
      <c r="J10014"/>
      <c r="M10014"/>
      <c r="W10014"/>
    </row>
    <row r="10015" spans="10:23" x14ac:dyDescent="0.25">
      <c r="J10015"/>
      <c r="M10015"/>
      <c r="W10015"/>
    </row>
    <row r="10016" spans="10:23" x14ac:dyDescent="0.25">
      <c r="J10016"/>
      <c r="M10016"/>
      <c r="W10016"/>
    </row>
    <row r="10017" spans="10:23" x14ac:dyDescent="0.25">
      <c r="J10017"/>
      <c r="M10017"/>
      <c r="W10017"/>
    </row>
    <row r="10018" spans="10:23" x14ac:dyDescent="0.25">
      <c r="J10018"/>
      <c r="M10018"/>
      <c r="W10018"/>
    </row>
    <row r="10019" spans="10:23" x14ac:dyDescent="0.25">
      <c r="J10019"/>
      <c r="M10019"/>
      <c r="W10019"/>
    </row>
    <row r="10020" spans="10:23" x14ac:dyDescent="0.25">
      <c r="J10020"/>
      <c r="M10020"/>
      <c r="W10020"/>
    </row>
    <row r="10021" spans="10:23" x14ac:dyDescent="0.25">
      <c r="J10021"/>
      <c r="M10021"/>
      <c r="W10021"/>
    </row>
    <row r="10022" spans="10:23" x14ac:dyDescent="0.25">
      <c r="J10022"/>
      <c r="M10022"/>
      <c r="W10022"/>
    </row>
    <row r="10023" spans="10:23" x14ac:dyDescent="0.25">
      <c r="J10023"/>
      <c r="M10023"/>
      <c r="W10023"/>
    </row>
    <row r="10024" spans="10:23" x14ac:dyDescent="0.25">
      <c r="J10024"/>
      <c r="M10024"/>
      <c r="W10024"/>
    </row>
    <row r="10025" spans="10:23" x14ac:dyDescent="0.25">
      <c r="J10025"/>
      <c r="M10025"/>
      <c r="W10025"/>
    </row>
    <row r="10026" spans="10:23" x14ac:dyDescent="0.25">
      <c r="J10026"/>
      <c r="M10026"/>
      <c r="W10026"/>
    </row>
    <row r="10027" spans="10:23" x14ac:dyDescent="0.25">
      <c r="J10027"/>
      <c r="M10027"/>
      <c r="W10027"/>
    </row>
    <row r="10028" spans="10:23" x14ac:dyDescent="0.25">
      <c r="J10028"/>
      <c r="M10028"/>
      <c r="W10028"/>
    </row>
    <row r="10029" spans="10:23" x14ac:dyDescent="0.25">
      <c r="J10029"/>
      <c r="M10029"/>
      <c r="W10029"/>
    </row>
    <row r="10030" spans="10:23" x14ac:dyDescent="0.25">
      <c r="J10030"/>
      <c r="M10030"/>
      <c r="W10030"/>
    </row>
    <row r="10031" spans="10:23" x14ac:dyDescent="0.25">
      <c r="J10031"/>
      <c r="M10031"/>
      <c r="W10031"/>
    </row>
    <row r="10032" spans="10:23" x14ac:dyDescent="0.25">
      <c r="J10032"/>
      <c r="M10032"/>
      <c r="W10032"/>
    </row>
    <row r="10033" spans="10:23" x14ac:dyDescent="0.25">
      <c r="J10033"/>
      <c r="M10033"/>
      <c r="W10033"/>
    </row>
    <row r="10034" spans="10:23" x14ac:dyDescent="0.25">
      <c r="J10034"/>
      <c r="M10034"/>
      <c r="W10034"/>
    </row>
    <row r="10035" spans="10:23" x14ac:dyDescent="0.25">
      <c r="J10035"/>
      <c r="M10035"/>
      <c r="W10035"/>
    </row>
    <row r="10036" spans="10:23" x14ac:dyDescent="0.25">
      <c r="J10036"/>
      <c r="M10036"/>
      <c r="W10036"/>
    </row>
    <row r="10037" spans="10:23" x14ac:dyDescent="0.25">
      <c r="J10037"/>
      <c r="M10037"/>
      <c r="W10037"/>
    </row>
    <row r="10038" spans="10:23" x14ac:dyDescent="0.25">
      <c r="J10038"/>
      <c r="M10038"/>
      <c r="W10038"/>
    </row>
    <row r="10039" spans="10:23" x14ac:dyDescent="0.25">
      <c r="J10039"/>
      <c r="M10039"/>
      <c r="W10039"/>
    </row>
    <row r="10040" spans="10:23" x14ac:dyDescent="0.25">
      <c r="J10040"/>
      <c r="M10040"/>
      <c r="W10040"/>
    </row>
    <row r="10041" spans="10:23" x14ac:dyDescent="0.25">
      <c r="J10041"/>
      <c r="M10041"/>
      <c r="W10041"/>
    </row>
    <row r="10042" spans="10:23" x14ac:dyDescent="0.25">
      <c r="J10042"/>
      <c r="M10042"/>
      <c r="W10042"/>
    </row>
    <row r="10043" spans="10:23" x14ac:dyDescent="0.25">
      <c r="J10043"/>
      <c r="M10043"/>
      <c r="W10043"/>
    </row>
    <row r="10044" spans="10:23" x14ac:dyDescent="0.25">
      <c r="J10044"/>
      <c r="M10044"/>
      <c r="W10044"/>
    </row>
    <row r="10045" spans="10:23" x14ac:dyDescent="0.25">
      <c r="J10045"/>
      <c r="M10045"/>
      <c r="W10045"/>
    </row>
    <row r="10046" spans="10:23" x14ac:dyDescent="0.25">
      <c r="J10046"/>
      <c r="M10046"/>
      <c r="W10046"/>
    </row>
    <row r="10047" spans="10:23" x14ac:dyDescent="0.25">
      <c r="J10047"/>
      <c r="M10047"/>
      <c r="W10047"/>
    </row>
    <row r="10048" spans="10:23" x14ac:dyDescent="0.25">
      <c r="J10048"/>
      <c r="M10048"/>
      <c r="W10048"/>
    </row>
    <row r="10049" spans="10:23" x14ac:dyDescent="0.25">
      <c r="J10049"/>
      <c r="M10049"/>
      <c r="W10049"/>
    </row>
    <row r="10050" spans="10:23" x14ac:dyDescent="0.25">
      <c r="J10050"/>
      <c r="M10050"/>
      <c r="W10050"/>
    </row>
    <row r="10051" spans="10:23" x14ac:dyDescent="0.25">
      <c r="J10051"/>
      <c r="M10051"/>
      <c r="W10051"/>
    </row>
    <row r="10052" spans="10:23" x14ac:dyDescent="0.25">
      <c r="J10052"/>
      <c r="M10052"/>
      <c r="W10052"/>
    </row>
    <row r="10053" spans="10:23" x14ac:dyDescent="0.25">
      <c r="J10053"/>
      <c r="M10053"/>
      <c r="W10053"/>
    </row>
    <row r="10054" spans="10:23" x14ac:dyDescent="0.25">
      <c r="J10054"/>
      <c r="M10054"/>
      <c r="W10054"/>
    </row>
    <row r="10055" spans="10:23" x14ac:dyDescent="0.25">
      <c r="J10055"/>
      <c r="M10055"/>
      <c r="W10055"/>
    </row>
    <row r="10056" spans="10:23" x14ac:dyDescent="0.25">
      <c r="J10056"/>
      <c r="M10056"/>
      <c r="W10056"/>
    </row>
    <row r="10057" spans="10:23" x14ac:dyDescent="0.25">
      <c r="J10057"/>
      <c r="M10057"/>
      <c r="W10057"/>
    </row>
    <row r="10058" spans="10:23" x14ac:dyDescent="0.25">
      <c r="J10058"/>
      <c r="M10058"/>
      <c r="W10058"/>
    </row>
    <row r="10059" spans="10:23" x14ac:dyDescent="0.25">
      <c r="J10059"/>
      <c r="M10059"/>
      <c r="W10059"/>
    </row>
    <row r="10060" spans="10:23" x14ac:dyDescent="0.25">
      <c r="J10060"/>
      <c r="M10060"/>
      <c r="W10060"/>
    </row>
    <row r="10061" spans="10:23" x14ac:dyDescent="0.25">
      <c r="J10061"/>
      <c r="M10061"/>
      <c r="W10061"/>
    </row>
    <row r="10062" spans="10:23" x14ac:dyDescent="0.25">
      <c r="J10062"/>
      <c r="M10062"/>
      <c r="W10062"/>
    </row>
    <row r="10063" spans="10:23" x14ac:dyDescent="0.25">
      <c r="J10063"/>
      <c r="M10063"/>
      <c r="W10063"/>
    </row>
    <row r="10064" spans="10:23" x14ac:dyDescent="0.25">
      <c r="J10064"/>
      <c r="M10064"/>
      <c r="W10064"/>
    </row>
    <row r="10065" spans="10:23" x14ac:dyDescent="0.25">
      <c r="J10065"/>
      <c r="M10065"/>
      <c r="W10065"/>
    </row>
    <row r="10066" spans="10:23" x14ac:dyDescent="0.25">
      <c r="J10066"/>
      <c r="M10066"/>
      <c r="W10066"/>
    </row>
    <row r="10067" spans="10:23" x14ac:dyDescent="0.25">
      <c r="J10067"/>
      <c r="M10067"/>
      <c r="W10067"/>
    </row>
    <row r="10068" spans="10:23" x14ac:dyDescent="0.25">
      <c r="J10068"/>
      <c r="M10068"/>
      <c r="W10068"/>
    </row>
    <row r="10069" spans="10:23" x14ac:dyDescent="0.25">
      <c r="J10069"/>
      <c r="M10069"/>
      <c r="W10069"/>
    </row>
    <row r="10070" spans="10:23" x14ac:dyDescent="0.25">
      <c r="J10070"/>
      <c r="M10070"/>
      <c r="W10070"/>
    </row>
    <row r="10071" spans="10:23" x14ac:dyDescent="0.25">
      <c r="J10071"/>
      <c r="M10071"/>
      <c r="W10071"/>
    </row>
    <row r="10072" spans="10:23" x14ac:dyDescent="0.25">
      <c r="J10072"/>
      <c r="M10072"/>
      <c r="W10072"/>
    </row>
    <row r="10073" spans="10:23" x14ac:dyDescent="0.25">
      <c r="J10073"/>
      <c r="M10073"/>
      <c r="W10073"/>
    </row>
    <row r="10074" spans="10:23" x14ac:dyDescent="0.25">
      <c r="J10074"/>
      <c r="M10074"/>
      <c r="W10074"/>
    </row>
    <row r="10075" spans="10:23" x14ac:dyDescent="0.25">
      <c r="J10075"/>
      <c r="M10075"/>
      <c r="W10075"/>
    </row>
    <row r="10076" spans="10:23" x14ac:dyDescent="0.25">
      <c r="J10076"/>
      <c r="M10076"/>
      <c r="W10076"/>
    </row>
    <row r="10077" spans="10:23" x14ac:dyDescent="0.25">
      <c r="J10077"/>
      <c r="M10077"/>
      <c r="W10077"/>
    </row>
    <row r="10078" spans="10:23" x14ac:dyDescent="0.25">
      <c r="J10078"/>
      <c r="M10078"/>
      <c r="W10078"/>
    </row>
    <row r="10079" spans="10:23" x14ac:dyDescent="0.25">
      <c r="J10079"/>
      <c r="M10079"/>
      <c r="W10079"/>
    </row>
    <row r="10080" spans="10:23" x14ac:dyDescent="0.25">
      <c r="J10080"/>
      <c r="M10080"/>
      <c r="W10080"/>
    </row>
    <row r="10081" spans="10:23" x14ac:dyDescent="0.25">
      <c r="J10081"/>
      <c r="M10081"/>
      <c r="W10081"/>
    </row>
    <row r="10082" spans="10:23" x14ac:dyDescent="0.25">
      <c r="J10082"/>
      <c r="M10082"/>
      <c r="W10082"/>
    </row>
    <row r="10083" spans="10:23" x14ac:dyDescent="0.25">
      <c r="J10083"/>
      <c r="M10083"/>
      <c r="W10083"/>
    </row>
    <row r="10084" spans="10:23" x14ac:dyDescent="0.25">
      <c r="J10084"/>
      <c r="M10084"/>
      <c r="W10084"/>
    </row>
    <row r="10085" spans="10:23" x14ac:dyDescent="0.25">
      <c r="J10085"/>
      <c r="M10085"/>
      <c r="W10085"/>
    </row>
    <row r="10086" spans="10:23" x14ac:dyDescent="0.25">
      <c r="J10086"/>
      <c r="M10086"/>
      <c r="W10086"/>
    </row>
    <row r="10087" spans="10:23" x14ac:dyDescent="0.25">
      <c r="J10087"/>
      <c r="M10087"/>
      <c r="W10087"/>
    </row>
    <row r="10088" spans="10:23" x14ac:dyDescent="0.25">
      <c r="J10088"/>
      <c r="M10088"/>
      <c r="W10088"/>
    </row>
    <row r="10089" spans="10:23" x14ac:dyDescent="0.25">
      <c r="J10089"/>
      <c r="M10089"/>
      <c r="W10089"/>
    </row>
    <row r="10090" spans="10:23" x14ac:dyDescent="0.25">
      <c r="J10090"/>
      <c r="M10090"/>
      <c r="W10090"/>
    </row>
    <row r="10091" spans="10:23" x14ac:dyDescent="0.25">
      <c r="J10091"/>
      <c r="M10091"/>
      <c r="W10091"/>
    </row>
    <row r="10092" spans="10:23" x14ac:dyDescent="0.25">
      <c r="J10092"/>
      <c r="M10092"/>
      <c r="W10092"/>
    </row>
    <row r="10093" spans="10:23" x14ac:dyDescent="0.25">
      <c r="J10093"/>
      <c r="M10093"/>
      <c r="W10093"/>
    </row>
    <row r="10094" spans="10:23" x14ac:dyDescent="0.25">
      <c r="J10094"/>
      <c r="M10094"/>
      <c r="W10094"/>
    </row>
    <row r="10095" spans="10:23" x14ac:dyDescent="0.25">
      <c r="J10095"/>
      <c r="M10095"/>
      <c r="W10095"/>
    </row>
    <row r="10096" spans="10:23" x14ac:dyDescent="0.25">
      <c r="J10096"/>
      <c r="M10096"/>
      <c r="W10096"/>
    </row>
    <row r="10097" spans="10:23" x14ac:dyDescent="0.25">
      <c r="J10097"/>
      <c r="M10097"/>
      <c r="W10097"/>
    </row>
    <row r="10098" spans="10:23" x14ac:dyDescent="0.25">
      <c r="J10098"/>
      <c r="M10098"/>
      <c r="W10098"/>
    </row>
    <row r="10099" spans="10:23" x14ac:dyDescent="0.25">
      <c r="J10099"/>
      <c r="M10099"/>
      <c r="W10099"/>
    </row>
    <row r="10100" spans="10:23" x14ac:dyDescent="0.25">
      <c r="J10100"/>
      <c r="M10100"/>
      <c r="W10100"/>
    </row>
    <row r="10101" spans="10:23" x14ac:dyDescent="0.25">
      <c r="J10101"/>
      <c r="M10101"/>
      <c r="W10101"/>
    </row>
    <row r="10102" spans="10:23" x14ac:dyDescent="0.25">
      <c r="J10102"/>
      <c r="M10102"/>
      <c r="W10102"/>
    </row>
    <row r="10103" spans="10:23" x14ac:dyDescent="0.25">
      <c r="J10103"/>
      <c r="M10103"/>
      <c r="W10103"/>
    </row>
    <row r="10104" spans="10:23" x14ac:dyDescent="0.25">
      <c r="J10104"/>
      <c r="M10104"/>
      <c r="W10104"/>
    </row>
    <row r="10105" spans="10:23" x14ac:dyDescent="0.25">
      <c r="J10105"/>
      <c r="M10105"/>
      <c r="W10105"/>
    </row>
    <row r="10106" spans="10:23" x14ac:dyDescent="0.25">
      <c r="J10106"/>
      <c r="M10106"/>
      <c r="W10106"/>
    </row>
    <row r="10107" spans="10:23" x14ac:dyDescent="0.25">
      <c r="J10107"/>
      <c r="M10107"/>
      <c r="W10107"/>
    </row>
    <row r="10108" spans="10:23" x14ac:dyDescent="0.25">
      <c r="J10108"/>
      <c r="M10108"/>
      <c r="W10108"/>
    </row>
    <row r="10109" spans="10:23" x14ac:dyDescent="0.25">
      <c r="J10109"/>
      <c r="M10109"/>
      <c r="W10109"/>
    </row>
    <row r="10110" spans="10:23" x14ac:dyDescent="0.25">
      <c r="J10110"/>
      <c r="M10110"/>
      <c r="W10110"/>
    </row>
    <row r="10111" spans="10:23" x14ac:dyDescent="0.25">
      <c r="J10111"/>
      <c r="M10111"/>
      <c r="W10111"/>
    </row>
    <row r="10112" spans="10:23" x14ac:dyDescent="0.25">
      <c r="J10112"/>
      <c r="M10112"/>
      <c r="W10112"/>
    </row>
    <row r="10113" spans="10:23" x14ac:dyDescent="0.25">
      <c r="J10113"/>
      <c r="M10113"/>
      <c r="W10113"/>
    </row>
    <row r="10114" spans="10:23" x14ac:dyDescent="0.25">
      <c r="J10114"/>
      <c r="M10114"/>
      <c r="W10114"/>
    </row>
    <row r="10115" spans="10:23" x14ac:dyDescent="0.25">
      <c r="J10115"/>
      <c r="M10115"/>
      <c r="W10115"/>
    </row>
    <row r="10116" spans="10:23" x14ac:dyDescent="0.25">
      <c r="J10116"/>
      <c r="M10116"/>
      <c r="W10116"/>
    </row>
    <row r="10117" spans="10:23" x14ac:dyDescent="0.25">
      <c r="J10117"/>
      <c r="M10117"/>
      <c r="W10117"/>
    </row>
    <row r="10118" spans="10:23" x14ac:dyDescent="0.25">
      <c r="J10118"/>
      <c r="M10118"/>
      <c r="W10118"/>
    </row>
    <row r="10119" spans="10:23" x14ac:dyDescent="0.25">
      <c r="J10119"/>
      <c r="M10119"/>
      <c r="W10119"/>
    </row>
    <row r="10120" spans="10:23" x14ac:dyDescent="0.25">
      <c r="J10120"/>
      <c r="M10120"/>
      <c r="W10120"/>
    </row>
    <row r="10121" spans="10:23" x14ac:dyDescent="0.25">
      <c r="J10121"/>
      <c r="M10121"/>
      <c r="W10121"/>
    </row>
    <row r="10122" spans="10:23" x14ac:dyDescent="0.25">
      <c r="J10122"/>
      <c r="M10122"/>
      <c r="W10122"/>
    </row>
    <row r="10123" spans="10:23" x14ac:dyDescent="0.25">
      <c r="J10123"/>
      <c r="M10123"/>
      <c r="W10123"/>
    </row>
    <row r="10124" spans="10:23" x14ac:dyDescent="0.25">
      <c r="J10124"/>
      <c r="M10124"/>
      <c r="W10124"/>
    </row>
    <row r="10125" spans="10:23" x14ac:dyDescent="0.25">
      <c r="J10125"/>
      <c r="M10125"/>
      <c r="W10125"/>
    </row>
    <row r="10126" spans="10:23" x14ac:dyDescent="0.25">
      <c r="J10126"/>
      <c r="M10126"/>
      <c r="W10126"/>
    </row>
    <row r="10127" spans="10:23" x14ac:dyDescent="0.25">
      <c r="J10127"/>
      <c r="M10127"/>
      <c r="W10127"/>
    </row>
    <row r="10128" spans="10:23" x14ac:dyDescent="0.25">
      <c r="J10128"/>
      <c r="M10128"/>
      <c r="W10128"/>
    </row>
    <row r="10129" spans="10:23" x14ac:dyDescent="0.25">
      <c r="J10129"/>
      <c r="M10129"/>
      <c r="W10129"/>
    </row>
    <row r="10130" spans="10:23" x14ac:dyDescent="0.25">
      <c r="J10130"/>
      <c r="M10130"/>
      <c r="W10130"/>
    </row>
    <row r="10131" spans="10:23" x14ac:dyDescent="0.25">
      <c r="J10131"/>
      <c r="M10131"/>
      <c r="W10131"/>
    </row>
    <row r="10132" spans="10:23" x14ac:dyDescent="0.25">
      <c r="J10132"/>
      <c r="M10132"/>
      <c r="W10132"/>
    </row>
    <row r="10133" spans="10:23" x14ac:dyDescent="0.25">
      <c r="J10133"/>
      <c r="M10133"/>
      <c r="W10133"/>
    </row>
    <row r="10134" spans="10:23" x14ac:dyDescent="0.25">
      <c r="J10134"/>
      <c r="M10134"/>
      <c r="W10134"/>
    </row>
    <row r="10135" spans="10:23" x14ac:dyDescent="0.25">
      <c r="J10135"/>
      <c r="M10135"/>
      <c r="W10135"/>
    </row>
    <row r="10136" spans="10:23" x14ac:dyDescent="0.25">
      <c r="J10136"/>
      <c r="M10136"/>
      <c r="W10136"/>
    </row>
    <row r="10137" spans="10:23" x14ac:dyDescent="0.25">
      <c r="J10137"/>
      <c r="M10137"/>
      <c r="W10137"/>
    </row>
    <row r="10138" spans="10:23" x14ac:dyDescent="0.25">
      <c r="J10138"/>
      <c r="M10138"/>
      <c r="W10138"/>
    </row>
    <row r="10139" spans="10:23" x14ac:dyDescent="0.25">
      <c r="J10139"/>
      <c r="M10139"/>
      <c r="W10139"/>
    </row>
    <row r="10140" spans="10:23" x14ac:dyDescent="0.25">
      <c r="J10140"/>
      <c r="M10140"/>
      <c r="W10140"/>
    </row>
    <row r="10141" spans="10:23" x14ac:dyDescent="0.25">
      <c r="J10141"/>
      <c r="M10141"/>
      <c r="W10141"/>
    </row>
    <row r="10142" spans="10:23" x14ac:dyDescent="0.25">
      <c r="J10142"/>
      <c r="M10142"/>
      <c r="W10142"/>
    </row>
    <row r="10143" spans="10:23" x14ac:dyDescent="0.25">
      <c r="J10143"/>
      <c r="M10143"/>
      <c r="W10143"/>
    </row>
    <row r="10144" spans="10:23" x14ac:dyDescent="0.25">
      <c r="J10144"/>
      <c r="M10144"/>
      <c r="W10144"/>
    </row>
    <row r="10145" spans="10:23" x14ac:dyDescent="0.25">
      <c r="J10145"/>
      <c r="M10145"/>
      <c r="W10145"/>
    </row>
    <row r="10146" spans="10:23" x14ac:dyDescent="0.25">
      <c r="J10146"/>
      <c r="M10146"/>
      <c r="W10146"/>
    </row>
    <row r="10147" spans="10:23" x14ac:dyDescent="0.25">
      <c r="J10147"/>
      <c r="M10147"/>
      <c r="W10147"/>
    </row>
    <row r="10148" spans="10:23" x14ac:dyDescent="0.25">
      <c r="J10148"/>
      <c r="M10148"/>
      <c r="W10148"/>
    </row>
    <row r="10149" spans="10:23" x14ac:dyDescent="0.25">
      <c r="J10149"/>
      <c r="M10149"/>
      <c r="W10149"/>
    </row>
    <row r="10150" spans="10:23" x14ac:dyDescent="0.25">
      <c r="J10150"/>
      <c r="M10150"/>
      <c r="W10150"/>
    </row>
    <row r="10151" spans="10:23" x14ac:dyDescent="0.25">
      <c r="J10151"/>
      <c r="M10151"/>
      <c r="W10151"/>
    </row>
    <row r="10152" spans="10:23" x14ac:dyDescent="0.25">
      <c r="J10152"/>
      <c r="M10152"/>
      <c r="W10152"/>
    </row>
    <row r="10153" spans="10:23" x14ac:dyDescent="0.25">
      <c r="J10153"/>
      <c r="M10153"/>
      <c r="W10153"/>
    </row>
    <row r="10154" spans="10:23" x14ac:dyDescent="0.25">
      <c r="J10154"/>
      <c r="M10154"/>
      <c r="W10154"/>
    </row>
    <row r="10155" spans="10:23" x14ac:dyDescent="0.25">
      <c r="J10155"/>
      <c r="M10155"/>
      <c r="W10155"/>
    </row>
    <row r="10156" spans="10:23" x14ac:dyDescent="0.25">
      <c r="J10156"/>
      <c r="M10156"/>
      <c r="W10156"/>
    </row>
    <row r="10157" spans="10:23" x14ac:dyDescent="0.25">
      <c r="J10157"/>
      <c r="M10157"/>
      <c r="W10157"/>
    </row>
    <row r="10158" spans="10:23" x14ac:dyDescent="0.25">
      <c r="J10158"/>
      <c r="M10158"/>
      <c r="W10158"/>
    </row>
    <row r="10159" spans="10:23" x14ac:dyDescent="0.25">
      <c r="J10159"/>
      <c r="M10159"/>
      <c r="W10159"/>
    </row>
    <row r="10160" spans="10:23" x14ac:dyDescent="0.25">
      <c r="J10160"/>
      <c r="M10160"/>
      <c r="W10160"/>
    </row>
    <row r="10161" spans="10:23" x14ac:dyDescent="0.25">
      <c r="J10161"/>
      <c r="M10161"/>
      <c r="W10161"/>
    </row>
    <row r="10162" spans="10:23" x14ac:dyDescent="0.25">
      <c r="J10162"/>
      <c r="M10162"/>
      <c r="W10162"/>
    </row>
    <row r="10163" spans="10:23" x14ac:dyDescent="0.25">
      <c r="J10163"/>
      <c r="M10163"/>
      <c r="W10163"/>
    </row>
    <row r="10164" spans="10:23" x14ac:dyDescent="0.25">
      <c r="J10164"/>
      <c r="M10164"/>
      <c r="W10164"/>
    </row>
    <row r="10165" spans="10:23" x14ac:dyDescent="0.25">
      <c r="J10165"/>
      <c r="M10165"/>
      <c r="W10165"/>
    </row>
    <row r="10166" spans="10:23" x14ac:dyDescent="0.25">
      <c r="J10166"/>
      <c r="M10166"/>
      <c r="W10166"/>
    </row>
    <row r="10167" spans="10:23" x14ac:dyDescent="0.25">
      <c r="J10167"/>
      <c r="M10167"/>
      <c r="W10167"/>
    </row>
    <row r="10168" spans="10:23" x14ac:dyDescent="0.25">
      <c r="J10168"/>
      <c r="M10168"/>
      <c r="W10168"/>
    </row>
    <row r="10169" spans="10:23" x14ac:dyDescent="0.25">
      <c r="J10169"/>
      <c r="M10169"/>
      <c r="W10169"/>
    </row>
    <row r="10170" spans="10:23" x14ac:dyDescent="0.25">
      <c r="J10170"/>
      <c r="M10170"/>
      <c r="W10170"/>
    </row>
    <row r="10171" spans="10:23" x14ac:dyDescent="0.25">
      <c r="J10171"/>
      <c r="M10171"/>
      <c r="W10171"/>
    </row>
    <row r="10172" spans="10:23" x14ac:dyDescent="0.25">
      <c r="J10172"/>
      <c r="M10172"/>
      <c r="W10172"/>
    </row>
    <row r="10173" spans="10:23" x14ac:dyDescent="0.25">
      <c r="J10173"/>
      <c r="M10173"/>
      <c r="W10173"/>
    </row>
    <row r="10174" spans="10:23" x14ac:dyDescent="0.25">
      <c r="J10174"/>
      <c r="M10174"/>
      <c r="W10174"/>
    </row>
    <row r="10175" spans="10:23" x14ac:dyDescent="0.25">
      <c r="J10175"/>
      <c r="M10175"/>
      <c r="W10175"/>
    </row>
    <row r="10176" spans="10:23" x14ac:dyDescent="0.25">
      <c r="J10176"/>
      <c r="M10176"/>
      <c r="W10176"/>
    </row>
    <row r="10177" spans="10:23" x14ac:dyDescent="0.25">
      <c r="J10177"/>
      <c r="M10177"/>
      <c r="W10177"/>
    </row>
    <row r="10178" spans="10:23" x14ac:dyDescent="0.25">
      <c r="J10178"/>
      <c r="M10178"/>
      <c r="W10178"/>
    </row>
    <row r="10179" spans="10:23" x14ac:dyDescent="0.25">
      <c r="J10179"/>
      <c r="M10179"/>
      <c r="W10179"/>
    </row>
    <row r="10180" spans="10:23" x14ac:dyDescent="0.25">
      <c r="J10180"/>
      <c r="M10180"/>
      <c r="W10180"/>
    </row>
    <row r="10181" spans="10:23" x14ac:dyDescent="0.25">
      <c r="J10181"/>
      <c r="M10181"/>
      <c r="W10181"/>
    </row>
    <row r="10182" spans="10:23" x14ac:dyDescent="0.25">
      <c r="J10182"/>
      <c r="M10182"/>
      <c r="W10182"/>
    </row>
    <row r="10183" spans="10:23" x14ac:dyDescent="0.25">
      <c r="J10183"/>
      <c r="M10183"/>
      <c r="W10183"/>
    </row>
    <row r="10184" spans="10:23" x14ac:dyDescent="0.25">
      <c r="J10184"/>
      <c r="M10184"/>
      <c r="W10184"/>
    </row>
    <row r="10185" spans="10:23" x14ac:dyDescent="0.25">
      <c r="J10185"/>
      <c r="M10185"/>
      <c r="W10185"/>
    </row>
    <row r="10186" spans="10:23" x14ac:dyDescent="0.25">
      <c r="J10186"/>
      <c r="M10186"/>
      <c r="W10186"/>
    </row>
    <row r="10187" spans="10:23" x14ac:dyDescent="0.25">
      <c r="J10187"/>
      <c r="M10187"/>
      <c r="W10187"/>
    </row>
    <row r="10188" spans="10:23" x14ac:dyDescent="0.25">
      <c r="J10188"/>
      <c r="M10188"/>
      <c r="W10188"/>
    </row>
    <row r="10189" spans="10:23" x14ac:dyDescent="0.25">
      <c r="J10189"/>
      <c r="M10189"/>
      <c r="W10189"/>
    </row>
    <row r="10190" spans="10:23" x14ac:dyDescent="0.25">
      <c r="J10190"/>
      <c r="M10190"/>
      <c r="W10190"/>
    </row>
    <row r="10191" spans="10:23" x14ac:dyDescent="0.25">
      <c r="J10191"/>
      <c r="M10191"/>
      <c r="W10191"/>
    </row>
    <row r="10192" spans="10:23" x14ac:dyDescent="0.25">
      <c r="J10192"/>
      <c r="M10192"/>
      <c r="W10192"/>
    </row>
    <row r="10193" spans="10:23" x14ac:dyDescent="0.25">
      <c r="J10193"/>
      <c r="M10193"/>
      <c r="W10193"/>
    </row>
    <row r="10194" spans="10:23" x14ac:dyDescent="0.25">
      <c r="J10194"/>
      <c r="M10194"/>
      <c r="W10194"/>
    </row>
    <row r="10195" spans="10:23" x14ac:dyDescent="0.25">
      <c r="J10195"/>
      <c r="M10195"/>
      <c r="W10195"/>
    </row>
    <row r="10196" spans="10:23" x14ac:dyDescent="0.25">
      <c r="J10196"/>
      <c r="M10196"/>
      <c r="W10196"/>
    </row>
    <row r="10197" spans="10:23" x14ac:dyDescent="0.25">
      <c r="J10197"/>
      <c r="M10197"/>
      <c r="W10197"/>
    </row>
    <row r="10198" spans="10:23" x14ac:dyDescent="0.25">
      <c r="J10198"/>
      <c r="M10198"/>
      <c r="W10198"/>
    </row>
    <row r="10199" spans="10:23" x14ac:dyDescent="0.25">
      <c r="J10199"/>
      <c r="M10199"/>
      <c r="W10199"/>
    </row>
    <row r="10200" spans="10:23" x14ac:dyDescent="0.25">
      <c r="J10200"/>
      <c r="M10200"/>
      <c r="W10200"/>
    </row>
    <row r="10201" spans="10:23" x14ac:dyDescent="0.25">
      <c r="J10201"/>
      <c r="M10201"/>
      <c r="W10201"/>
    </row>
    <row r="10202" spans="10:23" x14ac:dyDescent="0.25">
      <c r="J10202"/>
      <c r="M10202"/>
      <c r="W10202"/>
    </row>
    <row r="10203" spans="10:23" x14ac:dyDescent="0.25">
      <c r="J10203"/>
      <c r="M10203"/>
      <c r="W10203"/>
    </row>
    <row r="10204" spans="10:23" x14ac:dyDescent="0.25">
      <c r="J10204"/>
      <c r="M10204"/>
      <c r="W10204"/>
    </row>
    <row r="10205" spans="10:23" x14ac:dyDescent="0.25">
      <c r="J10205"/>
      <c r="M10205"/>
      <c r="W10205"/>
    </row>
    <row r="10206" spans="10:23" x14ac:dyDescent="0.25">
      <c r="J10206"/>
      <c r="M10206"/>
      <c r="W10206"/>
    </row>
    <row r="10207" spans="10:23" x14ac:dyDescent="0.25">
      <c r="J10207"/>
      <c r="M10207"/>
      <c r="W10207"/>
    </row>
    <row r="10208" spans="10:23" x14ac:dyDescent="0.25">
      <c r="J10208"/>
      <c r="M10208"/>
      <c r="W10208"/>
    </row>
    <row r="10209" spans="10:23" x14ac:dyDescent="0.25">
      <c r="J10209"/>
      <c r="M10209"/>
      <c r="W10209"/>
    </row>
    <row r="10210" spans="10:23" x14ac:dyDescent="0.25">
      <c r="J10210"/>
      <c r="M10210"/>
      <c r="W10210"/>
    </row>
    <row r="10211" spans="10:23" x14ac:dyDescent="0.25">
      <c r="J10211"/>
      <c r="M10211"/>
      <c r="W10211"/>
    </row>
    <row r="10212" spans="10:23" x14ac:dyDescent="0.25">
      <c r="J10212"/>
      <c r="M10212"/>
      <c r="W10212"/>
    </row>
    <row r="10213" spans="10:23" x14ac:dyDescent="0.25">
      <c r="J10213"/>
      <c r="M10213"/>
      <c r="W10213"/>
    </row>
    <row r="10214" spans="10:23" x14ac:dyDescent="0.25">
      <c r="J10214"/>
      <c r="M10214"/>
      <c r="W10214"/>
    </row>
    <row r="10215" spans="10:23" x14ac:dyDescent="0.25">
      <c r="J10215"/>
      <c r="M10215"/>
      <c r="W10215"/>
    </row>
    <row r="10216" spans="10:23" x14ac:dyDescent="0.25">
      <c r="J10216"/>
      <c r="M10216"/>
      <c r="W10216"/>
    </row>
    <row r="10217" spans="10:23" x14ac:dyDescent="0.25">
      <c r="J10217"/>
      <c r="M10217"/>
      <c r="W10217"/>
    </row>
    <row r="10218" spans="10:23" x14ac:dyDescent="0.25">
      <c r="J10218"/>
      <c r="M10218"/>
      <c r="W10218"/>
    </row>
    <row r="10219" spans="10:23" x14ac:dyDescent="0.25">
      <c r="J10219"/>
      <c r="M10219"/>
      <c r="W10219"/>
    </row>
    <row r="10220" spans="10:23" x14ac:dyDescent="0.25">
      <c r="J10220"/>
      <c r="M10220"/>
      <c r="W10220"/>
    </row>
    <row r="10221" spans="10:23" x14ac:dyDescent="0.25">
      <c r="J10221"/>
      <c r="M10221"/>
      <c r="W10221"/>
    </row>
    <row r="10222" spans="10:23" x14ac:dyDescent="0.25">
      <c r="J10222"/>
      <c r="M10222"/>
      <c r="W10222"/>
    </row>
    <row r="10223" spans="10:23" x14ac:dyDescent="0.25">
      <c r="J10223"/>
      <c r="M10223"/>
      <c r="W10223"/>
    </row>
    <row r="10224" spans="10:23" x14ac:dyDescent="0.25">
      <c r="J10224"/>
      <c r="M10224"/>
      <c r="W10224"/>
    </row>
    <row r="10225" spans="10:23" x14ac:dyDescent="0.25">
      <c r="J10225"/>
      <c r="M10225"/>
      <c r="W10225"/>
    </row>
    <row r="10226" spans="10:23" x14ac:dyDescent="0.25">
      <c r="J10226"/>
      <c r="M10226"/>
      <c r="W10226"/>
    </row>
    <row r="10227" spans="10:23" x14ac:dyDescent="0.25">
      <c r="J10227"/>
      <c r="M10227"/>
      <c r="W10227"/>
    </row>
    <row r="10228" spans="10:23" x14ac:dyDescent="0.25">
      <c r="J10228"/>
      <c r="M10228"/>
      <c r="W10228"/>
    </row>
    <row r="10229" spans="10:23" x14ac:dyDescent="0.25">
      <c r="J10229"/>
      <c r="M10229"/>
      <c r="W10229"/>
    </row>
    <row r="10230" spans="10:23" x14ac:dyDescent="0.25">
      <c r="J10230"/>
      <c r="M10230"/>
      <c r="W10230"/>
    </row>
    <row r="10231" spans="10:23" x14ac:dyDescent="0.25">
      <c r="J10231"/>
      <c r="M10231"/>
      <c r="W10231"/>
    </row>
    <row r="10232" spans="10:23" x14ac:dyDescent="0.25">
      <c r="J10232"/>
      <c r="M10232"/>
      <c r="W10232"/>
    </row>
    <row r="10233" spans="10:23" x14ac:dyDescent="0.25">
      <c r="J10233"/>
      <c r="M10233"/>
      <c r="W10233"/>
    </row>
    <row r="10234" spans="10:23" x14ac:dyDescent="0.25">
      <c r="J10234"/>
      <c r="M10234"/>
      <c r="W10234"/>
    </row>
    <row r="10235" spans="10:23" x14ac:dyDescent="0.25">
      <c r="J10235"/>
      <c r="M10235"/>
      <c r="W10235"/>
    </row>
    <row r="10236" spans="10:23" x14ac:dyDescent="0.25">
      <c r="J10236"/>
      <c r="M10236"/>
      <c r="W10236"/>
    </row>
    <row r="10237" spans="10:23" x14ac:dyDescent="0.25">
      <c r="J10237"/>
      <c r="M10237"/>
      <c r="W10237"/>
    </row>
    <row r="10238" spans="10:23" x14ac:dyDescent="0.25">
      <c r="J10238"/>
      <c r="M10238"/>
      <c r="W10238"/>
    </row>
    <row r="10239" spans="10:23" x14ac:dyDescent="0.25">
      <c r="J10239"/>
      <c r="M10239"/>
      <c r="W10239"/>
    </row>
    <row r="10240" spans="10:23" x14ac:dyDescent="0.25">
      <c r="J10240"/>
      <c r="M10240"/>
      <c r="W10240"/>
    </row>
    <row r="10241" spans="10:23" x14ac:dyDescent="0.25">
      <c r="J10241"/>
      <c r="M10241"/>
      <c r="W10241"/>
    </row>
    <row r="10242" spans="10:23" x14ac:dyDescent="0.25">
      <c r="J10242"/>
      <c r="M10242"/>
      <c r="W10242"/>
    </row>
    <row r="10243" spans="10:23" x14ac:dyDescent="0.25">
      <c r="J10243"/>
      <c r="M10243"/>
      <c r="W10243"/>
    </row>
    <row r="10244" spans="10:23" x14ac:dyDescent="0.25">
      <c r="J10244"/>
      <c r="M10244"/>
      <c r="W10244"/>
    </row>
    <row r="10245" spans="10:23" x14ac:dyDescent="0.25">
      <c r="J10245"/>
      <c r="M10245"/>
      <c r="W10245"/>
    </row>
    <row r="10246" spans="10:23" x14ac:dyDescent="0.25">
      <c r="J10246"/>
      <c r="M10246"/>
      <c r="W10246"/>
    </row>
    <row r="10247" spans="10:23" x14ac:dyDescent="0.25">
      <c r="J10247"/>
      <c r="M10247"/>
      <c r="W10247"/>
    </row>
    <row r="10248" spans="10:23" x14ac:dyDescent="0.25">
      <c r="J10248"/>
      <c r="M10248"/>
      <c r="W10248"/>
    </row>
    <row r="10249" spans="10:23" x14ac:dyDescent="0.25">
      <c r="J10249"/>
      <c r="M10249"/>
      <c r="W10249"/>
    </row>
    <row r="10250" spans="10:23" x14ac:dyDescent="0.25">
      <c r="J10250"/>
      <c r="M10250"/>
      <c r="W10250"/>
    </row>
    <row r="10251" spans="10:23" x14ac:dyDescent="0.25">
      <c r="J10251"/>
      <c r="M10251"/>
      <c r="W10251"/>
    </row>
    <row r="10252" spans="10:23" x14ac:dyDescent="0.25">
      <c r="J10252"/>
      <c r="M10252"/>
      <c r="W10252"/>
    </row>
    <row r="10253" spans="10:23" x14ac:dyDescent="0.25">
      <c r="J10253"/>
      <c r="M10253"/>
      <c r="W10253"/>
    </row>
    <row r="10254" spans="10:23" x14ac:dyDescent="0.25">
      <c r="J10254"/>
      <c r="M10254"/>
      <c r="W10254"/>
    </row>
    <row r="10255" spans="10:23" x14ac:dyDescent="0.25">
      <c r="J10255"/>
      <c r="M10255"/>
      <c r="W10255"/>
    </row>
    <row r="10256" spans="10:23" x14ac:dyDescent="0.25">
      <c r="J10256"/>
      <c r="M10256"/>
      <c r="W10256"/>
    </row>
    <row r="10257" spans="10:23" x14ac:dyDescent="0.25">
      <c r="J10257"/>
      <c r="M10257"/>
      <c r="W10257"/>
    </row>
    <row r="10258" spans="10:23" x14ac:dyDescent="0.25">
      <c r="J10258"/>
      <c r="M10258"/>
      <c r="W10258"/>
    </row>
    <row r="10259" spans="10:23" x14ac:dyDescent="0.25">
      <c r="J10259"/>
      <c r="M10259"/>
      <c r="W10259"/>
    </row>
    <row r="10260" spans="10:23" x14ac:dyDescent="0.25">
      <c r="J10260"/>
      <c r="M10260"/>
      <c r="W10260"/>
    </row>
    <row r="10261" spans="10:23" x14ac:dyDescent="0.25">
      <c r="J10261"/>
      <c r="M10261"/>
      <c r="W10261"/>
    </row>
    <row r="10262" spans="10:23" x14ac:dyDescent="0.25">
      <c r="J10262"/>
      <c r="M10262"/>
      <c r="W10262"/>
    </row>
    <row r="10263" spans="10:23" x14ac:dyDescent="0.25">
      <c r="J10263"/>
      <c r="M10263"/>
      <c r="W10263"/>
    </row>
    <row r="10264" spans="10:23" x14ac:dyDescent="0.25">
      <c r="J10264"/>
      <c r="M10264"/>
      <c r="W10264"/>
    </row>
    <row r="10265" spans="10:23" x14ac:dyDescent="0.25">
      <c r="J10265"/>
      <c r="M10265"/>
      <c r="W10265"/>
    </row>
    <row r="10266" spans="10:23" x14ac:dyDescent="0.25">
      <c r="J10266"/>
      <c r="M10266"/>
      <c r="W10266"/>
    </row>
    <row r="10267" spans="10:23" x14ac:dyDescent="0.25">
      <c r="J10267"/>
      <c r="M10267"/>
      <c r="W10267"/>
    </row>
    <row r="10268" spans="10:23" x14ac:dyDescent="0.25">
      <c r="J10268"/>
      <c r="M10268"/>
      <c r="W10268"/>
    </row>
    <row r="10269" spans="10:23" x14ac:dyDescent="0.25">
      <c r="J10269"/>
      <c r="M10269"/>
      <c r="W10269"/>
    </row>
    <row r="10270" spans="10:23" x14ac:dyDescent="0.25">
      <c r="J10270"/>
      <c r="M10270"/>
      <c r="W10270"/>
    </row>
    <row r="10271" spans="10:23" x14ac:dyDescent="0.25">
      <c r="J10271"/>
      <c r="M10271"/>
      <c r="W10271"/>
    </row>
    <row r="10272" spans="10:23" x14ac:dyDescent="0.25">
      <c r="J10272"/>
      <c r="M10272"/>
      <c r="W10272"/>
    </row>
    <row r="10273" spans="10:23" x14ac:dyDescent="0.25">
      <c r="J10273"/>
      <c r="M10273"/>
      <c r="W10273"/>
    </row>
    <row r="10274" spans="10:23" x14ac:dyDescent="0.25">
      <c r="J10274"/>
      <c r="M10274"/>
      <c r="W10274"/>
    </row>
    <row r="10275" spans="10:23" x14ac:dyDescent="0.25">
      <c r="J10275"/>
      <c r="M10275"/>
      <c r="W10275"/>
    </row>
    <row r="10276" spans="10:23" x14ac:dyDescent="0.25">
      <c r="J10276"/>
      <c r="M10276"/>
      <c r="W10276"/>
    </row>
    <row r="10277" spans="10:23" x14ac:dyDescent="0.25">
      <c r="J10277"/>
      <c r="M10277"/>
      <c r="W10277"/>
    </row>
    <row r="10278" spans="10:23" x14ac:dyDescent="0.25">
      <c r="J10278"/>
      <c r="M10278"/>
      <c r="W10278"/>
    </row>
    <row r="10279" spans="10:23" x14ac:dyDescent="0.25">
      <c r="J10279"/>
      <c r="M10279"/>
      <c r="W10279"/>
    </row>
    <row r="10280" spans="10:23" x14ac:dyDescent="0.25">
      <c r="J10280"/>
      <c r="M10280"/>
      <c r="W10280"/>
    </row>
    <row r="10281" spans="10:23" x14ac:dyDescent="0.25">
      <c r="J10281"/>
      <c r="M10281"/>
      <c r="W10281"/>
    </row>
    <row r="10282" spans="10:23" x14ac:dyDescent="0.25">
      <c r="J10282"/>
      <c r="M10282"/>
      <c r="W10282"/>
    </row>
    <row r="10283" spans="10:23" x14ac:dyDescent="0.25">
      <c r="J10283"/>
      <c r="M10283"/>
      <c r="W10283"/>
    </row>
    <row r="10284" spans="10:23" x14ac:dyDescent="0.25">
      <c r="J10284"/>
      <c r="M10284"/>
      <c r="W10284"/>
    </row>
    <row r="10285" spans="10:23" x14ac:dyDescent="0.25">
      <c r="J10285"/>
      <c r="M10285"/>
      <c r="W10285"/>
    </row>
    <row r="10286" spans="10:23" x14ac:dyDescent="0.25">
      <c r="J10286"/>
      <c r="M10286"/>
      <c r="W10286"/>
    </row>
    <row r="10287" spans="10:23" x14ac:dyDescent="0.25">
      <c r="J10287"/>
      <c r="M10287"/>
      <c r="W10287"/>
    </row>
    <row r="10288" spans="10:23" x14ac:dyDescent="0.25">
      <c r="J10288"/>
      <c r="M10288"/>
      <c r="W10288"/>
    </row>
    <row r="10289" spans="10:23" x14ac:dyDescent="0.25">
      <c r="J10289"/>
      <c r="M10289"/>
      <c r="W10289"/>
    </row>
    <row r="10290" spans="10:23" x14ac:dyDescent="0.25">
      <c r="J10290"/>
      <c r="M10290"/>
      <c r="W10290"/>
    </row>
    <row r="10291" spans="10:23" x14ac:dyDescent="0.25">
      <c r="J10291"/>
      <c r="M10291"/>
      <c r="W10291"/>
    </row>
    <row r="10292" spans="10:23" x14ac:dyDescent="0.25">
      <c r="J10292"/>
      <c r="M10292"/>
      <c r="W10292"/>
    </row>
    <row r="10293" spans="10:23" x14ac:dyDescent="0.25">
      <c r="J10293"/>
      <c r="M10293"/>
      <c r="W10293"/>
    </row>
    <row r="10294" spans="10:23" x14ac:dyDescent="0.25">
      <c r="J10294"/>
      <c r="M10294"/>
      <c r="W10294"/>
    </row>
    <row r="10295" spans="10:23" x14ac:dyDescent="0.25">
      <c r="J10295"/>
      <c r="M10295"/>
      <c r="W10295"/>
    </row>
    <row r="10296" spans="10:23" x14ac:dyDescent="0.25">
      <c r="J10296"/>
      <c r="M10296"/>
      <c r="W10296"/>
    </row>
    <row r="10297" spans="10:23" x14ac:dyDescent="0.25">
      <c r="J10297"/>
      <c r="M10297"/>
      <c r="W10297"/>
    </row>
    <row r="10298" spans="10:23" x14ac:dyDescent="0.25">
      <c r="J10298"/>
      <c r="M10298"/>
      <c r="W10298"/>
    </row>
    <row r="10299" spans="10:23" x14ac:dyDescent="0.25">
      <c r="J10299"/>
      <c r="M10299"/>
      <c r="W10299"/>
    </row>
    <row r="10300" spans="10:23" x14ac:dyDescent="0.25">
      <c r="J10300"/>
      <c r="M10300"/>
      <c r="W10300"/>
    </row>
    <row r="10301" spans="10:23" x14ac:dyDescent="0.25">
      <c r="J10301"/>
      <c r="M10301"/>
      <c r="W10301"/>
    </row>
    <row r="10302" spans="10:23" x14ac:dyDescent="0.25">
      <c r="J10302"/>
      <c r="M10302"/>
      <c r="W10302"/>
    </row>
    <row r="10303" spans="10:23" x14ac:dyDescent="0.25">
      <c r="J10303"/>
      <c r="M10303"/>
      <c r="W10303"/>
    </row>
    <row r="10304" spans="10:23" x14ac:dyDescent="0.25">
      <c r="J10304"/>
      <c r="M10304"/>
      <c r="W10304"/>
    </row>
    <row r="10305" spans="10:23" x14ac:dyDescent="0.25">
      <c r="J10305"/>
      <c r="M10305"/>
      <c r="W10305"/>
    </row>
    <row r="10306" spans="10:23" x14ac:dyDescent="0.25">
      <c r="J10306"/>
      <c r="M10306"/>
      <c r="W10306"/>
    </row>
    <row r="10307" spans="10:23" x14ac:dyDescent="0.25">
      <c r="J10307"/>
      <c r="M10307"/>
      <c r="W10307"/>
    </row>
    <row r="10308" spans="10:23" x14ac:dyDescent="0.25">
      <c r="J10308"/>
      <c r="M10308"/>
      <c r="W10308"/>
    </row>
    <row r="10309" spans="10:23" x14ac:dyDescent="0.25">
      <c r="J10309"/>
      <c r="M10309"/>
      <c r="W10309"/>
    </row>
    <row r="10310" spans="10:23" x14ac:dyDescent="0.25">
      <c r="J10310"/>
      <c r="M10310"/>
      <c r="W10310"/>
    </row>
    <row r="10311" spans="10:23" x14ac:dyDescent="0.25">
      <c r="J10311"/>
      <c r="M10311"/>
      <c r="W10311"/>
    </row>
    <row r="10312" spans="10:23" x14ac:dyDescent="0.25">
      <c r="J10312"/>
      <c r="M10312"/>
      <c r="W10312"/>
    </row>
    <row r="10313" spans="10:23" x14ac:dyDescent="0.25">
      <c r="J10313"/>
      <c r="M10313"/>
      <c r="W10313"/>
    </row>
    <row r="10314" spans="10:23" x14ac:dyDescent="0.25">
      <c r="J10314"/>
      <c r="M10314"/>
      <c r="W10314"/>
    </row>
    <row r="10315" spans="10:23" x14ac:dyDescent="0.25">
      <c r="J10315"/>
      <c r="M10315"/>
      <c r="W10315"/>
    </row>
    <row r="10316" spans="10:23" x14ac:dyDescent="0.25">
      <c r="J10316"/>
      <c r="M10316"/>
      <c r="W10316"/>
    </row>
    <row r="10317" spans="10:23" x14ac:dyDescent="0.25">
      <c r="J10317"/>
      <c r="M10317"/>
      <c r="W10317"/>
    </row>
    <row r="10318" spans="10:23" x14ac:dyDescent="0.25">
      <c r="J10318"/>
      <c r="M10318"/>
      <c r="W10318"/>
    </row>
    <row r="10319" spans="10:23" x14ac:dyDescent="0.25">
      <c r="J10319"/>
      <c r="M10319"/>
      <c r="W10319"/>
    </row>
    <row r="10320" spans="10:23" x14ac:dyDescent="0.25">
      <c r="J10320"/>
      <c r="M10320"/>
      <c r="W10320"/>
    </row>
    <row r="10321" spans="10:23" x14ac:dyDescent="0.25">
      <c r="J10321"/>
      <c r="M10321"/>
      <c r="W10321"/>
    </row>
    <row r="10322" spans="10:23" x14ac:dyDescent="0.25">
      <c r="J10322"/>
      <c r="M10322"/>
      <c r="W10322"/>
    </row>
    <row r="10323" spans="10:23" x14ac:dyDescent="0.25">
      <c r="J10323"/>
      <c r="M10323"/>
      <c r="W10323"/>
    </row>
    <row r="10324" spans="10:23" x14ac:dyDescent="0.25">
      <c r="J10324"/>
      <c r="M10324"/>
      <c r="W10324"/>
    </row>
    <row r="10325" spans="10:23" x14ac:dyDescent="0.25">
      <c r="J10325"/>
      <c r="M10325"/>
      <c r="W10325"/>
    </row>
    <row r="10326" spans="10:23" x14ac:dyDescent="0.25">
      <c r="J10326"/>
      <c r="M10326"/>
      <c r="W10326"/>
    </row>
    <row r="10327" spans="10:23" x14ac:dyDescent="0.25">
      <c r="J10327"/>
      <c r="M10327"/>
      <c r="W10327"/>
    </row>
    <row r="10328" spans="10:23" x14ac:dyDescent="0.25">
      <c r="J10328"/>
      <c r="M10328"/>
      <c r="W10328"/>
    </row>
    <row r="10329" spans="10:23" x14ac:dyDescent="0.25">
      <c r="J10329"/>
      <c r="M10329"/>
      <c r="W10329"/>
    </row>
    <row r="10330" spans="10:23" x14ac:dyDescent="0.25">
      <c r="J10330"/>
      <c r="M10330"/>
      <c r="W10330"/>
    </row>
    <row r="10331" spans="10:23" x14ac:dyDescent="0.25">
      <c r="J10331"/>
      <c r="M10331"/>
      <c r="W10331"/>
    </row>
    <row r="10332" spans="10:23" x14ac:dyDescent="0.25">
      <c r="J10332"/>
      <c r="M10332"/>
      <c r="W10332"/>
    </row>
    <row r="10333" spans="10:23" x14ac:dyDescent="0.25">
      <c r="J10333"/>
      <c r="M10333"/>
      <c r="W10333"/>
    </row>
    <row r="10334" spans="10:23" x14ac:dyDescent="0.25">
      <c r="J10334"/>
      <c r="M10334"/>
      <c r="W10334"/>
    </row>
    <row r="10335" spans="10:23" x14ac:dyDescent="0.25">
      <c r="J10335"/>
      <c r="M10335"/>
      <c r="W10335"/>
    </row>
    <row r="10336" spans="10:23" x14ac:dyDescent="0.25">
      <c r="J10336"/>
      <c r="M10336"/>
      <c r="W10336"/>
    </row>
    <row r="10337" spans="10:23" x14ac:dyDescent="0.25">
      <c r="J10337"/>
      <c r="M10337"/>
      <c r="W10337"/>
    </row>
    <row r="10338" spans="10:23" x14ac:dyDescent="0.25">
      <c r="J10338"/>
      <c r="M10338"/>
      <c r="W10338"/>
    </row>
    <row r="10339" spans="10:23" x14ac:dyDescent="0.25">
      <c r="J10339"/>
      <c r="M10339"/>
      <c r="W10339"/>
    </row>
    <row r="10340" spans="10:23" x14ac:dyDescent="0.25">
      <c r="J10340"/>
      <c r="M10340"/>
      <c r="W10340"/>
    </row>
    <row r="10341" spans="10:23" x14ac:dyDescent="0.25">
      <c r="J10341"/>
      <c r="M10341"/>
      <c r="W10341"/>
    </row>
    <row r="10342" spans="10:23" x14ac:dyDescent="0.25">
      <c r="J10342"/>
      <c r="M10342"/>
      <c r="W10342"/>
    </row>
    <row r="10343" spans="10:23" x14ac:dyDescent="0.25">
      <c r="J10343"/>
      <c r="M10343"/>
      <c r="W10343"/>
    </row>
    <row r="10344" spans="10:23" x14ac:dyDescent="0.25">
      <c r="J10344"/>
      <c r="M10344"/>
      <c r="W10344"/>
    </row>
    <row r="10345" spans="10:23" x14ac:dyDescent="0.25">
      <c r="J10345"/>
      <c r="M10345"/>
      <c r="W10345"/>
    </row>
    <row r="10346" spans="10:23" x14ac:dyDescent="0.25">
      <c r="J10346"/>
      <c r="M10346"/>
      <c r="W10346"/>
    </row>
    <row r="10347" spans="10:23" x14ac:dyDescent="0.25">
      <c r="J10347"/>
      <c r="M10347"/>
      <c r="W10347"/>
    </row>
    <row r="10348" spans="10:23" x14ac:dyDescent="0.25">
      <c r="J10348"/>
      <c r="M10348"/>
      <c r="W10348"/>
    </row>
    <row r="10349" spans="10:23" x14ac:dyDescent="0.25">
      <c r="J10349"/>
      <c r="M10349"/>
      <c r="W10349"/>
    </row>
    <row r="10350" spans="10:23" x14ac:dyDescent="0.25">
      <c r="J10350"/>
      <c r="M10350"/>
      <c r="W10350"/>
    </row>
    <row r="10351" spans="10:23" x14ac:dyDescent="0.25">
      <c r="J10351"/>
      <c r="M10351"/>
      <c r="W10351"/>
    </row>
    <row r="10352" spans="10:23" x14ac:dyDescent="0.25">
      <c r="J10352"/>
      <c r="M10352"/>
      <c r="W10352"/>
    </row>
    <row r="10353" spans="10:23" x14ac:dyDescent="0.25">
      <c r="J10353"/>
      <c r="M10353"/>
      <c r="W10353"/>
    </row>
    <row r="10354" spans="10:23" x14ac:dyDescent="0.25">
      <c r="J10354"/>
      <c r="M10354"/>
      <c r="W10354"/>
    </row>
    <row r="10355" spans="10:23" x14ac:dyDescent="0.25">
      <c r="J10355"/>
      <c r="M10355"/>
      <c r="W10355"/>
    </row>
    <row r="10356" spans="10:23" x14ac:dyDescent="0.25">
      <c r="J10356"/>
      <c r="M10356"/>
      <c r="W10356"/>
    </row>
    <row r="10357" spans="10:23" x14ac:dyDescent="0.25">
      <c r="J10357"/>
      <c r="M10357"/>
      <c r="W10357"/>
    </row>
    <row r="10358" spans="10:23" x14ac:dyDescent="0.25">
      <c r="J10358"/>
      <c r="M10358"/>
      <c r="W10358"/>
    </row>
    <row r="10359" spans="10:23" x14ac:dyDescent="0.25">
      <c r="J10359"/>
      <c r="M10359"/>
      <c r="W10359"/>
    </row>
    <row r="10360" spans="10:23" x14ac:dyDescent="0.25">
      <c r="J10360"/>
      <c r="M10360"/>
      <c r="W10360"/>
    </row>
    <row r="10361" spans="10:23" x14ac:dyDescent="0.25">
      <c r="J10361"/>
      <c r="M10361"/>
      <c r="W10361"/>
    </row>
    <row r="10362" spans="10:23" x14ac:dyDescent="0.25">
      <c r="J10362"/>
      <c r="M10362"/>
      <c r="W10362"/>
    </row>
    <row r="10363" spans="10:23" x14ac:dyDescent="0.25">
      <c r="J10363"/>
      <c r="M10363"/>
      <c r="W10363"/>
    </row>
    <row r="10364" spans="10:23" x14ac:dyDescent="0.25">
      <c r="J10364"/>
      <c r="M10364"/>
      <c r="W10364"/>
    </row>
    <row r="10365" spans="10:23" x14ac:dyDescent="0.25">
      <c r="J10365"/>
      <c r="M10365"/>
      <c r="W10365"/>
    </row>
    <row r="10366" spans="10:23" x14ac:dyDescent="0.25">
      <c r="J10366"/>
      <c r="M10366"/>
      <c r="W10366"/>
    </row>
    <row r="10367" spans="10:23" x14ac:dyDescent="0.25">
      <c r="J10367"/>
      <c r="M10367"/>
      <c r="W10367"/>
    </row>
    <row r="10368" spans="10:23" x14ac:dyDescent="0.25">
      <c r="J10368"/>
      <c r="M10368"/>
      <c r="W10368"/>
    </row>
    <row r="10369" spans="10:23" x14ac:dyDescent="0.25">
      <c r="J10369"/>
      <c r="M10369"/>
      <c r="W10369"/>
    </row>
    <row r="10370" spans="10:23" x14ac:dyDescent="0.25">
      <c r="J10370"/>
      <c r="M10370"/>
      <c r="W10370"/>
    </row>
    <row r="10371" spans="10:23" x14ac:dyDescent="0.25">
      <c r="J10371"/>
      <c r="M10371"/>
      <c r="W10371"/>
    </row>
    <row r="10372" spans="10:23" x14ac:dyDescent="0.25">
      <c r="J10372"/>
      <c r="M10372"/>
      <c r="W10372"/>
    </row>
    <row r="10373" spans="10:23" x14ac:dyDescent="0.25">
      <c r="J10373"/>
      <c r="M10373"/>
      <c r="W10373"/>
    </row>
    <row r="10374" spans="10:23" x14ac:dyDescent="0.25">
      <c r="J10374"/>
      <c r="M10374"/>
      <c r="W10374"/>
    </row>
    <row r="10375" spans="10:23" x14ac:dyDescent="0.25">
      <c r="J10375"/>
      <c r="M10375"/>
      <c r="W10375"/>
    </row>
    <row r="10376" spans="10:23" x14ac:dyDescent="0.25">
      <c r="J10376"/>
      <c r="M10376"/>
      <c r="W10376"/>
    </row>
    <row r="10377" spans="10:23" x14ac:dyDescent="0.25">
      <c r="J10377"/>
      <c r="M10377"/>
      <c r="W10377"/>
    </row>
    <row r="10378" spans="10:23" x14ac:dyDescent="0.25">
      <c r="J10378"/>
      <c r="M10378"/>
      <c r="W10378"/>
    </row>
    <row r="10379" spans="10:23" x14ac:dyDescent="0.25">
      <c r="J10379"/>
      <c r="M10379"/>
      <c r="W10379"/>
    </row>
    <row r="10380" spans="10:23" x14ac:dyDescent="0.25">
      <c r="J10380"/>
      <c r="M10380"/>
      <c r="W10380"/>
    </row>
    <row r="10381" spans="10:23" x14ac:dyDescent="0.25">
      <c r="J10381"/>
      <c r="M10381"/>
      <c r="W10381"/>
    </row>
    <row r="10382" spans="10:23" x14ac:dyDescent="0.25">
      <c r="J10382"/>
      <c r="M10382"/>
      <c r="W10382"/>
    </row>
    <row r="10383" spans="10:23" x14ac:dyDescent="0.25">
      <c r="J10383"/>
      <c r="M10383"/>
      <c r="W10383"/>
    </row>
    <row r="10384" spans="10:23" x14ac:dyDescent="0.25">
      <c r="J10384"/>
      <c r="M10384"/>
      <c r="W10384"/>
    </row>
    <row r="10385" spans="10:23" x14ac:dyDescent="0.25">
      <c r="J10385"/>
      <c r="M10385"/>
      <c r="W10385"/>
    </row>
    <row r="10386" spans="10:23" x14ac:dyDescent="0.25">
      <c r="J10386"/>
      <c r="M10386"/>
      <c r="W10386"/>
    </row>
    <row r="10387" spans="10:23" x14ac:dyDescent="0.25">
      <c r="J10387"/>
      <c r="M10387"/>
      <c r="W10387"/>
    </row>
    <row r="10388" spans="10:23" x14ac:dyDescent="0.25">
      <c r="J10388"/>
      <c r="M10388"/>
      <c r="W10388"/>
    </row>
    <row r="10389" spans="10:23" x14ac:dyDescent="0.25">
      <c r="J10389"/>
      <c r="M10389"/>
      <c r="W10389"/>
    </row>
    <row r="10390" spans="10:23" x14ac:dyDescent="0.25">
      <c r="J10390"/>
      <c r="M10390"/>
      <c r="W10390"/>
    </row>
    <row r="10391" spans="10:23" x14ac:dyDescent="0.25">
      <c r="J10391"/>
      <c r="M10391"/>
      <c r="W10391"/>
    </row>
    <row r="10392" spans="10:23" x14ac:dyDescent="0.25">
      <c r="J10392"/>
      <c r="M10392"/>
      <c r="W10392"/>
    </row>
    <row r="10393" spans="10:23" x14ac:dyDescent="0.25">
      <c r="J10393"/>
      <c r="M10393"/>
      <c r="W10393"/>
    </row>
    <row r="10394" spans="10:23" x14ac:dyDescent="0.25">
      <c r="J10394"/>
      <c r="M10394"/>
      <c r="W10394"/>
    </row>
    <row r="10395" spans="10:23" x14ac:dyDescent="0.25">
      <c r="J10395"/>
      <c r="M10395"/>
      <c r="W10395"/>
    </row>
    <row r="10396" spans="10:23" x14ac:dyDescent="0.25">
      <c r="J10396"/>
      <c r="M10396"/>
      <c r="W10396"/>
    </row>
    <row r="10397" spans="10:23" x14ac:dyDescent="0.25">
      <c r="J10397"/>
      <c r="M10397"/>
      <c r="W10397"/>
    </row>
    <row r="10398" spans="10:23" x14ac:dyDescent="0.25">
      <c r="J10398"/>
      <c r="M10398"/>
      <c r="W10398"/>
    </row>
    <row r="10399" spans="10:23" x14ac:dyDescent="0.25">
      <c r="J10399"/>
      <c r="M10399"/>
      <c r="W10399"/>
    </row>
    <row r="10400" spans="10:23" x14ac:dyDescent="0.25">
      <c r="J10400"/>
      <c r="M10400"/>
      <c r="W10400"/>
    </row>
    <row r="10401" spans="10:23" x14ac:dyDescent="0.25">
      <c r="J10401"/>
      <c r="M10401"/>
      <c r="W10401"/>
    </row>
    <row r="10402" spans="10:23" x14ac:dyDescent="0.25">
      <c r="J10402"/>
      <c r="M10402"/>
      <c r="W10402"/>
    </row>
    <row r="10403" spans="10:23" x14ac:dyDescent="0.25">
      <c r="J10403"/>
      <c r="M10403"/>
      <c r="W10403"/>
    </row>
    <row r="10404" spans="10:23" x14ac:dyDescent="0.25">
      <c r="J10404"/>
      <c r="M10404"/>
      <c r="W10404"/>
    </row>
    <row r="10405" spans="10:23" x14ac:dyDescent="0.25">
      <c r="J10405"/>
      <c r="M10405"/>
      <c r="W10405"/>
    </row>
    <row r="10406" spans="10:23" x14ac:dyDescent="0.25">
      <c r="J10406"/>
      <c r="M10406"/>
      <c r="W10406"/>
    </row>
    <row r="10407" spans="10:23" x14ac:dyDescent="0.25">
      <c r="J10407"/>
      <c r="M10407"/>
      <c r="W10407"/>
    </row>
    <row r="10408" spans="10:23" x14ac:dyDescent="0.25">
      <c r="J10408"/>
      <c r="M10408"/>
      <c r="W10408"/>
    </row>
    <row r="10409" spans="10:23" x14ac:dyDescent="0.25">
      <c r="J10409"/>
      <c r="M10409"/>
      <c r="W10409"/>
    </row>
    <row r="10410" spans="10:23" x14ac:dyDescent="0.25">
      <c r="J10410"/>
      <c r="M10410"/>
      <c r="W10410"/>
    </row>
    <row r="10411" spans="10:23" x14ac:dyDescent="0.25">
      <c r="J10411"/>
      <c r="M10411"/>
      <c r="W10411"/>
    </row>
    <row r="10412" spans="10:23" x14ac:dyDescent="0.25">
      <c r="J10412"/>
      <c r="M10412"/>
      <c r="W10412"/>
    </row>
    <row r="10413" spans="10:23" x14ac:dyDescent="0.25">
      <c r="J10413"/>
      <c r="M10413"/>
      <c r="W10413"/>
    </row>
    <row r="10414" spans="10:23" x14ac:dyDescent="0.25">
      <c r="J10414"/>
      <c r="M10414"/>
      <c r="W10414"/>
    </row>
    <row r="10415" spans="10:23" x14ac:dyDescent="0.25">
      <c r="J10415"/>
      <c r="M10415"/>
      <c r="W10415"/>
    </row>
    <row r="10416" spans="10:23" x14ac:dyDescent="0.25">
      <c r="J10416"/>
      <c r="M10416"/>
      <c r="W10416"/>
    </row>
    <row r="10417" spans="10:23" x14ac:dyDescent="0.25">
      <c r="J10417"/>
      <c r="M10417"/>
      <c r="W10417"/>
    </row>
    <row r="10418" spans="10:23" x14ac:dyDescent="0.25">
      <c r="J10418"/>
      <c r="M10418"/>
      <c r="W10418"/>
    </row>
    <row r="10419" spans="10:23" x14ac:dyDescent="0.25">
      <c r="J10419"/>
      <c r="M10419"/>
      <c r="W10419"/>
    </row>
    <row r="10420" spans="10:23" x14ac:dyDescent="0.25">
      <c r="J10420"/>
      <c r="M10420"/>
      <c r="W10420"/>
    </row>
    <row r="10421" spans="10:23" x14ac:dyDescent="0.25">
      <c r="J10421"/>
      <c r="M10421"/>
      <c r="W10421"/>
    </row>
    <row r="10422" spans="10:23" x14ac:dyDescent="0.25">
      <c r="J10422"/>
      <c r="M10422"/>
      <c r="W10422"/>
    </row>
    <row r="10423" spans="10:23" x14ac:dyDescent="0.25">
      <c r="J10423"/>
      <c r="M10423"/>
      <c r="W10423"/>
    </row>
    <row r="10424" spans="10:23" x14ac:dyDescent="0.25">
      <c r="J10424"/>
      <c r="M10424"/>
      <c r="W10424"/>
    </row>
    <row r="10425" spans="10:23" x14ac:dyDescent="0.25">
      <c r="J10425"/>
      <c r="M10425"/>
      <c r="W10425"/>
    </row>
    <row r="10426" spans="10:23" x14ac:dyDescent="0.25">
      <c r="J10426"/>
      <c r="M10426"/>
      <c r="W10426"/>
    </row>
    <row r="10427" spans="10:23" x14ac:dyDescent="0.25">
      <c r="J10427"/>
      <c r="M10427"/>
      <c r="W10427"/>
    </row>
    <row r="10428" spans="10:23" x14ac:dyDescent="0.25">
      <c r="J10428"/>
      <c r="M10428"/>
      <c r="W10428"/>
    </row>
    <row r="10429" spans="10:23" x14ac:dyDescent="0.25">
      <c r="J10429"/>
      <c r="M10429"/>
      <c r="W10429"/>
    </row>
    <row r="10430" spans="10:23" x14ac:dyDescent="0.25">
      <c r="J10430"/>
      <c r="M10430"/>
      <c r="W10430"/>
    </row>
    <row r="10431" spans="10:23" x14ac:dyDescent="0.25">
      <c r="J10431"/>
      <c r="M10431"/>
      <c r="W10431"/>
    </row>
    <row r="10432" spans="10:23" x14ac:dyDescent="0.25">
      <c r="J10432"/>
      <c r="M10432"/>
      <c r="W10432"/>
    </row>
    <row r="10433" spans="10:23" x14ac:dyDescent="0.25">
      <c r="J10433"/>
      <c r="M10433"/>
      <c r="W10433"/>
    </row>
    <row r="10434" spans="10:23" x14ac:dyDescent="0.25">
      <c r="J10434"/>
      <c r="M10434"/>
      <c r="W10434"/>
    </row>
    <row r="10435" spans="10:23" x14ac:dyDescent="0.25">
      <c r="J10435"/>
      <c r="M10435"/>
      <c r="W10435"/>
    </row>
    <row r="10436" spans="10:23" x14ac:dyDescent="0.25">
      <c r="J10436"/>
      <c r="M10436"/>
      <c r="W10436"/>
    </row>
    <row r="10437" spans="10:23" x14ac:dyDescent="0.25">
      <c r="J10437"/>
      <c r="M10437"/>
      <c r="W10437"/>
    </row>
    <row r="10438" spans="10:23" x14ac:dyDescent="0.25">
      <c r="J10438"/>
      <c r="M10438"/>
      <c r="W10438"/>
    </row>
    <row r="10439" spans="10:23" x14ac:dyDescent="0.25">
      <c r="J10439"/>
      <c r="M10439"/>
      <c r="W10439"/>
    </row>
    <row r="10440" spans="10:23" x14ac:dyDescent="0.25">
      <c r="J10440"/>
      <c r="M10440"/>
      <c r="W10440"/>
    </row>
    <row r="10441" spans="10:23" x14ac:dyDescent="0.25">
      <c r="J10441"/>
      <c r="M10441"/>
      <c r="W10441"/>
    </row>
    <row r="10442" spans="10:23" x14ac:dyDescent="0.25">
      <c r="J10442"/>
      <c r="M10442"/>
      <c r="W10442"/>
    </row>
    <row r="10443" spans="10:23" x14ac:dyDescent="0.25">
      <c r="J10443"/>
      <c r="M10443"/>
      <c r="W10443"/>
    </row>
    <row r="10444" spans="10:23" x14ac:dyDescent="0.25">
      <c r="J10444"/>
      <c r="M10444"/>
      <c r="W10444"/>
    </row>
    <row r="10445" spans="10:23" x14ac:dyDescent="0.25">
      <c r="J10445"/>
      <c r="M10445"/>
      <c r="W10445"/>
    </row>
    <row r="10446" spans="10:23" x14ac:dyDescent="0.25">
      <c r="J10446"/>
      <c r="M10446"/>
      <c r="W10446"/>
    </row>
    <row r="10447" spans="10:23" x14ac:dyDescent="0.25">
      <c r="J10447"/>
      <c r="M10447"/>
      <c r="W10447"/>
    </row>
    <row r="10448" spans="10:23" x14ac:dyDescent="0.25">
      <c r="J10448"/>
      <c r="M10448"/>
      <c r="W10448"/>
    </row>
    <row r="10449" spans="10:23" x14ac:dyDescent="0.25">
      <c r="J10449"/>
      <c r="M10449"/>
      <c r="W10449"/>
    </row>
    <row r="10450" spans="10:23" x14ac:dyDescent="0.25">
      <c r="J10450"/>
      <c r="M10450"/>
      <c r="W10450"/>
    </row>
    <row r="10451" spans="10:23" x14ac:dyDescent="0.25">
      <c r="J10451"/>
      <c r="M10451"/>
      <c r="W10451"/>
    </row>
    <row r="10452" spans="10:23" x14ac:dyDescent="0.25">
      <c r="J10452"/>
      <c r="M10452"/>
      <c r="W10452"/>
    </row>
    <row r="10453" spans="10:23" x14ac:dyDescent="0.25">
      <c r="J10453"/>
      <c r="M10453"/>
      <c r="W10453"/>
    </row>
    <row r="10454" spans="10:23" x14ac:dyDescent="0.25">
      <c r="J10454"/>
      <c r="M10454"/>
      <c r="W10454"/>
    </row>
    <row r="10455" spans="10:23" x14ac:dyDescent="0.25">
      <c r="J10455"/>
      <c r="M10455"/>
      <c r="W10455"/>
    </row>
    <row r="10456" spans="10:23" x14ac:dyDescent="0.25">
      <c r="J10456"/>
      <c r="M10456"/>
      <c r="W10456"/>
    </row>
    <row r="10457" spans="10:23" x14ac:dyDescent="0.25">
      <c r="J10457"/>
      <c r="M10457"/>
      <c r="W10457"/>
    </row>
    <row r="10458" spans="10:23" x14ac:dyDescent="0.25">
      <c r="J10458"/>
      <c r="M10458"/>
      <c r="W10458"/>
    </row>
    <row r="10459" spans="10:23" x14ac:dyDescent="0.25">
      <c r="J10459"/>
      <c r="M10459"/>
      <c r="W10459"/>
    </row>
    <row r="10460" spans="10:23" x14ac:dyDescent="0.25">
      <c r="J10460"/>
      <c r="M10460"/>
      <c r="W10460"/>
    </row>
    <row r="10461" spans="10:23" x14ac:dyDescent="0.25">
      <c r="J10461"/>
      <c r="M10461"/>
      <c r="W10461"/>
    </row>
    <row r="10462" spans="10:23" x14ac:dyDescent="0.25">
      <c r="J10462"/>
      <c r="M10462"/>
      <c r="W10462"/>
    </row>
    <row r="10463" spans="10:23" x14ac:dyDescent="0.25">
      <c r="J10463"/>
      <c r="M10463"/>
      <c r="W10463"/>
    </row>
    <row r="10464" spans="10:23" x14ac:dyDescent="0.25">
      <c r="J10464"/>
      <c r="M10464"/>
      <c r="W10464"/>
    </row>
    <row r="10465" spans="10:23" x14ac:dyDescent="0.25">
      <c r="J10465"/>
      <c r="M10465"/>
      <c r="W10465"/>
    </row>
    <row r="10466" spans="10:23" x14ac:dyDescent="0.25">
      <c r="J10466"/>
      <c r="M10466"/>
      <c r="W10466"/>
    </row>
    <row r="10467" spans="10:23" x14ac:dyDescent="0.25">
      <c r="J10467"/>
      <c r="M10467"/>
      <c r="W10467"/>
    </row>
    <row r="10468" spans="10:23" x14ac:dyDescent="0.25">
      <c r="J10468"/>
      <c r="M10468"/>
      <c r="W10468"/>
    </row>
    <row r="10469" spans="10:23" x14ac:dyDescent="0.25">
      <c r="J10469"/>
      <c r="M10469"/>
      <c r="W10469"/>
    </row>
    <row r="10470" spans="10:23" x14ac:dyDescent="0.25">
      <c r="J10470"/>
      <c r="M10470"/>
      <c r="W10470"/>
    </row>
    <row r="10471" spans="10:23" x14ac:dyDescent="0.25">
      <c r="J10471"/>
      <c r="M10471"/>
      <c r="W10471"/>
    </row>
    <row r="10472" spans="10:23" x14ac:dyDescent="0.25">
      <c r="J10472"/>
      <c r="M10472"/>
      <c r="W10472"/>
    </row>
    <row r="10473" spans="10:23" x14ac:dyDescent="0.25">
      <c r="J10473"/>
      <c r="M10473"/>
      <c r="W10473"/>
    </row>
    <row r="10474" spans="10:23" x14ac:dyDescent="0.25">
      <c r="J10474"/>
      <c r="M10474"/>
      <c r="W10474"/>
    </row>
    <row r="10475" spans="10:23" x14ac:dyDescent="0.25">
      <c r="J10475"/>
      <c r="M10475"/>
      <c r="W10475"/>
    </row>
    <row r="10476" spans="10:23" x14ac:dyDescent="0.25">
      <c r="J10476"/>
      <c r="M10476"/>
      <c r="W10476"/>
    </row>
    <row r="10477" spans="10:23" x14ac:dyDescent="0.25">
      <c r="J10477"/>
      <c r="M10477"/>
      <c r="W10477"/>
    </row>
    <row r="10478" spans="10:23" x14ac:dyDescent="0.25">
      <c r="J10478"/>
      <c r="M10478"/>
      <c r="W10478"/>
    </row>
    <row r="10479" spans="10:23" x14ac:dyDescent="0.25">
      <c r="J10479"/>
      <c r="M10479"/>
      <c r="W10479"/>
    </row>
    <row r="10480" spans="10:23" x14ac:dyDescent="0.25">
      <c r="J10480"/>
      <c r="M10480"/>
      <c r="W10480"/>
    </row>
    <row r="10481" spans="10:23" x14ac:dyDescent="0.25">
      <c r="J10481"/>
      <c r="M10481"/>
      <c r="W10481"/>
    </row>
    <row r="10482" spans="10:23" x14ac:dyDescent="0.25">
      <c r="J10482"/>
      <c r="M10482"/>
      <c r="W10482"/>
    </row>
    <row r="10483" spans="10:23" x14ac:dyDescent="0.25">
      <c r="J10483"/>
      <c r="M10483"/>
      <c r="W10483"/>
    </row>
    <row r="10484" spans="10:23" x14ac:dyDescent="0.25">
      <c r="J10484"/>
      <c r="M10484"/>
      <c r="W10484"/>
    </row>
    <row r="10485" spans="10:23" x14ac:dyDescent="0.25">
      <c r="J10485"/>
      <c r="M10485"/>
      <c r="W10485"/>
    </row>
    <row r="10486" spans="10:23" x14ac:dyDescent="0.25">
      <c r="J10486"/>
      <c r="M10486"/>
      <c r="W10486"/>
    </row>
    <row r="10487" spans="10:23" x14ac:dyDescent="0.25">
      <c r="J10487"/>
      <c r="M10487"/>
      <c r="W10487"/>
    </row>
    <row r="10488" spans="10:23" x14ac:dyDescent="0.25">
      <c r="J10488"/>
      <c r="M10488"/>
      <c r="W10488"/>
    </row>
    <row r="10489" spans="10:23" x14ac:dyDescent="0.25">
      <c r="J10489"/>
      <c r="M10489"/>
      <c r="W10489"/>
    </row>
    <row r="10490" spans="10:23" x14ac:dyDescent="0.25">
      <c r="J10490"/>
      <c r="M10490"/>
      <c r="W10490"/>
    </row>
    <row r="10491" spans="10:23" x14ac:dyDescent="0.25">
      <c r="J10491"/>
      <c r="M10491"/>
      <c r="W10491"/>
    </row>
    <row r="10492" spans="10:23" x14ac:dyDescent="0.25">
      <c r="J10492"/>
      <c r="M10492"/>
      <c r="W10492"/>
    </row>
    <row r="10493" spans="10:23" x14ac:dyDescent="0.25">
      <c r="J10493"/>
      <c r="M10493"/>
      <c r="W10493"/>
    </row>
    <row r="10494" spans="10:23" x14ac:dyDescent="0.25">
      <c r="J10494"/>
      <c r="M10494"/>
      <c r="W10494"/>
    </row>
    <row r="10495" spans="10:23" x14ac:dyDescent="0.25">
      <c r="J10495"/>
      <c r="M10495"/>
      <c r="W10495"/>
    </row>
    <row r="10496" spans="10:23" x14ac:dyDescent="0.25">
      <c r="J10496"/>
      <c r="M10496"/>
      <c r="W10496"/>
    </row>
    <row r="10497" spans="10:23" x14ac:dyDescent="0.25">
      <c r="J10497"/>
      <c r="M10497"/>
      <c r="W10497"/>
    </row>
    <row r="10498" spans="10:23" x14ac:dyDescent="0.25">
      <c r="J10498"/>
      <c r="M10498"/>
      <c r="W10498"/>
    </row>
    <row r="10499" spans="10:23" x14ac:dyDescent="0.25">
      <c r="J10499"/>
      <c r="M10499"/>
      <c r="W10499"/>
    </row>
    <row r="10500" spans="10:23" x14ac:dyDescent="0.25">
      <c r="J10500"/>
      <c r="M10500"/>
      <c r="W10500"/>
    </row>
    <row r="10501" spans="10:23" x14ac:dyDescent="0.25">
      <c r="J10501"/>
      <c r="M10501"/>
      <c r="W10501"/>
    </row>
    <row r="10502" spans="10:23" x14ac:dyDescent="0.25">
      <c r="J10502"/>
      <c r="M10502"/>
      <c r="W10502"/>
    </row>
    <row r="10503" spans="10:23" x14ac:dyDescent="0.25">
      <c r="J10503"/>
      <c r="M10503"/>
      <c r="W10503"/>
    </row>
    <row r="10504" spans="10:23" x14ac:dyDescent="0.25">
      <c r="J10504"/>
      <c r="M10504"/>
      <c r="W10504"/>
    </row>
    <row r="10505" spans="10:23" x14ac:dyDescent="0.25">
      <c r="J10505"/>
      <c r="M10505"/>
      <c r="W10505"/>
    </row>
    <row r="10506" spans="10:23" x14ac:dyDescent="0.25">
      <c r="J10506"/>
      <c r="M10506"/>
      <c r="W10506"/>
    </row>
    <row r="10507" spans="10:23" x14ac:dyDescent="0.25">
      <c r="J10507"/>
      <c r="M10507"/>
      <c r="W10507"/>
    </row>
    <row r="10508" spans="10:23" x14ac:dyDescent="0.25">
      <c r="J10508"/>
      <c r="M10508"/>
      <c r="W10508"/>
    </row>
    <row r="10509" spans="10:23" x14ac:dyDescent="0.25">
      <c r="J10509"/>
      <c r="M10509"/>
      <c r="W10509"/>
    </row>
    <row r="10510" spans="10:23" x14ac:dyDescent="0.25">
      <c r="J10510"/>
      <c r="M10510"/>
      <c r="W10510"/>
    </row>
    <row r="10511" spans="10:23" x14ac:dyDescent="0.25">
      <c r="J10511"/>
      <c r="M10511"/>
      <c r="W10511"/>
    </row>
    <row r="10512" spans="10:23" x14ac:dyDescent="0.25">
      <c r="J10512"/>
      <c r="M10512"/>
      <c r="W10512"/>
    </row>
    <row r="10513" spans="10:23" x14ac:dyDescent="0.25">
      <c r="J10513"/>
      <c r="M10513"/>
      <c r="W10513"/>
    </row>
    <row r="10514" spans="10:23" x14ac:dyDescent="0.25">
      <c r="J10514"/>
      <c r="M10514"/>
      <c r="W10514"/>
    </row>
    <row r="10515" spans="10:23" x14ac:dyDescent="0.25">
      <c r="J10515"/>
      <c r="M10515"/>
      <c r="W10515"/>
    </row>
    <row r="10516" spans="10:23" x14ac:dyDescent="0.25">
      <c r="J10516"/>
      <c r="M10516"/>
      <c r="W10516"/>
    </row>
    <row r="10517" spans="10:23" x14ac:dyDescent="0.25">
      <c r="J10517"/>
      <c r="M10517"/>
      <c r="W10517"/>
    </row>
    <row r="10518" spans="10:23" x14ac:dyDescent="0.25">
      <c r="J10518"/>
      <c r="M10518"/>
      <c r="W10518"/>
    </row>
    <row r="10519" spans="10:23" x14ac:dyDescent="0.25">
      <c r="J10519"/>
      <c r="M10519"/>
      <c r="W10519"/>
    </row>
    <row r="10520" spans="10:23" x14ac:dyDescent="0.25">
      <c r="J10520"/>
      <c r="M10520"/>
      <c r="W10520"/>
    </row>
    <row r="10521" spans="10:23" x14ac:dyDescent="0.25">
      <c r="J10521"/>
      <c r="M10521"/>
      <c r="W10521"/>
    </row>
    <row r="10522" spans="10:23" x14ac:dyDescent="0.25">
      <c r="J10522"/>
      <c r="M10522"/>
      <c r="W10522"/>
    </row>
    <row r="10523" spans="10:23" x14ac:dyDescent="0.25">
      <c r="J10523"/>
      <c r="M10523"/>
      <c r="W10523"/>
    </row>
    <row r="10524" spans="10:23" x14ac:dyDescent="0.25">
      <c r="J10524"/>
      <c r="M10524"/>
      <c r="W10524"/>
    </row>
    <row r="10525" spans="10:23" x14ac:dyDescent="0.25">
      <c r="J10525"/>
      <c r="M10525"/>
      <c r="W10525"/>
    </row>
    <row r="10526" spans="10:23" x14ac:dyDescent="0.25">
      <c r="J10526"/>
      <c r="M10526"/>
      <c r="W10526"/>
    </row>
    <row r="10527" spans="10:23" x14ac:dyDescent="0.25">
      <c r="J10527"/>
      <c r="M10527"/>
      <c r="W10527"/>
    </row>
    <row r="10528" spans="10:23" x14ac:dyDescent="0.25">
      <c r="J10528"/>
      <c r="M10528"/>
      <c r="W10528"/>
    </row>
    <row r="10529" spans="10:23" x14ac:dyDescent="0.25">
      <c r="J10529"/>
      <c r="M10529"/>
      <c r="W10529"/>
    </row>
    <row r="10530" spans="10:23" x14ac:dyDescent="0.25">
      <c r="J10530"/>
      <c r="M10530"/>
      <c r="W10530"/>
    </row>
    <row r="10531" spans="10:23" x14ac:dyDescent="0.25">
      <c r="J10531"/>
      <c r="M10531"/>
      <c r="W10531"/>
    </row>
    <row r="10532" spans="10:23" x14ac:dyDescent="0.25">
      <c r="J10532"/>
      <c r="M10532"/>
      <c r="W10532"/>
    </row>
    <row r="10533" spans="10:23" x14ac:dyDescent="0.25">
      <c r="J10533"/>
      <c r="M10533"/>
      <c r="W10533"/>
    </row>
    <row r="10534" spans="10:23" x14ac:dyDescent="0.25">
      <c r="J10534"/>
      <c r="M10534"/>
      <c r="W10534"/>
    </row>
    <row r="10535" spans="10:23" x14ac:dyDescent="0.25">
      <c r="J10535"/>
      <c r="M10535"/>
      <c r="W10535"/>
    </row>
    <row r="10536" spans="10:23" x14ac:dyDescent="0.25">
      <c r="J10536"/>
      <c r="M10536"/>
      <c r="W10536"/>
    </row>
    <row r="10537" spans="10:23" x14ac:dyDescent="0.25">
      <c r="J10537"/>
      <c r="M10537"/>
      <c r="W10537"/>
    </row>
    <row r="10538" spans="10:23" x14ac:dyDescent="0.25">
      <c r="J10538"/>
      <c r="M10538"/>
      <c r="W10538"/>
    </row>
    <row r="10539" spans="10:23" x14ac:dyDescent="0.25">
      <c r="J10539"/>
      <c r="M10539"/>
      <c r="W10539"/>
    </row>
    <row r="10540" spans="10:23" x14ac:dyDescent="0.25">
      <c r="J10540"/>
      <c r="M10540"/>
      <c r="W10540"/>
    </row>
    <row r="10541" spans="10:23" x14ac:dyDescent="0.25">
      <c r="J10541"/>
      <c r="M10541"/>
      <c r="W10541"/>
    </row>
    <row r="10542" spans="10:23" x14ac:dyDescent="0.25">
      <c r="J10542"/>
      <c r="M10542"/>
      <c r="W10542"/>
    </row>
    <row r="10543" spans="10:23" x14ac:dyDescent="0.25">
      <c r="J10543"/>
      <c r="M10543"/>
      <c r="W10543"/>
    </row>
    <row r="10544" spans="10:23" x14ac:dyDescent="0.25">
      <c r="J10544"/>
      <c r="M10544"/>
      <c r="W10544"/>
    </row>
    <row r="10545" spans="10:23" x14ac:dyDescent="0.25">
      <c r="J10545"/>
      <c r="M10545"/>
      <c r="W10545"/>
    </row>
    <row r="10546" spans="10:23" x14ac:dyDescent="0.25">
      <c r="J10546"/>
      <c r="M10546"/>
      <c r="W10546"/>
    </row>
    <row r="10547" spans="10:23" x14ac:dyDescent="0.25">
      <c r="J10547"/>
      <c r="M10547"/>
      <c r="W10547"/>
    </row>
    <row r="10548" spans="10:23" x14ac:dyDescent="0.25">
      <c r="J10548"/>
      <c r="M10548"/>
      <c r="W10548"/>
    </row>
    <row r="10549" spans="10:23" x14ac:dyDescent="0.25">
      <c r="J10549"/>
      <c r="M10549"/>
      <c r="W10549"/>
    </row>
    <row r="10550" spans="10:23" x14ac:dyDescent="0.25">
      <c r="J10550"/>
      <c r="M10550"/>
      <c r="W10550"/>
    </row>
    <row r="10551" spans="10:23" x14ac:dyDescent="0.25">
      <c r="J10551"/>
      <c r="M10551"/>
      <c r="W10551"/>
    </row>
    <row r="10552" spans="10:23" x14ac:dyDescent="0.25">
      <c r="J10552"/>
      <c r="M10552"/>
      <c r="W10552"/>
    </row>
    <row r="10553" spans="10:23" x14ac:dyDescent="0.25">
      <c r="J10553"/>
      <c r="M10553"/>
      <c r="W10553"/>
    </row>
    <row r="10554" spans="10:23" x14ac:dyDescent="0.25">
      <c r="J10554"/>
      <c r="M10554"/>
      <c r="W10554"/>
    </row>
    <row r="10555" spans="10:23" x14ac:dyDescent="0.25">
      <c r="J10555"/>
      <c r="M10555"/>
      <c r="W10555"/>
    </row>
    <row r="10556" spans="10:23" x14ac:dyDescent="0.25">
      <c r="J10556"/>
      <c r="M10556"/>
      <c r="W10556"/>
    </row>
    <row r="10557" spans="10:23" x14ac:dyDescent="0.25">
      <c r="J10557"/>
      <c r="M10557"/>
      <c r="W10557"/>
    </row>
    <row r="10558" spans="10:23" x14ac:dyDescent="0.25">
      <c r="J10558"/>
      <c r="M10558"/>
      <c r="W10558"/>
    </row>
    <row r="10559" spans="10:23" x14ac:dyDescent="0.25">
      <c r="J10559"/>
      <c r="M10559"/>
      <c r="W10559"/>
    </row>
    <row r="10560" spans="10:23" x14ac:dyDescent="0.25">
      <c r="J10560"/>
      <c r="M10560"/>
      <c r="W10560"/>
    </row>
    <row r="10561" spans="10:23" x14ac:dyDescent="0.25">
      <c r="J10561"/>
      <c r="M10561"/>
      <c r="W10561"/>
    </row>
    <row r="10562" spans="10:23" x14ac:dyDescent="0.25">
      <c r="J10562"/>
      <c r="M10562"/>
      <c r="W10562"/>
    </row>
    <row r="10563" spans="10:23" x14ac:dyDescent="0.25">
      <c r="J10563"/>
      <c r="M10563"/>
      <c r="W10563"/>
    </row>
    <row r="10564" spans="10:23" x14ac:dyDescent="0.25">
      <c r="J10564"/>
      <c r="M10564"/>
      <c r="W10564"/>
    </row>
    <row r="10565" spans="10:23" x14ac:dyDescent="0.25">
      <c r="J10565"/>
      <c r="M10565"/>
      <c r="W10565"/>
    </row>
    <row r="10566" spans="10:23" x14ac:dyDescent="0.25">
      <c r="J10566"/>
      <c r="M10566"/>
      <c r="W10566"/>
    </row>
    <row r="10567" spans="10:23" x14ac:dyDescent="0.25">
      <c r="J10567"/>
      <c r="M10567"/>
      <c r="W10567"/>
    </row>
    <row r="10568" spans="10:23" x14ac:dyDescent="0.25">
      <c r="J10568"/>
      <c r="M10568"/>
      <c r="W10568"/>
    </row>
    <row r="10569" spans="10:23" x14ac:dyDescent="0.25">
      <c r="J10569"/>
      <c r="M10569"/>
      <c r="W10569"/>
    </row>
    <row r="10570" spans="10:23" x14ac:dyDescent="0.25">
      <c r="J10570"/>
      <c r="M10570"/>
      <c r="W10570"/>
    </row>
    <row r="10571" spans="10:23" x14ac:dyDescent="0.25">
      <c r="J10571"/>
      <c r="M10571"/>
      <c r="W10571"/>
    </row>
    <row r="10572" spans="10:23" x14ac:dyDescent="0.25">
      <c r="J10572"/>
      <c r="M10572"/>
      <c r="W10572"/>
    </row>
    <row r="10573" spans="10:23" x14ac:dyDescent="0.25">
      <c r="J10573"/>
      <c r="M10573"/>
      <c r="W10573"/>
    </row>
    <row r="10574" spans="10:23" x14ac:dyDescent="0.25">
      <c r="J10574"/>
      <c r="M10574"/>
      <c r="W10574"/>
    </row>
    <row r="10575" spans="10:23" x14ac:dyDescent="0.25">
      <c r="J10575"/>
      <c r="M10575"/>
      <c r="W10575"/>
    </row>
    <row r="10576" spans="10:23" x14ac:dyDescent="0.25">
      <c r="J10576"/>
      <c r="M10576"/>
      <c r="W10576"/>
    </row>
    <row r="10577" spans="10:23" x14ac:dyDescent="0.25">
      <c r="J10577"/>
      <c r="M10577"/>
      <c r="W10577"/>
    </row>
    <row r="10578" spans="10:23" x14ac:dyDescent="0.25">
      <c r="J10578"/>
      <c r="M10578"/>
      <c r="W10578"/>
    </row>
    <row r="10579" spans="10:23" x14ac:dyDescent="0.25">
      <c r="J10579"/>
      <c r="M10579"/>
      <c r="W10579"/>
    </row>
    <row r="10580" spans="10:23" x14ac:dyDescent="0.25">
      <c r="J10580"/>
      <c r="M10580"/>
      <c r="W10580"/>
    </row>
    <row r="10581" spans="10:23" x14ac:dyDescent="0.25">
      <c r="J10581"/>
      <c r="M10581"/>
      <c r="W10581"/>
    </row>
    <row r="10582" spans="10:23" x14ac:dyDescent="0.25">
      <c r="J10582"/>
      <c r="M10582"/>
      <c r="W10582"/>
    </row>
    <row r="10583" spans="10:23" x14ac:dyDescent="0.25">
      <c r="J10583"/>
      <c r="M10583"/>
      <c r="W10583"/>
    </row>
    <row r="10584" spans="10:23" x14ac:dyDescent="0.25">
      <c r="J10584"/>
      <c r="M10584"/>
      <c r="W10584"/>
    </row>
    <row r="10585" spans="10:23" x14ac:dyDescent="0.25">
      <c r="J10585"/>
      <c r="M10585"/>
      <c r="W10585"/>
    </row>
    <row r="10586" spans="10:23" x14ac:dyDescent="0.25">
      <c r="J10586"/>
      <c r="M10586"/>
      <c r="W10586"/>
    </row>
    <row r="10587" spans="10:23" x14ac:dyDescent="0.25">
      <c r="J10587"/>
      <c r="M10587"/>
      <c r="W10587"/>
    </row>
    <row r="10588" spans="10:23" x14ac:dyDescent="0.25">
      <c r="J10588"/>
      <c r="M10588"/>
      <c r="W10588"/>
    </row>
    <row r="10589" spans="10:23" x14ac:dyDescent="0.25">
      <c r="J10589"/>
      <c r="M10589"/>
      <c r="W10589"/>
    </row>
    <row r="10590" spans="10:23" x14ac:dyDescent="0.25">
      <c r="J10590"/>
      <c r="M10590"/>
      <c r="W10590"/>
    </row>
    <row r="10591" spans="10:23" x14ac:dyDescent="0.25">
      <c r="J10591"/>
      <c r="M10591"/>
      <c r="W10591"/>
    </row>
    <row r="10592" spans="10:23" x14ac:dyDescent="0.25">
      <c r="J10592"/>
      <c r="M10592"/>
      <c r="W10592"/>
    </row>
    <row r="10593" spans="10:23" x14ac:dyDescent="0.25">
      <c r="J10593"/>
      <c r="M10593"/>
      <c r="W10593"/>
    </row>
    <row r="10594" spans="10:23" x14ac:dyDescent="0.25">
      <c r="J10594"/>
      <c r="M10594"/>
      <c r="W10594"/>
    </row>
    <row r="10595" spans="10:23" x14ac:dyDescent="0.25">
      <c r="J10595"/>
      <c r="M10595"/>
      <c r="W10595"/>
    </row>
    <row r="10596" spans="10:23" x14ac:dyDescent="0.25">
      <c r="J10596"/>
      <c r="M10596"/>
      <c r="W10596"/>
    </row>
    <row r="10597" spans="10:23" x14ac:dyDescent="0.25">
      <c r="J10597"/>
      <c r="M10597"/>
      <c r="W10597"/>
    </row>
    <row r="10598" spans="10:23" x14ac:dyDescent="0.25">
      <c r="J10598"/>
      <c r="M10598"/>
      <c r="W10598"/>
    </row>
    <row r="10599" spans="10:23" x14ac:dyDescent="0.25">
      <c r="J10599"/>
      <c r="M10599"/>
      <c r="W10599"/>
    </row>
    <row r="10600" spans="10:23" x14ac:dyDescent="0.25">
      <c r="J10600"/>
      <c r="M10600"/>
      <c r="W10600"/>
    </row>
    <row r="10601" spans="10:23" x14ac:dyDescent="0.25">
      <c r="J10601"/>
      <c r="M10601"/>
      <c r="W10601"/>
    </row>
    <row r="10602" spans="10:23" x14ac:dyDescent="0.25">
      <c r="J10602"/>
      <c r="M10602"/>
      <c r="W10602"/>
    </row>
    <row r="10603" spans="10:23" x14ac:dyDescent="0.25">
      <c r="J10603"/>
      <c r="M10603"/>
      <c r="W10603"/>
    </row>
    <row r="10604" spans="10:23" x14ac:dyDescent="0.25">
      <c r="J10604"/>
      <c r="M10604"/>
      <c r="W10604"/>
    </row>
    <row r="10605" spans="10:23" x14ac:dyDescent="0.25">
      <c r="J10605"/>
      <c r="M10605"/>
      <c r="W10605"/>
    </row>
    <row r="10606" spans="10:23" x14ac:dyDescent="0.25">
      <c r="J10606"/>
      <c r="M10606"/>
      <c r="W10606"/>
    </row>
    <row r="10607" spans="10:23" x14ac:dyDescent="0.25">
      <c r="J10607"/>
      <c r="M10607"/>
      <c r="W10607"/>
    </row>
    <row r="10608" spans="10:23" x14ac:dyDescent="0.25">
      <c r="J10608"/>
      <c r="M10608"/>
      <c r="W10608"/>
    </row>
    <row r="10609" spans="10:23" x14ac:dyDescent="0.25">
      <c r="J10609"/>
      <c r="M10609"/>
      <c r="W10609"/>
    </row>
    <row r="10610" spans="10:23" x14ac:dyDescent="0.25">
      <c r="J10610"/>
      <c r="M10610"/>
      <c r="W10610"/>
    </row>
    <row r="10611" spans="10:23" x14ac:dyDescent="0.25">
      <c r="J10611"/>
      <c r="M10611"/>
      <c r="W10611"/>
    </row>
    <row r="10612" spans="10:23" x14ac:dyDescent="0.25">
      <c r="J10612"/>
      <c r="M10612"/>
      <c r="W10612"/>
    </row>
    <row r="10613" spans="10:23" x14ac:dyDescent="0.25">
      <c r="J10613"/>
      <c r="M10613"/>
      <c r="W10613"/>
    </row>
    <row r="10614" spans="10:23" x14ac:dyDescent="0.25">
      <c r="J10614"/>
      <c r="M10614"/>
      <c r="W10614"/>
    </row>
    <row r="10615" spans="10:23" x14ac:dyDescent="0.25">
      <c r="J10615"/>
      <c r="M10615"/>
      <c r="W10615"/>
    </row>
    <row r="10616" spans="10:23" x14ac:dyDescent="0.25">
      <c r="J10616"/>
      <c r="M10616"/>
      <c r="W10616"/>
    </row>
    <row r="10617" spans="10:23" x14ac:dyDescent="0.25">
      <c r="J10617"/>
      <c r="M10617"/>
      <c r="W10617"/>
    </row>
    <row r="10618" spans="10:23" x14ac:dyDescent="0.25">
      <c r="J10618"/>
      <c r="M10618"/>
      <c r="W10618"/>
    </row>
    <row r="10619" spans="10:23" x14ac:dyDescent="0.25">
      <c r="J10619"/>
      <c r="M10619"/>
      <c r="W10619"/>
    </row>
    <row r="10620" spans="10:23" x14ac:dyDescent="0.25">
      <c r="J10620"/>
      <c r="M10620"/>
      <c r="W10620"/>
    </row>
    <row r="10621" spans="10:23" x14ac:dyDescent="0.25">
      <c r="J10621"/>
      <c r="M10621"/>
      <c r="W10621"/>
    </row>
    <row r="10622" spans="10:23" x14ac:dyDescent="0.25">
      <c r="J10622"/>
      <c r="M10622"/>
      <c r="W10622"/>
    </row>
    <row r="10623" spans="10:23" x14ac:dyDescent="0.25">
      <c r="J10623"/>
      <c r="M10623"/>
      <c r="W10623"/>
    </row>
    <row r="10624" spans="10:23" x14ac:dyDescent="0.25">
      <c r="J10624"/>
      <c r="M10624"/>
      <c r="W10624"/>
    </row>
    <row r="10625" spans="10:23" x14ac:dyDescent="0.25">
      <c r="J10625"/>
      <c r="M10625"/>
      <c r="W10625"/>
    </row>
    <row r="10626" spans="10:23" x14ac:dyDescent="0.25">
      <c r="J10626"/>
      <c r="M10626"/>
      <c r="W10626"/>
    </row>
    <row r="10627" spans="10:23" x14ac:dyDescent="0.25">
      <c r="J10627"/>
      <c r="M10627"/>
      <c r="W10627"/>
    </row>
    <row r="10628" spans="10:23" x14ac:dyDescent="0.25">
      <c r="J10628"/>
      <c r="M10628"/>
      <c r="W10628"/>
    </row>
    <row r="10629" spans="10:23" x14ac:dyDescent="0.25">
      <c r="J10629"/>
      <c r="M10629"/>
      <c r="W10629"/>
    </row>
    <row r="10630" spans="10:23" x14ac:dyDescent="0.25">
      <c r="J10630"/>
      <c r="M10630"/>
      <c r="W10630"/>
    </row>
    <row r="10631" spans="10:23" x14ac:dyDescent="0.25">
      <c r="J10631"/>
      <c r="M10631"/>
      <c r="W10631"/>
    </row>
    <row r="10632" spans="10:23" x14ac:dyDescent="0.25">
      <c r="J10632"/>
      <c r="M10632"/>
      <c r="W10632"/>
    </row>
    <row r="10633" spans="10:23" x14ac:dyDescent="0.25">
      <c r="J10633"/>
      <c r="M10633"/>
      <c r="W10633"/>
    </row>
    <row r="10634" spans="10:23" x14ac:dyDescent="0.25">
      <c r="J10634"/>
      <c r="M10634"/>
      <c r="W10634"/>
    </row>
    <row r="10635" spans="10:23" x14ac:dyDescent="0.25">
      <c r="J10635"/>
      <c r="M10635"/>
      <c r="W10635"/>
    </row>
    <row r="10636" spans="10:23" x14ac:dyDescent="0.25">
      <c r="J10636"/>
      <c r="M10636"/>
      <c r="W10636"/>
    </row>
    <row r="10637" spans="10:23" x14ac:dyDescent="0.25">
      <c r="J10637"/>
      <c r="M10637"/>
      <c r="W10637"/>
    </row>
    <row r="10638" spans="10:23" x14ac:dyDescent="0.25">
      <c r="J10638"/>
      <c r="M10638"/>
      <c r="W10638"/>
    </row>
    <row r="10639" spans="10:23" x14ac:dyDescent="0.25">
      <c r="J10639"/>
      <c r="M10639"/>
      <c r="W10639"/>
    </row>
    <row r="10640" spans="10:23" x14ac:dyDescent="0.25">
      <c r="J10640"/>
      <c r="M10640"/>
      <c r="W10640"/>
    </row>
    <row r="10641" spans="10:23" x14ac:dyDescent="0.25">
      <c r="J10641"/>
      <c r="M10641"/>
      <c r="W10641"/>
    </row>
    <row r="10642" spans="10:23" x14ac:dyDescent="0.25">
      <c r="J10642"/>
      <c r="M10642"/>
      <c r="W10642"/>
    </row>
    <row r="10643" spans="10:23" x14ac:dyDescent="0.25">
      <c r="J10643"/>
      <c r="M10643"/>
      <c r="W10643"/>
    </row>
    <row r="10644" spans="10:23" x14ac:dyDescent="0.25">
      <c r="J10644"/>
      <c r="M10644"/>
      <c r="W10644"/>
    </row>
    <row r="10645" spans="10:23" x14ac:dyDescent="0.25">
      <c r="J10645"/>
      <c r="M10645"/>
      <c r="W10645"/>
    </row>
    <row r="10646" spans="10:23" x14ac:dyDescent="0.25">
      <c r="J10646"/>
      <c r="M10646"/>
      <c r="W10646"/>
    </row>
    <row r="10647" spans="10:23" x14ac:dyDescent="0.25">
      <c r="J10647"/>
      <c r="M10647"/>
      <c r="W10647"/>
    </row>
    <row r="10648" spans="10:23" x14ac:dyDescent="0.25">
      <c r="J10648"/>
      <c r="M10648"/>
      <c r="W10648"/>
    </row>
    <row r="10649" spans="10:23" x14ac:dyDescent="0.25">
      <c r="J10649"/>
      <c r="M10649"/>
      <c r="W10649"/>
    </row>
    <row r="10650" spans="10:23" x14ac:dyDescent="0.25">
      <c r="J10650"/>
      <c r="M10650"/>
      <c r="W10650"/>
    </row>
    <row r="10651" spans="10:23" x14ac:dyDescent="0.25">
      <c r="J10651"/>
      <c r="M10651"/>
      <c r="W10651"/>
    </row>
    <row r="10652" spans="10:23" x14ac:dyDescent="0.25">
      <c r="J10652"/>
      <c r="M10652"/>
      <c r="W10652"/>
    </row>
    <row r="10653" spans="10:23" x14ac:dyDescent="0.25">
      <c r="J10653"/>
      <c r="M10653"/>
      <c r="W10653"/>
    </row>
    <row r="10654" spans="10:23" x14ac:dyDescent="0.25">
      <c r="J10654"/>
      <c r="M10654"/>
      <c r="W10654"/>
    </row>
    <row r="10655" spans="10:23" x14ac:dyDescent="0.25">
      <c r="J10655"/>
      <c r="M10655"/>
      <c r="W10655"/>
    </row>
    <row r="10656" spans="10:23" x14ac:dyDescent="0.25">
      <c r="J10656"/>
      <c r="M10656"/>
      <c r="W10656"/>
    </row>
    <row r="10657" spans="10:23" x14ac:dyDescent="0.25">
      <c r="J10657"/>
      <c r="M10657"/>
      <c r="W10657"/>
    </row>
    <row r="10658" spans="10:23" x14ac:dyDescent="0.25">
      <c r="J10658"/>
      <c r="M10658"/>
      <c r="W10658"/>
    </row>
    <row r="10659" spans="10:23" x14ac:dyDescent="0.25">
      <c r="J10659"/>
      <c r="M10659"/>
      <c r="W10659"/>
    </row>
    <row r="10660" spans="10:23" x14ac:dyDescent="0.25">
      <c r="J10660"/>
      <c r="M10660"/>
      <c r="W10660"/>
    </row>
    <row r="10661" spans="10:23" x14ac:dyDescent="0.25">
      <c r="J10661"/>
      <c r="M10661"/>
      <c r="W10661"/>
    </row>
    <row r="10662" spans="10:23" x14ac:dyDescent="0.25">
      <c r="J10662"/>
      <c r="M10662"/>
      <c r="W10662"/>
    </row>
    <row r="10663" spans="10:23" x14ac:dyDescent="0.25">
      <c r="J10663"/>
      <c r="M10663"/>
      <c r="W10663"/>
    </row>
    <row r="10664" spans="10:23" x14ac:dyDescent="0.25">
      <c r="J10664"/>
      <c r="M10664"/>
      <c r="W10664"/>
    </row>
    <row r="10665" spans="10:23" x14ac:dyDescent="0.25">
      <c r="J10665"/>
      <c r="M10665"/>
      <c r="W10665"/>
    </row>
    <row r="10666" spans="10:23" x14ac:dyDescent="0.25">
      <c r="J10666"/>
      <c r="M10666"/>
      <c r="W10666"/>
    </row>
    <row r="10667" spans="10:23" x14ac:dyDescent="0.25">
      <c r="J10667"/>
      <c r="M10667"/>
      <c r="W10667"/>
    </row>
    <row r="10668" spans="10:23" x14ac:dyDescent="0.25">
      <c r="J10668"/>
      <c r="M10668"/>
      <c r="W10668"/>
    </row>
    <row r="10669" spans="10:23" x14ac:dyDescent="0.25">
      <c r="J10669"/>
      <c r="M10669"/>
      <c r="W10669"/>
    </row>
    <row r="10670" spans="10:23" x14ac:dyDescent="0.25">
      <c r="J10670"/>
      <c r="M10670"/>
      <c r="W10670"/>
    </row>
    <row r="10671" spans="10:23" x14ac:dyDescent="0.25">
      <c r="J10671"/>
      <c r="M10671"/>
      <c r="W10671"/>
    </row>
    <row r="10672" spans="10:23" x14ac:dyDescent="0.25">
      <c r="J10672"/>
      <c r="M10672"/>
      <c r="W10672"/>
    </row>
    <row r="10673" spans="10:23" x14ac:dyDescent="0.25">
      <c r="J10673"/>
      <c r="M10673"/>
      <c r="W10673"/>
    </row>
    <row r="10674" spans="10:23" x14ac:dyDescent="0.25">
      <c r="J10674"/>
      <c r="M10674"/>
      <c r="W10674"/>
    </row>
    <row r="10675" spans="10:23" x14ac:dyDescent="0.25">
      <c r="J10675"/>
      <c r="M10675"/>
      <c r="W10675"/>
    </row>
    <row r="10676" spans="10:23" x14ac:dyDescent="0.25">
      <c r="J10676"/>
      <c r="M10676"/>
      <c r="W10676"/>
    </row>
    <row r="10677" spans="10:23" x14ac:dyDescent="0.25">
      <c r="J10677"/>
      <c r="M10677"/>
      <c r="W10677"/>
    </row>
    <row r="10678" spans="10:23" x14ac:dyDescent="0.25">
      <c r="J10678"/>
      <c r="M10678"/>
      <c r="W10678"/>
    </row>
    <row r="10679" spans="10:23" x14ac:dyDescent="0.25">
      <c r="J10679"/>
      <c r="M10679"/>
      <c r="W10679"/>
    </row>
    <row r="10680" spans="10:23" x14ac:dyDescent="0.25">
      <c r="J10680"/>
      <c r="M10680"/>
      <c r="W10680"/>
    </row>
    <row r="10681" spans="10:23" x14ac:dyDescent="0.25">
      <c r="J10681"/>
      <c r="M10681"/>
      <c r="W10681"/>
    </row>
    <row r="10682" spans="10:23" x14ac:dyDescent="0.25">
      <c r="J10682"/>
      <c r="M10682"/>
      <c r="W10682"/>
    </row>
    <row r="10683" spans="10:23" x14ac:dyDescent="0.25">
      <c r="J10683"/>
      <c r="M10683"/>
      <c r="W10683"/>
    </row>
    <row r="10684" spans="10:23" x14ac:dyDescent="0.25">
      <c r="J10684"/>
      <c r="M10684"/>
      <c r="W10684"/>
    </row>
    <row r="10685" spans="10:23" x14ac:dyDescent="0.25">
      <c r="J10685"/>
      <c r="M10685"/>
      <c r="W10685"/>
    </row>
    <row r="10686" spans="10:23" x14ac:dyDescent="0.25">
      <c r="J10686"/>
      <c r="M10686"/>
      <c r="W10686"/>
    </row>
    <row r="10687" spans="10:23" x14ac:dyDescent="0.25">
      <c r="J10687"/>
      <c r="M10687"/>
      <c r="W10687"/>
    </row>
    <row r="10688" spans="10:23" x14ac:dyDescent="0.25">
      <c r="J10688"/>
      <c r="M10688"/>
      <c r="W10688"/>
    </row>
    <row r="10689" spans="10:23" x14ac:dyDescent="0.25">
      <c r="J10689"/>
      <c r="M10689"/>
      <c r="W10689"/>
    </row>
    <row r="10690" spans="10:23" x14ac:dyDescent="0.25">
      <c r="J10690"/>
      <c r="M10690"/>
      <c r="W10690"/>
    </row>
    <row r="10691" spans="10:23" x14ac:dyDescent="0.25">
      <c r="J10691"/>
      <c r="M10691"/>
      <c r="W10691"/>
    </row>
    <row r="10692" spans="10:23" x14ac:dyDescent="0.25">
      <c r="J10692"/>
      <c r="M10692"/>
      <c r="W10692"/>
    </row>
    <row r="10693" spans="10:23" x14ac:dyDescent="0.25">
      <c r="J10693"/>
      <c r="M10693"/>
      <c r="W10693"/>
    </row>
    <row r="10694" spans="10:23" x14ac:dyDescent="0.25">
      <c r="J10694"/>
      <c r="M10694"/>
      <c r="W10694"/>
    </row>
    <row r="10695" spans="10:23" x14ac:dyDescent="0.25">
      <c r="J10695"/>
      <c r="M10695"/>
      <c r="W10695"/>
    </row>
    <row r="10696" spans="10:23" x14ac:dyDescent="0.25">
      <c r="J10696"/>
      <c r="M10696"/>
      <c r="W10696"/>
    </row>
    <row r="10697" spans="10:23" x14ac:dyDescent="0.25">
      <c r="J10697"/>
      <c r="M10697"/>
      <c r="W10697"/>
    </row>
    <row r="10698" spans="10:23" x14ac:dyDescent="0.25">
      <c r="J10698"/>
      <c r="M10698"/>
      <c r="W10698"/>
    </row>
    <row r="10699" spans="10:23" x14ac:dyDescent="0.25">
      <c r="J10699"/>
      <c r="M10699"/>
      <c r="W10699"/>
    </row>
    <row r="10700" spans="10:23" x14ac:dyDescent="0.25">
      <c r="J10700"/>
      <c r="M10700"/>
      <c r="W10700"/>
    </row>
    <row r="10701" spans="10:23" x14ac:dyDescent="0.25">
      <c r="J10701"/>
      <c r="M10701"/>
      <c r="W10701"/>
    </row>
    <row r="10702" spans="10:23" x14ac:dyDescent="0.25">
      <c r="J10702"/>
      <c r="M10702"/>
      <c r="W10702"/>
    </row>
    <row r="10703" spans="10:23" x14ac:dyDescent="0.25">
      <c r="J10703"/>
      <c r="M10703"/>
      <c r="W10703"/>
    </row>
    <row r="10704" spans="10:23" x14ac:dyDescent="0.25">
      <c r="J10704"/>
      <c r="M10704"/>
      <c r="W10704"/>
    </row>
    <row r="10705" spans="10:23" x14ac:dyDescent="0.25">
      <c r="J10705"/>
      <c r="M10705"/>
      <c r="W10705"/>
    </row>
    <row r="10706" spans="10:23" x14ac:dyDescent="0.25">
      <c r="J10706"/>
      <c r="M10706"/>
      <c r="W10706"/>
    </row>
    <row r="10707" spans="10:23" x14ac:dyDescent="0.25">
      <c r="J10707"/>
      <c r="M10707"/>
      <c r="W10707"/>
    </row>
    <row r="10708" spans="10:23" x14ac:dyDescent="0.25">
      <c r="J10708"/>
      <c r="M10708"/>
      <c r="W10708"/>
    </row>
    <row r="10709" spans="10:23" x14ac:dyDescent="0.25">
      <c r="J10709"/>
      <c r="M10709"/>
      <c r="W10709"/>
    </row>
    <row r="10710" spans="10:23" x14ac:dyDescent="0.25">
      <c r="J10710"/>
      <c r="M10710"/>
      <c r="W10710"/>
    </row>
    <row r="10711" spans="10:23" x14ac:dyDescent="0.25">
      <c r="J10711"/>
      <c r="M10711"/>
      <c r="W10711"/>
    </row>
    <row r="10712" spans="10:23" x14ac:dyDescent="0.25">
      <c r="J10712"/>
      <c r="M10712"/>
      <c r="W10712"/>
    </row>
    <row r="10713" spans="10:23" x14ac:dyDescent="0.25">
      <c r="J10713"/>
      <c r="M10713"/>
      <c r="W10713"/>
    </row>
    <row r="10714" spans="10:23" x14ac:dyDescent="0.25">
      <c r="J10714"/>
      <c r="M10714"/>
      <c r="W10714"/>
    </row>
    <row r="10715" spans="10:23" x14ac:dyDescent="0.25">
      <c r="J10715"/>
      <c r="M10715"/>
      <c r="W10715"/>
    </row>
    <row r="10716" spans="10:23" x14ac:dyDescent="0.25">
      <c r="J10716"/>
      <c r="M10716"/>
      <c r="W10716"/>
    </row>
    <row r="10717" spans="10:23" x14ac:dyDescent="0.25">
      <c r="J10717"/>
      <c r="M10717"/>
      <c r="W10717"/>
    </row>
    <row r="10718" spans="10:23" x14ac:dyDescent="0.25">
      <c r="J10718"/>
      <c r="M10718"/>
      <c r="W10718"/>
    </row>
    <row r="10719" spans="10:23" x14ac:dyDescent="0.25">
      <c r="J10719"/>
      <c r="M10719"/>
      <c r="W10719"/>
    </row>
    <row r="10720" spans="10:23" x14ac:dyDescent="0.25">
      <c r="J10720"/>
      <c r="M10720"/>
      <c r="W10720"/>
    </row>
    <row r="10721" spans="10:23" x14ac:dyDescent="0.25">
      <c r="J10721"/>
      <c r="M10721"/>
      <c r="W10721"/>
    </row>
    <row r="10722" spans="10:23" x14ac:dyDescent="0.25">
      <c r="J10722"/>
      <c r="M10722"/>
      <c r="W10722"/>
    </row>
    <row r="10723" spans="10:23" x14ac:dyDescent="0.25">
      <c r="J10723"/>
      <c r="M10723"/>
      <c r="W10723"/>
    </row>
    <row r="10724" spans="10:23" x14ac:dyDescent="0.25">
      <c r="J10724"/>
      <c r="M10724"/>
      <c r="W10724"/>
    </row>
    <row r="10725" spans="10:23" x14ac:dyDescent="0.25">
      <c r="J10725"/>
      <c r="M10725"/>
      <c r="W10725"/>
    </row>
    <row r="10726" spans="10:23" x14ac:dyDescent="0.25">
      <c r="J10726"/>
      <c r="M10726"/>
      <c r="W10726"/>
    </row>
    <row r="10727" spans="10:23" x14ac:dyDescent="0.25">
      <c r="J10727"/>
      <c r="M10727"/>
      <c r="W10727"/>
    </row>
    <row r="10728" spans="10:23" x14ac:dyDescent="0.25">
      <c r="J10728"/>
      <c r="M10728"/>
      <c r="W10728"/>
    </row>
    <row r="10729" spans="10:23" x14ac:dyDescent="0.25">
      <c r="J10729"/>
      <c r="M10729"/>
      <c r="W10729"/>
    </row>
    <row r="10730" spans="10:23" x14ac:dyDescent="0.25">
      <c r="J10730"/>
      <c r="M10730"/>
      <c r="W10730"/>
    </row>
    <row r="10731" spans="10:23" x14ac:dyDescent="0.25">
      <c r="J10731"/>
      <c r="M10731"/>
      <c r="W10731"/>
    </row>
    <row r="10732" spans="10:23" x14ac:dyDescent="0.25">
      <c r="J10732"/>
      <c r="M10732"/>
      <c r="W10732"/>
    </row>
    <row r="10733" spans="10:23" x14ac:dyDescent="0.25">
      <c r="J10733"/>
      <c r="M10733"/>
      <c r="W10733"/>
    </row>
    <row r="10734" spans="10:23" x14ac:dyDescent="0.25">
      <c r="J10734"/>
      <c r="M10734"/>
      <c r="W10734"/>
    </row>
    <row r="10735" spans="10:23" x14ac:dyDescent="0.25">
      <c r="J10735"/>
      <c r="M10735"/>
      <c r="W10735"/>
    </row>
    <row r="10736" spans="10:23" x14ac:dyDescent="0.25">
      <c r="J10736"/>
      <c r="M10736"/>
      <c r="W10736"/>
    </row>
    <row r="10737" spans="10:23" x14ac:dyDescent="0.25">
      <c r="J10737"/>
      <c r="M10737"/>
      <c r="W10737"/>
    </row>
    <row r="10738" spans="10:23" x14ac:dyDescent="0.25">
      <c r="J10738"/>
      <c r="M10738"/>
      <c r="W10738"/>
    </row>
    <row r="10739" spans="10:23" x14ac:dyDescent="0.25">
      <c r="J10739"/>
      <c r="M10739"/>
      <c r="W10739"/>
    </row>
    <row r="10740" spans="10:23" x14ac:dyDescent="0.25">
      <c r="J10740"/>
      <c r="M10740"/>
      <c r="W10740"/>
    </row>
    <row r="10741" spans="10:23" x14ac:dyDescent="0.25">
      <c r="J10741"/>
      <c r="M10741"/>
      <c r="W10741"/>
    </row>
    <row r="10742" spans="10:23" x14ac:dyDescent="0.25">
      <c r="J10742"/>
      <c r="M10742"/>
      <c r="W10742"/>
    </row>
    <row r="10743" spans="10:23" x14ac:dyDescent="0.25">
      <c r="J10743"/>
      <c r="M10743"/>
      <c r="W10743"/>
    </row>
    <row r="10744" spans="10:23" x14ac:dyDescent="0.25">
      <c r="J10744"/>
      <c r="M10744"/>
      <c r="W10744"/>
    </row>
    <row r="10745" spans="10:23" x14ac:dyDescent="0.25">
      <c r="J10745"/>
      <c r="M10745"/>
      <c r="W10745"/>
    </row>
    <row r="10746" spans="10:23" x14ac:dyDescent="0.25">
      <c r="J10746"/>
      <c r="M10746"/>
      <c r="W10746"/>
    </row>
    <row r="10747" spans="10:23" x14ac:dyDescent="0.25">
      <c r="J10747"/>
      <c r="M10747"/>
      <c r="W10747"/>
    </row>
    <row r="10748" spans="10:23" x14ac:dyDescent="0.25">
      <c r="J10748"/>
      <c r="M10748"/>
      <c r="W10748"/>
    </row>
    <row r="10749" spans="10:23" x14ac:dyDescent="0.25">
      <c r="J10749"/>
      <c r="M10749"/>
      <c r="W10749"/>
    </row>
    <row r="10750" spans="10:23" x14ac:dyDescent="0.25">
      <c r="J10750"/>
      <c r="M10750"/>
      <c r="W10750"/>
    </row>
    <row r="10751" spans="10:23" x14ac:dyDescent="0.25">
      <c r="J10751"/>
      <c r="M10751"/>
      <c r="W10751"/>
    </row>
    <row r="10752" spans="10:23" x14ac:dyDescent="0.25">
      <c r="J10752"/>
      <c r="M10752"/>
      <c r="W10752"/>
    </row>
    <row r="10753" spans="10:23" x14ac:dyDescent="0.25">
      <c r="J10753"/>
      <c r="M10753"/>
      <c r="W10753"/>
    </row>
    <row r="10754" spans="10:23" x14ac:dyDescent="0.25">
      <c r="J10754"/>
      <c r="M10754"/>
      <c r="W10754"/>
    </row>
    <row r="10755" spans="10:23" x14ac:dyDescent="0.25">
      <c r="J10755"/>
      <c r="M10755"/>
      <c r="W10755"/>
    </row>
    <row r="10756" spans="10:23" x14ac:dyDescent="0.25">
      <c r="J10756"/>
      <c r="M10756"/>
      <c r="W10756"/>
    </row>
    <row r="10757" spans="10:23" x14ac:dyDescent="0.25">
      <c r="J10757"/>
      <c r="M10757"/>
      <c r="W10757"/>
    </row>
    <row r="10758" spans="10:23" x14ac:dyDescent="0.25">
      <c r="J10758"/>
      <c r="M10758"/>
      <c r="W10758"/>
    </row>
    <row r="10759" spans="10:23" x14ac:dyDescent="0.25">
      <c r="J10759"/>
      <c r="M10759"/>
      <c r="W10759"/>
    </row>
    <row r="10760" spans="10:23" x14ac:dyDescent="0.25">
      <c r="J10760"/>
      <c r="M10760"/>
      <c r="W10760"/>
    </row>
    <row r="10761" spans="10:23" x14ac:dyDescent="0.25">
      <c r="J10761"/>
      <c r="M10761"/>
      <c r="W10761"/>
    </row>
    <row r="10762" spans="10:23" x14ac:dyDescent="0.25">
      <c r="J10762"/>
      <c r="M10762"/>
      <c r="W10762"/>
    </row>
    <row r="10763" spans="10:23" x14ac:dyDescent="0.25">
      <c r="J10763"/>
      <c r="M10763"/>
      <c r="W10763"/>
    </row>
    <row r="10764" spans="10:23" x14ac:dyDescent="0.25">
      <c r="J10764"/>
      <c r="M10764"/>
      <c r="W10764"/>
    </row>
    <row r="10765" spans="10:23" x14ac:dyDescent="0.25">
      <c r="J10765"/>
      <c r="M10765"/>
      <c r="W10765"/>
    </row>
    <row r="10766" spans="10:23" x14ac:dyDescent="0.25">
      <c r="J10766"/>
      <c r="M10766"/>
      <c r="W10766"/>
    </row>
    <row r="10767" spans="10:23" x14ac:dyDescent="0.25">
      <c r="J10767"/>
      <c r="M10767"/>
      <c r="W10767"/>
    </row>
    <row r="10768" spans="10:23" x14ac:dyDescent="0.25">
      <c r="J10768"/>
      <c r="M10768"/>
      <c r="W10768"/>
    </row>
    <row r="10769" spans="10:23" x14ac:dyDescent="0.25">
      <c r="J10769"/>
      <c r="M10769"/>
      <c r="W10769"/>
    </row>
    <row r="10770" spans="10:23" x14ac:dyDescent="0.25">
      <c r="J10770"/>
      <c r="M10770"/>
      <c r="W10770"/>
    </row>
    <row r="10771" spans="10:23" x14ac:dyDescent="0.25">
      <c r="J10771"/>
      <c r="M10771"/>
      <c r="W10771"/>
    </row>
    <row r="10772" spans="10:23" x14ac:dyDescent="0.25">
      <c r="J10772"/>
      <c r="M10772"/>
      <c r="W10772"/>
    </row>
    <row r="10773" spans="10:23" x14ac:dyDescent="0.25">
      <c r="J10773"/>
      <c r="M10773"/>
      <c r="W10773"/>
    </row>
    <row r="10774" spans="10:23" x14ac:dyDescent="0.25">
      <c r="J10774"/>
      <c r="M10774"/>
      <c r="W10774"/>
    </row>
    <row r="10775" spans="10:23" x14ac:dyDescent="0.25">
      <c r="J10775"/>
      <c r="M10775"/>
      <c r="W10775"/>
    </row>
    <row r="10776" spans="10:23" x14ac:dyDescent="0.25">
      <c r="J10776"/>
      <c r="M10776"/>
      <c r="W10776"/>
    </row>
    <row r="10777" spans="10:23" x14ac:dyDescent="0.25">
      <c r="J10777"/>
      <c r="M10777"/>
      <c r="W10777"/>
    </row>
    <row r="10778" spans="10:23" x14ac:dyDescent="0.25">
      <c r="J10778"/>
      <c r="M10778"/>
      <c r="W10778"/>
    </row>
    <row r="10779" spans="10:23" x14ac:dyDescent="0.25">
      <c r="J10779"/>
      <c r="M10779"/>
      <c r="W10779"/>
    </row>
    <row r="10780" spans="10:23" x14ac:dyDescent="0.25">
      <c r="J10780"/>
      <c r="M10780"/>
      <c r="W10780"/>
    </row>
    <row r="10781" spans="10:23" x14ac:dyDescent="0.25">
      <c r="J10781"/>
      <c r="M10781"/>
      <c r="W10781"/>
    </row>
    <row r="10782" spans="10:23" x14ac:dyDescent="0.25">
      <c r="J10782"/>
      <c r="M10782"/>
      <c r="W10782"/>
    </row>
    <row r="10783" spans="10:23" x14ac:dyDescent="0.25">
      <c r="J10783"/>
      <c r="M10783"/>
      <c r="W10783"/>
    </row>
    <row r="10784" spans="10:23" x14ac:dyDescent="0.25">
      <c r="J10784"/>
      <c r="M10784"/>
      <c r="W10784"/>
    </row>
    <row r="10785" spans="10:23" x14ac:dyDescent="0.25">
      <c r="J10785"/>
      <c r="M10785"/>
      <c r="W10785"/>
    </row>
    <row r="10786" spans="10:23" x14ac:dyDescent="0.25">
      <c r="J10786"/>
      <c r="M10786"/>
      <c r="W10786"/>
    </row>
    <row r="10787" spans="10:23" x14ac:dyDescent="0.25">
      <c r="J10787"/>
      <c r="M10787"/>
      <c r="W10787"/>
    </row>
    <row r="10788" spans="10:23" x14ac:dyDescent="0.25">
      <c r="J10788"/>
      <c r="M10788"/>
      <c r="W10788"/>
    </row>
    <row r="10789" spans="10:23" x14ac:dyDescent="0.25">
      <c r="J10789"/>
      <c r="M10789"/>
      <c r="W10789"/>
    </row>
    <row r="10790" spans="10:23" x14ac:dyDescent="0.25">
      <c r="J10790"/>
      <c r="M10790"/>
      <c r="W10790"/>
    </row>
    <row r="10791" spans="10:23" x14ac:dyDescent="0.25">
      <c r="J10791"/>
      <c r="M10791"/>
      <c r="W10791"/>
    </row>
    <row r="10792" spans="10:23" x14ac:dyDescent="0.25">
      <c r="J10792"/>
      <c r="M10792"/>
      <c r="W10792"/>
    </row>
    <row r="10793" spans="10:23" x14ac:dyDescent="0.25">
      <c r="J10793"/>
      <c r="M10793"/>
      <c r="W10793"/>
    </row>
    <row r="10794" spans="10:23" x14ac:dyDescent="0.25">
      <c r="J10794"/>
      <c r="M10794"/>
      <c r="W10794"/>
    </row>
    <row r="10795" spans="10:23" x14ac:dyDescent="0.25">
      <c r="J10795"/>
      <c r="M10795"/>
      <c r="W10795"/>
    </row>
    <row r="10796" spans="10:23" x14ac:dyDescent="0.25">
      <c r="J10796"/>
      <c r="M10796"/>
      <c r="W10796"/>
    </row>
    <row r="10797" spans="10:23" x14ac:dyDescent="0.25">
      <c r="J10797"/>
      <c r="M10797"/>
      <c r="W10797"/>
    </row>
    <row r="10798" spans="10:23" x14ac:dyDescent="0.25">
      <c r="J10798"/>
      <c r="M10798"/>
      <c r="W10798"/>
    </row>
    <row r="10799" spans="10:23" x14ac:dyDescent="0.25">
      <c r="J10799"/>
      <c r="M10799"/>
      <c r="W10799"/>
    </row>
    <row r="10800" spans="10:23" x14ac:dyDescent="0.25">
      <c r="J10800"/>
      <c r="M10800"/>
      <c r="W10800"/>
    </row>
    <row r="10801" spans="10:23" x14ac:dyDescent="0.25">
      <c r="J10801"/>
      <c r="M10801"/>
      <c r="W10801"/>
    </row>
    <row r="10802" spans="10:23" x14ac:dyDescent="0.25">
      <c r="J10802"/>
      <c r="M10802"/>
      <c r="W10802"/>
    </row>
    <row r="10803" spans="10:23" x14ac:dyDescent="0.25">
      <c r="J10803"/>
      <c r="M10803"/>
      <c r="W10803"/>
    </row>
    <row r="10804" spans="10:23" x14ac:dyDescent="0.25">
      <c r="J10804"/>
      <c r="M10804"/>
      <c r="W10804"/>
    </row>
    <row r="10805" spans="10:23" x14ac:dyDescent="0.25">
      <c r="J10805"/>
      <c r="M10805"/>
      <c r="W10805"/>
    </row>
    <row r="10806" spans="10:23" x14ac:dyDescent="0.25">
      <c r="J10806"/>
      <c r="M10806"/>
      <c r="W10806"/>
    </row>
    <row r="10807" spans="10:23" x14ac:dyDescent="0.25">
      <c r="J10807"/>
      <c r="M10807"/>
      <c r="W10807"/>
    </row>
    <row r="10808" spans="10:23" x14ac:dyDescent="0.25">
      <c r="J10808"/>
      <c r="M10808"/>
      <c r="W10808"/>
    </row>
    <row r="10809" spans="10:23" x14ac:dyDescent="0.25">
      <c r="J10809"/>
      <c r="M10809"/>
      <c r="W10809"/>
    </row>
    <row r="10810" spans="10:23" x14ac:dyDescent="0.25">
      <c r="J10810"/>
      <c r="M10810"/>
      <c r="W10810"/>
    </row>
    <row r="10811" spans="10:23" x14ac:dyDescent="0.25">
      <c r="J10811"/>
      <c r="M10811"/>
      <c r="W10811"/>
    </row>
    <row r="10812" spans="10:23" x14ac:dyDescent="0.25">
      <c r="J10812"/>
      <c r="M10812"/>
      <c r="W10812"/>
    </row>
    <row r="10813" spans="10:23" x14ac:dyDescent="0.25">
      <c r="J10813"/>
      <c r="M10813"/>
      <c r="W10813"/>
    </row>
    <row r="10814" spans="10:23" x14ac:dyDescent="0.25">
      <c r="J10814"/>
      <c r="M10814"/>
      <c r="W10814"/>
    </row>
    <row r="10815" spans="10:23" x14ac:dyDescent="0.25">
      <c r="J10815"/>
      <c r="M10815"/>
      <c r="W10815"/>
    </row>
    <row r="10816" spans="10:23" x14ac:dyDescent="0.25">
      <c r="J10816"/>
      <c r="M10816"/>
      <c r="W10816"/>
    </row>
    <row r="10817" spans="10:23" x14ac:dyDescent="0.25">
      <c r="J10817"/>
      <c r="M10817"/>
      <c r="W10817"/>
    </row>
    <row r="10818" spans="10:23" x14ac:dyDescent="0.25">
      <c r="J10818"/>
      <c r="M10818"/>
      <c r="W10818"/>
    </row>
    <row r="10819" spans="10:23" x14ac:dyDescent="0.25">
      <c r="J10819"/>
      <c r="M10819"/>
      <c r="W10819"/>
    </row>
    <row r="10820" spans="10:23" x14ac:dyDescent="0.25">
      <c r="J10820"/>
      <c r="M10820"/>
      <c r="W10820"/>
    </row>
    <row r="10821" spans="10:23" x14ac:dyDescent="0.25">
      <c r="J10821"/>
      <c r="M10821"/>
      <c r="W10821"/>
    </row>
    <row r="10822" spans="10:23" x14ac:dyDescent="0.25">
      <c r="J10822"/>
      <c r="M10822"/>
      <c r="W10822"/>
    </row>
    <row r="10823" spans="10:23" x14ac:dyDescent="0.25">
      <c r="J10823"/>
      <c r="M10823"/>
      <c r="W10823"/>
    </row>
    <row r="10824" spans="10:23" x14ac:dyDescent="0.25">
      <c r="J10824"/>
      <c r="M10824"/>
      <c r="W10824"/>
    </row>
    <row r="10825" spans="10:23" x14ac:dyDescent="0.25">
      <c r="J10825"/>
      <c r="M10825"/>
      <c r="W10825"/>
    </row>
    <row r="10826" spans="10:23" x14ac:dyDescent="0.25">
      <c r="J10826"/>
      <c r="M10826"/>
      <c r="W10826"/>
    </row>
    <row r="10827" spans="10:23" x14ac:dyDescent="0.25">
      <c r="J10827"/>
      <c r="M10827"/>
      <c r="W10827"/>
    </row>
    <row r="10828" spans="10:23" x14ac:dyDescent="0.25">
      <c r="J10828"/>
      <c r="M10828"/>
      <c r="W10828"/>
    </row>
    <row r="10829" spans="10:23" x14ac:dyDescent="0.25">
      <c r="J10829"/>
      <c r="M10829"/>
      <c r="W10829"/>
    </row>
    <row r="10830" spans="10:23" x14ac:dyDescent="0.25">
      <c r="J10830"/>
      <c r="M10830"/>
      <c r="W10830"/>
    </row>
    <row r="10831" spans="10:23" x14ac:dyDescent="0.25">
      <c r="J10831"/>
      <c r="M10831"/>
      <c r="W10831"/>
    </row>
    <row r="10832" spans="10:23" x14ac:dyDescent="0.25">
      <c r="J10832"/>
      <c r="M10832"/>
      <c r="W10832"/>
    </row>
    <row r="10833" spans="10:23" x14ac:dyDescent="0.25">
      <c r="J10833"/>
      <c r="M10833"/>
      <c r="W10833"/>
    </row>
    <row r="10834" spans="10:23" x14ac:dyDescent="0.25">
      <c r="J10834"/>
      <c r="M10834"/>
      <c r="W10834"/>
    </row>
    <row r="10835" spans="10:23" x14ac:dyDescent="0.25">
      <c r="J10835"/>
      <c r="M10835"/>
      <c r="W10835"/>
    </row>
    <row r="10836" spans="10:23" x14ac:dyDescent="0.25">
      <c r="J10836"/>
      <c r="M10836"/>
      <c r="W10836"/>
    </row>
    <row r="10837" spans="10:23" x14ac:dyDescent="0.25">
      <c r="J10837"/>
      <c r="M10837"/>
      <c r="W10837"/>
    </row>
    <row r="10838" spans="10:23" x14ac:dyDescent="0.25">
      <c r="J10838"/>
      <c r="M10838"/>
      <c r="W10838"/>
    </row>
    <row r="10839" spans="10:23" x14ac:dyDescent="0.25">
      <c r="J10839"/>
      <c r="M10839"/>
      <c r="W10839"/>
    </row>
    <row r="10840" spans="10:23" x14ac:dyDescent="0.25">
      <c r="J10840"/>
      <c r="M10840"/>
      <c r="W10840"/>
    </row>
    <row r="10841" spans="10:23" x14ac:dyDescent="0.25">
      <c r="J10841"/>
      <c r="M10841"/>
      <c r="W10841"/>
    </row>
    <row r="10842" spans="10:23" x14ac:dyDescent="0.25">
      <c r="J10842"/>
      <c r="M10842"/>
      <c r="W10842"/>
    </row>
    <row r="10843" spans="10:23" x14ac:dyDescent="0.25">
      <c r="J10843"/>
      <c r="M10843"/>
      <c r="W10843"/>
    </row>
    <row r="10844" spans="10:23" x14ac:dyDescent="0.25">
      <c r="J10844"/>
      <c r="M10844"/>
      <c r="W10844"/>
    </row>
    <row r="10845" spans="10:23" x14ac:dyDescent="0.25">
      <c r="J10845"/>
      <c r="M10845"/>
      <c r="W10845"/>
    </row>
    <row r="10846" spans="10:23" x14ac:dyDescent="0.25">
      <c r="J10846"/>
      <c r="M10846"/>
      <c r="W10846"/>
    </row>
    <row r="10847" spans="10:23" x14ac:dyDescent="0.25">
      <c r="J10847"/>
      <c r="M10847"/>
      <c r="W10847"/>
    </row>
    <row r="10848" spans="10:23" x14ac:dyDescent="0.25">
      <c r="J10848"/>
      <c r="M10848"/>
      <c r="W10848"/>
    </row>
    <row r="10849" spans="10:23" x14ac:dyDescent="0.25">
      <c r="J10849"/>
      <c r="M10849"/>
      <c r="W10849"/>
    </row>
    <row r="10850" spans="10:23" x14ac:dyDescent="0.25">
      <c r="J10850"/>
      <c r="M10850"/>
      <c r="W10850"/>
    </row>
    <row r="10851" spans="10:23" x14ac:dyDescent="0.25">
      <c r="J10851"/>
      <c r="M10851"/>
      <c r="W10851"/>
    </row>
    <row r="10852" spans="10:23" x14ac:dyDescent="0.25">
      <c r="J10852"/>
      <c r="M10852"/>
      <c r="W10852"/>
    </row>
    <row r="10853" spans="10:23" x14ac:dyDescent="0.25">
      <c r="J10853"/>
      <c r="M10853"/>
      <c r="W10853"/>
    </row>
    <row r="10854" spans="10:23" x14ac:dyDescent="0.25">
      <c r="J10854"/>
      <c r="M10854"/>
      <c r="W10854"/>
    </row>
    <row r="10855" spans="10:23" x14ac:dyDescent="0.25">
      <c r="J10855"/>
      <c r="M10855"/>
      <c r="W10855"/>
    </row>
    <row r="10856" spans="10:23" x14ac:dyDescent="0.25">
      <c r="J10856"/>
      <c r="M10856"/>
      <c r="W10856"/>
    </row>
    <row r="10857" spans="10:23" x14ac:dyDescent="0.25">
      <c r="J10857"/>
      <c r="M10857"/>
      <c r="W10857"/>
    </row>
    <row r="10858" spans="10:23" x14ac:dyDescent="0.25">
      <c r="J10858"/>
      <c r="M10858"/>
      <c r="W10858"/>
    </row>
    <row r="10859" spans="10:23" x14ac:dyDescent="0.25">
      <c r="J10859"/>
      <c r="M10859"/>
      <c r="W10859"/>
    </row>
    <row r="10860" spans="10:23" x14ac:dyDescent="0.25">
      <c r="J10860"/>
      <c r="M10860"/>
      <c r="W10860"/>
    </row>
    <row r="10861" spans="10:23" x14ac:dyDescent="0.25">
      <c r="J10861"/>
      <c r="M10861"/>
      <c r="W10861"/>
    </row>
    <row r="10862" spans="10:23" x14ac:dyDescent="0.25">
      <c r="J10862"/>
      <c r="M10862"/>
      <c r="W10862"/>
    </row>
    <row r="10863" spans="10:23" x14ac:dyDescent="0.25">
      <c r="J10863"/>
      <c r="M10863"/>
      <c r="W10863"/>
    </row>
    <row r="10864" spans="10:23" x14ac:dyDescent="0.25">
      <c r="J10864"/>
      <c r="M10864"/>
      <c r="W10864"/>
    </row>
    <row r="10865" spans="10:23" x14ac:dyDescent="0.25">
      <c r="J10865"/>
      <c r="M10865"/>
      <c r="W10865"/>
    </row>
    <row r="10866" spans="10:23" x14ac:dyDescent="0.25">
      <c r="J10866"/>
      <c r="M10866"/>
      <c r="W10866"/>
    </row>
    <row r="10867" spans="10:23" x14ac:dyDescent="0.25">
      <c r="J10867"/>
      <c r="M10867"/>
      <c r="W10867"/>
    </row>
    <row r="10868" spans="10:23" x14ac:dyDescent="0.25">
      <c r="J10868"/>
      <c r="M10868"/>
      <c r="W10868"/>
    </row>
    <row r="10869" spans="10:23" x14ac:dyDescent="0.25">
      <c r="J10869"/>
      <c r="M10869"/>
      <c r="W10869"/>
    </row>
    <row r="10870" spans="10:23" x14ac:dyDescent="0.25">
      <c r="J10870"/>
      <c r="M10870"/>
      <c r="W10870"/>
    </row>
    <row r="10871" spans="10:23" x14ac:dyDescent="0.25">
      <c r="J10871"/>
      <c r="M10871"/>
      <c r="W10871"/>
    </row>
    <row r="10872" spans="10:23" x14ac:dyDescent="0.25">
      <c r="J10872"/>
      <c r="M10872"/>
      <c r="W10872"/>
    </row>
    <row r="10873" spans="10:23" x14ac:dyDescent="0.25">
      <c r="J10873"/>
      <c r="M10873"/>
      <c r="W10873"/>
    </row>
    <row r="10874" spans="10:23" x14ac:dyDescent="0.25">
      <c r="J10874"/>
      <c r="M10874"/>
      <c r="W10874"/>
    </row>
    <row r="10875" spans="10:23" x14ac:dyDescent="0.25">
      <c r="J10875"/>
      <c r="M10875"/>
      <c r="W10875"/>
    </row>
    <row r="10876" spans="10:23" x14ac:dyDescent="0.25">
      <c r="J10876"/>
      <c r="M10876"/>
      <c r="W10876"/>
    </row>
    <row r="10877" spans="10:23" x14ac:dyDescent="0.25">
      <c r="J10877"/>
      <c r="M10877"/>
      <c r="W10877"/>
    </row>
    <row r="10878" spans="10:23" x14ac:dyDescent="0.25">
      <c r="J10878"/>
      <c r="M10878"/>
      <c r="W10878"/>
    </row>
    <row r="10879" spans="10:23" x14ac:dyDescent="0.25">
      <c r="J10879"/>
      <c r="M10879"/>
      <c r="W10879"/>
    </row>
    <row r="10880" spans="10:23" x14ac:dyDescent="0.25">
      <c r="J10880"/>
      <c r="M10880"/>
      <c r="W10880"/>
    </row>
    <row r="10881" spans="10:23" x14ac:dyDescent="0.25">
      <c r="J10881"/>
      <c r="M10881"/>
      <c r="W10881"/>
    </row>
    <row r="10882" spans="10:23" x14ac:dyDescent="0.25">
      <c r="J10882"/>
      <c r="M10882"/>
      <c r="W10882"/>
    </row>
    <row r="10883" spans="10:23" x14ac:dyDescent="0.25">
      <c r="J10883"/>
      <c r="M10883"/>
      <c r="W10883"/>
    </row>
    <row r="10884" spans="10:23" x14ac:dyDescent="0.25">
      <c r="J10884"/>
      <c r="M10884"/>
      <c r="W10884"/>
    </row>
    <row r="10885" spans="10:23" x14ac:dyDescent="0.25">
      <c r="J10885"/>
      <c r="M10885"/>
      <c r="W10885"/>
    </row>
    <row r="10886" spans="10:23" x14ac:dyDescent="0.25">
      <c r="J10886"/>
      <c r="M10886"/>
      <c r="W10886"/>
    </row>
    <row r="10887" spans="10:23" x14ac:dyDescent="0.25">
      <c r="J10887"/>
      <c r="M10887"/>
      <c r="W10887"/>
    </row>
    <row r="10888" spans="10:23" x14ac:dyDescent="0.25">
      <c r="J10888"/>
      <c r="M10888"/>
      <c r="W10888"/>
    </row>
    <row r="10889" spans="10:23" x14ac:dyDescent="0.25">
      <c r="J10889"/>
      <c r="M10889"/>
      <c r="W10889"/>
    </row>
    <row r="10890" spans="10:23" x14ac:dyDescent="0.25">
      <c r="J10890"/>
      <c r="M10890"/>
      <c r="W10890"/>
    </row>
    <row r="10891" spans="10:23" x14ac:dyDescent="0.25">
      <c r="J10891"/>
      <c r="M10891"/>
      <c r="W10891"/>
    </row>
    <row r="10892" spans="10:23" x14ac:dyDescent="0.25">
      <c r="J10892"/>
      <c r="M10892"/>
      <c r="W10892"/>
    </row>
    <row r="10893" spans="10:23" x14ac:dyDescent="0.25">
      <c r="J10893"/>
      <c r="M10893"/>
      <c r="W10893"/>
    </row>
    <row r="10894" spans="10:23" x14ac:dyDescent="0.25">
      <c r="J10894"/>
      <c r="M10894"/>
      <c r="W10894"/>
    </row>
    <row r="10895" spans="10:23" x14ac:dyDescent="0.25">
      <c r="J10895"/>
      <c r="M10895"/>
      <c r="W10895"/>
    </row>
    <row r="10896" spans="10:23" x14ac:dyDescent="0.25">
      <c r="J10896"/>
      <c r="M10896"/>
      <c r="W10896"/>
    </row>
    <row r="10897" spans="10:23" x14ac:dyDescent="0.25">
      <c r="J10897"/>
      <c r="M10897"/>
      <c r="W10897"/>
    </row>
    <row r="10898" spans="10:23" x14ac:dyDescent="0.25">
      <c r="J10898"/>
      <c r="M10898"/>
      <c r="W10898"/>
    </row>
    <row r="10899" spans="10:23" x14ac:dyDescent="0.25">
      <c r="J10899"/>
      <c r="M10899"/>
      <c r="W10899"/>
    </row>
    <row r="10900" spans="10:23" x14ac:dyDescent="0.25">
      <c r="J10900"/>
      <c r="M10900"/>
      <c r="W10900"/>
    </row>
    <row r="10901" spans="10:23" x14ac:dyDescent="0.25">
      <c r="J10901"/>
      <c r="M10901"/>
      <c r="W10901"/>
    </row>
    <row r="10902" spans="10:23" x14ac:dyDescent="0.25">
      <c r="J10902"/>
      <c r="M10902"/>
      <c r="W10902"/>
    </row>
    <row r="10903" spans="10:23" x14ac:dyDescent="0.25">
      <c r="J10903"/>
      <c r="M10903"/>
      <c r="W10903"/>
    </row>
    <row r="10904" spans="10:23" x14ac:dyDescent="0.25">
      <c r="J10904"/>
      <c r="M10904"/>
      <c r="W10904"/>
    </row>
    <row r="10905" spans="10:23" x14ac:dyDescent="0.25">
      <c r="J10905"/>
      <c r="M10905"/>
      <c r="W10905"/>
    </row>
    <row r="10906" spans="10:23" x14ac:dyDescent="0.25">
      <c r="J10906"/>
      <c r="M10906"/>
      <c r="W10906"/>
    </row>
    <row r="10907" spans="10:23" x14ac:dyDescent="0.25">
      <c r="J10907"/>
      <c r="M10907"/>
      <c r="W10907"/>
    </row>
    <row r="10908" spans="10:23" x14ac:dyDescent="0.25">
      <c r="J10908"/>
      <c r="M10908"/>
      <c r="W10908"/>
    </row>
    <row r="10909" spans="10:23" x14ac:dyDescent="0.25">
      <c r="J10909"/>
      <c r="M10909"/>
      <c r="W10909"/>
    </row>
    <row r="10910" spans="10:23" x14ac:dyDescent="0.25">
      <c r="J10910"/>
      <c r="M10910"/>
      <c r="W10910"/>
    </row>
    <row r="10911" spans="10:23" x14ac:dyDescent="0.25">
      <c r="J10911"/>
      <c r="M10911"/>
      <c r="W10911"/>
    </row>
    <row r="10912" spans="10:23" x14ac:dyDescent="0.25">
      <c r="J10912"/>
      <c r="M10912"/>
      <c r="W10912"/>
    </row>
    <row r="10913" spans="10:23" x14ac:dyDescent="0.25">
      <c r="J10913"/>
      <c r="M10913"/>
      <c r="W10913"/>
    </row>
    <row r="10914" spans="10:23" x14ac:dyDescent="0.25">
      <c r="J10914"/>
      <c r="M10914"/>
      <c r="W10914"/>
    </row>
    <row r="10915" spans="10:23" x14ac:dyDescent="0.25">
      <c r="J10915"/>
      <c r="M10915"/>
      <c r="W10915"/>
    </row>
    <row r="10916" spans="10:23" x14ac:dyDescent="0.25">
      <c r="J10916"/>
      <c r="M10916"/>
      <c r="W10916"/>
    </row>
    <row r="10917" spans="10:23" x14ac:dyDescent="0.25">
      <c r="J10917"/>
      <c r="M10917"/>
      <c r="W10917"/>
    </row>
    <row r="10918" spans="10:23" x14ac:dyDescent="0.25">
      <c r="J10918"/>
      <c r="M10918"/>
      <c r="W10918"/>
    </row>
    <row r="10919" spans="10:23" x14ac:dyDescent="0.25">
      <c r="J10919"/>
      <c r="M10919"/>
      <c r="W10919"/>
    </row>
    <row r="10920" spans="10:23" x14ac:dyDescent="0.25">
      <c r="J10920"/>
      <c r="M10920"/>
      <c r="W10920"/>
    </row>
    <row r="10921" spans="10:23" x14ac:dyDescent="0.25">
      <c r="J10921"/>
      <c r="M10921"/>
      <c r="W10921"/>
    </row>
    <row r="10922" spans="10:23" x14ac:dyDescent="0.25">
      <c r="J10922"/>
      <c r="M10922"/>
      <c r="W10922"/>
    </row>
    <row r="10923" spans="10:23" x14ac:dyDescent="0.25">
      <c r="J10923"/>
      <c r="M10923"/>
      <c r="W10923"/>
    </row>
    <row r="10924" spans="10:23" x14ac:dyDescent="0.25">
      <c r="J10924"/>
      <c r="M10924"/>
      <c r="W10924"/>
    </row>
    <row r="10925" spans="10:23" x14ac:dyDescent="0.25">
      <c r="J10925"/>
      <c r="M10925"/>
      <c r="W10925"/>
    </row>
    <row r="10926" spans="10:23" x14ac:dyDescent="0.25">
      <c r="J10926"/>
      <c r="M10926"/>
      <c r="W10926"/>
    </row>
    <row r="10927" spans="10:23" x14ac:dyDescent="0.25">
      <c r="J10927"/>
      <c r="M10927"/>
      <c r="W10927"/>
    </row>
    <row r="10928" spans="10:23" x14ac:dyDescent="0.25">
      <c r="J10928"/>
      <c r="M10928"/>
      <c r="W10928"/>
    </row>
    <row r="10929" spans="10:23" x14ac:dyDescent="0.25">
      <c r="J10929"/>
      <c r="M10929"/>
      <c r="W10929"/>
    </row>
    <row r="10930" spans="10:23" x14ac:dyDescent="0.25">
      <c r="J10930"/>
      <c r="M10930"/>
      <c r="W10930"/>
    </row>
    <row r="10931" spans="10:23" x14ac:dyDescent="0.25">
      <c r="J10931"/>
      <c r="M10931"/>
      <c r="W10931"/>
    </row>
    <row r="10932" spans="10:23" x14ac:dyDescent="0.25">
      <c r="J10932"/>
      <c r="M10932"/>
      <c r="W10932"/>
    </row>
    <row r="10933" spans="10:23" x14ac:dyDescent="0.25">
      <c r="J10933"/>
      <c r="M10933"/>
      <c r="W10933"/>
    </row>
    <row r="10934" spans="10:23" x14ac:dyDescent="0.25">
      <c r="J10934"/>
      <c r="M10934"/>
      <c r="W10934"/>
    </row>
    <row r="10935" spans="10:23" x14ac:dyDescent="0.25">
      <c r="J10935"/>
      <c r="M10935"/>
      <c r="W10935"/>
    </row>
    <row r="10936" spans="10:23" x14ac:dyDescent="0.25">
      <c r="J10936"/>
      <c r="M10936"/>
      <c r="W10936"/>
    </row>
    <row r="10937" spans="10:23" x14ac:dyDescent="0.25">
      <c r="J10937"/>
      <c r="M10937"/>
      <c r="W10937"/>
    </row>
    <row r="10938" spans="10:23" x14ac:dyDescent="0.25">
      <c r="J10938"/>
      <c r="M10938"/>
      <c r="W10938"/>
    </row>
    <row r="10939" spans="10:23" x14ac:dyDescent="0.25">
      <c r="J10939"/>
      <c r="M10939"/>
      <c r="W10939"/>
    </row>
    <row r="10940" spans="10:23" x14ac:dyDescent="0.25">
      <c r="J10940"/>
      <c r="M10940"/>
      <c r="W10940"/>
    </row>
    <row r="10941" spans="10:23" x14ac:dyDescent="0.25">
      <c r="J10941"/>
      <c r="M10941"/>
      <c r="W10941"/>
    </row>
    <row r="10942" spans="10:23" x14ac:dyDescent="0.25">
      <c r="J10942"/>
      <c r="M10942"/>
      <c r="W10942"/>
    </row>
    <row r="10943" spans="10:23" x14ac:dyDescent="0.25">
      <c r="J10943"/>
      <c r="M10943"/>
      <c r="W10943"/>
    </row>
    <row r="10944" spans="10:23" x14ac:dyDescent="0.25">
      <c r="J10944"/>
      <c r="M10944"/>
      <c r="W10944"/>
    </row>
    <row r="10945" spans="10:23" x14ac:dyDescent="0.25">
      <c r="J10945"/>
      <c r="M10945"/>
      <c r="W10945"/>
    </row>
    <row r="10946" spans="10:23" x14ac:dyDescent="0.25">
      <c r="J10946"/>
      <c r="M10946"/>
      <c r="W10946"/>
    </row>
    <row r="10947" spans="10:23" x14ac:dyDescent="0.25">
      <c r="J10947"/>
      <c r="M10947"/>
      <c r="W10947"/>
    </row>
    <row r="10948" spans="10:23" x14ac:dyDescent="0.25">
      <c r="J10948"/>
      <c r="M10948"/>
      <c r="W10948"/>
    </row>
    <row r="10949" spans="10:23" x14ac:dyDescent="0.25">
      <c r="J10949"/>
      <c r="M10949"/>
      <c r="W10949"/>
    </row>
    <row r="10950" spans="10:23" x14ac:dyDescent="0.25">
      <c r="J10950"/>
      <c r="M10950"/>
      <c r="W10950"/>
    </row>
    <row r="10951" spans="10:23" x14ac:dyDescent="0.25">
      <c r="J10951"/>
      <c r="M10951"/>
      <c r="W10951"/>
    </row>
    <row r="10952" spans="10:23" x14ac:dyDescent="0.25">
      <c r="J10952"/>
      <c r="M10952"/>
      <c r="W10952"/>
    </row>
    <row r="10953" spans="10:23" x14ac:dyDescent="0.25">
      <c r="J10953"/>
      <c r="M10953"/>
      <c r="W10953"/>
    </row>
    <row r="10954" spans="10:23" x14ac:dyDescent="0.25">
      <c r="J10954"/>
      <c r="M10954"/>
      <c r="W10954"/>
    </row>
    <row r="10955" spans="10:23" x14ac:dyDescent="0.25">
      <c r="J10955"/>
      <c r="M10955"/>
      <c r="W10955"/>
    </row>
    <row r="10956" spans="10:23" x14ac:dyDescent="0.25">
      <c r="J10956"/>
      <c r="M10956"/>
      <c r="W10956"/>
    </row>
    <row r="10957" spans="10:23" x14ac:dyDescent="0.25">
      <c r="J10957"/>
      <c r="M10957"/>
      <c r="W10957"/>
    </row>
    <row r="10958" spans="10:23" x14ac:dyDescent="0.25">
      <c r="J10958"/>
      <c r="M10958"/>
      <c r="W10958"/>
    </row>
    <row r="10959" spans="10:23" x14ac:dyDescent="0.25">
      <c r="J10959"/>
      <c r="M10959"/>
      <c r="W10959"/>
    </row>
    <row r="10960" spans="10:23" x14ac:dyDescent="0.25">
      <c r="J10960"/>
      <c r="M10960"/>
      <c r="W10960"/>
    </row>
    <row r="10961" spans="10:23" x14ac:dyDescent="0.25">
      <c r="J10961"/>
      <c r="M10961"/>
      <c r="W10961"/>
    </row>
    <row r="10962" spans="10:23" x14ac:dyDescent="0.25">
      <c r="J10962"/>
      <c r="M10962"/>
      <c r="W10962"/>
    </row>
    <row r="10963" spans="10:23" x14ac:dyDescent="0.25">
      <c r="J10963"/>
      <c r="M10963"/>
      <c r="W10963"/>
    </row>
    <row r="10964" spans="10:23" x14ac:dyDescent="0.25">
      <c r="J10964"/>
      <c r="M10964"/>
      <c r="W10964"/>
    </row>
    <row r="10965" spans="10:23" x14ac:dyDescent="0.25">
      <c r="J10965"/>
      <c r="M10965"/>
      <c r="W10965"/>
    </row>
    <row r="10966" spans="10:23" x14ac:dyDescent="0.25">
      <c r="J10966"/>
      <c r="M10966"/>
      <c r="W10966"/>
    </row>
    <row r="10967" spans="10:23" x14ac:dyDescent="0.25">
      <c r="J10967"/>
      <c r="M10967"/>
      <c r="W10967"/>
    </row>
    <row r="10968" spans="10:23" x14ac:dyDescent="0.25">
      <c r="J10968"/>
      <c r="M10968"/>
      <c r="W10968"/>
    </row>
    <row r="10969" spans="10:23" x14ac:dyDescent="0.25">
      <c r="J10969"/>
      <c r="M10969"/>
      <c r="W10969"/>
    </row>
    <row r="10970" spans="10:23" x14ac:dyDescent="0.25">
      <c r="J10970"/>
      <c r="M10970"/>
      <c r="W10970"/>
    </row>
    <row r="10971" spans="10:23" x14ac:dyDescent="0.25">
      <c r="J10971"/>
      <c r="M10971"/>
      <c r="W10971"/>
    </row>
    <row r="10972" spans="10:23" x14ac:dyDescent="0.25">
      <c r="J10972"/>
      <c r="M10972"/>
      <c r="W10972"/>
    </row>
    <row r="10973" spans="10:23" x14ac:dyDescent="0.25">
      <c r="J10973"/>
      <c r="M10973"/>
      <c r="W10973"/>
    </row>
    <row r="10974" spans="10:23" x14ac:dyDescent="0.25">
      <c r="J10974"/>
      <c r="M10974"/>
      <c r="W10974"/>
    </row>
    <row r="10975" spans="10:23" x14ac:dyDescent="0.25">
      <c r="J10975"/>
      <c r="M10975"/>
      <c r="W10975"/>
    </row>
    <row r="10976" spans="10:23" x14ac:dyDescent="0.25">
      <c r="J10976"/>
      <c r="M10976"/>
      <c r="W10976"/>
    </row>
    <row r="10977" spans="10:23" x14ac:dyDescent="0.25">
      <c r="J10977"/>
      <c r="M10977"/>
      <c r="W10977"/>
    </row>
    <row r="10978" spans="10:23" x14ac:dyDescent="0.25">
      <c r="J10978"/>
      <c r="M10978"/>
      <c r="W10978"/>
    </row>
    <row r="10979" spans="10:23" x14ac:dyDescent="0.25">
      <c r="J10979"/>
      <c r="M10979"/>
      <c r="W10979"/>
    </row>
    <row r="10980" spans="10:23" x14ac:dyDescent="0.25">
      <c r="J10980"/>
      <c r="M10980"/>
      <c r="W10980"/>
    </row>
    <row r="10981" spans="10:23" x14ac:dyDescent="0.25">
      <c r="J10981"/>
      <c r="M10981"/>
      <c r="W10981"/>
    </row>
    <row r="10982" spans="10:23" x14ac:dyDescent="0.25">
      <c r="J10982"/>
      <c r="M10982"/>
      <c r="W10982"/>
    </row>
    <row r="10983" spans="10:23" x14ac:dyDescent="0.25">
      <c r="J10983"/>
      <c r="M10983"/>
      <c r="W10983"/>
    </row>
    <row r="10984" spans="10:23" x14ac:dyDescent="0.25">
      <c r="J10984"/>
      <c r="M10984"/>
      <c r="W10984"/>
    </row>
    <row r="10985" spans="10:23" x14ac:dyDescent="0.25">
      <c r="J10985"/>
      <c r="M10985"/>
      <c r="W10985"/>
    </row>
    <row r="10986" spans="10:23" x14ac:dyDescent="0.25">
      <c r="J10986"/>
      <c r="M10986"/>
      <c r="W10986"/>
    </row>
    <row r="10987" spans="10:23" x14ac:dyDescent="0.25">
      <c r="J10987"/>
      <c r="M10987"/>
      <c r="W10987"/>
    </row>
    <row r="10988" spans="10:23" x14ac:dyDescent="0.25">
      <c r="J10988"/>
      <c r="M10988"/>
      <c r="W10988"/>
    </row>
    <row r="10989" spans="10:23" x14ac:dyDescent="0.25">
      <c r="J10989"/>
      <c r="M10989"/>
      <c r="W10989"/>
    </row>
    <row r="10990" spans="10:23" x14ac:dyDescent="0.25">
      <c r="J10990"/>
      <c r="M10990"/>
      <c r="W10990"/>
    </row>
    <row r="10991" spans="10:23" x14ac:dyDescent="0.25">
      <c r="J10991"/>
      <c r="M10991"/>
      <c r="W10991"/>
    </row>
    <row r="10992" spans="10:23" x14ac:dyDescent="0.25">
      <c r="J10992"/>
      <c r="M10992"/>
      <c r="W10992"/>
    </row>
    <row r="10993" spans="10:23" x14ac:dyDescent="0.25">
      <c r="J10993"/>
      <c r="M10993"/>
      <c r="W10993"/>
    </row>
    <row r="10994" spans="10:23" x14ac:dyDescent="0.25">
      <c r="J10994"/>
      <c r="M10994"/>
      <c r="W10994"/>
    </row>
    <row r="10995" spans="10:23" x14ac:dyDescent="0.25">
      <c r="J10995"/>
      <c r="M10995"/>
      <c r="W10995"/>
    </row>
    <row r="10996" spans="10:23" x14ac:dyDescent="0.25">
      <c r="J10996"/>
      <c r="M10996"/>
      <c r="W10996"/>
    </row>
    <row r="10997" spans="10:23" x14ac:dyDescent="0.25">
      <c r="J10997"/>
      <c r="M10997"/>
      <c r="W10997"/>
    </row>
    <row r="10998" spans="10:23" x14ac:dyDescent="0.25">
      <c r="J10998"/>
      <c r="M10998"/>
      <c r="W10998"/>
    </row>
    <row r="10999" spans="10:23" x14ac:dyDescent="0.25">
      <c r="J10999"/>
      <c r="M10999"/>
      <c r="W10999"/>
    </row>
    <row r="11000" spans="10:23" x14ac:dyDescent="0.25">
      <c r="J11000"/>
      <c r="M11000"/>
      <c r="W11000"/>
    </row>
    <row r="11001" spans="10:23" x14ac:dyDescent="0.25">
      <c r="J11001"/>
      <c r="M11001"/>
      <c r="W11001"/>
    </row>
    <row r="11002" spans="10:23" x14ac:dyDescent="0.25">
      <c r="J11002"/>
      <c r="M11002"/>
      <c r="W11002"/>
    </row>
    <row r="11003" spans="10:23" x14ac:dyDescent="0.25">
      <c r="J11003"/>
      <c r="M11003"/>
      <c r="W11003"/>
    </row>
    <row r="11004" spans="10:23" x14ac:dyDescent="0.25">
      <c r="J11004"/>
      <c r="M11004"/>
      <c r="W11004"/>
    </row>
    <row r="11005" spans="10:23" x14ac:dyDescent="0.25">
      <c r="J11005"/>
      <c r="M11005"/>
      <c r="W11005"/>
    </row>
    <row r="11006" spans="10:23" x14ac:dyDescent="0.25">
      <c r="J11006"/>
      <c r="M11006"/>
      <c r="W11006"/>
    </row>
    <row r="11007" spans="10:23" x14ac:dyDescent="0.25">
      <c r="J11007"/>
      <c r="M11007"/>
      <c r="W11007"/>
    </row>
    <row r="11008" spans="10:23" x14ac:dyDescent="0.25">
      <c r="J11008"/>
      <c r="M11008"/>
      <c r="W11008"/>
    </row>
    <row r="11009" spans="10:23" x14ac:dyDescent="0.25">
      <c r="J11009"/>
      <c r="M11009"/>
      <c r="W11009"/>
    </row>
    <row r="11010" spans="10:23" x14ac:dyDescent="0.25">
      <c r="J11010"/>
      <c r="M11010"/>
      <c r="W11010"/>
    </row>
    <row r="11011" spans="10:23" x14ac:dyDescent="0.25">
      <c r="J11011"/>
      <c r="M11011"/>
      <c r="W11011"/>
    </row>
    <row r="11012" spans="10:23" x14ac:dyDescent="0.25">
      <c r="J11012"/>
      <c r="M11012"/>
      <c r="W11012"/>
    </row>
    <row r="11013" spans="10:23" x14ac:dyDescent="0.25">
      <c r="J11013"/>
      <c r="M11013"/>
      <c r="W11013"/>
    </row>
    <row r="11014" spans="10:23" x14ac:dyDescent="0.25">
      <c r="J11014"/>
      <c r="M11014"/>
      <c r="W11014"/>
    </row>
    <row r="11015" spans="10:23" x14ac:dyDescent="0.25">
      <c r="J11015"/>
      <c r="M11015"/>
      <c r="W11015"/>
    </row>
    <row r="11016" spans="10:23" x14ac:dyDescent="0.25">
      <c r="J11016"/>
      <c r="M11016"/>
      <c r="W11016"/>
    </row>
    <row r="11017" spans="10:23" x14ac:dyDescent="0.25">
      <c r="J11017"/>
      <c r="M11017"/>
      <c r="W11017"/>
    </row>
    <row r="11018" spans="10:23" x14ac:dyDescent="0.25">
      <c r="J11018"/>
      <c r="M11018"/>
      <c r="W11018"/>
    </row>
    <row r="11019" spans="10:23" x14ac:dyDescent="0.25">
      <c r="J11019"/>
      <c r="M11019"/>
      <c r="W11019"/>
    </row>
    <row r="11020" spans="10:23" x14ac:dyDescent="0.25">
      <c r="J11020"/>
      <c r="M11020"/>
      <c r="W11020"/>
    </row>
    <row r="11021" spans="10:23" x14ac:dyDescent="0.25">
      <c r="J11021"/>
      <c r="M11021"/>
      <c r="W11021"/>
    </row>
    <row r="11022" spans="10:23" x14ac:dyDescent="0.25">
      <c r="J11022"/>
      <c r="M11022"/>
      <c r="W11022"/>
    </row>
    <row r="11023" spans="10:23" x14ac:dyDescent="0.25">
      <c r="J11023"/>
      <c r="M11023"/>
      <c r="W11023"/>
    </row>
    <row r="11024" spans="10:23" x14ac:dyDescent="0.25">
      <c r="J11024"/>
      <c r="M11024"/>
      <c r="W11024"/>
    </row>
    <row r="11025" spans="10:23" x14ac:dyDescent="0.25">
      <c r="J11025"/>
      <c r="M11025"/>
      <c r="W11025"/>
    </row>
    <row r="11026" spans="10:23" x14ac:dyDescent="0.25">
      <c r="J11026"/>
      <c r="M11026"/>
      <c r="W11026"/>
    </row>
    <row r="11027" spans="10:23" x14ac:dyDescent="0.25">
      <c r="J11027"/>
      <c r="M11027"/>
      <c r="W11027"/>
    </row>
    <row r="11028" spans="10:23" x14ac:dyDescent="0.25">
      <c r="J11028"/>
      <c r="M11028"/>
      <c r="W11028"/>
    </row>
    <row r="11029" spans="10:23" x14ac:dyDescent="0.25">
      <c r="J11029"/>
      <c r="M11029"/>
      <c r="W11029"/>
    </row>
    <row r="11030" spans="10:23" x14ac:dyDescent="0.25">
      <c r="J11030"/>
      <c r="M11030"/>
      <c r="W11030"/>
    </row>
    <row r="11031" spans="10:23" x14ac:dyDescent="0.25">
      <c r="J11031"/>
      <c r="M11031"/>
      <c r="W11031"/>
    </row>
    <row r="11032" spans="10:23" x14ac:dyDescent="0.25">
      <c r="J11032"/>
      <c r="M11032"/>
      <c r="W11032"/>
    </row>
    <row r="11033" spans="10:23" x14ac:dyDescent="0.25">
      <c r="J11033"/>
      <c r="M11033"/>
      <c r="W11033"/>
    </row>
    <row r="11034" spans="10:23" x14ac:dyDescent="0.25">
      <c r="J11034"/>
      <c r="M11034"/>
      <c r="W11034"/>
    </row>
    <row r="11035" spans="10:23" x14ac:dyDescent="0.25">
      <c r="J11035"/>
      <c r="M11035"/>
      <c r="W11035"/>
    </row>
    <row r="11036" spans="10:23" x14ac:dyDescent="0.25">
      <c r="J11036"/>
      <c r="M11036"/>
      <c r="W11036"/>
    </row>
    <row r="11037" spans="10:23" x14ac:dyDescent="0.25">
      <c r="J11037"/>
      <c r="M11037"/>
      <c r="W11037"/>
    </row>
    <row r="11038" spans="10:23" x14ac:dyDescent="0.25">
      <c r="J11038"/>
      <c r="M11038"/>
      <c r="W11038"/>
    </row>
    <row r="11039" spans="10:23" x14ac:dyDescent="0.25">
      <c r="J11039"/>
      <c r="M11039"/>
      <c r="W11039"/>
    </row>
    <row r="11040" spans="10:23" x14ac:dyDescent="0.25">
      <c r="J11040"/>
      <c r="M11040"/>
      <c r="W11040"/>
    </row>
    <row r="11041" spans="10:23" x14ac:dyDescent="0.25">
      <c r="J11041"/>
      <c r="M11041"/>
      <c r="W11041"/>
    </row>
    <row r="11042" spans="10:23" x14ac:dyDescent="0.25">
      <c r="J11042"/>
      <c r="M11042"/>
      <c r="W11042"/>
    </row>
    <row r="11043" spans="10:23" x14ac:dyDescent="0.25">
      <c r="J11043"/>
      <c r="M11043"/>
      <c r="W11043"/>
    </row>
    <row r="11044" spans="10:23" x14ac:dyDescent="0.25">
      <c r="J11044"/>
      <c r="M11044"/>
      <c r="W11044"/>
    </row>
    <row r="11045" spans="10:23" x14ac:dyDescent="0.25">
      <c r="J11045"/>
      <c r="M11045"/>
      <c r="W11045"/>
    </row>
    <row r="11046" spans="10:23" x14ac:dyDescent="0.25">
      <c r="J11046"/>
      <c r="M11046"/>
      <c r="W11046"/>
    </row>
    <row r="11047" spans="10:23" x14ac:dyDescent="0.25">
      <c r="J11047"/>
      <c r="M11047"/>
      <c r="W11047"/>
    </row>
    <row r="11048" spans="10:23" x14ac:dyDescent="0.25">
      <c r="J11048"/>
      <c r="M11048"/>
      <c r="W11048"/>
    </row>
    <row r="11049" spans="10:23" x14ac:dyDescent="0.25">
      <c r="J11049"/>
      <c r="M11049"/>
      <c r="W11049"/>
    </row>
    <row r="11050" spans="10:23" x14ac:dyDescent="0.25">
      <c r="J11050"/>
      <c r="M11050"/>
      <c r="W11050"/>
    </row>
    <row r="11051" spans="10:23" x14ac:dyDescent="0.25">
      <c r="J11051"/>
      <c r="M11051"/>
      <c r="W11051"/>
    </row>
    <row r="11052" spans="10:23" x14ac:dyDescent="0.25">
      <c r="J11052"/>
      <c r="M11052"/>
      <c r="W11052"/>
    </row>
    <row r="11053" spans="10:23" x14ac:dyDescent="0.25">
      <c r="J11053"/>
      <c r="M11053"/>
      <c r="W11053"/>
    </row>
    <row r="11054" spans="10:23" x14ac:dyDescent="0.25">
      <c r="J11054"/>
      <c r="M11054"/>
      <c r="W11054"/>
    </row>
    <row r="11055" spans="10:23" x14ac:dyDescent="0.25">
      <c r="J11055"/>
      <c r="M11055"/>
      <c r="W11055"/>
    </row>
    <row r="11056" spans="10:23" x14ac:dyDescent="0.25">
      <c r="J11056"/>
      <c r="M11056"/>
      <c r="W11056"/>
    </row>
    <row r="11057" spans="10:23" x14ac:dyDescent="0.25">
      <c r="J11057"/>
      <c r="M11057"/>
      <c r="W11057"/>
    </row>
    <row r="11058" spans="10:23" x14ac:dyDescent="0.25">
      <c r="J11058"/>
      <c r="M11058"/>
      <c r="W11058"/>
    </row>
    <row r="11059" spans="10:23" x14ac:dyDescent="0.25">
      <c r="J11059"/>
      <c r="M11059"/>
      <c r="W11059"/>
    </row>
    <row r="11060" spans="10:23" x14ac:dyDescent="0.25">
      <c r="J11060"/>
      <c r="M11060"/>
      <c r="W11060"/>
    </row>
    <row r="11061" spans="10:23" x14ac:dyDescent="0.25">
      <c r="J11061"/>
      <c r="M11061"/>
      <c r="W11061"/>
    </row>
    <row r="11062" spans="10:23" x14ac:dyDescent="0.25">
      <c r="J11062"/>
      <c r="M11062"/>
      <c r="W11062"/>
    </row>
    <row r="11063" spans="10:23" x14ac:dyDescent="0.25">
      <c r="J11063"/>
      <c r="M11063"/>
      <c r="W11063"/>
    </row>
    <row r="11064" spans="10:23" x14ac:dyDescent="0.25">
      <c r="J11064"/>
      <c r="M11064"/>
      <c r="W11064"/>
    </row>
    <row r="11065" spans="10:23" x14ac:dyDescent="0.25">
      <c r="J11065"/>
      <c r="M11065"/>
      <c r="W11065"/>
    </row>
    <row r="11066" spans="10:23" x14ac:dyDescent="0.25">
      <c r="J11066"/>
      <c r="M11066"/>
      <c r="W11066"/>
    </row>
    <row r="11067" spans="10:23" x14ac:dyDescent="0.25">
      <c r="J11067"/>
      <c r="M11067"/>
      <c r="W11067"/>
    </row>
    <row r="11068" spans="10:23" x14ac:dyDescent="0.25">
      <c r="J11068"/>
      <c r="M11068"/>
      <c r="W11068"/>
    </row>
    <row r="11069" spans="10:23" x14ac:dyDescent="0.25">
      <c r="J11069"/>
      <c r="M11069"/>
      <c r="W11069"/>
    </row>
    <row r="11070" spans="10:23" x14ac:dyDescent="0.25">
      <c r="J11070"/>
      <c r="M11070"/>
      <c r="W11070"/>
    </row>
    <row r="11071" spans="10:23" x14ac:dyDescent="0.25">
      <c r="J11071"/>
      <c r="M11071"/>
      <c r="W11071"/>
    </row>
    <row r="11072" spans="10:23" x14ac:dyDescent="0.25">
      <c r="J11072"/>
      <c r="M11072"/>
      <c r="W11072"/>
    </row>
    <row r="11073" spans="10:23" x14ac:dyDescent="0.25">
      <c r="J11073"/>
      <c r="M11073"/>
      <c r="W11073"/>
    </row>
    <row r="11074" spans="10:23" x14ac:dyDescent="0.25">
      <c r="J11074"/>
      <c r="M11074"/>
      <c r="W11074"/>
    </row>
    <row r="11075" spans="10:23" x14ac:dyDescent="0.25">
      <c r="J11075"/>
      <c r="M11075"/>
      <c r="W11075"/>
    </row>
    <row r="11076" spans="10:23" x14ac:dyDescent="0.25">
      <c r="J11076"/>
      <c r="M11076"/>
      <c r="W11076"/>
    </row>
    <row r="11077" spans="10:23" x14ac:dyDescent="0.25">
      <c r="J11077"/>
      <c r="M11077"/>
      <c r="W11077"/>
    </row>
    <row r="11078" spans="10:23" x14ac:dyDescent="0.25">
      <c r="J11078"/>
      <c r="M11078"/>
      <c r="W11078"/>
    </row>
    <row r="11079" spans="10:23" x14ac:dyDescent="0.25">
      <c r="J11079"/>
      <c r="M11079"/>
      <c r="W11079"/>
    </row>
    <row r="11080" spans="10:23" x14ac:dyDescent="0.25">
      <c r="J11080"/>
      <c r="M11080"/>
      <c r="W11080"/>
    </row>
    <row r="11081" spans="10:23" x14ac:dyDescent="0.25">
      <c r="J11081"/>
      <c r="M11081"/>
      <c r="W11081"/>
    </row>
    <row r="11082" spans="10:23" x14ac:dyDescent="0.25">
      <c r="J11082"/>
      <c r="M11082"/>
      <c r="W11082"/>
    </row>
    <row r="11083" spans="10:23" x14ac:dyDescent="0.25">
      <c r="J11083"/>
      <c r="M11083"/>
      <c r="W11083"/>
    </row>
    <row r="11084" spans="10:23" x14ac:dyDescent="0.25">
      <c r="J11084"/>
      <c r="M11084"/>
      <c r="W11084"/>
    </row>
    <row r="11085" spans="10:23" x14ac:dyDescent="0.25">
      <c r="J11085"/>
      <c r="M11085"/>
      <c r="W11085"/>
    </row>
    <row r="11086" spans="10:23" x14ac:dyDescent="0.25">
      <c r="J11086"/>
      <c r="M11086"/>
      <c r="W11086"/>
    </row>
    <row r="11087" spans="10:23" x14ac:dyDescent="0.25">
      <c r="J11087"/>
      <c r="M11087"/>
      <c r="W11087"/>
    </row>
    <row r="11088" spans="10:23" x14ac:dyDescent="0.25">
      <c r="J11088"/>
      <c r="M11088"/>
      <c r="W11088"/>
    </row>
    <row r="11089" spans="10:23" x14ac:dyDescent="0.25">
      <c r="J11089"/>
      <c r="M11089"/>
      <c r="W11089"/>
    </row>
    <row r="11090" spans="10:23" x14ac:dyDescent="0.25">
      <c r="J11090"/>
      <c r="M11090"/>
      <c r="W11090"/>
    </row>
    <row r="11091" spans="10:23" x14ac:dyDescent="0.25">
      <c r="J11091"/>
      <c r="M11091"/>
      <c r="W11091"/>
    </row>
    <row r="11092" spans="10:23" x14ac:dyDescent="0.25">
      <c r="J11092"/>
      <c r="M11092"/>
      <c r="W11092"/>
    </row>
    <row r="11093" spans="10:23" x14ac:dyDescent="0.25">
      <c r="J11093"/>
      <c r="M11093"/>
      <c r="W11093"/>
    </row>
    <row r="11094" spans="10:23" x14ac:dyDescent="0.25">
      <c r="J11094"/>
      <c r="M11094"/>
      <c r="W11094"/>
    </row>
    <row r="11095" spans="10:23" x14ac:dyDescent="0.25">
      <c r="J11095"/>
      <c r="M11095"/>
      <c r="W11095"/>
    </row>
    <row r="11096" spans="10:23" x14ac:dyDescent="0.25">
      <c r="J11096"/>
      <c r="M11096"/>
      <c r="W11096"/>
    </row>
    <row r="11097" spans="10:23" x14ac:dyDescent="0.25">
      <c r="J11097"/>
      <c r="M11097"/>
      <c r="W11097"/>
    </row>
    <row r="11098" spans="10:23" x14ac:dyDescent="0.25">
      <c r="J11098"/>
      <c r="M11098"/>
      <c r="W11098"/>
    </row>
    <row r="11099" spans="10:23" x14ac:dyDescent="0.25">
      <c r="J11099"/>
      <c r="M11099"/>
      <c r="W11099"/>
    </row>
    <row r="11100" spans="10:23" x14ac:dyDescent="0.25">
      <c r="J11100"/>
      <c r="M11100"/>
      <c r="W11100"/>
    </row>
    <row r="11101" spans="10:23" x14ac:dyDescent="0.25">
      <c r="J11101"/>
      <c r="M11101"/>
      <c r="W11101"/>
    </row>
    <row r="11102" spans="10:23" x14ac:dyDescent="0.25">
      <c r="J11102"/>
      <c r="M11102"/>
      <c r="W11102"/>
    </row>
    <row r="11103" spans="10:23" x14ac:dyDescent="0.25">
      <c r="J11103"/>
      <c r="M11103"/>
      <c r="W11103"/>
    </row>
    <row r="11104" spans="10:23" x14ac:dyDescent="0.25">
      <c r="J11104"/>
      <c r="M11104"/>
      <c r="W11104"/>
    </row>
    <row r="11105" spans="10:23" x14ac:dyDescent="0.25">
      <c r="J11105"/>
      <c r="M11105"/>
      <c r="W11105"/>
    </row>
    <row r="11106" spans="10:23" x14ac:dyDescent="0.25">
      <c r="J11106"/>
      <c r="M11106"/>
      <c r="W11106"/>
    </row>
    <row r="11107" spans="10:23" x14ac:dyDescent="0.25">
      <c r="J11107"/>
      <c r="M11107"/>
      <c r="W11107"/>
    </row>
    <row r="11108" spans="10:23" x14ac:dyDescent="0.25">
      <c r="J11108"/>
      <c r="M11108"/>
      <c r="W11108"/>
    </row>
    <row r="11109" spans="10:23" x14ac:dyDescent="0.25">
      <c r="J11109"/>
      <c r="M11109"/>
      <c r="W11109"/>
    </row>
    <row r="11110" spans="10:23" x14ac:dyDescent="0.25">
      <c r="J11110"/>
      <c r="M11110"/>
      <c r="W11110"/>
    </row>
    <row r="11111" spans="10:23" x14ac:dyDescent="0.25">
      <c r="J11111"/>
      <c r="M11111"/>
      <c r="W11111"/>
    </row>
    <row r="11112" spans="10:23" x14ac:dyDescent="0.25">
      <c r="J11112"/>
      <c r="M11112"/>
      <c r="W11112"/>
    </row>
    <row r="11113" spans="10:23" x14ac:dyDescent="0.25">
      <c r="J11113"/>
      <c r="M11113"/>
      <c r="W11113"/>
    </row>
    <row r="11114" spans="10:23" x14ac:dyDescent="0.25">
      <c r="J11114"/>
      <c r="M11114"/>
      <c r="W11114"/>
    </row>
    <row r="11115" spans="10:23" x14ac:dyDescent="0.25">
      <c r="J11115"/>
      <c r="M11115"/>
      <c r="W11115"/>
    </row>
    <row r="11116" spans="10:23" x14ac:dyDescent="0.25">
      <c r="J11116"/>
      <c r="M11116"/>
      <c r="W11116"/>
    </row>
    <row r="11117" spans="10:23" x14ac:dyDescent="0.25">
      <c r="J11117"/>
      <c r="M11117"/>
      <c r="W11117"/>
    </row>
    <row r="11118" spans="10:23" x14ac:dyDescent="0.25">
      <c r="J11118"/>
      <c r="M11118"/>
      <c r="W11118"/>
    </row>
    <row r="11119" spans="10:23" x14ac:dyDescent="0.25">
      <c r="J11119"/>
      <c r="M11119"/>
      <c r="W11119"/>
    </row>
    <row r="11120" spans="10:23" x14ac:dyDescent="0.25">
      <c r="J11120"/>
      <c r="M11120"/>
      <c r="W11120"/>
    </row>
    <row r="11121" spans="10:23" x14ac:dyDescent="0.25">
      <c r="J11121"/>
      <c r="M11121"/>
      <c r="W11121"/>
    </row>
    <row r="11122" spans="10:23" x14ac:dyDescent="0.25">
      <c r="J11122"/>
      <c r="M11122"/>
      <c r="W11122"/>
    </row>
    <row r="11123" spans="10:23" x14ac:dyDescent="0.25">
      <c r="J11123"/>
      <c r="M11123"/>
      <c r="W11123"/>
    </row>
    <row r="11124" spans="10:23" x14ac:dyDescent="0.25">
      <c r="J11124"/>
      <c r="M11124"/>
      <c r="W11124"/>
    </row>
    <row r="11125" spans="10:23" x14ac:dyDescent="0.25">
      <c r="J11125"/>
      <c r="M11125"/>
      <c r="W11125"/>
    </row>
    <row r="11126" spans="10:23" x14ac:dyDescent="0.25">
      <c r="J11126"/>
      <c r="M11126"/>
      <c r="W11126"/>
    </row>
    <row r="11127" spans="10:23" x14ac:dyDescent="0.25">
      <c r="J11127"/>
      <c r="M11127"/>
      <c r="W11127"/>
    </row>
    <row r="11128" spans="10:23" x14ac:dyDescent="0.25">
      <c r="J11128"/>
      <c r="M11128"/>
      <c r="W11128"/>
    </row>
    <row r="11129" spans="10:23" x14ac:dyDescent="0.25">
      <c r="J11129"/>
      <c r="M11129"/>
      <c r="W11129"/>
    </row>
    <row r="11130" spans="10:23" x14ac:dyDescent="0.25">
      <c r="J11130"/>
      <c r="M11130"/>
      <c r="W11130"/>
    </row>
    <row r="11131" spans="10:23" x14ac:dyDescent="0.25">
      <c r="J11131"/>
      <c r="M11131"/>
      <c r="W11131"/>
    </row>
    <row r="11132" spans="10:23" x14ac:dyDescent="0.25">
      <c r="J11132"/>
      <c r="M11132"/>
      <c r="W11132"/>
    </row>
    <row r="11133" spans="10:23" x14ac:dyDescent="0.25">
      <c r="J11133"/>
      <c r="M11133"/>
      <c r="W11133"/>
    </row>
    <row r="11134" spans="10:23" x14ac:dyDescent="0.25">
      <c r="J11134"/>
      <c r="M11134"/>
      <c r="W11134"/>
    </row>
    <row r="11135" spans="10:23" x14ac:dyDescent="0.25">
      <c r="J11135"/>
      <c r="M11135"/>
      <c r="W11135"/>
    </row>
    <row r="11136" spans="10:23" x14ac:dyDescent="0.25">
      <c r="J11136"/>
      <c r="M11136"/>
      <c r="W11136"/>
    </row>
    <row r="11137" spans="10:23" x14ac:dyDescent="0.25">
      <c r="J11137"/>
      <c r="M11137"/>
      <c r="W11137"/>
    </row>
    <row r="11138" spans="10:23" x14ac:dyDescent="0.25">
      <c r="J11138"/>
      <c r="M11138"/>
      <c r="W11138"/>
    </row>
    <row r="11139" spans="10:23" x14ac:dyDescent="0.25">
      <c r="J11139"/>
      <c r="M11139"/>
      <c r="W11139"/>
    </row>
    <row r="11140" spans="10:23" x14ac:dyDescent="0.25">
      <c r="J11140"/>
      <c r="M11140"/>
      <c r="W11140"/>
    </row>
    <row r="11141" spans="10:23" x14ac:dyDescent="0.25">
      <c r="J11141"/>
      <c r="M11141"/>
      <c r="W11141"/>
    </row>
    <row r="11142" spans="10:23" x14ac:dyDescent="0.25">
      <c r="J11142"/>
      <c r="M11142"/>
      <c r="W11142"/>
    </row>
    <row r="11143" spans="10:23" x14ac:dyDescent="0.25">
      <c r="J11143"/>
      <c r="M11143"/>
      <c r="W11143"/>
    </row>
    <row r="11144" spans="10:23" x14ac:dyDescent="0.25">
      <c r="J11144"/>
      <c r="M11144"/>
      <c r="W11144"/>
    </row>
    <row r="11145" spans="10:23" x14ac:dyDescent="0.25">
      <c r="J11145"/>
      <c r="M11145"/>
      <c r="W11145"/>
    </row>
    <row r="11146" spans="10:23" x14ac:dyDescent="0.25">
      <c r="J11146"/>
      <c r="M11146"/>
      <c r="W11146"/>
    </row>
    <row r="11147" spans="10:23" x14ac:dyDescent="0.25">
      <c r="J11147"/>
      <c r="M11147"/>
      <c r="W11147"/>
    </row>
    <row r="11148" spans="10:23" x14ac:dyDescent="0.25">
      <c r="J11148"/>
      <c r="M11148"/>
      <c r="W11148"/>
    </row>
    <row r="11149" spans="10:23" x14ac:dyDescent="0.25">
      <c r="J11149"/>
      <c r="M11149"/>
      <c r="W11149"/>
    </row>
    <row r="11150" spans="10:23" x14ac:dyDescent="0.25">
      <c r="J11150"/>
      <c r="M11150"/>
      <c r="W11150"/>
    </row>
    <row r="11151" spans="10:23" x14ac:dyDescent="0.25">
      <c r="J11151"/>
      <c r="M11151"/>
      <c r="W11151"/>
    </row>
    <row r="11152" spans="10:23" x14ac:dyDescent="0.25">
      <c r="J11152"/>
      <c r="M11152"/>
      <c r="W11152"/>
    </row>
    <row r="11153" spans="10:23" x14ac:dyDescent="0.25">
      <c r="J11153"/>
      <c r="M11153"/>
      <c r="W11153"/>
    </row>
    <row r="11154" spans="10:23" x14ac:dyDescent="0.25">
      <c r="J11154"/>
      <c r="M11154"/>
      <c r="W11154"/>
    </row>
    <row r="11155" spans="10:23" x14ac:dyDescent="0.25">
      <c r="J11155"/>
      <c r="M11155"/>
      <c r="W11155"/>
    </row>
    <row r="11156" spans="10:23" x14ac:dyDescent="0.25">
      <c r="J11156"/>
      <c r="M11156"/>
      <c r="W11156"/>
    </row>
    <row r="11157" spans="10:23" x14ac:dyDescent="0.25">
      <c r="J11157"/>
      <c r="M11157"/>
      <c r="W11157"/>
    </row>
    <row r="11158" spans="10:23" x14ac:dyDescent="0.25">
      <c r="J11158"/>
      <c r="M11158"/>
      <c r="W11158"/>
    </row>
    <row r="11159" spans="10:23" x14ac:dyDescent="0.25">
      <c r="J11159"/>
      <c r="M11159"/>
      <c r="W11159"/>
    </row>
    <row r="11160" spans="10:23" x14ac:dyDescent="0.25">
      <c r="J11160"/>
      <c r="M11160"/>
      <c r="W11160"/>
    </row>
    <row r="11161" spans="10:23" x14ac:dyDescent="0.25">
      <c r="J11161"/>
      <c r="M11161"/>
      <c r="W11161"/>
    </row>
    <row r="11162" spans="10:23" x14ac:dyDescent="0.25">
      <c r="J11162"/>
      <c r="M11162"/>
      <c r="W11162"/>
    </row>
    <row r="11163" spans="10:23" x14ac:dyDescent="0.25">
      <c r="J11163"/>
      <c r="M11163"/>
      <c r="W11163"/>
    </row>
    <row r="11164" spans="10:23" x14ac:dyDescent="0.25">
      <c r="J11164"/>
      <c r="M11164"/>
      <c r="W11164"/>
    </row>
    <row r="11165" spans="10:23" x14ac:dyDescent="0.25">
      <c r="J11165"/>
      <c r="M11165"/>
      <c r="W11165"/>
    </row>
    <row r="11166" spans="10:23" x14ac:dyDescent="0.25">
      <c r="J11166"/>
      <c r="M11166"/>
      <c r="W11166"/>
    </row>
    <row r="11167" spans="10:23" x14ac:dyDescent="0.25">
      <c r="J11167"/>
      <c r="M11167"/>
      <c r="W11167"/>
    </row>
    <row r="11168" spans="10:23" x14ac:dyDescent="0.25">
      <c r="J11168"/>
      <c r="M11168"/>
      <c r="W11168"/>
    </row>
    <row r="11169" spans="10:23" x14ac:dyDescent="0.25">
      <c r="J11169"/>
      <c r="M11169"/>
      <c r="W11169"/>
    </row>
    <row r="11170" spans="10:23" x14ac:dyDescent="0.25">
      <c r="J11170"/>
      <c r="M11170"/>
      <c r="W11170"/>
    </row>
    <row r="11171" spans="10:23" x14ac:dyDescent="0.25">
      <c r="J11171"/>
      <c r="M11171"/>
      <c r="W11171"/>
    </row>
    <row r="11172" spans="10:23" x14ac:dyDescent="0.25">
      <c r="J11172"/>
      <c r="M11172"/>
      <c r="W11172"/>
    </row>
    <row r="11173" spans="10:23" x14ac:dyDescent="0.25">
      <c r="J11173"/>
      <c r="M11173"/>
      <c r="W11173"/>
    </row>
    <row r="11174" spans="10:23" x14ac:dyDescent="0.25">
      <c r="J11174"/>
      <c r="M11174"/>
      <c r="W11174"/>
    </row>
    <row r="11175" spans="10:23" x14ac:dyDescent="0.25">
      <c r="J11175"/>
      <c r="M11175"/>
      <c r="W11175"/>
    </row>
    <row r="11176" spans="10:23" x14ac:dyDescent="0.25">
      <c r="J11176"/>
      <c r="M11176"/>
      <c r="W11176"/>
    </row>
    <row r="11177" spans="10:23" x14ac:dyDescent="0.25">
      <c r="J11177"/>
      <c r="M11177"/>
      <c r="W11177"/>
    </row>
    <row r="11178" spans="10:23" x14ac:dyDescent="0.25">
      <c r="J11178"/>
      <c r="M11178"/>
      <c r="W11178"/>
    </row>
    <row r="11179" spans="10:23" x14ac:dyDescent="0.25">
      <c r="J11179"/>
      <c r="M11179"/>
      <c r="W11179"/>
    </row>
    <row r="11180" spans="10:23" x14ac:dyDescent="0.25">
      <c r="J11180"/>
      <c r="M11180"/>
      <c r="W11180"/>
    </row>
    <row r="11181" spans="10:23" x14ac:dyDescent="0.25">
      <c r="J11181"/>
      <c r="M11181"/>
      <c r="W11181"/>
    </row>
    <row r="11182" spans="10:23" x14ac:dyDescent="0.25">
      <c r="J11182"/>
      <c r="M11182"/>
      <c r="W11182"/>
    </row>
    <row r="11183" spans="10:23" x14ac:dyDescent="0.25">
      <c r="J11183"/>
      <c r="M11183"/>
      <c r="W11183"/>
    </row>
    <row r="11184" spans="10:23" x14ac:dyDescent="0.25">
      <c r="J11184"/>
      <c r="M11184"/>
      <c r="W11184"/>
    </row>
    <row r="11185" spans="10:23" x14ac:dyDescent="0.25">
      <c r="J11185"/>
      <c r="M11185"/>
      <c r="W11185"/>
    </row>
    <row r="11186" spans="10:23" x14ac:dyDescent="0.25">
      <c r="J11186"/>
      <c r="M11186"/>
      <c r="W11186"/>
    </row>
    <row r="11187" spans="10:23" x14ac:dyDescent="0.25">
      <c r="J11187"/>
      <c r="M11187"/>
      <c r="W11187"/>
    </row>
    <row r="11188" spans="10:23" x14ac:dyDescent="0.25">
      <c r="J11188"/>
      <c r="M11188"/>
      <c r="W11188"/>
    </row>
    <row r="11189" spans="10:23" x14ac:dyDescent="0.25">
      <c r="J11189"/>
      <c r="M11189"/>
      <c r="W11189"/>
    </row>
    <row r="11190" spans="10:23" x14ac:dyDescent="0.25">
      <c r="J11190"/>
      <c r="M11190"/>
      <c r="W11190"/>
    </row>
    <row r="11191" spans="10:23" x14ac:dyDescent="0.25">
      <c r="J11191"/>
      <c r="M11191"/>
      <c r="W11191"/>
    </row>
    <row r="11192" spans="10:23" x14ac:dyDescent="0.25">
      <c r="J11192"/>
      <c r="M11192"/>
      <c r="W11192"/>
    </row>
    <row r="11193" spans="10:23" x14ac:dyDescent="0.25">
      <c r="J11193"/>
      <c r="M11193"/>
      <c r="W11193"/>
    </row>
    <row r="11194" spans="10:23" x14ac:dyDescent="0.25">
      <c r="J11194"/>
      <c r="M11194"/>
      <c r="W11194"/>
    </row>
    <row r="11195" spans="10:23" x14ac:dyDescent="0.25">
      <c r="J11195"/>
      <c r="M11195"/>
      <c r="W11195"/>
    </row>
    <row r="11196" spans="10:23" x14ac:dyDescent="0.25">
      <c r="J11196"/>
      <c r="M11196"/>
      <c r="W11196"/>
    </row>
    <row r="11197" spans="10:23" x14ac:dyDescent="0.25">
      <c r="J11197"/>
      <c r="M11197"/>
      <c r="W11197"/>
    </row>
    <row r="11198" spans="10:23" x14ac:dyDescent="0.25">
      <c r="J11198"/>
      <c r="M11198"/>
      <c r="W11198"/>
    </row>
    <row r="11199" spans="10:23" x14ac:dyDescent="0.25">
      <c r="J11199"/>
      <c r="M11199"/>
      <c r="W11199"/>
    </row>
    <row r="11200" spans="10:23" x14ac:dyDescent="0.25">
      <c r="J11200"/>
      <c r="M11200"/>
      <c r="W11200"/>
    </row>
    <row r="11201" spans="10:23" x14ac:dyDescent="0.25">
      <c r="J11201"/>
      <c r="M11201"/>
      <c r="W11201"/>
    </row>
    <row r="11202" spans="10:23" x14ac:dyDescent="0.25">
      <c r="J11202"/>
      <c r="M11202"/>
      <c r="W11202"/>
    </row>
    <row r="11203" spans="10:23" x14ac:dyDescent="0.25">
      <c r="J11203"/>
      <c r="M11203"/>
      <c r="W11203"/>
    </row>
    <row r="11204" spans="10:23" x14ac:dyDescent="0.25">
      <c r="J11204"/>
      <c r="M11204"/>
      <c r="W11204"/>
    </row>
    <row r="11205" spans="10:23" x14ac:dyDescent="0.25">
      <c r="J11205"/>
      <c r="M11205"/>
      <c r="W11205"/>
    </row>
    <row r="11206" spans="10:23" x14ac:dyDescent="0.25">
      <c r="J11206"/>
      <c r="M11206"/>
      <c r="W11206"/>
    </row>
    <row r="11207" spans="10:23" x14ac:dyDescent="0.25">
      <c r="J11207"/>
      <c r="M11207"/>
      <c r="W11207"/>
    </row>
    <row r="11208" spans="10:23" x14ac:dyDescent="0.25">
      <c r="J11208"/>
      <c r="M11208"/>
      <c r="W11208"/>
    </row>
    <row r="11209" spans="10:23" x14ac:dyDescent="0.25">
      <c r="J11209"/>
      <c r="M11209"/>
      <c r="W11209"/>
    </row>
    <row r="11210" spans="10:23" x14ac:dyDescent="0.25">
      <c r="J11210"/>
      <c r="M11210"/>
      <c r="W11210"/>
    </row>
    <row r="11211" spans="10:23" x14ac:dyDescent="0.25">
      <c r="J11211"/>
      <c r="M11211"/>
      <c r="W11211"/>
    </row>
    <row r="11212" spans="10:23" x14ac:dyDescent="0.25">
      <c r="J11212"/>
      <c r="M11212"/>
      <c r="W11212"/>
    </row>
    <row r="11213" spans="10:23" x14ac:dyDescent="0.25">
      <c r="J11213"/>
      <c r="M11213"/>
      <c r="W11213"/>
    </row>
    <row r="11214" spans="10:23" x14ac:dyDescent="0.25">
      <c r="J11214"/>
      <c r="M11214"/>
      <c r="W11214"/>
    </row>
    <row r="11215" spans="10:23" x14ac:dyDescent="0.25">
      <c r="J11215"/>
      <c r="M11215"/>
      <c r="W11215"/>
    </row>
    <row r="11216" spans="10:23" x14ac:dyDescent="0.25">
      <c r="J11216"/>
      <c r="M11216"/>
      <c r="W11216"/>
    </row>
    <row r="11217" spans="10:23" x14ac:dyDescent="0.25">
      <c r="J11217"/>
      <c r="M11217"/>
      <c r="W11217"/>
    </row>
    <row r="11218" spans="10:23" x14ac:dyDescent="0.25">
      <c r="J11218"/>
      <c r="M11218"/>
      <c r="W11218"/>
    </row>
    <row r="11219" spans="10:23" x14ac:dyDescent="0.25">
      <c r="J11219"/>
      <c r="M11219"/>
      <c r="W11219"/>
    </row>
    <row r="11220" spans="10:23" x14ac:dyDescent="0.25">
      <c r="J11220"/>
      <c r="M11220"/>
      <c r="W11220"/>
    </row>
    <row r="11221" spans="10:23" x14ac:dyDescent="0.25">
      <c r="J11221"/>
      <c r="M11221"/>
      <c r="W11221"/>
    </row>
    <row r="11222" spans="10:23" x14ac:dyDescent="0.25">
      <c r="J11222"/>
      <c r="M11222"/>
      <c r="W11222"/>
    </row>
    <row r="11223" spans="10:23" x14ac:dyDescent="0.25">
      <c r="J11223"/>
      <c r="M11223"/>
      <c r="W11223"/>
    </row>
    <row r="11224" spans="10:23" x14ac:dyDescent="0.25">
      <c r="J11224"/>
      <c r="M11224"/>
      <c r="W11224"/>
    </row>
    <row r="11225" spans="10:23" x14ac:dyDescent="0.25">
      <c r="J11225"/>
      <c r="M11225"/>
      <c r="W11225"/>
    </row>
    <row r="11226" spans="10:23" x14ac:dyDescent="0.25">
      <c r="J11226"/>
      <c r="M11226"/>
      <c r="W11226"/>
    </row>
    <row r="11227" spans="10:23" x14ac:dyDescent="0.25">
      <c r="J11227"/>
      <c r="M11227"/>
      <c r="W11227"/>
    </row>
    <row r="11228" spans="10:23" x14ac:dyDescent="0.25">
      <c r="J11228"/>
      <c r="M11228"/>
      <c r="W11228"/>
    </row>
    <row r="11229" spans="10:23" x14ac:dyDescent="0.25">
      <c r="J11229"/>
      <c r="M11229"/>
      <c r="W11229"/>
    </row>
    <row r="11230" spans="10:23" x14ac:dyDescent="0.25">
      <c r="J11230"/>
      <c r="M11230"/>
      <c r="W11230"/>
    </row>
    <row r="11231" spans="10:23" x14ac:dyDescent="0.25">
      <c r="J11231"/>
      <c r="M11231"/>
      <c r="W11231"/>
    </row>
    <row r="11232" spans="10:23" x14ac:dyDescent="0.25">
      <c r="J11232"/>
      <c r="M11232"/>
      <c r="W11232"/>
    </row>
    <row r="11233" spans="10:23" x14ac:dyDescent="0.25">
      <c r="J11233"/>
      <c r="M11233"/>
      <c r="W11233"/>
    </row>
    <row r="11234" spans="10:23" x14ac:dyDescent="0.25">
      <c r="J11234"/>
      <c r="M11234"/>
      <c r="W11234"/>
    </row>
    <row r="11235" spans="10:23" x14ac:dyDescent="0.25">
      <c r="J11235"/>
      <c r="M11235"/>
      <c r="W11235"/>
    </row>
    <row r="11236" spans="10:23" x14ac:dyDescent="0.25">
      <c r="J11236"/>
      <c r="M11236"/>
      <c r="W11236"/>
    </row>
    <row r="11237" spans="10:23" x14ac:dyDescent="0.25">
      <c r="J11237"/>
      <c r="M11237"/>
      <c r="W11237"/>
    </row>
    <row r="11238" spans="10:23" x14ac:dyDescent="0.25">
      <c r="J11238"/>
      <c r="M11238"/>
      <c r="W11238"/>
    </row>
    <row r="11239" spans="10:23" x14ac:dyDescent="0.25">
      <c r="J11239"/>
      <c r="M11239"/>
      <c r="W11239"/>
    </row>
    <row r="11240" spans="10:23" x14ac:dyDescent="0.25">
      <c r="J11240"/>
      <c r="M11240"/>
      <c r="W11240"/>
    </row>
    <row r="11241" spans="10:23" x14ac:dyDescent="0.25">
      <c r="J11241"/>
      <c r="M11241"/>
      <c r="W11241"/>
    </row>
    <row r="11242" spans="10:23" x14ac:dyDescent="0.25">
      <c r="J11242"/>
      <c r="M11242"/>
      <c r="W11242"/>
    </row>
    <row r="11243" spans="10:23" x14ac:dyDescent="0.25">
      <c r="J11243"/>
      <c r="M11243"/>
      <c r="W11243"/>
    </row>
    <row r="11244" spans="10:23" x14ac:dyDescent="0.25">
      <c r="J11244"/>
      <c r="M11244"/>
      <c r="W11244"/>
    </row>
    <row r="11245" spans="10:23" x14ac:dyDescent="0.25">
      <c r="J11245"/>
      <c r="M11245"/>
      <c r="W11245"/>
    </row>
    <row r="11246" spans="10:23" x14ac:dyDescent="0.25">
      <c r="J11246"/>
      <c r="M11246"/>
      <c r="W11246"/>
    </row>
    <row r="11247" spans="10:23" x14ac:dyDescent="0.25">
      <c r="J11247"/>
      <c r="M11247"/>
      <c r="W11247"/>
    </row>
    <row r="11248" spans="10:23" x14ac:dyDescent="0.25">
      <c r="J11248"/>
      <c r="M11248"/>
      <c r="W11248"/>
    </row>
    <row r="11249" spans="10:23" x14ac:dyDescent="0.25">
      <c r="J11249"/>
      <c r="M11249"/>
      <c r="W11249"/>
    </row>
    <row r="11250" spans="10:23" x14ac:dyDescent="0.25">
      <c r="J11250"/>
      <c r="M11250"/>
      <c r="W11250"/>
    </row>
    <row r="11251" spans="10:23" x14ac:dyDescent="0.25">
      <c r="J11251"/>
      <c r="M11251"/>
      <c r="W11251"/>
    </row>
    <row r="11252" spans="10:23" x14ac:dyDescent="0.25">
      <c r="J11252"/>
      <c r="M11252"/>
      <c r="W11252"/>
    </row>
    <row r="11253" spans="10:23" x14ac:dyDescent="0.25">
      <c r="J11253"/>
      <c r="M11253"/>
      <c r="W11253"/>
    </row>
    <row r="11254" spans="10:23" x14ac:dyDescent="0.25">
      <c r="J11254"/>
      <c r="M11254"/>
      <c r="W11254"/>
    </row>
    <row r="11255" spans="10:23" x14ac:dyDescent="0.25">
      <c r="J11255"/>
      <c r="M11255"/>
      <c r="W11255"/>
    </row>
    <row r="11256" spans="10:23" x14ac:dyDescent="0.25">
      <c r="J11256"/>
      <c r="M11256"/>
      <c r="W11256"/>
    </row>
    <row r="11257" spans="10:23" x14ac:dyDescent="0.25">
      <c r="J11257"/>
      <c r="M11257"/>
      <c r="W11257"/>
    </row>
    <row r="11258" spans="10:23" x14ac:dyDescent="0.25">
      <c r="J11258"/>
      <c r="M11258"/>
      <c r="W11258"/>
    </row>
    <row r="11259" spans="10:23" x14ac:dyDescent="0.25">
      <c r="J11259"/>
      <c r="M11259"/>
      <c r="W11259"/>
    </row>
    <row r="11260" spans="10:23" x14ac:dyDescent="0.25">
      <c r="J11260"/>
      <c r="M11260"/>
      <c r="W11260"/>
    </row>
    <row r="11261" spans="10:23" x14ac:dyDescent="0.25">
      <c r="J11261"/>
      <c r="M11261"/>
      <c r="W11261"/>
    </row>
    <row r="11262" spans="10:23" x14ac:dyDescent="0.25">
      <c r="J11262"/>
      <c r="M11262"/>
      <c r="W11262"/>
    </row>
    <row r="11263" spans="10:23" x14ac:dyDescent="0.25">
      <c r="J11263"/>
      <c r="M11263"/>
      <c r="W11263"/>
    </row>
    <row r="11264" spans="10:23" x14ac:dyDescent="0.25">
      <c r="J11264"/>
      <c r="M11264"/>
      <c r="W11264"/>
    </row>
    <row r="11265" spans="10:23" x14ac:dyDescent="0.25">
      <c r="J11265"/>
      <c r="M11265"/>
      <c r="W11265"/>
    </row>
    <row r="11266" spans="10:23" x14ac:dyDescent="0.25">
      <c r="J11266"/>
      <c r="M11266"/>
      <c r="W11266"/>
    </row>
    <row r="11267" spans="10:23" x14ac:dyDescent="0.25">
      <c r="J11267"/>
      <c r="M11267"/>
      <c r="W11267"/>
    </row>
    <row r="11268" spans="10:23" x14ac:dyDescent="0.25">
      <c r="J11268"/>
      <c r="M11268"/>
      <c r="W11268"/>
    </row>
    <row r="11269" spans="10:23" x14ac:dyDescent="0.25">
      <c r="J11269"/>
      <c r="M11269"/>
      <c r="W11269"/>
    </row>
    <row r="11270" spans="10:23" x14ac:dyDescent="0.25">
      <c r="J11270"/>
      <c r="M11270"/>
      <c r="W11270"/>
    </row>
    <row r="11271" spans="10:23" x14ac:dyDescent="0.25">
      <c r="J11271"/>
      <c r="M11271"/>
      <c r="W11271"/>
    </row>
    <row r="11272" spans="10:23" x14ac:dyDescent="0.25">
      <c r="J11272"/>
      <c r="M11272"/>
      <c r="W11272"/>
    </row>
    <row r="11273" spans="10:23" x14ac:dyDescent="0.25">
      <c r="J11273"/>
      <c r="M11273"/>
      <c r="W11273"/>
    </row>
    <row r="11274" spans="10:23" x14ac:dyDescent="0.25">
      <c r="J11274"/>
      <c r="M11274"/>
      <c r="W11274"/>
    </row>
    <row r="11275" spans="10:23" x14ac:dyDescent="0.25">
      <c r="J11275"/>
      <c r="M11275"/>
      <c r="W11275"/>
    </row>
    <row r="11276" spans="10:23" x14ac:dyDescent="0.25">
      <c r="J11276"/>
      <c r="M11276"/>
      <c r="W11276"/>
    </row>
    <row r="11277" spans="10:23" x14ac:dyDescent="0.25">
      <c r="J11277"/>
      <c r="M11277"/>
      <c r="W11277"/>
    </row>
    <row r="11278" spans="10:23" x14ac:dyDescent="0.25">
      <c r="J11278"/>
      <c r="M11278"/>
      <c r="W11278"/>
    </row>
    <row r="11279" spans="10:23" x14ac:dyDescent="0.25">
      <c r="J11279"/>
      <c r="M11279"/>
      <c r="W11279"/>
    </row>
    <row r="11280" spans="10:23" x14ac:dyDescent="0.25">
      <c r="J11280"/>
      <c r="M11280"/>
      <c r="W11280"/>
    </row>
    <row r="11281" spans="10:23" x14ac:dyDescent="0.25">
      <c r="J11281"/>
      <c r="M11281"/>
      <c r="W11281"/>
    </row>
    <row r="11282" spans="10:23" x14ac:dyDescent="0.25">
      <c r="J11282"/>
      <c r="M11282"/>
      <c r="W11282"/>
    </row>
    <row r="11283" spans="10:23" x14ac:dyDescent="0.25">
      <c r="J11283"/>
      <c r="M11283"/>
      <c r="W11283"/>
    </row>
    <row r="11284" spans="10:23" x14ac:dyDescent="0.25">
      <c r="J11284"/>
      <c r="M11284"/>
      <c r="W11284"/>
    </row>
    <row r="11285" spans="10:23" x14ac:dyDescent="0.25">
      <c r="J11285"/>
      <c r="M11285"/>
      <c r="W11285"/>
    </row>
    <row r="11286" spans="10:23" x14ac:dyDescent="0.25">
      <c r="J11286"/>
      <c r="M11286"/>
      <c r="W11286"/>
    </row>
    <row r="11287" spans="10:23" x14ac:dyDescent="0.25">
      <c r="J11287"/>
      <c r="M11287"/>
      <c r="W11287"/>
    </row>
    <row r="11288" spans="10:23" x14ac:dyDescent="0.25">
      <c r="J11288"/>
      <c r="M11288"/>
      <c r="W11288"/>
    </row>
    <row r="11289" spans="10:23" x14ac:dyDescent="0.25">
      <c r="J11289"/>
      <c r="M11289"/>
      <c r="W11289"/>
    </row>
    <row r="11290" spans="10:23" x14ac:dyDescent="0.25">
      <c r="J11290"/>
      <c r="M11290"/>
      <c r="W11290"/>
    </row>
    <row r="11291" spans="10:23" x14ac:dyDescent="0.25">
      <c r="J11291"/>
      <c r="M11291"/>
      <c r="W11291"/>
    </row>
    <row r="11292" spans="10:23" x14ac:dyDescent="0.25">
      <c r="J11292"/>
      <c r="M11292"/>
      <c r="W11292"/>
    </row>
    <row r="11293" spans="10:23" x14ac:dyDescent="0.25">
      <c r="J11293"/>
      <c r="M11293"/>
      <c r="W11293"/>
    </row>
    <row r="11294" spans="10:23" x14ac:dyDescent="0.25">
      <c r="J11294"/>
      <c r="M11294"/>
      <c r="W11294"/>
    </row>
    <row r="11295" spans="10:23" x14ac:dyDescent="0.25">
      <c r="J11295"/>
      <c r="M11295"/>
      <c r="W11295"/>
    </row>
    <row r="11296" spans="10:23" x14ac:dyDescent="0.25">
      <c r="J11296"/>
      <c r="M11296"/>
      <c r="W11296"/>
    </row>
    <row r="11297" spans="10:23" x14ac:dyDescent="0.25">
      <c r="J11297"/>
      <c r="M11297"/>
      <c r="W11297"/>
    </row>
    <row r="11298" spans="10:23" x14ac:dyDescent="0.25">
      <c r="J11298"/>
      <c r="M11298"/>
      <c r="W11298"/>
    </row>
    <row r="11299" spans="10:23" x14ac:dyDescent="0.25">
      <c r="J11299"/>
      <c r="M11299"/>
      <c r="W11299"/>
    </row>
    <row r="11300" spans="10:23" x14ac:dyDescent="0.25">
      <c r="J11300"/>
      <c r="M11300"/>
      <c r="W11300"/>
    </row>
    <row r="11301" spans="10:23" x14ac:dyDescent="0.25">
      <c r="J11301"/>
      <c r="M11301"/>
      <c r="W11301"/>
    </row>
    <row r="11302" spans="10:23" x14ac:dyDescent="0.25">
      <c r="J11302"/>
      <c r="M11302"/>
      <c r="W11302"/>
    </row>
    <row r="11303" spans="10:23" x14ac:dyDescent="0.25">
      <c r="J11303"/>
      <c r="M11303"/>
      <c r="W11303"/>
    </row>
    <row r="11304" spans="10:23" x14ac:dyDescent="0.25">
      <c r="J11304"/>
      <c r="M11304"/>
      <c r="W11304"/>
    </row>
    <row r="11305" spans="10:23" x14ac:dyDescent="0.25">
      <c r="J11305"/>
      <c r="M11305"/>
      <c r="W11305"/>
    </row>
    <row r="11306" spans="10:23" x14ac:dyDescent="0.25">
      <c r="J11306"/>
      <c r="M11306"/>
      <c r="W11306"/>
    </row>
    <row r="11307" spans="10:23" x14ac:dyDescent="0.25">
      <c r="J11307"/>
      <c r="M11307"/>
      <c r="W11307"/>
    </row>
    <row r="11308" spans="10:23" x14ac:dyDescent="0.25">
      <c r="J11308"/>
      <c r="M11308"/>
      <c r="W11308"/>
    </row>
    <row r="11309" spans="10:23" x14ac:dyDescent="0.25">
      <c r="J11309"/>
      <c r="M11309"/>
      <c r="W11309"/>
    </row>
    <row r="11310" spans="10:23" x14ac:dyDescent="0.25">
      <c r="J11310"/>
      <c r="M11310"/>
      <c r="W11310"/>
    </row>
    <row r="11311" spans="10:23" x14ac:dyDescent="0.25">
      <c r="J11311"/>
      <c r="M11311"/>
      <c r="W11311"/>
    </row>
    <row r="11312" spans="10:23" x14ac:dyDescent="0.25">
      <c r="J11312"/>
      <c r="M11312"/>
      <c r="W11312"/>
    </row>
    <row r="11313" spans="10:23" x14ac:dyDescent="0.25">
      <c r="J11313"/>
      <c r="M11313"/>
      <c r="W11313"/>
    </row>
    <row r="11314" spans="10:23" x14ac:dyDescent="0.25">
      <c r="J11314"/>
      <c r="M11314"/>
      <c r="W11314"/>
    </row>
    <row r="11315" spans="10:23" x14ac:dyDescent="0.25">
      <c r="J11315"/>
      <c r="M11315"/>
      <c r="W11315"/>
    </row>
    <row r="11316" spans="10:23" x14ac:dyDescent="0.25">
      <c r="J11316"/>
      <c r="M11316"/>
      <c r="W11316"/>
    </row>
    <row r="11317" spans="10:23" x14ac:dyDescent="0.25">
      <c r="J11317"/>
      <c r="M11317"/>
      <c r="W11317"/>
    </row>
    <row r="11318" spans="10:23" x14ac:dyDescent="0.25">
      <c r="J11318"/>
      <c r="M11318"/>
      <c r="W11318"/>
    </row>
    <row r="11319" spans="10:23" x14ac:dyDescent="0.25">
      <c r="J11319"/>
      <c r="M11319"/>
      <c r="W11319"/>
    </row>
    <row r="11320" spans="10:23" x14ac:dyDescent="0.25">
      <c r="J11320"/>
      <c r="M11320"/>
      <c r="W11320"/>
    </row>
    <row r="11321" spans="10:23" x14ac:dyDescent="0.25">
      <c r="J11321"/>
      <c r="M11321"/>
      <c r="W11321"/>
    </row>
    <row r="11322" spans="10:23" x14ac:dyDescent="0.25">
      <c r="J11322"/>
      <c r="M11322"/>
      <c r="W11322"/>
    </row>
    <row r="11323" spans="10:23" x14ac:dyDescent="0.25">
      <c r="J11323"/>
      <c r="M11323"/>
      <c r="W11323"/>
    </row>
    <row r="11324" spans="10:23" x14ac:dyDescent="0.25">
      <c r="J11324"/>
      <c r="M11324"/>
      <c r="W11324"/>
    </row>
    <row r="11325" spans="10:23" x14ac:dyDescent="0.25">
      <c r="J11325"/>
      <c r="M11325"/>
      <c r="W11325"/>
    </row>
    <row r="11326" spans="10:23" x14ac:dyDescent="0.25">
      <c r="J11326"/>
      <c r="M11326"/>
      <c r="W11326"/>
    </row>
    <row r="11327" spans="10:23" x14ac:dyDescent="0.25">
      <c r="J11327"/>
      <c r="M11327"/>
      <c r="W11327"/>
    </row>
    <row r="11328" spans="10:23" x14ac:dyDescent="0.25">
      <c r="J11328"/>
      <c r="M11328"/>
      <c r="W11328"/>
    </row>
    <row r="11329" spans="10:23" x14ac:dyDescent="0.25">
      <c r="J11329"/>
      <c r="M11329"/>
      <c r="W11329"/>
    </row>
    <row r="11330" spans="10:23" x14ac:dyDescent="0.25">
      <c r="J11330"/>
      <c r="M11330"/>
      <c r="W11330"/>
    </row>
    <row r="11331" spans="10:23" x14ac:dyDescent="0.25">
      <c r="J11331"/>
      <c r="M11331"/>
      <c r="W11331"/>
    </row>
    <row r="11332" spans="10:23" x14ac:dyDescent="0.25">
      <c r="J11332"/>
      <c r="M11332"/>
      <c r="W11332"/>
    </row>
    <row r="11333" spans="10:23" x14ac:dyDescent="0.25">
      <c r="J11333"/>
      <c r="M11333"/>
      <c r="W11333"/>
    </row>
    <row r="11334" spans="10:23" x14ac:dyDescent="0.25">
      <c r="J11334"/>
      <c r="M11334"/>
      <c r="W11334"/>
    </row>
    <row r="11335" spans="10:23" x14ac:dyDescent="0.25">
      <c r="J11335"/>
      <c r="M11335"/>
      <c r="W11335"/>
    </row>
    <row r="11336" spans="10:23" x14ac:dyDescent="0.25">
      <c r="J11336"/>
      <c r="M11336"/>
      <c r="W11336"/>
    </row>
    <row r="11337" spans="10:23" x14ac:dyDescent="0.25">
      <c r="J11337"/>
      <c r="M11337"/>
      <c r="W11337"/>
    </row>
    <row r="11338" spans="10:23" x14ac:dyDescent="0.25">
      <c r="J11338"/>
      <c r="M11338"/>
      <c r="W11338"/>
    </row>
    <row r="11339" spans="10:23" x14ac:dyDescent="0.25">
      <c r="J11339"/>
      <c r="M11339"/>
      <c r="W11339"/>
    </row>
    <row r="11340" spans="10:23" x14ac:dyDescent="0.25">
      <c r="J11340"/>
      <c r="M11340"/>
      <c r="W11340"/>
    </row>
    <row r="11341" spans="10:23" x14ac:dyDescent="0.25">
      <c r="J11341"/>
      <c r="M11341"/>
      <c r="W11341"/>
    </row>
    <row r="11342" spans="10:23" x14ac:dyDescent="0.25">
      <c r="J11342"/>
      <c r="M11342"/>
      <c r="W11342"/>
    </row>
    <row r="11343" spans="10:23" x14ac:dyDescent="0.25">
      <c r="J11343"/>
      <c r="M11343"/>
      <c r="W11343"/>
    </row>
    <row r="11344" spans="10:23" x14ac:dyDescent="0.25">
      <c r="J11344"/>
      <c r="M11344"/>
      <c r="W11344"/>
    </row>
    <row r="11345" spans="10:23" x14ac:dyDescent="0.25">
      <c r="J11345"/>
      <c r="M11345"/>
      <c r="W11345"/>
    </row>
    <row r="11346" spans="10:23" x14ac:dyDescent="0.25">
      <c r="J11346"/>
      <c r="M11346"/>
      <c r="W11346"/>
    </row>
    <row r="11347" spans="10:23" x14ac:dyDescent="0.25">
      <c r="J11347"/>
      <c r="M11347"/>
      <c r="W11347"/>
    </row>
    <row r="11348" spans="10:23" x14ac:dyDescent="0.25">
      <c r="J11348"/>
      <c r="M11348"/>
      <c r="W11348"/>
    </row>
    <row r="11349" spans="10:23" x14ac:dyDescent="0.25">
      <c r="J11349"/>
      <c r="M11349"/>
      <c r="W11349"/>
    </row>
    <row r="11350" spans="10:23" x14ac:dyDescent="0.25">
      <c r="J11350"/>
      <c r="M11350"/>
      <c r="W11350"/>
    </row>
    <row r="11351" spans="10:23" x14ac:dyDescent="0.25">
      <c r="J11351"/>
      <c r="M11351"/>
      <c r="W11351"/>
    </row>
    <row r="11352" spans="10:23" x14ac:dyDescent="0.25">
      <c r="J11352"/>
      <c r="M11352"/>
      <c r="W11352"/>
    </row>
    <row r="11353" spans="10:23" x14ac:dyDescent="0.25">
      <c r="J11353"/>
      <c r="M11353"/>
      <c r="W11353"/>
    </row>
    <row r="11354" spans="10:23" x14ac:dyDescent="0.25">
      <c r="J11354"/>
      <c r="M11354"/>
      <c r="W11354"/>
    </row>
    <row r="11355" spans="10:23" x14ac:dyDescent="0.25">
      <c r="J11355"/>
      <c r="M11355"/>
      <c r="W11355"/>
    </row>
    <row r="11356" spans="10:23" x14ac:dyDescent="0.25">
      <c r="J11356"/>
      <c r="M11356"/>
      <c r="W11356"/>
    </row>
    <row r="11357" spans="10:23" x14ac:dyDescent="0.25">
      <c r="J11357"/>
      <c r="M11357"/>
      <c r="W11357"/>
    </row>
    <row r="11358" spans="10:23" x14ac:dyDescent="0.25">
      <c r="J11358"/>
      <c r="M11358"/>
      <c r="W11358"/>
    </row>
    <row r="11359" spans="10:23" x14ac:dyDescent="0.25">
      <c r="J11359"/>
      <c r="M11359"/>
      <c r="W11359"/>
    </row>
    <row r="11360" spans="10:23" x14ac:dyDescent="0.25">
      <c r="J11360"/>
      <c r="M11360"/>
      <c r="W11360"/>
    </row>
    <row r="11361" spans="10:23" x14ac:dyDescent="0.25">
      <c r="J11361"/>
      <c r="M11361"/>
      <c r="W11361"/>
    </row>
    <row r="11362" spans="10:23" x14ac:dyDescent="0.25">
      <c r="J11362"/>
      <c r="M11362"/>
      <c r="W11362"/>
    </row>
    <row r="11363" spans="10:23" x14ac:dyDescent="0.25">
      <c r="J11363"/>
      <c r="M11363"/>
      <c r="W11363"/>
    </row>
    <row r="11364" spans="10:23" x14ac:dyDescent="0.25">
      <c r="J11364"/>
      <c r="M11364"/>
      <c r="W11364"/>
    </row>
    <row r="11365" spans="10:23" x14ac:dyDescent="0.25">
      <c r="J11365"/>
      <c r="M11365"/>
      <c r="W11365"/>
    </row>
    <row r="11366" spans="10:23" x14ac:dyDescent="0.25">
      <c r="J11366"/>
      <c r="M11366"/>
      <c r="W11366"/>
    </row>
    <row r="11367" spans="10:23" x14ac:dyDescent="0.25">
      <c r="J11367"/>
      <c r="M11367"/>
      <c r="W11367"/>
    </row>
    <row r="11368" spans="10:23" x14ac:dyDescent="0.25">
      <c r="J11368"/>
      <c r="M11368"/>
      <c r="W11368"/>
    </row>
    <row r="11369" spans="10:23" x14ac:dyDescent="0.25">
      <c r="J11369"/>
      <c r="M11369"/>
      <c r="W11369"/>
    </row>
    <row r="11370" spans="10:23" x14ac:dyDescent="0.25">
      <c r="J11370"/>
      <c r="M11370"/>
      <c r="W11370"/>
    </row>
    <row r="11371" spans="10:23" x14ac:dyDescent="0.25">
      <c r="J11371"/>
      <c r="M11371"/>
      <c r="W11371"/>
    </row>
    <row r="11372" spans="10:23" x14ac:dyDescent="0.25">
      <c r="J11372"/>
      <c r="M11372"/>
      <c r="W11372"/>
    </row>
    <row r="11373" spans="10:23" x14ac:dyDescent="0.25">
      <c r="J11373"/>
      <c r="M11373"/>
      <c r="W11373"/>
    </row>
    <row r="11374" spans="10:23" x14ac:dyDescent="0.25">
      <c r="J11374"/>
      <c r="M11374"/>
      <c r="W11374"/>
    </row>
    <row r="11375" spans="10:23" x14ac:dyDescent="0.25">
      <c r="J11375"/>
      <c r="M11375"/>
      <c r="W11375"/>
    </row>
    <row r="11376" spans="10:23" x14ac:dyDescent="0.25">
      <c r="J11376"/>
      <c r="M11376"/>
      <c r="W11376"/>
    </row>
    <row r="11377" spans="10:23" x14ac:dyDescent="0.25">
      <c r="J11377"/>
      <c r="M11377"/>
      <c r="W11377"/>
    </row>
    <row r="11378" spans="10:23" x14ac:dyDescent="0.25">
      <c r="J11378"/>
      <c r="M11378"/>
      <c r="W11378"/>
    </row>
    <row r="11379" spans="10:23" x14ac:dyDescent="0.25">
      <c r="J11379"/>
      <c r="M11379"/>
      <c r="W11379"/>
    </row>
    <row r="11380" spans="10:23" x14ac:dyDescent="0.25">
      <c r="J11380"/>
      <c r="M11380"/>
      <c r="W11380"/>
    </row>
    <row r="11381" spans="10:23" x14ac:dyDescent="0.25">
      <c r="J11381"/>
      <c r="M11381"/>
      <c r="W11381"/>
    </row>
    <row r="11382" spans="10:23" x14ac:dyDescent="0.25">
      <c r="J11382"/>
      <c r="M11382"/>
      <c r="W11382"/>
    </row>
    <row r="11383" spans="10:23" x14ac:dyDescent="0.25">
      <c r="J11383"/>
      <c r="M11383"/>
      <c r="W11383"/>
    </row>
    <row r="11384" spans="10:23" x14ac:dyDescent="0.25">
      <c r="J11384"/>
      <c r="M11384"/>
      <c r="W11384"/>
    </row>
    <row r="11385" spans="10:23" x14ac:dyDescent="0.25">
      <c r="J11385"/>
      <c r="M11385"/>
      <c r="W11385"/>
    </row>
    <row r="11386" spans="10:23" x14ac:dyDescent="0.25">
      <c r="J11386"/>
      <c r="M11386"/>
      <c r="W11386"/>
    </row>
    <row r="11387" spans="10:23" x14ac:dyDescent="0.25">
      <c r="J11387"/>
      <c r="M11387"/>
      <c r="W11387"/>
    </row>
    <row r="11388" spans="10:23" x14ac:dyDescent="0.25">
      <c r="J11388"/>
      <c r="M11388"/>
      <c r="W11388"/>
    </row>
    <row r="11389" spans="10:23" x14ac:dyDescent="0.25">
      <c r="J11389"/>
      <c r="M11389"/>
      <c r="W11389"/>
    </row>
    <row r="11390" spans="10:23" x14ac:dyDescent="0.25">
      <c r="J11390"/>
      <c r="M11390"/>
      <c r="W11390"/>
    </row>
    <row r="11391" spans="10:23" x14ac:dyDescent="0.25">
      <c r="J11391"/>
      <c r="M11391"/>
      <c r="W11391"/>
    </row>
    <row r="11392" spans="10:23" x14ac:dyDescent="0.25">
      <c r="J11392"/>
      <c r="M11392"/>
      <c r="W11392"/>
    </row>
    <row r="11393" spans="10:23" x14ac:dyDescent="0.25">
      <c r="J11393"/>
      <c r="M11393"/>
      <c r="W11393"/>
    </row>
    <row r="11394" spans="10:23" x14ac:dyDescent="0.25">
      <c r="J11394"/>
      <c r="M11394"/>
      <c r="W11394"/>
    </row>
    <row r="11395" spans="10:23" x14ac:dyDescent="0.25">
      <c r="J11395"/>
      <c r="M11395"/>
      <c r="W11395"/>
    </row>
    <row r="11396" spans="10:23" x14ac:dyDescent="0.25">
      <c r="J11396"/>
      <c r="M11396"/>
      <c r="W11396"/>
    </row>
    <row r="11397" spans="10:23" x14ac:dyDescent="0.25">
      <c r="J11397"/>
      <c r="M11397"/>
      <c r="W11397"/>
    </row>
    <row r="11398" spans="10:23" x14ac:dyDescent="0.25">
      <c r="J11398"/>
      <c r="M11398"/>
      <c r="W11398"/>
    </row>
    <row r="11399" spans="10:23" x14ac:dyDescent="0.25">
      <c r="J11399"/>
      <c r="M11399"/>
      <c r="W11399"/>
    </row>
    <row r="11400" spans="10:23" x14ac:dyDescent="0.25">
      <c r="J11400"/>
      <c r="M11400"/>
      <c r="W11400"/>
    </row>
    <row r="11401" spans="10:23" x14ac:dyDescent="0.25">
      <c r="J11401"/>
      <c r="M11401"/>
      <c r="W11401"/>
    </row>
    <row r="11402" spans="10:23" x14ac:dyDescent="0.25">
      <c r="J11402"/>
      <c r="M11402"/>
      <c r="W11402"/>
    </row>
    <row r="11403" spans="10:23" x14ac:dyDescent="0.25">
      <c r="J11403"/>
      <c r="M11403"/>
      <c r="W11403"/>
    </row>
    <row r="11404" spans="10:23" x14ac:dyDescent="0.25">
      <c r="J11404"/>
      <c r="M11404"/>
      <c r="W11404"/>
    </row>
    <row r="11405" spans="10:23" x14ac:dyDescent="0.25">
      <c r="J11405"/>
      <c r="M11405"/>
      <c r="W11405"/>
    </row>
    <row r="11406" spans="10:23" x14ac:dyDescent="0.25">
      <c r="J11406"/>
      <c r="M11406"/>
      <c r="W11406"/>
    </row>
    <row r="11407" spans="10:23" x14ac:dyDescent="0.25">
      <c r="J11407"/>
      <c r="M11407"/>
      <c r="W11407"/>
    </row>
    <row r="11408" spans="10:23" x14ac:dyDescent="0.25">
      <c r="J11408"/>
      <c r="M11408"/>
      <c r="W11408"/>
    </row>
    <row r="11409" spans="10:23" x14ac:dyDescent="0.25">
      <c r="J11409"/>
      <c r="M11409"/>
      <c r="W11409"/>
    </row>
    <row r="11410" spans="10:23" x14ac:dyDescent="0.25">
      <c r="J11410"/>
      <c r="M11410"/>
      <c r="W11410"/>
    </row>
    <row r="11411" spans="10:23" x14ac:dyDescent="0.25">
      <c r="J11411"/>
      <c r="M11411"/>
      <c r="W11411"/>
    </row>
    <row r="11412" spans="10:23" x14ac:dyDescent="0.25">
      <c r="J11412"/>
      <c r="M11412"/>
      <c r="W11412"/>
    </row>
    <row r="11413" spans="10:23" x14ac:dyDescent="0.25">
      <c r="J11413"/>
      <c r="M11413"/>
      <c r="W11413"/>
    </row>
    <row r="11414" spans="10:23" x14ac:dyDescent="0.25">
      <c r="J11414"/>
      <c r="M11414"/>
      <c r="W11414"/>
    </row>
    <row r="11415" spans="10:23" x14ac:dyDescent="0.25">
      <c r="J11415"/>
      <c r="M11415"/>
      <c r="W11415"/>
    </row>
    <row r="11416" spans="10:23" x14ac:dyDescent="0.25">
      <c r="J11416"/>
      <c r="M11416"/>
      <c r="W11416"/>
    </row>
    <row r="11417" spans="10:23" x14ac:dyDescent="0.25">
      <c r="J11417"/>
      <c r="M11417"/>
      <c r="W11417"/>
    </row>
    <row r="11418" spans="10:23" x14ac:dyDescent="0.25">
      <c r="J11418"/>
      <c r="M11418"/>
      <c r="W11418"/>
    </row>
    <row r="11419" spans="10:23" x14ac:dyDescent="0.25">
      <c r="J11419"/>
      <c r="M11419"/>
      <c r="W11419"/>
    </row>
    <row r="11420" spans="10:23" x14ac:dyDescent="0.25">
      <c r="J11420"/>
      <c r="M11420"/>
      <c r="W11420"/>
    </row>
    <row r="11421" spans="10:23" x14ac:dyDescent="0.25">
      <c r="J11421"/>
      <c r="M11421"/>
      <c r="W11421"/>
    </row>
    <row r="11422" spans="10:23" x14ac:dyDescent="0.25">
      <c r="J11422"/>
      <c r="M11422"/>
      <c r="W11422"/>
    </row>
    <row r="11423" spans="10:23" x14ac:dyDescent="0.25">
      <c r="J11423"/>
      <c r="M11423"/>
      <c r="W11423"/>
    </row>
    <row r="11424" spans="10:23" x14ac:dyDescent="0.25">
      <c r="J11424"/>
      <c r="M11424"/>
      <c r="W11424"/>
    </row>
    <row r="11425" spans="10:23" x14ac:dyDescent="0.25">
      <c r="J11425"/>
      <c r="M11425"/>
      <c r="W11425"/>
    </row>
    <row r="11426" spans="10:23" x14ac:dyDescent="0.25">
      <c r="J11426"/>
      <c r="M11426"/>
      <c r="W11426"/>
    </row>
    <row r="11427" spans="10:23" x14ac:dyDescent="0.25">
      <c r="J11427"/>
      <c r="M11427"/>
      <c r="W11427"/>
    </row>
    <row r="11428" spans="10:23" x14ac:dyDescent="0.25">
      <c r="J11428"/>
      <c r="M11428"/>
      <c r="W11428"/>
    </row>
    <row r="11429" spans="10:23" x14ac:dyDescent="0.25">
      <c r="J11429"/>
      <c r="M11429"/>
      <c r="W11429"/>
    </row>
    <row r="11430" spans="10:23" x14ac:dyDescent="0.25">
      <c r="J11430"/>
      <c r="M11430"/>
      <c r="W11430"/>
    </row>
    <row r="11431" spans="10:23" x14ac:dyDescent="0.25">
      <c r="J11431"/>
      <c r="M11431"/>
      <c r="W11431"/>
    </row>
    <row r="11432" spans="10:23" x14ac:dyDescent="0.25">
      <c r="J11432"/>
      <c r="M11432"/>
      <c r="W11432"/>
    </row>
    <row r="11433" spans="10:23" x14ac:dyDescent="0.25">
      <c r="J11433"/>
      <c r="M11433"/>
      <c r="W11433"/>
    </row>
    <row r="11434" spans="10:23" x14ac:dyDescent="0.25">
      <c r="J11434"/>
      <c r="M11434"/>
      <c r="W11434"/>
    </row>
    <row r="11435" spans="10:23" x14ac:dyDescent="0.25">
      <c r="J11435"/>
      <c r="M11435"/>
      <c r="W11435"/>
    </row>
    <row r="11436" spans="10:23" x14ac:dyDescent="0.25">
      <c r="J11436"/>
      <c r="M11436"/>
      <c r="W11436"/>
    </row>
    <row r="11437" spans="10:23" x14ac:dyDescent="0.25">
      <c r="J11437"/>
      <c r="M11437"/>
      <c r="W11437"/>
    </row>
    <row r="11438" spans="10:23" x14ac:dyDescent="0.25">
      <c r="J11438"/>
      <c r="M11438"/>
      <c r="W11438"/>
    </row>
    <row r="11439" spans="10:23" x14ac:dyDescent="0.25">
      <c r="J11439"/>
      <c r="M11439"/>
      <c r="W11439"/>
    </row>
    <row r="11440" spans="10:23" x14ac:dyDescent="0.25">
      <c r="J11440"/>
      <c r="M11440"/>
      <c r="W11440"/>
    </row>
    <row r="11441" spans="10:23" x14ac:dyDescent="0.25">
      <c r="J11441"/>
      <c r="M11441"/>
      <c r="W11441"/>
    </row>
    <row r="11442" spans="10:23" x14ac:dyDescent="0.25">
      <c r="J11442"/>
      <c r="M11442"/>
      <c r="W11442"/>
    </row>
    <row r="11443" spans="10:23" x14ac:dyDescent="0.25">
      <c r="J11443"/>
      <c r="M11443"/>
      <c r="W11443"/>
    </row>
    <row r="11444" spans="10:23" x14ac:dyDescent="0.25">
      <c r="J11444"/>
      <c r="M11444"/>
      <c r="W11444"/>
    </row>
    <row r="11445" spans="10:23" x14ac:dyDescent="0.25">
      <c r="J11445"/>
      <c r="M11445"/>
      <c r="W11445"/>
    </row>
    <row r="11446" spans="10:23" x14ac:dyDescent="0.25">
      <c r="J11446"/>
      <c r="M11446"/>
      <c r="W11446"/>
    </row>
    <row r="11447" spans="10:23" x14ac:dyDescent="0.25">
      <c r="J11447"/>
      <c r="M11447"/>
      <c r="W11447"/>
    </row>
    <row r="11448" spans="10:23" x14ac:dyDescent="0.25">
      <c r="J11448"/>
      <c r="M11448"/>
      <c r="W11448"/>
    </row>
    <row r="11449" spans="10:23" x14ac:dyDescent="0.25">
      <c r="J11449"/>
      <c r="M11449"/>
      <c r="W11449"/>
    </row>
    <row r="11450" spans="10:23" x14ac:dyDescent="0.25">
      <c r="J11450"/>
      <c r="M11450"/>
      <c r="W11450"/>
    </row>
    <row r="11451" spans="10:23" x14ac:dyDescent="0.25">
      <c r="J11451"/>
      <c r="M11451"/>
      <c r="W11451"/>
    </row>
    <row r="11452" spans="10:23" x14ac:dyDescent="0.25">
      <c r="J11452"/>
      <c r="M11452"/>
      <c r="W11452"/>
    </row>
    <row r="11453" spans="10:23" x14ac:dyDescent="0.25">
      <c r="J11453"/>
      <c r="M11453"/>
      <c r="W11453"/>
    </row>
    <row r="11454" spans="10:23" x14ac:dyDescent="0.25">
      <c r="J11454"/>
      <c r="M11454"/>
      <c r="W11454"/>
    </row>
    <row r="11455" spans="10:23" x14ac:dyDescent="0.25">
      <c r="J11455"/>
      <c r="M11455"/>
      <c r="W11455"/>
    </row>
    <row r="11456" spans="10:23" x14ac:dyDescent="0.25">
      <c r="J11456"/>
      <c r="M11456"/>
      <c r="W11456"/>
    </row>
    <row r="11457" spans="10:23" x14ac:dyDescent="0.25">
      <c r="J11457"/>
      <c r="M11457"/>
      <c r="W11457"/>
    </row>
    <row r="11458" spans="10:23" x14ac:dyDescent="0.25">
      <c r="J11458"/>
      <c r="M11458"/>
      <c r="W11458"/>
    </row>
    <row r="11459" spans="10:23" x14ac:dyDescent="0.25">
      <c r="J11459"/>
      <c r="M11459"/>
      <c r="W11459"/>
    </row>
    <row r="11460" spans="10:23" x14ac:dyDescent="0.25">
      <c r="J11460"/>
      <c r="M11460"/>
      <c r="W11460"/>
    </row>
    <row r="11461" spans="10:23" x14ac:dyDescent="0.25">
      <c r="J11461"/>
      <c r="M11461"/>
      <c r="W11461"/>
    </row>
    <row r="11462" spans="10:23" x14ac:dyDescent="0.25">
      <c r="J11462"/>
      <c r="M11462"/>
      <c r="W11462"/>
    </row>
    <row r="11463" spans="10:23" x14ac:dyDescent="0.25">
      <c r="J11463"/>
      <c r="M11463"/>
      <c r="W11463"/>
    </row>
    <row r="11464" spans="10:23" x14ac:dyDescent="0.25">
      <c r="J11464"/>
      <c r="M11464"/>
      <c r="W11464"/>
    </row>
    <row r="11465" spans="10:23" x14ac:dyDescent="0.25">
      <c r="J11465"/>
      <c r="M11465"/>
      <c r="W11465"/>
    </row>
    <row r="11466" spans="10:23" x14ac:dyDescent="0.25">
      <c r="J11466"/>
      <c r="M11466"/>
      <c r="W11466"/>
    </row>
    <row r="11467" spans="10:23" x14ac:dyDescent="0.25">
      <c r="J11467"/>
      <c r="M11467"/>
      <c r="W11467"/>
    </row>
    <row r="11468" spans="10:23" x14ac:dyDescent="0.25">
      <c r="J11468"/>
      <c r="M11468"/>
      <c r="W11468"/>
    </row>
    <row r="11469" spans="10:23" x14ac:dyDescent="0.25">
      <c r="J11469"/>
      <c r="M11469"/>
      <c r="W11469"/>
    </row>
    <row r="11470" spans="10:23" x14ac:dyDescent="0.25">
      <c r="J11470"/>
      <c r="M11470"/>
      <c r="W11470"/>
    </row>
    <row r="11471" spans="10:23" x14ac:dyDescent="0.25">
      <c r="J11471"/>
      <c r="M11471"/>
      <c r="W11471"/>
    </row>
    <row r="11472" spans="10:23" x14ac:dyDescent="0.25">
      <c r="J11472"/>
      <c r="M11472"/>
      <c r="W11472"/>
    </row>
    <row r="11473" spans="10:23" x14ac:dyDescent="0.25">
      <c r="J11473"/>
      <c r="M11473"/>
      <c r="W11473"/>
    </row>
    <row r="11474" spans="10:23" x14ac:dyDescent="0.25">
      <c r="J11474"/>
      <c r="M11474"/>
      <c r="W11474"/>
    </row>
    <row r="11475" spans="10:23" x14ac:dyDescent="0.25">
      <c r="J11475"/>
      <c r="M11475"/>
      <c r="W11475"/>
    </row>
    <row r="11476" spans="10:23" x14ac:dyDescent="0.25">
      <c r="J11476"/>
      <c r="M11476"/>
      <c r="W11476"/>
    </row>
    <row r="11477" spans="10:23" x14ac:dyDescent="0.25">
      <c r="J11477"/>
      <c r="M11477"/>
      <c r="W11477"/>
    </row>
    <row r="11478" spans="10:23" x14ac:dyDescent="0.25">
      <c r="J11478"/>
      <c r="M11478"/>
      <c r="W11478"/>
    </row>
    <row r="11479" spans="10:23" x14ac:dyDescent="0.25">
      <c r="J11479"/>
      <c r="M11479"/>
      <c r="W11479"/>
    </row>
    <row r="11480" spans="10:23" x14ac:dyDescent="0.25">
      <c r="J11480"/>
      <c r="M11480"/>
      <c r="W11480"/>
    </row>
    <row r="11481" spans="10:23" x14ac:dyDescent="0.25">
      <c r="J11481"/>
      <c r="M11481"/>
      <c r="W11481"/>
    </row>
    <row r="11482" spans="10:23" x14ac:dyDescent="0.25">
      <c r="J11482"/>
      <c r="M11482"/>
      <c r="W11482"/>
    </row>
    <row r="11483" spans="10:23" x14ac:dyDescent="0.25">
      <c r="J11483"/>
      <c r="M11483"/>
      <c r="W11483"/>
    </row>
    <row r="11484" spans="10:23" x14ac:dyDescent="0.25">
      <c r="J11484"/>
      <c r="M11484"/>
      <c r="W11484"/>
    </row>
    <row r="11485" spans="10:23" x14ac:dyDescent="0.25">
      <c r="J11485"/>
      <c r="M11485"/>
      <c r="W11485"/>
    </row>
    <row r="11486" spans="10:23" x14ac:dyDescent="0.25">
      <c r="J11486"/>
      <c r="M11486"/>
      <c r="W11486"/>
    </row>
    <row r="11487" spans="10:23" x14ac:dyDescent="0.25">
      <c r="J11487"/>
      <c r="M11487"/>
      <c r="W11487"/>
    </row>
    <row r="11488" spans="10:23" x14ac:dyDescent="0.25">
      <c r="J11488"/>
      <c r="M11488"/>
      <c r="W11488"/>
    </row>
    <row r="11489" spans="10:23" x14ac:dyDescent="0.25">
      <c r="J11489"/>
      <c r="M11489"/>
      <c r="W11489"/>
    </row>
    <row r="11490" spans="10:23" x14ac:dyDescent="0.25">
      <c r="J11490"/>
      <c r="M11490"/>
      <c r="W11490"/>
    </row>
    <row r="11491" spans="10:23" x14ac:dyDescent="0.25">
      <c r="J11491"/>
      <c r="M11491"/>
      <c r="W11491"/>
    </row>
    <row r="11492" spans="10:23" x14ac:dyDescent="0.25">
      <c r="J11492"/>
      <c r="M11492"/>
      <c r="W11492"/>
    </row>
    <row r="11493" spans="10:23" x14ac:dyDescent="0.25">
      <c r="J11493"/>
      <c r="M11493"/>
      <c r="W11493"/>
    </row>
    <row r="11494" spans="10:23" x14ac:dyDescent="0.25">
      <c r="J11494"/>
      <c r="M11494"/>
      <c r="W11494"/>
    </row>
    <row r="11495" spans="10:23" x14ac:dyDescent="0.25">
      <c r="J11495"/>
      <c r="M11495"/>
      <c r="W11495"/>
    </row>
    <row r="11496" spans="10:23" x14ac:dyDescent="0.25">
      <c r="J11496"/>
      <c r="M11496"/>
      <c r="W11496"/>
    </row>
    <row r="11497" spans="10:23" x14ac:dyDescent="0.25">
      <c r="J11497"/>
      <c r="M11497"/>
      <c r="W11497"/>
    </row>
    <row r="11498" spans="10:23" x14ac:dyDescent="0.25">
      <c r="J11498"/>
      <c r="M11498"/>
      <c r="W11498"/>
    </row>
    <row r="11499" spans="10:23" x14ac:dyDescent="0.25">
      <c r="J11499"/>
      <c r="M11499"/>
      <c r="W11499"/>
    </row>
    <row r="11500" spans="10:23" x14ac:dyDescent="0.25">
      <c r="J11500"/>
      <c r="M11500"/>
      <c r="W11500"/>
    </row>
    <row r="11501" spans="10:23" x14ac:dyDescent="0.25">
      <c r="J11501"/>
      <c r="M11501"/>
      <c r="W11501"/>
    </row>
    <row r="11502" spans="10:23" x14ac:dyDescent="0.25">
      <c r="J11502"/>
      <c r="M11502"/>
      <c r="W11502"/>
    </row>
    <row r="11503" spans="10:23" x14ac:dyDescent="0.25">
      <c r="J11503"/>
      <c r="M11503"/>
      <c r="W11503"/>
    </row>
    <row r="11504" spans="10:23" x14ac:dyDescent="0.25">
      <c r="J11504"/>
      <c r="M11504"/>
      <c r="W11504"/>
    </row>
    <row r="11505" spans="10:23" x14ac:dyDescent="0.25">
      <c r="J11505"/>
      <c r="M11505"/>
      <c r="W11505"/>
    </row>
    <row r="11506" spans="10:23" x14ac:dyDescent="0.25">
      <c r="J11506"/>
      <c r="M11506"/>
      <c r="W11506"/>
    </row>
    <row r="11507" spans="10:23" x14ac:dyDescent="0.25">
      <c r="J11507"/>
      <c r="M11507"/>
      <c r="W11507"/>
    </row>
    <row r="11508" spans="10:23" x14ac:dyDescent="0.25">
      <c r="J11508"/>
      <c r="M11508"/>
      <c r="W11508"/>
    </row>
    <row r="11509" spans="10:23" x14ac:dyDescent="0.25">
      <c r="J11509"/>
      <c r="M11509"/>
      <c r="W11509"/>
    </row>
    <row r="11510" spans="10:23" x14ac:dyDescent="0.25">
      <c r="J11510"/>
      <c r="M11510"/>
      <c r="W11510"/>
    </row>
    <row r="11511" spans="10:23" x14ac:dyDescent="0.25">
      <c r="J11511"/>
      <c r="M11511"/>
      <c r="W11511"/>
    </row>
    <row r="11512" spans="10:23" x14ac:dyDescent="0.25">
      <c r="J11512"/>
      <c r="M11512"/>
      <c r="W11512"/>
    </row>
    <row r="11513" spans="10:23" x14ac:dyDescent="0.25">
      <c r="J11513"/>
      <c r="M11513"/>
      <c r="W11513"/>
    </row>
    <row r="11514" spans="10:23" x14ac:dyDescent="0.25">
      <c r="J11514"/>
      <c r="M11514"/>
      <c r="W11514"/>
    </row>
    <row r="11515" spans="10:23" x14ac:dyDescent="0.25">
      <c r="J11515"/>
      <c r="M11515"/>
      <c r="W11515"/>
    </row>
    <row r="11516" spans="10:23" x14ac:dyDescent="0.25">
      <c r="J11516"/>
      <c r="M11516"/>
      <c r="W11516"/>
    </row>
    <row r="11517" spans="10:23" x14ac:dyDescent="0.25">
      <c r="J11517"/>
      <c r="M11517"/>
      <c r="W11517"/>
    </row>
    <row r="11518" spans="10:23" x14ac:dyDescent="0.25">
      <c r="J11518"/>
      <c r="M11518"/>
      <c r="W11518"/>
    </row>
    <row r="11519" spans="10:23" x14ac:dyDescent="0.25">
      <c r="J11519"/>
      <c r="M11519"/>
      <c r="W11519"/>
    </row>
    <row r="11520" spans="10:23" x14ac:dyDescent="0.25">
      <c r="J11520"/>
      <c r="M11520"/>
      <c r="W11520"/>
    </row>
    <row r="11521" spans="10:23" x14ac:dyDescent="0.25">
      <c r="J11521"/>
      <c r="M11521"/>
      <c r="W11521"/>
    </row>
    <row r="11522" spans="10:23" x14ac:dyDescent="0.25">
      <c r="J11522"/>
      <c r="M11522"/>
      <c r="W11522"/>
    </row>
    <row r="11523" spans="10:23" x14ac:dyDescent="0.25">
      <c r="J11523"/>
      <c r="M11523"/>
      <c r="W11523"/>
    </row>
    <row r="11524" spans="10:23" x14ac:dyDescent="0.25">
      <c r="J11524"/>
      <c r="M11524"/>
      <c r="W11524"/>
    </row>
    <row r="11525" spans="10:23" x14ac:dyDescent="0.25">
      <c r="J11525"/>
      <c r="M11525"/>
      <c r="W11525"/>
    </row>
    <row r="11526" spans="10:23" x14ac:dyDescent="0.25">
      <c r="J11526"/>
      <c r="M11526"/>
      <c r="W11526"/>
    </row>
    <row r="11527" spans="10:23" x14ac:dyDescent="0.25">
      <c r="J11527"/>
      <c r="M11527"/>
      <c r="W11527"/>
    </row>
    <row r="11528" spans="10:23" x14ac:dyDescent="0.25">
      <c r="J11528"/>
      <c r="M11528"/>
      <c r="W11528"/>
    </row>
    <row r="11529" spans="10:23" x14ac:dyDescent="0.25">
      <c r="J11529"/>
      <c r="M11529"/>
      <c r="W11529"/>
    </row>
    <row r="11530" spans="10:23" x14ac:dyDescent="0.25">
      <c r="J11530"/>
      <c r="M11530"/>
      <c r="W11530"/>
    </row>
    <row r="11531" spans="10:23" x14ac:dyDescent="0.25">
      <c r="J11531"/>
      <c r="M11531"/>
      <c r="W11531"/>
    </row>
    <row r="11532" spans="10:23" x14ac:dyDescent="0.25">
      <c r="J11532"/>
      <c r="M11532"/>
      <c r="W11532"/>
    </row>
    <row r="11533" spans="10:23" x14ac:dyDescent="0.25">
      <c r="J11533"/>
      <c r="M11533"/>
      <c r="W11533"/>
    </row>
    <row r="11534" spans="10:23" x14ac:dyDescent="0.25">
      <c r="J11534"/>
      <c r="M11534"/>
      <c r="W11534"/>
    </row>
    <row r="11535" spans="10:23" x14ac:dyDescent="0.25">
      <c r="J11535"/>
      <c r="M11535"/>
      <c r="W11535"/>
    </row>
    <row r="11536" spans="10:23" x14ac:dyDescent="0.25">
      <c r="J11536"/>
      <c r="M11536"/>
      <c r="W11536"/>
    </row>
    <row r="11537" spans="10:23" x14ac:dyDescent="0.25">
      <c r="J11537"/>
      <c r="M11537"/>
      <c r="W11537"/>
    </row>
    <row r="11538" spans="10:23" x14ac:dyDescent="0.25">
      <c r="J11538"/>
      <c r="M11538"/>
      <c r="W11538"/>
    </row>
    <row r="11539" spans="10:23" x14ac:dyDescent="0.25">
      <c r="J11539"/>
      <c r="M11539"/>
      <c r="W11539"/>
    </row>
    <row r="11540" spans="10:23" x14ac:dyDescent="0.25">
      <c r="J11540"/>
      <c r="M11540"/>
      <c r="W11540"/>
    </row>
    <row r="11541" spans="10:23" x14ac:dyDescent="0.25">
      <c r="J11541"/>
      <c r="M11541"/>
      <c r="W11541"/>
    </row>
    <row r="11542" spans="10:23" x14ac:dyDescent="0.25">
      <c r="J11542"/>
      <c r="M11542"/>
      <c r="W11542"/>
    </row>
    <row r="11543" spans="10:23" x14ac:dyDescent="0.25">
      <c r="J11543"/>
      <c r="M11543"/>
      <c r="W11543"/>
    </row>
    <row r="11544" spans="10:23" x14ac:dyDescent="0.25">
      <c r="J11544"/>
      <c r="M11544"/>
      <c r="W11544"/>
    </row>
    <row r="11545" spans="10:23" x14ac:dyDescent="0.25">
      <c r="J11545"/>
      <c r="M11545"/>
      <c r="W11545"/>
    </row>
    <row r="11546" spans="10:23" x14ac:dyDescent="0.25">
      <c r="J11546"/>
      <c r="M11546"/>
      <c r="W11546"/>
    </row>
    <row r="11547" spans="10:23" x14ac:dyDescent="0.25">
      <c r="J11547"/>
      <c r="M11547"/>
      <c r="W11547"/>
    </row>
    <row r="11548" spans="10:23" x14ac:dyDescent="0.25">
      <c r="J11548"/>
      <c r="M11548"/>
      <c r="W11548"/>
    </row>
    <row r="11549" spans="10:23" x14ac:dyDescent="0.25">
      <c r="J11549"/>
      <c r="M11549"/>
      <c r="W11549"/>
    </row>
    <row r="11550" spans="10:23" x14ac:dyDescent="0.25">
      <c r="J11550"/>
      <c r="M11550"/>
      <c r="W11550"/>
    </row>
    <row r="11551" spans="10:23" x14ac:dyDescent="0.25">
      <c r="J11551"/>
      <c r="M11551"/>
      <c r="W11551"/>
    </row>
    <row r="11552" spans="10:23" x14ac:dyDescent="0.25">
      <c r="J11552"/>
      <c r="M11552"/>
      <c r="W11552"/>
    </row>
    <row r="11553" spans="10:23" x14ac:dyDescent="0.25">
      <c r="J11553"/>
      <c r="M11553"/>
      <c r="W11553"/>
    </row>
    <row r="11554" spans="10:23" x14ac:dyDescent="0.25">
      <c r="J11554"/>
      <c r="M11554"/>
      <c r="W11554"/>
    </row>
    <row r="11555" spans="10:23" x14ac:dyDescent="0.25">
      <c r="J11555"/>
      <c r="M11555"/>
      <c r="W11555"/>
    </row>
    <row r="11556" spans="10:23" x14ac:dyDescent="0.25">
      <c r="J11556"/>
      <c r="M11556"/>
      <c r="W11556"/>
    </row>
    <row r="11557" spans="10:23" x14ac:dyDescent="0.25">
      <c r="J11557"/>
      <c r="M11557"/>
      <c r="W11557"/>
    </row>
    <row r="11558" spans="10:23" x14ac:dyDescent="0.25">
      <c r="J11558"/>
      <c r="M11558"/>
      <c r="W11558"/>
    </row>
    <row r="11559" spans="10:23" x14ac:dyDescent="0.25">
      <c r="J11559"/>
      <c r="M11559"/>
      <c r="W11559"/>
    </row>
    <row r="11560" spans="10:23" x14ac:dyDescent="0.25">
      <c r="J11560"/>
      <c r="M11560"/>
      <c r="W11560"/>
    </row>
    <row r="11561" spans="10:23" x14ac:dyDescent="0.25">
      <c r="J11561"/>
      <c r="M11561"/>
      <c r="W11561"/>
    </row>
    <row r="11562" spans="10:23" x14ac:dyDescent="0.25">
      <c r="J11562"/>
      <c r="M11562"/>
      <c r="W11562"/>
    </row>
    <row r="11563" spans="10:23" x14ac:dyDescent="0.25">
      <c r="J11563"/>
      <c r="M11563"/>
      <c r="W11563"/>
    </row>
    <row r="11564" spans="10:23" x14ac:dyDescent="0.25">
      <c r="J11564"/>
      <c r="M11564"/>
      <c r="W11564"/>
    </row>
    <row r="11565" spans="10:23" x14ac:dyDescent="0.25">
      <c r="J11565"/>
      <c r="M11565"/>
      <c r="W11565"/>
    </row>
    <row r="11566" spans="10:23" x14ac:dyDescent="0.25">
      <c r="J11566"/>
      <c r="M11566"/>
      <c r="W11566"/>
    </row>
    <row r="11567" spans="10:23" x14ac:dyDescent="0.25">
      <c r="J11567"/>
      <c r="M11567"/>
      <c r="W11567"/>
    </row>
    <row r="11568" spans="10:23" x14ac:dyDescent="0.25">
      <c r="J11568"/>
      <c r="M11568"/>
      <c r="W11568"/>
    </row>
    <row r="11569" spans="10:23" x14ac:dyDescent="0.25">
      <c r="J11569"/>
      <c r="M11569"/>
      <c r="W11569"/>
    </row>
    <row r="11570" spans="10:23" x14ac:dyDescent="0.25">
      <c r="J11570"/>
      <c r="M11570"/>
      <c r="W11570"/>
    </row>
    <row r="11571" spans="10:23" x14ac:dyDescent="0.25">
      <c r="J11571"/>
      <c r="M11571"/>
      <c r="W11571"/>
    </row>
    <row r="11572" spans="10:23" x14ac:dyDescent="0.25">
      <c r="J11572"/>
      <c r="M11572"/>
      <c r="W11572"/>
    </row>
    <row r="11573" spans="10:23" x14ac:dyDescent="0.25">
      <c r="J11573"/>
      <c r="M11573"/>
      <c r="W11573"/>
    </row>
    <row r="11574" spans="10:23" x14ac:dyDescent="0.25">
      <c r="J11574"/>
      <c r="M11574"/>
      <c r="W11574"/>
    </row>
    <row r="11575" spans="10:23" x14ac:dyDescent="0.25">
      <c r="J11575"/>
      <c r="M11575"/>
      <c r="W11575"/>
    </row>
    <row r="11576" spans="10:23" x14ac:dyDescent="0.25">
      <c r="J11576"/>
      <c r="M11576"/>
      <c r="W11576"/>
    </row>
    <row r="11577" spans="10:23" x14ac:dyDescent="0.25">
      <c r="J11577"/>
      <c r="M11577"/>
      <c r="W11577"/>
    </row>
    <row r="11578" spans="10:23" x14ac:dyDescent="0.25">
      <c r="J11578"/>
      <c r="M11578"/>
      <c r="W11578"/>
    </row>
    <row r="11579" spans="10:23" x14ac:dyDescent="0.25">
      <c r="J11579"/>
      <c r="M11579"/>
      <c r="W11579"/>
    </row>
    <row r="11580" spans="10:23" x14ac:dyDescent="0.25">
      <c r="J11580"/>
      <c r="M11580"/>
      <c r="W11580"/>
    </row>
    <row r="11581" spans="10:23" x14ac:dyDescent="0.25">
      <c r="J11581"/>
      <c r="M11581"/>
      <c r="W11581"/>
    </row>
    <row r="11582" spans="10:23" x14ac:dyDescent="0.25">
      <c r="J11582"/>
      <c r="M11582"/>
      <c r="W11582"/>
    </row>
    <row r="11583" spans="10:23" x14ac:dyDescent="0.25">
      <c r="J11583"/>
      <c r="M11583"/>
      <c r="W11583"/>
    </row>
    <row r="11584" spans="10:23" x14ac:dyDescent="0.25">
      <c r="J11584"/>
      <c r="M11584"/>
      <c r="W11584"/>
    </row>
    <row r="11585" spans="10:23" x14ac:dyDescent="0.25">
      <c r="J11585"/>
      <c r="M11585"/>
      <c r="W11585"/>
    </row>
    <row r="11586" spans="10:23" x14ac:dyDescent="0.25">
      <c r="J11586"/>
      <c r="M11586"/>
      <c r="W11586"/>
    </row>
    <row r="11587" spans="10:23" x14ac:dyDescent="0.25">
      <c r="J11587"/>
      <c r="M11587"/>
      <c r="W11587"/>
    </row>
    <row r="11588" spans="10:23" x14ac:dyDescent="0.25">
      <c r="J11588"/>
      <c r="M11588"/>
      <c r="W11588"/>
    </row>
    <row r="11589" spans="10:23" x14ac:dyDescent="0.25">
      <c r="J11589"/>
      <c r="M11589"/>
      <c r="W11589"/>
    </row>
    <row r="11590" spans="10:23" x14ac:dyDescent="0.25">
      <c r="J11590"/>
      <c r="M11590"/>
      <c r="W11590"/>
    </row>
    <row r="11591" spans="10:23" x14ac:dyDescent="0.25">
      <c r="J11591"/>
      <c r="M11591"/>
      <c r="W11591"/>
    </row>
    <row r="11592" spans="10:23" x14ac:dyDescent="0.25">
      <c r="J11592"/>
      <c r="M11592"/>
      <c r="W11592"/>
    </row>
    <row r="11593" spans="10:23" x14ac:dyDescent="0.25">
      <c r="J11593"/>
      <c r="M11593"/>
      <c r="W11593"/>
    </row>
    <row r="11594" spans="10:23" x14ac:dyDescent="0.25">
      <c r="J11594"/>
      <c r="M11594"/>
      <c r="W11594"/>
    </row>
    <row r="11595" spans="10:23" x14ac:dyDescent="0.25">
      <c r="J11595"/>
      <c r="M11595"/>
      <c r="W11595"/>
    </row>
    <row r="11596" spans="10:23" x14ac:dyDescent="0.25">
      <c r="J11596"/>
      <c r="M11596"/>
      <c r="W11596"/>
    </row>
    <row r="11597" spans="10:23" x14ac:dyDescent="0.25">
      <c r="J11597"/>
      <c r="M11597"/>
      <c r="W11597"/>
    </row>
    <row r="11598" spans="10:23" x14ac:dyDescent="0.25">
      <c r="J11598"/>
      <c r="M11598"/>
      <c r="W11598"/>
    </row>
    <row r="11599" spans="10:23" x14ac:dyDescent="0.25">
      <c r="J11599"/>
      <c r="M11599"/>
      <c r="W11599"/>
    </row>
    <row r="11600" spans="10:23" x14ac:dyDescent="0.25">
      <c r="J11600"/>
      <c r="M11600"/>
      <c r="W11600"/>
    </row>
    <row r="11601" spans="10:23" x14ac:dyDescent="0.25">
      <c r="J11601"/>
      <c r="M11601"/>
      <c r="W11601"/>
    </row>
    <row r="11602" spans="10:23" x14ac:dyDescent="0.25">
      <c r="J11602"/>
      <c r="M11602"/>
      <c r="W11602"/>
    </row>
    <row r="11603" spans="10:23" x14ac:dyDescent="0.25">
      <c r="J11603"/>
      <c r="M11603"/>
      <c r="W11603"/>
    </row>
    <row r="11604" spans="10:23" x14ac:dyDescent="0.25">
      <c r="J11604"/>
      <c r="M11604"/>
      <c r="W11604"/>
    </row>
    <row r="11605" spans="10:23" x14ac:dyDescent="0.25">
      <c r="J11605"/>
      <c r="M11605"/>
      <c r="W11605"/>
    </row>
    <row r="11606" spans="10:23" x14ac:dyDescent="0.25">
      <c r="J11606"/>
      <c r="M11606"/>
      <c r="W11606"/>
    </row>
    <row r="11607" spans="10:23" x14ac:dyDescent="0.25">
      <c r="J11607"/>
      <c r="M11607"/>
      <c r="W11607"/>
    </row>
    <row r="11608" spans="10:23" x14ac:dyDescent="0.25">
      <c r="J11608"/>
      <c r="M11608"/>
      <c r="W11608"/>
    </row>
    <row r="11609" spans="10:23" x14ac:dyDescent="0.25">
      <c r="J11609"/>
      <c r="M11609"/>
      <c r="W11609"/>
    </row>
    <row r="11610" spans="10:23" x14ac:dyDescent="0.25">
      <c r="J11610"/>
      <c r="M11610"/>
      <c r="W11610"/>
    </row>
    <row r="11611" spans="10:23" x14ac:dyDescent="0.25">
      <c r="J11611"/>
      <c r="M11611"/>
      <c r="W11611"/>
    </row>
    <row r="11612" spans="10:23" x14ac:dyDescent="0.25">
      <c r="J11612"/>
      <c r="M11612"/>
      <c r="W11612"/>
    </row>
    <row r="11613" spans="10:23" x14ac:dyDescent="0.25">
      <c r="J11613"/>
      <c r="M11613"/>
      <c r="W11613"/>
    </row>
    <row r="11614" spans="10:23" x14ac:dyDescent="0.25">
      <c r="J11614"/>
      <c r="M11614"/>
      <c r="W11614"/>
    </row>
    <row r="11615" spans="10:23" x14ac:dyDescent="0.25">
      <c r="J11615"/>
      <c r="M11615"/>
      <c r="W11615"/>
    </row>
    <row r="11616" spans="10:23" x14ac:dyDescent="0.25">
      <c r="J11616"/>
      <c r="M11616"/>
      <c r="W11616"/>
    </row>
    <row r="11617" spans="10:23" x14ac:dyDescent="0.25">
      <c r="J11617"/>
      <c r="M11617"/>
      <c r="W11617"/>
    </row>
    <row r="11618" spans="10:23" x14ac:dyDescent="0.25">
      <c r="J11618"/>
      <c r="M11618"/>
      <c r="W11618"/>
    </row>
    <row r="11619" spans="10:23" x14ac:dyDescent="0.25">
      <c r="J11619"/>
      <c r="M11619"/>
      <c r="W11619"/>
    </row>
    <row r="11620" spans="10:23" x14ac:dyDescent="0.25">
      <c r="J11620"/>
      <c r="M11620"/>
      <c r="W11620"/>
    </row>
    <row r="11621" spans="10:23" x14ac:dyDescent="0.25">
      <c r="J11621"/>
      <c r="M11621"/>
      <c r="W11621"/>
    </row>
    <row r="11622" spans="10:23" x14ac:dyDescent="0.25">
      <c r="J11622"/>
      <c r="M11622"/>
      <c r="W11622"/>
    </row>
    <row r="11623" spans="10:23" x14ac:dyDescent="0.25">
      <c r="J11623"/>
      <c r="M11623"/>
      <c r="W11623"/>
    </row>
    <row r="11624" spans="10:23" x14ac:dyDescent="0.25">
      <c r="J11624"/>
      <c r="M11624"/>
      <c r="W11624"/>
    </row>
    <row r="11625" spans="10:23" x14ac:dyDescent="0.25">
      <c r="J11625"/>
      <c r="M11625"/>
      <c r="W11625"/>
    </row>
    <row r="11626" spans="10:23" x14ac:dyDescent="0.25">
      <c r="J11626"/>
      <c r="M11626"/>
      <c r="W11626"/>
    </row>
    <row r="11627" spans="10:23" x14ac:dyDescent="0.25">
      <c r="J11627"/>
      <c r="M11627"/>
      <c r="W11627"/>
    </row>
    <row r="11628" spans="10:23" x14ac:dyDescent="0.25">
      <c r="J11628"/>
      <c r="M11628"/>
      <c r="W11628"/>
    </row>
    <row r="11629" spans="10:23" x14ac:dyDescent="0.25">
      <c r="J11629"/>
      <c r="M11629"/>
      <c r="W11629"/>
    </row>
    <row r="11630" spans="10:23" x14ac:dyDescent="0.25">
      <c r="J11630"/>
      <c r="M11630"/>
      <c r="W11630"/>
    </row>
    <row r="11631" spans="10:23" x14ac:dyDescent="0.25">
      <c r="J11631"/>
      <c r="M11631"/>
      <c r="W11631"/>
    </row>
    <row r="11632" spans="10:23" x14ac:dyDescent="0.25">
      <c r="J11632"/>
      <c r="M11632"/>
      <c r="W11632"/>
    </row>
    <row r="11633" spans="10:23" x14ac:dyDescent="0.25">
      <c r="J11633"/>
      <c r="M11633"/>
      <c r="W11633"/>
    </row>
    <row r="11634" spans="10:23" x14ac:dyDescent="0.25">
      <c r="J11634"/>
      <c r="M11634"/>
      <c r="W11634"/>
    </row>
    <row r="11635" spans="10:23" x14ac:dyDescent="0.25">
      <c r="J11635"/>
      <c r="M11635"/>
      <c r="W11635"/>
    </row>
    <row r="11636" spans="10:23" x14ac:dyDescent="0.25">
      <c r="J11636"/>
      <c r="M11636"/>
      <c r="W11636"/>
    </row>
    <row r="11637" spans="10:23" x14ac:dyDescent="0.25">
      <c r="J11637"/>
      <c r="M11637"/>
      <c r="W11637"/>
    </row>
    <row r="11638" spans="10:23" x14ac:dyDescent="0.25">
      <c r="J11638"/>
      <c r="M11638"/>
      <c r="W11638"/>
    </row>
    <row r="11639" spans="10:23" x14ac:dyDescent="0.25">
      <c r="J11639"/>
      <c r="M11639"/>
      <c r="W11639"/>
    </row>
    <row r="11640" spans="10:23" x14ac:dyDescent="0.25">
      <c r="J11640"/>
      <c r="M11640"/>
      <c r="W11640"/>
    </row>
    <row r="11641" spans="10:23" x14ac:dyDescent="0.25">
      <c r="J11641"/>
      <c r="M11641"/>
      <c r="W11641"/>
    </row>
    <row r="11642" spans="10:23" x14ac:dyDescent="0.25">
      <c r="J11642"/>
      <c r="M11642"/>
      <c r="W11642"/>
    </row>
    <row r="11643" spans="10:23" x14ac:dyDescent="0.25">
      <c r="J11643"/>
      <c r="M11643"/>
      <c r="W11643"/>
    </row>
    <row r="11644" spans="10:23" x14ac:dyDescent="0.25">
      <c r="J11644"/>
      <c r="M11644"/>
      <c r="W11644"/>
    </row>
    <row r="11645" spans="10:23" x14ac:dyDescent="0.25">
      <c r="J11645"/>
      <c r="M11645"/>
      <c r="W11645"/>
    </row>
    <row r="11646" spans="10:23" x14ac:dyDescent="0.25">
      <c r="J11646"/>
      <c r="M11646"/>
      <c r="W11646"/>
    </row>
    <row r="11647" spans="10:23" x14ac:dyDescent="0.25">
      <c r="J11647"/>
      <c r="M11647"/>
      <c r="W11647"/>
    </row>
    <row r="11648" spans="10:23" x14ac:dyDescent="0.25">
      <c r="J11648"/>
      <c r="M11648"/>
      <c r="W11648"/>
    </row>
    <row r="11649" spans="10:23" x14ac:dyDescent="0.25">
      <c r="J11649"/>
      <c r="M11649"/>
      <c r="W11649"/>
    </row>
    <row r="11650" spans="10:23" x14ac:dyDescent="0.25">
      <c r="J11650"/>
      <c r="M11650"/>
      <c r="W11650"/>
    </row>
    <row r="11651" spans="10:23" x14ac:dyDescent="0.25">
      <c r="J11651"/>
      <c r="M11651"/>
      <c r="W11651"/>
    </row>
    <row r="11652" spans="10:23" x14ac:dyDescent="0.25">
      <c r="J11652"/>
      <c r="M11652"/>
      <c r="W11652"/>
    </row>
    <row r="11653" spans="10:23" x14ac:dyDescent="0.25">
      <c r="J11653"/>
      <c r="M11653"/>
      <c r="W11653"/>
    </row>
    <row r="11654" spans="10:23" x14ac:dyDescent="0.25">
      <c r="J11654"/>
      <c r="M11654"/>
      <c r="W11654"/>
    </row>
    <row r="11655" spans="10:23" x14ac:dyDescent="0.25">
      <c r="J11655"/>
      <c r="M11655"/>
      <c r="W11655"/>
    </row>
    <row r="11656" spans="10:23" x14ac:dyDescent="0.25">
      <c r="J11656"/>
      <c r="M11656"/>
      <c r="W11656"/>
    </row>
    <row r="11657" spans="10:23" x14ac:dyDescent="0.25">
      <c r="J11657"/>
      <c r="M11657"/>
      <c r="W11657"/>
    </row>
    <row r="11658" spans="10:23" x14ac:dyDescent="0.25">
      <c r="J11658"/>
      <c r="M11658"/>
      <c r="W11658"/>
    </row>
    <row r="11659" spans="10:23" x14ac:dyDescent="0.25">
      <c r="J11659"/>
      <c r="M11659"/>
      <c r="W11659"/>
    </row>
    <row r="11660" spans="10:23" x14ac:dyDescent="0.25">
      <c r="J11660"/>
      <c r="M11660"/>
      <c r="W11660"/>
    </row>
    <row r="11661" spans="10:23" x14ac:dyDescent="0.25">
      <c r="J11661"/>
      <c r="M11661"/>
      <c r="W11661"/>
    </row>
    <row r="11662" spans="10:23" x14ac:dyDescent="0.25">
      <c r="J11662"/>
      <c r="M11662"/>
      <c r="W11662"/>
    </row>
    <row r="11663" spans="10:23" x14ac:dyDescent="0.25">
      <c r="J11663"/>
      <c r="M11663"/>
      <c r="W11663"/>
    </row>
    <row r="11664" spans="10:23" x14ac:dyDescent="0.25">
      <c r="J11664"/>
      <c r="M11664"/>
      <c r="W11664"/>
    </row>
    <row r="11665" spans="10:23" x14ac:dyDescent="0.25">
      <c r="J11665"/>
      <c r="M11665"/>
      <c r="W11665"/>
    </row>
    <row r="11666" spans="10:23" x14ac:dyDescent="0.25">
      <c r="J11666"/>
      <c r="M11666"/>
      <c r="W11666"/>
    </row>
    <row r="11667" spans="10:23" x14ac:dyDescent="0.25">
      <c r="J11667"/>
      <c r="M11667"/>
      <c r="W11667"/>
    </row>
    <row r="11668" spans="10:23" x14ac:dyDescent="0.25">
      <c r="J11668"/>
      <c r="M11668"/>
      <c r="W11668"/>
    </row>
    <row r="11669" spans="10:23" x14ac:dyDescent="0.25">
      <c r="J11669"/>
      <c r="M11669"/>
      <c r="W11669"/>
    </row>
    <row r="11670" spans="10:23" x14ac:dyDescent="0.25">
      <c r="J11670"/>
      <c r="M11670"/>
      <c r="W11670"/>
    </row>
    <row r="11671" spans="10:23" x14ac:dyDescent="0.25">
      <c r="J11671"/>
      <c r="M11671"/>
      <c r="W11671"/>
    </row>
    <row r="11672" spans="10:23" x14ac:dyDescent="0.25">
      <c r="J11672"/>
      <c r="M11672"/>
      <c r="W11672"/>
    </row>
    <row r="11673" spans="10:23" x14ac:dyDescent="0.25">
      <c r="J11673"/>
      <c r="M11673"/>
      <c r="W11673"/>
    </row>
    <row r="11674" spans="10:23" x14ac:dyDescent="0.25">
      <c r="J11674"/>
      <c r="M11674"/>
      <c r="W11674"/>
    </row>
    <row r="11675" spans="10:23" x14ac:dyDescent="0.25">
      <c r="J11675"/>
      <c r="M11675"/>
      <c r="W11675"/>
    </row>
    <row r="11676" spans="10:23" x14ac:dyDescent="0.25">
      <c r="J11676"/>
      <c r="M11676"/>
      <c r="W11676"/>
    </row>
    <row r="11677" spans="10:23" x14ac:dyDescent="0.25">
      <c r="J11677"/>
      <c r="M11677"/>
      <c r="W11677"/>
    </row>
    <row r="11678" spans="10:23" x14ac:dyDescent="0.25">
      <c r="J11678"/>
      <c r="M11678"/>
      <c r="W11678"/>
    </row>
    <row r="11679" spans="10:23" x14ac:dyDescent="0.25">
      <c r="J11679"/>
      <c r="M11679"/>
      <c r="W11679"/>
    </row>
    <row r="11680" spans="10:23" x14ac:dyDescent="0.25">
      <c r="J11680"/>
      <c r="M11680"/>
      <c r="W11680"/>
    </row>
    <row r="11681" spans="10:23" x14ac:dyDescent="0.25">
      <c r="J11681"/>
      <c r="M11681"/>
      <c r="W11681"/>
    </row>
    <row r="11682" spans="10:23" x14ac:dyDescent="0.25">
      <c r="J11682"/>
      <c r="M11682"/>
      <c r="W11682"/>
    </row>
    <row r="11683" spans="10:23" x14ac:dyDescent="0.25">
      <c r="J11683"/>
      <c r="M11683"/>
      <c r="W11683"/>
    </row>
    <row r="11684" spans="10:23" x14ac:dyDescent="0.25">
      <c r="J11684"/>
      <c r="M11684"/>
      <c r="W11684"/>
    </row>
    <row r="11685" spans="10:23" x14ac:dyDescent="0.25">
      <c r="J11685"/>
      <c r="M11685"/>
      <c r="W11685"/>
    </row>
    <row r="11686" spans="10:23" x14ac:dyDescent="0.25">
      <c r="J11686"/>
      <c r="M11686"/>
      <c r="W11686"/>
    </row>
    <row r="11687" spans="10:23" x14ac:dyDescent="0.25">
      <c r="J11687"/>
      <c r="M11687"/>
      <c r="W11687"/>
    </row>
    <row r="11688" spans="10:23" x14ac:dyDescent="0.25">
      <c r="J11688"/>
      <c r="M11688"/>
      <c r="W11688"/>
    </row>
    <row r="11689" spans="10:23" x14ac:dyDescent="0.25">
      <c r="J11689"/>
      <c r="M11689"/>
      <c r="W11689"/>
    </row>
    <row r="11690" spans="10:23" x14ac:dyDescent="0.25">
      <c r="J11690"/>
      <c r="M11690"/>
      <c r="W11690"/>
    </row>
    <row r="11691" spans="10:23" x14ac:dyDescent="0.25">
      <c r="J11691"/>
      <c r="M11691"/>
      <c r="W11691"/>
    </row>
    <row r="11692" spans="10:23" x14ac:dyDescent="0.25">
      <c r="J11692"/>
      <c r="M11692"/>
      <c r="W11692"/>
    </row>
    <row r="11693" spans="10:23" x14ac:dyDescent="0.25">
      <c r="J11693"/>
      <c r="M11693"/>
      <c r="W11693"/>
    </row>
    <row r="11694" spans="10:23" x14ac:dyDescent="0.25">
      <c r="J11694"/>
      <c r="M11694"/>
      <c r="W11694"/>
    </row>
    <row r="11695" spans="10:23" x14ac:dyDescent="0.25">
      <c r="J11695"/>
      <c r="M11695"/>
      <c r="W11695"/>
    </row>
    <row r="11696" spans="10:23" x14ac:dyDescent="0.25">
      <c r="J11696"/>
      <c r="M11696"/>
      <c r="W11696"/>
    </row>
    <row r="11697" spans="10:23" x14ac:dyDescent="0.25">
      <c r="J11697"/>
      <c r="M11697"/>
      <c r="W11697"/>
    </row>
    <row r="11698" spans="10:23" x14ac:dyDescent="0.25">
      <c r="J11698"/>
      <c r="M11698"/>
      <c r="W11698"/>
    </row>
    <row r="11699" spans="10:23" x14ac:dyDescent="0.25">
      <c r="J11699"/>
      <c r="M11699"/>
      <c r="W11699"/>
    </row>
    <row r="11700" spans="10:23" x14ac:dyDescent="0.25">
      <c r="J11700"/>
      <c r="M11700"/>
      <c r="W11700"/>
    </row>
    <row r="11701" spans="10:23" x14ac:dyDescent="0.25">
      <c r="J11701"/>
      <c r="M11701"/>
      <c r="W11701"/>
    </row>
    <row r="11702" spans="10:23" x14ac:dyDescent="0.25">
      <c r="J11702"/>
      <c r="M11702"/>
      <c r="W11702"/>
    </row>
    <row r="11703" spans="10:23" x14ac:dyDescent="0.25">
      <c r="J11703"/>
      <c r="M11703"/>
      <c r="W11703"/>
    </row>
    <row r="11704" spans="10:23" x14ac:dyDescent="0.25">
      <c r="J11704"/>
      <c r="M11704"/>
      <c r="W11704"/>
    </row>
    <row r="11705" spans="10:23" x14ac:dyDescent="0.25">
      <c r="J11705"/>
      <c r="M11705"/>
      <c r="W11705"/>
    </row>
    <row r="11706" spans="10:23" x14ac:dyDescent="0.25">
      <c r="J11706"/>
      <c r="M11706"/>
      <c r="W11706"/>
    </row>
    <row r="11707" spans="10:23" x14ac:dyDescent="0.25">
      <c r="J11707"/>
      <c r="M11707"/>
      <c r="W11707"/>
    </row>
    <row r="11708" spans="10:23" x14ac:dyDescent="0.25">
      <c r="J11708"/>
      <c r="M11708"/>
      <c r="W11708"/>
    </row>
    <row r="11709" spans="10:23" x14ac:dyDescent="0.25">
      <c r="J11709"/>
      <c r="M11709"/>
      <c r="W11709"/>
    </row>
    <row r="11710" spans="10:23" x14ac:dyDescent="0.25">
      <c r="J11710"/>
      <c r="M11710"/>
      <c r="W11710"/>
    </row>
    <row r="11711" spans="10:23" x14ac:dyDescent="0.25">
      <c r="J11711"/>
      <c r="M11711"/>
      <c r="W11711"/>
    </row>
    <row r="11712" spans="10:23" x14ac:dyDescent="0.25">
      <c r="J11712"/>
      <c r="M11712"/>
      <c r="W11712"/>
    </row>
    <row r="11713" spans="10:23" x14ac:dyDescent="0.25">
      <c r="J11713"/>
      <c r="M11713"/>
      <c r="W11713"/>
    </row>
    <row r="11714" spans="10:23" x14ac:dyDescent="0.25">
      <c r="J11714"/>
      <c r="M11714"/>
      <c r="W11714"/>
    </row>
    <row r="11715" spans="10:23" x14ac:dyDescent="0.25">
      <c r="J11715"/>
      <c r="M11715"/>
      <c r="W11715"/>
    </row>
    <row r="11716" spans="10:23" x14ac:dyDescent="0.25">
      <c r="J11716"/>
      <c r="M11716"/>
      <c r="W11716"/>
    </row>
    <row r="11717" spans="10:23" x14ac:dyDescent="0.25">
      <c r="J11717"/>
      <c r="M11717"/>
      <c r="W11717"/>
    </row>
    <row r="11718" spans="10:23" x14ac:dyDescent="0.25">
      <c r="J11718"/>
      <c r="M11718"/>
      <c r="W11718"/>
    </row>
    <row r="11719" spans="10:23" x14ac:dyDescent="0.25">
      <c r="J11719"/>
      <c r="M11719"/>
      <c r="W11719"/>
    </row>
    <row r="11720" spans="10:23" x14ac:dyDescent="0.25">
      <c r="J11720"/>
      <c r="M11720"/>
      <c r="W11720"/>
    </row>
    <row r="11721" spans="10:23" x14ac:dyDescent="0.25">
      <c r="J11721"/>
      <c r="M11721"/>
      <c r="W11721"/>
    </row>
    <row r="11722" spans="10:23" x14ac:dyDescent="0.25">
      <c r="J11722"/>
      <c r="M11722"/>
      <c r="W11722"/>
    </row>
    <row r="11723" spans="10:23" x14ac:dyDescent="0.25">
      <c r="J11723"/>
      <c r="M11723"/>
      <c r="W11723"/>
    </row>
    <row r="11724" spans="10:23" x14ac:dyDescent="0.25">
      <c r="J11724"/>
      <c r="M11724"/>
      <c r="W11724"/>
    </row>
    <row r="11725" spans="10:23" x14ac:dyDescent="0.25">
      <c r="J11725"/>
      <c r="M11725"/>
      <c r="W11725"/>
    </row>
    <row r="11726" spans="10:23" x14ac:dyDescent="0.25">
      <c r="J11726"/>
      <c r="M11726"/>
      <c r="W11726"/>
    </row>
    <row r="11727" spans="10:23" x14ac:dyDescent="0.25">
      <c r="J11727"/>
      <c r="M11727"/>
      <c r="W11727"/>
    </row>
    <row r="11728" spans="10:23" x14ac:dyDescent="0.25">
      <c r="J11728"/>
      <c r="M11728"/>
      <c r="W11728"/>
    </row>
    <row r="11729" spans="10:23" x14ac:dyDescent="0.25">
      <c r="J11729"/>
      <c r="M11729"/>
      <c r="W11729"/>
    </row>
    <row r="11730" spans="10:23" x14ac:dyDescent="0.25">
      <c r="J11730"/>
      <c r="M11730"/>
      <c r="W11730"/>
    </row>
    <row r="11731" spans="10:23" x14ac:dyDescent="0.25">
      <c r="J11731"/>
      <c r="M11731"/>
      <c r="W11731"/>
    </row>
    <row r="11732" spans="10:23" x14ac:dyDescent="0.25">
      <c r="J11732"/>
      <c r="M11732"/>
      <c r="W11732"/>
    </row>
    <row r="11733" spans="10:23" x14ac:dyDescent="0.25">
      <c r="J11733"/>
      <c r="M11733"/>
      <c r="W11733"/>
    </row>
    <row r="11734" spans="10:23" x14ac:dyDescent="0.25">
      <c r="J11734"/>
      <c r="M11734"/>
      <c r="W11734"/>
    </row>
    <row r="11735" spans="10:23" x14ac:dyDescent="0.25">
      <c r="J11735"/>
      <c r="M11735"/>
      <c r="W11735"/>
    </row>
    <row r="11736" spans="10:23" x14ac:dyDescent="0.25">
      <c r="J11736"/>
      <c r="M11736"/>
      <c r="W11736"/>
    </row>
    <row r="11737" spans="10:23" x14ac:dyDescent="0.25">
      <c r="J11737"/>
      <c r="M11737"/>
      <c r="W11737"/>
    </row>
    <row r="11738" spans="10:23" x14ac:dyDescent="0.25">
      <c r="J11738"/>
      <c r="M11738"/>
      <c r="W11738"/>
    </row>
    <row r="11739" spans="10:23" x14ac:dyDescent="0.25">
      <c r="J11739"/>
      <c r="M11739"/>
      <c r="W11739"/>
    </row>
    <row r="11740" spans="10:23" x14ac:dyDescent="0.25">
      <c r="J11740"/>
      <c r="M11740"/>
      <c r="W11740"/>
    </row>
    <row r="11741" spans="10:23" x14ac:dyDescent="0.25">
      <c r="J11741"/>
      <c r="M11741"/>
      <c r="W11741"/>
    </row>
    <row r="11742" spans="10:23" x14ac:dyDescent="0.25">
      <c r="J11742"/>
      <c r="M11742"/>
      <c r="W11742"/>
    </row>
    <row r="11743" spans="10:23" x14ac:dyDescent="0.25">
      <c r="J11743"/>
      <c r="M11743"/>
      <c r="W11743"/>
    </row>
    <row r="11744" spans="10:23" x14ac:dyDescent="0.25">
      <c r="J11744"/>
      <c r="M11744"/>
      <c r="W11744"/>
    </row>
    <row r="11745" spans="10:23" x14ac:dyDescent="0.25">
      <c r="J11745"/>
      <c r="M11745"/>
      <c r="W11745"/>
    </row>
    <row r="11746" spans="10:23" x14ac:dyDescent="0.25">
      <c r="J11746"/>
      <c r="M11746"/>
      <c r="W11746"/>
    </row>
    <row r="11747" spans="10:23" x14ac:dyDescent="0.25">
      <c r="J11747"/>
      <c r="M11747"/>
      <c r="W11747"/>
    </row>
    <row r="11748" spans="10:23" x14ac:dyDescent="0.25">
      <c r="J11748"/>
      <c r="M11748"/>
      <c r="W11748"/>
    </row>
    <row r="11749" spans="10:23" x14ac:dyDescent="0.25">
      <c r="J11749"/>
      <c r="M11749"/>
      <c r="W11749"/>
    </row>
    <row r="11750" spans="10:23" x14ac:dyDescent="0.25">
      <c r="J11750"/>
      <c r="M11750"/>
      <c r="W11750"/>
    </row>
    <row r="11751" spans="10:23" x14ac:dyDescent="0.25">
      <c r="J11751"/>
      <c r="M11751"/>
      <c r="W11751"/>
    </row>
    <row r="11752" spans="10:23" x14ac:dyDescent="0.25">
      <c r="J11752"/>
      <c r="M11752"/>
      <c r="W11752"/>
    </row>
    <row r="11753" spans="10:23" x14ac:dyDescent="0.25">
      <c r="J11753"/>
      <c r="M11753"/>
      <c r="W11753"/>
    </row>
    <row r="11754" spans="10:23" x14ac:dyDescent="0.25">
      <c r="J11754"/>
      <c r="M11754"/>
      <c r="W11754"/>
    </row>
    <row r="11755" spans="10:23" x14ac:dyDescent="0.25">
      <c r="J11755"/>
      <c r="M11755"/>
      <c r="W11755"/>
    </row>
    <row r="11756" spans="10:23" x14ac:dyDescent="0.25">
      <c r="J11756"/>
      <c r="M11756"/>
      <c r="W11756"/>
    </row>
    <row r="11757" spans="10:23" x14ac:dyDescent="0.25">
      <c r="J11757"/>
      <c r="M11757"/>
      <c r="W11757"/>
    </row>
    <row r="11758" spans="10:23" x14ac:dyDescent="0.25">
      <c r="J11758"/>
      <c r="M11758"/>
      <c r="W11758"/>
    </row>
    <row r="11759" spans="10:23" x14ac:dyDescent="0.25">
      <c r="J11759"/>
      <c r="M11759"/>
      <c r="W11759"/>
    </row>
    <row r="11760" spans="10:23" x14ac:dyDescent="0.25">
      <c r="J11760"/>
      <c r="M11760"/>
      <c r="W11760"/>
    </row>
    <row r="11761" spans="10:23" x14ac:dyDescent="0.25">
      <c r="J11761"/>
      <c r="M11761"/>
      <c r="W11761"/>
    </row>
    <row r="11762" spans="10:23" x14ac:dyDescent="0.25">
      <c r="J11762"/>
      <c r="M11762"/>
      <c r="W11762"/>
    </row>
    <row r="11763" spans="10:23" x14ac:dyDescent="0.25">
      <c r="J11763"/>
      <c r="M11763"/>
      <c r="W11763"/>
    </row>
    <row r="11764" spans="10:23" x14ac:dyDescent="0.25">
      <c r="J11764"/>
      <c r="M11764"/>
      <c r="W11764"/>
    </row>
    <row r="11765" spans="10:23" x14ac:dyDescent="0.25">
      <c r="J11765"/>
      <c r="M11765"/>
      <c r="W11765"/>
    </row>
    <row r="11766" spans="10:23" x14ac:dyDescent="0.25">
      <c r="J11766"/>
      <c r="M11766"/>
      <c r="W11766"/>
    </row>
    <row r="11767" spans="10:23" x14ac:dyDescent="0.25">
      <c r="J11767"/>
      <c r="M11767"/>
      <c r="W11767"/>
    </row>
    <row r="11768" spans="10:23" x14ac:dyDescent="0.25">
      <c r="J11768"/>
      <c r="M11768"/>
      <c r="W11768"/>
    </row>
    <row r="11769" spans="10:23" x14ac:dyDescent="0.25">
      <c r="J11769"/>
      <c r="M11769"/>
      <c r="W11769"/>
    </row>
    <row r="11770" spans="10:23" x14ac:dyDescent="0.25">
      <c r="J11770"/>
      <c r="M11770"/>
      <c r="W11770"/>
    </row>
    <row r="11771" spans="10:23" x14ac:dyDescent="0.25">
      <c r="J11771"/>
      <c r="M11771"/>
      <c r="W11771"/>
    </row>
    <row r="11772" spans="10:23" x14ac:dyDescent="0.25">
      <c r="J11772"/>
      <c r="M11772"/>
      <c r="W11772"/>
    </row>
    <row r="11773" spans="10:23" x14ac:dyDescent="0.25">
      <c r="J11773"/>
      <c r="M11773"/>
      <c r="W11773"/>
    </row>
    <row r="11774" spans="10:23" x14ac:dyDescent="0.25">
      <c r="J11774"/>
      <c r="M11774"/>
      <c r="W11774"/>
    </row>
    <row r="11775" spans="10:23" x14ac:dyDescent="0.25">
      <c r="J11775"/>
      <c r="M11775"/>
      <c r="W11775"/>
    </row>
    <row r="11776" spans="10:23" x14ac:dyDescent="0.25">
      <c r="J11776"/>
      <c r="M11776"/>
      <c r="W11776"/>
    </row>
    <row r="11777" spans="10:23" x14ac:dyDescent="0.25">
      <c r="J11777"/>
      <c r="M11777"/>
      <c r="W11777"/>
    </row>
    <row r="11778" spans="10:23" x14ac:dyDescent="0.25">
      <c r="J11778"/>
      <c r="M11778"/>
      <c r="W11778"/>
    </row>
    <row r="11779" spans="10:23" x14ac:dyDescent="0.25">
      <c r="J11779"/>
      <c r="M11779"/>
      <c r="W11779"/>
    </row>
    <row r="11780" spans="10:23" x14ac:dyDescent="0.25">
      <c r="J11780"/>
      <c r="M11780"/>
      <c r="W11780"/>
    </row>
    <row r="11781" spans="10:23" x14ac:dyDescent="0.25">
      <c r="J11781"/>
      <c r="M11781"/>
      <c r="W11781"/>
    </row>
    <row r="11782" spans="10:23" x14ac:dyDescent="0.25">
      <c r="J11782"/>
      <c r="M11782"/>
      <c r="W11782"/>
    </row>
    <row r="11783" spans="10:23" x14ac:dyDescent="0.25">
      <c r="J11783"/>
      <c r="M11783"/>
      <c r="W11783"/>
    </row>
    <row r="11784" spans="10:23" x14ac:dyDescent="0.25">
      <c r="J11784"/>
      <c r="M11784"/>
      <c r="W11784"/>
    </row>
    <row r="11785" spans="10:23" x14ac:dyDescent="0.25">
      <c r="J11785"/>
      <c r="M11785"/>
      <c r="W11785"/>
    </row>
    <row r="11786" spans="10:23" x14ac:dyDescent="0.25">
      <c r="J11786"/>
      <c r="M11786"/>
      <c r="W11786"/>
    </row>
    <row r="11787" spans="10:23" x14ac:dyDescent="0.25">
      <c r="J11787"/>
      <c r="M11787"/>
      <c r="W11787"/>
    </row>
    <row r="11788" spans="10:23" x14ac:dyDescent="0.25">
      <c r="J11788"/>
      <c r="M11788"/>
      <c r="W11788"/>
    </row>
    <row r="11789" spans="10:23" x14ac:dyDescent="0.25">
      <c r="J11789"/>
      <c r="M11789"/>
      <c r="W11789"/>
    </row>
    <row r="11790" spans="10:23" x14ac:dyDescent="0.25">
      <c r="J11790"/>
      <c r="M11790"/>
      <c r="W11790"/>
    </row>
    <row r="11791" spans="10:23" x14ac:dyDescent="0.25">
      <c r="J11791"/>
      <c r="M11791"/>
      <c r="W11791"/>
    </row>
    <row r="11792" spans="10:23" x14ac:dyDescent="0.25">
      <c r="J11792"/>
      <c r="M11792"/>
      <c r="W11792"/>
    </row>
    <row r="11793" spans="10:23" x14ac:dyDescent="0.25">
      <c r="J11793"/>
      <c r="M11793"/>
      <c r="W11793"/>
    </row>
    <row r="11794" spans="10:23" x14ac:dyDescent="0.25">
      <c r="J11794"/>
      <c r="M11794"/>
      <c r="W11794"/>
    </row>
    <row r="11795" spans="10:23" x14ac:dyDescent="0.25">
      <c r="J11795"/>
      <c r="M11795"/>
      <c r="W11795"/>
    </row>
    <row r="11796" spans="10:23" x14ac:dyDescent="0.25">
      <c r="J11796"/>
      <c r="M11796"/>
      <c r="W11796"/>
    </row>
    <row r="11797" spans="10:23" x14ac:dyDescent="0.25">
      <c r="J11797"/>
      <c r="M11797"/>
      <c r="W11797"/>
    </row>
    <row r="11798" spans="10:23" x14ac:dyDescent="0.25">
      <c r="J11798"/>
      <c r="M11798"/>
      <c r="W11798"/>
    </row>
    <row r="11799" spans="10:23" x14ac:dyDescent="0.25">
      <c r="J11799"/>
      <c r="M11799"/>
      <c r="W11799"/>
    </row>
    <row r="11800" spans="10:23" x14ac:dyDescent="0.25">
      <c r="J11800"/>
      <c r="M11800"/>
      <c r="W11800"/>
    </row>
    <row r="11801" spans="10:23" x14ac:dyDescent="0.25">
      <c r="J11801"/>
      <c r="M11801"/>
      <c r="W11801"/>
    </row>
    <row r="11802" spans="10:23" x14ac:dyDescent="0.25">
      <c r="J11802"/>
      <c r="M11802"/>
      <c r="W11802"/>
    </row>
    <row r="11803" spans="10:23" x14ac:dyDescent="0.25">
      <c r="J11803"/>
      <c r="M11803"/>
      <c r="W11803"/>
    </row>
    <row r="11804" spans="10:23" x14ac:dyDescent="0.25">
      <c r="J11804"/>
      <c r="M11804"/>
      <c r="W11804"/>
    </row>
    <row r="11805" spans="10:23" x14ac:dyDescent="0.25">
      <c r="J11805"/>
      <c r="M11805"/>
      <c r="W11805"/>
    </row>
    <row r="11806" spans="10:23" x14ac:dyDescent="0.25">
      <c r="J11806"/>
      <c r="M11806"/>
      <c r="W11806"/>
    </row>
    <row r="11807" spans="10:23" x14ac:dyDescent="0.25">
      <c r="J11807"/>
      <c r="M11807"/>
      <c r="W11807"/>
    </row>
    <row r="11808" spans="10:23" x14ac:dyDescent="0.25">
      <c r="J11808"/>
      <c r="M11808"/>
      <c r="W11808"/>
    </row>
    <row r="11809" spans="10:23" x14ac:dyDescent="0.25">
      <c r="J11809"/>
      <c r="M11809"/>
      <c r="W11809"/>
    </row>
    <row r="11810" spans="10:23" x14ac:dyDescent="0.25">
      <c r="J11810"/>
      <c r="M11810"/>
      <c r="W11810"/>
    </row>
    <row r="11811" spans="10:23" x14ac:dyDescent="0.25">
      <c r="J11811"/>
      <c r="M11811"/>
      <c r="W11811"/>
    </row>
    <row r="11812" spans="10:23" x14ac:dyDescent="0.25">
      <c r="J11812"/>
      <c r="M11812"/>
      <c r="W11812"/>
    </row>
    <row r="11813" spans="10:23" x14ac:dyDescent="0.25">
      <c r="J11813"/>
      <c r="M11813"/>
      <c r="W11813"/>
    </row>
    <row r="11814" spans="10:23" x14ac:dyDescent="0.25">
      <c r="J11814"/>
      <c r="M11814"/>
      <c r="W11814"/>
    </row>
    <row r="11815" spans="10:23" x14ac:dyDescent="0.25">
      <c r="J11815"/>
      <c r="M11815"/>
      <c r="W11815"/>
    </row>
    <row r="11816" spans="10:23" x14ac:dyDescent="0.25">
      <c r="J11816"/>
      <c r="M11816"/>
      <c r="W11816"/>
    </row>
    <row r="11817" spans="10:23" x14ac:dyDescent="0.25">
      <c r="J11817"/>
      <c r="M11817"/>
      <c r="W11817"/>
    </row>
    <row r="11818" spans="10:23" x14ac:dyDescent="0.25">
      <c r="J11818"/>
      <c r="M11818"/>
      <c r="W11818"/>
    </row>
    <row r="11819" spans="10:23" x14ac:dyDescent="0.25">
      <c r="J11819"/>
      <c r="M11819"/>
      <c r="W11819"/>
    </row>
    <row r="11820" spans="10:23" x14ac:dyDescent="0.25">
      <c r="J11820"/>
      <c r="M11820"/>
      <c r="W11820"/>
    </row>
    <row r="11821" spans="10:23" x14ac:dyDescent="0.25">
      <c r="J11821"/>
      <c r="M11821"/>
      <c r="W11821"/>
    </row>
    <row r="11822" spans="10:23" x14ac:dyDescent="0.25">
      <c r="J11822"/>
      <c r="M11822"/>
      <c r="W11822"/>
    </row>
    <row r="11823" spans="10:23" x14ac:dyDescent="0.25">
      <c r="J11823"/>
      <c r="M11823"/>
      <c r="W11823"/>
    </row>
    <row r="11824" spans="10:23" x14ac:dyDescent="0.25">
      <c r="J11824"/>
      <c r="M11824"/>
      <c r="W11824"/>
    </row>
    <row r="11825" spans="10:23" x14ac:dyDescent="0.25">
      <c r="J11825"/>
      <c r="M11825"/>
      <c r="W11825"/>
    </row>
    <row r="11826" spans="10:23" x14ac:dyDescent="0.25">
      <c r="J11826"/>
      <c r="M11826"/>
      <c r="W11826"/>
    </row>
    <row r="11827" spans="10:23" x14ac:dyDescent="0.25">
      <c r="J11827"/>
      <c r="M11827"/>
      <c r="W11827"/>
    </row>
    <row r="11828" spans="10:23" x14ac:dyDescent="0.25">
      <c r="J11828"/>
      <c r="M11828"/>
      <c r="W11828"/>
    </row>
    <row r="11829" spans="10:23" x14ac:dyDescent="0.25">
      <c r="J11829"/>
      <c r="M11829"/>
      <c r="W11829"/>
    </row>
    <row r="11830" spans="10:23" x14ac:dyDescent="0.25">
      <c r="J11830"/>
      <c r="M11830"/>
      <c r="W11830"/>
    </row>
    <row r="11831" spans="10:23" x14ac:dyDescent="0.25">
      <c r="J11831"/>
      <c r="M11831"/>
      <c r="W11831"/>
    </row>
    <row r="11832" spans="10:23" x14ac:dyDescent="0.25">
      <c r="J11832"/>
      <c r="M11832"/>
      <c r="W11832"/>
    </row>
    <row r="11833" spans="10:23" x14ac:dyDescent="0.25">
      <c r="J11833"/>
      <c r="M11833"/>
      <c r="W11833"/>
    </row>
    <row r="11834" spans="10:23" x14ac:dyDescent="0.25">
      <c r="J11834"/>
      <c r="M11834"/>
      <c r="W11834"/>
    </row>
    <row r="11835" spans="10:23" x14ac:dyDescent="0.25">
      <c r="J11835"/>
      <c r="M11835"/>
      <c r="W11835"/>
    </row>
    <row r="11836" spans="10:23" x14ac:dyDescent="0.25">
      <c r="J11836"/>
      <c r="M11836"/>
      <c r="W11836"/>
    </row>
    <row r="11837" spans="10:23" x14ac:dyDescent="0.25">
      <c r="J11837"/>
      <c r="M11837"/>
      <c r="W11837"/>
    </row>
    <row r="11838" spans="10:23" x14ac:dyDescent="0.25">
      <c r="J11838"/>
      <c r="M11838"/>
      <c r="W11838"/>
    </row>
    <row r="11839" spans="10:23" x14ac:dyDescent="0.25">
      <c r="J11839"/>
      <c r="M11839"/>
      <c r="W11839"/>
    </row>
    <row r="11840" spans="10:23" x14ac:dyDescent="0.25">
      <c r="J11840"/>
      <c r="M11840"/>
      <c r="W11840"/>
    </row>
    <row r="11841" spans="10:23" x14ac:dyDescent="0.25">
      <c r="J11841"/>
      <c r="M11841"/>
      <c r="W11841"/>
    </row>
    <row r="11842" spans="10:23" x14ac:dyDescent="0.25">
      <c r="J11842"/>
      <c r="M11842"/>
      <c r="W11842"/>
    </row>
    <row r="11843" spans="10:23" x14ac:dyDescent="0.25">
      <c r="J11843"/>
      <c r="M11843"/>
      <c r="W11843"/>
    </row>
    <row r="11844" spans="10:23" x14ac:dyDescent="0.25">
      <c r="J11844"/>
      <c r="M11844"/>
      <c r="W11844"/>
    </row>
    <row r="11845" spans="10:23" x14ac:dyDescent="0.25">
      <c r="J11845"/>
      <c r="M11845"/>
      <c r="W11845"/>
    </row>
    <row r="11846" spans="10:23" x14ac:dyDescent="0.25">
      <c r="J11846"/>
      <c r="M11846"/>
      <c r="W11846"/>
    </row>
    <row r="11847" spans="10:23" x14ac:dyDescent="0.25">
      <c r="J11847"/>
      <c r="M11847"/>
      <c r="W11847"/>
    </row>
    <row r="11848" spans="10:23" x14ac:dyDescent="0.25">
      <c r="J11848"/>
      <c r="M11848"/>
      <c r="W11848"/>
    </row>
    <row r="11849" spans="10:23" x14ac:dyDescent="0.25">
      <c r="J11849"/>
      <c r="M11849"/>
      <c r="W11849"/>
    </row>
    <row r="11850" spans="10:23" x14ac:dyDescent="0.25">
      <c r="J11850"/>
      <c r="M11850"/>
      <c r="W11850"/>
    </row>
    <row r="11851" spans="10:23" x14ac:dyDescent="0.25">
      <c r="J11851"/>
      <c r="M11851"/>
      <c r="W11851"/>
    </row>
    <row r="11852" spans="10:23" x14ac:dyDescent="0.25">
      <c r="J11852"/>
      <c r="M11852"/>
      <c r="W11852"/>
    </row>
    <row r="11853" spans="10:23" x14ac:dyDescent="0.25">
      <c r="J11853"/>
      <c r="M11853"/>
      <c r="W11853"/>
    </row>
    <row r="11854" spans="10:23" x14ac:dyDescent="0.25">
      <c r="J11854"/>
      <c r="M11854"/>
      <c r="W11854"/>
    </row>
    <row r="11855" spans="10:23" x14ac:dyDescent="0.25">
      <c r="J11855"/>
      <c r="M11855"/>
      <c r="W11855"/>
    </row>
    <row r="11856" spans="10:23" x14ac:dyDescent="0.25">
      <c r="J11856"/>
      <c r="M11856"/>
      <c r="W11856"/>
    </row>
    <row r="11857" spans="10:23" x14ac:dyDescent="0.25">
      <c r="J11857"/>
      <c r="M11857"/>
      <c r="W11857"/>
    </row>
    <row r="11858" spans="10:23" x14ac:dyDescent="0.25">
      <c r="J11858"/>
      <c r="M11858"/>
      <c r="W11858"/>
    </row>
    <row r="11859" spans="10:23" x14ac:dyDescent="0.25">
      <c r="J11859"/>
      <c r="M11859"/>
      <c r="W11859"/>
    </row>
    <row r="11860" spans="10:23" x14ac:dyDescent="0.25">
      <c r="J11860"/>
      <c r="M11860"/>
      <c r="W11860"/>
    </row>
    <row r="11861" spans="10:23" x14ac:dyDescent="0.25">
      <c r="J11861"/>
      <c r="M11861"/>
      <c r="W11861"/>
    </row>
    <row r="11862" spans="10:23" x14ac:dyDescent="0.25">
      <c r="J11862"/>
      <c r="M11862"/>
      <c r="W11862"/>
    </row>
    <row r="11863" spans="10:23" x14ac:dyDescent="0.25">
      <c r="J11863"/>
      <c r="M11863"/>
      <c r="W11863"/>
    </row>
    <row r="11864" spans="10:23" x14ac:dyDescent="0.25">
      <c r="J11864"/>
      <c r="M11864"/>
      <c r="W11864"/>
    </row>
    <row r="11865" spans="10:23" x14ac:dyDescent="0.25">
      <c r="J11865"/>
      <c r="M11865"/>
      <c r="W11865"/>
    </row>
    <row r="11866" spans="10:23" x14ac:dyDescent="0.25">
      <c r="J11866"/>
      <c r="M11866"/>
      <c r="W11866"/>
    </row>
    <row r="11867" spans="10:23" x14ac:dyDescent="0.25">
      <c r="J11867"/>
      <c r="M11867"/>
      <c r="W11867"/>
    </row>
    <row r="11868" spans="10:23" x14ac:dyDescent="0.25">
      <c r="J11868"/>
      <c r="M11868"/>
      <c r="W11868"/>
    </row>
    <row r="11869" spans="10:23" x14ac:dyDescent="0.25">
      <c r="J11869"/>
      <c r="M11869"/>
      <c r="W11869"/>
    </row>
    <row r="11870" spans="10:23" x14ac:dyDescent="0.25">
      <c r="J11870"/>
      <c r="M11870"/>
      <c r="W11870"/>
    </row>
    <row r="11871" spans="10:23" x14ac:dyDescent="0.25">
      <c r="J11871"/>
      <c r="M11871"/>
      <c r="W11871"/>
    </row>
    <row r="11872" spans="10:23" x14ac:dyDescent="0.25">
      <c r="J11872"/>
      <c r="M11872"/>
      <c r="W11872"/>
    </row>
    <row r="11873" spans="10:23" x14ac:dyDescent="0.25">
      <c r="J11873"/>
      <c r="M11873"/>
      <c r="W11873"/>
    </row>
    <row r="11874" spans="10:23" x14ac:dyDescent="0.25">
      <c r="J11874"/>
      <c r="M11874"/>
      <c r="W11874"/>
    </row>
    <row r="11875" spans="10:23" x14ac:dyDescent="0.25">
      <c r="J11875"/>
      <c r="M11875"/>
      <c r="W11875"/>
    </row>
    <row r="11876" spans="10:23" x14ac:dyDescent="0.25">
      <c r="J11876"/>
      <c r="M11876"/>
      <c r="W11876"/>
    </row>
    <row r="11877" spans="10:23" x14ac:dyDescent="0.25">
      <c r="J11877"/>
      <c r="M11877"/>
      <c r="W11877"/>
    </row>
    <row r="11878" spans="10:23" x14ac:dyDescent="0.25">
      <c r="J11878"/>
      <c r="M11878"/>
      <c r="W11878"/>
    </row>
    <row r="11879" spans="10:23" x14ac:dyDescent="0.25">
      <c r="J11879"/>
      <c r="M11879"/>
      <c r="W11879"/>
    </row>
    <row r="11880" spans="10:23" x14ac:dyDescent="0.25">
      <c r="J11880"/>
      <c r="M11880"/>
      <c r="W11880"/>
    </row>
    <row r="11881" spans="10:23" x14ac:dyDescent="0.25">
      <c r="J11881"/>
      <c r="M11881"/>
      <c r="W11881"/>
    </row>
    <row r="11882" spans="10:23" x14ac:dyDescent="0.25">
      <c r="J11882"/>
      <c r="M11882"/>
      <c r="W11882"/>
    </row>
    <row r="11883" spans="10:23" x14ac:dyDescent="0.25">
      <c r="J11883"/>
      <c r="M11883"/>
      <c r="W11883"/>
    </row>
    <row r="11884" spans="10:23" x14ac:dyDescent="0.25">
      <c r="J11884"/>
      <c r="M11884"/>
      <c r="W11884"/>
    </row>
    <row r="11885" spans="10:23" x14ac:dyDescent="0.25">
      <c r="J11885"/>
      <c r="M11885"/>
      <c r="W11885"/>
    </row>
    <row r="11886" spans="10:23" x14ac:dyDescent="0.25">
      <c r="J11886"/>
      <c r="M11886"/>
      <c r="W11886"/>
    </row>
    <row r="11887" spans="10:23" x14ac:dyDescent="0.25">
      <c r="J11887"/>
      <c r="M11887"/>
      <c r="W11887"/>
    </row>
    <row r="11888" spans="10:23" x14ac:dyDescent="0.25">
      <c r="J11888"/>
      <c r="M11888"/>
      <c r="W11888"/>
    </row>
    <row r="11889" spans="10:23" x14ac:dyDescent="0.25">
      <c r="J11889"/>
      <c r="M11889"/>
      <c r="W11889"/>
    </row>
    <row r="11890" spans="10:23" x14ac:dyDescent="0.25">
      <c r="J11890"/>
      <c r="M11890"/>
      <c r="W11890"/>
    </row>
    <row r="11891" spans="10:23" x14ac:dyDescent="0.25">
      <c r="J11891"/>
      <c r="M11891"/>
      <c r="W11891"/>
    </row>
    <row r="11892" spans="10:23" x14ac:dyDescent="0.25">
      <c r="J11892"/>
      <c r="M11892"/>
      <c r="W11892"/>
    </row>
    <row r="11893" spans="10:23" x14ac:dyDescent="0.25">
      <c r="J11893"/>
      <c r="M11893"/>
      <c r="W11893"/>
    </row>
    <row r="11894" spans="10:23" x14ac:dyDescent="0.25">
      <c r="J11894"/>
      <c r="M11894"/>
      <c r="W11894"/>
    </row>
    <row r="11895" spans="10:23" x14ac:dyDescent="0.25">
      <c r="J11895"/>
      <c r="M11895"/>
      <c r="W11895"/>
    </row>
    <row r="11896" spans="10:23" x14ac:dyDescent="0.25">
      <c r="J11896"/>
      <c r="M11896"/>
      <c r="W11896"/>
    </row>
    <row r="11897" spans="10:23" x14ac:dyDescent="0.25">
      <c r="J11897"/>
      <c r="M11897"/>
      <c r="W11897"/>
    </row>
    <row r="11898" spans="10:23" x14ac:dyDescent="0.25">
      <c r="J11898"/>
      <c r="M11898"/>
      <c r="W11898"/>
    </row>
    <row r="11899" spans="10:23" x14ac:dyDescent="0.25">
      <c r="J11899"/>
      <c r="M11899"/>
      <c r="W11899"/>
    </row>
    <row r="11900" spans="10:23" x14ac:dyDescent="0.25">
      <c r="J11900"/>
      <c r="M11900"/>
      <c r="W11900"/>
    </row>
    <row r="11901" spans="10:23" x14ac:dyDescent="0.25">
      <c r="J11901"/>
      <c r="M11901"/>
      <c r="W11901"/>
    </row>
    <row r="11902" spans="10:23" x14ac:dyDescent="0.25">
      <c r="J11902"/>
      <c r="M11902"/>
      <c r="W11902"/>
    </row>
    <row r="11903" spans="10:23" x14ac:dyDescent="0.25">
      <c r="J11903"/>
      <c r="M11903"/>
      <c r="W11903"/>
    </row>
    <row r="11904" spans="10:23" x14ac:dyDescent="0.25">
      <c r="J11904"/>
      <c r="M11904"/>
      <c r="W11904"/>
    </row>
    <row r="11905" spans="10:23" x14ac:dyDescent="0.25">
      <c r="J11905"/>
      <c r="M11905"/>
      <c r="W11905"/>
    </row>
    <row r="11906" spans="10:23" x14ac:dyDescent="0.25">
      <c r="J11906"/>
      <c r="M11906"/>
      <c r="W11906"/>
    </row>
    <row r="11907" spans="10:23" x14ac:dyDescent="0.25">
      <c r="J11907"/>
      <c r="M11907"/>
      <c r="W11907"/>
    </row>
    <row r="11908" spans="10:23" x14ac:dyDescent="0.25">
      <c r="J11908"/>
      <c r="M11908"/>
      <c r="W11908"/>
    </row>
    <row r="11909" spans="10:23" x14ac:dyDescent="0.25">
      <c r="J11909"/>
      <c r="M11909"/>
      <c r="W11909"/>
    </row>
    <row r="11910" spans="10:23" x14ac:dyDescent="0.25">
      <c r="J11910"/>
      <c r="M11910"/>
      <c r="W11910"/>
    </row>
    <row r="11911" spans="10:23" x14ac:dyDescent="0.25">
      <c r="J11911"/>
      <c r="M11911"/>
      <c r="W11911"/>
    </row>
    <row r="11912" spans="10:23" x14ac:dyDescent="0.25">
      <c r="J11912"/>
      <c r="M11912"/>
      <c r="W11912"/>
    </row>
    <row r="11913" spans="10:23" x14ac:dyDescent="0.25">
      <c r="J11913"/>
      <c r="M11913"/>
      <c r="W11913"/>
    </row>
    <row r="11914" spans="10:23" x14ac:dyDescent="0.25">
      <c r="J11914"/>
      <c r="M11914"/>
      <c r="W11914"/>
    </row>
    <row r="11915" spans="10:23" x14ac:dyDescent="0.25">
      <c r="J11915"/>
      <c r="M11915"/>
      <c r="W11915"/>
    </row>
    <row r="11916" spans="10:23" x14ac:dyDescent="0.25">
      <c r="J11916"/>
      <c r="M11916"/>
      <c r="W11916"/>
    </row>
    <row r="11917" spans="10:23" x14ac:dyDescent="0.25">
      <c r="J11917"/>
      <c r="M11917"/>
      <c r="W11917"/>
    </row>
    <row r="11918" spans="10:23" x14ac:dyDescent="0.25">
      <c r="J11918"/>
      <c r="M11918"/>
      <c r="W11918"/>
    </row>
    <row r="11919" spans="10:23" x14ac:dyDescent="0.25">
      <c r="J11919"/>
      <c r="M11919"/>
      <c r="W11919"/>
    </row>
    <row r="11920" spans="10:23" x14ac:dyDescent="0.25">
      <c r="J11920"/>
      <c r="M11920"/>
      <c r="W11920"/>
    </row>
    <row r="11921" spans="10:23" x14ac:dyDescent="0.25">
      <c r="J11921"/>
      <c r="M11921"/>
      <c r="W11921"/>
    </row>
    <row r="11922" spans="10:23" x14ac:dyDescent="0.25">
      <c r="J11922"/>
      <c r="M11922"/>
      <c r="W11922"/>
    </row>
    <row r="11923" spans="10:23" x14ac:dyDescent="0.25">
      <c r="J11923"/>
      <c r="M11923"/>
      <c r="W11923"/>
    </row>
    <row r="11924" spans="10:23" x14ac:dyDescent="0.25">
      <c r="J11924"/>
      <c r="M11924"/>
      <c r="W11924"/>
    </row>
    <row r="11925" spans="10:23" x14ac:dyDescent="0.25">
      <c r="J11925"/>
      <c r="M11925"/>
      <c r="W11925"/>
    </row>
    <row r="11926" spans="10:23" x14ac:dyDescent="0.25">
      <c r="J11926"/>
      <c r="M11926"/>
      <c r="W11926"/>
    </row>
    <row r="11927" spans="10:23" x14ac:dyDescent="0.25">
      <c r="J11927"/>
      <c r="M11927"/>
      <c r="W11927"/>
    </row>
    <row r="11928" spans="10:23" x14ac:dyDescent="0.25">
      <c r="J11928"/>
      <c r="M11928"/>
      <c r="W11928"/>
    </row>
    <row r="11929" spans="10:23" x14ac:dyDescent="0.25">
      <c r="J11929"/>
      <c r="M11929"/>
      <c r="W11929"/>
    </row>
    <row r="11930" spans="10:23" x14ac:dyDescent="0.25">
      <c r="J11930"/>
      <c r="M11930"/>
      <c r="W11930"/>
    </row>
    <row r="11931" spans="10:23" x14ac:dyDescent="0.25">
      <c r="J11931"/>
      <c r="M11931"/>
      <c r="W11931"/>
    </row>
    <row r="11932" spans="10:23" x14ac:dyDescent="0.25">
      <c r="J11932"/>
      <c r="M11932"/>
      <c r="W11932"/>
    </row>
    <row r="11933" spans="10:23" x14ac:dyDescent="0.25">
      <c r="J11933"/>
      <c r="M11933"/>
      <c r="W11933"/>
    </row>
    <row r="11934" spans="10:23" x14ac:dyDescent="0.25">
      <c r="J11934"/>
      <c r="M11934"/>
      <c r="W11934"/>
    </row>
    <row r="11935" spans="10:23" x14ac:dyDescent="0.25">
      <c r="J11935"/>
      <c r="M11935"/>
      <c r="W11935"/>
    </row>
    <row r="11936" spans="10:23" x14ac:dyDescent="0.25">
      <c r="J11936"/>
      <c r="M11936"/>
      <c r="W11936"/>
    </row>
    <row r="11937" spans="10:23" x14ac:dyDescent="0.25">
      <c r="J11937"/>
      <c r="M11937"/>
      <c r="W11937"/>
    </row>
    <row r="11938" spans="10:23" x14ac:dyDescent="0.25">
      <c r="J11938"/>
      <c r="M11938"/>
      <c r="W11938"/>
    </row>
    <row r="11939" spans="10:23" x14ac:dyDescent="0.25">
      <c r="J11939"/>
      <c r="M11939"/>
      <c r="W11939"/>
    </row>
    <row r="11940" spans="10:23" x14ac:dyDescent="0.25">
      <c r="J11940"/>
      <c r="M11940"/>
      <c r="W11940"/>
    </row>
    <row r="11941" spans="10:23" x14ac:dyDescent="0.25">
      <c r="J11941"/>
      <c r="M11941"/>
      <c r="W11941"/>
    </row>
    <row r="11942" spans="10:23" x14ac:dyDescent="0.25">
      <c r="J11942"/>
      <c r="M11942"/>
      <c r="W11942"/>
    </row>
    <row r="11943" spans="10:23" x14ac:dyDescent="0.25">
      <c r="J11943"/>
      <c r="M11943"/>
      <c r="W11943"/>
    </row>
    <row r="11944" spans="10:23" x14ac:dyDescent="0.25">
      <c r="J11944"/>
      <c r="M11944"/>
      <c r="W11944"/>
    </row>
    <row r="11945" spans="10:23" x14ac:dyDescent="0.25">
      <c r="J11945"/>
      <c r="M11945"/>
      <c r="W11945"/>
    </row>
    <row r="11946" spans="10:23" x14ac:dyDescent="0.25">
      <c r="J11946"/>
      <c r="M11946"/>
      <c r="W11946"/>
    </row>
    <row r="11947" spans="10:23" x14ac:dyDescent="0.25">
      <c r="J11947"/>
      <c r="M11947"/>
      <c r="W11947"/>
    </row>
    <row r="11948" spans="10:23" x14ac:dyDescent="0.25">
      <c r="J11948"/>
      <c r="M11948"/>
      <c r="W11948"/>
    </row>
    <row r="11949" spans="10:23" x14ac:dyDescent="0.25">
      <c r="J11949"/>
      <c r="M11949"/>
      <c r="W11949"/>
    </row>
    <row r="11950" spans="10:23" x14ac:dyDescent="0.25">
      <c r="J11950"/>
      <c r="M11950"/>
      <c r="W11950"/>
    </row>
    <row r="11951" spans="10:23" x14ac:dyDescent="0.25">
      <c r="J11951"/>
      <c r="M11951"/>
      <c r="W11951"/>
    </row>
    <row r="11952" spans="10:23" x14ac:dyDescent="0.25">
      <c r="J11952"/>
      <c r="M11952"/>
      <c r="W11952"/>
    </row>
    <row r="11953" spans="10:23" x14ac:dyDescent="0.25">
      <c r="J11953"/>
      <c r="M11953"/>
      <c r="W11953"/>
    </row>
    <row r="11954" spans="10:23" x14ac:dyDescent="0.25">
      <c r="J11954"/>
      <c r="M11954"/>
      <c r="W11954"/>
    </row>
    <row r="11955" spans="10:23" x14ac:dyDescent="0.25">
      <c r="J11955"/>
      <c r="M11955"/>
      <c r="W11955"/>
    </row>
    <row r="11956" spans="10:23" x14ac:dyDescent="0.25">
      <c r="J11956"/>
      <c r="M11956"/>
      <c r="W11956"/>
    </row>
    <row r="11957" spans="10:23" x14ac:dyDescent="0.25">
      <c r="J11957"/>
      <c r="M11957"/>
      <c r="W11957"/>
    </row>
    <row r="11958" spans="10:23" x14ac:dyDescent="0.25">
      <c r="J11958"/>
      <c r="M11958"/>
      <c r="W11958"/>
    </row>
    <row r="11959" spans="10:23" x14ac:dyDescent="0.25">
      <c r="J11959"/>
      <c r="M11959"/>
      <c r="W11959"/>
    </row>
    <row r="11960" spans="10:23" x14ac:dyDescent="0.25">
      <c r="J11960"/>
      <c r="M11960"/>
      <c r="W11960"/>
    </row>
    <row r="11961" spans="10:23" x14ac:dyDescent="0.25">
      <c r="J11961"/>
      <c r="M11961"/>
      <c r="W11961"/>
    </row>
    <row r="11962" spans="10:23" x14ac:dyDescent="0.25">
      <c r="J11962"/>
      <c r="M11962"/>
      <c r="W11962"/>
    </row>
    <row r="11963" spans="10:23" x14ac:dyDescent="0.25">
      <c r="J11963"/>
      <c r="M11963"/>
      <c r="W11963"/>
    </row>
    <row r="11964" spans="10:23" x14ac:dyDescent="0.25">
      <c r="J11964"/>
      <c r="M11964"/>
      <c r="W11964"/>
    </row>
    <row r="11965" spans="10:23" x14ac:dyDescent="0.25">
      <c r="J11965"/>
      <c r="M11965"/>
      <c r="W11965"/>
    </row>
    <row r="11966" spans="10:23" x14ac:dyDescent="0.25">
      <c r="J11966"/>
      <c r="M11966"/>
      <c r="W11966"/>
    </row>
    <row r="11967" spans="10:23" x14ac:dyDescent="0.25">
      <c r="J11967"/>
      <c r="M11967"/>
      <c r="W11967"/>
    </row>
    <row r="11968" spans="10:23" x14ac:dyDescent="0.25">
      <c r="J11968"/>
      <c r="M11968"/>
      <c r="W11968"/>
    </row>
    <row r="11969" spans="10:23" x14ac:dyDescent="0.25">
      <c r="J11969"/>
      <c r="M11969"/>
      <c r="W11969"/>
    </row>
    <row r="11970" spans="10:23" x14ac:dyDescent="0.25">
      <c r="J11970"/>
      <c r="M11970"/>
      <c r="W11970"/>
    </row>
    <row r="11971" spans="10:23" x14ac:dyDescent="0.25">
      <c r="J11971"/>
      <c r="M11971"/>
      <c r="W11971"/>
    </row>
    <row r="11972" spans="10:23" x14ac:dyDescent="0.25">
      <c r="J11972"/>
      <c r="M11972"/>
      <c r="W11972"/>
    </row>
    <row r="11973" spans="10:23" x14ac:dyDescent="0.25">
      <c r="J11973"/>
      <c r="M11973"/>
      <c r="W11973"/>
    </row>
    <row r="11974" spans="10:23" x14ac:dyDescent="0.25">
      <c r="J11974"/>
      <c r="M11974"/>
      <c r="W11974"/>
    </row>
    <row r="11975" spans="10:23" x14ac:dyDescent="0.25">
      <c r="J11975"/>
      <c r="M11975"/>
      <c r="W11975"/>
    </row>
    <row r="11976" spans="10:23" x14ac:dyDescent="0.25">
      <c r="J11976"/>
      <c r="M11976"/>
      <c r="W11976"/>
    </row>
    <row r="11977" spans="10:23" x14ac:dyDescent="0.25">
      <c r="J11977"/>
      <c r="M11977"/>
      <c r="W11977"/>
    </row>
    <row r="11978" spans="10:23" x14ac:dyDescent="0.25">
      <c r="J11978"/>
      <c r="M11978"/>
      <c r="W11978"/>
    </row>
    <row r="11979" spans="10:23" x14ac:dyDescent="0.25">
      <c r="J11979"/>
      <c r="M11979"/>
      <c r="W11979"/>
    </row>
    <row r="11980" spans="10:23" x14ac:dyDescent="0.25">
      <c r="J11980"/>
      <c r="M11980"/>
      <c r="W11980"/>
    </row>
    <row r="11981" spans="10:23" x14ac:dyDescent="0.25">
      <c r="J11981"/>
      <c r="M11981"/>
      <c r="W11981"/>
    </row>
    <row r="11982" spans="10:23" x14ac:dyDescent="0.25">
      <c r="J11982"/>
      <c r="M11982"/>
      <c r="W11982"/>
    </row>
    <row r="11983" spans="10:23" x14ac:dyDescent="0.25">
      <c r="J11983"/>
      <c r="M11983"/>
      <c r="W11983"/>
    </row>
    <row r="11984" spans="10:23" x14ac:dyDescent="0.25">
      <c r="J11984"/>
      <c r="M11984"/>
      <c r="W11984"/>
    </row>
    <row r="11985" spans="10:23" x14ac:dyDescent="0.25">
      <c r="J11985"/>
      <c r="M11985"/>
      <c r="W11985"/>
    </row>
    <row r="11986" spans="10:23" x14ac:dyDescent="0.25">
      <c r="J11986"/>
      <c r="M11986"/>
      <c r="W11986"/>
    </row>
    <row r="11987" spans="10:23" x14ac:dyDescent="0.25">
      <c r="J11987"/>
      <c r="M11987"/>
      <c r="W11987"/>
    </row>
    <row r="11988" spans="10:23" x14ac:dyDescent="0.25">
      <c r="J11988"/>
      <c r="M11988"/>
      <c r="W11988"/>
    </row>
    <row r="11989" spans="10:23" x14ac:dyDescent="0.25">
      <c r="J11989"/>
      <c r="M11989"/>
      <c r="W11989"/>
    </row>
    <row r="11990" spans="10:23" x14ac:dyDescent="0.25">
      <c r="J11990"/>
      <c r="M11990"/>
      <c r="W11990"/>
    </row>
    <row r="11991" spans="10:23" x14ac:dyDescent="0.25">
      <c r="J11991"/>
      <c r="M11991"/>
      <c r="W11991"/>
    </row>
    <row r="11992" spans="10:23" x14ac:dyDescent="0.25">
      <c r="J11992"/>
      <c r="M11992"/>
      <c r="W11992"/>
    </row>
    <row r="11993" spans="10:23" x14ac:dyDescent="0.25">
      <c r="J11993"/>
      <c r="M11993"/>
      <c r="W11993"/>
    </row>
    <row r="11994" spans="10:23" x14ac:dyDescent="0.25">
      <c r="J11994"/>
      <c r="M11994"/>
      <c r="W11994"/>
    </row>
    <row r="11995" spans="10:23" x14ac:dyDescent="0.25">
      <c r="J11995"/>
      <c r="M11995"/>
      <c r="W11995"/>
    </row>
    <row r="11996" spans="10:23" x14ac:dyDescent="0.25">
      <c r="J11996"/>
      <c r="M11996"/>
      <c r="W11996"/>
    </row>
    <row r="11997" spans="10:23" x14ac:dyDescent="0.25">
      <c r="J11997"/>
      <c r="M11997"/>
      <c r="W11997"/>
    </row>
    <row r="11998" spans="10:23" x14ac:dyDescent="0.25">
      <c r="J11998"/>
      <c r="M11998"/>
      <c r="W11998"/>
    </row>
    <row r="11999" spans="10:23" x14ac:dyDescent="0.25">
      <c r="J11999"/>
      <c r="M11999"/>
      <c r="W11999"/>
    </row>
    <row r="12000" spans="10:23" x14ac:dyDescent="0.25">
      <c r="J12000"/>
      <c r="M12000"/>
      <c r="W12000"/>
    </row>
    <row r="12001" spans="10:23" x14ac:dyDescent="0.25">
      <c r="J12001"/>
      <c r="M12001"/>
      <c r="W12001"/>
    </row>
    <row r="12002" spans="10:23" x14ac:dyDescent="0.25">
      <c r="J12002"/>
      <c r="M12002"/>
      <c r="W12002"/>
    </row>
    <row r="12003" spans="10:23" x14ac:dyDescent="0.25">
      <c r="J12003"/>
      <c r="M12003"/>
      <c r="W12003"/>
    </row>
    <row r="12004" spans="10:23" x14ac:dyDescent="0.25">
      <c r="J12004"/>
      <c r="M12004"/>
      <c r="W12004"/>
    </row>
    <row r="12005" spans="10:23" x14ac:dyDescent="0.25">
      <c r="J12005"/>
      <c r="M12005"/>
      <c r="W12005"/>
    </row>
    <row r="12006" spans="10:23" x14ac:dyDescent="0.25">
      <c r="J12006"/>
      <c r="M12006"/>
      <c r="W12006"/>
    </row>
    <row r="12007" spans="10:23" x14ac:dyDescent="0.25">
      <c r="J12007"/>
      <c r="M12007"/>
      <c r="W12007"/>
    </row>
    <row r="12008" spans="10:23" x14ac:dyDescent="0.25">
      <c r="J12008"/>
      <c r="M12008"/>
      <c r="W12008"/>
    </row>
    <row r="12009" spans="10:23" x14ac:dyDescent="0.25">
      <c r="J12009"/>
      <c r="M12009"/>
      <c r="W12009"/>
    </row>
    <row r="12010" spans="10:23" x14ac:dyDescent="0.25">
      <c r="J12010"/>
      <c r="M12010"/>
      <c r="W12010"/>
    </row>
    <row r="12011" spans="10:23" x14ac:dyDescent="0.25">
      <c r="J12011"/>
      <c r="M12011"/>
      <c r="W12011"/>
    </row>
    <row r="12012" spans="10:23" x14ac:dyDescent="0.25">
      <c r="J12012"/>
      <c r="M12012"/>
      <c r="W12012"/>
    </row>
    <row r="12013" spans="10:23" x14ac:dyDescent="0.25">
      <c r="J12013"/>
      <c r="M12013"/>
      <c r="W12013"/>
    </row>
    <row r="12014" spans="10:23" x14ac:dyDescent="0.25">
      <c r="J12014"/>
      <c r="M12014"/>
      <c r="W12014"/>
    </row>
    <row r="12015" spans="10:23" x14ac:dyDescent="0.25">
      <c r="J12015"/>
      <c r="M12015"/>
      <c r="W12015"/>
    </row>
    <row r="12016" spans="10:23" x14ac:dyDescent="0.25">
      <c r="J12016"/>
      <c r="M12016"/>
      <c r="W12016"/>
    </row>
    <row r="12017" spans="10:23" x14ac:dyDescent="0.25">
      <c r="J12017"/>
      <c r="M12017"/>
      <c r="W12017"/>
    </row>
    <row r="12018" spans="10:23" x14ac:dyDescent="0.25">
      <c r="J12018"/>
      <c r="M12018"/>
      <c r="W12018"/>
    </row>
    <row r="12019" spans="10:23" x14ac:dyDescent="0.25">
      <c r="J12019"/>
      <c r="M12019"/>
      <c r="W12019"/>
    </row>
    <row r="12020" spans="10:23" x14ac:dyDescent="0.25">
      <c r="J12020"/>
      <c r="M12020"/>
      <c r="W12020"/>
    </row>
    <row r="12021" spans="10:23" x14ac:dyDescent="0.25">
      <c r="J12021"/>
      <c r="M12021"/>
      <c r="W12021"/>
    </row>
    <row r="12022" spans="10:23" x14ac:dyDescent="0.25">
      <c r="J12022"/>
      <c r="M12022"/>
      <c r="W12022"/>
    </row>
    <row r="12023" spans="10:23" x14ac:dyDescent="0.25">
      <c r="J12023"/>
      <c r="M12023"/>
      <c r="W12023"/>
    </row>
    <row r="12024" spans="10:23" x14ac:dyDescent="0.25">
      <c r="J12024"/>
      <c r="M12024"/>
      <c r="W12024"/>
    </row>
    <row r="12025" spans="10:23" x14ac:dyDescent="0.25">
      <c r="J12025"/>
      <c r="M12025"/>
      <c r="W12025"/>
    </row>
    <row r="12026" spans="10:23" x14ac:dyDescent="0.25">
      <c r="J12026"/>
      <c r="M12026"/>
      <c r="W12026"/>
    </row>
    <row r="12027" spans="10:23" x14ac:dyDescent="0.25">
      <c r="J12027"/>
      <c r="M12027"/>
      <c r="W12027"/>
    </row>
    <row r="12028" spans="10:23" x14ac:dyDescent="0.25">
      <c r="J12028"/>
      <c r="M12028"/>
      <c r="W12028"/>
    </row>
    <row r="12029" spans="10:23" x14ac:dyDescent="0.25">
      <c r="J12029"/>
      <c r="M12029"/>
      <c r="W12029"/>
    </row>
    <row r="12030" spans="10:23" x14ac:dyDescent="0.25">
      <c r="J12030"/>
      <c r="M12030"/>
      <c r="W12030"/>
    </row>
    <row r="12031" spans="10:23" x14ac:dyDescent="0.25">
      <c r="J12031"/>
      <c r="M12031"/>
      <c r="W12031"/>
    </row>
    <row r="12032" spans="10:23" x14ac:dyDescent="0.25">
      <c r="J12032"/>
      <c r="M12032"/>
      <c r="W12032"/>
    </row>
    <row r="12033" spans="10:23" x14ac:dyDescent="0.25">
      <c r="J12033"/>
      <c r="M12033"/>
      <c r="W12033"/>
    </row>
    <row r="12034" spans="10:23" x14ac:dyDescent="0.25">
      <c r="J12034"/>
      <c r="M12034"/>
      <c r="W12034"/>
    </row>
    <row r="12035" spans="10:23" x14ac:dyDescent="0.25">
      <c r="J12035"/>
      <c r="M12035"/>
      <c r="W12035"/>
    </row>
    <row r="12036" spans="10:23" x14ac:dyDescent="0.25">
      <c r="J12036"/>
      <c r="M12036"/>
      <c r="W12036"/>
    </row>
    <row r="12037" spans="10:23" x14ac:dyDescent="0.25">
      <c r="J12037"/>
      <c r="M12037"/>
      <c r="W12037"/>
    </row>
    <row r="12038" spans="10:23" x14ac:dyDescent="0.25">
      <c r="J12038"/>
      <c r="M12038"/>
      <c r="W12038"/>
    </row>
    <row r="12039" spans="10:23" x14ac:dyDescent="0.25">
      <c r="J12039"/>
      <c r="M12039"/>
      <c r="W12039"/>
    </row>
    <row r="12040" spans="10:23" x14ac:dyDescent="0.25">
      <c r="J12040"/>
      <c r="M12040"/>
      <c r="W12040"/>
    </row>
    <row r="12041" spans="10:23" x14ac:dyDescent="0.25">
      <c r="J12041"/>
      <c r="M12041"/>
      <c r="W12041"/>
    </row>
    <row r="12042" spans="10:23" x14ac:dyDescent="0.25">
      <c r="J12042"/>
      <c r="M12042"/>
      <c r="W12042"/>
    </row>
    <row r="12043" spans="10:23" x14ac:dyDescent="0.25">
      <c r="J12043"/>
      <c r="M12043"/>
      <c r="W12043"/>
    </row>
    <row r="12044" spans="10:23" x14ac:dyDescent="0.25">
      <c r="J12044"/>
      <c r="M12044"/>
      <c r="W12044"/>
    </row>
    <row r="12045" spans="10:23" x14ac:dyDescent="0.25">
      <c r="J12045"/>
      <c r="M12045"/>
      <c r="W12045"/>
    </row>
    <row r="12046" spans="10:23" x14ac:dyDescent="0.25">
      <c r="J12046"/>
      <c r="M12046"/>
      <c r="W12046"/>
    </row>
    <row r="12047" spans="10:23" x14ac:dyDescent="0.25">
      <c r="J12047"/>
      <c r="M12047"/>
      <c r="W12047"/>
    </row>
    <row r="12048" spans="10:23" x14ac:dyDescent="0.25">
      <c r="J12048"/>
      <c r="M12048"/>
      <c r="W12048"/>
    </row>
    <row r="12049" spans="10:23" x14ac:dyDescent="0.25">
      <c r="J12049"/>
      <c r="M12049"/>
      <c r="W12049"/>
    </row>
    <row r="12050" spans="10:23" x14ac:dyDescent="0.25">
      <c r="J12050"/>
      <c r="M12050"/>
      <c r="W12050"/>
    </row>
    <row r="12051" spans="10:23" x14ac:dyDescent="0.25">
      <c r="J12051"/>
      <c r="M12051"/>
      <c r="W12051"/>
    </row>
    <row r="12052" spans="10:23" x14ac:dyDescent="0.25">
      <c r="J12052"/>
      <c r="M12052"/>
      <c r="W12052"/>
    </row>
    <row r="12053" spans="10:23" x14ac:dyDescent="0.25">
      <c r="J12053"/>
      <c r="M12053"/>
      <c r="W12053"/>
    </row>
    <row r="12054" spans="10:23" x14ac:dyDescent="0.25">
      <c r="J12054"/>
      <c r="M12054"/>
      <c r="W12054"/>
    </row>
    <row r="12055" spans="10:23" x14ac:dyDescent="0.25">
      <c r="J12055"/>
      <c r="M12055"/>
      <c r="W12055"/>
    </row>
    <row r="12056" spans="10:23" x14ac:dyDescent="0.25">
      <c r="J12056"/>
      <c r="M12056"/>
      <c r="W12056"/>
    </row>
    <row r="12057" spans="10:23" x14ac:dyDescent="0.25">
      <c r="J12057"/>
      <c r="M12057"/>
      <c r="W12057"/>
    </row>
    <row r="12058" spans="10:23" x14ac:dyDescent="0.25">
      <c r="J12058"/>
      <c r="M12058"/>
      <c r="W12058"/>
    </row>
    <row r="12059" spans="10:23" x14ac:dyDescent="0.25">
      <c r="J12059"/>
      <c r="M12059"/>
      <c r="W12059"/>
    </row>
    <row r="12060" spans="10:23" x14ac:dyDescent="0.25">
      <c r="J12060"/>
      <c r="M12060"/>
      <c r="W12060"/>
    </row>
    <row r="12061" spans="10:23" x14ac:dyDescent="0.25">
      <c r="J12061"/>
      <c r="M12061"/>
      <c r="W12061"/>
    </row>
    <row r="12062" spans="10:23" x14ac:dyDescent="0.25">
      <c r="J12062"/>
      <c r="M12062"/>
      <c r="W12062"/>
    </row>
    <row r="12063" spans="10:23" x14ac:dyDescent="0.25">
      <c r="J12063"/>
      <c r="M12063"/>
      <c r="W12063"/>
    </row>
    <row r="12064" spans="10:23" x14ac:dyDescent="0.25">
      <c r="J12064"/>
      <c r="M12064"/>
      <c r="W12064"/>
    </row>
    <row r="12065" spans="10:23" x14ac:dyDescent="0.25">
      <c r="J12065"/>
      <c r="M12065"/>
      <c r="W12065"/>
    </row>
    <row r="12066" spans="10:23" x14ac:dyDescent="0.25">
      <c r="J12066"/>
      <c r="M12066"/>
      <c r="W12066"/>
    </row>
    <row r="12067" spans="10:23" x14ac:dyDescent="0.25">
      <c r="J12067"/>
      <c r="M12067"/>
      <c r="W12067"/>
    </row>
    <row r="12068" spans="10:23" x14ac:dyDescent="0.25">
      <c r="J12068"/>
      <c r="M12068"/>
      <c r="W12068"/>
    </row>
    <row r="12069" spans="10:23" x14ac:dyDescent="0.25">
      <c r="J12069"/>
      <c r="M12069"/>
      <c r="W12069"/>
    </row>
    <row r="12070" spans="10:23" x14ac:dyDescent="0.25">
      <c r="J12070"/>
      <c r="M12070"/>
      <c r="W12070"/>
    </row>
    <row r="12071" spans="10:23" x14ac:dyDescent="0.25">
      <c r="J12071"/>
      <c r="M12071"/>
      <c r="W12071"/>
    </row>
    <row r="12072" spans="10:23" x14ac:dyDescent="0.25">
      <c r="J12072"/>
      <c r="M12072"/>
      <c r="W12072"/>
    </row>
    <row r="12073" spans="10:23" x14ac:dyDescent="0.25">
      <c r="J12073"/>
      <c r="M12073"/>
      <c r="W12073"/>
    </row>
    <row r="12074" spans="10:23" x14ac:dyDescent="0.25">
      <c r="J12074"/>
      <c r="M12074"/>
      <c r="W12074"/>
    </row>
    <row r="12075" spans="10:23" x14ac:dyDescent="0.25">
      <c r="J12075"/>
      <c r="M12075"/>
      <c r="W12075"/>
    </row>
    <row r="12076" spans="10:23" x14ac:dyDescent="0.25">
      <c r="J12076"/>
      <c r="M12076"/>
      <c r="W12076"/>
    </row>
    <row r="12077" spans="10:23" x14ac:dyDescent="0.25">
      <c r="J12077"/>
      <c r="M12077"/>
      <c r="W12077"/>
    </row>
    <row r="12078" spans="10:23" x14ac:dyDescent="0.25">
      <c r="J12078"/>
      <c r="M12078"/>
      <c r="W12078"/>
    </row>
    <row r="12079" spans="10:23" x14ac:dyDescent="0.25">
      <c r="J12079"/>
      <c r="M12079"/>
      <c r="W12079"/>
    </row>
    <row r="12080" spans="10:23" x14ac:dyDescent="0.25">
      <c r="J12080"/>
      <c r="M12080"/>
      <c r="W12080"/>
    </row>
    <row r="12081" spans="10:23" x14ac:dyDescent="0.25">
      <c r="J12081"/>
      <c r="M12081"/>
      <c r="W12081"/>
    </row>
    <row r="12082" spans="10:23" x14ac:dyDescent="0.25">
      <c r="J12082"/>
      <c r="M12082"/>
      <c r="W12082"/>
    </row>
    <row r="12083" spans="10:23" x14ac:dyDescent="0.25">
      <c r="J12083"/>
      <c r="M12083"/>
      <c r="W12083"/>
    </row>
    <row r="12084" spans="10:23" x14ac:dyDescent="0.25">
      <c r="J12084"/>
      <c r="M12084"/>
      <c r="W12084"/>
    </row>
    <row r="12085" spans="10:23" x14ac:dyDescent="0.25">
      <c r="J12085"/>
      <c r="M12085"/>
      <c r="W12085"/>
    </row>
    <row r="12086" spans="10:23" x14ac:dyDescent="0.25">
      <c r="J12086"/>
      <c r="M12086"/>
      <c r="W12086"/>
    </row>
    <row r="12087" spans="10:23" x14ac:dyDescent="0.25">
      <c r="J12087"/>
      <c r="M12087"/>
      <c r="W12087"/>
    </row>
    <row r="12088" spans="10:23" x14ac:dyDescent="0.25">
      <c r="J12088"/>
      <c r="M12088"/>
      <c r="W12088"/>
    </row>
    <row r="12089" spans="10:23" x14ac:dyDescent="0.25">
      <c r="J12089"/>
      <c r="M12089"/>
      <c r="W12089"/>
    </row>
    <row r="12090" spans="10:23" x14ac:dyDescent="0.25">
      <c r="J12090"/>
      <c r="M12090"/>
      <c r="W12090"/>
    </row>
    <row r="12091" spans="10:23" x14ac:dyDescent="0.25">
      <c r="J12091"/>
      <c r="M12091"/>
      <c r="W12091"/>
    </row>
    <row r="12092" spans="10:23" x14ac:dyDescent="0.25">
      <c r="J12092"/>
      <c r="M12092"/>
      <c r="W12092"/>
    </row>
    <row r="12093" spans="10:23" x14ac:dyDescent="0.25">
      <c r="J12093"/>
      <c r="M12093"/>
      <c r="W12093"/>
    </row>
    <row r="12094" spans="10:23" x14ac:dyDescent="0.25">
      <c r="J12094"/>
      <c r="M12094"/>
      <c r="W12094"/>
    </row>
    <row r="12095" spans="10:23" x14ac:dyDescent="0.25">
      <c r="J12095"/>
      <c r="M12095"/>
      <c r="W12095"/>
    </row>
    <row r="12096" spans="10:23" x14ac:dyDescent="0.25">
      <c r="J12096"/>
      <c r="M12096"/>
      <c r="W12096"/>
    </row>
    <row r="12097" spans="10:23" x14ac:dyDescent="0.25">
      <c r="J12097"/>
      <c r="M12097"/>
      <c r="W12097"/>
    </row>
    <row r="12098" spans="10:23" x14ac:dyDescent="0.25">
      <c r="J12098"/>
      <c r="M12098"/>
      <c r="W12098"/>
    </row>
    <row r="12099" spans="10:23" x14ac:dyDescent="0.25">
      <c r="J12099"/>
      <c r="M12099"/>
      <c r="W12099"/>
    </row>
    <row r="12100" spans="10:23" x14ac:dyDescent="0.25">
      <c r="J12100"/>
      <c r="M12100"/>
      <c r="W12100"/>
    </row>
    <row r="12101" spans="10:23" x14ac:dyDescent="0.25">
      <c r="J12101"/>
      <c r="M12101"/>
      <c r="W12101"/>
    </row>
    <row r="12102" spans="10:23" x14ac:dyDescent="0.25">
      <c r="J12102"/>
      <c r="M12102"/>
      <c r="W12102"/>
    </row>
    <row r="12103" spans="10:23" x14ac:dyDescent="0.25">
      <c r="J12103"/>
      <c r="M12103"/>
      <c r="W12103"/>
    </row>
    <row r="12104" spans="10:23" x14ac:dyDescent="0.25">
      <c r="J12104"/>
      <c r="M12104"/>
      <c r="W12104"/>
    </row>
    <row r="12105" spans="10:23" x14ac:dyDescent="0.25">
      <c r="J12105"/>
      <c r="M12105"/>
      <c r="W12105"/>
    </row>
    <row r="12106" spans="10:23" x14ac:dyDescent="0.25">
      <c r="J12106"/>
      <c r="M12106"/>
      <c r="W12106"/>
    </row>
    <row r="12107" spans="10:23" x14ac:dyDescent="0.25">
      <c r="J12107"/>
      <c r="M12107"/>
      <c r="W12107"/>
    </row>
    <row r="12108" spans="10:23" x14ac:dyDescent="0.25">
      <c r="J12108"/>
      <c r="M12108"/>
      <c r="W12108"/>
    </row>
    <row r="12109" spans="10:23" x14ac:dyDescent="0.25">
      <c r="J12109"/>
      <c r="M12109"/>
      <c r="W12109"/>
    </row>
    <row r="12110" spans="10:23" x14ac:dyDescent="0.25">
      <c r="J12110"/>
      <c r="M12110"/>
      <c r="W12110"/>
    </row>
    <row r="12111" spans="10:23" x14ac:dyDescent="0.25">
      <c r="J12111"/>
      <c r="M12111"/>
      <c r="W12111"/>
    </row>
    <row r="12112" spans="10:23" x14ac:dyDescent="0.25">
      <c r="J12112"/>
      <c r="M12112"/>
      <c r="W12112"/>
    </row>
    <row r="12113" spans="10:23" x14ac:dyDescent="0.25">
      <c r="J12113"/>
      <c r="M12113"/>
      <c r="W12113"/>
    </row>
    <row r="12114" spans="10:23" x14ac:dyDescent="0.25">
      <c r="J12114"/>
      <c r="M12114"/>
      <c r="W12114"/>
    </row>
    <row r="12115" spans="10:23" x14ac:dyDescent="0.25">
      <c r="J12115"/>
      <c r="M12115"/>
      <c r="W12115"/>
    </row>
    <row r="12116" spans="10:23" x14ac:dyDescent="0.25">
      <c r="J12116"/>
      <c r="M12116"/>
      <c r="W12116"/>
    </row>
    <row r="12117" spans="10:23" x14ac:dyDescent="0.25">
      <c r="J12117"/>
      <c r="M12117"/>
      <c r="W12117"/>
    </row>
    <row r="12118" spans="10:23" x14ac:dyDescent="0.25">
      <c r="J12118"/>
      <c r="M12118"/>
      <c r="W12118"/>
    </row>
    <row r="12119" spans="10:23" x14ac:dyDescent="0.25">
      <c r="J12119"/>
      <c r="M12119"/>
      <c r="W12119"/>
    </row>
    <row r="12120" spans="10:23" x14ac:dyDescent="0.25">
      <c r="J12120"/>
      <c r="M12120"/>
      <c r="W12120"/>
    </row>
    <row r="12121" spans="10:23" x14ac:dyDescent="0.25">
      <c r="J12121"/>
      <c r="M12121"/>
      <c r="W12121"/>
    </row>
    <row r="12122" spans="10:23" x14ac:dyDescent="0.25">
      <c r="J12122"/>
      <c r="M12122"/>
      <c r="W12122"/>
    </row>
    <row r="12123" spans="10:23" x14ac:dyDescent="0.25">
      <c r="J12123"/>
      <c r="M12123"/>
      <c r="W12123"/>
    </row>
    <row r="12124" spans="10:23" x14ac:dyDescent="0.25">
      <c r="J12124"/>
      <c r="M12124"/>
      <c r="W12124"/>
    </row>
    <row r="12125" spans="10:23" x14ac:dyDescent="0.25">
      <c r="J12125"/>
      <c r="M12125"/>
      <c r="W12125"/>
    </row>
    <row r="12126" spans="10:23" x14ac:dyDescent="0.25">
      <c r="J12126"/>
      <c r="M12126"/>
      <c r="W12126"/>
    </row>
    <row r="12127" spans="10:23" x14ac:dyDescent="0.25">
      <c r="J12127"/>
      <c r="M12127"/>
      <c r="W12127"/>
    </row>
    <row r="12128" spans="10:23" x14ac:dyDescent="0.25">
      <c r="J12128"/>
      <c r="M12128"/>
      <c r="W12128"/>
    </row>
    <row r="12129" spans="10:23" x14ac:dyDescent="0.25">
      <c r="J12129"/>
      <c r="M12129"/>
      <c r="W12129"/>
    </row>
    <row r="12130" spans="10:23" x14ac:dyDescent="0.25">
      <c r="J12130"/>
      <c r="M12130"/>
      <c r="W12130"/>
    </row>
    <row r="12131" spans="10:23" x14ac:dyDescent="0.25">
      <c r="J12131"/>
      <c r="M12131"/>
      <c r="W12131"/>
    </row>
    <row r="12132" spans="10:23" x14ac:dyDescent="0.25">
      <c r="J12132"/>
      <c r="M12132"/>
      <c r="W12132"/>
    </row>
    <row r="12133" spans="10:23" x14ac:dyDescent="0.25">
      <c r="J12133"/>
      <c r="M12133"/>
      <c r="W12133"/>
    </row>
    <row r="12134" spans="10:23" x14ac:dyDescent="0.25">
      <c r="J12134"/>
      <c r="M12134"/>
      <c r="W12134"/>
    </row>
    <row r="12135" spans="10:23" x14ac:dyDescent="0.25">
      <c r="J12135"/>
      <c r="M12135"/>
      <c r="W12135"/>
    </row>
    <row r="12136" spans="10:23" x14ac:dyDescent="0.25">
      <c r="J12136"/>
      <c r="M12136"/>
      <c r="W12136"/>
    </row>
    <row r="12137" spans="10:23" x14ac:dyDescent="0.25">
      <c r="J12137"/>
      <c r="M12137"/>
      <c r="W12137"/>
    </row>
    <row r="12138" spans="10:23" x14ac:dyDescent="0.25">
      <c r="J12138"/>
      <c r="M12138"/>
      <c r="W12138"/>
    </row>
    <row r="12139" spans="10:23" x14ac:dyDescent="0.25">
      <c r="J12139"/>
      <c r="M12139"/>
      <c r="W12139"/>
    </row>
    <row r="12140" spans="10:23" x14ac:dyDescent="0.25">
      <c r="J12140"/>
      <c r="M12140"/>
      <c r="W12140"/>
    </row>
    <row r="12141" spans="10:23" x14ac:dyDescent="0.25">
      <c r="J12141"/>
      <c r="M12141"/>
      <c r="W12141"/>
    </row>
    <row r="12142" spans="10:23" x14ac:dyDescent="0.25">
      <c r="J12142"/>
      <c r="M12142"/>
      <c r="W12142"/>
    </row>
    <row r="12143" spans="10:23" x14ac:dyDescent="0.25">
      <c r="J12143"/>
      <c r="M12143"/>
      <c r="W12143"/>
    </row>
    <row r="12144" spans="10:23" x14ac:dyDescent="0.25">
      <c r="J12144"/>
      <c r="M12144"/>
      <c r="W12144"/>
    </row>
    <row r="12145" spans="10:23" x14ac:dyDescent="0.25">
      <c r="J12145"/>
      <c r="M12145"/>
      <c r="W12145"/>
    </row>
    <row r="12146" spans="10:23" x14ac:dyDescent="0.25">
      <c r="J12146"/>
      <c r="M12146"/>
      <c r="W12146"/>
    </row>
    <row r="12147" spans="10:23" x14ac:dyDescent="0.25">
      <c r="J12147"/>
      <c r="M12147"/>
      <c r="W12147"/>
    </row>
    <row r="12148" spans="10:23" x14ac:dyDescent="0.25">
      <c r="J12148"/>
      <c r="M12148"/>
      <c r="W12148"/>
    </row>
    <row r="12149" spans="10:23" x14ac:dyDescent="0.25">
      <c r="J12149"/>
      <c r="M12149"/>
      <c r="W12149"/>
    </row>
    <row r="12150" spans="10:23" x14ac:dyDescent="0.25">
      <c r="J12150"/>
      <c r="M12150"/>
      <c r="W12150"/>
    </row>
    <row r="12151" spans="10:23" x14ac:dyDescent="0.25">
      <c r="J12151"/>
      <c r="M12151"/>
      <c r="W12151"/>
    </row>
    <row r="12152" spans="10:23" x14ac:dyDescent="0.25">
      <c r="J12152"/>
      <c r="M12152"/>
      <c r="W12152"/>
    </row>
    <row r="12153" spans="10:23" x14ac:dyDescent="0.25">
      <c r="J12153"/>
      <c r="M12153"/>
      <c r="W12153"/>
    </row>
    <row r="12154" spans="10:23" x14ac:dyDescent="0.25">
      <c r="J12154"/>
      <c r="M12154"/>
      <c r="W12154"/>
    </row>
    <row r="12155" spans="10:23" x14ac:dyDescent="0.25">
      <c r="J12155"/>
      <c r="M12155"/>
      <c r="W12155"/>
    </row>
    <row r="12156" spans="10:23" x14ac:dyDescent="0.25">
      <c r="J12156"/>
      <c r="M12156"/>
      <c r="W12156"/>
    </row>
    <row r="12157" spans="10:23" x14ac:dyDescent="0.25">
      <c r="J12157"/>
      <c r="M12157"/>
      <c r="W12157"/>
    </row>
    <row r="12158" spans="10:23" x14ac:dyDescent="0.25">
      <c r="J12158"/>
      <c r="M12158"/>
      <c r="W12158"/>
    </row>
    <row r="12159" spans="10:23" x14ac:dyDescent="0.25">
      <c r="J12159"/>
      <c r="M12159"/>
      <c r="W12159"/>
    </row>
    <row r="12160" spans="10:23" x14ac:dyDescent="0.25">
      <c r="J12160"/>
      <c r="M12160"/>
      <c r="W12160"/>
    </row>
    <row r="12161" spans="10:23" x14ac:dyDescent="0.25">
      <c r="J12161"/>
      <c r="M12161"/>
      <c r="W12161"/>
    </row>
    <row r="12162" spans="10:23" x14ac:dyDescent="0.25">
      <c r="J12162"/>
      <c r="M12162"/>
      <c r="W12162"/>
    </row>
    <row r="12163" spans="10:23" x14ac:dyDescent="0.25">
      <c r="J12163"/>
      <c r="M12163"/>
      <c r="W12163"/>
    </row>
    <row r="12164" spans="10:23" x14ac:dyDescent="0.25">
      <c r="J12164"/>
      <c r="M12164"/>
      <c r="W12164"/>
    </row>
    <row r="12165" spans="10:23" x14ac:dyDescent="0.25">
      <c r="J12165"/>
      <c r="M12165"/>
      <c r="W12165"/>
    </row>
    <row r="12166" spans="10:23" x14ac:dyDescent="0.25">
      <c r="J12166"/>
      <c r="M12166"/>
      <c r="W12166"/>
    </row>
    <row r="12167" spans="10:23" x14ac:dyDescent="0.25">
      <c r="J12167"/>
      <c r="M12167"/>
      <c r="W12167"/>
    </row>
    <row r="12168" spans="10:23" x14ac:dyDescent="0.25">
      <c r="J12168"/>
      <c r="M12168"/>
      <c r="W12168"/>
    </row>
    <row r="12169" spans="10:23" x14ac:dyDescent="0.25">
      <c r="J12169"/>
      <c r="M12169"/>
      <c r="W12169"/>
    </row>
    <row r="12170" spans="10:23" x14ac:dyDescent="0.25">
      <c r="J12170"/>
      <c r="M12170"/>
      <c r="W12170"/>
    </row>
    <row r="12171" spans="10:23" x14ac:dyDescent="0.25">
      <c r="J12171"/>
      <c r="M12171"/>
      <c r="W12171"/>
    </row>
    <row r="12172" spans="10:23" x14ac:dyDescent="0.25">
      <c r="J12172"/>
      <c r="M12172"/>
      <c r="W12172"/>
    </row>
    <row r="12173" spans="10:23" x14ac:dyDescent="0.25">
      <c r="J12173"/>
      <c r="M12173"/>
      <c r="W12173"/>
    </row>
    <row r="12174" spans="10:23" x14ac:dyDescent="0.25">
      <c r="J12174"/>
      <c r="M12174"/>
      <c r="W12174"/>
    </row>
    <row r="12175" spans="10:23" x14ac:dyDescent="0.25">
      <c r="J12175"/>
      <c r="M12175"/>
      <c r="W12175"/>
    </row>
    <row r="12176" spans="10:23" x14ac:dyDescent="0.25">
      <c r="J12176"/>
      <c r="M12176"/>
      <c r="W12176"/>
    </row>
    <row r="12177" spans="10:23" x14ac:dyDescent="0.25">
      <c r="J12177"/>
      <c r="M12177"/>
      <c r="W12177"/>
    </row>
    <row r="12178" spans="10:23" x14ac:dyDescent="0.25">
      <c r="J12178"/>
      <c r="M12178"/>
      <c r="W12178"/>
    </row>
    <row r="12179" spans="10:23" x14ac:dyDescent="0.25">
      <c r="J12179"/>
      <c r="M12179"/>
      <c r="W12179"/>
    </row>
    <row r="12180" spans="10:23" x14ac:dyDescent="0.25">
      <c r="J12180"/>
      <c r="M12180"/>
      <c r="W12180"/>
    </row>
    <row r="12181" spans="10:23" x14ac:dyDescent="0.25">
      <c r="J12181"/>
      <c r="M12181"/>
      <c r="W12181"/>
    </row>
    <row r="12182" spans="10:23" x14ac:dyDescent="0.25">
      <c r="J12182"/>
      <c r="M12182"/>
      <c r="W12182"/>
    </row>
    <row r="12183" spans="10:23" x14ac:dyDescent="0.25">
      <c r="J12183"/>
      <c r="M12183"/>
      <c r="W12183"/>
    </row>
    <row r="12184" spans="10:23" x14ac:dyDescent="0.25">
      <c r="J12184"/>
      <c r="M12184"/>
      <c r="W12184"/>
    </row>
    <row r="12185" spans="10:23" x14ac:dyDescent="0.25">
      <c r="J12185"/>
      <c r="M12185"/>
      <c r="W12185"/>
    </row>
    <row r="12186" spans="10:23" x14ac:dyDescent="0.25">
      <c r="J12186"/>
      <c r="M12186"/>
      <c r="W12186"/>
    </row>
    <row r="12187" spans="10:23" x14ac:dyDescent="0.25">
      <c r="J12187"/>
      <c r="M12187"/>
      <c r="W12187"/>
    </row>
    <row r="12188" spans="10:23" x14ac:dyDescent="0.25">
      <c r="J12188"/>
      <c r="M12188"/>
      <c r="W12188"/>
    </row>
    <row r="12189" spans="10:23" x14ac:dyDescent="0.25">
      <c r="J12189"/>
      <c r="M12189"/>
      <c r="W12189"/>
    </row>
    <row r="12190" spans="10:23" x14ac:dyDescent="0.25">
      <c r="J12190"/>
      <c r="M12190"/>
      <c r="W12190"/>
    </row>
    <row r="12191" spans="10:23" x14ac:dyDescent="0.25">
      <c r="J12191"/>
      <c r="M12191"/>
      <c r="W12191"/>
    </row>
    <row r="12192" spans="10:23" x14ac:dyDescent="0.25">
      <c r="J12192"/>
      <c r="M12192"/>
      <c r="W12192"/>
    </row>
    <row r="12193" spans="10:23" x14ac:dyDescent="0.25">
      <c r="J12193"/>
      <c r="M12193"/>
      <c r="W12193"/>
    </row>
    <row r="12194" spans="10:23" x14ac:dyDescent="0.25">
      <c r="J12194"/>
      <c r="M12194"/>
      <c r="W12194"/>
    </row>
    <row r="12195" spans="10:23" x14ac:dyDescent="0.25">
      <c r="J12195"/>
      <c r="M12195"/>
      <c r="W12195"/>
    </row>
    <row r="12196" spans="10:23" x14ac:dyDescent="0.25">
      <c r="J12196"/>
      <c r="M12196"/>
      <c r="W12196"/>
    </row>
    <row r="12197" spans="10:23" x14ac:dyDescent="0.25">
      <c r="J12197"/>
      <c r="M12197"/>
      <c r="W12197"/>
    </row>
    <row r="12198" spans="10:23" x14ac:dyDescent="0.25">
      <c r="J12198"/>
      <c r="M12198"/>
      <c r="W12198"/>
    </row>
    <row r="12199" spans="10:23" x14ac:dyDescent="0.25">
      <c r="J12199"/>
      <c r="M12199"/>
      <c r="W12199"/>
    </row>
    <row r="12200" spans="10:23" x14ac:dyDescent="0.25">
      <c r="J12200"/>
      <c r="M12200"/>
      <c r="W12200"/>
    </row>
    <row r="12201" spans="10:23" x14ac:dyDescent="0.25">
      <c r="J12201"/>
      <c r="M12201"/>
      <c r="W12201"/>
    </row>
    <row r="12202" spans="10:23" x14ac:dyDescent="0.25">
      <c r="J12202"/>
      <c r="M12202"/>
      <c r="W12202"/>
    </row>
    <row r="12203" spans="10:23" x14ac:dyDescent="0.25">
      <c r="J12203"/>
      <c r="M12203"/>
      <c r="W12203"/>
    </row>
    <row r="12204" spans="10:23" x14ac:dyDescent="0.25">
      <c r="J12204"/>
      <c r="M12204"/>
      <c r="W12204"/>
    </row>
    <row r="12205" spans="10:23" x14ac:dyDescent="0.25">
      <c r="J12205"/>
      <c r="M12205"/>
      <c r="W12205"/>
    </row>
    <row r="12206" spans="10:23" x14ac:dyDescent="0.25">
      <c r="J12206"/>
      <c r="M12206"/>
      <c r="W12206"/>
    </row>
    <row r="12207" spans="10:23" x14ac:dyDescent="0.25">
      <c r="J12207"/>
      <c r="M12207"/>
      <c r="W12207"/>
    </row>
    <row r="12208" spans="10:23" x14ac:dyDescent="0.25">
      <c r="J12208"/>
      <c r="M12208"/>
      <c r="W12208"/>
    </row>
    <row r="12209" spans="10:23" x14ac:dyDescent="0.25">
      <c r="J12209"/>
      <c r="M12209"/>
      <c r="W12209"/>
    </row>
    <row r="12210" spans="10:23" x14ac:dyDescent="0.25">
      <c r="J12210"/>
      <c r="M12210"/>
      <c r="W12210"/>
    </row>
    <row r="12211" spans="10:23" x14ac:dyDescent="0.25">
      <c r="J12211"/>
      <c r="M12211"/>
      <c r="W12211"/>
    </row>
    <row r="12212" spans="10:23" x14ac:dyDescent="0.25">
      <c r="J12212"/>
      <c r="M12212"/>
      <c r="W12212"/>
    </row>
    <row r="12213" spans="10:23" x14ac:dyDescent="0.25">
      <c r="J12213"/>
      <c r="M12213"/>
      <c r="W12213"/>
    </row>
    <row r="12214" spans="10:23" x14ac:dyDescent="0.25">
      <c r="J12214"/>
      <c r="M12214"/>
      <c r="W12214"/>
    </row>
    <row r="12215" spans="10:23" x14ac:dyDescent="0.25">
      <c r="J12215"/>
      <c r="M12215"/>
      <c r="W12215"/>
    </row>
    <row r="12216" spans="10:23" x14ac:dyDescent="0.25">
      <c r="J12216"/>
      <c r="M12216"/>
      <c r="W12216"/>
    </row>
    <row r="12217" spans="10:23" x14ac:dyDescent="0.25">
      <c r="J12217"/>
      <c r="M12217"/>
      <c r="W12217"/>
    </row>
    <row r="12218" spans="10:23" x14ac:dyDescent="0.25">
      <c r="J12218"/>
      <c r="M12218"/>
      <c r="W12218"/>
    </row>
    <row r="12219" spans="10:23" x14ac:dyDescent="0.25">
      <c r="J12219"/>
      <c r="M12219"/>
      <c r="W12219"/>
    </row>
    <row r="12220" spans="10:23" x14ac:dyDescent="0.25">
      <c r="J12220"/>
      <c r="M12220"/>
      <c r="W12220"/>
    </row>
    <row r="12221" spans="10:23" x14ac:dyDescent="0.25">
      <c r="J12221"/>
      <c r="M12221"/>
      <c r="W12221"/>
    </row>
    <row r="12222" spans="10:23" x14ac:dyDescent="0.25">
      <c r="J12222"/>
      <c r="M12222"/>
      <c r="W12222"/>
    </row>
    <row r="12223" spans="10:23" x14ac:dyDescent="0.25">
      <c r="J12223"/>
      <c r="M12223"/>
      <c r="W12223"/>
    </row>
    <row r="12224" spans="10:23" x14ac:dyDescent="0.25">
      <c r="J12224"/>
      <c r="M12224"/>
      <c r="W12224"/>
    </row>
    <row r="12225" spans="10:23" x14ac:dyDescent="0.25">
      <c r="J12225"/>
      <c r="M12225"/>
      <c r="W12225"/>
    </row>
    <row r="12226" spans="10:23" x14ac:dyDescent="0.25">
      <c r="J12226"/>
      <c r="M12226"/>
      <c r="W12226"/>
    </row>
    <row r="12227" spans="10:23" x14ac:dyDescent="0.25">
      <c r="J12227"/>
      <c r="M12227"/>
      <c r="W12227"/>
    </row>
    <row r="12228" spans="10:23" x14ac:dyDescent="0.25">
      <c r="J12228"/>
      <c r="M12228"/>
      <c r="W12228"/>
    </row>
    <row r="12229" spans="10:23" x14ac:dyDescent="0.25">
      <c r="J12229"/>
      <c r="M12229"/>
      <c r="W12229"/>
    </row>
    <row r="12230" spans="10:23" x14ac:dyDescent="0.25">
      <c r="J12230"/>
      <c r="M12230"/>
      <c r="W12230"/>
    </row>
    <row r="12231" spans="10:23" x14ac:dyDescent="0.25">
      <c r="J12231"/>
      <c r="M12231"/>
      <c r="W12231"/>
    </row>
    <row r="12232" spans="10:23" x14ac:dyDescent="0.25">
      <c r="J12232"/>
      <c r="M12232"/>
      <c r="W12232"/>
    </row>
    <row r="12233" spans="10:23" x14ac:dyDescent="0.25">
      <c r="J12233"/>
      <c r="M12233"/>
      <c r="W12233"/>
    </row>
    <row r="12234" spans="10:23" x14ac:dyDescent="0.25">
      <c r="J12234"/>
      <c r="M12234"/>
      <c r="W12234"/>
    </row>
    <row r="12235" spans="10:23" x14ac:dyDescent="0.25">
      <c r="J12235"/>
      <c r="M12235"/>
      <c r="W12235"/>
    </row>
    <row r="12236" spans="10:23" x14ac:dyDescent="0.25">
      <c r="J12236"/>
      <c r="M12236"/>
      <c r="W12236"/>
    </row>
    <row r="12237" spans="10:23" x14ac:dyDescent="0.25">
      <c r="J12237"/>
      <c r="M12237"/>
      <c r="W12237"/>
    </row>
    <row r="12238" spans="10:23" x14ac:dyDescent="0.25">
      <c r="J12238"/>
      <c r="M12238"/>
      <c r="W12238"/>
    </row>
    <row r="12239" spans="10:23" x14ac:dyDescent="0.25">
      <c r="J12239"/>
      <c r="M12239"/>
      <c r="W12239"/>
    </row>
    <row r="12240" spans="10:23" x14ac:dyDescent="0.25">
      <c r="J12240"/>
      <c r="M12240"/>
      <c r="W12240"/>
    </row>
    <row r="12241" spans="10:23" x14ac:dyDescent="0.25">
      <c r="J12241"/>
      <c r="M12241"/>
      <c r="W12241"/>
    </row>
    <row r="12242" spans="10:23" x14ac:dyDescent="0.25">
      <c r="J12242"/>
      <c r="M12242"/>
      <c r="W12242"/>
    </row>
    <row r="12243" spans="10:23" x14ac:dyDescent="0.25">
      <c r="J12243"/>
      <c r="M12243"/>
      <c r="W12243"/>
    </row>
    <row r="12244" spans="10:23" x14ac:dyDescent="0.25">
      <c r="J12244"/>
      <c r="M12244"/>
      <c r="W12244"/>
    </row>
    <row r="12245" spans="10:23" x14ac:dyDescent="0.25">
      <c r="J12245"/>
      <c r="M12245"/>
      <c r="W12245"/>
    </row>
    <row r="12246" spans="10:23" x14ac:dyDescent="0.25">
      <c r="J12246"/>
      <c r="M12246"/>
      <c r="W12246"/>
    </row>
    <row r="12247" spans="10:23" x14ac:dyDescent="0.25">
      <c r="J12247"/>
      <c r="M12247"/>
      <c r="W12247"/>
    </row>
    <row r="12248" spans="10:23" x14ac:dyDescent="0.25">
      <c r="J12248"/>
      <c r="M12248"/>
      <c r="W12248"/>
    </row>
    <row r="12249" spans="10:23" x14ac:dyDescent="0.25">
      <c r="J12249"/>
      <c r="M12249"/>
      <c r="W12249"/>
    </row>
    <row r="12250" spans="10:23" x14ac:dyDescent="0.25">
      <c r="J12250"/>
      <c r="M12250"/>
      <c r="W12250"/>
    </row>
    <row r="12251" spans="10:23" x14ac:dyDescent="0.25">
      <c r="J12251"/>
      <c r="M12251"/>
      <c r="W12251"/>
    </row>
    <row r="12252" spans="10:23" x14ac:dyDescent="0.25">
      <c r="J12252"/>
      <c r="M12252"/>
      <c r="W12252"/>
    </row>
    <row r="12253" spans="10:23" x14ac:dyDescent="0.25">
      <c r="J12253"/>
      <c r="M12253"/>
      <c r="W12253"/>
    </row>
    <row r="12254" spans="10:23" x14ac:dyDescent="0.25">
      <c r="J12254"/>
      <c r="M12254"/>
      <c r="W12254"/>
    </row>
    <row r="12255" spans="10:23" x14ac:dyDescent="0.25">
      <c r="J12255"/>
      <c r="M12255"/>
      <c r="W12255"/>
    </row>
    <row r="12256" spans="10:23" x14ac:dyDescent="0.25">
      <c r="J12256"/>
      <c r="M12256"/>
      <c r="W12256"/>
    </row>
    <row r="12257" spans="10:23" x14ac:dyDescent="0.25">
      <c r="J12257"/>
      <c r="M12257"/>
      <c r="W12257"/>
    </row>
    <row r="12258" spans="10:23" x14ac:dyDescent="0.25">
      <c r="J12258"/>
      <c r="M12258"/>
      <c r="W12258"/>
    </row>
    <row r="12259" spans="10:23" x14ac:dyDescent="0.25">
      <c r="J12259"/>
      <c r="M12259"/>
      <c r="W12259"/>
    </row>
    <row r="12260" spans="10:23" x14ac:dyDescent="0.25">
      <c r="J12260"/>
      <c r="M12260"/>
      <c r="W12260"/>
    </row>
    <row r="12261" spans="10:23" x14ac:dyDescent="0.25">
      <c r="J12261"/>
      <c r="M12261"/>
      <c r="W12261"/>
    </row>
    <row r="12262" spans="10:23" x14ac:dyDescent="0.25">
      <c r="J12262"/>
      <c r="M12262"/>
      <c r="W12262"/>
    </row>
    <row r="12263" spans="10:23" x14ac:dyDescent="0.25">
      <c r="J12263"/>
      <c r="M12263"/>
      <c r="W12263"/>
    </row>
    <row r="12264" spans="10:23" x14ac:dyDescent="0.25">
      <c r="J12264"/>
      <c r="M12264"/>
      <c r="W12264"/>
    </row>
    <row r="12265" spans="10:23" x14ac:dyDescent="0.25">
      <c r="J12265"/>
      <c r="M12265"/>
      <c r="W12265"/>
    </row>
    <row r="12266" spans="10:23" x14ac:dyDescent="0.25">
      <c r="J12266"/>
      <c r="M12266"/>
      <c r="W12266"/>
    </row>
    <row r="12267" spans="10:23" x14ac:dyDescent="0.25">
      <c r="J12267"/>
      <c r="M12267"/>
      <c r="W12267"/>
    </row>
    <row r="12268" spans="10:23" x14ac:dyDescent="0.25">
      <c r="J12268"/>
      <c r="M12268"/>
      <c r="W12268"/>
    </row>
    <row r="12269" spans="10:23" x14ac:dyDescent="0.25">
      <c r="J12269"/>
      <c r="M12269"/>
      <c r="W12269"/>
    </row>
    <row r="12270" spans="10:23" x14ac:dyDescent="0.25">
      <c r="J12270"/>
      <c r="M12270"/>
      <c r="W12270"/>
    </row>
    <row r="12271" spans="10:23" x14ac:dyDescent="0.25">
      <c r="J12271"/>
      <c r="M12271"/>
      <c r="W12271"/>
    </row>
    <row r="12272" spans="10:23" x14ac:dyDescent="0.25">
      <c r="J12272"/>
      <c r="M12272"/>
      <c r="W12272"/>
    </row>
    <row r="12273" spans="10:23" x14ac:dyDescent="0.25">
      <c r="J12273"/>
      <c r="M12273"/>
      <c r="W12273"/>
    </row>
    <row r="12274" spans="10:23" x14ac:dyDescent="0.25">
      <c r="J12274"/>
      <c r="M12274"/>
      <c r="W12274"/>
    </row>
    <row r="12275" spans="10:23" x14ac:dyDescent="0.25">
      <c r="J12275"/>
      <c r="M12275"/>
      <c r="W12275"/>
    </row>
    <row r="12276" spans="10:23" x14ac:dyDescent="0.25">
      <c r="J12276"/>
      <c r="M12276"/>
      <c r="W12276"/>
    </row>
    <row r="12277" spans="10:23" x14ac:dyDescent="0.25">
      <c r="J12277"/>
      <c r="M12277"/>
      <c r="W12277"/>
    </row>
    <row r="12278" spans="10:23" x14ac:dyDescent="0.25">
      <c r="J12278"/>
      <c r="M12278"/>
      <c r="W12278"/>
    </row>
    <row r="12279" spans="10:23" x14ac:dyDescent="0.25">
      <c r="J12279"/>
      <c r="M12279"/>
      <c r="W12279"/>
    </row>
    <row r="12280" spans="10:23" x14ac:dyDescent="0.25">
      <c r="J12280"/>
      <c r="M12280"/>
      <c r="W12280"/>
    </row>
    <row r="12281" spans="10:23" x14ac:dyDescent="0.25">
      <c r="J12281"/>
      <c r="M12281"/>
      <c r="W12281"/>
    </row>
    <row r="12282" spans="10:23" x14ac:dyDescent="0.25">
      <c r="J12282"/>
      <c r="M12282"/>
      <c r="W12282"/>
    </row>
    <row r="12283" spans="10:23" x14ac:dyDescent="0.25">
      <c r="J12283"/>
      <c r="M12283"/>
      <c r="W12283"/>
    </row>
    <row r="12284" spans="10:23" x14ac:dyDescent="0.25">
      <c r="J12284"/>
      <c r="M12284"/>
      <c r="W12284"/>
    </row>
    <row r="12285" spans="10:23" x14ac:dyDescent="0.25">
      <c r="J12285"/>
      <c r="M12285"/>
      <c r="W12285"/>
    </row>
    <row r="12286" spans="10:23" x14ac:dyDescent="0.25">
      <c r="J12286"/>
      <c r="M12286"/>
      <c r="W12286"/>
    </row>
    <row r="12287" spans="10:23" x14ac:dyDescent="0.25">
      <c r="J12287"/>
      <c r="M12287"/>
      <c r="W12287"/>
    </row>
    <row r="12288" spans="10:23" x14ac:dyDescent="0.25">
      <c r="J12288"/>
      <c r="M12288"/>
      <c r="W12288"/>
    </row>
    <row r="12289" spans="10:23" x14ac:dyDescent="0.25">
      <c r="J12289"/>
      <c r="M12289"/>
      <c r="W12289"/>
    </row>
    <row r="12290" spans="10:23" x14ac:dyDescent="0.25">
      <c r="J12290"/>
      <c r="M12290"/>
      <c r="W12290"/>
    </row>
    <row r="12291" spans="10:23" x14ac:dyDescent="0.25">
      <c r="J12291"/>
      <c r="M12291"/>
      <c r="W12291"/>
    </row>
    <row r="12292" spans="10:23" x14ac:dyDescent="0.25">
      <c r="J12292"/>
      <c r="M12292"/>
      <c r="W12292"/>
    </row>
    <row r="12293" spans="10:23" x14ac:dyDescent="0.25">
      <c r="J12293"/>
      <c r="M12293"/>
      <c r="W12293"/>
    </row>
    <row r="12294" spans="10:23" x14ac:dyDescent="0.25">
      <c r="J12294"/>
      <c r="M12294"/>
      <c r="W12294"/>
    </row>
    <row r="12295" spans="10:23" x14ac:dyDescent="0.25">
      <c r="J12295"/>
      <c r="M12295"/>
      <c r="W12295"/>
    </row>
    <row r="12296" spans="10:23" x14ac:dyDescent="0.25">
      <c r="J12296"/>
      <c r="M12296"/>
      <c r="W12296"/>
    </row>
    <row r="12297" spans="10:23" x14ac:dyDescent="0.25">
      <c r="J12297"/>
      <c r="M12297"/>
      <c r="W12297"/>
    </row>
    <row r="12298" spans="10:23" x14ac:dyDescent="0.25">
      <c r="J12298"/>
      <c r="M12298"/>
      <c r="W12298"/>
    </row>
    <row r="12299" spans="10:23" x14ac:dyDescent="0.25">
      <c r="J12299"/>
      <c r="M12299"/>
      <c r="W12299"/>
    </row>
    <row r="12300" spans="10:23" x14ac:dyDescent="0.25">
      <c r="J12300"/>
      <c r="M12300"/>
      <c r="W12300"/>
    </row>
    <row r="12301" spans="10:23" x14ac:dyDescent="0.25">
      <c r="J12301"/>
      <c r="M12301"/>
      <c r="W12301"/>
    </row>
    <row r="12302" spans="10:23" x14ac:dyDescent="0.25">
      <c r="J12302"/>
      <c r="M12302"/>
      <c r="W12302"/>
    </row>
    <row r="12303" spans="10:23" x14ac:dyDescent="0.25">
      <c r="J12303"/>
      <c r="M12303"/>
      <c r="W12303"/>
    </row>
    <row r="12304" spans="10:23" x14ac:dyDescent="0.25">
      <c r="J12304"/>
      <c r="M12304"/>
      <c r="W12304"/>
    </row>
    <row r="12305" spans="10:23" x14ac:dyDescent="0.25">
      <c r="J12305"/>
      <c r="M12305"/>
      <c r="W12305"/>
    </row>
    <row r="12306" spans="10:23" x14ac:dyDescent="0.25">
      <c r="J12306"/>
      <c r="M12306"/>
      <c r="W12306"/>
    </row>
    <row r="12307" spans="10:23" x14ac:dyDescent="0.25">
      <c r="J12307"/>
      <c r="M12307"/>
      <c r="W12307"/>
    </row>
    <row r="12308" spans="10:23" x14ac:dyDescent="0.25">
      <c r="J12308"/>
      <c r="M12308"/>
      <c r="W12308"/>
    </row>
    <row r="12309" spans="10:23" x14ac:dyDescent="0.25">
      <c r="J12309"/>
      <c r="M12309"/>
      <c r="W12309"/>
    </row>
    <row r="12310" spans="10:23" x14ac:dyDescent="0.25">
      <c r="J12310"/>
      <c r="M12310"/>
      <c r="W12310"/>
    </row>
    <row r="12311" spans="10:23" x14ac:dyDescent="0.25">
      <c r="J12311"/>
      <c r="M12311"/>
      <c r="W12311"/>
    </row>
    <row r="12312" spans="10:23" x14ac:dyDescent="0.25">
      <c r="J12312"/>
      <c r="M12312"/>
      <c r="W12312"/>
    </row>
    <row r="12313" spans="10:23" x14ac:dyDescent="0.25">
      <c r="J12313"/>
      <c r="M12313"/>
      <c r="W12313"/>
    </row>
    <row r="12314" spans="10:23" x14ac:dyDescent="0.25">
      <c r="J12314"/>
      <c r="M12314"/>
      <c r="W12314"/>
    </row>
    <row r="12315" spans="10:23" x14ac:dyDescent="0.25">
      <c r="J12315"/>
      <c r="M12315"/>
      <c r="W12315"/>
    </row>
    <row r="12316" spans="10:23" x14ac:dyDescent="0.25">
      <c r="J12316"/>
      <c r="M12316"/>
      <c r="W12316"/>
    </row>
    <row r="12317" spans="10:23" x14ac:dyDescent="0.25">
      <c r="J12317"/>
      <c r="M12317"/>
      <c r="W12317"/>
    </row>
    <row r="12318" spans="10:23" x14ac:dyDescent="0.25">
      <c r="J12318"/>
      <c r="M12318"/>
      <c r="W12318"/>
    </row>
    <row r="12319" spans="10:23" x14ac:dyDescent="0.25">
      <c r="J12319"/>
      <c r="M12319"/>
      <c r="W12319"/>
    </row>
    <row r="12320" spans="10:23" x14ac:dyDescent="0.25">
      <c r="J12320"/>
      <c r="M12320"/>
      <c r="W12320"/>
    </row>
    <row r="12321" spans="10:23" x14ac:dyDescent="0.25">
      <c r="J12321"/>
      <c r="M12321"/>
      <c r="W12321"/>
    </row>
    <row r="12322" spans="10:23" x14ac:dyDescent="0.25">
      <c r="J12322"/>
      <c r="M12322"/>
      <c r="W12322"/>
    </row>
    <row r="12323" spans="10:23" x14ac:dyDescent="0.25">
      <c r="J12323"/>
      <c r="M12323"/>
      <c r="W12323"/>
    </row>
    <row r="12324" spans="10:23" x14ac:dyDescent="0.25">
      <c r="J12324"/>
      <c r="M12324"/>
      <c r="W12324"/>
    </row>
    <row r="12325" spans="10:23" x14ac:dyDescent="0.25">
      <c r="J12325"/>
      <c r="M12325"/>
      <c r="W12325"/>
    </row>
    <row r="12326" spans="10:23" x14ac:dyDescent="0.25">
      <c r="J12326"/>
      <c r="M12326"/>
      <c r="W12326"/>
    </row>
    <row r="12327" spans="10:23" x14ac:dyDescent="0.25">
      <c r="J12327"/>
      <c r="M12327"/>
      <c r="W12327"/>
    </row>
    <row r="12328" spans="10:23" x14ac:dyDescent="0.25">
      <c r="J12328"/>
      <c r="M12328"/>
      <c r="W12328"/>
    </row>
    <row r="12329" spans="10:23" x14ac:dyDescent="0.25">
      <c r="J12329"/>
      <c r="M12329"/>
      <c r="W12329"/>
    </row>
    <row r="12330" spans="10:23" x14ac:dyDescent="0.25">
      <c r="J12330"/>
      <c r="M12330"/>
      <c r="W12330"/>
    </row>
    <row r="12331" spans="10:23" x14ac:dyDescent="0.25">
      <c r="J12331"/>
      <c r="M12331"/>
      <c r="W12331"/>
    </row>
    <row r="12332" spans="10:23" x14ac:dyDescent="0.25">
      <c r="J12332"/>
      <c r="M12332"/>
      <c r="W12332"/>
    </row>
    <row r="12333" spans="10:23" x14ac:dyDescent="0.25">
      <c r="J12333"/>
      <c r="M12333"/>
      <c r="W12333"/>
    </row>
    <row r="12334" spans="10:23" x14ac:dyDescent="0.25">
      <c r="J12334"/>
      <c r="M12334"/>
      <c r="W12334"/>
    </row>
    <row r="12335" spans="10:23" x14ac:dyDescent="0.25">
      <c r="J12335"/>
      <c r="M12335"/>
      <c r="W12335"/>
    </row>
    <row r="12336" spans="10:23" x14ac:dyDescent="0.25">
      <c r="J12336"/>
      <c r="M12336"/>
      <c r="W12336"/>
    </row>
    <row r="12337" spans="10:23" x14ac:dyDescent="0.25">
      <c r="J12337"/>
      <c r="M12337"/>
      <c r="W12337"/>
    </row>
    <row r="12338" spans="10:23" x14ac:dyDescent="0.25">
      <c r="J12338"/>
      <c r="M12338"/>
      <c r="W12338"/>
    </row>
    <row r="12339" spans="10:23" x14ac:dyDescent="0.25">
      <c r="J12339"/>
      <c r="M12339"/>
      <c r="W12339"/>
    </row>
    <row r="12340" spans="10:23" x14ac:dyDescent="0.25">
      <c r="J12340"/>
      <c r="M12340"/>
      <c r="W12340"/>
    </row>
    <row r="12341" spans="10:23" x14ac:dyDescent="0.25">
      <c r="J12341"/>
      <c r="M12341"/>
      <c r="W12341"/>
    </row>
    <row r="12342" spans="10:23" x14ac:dyDescent="0.25">
      <c r="J12342"/>
      <c r="M12342"/>
      <c r="W12342"/>
    </row>
    <row r="12343" spans="10:23" x14ac:dyDescent="0.25">
      <c r="J12343"/>
      <c r="M12343"/>
      <c r="W12343"/>
    </row>
    <row r="12344" spans="10:23" x14ac:dyDescent="0.25">
      <c r="J12344"/>
      <c r="M12344"/>
      <c r="W12344"/>
    </row>
    <row r="12345" spans="10:23" x14ac:dyDescent="0.25">
      <c r="J12345"/>
      <c r="M12345"/>
      <c r="W12345"/>
    </row>
    <row r="12346" spans="10:23" x14ac:dyDescent="0.25">
      <c r="J12346"/>
      <c r="M12346"/>
      <c r="W12346"/>
    </row>
    <row r="12347" spans="10:23" x14ac:dyDescent="0.25">
      <c r="J12347"/>
      <c r="M12347"/>
      <c r="W12347"/>
    </row>
    <row r="12348" spans="10:23" x14ac:dyDescent="0.25">
      <c r="J12348"/>
      <c r="M12348"/>
      <c r="W12348"/>
    </row>
    <row r="12349" spans="10:23" x14ac:dyDescent="0.25">
      <c r="J12349"/>
      <c r="M12349"/>
      <c r="W12349"/>
    </row>
    <row r="12350" spans="10:23" x14ac:dyDescent="0.25">
      <c r="J12350"/>
      <c r="M12350"/>
      <c r="W12350"/>
    </row>
    <row r="12351" spans="10:23" x14ac:dyDescent="0.25">
      <c r="J12351"/>
      <c r="M12351"/>
      <c r="W12351"/>
    </row>
    <row r="12352" spans="10:23" x14ac:dyDescent="0.25">
      <c r="J12352"/>
      <c r="M12352"/>
      <c r="W12352"/>
    </row>
    <row r="12353" spans="10:23" x14ac:dyDescent="0.25">
      <c r="J12353"/>
      <c r="M12353"/>
      <c r="W12353"/>
    </row>
    <row r="12354" spans="10:23" x14ac:dyDescent="0.25">
      <c r="J12354"/>
      <c r="M12354"/>
      <c r="W12354"/>
    </row>
    <row r="12355" spans="10:23" x14ac:dyDescent="0.25">
      <c r="J12355"/>
      <c r="M12355"/>
      <c r="W12355"/>
    </row>
    <row r="12356" spans="10:23" x14ac:dyDescent="0.25">
      <c r="J12356"/>
      <c r="M12356"/>
      <c r="W12356"/>
    </row>
    <row r="12357" spans="10:23" x14ac:dyDescent="0.25">
      <c r="J12357"/>
      <c r="M12357"/>
      <c r="W12357"/>
    </row>
    <row r="12358" spans="10:23" x14ac:dyDescent="0.25">
      <c r="J12358"/>
      <c r="M12358"/>
      <c r="W12358"/>
    </row>
    <row r="12359" spans="10:23" x14ac:dyDescent="0.25">
      <c r="J12359"/>
      <c r="M12359"/>
      <c r="W12359"/>
    </row>
    <row r="12360" spans="10:23" x14ac:dyDescent="0.25">
      <c r="J12360"/>
      <c r="M12360"/>
      <c r="W12360"/>
    </row>
    <row r="12361" spans="10:23" x14ac:dyDescent="0.25">
      <c r="J12361"/>
      <c r="M12361"/>
      <c r="W12361"/>
    </row>
    <row r="12362" spans="10:23" x14ac:dyDescent="0.25">
      <c r="J12362"/>
      <c r="M12362"/>
      <c r="W12362"/>
    </row>
    <row r="12363" spans="10:23" x14ac:dyDescent="0.25">
      <c r="J12363"/>
      <c r="M12363"/>
      <c r="W12363"/>
    </row>
    <row r="12364" spans="10:23" x14ac:dyDescent="0.25">
      <c r="J12364"/>
      <c r="M12364"/>
      <c r="W12364"/>
    </row>
    <row r="12365" spans="10:23" x14ac:dyDescent="0.25">
      <c r="J12365"/>
      <c r="M12365"/>
      <c r="W12365"/>
    </row>
    <row r="12366" spans="10:23" x14ac:dyDescent="0.25">
      <c r="J12366"/>
      <c r="M12366"/>
      <c r="W12366"/>
    </row>
    <row r="12367" spans="10:23" x14ac:dyDescent="0.25">
      <c r="J12367"/>
      <c r="M12367"/>
      <c r="W12367"/>
    </row>
    <row r="12368" spans="10:23" x14ac:dyDescent="0.25">
      <c r="J12368"/>
      <c r="M12368"/>
      <c r="W12368"/>
    </row>
    <row r="12369" spans="10:23" x14ac:dyDescent="0.25">
      <c r="J12369"/>
      <c r="M12369"/>
      <c r="W12369"/>
    </row>
    <row r="12370" spans="10:23" x14ac:dyDescent="0.25">
      <c r="J12370"/>
      <c r="M12370"/>
      <c r="W12370"/>
    </row>
    <row r="12371" spans="10:23" x14ac:dyDescent="0.25">
      <c r="J12371"/>
      <c r="M12371"/>
      <c r="W12371"/>
    </row>
    <row r="12372" spans="10:23" x14ac:dyDescent="0.25">
      <c r="J12372"/>
      <c r="M12372"/>
      <c r="W12372"/>
    </row>
    <row r="12373" spans="10:23" x14ac:dyDescent="0.25">
      <c r="J12373"/>
      <c r="M12373"/>
      <c r="W12373"/>
    </row>
    <row r="12374" spans="10:23" x14ac:dyDescent="0.25">
      <c r="J12374"/>
      <c r="M12374"/>
      <c r="W12374"/>
    </row>
    <row r="12375" spans="10:23" x14ac:dyDescent="0.25">
      <c r="J12375"/>
      <c r="M12375"/>
      <c r="W12375"/>
    </row>
    <row r="12376" spans="10:23" x14ac:dyDescent="0.25">
      <c r="J12376"/>
      <c r="M12376"/>
      <c r="W12376"/>
    </row>
    <row r="12377" spans="10:23" x14ac:dyDescent="0.25">
      <c r="J12377"/>
      <c r="M12377"/>
      <c r="W12377"/>
    </row>
    <row r="12378" spans="10:23" x14ac:dyDescent="0.25">
      <c r="J12378"/>
      <c r="M12378"/>
      <c r="W12378"/>
    </row>
    <row r="12379" spans="10:23" x14ac:dyDescent="0.25">
      <c r="J12379"/>
      <c r="M12379"/>
      <c r="W12379"/>
    </row>
    <row r="12380" spans="10:23" x14ac:dyDescent="0.25">
      <c r="J12380"/>
      <c r="M12380"/>
      <c r="W12380"/>
    </row>
    <row r="12381" spans="10:23" x14ac:dyDescent="0.25">
      <c r="J12381"/>
      <c r="M12381"/>
      <c r="W12381"/>
    </row>
    <row r="12382" spans="10:23" x14ac:dyDescent="0.25">
      <c r="J12382"/>
      <c r="M12382"/>
      <c r="W12382"/>
    </row>
    <row r="12383" spans="10:23" x14ac:dyDescent="0.25">
      <c r="J12383"/>
      <c r="M12383"/>
      <c r="W12383"/>
    </row>
    <row r="12384" spans="10:23" x14ac:dyDescent="0.25">
      <c r="J12384"/>
      <c r="M12384"/>
      <c r="W12384"/>
    </row>
    <row r="12385" spans="10:23" x14ac:dyDescent="0.25">
      <c r="J12385"/>
      <c r="M12385"/>
      <c r="W12385"/>
    </row>
    <row r="12386" spans="10:23" x14ac:dyDescent="0.25">
      <c r="J12386"/>
      <c r="M12386"/>
      <c r="W12386"/>
    </row>
    <row r="12387" spans="10:23" x14ac:dyDescent="0.25">
      <c r="J12387"/>
      <c r="M12387"/>
      <c r="W12387"/>
    </row>
    <row r="12388" spans="10:23" x14ac:dyDescent="0.25">
      <c r="J12388"/>
      <c r="M12388"/>
      <c r="W12388"/>
    </row>
    <row r="12389" spans="10:23" x14ac:dyDescent="0.25">
      <c r="J12389"/>
      <c r="M12389"/>
      <c r="W12389"/>
    </row>
    <row r="12390" spans="10:23" x14ac:dyDescent="0.25">
      <c r="J12390"/>
      <c r="M12390"/>
      <c r="W12390"/>
    </row>
    <row r="12391" spans="10:23" x14ac:dyDescent="0.25">
      <c r="J12391"/>
      <c r="M12391"/>
      <c r="W12391"/>
    </row>
    <row r="12392" spans="10:23" x14ac:dyDescent="0.25">
      <c r="J12392"/>
      <c r="M12392"/>
      <c r="W12392"/>
    </row>
    <row r="12393" spans="10:23" x14ac:dyDescent="0.25">
      <c r="J12393"/>
      <c r="M12393"/>
      <c r="W12393"/>
    </row>
    <row r="12394" spans="10:23" x14ac:dyDescent="0.25">
      <c r="J12394"/>
      <c r="M12394"/>
      <c r="W12394"/>
    </row>
    <row r="12395" spans="10:23" x14ac:dyDescent="0.25">
      <c r="J12395"/>
      <c r="M12395"/>
      <c r="W12395"/>
    </row>
    <row r="12396" spans="10:23" x14ac:dyDescent="0.25">
      <c r="J12396"/>
      <c r="M12396"/>
      <c r="W12396"/>
    </row>
    <row r="12397" spans="10:23" x14ac:dyDescent="0.25">
      <c r="J12397"/>
      <c r="M12397"/>
      <c r="W12397"/>
    </row>
    <row r="12398" spans="10:23" x14ac:dyDescent="0.25">
      <c r="J12398"/>
      <c r="M12398"/>
      <c r="W12398"/>
    </row>
    <row r="12399" spans="10:23" x14ac:dyDescent="0.25">
      <c r="J12399"/>
      <c r="M12399"/>
      <c r="W12399"/>
    </row>
    <row r="12400" spans="10:23" x14ac:dyDescent="0.25">
      <c r="J12400"/>
      <c r="M12400"/>
      <c r="W12400"/>
    </row>
    <row r="12401" spans="10:23" x14ac:dyDescent="0.25">
      <c r="J12401"/>
      <c r="M12401"/>
      <c r="W12401"/>
    </row>
    <row r="12402" spans="10:23" x14ac:dyDescent="0.25">
      <c r="J12402"/>
      <c r="M12402"/>
      <c r="W12402"/>
    </row>
    <row r="12403" spans="10:23" x14ac:dyDescent="0.25">
      <c r="J12403"/>
      <c r="M12403"/>
      <c r="W12403"/>
    </row>
    <row r="12404" spans="10:23" x14ac:dyDescent="0.25">
      <c r="J12404"/>
      <c r="M12404"/>
      <c r="W12404"/>
    </row>
    <row r="12405" spans="10:23" x14ac:dyDescent="0.25">
      <c r="J12405"/>
      <c r="M12405"/>
      <c r="W12405"/>
    </row>
    <row r="12406" spans="10:23" x14ac:dyDescent="0.25">
      <c r="J12406"/>
      <c r="M12406"/>
      <c r="W12406"/>
    </row>
    <row r="12407" spans="10:23" x14ac:dyDescent="0.25">
      <c r="J12407"/>
      <c r="M12407"/>
      <c r="W12407"/>
    </row>
    <row r="12408" spans="10:23" x14ac:dyDescent="0.25">
      <c r="J12408"/>
      <c r="M12408"/>
      <c r="W12408"/>
    </row>
    <row r="12409" spans="10:23" x14ac:dyDescent="0.25">
      <c r="J12409"/>
      <c r="M12409"/>
      <c r="W12409"/>
    </row>
    <row r="12410" spans="10:23" x14ac:dyDescent="0.25">
      <c r="J12410"/>
      <c r="M12410"/>
      <c r="W12410"/>
    </row>
    <row r="12411" spans="10:23" x14ac:dyDescent="0.25">
      <c r="J12411"/>
      <c r="M12411"/>
      <c r="W12411"/>
    </row>
    <row r="12412" spans="10:23" x14ac:dyDescent="0.25">
      <c r="J12412"/>
      <c r="M12412"/>
      <c r="W12412"/>
    </row>
    <row r="12413" spans="10:23" x14ac:dyDescent="0.25">
      <c r="J12413"/>
      <c r="M12413"/>
      <c r="W12413"/>
    </row>
    <row r="12414" spans="10:23" x14ac:dyDescent="0.25">
      <c r="J12414"/>
      <c r="M12414"/>
      <c r="W12414"/>
    </row>
    <row r="12415" spans="10:23" x14ac:dyDescent="0.25">
      <c r="J12415"/>
      <c r="M12415"/>
      <c r="W12415"/>
    </row>
    <row r="12416" spans="10:23" x14ac:dyDescent="0.25">
      <c r="J12416"/>
      <c r="M12416"/>
      <c r="W12416"/>
    </row>
    <row r="12417" spans="10:23" x14ac:dyDescent="0.25">
      <c r="J12417"/>
      <c r="M12417"/>
      <c r="W12417"/>
    </row>
    <row r="12418" spans="10:23" x14ac:dyDescent="0.25">
      <c r="J12418"/>
      <c r="M12418"/>
      <c r="W12418"/>
    </row>
    <row r="12419" spans="10:23" x14ac:dyDescent="0.25">
      <c r="J12419"/>
      <c r="M12419"/>
      <c r="W12419"/>
    </row>
    <row r="12420" spans="10:23" x14ac:dyDescent="0.25">
      <c r="J12420"/>
      <c r="M12420"/>
      <c r="W12420"/>
    </row>
    <row r="12421" spans="10:23" x14ac:dyDescent="0.25">
      <c r="J12421"/>
      <c r="M12421"/>
      <c r="W12421"/>
    </row>
    <row r="12422" spans="10:23" x14ac:dyDescent="0.25">
      <c r="J12422"/>
      <c r="M12422"/>
      <c r="W12422"/>
    </row>
    <row r="12423" spans="10:23" x14ac:dyDescent="0.25">
      <c r="J12423"/>
      <c r="M12423"/>
      <c r="W12423"/>
    </row>
    <row r="12424" spans="10:23" x14ac:dyDescent="0.25">
      <c r="J12424"/>
      <c r="M12424"/>
      <c r="W12424"/>
    </row>
    <row r="12425" spans="10:23" x14ac:dyDescent="0.25">
      <c r="J12425"/>
      <c r="M12425"/>
      <c r="W12425"/>
    </row>
    <row r="12426" spans="10:23" x14ac:dyDescent="0.25">
      <c r="J12426"/>
      <c r="M12426"/>
      <c r="W12426"/>
    </row>
    <row r="12427" spans="10:23" x14ac:dyDescent="0.25">
      <c r="J12427"/>
      <c r="M12427"/>
      <c r="W12427"/>
    </row>
    <row r="12428" spans="10:23" x14ac:dyDescent="0.25">
      <c r="J12428"/>
      <c r="M12428"/>
      <c r="W12428"/>
    </row>
    <row r="12429" spans="10:23" x14ac:dyDescent="0.25">
      <c r="J12429"/>
      <c r="M12429"/>
      <c r="W12429"/>
    </row>
    <row r="12430" spans="10:23" x14ac:dyDescent="0.25">
      <c r="J12430"/>
      <c r="M12430"/>
      <c r="W12430"/>
    </row>
    <row r="12431" spans="10:23" x14ac:dyDescent="0.25">
      <c r="J12431"/>
      <c r="M12431"/>
      <c r="W12431"/>
    </row>
    <row r="12432" spans="10:23" x14ac:dyDescent="0.25">
      <c r="J12432"/>
      <c r="M12432"/>
      <c r="W12432"/>
    </row>
    <row r="12433" spans="10:23" x14ac:dyDescent="0.25">
      <c r="J12433"/>
      <c r="M12433"/>
      <c r="W12433"/>
    </row>
    <row r="12434" spans="10:23" x14ac:dyDescent="0.25">
      <c r="J12434"/>
      <c r="M12434"/>
      <c r="W12434"/>
    </row>
    <row r="12435" spans="10:23" x14ac:dyDescent="0.25">
      <c r="J12435"/>
      <c r="M12435"/>
      <c r="W12435"/>
    </row>
    <row r="12436" spans="10:23" x14ac:dyDescent="0.25">
      <c r="J12436"/>
      <c r="M12436"/>
      <c r="W12436"/>
    </row>
    <row r="12437" spans="10:23" x14ac:dyDescent="0.25">
      <c r="J12437"/>
      <c r="M12437"/>
      <c r="W12437"/>
    </row>
    <row r="12438" spans="10:23" x14ac:dyDescent="0.25">
      <c r="J12438"/>
      <c r="M12438"/>
      <c r="W12438"/>
    </row>
    <row r="12439" spans="10:23" x14ac:dyDescent="0.25">
      <c r="J12439"/>
      <c r="M12439"/>
      <c r="W12439"/>
    </row>
    <row r="12440" spans="10:23" x14ac:dyDescent="0.25">
      <c r="J12440"/>
      <c r="M12440"/>
      <c r="W12440"/>
    </row>
    <row r="12441" spans="10:23" x14ac:dyDescent="0.25">
      <c r="J12441"/>
      <c r="M12441"/>
      <c r="W12441"/>
    </row>
    <row r="12442" spans="10:23" x14ac:dyDescent="0.25">
      <c r="J12442"/>
      <c r="M12442"/>
      <c r="W12442"/>
    </row>
    <row r="12443" spans="10:23" x14ac:dyDescent="0.25">
      <c r="J12443"/>
      <c r="M12443"/>
      <c r="W12443"/>
    </row>
    <row r="12444" spans="10:23" x14ac:dyDescent="0.25">
      <c r="J12444"/>
      <c r="M12444"/>
      <c r="W12444"/>
    </row>
    <row r="12445" spans="10:23" x14ac:dyDescent="0.25">
      <c r="J12445"/>
      <c r="M12445"/>
      <c r="W12445"/>
    </row>
    <row r="12446" spans="10:23" x14ac:dyDescent="0.25">
      <c r="J12446"/>
      <c r="M12446"/>
      <c r="W12446"/>
    </row>
    <row r="12447" spans="10:23" x14ac:dyDescent="0.25">
      <c r="J12447"/>
      <c r="M12447"/>
      <c r="W12447"/>
    </row>
    <row r="12448" spans="10:23" x14ac:dyDescent="0.25">
      <c r="J12448"/>
      <c r="M12448"/>
      <c r="W12448"/>
    </row>
    <row r="12449" spans="10:23" x14ac:dyDescent="0.25">
      <c r="J12449"/>
      <c r="M12449"/>
      <c r="W12449"/>
    </row>
    <row r="12450" spans="10:23" x14ac:dyDescent="0.25">
      <c r="J12450"/>
      <c r="M12450"/>
      <c r="W12450"/>
    </row>
    <row r="12451" spans="10:23" x14ac:dyDescent="0.25">
      <c r="J12451"/>
      <c r="M12451"/>
      <c r="W12451"/>
    </row>
    <row r="12452" spans="10:23" x14ac:dyDescent="0.25">
      <c r="J12452"/>
      <c r="M12452"/>
      <c r="W12452"/>
    </row>
    <row r="12453" spans="10:23" x14ac:dyDescent="0.25">
      <c r="J12453"/>
      <c r="M12453"/>
      <c r="W12453"/>
    </row>
    <row r="12454" spans="10:23" x14ac:dyDescent="0.25">
      <c r="J12454"/>
      <c r="M12454"/>
      <c r="W12454"/>
    </row>
    <row r="12455" spans="10:23" x14ac:dyDescent="0.25">
      <c r="J12455"/>
      <c r="M12455"/>
      <c r="W12455"/>
    </row>
    <row r="12456" spans="10:23" x14ac:dyDescent="0.25">
      <c r="J12456"/>
      <c r="M12456"/>
      <c r="W12456"/>
    </row>
    <row r="12457" spans="10:23" x14ac:dyDescent="0.25">
      <c r="J12457"/>
      <c r="M12457"/>
      <c r="W12457"/>
    </row>
    <row r="12458" spans="10:23" x14ac:dyDescent="0.25">
      <c r="J12458"/>
      <c r="M12458"/>
      <c r="W12458"/>
    </row>
    <row r="12459" spans="10:23" x14ac:dyDescent="0.25">
      <c r="J12459"/>
      <c r="M12459"/>
      <c r="W12459"/>
    </row>
    <row r="12460" spans="10:23" x14ac:dyDescent="0.25">
      <c r="J12460"/>
      <c r="M12460"/>
      <c r="W12460"/>
    </row>
    <row r="12461" spans="10:23" x14ac:dyDescent="0.25">
      <c r="J12461"/>
      <c r="M12461"/>
      <c r="W12461"/>
    </row>
    <row r="12462" spans="10:23" x14ac:dyDescent="0.25">
      <c r="J12462"/>
      <c r="M12462"/>
      <c r="W12462"/>
    </row>
    <row r="12463" spans="10:23" x14ac:dyDescent="0.25">
      <c r="J12463"/>
      <c r="M12463"/>
      <c r="W12463"/>
    </row>
    <row r="12464" spans="10:23" x14ac:dyDescent="0.25">
      <c r="J12464"/>
      <c r="M12464"/>
      <c r="W12464"/>
    </row>
    <row r="12465" spans="10:23" x14ac:dyDescent="0.25">
      <c r="J12465"/>
      <c r="M12465"/>
      <c r="W12465"/>
    </row>
    <row r="12466" spans="10:23" x14ac:dyDescent="0.25">
      <c r="J12466"/>
      <c r="M12466"/>
      <c r="W12466"/>
    </row>
    <row r="12467" spans="10:23" x14ac:dyDescent="0.25">
      <c r="J12467"/>
      <c r="M12467"/>
      <c r="W12467"/>
    </row>
    <row r="12468" spans="10:23" x14ac:dyDescent="0.25">
      <c r="J12468"/>
      <c r="M12468"/>
      <c r="W12468"/>
    </row>
    <row r="12469" spans="10:23" x14ac:dyDescent="0.25">
      <c r="J12469"/>
      <c r="M12469"/>
      <c r="W12469"/>
    </row>
    <row r="12470" spans="10:23" x14ac:dyDescent="0.25">
      <c r="J12470"/>
      <c r="M12470"/>
      <c r="W12470"/>
    </row>
    <row r="12471" spans="10:23" x14ac:dyDescent="0.25">
      <c r="J12471"/>
      <c r="M12471"/>
      <c r="W12471"/>
    </row>
    <row r="12472" spans="10:23" x14ac:dyDescent="0.25">
      <c r="J12472"/>
      <c r="M12472"/>
      <c r="W12472"/>
    </row>
    <row r="12473" spans="10:23" x14ac:dyDescent="0.25">
      <c r="J12473"/>
      <c r="M12473"/>
      <c r="W12473"/>
    </row>
    <row r="12474" spans="10:23" x14ac:dyDescent="0.25">
      <c r="J12474"/>
      <c r="M12474"/>
      <c r="W12474"/>
    </row>
    <row r="12475" spans="10:23" x14ac:dyDescent="0.25">
      <c r="J12475"/>
      <c r="M12475"/>
      <c r="W12475"/>
    </row>
    <row r="12476" spans="10:23" x14ac:dyDescent="0.25">
      <c r="J12476"/>
      <c r="M12476"/>
      <c r="W12476"/>
    </row>
    <row r="12477" spans="10:23" x14ac:dyDescent="0.25">
      <c r="J12477"/>
      <c r="M12477"/>
      <c r="W12477"/>
    </row>
    <row r="12478" spans="10:23" x14ac:dyDescent="0.25">
      <c r="J12478"/>
      <c r="M12478"/>
      <c r="W12478"/>
    </row>
    <row r="12479" spans="10:23" x14ac:dyDescent="0.25">
      <c r="J12479"/>
      <c r="M12479"/>
      <c r="W12479"/>
    </row>
    <row r="12480" spans="10:23" x14ac:dyDescent="0.25">
      <c r="J12480"/>
      <c r="M12480"/>
      <c r="W12480"/>
    </row>
    <row r="12481" spans="10:23" x14ac:dyDescent="0.25">
      <c r="J12481"/>
      <c r="M12481"/>
      <c r="W12481"/>
    </row>
    <row r="12482" spans="10:23" x14ac:dyDescent="0.25">
      <c r="J12482"/>
      <c r="M12482"/>
      <c r="W12482"/>
    </row>
    <row r="12483" spans="10:23" x14ac:dyDescent="0.25">
      <c r="J12483"/>
      <c r="M12483"/>
      <c r="W12483"/>
    </row>
    <row r="12484" spans="10:23" x14ac:dyDescent="0.25">
      <c r="J12484"/>
      <c r="M12484"/>
      <c r="W12484"/>
    </row>
    <row r="12485" spans="10:23" x14ac:dyDescent="0.25">
      <c r="J12485"/>
      <c r="M12485"/>
      <c r="W12485"/>
    </row>
    <row r="12486" spans="10:23" x14ac:dyDescent="0.25">
      <c r="J12486"/>
      <c r="M12486"/>
      <c r="W12486"/>
    </row>
    <row r="12487" spans="10:23" x14ac:dyDescent="0.25">
      <c r="J12487"/>
      <c r="M12487"/>
      <c r="W12487"/>
    </row>
    <row r="12488" spans="10:23" x14ac:dyDescent="0.25">
      <c r="J12488"/>
      <c r="M12488"/>
      <c r="W12488"/>
    </row>
    <row r="12489" spans="10:23" x14ac:dyDescent="0.25">
      <c r="J12489"/>
      <c r="M12489"/>
      <c r="W12489"/>
    </row>
    <row r="12490" spans="10:23" x14ac:dyDescent="0.25">
      <c r="J12490"/>
      <c r="M12490"/>
      <c r="W12490"/>
    </row>
    <row r="12491" spans="10:23" x14ac:dyDescent="0.25">
      <c r="J12491"/>
      <c r="M12491"/>
      <c r="W12491"/>
    </row>
    <row r="12492" spans="10:23" x14ac:dyDescent="0.25">
      <c r="J12492"/>
      <c r="M12492"/>
      <c r="W12492"/>
    </row>
    <row r="12493" spans="10:23" x14ac:dyDescent="0.25">
      <c r="J12493"/>
      <c r="M12493"/>
      <c r="W12493"/>
    </row>
    <row r="12494" spans="10:23" x14ac:dyDescent="0.25">
      <c r="J12494"/>
      <c r="M12494"/>
      <c r="W12494"/>
    </row>
    <row r="12495" spans="10:23" x14ac:dyDescent="0.25">
      <c r="J12495"/>
      <c r="M12495"/>
      <c r="W12495"/>
    </row>
    <row r="12496" spans="10:23" x14ac:dyDescent="0.25">
      <c r="J12496"/>
      <c r="M12496"/>
      <c r="W12496"/>
    </row>
    <row r="12497" spans="10:23" x14ac:dyDescent="0.25">
      <c r="J12497"/>
      <c r="M12497"/>
      <c r="W12497"/>
    </row>
    <row r="12498" spans="10:23" x14ac:dyDescent="0.25">
      <c r="J12498"/>
      <c r="M12498"/>
      <c r="W12498"/>
    </row>
    <row r="12499" spans="10:23" x14ac:dyDescent="0.25">
      <c r="J12499"/>
      <c r="M12499"/>
      <c r="W12499"/>
    </row>
    <row r="12500" spans="10:23" x14ac:dyDescent="0.25">
      <c r="J12500"/>
      <c r="M12500"/>
      <c r="W12500"/>
    </row>
    <row r="12501" spans="10:23" x14ac:dyDescent="0.25">
      <c r="J12501"/>
      <c r="M12501"/>
      <c r="W12501"/>
    </row>
    <row r="12502" spans="10:23" x14ac:dyDescent="0.25">
      <c r="J12502"/>
      <c r="M12502"/>
      <c r="W12502"/>
    </row>
    <row r="12503" spans="10:23" x14ac:dyDescent="0.25">
      <c r="J12503"/>
      <c r="M12503"/>
      <c r="W12503"/>
    </row>
    <row r="12504" spans="10:23" x14ac:dyDescent="0.25">
      <c r="J12504"/>
      <c r="M12504"/>
      <c r="W12504"/>
    </row>
    <row r="12505" spans="10:23" x14ac:dyDescent="0.25">
      <c r="J12505"/>
      <c r="M12505"/>
      <c r="W12505"/>
    </row>
    <row r="12506" spans="10:23" x14ac:dyDescent="0.25">
      <c r="J12506"/>
      <c r="M12506"/>
      <c r="W12506"/>
    </row>
    <row r="12507" spans="10:23" x14ac:dyDescent="0.25">
      <c r="J12507"/>
      <c r="M12507"/>
      <c r="W12507"/>
    </row>
    <row r="12508" spans="10:23" x14ac:dyDescent="0.25">
      <c r="J12508"/>
      <c r="M12508"/>
      <c r="W12508"/>
    </row>
    <row r="12509" spans="10:23" x14ac:dyDescent="0.25">
      <c r="J12509"/>
      <c r="M12509"/>
      <c r="W12509"/>
    </row>
    <row r="12510" spans="10:23" x14ac:dyDescent="0.25">
      <c r="J12510"/>
      <c r="M12510"/>
      <c r="W12510"/>
    </row>
    <row r="12511" spans="10:23" x14ac:dyDescent="0.25">
      <c r="J12511"/>
      <c r="M12511"/>
      <c r="W12511"/>
    </row>
    <row r="12512" spans="10:23" x14ac:dyDescent="0.25">
      <c r="J12512"/>
      <c r="M12512"/>
      <c r="W12512"/>
    </row>
    <row r="12513" spans="10:23" x14ac:dyDescent="0.25">
      <c r="J12513"/>
      <c r="M12513"/>
      <c r="W12513"/>
    </row>
    <row r="12514" spans="10:23" x14ac:dyDescent="0.25">
      <c r="J12514"/>
      <c r="M12514"/>
      <c r="W12514"/>
    </row>
    <row r="12515" spans="10:23" x14ac:dyDescent="0.25">
      <c r="J12515"/>
      <c r="M12515"/>
      <c r="W12515"/>
    </row>
    <row r="12516" spans="10:23" x14ac:dyDescent="0.25">
      <c r="J12516"/>
      <c r="M12516"/>
      <c r="W12516"/>
    </row>
    <row r="12517" spans="10:23" x14ac:dyDescent="0.25">
      <c r="J12517"/>
      <c r="M12517"/>
      <c r="W12517"/>
    </row>
    <row r="12518" spans="10:23" x14ac:dyDescent="0.25">
      <c r="J12518"/>
      <c r="M12518"/>
      <c r="W12518"/>
    </row>
    <row r="12519" spans="10:23" x14ac:dyDescent="0.25">
      <c r="J12519"/>
      <c r="M12519"/>
      <c r="W12519"/>
    </row>
    <row r="12520" spans="10:23" x14ac:dyDescent="0.25">
      <c r="J12520"/>
      <c r="M12520"/>
      <c r="W12520"/>
    </row>
    <row r="12521" spans="10:23" x14ac:dyDescent="0.25">
      <c r="J12521"/>
      <c r="M12521"/>
      <c r="W12521"/>
    </row>
    <row r="12522" spans="10:23" x14ac:dyDescent="0.25">
      <c r="J12522"/>
      <c r="M12522"/>
      <c r="W12522"/>
    </row>
    <row r="12523" spans="10:23" x14ac:dyDescent="0.25">
      <c r="J12523"/>
      <c r="M12523"/>
      <c r="W12523"/>
    </row>
    <row r="12524" spans="10:23" x14ac:dyDescent="0.25">
      <c r="J12524"/>
      <c r="M12524"/>
      <c r="W12524"/>
    </row>
    <row r="12525" spans="10:23" x14ac:dyDescent="0.25">
      <c r="J12525"/>
      <c r="M12525"/>
      <c r="W12525"/>
    </row>
    <row r="12526" spans="10:23" x14ac:dyDescent="0.25">
      <c r="J12526"/>
      <c r="M12526"/>
      <c r="W12526"/>
    </row>
    <row r="12527" spans="10:23" x14ac:dyDescent="0.25">
      <c r="J12527"/>
      <c r="M12527"/>
      <c r="W12527"/>
    </row>
    <row r="12528" spans="10:23" x14ac:dyDescent="0.25">
      <c r="J12528"/>
      <c r="M12528"/>
      <c r="W12528"/>
    </row>
    <row r="12529" spans="10:23" x14ac:dyDescent="0.25">
      <c r="J12529"/>
      <c r="M12529"/>
      <c r="W12529"/>
    </row>
    <row r="12530" spans="10:23" x14ac:dyDescent="0.25">
      <c r="J12530"/>
      <c r="M12530"/>
      <c r="W12530"/>
    </row>
    <row r="12531" spans="10:23" x14ac:dyDescent="0.25">
      <c r="J12531"/>
      <c r="M12531"/>
      <c r="W12531"/>
    </row>
    <row r="12532" spans="10:23" x14ac:dyDescent="0.25">
      <c r="J12532"/>
      <c r="M12532"/>
      <c r="W12532"/>
    </row>
    <row r="12533" spans="10:23" x14ac:dyDescent="0.25">
      <c r="J12533"/>
      <c r="M12533"/>
      <c r="W12533"/>
    </row>
    <row r="12534" spans="10:23" x14ac:dyDescent="0.25">
      <c r="J12534"/>
      <c r="M12534"/>
      <c r="W12534"/>
    </row>
    <row r="12535" spans="10:23" x14ac:dyDescent="0.25">
      <c r="J12535"/>
      <c r="M12535"/>
      <c r="W12535"/>
    </row>
    <row r="12536" spans="10:23" x14ac:dyDescent="0.25">
      <c r="J12536"/>
      <c r="M12536"/>
      <c r="W12536"/>
    </row>
    <row r="12537" spans="10:23" x14ac:dyDescent="0.25">
      <c r="J12537"/>
      <c r="M12537"/>
      <c r="W12537"/>
    </row>
    <row r="12538" spans="10:23" x14ac:dyDescent="0.25">
      <c r="J12538"/>
      <c r="M12538"/>
      <c r="W12538"/>
    </row>
    <row r="12539" spans="10:23" x14ac:dyDescent="0.25">
      <c r="J12539"/>
      <c r="M12539"/>
      <c r="W12539"/>
    </row>
    <row r="12540" spans="10:23" x14ac:dyDescent="0.25">
      <c r="J12540"/>
      <c r="M12540"/>
      <c r="W12540"/>
    </row>
    <row r="12541" spans="10:23" x14ac:dyDescent="0.25">
      <c r="J12541"/>
      <c r="M12541"/>
      <c r="W12541"/>
    </row>
    <row r="12542" spans="10:23" x14ac:dyDescent="0.25">
      <c r="J12542"/>
      <c r="M12542"/>
      <c r="W12542"/>
    </row>
    <row r="12543" spans="10:23" x14ac:dyDescent="0.25">
      <c r="J12543"/>
      <c r="M12543"/>
      <c r="W12543"/>
    </row>
    <row r="12544" spans="10:23" x14ac:dyDescent="0.25">
      <c r="J12544"/>
      <c r="M12544"/>
      <c r="W12544"/>
    </row>
    <row r="12545" spans="10:23" x14ac:dyDescent="0.25">
      <c r="J12545"/>
      <c r="M12545"/>
      <c r="W12545"/>
    </row>
    <row r="12546" spans="10:23" x14ac:dyDescent="0.25">
      <c r="J12546"/>
      <c r="M12546"/>
      <c r="W12546"/>
    </row>
    <row r="12547" spans="10:23" x14ac:dyDescent="0.25">
      <c r="J12547"/>
      <c r="M12547"/>
      <c r="W12547"/>
    </row>
    <row r="12548" spans="10:23" x14ac:dyDescent="0.25">
      <c r="J12548"/>
      <c r="M12548"/>
      <c r="W12548"/>
    </row>
    <row r="12549" spans="10:23" x14ac:dyDescent="0.25">
      <c r="J12549"/>
      <c r="M12549"/>
      <c r="W12549"/>
    </row>
    <row r="12550" spans="10:23" x14ac:dyDescent="0.25">
      <c r="J12550"/>
      <c r="M12550"/>
      <c r="W12550"/>
    </row>
    <row r="12551" spans="10:23" x14ac:dyDescent="0.25">
      <c r="J12551"/>
      <c r="M12551"/>
      <c r="W12551"/>
    </row>
    <row r="12552" spans="10:23" x14ac:dyDescent="0.25">
      <c r="J12552"/>
      <c r="M12552"/>
      <c r="W12552"/>
    </row>
    <row r="12553" spans="10:23" x14ac:dyDescent="0.25">
      <c r="J12553"/>
      <c r="M12553"/>
      <c r="W12553"/>
    </row>
    <row r="12554" spans="10:23" x14ac:dyDescent="0.25">
      <c r="J12554"/>
      <c r="M12554"/>
      <c r="W12554"/>
    </row>
    <row r="12555" spans="10:23" x14ac:dyDescent="0.25">
      <c r="J12555"/>
      <c r="M12555"/>
      <c r="W12555"/>
    </row>
    <row r="12556" spans="10:23" x14ac:dyDescent="0.25">
      <c r="J12556"/>
      <c r="M12556"/>
      <c r="W12556"/>
    </row>
    <row r="12557" spans="10:23" x14ac:dyDescent="0.25">
      <c r="J12557"/>
      <c r="M12557"/>
      <c r="W12557"/>
    </row>
    <row r="12558" spans="10:23" x14ac:dyDescent="0.25">
      <c r="J12558"/>
      <c r="M12558"/>
      <c r="W12558"/>
    </row>
    <row r="12559" spans="10:23" x14ac:dyDescent="0.25">
      <c r="J12559"/>
      <c r="M12559"/>
      <c r="W12559"/>
    </row>
    <row r="12560" spans="10:23" x14ac:dyDescent="0.25">
      <c r="J12560"/>
      <c r="M12560"/>
      <c r="W12560"/>
    </row>
    <row r="12561" spans="10:23" x14ac:dyDescent="0.25">
      <c r="J12561"/>
      <c r="M12561"/>
      <c r="W12561"/>
    </row>
    <row r="12562" spans="10:23" x14ac:dyDescent="0.25">
      <c r="J12562"/>
      <c r="M12562"/>
      <c r="W12562"/>
    </row>
    <row r="12563" spans="10:23" x14ac:dyDescent="0.25">
      <c r="J12563"/>
      <c r="M12563"/>
      <c r="W12563"/>
    </row>
    <row r="12564" spans="10:23" x14ac:dyDescent="0.25">
      <c r="J12564"/>
      <c r="M12564"/>
      <c r="W12564"/>
    </row>
    <row r="12565" spans="10:23" x14ac:dyDescent="0.25">
      <c r="J12565"/>
      <c r="M12565"/>
      <c r="W12565"/>
    </row>
    <row r="12566" spans="10:23" x14ac:dyDescent="0.25">
      <c r="J12566"/>
      <c r="M12566"/>
      <c r="W12566"/>
    </row>
    <row r="12567" spans="10:23" x14ac:dyDescent="0.25">
      <c r="J12567"/>
      <c r="M12567"/>
      <c r="W12567"/>
    </row>
    <row r="12568" spans="10:23" x14ac:dyDescent="0.25">
      <c r="J12568"/>
      <c r="M12568"/>
      <c r="W12568"/>
    </row>
    <row r="12569" spans="10:23" x14ac:dyDescent="0.25">
      <c r="J12569"/>
      <c r="M12569"/>
      <c r="W12569"/>
    </row>
    <row r="12570" spans="10:23" x14ac:dyDescent="0.25">
      <c r="J12570"/>
      <c r="M12570"/>
      <c r="W12570"/>
    </row>
    <row r="12571" spans="10:23" x14ac:dyDescent="0.25">
      <c r="J12571"/>
      <c r="M12571"/>
      <c r="W12571"/>
    </row>
    <row r="12572" spans="10:23" x14ac:dyDescent="0.25">
      <c r="J12572"/>
      <c r="M12572"/>
      <c r="W12572"/>
    </row>
    <row r="12573" spans="10:23" x14ac:dyDescent="0.25">
      <c r="J12573"/>
      <c r="M12573"/>
      <c r="W12573"/>
    </row>
    <row r="12574" spans="10:23" x14ac:dyDescent="0.25">
      <c r="J12574"/>
      <c r="M12574"/>
      <c r="W12574"/>
    </row>
    <row r="12575" spans="10:23" x14ac:dyDescent="0.25">
      <c r="J12575"/>
      <c r="M12575"/>
      <c r="W12575"/>
    </row>
    <row r="12576" spans="10:23" x14ac:dyDescent="0.25">
      <c r="J12576"/>
      <c r="M12576"/>
      <c r="W12576"/>
    </row>
    <row r="12577" spans="10:23" x14ac:dyDescent="0.25">
      <c r="J12577"/>
      <c r="M12577"/>
      <c r="W12577"/>
    </row>
    <row r="12578" spans="10:23" x14ac:dyDescent="0.25">
      <c r="J12578"/>
      <c r="M12578"/>
      <c r="W12578"/>
    </row>
    <row r="12579" spans="10:23" x14ac:dyDescent="0.25">
      <c r="J12579"/>
      <c r="M12579"/>
      <c r="W12579"/>
    </row>
    <row r="12580" spans="10:23" x14ac:dyDescent="0.25">
      <c r="J12580"/>
      <c r="M12580"/>
      <c r="W12580"/>
    </row>
    <row r="12581" spans="10:23" x14ac:dyDescent="0.25">
      <c r="J12581"/>
      <c r="M12581"/>
      <c r="W12581"/>
    </row>
    <row r="12582" spans="10:23" x14ac:dyDescent="0.25">
      <c r="J12582"/>
      <c r="M12582"/>
      <c r="W12582"/>
    </row>
    <row r="12583" spans="10:23" x14ac:dyDescent="0.25">
      <c r="J12583"/>
      <c r="M12583"/>
      <c r="W12583"/>
    </row>
    <row r="12584" spans="10:23" x14ac:dyDescent="0.25">
      <c r="J12584"/>
      <c r="M12584"/>
      <c r="W12584"/>
    </row>
    <row r="12585" spans="10:23" x14ac:dyDescent="0.25">
      <c r="J12585"/>
      <c r="M12585"/>
      <c r="W12585"/>
    </row>
    <row r="12586" spans="10:23" x14ac:dyDescent="0.25">
      <c r="J12586"/>
      <c r="M12586"/>
      <c r="W12586"/>
    </row>
    <row r="12587" spans="10:23" x14ac:dyDescent="0.25">
      <c r="J12587"/>
      <c r="M12587"/>
      <c r="W12587"/>
    </row>
    <row r="12588" spans="10:23" x14ac:dyDescent="0.25">
      <c r="J12588"/>
      <c r="M12588"/>
      <c r="W12588"/>
    </row>
    <row r="12589" spans="10:23" x14ac:dyDescent="0.25">
      <c r="J12589"/>
      <c r="M12589"/>
      <c r="W12589"/>
    </row>
    <row r="12590" spans="10:23" x14ac:dyDescent="0.25">
      <c r="J12590"/>
      <c r="M12590"/>
      <c r="W12590"/>
    </row>
    <row r="12591" spans="10:23" x14ac:dyDescent="0.25">
      <c r="J12591"/>
      <c r="M12591"/>
      <c r="W12591"/>
    </row>
    <row r="12592" spans="10:23" x14ac:dyDescent="0.25">
      <c r="J12592"/>
      <c r="M12592"/>
      <c r="W12592"/>
    </row>
    <row r="12593" spans="10:23" x14ac:dyDescent="0.25">
      <c r="J12593"/>
      <c r="M12593"/>
      <c r="W12593"/>
    </row>
    <row r="12594" spans="10:23" x14ac:dyDescent="0.25">
      <c r="J12594"/>
      <c r="M12594"/>
      <c r="W12594"/>
    </row>
    <row r="12595" spans="10:23" x14ac:dyDescent="0.25">
      <c r="J12595"/>
      <c r="M12595"/>
      <c r="W12595"/>
    </row>
    <row r="12596" spans="10:23" x14ac:dyDescent="0.25">
      <c r="J12596"/>
      <c r="M12596"/>
      <c r="W12596"/>
    </row>
    <row r="12597" spans="10:23" x14ac:dyDescent="0.25">
      <c r="J12597"/>
      <c r="M12597"/>
      <c r="W12597"/>
    </row>
    <row r="12598" spans="10:23" x14ac:dyDescent="0.25">
      <c r="J12598"/>
      <c r="M12598"/>
      <c r="W12598"/>
    </row>
    <row r="12599" spans="10:23" x14ac:dyDescent="0.25">
      <c r="J12599"/>
      <c r="M12599"/>
      <c r="W12599"/>
    </row>
    <row r="12600" spans="10:23" x14ac:dyDescent="0.25">
      <c r="J12600"/>
      <c r="M12600"/>
      <c r="W12600"/>
    </row>
    <row r="12601" spans="10:23" x14ac:dyDescent="0.25">
      <c r="J12601"/>
      <c r="M12601"/>
      <c r="W12601"/>
    </row>
    <row r="12602" spans="10:23" x14ac:dyDescent="0.25">
      <c r="J12602"/>
      <c r="M12602"/>
      <c r="W12602"/>
    </row>
    <row r="12603" spans="10:23" x14ac:dyDescent="0.25">
      <c r="J12603"/>
      <c r="M12603"/>
      <c r="W12603"/>
    </row>
    <row r="12604" spans="10:23" x14ac:dyDescent="0.25">
      <c r="J12604"/>
      <c r="M12604"/>
      <c r="W12604"/>
    </row>
    <row r="12605" spans="10:23" x14ac:dyDescent="0.25">
      <c r="J12605"/>
      <c r="M12605"/>
      <c r="W12605"/>
    </row>
    <row r="12606" spans="10:23" x14ac:dyDescent="0.25">
      <c r="J12606"/>
      <c r="M12606"/>
      <c r="W12606"/>
    </row>
    <row r="12607" spans="10:23" x14ac:dyDescent="0.25">
      <c r="J12607"/>
      <c r="M12607"/>
      <c r="W12607"/>
    </row>
    <row r="12608" spans="10:23" x14ac:dyDescent="0.25">
      <c r="J12608"/>
      <c r="M12608"/>
      <c r="W12608"/>
    </row>
    <row r="12609" spans="10:23" x14ac:dyDescent="0.25">
      <c r="J12609"/>
      <c r="M12609"/>
      <c r="W12609"/>
    </row>
    <row r="12610" spans="10:23" x14ac:dyDescent="0.25">
      <c r="J12610"/>
      <c r="M12610"/>
      <c r="W12610"/>
    </row>
    <row r="12611" spans="10:23" x14ac:dyDescent="0.25">
      <c r="J12611"/>
      <c r="M12611"/>
      <c r="W12611"/>
    </row>
    <row r="12612" spans="10:23" x14ac:dyDescent="0.25">
      <c r="J12612"/>
      <c r="M12612"/>
      <c r="W12612"/>
    </row>
    <row r="12613" spans="10:23" x14ac:dyDescent="0.25">
      <c r="J12613"/>
      <c r="M12613"/>
      <c r="W12613"/>
    </row>
    <row r="12614" spans="10:23" x14ac:dyDescent="0.25">
      <c r="J12614"/>
      <c r="M12614"/>
      <c r="W12614"/>
    </row>
    <row r="12615" spans="10:23" x14ac:dyDescent="0.25">
      <c r="J12615"/>
      <c r="M12615"/>
      <c r="W12615"/>
    </row>
    <row r="12616" spans="10:23" x14ac:dyDescent="0.25">
      <c r="J12616"/>
      <c r="M12616"/>
      <c r="W12616"/>
    </row>
    <row r="12617" spans="10:23" x14ac:dyDescent="0.25">
      <c r="J12617"/>
      <c r="M12617"/>
      <c r="W12617"/>
    </row>
    <row r="12618" spans="10:23" x14ac:dyDescent="0.25">
      <c r="J12618"/>
      <c r="M12618"/>
      <c r="W12618"/>
    </row>
    <row r="12619" spans="10:23" x14ac:dyDescent="0.25">
      <c r="J12619"/>
      <c r="M12619"/>
      <c r="W12619"/>
    </row>
    <row r="12620" spans="10:23" x14ac:dyDescent="0.25">
      <c r="J12620"/>
      <c r="M12620"/>
      <c r="W12620"/>
    </row>
    <row r="12621" spans="10:23" x14ac:dyDescent="0.25">
      <c r="J12621"/>
      <c r="M12621"/>
      <c r="W12621"/>
    </row>
    <row r="12622" spans="10:23" x14ac:dyDescent="0.25">
      <c r="J12622"/>
      <c r="M12622"/>
      <c r="W12622"/>
    </row>
    <row r="12623" spans="10:23" x14ac:dyDescent="0.25">
      <c r="J12623"/>
      <c r="M12623"/>
      <c r="W12623"/>
    </row>
    <row r="12624" spans="10:23" x14ac:dyDescent="0.25">
      <c r="J12624"/>
      <c r="M12624"/>
      <c r="W12624"/>
    </row>
    <row r="12625" spans="10:23" x14ac:dyDescent="0.25">
      <c r="J12625"/>
      <c r="M12625"/>
      <c r="W12625"/>
    </row>
    <row r="12626" spans="10:23" x14ac:dyDescent="0.25">
      <c r="J12626"/>
      <c r="M12626"/>
      <c r="W12626"/>
    </row>
    <row r="12627" spans="10:23" x14ac:dyDescent="0.25">
      <c r="J12627"/>
      <c r="M12627"/>
      <c r="W12627"/>
    </row>
    <row r="12628" spans="10:23" x14ac:dyDescent="0.25">
      <c r="J12628"/>
      <c r="M12628"/>
      <c r="W12628"/>
    </row>
    <row r="12629" spans="10:23" x14ac:dyDescent="0.25">
      <c r="J12629"/>
      <c r="M12629"/>
      <c r="W12629"/>
    </row>
    <row r="12630" spans="10:23" x14ac:dyDescent="0.25">
      <c r="J12630"/>
      <c r="M12630"/>
      <c r="W12630"/>
    </row>
    <row r="12631" spans="10:23" x14ac:dyDescent="0.25">
      <c r="J12631"/>
      <c r="M12631"/>
      <c r="W12631"/>
    </row>
    <row r="12632" spans="10:23" x14ac:dyDescent="0.25">
      <c r="J12632"/>
      <c r="M12632"/>
      <c r="W12632"/>
    </row>
    <row r="12633" spans="10:23" x14ac:dyDescent="0.25">
      <c r="J12633"/>
      <c r="M12633"/>
      <c r="W12633"/>
    </row>
    <row r="12634" spans="10:23" x14ac:dyDescent="0.25">
      <c r="J12634"/>
      <c r="M12634"/>
      <c r="W12634"/>
    </row>
    <row r="12635" spans="10:23" x14ac:dyDescent="0.25">
      <c r="J12635"/>
      <c r="M12635"/>
      <c r="W12635"/>
    </row>
    <row r="12636" spans="10:23" x14ac:dyDescent="0.25">
      <c r="J12636"/>
      <c r="M12636"/>
      <c r="W12636"/>
    </row>
    <row r="12637" spans="10:23" x14ac:dyDescent="0.25">
      <c r="J12637"/>
      <c r="M12637"/>
      <c r="W12637"/>
    </row>
    <row r="12638" spans="10:23" x14ac:dyDescent="0.25">
      <c r="J12638"/>
      <c r="M12638"/>
      <c r="W12638"/>
    </row>
    <row r="12639" spans="10:23" x14ac:dyDescent="0.25">
      <c r="J12639"/>
      <c r="M12639"/>
      <c r="W12639"/>
    </row>
    <row r="12640" spans="10:23" x14ac:dyDescent="0.25">
      <c r="J12640"/>
      <c r="M12640"/>
      <c r="W12640"/>
    </row>
    <row r="12641" spans="10:23" x14ac:dyDescent="0.25">
      <c r="J12641"/>
      <c r="M12641"/>
      <c r="W12641"/>
    </row>
    <row r="12642" spans="10:23" x14ac:dyDescent="0.25">
      <c r="J12642"/>
      <c r="M12642"/>
      <c r="W12642"/>
    </row>
    <row r="12643" spans="10:23" x14ac:dyDescent="0.25">
      <c r="J12643"/>
      <c r="M12643"/>
      <c r="W12643"/>
    </row>
    <row r="12644" spans="10:23" x14ac:dyDescent="0.25">
      <c r="J12644"/>
      <c r="M12644"/>
      <c r="W12644"/>
    </row>
    <row r="12645" spans="10:23" x14ac:dyDescent="0.25">
      <c r="J12645"/>
      <c r="M12645"/>
      <c r="W12645"/>
    </row>
    <row r="12646" spans="10:23" x14ac:dyDescent="0.25">
      <c r="J12646"/>
      <c r="M12646"/>
      <c r="W12646"/>
    </row>
    <row r="12647" spans="10:23" x14ac:dyDescent="0.25">
      <c r="J12647"/>
      <c r="M12647"/>
      <c r="W12647"/>
    </row>
    <row r="12648" spans="10:23" x14ac:dyDescent="0.25">
      <c r="J12648"/>
      <c r="M12648"/>
      <c r="W12648"/>
    </row>
    <row r="12649" spans="10:23" x14ac:dyDescent="0.25">
      <c r="J12649"/>
      <c r="M12649"/>
      <c r="W12649"/>
    </row>
    <row r="12650" spans="10:23" x14ac:dyDescent="0.25">
      <c r="J12650"/>
      <c r="M12650"/>
      <c r="W12650"/>
    </row>
    <row r="12651" spans="10:23" x14ac:dyDescent="0.25">
      <c r="J12651"/>
      <c r="M12651"/>
      <c r="W12651"/>
    </row>
    <row r="12652" spans="10:23" x14ac:dyDescent="0.25">
      <c r="J12652"/>
      <c r="M12652"/>
      <c r="W12652"/>
    </row>
    <row r="12653" spans="10:23" x14ac:dyDescent="0.25">
      <c r="J12653"/>
      <c r="M12653"/>
      <c r="W12653"/>
    </row>
    <row r="12654" spans="10:23" x14ac:dyDescent="0.25">
      <c r="J12654"/>
      <c r="M12654"/>
      <c r="W12654"/>
    </row>
    <row r="12655" spans="10:23" x14ac:dyDescent="0.25">
      <c r="J12655"/>
      <c r="M12655"/>
      <c r="W12655"/>
    </row>
    <row r="12656" spans="10:23" x14ac:dyDescent="0.25">
      <c r="J12656"/>
      <c r="M12656"/>
      <c r="W12656"/>
    </row>
    <row r="12657" spans="10:23" x14ac:dyDescent="0.25">
      <c r="J12657"/>
      <c r="M12657"/>
      <c r="W12657"/>
    </row>
    <row r="12658" spans="10:23" x14ac:dyDescent="0.25">
      <c r="J12658"/>
      <c r="M12658"/>
      <c r="W12658"/>
    </row>
    <row r="12659" spans="10:23" x14ac:dyDescent="0.25">
      <c r="J12659"/>
      <c r="M12659"/>
      <c r="W12659"/>
    </row>
    <row r="12660" spans="10:23" x14ac:dyDescent="0.25">
      <c r="J12660"/>
      <c r="M12660"/>
      <c r="W12660"/>
    </row>
    <row r="12661" spans="10:23" x14ac:dyDescent="0.25">
      <c r="J12661"/>
      <c r="M12661"/>
      <c r="W12661"/>
    </row>
    <row r="12662" spans="10:23" x14ac:dyDescent="0.25">
      <c r="J12662"/>
      <c r="M12662"/>
      <c r="W12662"/>
    </row>
    <row r="12663" spans="10:23" x14ac:dyDescent="0.25">
      <c r="J12663"/>
      <c r="M12663"/>
      <c r="W12663"/>
    </row>
    <row r="12664" spans="10:23" x14ac:dyDescent="0.25">
      <c r="J12664"/>
      <c r="M12664"/>
      <c r="W12664"/>
    </row>
    <row r="12665" spans="10:23" x14ac:dyDescent="0.25">
      <c r="J12665"/>
      <c r="M12665"/>
      <c r="W12665"/>
    </row>
    <row r="12666" spans="10:23" x14ac:dyDescent="0.25">
      <c r="J12666"/>
      <c r="M12666"/>
      <c r="W12666"/>
    </row>
    <row r="12667" spans="10:23" x14ac:dyDescent="0.25">
      <c r="J12667"/>
      <c r="M12667"/>
      <c r="W12667"/>
    </row>
    <row r="12668" spans="10:23" x14ac:dyDescent="0.25">
      <c r="J12668"/>
      <c r="M12668"/>
      <c r="W12668"/>
    </row>
    <row r="12669" spans="10:23" x14ac:dyDescent="0.25">
      <c r="J12669"/>
      <c r="M12669"/>
      <c r="W12669"/>
    </row>
    <row r="12670" spans="10:23" x14ac:dyDescent="0.25">
      <c r="J12670"/>
      <c r="M12670"/>
      <c r="W12670"/>
    </row>
    <row r="12671" spans="10:23" x14ac:dyDescent="0.25">
      <c r="J12671"/>
      <c r="M12671"/>
      <c r="W12671"/>
    </row>
    <row r="12672" spans="10:23" x14ac:dyDescent="0.25">
      <c r="J12672"/>
      <c r="M12672"/>
      <c r="W12672"/>
    </row>
    <row r="12673" spans="10:23" x14ac:dyDescent="0.25">
      <c r="J12673"/>
      <c r="M12673"/>
      <c r="W12673"/>
    </row>
    <row r="12674" spans="10:23" x14ac:dyDescent="0.25">
      <c r="J12674"/>
      <c r="M12674"/>
      <c r="W12674"/>
    </row>
    <row r="12675" spans="10:23" x14ac:dyDescent="0.25">
      <c r="J12675"/>
      <c r="M12675"/>
      <c r="W12675"/>
    </row>
    <row r="12676" spans="10:23" x14ac:dyDescent="0.25">
      <c r="J12676"/>
      <c r="M12676"/>
      <c r="W12676"/>
    </row>
    <row r="12677" spans="10:23" x14ac:dyDescent="0.25">
      <c r="J12677"/>
      <c r="M12677"/>
      <c r="W12677"/>
    </row>
    <row r="12678" spans="10:23" x14ac:dyDescent="0.25">
      <c r="J12678"/>
      <c r="M12678"/>
      <c r="W12678"/>
    </row>
    <row r="12679" spans="10:23" x14ac:dyDescent="0.25">
      <c r="J12679"/>
      <c r="M12679"/>
      <c r="W12679"/>
    </row>
    <row r="12680" spans="10:23" x14ac:dyDescent="0.25">
      <c r="J12680"/>
      <c r="M12680"/>
      <c r="W12680"/>
    </row>
    <row r="12681" spans="10:23" x14ac:dyDescent="0.25">
      <c r="J12681"/>
      <c r="M12681"/>
      <c r="W12681"/>
    </row>
    <row r="12682" spans="10:23" x14ac:dyDescent="0.25">
      <c r="J12682"/>
      <c r="M12682"/>
      <c r="W12682"/>
    </row>
    <row r="12683" spans="10:23" x14ac:dyDescent="0.25">
      <c r="J12683"/>
      <c r="M12683"/>
      <c r="W12683"/>
    </row>
    <row r="12684" spans="10:23" x14ac:dyDescent="0.25">
      <c r="J12684"/>
      <c r="M12684"/>
      <c r="W12684"/>
    </row>
    <row r="12685" spans="10:23" x14ac:dyDescent="0.25">
      <c r="J12685"/>
      <c r="M12685"/>
      <c r="W12685"/>
    </row>
    <row r="12686" spans="10:23" x14ac:dyDescent="0.25">
      <c r="J12686"/>
      <c r="M12686"/>
      <c r="W12686"/>
    </row>
    <row r="12687" spans="10:23" x14ac:dyDescent="0.25">
      <c r="J12687"/>
      <c r="M12687"/>
      <c r="W12687"/>
    </row>
    <row r="12688" spans="10:23" x14ac:dyDescent="0.25">
      <c r="J12688"/>
      <c r="M12688"/>
      <c r="W12688"/>
    </row>
    <row r="12689" spans="10:23" x14ac:dyDescent="0.25">
      <c r="J12689"/>
      <c r="M12689"/>
      <c r="W12689"/>
    </row>
    <row r="12690" spans="10:23" x14ac:dyDescent="0.25">
      <c r="J12690"/>
      <c r="M12690"/>
      <c r="W12690"/>
    </row>
    <row r="12691" spans="10:23" x14ac:dyDescent="0.25">
      <c r="J12691"/>
      <c r="M12691"/>
      <c r="W12691"/>
    </row>
    <row r="12692" spans="10:23" x14ac:dyDescent="0.25">
      <c r="J12692"/>
      <c r="M12692"/>
      <c r="W12692"/>
    </row>
    <row r="12693" spans="10:23" x14ac:dyDescent="0.25">
      <c r="J12693"/>
      <c r="M12693"/>
      <c r="W12693"/>
    </row>
    <row r="12694" spans="10:23" x14ac:dyDescent="0.25">
      <c r="J12694"/>
      <c r="M12694"/>
      <c r="W12694"/>
    </row>
    <row r="12695" spans="10:23" x14ac:dyDescent="0.25">
      <c r="J12695"/>
      <c r="M12695"/>
      <c r="W12695"/>
    </row>
    <row r="12696" spans="10:23" x14ac:dyDescent="0.25">
      <c r="J12696"/>
      <c r="M12696"/>
      <c r="W12696"/>
    </row>
    <row r="12697" spans="10:23" x14ac:dyDescent="0.25">
      <c r="J12697"/>
      <c r="M12697"/>
      <c r="W12697"/>
    </row>
    <row r="12698" spans="10:23" x14ac:dyDescent="0.25">
      <c r="J12698"/>
      <c r="M12698"/>
      <c r="W12698"/>
    </row>
    <row r="12699" spans="10:23" x14ac:dyDescent="0.25">
      <c r="J12699"/>
      <c r="M12699"/>
      <c r="W12699"/>
    </row>
    <row r="12700" spans="10:23" x14ac:dyDescent="0.25">
      <c r="J12700"/>
      <c r="M12700"/>
      <c r="W12700"/>
    </row>
    <row r="12701" spans="10:23" x14ac:dyDescent="0.25">
      <c r="J12701"/>
      <c r="M12701"/>
      <c r="W12701"/>
    </row>
    <row r="12702" spans="10:23" x14ac:dyDescent="0.25">
      <c r="J12702"/>
      <c r="M12702"/>
      <c r="W12702"/>
    </row>
    <row r="12703" spans="10:23" x14ac:dyDescent="0.25">
      <c r="J12703"/>
      <c r="M12703"/>
      <c r="W12703"/>
    </row>
    <row r="12704" spans="10:23" x14ac:dyDescent="0.25">
      <c r="J12704"/>
      <c r="M12704"/>
      <c r="W12704"/>
    </row>
    <row r="12705" spans="10:23" x14ac:dyDescent="0.25">
      <c r="J12705"/>
      <c r="M12705"/>
      <c r="W12705"/>
    </row>
    <row r="12706" spans="10:23" x14ac:dyDescent="0.25">
      <c r="J12706"/>
      <c r="M12706"/>
      <c r="W12706"/>
    </row>
    <row r="12707" spans="10:23" x14ac:dyDescent="0.25">
      <c r="J12707"/>
      <c r="M12707"/>
      <c r="W12707"/>
    </row>
    <row r="12708" spans="10:23" x14ac:dyDescent="0.25">
      <c r="J12708"/>
      <c r="M12708"/>
      <c r="W12708"/>
    </row>
    <row r="12709" spans="10:23" x14ac:dyDescent="0.25">
      <c r="J12709"/>
      <c r="M12709"/>
      <c r="W12709"/>
    </row>
    <row r="12710" spans="10:23" x14ac:dyDescent="0.25">
      <c r="J12710"/>
      <c r="M12710"/>
      <c r="W12710"/>
    </row>
    <row r="12711" spans="10:23" x14ac:dyDescent="0.25">
      <c r="J12711"/>
      <c r="M12711"/>
      <c r="W12711"/>
    </row>
    <row r="12712" spans="10:23" x14ac:dyDescent="0.25">
      <c r="J12712"/>
      <c r="M12712"/>
      <c r="W12712"/>
    </row>
    <row r="12713" spans="10:23" x14ac:dyDescent="0.25">
      <c r="J12713"/>
      <c r="M12713"/>
      <c r="W12713"/>
    </row>
    <row r="12714" spans="10:23" x14ac:dyDescent="0.25">
      <c r="J12714"/>
      <c r="M12714"/>
      <c r="W12714"/>
    </row>
    <row r="12715" spans="10:23" x14ac:dyDescent="0.25">
      <c r="J12715"/>
      <c r="M12715"/>
      <c r="W12715"/>
    </row>
    <row r="12716" spans="10:23" x14ac:dyDescent="0.25">
      <c r="J12716"/>
      <c r="M12716"/>
      <c r="W12716"/>
    </row>
    <row r="12717" spans="10:23" x14ac:dyDescent="0.25">
      <c r="J12717"/>
      <c r="M12717"/>
      <c r="W12717"/>
    </row>
    <row r="12718" spans="10:23" x14ac:dyDescent="0.25">
      <c r="J12718"/>
      <c r="M12718"/>
      <c r="W12718"/>
    </row>
    <row r="12719" spans="10:23" x14ac:dyDescent="0.25">
      <c r="J12719"/>
      <c r="M12719"/>
      <c r="W12719"/>
    </row>
    <row r="12720" spans="10:23" x14ac:dyDescent="0.25">
      <c r="J12720"/>
      <c r="M12720"/>
      <c r="W12720"/>
    </row>
    <row r="12721" spans="10:23" x14ac:dyDescent="0.25">
      <c r="J12721"/>
      <c r="M12721"/>
      <c r="W12721"/>
    </row>
    <row r="12722" spans="10:23" x14ac:dyDescent="0.25">
      <c r="J12722"/>
      <c r="M12722"/>
      <c r="W12722"/>
    </row>
    <row r="12723" spans="10:23" x14ac:dyDescent="0.25">
      <c r="J12723"/>
      <c r="M12723"/>
      <c r="W12723"/>
    </row>
    <row r="12724" spans="10:23" x14ac:dyDescent="0.25">
      <c r="J12724"/>
      <c r="M12724"/>
      <c r="W12724"/>
    </row>
    <row r="12725" spans="10:23" x14ac:dyDescent="0.25">
      <c r="J12725"/>
      <c r="M12725"/>
      <c r="W12725"/>
    </row>
    <row r="12726" spans="10:23" x14ac:dyDescent="0.25">
      <c r="J12726"/>
      <c r="M12726"/>
      <c r="W12726"/>
    </row>
    <row r="12727" spans="10:23" x14ac:dyDescent="0.25">
      <c r="J12727"/>
      <c r="M12727"/>
      <c r="W12727"/>
    </row>
    <row r="12728" spans="10:23" x14ac:dyDescent="0.25">
      <c r="J12728"/>
      <c r="M12728"/>
      <c r="W12728"/>
    </row>
    <row r="12729" spans="10:23" x14ac:dyDescent="0.25">
      <c r="J12729"/>
      <c r="M12729"/>
      <c r="W12729"/>
    </row>
    <row r="12730" spans="10:23" x14ac:dyDescent="0.25">
      <c r="J12730"/>
      <c r="M12730"/>
      <c r="W12730"/>
    </row>
    <row r="12731" spans="10:23" x14ac:dyDescent="0.25">
      <c r="J12731"/>
      <c r="M12731"/>
      <c r="W12731"/>
    </row>
    <row r="12732" spans="10:23" x14ac:dyDescent="0.25">
      <c r="J12732"/>
      <c r="M12732"/>
      <c r="W12732"/>
    </row>
    <row r="12733" spans="10:23" x14ac:dyDescent="0.25">
      <c r="J12733"/>
      <c r="M12733"/>
      <c r="W12733"/>
    </row>
    <row r="12734" spans="10:23" x14ac:dyDescent="0.25">
      <c r="J12734"/>
      <c r="M12734"/>
      <c r="W12734"/>
    </row>
    <row r="12735" spans="10:23" x14ac:dyDescent="0.25">
      <c r="J12735"/>
      <c r="M12735"/>
      <c r="W12735"/>
    </row>
    <row r="12736" spans="10:23" x14ac:dyDescent="0.25">
      <c r="J12736"/>
      <c r="M12736"/>
      <c r="W12736"/>
    </row>
    <row r="12737" spans="10:23" x14ac:dyDescent="0.25">
      <c r="J12737"/>
      <c r="M12737"/>
      <c r="W12737"/>
    </row>
    <row r="12738" spans="10:23" x14ac:dyDescent="0.25">
      <c r="J12738"/>
      <c r="M12738"/>
      <c r="W12738"/>
    </row>
    <row r="12739" spans="10:23" x14ac:dyDescent="0.25">
      <c r="J12739"/>
      <c r="M12739"/>
      <c r="W12739"/>
    </row>
    <row r="12740" spans="10:23" x14ac:dyDescent="0.25">
      <c r="J12740"/>
      <c r="M12740"/>
      <c r="W12740"/>
    </row>
    <row r="12741" spans="10:23" x14ac:dyDescent="0.25">
      <c r="J12741"/>
      <c r="M12741"/>
      <c r="W12741"/>
    </row>
    <row r="12742" spans="10:23" x14ac:dyDescent="0.25">
      <c r="J12742"/>
      <c r="M12742"/>
      <c r="W12742"/>
    </row>
    <row r="12743" spans="10:23" x14ac:dyDescent="0.25">
      <c r="J12743"/>
      <c r="M12743"/>
      <c r="W12743"/>
    </row>
    <row r="12744" spans="10:23" x14ac:dyDescent="0.25">
      <c r="J12744"/>
      <c r="M12744"/>
      <c r="W12744"/>
    </row>
    <row r="12745" spans="10:23" x14ac:dyDescent="0.25">
      <c r="J12745"/>
      <c r="M12745"/>
      <c r="W12745"/>
    </row>
    <row r="12746" spans="10:23" x14ac:dyDescent="0.25">
      <c r="J12746"/>
      <c r="M12746"/>
      <c r="W12746"/>
    </row>
    <row r="12747" spans="10:23" x14ac:dyDescent="0.25">
      <c r="J12747"/>
      <c r="M12747"/>
      <c r="W12747"/>
    </row>
    <row r="12748" spans="10:23" x14ac:dyDescent="0.25">
      <c r="J12748"/>
      <c r="M12748"/>
      <c r="W12748"/>
    </row>
    <row r="12749" spans="10:23" x14ac:dyDescent="0.25">
      <c r="J12749"/>
      <c r="M12749"/>
      <c r="W12749"/>
    </row>
    <row r="12750" spans="10:23" x14ac:dyDescent="0.25">
      <c r="J12750"/>
      <c r="M12750"/>
      <c r="W12750"/>
    </row>
    <row r="12751" spans="10:23" x14ac:dyDescent="0.25">
      <c r="J12751"/>
      <c r="M12751"/>
      <c r="W12751"/>
    </row>
    <row r="12752" spans="10:23" x14ac:dyDescent="0.25">
      <c r="J12752"/>
      <c r="M12752"/>
      <c r="W12752"/>
    </row>
    <row r="12753" spans="10:23" x14ac:dyDescent="0.25">
      <c r="J12753"/>
      <c r="M12753"/>
      <c r="W12753"/>
    </row>
    <row r="12754" spans="10:23" x14ac:dyDescent="0.25">
      <c r="J12754"/>
      <c r="M12754"/>
      <c r="W12754"/>
    </row>
    <row r="12755" spans="10:23" x14ac:dyDescent="0.25">
      <c r="J12755"/>
      <c r="M12755"/>
      <c r="W12755"/>
    </row>
    <row r="12756" spans="10:23" x14ac:dyDescent="0.25">
      <c r="J12756"/>
      <c r="M12756"/>
      <c r="W12756"/>
    </row>
    <row r="12757" spans="10:23" x14ac:dyDescent="0.25">
      <c r="J12757"/>
      <c r="M12757"/>
      <c r="W12757"/>
    </row>
    <row r="12758" spans="10:23" x14ac:dyDescent="0.25">
      <c r="J12758"/>
      <c r="M12758"/>
      <c r="W12758"/>
    </row>
    <row r="12759" spans="10:23" x14ac:dyDescent="0.25">
      <c r="J12759"/>
      <c r="M12759"/>
      <c r="W12759"/>
    </row>
    <row r="12760" spans="10:23" x14ac:dyDescent="0.25">
      <c r="J12760"/>
      <c r="M12760"/>
      <c r="W12760"/>
    </row>
    <row r="12761" spans="10:23" x14ac:dyDescent="0.25">
      <c r="J12761"/>
      <c r="M12761"/>
      <c r="W12761"/>
    </row>
    <row r="12762" spans="10:23" x14ac:dyDescent="0.25">
      <c r="J12762"/>
      <c r="M12762"/>
      <c r="W12762"/>
    </row>
    <row r="12763" spans="10:23" x14ac:dyDescent="0.25">
      <c r="J12763"/>
      <c r="M12763"/>
      <c r="W12763"/>
    </row>
    <row r="12764" spans="10:23" x14ac:dyDescent="0.25">
      <c r="J12764"/>
      <c r="M12764"/>
      <c r="W12764"/>
    </row>
    <row r="12765" spans="10:23" x14ac:dyDescent="0.25">
      <c r="J12765"/>
      <c r="M12765"/>
      <c r="W12765"/>
    </row>
    <row r="12766" spans="10:23" x14ac:dyDescent="0.25">
      <c r="J12766"/>
      <c r="M12766"/>
      <c r="W12766"/>
    </row>
    <row r="12767" spans="10:23" x14ac:dyDescent="0.25">
      <c r="J12767"/>
      <c r="M12767"/>
      <c r="W12767"/>
    </row>
    <row r="12768" spans="10:23" x14ac:dyDescent="0.25">
      <c r="J12768"/>
      <c r="M12768"/>
      <c r="W12768"/>
    </row>
    <row r="12769" spans="10:23" x14ac:dyDescent="0.25">
      <c r="J12769"/>
      <c r="M12769"/>
      <c r="W12769"/>
    </row>
    <row r="12770" spans="10:23" x14ac:dyDescent="0.25">
      <c r="J12770"/>
      <c r="M12770"/>
      <c r="W12770"/>
    </row>
    <row r="12771" spans="10:23" x14ac:dyDescent="0.25">
      <c r="J12771"/>
      <c r="M12771"/>
      <c r="W12771"/>
    </row>
    <row r="12772" spans="10:23" x14ac:dyDescent="0.25">
      <c r="J12772"/>
      <c r="M12772"/>
      <c r="W12772"/>
    </row>
    <row r="12773" spans="10:23" x14ac:dyDescent="0.25">
      <c r="J12773"/>
      <c r="M12773"/>
      <c r="W12773"/>
    </row>
    <row r="12774" spans="10:23" x14ac:dyDescent="0.25">
      <c r="J12774"/>
      <c r="M12774"/>
      <c r="W12774"/>
    </row>
    <row r="12775" spans="10:23" x14ac:dyDescent="0.25">
      <c r="J12775"/>
      <c r="M12775"/>
      <c r="W12775"/>
    </row>
    <row r="12776" spans="10:23" x14ac:dyDescent="0.25">
      <c r="J12776"/>
      <c r="M12776"/>
      <c r="W12776"/>
    </row>
    <row r="12777" spans="10:23" x14ac:dyDescent="0.25">
      <c r="J12777"/>
      <c r="M12777"/>
      <c r="W12777"/>
    </row>
    <row r="12778" spans="10:23" x14ac:dyDescent="0.25">
      <c r="J12778"/>
      <c r="M12778"/>
      <c r="W12778"/>
    </row>
    <row r="12779" spans="10:23" x14ac:dyDescent="0.25">
      <c r="J12779"/>
      <c r="M12779"/>
      <c r="W12779"/>
    </row>
    <row r="12780" spans="10:23" x14ac:dyDescent="0.25">
      <c r="J12780"/>
      <c r="M12780"/>
      <c r="W12780"/>
    </row>
    <row r="12781" spans="10:23" x14ac:dyDescent="0.25">
      <c r="J12781"/>
      <c r="M12781"/>
      <c r="W12781"/>
    </row>
    <row r="12782" spans="10:23" x14ac:dyDescent="0.25">
      <c r="J12782"/>
      <c r="M12782"/>
      <c r="W12782"/>
    </row>
    <row r="12783" spans="10:23" x14ac:dyDescent="0.25">
      <c r="J12783"/>
      <c r="M12783"/>
      <c r="W12783"/>
    </row>
    <row r="12784" spans="10:23" x14ac:dyDescent="0.25">
      <c r="J12784"/>
      <c r="M12784"/>
      <c r="W12784"/>
    </row>
    <row r="12785" spans="10:23" x14ac:dyDescent="0.25">
      <c r="J12785"/>
      <c r="M12785"/>
      <c r="W12785"/>
    </row>
    <row r="12786" spans="10:23" x14ac:dyDescent="0.25">
      <c r="J12786"/>
      <c r="M12786"/>
      <c r="W12786"/>
    </row>
    <row r="12787" spans="10:23" x14ac:dyDescent="0.25">
      <c r="J12787"/>
      <c r="M12787"/>
      <c r="W12787"/>
    </row>
    <row r="12788" spans="10:23" x14ac:dyDescent="0.25">
      <c r="J12788"/>
      <c r="M12788"/>
      <c r="W12788"/>
    </row>
    <row r="12789" spans="10:23" x14ac:dyDescent="0.25">
      <c r="J12789"/>
      <c r="M12789"/>
      <c r="W12789"/>
    </row>
    <row r="12790" spans="10:23" x14ac:dyDescent="0.25">
      <c r="J12790"/>
      <c r="M12790"/>
      <c r="W12790"/>
    </row>
    <row r="12791" spans="10:23" x14ac:dyDescent="0.25">
      <c r="J12791"/>
      <c r="M12791"/>
      <c r="W12791"/>
    </row>
    <row r="12792" spans="10:23" x14ac:dyDescent="0.25">
      <c r="J12792"/>
      <c r="M12792"/>
      <c r="W12792"/>
    </row>
    <row r="12793" spans="10:23" x14ac:dyDescent="0.25">
      <c r="J12793"/>
      <c r="M12793"/>
      <c r="W12793"/>
    </row>
    <row r="12794" spans="10:23" x14ac:dyDescent="0.25">
      <c r="J12794"/>
      <c r="M12794"/>
      <c r="W12794"/>
    </row>
    <row r="12795" spans="10:23" x14ac:dyDescent="0.25">
      <c r="J12795"/>
      <c r="M12795"/>
      <c r="W12795"/>
    </row>
    <row r="12796" spans="10:23" x14ac:dyDescent="0.25">
      <c r="J12796"/>
      <c r="M12796"/>
      <c r="W12796"/>
    </row>
    <row r="12797" spans="10:23" x14ac:dyDescent="0.25">
      <c r="J12797"/>
      <c r="M12797"/>
      <c r="W12797"/>
    </row>
    <row r="12798" spans="10:23" x14ac:dyDescent="0.25">
      <c r="J12798"/>
      <c r="M12798"/>
      <c r="W12798"/>
    </row>
    <row r="12799" spans="10:23" x14ac:dyDescent="0.25">
      <c r="J12799"/>
      <c r="M12799"/>
      <c r="W12799"/>
    </row>
    <row r="12800" spans="10:23" x14ac:dyDescent="0.25">
      <c r="J12800"/>
      <c r="M12800"/>
      <c r="W12800"/>
    </row>
    <row r="12801" spans="10:23" x14ac:dyDescent="0.25">
      <c r="J12801"/>
      <c r="M12801"/>
      <c r="W12801"/>
    </row>
    <row r="12802" spans="10:23" x14ac:dyDescent="0.25">
      <c r="J12802"/>
      <c r="M12802"/>
      <c r="W12802"/>
    </row>
    <row r="12803" spans="10:23" x14ac:dyDescent="0.25">
      <c r="J12803"/>
      <c r="M12803"/>
      <c r="W12803"/>
    </row>
    <row r="12804" spans="10:23" x14ac:dyDescent="0.25">
      <c r="J12804"/>
      <c r="M12804"/>
      <c r="W12804"/>
    </row>
    <row r="12805" spans="10:23" x14ac:dyDescent="0.25">
      <c r="J12805"/>
      <c r="M12805"/>
      <c r="W12805"/>
    </row>
    <row r="12806" spans="10:23" x14ac:dyDescent="0.25">
      <c r="J12806"/>
      <c r="M12806"/>
      <c r="W12806"/>
    </row>
    <row r="12807" spans="10:23" x14ac:dyDescent="0.25">
      <c r="J12807"/>
      <c r="M12807"/>
      <c r="W12807"/>
    </row>
    <row r="12808" spans="10:23" x14ac:dyDescent="0.25">
      <c r="J12808"/>
      <c r="M12808"/>
      <c r="W12808"/>
    </row>
    <row r="12809" spans="10:23" x14ac:dyDescent="0.25">
      <c r="J12809"/>
      <c r="M12809"/>
      <c r="W12809"/>
    </row>
    <row r="12810" spans="10:23" x14ac:dyDescent="0.25">
      <c r="J12810"/>
      <c r="M12810"/>
      <c r="W12810"/>
    </row>
    <row r="12811" spans="10:23" x14ac:dyDescent="0.25">
      <c r="J12811"/>
      <c r="M12811"/>
      <c r="W12811"/>
    </row>
    <row r="12812" spans="10:23" x14ac:dyDescent="0.25">
      <c r="J12812"/>
      <c r="M12812"/>
      <c r="W12812"/>
    </row>
    <row r="12813" spans="10:23" x14ac:dyDescent="0.25">
      <c r="J12813"/>
      <c r="M12813"/>
      <c r="W12813"/>
    </row>
    <row r="12814" spans="10:23" x14ac:dyDescent="0.25">
      <c r="J12814"/>
      <c r="M12814"/>
      <c r="W12814"/>
    </row>
    <row r="12815" spans="10:23" x14ac:dyDescent="0.25">
      <c r="J12815"/>
      <c r="M12815"/>
      <c r="W12815"/>
    </row>
    <row r="12816" spans="10:23" x14ac:dyDescent="0.25">
      <c r="J12816"/>
      <c r="M12816"/>
      <c r="W12816"/>
    </row>
    <row r="12817" spans="10:23" x14ac:dyDescent="0.25">
      <c r="J12817"/>
      <c r="M12817"/>
      <c r="W12817"/>
    </row>
    <row r="12818" spans="10:23" x14ac:dyDescent="0.25">
      <c r="J12818"/>
      <c r="M12818"/>
      <c r="W12818"/>
    </row>
    <row r="12819" spans="10:23" x14ac:dyDescent="0.25">
      <c r="J12819"/>
      <c r="M12819"/>
      <c r="W12819"/>
    </row>
    <row r="12820" spans="10:23" x14ac:dyDescent="0.25">
      <c r="J12820"/>
      <c r="M12820"/>
      <c r="W12820"/>
    </row>
    <row r="12821" spans="10:23" x14ac:dyDescent="0.25">
      <c r="J12821"/>
      <c r="M12821"/>
      <c r="W12821"/>
    </row>
    <row r="12822" spans="10:23" x14ac:dyDescent="0.25">
      <c r="J12822"/>
      <c r="M12822"/>
      <c r="W12822"/>
    </row>
    <row r="12823" spans="10:23" x14ac:dyDescent="0.25">
      <c r="J12823"/>
      <c r="M12823"/>
      <c r="W12823"/>
    </row>
    <row r="12824" spans="10:23" x14ac:dyDescent="0.25">
      <c r="J12824"/>
      <c r="M12824"/>
      <c r="W12824"/>
    </row>
    <row r="12825" spans="10:23" x14ac:dyDescent="0.25">
      <c r="J12825"/>
      <c r="M12825"/>
      <c r="W12825"/>
    </row>
    <row r="12826" spans="10:23" x14ac:dyDescent="0.25">
      <c r="J12826"/>
      <c r="M12826"/>
      <c r="W12826"/>
    </row>
    <row r="12827" spans="10:23" x14ac:dyDescent="0.25">
      <c r="J12827"/>
      <c r="M12827"/>
      <c r="W12827"/>
    </row>
    <row r="12828" spans="10:23" x14ac:dyDescent="0.25">
      <c r="J12828"/>
      <c r="M12828"/>
      <c r="W12828"/>
    </row>
    <row r="12829" spans="10:23" x14ac:dyDescent="0.25">
      <c r="J12829"/>
      <c r="M12829"/>
      <c r="W12829"/>
    </row>
    <row r="12830" spans="10:23" x14ac:dyDescent="0.25">
      <c r="J12830"/>
      <c r="M12830"/>
      <c r="W12830"/>
    </row>
    <row r="12831" spans="10:23" x14ac:dyDescent="0.25">
      <c r="J12831"/>
      <c r="M12831"/>
      <c r="W12831"/>
    </row>
    <row r="12832" spans="10:23" x14ac:dyDescent="0.25">
      <c r="J12832"/>
      <c r="M12832"/>
      <c r="W12832"/>
    </row>
    <row r="12833" spans="10:23" x14ac:dyDescent="0.25">
      <c r="J12833"/>
      <c r="M12833"/>
      <c r="W12833"/>
    </row>
    <row r="12834" spans="10:23" x14ac:dyDescent="0.25">
      <c r="J12834"/>
      <c r="M12834"/>
      <c r="W12834"/>
    </row>
    <row r="12835" spans="10:23" x14ac:dyDescent="0.25">
      <c r="J12835"/>
      <c r="M12835"/>
      <c r="W12835"/>
    </row>
    <row r="12836" spans="10:23" x14ac:dyDescent="0.25">
      <c r="J12836"/>
      <c r="M12836"/>
      <c r="W12836"/>
    </row>
    <row r="12837" spans="10:23" x14ac:dyDescent="0.25">
      <c r="J12837"/>
      <c r="M12837"/>
      <c r="W12837"/>
    </row>
    <row r="12838" spans="10:23" x14ac:dyDescent="0.25">
      <c r="J12838"/>
      <c r="M12838"/>
      <c r="W12838"/>
    </row>
    <row r="12839" spans="10:23" x14ac:dyDescent="0.25">
      <c r="J12839"/>
      <c r="M12839"/>
      <c r="W12839"/>
    </row>
    <row r="12840" spans="10:23" x14ac:dyDescent="0.25">
      <c r="J12840"/>
      <c r="M12840"/>
      <c r="W12840"/>
    </row>
    <row r="12841" spans="10:23" x14ac:dyDescent="0.25">
      <c r="J12841"/>
      <c r="M12841"/>
      <c r="W12841"/>
    </row>
    <row r="12842" spans="10:23" x14ac:dyDescent="0.25">
      <c r="J12842"/>
      <c r="M12842"/>
      <c r="W12842"/>
    </row>
    <row r="12843" spans="10:23" x14ac:dyDescent="0.25">
      <c r="J12843"/>
      <c r="M12843"/>
      <c r="W12843"/>
    </row>
    <row r="12844" spans="10:23" x14ac:dyDescent="0.25">
      <c r="J12844"/>
      <c r="M12844"/>
      <c r="W12844"/>
    </row>
    <row r="12845" spans="10:23" x14ac:dyDescent="0.25">
      <c r="J12845"/>
      <c r="M12845"/>
      <c r="W12845"/>
    </row>
    <row r="12846" spans="10:23" x14ac:dyDescent="0.25">
      <c r="J12846"/>
      <c r="M12846"/>
      <c r="W12846"/>
    </row>
    <row r="12847" spans="10:23" x14ac:dyDescent="0.25">
      <c r="J12847"/>
      <c r="M12847"/>
      <c r="W12847"/>
    </row>
    <row r="12848" spans="10:23" x14ac:dyDescent="0.25">
      <c r="J12848"/>
      <c r="M12848"/>
      <c r="W12848"/>
    </row>
    <row r="12849" spans="10:23" x14ac:dyDescent="0.25">
      <c r="J12849"/>
      <c r="M12849"/>
      <c r="W12849"/>
    </row>
    <row r="12850" spans="10:23" x14ac:dyDescent="0.25">
      <c r="J12850"/>
      <c r="M12850"/>
      <c r="W12850"/>
    </row>
    <row r="12851" spans="10:23" x14ac:dyDescent="0.25">
      <c r="J12851"/>
      <c r="M12851"/>
      <c r="W12851"/>
    </row>
    <row r="12852" spans="10:23" x14ac:dyDescent="0.25">
      <c r="J12852"/>
      <c r="M12852"/>
      <c r="W12852"/>
    </row>
    <row r="12853" spans="10:23" x14ac:dyDescent="0.25">
      <c r="J12853"/>
      <c r="M12853"/>
      <c r="W12853"/>
    </row>
    <row r="12854" spans="10:23" x14ac:dyDescent="0.25">
      <c r="J12854"/>
      <c r="M12854"/>
      <c r="W12854"/>
    </row>
    <row r="12855" spans="10:23" x14ac:dyDescent="0.25">
      <c r="J12855"/>
      <c r="M12855"/>
      <c r="W12855"/>
    </row>
    <row r="12856" spans="10:23" x14ac:dyDescent="0.25">
      <c r="J12856"/>
      <c r="M12856"/>
      <c r="W12856"/>
    </row>
    <row r="12857" spans="10:23" x14ac:dyDescent="0.25">
      <c r="J12857"/>
      <c r="M12857"/>
      <c r="W12857"/>
    </row>
    <row r="12858" spans="10:23" x14ac:dyDescent="0.25">
      <c r="J12858"/>
      <c r="M12858"/>
      <c r="W12858"/>
    </row>
    <row r="12859" spans="10:23" x14ac:dyDescent="0.25">
      <c r="J12859"/>
      <c r="M12859"/>
      <c r="W12859"/>
    </row>
    <row r="12860" spans="10:23" x14ac:dyDescent="0.25">
      <c r="J12860"/>
      <c r="M12860"/>
      <c r="W12860"/>
    </row>
    <row r="12861" spans="10:23" x14ac:dyDescent="0.25">
      <c r="J12861"/>
      <c r="M12861"/>
      <c r="W12861"/>
    </row>
    <row r="12862" spans="10:23" x14ac:dyDescent="0.25">
      <c r="J12862"/>
      <c r="M12862"/>
      <c r="W12862"/>
    </row>
    <row r="12863" spans="10:23" x14ac:dyDescent="0.25">
      <c r="J12863"/>
      <c r="M12863"/>
      <c r="W12863"/>
    </row>
    <row r="12864" spans="10:23" x14ac:dyDescent="0.25">
      <c r="J12864"/>
      <c r="M12864"/>
      <c r="W12864"/>
    </row>
    <row r="12865" spans="10:23" x14ac:dyDescent="0.25">
      <c r="J12865"/>
      <c r="M12865"/>
      <c r="W12865"/>
    </row>
    <row r="12866" spans="10:23" x14ac:dyDescent="0.25">
      <c r="J12866"/>
      <c r="M12866"/>
      <c r="W12866"/>
    </row>
    <row r="12867" spans="10:23" x14ac:dyDescent="0.25">
      <c r="J12867"/>
      <c r="M12867"/>
      <c r="W12867"/>
    </row>
    <row r="12868" spans="10:23" x14ac:dyDescent="0.25">
      <c r="J12868"/>
      <c r="M12868"/>
      <c r="W12868"/>
    </row>
    <row r="12869" spans="10:23" x14ac:dyDescent="0.25">
      <c r="J12869"/>
      <c r="M12869"/>
      <c r="W12869"/>
    </row>
    <row r="12870" spans="10:23" x14ac:dyDescent="0.25">
      <c r="J12870"/>
      <c r="M12870"/>
      <c r="W12870"/>
    </row>
    <row r="12871" spans="10:23" x14ac:dyDescent="0.25">
      <c r="J12871"/>
      <c r="M12871"/>
      <c r="W12871"/>
    </row>
    <row r="12872" spans="10:23" x14ac:dyDescent="0.25">
      <c r="J12872"/>
      <c r="M12872"/>
      <c r="W12872"/>
    </row>
    <row r="12873" spans="10:23" x14ac:dyDescent="0.25">
      <c r="J12873"/>
      <c r="M12873"/>
      <c r="W12873"/>
    </row>
    <row r="12874" spans="10:23" x14ac:dyDescent="0.25">
      <c r="J12874"/>
      <c r="M12874"/>
      <c r="W12874"/>
    </row>
    <row r="12875" spans="10:23" x14ac:dyDescent="0.25">
      <c r="J12875"/>
      <c r="M12875"/>
      <c r="W12875"/>
    </row>
    <row r="12876" spans="10:23" x14ac:dyDescent="0.25">
      <c r="J12876"/>
      <c r="M12876"/>
      <c r="W12876"/>
    </row>
    <row r="12877" spans="10:23" x14ac:dyDescent="0.25">
      <c r="J12877"/>
      <c r="M12877"/>
      <c r="W12877"/>
    </row>
    <row r="12878" spans="10:23" x14ac:dyDescent="0.25">
      <c r="J12878"/>
      <c r="M12878"/>
      <c r="W12878"/>
    </row>
    <row r="12879" spans="10:23" x14ac:dyDescent="0.25">
      <c r="J12879"/>
      <c r="M12879"/>
      <c r="W12879"/>
    </row>
    <row r="12880" spans="10:23" x14ac:dyDescent="0.25">
      <c r="J12880"/>
      <c r="M12880"/>
      <c r="W12880"/>
    </row>
    <row r="12881" spans="10:23" x14ac:dyDescent="0.25">
      <c r="J12881"/>
      <c r="M12881"/>
      <c r="W12881"/>
    </row>
    <row r="12882" spans="10:23" x14ac:dyDescent="0.25">
      <c r="J12882"/>
      <c r="M12882"/>
      <c r="W12882"/>
    </row>
    <row r="12883" spans="10:23" x14ac:dyDescent="0.25">
      <c r="J12883"/>
      <c r="M12883"/>
      <c r="W12883"/>
    </row>
    <row r="12884" spans="10:23" x14ac:dyDescent="0.25">
      <c r="J12884"/>
      <c r="M12884"/>
      <c r="W12884"/>
    </row>
    <row r="12885" spans="10:23" x14ac:dyDescent="0.25">
      <c r="J12885"/>
      <c r="M12885"/>
      <c r="W12885"/>
    </row>
    <row r="12886" spans="10:23" x14ac:dyDescent="0.25">
      <c r="J12886"/>
      <c r="M12886"/>
      <c r="W12886"/>
    </row>
    <row r="12887" spans="10:23" x14ac:dyDescent="0.25">
      <c r="J12887"/>
      <c r="M12887"/>
      <c r="W12887"/>
    </row>
    <row r="12888" spans="10:23" x14ac:dyDescent="0.25">
      <c r="J12888"/>
      <c r="M12888"/>
      <c r="W12888"/>
    </row>
    <row r="12889" spans="10:23" x14ac:dyDescent="0.25">
      <c r="J12889"/>
      <c r="M12889"/>
      <c r="W12889"/>
    </row>
    <row r="12890" spans="10:23" x14ac:dyDescent="0.25">
      <c r="J12890"/>
      <c r="M12890"/>
      <c r="W12890"/>
    </row>
    <row r="12891" spans="10:23" x14ac:dyDescent="0.25">
      <c r="J12891"/>
      <c r="M12891"/>
      <c r="W12891"/>
    </row>
    <row r="12892" spans="10:23" x14ac:dyDescent="0.25">
      <c r="J12892"/>
      <c r="M12892"/>
      <c r="W12892"/>
    </row>
    <row r="12893" spans="10:23" x14ac:dyDescent="0.25">
      <c r="J12893"/>
      <c r="M12893"/>
      <c r="W12893"/>
    </row>
    <row r="12894" spans="10:23" x14ac:dyDescent="0.25">
      <c r="J12894"/>
      <c r="M12894"/>
      <c r="W12894"/>
    </row>
    <row r="12895" spans="10:23" x14ac:dyDescent="0.25">
      <c r="J12895"/>
      <c r="M12895"/>
      <c r="W12895"/>
    </row>
    <row r="12896" spans="10:23" x14ac:dyDescent="0.25">
      <c r="J12896"/>
      <c r="M12896"/>
      <c r="W12896"/>
    </row>
    <row r="12897" spans="10:23" x14ac:dyDescent="0.25">
      <c r="J12897"/>
      <c r="M12897"/>
      <c r="W12897"/>
    </row>
    <row r="12898" spans="10:23" x14ac:dyDescent="0.25">
      <c r="J12898"/>
      <c r="M12898"/>
      <c r="W12898"/>
    </row>
    <row r="12899" spans="10:23" x14ac:dyDescent="0.25">
      <c r="J12899"/>
      <c r="M12899"/>
      <c r="W12899"/>
    </row>
    <row r="12900" spans="10:23" x14ac:dyDescent="0.25">
      <c r="J12900"/>
      <c r="M12900"/>
      <c r="W12900"/>
    </row>
    <row r="12901" spans="10:23" x14ac:dyDescent="0.25">
      <c r="J12901"/>
      <c r="M12901"/>
      <c r="W12901"/>
    </row>
    <row r="12902" spans="10:23" x14ac:dyDescent="0.25">
      <c r="J12902"/>
      <c r="M12902"/>
      <c r="W12902"/>
    </row>
    <row r="12903" spans="10:23" x14ac:dyDescent="0.25">
      <c r="J12903"/>
      <c r="M12903"/>
      <c r="W12903"/>
    </row>
    <row r="12904" spans="10:23" x14ac:dyDescent="0.25">
      <c r="J12904"/>
      <c r="M12904"/>
      <c r="W12904"/>
    </row>
    <row r="12905" spans="10:23" x14ac:dyDescent="0.25">
      <c r="J12905"/>
      <c r="M12905"/>
      <c r="W12905"/>
    </row>
    <row r="12906" spans="10:23" x14ac:dyDescent="0.25">
      <c r="J12906"/>
      <c r="M12906"/>
      <c r="W12906"/>
    </row>
    <row r="12907" spans="10:23" x14ac:dyDescent="0.25">
      <c r="J12907"/>
      <c r="M12907"/>
      <c r="W12907"/>
    </row>
    <row r="12908" spans="10:23" x14ac:dyDescent="0.25">
      <c r="J12908"/>
      <c r="M12908"/>
      <c r="W12908"/>
    </row>
    <row r="12909" spans="10:23" x14ac:dyDescent="0.25">
      <c r="J12909"/>
      <c r="M12909"/>
      <c r="W12909"/>
    </row>
    <row r="12910" spans="10:23" x14ac:dyDescent="0.25">
      <c r="J12910"/>
      <c r="M12910"/>
      <c r="W12910"/>
    </row>
    <row r="12911" spans="10:23" x14ac:dyDescent="0.25">
      <c r="J12911"/>
      <c r="M12911"/>
      <c r="W12911"/>
    </row>
    <row r="12912" spans="10:23" x14ac:dyDescent="0.25">
      <c r="J12912"/>
      <c r="M12912"/>
      <c r="W12912"/>
    </row>
    <row r="12913" spans="10:23" x14ac:dyDescent="0.25">
      <c r="J12913"/>
      <c r="M12913"/>
      <c r="W12913"/>
    </row>
    <row r="12914" spans="10:23" x14ac:dyDescent="0.25">
      <c r="J12914"/>
      <c r="M12914"/>
      <c r="W12914"/>
    </row>
    <row r="12915" spans="10:23" x14ac:dyDescent="0.25">
      <c r="J12915"/>
      <c r="M12915"/>
      <c r="W12915"/>
    </row>
    <row r="12916" spans="10:23" x14ac:dyDescent="0.25">
      <c r="J12916"/>
      <c r="M12916"/>
      <c r="W12916"/>
    </row>
    <row r="12917" spans="10:23" x14ac:dyDescent="0.25">
      <c r="J12917"/>
      <c r="M12917"/>
      <c r="W12917"/>
    </row>
    <row r="12918" spans="10:23" x14ac:dyDescent="0.25">
      <c r="J12918"/>
      <c r="M12918"/>
      <c r="W12918"/>
    </row>
    <row r="12919" spans="10:23" x14ac:dyDescent="0.25">
      <c r="J12919"/>
      <c r="M12919"/>
      <c r="W12919"/>
    </row>
    <row r="12920" spans="10:23" x14ac:dyDescent="0.25">
      <c r="J12920"/>
      <c r="M12920"/>
      <c r="W12920"/>
    </row>
    <row r="12921" spans="10:23" x14ac:dyDescent="0.25">
      <c r="J12921"/>
      <c r="M12921"/>
      <c r="W12921"/>
    </row>
    <row r="12922" spans="10:23" x14ac:dyDescent="0.25">
      <c r="J12922"/>
      <c r="M12922"/>
      <c r="W12922"/>
    </row>
    <row r="12923" spans="10:23" x14ac:dyDescent="0.25">
      <c r="J12923"/>
      <c r="M12923"/>
      <c r="W12923"/>
    </row>
    <row r="12924" spans="10:23" x14ac:dyDescent="0.25">
      <c r="J12924"/>
      <c r="M12924"/>
      <c r="W12924"/>
    </row>
    <row r="12925" spans="10:23" x14ac:dyDescent="0.25">
      <c r="J12925"/>
      <c r="M12925"/>
      <c r="W12925"/>
    </row>
    <row r="12926" spans="10:23" x14ac:dyDescent="0.25">
      <c r="J12926"/>
      <c r="M12926"/>
      <c r="W12926"/>
    </row>
    <row r="12927" spans="10:23" x14ac:dyDescent="0.25">
      <c r="J12927"/>
      <c r="M12927"/>
      <c r="W12927"/>
    </row>
    <row r="12928" spans="10:23" x14ac:dyDescent="0.25">
      <c r="J12928"/>
      <c r="M12928"/>
      <c r="W12928"/>
    </row>
    <row r="12929" spans="10:23" x14ac:dyDescent="0.25">
      <c r="J12929"/>
      <c r="M12929"/>
      <c r="W12929"/>
    </row>
    <row r="12930" spans="10:23" x14ac:dyDescent="0.25">
      <c r="J12930"/>
      <c r="M12930"/>
      <c r="W12930"/>
    </row>
    <row r="12931" spans="10:23" x14ac:dyDescent="0.25">
      <c r="J12931"/>
      <c r="M12931"/>
      <c r="W12931"/>
    </row>
    <row r="12932" spans="10:23" x14ac:dyDescent="0.25">
      <c r="J12932"/>
      <c r="M12932"/>
      <c r="W12932"/>
    </row>
    <row r="12933" spans="10:23" x14ac:dyDescent="0.25">
      <c r="J12933"/>
      <c r="M12933"/>
      <c r="W12933"/>
    </row>
    <row r="12934" spans="10:23" x14ac:dyDescent="0.25">
      <c r="J12934"/>
      <c r="M12934"/>
      <c r="W12934"/>
    </row>
    <row r="12935" spans="10:23" x14ac:dyDescent="0.25">
      <c r="J12935"/>
      <c r="M12935"/>
      <c r="W12935"/>
    </row>
    <row r="12936" spans="10:23" x14ac:dyDescent="0.25">
      <c r="J12936"/>
      <c r="M12936"/>
      <c r="W12936"/>
    </row>
    <row r="12937" spans="10:23" x14ac:dyDescent="0.25">
      <c r="J12937"/>
      <c r="M12937"/>
      <c r="W12937"/>
    </row>
    <row r="12938" spans="10:23" x14ac:dyDescent="0.25">
      <c r="J12938"/>
      <c r="M12938"/>
      <c r="W12938"/>
    </row>
    <row r="12939" spans="10:23" x14ac:dyDescent="0.25">
      <c r="J12939"/>
      <c r="M12939"/>
      <c r="W12939"/>
    </row>
    <row r="12940" spans="10:23" x14ac:dyDescent="0.25">
      <c r="J12940"/>
      <c r="M12940"/>
      <c r="W12940"/>
    </row>
    <row r="12941" spans="10:23" x14ac:dyDescent="0.25">
      <c r="J12941"/>
      <c r="M12941"/>
      <c r="W12941"/>
    </row>
    <row r="12942" spans="10:23" x14ac:dyDescent="0.25">
      <c r="J12942"/>
      <c r="M12942"/>
      <c r="W12942"/>
    </row>
    <row r="12943" spans="10:23" x14ac:dyDescent="0.25">
      <c r="J12943"/>
      <c r="M12943"/>
      <c r="W12943"/>
    </row>
    <row r="12944" spans="10:23" x14ac:dyDescent="0.25">
      <c r="J12944"/>
      <c r="M12944"/>
      <c r="W12944"/>
    </row>
    <row r="12945" spans="10:23" x14ac:dyDescent="0.25">
      <c r="J12945"/>
      <c r="M12945"/>
      <c r="W12945"/>
    </row>
    <row r="12946" spans="10:23" x14ac:dyDescent="0.25">
      <c r="J12946"/>
      <c r="M12946"/>
      <c r="W12946"/>
    </row>
    <row r="12947" spans="10:23" x14ac:dyDescent="0.25">
      <c r="J12947"/>
      <c r="M12947"/>
      <c r="W12947"/>
    </row>
    <row r="12948" spans="10:23" x14ac:dyDescent="0.25">
      <c r="J12948"/>
      <c r="M12948"/>
      <c r="W12948"/>
    </row>
    <row r="12949" spans="10:23" x14ac:dyDescent="0.25">
      <c r="J12949"/>
      <c r="M12949"/>
      <c r="W12949"/>
    </row>
    <row r="12950" spans="10:23" x14ac:dyDescent="0.25">
      <c r="J12950"/>
      <c r="M12950"/>
      <c r="W12950"/>
    </row>
    <row r="12951" spans="10:23" x14ac:dyDescent="0.25">
      <c r="J12951"/>
      <c r="M12951"/>
      <c r="W12951"/>
    </row>
    <row r="12952" spans="10:23" x14ac:dyDescent="0.25">
      <c r="J12952"/>
      <c r="M12952"/>
      <c r="W12952"/>
    </row>
    <row r="12953" spans="10:23" x14ac:dyDescent="0.25">
      <c r="J12953"/>
      <c r="M12953"/>
      <c r="W12953"/>
    </row>
    <row r="12954" spans="10:23" x14ac:dyDescent="0.25">
      <c r="J12954"/>
      <c r="M12954"/>
      <c r="W12954"/>
    </row>
    <row r="12955" spans="10:23" x14ac:dyDescent="0.25">
      <c r="J12955"/>
      <c r="M12955"/>
      <c r="W12955"/>
    </row>
    <row r="12956" spans="10:23" x14ac:dyDescent="0.25">
      <c r="J12956"/>
      <c r="M12956"/>
      <c r="W12956"/>
    </row>
    <row r="12957" spans="10:23" x14ac:dyDescent="0.25">
      <c r="J12957"/>
      <c r="M12957"/>
      <c r="W12957"/>
    </row>
    <row r="12958" spans="10:23" x14ac:dyDescent="0.25">
      <c r="J12958"/>
      <c r="M12958"/>
      <c r="W12958"/>
    </row>
    <row r="12959" spans="10:23" x14ac:dyDescent="0.25">
      <c r="J12959"/>
      <c r="M12959"/>
      <c r="W12959"/>
    </row>
    <row r="12960" spans="10:23" x14ac:dyDescent="0.25">
      <c r="J12960"/>
      <c r="M12960"/>
      <c r="W12960"/>
    </row>
    <row r="12961" spans="10:23" x14ac:dyDescent="0.25">
      <c r="J12961"/>
      <c r="M12961"/>
      <c r="W12961"/>
    </row>
    <row r="12962" spans="10:23" x14ac:dyDescent="0.25">
      <c r="J12962"/>
      <c r="M12962"/>
      <c r="W12962"/>
    </row>
    <row r="12963" spans="10:23" x14ac:dyDescent="0.25">
      <c r="J12963"/>
      <c r="M12963"/>
      <c r="W12963"/>
    </row>
    <row r="12964" spans="10:23" x14ac:dyDescent="0.25">
      <c r="J12964"/>
      <c r="M12964"/>
      <c r="W12964"/>
    </row>
    <row r="12965" spans="10:23" x14ac:dyDescent="0.25">
      <c r="J12965"/>
      <c r="M12965"/>
      <c r="W12965"/>
    </row>
    <row r="12966" spans="10:23" x14ac:dyDescent="0.25">
      <c r="J12966"/>
      <c r="M12966"/>
      <c r="W12966"/>
    </row>
    <row r="12967" spans="10:23" x14ac:dyDescent="0.25">
      <c r="J12967"/>
      <c r="M12967"/>
      <c r="W12967"/>
    </row>
    <row r="12968" spans="10:23" x14ac:dyDescent="0.25">
      <c r="J12968"/>
      <c r="M12968"/>
      <c r="W12968"/>
    </row>
    <row r="12969" spans="10:23" x14ac:dyDescent="0.25">
      <c r="J12969"/>
      <c r="M12969"/>
      <c r="W12969"/>
    </row>
    <row r="12970" spans="10:23" x14ac:dyDescent="0.25">
      <c r="J12970"/>
      <c r="M12970"/>
      <c r="W12970"/>
    </row>
    <row r="12971" spans="10:23" x14ac:dyDescent="0.25">
      <c r="J12971"/>
      <c r="M12971"/>
      <c r="W12971"/>
    </row>
    <row r="12972" spans="10:23" x14ac:dyDescent="0.25">
      <c r="J12972"/>
      <c r="M12972"/>
      <c r="W12972"/>
    </row>
    <row r="12973" spans="10:23" x14ac:dyDescent="0.25">
      <c r="J12973"/>
      <c r="M12973"/>
      <c r="W12973"/>
    </row>
    <row r="12974" spans="10:23" x14ac:dyDescent="0.25">
      <c r="J12974"/>
      <c r="M12974"/>
      <c r="W12974"/>
    </row>
    <row r="12975" spans="10:23" x14ac:dyDescent="0.25">
      <c r="J12975"/>
      <c r="M12975"/>
      <c r="W12975"/>
    </row>
    <row r="12976" spans="10:23" x14ac:dyDescent="0.25">
      <c r="J12976"/>
      <c r="M12976"/>
      <c r="W12976"/>
    </row>
    <row r="12977" spans="10:23" x14ac:dyDescent="0.25">
      <c r="J12977"/>
      <c r="M12977"/>
      <c r="W12977"/>
    </row>
    <row r="12978" spans="10:23" x14ac:dyDescent="0.25">
      <c r="J12978"/>
      <c r="M12978"/>
      <c r="W12978"/>
    </row>
    <row r="12979" spans="10:23" x14ac:dyDescent="0.25">
      <c r="J12979"/>
      <c r="M12979"/>
      <c r="W12979"/>
    </row>
    <row r="12980" spans="10:23" x14ac:dyDescent="0.25">
      <c r="J12980"/>
      <c r="M12980"/>
      <c r="W12980"/>
    </row>
    <row r="12981" spans="10:23" x14ac:dyDescent="0.25">
      <c r="J12981"/>
      <c r="M12981"/>
      <c r="W12981"/>
    </row>
    <row r="12982" spans="10:23" x14ac:dyDescent="0.25">
      <c r="J12982"/>
      <c r="M12982"/>
      <c r="W12982"/>
    </row>
    <row r="12983" spans="10:23" x14ac:dyDescent="0.25">
      <c r="J12983"/>
      <c r="M12983"/>
      <c r="W12983"/>
    </row>
    <row r="12984" spans="10:23" x14ac:dyDescent="0.25">
      <c r="J12984"/>
      <c r="M12984"/>
      <c r="W12984"/>
    </row>
    <row r="12985" spans="10:23" x14ac:dyDescent="0.25">
      <c r="J12985"/>
      <c r="M12985"/>
      <c r="W12985"/>
    </row>
    <row r="12986" spans="10:23" x14ac:dyDescent="0.25">
      <c r="J12986"/>
      <c r="M12986"/>
      <c r="W12986"/>
    </row>
    <row r="12987" spans="10:23" x14ac:dyDescent="0.25">
      <c r="J12987"/>
      <c r="M12987"/>
      <c r="W12987"/>
    </row>
    <row r="12988" spans="10:23" x14ac:dyDescent="0.25">
      <c r="J12988"/>
      <c r="M12988"/>
      <c r="W12988"/>
    </row>
    <row r="12989" spans="10:23" x14ac:dyDescent="0.25">
      <c r="J12989"/>
      <c r="M12989"/>
      <c r="W12989"/>
    </row>
    <row r="12990" spans="10:23" x14ac:dyDescent="0.25">
      <c r="J12990"/>
      <c r="M12990"/>
      <c r="W12990"/>
    </row>
    <row r="12991" spans="10:23" x14ac:dyDescent="0.25">
      <c r="J12991"/>
      <c r="M12991"/>
      <c r="W12991"/>
    </row>
    <row r="12992" spans="10:23" x14ac:dyDescent="0.25">
      <c r="J12992"/>
      <c r="M12992"/>
      <c r="W12992"/>
    </row>
    <row r="12993" spans="10:23" x14ac:dyDescent="0.25">
      <c r="J12993"/>
      <c r="M12993"/>
      <c r="W12993"/>
    </row>
    <row r="12994" spans="10:23" x14ac:dyDescent="0.25">
      <c r="J12994"/>
      <c r="M12994"/>
      <c r="W12994"/>
    </row>
    <row r="12995" spans="10:23" x14ac:dyDescent="0.25">
      <c r="J12995"/>
      <c r="M12995"/>
      <c r="W12995"/>
    </row>
    <row r="12996" spans="10:23" x14ac:dyDescent="0.25">
      <c r="J12996"/>
      <c r="M12996"/>
      <c r="W12996"/>
    </row>
    <row r="12997" spans="10:23" x14ac:dyDescent="0.25">
      <c r="J12997"/>
      <c r="M12997"/>
      <c r="W12997"/>
    </row>
    <row r="12998" spans="10:23" x14ac:dyDescent="0.25">
      <c r="J12998"/>
      <c r="M12998"/>
      <c r="W12998"/>
    </row>
    <row r="12999" spans="10:23" x14ac:dyDescent="0.25">
      <c r="J12999"/>
      <c r="M12999"/>
      <c r="W12999"/>
    </row>
    <row r="13000" spans="10:23" x14ac:dyDescent="0.25">
      <c r="J13000"/>
      <c r="M13000"/>
      <c r="W13000"/>
    </row>
    <row r="13001" spans="10:23" x14ac:dyDescent="0.25">
      <c r="J13001"/>
      <c r="M13001"/>
      <c r="W13001"/>
    </row>
    <row r="13002" spans="10:23" x14ac:dyDescent="0.25">
      <c r="J13002"/>
      <c r="M13002"/>
      <c r="W13002"/>
    </row>
    <row r="13003" spans="10:23" x14ac:dyDescent="0.25">
      <c r="J13003"/>
      <c r="M13003"/>
      <c r="W13003"/>
    </row>
    <row r="13004" spans="10:23" x14ac:dyDescent="0.25">
      <c r="J13004"/>
      <c r="M13004"/>
      <c r="W13004"/>
    </row>
    <row r="13005" spans="10:23" x14ac:dyDescent="0.25">
      <c r="J13005"/>
      <c r="M13005"/>
      <c r="W13005"/>
    </row>
    <row r="13006" spans="10:23" x14ac:dyDescent="0.25">
      <c r="J13006"/>
      <c r="M13006"/>
      <c r="W13006"/>
    </row>
    <row r="13007" spans="10:23" x14ac:dyDescent="0.25">
      <c r="J13007"/>
      <c r="M13007"/>
      <c r="W13007"/>
    </row>
    <row r="13008" spans="10:23" x14ac:dyDescent="0.25">
      <c r="J13008"/>
      <c r="M13008"/>
      <c r="W13008"/>
    </row>
    <row r="13009" spans="10:23" x14ac:dyDescent="0.25">
      <c r="J13009"/>
      <c r="M13009"/>
      <c r="W13009"/>
    </row>
    <row r="13010" spans="10:23" x14ac:dyDescent="0.25">
      <c r="J13010"/>
      <c r="M13010"/>
      <c r="W13010"/>
    </row>
    <row r="13011" spans="10:23" x14ac:dyDescent="0.25">
      <c r="J13011"/>
      <c r="M13011"/>
      <c r="W13011"/>
    </row>
    <row r="13012" spans="10:23" x14ac:dyDescent="0.25">
      <c r="J13012"/>
      <c r="M13012"/>
      <c r="W13012"/>
    </row>
    <row r="13013" spans="10:23" x14ac:dyDescent="0.25">
      <c r="J13013"/>
      <c r="M13013"/>
      <c r="W13013"/>
    </row>
    <row r="13014" spans="10:23" x14ac:dyDescent="0.25">
      <c r="J13014"/>
      <c r="M13014"/>
      <c r="W13014"/>
    </row>
    <row r="13015" spans="10:23" x14ac:dyDescent="0.25">
      <c r="J13015"/>
      <c r="M13015"/>
      <c r="W13015"/>
    </row>
    <row r="13016" spans="10:23" x14ac:dyDescent="0.25">
      <c r="J13016"/>
      <c r="M13016"/>
      <c r="W13016"/>
    </row>
    <row r="13017" spans="10:23" x14ac:dyDescent="0.25">
      <c r="J13017"/>
      <c r="M13017"/>
      <c r="W13017"/>
    </row>
    <row r="13018" spans="10:23" x14ac:dyDescent="0.25">
      <c r="J13018"/>
      <c r="M13018"/>
      <c r="W13018"/>
    </row>
    <row r="13019" spans="10:23" x14ac:dyDescent="0.25">
      <c r="J13019"/>
      <c r="M13019"/>
      <c r="W13019"/>
    </row>
    <row r="13020" spans="10:23" x14ac:dyDescent="0.25">
      <c r="J13020"/>
      <c r="M13020"/>
      <c r="W13020"/>
    </row>
    <row r="13021" spans="10:23" x14ac:dyDescent="0.25">
      <c r="J13021"/>
      <c r="M13021"/>
      <c r="W13021"/>
    </row>
    <row r="13022" spans="10:23" x14ac:dyDescent="0.25">
      <c r="J13022"/>
      <c r="M13022"/>
      <c r="W13022"/>
    </row>
    <row r="13023" spans="10:23" x14ac:dyDescent="0.25">
      <c r="J13023"/>
      <c r="M13023"/>
      <c r="W13023"/>
    </row>
    <row r="13024" spans="10:23" x14ac:dyDescent="0.25">
      <c r="J13024"/>
      <c r="M13024"/>
      <c r="W13024"/>
    </row>
    <row r="13025" spans="10:23" x14ac:dyDescent="0.25">
      <c r="J13025"/>
      <c r="M13025"/>
      <c r="W13025"/>
    </row>
    <row r="13026" spans="10:23" x14ac:dyDescent="0.25">
      <c r="J13026"/>
      <c r="M13026"/>
      <c r="W13026"/>
    </row>
    <row r="13027" spans="10:23" x14ac:dyDescent="0.25">
      <c r="J13027"/>
      <c r="M13027"/>
      <c r="W13027"/>
    </row>
    <row r="13028" spans="10:23" x14ac:dyDescent="0.25">
      <c r="J13028"/>
      <c r="M13028"/>
      <c r="W13028"/>
    </row>
    <row r="13029" spans="10:23" x14ac:dyDescent="0.25">
      <c r="J13029"/>
      <c r="M13029"/>
      <c r="W13029"/>
    </row>
    <row r="13030" spans="10:23" x14ac:dyDescent="0.25">
      <c r="J13030"/>
      <c r="M13030"/>
      <c r="W13030"/>
    </row>
    <row r="13031" spans="10:23" x14ac:dyDescent="0.25">
      <c r="J13031"/>
      <c r="M13031"/>
      <c r="W13031"/>
    </row>
    <row r="13032" spans="10:23" x14ac:dyDescent="0.25">
      <c r="J13032"/>
      <c r="M13032"/>
      <c r="W13032"/>
    </row>
    <row r="13033" spans="10:23" x14ac:dyDescent="0.25">
      <c r="J13033"/>
      <c r="M13033"/>
      <c r="W13033"/>
    </row>
    <row r="13034" spans="10:23" x14ac:dyDescent="0.25">
      <c r="J13034"/>
      <c r="M13034"/>
      <c r="W13034"/>
    </row>
    <row r="13035" spans="10:23" x14ac:dyDescent="0.25">
      <c r="J13035"/>
      <c r="M13035"/>
      <c r="W13035"/>
    </row>
    <row r="13036" spans="10:23" x14ac:dyDescent="0.25">
      <c r="J13036"/>
      <c r="M13036"/>
      <c r="W13036"/>
    </row>
    <row r="13037" spans="10:23" x14ac:dyDescent="0.25">
      <c r="J13037"/>
      <c r="M13037"/>
      <c r="W13037"/>
    </row>
    <row r="13038" spans="10:23" x14ac:dyDescent="0.25">
      <c r="J13038"/>
      <c r="M13038"/>
      <c r="W13038"/>
    </row>
    <row r="13039" spans="10:23" x14ac:dyDescent="0.25">
      <c r="J13039"/>
      <c r="M13039"/>
      <c r="W13039"/>
    </row>
    <row r="13040" spans="10:23" x14ac:dyDescent="0.25">
      <c r="J13040"/>
      <c r="M13040"/>
      <c r="W13040"/>
    </row>
    <row r="13041" spans="10:23" x14ac:dyDescent="0.25">
      <c r="J13041"/>
      <c r="M13041"/>
      <c r="W13041"/>
    </row>
    <row r="13042" spans="10:23" x14ac:dyDescent="0.25">
      <c r="J13042"/>
      <c r="M13042"/>
      <c r="W13042"/>
    </row>
    <row r="13043" spans="10:23" x14ac:dyDescent="0.25">
      <c r="J13043"/>
      <c r="M13043"/>
      <c r="W13043"/>
    </row>
    <row r="13044" spans="10:23" x14ac:dyDescent="0.25">
      <c r="J13044"/>
      <c r="M13044"/>
      <c r="W13044"/>
    </row>
    <row r="13045" spans="10:23" x14ac:dyDescent="0.25">
      <c r="J13045"/>
      <c r="M13045"/>
      <c r="W13045"/>
    </row>
    <row r="13046" spans="10:23" x14ac:dyDescent="0.25">
      <c r="J13046"/>
      <c r="M13046"/>
      <c r="W13046"/>
    </row>
    <row r="13047" spans="10:23" x14ac:dyDescent="0.25">
      <c r="J13047"/>
      <c r="M13047"/>
      <c r="W13047"/>
    </row>
    <row r="13048" spans="10:23" x14ac:dyDescent="0.25">
      <c r="J13048"/>
      <c r="M13048"/>
      <c r="W13048"/>
    </row>
    <row r="13049" spans="10:23" x14ac:dyDescent="0.25">
      <c r="J13049"/>
      <c r="M13049"/>
      <c r="W13049"/>
    </row>
    <row r="13050" spans="10:23" x14ac:dyDescent="0.25">
      <c r="J13050"/>
      <c r="M13050"/>
      <c r="W13050"/>
    </row>
    <row r="13051" spans="10:23" x14ac:dyDescent="0.25">
      <c r="J13051"/>
      <c r="M13051"/>
      <c r="W13051"/>
    </row>
    <row r="13052" spans="10:23" x14ac:dyDescent="0.25">
      <c r="J13052"/>
      <c r="M13052"/>
      <c r="W13052"/>
    </row>
    <row r="13053" spans="10:23" x14ac:dyDescent="0.25">
      <c r="J13053"/>
      <c r="M13053"/>
      <c r="W13053"/>
    </row>
    <row r="13054" spans="10:23" x14ac:dyDescent="0.25">
      <c r="J13054"/>
      <c r="M13054"/>
      <c r="W13054"/>
    </row>
    <row r="13055" spans="10:23" x14ac:dyDescent="0.25">
      <c r="J13055"/>
      <c r="M13055"/>
      <c r="W13055"/>
    </row>
    <row r="13056" spans="10:23" x14ac:dyDescent="0.25">
      <c r="J13056"/>
      <c r="M13056"/>
      <c r="W13056"/>
    </row>
    <row r="13057" spans="10:23" x14ac:dyDescent="0.25">
      <c r="J13057"/>
      <c r="M13057"/>
      <c r="W13057"/>
    </row>
    <row r="13058" spans="10:23" x14ac:dyDescent="0.25">
      <c r="J13058"/>
      <c r="M13058"/>
      <c r="W13058"/>
    </row>
    <row r="13059" spans="10:23" x14ac:dyDescent="0.25">
      <c r="J13059"/>
      <c r="M13059"/>
      <c r="W13059"/>
    </row>
    <row r="13060" spans="10:23" x14ac:dyDescent="0.25">
      <c r="J13060"/>
      <c r="M13060"/>
      <c r="W13060"/>
    </row>
    <row r="13061" spans="10:23" x14ac:dyDescent="0.25">
      <c r="J13061"/>
      <c r="M13061"/>
      <c r="W13061"/>
    </row>
    <row r="13062" spans="10:23" x14ac:dyDescent="0.25">
      <c r="J13062"/>
      <c r="M13062"/>
      <c r="W13062"/>
    </row>
    <row r="13063" spans="10:23" x14ac:dyDescent="0.25">
      <c r="J13063"/>
      <c r="M13063"/>
      <c r="W13063"/>
    </row>
    <row r="13064" spans="10:23" x14ac:dyDescent="0.25">
      <c r="J13064"/>
      <c r="M13064"/>
      <c r="W13064"/>
    </row>
    <row r="13065" spans="10:23" x14ac:dyDescent="0.25">
      <c r="J13065"/>
      <c r="M13065"/>
      <c r="W13065"/>
    </row>
    <row r="13066" spans="10:23" x14ac:dyDescent="0.25">
      <c r="J13066"/>
      <c r="M13066"/>
      <c r="W13066"/>
    </row>
    <row r="13067" spans="10:23" x14ac:dyDescent="0.25">
      <c r="J13067"/>
      <c r="M13067"/>
      <c r="W13067"/>
    </row>
    <row r="13068" spans="10:23" x14ac:dyDescent="0.25">
      <c r="J13068"/>
      <c r="M13068"/>
      <c r="W13068"/>
    </row>
    <row r="13069" spans="10:23" x14ac:dyDescent="0.25">
      <c r="J13069"/>
      <c r="M13069"/>
      <c r="W13069"/>
    </row>
    <row r="13070" spans="10:23" x14ac:dyDescent="0.25">
      <c r="J13070"/>
      <c r="M13070"/>
      <c r="W13070"/>
    </row>
    <row r="13071" spans="10:23" x14ac:dyDescent="0.25">
      <c r="J13071"/>
      <c r="M13071"/>
      <c r="W13071"/>
    </row>
    <row r="13072" spans="10:23" x14ac:dyDescent="0.25">
      <c r="J13072"/>
      <c r="M13072"/>
      <c r="W13072"/>
    </row>
    <row r="13073" spans="10:23" x14ac:dyDescent="0.25">
      <c r="J13073"/>
      <c r="M13073"/>
      <c r="W13073"/>
    </row>
    <row r="13074" spans="10:23" x14ac:dyDescent="0.25">
      <c r="J13074"/>
      <c r="M13074"/>
      <c r="W13074"/>
    </row>
    <row r="13075" spans="10:23" x14ac:dyDescent="0.25">
      <c r="J13075"/>
      <c r="M13075"/>
      <c r="W13075"/>
    </row>
    <row r="13076" spans="10:23" x14ac:dyDescent="0.25">
      <c r="J13076"/>
      <c r="M13076"/>
      <c r="W13076"/>
    </row>
    <row r="13077" spans="10:23" x14ac:dyDescent="0.25">
      <c r="J13077"/>
      <c r="M13077"/>
      <c r="W13077"/>
    </row>
    <row r="13078" spans="10:23" x14ac:dyDescent="0.25">
      <c r="J13078"/>
      <c r="M13078"/>
      <c r="W13078"/>
    </row>
    <row r="13079" spans="10:23" x14ac:dyDescent="0.25">
      <c r="J13079"/>
      <c r="M13079"/>
      <c r="W13079"/>
    </row>
    <row r="13080" spans="10:23" x14ac:dyDescent="0.25">
      <c r="J13080"/>
      <c r="M13080"/>
      <c r="W13080"/>
    </row>
    <row r="13081" spans="10:23" x14ac:dyDescent="0.25">
      <c r="J13081"/>
      <c r="M13081"/>
      <c r="W13081"/>
    </row>
    <row r="13082" spans="10:23" x14ac:dyDescent="0.25">
      <c r="J13082"/>
      <c r="M13082"/>
      <c r="W13082"/>
    </row>
    <row r="13083" spans="10:23" x14ac:dyDescent="0.25">
      <c r="J13083"/>
      <c r="M13083"/>
      <c r="W13083"/>
    </row>
    <row r="13084" spans="10:23" x14ac:dyDescent="0.25">
      <c r="J13084"/>
      <c r="M13084"/>
      <c r="W13084"/>
    </row>
    <row r="13085" spans="10:23" x14ac:dyDescent="0.25">
      <c r="J13085"/>
      <c r="M13085"/>
      <c r="W13085"/>
    </row>
    <row r="13086" spans="10:23" x14ac:dyDescent="0.25">
      <c r="J13086"/>
      <c r="M13086"/>
      <c r="W13086"/>
    </row>
    <row r="13087" spans="10:23" x14ac:dyDescent="0.25">
      <c r="J13087"/>
      <c r="M13087"/>
      <c r="W13087"/>
    </row>
    <row r="13088" spans="10:23" x14ac:dyDescent="0.25">
      <c r="J13088"/>
      <c r="M13088"/>
      <c r="W13088"/>
    </row>
    <row r="13089" spans="10:23" x14ac:dyDescent="0.25">
      <c r="J13089"/>
      <c r="M13089"/>
      <c r="W13089"/>
    </row>
    <row r="13090" spans="10:23" x14ac:dyDescent="0.25">
      <c r="J13090"/>
      <c r="M13090"/>
      <c r="W13090"/>
    </row>
    <row r="13091" spans="10:23" x14ac:dyDescent="0.25">
      <c r="J13091"/>
      <c r="M13091"/>
      <c r="W13091"/>
    </row>
    <row r="13092" spans="10:23" x14ac:dyDescent="0.25">
      <c r="J13092"/>
      <c r="M13092"/>
      <c r="W13092"/>
    </row>
    <row r="13093" spans="10:23" x14ac:dyDescent="0.25">
      <c r="J13093"/>
      <c r="M13093"/>
      <c r="W13093"/>
    </row>
    <row r="13094" spans="10:23" x14ac:dyDescent="0.25">
      <c r="J13094"/>
      <c r="M13094"/>
      <c r="W13094"/>
    </row>
    <row r="13095" spans="10:23" x14ac:dyDescent="0.25">
      <c r="J13095"/>
      <c r="M13095"/>
      <c r="W13095"/>
    </row>
    <row r="13096" spans="10:23" x14ac:dyDescent="0.25">
      <c r="J13096"/>
      <c r="M13096"/>
      <c r="W13096"/>
    </row>
    <row r="13097" spans="10:23" x14ac:dyDescent="0.25">
      <c r="J13097"/>
      <c r="M13097"/>
      <c r="W13097"/>
    </row>
    <row r="13098" spans="10:23" x14ac:dyDescent="0.25">
      <c r="J13098"/>
      <c r="M13098"/>
      <c r="W13098"/>
    </row>
    <row r="13099" spans="10:23" x14ac:dyDescent="0.25">
      <c r="J13099"/>
      <c r="M13099"/>
      <c r="W13099"/>
    </row>
    <row r="13100" spans="10:23" x14ac:dyDescent="0.25">
      <c r="J13100"/>
      <c r="M13100"/>
      <c r="W13100"/>
    </row>
    <row r="13101" spans="10:23" x14ac:dyDescent="0.25">
      <c r="J13101"/>
      <c r="M13101"/>
      <c r="W13101"/>
    </row>
    <row r="13102" spans="10:23" x14ac:dyDescent="0.25">
      <c r="J13102"/>
      <c r="M13102"/>
      <c r="W13102"/>
    </row>
    <row r="13103" spans="10:23" x14ac:dyDescent="0.25">
      <c r="J13103"/>
      <c r="M13103"/>
      <c r="W13103"/>
    </row>
    <row r="13104" spans="10:23" x14ac:dyDescent="0.25">
      <c r="J13104"/>
      <c r="M13104"/>
      <c r="W13104"/>
    </row>
    <row r="13105" spans="10:23" x14ac:dyDescent="0.25">
      <c r="J13105"/>
      <c r="M13105"/>
      <c r="W13105"/>
    </row>
    <row r="13106" spans="10:23" x14ac:dyDescent="0.25">
      <c r="J13106"/>
      <c r="M13106"/>
      <c r="W13106"/>
    </row>
    <row r="13107" spans="10:23" x14ac:dyDescent="0.25">
      <c r="J13107"/>
      <c r="M13107"/>
      <c r="W13107"/>
    </row>
    <row r="13108" spans="10:23" x14ac:dyDescent="0.25">
      <c r="J13108"/>
      <c r="M13108"/>
      <c r="W13108"/>
    </row>
    <row r="13109" spans="10:23" x14ac:dyDescent="0.25">
      <c r="J13109"/>
      <c r="M13109"/>
      <c r="W13109"/>
    </row>
    <row r="13110" spans="10:23" x14ac:dyDescent="0.25">
      <c r="J13110"/>
      <c r="M13110"/>
      <c r="W13110"/>
    </row>
    <row r="13111" spans="10:23" x14ac:dyDescent="0.25">
      <c r="J13111"/>
      <c r="M13111"/>
      <c r="W13111"/>
    </row>
    <row r="13112" spans="10:23" x14ac:dyDescent="0.25">
      <c r="J13112"/>
      <c r="M13112"/>
      <c r="W13112"/>
    </row>
    <row r="13113" spans="10:23" x14ac:dyDescent="0.25">
      <c r="J13113"/>
      <c r="M13113"/>
      <c r="W13113"/>
    </row>
    <row r="13114" spans="10:23" x14ac:dyDescent="0.25">
      <c r="J13114"/>
      <c r="M13114"/>
      <c r="W13114"/>
    </row>
    <row r="13115" spans="10:23" x14ac:dyDescent="0.25">
      <c r="J13115"/>
      <c r="M13115"/>
      <c r="W13115"/>
    </row>
    <row r="13116" spans="10:23" x14ac:dyDescent="0.25">
      <c r="J13116"/>
      <c r="M13116"/>
      <c r="W13116"/>
    </row>
    <row r="13117" spans="10:23" x14ac:dyDescent="0.25">
      <c r="J13117"/>
      <c r="M13117"/>
      <c r="W13117"/>
    </row>
    <row r="13118" spans="10:23" x14ac:dyDescent="0.25">
      <c r="J13118"/>
      <c r="M13118"/>
      <c r="W13118"/>
    </row>
    <row r="13119" spans="10:23" x14ac:dyDescent="0.25">
      <c r="J13119"/>
      <c r="M13119"/>
      <c r="W13119"/>
    </row>
    <row r="13120" spans="10:23" x14ac:dyDescent="0.25">
      <c r="J13120"/>
      <c r="M13120"/>
      <c r="W13120"/>
    </row>
    <row r="13121" spans="10:23" x14ac:dyDescent="0.25">
      <c r="J13121"/>
      <c r="M13121"/>
      <c r="W13121"/>
    </row>
    <row r="13122" spans="10:23" x14ac:dyDescent="0.25">
      <c r="J13122"/>
      <c r="M13122"/>
      <c r="W13122"/>
    </row>
    <row r="13123" spans="10:23" x14ac:dyDescent="0.25">
      <c r="J13123"/>
      <c r="M13123"/>
      <c r="W13123"/>
    </row>
    <row r="13124" spans="10:23" x14ac:dyDescent="0.25">
      <c r="J13124"/>
      <c r="M13124"/>
      <c r="W13124"/>
    </row>
    <row r="13125" spans="10:23" x14ac:dyDescent="0.25">
      <c r="J13125"/>
      <c r="M13125"/>
      <c r="W13125"/>
    </row>
    <row r="13126" spans="10:23" x14ac:dyDescent="0.25">
      <c r="J13126"/>
      <c r="M13126"/>
      <c r="W13126"/>
    </row>
    <row r="13127" spans="10:23" x14ac:dyDescent="0.25">
      <c r="J13127"/>
      <c r="M13127"/>
      <c r="W13127"/>
    </row>
    <row r="13128" spans="10:23" x14ac:dyDescent="0.25">
      <c r="J13128"/>
      <c r="M13128"/>
      <c r="W13128"/>
    </row>
    <row r="13129" spans="10:23" x14ac:dyDescent="0.25">
      <c r="J13129"/>
      <c r="M13129"/>
      <c r="W13129"/>
    </row>
    <row r="13130" spans="10:23" x14ac:dyDescent="0.25">
      <c r="J13130"/>
      <c r="M13130"/>
      <c r="W13130"/>
    </row>
    <row r="13131" spans="10:23" x14ac:dyDescent="0.25">
      <c r="J13131"/>
      <c r="M13131"/>
      <c r="W13131"/>
    </row>
    <row r="13132" spans="10:23" x14ac:dyDescent="0.25">
      <c r="J13132"/>
      <c r="M13132"/>
      <c r="W13132"/>
    </row>
    <row r="13133" spans="10:23" x14ac:dyDescent="0.25">
      <c r="J13133"/>
      <c r="M13133"/>
      <c r="W13133"/>
    </row>
    <row r="13134" spans="10:23" x14ac:dyDescent="0.25">
      <c r="J13134"/>
      <c r="M13134"/>
      <c r="W13134"/>
    </row>
    <row r="13135" spans="10:23" x14ac:dyDescent="0.25">
      <c r="J13135"/>
      <c r="M13135"/>
      <c r="W13135"/>
    </row>
    <row r="13136" spans="10:23" x14ac:dyDescent="0.25">
      <c r="J13136"/>
      <c r="M13136"/>
      <c r="W13136"/>
    </row>
    <row r="13137" spans="10:23" x14ac:dyDescent="0.25">
      <c r="J13137"/>
      <c r="M13137"/>
      <c r="W13137"/>
    </row>
    <row r="13138" spans="10:23" x14ac:dyDescent="0.25">
      <c r="J13138"/>
      <c r="M13138"/>
      <c r="W13138"/>
    </row>
    <row r="13139" spans="10:23" x14ac:dyDescent="0.25">
      <c r="J13139"/>
      <c r="M13139"/>
      <c r="W13139"/>
    </row>
    <row r="13140" spans="10:23" x14ac:dyDescent="0.25">
      <c r="J13140"/>
      <c r="M13140"/>
      <c r="W13140"/>
    </row>
    <row r="13141" spans="10:23" x14ac:dyDescent="0.25">
      <c r="J13141"/>
      <c r="M13141"/>
      <c r="W13141"/>
    </row>
    <row r="13142" spans="10:23" x14ac:dyDescent="0.25">
      <c r="J13142"/>
      <c r="M13142"/>
      <c r="W13142"/>
    </row>
    <row r="13143" spans="10:23" x14ac:dyDescent="0.25">
      <c r="J13143"/>
      <c r="M13143"/>
      <c r="W13143"/>
    </row>
    <row r="13144" spans="10:23" x14ac:dyDescent="0.25">
      <c r="J13144"/>
      <c r="M13144"/>
      <c r="W13144"/>
    </row>
    <row r="13145" spans="10:23" x14ac:dyDescent="0.25">
      <c r="J13145"/>
      <c r="M13145"/>
      <c r="W13145"/>
    </row>
    <row r="13146" spans="10:23" x14ac:dyDescent="0.25">
      <c r="J13146"/>
      <c r="M13146"/>
      <c r="W13146"/>
    </row>
    <row r="13147" spans="10:23" x14ac:dyDescent="0.25">
      <c r="J13147"/>
      <c r="M13147"/>
      <c r="W13147"/>
    </row>
    <row r="13148" spans="10:23" x14ac:dyDescent="0.25">
      <c r="J13148"/>
      <c r="M13148"/>
      <c r="W13148"/>
    </row>
    <row r="13149" spans="10:23" x14ac:dyDescent="0.25">
      <c r="J13149"/>
      <c r="M13149"/>
      <c r="W13149"/>
    </row>
    <row r="13150" spans="10:23" x14ac:dyDescent="0.25">
      <c r="J13150"/>
      <c r="M13150"/>
      <c r="W13150"/>
    </row>
    <row r="13151" spans="10:23" x14ac:dyDescent="0.25">
      <c r="J13151"/>
      <c r="M13151"/>
      <c r="W13151"/>
    </row>
    <row r="13152" spans="10:23" x14ac:dyDescent="0.25">
      <c r="J13152"/>
      <c r="M13152"/>
      <c r="W13152"/>
    </row>
    <row r="13153" spans="10:23" x14ac:dyDescent="0.25">
      <c r="J13153"/>
      <c r="M13153"/>
      <c r="W13153"/>
    </row>
    <row r="13154" spans="10:23" x14ac:dyDescent="0.25">
      <c r="J13154"/>
      <c r="M13154"/>
      <c r="W13154"/>
    </row>
    <row r="13155" spans="10:23" x14ac:dyDescent="0.25">
      <c r="J13155"/>
      <c r="M13155"/>
      <c r="W13155"/>
    </row>
    <row r="13156" spans="10:23" x14ac:dyDescent="0.25">
      <c r="J13156"/>
      <c r="M13156"/>
      <c r="W13156"/>
    </row>
    <row r="13157" spans="10:23" x14ac:dyDescent="0.25">
      <c r="J13157"/>
      <c r="M13157"/>
      <c r="W13157"/>
    </row>
    <row r="13158" spans="10:23" x14ac:dyDescent="0.25">
      <c r="J13158"/>
      <c r="M13158"/>
      <c r="W13158"/>
    </row>
    <row r="13159" spans="10:23" x14ac:dyDescent="0.25">
      <c r="J13159"/>
      <c r="M13159"/>
      <c r="W13159"/>
    </row>
    <row r="13160" spans="10:23" x14ac:dyDescent="0.25">
      <c r="J13160"/>
      <c r="M13160"/>
      <c r="W13160"/>
    </row>
    <row r="13161" spans="10:23" x14ac:dyDescent="0.25">
      <c r="J13161"/>
      <c r="M13161"/>
      <c r="W13161"/>
    </row>
    <row r="13162" spans="10:23" x14ac:dyDescent="0.25">
      <c r="J13162"/>
      <c r="M13162"/>
      <c r="W13162"/>
    </row>
    <row r="13163" spans="10:23" x14ac:dyDescent="0.25">
      <c r="J13163"/>
      <c r="M13163"/>
      <c r="W13163"/>
    </row>
    <row r="13164" spans="10:23" x14ac:dyDescent="0.25">
      <c r="J13164"/>
      <c r="M13164"/>
      <c r="W13164"/>
    </row>
    <row r="13165" spans="10:23" x14ac:dyDescent="0.25">
      <c r="J13165"/>
      <c r="M13165"/>
      <c r="W13165"/>
    </row>
    <row r="13166" spans="10:23" x14ac:dyDescent="0.25">
      <c r="J13166"/>
      <c r="M13166"/>
      <c r="W13166"/>
    </row>
    <row r="13167" spans="10:23" x14ac:dyDescent="0.25">
      <c r="J13167"/>
      <c r="M13167"/>
      <c r="W13167"/>
    </row>
    <row r="13168" spans="10:23" x14ac:dyDescent="0.25">
      <c r="J13168"/>
      <c r="M13168"/>
      <c r="W13168"/>
    </row>
    <row r="13169" spans="10:23" x14ac:dyDescent="0.25">
      <c r="J13169"/>
      <c r="M13169"/>
      <c r="W13169"/>
    </row>
    <row r="13170" spans="10:23" x14ac:dyDescent="0.25">
      <c r="J13170"/>
      <c r="M13170"/>
      <c r="W13170"/>
    </row>
    <row r="13171" spans="10:23" x14ac:dyDescent="0.25">
      <c r="J13171"/>
      <c r="M13171"/>
      <c r="W13171"/>
    </row>
    <row r="13172" spans="10:23" x14ac:dyDescent="0.25">
      <c r="J13172"/>
      <c r="M13172"/>
      <c r="W13172"/>
    </row>
    <row r="13173" spans="10:23" x14ac:dyDescent="0.25">
      <c r="J13173"/>
      <c r="M13173"/>
      <c r="W13173"/>
    </row>
    <row r="13174" spans="10:23" x14ac:dyDescent="0.25">
      <c r="J13174"/>
      <c r="M13174"/>
      <c r="W13174"/>
    </row>
    <row r="13175" spans="10:23" x14ac:dyDescent="0.25">
      <c r="J13175"/>
      <c r="M13175"/>
      <c r="W13175"/>
    </row>
    <row r="13176" spans="10:23" x14ac:dyDescent="0.25">
      <c r="J13176"/>
      <c r="M13176"/>
      <c r="W13176"/>
    </row>
    <row r="13177" spans="10:23" x14ac:dyDescent="0.25">
      <c r="J13177"/>
      <c r="M13177"/>
      <c r="W13177"/>
    </row>
    <row r="13178" spans="10:23" x14ac:dyDescent="0.25">
      <c r="J13178"/>
      <c r="M13178"/>
      <c r="W13178"/>
    </row>
    <row r="13179" spans="10:23" x14ac:dyDescent="0.25">
      <c r="J13179"/>
      <c r="M13179"/>
      <c r="W13179"/>
    </row>
    <row r="13180" spans="10:23" x14ac:dyDescent="0.25">
      <c r="J13180"/>
      <c r="M13180"/>
      <c r="W13180"/>
    </row>
    <row r="13181" spans="10:23" x14ac:dyDescent="0.25">
      <c r="J13181"/>
      <c r="M13181"/>
      <c r="W13181"/>
    </row>
    <row r="13182" spans="10:23" x14ac:dyDescent="0.25">
      <c r="J13182"/>
      <c r="M13182"/>
      <c r="W13182"/>
    </row>
    <row r="13183" spans="10:23" x14ac:dyDescent="0.25">
      <c r="J13183"/>
      <c r="M13183"/>
      <c r="W13183"/>
    </row>
    <row r="13184" spans="10:23" x14ac:dyDescent="0.25">
      <c r="J13184"/>
      <c r="M13184"/>
      <c r="W13184"/>
    </row>
    <row r="13185" spans="10:23" x14ac:dyDescent="0.25">
      <c r="J13185"/>
      <c r="M13185"/>
      <c r="W13185"/>
    </row>
    <row r="13186" spans="10:23" x14ac:dyDescent="0.25">
      <c r="J13186"/>
      <c r="M13186"/>
      <c r="W13186"/>
    </row>
    <row r="13187" spans="10:23" x14ac:dyDescent="0.25">
      <c r="J13187"/>
      <c r="M13187"/>
      <c r="W13187"/>
    </row>
    <row r="13188" spans="10:23" x14ac:dyDescent="0.25">
      <c r="J13188"/>
      <c r="M13188"/>
      <c r="W13188"/>
    </row>
    <row r="13189" spans="10:23" x14ac:dyDescent="0.25">
      <c r="J13189"/>
      <c r="M13189"/>
      <c r="W13189"/>
    </row>
    <row r="13190" spans="10:23" x14ac:dyDescent="0.25">
      <c r="J13190"/>
      <c r="M13190"/>
      <c r="W13190"/>
    </row>
    <row r="13191" spans="10:23" x14ac:dyDescent="0.25">
      <c r="J13191"/>
      <c r="M13191"/>
      <c r="W13191"/>
    </row>
    <row r="13192" spans="10:23" x14ac:dyDescent="0.25">
      <c r="J13192"/>
      <c r="M13192"/>
      <c r="W13192"/>
    </row>
    <row r="13193" spans="10:23" x14ac:dyDescent="0.25">
      <c r="J13193"/>
      <c r="M13193"/>
      <c r="W13193"/>
    </row>
    <row r="13194" spans="10:23" x14ac:dyDescent="0.25">
      <c r="J13194"/>
      <c r="M13194"/>
      <c r="W13194"/>
    </row>
    <row r="13195" spans="10:23" x14ac:dyDescent="0.25">
      <c r="J13195"/>
      <c r="M13195"/>
      <c r="W13195"/>
    </row>
    <row r="13196" spans="10:23" x14ac:dyDescent="0.25">
      <c r="J13196"/>
      <c r="M13196"/>
      <c r="W13196"/>
    </row>
    <row r="13197" spans="10:23" x14ac:dyDescent="0.25">
      <c r="J13197"/>
      <c r="M13197"/>
      <c r="W13197"/>
    </row>
    <row r="13198" spans="10:23" x14ac:dyDescent="0.25">
      <c r="J13198"/>
      <c r="M13198"/>
      <c r="W13198"/>
    </row>
    <row r="13199" spans="10:23" x14ac:dyDescent="0.25">
      <c r="J13199"/>
      <c r="M13199"/>
      <c r="W13199"/>
    </row>
    <row r="13200" spans="10:23" x14ac:dyDescent="0.25">
      <c r="J13200"/>
      <c r="M13200"/>
      <c r="W13200"/>
    </row>
    <row r="13201" spans="10:23" x14ac:dyDescent="0.25">
      <c r="J13201"/>
      <c r="M13201"/>
      <c r="W13201"/>
    </row>
    <row r="13202" spans="10:23" x14ac:dyDescent="0.25">
      <c r="J13202"/>
      <c r="M13202"/>
      <c r="W13202"/>
    </row>
    <row r="13203" spans="10:23" x14ac:dyDescent="0.25">
      <c r="J13203"/>
      <c r="M13203"/>
      <c r="W13203"/>
    </row>
    <row r="13204" spans="10:23" x14ac:dyDescent="0.25">
      <c r="J13204"/>
      <c r="M13204"/>
      <c r="W13204"/>
    </row>
    <row r="13205" spans="10:23" x14ac:dyDescent="0.25">
      <c r="J13205"/>
      <c r="M13205"/>
      <c r="W13205"/>
    </row>
    <row r="13206" spans="10:23" x14ac:dyDescent="0.25">
      <c r="J13206"/>
      <c r="M13206"/>
      <c r="W13206"/>
    </row>
    <row r="13207" spans="10:23" x14ac:dyDescent="0.25">
      <c r="J13207"/>
      <c r="M13207"/>
      <c r="W13207"/>
    </row>
    <row r="13208" spans="10:23" x14ac:dyDescent="0.25">
      <c r="J13208"/>
      <c r="M13208"/>
      <c r="W13208"/>
    </row>
    <row r="13209" spans="10:23" x14ac:dyDescent="0.25">
      <c r="J13209"/>
      <c r="M13209"/>
      <c r="W13209"/>
    </row>
    <row r="13210" spans="10:23" x14ac:dyDescent="0.25">
      <c r="J13210"/>
      <c r="M13210"/>
      <c r="W13210"/>
    </row>
    <row r="13211" spans="10:23" x14ac:dyDescent="0.25">
      <c r="J13211"/>
      <c r="M13211"/>
      <c r="W13211"/>
    </row>
    <row r="13212" spans="10:23" x14ac:dyDescent="0.25">
      <c r="J13212"/>
      <c r="M13212"/>
      <c r="W13212"/>
    </row>
    <row r="13213" spans="10:23" x14ac:dyDescent="0.25">
      <c r="J13213"/>
      <c r="M13213"/>
      <c r="W13213"/>
    </row>
    <row r="13214" spans="10:23" x14ac:dyDescent="0.25">
      <c r="J13214"/>
      <c r="M13214"/>
      <c r="W13214"/>
    </row>
    <row r="13215" spans="10:23" x14ac:dyDescent="0.25">
      <c r="J13215"/>
      <c r="M13215"/>
      <c r="W13215"/>
    </row>
    <row r="13216" spans="10:23" x14ac:dyDescent="0.25">
      <c r="J13216"/>
      <c r="M13216"/>
      <c r="W13216"/>
    </row>
    <row r="13217" spans="10:23" x14ac:dyDescent="0.25">
      <c r="J13217"/>
      <c r="M13217"/>
      <c r="W13217"/>
    </row>
    <row r="13218" spans="10:23" x14ac:dyDescent="0.25">
      <c r="J13218"/>
      <c r="M13218"/>
      <c r="W13218"/>
    </row>
    <row r="13219" spans="10:23" x14ac:dyDescent="0.25">
      <c r="J13219"/>
      <c r="M13219"/>
      <c r="W13219"/>
    </row>
    <row r="13220" spans="10:23" x14ac:dyDescent="0.25">
      <c r="J13220"/>
      <c r="M13220"/>
      <c r="W13220"/>
    </row>
    <row r="13221" spans="10:23" x14ac:dyDescent="0.25">
      <c r="J13221"/>
      <c r="M13221"/>
      <c r="W13221"/>
    </row>
    <row r="13222" spans="10:23" x14ac:dyDescent="0.25">
      <c r="J13222"/>
      <c r="M13222"/>
      <c r="W13222"/>
    </row>
    <row r="13223" spans="10:23" x14ac:dyDescent="0.25">
      <c r="J13223"/>
      <c r="M13223"/>
      <c r="W13223"/>
    </row>
    <row r="13224" spans="10:23" x14ac:dyDescent="0.25">
      <c r="J13224"/>
      <c r="M13224"/>
      <c r="W13224"/>
    </row>
    <row r="13225" spans="10:23" x14ac:dyDescent="0.25">
      <c r="J13225"/>
      <c r="M13225"/>
      <c r="W13225"/>
    </row>
    <row r="13226" spans="10:23" x14ac:dyDescent="0.25">
      <c r="J13226"/>
      <c r="M13226"/>
      <c r="W13226"/>
    </row>
    <row r="13227" spans="10:23" x14ac:dyDescent="0.25">
      <c r="J13227"/>
      <c r="M13227"/>
      <c r="W13227"/>
    </row>
    <row r="13228" spans="10:23" x14ac:dyDescent="0.25">
      <c r="J13228"/>
      <c r="M13228"/>
      <c r="W13228"/>
    </row>
    <row r="13229" spans="10:23" x14ac:dyDescent="0.25">
      <c r="J13229"/>
      <c r="M13229"/>
      <c r="W13229"/>
    </row>
    <row r="13230" spans="10:23" x14ac:dyDescent="0.25">
      <c r="J13230"/>
      <c r="M13230"/>
      <c r="W13230"/>
    </row>
    <row r="13231" spans="10:23" x14ac:dyDescent="0.25">
      <c r="J13231"/>
      <c r="M13231"/>
      <c r="W13231"/>
    </row>
    <row r="13232" spans="10:23" x14ac:dyDescent="0.25">
      <c r="J13232"/>
      <c r="M13232"/>
      <c r="W13232"/>
    </row>
    <row r="13233" spans="10:23" x14ac:dyDescent="0.25">
      <c r="J13233"/>
      <c r="M13233"/>
      <c r="W13233"/>
    </row>
    <row r="13234" spans="10:23" x14ac:dyDescent="0.25">
      <c r="J13234"/>
      <c r="M13234"/>
      <c r="W13234"/>
    </row>
    <row r="13235" spans="10:23" x14ac:dyDescent="0.25">
      <c r="J13235"/>
      <c r="M13235"/>
      <c r="W13235"/>
    </row>
    <row r="13236" spans="10:23" x14ac:dyDescent="0.25">
      <c r="J13236"/>
      <c r="M13236"/>
      <c r="W13236"/>
    </row>
    <row r="13237" spans="10:23" x14ac:dyDescent="0.25">
      <c r="J13237"/>
      <c r="M13237"/>
      <c r="W13237"/>
    </row>
    <row r="13238" spans="10:23" x14ac:dyDescent="0.25">
      <c r="J13238"/>
      <c r="M13238"/>
      <c r="W13238"/>
    </row>
    <row r="13239" spans="10:23" x14ac:dyDescent="0.25">
      <c r="J13239"/>
      <c r="M13239"/>
      <c r="W13239"/>
    </row>
    <row r="13240" spans="10:23" x14ac:dyDescent="0.25">
      <c r="J13240"/>
      <c r="M13240"/>
      <c r="W13240"/>
    </row>
    <row r="13241" spans="10:23" x14ac:dyDescent="0.25">
      <c r="J13241"/>
      <c r="M13241"/>
      <c r="W13241"/>
    </row>
    <row r="13242" spans="10:23" x14ac:dyDescent="0.25">
      <c r="J13242"/>
      <c r="M13242"/>
      <c r="W13242"/>
    </row>
    <row r="13243" spans="10:23" x14ac:dyDescent="0.25">
      <c r="J13243"/>
      <c r="M13243"/>
      <c r="W13243"/>
    </row>
    <row r="13244" spans="10:23" x14ac:dyDescent="0.25">
      <c r="J13244"/>
      <c r="M13244"/>
      <c r="W13244"/>
    </row>
    <row r="13245" spans="10:23" x14ac:dyDescent="0.25">
      <c r="J13245"/>
      <c r="M13245"/>
      <c r="W13245"/>
    </row>
    <row r="13246" spans="10:23" x14ac:dyDescent="0.25">
      <c r="J13246"/>
      <c r="M13246"/>
      <c r="W13246"/>
    </row>
    <row r="13247" spans="10:23" x14ac:dyDescent="0.25">
      <c r="J13247"/>
      <c r="M13247"/>
      <c r="W13247"/>
    </row>
    <row r="13248" spans="10:23" x14ac:dyDescent="0.25">
      <c r="J13248"/>
      <c r="M13248"/>
      <c r="W13248"/>
    </row>
    <row r="13249" spans="10:23" x14ac:dyDescent="0.25">
      <c r="J13249"/>
      <c r="M13249"/>
      <c r="W13249"/>
    </row>
    <row r="13250" spans="10:23" x14ac:dyDescent="0.25">
      <c r="J13250"/>
      <c r="M13250"/>
      <c r="W13250"/>
    </row>
    <row r="13251" spans="10:23" x14ac:dyDescent="0.25">
      <c r="J13251"/>
      <c r="M13251"/>
      <c r="W13251"/>
    </row>
    <row r="13252" spans="10:23" x14ac:dyDescent="0.25">
      <c r="J13252"/>
      <c r="M13252"/>
      <c r="W13252"/>
    </row>
    <row r="13253" spans="10:23" x14ac:dyDescent="0.25">
      <c r="J13253"/>
      <c r="M13253"/>
      <c r="W13253"/>
    </row>
    <row r="13254" spans="10:23" x14ac:dyDescent="0.25">
      <c r="J13254"/>
      <c r="M13254"/>
      <c r="W13254"/>
    </row>
    <row r="13255" spans="10:23" x14ac:dyDescent="0.25">
      <c r="J13255"/>
      <c r="M13255"/>
      <c r="W13255"/>
    </row>
    <row r="13256" spans="10:23" x14ac:dyDescent="0.25">
      <c r="J13256"/>
      <c r="M13256"/>
      <c r="W13256"/>
    </row>
    <row r="13257" spans="10:23" x14ac:dyDescent="0.25">
      <c r="J13257"/>
      <c r="M13257"/>
      <c r="W13257"/>
    </row>
    <row r="13258" spans="10:23" x14ac:dyDescent="0.25">
      <c r="J13258"/>
      <c r="M13258"/>
      <c r="W13258"/>
    </row>
    <row r="13259" spans="10:23" x14ac:dyDescent="0.25">
      <c r="J13259"/>
      <c r="M13259"/>
      <c r="W13259"/>
    </row>
    <row r="13260" spans="10:23" x14ac:dyDescent="0.25">
      <c r="J13260"/>
      <c r="M13260"/>
      <c r="W13260"/>
    </row>
    <row r="13261" spans="10:23" x14ac:dyDescent="0.25">
      <c r="J13261"/>
      <c r="M13261"/>
      <c r="W13261"/>
    </row>
    <row r="13262" spans="10:23" x14ac:dyDescent="0.25">
      <c r="J13262"/>
      <c r="M13262"/>
      <c r="W13262"/>
    </row>
    <row r="13263" spans="10:23" x14ac:dyDescent="0.25">
      <c r="J13263"/>
      <c r="M13263"/>
      <c r="W13263"/>
    </row>
    <row r="13264" spans="10:23" x14ac:dyDescent="0.25">
      <c r="J13264"/>
      <c r="M13264"/>
      <c r="W13264"/>
    </row>
    <row r="13265" spans="10:23" x14ac:dyDescent="0.25">
      <c r="J13265"/>
      <c r="M13265"/>
      <c r="W13265"/>
    </row>
    <row r="13266" spans="10:23" x14ac:dyDescent="0.25">
      <c r="J13266"/>
      <c r="M13266"/>
      <c r="W13266"/>
    </row>
    <row r="13267" spans="10:23" x14ac:dyDescent="0.25">
      <c r="J13267"/>
      <c r="M13267"/>
      <c r="W13267"/>
    </row>
    <row r="13268" spans="10:23" x14ac:dyDescent="0.25">
      <c r="J13268"/>
      <c r="M13268"/>
      <c r="W13268"/>
    </row>
    <row r="13269" spans="10:23" x14ac:dyDescent="0.25">
      <c r="J13269"/>
      <c r="M13269"/>
      <c r="W13269"/>
    </row>
    <row r="13270" spans="10:23" x14ac:dyDescent="0.25">
      <c r="J13270"/>
      <c r="M13270"/>
      <c r="W13270"/>
    </row>
    <row r="13271" spans="10:23" x14ac:dyDescent="0.25">
      <c r="J13271"/>
      <c r="M13271"/>
      <c r="W13271"/>
    </row>
    <row r="13272" spans="10:23" x14ac:dyDescent="0.25">
      <c r="J13272"/>
      <c r="M13272"/>
      <c r="W13272"/>
    </row>
    <row r="13273" spans="10:23" x14ac:dyDescent="0.25">
      <c r="J13273"/>
      <c r="M13273"/>
      <c r="W13273"/>
    </row>
    <row r="13274" spans="10:23" x14ac:dyDescent="0.25">
      <c r="J13274"/>
      <c r="M13274"/>
      <c r="W13274"/>
    </row>
    <row r="13275" spans="10:23" x14ac:dyDescent="0.25">
      <c r="J13275"/>
      <c r="M13275"/>
      <c r="W13275"/>
    </row>
    <row r="13276" spans="10:23" x14ac:dyDescent="0.25">
      <c r="J13276"/>
      <c r="M13276"/>
      <c r="W13276"/>
    </row>
    <row r="13277" spans="10:23" x14ac:dyDescent="0.25">
      <c r="J13277"/>
      <c r="M13277"/>
      <c r="W13277"/>
    </row>
    <row r="13278" spans="10:23" x14ac:dyDescent="0.25">
      <c r="J13278"/>
      <c r="M13278"/>
      <c r="W13278"/>
    </row>
    <row r="13279" spans="10:23" x14ac:dyDescent="0.25">
      <c r="J13279"/>
      <c r="M13279"/>
      <c r="W13279"/>
    </row>
    <row r="13280" spans="10:23" x14ac:dyDescent="0.25">
      <c r="J13280"/>
      <c r="M13280"/>
      <c r="W13280"/>
    </row>
    <row r="13281" spans="10:23" x14ac:dyDescent="0.25">
      <c r="J13281"/>
      <c r="M13281"/>
      <c r="W13281"/>
    </row>
    <row r="13282" spans="10:23" x14ac:dyDescent="0.25">
      <c r="J13282"/>
      <c r="M13282"/>
      <c r="W13282"/>
    </row>
    <row r="13283" spans="10:23" x14ac:dyDescent="0.25">
      <c r="J13283"/>
      <c r="M13283"/>
      <c r="W13283"/>
    </row>
    <row r="13284" spans="10:23" x14ac:dyDescent="0.25">
      <c r="J13284"/>
      <c r="M13284"/>
      <c r="W13284"/>
    </row>
    <row r="13285" spans="10:23" x14ac:dyDescent="0.25">
      <c r="J13285"/>
      <c r="M13285"/>
      <c r="W13285"/>
    </row>
    <row r="13286" spans="10:23" x14ac:dyDescent="0.25">
      <c r="J13286"/>
      <c r="M13286"/>
      <c r="W13286"/>
    </row>
    <row r="13287" spans="10:23" x14ac:dyDescent="0.25">
      <c r="J13287"/>
      <c r="M13287"/>
      <c r="W13287"/>
    </row>
    <row r="13288" spans="10:23" x14ac:dyDescent="0.25">
      <c r="J13288"/>
      <c r="M13288"/>
      <c r="W13288"/>
    </row>
    <row r="13289" spans="10:23" x14ac:dyDescent="0.25">
      <c r="J13289"/>
      <c r="M13289"/>
      <c r="W13289"/>
    </row>
    <row r="13290" spans="10:23" x14ac:dyDescent="0.25">
      <c r="J13290"/>
      <c r="M13290"/>
      <c r="W13290"/>
    </row>
    <row r="13291" spans="10:23" x14ac:dyDescent="0.25">
      <c r="J13291"/>
      <c r="M13291"/>
      <c r="W13291"/>
    </row>
    <row r="13292" spans="10:23" x14ac:dyDescent="0.25">
      <c r="J13292"/>
      <c r="M13292"/>
      <c r="W13292"/>
    </row>
    <row r="13293" spans="10:23" x14ac:dyDescent="0.25">
      <c r="J13293"/>
      <c r="M13293"/>
      <c r="W13293"/>
    </row>
    <row r="13294" spans="10:23" x14ac:dyDescent="0.25">
      <c r="J13294"/>
      <c r="M13294"/>
      <c r="W13294"/>
    </row>
    <row r="13295" spans="10:23" x14ac:dyDescent="0.25">
      <c r="J13295"/>
      <c r="M13295"/>
      <c r="W13295"/>
    </row>
    <row r="13296" spans="10:23" x14ac:dyDescent="0.25">
      <c r="J13296"/>
      <c r="M13296"/>
      <c r="W13296"/>
    </row>
    <row r="13297" spans="10:23" x14ac:dyDescent="0.25">
      <c r="J13297"/>
      <c r="M13297"/>
      <c r="W13297"/>
    </row>
    <row r="13298" spans="10:23" x14ac:dyDescent="0.25">
      <c r="J13298"/>
      <c r="M13298"/>
      <c r="W13298"/>
    </row>
    <row r="13299" spans="10:23" x14ac:dyDescent="0.25">
      <c r="J13299"/>
      <c r="M13299"/>
      <c r="W13299"/>
    </row>
    <row r="13300" spans="10:23" x14ac:dyDescent="0.25">
      <c r="J13300"/>
      <c r="M13300"/>
      <c r="W13300"/>
    </row>
    <row r="13301" spans="10:23" x14ac:dyDescent="0.25">
      <c r="J13301"/>
      <c r="M13301"/>
      <c r="W13301"/>
    </row>
    <row r="13302" spans="10:23" x14ac:dyDescent="0.25">
      <c r="J13302"/>
      <c r="M13302"/>
      <c r="W13302"/>
    </row>
    <row r="13303" spans="10:23" x14ac:dyDescent="0.25">
      <c r="J13303"/>
      <c r="M13303"/>
      <c r="W13303"/>
    </row>
    <row r="13304" spans="10:23" x14ac:dyDescent="0.25">
      <c r="J13304"/>
      <c r="M13304"/>
      <c r="W13304"/>
    </row>
    <row r="13305" spans="10:23" x14ac:dyDescent="0.25">
      <c r="J13305"/>
      <c r="M13305"/>
      <c r="W13305"/>
    </row>
    <row r="13306" spans="10:23" x14ac:dyDescent="0.25">
      <c r="J13306"/>
      <c r="M13306"/>
      <c r="W13306"/>
    </row>
    <row r="13307" spans="10:23" x14ac:dyDescent="0.25">
      <c r="J13307"/>
      <c r="M13307"/>
      <c r="W13307"/>
    </row>
    <row r="13308" spans="10:23" x14ac:dyDescent="0.25">
      <c r="J13308"/>
      <c r="M13308"/>
      <c r="W13308"/>
    </row>
    <row r="13309" spans="10:23" x14ac:dyDescent="0.25">
      <c r="J13309"/>
      <c r="M13309"/>
      <c r="W13309"/>
    </row>
    <row r="13310" spans="10:23" x14ac:dyDescent="0.25">
      <c r="J13310"/>
      <c r="M13310"/>
      <c r="W13310"/>
    </row>
    <row r="13311" spans="10:23" x14ac:dyDescent="0.25">
      <c r="J13311"/>
      <c r="M13311"/>
      <c r="W13311"/>
    </row>
    <row r="13312" spans="10:23" x14ac:dyDescent="0.25">
      <c r="J13312"/>
      <c r="M13312"/>
      <c r="W13312"/>
    </row>
    <row r="13313" spans="10:23" x14ac:dyDescent="0.25">
      <c r="J13313"/>
      <c r="M13313"/>
      <c r="W13313"/>
    </row>
    <row r="13314" spans="10:23" x14ac:dyDescent="0.25">
      <c r="J13314"/>
      <c r="M13314"/>
      <c r="W13314"/>
    </row>
    <row r="13315" spans="10:23" x14ac:dyDescent="0.25">
      <c r="J13315"/>
      <c r="M13315"/>
      <c r="W13315"/>
    </row>
    <row r="13316" spans="10:23" x14ac:dyDescent="0.25">
      <c r="J13316"/>
      <c r="M13316"/>
      <c r="W13316"/>
    </row>
    <row r="13317" spans="10:23" x14ac:dyDescent="0.25">
      <c r="J13317"/>
      <c r="M13317"/>
      <c r="W13317"/>
    </row>
    <row r="13318" spans="10:23" x14ac:dyDescent="0.25">
      <c r="J13318"/>
      <c r="M13318"/>
      <c r="W13318"/>
    </row>
    <row r="13319" spans="10:23" x14ac:dyDescent="0.25">
      <c r="J13319"/>
      <c r="M13319"/>
      <c r="W13319"/>
    </row>
    <row r="13320" spans="10:23" x14ac:dyDescent="0.25">
      <c r="J13320"/>
      <c r="M13320"/>
      <c r="W13320"/>
    </row>
    <row r="13321" spans="10:23" x14ac:dyDescent="0.25">
      <c r="J13321"/>
      <c r="M13321"/>
      <c r="W13321"/>
    </row>
    <row r="13322" spans="10:23" x14ac:dyDescent="0.25">
      <c r="J13322"/>
      <c r="M13322"/>
      <c r="W13322"/>
    </row>
    <row r="13323" spans="10:23" x14ac:dyDescent="0.25">
      <c r="J13323"/>
      <c r="M13323"/>
      <c r="W13323"/>
    </row>
    <row r="13324" spans="10:23" x14ac:dyDescent="0.25">
      <c r="J13324"/>
      <c r="M13324"/>
      <c r="W13324"/>
    </row>
    <row r="13325" spans="10:23" x14ac:dyDescent="0.25">
      <c r="J13325"/>
      <c r="M13325"/>
      <c r="W13325"/>
    </row>
    <row r="13326" spans="10:23" x14ac:dyDescent="0.25">
      <c r="J13326"/>
      <c r="M13326"/>
      <c r="W13326"/>
    </row>
    <row r="13327" spans="10:23" x14ac:dyDescent="0.25">
      <c r="J13327"/>
      <c r="M13327"/>
      <c r="W13327"/>
    </row>
    <row r="13328" spans="10:23" x14ac:dyDescent="0.25">
      <c r="J13328"/>
      <c r="M13328"/>
      <c r="W13328"/>
    </row>
    <row r="13329" spans="10:23" x14ac:dyDescent="0.25">
      <c r="J13329"/>
      <c r="M13329"/>
      <c r="W13329"/>
    </row>
    <row r="13330" spans="10:23" x14ac:dyDescent="0.25">
      <c r="J13330"/>
      <c r="M13330"/>
      <c r="W13330"/>
    </row>
    <row r="13331" spans="10:23" x14ac:dyDescent="0.25">
      <c r="J13331"/>
      <c r="M13331"/>
      <c r="W13331"/>
    </row>
    <row r="13332" spans="10:23" x14ac:dyDescent="0.25">
      <c r="J13332"/>
      <c r="M13332"/>
      <c r="W13332"/>
    </row>
    <row r="13333" spans="10:23" x14ac:dyDescent="0.25">
      <c r="J13333"/>
      <c r="M13333"/>
      <c r="W13333"/>
    </row>
    <row r="13334" spans="10:23" x14ac:dyDescent="0.25">
      <c r="J13334"/>
      <c r="M13334"/>
      <c r="W13334"/>
    </row>
    <row r="13335" spans="10:23" x14ac:dyDescent="0.25">
      <c r="J13335"/>
      <c r="M13335"/>
      <c r="W13335"/>
    </row>
    <row r="13336" spans="10:23" x14ac:dyDescent="0.25">
      <c r="J13336"/>
      <c r="M13336"/>
      <c r="W13336"/>
    </row>
    <row r="13337" spans="10:23" x14ac:dyDescent="0.25">
      <c r="J13337"/>
      <c r="M13337"/>
      <c r="W13337"/>
    </row>
    <row r="13338" spans="10:23" x14ac:dyDescent="0.25">
      <c r="J13338"/>
      <c r="M13338"/>
      <c r="W13338"/>
    </row>
    <row r="13339" spans="10:23" x14ac:dyDescent="0.25">
      <c r="J13339"/>
      <c r="M13339"/>
      <c r="W13339"/>
    </row>
    <row r="13340" spans="10:23" x14ac:dyDescent="0.25">
      <c r="J13340"/>
      <c r="M13340"/>
      <c r="W13340"/>
    </row>
    <row r="13341" spans="10:23" x14ac:dyDescent="0.25">
      <c r="J13341"/>
      <c r="M13341"/>
      <c r="W13341"/>
    </row>
    <row r="13342" spans="10:23" x14ac:dyDescent="0.25">
      <c r="J13342"/>
      <c r="M13342"/>
      <c r="W13342"/>
    </row>
    <row r="13343" spans="10:23" x14ac:dyDescent="0.25">
      <c r="J13343"/>
      <c r="M13343"/>
      <c r="W13343"/>
    </row>
    <row r="13344" spans="10:23" x14ac:dyDescent="0.25">
      <c r="J13344"/>
      <c r="M13344"/>
      <c r="W13344"/>
    </row>
    <row r="13345" spans="10:23" x14ac:dyDescent="0.25">
      <c r="J13345"/>
      <c r="M13345"/>
      <c r="W13345"/>
    </row>
    <row r="13346" spans="10:23" x14ac:dyDescent="0.25">
      <c r="J13346"/>
      <c r="M13346"/>
      <c r="W13346"/>
    </row>
    <row r="13347" spans="10:23" x14ac:dyDescent="0.25">
      <c r="J13347"/>
      <c r="M13347"/>
      <c r="W13347"/>
    </row>
    <row r="13348" spans="10:23" x14ac:dyDescent="0.25">
      <c r="J13348"/>
      <c r="M13348"/>
      <c r="W13348"/>
    </row>
    <row r="13349" spans="10:23" x14ac:dyDescent="0.25">
      <c r="J13349"/>
      <c r="M13349"/>
      <c r="W13349"/>
    </row>
    <row r="13350" spans="10:23" x14ac:dyDescent="0.25">
      <c r="J13350"/>
      <c r="M13350"/>
      <c r="W13350"/>
    </row>
    <row r="13351" spans="10:23" x14ac:dyDescent="0.25">
      <c r="J13351"/>
      <c r="M13351"/>
      <c r="W13351"/>
    </row>
    <row r="13352" spans="10:23" x14ac:dyDescent="0.25">
      <c r="J13352"/>
      <c r="M13352"/>
      <c r="W13352"/>
    </row>
    <row r="13353" spans="10:23" x14ac:dyDescent="0.25">
      <c r="J13353"/>
      <c r="M13353"/>
      <c r="W13353"/>
    </row>
    <row r="13354" spans="10:23" x14ac:dyDescent="0.25">
      <c r="J13354"/>
      <c r="M13354"/>
      <c r="W13354"/>
    </row>
    <row r="13355" spans="10:23" x14ac:dyDescent="0.25">
      <c r="J13355"/>
      <c r="M13355"/>
      <c r="W13355"/>
    </row>
    <row r="13356" spans="10:23" x14ac:dyDescent="0.25">
      <c r="J13356"/>
      <c r="M13356"/>
      <c r="W13356"/>
    </row>
    <row r="13357" spans="10:23" x14ac:dyDescent="0.25">
      <c r="J13357"/>
      <c r="M13357"/>
      <c r="W13357"/>
    </row>
    <row r="13358" spans="10:23" x14ac:dyDescent="0.25">
      <c r="J13358"/>
      <c r="M13358"/>
      <c r="W13358"/>
    </row>
    <row r="13359" spans="10:23" x14ac:dyDescent="0.25">
      <c r="J13359"/>
      <c r="M13359"/>
      <c r="W13359"/>
    </row>
    <row r="13360" spans="10:23" x14ac:dyDescent="0.25">
      <c r="J13360"/>
      <c r="M13360"/>
      <c r="W13360"/>
    </row>
    <row r="13361" spans="10:23" x14ac:dyDescent="0.25">
      <c r="J13361"/>
      <c r="M13361"/>
      <c r="W13361"/>
    </row>
    <row r="13362" spans="10:23" x14ac:dyDescent="0.25">
      <c r="J13362"/>
      <c r="M13362"/>
      <c r="W13362"/>
    </row>
    <row r="13363" spans="10:23" x14ac:dyDescent="0.25">
      <c r="J13363"/>
      <c r="M13363"/>
      <c r="W13363"/>
    </row>
    <row r="13364" spans="10:23" x14ac:dyDescent="0.25">
      <c r="J13364"/>
      <c r="M13364"/>
      <c r="W13364"/>
    </row>
    <row r="13365" spans="10:23" x14ac:dyDescent="0.25">
      <c r="J13365"/>
      <c r="M13365"/>
      <c r="W13365"/>
    </row>
    <row r="13366" spans="10:23" x14ac:dyDescent="0.25">
      <c r="J13366"/>
      <c r="M13366"/>
      <c r="W13366"/>
    </row>
    <row r="13367" spans="10:23" x14ac:dyDescent="0.25">
      <c r="J13367"/>
      <c r="M13367"/>
      <c r="W13367"/>
    </row>
    <row r="13368" spans="10:23" x14ac:dyDescent="0.25">
      <c r="J13368"/>
      <c r="M13368"/>
      <c r="W13368"/>
    </row>
    <row r="13369" spans="10:23" x14ac:dyDescent="0.25">
      <c r="J13369"/>
      <c r="M13369"/>
      <c r="W13369"/>
    </row>
    <row r="13370" spans="10:23" x14ac:dyDescent="0.25">
      <c r="J13370"/>
      <c r="M13370"/>
      <c r="W13370"/>
    </row>
    <row r="13371" spans="10:23" x14ac:dyDescent="0.25">
      <c r="J13371"/>
      <c r="M13371"/>
      <c r="W13371"/>
    </row>
    <row r="13372" spans="10:23" x14ac:dyDescent="0.25">
      <c r="J13372"/>
      <c r="M13372"/>
      <c r="W13372"/>
    </row>
    <row r="13373" spans="10:23" x14ac:dyDescent="0.25">
      <c r="J13373"/>
      <c r="M13373"/>
      <c r="W13373"/>
    </row>
    <row r="13374" spans="10:23" x14ac:dyDescent="0.25">
      <c r="J13374"/>
      <c r="M13374"/>
      <c r="W13374"/>
    </row>
    <row r="13375" spans="10:23" x14ac:dyDescent="0.25">
      <c r="J13375"/>
      <c r="M13375"/>
      <c r="W13375"/>
    </row>
    <row r="13376" spans="10:23" x14ac:dyDescent="0.25">
      <c r="J13376"/>
      <c r="M13376"/>
      <c r="W13376"/>
    </row>
    <row r="13377" spans="10:23" x14ac:dyDescent="0.25">
      <c r="J13377"/>
      <c r="M13377"/>
      <c r="W13377"/>
    </row>
    <row r="13378" spans="10:23" x14ac:dyDescent="0.25">
      <c r="J13378"/>
      <c r="M13378"/>
      <c r="W13378"/>
    </row>
    <row r="13379" spans="10:23" x14ac:dyDescent="0.25">
      <c r="J13379"/>
      <c r="M13379"/>
      <c r="W13379"/>
    </row>
    <row r="13380" spans="10:23" x14ac:dyDescent="0.25">
      <c r="J13380"/>
      <c r="M13380"/>
      <c r="W13380"/>
    </row>
    <row r="13381" spans="10:23" x14ac:dyDescent="0.25">
      <c r="J13381"/>
      <c r="M13381"/>
      <c r="W13381"/>
    </row>
    <row r="13382" spans="10:23" x14ac:dyDescent="0.25">
      <c r="J13382"/>
      <c r="M13382"/>
      <c r="W13382"/>
    </row>
    <row r="13383" spans="10:23" x14ac:dyDescent="0.25">
      <c r="J13383"/>
      <c r="M13383"/>
      <c r="W13383"/>
    </row>
    <row r="13384" spans="10:23" x14ac:dyDescent="0.25">
      <c r="J13384"/>
      <c r="M13384"/>
      <c r="W13384"/>
    </row>
    <row r="13385" spans="10:23" x14ac:dyDescent="0.25">
      <c r="J13385"/>
      <c r="M13385"/>
      <c r="W13385"/>
    </row>
    <row r="13386" spans="10:23" x14ac:dyDescent="0.25">
      <c r="J13386"/>
      <c r="M13386"/>
      <c r="W13386"/>
    </row>
    <row r="13387" spans="10:23" x14ac:dyDescent="0.25">
      <c r="J13387"/>
      <c r="M13387"/>
      <c r="W13387"/>
    </row>
    <row r="13388" spans="10:23" x14ac:dyDescent="0.25">
      <c r="J13388"/>
      <c r="M13388"/>
      <c r="W13388"/>
    </row>
    <row r="13389" spans="10:23" x14ac:dyDescent="0.25">
      <c r="J13389"/>
      <c r="M13389"/>
      <c r="W13389"/>
    </row>
    <row r="13390" spans="10:23" x14ac:dyDescent="0.25">
      <c r="J13390"/>
      <c r="M13390"/>
      <c r="W13390"/>
    </row>
    <row r="13391" spans="10:23" x14ac:dyDescent="0.25">
      <c r="J13391"/>
      <c r="M13391"/>
      <c r="W13391"/>
    </row>
    <row r="13392" spans="10:23" x14ac:dyDescent="0.25">
      <c r="J13392"/>
      <c r="M13392"/>
      <c r="W13392"/>
    </row>
    <row r="13393" spans="10:23" x14ac:dyDescent="0.25">
      <c r="J13393"/>
      <c r="M13393"/>
      <c r="W13393"/>
    </row>
    <row r="13394" spans="10:23" x14ac:dyDescent="0.25">
      <c r="J13394"/>
      <c r="M13394"/>
      <c r="W13394"/>
    </row>
    <row r="13395" spans="10:23" x14ac:dyDescent="0.25">
      <c r="J13395"/>
      <c r="M13395"/>
      <c r="W13395"/>
    </row>
    <row r="13396" spans="10:23" x14ac:dyDescent="0.25">
      <c r="J13396"/>
      <c r="M13396"/>
      <c r="W13396"/>
    </row>
    <row r="13397" spans="10:23" x14ac:dyDescent="0.25">
      <c r="J13397"/>
      <c r="M13397"/>
      <c r="W13397"/>
    </row>
    <row r="13398" spans="10:23" x14ac:dyDescent="0.25">
      <c r="J13398"/>
      <c r="M13398"/>
      <c r="W13398"/>
    </row>
    <row r="13399" spans="10:23" x14ac:dyDescent="0.25">
      <c r="J13399"/>
      <c r="M13399"/>
      <c r="W13399"/>
    </row>
    <row r="13400" spans="10:23" x14ac:dyDescent="0.25">
      <c r="J13400"/>
      <c r="M13400"/>
      <c r="W13400"/>
    </row>
    <row r="13401" spans="10:23" x14ac:dyDescent="0.25">
      <c r="J13401"/>
      <c r="M13401"/>
      <c r="W13401"/>
    </row>
    <row r="13402" spans="10:23" x14ac:dyDescent="0.25">
      <c r="J13402"/>
      <c r="M13402"/>
      <c r="W13402"/>
    </row>
    <row r="13403" spans="10:23" x14ac:dyDescent="0.25">
      <c r="J13403"/>
      <c r="M13403"/>
      <c r="W13403"/>
    </row>
    <row r="13404" spans="10:23" x14ac:dyDescent="0.25">
      <c r="J13404"/>
      <c r="M13404"/>
      <c r="W13404"/>
    </row>
    <row r="13405" spans="10:23" x14ac:dyDescent="0.25">
      <c r="J13405"/>
      <c r="M13405"/>
      <c r="W13405"/>
    </row>
    <row r="13406" spans="10:23" x14ac:dyDescent="0.25">
      <c r="J13406"/>
      <c r="M13406"/>
      <c r="W13406"/>
    </row>
    <row r="13407" spans="10:23" x14ac:dyDescent="0.25">
      <c r="J13407"/>
      <c r="M13407"/>
      <c r="W13407"/>
    </row>
    <row r="13408" spans="10:23" x14ac:dyDescent="0.25">
      <c r="J13408"/>
      <c r="M13408"/>
      <c r="W13408"/>
    </row>
    <row r="13409" spans="10:23" x14ac:dyDescent="0.25">
      <c r="J13409"/>
      <c r="M13409"/>
      <c r="W13409"/>
    </row>
    <row r="13410" spans="10:23" x14ac:dyDescent="0.25">
      <c r="J13410"/>
      <c r="M13410"/>
      <c r="W13410"/>
    </row>
    <row r="13411" spans="10:23" x14ac:dyDescent="0.25">
      <c r="J13411"/>
      <c r="M13411"/>
      <c r="W13411"/>
    </row>
    <row r="13412" spans="10:23" x14ac:dyDescent="0.25">
      <c r="J13412"/>
      <c r="M13412"/>
      <c r="W13412"/>
    </row>
    <row r="13413" spans="10:23" x14ac:dyDescent="0.25">
      <c r="J13413"/>
      <c r="M13413"/>
      <c r="W13413"/>
    </row>
    <row r="13414" spans="10:23" x14ac:dyDescent="0.25">
      <c r="J13414"/>
      <c r="M13414"/>
      <c r="W13414"/>
    </row>
    <row r="13415" spans="10:23" x14ac:dyDescent="0.25">
      <c r="J13415"/>
      <c r="M13415"/>
      <c r="W13415"/>
    </row>
    <row r="13416" spans="10:23" x14ac:dyDescent="0.25">
      <c r="J13416"/>
      <c r="M13416"/>
      <c r="W13416"/>
    </row>
    <row r="13417" spans="10:23" x14ac:dyDescent="0.25">
      <c r="J13417"/>
      <c r="M13417"/>
      <c r="W13417"/>
    </row>
    <row r="13418" spans="10:23" x14ac:dyDescent="0.25">
      <c r="J13418"/>
      <c r="M13418"/>
      <c r="W13418"/>
    </row>
    <row r="13419" spans="10:23" x14ac:dyDescent="0.25">
      <c r="J13419"/>
      <c r="M13419"/>
      <c r="W13419"/>
    </row>
    <row r="13420" spans="10:23" x14ac:dyDescent="0.25">
      <c r="J13420"/>
      <c r="M13420"/>
      <c r="W13420"/>
    </row>
    <row r="13421" spans="10:23" x14ac:dyDescent="0.25">
      <c r="J13421"/>
      <c r="M13421"/>
      <c r="W13421"/>
    </row>
    <row r="13422" spans="10:23" x14ac:dyDescent="0.25">
      <c r="J13422"/>
      <c r="M13422"/>
      <c r="W13422"/>
    </row>
    <row r="13423" spans="10:23" x14ac:dyDescent="0.25">
      <c r="J13423"/>
      <c r="M13423"/>
      <c r="W13423"/>
    </row>
    <row r="13424" spans="10:23" x14ac:dyDescent="0.25">
      <c r="J13424"/>
      <c r="M13424"/>
      <c r="W13424"/>
    </row>
    <row r="13425" spans="10:23" x14ac:dyDescent="0.25">
      <c r="J13425"/>
      <c r="M13425"/>
      <c r="W13425"/>
    </row>
    <row r="13426" spans="10:23" x14ac:dyDescent="0.25">
      <c r="J13426"/>
      <c r="M13426"/>
      <c r="W13426"/>
    </row>
    <row r="13427" spans="10:23" x14ac:dyDescent="0.25">
      <c r="J13427"/>
      <c r="M13427"/>
      <c r="W13427"/>
    </row>
    <row r="13428" spans="10:23" x14ac:dyDescent="0.25">
      <c r="J13428"/>
      <c r="M13428"/>
      <c r="W13428"/>
    </row>
    <row r="13429" spans="10:23" x14ac:dyDescent="0.25">
      <c r="J13429"/>
      <c r="M13429"/>
      <c r="W13429"/>
    </row>
    <row r="13430" spans="10:23" x14ac:dyDescent="0.25">
      <c r="J13430"/>
      <c r="M13430"/>
      <c r="W13430"/>
    </row>
    <row r="13431" spans="10:23" x14ac:dyDescent="0.25">
      <c r="J13431"/>
      <c r="M13431"/>
      <c r="W13431"/>
    </row>
    <row r="13432" spans="10:23" x14ac:dyDescent="0.25">
      <c r="J13432"/>
      <c r="M13432"/>
      <c r="W13432"/>
    </row>
    <row r="13433" spans="10:23" x14ac:dyDescent="0.25">
      <c r="J13433"/>
      <c r="M13433"/>
      <c r="W13433"/>
    </row>
    <row r="13434" spans="10:23" x14ac:dyDescent="0.25">
      <c r="J13434"/>
      <c r="M13434"/>
      <c r="W13434"/>
    </row>
    <row r="13435" spans="10:23" x14ac:dyDescent="0.25">
      <c r="J13435"/>
      <c r="M13435"/>
      <c r="W13435"/>
    </row>
    <row r="13436" spans="10:23" x14ac:dyDescent="0.25">
      <c r="J13436"/>
      <c r="M13436"/>
      <c r="W13436"/>
    </row>
    <row r="13437" spans="10:23" x14ac:dyDescent="0.25">
      <c r="J13437"/>
      <c r="M13437"/>
      <c r="W13437"/>
    </row>
    <row r="13438" spans="10:23" x14ac:dyDescent="0.25">
      <c r="J13438"/>
      <c r="M13438"/>
      <c r="W13438"/>
    </row>
    <row r="13439" spans="10:23" x14ac:dyDescent="0.25">
      <c r="J13439"/>
      <c r="M13439"/>
      <c r="W13439"/>
    </row>
    <row r="13440" spans="10:23" x14ac:dyDescent="0.25">
      <c r="J13440"/>
      <c r="M13440"/>
      <c r="W13440"/>
    </row>
    <row r="13441" spans="10:23" x14ac:dyDescent="0.25">
      <c r="J13441"/>
      <c r="M13441"/>
      <c r="W13441"/>
    </row>
    <row r="13442" spans="10:23" x14ac:dyDescent="0.25">
      <c r="J13442"/>
      <c r="M13442"/>
      <c r="W13442"/>
    </row>
    <row r="13443" spans="10:23" x14ac:dyDescent="0.25">
      <c r="J13443"/>
      <c r="M13443"/>
      <c r="W13443"/>
    </row>
    <row r="13444" spans="10:23" x14ac:dyDescent="0.25">
      <c r="J13444"/>
      <c r="M13444"/>
      <c r="W13444"/>
    </row>
    <row r="13445" spans="10:23" x14ac:dyDescent="0.25">
      <c r="J13445"/>
      <c r="M13445"/>
      <c r="W13445"/>
    </row>
    <row r="13446" spans="10:23" x14ac:dyDescent="0.25">
      <c r="J13446"/>
      <c r="M13446"/>
      <c r="W13446"/>
    </row>
    <row r="13447" spans="10:23" x14ac:dyDescent="0.25">
      <c r="J13447"/>
      <c r="M13447"/>
      <c r="W13447"/>
    </row>
    <row r="13448" spans="10:23" x14ac:dyDescent="0.25">
      <c r="J13448"/>
      <c r="M13448"/>
      <c r="W13448"/>
    </row>
    <row r="13449" spans="10:23" x14ac:dyDescent="0.25">
      <c r="J13449"/>
      <c r="M13449"/>
      <c r="W13449"/>
    </row>
    <row r="13450" spans="10:23" x14ac:dyDescent="0.25">
      <c r="J13450"/>
      <c r="M13450"/>
      <c r="W13450"/>
    </row>
    <row r="13451" spans="10:23" x14ac:dyDescent="0.25">
      <c r="J13451"/>
      <c r="M13451"/>
      <c r="W13451"/>
    </row>
    <row r="13452" spans="10:23" x14ac:dyDescent="0.25">
      <c r="J13452"/>
      <c r="M13452"/>
      <c r="W13452"/>
    </row>
    <row r="13453" spans="10:23" x14ac:dyDescent="0.25">
      <c r="J13453"/>
      <c r="M13453"/>
      <c r="W13453"/>
    </row>
    <row r="13454" spans="10:23" x14ac:dyDescent="0.25">
      <c r="J13454"/>
      <c r="M13454"/>
      <c r="W13454"/>
    </row>
    <row r="13455" spans="10:23" x14ac:dyDescent="0.25">
      <c r="J13455"/>
      <c r="M13455"/>
      <c r="W13455"/>
    </row>
    <row r="13456" spans="10:23" x14ac:dyDescent="0.25">
      <c r="J13456"/>
      <c r="M13456"/>
      <c r="W13456"/>
    </row>
    <row r="13457" spans="10:23" x14ac:dyDescent="0.25">
      <c r="J13457"/>
      <c r="M13457"/>
      <c r="W13457"/>
    </row>
    <row r="13458" spans="10:23" x14ac:dyDescent="0.25">
      <c r="J13458"/>
      <c r="M13458"/>
      <c r="W13458"/>
    </row>
    <row r="13459" spans="10:23" x14ac:dyDescent="0.25">
      <c r="J13459"/>
      <c r="M13459"/>
      <c r="W13459"/>
    </row>
    <row r="13460" spans="10:23" x14ac:dyDescent="0.25">
      <c r="J13460"/>
      <c r="M13460"/>
      <c r="W13460"/>
    </row>
    <row r="13461" spans="10:23" x14ac:dyDescent="0.25">
      <c r="J13461"/>
      <c r="M13461"/>
      <c r="W13461"/>
    </row>
    <row r="13462" spans="10:23" x14ac:dyDescent="0.25">
      <c r="J13462"/>
      <c r="M13462"/>
      <c r="W13462"/>
    </row>
    <row r="13463" spans="10:23" x14ac:dyDescent="0.25">
      <c r="J13463"/>
      <c r="M13463"/>
      <c r="W13463"/>
    </row>
    <row r="13464" spans="10:23" x14ac:dyDescent="0.25">
      <c r="J13464"/>
      <c r="M13464"/>
      <c r="W13464"/>
    </row>
    <row r="13465" spans="10:23" x14ac:dyDescent="0.25">
      <c r="J13465"/>
      <c r="M13465"/>
      <c r="W13465"/>
    </row>
    <row r="13466" spans="10:23" x14ac:dyDescent="0.25">
      <c r="J13466"/>
      <c r="M13466"/>
      <c r="W13466"/>
    </row>
    <row r="13467" spans="10:23" x14ac:dyDescent="0.25">
      <c r="J13467"/>
      <c r="M13467"/>
      <c r="W13467"/>
    </row>
    <row r="13468" spans="10:23" x14ac:dyDescent="0.25">
      <c r="J13468"/>
      <c r="M13468"/>
      <c r="W13468"/>
    </row>
    <row r="13469" spans="10:23" x14ac:dyDescent="0.25">
      <c r="J13469"/>
      <c r="M13469"/>
      <c r="W13469"/>
    </row>
    <row r="13470" spans="10:23" x14ac:dyDescent="0.25">
      <c r="J13470"/>
      <c r="M13470"/>
      <c r="W13470"/>
    </row>
    <row r="13471" spans="10:23" x14ac:dyDescent="0.25">
      <c r="J13471"/>
      <c r="M13471"/>
      <c r="W13471"/>
    </row>
    <row r="13472" spans="10:23" x14ac:dyDescent="0.25">
      <c r="J13472"/>
      <c r="M13472"/>
      <c r="W13472"/>
    </row>
    <row r="13473" spans="10:23" x14ac:dyDescent="0.25">
      <c r="J13473"/>
      <c r="M13473"/>
      <c r="W13473"/>
    </row>
    <row r="13474" spans="10:23" x14ac:dyDescent="0.25">
      <c r="J13474"/>
      <c r="M13474"/>
      <c r="W13474"/>
    </row>
    <row r="13475" spans="10:23" x14ac:dyDescent="0.25">
      <c r="J13475"/>
      <c r="M13475"/>
      <c r="W13475"/>
    </row>
    <row r="13476" spans="10:23" x14ac:dyDescent="0.25">
      <c r="J13476"/>
      <c r="M13476"/>
      <c r="W13476"/>
    </row>
    <row r="13477" spans="10:23" x14ac:dyDescent="0.25">
      <c r="J13477"/>
      <c r="M13477"/>
      <c r="W13477"/>
    </row>
    <row r="13478" spans="10:23" x14ac:dyDescent="0.25">
      <c r="J13478"/>
      <c r="M13478"/>
      <c r="W13478"/>
    </row>
    <row r="13479" spans="10:23" x14ac:dyDescent="0.25">
      <c r="J13479"/>
      <c r="M13479"/>
      <c r="W13479"/>
    </row>
    <row r="13480" spans="10:23" x14ac:dyDescent="0.25">
      <c r="J13480"/>
      <c r="M13480"/>
      <c r="W13480"/>
    </row>
    <row r="13481" spans="10:23" x14ac:dyDescent="0.25">
      <c r="J13481"/>
      <c r="M13481"/>
      <c r="W13481"/>
    </row>
    <row r="13482" spans="10:23" x14ac:dyDescent="0.25">
      <c r="J13482"/>
      <c r="M13482"/>
      <c r="W13482"/>
    </row>
    <row r="13483" spans="10:23" x14ac:dyDescent="0.25">
      <c r="J13483"/>
      <c r="M13483"/>
      <c r="W13483"/>
    </row>
    <row r="13484" spans="10:23" x14ac:dyDescent="0.25">
      <c r="J13484"/>
      <c r="M13484"/>
      <c r="W13484"/>
    </row>
    <row r="13485" spans="10:23" x14ac:dyDescent="0.25">
      <c r="J13485"/>
      <c r="M13485"/>
      <c r="W13485"/>
    </row>
    <row r="13486" spans="10:23" x14ac:dyDescent="0.25">
      <c r="J13486"/>
      <c r="M13486"/>
      <c r="W13486"/>
    </row>
    <row r="13487" spans="10:23" x14ac:dyDescent="0.25">
      <c r="J13487"/>
      <c r="M13487"/>
      <c r="W13487"/>
    </row>
    <row r="13488" spans="10:23" x14ac:dyDescent="0.25">
      <c r="J13488"/>
      <c r="M13488"/>
      <c r="W13488"/>
    </row>
    <row r="13489" spans="10:23" x14ac:dyDescent="0.25">
      <c r="J13489"/>
      <c r="M13489"/>
      <c r="W13489"/>
    </row>
    <row r="13490" spans="10:23" x14ac:dyDescent="0.25">
      <c r="J13490"/>
      <c r="M13490"/>
      <c r="W13490"/>
    </row>
    <row r="13491" spans="10:23" x14ac:dyDescent="0.25">
      <c r="J13491"/>
      <c r="M13491"/>
      <c r="W13491"/>
    </row>
    <row r="13492" spans="10:23" x14ac:dyDescent="0.25">
      <c r="J13492"/>
      <c r="M13492"/>
      <c r="W13492"/>
    </row>
    <row r="13493" spans="10:23" x14ac:dyDescent="0.25">
      <c r="J13493"/>
      <c r="M13493"/>
      <c r="W13493"/>
    </row>
    <row r="13494" spans="10:23" x14ac:dyDescent="0.25">
      <c r="J13494"/>
      <c r="M13494"/>
      <c r="W13494"/>
    </row>
    <row r="13495" spans="10:23" x14ac:dyDescent="0.25">
      <c r="J13495"/>
      <c r="M13495"/>
      <c r="W13495"/>
    </row>
    <row r="13496" spans="10:23" x14ac:dyDescent="0.25">
      <c r="J13496"/>
      <c r="M13496"/>
      <c r="W13496"/>
    </row>
    <row r="13497" spans="10:23" x14ac:dyDescent="0.25">
      <c r="J13497"/>
      <c r="M13497"/>
      <c r="W13497"/>
    </row>
    <row r="13498" spans="10:23" x14ac:dyDescent="0.25">
      <c r="J13498"/>
      <c r="M13498"/>
      <c r="W13498"/>
    </row>
    <row r="13499" spans="10:23" x14ac:dyDescent="0.25">
      <c r="J13499"/>
      <c r="M13499"/>
      <c r="W13499"/>
    </row>
    <row r="13500" spans="10:23" x14ac:dyDescent="0.25">
      <c r="J13500"/>
      <c r="M13500"/>
      <c r="W13500"/>
    </row>
    <row r="13501" spans="10:23" x14ac:dyDescent="0.25">
      <c r="J13501"/>
      <c r="M13501"/>
      <c r="W13501"/>
    </row>
    <row r="13502" spans="10:23" x14ac:dyDescent="0.25">
      <c r="J13502"/>
      <c r="M13502"/>
      <c r="W13502"/>
    </row>
    <row r="13503" spans="10:23" x14ac:dyDescent="0.25">
      <c r="J13503"/>
      <c r="M13503"/>
      <c r="W13503"/>
    </row>
    <row r="13504" spans="10:23" x14ac:dyDescent="0.25">
      <c r="J13504"/>
      <c r="M13504"/>
      <c r="W13504"/>
    </row>
    <row r="13505" spans="10:23" x14ac:dyDescent="0.25">
      <c r="J13505"/>
      <c r="M13505"/>
      <c r="W13505"/>
    </row>
    <row r="13506" spans="10:23" x14ac:dyDescent="0.25">
      <c r="J13506"/>
      <c r="M13506"/>
      <c r="W13506"/>
    </row>
    <row r="13507" spans="10:23" x14ac:dyDescent="0.25">
      <c r="J13507"/>
      <c r="M13507"/>
      <c r="W13507"/>
    </row>
    <row r="13508" spans="10:23" x14ac:dyDescent="0.25">
      <c r="J13508"/>
      <c r="M13508"/>
      <c r="W13508"/>
    </row>
    <row r="13509" spans="10:23" x14ac:dyDescent="0.25">
      <c r="J13509"/>
      <c r="M13509"/>
      <c r="W13509"/>
    </row>
    <row r="13510" spans="10:23" x14ac:dyDescent="0.25">
      <c r="J13510"/>
      <c r="M13510"/>
      <c r="W13510"/>
    </row>
    <row r="13511" spans="10:23" x14ac:dyDescent="0.25">
      <c r="J13511"/>
      <c r="M13511"/>
      <c r="W13511"/>
    </row>
    <row r="13512" spans="10:23" x14ac:dyDescent="0.25">
      <c r="J13512"/>
      <c r="M13512"/>
      <c r="W13512"/>
    </row>
    <row r="13513" spans="10:23" x14ac:dyDescent="0.25">
      <c r="J13513"/>
      <c r="M13513"/>
      <c r="W13513"/>
    </row>
    <row r="13514" spans="10:23" x14ac:dyDescent="0.25">
      <c r="J13514"/>
      <c r="M13514"/>
      <c r="W13514"/>
    </row>
    <row r="13515" spans="10:23" x14ac:dyDescent="0.25">
      <c r="J13515"/>
      <c r="M13515"/>
      <c r="W13515"/>
    </row>
    <row r="13516" spans="10:23" x14ac:dyDescent="0.25">
      <c r="J13516"/>
      <c r="M13516"/>
      <c r="W13516"/>
    </row>
    <row r="13517" spans="10:23" x14ac:dyDescent="0.25">
      <c r="J13517"/>
      <c r="M13517"/>
      <c r="W13517"/>
    </row>
    <row r="13518" spans="10:23" x14ac:dyDescent="0.25">
      <c r="J13518"/>
      <c r="M13518"/>
      <c r="W13518"/>
    </row>
    <row r="13519" spans="10:23" x14ac:dyDescent="0.25">
      <c r="J13519"/>
      <c r="M13519"/>
      <c r="W13519"/>
    </row>
    <row r="13520" spans="10:23" x14ac:dyDescent="0.25">
      <c r="J13520"/>
      <c r="M13520"/>
      <c r="W13520"/>
    </row>
    <row r="13521" spans="10:23" x14ac:dyDescent="0.25">
      <c r="J13521"/>
      <c r="M13521"/>
      <c r="W13521"/>
    </row>
    <row r="13522" spans="10:23" x14ac:dyDescent="0.25">
      <c r="J13522"/>
      <c r="M13522"/>
      <c r="W13522"/>
    </row>
    <row r="13523" spans="10:23" x14ac:dyDescent="0.25">
      <c r="J13523"/>
      <c r="M13523"/>
      <c r="W13523"/>
    </row>
    <row r="13524" spans="10:23" x14ac:dyDescent="0.25">
      <c r="J13524"/>
      <c r="M13524"/>
      <c r="W13524"/>
    </row>
    <row r="13525" spans="10:23" x14ac:dyDescent="0.25">
      <c r="J13525"/>
      <c r="M13525"/>
      <c r="W13525"/>
    </row>
    <row r="13526" spans="10:23" x14ac:dyDescent="0.25">
      <c r="J13526"/>
      <c r="M13526"/>
      <c r="W13526"/>
    </row>
    <row r="13527" spans="10:23" x14ac:dyDescent="0.25">
      <c r="J13527"/>
      <c r="M13527"/>
      <c r="W13527"/>
    </row>
    <row r="13528" spans="10:23" x14ac:dyDescent="0.25">
      <c r="J13528"/>
      <c r="M13528"/>
      <c r="W13528"/>
    </row>
    <row r="13529" spans="10:23" x14ac:dyDescent="0.25">
      <c r="J13529"/>
      <c r="M13529"/>
      <c r="W13529"/>
    </row>
    <row r="13530" spans="10:23" x14ac:dyDescent="0.25">
      <c r="J13530"/>
      <c r="M13530"/>
      <c r="W13530"/>
    </row>
    <row r="13531" spans="10:23" x14ac:dyDescent="0.25">
      <c r="J13531"/>
      <c r="M13531"/>
      <c r="W13531"/>
    </row>
    <row r="13532" spans="10:23" x14ac:dyDescent="0.25">
      <c r="J13532"/>
      <c r="M13532"/>
      <c r="W13532"/>
    </row>
    <row r="13533" spans="10:23" x14ac:dyDescent="0.25">
      <c r="J13533"/>
      <c r="M13533"/>
      <c r="W13533"/>
    </row>
    <row r="13534" spans="10:23" x14ac:dyDescent="0.25">
      <c r="J13534"/>
      <c r="M13534"/>
      <c r="W13534"/>
    </row>
    <row r="13535" spans="10:23" x14ac:dyDescent="0.25">
      <c r="J13535"/>
      <c r="M13535"/>
      <c r="W13535"/>
    </row>
    <row r="13536" spans="10:23" x14ac:dyDescent="0.25">
      <c r="J13536"/>
      <c r="M13536"/>
      <c r="W13536"/>
    </row>
    <row r="13537" spans="10:23" x14ac:dyDescent="0.25">
      <c r="J13537"/>
      <c r="M13537"/>
      <c r="W13537"/>
    </row>
    <row r="13538" spans="10:23" x14ac:dyDescent="0.25">
      <c r="J13538"/>
      <c r="M13538"/>
      <c r="W13538"/>
    </row>
    <row r="13539" spans="10:23" x14ac:dyDescent="0.25">
      <c r="J13539"/>
      <c r="M13539"/>
      <c r="W13539"/>
    </row>
    <row r="13540" spans="10:23" x14ac:dyDescent="0.25">
      <c r="J13540"/>
      <c r="M13540"/>
      <c r="W13540"/>
    </row>
    <row r="13541" spans="10:23" x14ac:dyDescent="0.25">
      <c r="J13541"/>
      <c r="M13541"/>
      <c r="W13541"/>
    </row>
    <row r="13542" spans="10:23" x14ac:dyDescent="0.25">
      <c r="J13542"/>
      <c r="M13542"/>
      <c r="W13542"/>
    </row>
    <row r="13543" spans="10:23" x14ac:dyDescent="0.25">
      <c r="J13543"/>
      <c r="M13543"/>
      <c r="W13543"/>
    </row>
    <row r="13544" spans="10:23" x14ac:dyDescent="0.25">
      <c r="J13544"/>
      <c r="M13544"/>
      <c r="W13544"/>
    </row>
    <row r="13545" spans="10:23" x14ac:dyDescent="0.25">
      <c r="J13545"/>
      <c r="M13545"/>
      <c r="W13545"/>
    </row>
    <row r="13546" spans="10:23" x14ac:dyDescent="0.25">
      <c r="J13546"/>
      <c r="M13546"/>
      <c r="W13546"/>
    </row>
    <row r="13547" spans="10:23" x14ac:dyDescent="0.25">
      <c r="J13547"/>
      <c r="M13547"/>
      <c r="W13547"/>
    </row>
    <row r="13548" spans="10:23" x14ac:dyDescent="0.25">
      <c r="J13548"/>
      <c r="M13548"/>
      <c r="W13548"/>
    </row>
    <row r="13549" spans="10:23" x14ac:dyDescent="0.25">
      <c r="J13549"/>
      <c r="M13549"/>
      <c r="W13549"/>
    </row>
    <row r="13550" spans="10:23" x14ac:dyDescent="0.25">
      <c r="J13550"/>
      <c r="M13550"/>
      <c r="W13550"/>
    </row>
    <row r="13551" spans="10:23" x14ac:dyDescent="0.25">
      <c r="J13551"/>
      <c r="M13551"/>
      <c r="W13551"/>
    </row>
    <row r="13552" spans="10:23" x14ac:dyDescent="0.25">
      <c r="J13552"/>
      <c r="M13552"/>
      <c r="W13552"/>
    </row>
    <row r="13553" spans="10:23" x14ac:dyDescent="0.25">
      <c r="J13553"/>
      <c r="M13553"/>
      <c r="W13553"/>
    </row>
    <row r="13554" spans="10:23" x14ac:dyDescent="0.25">
      <c r="J13554"/>
      <c r="M13554"/>
      <c r="W13554"/>
    </row>
    <row r="13555" spans="10:23" x14ac:dyDescent="0.25">
      <c r="J13555"/>
      <c r="M13555"/>
      <c r="W13555"/>
    </row>
    <row r="13556" spans="10:23" x14ac:dyDescent="0.25">
      <c r="J13556"/>
      <c r="M13556"/>
      <c r="W13556"/>
    </row>
    <row r="13557" spans="10:23" x14ac:dyDescent="0.25">
      <c r="J13557"/>
      <c r="M13557"/>
      <c r="W13557"/>
    </row>
    <row r="13558" spans="10:23" x14ac:dyDescent="0.25">
      <c r="J13558"/>
      <c r="M13558"/>
      <c r="W13558"/>
    </row>
    <row r="13559" spans="10:23" x14ac:dyDescent="0.25">
      <c r="J13559"/>
      <c r="M13559"/>
      <c r="W13559"/>
    </row>
    <row r="13560" spans="10:23" x14ac:dyDescent="0.25">
      <c r="J13560"/>
      <c r="M13560"/>
      <c r="W13560"/>
    </row>
    <row r="13561" spans="10:23" x14ac:dyDescent="0.25">
      <c r="J13561"/>
      <c r="M13561"/>
      <c r="W13561"/>
    </row>
    <row r="13562" spans="10:23" x14ac:dyDescent="0.25">
      <c r="J13562"/>
      <c r="M13562"/>
      <c r="W13562"/>
    </row>
    <row r="13563" spans="10:23" x14ac:dyDescent="0.25">
      <c r="J13563"/>
      <c r="M13563"/>
      <c r="W13563"/>
    </row>
    <row r="13564" spans="10:23" x14ac:dyDescent="0.25">
      <c r="J13564"/>
      <c r="M13564"/>
      <c r="W13564"/>
    </row>
    <row r="13565" spans="10:23" x14ac:dyDescent="0.25">
      <c r="J13565"/>
      <c r="M13565"/>
      <c r="W13565"/>
    </row>
    <row r="13566" spans="10:23" x14ac:dyDescent="0.25">
      <c r="J13566"/>
      <c r="M13566"/>
      <c r="W13566"/>
    </row>
    <row r="13567" spans="10:23" x14ac:dyDescent="0.25">
      <c r="J13567"/>
      <c r="M13567"/>
      <c r="W13567"/>
    </row>
    <row r="13568" spans="10:23" x14ac:dyDescent="0.25">
      <c r="J13568"/>
      <c r="M13568"/>
      <c r="W13568"/>
    </row>
    <row r="13569" spans="10:23" x14ac:dyDescent="0.25">
      <c r="J13569"/>
      <c r="M13569"/>
      <c r="W13569"/>
    </row>
    <row r="13570" spans="10:23" x14ac:dyDescent="0.25">
      <c r="J13570"/>
      <c r="M13570"/>
      <c r="W13570"/>
    </row>
    <row r="13571" spans="10:23" x14ac:dyDescent="0.25">
      <c r="J13571"/>
      <c r="M13571"/>
      <c r="W13571"/>
    </row>
    <row r="13572" spans="10:23" x14ac:dyDescent="0.25">
      <c r="J13572"/>
      <c r="M13572"/>
      <c r="W13572"/>
    </row>
    <row r="13573" spans="10:23" x14ac:dyDescent="0.25">
      <c r="J13573"/>
      <c r="M13573"/>
      <c r="W13573"/>
    </row>
    <row r="13574" spans="10:23" x14ac:dyDescent="0.25">
      <c r="J13574"/>
      <c r="M13574"/>
      <c r="W13574"/>
    </row>
    <row r="13575" spans="10:23" x14ac:dyDescent="0.25">
      <c r="J13575"/>
      <c r="M13575"/>
      <c r="W13575"/>
    </row>
    <row r="13576" spans="10:23" x14ac:dyDescent="0.25">
      <c r="J13576"/>
      <c r="M13576"/>
      <c r="W13576"/>
    </row>
    <row r="13577" spans="10:23" x14ac:dyDescent="0.25">
      <c r="J13577"/>
      <c r="M13577"/>
      <c r="W13577"/>
    </row>
    <row r="13578" spans="10:23" x14ac:dyDescent="0.25">
      <c r="J13578"/>
      <c r="M13578"/>
      <c r="W13578"/>
    </row>
    <row r="13579" spans="10:23" x14ac:dyDescent="0.25">
      <c r="J13579"/>
      <c r="M13579"/>
      <c r="W13579"/>
    </row>
    <row r="13580" spans="10:23" x14ac:dyDescent="0.25">
      <c r="J13580"/>
      <c r="M13580"/>
      <c r="W13580"/>
    </row>
    <row r="13581" spans="10:23" x14ac:dyDescent="0.25">
      <c r="J13581"/>
      <c r="M13581"/>
      <c r="W13581"/>
    </row>
    <row r="13582" spans="10:23" x14ac:dyDescent="0.25">
      <c r="J13582"/>
      <c r="M13582"/>
      <c r="W13582"/>
    </row>
    <row r="13583" spans="10:23" x14ac:dyDescent="0.25">
      <c r="J13583"/>
      <c r="M13583"/>
      <c r="W13583"/>
    </row>
    <row r="13584" spans="10:23" x14ac:dyDescent="0.25">
      <c r="J13584"/>
      <c r="M13584"/>
      <c r="W13584"/>
    </row>
    <row r="13585" spans="10:23" x14ac:dyDescent="0.25">
      <c r="J13585"/>
      <c r="M13585"/>
      <c r="W13585"/>
    </row>
    <row r="13586" spans="10:23" x14ac:dyDescent="0.25">
      <c r="J13586"/>
      <c r="M13586"/>
      <c r="W13586"/>
    </row>
    <row r="13587" spans="10:23" x14ac:dyDescent="0.25">
      <c r="J13587"/>
      <c r="M13587"/>
      <c r="W13587"/>
    </row>
    <row r="13588" spans="10:23" x14ac:dyDescent="0.25">
      <c r="J13588"/>
      <c r="M13588"/>
      <c r="W13588"/>
    </row>
    <row r="13589" spans="10:23" x14ac:dyDescent="0.25">
      <c r="J13589"/>
      <c r="M13589"/>
      <c r="W13589"/>
    </row>
    <row r="13590" spans="10:23" x14ac:dyDescent="0.25">
      <c r="J13590"/>
      <c r="M13590"/>
      <c r="W13590"/>
    </row>
    <row r="13591" spans="10:23" x14ac:dyDescent="0.25">
      <c r="J13591"/>
      <c r="M13591"/>
      <c r="W13591"/>
    </row>
    <row r="13592" spans="10:23" x14ac:dyDescent="0.25">
      <c r="J13592"/>
      <c r="M13592"/>
      <c r="W13592"/>
    </row>
    <row r="13593" spans="10:23" x14ac:dyDescent="0.25">
      <c r="J13593"/>
      <c r="M13593"/>
      <c r="W13593"/>
    </row>
    <row r="13594" spans="10:23" x14ac:dyDescent="0.25">
      <c r="J13594"/>
      <c r="M13594"/>
      <c r="W13594"/>
    </row>
    <row r="13595" spans="10:23" x14ac:dyDescent="0.25">
      <c r="J13595"/>
      <c r="M13595"/>
      <c r="W13595"/>
    </row>
    <row r="13596" spans="10:23" x14ac:dyDescent="0.25">
      <c r="J13596"/>
      <c r="M13596"/>
      <c r="W13596"/>
    </row>
    <row r="13597" spans="10:23" x14ac:dyDescent="0.25">
      <c r="J13597"/>
      <c r="M13597"/>
      <c r="W13597"/>
    </row>
    <row r="13598" spans="10:23" x14ac:dyDescent="0.25">
      <c r="J13598"/>
      <c r="M13598"/>
      <c r="W13598"/>
    </row>
    <row r="13599" spans="10:23" x14ac:dyDescent="0.25">
      <c r="J13599"/>
      <c r="M13599"/>
      <c r="W13599"/>
    </row>
    <row r="13600" spans="10:23" x14ac:dyDescent="0.25">
      <c r="J13600"/>
      <c r="M13600"/>
      <c r="W13600"/>
    </row>
    <row r="13601" spans="10:23" x14ac:dyDescent="0.25">
      <c r="J13601"/>
      <c r="M13601"/>
      <c r="W13601"/>
    </row>
    <row r="13602" spans="10:23" x14ac:dyDescent="0.25">
      <c r="J13602"/>
      <c r="M13602"/>
      <c r="W13602"/>
    </row>
    <row r="13603" spans="10:23" x14ac:dyDescent="0.25">
      <c r="J13603"/>
      <c r="M13603"/>
      <c r="W13603"/>
    </row>
    <row r="13604" spans="10:23" x14ac:dyDescent="0.25">
      <c r="J13604"/>
      <c r="M13604"/>
      <c r="W13604"/>
    </row>
    <row r="13605" spans="10:23" x14ac:dyDescent="0.25">
      <c r="J13605"/>
      <c r="M13605"/>
      <c r="W13605"/>
    </row>
    <row r="13606" spans="10:23" x14ac:dyDescent="0.25">
      <c r="J13606"/>
      <c r="M13606"/>
      <c r="W13606"/>
    </row>
    <row r="13607" spans="10:23" x14ac:dyDescent="0.25">
      <c r="J13607"/>
      <c r="M13607"/>
      <c r="W13607"/>
    </row>
    <row r="13608" spans="10:23" x14ac:dyDescent="0.25">
      <c r="J13608"/>
      <c r="M13608"/>
      <c r="W13608"/>
    </row>
    <row r="13609" spans="10:23" x14ac:dyDescent="0.25">
      <c r="J13609"/>
      <c r="M13609"/>
      <c r="W13609"/>
    </row>
    <row r="13610" spans="10:23" x14ac:dyDescent="0.25">
      <c r="J13610"/>
      <c r="M13610"/>
      <c r="W13610"/>
    </row>
    <row r="13611" spans="10:23" x14ac:dyDescent="0.25">
      <c r="J13611"/>
      <c r="M13611"/>
      <c r="W13611"/>
    </row>
    <row r="13612" spans="10:23" x14ac:dyDescent="0.25">
      <c r="J13612"/>
      <c r="M13612"/>
      <c r="W13612"/>
    </row>
    <row r="13613" spans="10:23" x14ac:dyDescent="0.25">
      <c r="J13613"/>
      <c r="M13613"/>
      <c r="W13613"/>
    </row>
    <row r="13614" spans="10:23" x14ac:dyDescent="0.25">
      <c r="J13614"/>
      <c r="M13614"/>
      <c r="W13614"/>
    </row>
    <row r="13615" spans="10:23" x14ac:dyDescent="0.25">
      <c r="J13615"/>
      <c r="M13615"/>
      <c r="W13615"/>
    </row>
    <row r="13616" spans="10:23" x14ac:dyDescent="0.25">
      <c r="J13616"/>
      <c r="M13616"/>
      <c r="W13616"/>
    </row>
    <row r="13617" spans="10:23" x14ac:dyDescent="0.25">
      <c r="J13617"/>
      <c r="M13617"/>
      <c r="W13617"/>
    </row>
    <row r="13618" spans="10:23" x14ac:dyDescent="0.25">
      <c r="J13618"/>
      <c r="M13618"/>
      <c r="W13618"/>
    </row>
    <row r="13619" spans="10:23" x14ac:dyDescent="0.25">
      <c r="J13619"/>
      <c r="M13619"/>
      <c r="W13619"/>
    </row>
    <row r="13620" spans="10:23" x14ac:dyDescent="0.25">
      <c r="J13620"/>
      <c r="M13620"/>
      <c r="W13620"/>
    </row>
    <row r="13621" spans="10:23" x14ac:dyDescent="0.25">
      <c r="J13621"/>
      <c r="M13621"/>
      <c r="W13621"/>
    </row>
    <row r="13622" spans="10:23" x14ac:dyDescent="0.25">
      <c r="J13622"/>
      <c r="M13622"/>
      <c r="W13622"/>
    </row>
    <row r="13623" spans="10:23" x14ac:dyDescent="0.25">
      <c r="J13623"/>
      <c r="M13623"/>
      <c r="W13623"/>
    </row>
    <row r="13624" spans="10:23" x14ac:dyDescent="0.25">
      <c r="J13624"/>
      <c r="M13624"/>
      <c r="W13624"/>
    </row>
    <row r="13625" spans="10:23" x14ac:dyDescent="0.25">
      <c r="J13625"/>
      <c r="M13625"/>
      <c r="W13625"/>
    </row>
    <row r="13626" spans="10:23" x14ac:dyDescent="0.25">
      <c r="J13626"/>
      <c r="M13626"/>
      <c r="W13626"/>
    </row>
    <row r="13627" spans="10:23" x14ac:dyDescent="0.25">
      <c r="J13627"/>
      <c r="M13627"/>
      <c r="W13627"/>
    </row>
    <row r="13628" spans="10:23" x14ac:dyDescent="0.25">
      <c r="J13628"/>
      <c r="M13628"/>
      <c r="W13628"/>
    </row>
    <row r="13629" spans="10:23" x14ac:dyDescent="0.25">
      <c r="J13629"/>
      <c r="M13629"/>
      <c r="W13629"/>
    </row>
    <row r="13630" spans="10:23" x14ac:dyDescent="0.25">
      <c r="J13630"/>
      <c r="M13630"/>
      <c r="W13630"/>
    </row>
    <row r="13631" spans="10:23" x14ac:dyDescent="0.25">
      <c r="J13631"/>
      <c r="M13631"/>
      <c r="W13631"/>
    </row>
    <row r="13632" spans="10:23" x14ac:dyDescent="0.25">
      <c r="J13632"/>
      <c r="M13632"/>
      <c r="W13632"/>
    </row>
    <row r="13633" spans="10:23" x14ac:dyDescent="0.25">
      <c r="J13633"/>
      <c r="M13633"/>
      <c r="W13633"/>
    </row>
    <row r="13634" spans="10:23" x14ac:dyDescent="0.25">
      <c r="J13634"/>
      <c r="M13634"/>
      <c r="W13634"/>
    </row>
    <row r="13635" spans="10:23" x14ac:dyDescent="0.25">
      <c r="J13635"/>
      <c r="M13635"/>
      <c r="W13635"/>
    </row>
    <row r="13636" spans="10:23" x14ac:dyDescent="0.25">
      <c r="J13636"/>
      <c r="M13636"/>
      <c r="W13636"/>
    </row>
    <row r="13637" spans="10:23" x14ac:dyDescent="0.25">
      <c r="J13637"/>
      <c r="M13637"/>
      <c r="W13637"/>
    </row>
    <row r="13638" spans="10:23" x14ac:dyDescent="0.25">
      <c r="J13638"/>
      <c r="M13638"/>
      <c r="W13638"/>
    </row>
    <row r="13639" spans="10:23" x14ac:dyDescent="0.25">
      <c r="J13639"/>
      <c r="M13639"/>
      <c r="W13639"/>
    </row>
    <row r="13640" spans="10:23" x14ac:dyDescent="0.25">
      <c r="J13640"/>
      <c r="M13640"/>
      <c r="W13640"/>
    </row>
    <row r="13641" spans="10:23" x14ac:dyDescent="0.25">
      <c r="J13641"/>
      <c r="M13641"/>
      <c r="W13641"/>
    </row>
    <row r="13642" spans="10:23" x14ac:dyDescent="0.25">
      <c r="J13642"/>
      <c r="M13642"/>
      <c r="W13642"/>
    </row>
    <row r="13643" spans="10:23" x14ac:dyDescent="0.25">
      <c r="J13643"/>
      <c r="M13643"/>
      <c r="W13643"/>
    </row>
    <row r="13644" spans="10:23" x14ac:dyDescent="0.25">
      <c r="J13644"/>
      <c r="M13644"/>
      <c r="W13644"/>
    </row>
    <row r="13645" spans="10:23" x14ac:dyDescent="0.25">
      <c r="J13645"/>
      <c r="M13645"/>
      <c r="W13645"/>
    </row>
    <row r="13646" spans="10:23" x14ac:dyDescent="0.25">
      <c r="J13646"/>
      <c r="M13646"/>
      <c r="W13646"/>
    </row>
    <row r="13647" spans="10:23" x14ac:dyDescent="0.25">
      <c r="J13647"/>
      <c r="M13647"/>
      <c r="W13647"/>
    </row>
    <row r="13648" spans="10:23" x14ac:dyDescent="0.25">
      <c r="J13648"/>
      <c r="M13648"/>
      <c r="W13648"/>
    </row>
    <row r="13649" spans="10:23" x14ac:dyDescent="0.25">
      <c r="J13649"/>
      <c r="M13649"/>
      <c r="W13649"/>
    </row>
    <row r="13650" spans="10:23" x14ac:dyDescent="0.25">
      <c r="J13650"/>
      <c r="M13650"/>
      <c r="W13650"/>
    </row>
    <row r="13651" spans="10:23" x14ac:dyDescent="0.25">
      <c r="J13651"/>
      <c r="M13651"/>
      <c r="W13651"/>
    </row>
    <row r="13652" spans="10:23" x14ac:dyDescent="0.25">
      <c r="J13652"/>
      <c r="M13652"/>
      <c r="W13652"/>
    </row>
    <row r="13653" spans="10:23" x14ac:dyDescent="0.25">
      <c r="J13653"/>
      <c r="M13653"/>
      <c r="W13653"/>
    </row>
    <row r="13654" spans="10:23" x14ac:dyDescent="0.25">
      <c r="J13654"/>
      <c r="M13654"/>
      <c r="W13654"/>
    </row>
    <row r="13655" spans="10:23" x14ac:dyDescent="0.25">
      <c r="J13655"/>
      <c r="M13655"/>
      <c r="W13655"/>
    </row>
    <row r="13656" spans="10:23" x14ac:dyDescent="0.25">
      <c r="J13656"/>
      <c r="M13656"/>
      <c r="W13656"/>
    </row>
    <row r="13657" spans="10:23" x14ac:dyDescent="0.25">
      <c r="J13657"/>
      <c r="M13657"/>
      <c r="W13657"/>
    </row>
    <row r="13658" spans="10:23" x14ac:dyDescent="0.25">
      <c r="J13658"/>
      <c r="M13658"/>
      <c r="W13658"/>
    </row>
    <row r="13659" spans="10:23" x14ac:dyDescent="0.25">
      <c r="J13659"/>
      <c r="M13659"/>
      <c r="W13659"/>
    </row>
    <row r="13660" spans="10:23" x14ac:dyDescent="0.25">
      <c r="J13660"/>
      <c r="M13660"/>
      <c r="W13660"/>
    </row>
    <row r="13661" spans="10:23" x14ac:dyDescent="0.25">
      <c r="J13661"/>
      <c r="M13661"/>
      <c r="W13661"/>
    </row>
    <row r="13662" spans="10:23" x14ac:dyDescent="0.25">
      <c r="J13662"/>
      <c r="M13662"/>
      <c r="W13662"/>
    </row>
    <row r="13663" spans="10:23" x14ac:dyDescent="0.25">
      <c r="J13663"/>
      <c r="M13663"/>
      <c r="W13663"/>
    </row>
    <row r="13664" spans="10:23" x14ac:dyDescent="0.25">
      <c r="J13664"/>
      <c r="M13664"/>
      <c r="W13664"/>
    </row>
    <row r="13665" spans="10:23" x14ac:dyDescent="0.25">
      <c r="J13665"/>
      <c r="M13665"/>
      <c r="W13665"/>
    </row>
    <row r="13666" spans="10:23" x14ac:dyDescent="0.25">
      <c r="J13666"/>
      <c r="M13666"/>
      <c r="W13666"/>
    </row>
    <row r="13667" spans="10:23" x14ac:dyDescent="0.25">
      <c r="J13667"/>
      <c r="M13667"/>
      <c r="W13667"/>
    </row>
    <row r="13668" spans="10:23" x14ac:dyDescent="0.25">
      <c r="J13668"/>
      <c r="M13668"/>
      <c r="W13668"/>
    </row>
    <row r="13669" spans="10:23" x14ac:dyDescent="0.25">
      <c r="J13669"/>
      <c r="M13669"/>
      <c r="W13669"/>
    </row>
    <row r="13670" spans="10:23" x14ac:dyDescent="0.25">
      <c r="J13670"/>
      <c r="M13670"/>
      <c r="W13670"/>
    </row>
    <row r="13671" spans="10:23" x14ac:dyDescent="0.25">
      <c r="J13671"/>
      <c r="M13671"/>
      <c r="W13671"/>
    </row>
    <row r="13672" spans="10:23" x14ac:dyDescent="0.25">
      <c r="J13672"/>
      <c r="M13672"/>
      <c r="W13672"/>
    </row>
    <row r="13673" spans="10:23" x14ac:dyDescent="0.25">
      <c r="J13673"/>
      <c r="M13673"/>
      <c r="W13673"/>
    </row>
    <row r="13674" spans="10:23" x14ac:dyDescent="0.25">
      <c r="J13674"/>
      <c r="M13674"/>
      <c r="W13674"/>
    </row>
    <row r="13675" spans="10:23" x14ac:dyDescent="0.25">
      <c r="J13675"/>
      <c r="M13675"/>
      <c r="W13675"/>
    </row>
    <row r="13676" spans="10:23" x14ac:dyDescent="0.25">
      <c r="J13676"/>
      <c r="M13676"/>
      <c r="W13676"/>
    </row>
    <row r="13677" spans="10:23" x14ac:dyDescent="0.25">
      <c r="J13677"/>
      <c r="M13677"/>
      <c r="W13677"/>
    </row>
    <row r="13678" spans="10:23" x14ac:dyDescent="0.25">
      <c r="J13678"/>
      <c r="M13678"/>
      <c r="W13678"/>
    </row>
    <row r="13679" spans="10:23" x14ac:dyDescent="0.25">
      <c r="J13679"/>
      <c r="M13679"/>
      <c r="W13679"/>
    </row>
    <row r="13680" spans="10:23" x14ac:dyDescent="0.25">
      <c r="J13680"/>
      <c r="M13680"/>
      <c r="W13680"/>
    </row>
    <row r="13681" spans="10:23" x14ac:dyDescent="0.25">
      <c r="J13681"/>
      <c r="M13681"/>
      <c r="W13681"/>
    </row>
    <row r="13682" spans="10:23" x14ac:dyDescent="0.25">
      <c r="J13682"/>
      <c r="M13682"/>
      <c r="W13682"/>
    </row>
    <row r="13683" spans="10:23" x14ac:dyDescent="0.25">
      <c r="J13683"/>
      <c r="M13683"/>
      <c r="W13683"/>
    </row>
    <row r="13684" spans="10:23" x14ac:dyDescent="0.25">
      <c r="J13684"/>
      <c r="M13684"/>
      <c r="W13684"/>
    </row>
    <row r="13685" spans="10:23" x14ac:dyDescent="0.25">
      <c r="J13685"/>
      <c r="M13685"/>
      <c r="W13685"/>
    </row>
    <row r="13686" spans="10:23" x14ac:dyDescent="0.25">
      <c r="J13686"/>
      <c r="M13686"/>
      <c r="W13686"/>
    </row>
    <row r="13687" spans="10:23" x14ac:dyDescent="0.25">
      <c r="J13687"/>
      <c r="M13687"/>
      <c r="W13687"/>
    </row>
    <row r="13688" spans="10:23" x14ac:dyDescent="0.25">
      <c r="J13688"/>
      <c r="M13688"/>
      <c r="W13688"/>
    </row>
    <row r="13689" spans="10:23" x14ac:dyDescent="0.25">
      <c r="J13689"/>
      <c r="M13689"/>
      <c r="W13689"/>
    </row>
    <row r="13690" spans="10:23" x14ac:dyDescent="0.25">
      <c r="J13690"/>
      <c r="M13690"/>
      <c r="W13690"/>
    </row>
    <row r="13691" spans="10:23" x14ac:dyDescent="0.25">
      <c r="J13691"/>
      <c r="M13691"/>
      <c r="W13691"/>
    </row>
    <row r="13692" spans="10:23" x14ac:dyDescent="0.25">
      <c r="J13692"/>
      <c r="M13692"/>
      <c r="W13692"/>
    </row>
    <row r="13693" spans="10:23" x14ac:dyDescent="0.25">
      <c r="J13693"/>
      <c r="M13693"/>
      <c r="W13693"/>
    </row>
    <row r="13694" spans="10:23" x14ac:dyDescent="0.25">
      <c r="J13694"/>
      <c r="M13694"/>
      <c r="W13694"/>
    </row>
    <row r="13695" spans="10:23" x14ac:dyDescent="0.25">
      <c r="J13695"/>
      <c r="M13695"/>
      <c r="W13695"/>
    </row>
    <row r="13696" spans="10:23" x14ac:dyDescent="0.25">
      <c r="J13696"/>
      <c r="M13696"/>
      <c r="W13696"/>
    </row>
    <row r="13697" spans="10:23" x14ac:dyDescent="0.25">
      <c r="J13697"/>
      <c r="M13697"/>
      <c r="W13697"/>
    </row>
    <row r="13698" spans="10:23" x14ac:dyDescent="0.25">
      <c r="J13698"/>
      <c r="M13698"/>
      <c r="W13698"/>
    </row>
    <row r="13699" spans="10:23" x14ac:dyDescent="0.25">
      <c r="J13699"/>
      <c r="M13699"/>
      <c r="W13699"/>
    </row>
    <row r="13700" spans="10:23" x14ac:dyDescent="0.25">
      <c r="J13700"/>
      <c r="M13700"/>
      <c r="W13700"/>
    </row>
    <row r="13701" spans="10:23" x14ac:dyDescent="0.25">
      <c r="J13701"/>
      <c r="M13701"/>
      <c r="W13701"/>
    </row>
    <row r="13702" spans="10:23" x14ac:dyDescent="0.25">
      <c r="J13702"/>
      <c r="M13702"/>
      <c r="W13702"/>
    </row>
    <row r="13703" spans="10:23" x14ac:dyDescent="0.25">
      <c r="J13703"/>
      <c r="M13703"/>
      <c r="W13703"/>
    </row>
    <row r="13704" spans="10:23" x14ac:dyDescent="0.25">
      <c r="J13704"/>
      <c r="M13704"/>
      <c r="W13704"/>
    </row>
    <row r="13705" spans="10:23" x14ac:dyDescent="0.25">
      <c r="J13705"/>
      <c r="M13705"/>
      <c r="W13705"/>
    </row>
    <row r="13706" spans="10:23" x14ac:dyDescent="0.25">
      <c r="J13706"/>
      <c r="M13706"/>
      <c r="W13706"/>
    </row>
    <row r="13707" spans="10:23" x14ac:dyDescent="0.25">
      <c r="J13707"/>
      <c r="M13707"/>
      <c r="W13707"/>
    </row>
    <row r="13708" spans="10:23" x14ac:dyDescent="0.25">
      <c r="J13708"/>
      <c r="M13708"/>
      <c r="W13708"/>
    </row>
    <row r="13709" spans="10:23" x14ac:dyDescent="0.25">
      <c r="J13709"/>
      <c r="M13709"/>
      <c r="W13709"/>
    </row>
    <row r="13710" spans="10:23" x14ac:dyDescent="0.25">
      <c r="J13710"/>
      <c r="M13710"/>
      <c r="W13710"/>
    </row>
    <row r="13711" spans="10:23" x14ac:dyDescent="0.25">
      <c r="J13711"/>
      <c r="M13711"/>
      <c r="W13711"/>
    </row>
    <row r="13712" spans="10:23" x14ac:dyDescent="0.25">
      <c r="J13712"/>
      <c r="M13712"/>
      <c r="W13712"/>
    </row>
    <row r="13713" spans="10:23" x14ac:dyDescent="0.25">
      <c r="J13713"/>
      <c r="M13713"/>
      <c r="W13713"/>
    </row>
    <row r="13714" spans="10:23" x14ac:dyDescent="0.25">
      <c r="J13714"/>
      <c r="M13714"/>
      <c r="W13714"/>
    </row>
    <row r="13715" spans="10:23" x14ac:dyDescent="0.25">
      <c r="J13715"/>
      <c r="M13715"/>
      <c r="W13715"/>
    </row>
    <row r="13716" spans="10:23" x14ac:dyDescent="0.25">
      <c r="J13716"/>
      <c r="M13716"/>
      <c r="W13716"/>
    </row>
    <row r="13717" spans="10:23" x14ac:dyDescent="0.25">
      <c r="J13717"/>
      <c r="M13717"/>
      <c r="W13717"/>
    </row>
    <row r="13718" spans="10:23" x14ac:dyDescent="0.25">
      <c r="J13718"/>
      <c r="M13718"/>
      <c r="W13718"/>
    </row>
    <row r="13719" spans="10:23" x14ac:dyDescent="0.25">
      <c r="J13719"/>
      <c r="M13719"/>
      <c r="W13719"/>
    </row>
    <row r="13720" spans="10:23" x14ac:dyDescent="0.25">
      <c r="J13720"/>
      <c r="M13720"/>
      <c r="W13720"/>
    </row>
    <row r="13721" spans="10:23" x14ac:dyDescent="0.25">
      <c r="J13721"/>
      <c r="M13721"/>
      <c r="W13721"/>
    </row>
    <row r="13722" spans="10:23" x14ac:dyDescent="0.25">
      <c r="J13722"/>
      <c r="M13722"/>
      <c r="W13722"/>
    </row>
    <row r="13723" spans="10:23" x14ac:dyDescent="0.25">
      <c r="J13723"/>
      <c r="M13723"/>
      <c r="W13723"/>
    </row>
    <row r="13724" spans="10:23" x14ac:dyDescent="0.25">
      <c r="J13724"/>
      <c r="M13724"/>
      <c r="W13724"/>
    </row>
    <row r="13725" spans="10:23" x14ac:dyDescent="0.25">
      <c r="J13725"/>
      <c r="M13725"/>
      <c r="W13725"/>
    </row>
    <row r="13726" spans="10:23" x14ac:dyDescent="0.25">
      <c r="J13726"/>
      <c r="M13726"/>
      <c r="W13726"/>
    </row>
    <row r="13727" spans="10:23" x14ac:dyDescent="0.25">
      <c r="J13727"/>
      <c r="M13727"/>
      <c r="W13727"/>
    </row>
    <row r="13728" spans="10:23" x14ac:dyDescent="0.25">
      <c r="J13728"/>
      <c r="M13728"/>
      <c r="W13728"/>
    </row>
    <row r="13729" spans="10:23" x14ac:dyDescent="0.25">
      <c r="J13729"/>
      <c r="M13729"/>
      <c r="W13729"/>
    </row>
    <row r="13730" spans="10:23" x14ac:dyDescent="0.25">
      <c r="J13730"/>
      <c r="M13730"/>
      <c r="W13730"/>
    </row>
    <row r="13731" spans="10:23" x14ac:dyDescent="0.25">
      <c r="J13731"/>
      <c r="M13731"/>
      <c r="W13731"/>
    </row>
    <row r="13732" spans="10:23" x14ac:dyDescent="0.25">
      <c r="J13732"/>
      <c r="M13732"/>
      <c r="W13732"/>
    </row>
    <row r="13733" spans="10:23" x14ac:dyDescent="0.25">
      <c r="J13733"/>
      <c r="M13733"/>
      <c r="W13733"/>
    </row>
    <row r="13734" spans="10:23" x14ac:dyDescent="0.25">
      <c r="J13734"/>
      <c r="M13734"/>
      <c r="W13734"/>
    </row>
    <row r="13735" spans="10:23" x14ac:dyDescent="0.25">
      <c r="J13735"/>
      <c r="M13735"/>
      <c r="W13735"/>
    </row>
    <row r="13736" spans="10:23" x14ac:dyDescent="0.25">
      <c r="J13736"/>
      <c r="M13736"/>
      <c r="W13736"/>
    </row>
    <row r="13737" spans="10:23" x14ac:dyDescent="0.25">
      <c r="J13737"/>
      <c r="M13737"/>
      <c r="W13737"/>
    </row>
    <row r="13738" spans="10:23" x14ac:dyDescent="0.25">
      <c r="J13738"/>
      <c r="M13738"/>
      <c r="W13738"/>
    </row>
    <row r="13739" spans="10:23" x14ac:dyDescent="0.25">
      <c r="J13739"/>
      <c r="M13739"/>
      <c r="W13739"/>
    </row>
    <row r="13740" spans="10:23" x14ac:dyDescent="0.25">
      <c r="J13740"/>
      <c r="M13740"/>
      <c r="W13740"/>
    </row>
    <row r="13741" spans="10:23" x14ac:dyDescent="0.25">
      <c r="J13741"/>
      <c r="M13741"/>
      <c r="W13741"/>
    </row>
    <row r="13742" spans="10:23" x14ac:dyDescent="0.25">
      <c r="J13742"/>
      <c r="M13742"/>
      <c r="W13742"/>
    </row>
    <row r="13743" spans="10:23" x14ac:dyDescent="0.25">
      <c r="J13743"/>
      <c r="M13743"/>
      <c r="W13743"/>
    </row>
    <row r="13744" spans="10:23" x14ac:dyDescent="0.25">
      <c r="J13744"/>
      <c r="M13744"/>
      <c r="W13744"/>
    </row>
    <row r="13745" spans="10:23" x14ac:dyDescent="0.25">
      <c r="J13745"/>
      <c r="M13745"/>
      <c r="W13745"/>
    </row>
    <row r="13746" spans="10:23" x14ac:dyDescent="0.25">
      <c r="J13746"/>
      <c r="M13746"/>
      <c r="W13746"/>
    </row>
    <row r="13747" spans="10:23" x14ac:dyDescent="0.25">
      <c r="J13747"/>
      <c r="M13747"/>
      <c r="W13747"/>
    </row>
    <row r="13748" spans="10:23" x14ac:dyDescent="0.25">
      <c r="J13748"/>
      <c r="M13748"/>
      <c r="W13748"/>
    </row>
    <row r="13749" spans="10:23" x14ac:dyDescent="0.25">
      <c r="J13749"/>
      <c r="M13749"/>
      <c r="W13749"/>
    </row>
    <row r="13750" spans="10:23" x14ac:dyDescent="0.25">
      <c r="J13750"/>
      <c r="M13750"/>
      <c r="W13750"/>
    </row>
    <row r="13751" spans="10:23" x14ac:dyDescent="0.25">
      <c r="J13751"/>
      <c r="M13751"/>
      <c r="W13751"/>
    </row>
    <row r="13752" spans="10:23" x14ac:dyDescent="0.25">
      <c r="J13752"/>
      <c r="M13752"/>
      <c r="W13752"/>
    </row>
    <row r="13753" spans="10:23" x14ac:dyDescent="0.25">
      <c r="J13753"/>
      <c r="M13753"/>
      <c r="W13753"/>
    </row>
    <row r="13754" spans="10:23" x14ac:dyDescent="0.25">
      <c r="J13754"/>
      <c r="M13754"/>
      <c r="W13754"/>
    </row>
    <row r="13755" spans="10:23" x14ac:dyDescent="0.25">
      <c r="J13755"/>
      <c r="M13755"/>
      <c r="W13755"/>
    </row>
    <row r="13756" spans="10:23" x14ac:dyDescent="0.25">
      <c r="J13756"/>
      <c r="M13756"/>
      <c r="W13756"/>
    </row>
    <row r="13757" spans="10:23" x14ac:dyDescent="0.25">
      <c r="J13757"/>
      <c r="M13757"/>
      <c r="W13757"/>
    </row>
    <row r="13758" spans="10:23" x14ac:dyDescent="0.25">
      <c r="J13758"/>
      <c r="M13758"/>
      <c r="W13758"/>
    </row>
    <row r="13759" spans="10:23" x14ac:dyDescent="0.25">
      <c r="J13759"/>
      <c r="M13759"/>
      <c r="W13759"/>
    </row>
    <row r="13760" spans="10:23" x14ac:dyDescent="0.25">
      <c r="J13760"/>
      <c r="M13760"/>
      <c r="W13760"/>
    </row>
    <row r="13761" spans="10:23" x14ac:dyDescent="0.25">
      <c r="J13761"/>
      <c r="M13761"/>
      <c r="W13761"/>
    </row>
    <row r="13762" spans="10:23" x14ac:dyDescent="0.25">
      <c r="J13762"/>
      <c r="M13762"/>
      <c r="W13762"/>
    </row>
    <row r="13763" spans="10:23" x14ac:dyDescent="0.25">
      <c r="J13763"/>
      <c r="M13763"/>
      <c r="W13763"/>
    </row>
    <row r="13764" spans="10:23" x14ac:dyDescent="0.25">
      <c r="J13764"/>
      <c r="M13764"/>
      <c r="W13764"/>
    </row>
    <row r="13765" spans="10:23" x14ac:dyDescent="0.25">
      <c r="J13765"/>
      <c r="M13765"/>
      <c r="W13765"/>
    </row>
    <row r="13766" spans="10:23" x14ac:dyDescent="0.25">
      <c r="J13766"/>
      <c r="M13766"/>
      <c r="W13766"/>
    </row>
    <row r="13767" spans="10:23" x14ac:dyDescent="0.25">
      <c r="J13767"/>
      <c r="M13767"/>
      <c r="W13767"/>
    </row>
    <row r="13768" spans="10:23" x14ac:dyDescent="0.25">
      <c r="J13768"/>
      <c r="M13768"/>
      <c r="W13768"/>
    </row>
    <row r="13769" spans="10:23" x14ac:dyDescent="0.25">
      <c r="J13769"/>
      <c r="M13769"/>
      <c r="W13769"/>
    </row>
    <row r="13770" spans="10:23" x14ac:dyDescent="0.25">
      <c r="J13770"/>
      <c r="M13770"/>
      <c r="W13770"/>
    </row>
    <row r="13771" spans="10:23" x14ac:dyDescent="0.25">
      <c r="J13771"/>
      <c r="M13771"/>
      <c r="W13771"/>
    </row>
    <row r="13772" spans="10:23" x14ac:dyDescent="0.25">
      <c r="J13772"/>
      <c r="M13772"/>
      <c r="W13772"/>
    </row>
    <row r="13773" spans="10:23" x14ac:dyDescent="0.25">
      <c r="J13773"/>
      <c r="M13773"/>
      <c r="W13773"/>
    </row>
    <row r="13774" spans="10:23" x14ac:dyDescent="0.25">
      <c r="J13774"/>
      <c r="M13774"/>
      <c r="W13774"/>
    </row>
    <row r="13775" spans="10:23" x14ac:dyDescent="0.25">
      <c r="J13775"/>
      <c r="M13775"/>
      <c r="W13775"/>
    </row>
    <row r="13776" spans="10:23" x14ac:dyDescent="0.25">
      <c r="J13776"/>
      <c r="M13776"/>
      <c r="W13776"/>
    </row>
    <row r="13777" spans="10:23" x14ac:dyDescent="0.25">
      <c r="J13777"/>
      <c r="M13777"/>
      <c r="W13777"/>
    </row>
    <row r="13778" spans="10:23" x14ac:dyDescent="0.25">
      <c r="J13778"/>
      <c r="M13778"/>
      <c r="W13778"/>
    </row>
    <row r="13779" spans="10:23" x14ac:dyDescent="0.25">
      <c r="J13779"/>
      <c r="M13779"/>
      <c r="W13779"/>
    </row>
    <row r="13780" spans="10:23" x14ac:dyDescent="0.25">
      <c r="J13780"/>
      <c r="M13780"/>
      <c r="W13780"/>
    </row>
    <row r="13781" spans="10:23" x14ac:dyDescent="0.25">
      <c r="J13781"/>
      <c r="M13781"/>
      <c r="W13781"/>
    </row>
    <row r="13782" spans="10:23" x14ac:dyDescent="0.25">
      <c r="J13782"/>
      <c r="M13782"/>
      <c r="W13782"/>
    </row>
    <row r="13783" spans="10:23" x14ac:dyDescent="0.25">
      <c r="J13783"/>
      <c r="M13783"/>
      <c r="W13783"/>
    </row>
    <row r="13784" spans="10:23" x14ac:dyDescent="0.25">
      <c r="J13784"/>
      <c r="M13784"/>
      <c r="W13784"/>
    </row>
    <row r="13785" spans="10:23" x14ac:dyDescent="0.25">
      <c r="J13785"/>
      <c r="M13785"/>
      <c r="W13785"/>
    </row>
    <row r="13786" spans="10:23" x14ac:dyDescent="0.25">
      <c r="J13786"/>
      <c r="M13786"/>
      <c r="W13786"/>
    </row>
    <row r="13787" spans="10:23" x14ac:dyDescent="0.25">
      <c r="J13787"/>
      <c r="M13787"/>
      <c r="W13787"/>
    </row>
    <row r="13788" spans="10:23" x14ac:dyDescent="0.25">
      <c r="J13788"/>
      <c r="M13788"/>
      <c r="W13788"/>
    </row>
    <row r="13789" spans="10:23" x14ac:dyDescent="0.25">
      <c r="J13789"/>
      <c r="M13789"/>
      <c r="W13789"/>
    </row>
    <row r="13790" spans="10:23" x14ac:dyDescent="0.25">
      <c r="J13790"/>
      <c r="M13790"/>
      <c r="W13790"/>
    </row>
    <row r="13791" spans="10:23" x14ac:dyDescent="0.25">
      <c r="J13791"/>
      <c r="M13791"/>
      <c r="W13791"/>
    </row>
    <row r="13792" spans="10:23" x14ac:dyDescent="0.25">
      <c r="J13792"/>
      <c r="M13792"/>
      <c r="W13792"/>
    </row>
    <row r="13793" spans="10:23" x14ac:dyDescent="0.25">
      <c r="J13793"/>
      <c r="M13793"/>
      <c r="W13793"/>
    </row>
    <row r="13794" spans="10:23" x14ac:dyDescent="0.25">
      <c r="J13794"/>
      <c r="M13794"/>
      <c r="W13794"/>
    </row>
    <row r="13795" spans="10:23" x14ac:dyDescent="0.25">
      <c r="J13795"/>
      <c r="M13795"/>
      <c r="W13795"/>
    </row>
    <row r="13796" spans="10:23" x14ac:dyDescent="0.25">
      <c r="J13796"/>
      <c r="M13796"/>
      <c r="W13796"/>
    </row>
    <row r="13797" spans="10:23" x14ac:dyDescent="0.25">
      <c r="J13797"/>
      <c r="M13797"/>
      <c r="W13797"/>
    </row>
    <row r="13798" spans="10:23" x14ac:dyDescent="0.25">
      <c r="J13798"/>
      <c r="M13798"/>
      <c r="W13798"/>
    </row>
    <row r="13799" spans="10:23" x14ac:dyDescent="0.25">
      <c r="J13799"/>
      <c r="M13799"/>
      <c r="W13799"/>
    </row>
    <row r="13800" spans="10:23" x14ac:dyDescent="0.25">
      <c r="J13800"/>
      <c r="M13800"/>
      <c r="W13800"/>
    </row>
    <row r="13801" spans="10:23" x14ac:dyDescent="0.25">
      <c r="J13801"/>
      <c r="M13801"/>
      <c r="W13801"/>
    </row>
    <row r="13802" spans="10:23" x14ac:dyDescent="0.25">
      <c r="J13802"/>
      <c r="M13802"/>
      <c r="W13802"/>
    </row>
    <row r="13803" spans="10:23" x14ac:dyDescent="0.25">
      <c r="J13803"/>
      <c r="M13803"/>
      <c r="W13803"/>
    </row>
    <row r="13804" spans="10:23" x14ac:dyDescent="0.25">
      <c r="J13804"/>
      <c r="M13804"/>
      <c r="W13804"/>
    </row>
    <row r="13805" spans="10:23" x14ac:dyDescent="0.25">
      <c r="J13805"/>
      <c r="M13805"/>
      <c r="W13805"/>
    </row>
    <row r="13806" spans="10:23" x14ac:dyDescent="0.25">
      <c r="J13806"/>
      <c r="M13806"/>
      <c r="W13806"/>
    </row>
    <row r="13807" spans="10:23" x14ac:dyDescent="0.25">
      <c r="J13807"/>
      <c r="M13807"/>
      <c r="W13807"/>
    </row>
    <row r="13808" spans="10:23" x14ac:dyDescent="0.25">
      <c r="J13808"/>
      <c r="M13808"/>
      <c r="W13808"/>
    </row>
    <row r="13809" spans="10:23" x14ac:dyDescent="0.25">
      <c r="J13809"/>
      <c r="M13809"/>
      <c r="W13809"/>
    </row>
    <row r="13810" spans="10:23" x14ac:dyDescent="0.25">
      <c r="J13810"/>
      <c r="M13810"/>
      <c r="W13810"/>
    </row>
    <row r="13811" spans="10:23" x14ac:dyDescent="0.25">
      <c r="J13811"/>
      <c r="M13811"/>
      <c r="W13811"/>
    </row>
    <row r="13812" spans="10:23" x14ac:dyDescent="0.25">
      <c r="J13812"/>
      <c r="M13812"/>
      <c r="W13812"/>
    </row>
    <row r="13813" spans="10:23" x14ac:dyDescent="0.25">
      <c r="J13813"/>
      <c r="M13813"/>
      <c r="W13813"/>
    </row>
    <row r="13814" spans="10:23" x14ac:dyDescent="0.25">
      <c r="J13814"/>
      <c r="M13814"/>
      <c r="W13814"/>
    </row>
    <row r="13815" spans="10:23" x14ac:dyDescent="0.25">
      <c r="J13815"/>
      <c r="M13815"/>
      <c r="W13815"/>
    </row>
    <row r="13816" spans="10:23" x14ac:dyDescent="0.25">
      <c r="J13816"/>
      <c r="M13816"/>
      <c r="W13816"/>
    </row>
    <row r="13817" spans="10:23" x14ac:dyDescent="0.25">
      <c r="J13817"/>
      <c r="M13817"/>
      <c r="W13817"/>
    </row>
    <row r="13818" spans="10:23" x14ac:dyDescent="0.25">
      <c r="J13818"/>
      <c r="M13818"/>
      <c r="W13818"/>
    </row>
    <row r="13819" spans="10:23" x14ac:dyDescent="0.25">
      <c r="J13819"/>
      <c r="M13819"/>
      <c r="W13819"/>
    </row>
    <row r="13820" spans="10:23" x14ac:dyDescent="0.25">
      <c r="J13820"/>
      <c r="M13820"/>
      <c r="W13820"/>
    </row>
    <row r="13821" spans="10:23" x14ac:dyDescent="0.25">
      <c r="J13821"/>
      <c r="M13821"/>
      <c r="W13821"/>
    </row>
    <row r="13822" spans="10:23" x14ac:dyDescent="0.25">
      <c r="J13822"/>
      <c r="M13822"/>
      <c r="W13822"/>
    </row>
    <row r="13823" spans="10:23" x14ac:dyDescent="0.25">
      <c r="J13823"/>
      <c r="M13823"/>
      <c r="W13823"/>
    </row>
    <row r="13824" spans="10:23" x14ac:dyDescent="0.25">
      <c r="J13824"/>
      <c r="M13824"/>
      <c r="W13824"/>
    </row>
    <row r="13825" spans="10:23" x14ac:dyDescent="0.25">
      <c r="J13825"/>
      <c r="M13825"/>
      <c r="W13825"/>
    </row>
    <row r="13826" spans="10:23" x14ac:dyDescent="0.25">
      <c r="J13826"/>
      <c r="M13826"/>
      <c r="W13826"/>
    </row>
    <row r="13827" spans="10:23" x14ac:dyDescent="0.25">
      <c r="J13827"/>
      <c r="M13827"/>
      <c r="W13827"/>
    </row>
    <row r="13828" spans="10:23" x14ac:dyDescent="0.25">
      <c r="J13828"/>
      <c r="M13828"/>
      <c r="W13828"/>
    </row>
    <row r="13829" spans="10:23" x14ac:dyDescent="0.25">
      <c r="J13829"/>
      <c r="M13829"/>
      <c r="W13829"/>
    </row>
    <row r="13830" spans="10:23" x14ac:dyDescent="0.25">
      <c r="J13830"/>
      <c r="M13830"/>
      <c r="W13830"/>
    </row>
    <row r="13831" spans="10:23" x14ac:dyDescent="0.25">
      <c r="J13831"/>
      <c r="M13831"/>
      <c r="W13831"/>
    </row>
    <row r="13832" spans="10:23" x14ac:dyDescent="0.25">
      <c r="J13832"/>
      <c r="M13832"/>
      <c r="W13832"/>
    </row>
    <row r="13833" spans="10:23" x14ac:dyDescent="0.25">
      <c r="J13833"/>
      <c r="M13833"/>
      <c r="W13833"/>
    </row>
    <row r="13834" spans="10:23" x14ac:dyDescent="0.25">
      <c r="J13834"/>
      <c r="M13834"/>
      <c r="W13834"/>
    </row>
    <row r="13835" spans="10:23" x14ac:dyDescent="0.25">
      <c r="J13835"/>
      <c r="M13835"/>
      <c r="W13835"/>
    </row>
    <row r="13836" spans="10:23" x14ac:dyDescent="0.25">
      <c r="J13836"/>
      <c r="M13836"/>
      <c r="W13836"/>
    </row>
    <row r="13837" spans="10:23" x14ac:dyDescent="0.25">
      <c r="J13837"/>
      <c r="M13837"/>
      <c r="W13837"/>
    </row>
    <row r="13838" spans="10:23" x14ac:dyDescent="0.25">
      <c r="J13838"/>
      <c r="M13838"/>
      <c r="W13838"/>
    </row>
    <row r="13839" spans="10:23" x14ac:dyDescent="0.25">
      <c r="J13839"/>
      <c r="M13839"/>
      <c r="W13839"/>
    </row>
    <row r="13840" spans="10:23" x14ac:dyDescent="0.25">
      <c r="J13840"/>
      <c r="M13840"/>
      <c r="W13840"/>
    </row>
    <row r="13841" spans="10:23" x14ac:dyDescent="0.25">
      <c r="J13841"/>
      <c r="M13841"/>
      <c r="W13841"/>
    </row>
    <row r="13842" spans="10:23" x14ac:dyDescent="0.25">
      <c r="J13842"/>
      <c r="M13842"/>
      <c r="W13842"/>
    </row>
    <row r="13843" spans="10:23" x14ac:dyDescent="0.25">
      <c r="J13843"/>
      <c r="M13843"/>
      <c r="W13843"/>
    </row>
    <row r="13844" spans="10:23" x14ac:dyDescent="0.25">
      <c r="J13844"/>
      <c r="M13844"/>
      <c r="W13844"/>
    </row>
    <row r="13845" spans="10:23" x14ac:dyDescent="0.25">
      <c r="J13845"/>
      <c r="M13845"/>
      <c r="W13845"/>
    </row>
    <row r="13846" spans="10:23" x14ac:dyDescent="0.25">
      <c r="J13846"/>
      <c r="M13846"/>
      <c r="W13846"/>
    </row>
    <row r="13847" spans="10:23" x14ac:dyDescent="0.25">
      <c r="J13847"/>
      <c r="M13847"/>
      <c r="W13847"/>
    </row>
    <row r="13848" spans="10:23" x14ac:dyDescent="0.25">
      <c r="J13848"/>
      <c r="M13848"/>
      <c r="W13848"/>
    </row>
    <row r="13849" spans="10:23" x14ac:dyDescent="0.25">
      <c r="J13849"/>
      <c r="M13849"/>
      <c r="W13849"/>
    </row>
    <row r="13850" spans="10:23" x14ac:dyDescent="0.25">
      <c r="J13850"/>
      <c r="M13850"/>
      <c r="W13850"/>
    </row>
    <row r="13851" spans="10:23" x14ac:dyDescent="0.25">
      <c r="J13851"/>
      <c r="M13851"/>
      <c r="W13851"/>
    </row>
    <row r="13852" spans="10:23" x14ac:dyDescent="0.25">
      <c r="J13852"/>
      <c r="M13852"/>
      <c r="W13852"/>
    </row>
    <row r="13853" spans="10:23" x14ac:dyDescent="0.25">
      <c r="J13853"/>
      <c r="M13853"/>
      <c r="W13853"/>
    </row>
    <row r="13854" spans="10:23" x14ac:dyDescent="0.25">
      <c r="J13854"/>
      <c r="M13854"/>
      <c r="W13854"/>
    </row>
    <row r="13855" spans="10:23" x14ac:dyDescent="0.25">
      <c r="J13855"/>
      <c r="M13855"/>
      <c r="W13855"/>
    </row>
    <row r="13856" spans="10:23" x14ac:dyDescent="0.25">
      <c r="J13856"/>
      <c r="M13856"/>
      <c r="W13856"/>
    </row>
    <row r="13857" spans="10:23" x14ac:dyDescent="0.25">
      <c r="J13857"/>
      <c r="M13857"/>
      <c r="W13857"/>
    </row>
    <row r="13858" spans="10:23" x14ac:dyDescent="0.25">
      <c r="J13858"/>
      <c r="M13858"/>
      <c r="W13858"/>
    </row>
    <row r="13859" spans="10:23" x14ac:dyDescent="0.25">
      <c r="J13859"/>
      <c r="M13859"/>
      <c r="W13859"/>
    </row>
    <row r="13860" spans="10:23" x14ac:dyDescent="0.25">
      <c r="J13860"/>
      <c r="M13860"/>
      <c r="W13860"/>
    </row>
    <row r="13861" spans="10:23" x14ac:dyDescent="0.25">
      <c r="J13861"/>
      <c r="M13861"/>
      <c r="W13861"/>
    </row>
    <row r="13862" spans="10:23" x14ac:dyDescent="0.25">
      <c r="J13862"/>
      <c r="M13862"/>
      <c r="W13862"/>
    </row>
    <row r="13863" spans="10:23" x14ac:dyDescent="0.25">
      <c r="J13863"/>
      <c r="M13863"/>
      <c r="W13863"/>
    </row>
    <row r="13864" spans="10:23" x14ac:dyDescent="0.25">
      <c r="J13864"/>
      <c r="M13864"/>
      <c r="W13864"/>
    </row>
    <row r="13865" spans="10:23" x14ac:dyDescent="0.25">
      <c r="J13865"/>
      <c r="M13865"/>
      <c r="W13865"/>
    </row>
    <row r="13866" spans="10:23" x14ac:dyDescent="0.25">
      <c r="J13866"/>
      <c r="M13866"/>
      <c r="W13866"/>
    </row>
    <row r="13867" spans="10:23" x14ac:dyDescent="0.25">
      <c r="J13867"/>
      <c r="M13867"/>
      <c r="W13867"/>
    </row>
    <row r="13868" spans="10:23" x14ac:dyDescent="0.25">
      <c r="J13868"/>
      <c r="M13868"/>
      <c r="W13868"/>
    </row>
    <row r="13869" spans="10:23" x14ac:dyDescent="0.25">
      <c r="J13869"/>
      <c r="M13869"/>
      <c r="W13869"/>
    </row>
    <row r="13870" spans="10:23" x14ac:dyDescent="0.25">
      <c r="J13870"/>
      <c r="M13870"/>
      <c r="W13870"/>
    </row>
    <row r="13871" spans="10:23" x14ac:dyDescent="0.25">
      <c r="J13871"/>
      <c r="M13871"/>
      <c r="W13871"/>
    </row>
    <row r="13872" spans="10:23" x14ac:dyDescent="0.25">
      <c r="J13872"/>
      <c r="M13872"/>
      <c r="W13872"/>
    </row>
    <row r="13873" spans="10:23" x14ac:dyDescent="0.25">
      <c r="J13873"/>
      <c r="M13873"/>
      <c r="W13873"/>
    </row>
    <row r="13874" spans="10:23" x14ac:dyDescent="0.25">
      <c r="J13874"/>
      <c r="M13874"/>
      <c r="W13874"/>
    </row>
    <row r="13875" spans="10:23" x14ac:dyDescent="0.25">
      <c r="J13875"/>
      <c r="M13875"/>
      <c r="W13875"/>
    </row>
    <row r="13876" spans="10:23" x14ac:dyDescent="0.25">
      <c r="J13876"/>
      <c r="M13876"/>
      <c r="W13876"/>
    </row>
    <row r="13877" spans="10:23" x14ac:dyDescent="0.25">
      <c r="J13877"/>
      <c r="M13877"/>
      <c r="W13877"/>
    </row>
    <row r="13878" spans="10:23" x14ac:dyDescent="0.25">
      <c r="J13878"/>
      <c r="M13878"/>
      <c r="W13878"/>
    </row>
    <row r="13879" spans="10:23" x14ac:dyDescent="0.25">
      <c r="J13879"/>
      <c r="M13879"/>
      <c r="W13879"/>
    </row>
    <row r="13880" spans="10:23" x14ac:dyDescent="0.25">
      <c r="J13880"/>
      <c r="M13880"/>
      <c r="W13880"/>
    </row>
    <row r="13881" spans="10:23" x14ac:dyDescent="0.25">
      <c r="J13881"/>
      <c r="M13881"/>
      <c r="W13881"/>
    </row>
    <row r="13882" spans="10:23" x14ac:dyDescent="0.25">
      <c r="J13882"/>
      <c r="M13882"/>
      <c r="W13882"/>
    </row>
    <row r="13883" spans="10:23" x14ac:dyDescent="0.25">
      <c r="J13883"/>
      <c r="M13883"/>
      <c r="W13883"/>
    </row>
    <row r="13884" spans="10:23" x14ac:dyDescent="0.25">
      <c r="J13884"/>
      <c r="M13884"/>
      <c r="W13884"/>
    </row>
    <row r="13885" spans="10:23" x14ac:dyDescent="0.25">
      <c r="J13885"/>
      <c r="M13885"/>
      <c r="W13885"/>
    </row>
    <row r="13886" spans="10:23" x14ac:dyDescent="0.25">
      <c r="J13886"/>
      <c r="M13886"/>
      <c r="W13886"/>
    </row>
    <row r="13887" spans="10:23" x14ac:dyDescent="0.25">
      <c r="J13887"/>
      <c r="M13887"/>
      <c r="W13887"/>
    </row>
    <row r="13888" spans="10:23" x14ac:dyDescent="0.25">
      <c r="J13888"/>
      <c r="M13888"/>
      <c r="W13888"/>
    </row>
    <row r="13889" spans="10:23" x14ac:dyDescent="0.25">
      <c r="J13889"/>
      <c r="M13889"/>
      <c r="W13889"/>
    </row>
    <row r="13890" spans="10:23" x14ac:dyDescent="0.25">
      <c r="J13890"/>
      <c r="M13890"/>
      <c r="W13890"/>
    </row>
    <row r="13891" spans="10:23" x14ac:dyDescent="0.25">
      <c r="J13891"/>
      <c r="M13891"/>
      <c r="W13891"/>
    </row>
    <row r="13892" spans="10:23" x14ac:dyDescent="0.25">
      <c r="J13892"/>
      <c r="M13892"/>
      <c r="W13892"/>
    </row>
    <row r="13893" spans="10:23" x14ac:dyDescent="0.25">
      <c r="J13893"/>
      <c r="M13893"/>
      <c r="W13893"/>
    </row>
    <row r="13894" spans="10:23" x14ac:dyDescent="0.25">
      <c r="J13894"/>
      <c r="M13894"/>
      <c r="W13894"/>
    </row>
    <row r="13895" spans="10:23" x14ac:dyDescent="0.25">
      <c r="J13895"/>
      <c r="M13895"/>
      <c r="W13895"/>
    </row>
    <row r="13896" spans="10:23" x14ac:dyDescent="0.25">
      <c r="J13896"/>
      <c r="M13896"/>
      <c r="W13896"/>
    </row>
    <row r="13897" spans="10:23" x14ac:dyDescent="0.25">
      <c r="J13897"/>
      <c r="M13897"/>
      <c r="W13897"/>
    </row>
    <row r="13898" spans="10:23" x14ac:dyDescent="0.25">
      <c r="J13898"/>
      <c r="M13898"/>
      <c r="W13898"/>
    </row>
    <row r="13899" spans="10:23" x14ac:dyDescent="0.25">
      <c r="J13899"/>
      <c r="M13899"/>
      <c r="W13899"/>
    </row>
    <row r="13900" spans="10:23" x14ac:dyDescent="0.25">
      <c r="J13900"/>
      <c r="M13900"/>
      <c r="W13900"/>
    </row>
    <row r="13901" spans="10:23" x14ac:dyDescent="0.25">
      <c r="J13901"/>
      <c r="M13901"/>
      <c r="W13901"/>
    </row>
    <row r="13902" spans="10:23" x14ac:dyDescent="0.25">
      <c r="J13902"/>
      <c r="M13902"/>
      <c r="W13902"/>
    </row>
    <row r="13903" spans="10:23" x14ac:dyDescent="0.25">
      <c r="J13903"/>
      <c r="M13903"/>
      <c r="W13903"/>
    </row>
    <row r="13904" spans="10:23" x14ac:dyDescent="0.25">
      <c r="J13904"/>
      <c r="M13904"/>
      <c r="W13904"/>
    </row>
    <row r="13905" spans="10:23" x14ac:dyDescent="0.25">
      <c r="J13905"/>
      <c r="M13905"/>
      <c r="W13905"/>
    </row>
    <row r="13906" spans="10:23" x14ac:dyDescent="0.25">
      <c r="J13906"/>
      <c r="M13906"/>
      <c r="W13906"/>
    </row>
    <row r="13907" spans="10:23" x14ac:dyDescent="0.25">
      <c r="J13907"/>
      <c r="M13907"/>
      <c r="W13907"/>
    </row>
    <row r="13908" spans="10:23" x14ac:dyDescent="0.25">
      <c r="J13908"/>
      <c r="M13908"/>
      <c r="W13908"/>
    </row>
    <row r="13909" spans="10:23" x14ac:dyDescent="0.25">
      <c r="J13909"/>
      <c r="M13909"/>
      <c r="W13909"/>
    </row>
    <row r="13910" spans="10:23" x14ac:dyDescent="0.25">
      <c r="J13910"/>
      <c r="M13910"/>
      <c r="W13910"/>
    </row>
    <row r="13911" spans="10:23" x14ac:dyDescent="0.25">
      <c r="J13911"/>
      <c r="M13911"/>
      <c r="W13911"/>
    </row>
    <row r="13912" spans="10:23" x14ac:dyDescent="0.25">
      <c r="J13912"/>
      <c r="M13912"/>
      <c r="W13912"/>
    </row>
    <row r="13913" spans="10:23" x14ac:dyDescent="0.25">
      <c r="J13913"/>
      <c r="M13913"/>
      <c r="W13913"/>
    </row>
    <row r="13914" spans="10:23" x14ac:dyDescent="0.25">
      <c r="J13914"/>
      <c r="M13914"/>
      <c r="W13914"/>
    </row>
    <row r="13915" spans="10:23" x14ac:dyDescent="0.25">
      <c r="J13915"/>
      <c r="M13915"/>
      <c r="W13915"/>
    </row>
    <row r="13916" spans="10:23" x14ac:dyDescent="0.25">
      <c r="J13916"/>
      <c r="M13916"/>
      <c r="W13916"/>
    </row>
    <row r="13917" spans="10:23" x14ac:dyDescent="0.25">
      <c r="J13917"/>
      <c r="M13917"/>
      <c r="W13917"/>
    </row>
    <row r="13918" spans="10:23" x14ac:dyDescent="0.25">
      <c r="J13918"/>
      <c r="M13918"/>
      <c r="W13918"/>
    </row>
    <row r="13919" spans="10:23" x14ac:dyDescent="0.25">
      <c r="J13919"/>
      <c r="M13919"/>
      <c r="W13919"/>
    </row>
    <row r="13920" spans="10:23" x14ac:dyDescent="0.25">
      <c r="J13920"/>
      <c r="M13920"/>
      <c r="W13920"/>
    </row>
    <row r="13921" spans="10:23" x14ac:dyDescent="0.25">
      <c r="J13921"/>
      <c r="M13921"/>
      <c r="W13921"/>
    </row>
    <row r="13922" spans="10:23" x14ac:dyDescent="0.25">
      <c r="J13922"/>
      <c r="M13922"/>
      <c r="W13922"/>
    </row>
    <row r="13923" spans="10:23" x14ac:dyDescent="0.25">
      <c r="J13923"/>
      <c r="M13923"/>
      <c r="W13923"/>
    </row>
    <row r="13924" spans="10:23" x14ac:dyDescent="0.25">
      <c r="J13924"/>
      <c r="M13924"/>
      <c r="W13924"/>
    </row>
    <row r="13925" spans="10:23" x14ac:dyDescent="0.25">
      <c r="J13925"/>
      <c r="M13925"/>
      <c r="W13925"/>
    </row>
    <row r="13926" spans="10:23" x14ac:dyDescent="0.25">
      <c r="J13926"/>
      <c r="M13926"/>
      <c r="W13926"/>
    </row>
    <row r="13927" spans="10:23" x14ac:dyDescent="0.25">
      <c r="J13927"/>
      <c r="M13927"/>
      <c r="W13927"/>
    </row>
    <row r="13928" spans="10:23" x14ac:dyDescent="0.25">
      <c r="J13928"/>
      <c r="M13928"/>
      <c r="W13928"/>
    </row>
    <row r="13929" spans="10:23" x14ac:dyDescent="0.25">
      <c r="J13929"/>
      <c r="M13929"/>
      <c r="W13929"/>
    </row>
    <row r="13930" spans="10:23" x14ac:dyDescent="0.25">
      <c r="J13930"/>
      <c r="M13930"/>
      <c r="W13930"/>
    </row>
    <row r="13931" spans="10:23" x14ac:dyDescent="0.25">
      <c r="J13931"/>
      <c r="M13931"/>
      <c r="W13931"/>
    </row>
    <row r="13932" spans="10:23" x14ac:dyDescent="0.25">
      <c r="J13932"/>
      <c r="M13932"/>
      <c r="W13932"/>
    </row>
    <row r="13933" spans="10:23" x14ac:dyDescent="0.25">
      <c r="J13933"/>
      <c r="M13933"/>
      <c r="W13933"/>
    </row>
    <row r="13934" spans="10:23" x14ac:dyDescent="0.25">
      <c r="J13934"/>
      <c r="M13934"/>
      <c r="W13934"/>
    </row>
    <row r="13935" spans="10:23" x14ac:dyDescent="0.25">
      <c r="J13935"/>
      <c r="M13935"/>
      <c r="W13935"/>
    </row>
    <row r="13936" spans="10:23" x14ac:dyDescent="0.25">
      <c r="J13936"/>
      <c r="M13936"/>
      <c r="W13936"/>
    </row>
    <row r="13937" spans="10:23" x14ac:dyDescent="0.25">
      <c r="J13937"/>
      <c r="M13937"/>
      <c r="W13937"/>
    </row>
    <row r="13938" spans="10:23" x14ac:dyDescent="0.25">
      <c r="J13938"/>
      <c r="M13938"/>
      <c r="W13938"/>
    </row>
    <row r="13939" spans="10:23" x14ac:dyDescent="0.25">
      <c r="J13939"/>
      <c r="M13939"/>
      <c r="W13939"/>
    </row>
    <row r="13940" spans="10:23" x14ac:dyDescent="0.25">
      <c r="J13940"/>
      <c r="M13940"/>
      <c r="W13940"/>
    </row>
    <row r="13941" spans="10:23" x14ac:dyDescent="0.25">
      <c r="J13941"/>
      <c r="M13941"/>
      <c r="W13941"/>
    </row>
    <row r="13942" spans="10:23" x14ac:dyDescent="0.25">
      <c r="J13942"/>
      <c r="M13942"/>
      <c r="W13942"/>
    </row>
    <row r="13943" spans="10:23" x14ac:dyDescent="0.25">
      <c r="J13943"/>
      <c r="M13943"/>
      <c r="W13943"/>
    </row>
    <row r="13944" spans="10:23" x14ac:dyDescent="0.25">
      <c r="J13944"/>
      <c r="M13944"/>
      <c r="W13944"/>
    </row>
    <row r="13945" spans="10:23" x14ac:dyDescent="0.25">
      <c r="J13945"/>
      <c r="M13945"/>
      <c r="W13945"/>
    </row>
    <row r="13946" spans="10:23" x14ac:dyDescent="0.25">
      <c r="J13946"/>
      <c r="M13946"/>
      <c r="W13946"/>
    </row>
    <row r="13947" spans="10:23" x14ac:dyDescent="0.25">
      <c r="J13947"/>
      <c r="M13947"/>
      <c r="W13947"/>
    </row>
    <row r="13948" spans="10:23" x14ac:dyDescent="0.25">
      <c r="J13948"/>
      <c r="M13948"/>
      <c r="W13948"/>
    </row>
    <row r="13949" spans="10:23" x14ac:dyDescent="0.25">
      <c r="J13949"/>
      <c r="M13949"/>
      <c r="W13949"/>
    </row>
    <row r="13950" spans="10:23" x14ac:dyDescent="0.25">
      <c r="J13950"/>
      <c r="M13950"/>
      <c r="W13950"/>
    </row>
    <row r="13951" spans="10:23" x14ac:dyDescent="0.25">
      <c r="J13951"/>
      <c r="M13951"/>
      <c r="W13951"/>
    </row>
    <row r="13952" spans="10:23" x14ac:dyDescent="0.25">
      <c r="J13952"/>
      <c r="M13952"/>
      <c r="W13952"/>
    </row>
    <row r="13953" spans="10:23" x14ac:dyDescent="0.25">
      <c r="J13953"/>
      <c r="M13953"/>
      <c r="W13953"/>
    </row>
    <row r="13954" spans="10:23" x14ac:dyDescent="0.25">
      <c r="J13954"/>
      <c r="M13954"/>
      <c r="W13954"/>
    </row>
    <row r="13955" spans="10:23" x14ac:dyDescent="0.25">
      <c r="J13955"/>
      <c r="M13955"/>
      <c r="W13955"/>
    </row>
    <row r="13956" spans="10:23" x14ac:dyDescent="0.25">
      <c r="J13956"/>
      <c r="M13956"/>
      <c r="W13956"/>
    </row>
    <row r="13957" spans="10:23" x14ac:dyDescent="0.25">
      <c r="J13957"/>
      <c r="M13957"/>
      <c r="W13957"/>
    </row>
    <row r="13958" spans="10:23" x14ac:dyDescent="0.25">
      <c r="J13958"/>
      <c r="M13958"/>
      <c r="W13958"/>
    </row>
    <row r="13959" spans="10:23" x14ac:dyDescent="0.25">
      <c r="J13959"/>
      <c r="M13959"/>
      <c r="W13959"/>
    </row>
    <row r="13960" spans="10:23" x14ac:dyDescent="0.25">
      <c r="J13960"/>
      <c r="M13960"/>
      <c r="W13960"/>
    </row>
    <row r="13961" spans="10:23" x14ac:dyDescent="0.25">
      <c r="J13961"/>
      <c r="M13961"/>
      <c r="W13961"/>
    </row>
    <row r="13962" spans="10:23" x14ac:dyDescent="0.25">
      <c r="J13962"/>
      <c r="M13962"/>
      <c r="W13962"/>
    </row>
    <row r="13963" spans="10:23" x14ac:dyDescent="0.25">
      <c r="J13963"/>
      <c r="M13963"/>
      <c r="W13963"/>
    </row>
    <row r="13964" spans="10:23" x14ac:dyDescent="0.25">
      <c r="J13964"/>
      <c r="M13964"/>
      <c r="W13964"/>
    </row>
    <row r="13965" spans="10:23" x14ac:dyDescent="0.25">
      <c r="J13965"/>
      <c r="M13965"/>
      <c r="W13965"/>
    </row>
    <row r="13966" spans="10:23" x14ac:dyDescent="0.25">
      <c r="J13966"/>
      <c r="M13966"/>
      <c r="W13966"/>
    </row>
    <row r="13967" spans="10:23" x14ac:dyDescent="0.25">
      <c r="J13967"/>
      <c r="M13967"/>
      <c r="W13967"/>
    </row>
    <row r="13968" spans="10:23" x14ac:dyDescent="0.25">
      <c r="J13968"/>
      <c r="M13968"/>
      <c r="W13968"/>
    </row>
    <row r="13969" spans="10:23" x14ac:dyDescent="0.25">
      <c r="J13969"/>
      <c r="M13969"/>
      <c r="W13969"/>
    </row>
    <row r="13970" spans="10:23" x14ac:dyDescent="0.25">
      <c r="J13970"/>
      <c r="M13970"/>
      <c r="W13970"/>
    </row>
    <row r="13971" spans="10:23" x14ac:dyDescent="0.25">
      <c r="J13971"/>
      <c r="M13971"/>
      <c r="W13971"/>
    </row>
    <row r="13972" spans="10:23" x14ac:dyDescent="0.25">
      <c r="J13972"/>
      <c r="M13972"/>
      <c r="W13972"/>
    </row>
    <row r="13973" spans="10:23" x14ac:dyDescent="0.25">
      <c r="J13973"/>
      <c r="M13973"/>
      <c r="W13973"/>
    </row>
    <row r="13974" spans="10:23" x14ac:dyDescent="0.25">
      <c r="J13974"/>
      <c r="M13974"/>
      <c r="W13974"/>
    </row>
    <row r="13975" spans="10:23" x14ac:dyDescent="0.25">
      <c r="J13975"/>
      <c r="M13975"/>
      <c r="W13975"/>
    </row>
    <row r="13976" spans="10:23" x14ac:dyDescent="0.25">
      <c r="J13976"/>
      <c r="M13976"/>
      <c r="W13976"/>
    </row>
    <row r="13977" spans="10:23" x14ac:dyDescent="0.25">
      <c r="J13977"/>
      <c r="M13977"/>
      <c r="W13977"/>
    </row>
    <row r="13978" spans="10:23" x14ac:dyDescent="0.25">
      <c r="J13978"/>
      <c r="M13978"/>
      <c r="W13978"/>
    </row>
    <row r="13979" spans="10:23" x14ac:dyDescent="0.25">
      <c r="J13979"/>
      <c r="M13979"/>
      <c r="W13979"/>
    </row>
    <row r="13980" spans="10:23" x14ac:dyDescent="0.25">
      <c r="J13980"/>
      <c r="M13980"/>
      <c r="W13980"/>
    </row>
    <row r="13981" spans="10:23" x14ac:dyDescent="0.25">
      <c r="J13981"/>
      <c r="M13981"/>
      <c r="W13981"/>
    </row>
    <row r="13982" spans="10:23" x14ac:dyDescent="0.25">
      <c r="J13982"/>
      <c r="M13982"/>
      <c r="W13982"/>
    </row>
    <row r="13983" spans="10:23" x14ac:dyDescent="0.25">
      <c r="J13983"/>
      <c r="M13983"/>
      <c r="W13983"/>
    </row>
    <row r="13984" spans="10:23" x14ac:dyDescent="0.25">
      <c r="J13984"/>
      <c r="M13984"/>
      <c r="W13984"/>
    </row>
    <row r="13985" spans="10:23" x14ac:dyDescent="0.25">
      <c r="J13985"/>
      <c r="M13985"/>
      <c r="W13985"/>
    </row>
    <row r="13986" spans="10:23" x14ac:dyDescent="0.25">
      <c r="J13986"/>
      <c r="M13986"/>
      <c r="W13986"/>
    </row>
    <row r="13987" spans="10:23" x14ac:dyDescent="0.25">
      <c r="J13987"/>
      <c r="M13987"/>
      <c r="W13987"/>
    </row>
    <row r="13988" spans="10:23" x14ac:dyDescent="0.25">
      <c r="J13988"/>
      <c r="M13988"/>
      <c r="W13988"/>
    </row>
    <row r="13989" spans="10:23" x14ac:dyDescent="0.25">
      <c r="J13989"/>
      <c r="M13989"/>
      <c r="W13989"/>
    </row>
    <row r="13990" spans="10:23" x14ac:dyDescent="0.25">
      <c r="J13990"/>
      <c r="M13990"/>
      <c r="W13990"/>
    </row>
    <row r="13991" spans="10:23" x14ac:dyDescent="0.25">
      <c r="J13991"/>
      <c r="M13991"/>
      <c r="W13991"/>
    </row>
    <row r="13992" spans="10:23" x14ac:dyDescent="0.25">
      <c r="J13992"/>
      <c r="M13992"/>
      <c r="W13992"/>
    </row>
    <row r="13993" spans="10:23" x14ac:dyDescent="0.25">
      <c r="J13993"/>
      <c r="M13993"/>
      <c r="W13993"/>
    </row>
    <row r="13994" spans="10:23" x14ac:dyDescent="0.25">
      <c r="J13994"/>
      <c r="M13994"/>
      <c r="W13994"/>
    </row>
    <row r="13995" spans="10:23" x14ac:dyDescent="0.25">
      <c r="J13995"/>
      <c r="M13995"/>
      <c r="W13995"/>
    </row>
    <row r="13996" spans="10:23" x14ac:dyDescent="0.25">
      <c r="J13996"/>
      <c r="M13996"/>
      <c r="W13996"/>
    </row>
    <row r="13997" spans="10:23" x14ac:dyDescent="0.25">
      <c r="J13997"/>
      <c r="M13997"/>
      <c r="W13997"/>
    </row>
    <row r="13998" spans="10:23" x14ac:dyDescent="0.25">
      <c r="J13998"/>
      <c r="M13998"/>
      <c r="W13998"/>
    </row>
    <row r="13999" spans="10:23" x14ac:dyDescent="0.25">
      <c r="J13999"/>
      <c r="M13999"/>
      <c r="W13999"/>
    </row>
    <row r="14000" spans="10:23" x14ac:dyDescent="0.25">
      <c r="J14000"/>
      <c r="M14000"/>
      <c r="W14000"/>
    </row>
    <row r="14001" spans="10:23" x14ac:dyDescent="0.25">
      <c r="J14001"/>
      <c r="M14001"/>
      <c r="W14001"/>
    </row>
    <row r="14002" spans="10:23" x14ac:dyDescent="0.25">
      <c r="J14002"/>
      <c r="M14002"/>
      <c r="W14002"/>
    </row>
    <row r="14003" spans="10:23" x14ac:dyDescent="0.25">
      <c r="J14003"/>
      <c r="M14003"/>
      <c r="W14003"/>
    </row>
    <row r="14004" spans="10:23" x14ac:dyDescent="0.25">
      <c r="J14004"/>
      <c r="M14004"/>
      <c r="W14004"/>
    </row>
    <row r="14005" spans="10:23" x14ac:dyDescent="0.25">
      <c r="J14005"/>
      <c r="M14005"/>
      <c r="W14005"/>
    </row>
    <row r="14006" spans="10:23" x14ac:dyDescent="0.25">
      <c r="J14006"/>
      <c r="M14006"/>
      <c r="W14006"/>
    </row>
    <row r="14007" spans="10:23" x14ac:dyDescent="0.25">
      <c r="J14007"/>
      <c r="M14007"/>
      <c r="W14007"/>
    </row>
    <row r="14008" spans="10:23" x14ac:dyDescent="0.25">
      <c r="J14008"/>
      <c r="M14008"/>
      <c r="W14008"/>
    </row>
    <row r="14009" spans="10:23" x14ac:dyDescent="0.25">
      <c r="J14009"/>
      <c r="M14009"/>
      <c r="W14009"/>
    </row>
    <row r="14010" spans="10:23" x14ac:dyDescent="0.25">
      <c r="J14010"/>
      <c r="M14010"/>
      <c r="W14010"/>
    </row>
    <row r="14011" spans="10:23" x14ac:dyDescent="0.25">
      <c r="J14011"/>
      <c r="M14011"/>
      <c r="W14011"/>
    </row>
    <row r="14012" spans="10:23" x14ac:dyDescent="0.25">
      <c r="J14012"/>
      <c r="M14012"/>
      <c r="W14012"/>
    </row>
    <row r="14013" spans="10:23" x14ac:dyDescent="0.25">
      <c r="J14013"/>
      <c r="M14013"/>
      <c r="W14013"/>
    </row>
    <row r="14014" spans="10:23" x14ac:dyDescent="0.25">
      <c r="J14014"/>
      <c r="M14014"/>
      <c r="W14014"/>
    </row>
    <row r="14015" spans="10:23" x14ac:dyDescent="0.25">
      <c r="J14015"/>
      <c r="M14015"/>
      <c r="W14015"/>
    </row>
    <row r="14016" spans="10:23" x14ac:dyDescent="0.25">
      <c r="J14016"/>
      <c r="M14016"/>
      <c r="W14016"/>
    </row>
    <row r="14017" spans="10:23" x14ac:dyDescent="0.25">
      <c r="J14017"/>
      <c r="M14017"/>
      <c r="W14017"/>
    </row>
    <row r="14018" spans="10:23" x14ac:dyDescent="0.25">
      <c r="J14018"/>
      <c r="M14018"/>
      <c r="W14018"/>
    </row>
    <row r="14019" spans="10:23" x14ac:dyDescent="0.25">
      <c r="J14019"/>
      <c r="M14019"/>
      <c r="W14019"/>
    </row>
    <row r="14020" spans="10:23" x14ac:dyDescent="0.25">
      <c r="J14020"/>
      <c r="M14020"/>
      <c r="W14020"/>
    </row>
    <row r="14021" spans="10:23" x14ac:dyDescent="0.25">
      <c r="J14021"/>
      <c r="M14021"/>
      <c r="W14021"/>
    </row>
    <row r="14022" spans="10:23" x14ac:dyDescent="0.25">
      <c r="J14022"/>
      <c r="M14022"/>
      <c r="W14022"/>
    </row>
    <row r="14023" spans="10:23" x14ac:dyDescent="0.25">
      <c r="J14023"/>
      <c r="M14023"/>
      <c r="W14023"/>
    </row>
    <row r="14024" spans="10:23" x14ac:dyDescent="0.25">
      <c r="J14024"/>
      <c r="M14024"/>
      <c r="W14024"/>
    </row>
    <row r="14025" spans="10:23" x14ac:dyDescent="0.25">
      <c r="J14025"/>
      <c r="M14025"/>
      <c r="W14025"/>
    </row>
    <row r="14026" spans="10:23" x14ac:dyDescent="0.25">
      <c r="J14026"/>
      <c r="M14026"/>
      <c r="W14026"/>
    </row>
    <row r="14027" spans="10:23" x14ac:dyDescent="0.25">
      <c r="J14027"/>
      <c r="M14027"/>
      <c r="W14027"/>
    </row>
    <row r="14028" spans="10:23" x14ac:dyDescent="0.25">
      <c r="J14028"/>
      <c r="M14028"/>
      <c r="W14028"/>
    </row>
    <row r="14029" spans="10:23" x14ac:dyDescent="0.25">
      <c r="J14029"/>
      <c r="M14029"/>
      <c r="W14029"/>
    </row>
    <row r="14030" spans="10:23" x14ac:dyDescent="0.25">
      <c r="J14030"/>
      <c r="M14030"/>
      <c r="W14030"/>
    </row>
    <row r="14031" spans="10:23" x14ac:dyDescent="0.25">
      <c r="J14031"/>
      <c r="M14031"/>
      <c r="W14031"/>
    </row>
    <row r="14032" spans="10:23" x14ac:dyDescent="0.25">
      <c r="J14032"/>
      <c r="M14032"/>
      <c r="W14032"/>
    </row>
    <row r="14033" spans="10:23" x14ac:dyDescent="0.25">
      <c r="J14033"/>
      <c r="M14033"/>
      <c r="W14033"/>
    </row>
    <row r="14034" spans="10:23" x14ac:dyDescent="0.25">
      <c r="J14034"/>
      <c r="M14034"/>
      <c r="W14034"/>
    </row>
    <row r="14035" spans="10:23" x14ac:dyDescent="0.25">
      <c r="J14035"/>
      <c r="M14035"/>
      <c r="W14035"/>
    </row>
    <row r="14036" spans="10:23" x14ac:dyDescent="0.25">
      <c r="J14036"/>
      <c r="M14036"/>
      <c r="W14036"/>
    </row>
    <row r="14037" spans="10:23" x14ac:dyDescent="0.25">
      <c r="J14037"/>
      <c r="M14037"/>
      <c r="W14037"/>
    </row>
    <row r="14038" spans="10:23" x14ac:dyDescent="0.25">
      <c r="J14038"/>
      <c r="M14038"/>
      <c r="W14038"/>
    </row>
    <row r="14039" spans="10:23" x14ac:dyDescent="0.25">
      <c r="J14039"/>
      <c r="M14039"/>
      <c r="W14039"/>
    </row>
    <row r="14040" spans="10:23" x14ac:dyDescent="0.25">
      <c r="J14040"/>
      <c r="M14040"/>
      <c r="W14040"/>
    </row>
    <row r="14041" spans="10:23" x14ac:dyDescent="0.25">
      <c r="J14041"/>
      <c r="M14041"/>
      <c r="W14041"/>
    </row>
    <row r="14042" spans="10:23" x14ac:dyDescent="0.25">
      <c r="J14042"/>
      <c r="M14042"/>
      <c r="W14042"/>
    </row>
    <row r="14043" spans="10:23" x14ac:dyDescent="0.25">
      <c r="J14043"/>
      <c r="M14043"/>
      <c r="W14043"/>
    </row>
    <row r="14044" spans="10:23" x14ac:dyDescent="0.25">
      <c r="J14044"/>
      <c r="M14044"/>
      <c r="W14044"/>
    </row>
    <row r="14045" spans="10:23" x14ac:dyDescent="0.25">
      <c r="J14045"/>
      <c r="M14045"/>
      <c r="W14045"/>
    </row>
    <row r="14046" spans="10:23" x14ac:dyDescent="0.25">
      <c r="J14046"/>
      <c r="M14046"/>
      <c r="W14046"/>
    </row>
    <row r="14047" spans="10:23" x14ac:dyDescent="0.25">
      <c r="J14047"/>
      <c r="M14047"/>
      <c r="W14047"/>
    </row>
    <row r="14048" spans="10:23" x14ac:dyDescent="0.25">
      <c r="J14048"/>
      <c r="M14048"/>
      <c r="W14048"/>
    </row>
    <row r="14049" spans="10:23" x14ac:dyDescent="0.25">
      <c r="J14049"/>
      <c r="M14049"/>
      <c r="W14049"/>
    </row>
    <row r="14050" spans="10:23" x14ac:dyDescent="0.25">
      <c r="J14050"/>
      <c r="M14050"/>
      <c r="W14050"/>
    </row>
    <row r="14051" spans="10:23" x14ac:dyDescent="0.25">
      <c r="J14051"/>
      <c r="M14051"/>
      <c r="W14051"/>
    </row>
    <row r="14052" spans="10:23" x14ac:dyDescent="0.25">
      <c r="J14052"/>
      <c r="M14052"/>
      <c r="W14052"/>
    </row>
    <row r="14053" spans="10:23" x14ac:dyDescent="0.25">
      <c r="J14053"/>
      <c r="M14053"/>
      <c r="W14053"/>
    </row>
    <row r="14054" spans="10:23" x14ac:dyDescent="0.25">
      <c r="J14054"/>
      <c r="M14054"/>
      <c r="W14054"/>
    </row>
    <row r="14055" spans="10:23" x14ac:dyDescent="0.25">
      <c r="J14055"/>
      <c r="M14055"/>
      <c r="W14055"/>
    </row>
    <row r="14056" spans="10:23" x14ac:dyDescent="0.25">
      <c r="J14056"/>
      <c r="M14056"/>
      <c r="W14056"/>
    </row>
    <row r="14057" spans="10:23" x14ac:dyDescent="0.25">
      <c r="J14057"/>
      <c r="M14057"/>
      <c r="W14057"/>
    </row>
    <row r="14058" spans="10:23" x14ac:dyDescent="0.25">
      <c r="J14058"/>
      <c r="M14058"/>
      <c r="W14058"/>
    </row>
    <row r="14059" spans="10:23" x14ac:dyDescent="0.25">
      <c r="J14059"/>
      <c r="M14059"/>
      <c r="W14059"/>
    </row>
    <row r="14060" spans="10:23" x14ac:dyDescent="0.25">
      <c r="J14060"/>
      <c r="M14060"/>
      <c r="W14060"/>
    </row>
    <row r="14061" spans="10:23" x14ac:dyDescent="0.25">
      <c r="J14061"/>
      <c r="M14061"/>
      <c r="W14061"/>
    </row>
    <row r="14062" spans="10:23" x14ac:dyDescent="0.25">
      <c r="J14062"/>
      <c r="M14062"/>
      <c r="W14062"/>
    </row>
    <row r="14063" spans="10:23" x14ac:dyDescent="0.25">
      <c r="J14063"/>
      <c r="M14063"/>
      <c r="W14063"/>
    </row>
    <row r="14064" spans="10:23" x14ac:dyDescent="0.25">
      <c r="J14064"/>
      <c r="M14064"/>
      <c r="W14064"/>
    </row>
    <row r="14065" spans="10:23" x14ac:dyDescent="0.25">
      <c r="J14065"/>
      <c r="M14065"/>
      <c r="W14065"/>
    </row>
    <row r="14066" spans="10:23" x14ac:dyDescent="0.25">
      <c r="J14066"/>
      <c r="M14066"/>
      <c r="W14066"/>
    </row>
    <row r="14067" spans="10:23" x14ac:dyDescent="0.25">
      <c r="J14067"/>
      <c r="M14067"/>
      <c r="W14067"/>
    </row>
    <row r="14068" spans="10:23" x14ac:dyDescent="0.25">
      <c r="J14068"/>
      <c r="M14068"/>
      <c r="W14068"/>
    </row>
    <row r="14069" spans="10:23" x14ac:dyDescent="0.25">
      <c r="J14069"/>
      <c r="M14069"/>
      <c r="W14069"/>
    </row>
    <row r="14070" spans="10:23" x14ac:dyDescent="0.25">
      <c r="J14070"/>
      <c r="M14070"/>
      <c r="W14070"/>
    </row>
    <row r="14071" spans="10:23" x14ac:dyDescent="0.25">
      <c r="J14071"/>
      <c r="M14071"/>
      <c r="W14071"/>
    </row>
    <row r="14072" spans="10:23" x14ac:dyDescent="0.25">
      <c r="J14072"/>
      <c r="M14072"/>
      <c r="W14072"/>
    </row>
    <row r="14073" spans="10:23" x14ac:dyDescent="0.25">
      <c r="J14073"/>
      <c r="M14073"/>
      <c r="W14073"/>
    </row>
    <row r="14074" spans="10:23" x14ac:dyDescent="0.25">
      <c r="J14074"/>
      <c r="M14074"/>
      <c r="W14074"/>
    </row>
    <row r="14075" spans="10:23" x14ac:dyDescent="0.25">
      <c r="J14075"/>
      <c r="M14075"/>
      <c r="W14075"/>
    </row>
    <row r="14076" spans="10:23" x14ac:dyDescent="0.25">
      <c r="J14076"/>
      <c r="M14076"/>
      <c r="W14076"/>
    </row>
    <row r="14077" spans="10:23" x14ac:dyDescent="0.25">
      <c r="J14077"/>
      <c r="M14077"/>
      <c r="W14077"/>
    </row>
    <row r="14078" spans="10:23" x14ac:dyDescent="0.25">
      <c r="J14078"/>
      <c r="M14078"/>
      <c r="W14078"/>
    </row>
    <row r="14079" spans="10:23" x14ac:dyDescent="0.25">
      <c r="J14079"/>
      <c r="M14079"/>
      <c r="W14079"/>
    </row>
    <row r="14080" spans="10:23" x14ac:dyDescent="0.25">
      <c r="J14080"/>
      <c r="M14080"/>
      <c r="W14080"/>
    </row>
    <row r="14081" spans="10:23" x14ac:dyDescent="0.25">
      <c r="J14081"/>
      <c r="M14081"/>
      <c r="W14081"/>
    </row>
    <row r="14082" spans="10:23" x14ac:dyDescent="0.25">
      <c r="J14082"/>
      <c r="M14082"/>
      <c r="W14082"/>
    </row>
    <row r="14083" spans="10:23" x14ac:dyDescent="0.25">
      <c r="J14083"/>
      <c r="M14083"/>
      <c r="W14083"/>
    </row>
    <row r="14084" spans="10:23" x14ac:dyDescent="0.25">
      <c r="J14084"/>
      <c r="M14084"/>
      <c r="W14084"/>
    </row>
    <row r="14085" spans="10:23" x14ac:dyDescent="0.25">
      <c r="J14085"/>
      <c r="M14085"/>
      <c r="W14085"/>
    </row>
    <row r="14086" spans="10:23" x14ac:dyDescent="0.25">
      <c r="J14086"/>
      <c r="M14086"/>
      <c r="W14086"/>
    </row>
    <row r="14087" spans="10:23" x14ac:dyDescent="0.25">
      <c r="J14087"/>
      <c r="M14087"/>
      <c r="W14087"/>
    </row>
    <row r="14088" spans="10:23" x14ac:dyDescent="0.25">
      <c r="J14088"/>
      <c r="M14088"/>
      <c r="W14088"/>
    </row>
    <row r="14089" spans="10:23" x14ac:dyDescent="0.25">
      <c r="J14089"/>
      <c r="M14089"/>
      <c r="W14089"/>
    </row>
    <row r="14090" spans="10:23" x14ac:dyDescent="0.25">
      <c r="J14090"/>
      <c r="M14090"/>
      <c r="W14090"/>
    </row>
    <row r="14091" spans="10:23" x14ac:dyDescent="0.25">
      <c r="J14091"/>
      <c r="M14091"/>
      <c r="W14091"/>
    </row>
    <row r="14092" spans="10:23" x14ac:dyDescent="0.25">
      <c r="J14092"/>
      <c r="M14092"/>
      <c r="W14092"/>
    </row>
    <row r="14093" spans="10:23" x14ac:dyDescent="0.25">
      <c r="J14093"/>
      <c r="M14093"/>
      <c r="W14093"/>
    </row>
    <row r="14094" spans="10:23" x14ac:dyDescent="0.25">
      <c r="J14094"/>
      <c r="M14094"/>
      <c r="W14094"/>
    </row>
    <row r="14095" spans="10:23" x14ac:dyDescent="0.25">
      <c r="J14095"/>
      <c r="M14095"/>
      <c r="W14095"/>
    </row>
    <row r="14096" spans="10:23" x14ac:dyDescent="0.25">
      <c r="J14096"/>
      <c r="M14096"/>
      <c r="W14096"/>
    </row>
    <row r="14097" spans="10:23" x14ac:dyDescent="0.25">
      <c r="J14097"/>
      <c r="M14097"/>
      <c r="W14097"/>
    </row>
    <row r="14098" spans="10:23" x14ac:dyDescent="0.25">
      <c r="J14098"/>
      <c r="M14098"/>
      <c r="W14098"/>
    </row>
    <row r="14099" spans="10:23" x14ac:dyDescent="0.25">
      <c r="J14099"/>
      <c r="M14099"/>
      <c r="W14099"/>
    </row>
    <row r="14100" spans="10:23" x14ac:dyDescent="0.25">
      <c r="J14100"/>
      <c r="M14100"/>
      <c r="W14100"/>
    </row>
    <row r="14101" spans="10:23" x14ac:dyDescent="0.25">
      <c r="J14101"/>
      <c r="M14101"/>
      <c r="W14101"/>
    </row>
    <row r="14102" spans="10:23" x14ac:dyDescent="0.25">
      <c r="J14102"/>
      <c r="M14102"/>
      <c r="W14102"/>
    </row>
    <row r="14103" spans="10:23" x14ac:dyDescent="0.25">
      <c r="J14103"/>
      <c r="M14103"/>
      <c r="W14103"/>
    </row>
    <row r="14104" spans="10:23" x14ac:dyDescent="0.25">
      <c r="J14104"/>
      <c r="M14104"/>
      <c r="W14104"/>
    </row>
    <row r="14105" spans="10:23" x14ac:dyDescent="0.25">
      <c r="J14105"/>
      <c r="M14105"/>
      <c r="W14105"/>
    </row>
    <row r="14106" spans="10:23" x14ac:dyDescent="0.25">
      <c r="J14106"/>
      <c r="M14106"/>
      <c r="W14106"/>
    </row>
    <row r="14107" spans="10:23" x14ac:dyDescent="0.25">
      <c r="J14107"/>
      <c r="M14107"/>
      <c r="W14107"/>
    </row>
    <row r="14108" spans="10:23" x14ac:dyDescent="0.25">
      <c r="J14108"/>
      <c r="M14108"/>
      <c r="W14108"/>
    </row>
    <row r="14109" spans="10:23" x14ac:dyDescent="0.25">
      <c r="J14109"/>
      <c r="M14109"/>
      <c r="W14109"/>
    </row>
    <row r="14110" spans="10:23" x14ac:dyDescent="0.25">
      <c r="J14110"/>
      <c r="M14110"/>
      <c r="W14110"/>
    </row>
    <row r="14111" spans="10:23" x14ac:dyDescent="0.25">
      <c r="J14111"/>
      <c r="M14111"/>
      <c r="W14111"/>
    </row>
    <row r="14112" spans="10:23" x14ac:dyDescent="0.25">
      <c r="J14112"/>
      <c r="M14112"/>
      <c r="W14112"/>
    </row>
    <row r="14113" spans="10:23" x14ac:dyDescent="0.25">
      <c r="J14113"/>
      <c r="M14113"/>
      <c r="W14113"/>
    </row>
    <row r="14114" spans="10:23" x14ac:dyDescent="0.25">
      <c r="J14114"/>
      <c r="M14114"/>
      <c r="W14114"/>
    </row>
    <row r="14115" spans="10:23" x14ac:dyDescent="0.25">
      <c r="J14115"/>
      <c r="M14115"/>
      <c r="W14115"/>
    </row>
    <row r="14116" spans="10:23" x14ac:dyDescent="0.25">
      <c r="J14116"/>
      <c r="M14116"/>
      <c r="W14116"/>
    </row>
    <row r="14117" spans="10:23" x14ac:dyDescent="0.25">
      <c r="J14117"/>
      <c r="M14117"/>
      <c r="W14117"/>
    </row>
    <row r="14118" spans="10:23" x14ac:dyDescent="0.25">
      <c r="J14118"/>
      <c r="M14118"/>
      <c r="W14118"/>
    </row>
    <row r="14119" spans="10:23" x14ac:dyDescent="0.25">
      <c r="J14119"/>
      <c r="M14119"/>
      <c r="W14119"/>
    </row>
    <row r="14120" spans="10:23" x14ac:dyDescent="0.25">
      <c r="J14120"/>
      <c r="M14120"/>
      <c r="W14120"/>
    </row>
    <row r="14121" spans="10:23" x14ac:dyDescent="0.25">
      <c r="J14121"/>
      <c r="M14121"/>
      <c r="W14121"/>
    </row>
    <row r="14122" spans="10:23" x14ac:dyDescent="0.25">
      <c r="J14122"/>
      <c r="M14122"/>
      <c r="W14122"/>
    </row>
    <row r="14123" spans="10:23" x14ac:dyDescent="0.25">
      <c r="J14123"/>
      <c r="M14123"/>
      <c r="W14123"/>
    </row>
    <row r="14124" spans="10:23" x14ac:dyDescent="0.25">
      <c r="J14124"/>
      <c r="M14124"/>
      <c r="W14124"/>
    </row>
    <row r="14125" spans="10:23" x14ac:dyDescent="0.25">
      <c r="J14125"/>
      <c r="M14125"/>
      <c r="W14125"/>
    </row>
    <row r="14126" spans="10:23" x14ac:dyDescent="0.25">
      <c r="J14126"/>
      <c r="M14126"/>
      <c r="W14126"/>
    </row>
    <row r="14127" spans="10:23" x14ac:dyDescent="0.25">
      <c r="J14127"/>
      <c r="M14127"/>
      <c r="W14127"/>
    </row>
    <row r="14128" spans="10:23" x14ac:dyDescent="0.25">
      <c r="J14128"/>
      <c r="M14128"/>
      <c r="W14128"/>
    </row>
    <row r="14129" spans="10:23" x14ac:dyDescent="0.25">
      <c r="J14129"/>
      <c r="M14129"/>
      <c r="W14129"/>
    </row>
    <row r="14130" spans="10:23" x14ac:dyDescent="0.25">
      <c r="J14130"/>
      <c r="M14130"/>
      <c r="W14130"/>
    </row>
    <row r="14131" spans="10:23" x14ac:dyDescent="0.25">
      <c r="J14131"/>
      <c r="M14131"/>
      <c r="W14131"/>
    </row>
    <row r="14132" spans="10:23" x14ac:dyDescent="0.25">
      <c r="J14132"/>
      <c r="M14132"/>
      <c r="W14132"/>
    </row>
    <row r="14133" spans="10:23" x14ac:dyDescent="0.25">
      <c r="J14133"/>
      <c r="M14133"/>
      <c r="W14133"/>
    </row>
    <row r="14134" spans="10:23" x14ac:dyDescent="0.25">
      <c r="J14134"/>
      <c r="M14134"/>
      <c r="W14134"/>
    </row>
    <row r="14135" spans="10:23" x14ac:dyDescent="0.25">
      <c r="J14135"/>
      <c r="M14135"/>
      <c r="W14135"/>
    </row>
    <row r="14136" spans="10:23" x14ac:dyDescent="0.25">
      <c r="J14136"/>
      <c r="M14136"/>
      <c r="W14136"/>
    </row>
    <row r="14137" spans="10:23" x14ac:dyDescent="0.25">
      <c r="J14137"/>
      <c r="M14137"/>
      <c r="W14137"/>
    </row>
    <row r="14138" spans="10:23" x14ac:dyDescent="0.25">
      <c r="J14138"/>
      <c r="M14138"/>
      <c r="W14138"/>
    </row>
    <row r="14139" spans="10:23" x14ac:dyDescent="0.25">
      <c r="J14139"/>
      <c r="M14139"/>
      <c r="W14139"/>
    </row>
    <row r="14140" spans="10:23" x14ac:dyDescent="0.25">
      <c r="J14140"/>
      <c r="M14140"/>
      <c r="W14140"/>
    </row>
    <row r="14141" spans="10:23" x14ac:dyDescent="0.25">
      <c r="J14141"/>
      <c r="M14141"/>
      <c r="W14141"/>
    </row>
    <row r="14142" spans="10:23" x14ac:dyDescent="0.25">
      <c r="J14142"/>
      <c r="M14142"/>
      <c r="W14142"/>
    </row>
    <row r="14143" spans="10:23" x14ac:dyDescent="0.25">
      <c r="J14143"/>
      <c r="M14143"/>
      <c r="W14143"/>
    </row>
    <row r="14144" spans="10:23" x14ac:dyDescent="0.25">
      <c r="J14144"/>
      <c r="M14144"/>
      <c r="W14144"/>
    </row>
    <row r="14145" spans="10:23" x14ac:dyDescent="0.25">
      <c r="J14145"/>
      <c r="M14145"/>
      <c r="W14145"/>
    </row>
    <row r="14146" spans="10:23" x14ac:dyDescent="0.25">
      <c r="J14146"/>
      <c r="M14146"/>
      <c r="W14146"/>
    </row>
    <row r="14147" spans="10:23" x14ac:dyDescent="0.25">
      <c r="J14147"/>
      <c r="M14147"/>
      <c r="W14147"/>
    </row>
    <row r="14148" spans="10:23" x14ac:dyDescent="0.25">
      <c r="J14148"/>
      <c r="M14148"/>
      <c r="W14148"/>
    </row>
    <row r="14149" spans="10:23" x14ac:dyDescent="0.25">
      <c r="J14149"/>
      <c r="M14149"/>
      <c r="W14149"/>
    </row>
    <row r="14150" spans="10:23" x14ac:dyDescent="0.25">
      <c r="J14150"/>
      <c r="M14150"/>
      <c r="W14150"/>
    </row>
    <row r="14151" spans="10:23" x14ac:dyDescent="0.25">
      <c r="J14151"/>
      <c r="M14151"/>
      <c r="W14151"/>
    </row>
    <row r="14152" spans="10:23" x14ac:dyDescent="0.25">
      <c r="J14152"/>
      <c r="M14152"/>
      <c r="W14152"/>
    </row>
    <row r="14153" spans="10:23" x14ac:dyDescent="0.25">
      <c r="J14153"/>
      <c r="M14153"/>
      <c r="W14153"/>
    </row>
    <row r="14154" spans="10:23" x14ac:dyDescent="0.25">
      <c r="J14154"/>
      <c r="M14154"/>
      <c r="W14154"/>
    </row>
    <row r="14155" spans="10:23" x14ac:dyDescent="0.25">
      <c r="J14155"/>
      <c r="M14155"/>
      <c r="W14155"/>
    </row>
    <row r="14156" spans="10:23" x14ac:dyDescent="0.25">
      <c r="J14156"/>
      <c r="M14156"/>
      <c r="W14156"/>
    </row>
    <row r="14157" spans="10:23" x14ac:dyDescent="0.25">
      <c r="J14157"/>
      <c r="M14157"/>
      <c r="W14157"/>
    </row>
    <row r="14158" spans="10:23" x14ac:dyDescent="0.25">
      <c r="J14158"/>
      <c r="M14158"/>
      <c r="W14158"/>
    </row>
    <row r="14159" spans="10:23" x14ac:dyDescent="0.25">
      <c r="J14159"/>
      <c r="M14159"/>
      <c r="W14159"/>
    </row>
    <row r="14160" spans="10:23" x14ac:dyDescent="0.25">
      <c r="J14160"/>
      <c r="M14160"/>
      <c r="W14160"/>
    </row>
    <row r="14161" spans="10:23" x14ac:dyDescent="0.25">
      <c r="J14161"/>
      <c r="M14161"/>
      <c r="W14161"/>
    </row>
    <row r="14162" spans="10:23" x14ac:dyDescent="0.25">
      <c r="J14162"/>
      <c r="M14162"/>
      <c r="W14162"/>
    </row>
    <row r="14163" spans="10:23" x14ac:dyDescent="0.25">
      <c r="J14163"/>
      <c r="M14163"/>
      <c r="W14163"/>
    </row>
    <row r="14164" spans="10:23" x14ac:dyDescent="0.25">
      <c r="J14164"/>
      <c r="M14164"/>
      <c r="W14164"/>
    </row>
    <row r="14165" spans="10:23" x14ac:dyDescent="0.25">
      <c r="J14165"/>
      <c r="M14165"/>
      <c r="W14165"/>
    </row>
    <row r="14166" spans="10:23" x14ac:dyDescent="0.25">
      <c r="J14166"/>
      <c r="M14166"/>
      <c r="W14166"/>
    </row>
    <row r="14167" spans="10:23" x14ac:dyDescent="0.25">
      <c r="J14167"/>
      <c r="M14167"/>
      <c r="W14167"/>
    </row>
    <row r="14168" spans="10:23" x14ac:dyDescent="0.25">
      <c r="J14168"/>
      <c r="M14168"/>
      <c r="W14168"/>
    </row>
    <row r="14169" spans="10:23" x14ac:dyDescent="0.25">
      <c r="J14169"/>
      <c r="M14169"/>
      <c r="W14169"/>
    </row>
    <row r="14170" spans="10:23" x14ac:dyDescent="0.25">
      <c r="J14170"/>
      <c r="M14170"/>
      <c r="W14170"/>
    </row>
    <row r="14171" spans="10:23" x14ac:dyDescent="0.25">
      <c r="J14171"/>
      <c r="M14171"/>
      <c r="W14171"/>
    </row>
    <row r="14172" spans="10:23" x14ac:dyDescent="0.25">
      <c r="J14172"/>
      <c r="M14172"/>
      <c r="W14172"/>
    </row>
    <row r="14173" spans="10:23" x14ac:dyDescent="0.25">
      <c r="J14173"/>
      <c r="M14173"/>
      <c r="W14173"/>
    </row>
    <row r="14174" spans="10:23" x14ac:dyDescent="0.25">
      <c r="J14174"/>
      <c r="M14174"/>
      <c r="W14174"/>
    </row>
    <row r="14175" spans="10:23" x14ac:dyDescent="0.25">
      <c r="J14175"/>
      <c r="M14175"/>
      <c r="W14175"/>
    </row>
    <row r="14176" spans="10:23" x14ac:dyDescent="0.25">
      <c r="J14176"/>
      <c r="M14176"/>
      <c r="W14176"/>
    </row>
    <row r="14177" spans="10:23" x14ac:dyDescent="0.25">
      <c r="J14177"/>
      <c r="M14177"/>
      <c r="W14177"/>
    </row>
    <row r="14178" spans="10:23" x14ac:dyDescent="0.25">
      <c r="J14178"/>
      <c r="M14178"/>
      <c r="W14178"/>
    </row>
    <row r="14179" spans="10:23" x14ac:dyDescent="0.25">
      <c r="J14179"/>
      <c r="M14179"/>
      <c r="W14179"/>
    </row>
    <row r="14180" spans="10:23" x14ac:dyDescent="0.25">
      <c r="J14180"/>
      <c r="M14180"/>
      <c r="W14180"/>
    </row>
    <row r="14181" spans="10:23" x14ac:dyDescent="0.25">
      <c r="J14181"/>
      <c r="M14181"/>
      <c r="W14181"/>
    </row>
    <row r="14182" spans="10:23" x14ac:dyDescent="0.25">
      <c r="J14182"/>
      <c r="M14182"/>
      <c r="W14182"/>
    </row>
    <row r="14183" spans="10:23" x14ac:dyDescent="0.25">
      <c r="J14183"/>
      <c r="M14183"/>
      <c r="W14183"/>
    </row>
    <row r="14184" spans="10:23" x14ac:dyDescent="0.25">
      <c r="J14184"/>
      <c r="M14184"/>
      <c r="W14184"/>
    </row>
    <row r="14185" spans="10:23" x14ac:dyDescent="0.25">
      <c r="J14185"/>
      <c r="M14185"/>
      <c r="W14185"/>
    </row>
    <row r="14186" spans="10:23" x14ac:dyDescent="0.25">
      <c r="J14186"/>
      <c r="M14186"/>
      <c r="W14186"/>
    </row>
    <row r="14187" spans="10:23" x14ac:dyDescent="0.25">
      <c r="J14187"/>
      <c r="M14187"/>
      <c r="W14187"/>
    </row>
    <row r="14188" spans="10:23" x14ac:dyDescent="0.25">
      <c r="J14188"/>
      <c r="M14188"/>
      <c r="W14188"/>
    </row>
    <row r="14189" spans="10:23" x14ac:dyDescent="0.25">
      <c r="J14189"/>
      <c r="M14189"/>
      <c r="W14189"/>
    </row>
    <row r="14190" spans="10:23" x14ac:dyDescent="0.25">
      <c r="J14190"/>
      <c r="M14190"/>
      <c r="W14190"/>
    </row>
    <row r="14191" spans="10:23" x14ac:dyDescent="0.25">
      <c r="J14191"/>
      <c r="M14191"/>
      <c r="W14191"/>
    </row>
    <row r="14192" spans="10:23" x14ac:dyDescent="0.25">
      <c r="J14192"/>
      <c r="M14192"/>
      <c r="W14192"/>
    </row>
    <row r="14193" spans="10:23" x14ac:dyDescent="0.25">
      <c r="J14193"/>
      <c r="M14193"/>
      <c r="W14193"/>
    </row>
    <row r="14194" spans="10:23" x14ac:dyDescent="0.25">
      <c r="J14194"/>
      <c r="M14194"/>
      <c r="W14194"/>
    </row>
    <row r="14195" spans="10:23" x14ac:dyDescent="0.25">
      <c r="J14195"/>
      <c r="M14195"/>
      <c r="W14195"/>
    </row>
    <row r="14196" spans="10:23" x14ac:dyDescent="0.25">
      <c r="J14196"/>
      <c r="M14196"/>
      <c r="W14196"/>
    </row>
    <row r="14197" spans="10:23" x14ac:dyDescent="0.25">
      <c r="J14197"/>
      <c r="M14197"/>
      <c r="W14197"/>
    </row>
    <row r="14198" spans="10:23" x14ac:dyDescent="0.25">
      <c r="J14198"/>
      <c r="M14198"/>
      <c r="W14198"/>
    </row>
    <row r="14199" spans="10:23" x14ac:dyDescent="0.25">
      <c r="J14199"/>
      <c r="M14199"/>
      <c r="W14199"/>
    </row>
    <row r="14200" spans="10:23" x14ac:dyDescent="0.25">
      <c r="J14200"/>
      <c r="M14200"/>
      <c r="W14200"/>
    </row>
    <row r="14201" spans="10:23" x14ac:dyDescent="0.25">
      <c r="J14201"/>
      <c r="M14201"/>
      <c r="W14201"/>
    </row>
    <row r="14202" spans="10:23" x14ac:dyDescent="0.25">
      <c r="J14202"/>
      <c r="M14202"/>
      <c r="W14202"/>
    </row>
    <row r="14203" spans="10:23" x14ac:dyDescent="0.25">
      <c r="J14203"/>
      <c r="M14203"/>
      <c r="W14203"/>
    </row>
    <row r="14204" spans="10:23" x14ac:dyDescent="0.25">
      <c r="J14204"/>
      <c r="M14204"/>
      <c r="W14204"/>
    </row>
    <row r="14205" spans="10:23" x14ac:dyDescent="0.25">
      <c r="J14205"/>
      <c r="M14205"/>
      <c r="W14205"/>
    </row>
    <row r="14206" spans="10:23" x14ac:dyDescent="0.25">
      <c r="J14206"/>
      <c r="M14206"/>
      <c r="W14206"/>
    </row>
    <row r="14207" spans="10:23" x14ac:dyDescent="0.25">
      <c r="J14207"/>
      <c r="M14207"/>
      <c r="W14207"/>
    </row>
    <row r="14208" spans="10:23" x14ac:dyDescent="0.25">
      <c r="J14208"/>
      <c r="M14208"/>
      <c r="W14208"/>
    </row>
    <row r="14209" spans="10:23" x14ac:dyDescent="0.25">
      <c r="J14209"/>
      <c r="M14209"/>
      <c r="W14209"/>
    </row>
    <row r="14210" spans="10:23" x14ac:dyDescent="0.25">
      <c r="J14210"/>
      <c r="M14210"/>
      <c r="W14210"/>
    </row>
    <row r="14211" spans="10:23" x14ac:dyDescent="0.25">
      <c r="J14211"/>
      <c r="M14211"/>
      <c r="W14211"/>
    </row>
    <row r="14212" spans="10:23" x14ac:dyDescent="0.25">
      <c r="J14212"/>
      <c r="M14212"/>
      <c r="W14212"/>
    </row>
    <row r="14213" spans="10:23" x14ac:dyDescent="0.25">
      <c r="J14213"/>
      <c r="M14213"/>
      <c r="W14213"/>
    </row>
    <row r="14214" spans="10:23" x14ac:dyDescent="0.25">
      <c r="J14214"/>
      <c r="M14214"/>
      <c r="W14214"/>
    </row>
    <row r="14215" spans="10:23" x14ac:dyDescent="0.25">
      <c r="J14215"/>
      <c r="M14215"/>
      <c r="W14215"/>
    </row>
    <row r="14216" spans="10:23" x14ac:dyDescent="0.25">
      <c r="J14216"/>
      <c r="M14216"/>
      <c r="W14216"/>
    </row>
    <row r="14217" spans="10:23" x14ac:dyDescent="0.25">
      <c r="J14217"/>
      <c r="M14217"/>
      <c r="W14217"/>
    </row>
    <row r="14218" spans="10:23" x14ac:dyDescent="0.25">
      <c r="J14218"/>
      <c r="M14218"/>
      <c r="W14218"/>
    </row>
    <row r="14219" spans="10:23" x14ac:dyDescent="0.25">
      <c r="J14219"/>
      <c r="M14219"/>
      <c r="W14219"/>
    </row>
    <row r="14220" spans="10:23" x14ac:dyDescent="0.25">
      <c r="J14220"/>
      <c r="M14220"/>
      <c r="W14220"/>
    </row>
    <row r="14221" spans="10:23" x14ac:dyDescent="0.25">
      <c r="J14221"/>
      <c r="M14221"/>
      <c r="W14221"/>
    </row>
    <row r="14222" spans="10:23" x14ac:dyDescent="0.25">
      <c r="J14222"/>
      <c r="M14222"/>
      <c r="W14222"/>
    </row>
    <row r="14223" spans="10:23" x14ac:dyDescent="0.25">
      <c r="J14223"/>
      <c r="M14223"/>
      <c r="W14223"/>
    </row>
    <row r="14224" spans="10:23" x14ac:dyDescent="0.25">
      <c r="J14224"/>
      <c r="M14224"/>
      <c r="W14224"/>
    </row>
    <row r="14225" spans="10:23" x14ac:dyDescent="0.25">
      <c r="J14225"/>
      <c r="M14225"/>
      <c r="W14225"/>
    </row>
    <row r="14226" spans="10:23" x14ac:dyDescent="0.25">
      <c r="J14226"/>
      <c r="M14226"/>
      <c r="W14226"/>
    </row>
    <row r="14227" spans="10:23" x14ac:dyDescent="0.25">
      <c r="J14227"/>
      <c r="M14227"/>
      <c r="W14227"/>
    </row>
    <row r="14228" spans="10:23" x14ac:dyDescent="0.25">
      <c r="J14228"/>
      <c r="M14228"/>
      <c r="W14228"/>
    </row>
    <row r="14229" spans="10:23" x14ac:dyDescent="0.25">
      <c r="J14229"/>
      <c r="M14229"/>
      <c r="W14229"/>
    </row>
    <row r="14230" spans="10:23" x14ac:dyDescent="0.25">
      <c r="J14230"/>
      <c r="M14230"/>
      <c r="W14230"/>
    </row>
    <row r="14231" spans="10:23" x14ac:dyDescent="0.25">
      <c r="J14231"/>
      <c r="M14231"/>
      <c r="W14231"/>
    </row>
    <row r="14232" spans="10:23" x14ac:dyDescent="0.25">
      <c r="J14232"/>
      <c r="M14232"/>
      <c r="W14232"/>
    </row>
    <row r="14233" spans="10:23" x14ac:dyDescent="0.25">
      <c r="J14233"/>
      <c r="M14233"/>
      <c r="W14233"/>
    </row>
    <row r="14234" spans="10:23" x14ac:dyDescent="0.25">
      <c r="J14234"/>
      <c r="M14234"/>
      <c r="W14234"/>
    </row>
    <row r="14235" spans="10:23" x14ac:dyDescent="0.25">
      <c r="J14235"/>
      <c r="M14235"/>
      <c r="W14235"/>
    </row>
    <row r="14236" spans="10:23" x14ac:dyDescent="0.25">
      <c r="J14236"/>
      <c r="M14236"/>
      <c r="W14236"/>
    </row>
    <row r="14237" spans="10:23" x14ac:dyDescent="0.25">
      <c r="J14237"/>
      <c r="M14237"/>
      <c r="W14237"/>
    </row>
    <row r="14238" spans="10:23" x14ac:dyDescent="0.25">
      <c r="J14238"/>
      <c r="M14238"/>
      <c r="W14238"/>
    </row>
    <row r="14239" spans="10:23" x14ac:dyDescent="0.25">
      <c r="J14239"/>
      <c r="M14239"/>
      <c r="W14239"/>
    </row>
    <row r="14240" spans="10:23" x14ac:dyDescent="0.25">
      <c r="J14240"/>
      <c r="M14240"/>
      <c r="W14240"/>
    </row>
    <row r="14241" spans="10:23" x14ac:dyDescent="0.25">
      <c r="J14241"/>
      <c r="M14241"/>
      <c r="W14241"/>
    </row>
    <row r="14242" spans="10:23" x14ac:dyDescent="0.25">
      <c r="J14242"/>
      <c r="M14242"/>
      <c r="W14242"/>
    </row>
    <row r="14243" spans="10:23" x14ac:dyDescent="0.25">
      <c r="J14243"/>
      <c r="M14243"/>
      <c r="W14243"/>
    </row>
    <row r="14244" spans="10:23" x14ac:dyDescent="0.25">
      <c r="J14244"/>
      <c r="M14244"/>
      <c r="W14244"/>
    </row>
    <row r="14245" spans="10:23" x14ac:dyDescent="0.25">
      <c r="J14245"/>
      <c r="M14245"/>
      <c r="W14245"/>
    </row>
    <row r="14246" spans="10:23" x14ac:dyDescent="0.25">
      <c r="J14246"/>
      <c r="M14246"/>
      <c r="W14246"/>
    </row>
    <row r="14247" spans="10:23" x14ac:dyDescent="0.25">
      <c r="J14247"/>
      <c r="M14247"/>
      <c r="W14247"/>
    </row>
    <row r="14248" spans="10:23" x14ac:dyDescent="0.25">
      <c r="J14248"/>
      <c r="M14248"/>
      <c r="W14248"/>
    </row>
    <row r="14249" spans="10:23" x14ac:dyDescent="0.25">
      <c r="J14249"/>
      <c r="M14249"/>
      <c r="W14249"/>
    </row>
    <row r="14250" spans="10:23" x14ac:dyDescent="0.25">
      <c r="J14250"/>
      <c r="M14250"/>
      <c r="W14250"/>
    </row>
    <row r="14251" spans="10:23" x14ac:dyDescent="0.25">
      <c r="J14251"/>
      <c r="M14251"/>
      <c r="W14251"/>
    </row>
    <row r="14252" spans="10:23" x14ac:dyDescent="0.25">
      <c r="J14252"/>
      <c r="M14252"/>
      <c r="W14252"/>
    </row>
    <row r="14253" spans="10:23" x14ac:dyDescent="0.25">
      <c r="J14253"/>
      <c r="M14253"/>
      <c r="W14253"/>
    </row>
    <row r="14254" spans="10:23" x14ac:dyDescent="0.25">
      <c r="J14254"/>
      <c r="M14254"/>
      <c r="W14254"/>
    </row>
    <row r="14255" spans="10:23" x14ac:dyDescent="0.25">
      <c r="J14255"/>
      <c r="M14255"/>
      <c r="W14255"/>
    </row>
    <row r="14256" spans="10:23" x14ac:dyDescent="0.25">
      <c r="J14256"/>
      <c r="M14256"/>
      <c r="W14256"/>
    </row>
    <row r="14257" spans="10:23" x14ac:dyDescent="0.25">
      <c r="J14257"/>
      <c r="M14257"/>
      <c r="W14257"/>
    </row>
    <row r="14258" spans="10:23" x14ac:dyDescent="0.25">
      <c r="J14258"/>
      <c r="M14258"/>
      <c r="W14258"/>
    </row>
    <row r="14259" spans="10:23" x14ac:dyDescent="0.25">
      <c r="J14259"/>
      <c r="M14259"/>
      <c r="W14259"/>
    </row>
    <row r="14260" spans="10:23" x14ac:dyDescent="0.25">
      <c r="J14260"/>
      <c r="M14260"/>
      <c r="W14260"/>
    </row>
    <row r="14261" spans="10:23" x14ac:dyDescent="0.25">
      <c r="J14261"/>
      <c r="M14261"/>
      <c r="W14261"/>
    </row>
    <row r="14262" spans="10:23" x14ac:dyDescent="0.25">
      <c r="J14262"/>
      <c r="M14262"/>
      <c r="W14262"/>
    </row>
    <row r="14263" spans="10:23" x14ac:dyDescent="0.25">
      <c r="J14263"/>
      <c r="M14263"/>
      <c r="W14263"/>
    </row>
    <row r="14264" spans="10:23" x14ac:dyDescent="0.25">
      <c r="J14264"/>
      <c r="M14264"/>
      <c r="W14264"/>
    </row>
    <row r="14265" spans="10:23" x14ac:dyDescent="0.25">
      <c r="J14265"/>
      <c r="M14265"/>
      <c r="W14265"/>
    </row>
    <row r="14266" spans="10:23" x14ac:dyDescent="0.25">
      <c r="J14266"/>
      <c r="M14266"/>
      <c r="W14266"/>
    </row>
    <row r="14267" spans="10:23" x14ac:dyDescent="0.25">
      <c r="J14267"/>
      <c r="M14267"/>
      <c r="W14267"/>
    </row>
    <row r="14268" spans="10:23" x14ac:dyDescent="0.25">
      <c r="J14268"/>
      <c r="M14268"/>
      <c r="W14268"/>
    </row>
    <row r="14269" spans="10:23" x14ac:dyDescent="0.25">
      <c r="J14269"/>
      <c r="M14269"/>
      <c r="W14269"/>
    </row>
    <row r="14270" spans="10:23" x14ac:dyDescent="0.25">
      <c r="J14270"/>
      <c r="M14270"/>
      <c r="W14270"/>
    </row>
    <row r="14271" spans="10:23" x14ac:dyDescent="0.25">
      <c r="J14271"/>
      <c r="M14271"/>
      <c r="W14271"/>
    </row>
    <row r="14272" spans="10:23" x14ac:dyDescent="0.25">
      <c r="J14272"/>
      <c r="M14272"/>
      <c r="W14272"/>
    </row>
    <row r="14273" spans="10:23" x14ac:dyDescent="0.25">
      <c r="J14273"/>
      <c r="M14273"/>
      <c r="W14273"/>
    </row>
    <row r="14274" spans="10:23" x14ac:dyDescent="0.25">
      <c r="J14274"/>
      <c r="M14274"/>
      <c r="W14274"/>
    </row>
    <row r="14275" spans="10:23" x14ac:dyDescent="0.25">
      <c r="J14275"/>
      <c r="M14275"/>
      <c r="W14275"/>
    </row>
    <row r="14276" spans="10:23" x14ac:dyDescent="0.25">
      <c r="J14276"/>
      <c r="M14276"/>
      <c r="W14276"/>
    </row>
    <row r="14277" spans="10:23" x14ac:dyDescent="0.25">
      <c r="J14277"/>
      <c r="M14277"/>
      <c r="W14277"/>
    </row>
    <row r="14278" spans="10:23" x14ac:dyDescent="0.25">
      <c r="J14278"/>
      <c r="M14278"/>
      <c r="W14278"/>
    </row>
    <row r="14279" spans="10:23" x14ac:dyDescent="0.25">
      <c r="J14279"/>
      <c r="M14279"/>
      <c r="W14279"/>
    </row>
    <row r="14280" spans="10:23" x14ac:dyDescent="0.25">
      <c r="J14280"/>
      <c r="M14280"/>
      <c r="W14280"/>
    </row>
    <row r="14281" spans="10:23" x14ac:dyDescent="0.25">
      <c r="J14281"/>
      <c r="M14281"/>
      <c r="W14281"/>
    </row>
    <row r="14282" spans="10:23" x14ac:dyDescent="0.25">
      <c r="J14282"/>
      <c r="M14282"/>
      <c r="W14282"/>
    </row>
    <row r="14283" spans="10:23" x14ac:dyDescent="0.25">
      <c r="J14283"/>
      <c r="M14283"/>
      <c r="W14283"/>
    </row>
    <row r="14284" spans="10:23" x14ac:dyDescent="0.25">
      <c r="J14284"/>
      <c r="M14284"/>
      <c r="W14284"/>
    </row>
    <row r="14285" spans="10:23" x14ac:dyDescent="0.25">
      <c r="J14285"/>
      <c r="M14285"/>
      <c r="W14285"/>
    </row>
    <row r="14286" spans="10:23" x14ac:dyDescent="0.25">
      <c r="J14286"/>
      <c r="M14286"/>
      <c r="W14286"/>
    </row>
    <row r="14287" spans="10:23" x14ac:dyDescent="0.25">
      <c r="J14287"/>
      <c r="M14287"/>
      <c r="W14287"/>
    </row>
    <row r="14288" spans="10:23" x14ac:dyDescent="0.25">
      <c r="J14288"/>
      <c r="M14288"/>
      <c r="W14288"/>
    </row>
    <row r="14289" spans="10:23" x14ac:dyDescent="0.25">
      <c r="J14289"/>
      <c r="M14289"/>
      <c r="W14289"/>
    </row>
    <row r="14290" spans="10:23" x14ac:dyDescent="0.25">
      <c r="J14290"/>
      <c r="M14290"/>
      <c r="W14290"/>
    </row>
    <row r="14291" spans="10:23" x14ac:dyDescent="0.25">
      <c r="J14291"/>
      <c r="M14291"/>
      <c r="W14291"/>
    </row>
    <row r="14292" spans="10:23" x14ac:dyDescent="0.25">
      <c r="J14292"/>
      <c r="M14292"/>
      <c r="W14292"/>
    </row>
    <row r="14293" spans="10:23" x14ac:dyDescent="0.25">
      <c r="J14293"/>
      <c r="M14293"/>
      <c r="W14293"/>
    </row>
    <row r="14294" spans="10:23" x14ac:dyDescent="0.25">
      <c r="J14294"/>
      <c r="M14294"/>
      <c r="W14294"/>
    </row>
    <row r="14295" spans="10:23" x14ac:dyDescent="0.25">
      <c r="J14295"/>
      <c r="M14295"/>
      <c r="W14295"/>
    </row>
    <row r="14296" spans="10:23" x14ac:dyDescent="0.25">
      <c r="J14296"/>
      <c r="M14296"/>
      <c r="W14296"/>
    </row>
    <row r="14297" spans="10:23" x14ac:dyDescent="0.25">
      <c r="J14297"/>
      <c r="M14297"/>
      <c r="W14297"/>
    </row>
    <row r="14298" spans="10:23" x14ac:dyDescent="0.25">
      <c r="J14298"/>
      <c r="M14298"/>
      <c r="W14298"/>
    </row>
    <row r="14299" spans="10:23" x14ac:dyDescent="0.25">
      <c r="J14299"/>
      <c r="M14299"/>
      <c r="W14299"/>
    </row>
    <row r="14300" spans="10:23" x14ac:dyDescent="0.25">
      <c r="J14300"/>
      <c r="M14300"/>
      <c r="W14300"/>
    </row>
    <row r="14301" spans="10:23" x14ac:dyDescent="0.25">
      <c r="J14301"/>
      <c r="M14301"/>
      <c r="W14301"/>
    </row>
    <row r="14302" spans="10:23" x14ac:dyDescent="0.25">
      <c r="J14302"/>
      <c r="M14302"/>
      <c r="W14302"/>
    </row>
    <row r="14303" spans="10:23" x14ac:dyDescent="0.25">
      <c r="J14303"/>
      <c r="M14303"/>
      <c r="W14303"/>
    </row>
    <row r="14304" spans="10:23" x14ac:dyDescent="0.25">
      <c r="J14304"/>
      <c r="M14304"/>
      <c r="W14304"/>
    </row>
    <row r="14305" spans="10:23" x14ac:dyDescent="0.25">
      <c r="J14305"/>
      <c r="M14305"/>
      <c r="W14305"/>
    </row>
    <row r="14306" spans="10:23" x14ac:dyDescent="0.25">
      <c r="J14306"/>
      <c r="M14306"/>
      <c r="W14306"/>
    </row>
    <row r="14307" spans="10:23" x14ac:dyDescent="0.25">
      <c r="J14307"/>
      <c r="M14307"/>
      <c r="W14307"/>
    </row>
    <row r="14308" spans="10:23" x14ac:dyDescent="0.25">
      <c r="J14308"/>
      <c r="M14308"/>
      <c r="W14308"/>
    </row>
    <row r="14309" spans="10:23" x14ac:dyDescent="0.25">
      <c r="J14309"/>
      <c r="M14309"/>
      <c r="W14309"/>
    </row>
    <row r="14310" spans="10:23" x14ac:dyDescent="0.25">
      <c r="J14310"/>
      <c r="M14310"/>
      <c r="W14310"/>
    </row>
    <row r="14311" spans="10:23" x14ac:dyDescent="0.25">
      <c r="J14311"/>
      <c r="M14311"/>
      <c r="W14311"/>
    </row>
    <row r="14312" spans="10:23" x14ac:dyDescent="0.25">
      <c r="J14312"/>
      <c r="M14312"/>
      <c r="W14312"/>
    </row>
    <row r="14313" spans="10:23" x14ac:dyDescent="0.25">
      <c r="J14313"/>
      <c r="M14313"/>
      <c r="W14313"/>
    </row>
    <row r="14314" spans="10:23" x14ac:dyDescent="0.25">
      <c r="J14314"/>
      <c r="M14314"/>
      <c r="W14314"/>
    </row>
    <row r="14315" spans="10:23" x14ac:dyDescent="0.25">
      <c r="J14315"/>
      <c r="M14315"/>
      <c r="W14315"/>
    </row>
    <row r="14316" spans="10:23" x14ac:dyDescent="0.25">
      <c r="J14316"/>
      <c r="M14316"/>
      <c r="W14316"/>
    </row>
    <row r="14317" spans="10:23" x14ac:dyDescent="0.25">
      <c r="J14317"/>
      <c r="M14317"/>
      <c r="W14317"/>
    </row>
    <row r="14318" spans="10:23" x14ac:dyDescent="0.25">
      <c r="J14318"/>
      <c r="M14318"/>
      <c r="W14318"/>
    </row>
    <row r="14319" spans="10:23" x14ac:dyDescent="0.25">
      <c r="J14319"/>
      <c r="M14319"/>
      <c r="W14319"/>
    </row>
    <row r="14320" spans="10:23" x14ac:dyDescent="0.25">
      <c r="J14320"/>
      <c r="M14320"/>
      <c r="W14320"/>
    </row>
    <row r="14321" spans="10:23" x14ac:dyDescent="0.25">
      <c r="J14321"/>
      <c r="M14321"/>
      <c r="W14321"/>
    </row>
    <row r="14322" spans="10:23" x14ac:dyDescent="0.25">
      <c r="J14322"/>
      <c r="M14322"/>
      <c r="W14322"/>
    </row>
    <row r="14323" spans="10:23" x14ac:dyDescent="0.25">
      <c r="J14323"/>
      <c r="M14323"/>
      <c r="W14323"/>
    </row>
    <row r="14324" spans="10:23" x14ac:dyDescent="0.25">
      <c r="J14324"/>
      <c r="M14324"/>
      <c r="W14324"/>
    </row>
    <row r="14325" spans="10:23" x14ac:dyDescent="0.25">
      <c r="J14325"/>
      <c r="M14325"/>
      <c r="W14325"/>
    </row>
    <row r="14326" spans="10:23" x14ac:dyDescent="0.25">
      <c r="J14326"/>
      <c r="M14326"/>
      <c r="W14326"/>
    </row>
    <row r="14327" spans="10:23" x14ac:dyDescent="0.25">
      <c r="J14327"/>
      <c r="M14327"/>
      <c r="W14327"/>
    </row>
    <row r="14328" spans="10:23" x14ac:dyDescent="0.25">
      <c r="J14328"/>
      <c r="M14328"/>
      <c r="W14328"/>
    </row>
    <row r="14329" spans="10:23" x14ac:dyDescent="0.25">
      <c r="J14329"/>
      <c r="M14329"/>
      <c r="W14329"/>
    </row>
    <row r="14330" spans="10:23" x14ac:dyDescent="0.25">
      <c r="J14330"/>
      <c r="M14330"/>
      <c r="W14330"/>
    </row>
    <row r="14331" spans="10:23" x14ac:dyDescent="0.25">
      <c r="J14331"/>
      <c r="M14331"/>
      <c r="W14331"/>
    </row>
    <row r="14332" spans="10:23" x14ac:dyDescent="0.25">
      <c r="J14332"/>
      <c r="M14332"/>
      <c r="W14332"/>
    </row>
    <row r="14333" spans="10:23" x14ac:dyDescent="0.25">
      <c r="J14333"/>
      <c r="M14333"/>
      <c r="W14333"/>
    </row>
    <row r="14334" spans="10:23" x14ac:dyDescent="0.25">
      <c r="J14334"/>
      <c r="M14334"/>
      <c r="W14334"/>
    </row>
    <row r="14335" spans="10:23" x14ac:dyDescent="0.25">
      <c r="J14335"/>
      <c r="M14335"/>
      <c r="W14335"/>
    </row>
    <row r="14336" spans="10:23" x14ac:dyDescent="0.25">
      <c r="J14336"/>
      <c r="M14336"/>
      <c r="W14336"/>
    </row>
    <row r="14337" spans="10:23" x14ac:dyDescent="0.25">
      <c r="J14337"/>
      <c r="M14337"/>
      <c r="W14337"/>
    </row>
    <row r="14338" spans="10:23" x14ac:dyDescent="0.25">
      <c r="J14338"/>
      <c r="M14338"/>
      <c r="W14338"/>
    </row>
    <row r="14339" spans="10:23" x14ac:dyDescent="0.25">
      <c r="J14339"/>
      <c r="M14339"/>
      <c r="W14339"/>
    </row>
    <row r="14340" spans="10:23" x14ac:dyDescent="0.25">
      <c r="J14340"/>
      <c r="M14340"/>
      <c r="W14340"/>
    </row>
    <row r="14341" spans="10:23" x14ac:dyDescent="0.25">
      <c r="J14341"/>
      <c r="M14341"/>
      <c r="W14341"/>
    </row>
    <row r="14342" spans="10:23" x14ac:dyDescent="0.25">
      <c r="J14342"/>
      <c r="M14342"/>
      <c r="W14342"/>
    </row>
    <row r="14343" spans="10:23" x14ac:dyDescent="0.25">
      <c r="J14343"/>
      <c r="M14343"/>
      <c r="W14343"/>
    </row>
    <row r="14344" spans="10:23" x14ac:dyDescent="0.25">
      <c r="J14344"/>
      <c r="M14344"/>
      <c r="W14344"/>
    </row>
    <row r="14345" spans="10:23" x14ac:dyDescent="0.25">
      <c r="J14345"/>
      <c r="M14345"/>
      <c r="W14345"/>
    </row>
    <row r="14346" spans="10:23" x14ac:dyDescent="0.25">
      <c r="J14346"/>
      <c r="M14346"/>
      <c r="W14346"/>
    </row>
    <row r="14347" spans="10:23" x14ac:dyDescent="0.25">
      <c r="J14347"/>
      <c r="M14347"/>
      <c r="W14347"/>
    </row>
    <row r="14348" spans="10:23" x14ac:dyDescent="0.25">
      <c r="J14348"/>
      <c r="M14348"/>
      <c r="W14348"/>
    </row>
    <row r="14349" spans="10:23" x14ac:dyDescent="0.25">
      <c r="J14349"/>
      <c r="M14349"/>
      <c r="W14349"/>
    </row>
    <row r="14350" spans="10:23" x14ac:dyDescent="0.25">
      <c r="J14350"/>
      <c r="M14350"/>
      <c r="W14350"/>
    </row>
    <row r="14351" spans="10:23" x14ac:dyDescent="0.25">
      <c r="J14351"/>
      <c r="M14351"/>
      <c r="W14351"/>
    </row>
    <row r="14352" spans="10:23" x14ac:dyDescent="0.25">
      <c r="J14352"/>
      <c r="M14352"/>
      <c r="W14352"/>
    </row>
    <row r="14353" spans="10:23" x14ac:dyDescent="0.25">
      <c r="J14353"/>
      <c r="M14353"/>
      <c r="W14353"/>
    </row>
    <row r="14354" spans="10:23" x14ac:dyDescent="0.25">
      <c r="J14354"/>
      <c r="M14354"/>
      <c r="W14354"/>
    </row>
    <row r="14355" spans="10:23" x14ac:dyDescent="0.25">
      <c r="J14355"/>
      <c r="M14355"/>
      <c r="W14355"/>
    </row>
    <row r="14356" spans="10:23" x14ac:dyDescent="0.25">
      <c r="J14356"/>
      <c r="M14356"/>
      <c r="W14356"/>
    </row>
    <row r="14357" spans="10:23" x14ac:dyDescent="0.25">
      <c r="J14357"/>
      <c r="M14357"/>
      <c r="W14357"/>
    </row>
    <row r="14358" spans="10:23" x14ac:dyDescent="0.25">
      <c r="J14358"/>
      <c r="M14358"/>
      <c r="W14358"/>
    </row>
    <row r="14359" spans="10:23" x14ac:dyDescent="0.25">
      <c r="J14359"/>
      <c r="M14359"/>
      <c r="W14359"/>
    </row>
    <row r="14360" spans="10:23" x14ac:dyDescent="0.25">
      <c r="J14360"/>
      <c r="M14360"/>
      <c r="W14360"/>
    </row>
    <row r="14361" spans="10:23" x14ac:dyDescent="0.25">
      <c r="J14361"/>
      <c r="M14361"/>
      <c r="W14361"/>
    </row>
    <row r="14362" spans="10:23" x14ac:dyDescent="0.25">
      <c r="J14362"/>
      <c r="M14362"/>
      <c r="W14362"/>
    </row>
    <row r="14363" spans="10:23" x14ac:dyDescent="0.25">
      <c r="J14363"/>
      <c r="M14363"/>
      <c r="W14363"/>
    </row>
    <row r="14364" spans="10:23" x14ac:dyDescent="0.25">
      <c r="J14364"/>
      <c r="M14364"/>
      <c r="W14364"/>
    </row>
    <row r="14365" spans="10:23" x14ac:dyDescent="0.25">
      <c r="J14365"/>
      <c r="M14365"/>
      <c r="W14365"/>
    </row>
    <row r="14366" spans="10:23" x14ac:dyDescent="0.25">
      <c r="J14366"/>
      <c r="M14366"/>
      <c r="W14366"/>
    </row>
    <row r="14367" spans="10:23" x14ac:dyDescent="0.25">
      <c r="J14367"/>
      <c r="M14367"/>
      <c r="W14367"/>
    </row>
    <row r="14368" spans="10:23" x14ac:dyDescent="0.25">
      <c r="J14368"/>
      <c r="M14368"/>
      <c r="W14368"/>
    </row>
    <row r="14369" spans="10:23" x14ac:dyDescent="0.25">
      <c r="J14369"/>
      <c r="M14369"/>
      <c r="W14369"/>
    </row>
    <row r="14370" spans="10:23" x14ac:dyDescent="0.25">
      <c r="J14370"/>
      <c r="M14370"/>
      <c r="W14370"/>
    </row>
    <row r="14371" spans="10:23" x14ac:dyDescent="0.25">
      <c r="J14371"/>
      <c r="M14371"/>
      <c r="W14371"/>
    </row>
    <row r="14372" spans="10:23" x14ac:dyDescent="0.25">
      <c r="J14372"/>
      <c r="M14372"/>
      <c r="W14372"/>
    </row>
    <row r="14373" spans="10:23" x14ac:dyDescent="0.25">
      <c r="J14373"/>
      <c r="M14373"/>
      <c r="W14373"/>
    </row>
    <row r="14374" spans="10:23" x14ac:dyDescent="0.25">
      <c r="J14374"/>
      <c r="M14374"/>
      <c r="W14374"/>
    </row>
    <row r="14375" spans="10:23" x14ac:dyDescent="0.25">
      <c r="J14375"/>
      <c r="M14375"/>
      <c r="W14375"/>
    </row>
    <row r="14376" spans="10:23" x14ac:dyDescent="0.25">
      <c r="J14376"/>
      <c r="M14376"/>
      <c r="W14376"/>
    </row>
    <row r="14377" spans="10:23" x14ac:dyDescent="0.25">
      <c r="J14377"/>
      <c r="M14377"/>
      <c r="W14377"/>
    </row>
    <row r="14378" spans="10:23" x14ac:dyDescent="0.25">
      <c r="J14378"/>
      <c r="M14378"/>
      <c r="W14378"/>
    </row>
    <row r="14379" spans="10:23" x14ac:dyDescent="0.25">
      <c r="J14379"/>
      <c r="M14379"/>
      <c r="W14379"/>
    </row>
    <row r="14380" spans="10:23" x14ac:dyDescent="0.25">
      <c r="J14380"/>
      <c r="M14380"/>
      <c r="W14380"/>
    </row>
    <row r="14381" spans="10:23" x14ac:dyDescent="0.25">
      <c r="J14381"/>
      <c r="M14381"/>
      <c r="W14381"/>
    </row>
    <row r="14382" spans="10:23" x14ac:dyDescent="0.25">
      <c r="J14382"/>
      <c r="M14382"/>
      <c r="W14382"/>
    </row>
    <row r="14383" spans="10:23" x14ac:dyDescent="0.25">
      <c r="J14383"/>
      <c r="M14383"/>
      <c r="W14383"/>
    </row>
    <row r="14384" spans="10:23" x14ac:dyDescent="0.25">
      <c r="J14384"/>
      <c r="M14384"/>
      <c r="W14384"/>
    </row>
    <row r="14385" spans="10:23" x14ac:dyDescent="0.25">
      <c r="J14385"/>
      <c r="M14385"/>
      <c r="W14385"/>
    </row>
    <row r="14386" spans="10:23" x14ac:dyDescent="0.25">
      <c r="J14386"/>
      <c r="M14386"/>
      <c r="W14386"/>
    </row>
    <row r="14387" spans="10:23" x14ac:dyDescent="0.25">
      <c r="J14387"/>
      <c r="M14387"/>
      <c r="W14387"/>
    </row>
    <row r="14388" spans="10:23" x14ac:dyDescent="0.25">
      <c r="J14388"/>
      <c r="M14388"/>
      <c r="W14388"/>
    </row>
    <row r="14389" spans="10:23" x14ac:dyDescent="0.25">
      <c r="J14389"/>
      <c r="M14389"/>
      <c r="W14389"/>
    </row>
    <row r="14390" spans="10:23" x14ac:dyDescent="0.25">
      <c r="J14390"/>
      <c r="M14390"/>
      <c r="W14390"/>
    </row>
    <row r="14391" spans="10:23" x14ac:dyDescent="0.25">
      <c r="J14391"/>
      <c r="M14391"/>
      <c r="W14391"/>
    </row>
    <row r="14392" spans="10:23" x14ac:dyDescent="0.25">
      <c r="J14392"/>
      <c r="M14392"/>
      <c r="W14392"/>
    </row>
    <row r="14393" spans="10:23" x14ac:dyDescent="0.25">
      <c r="J14393"/>
      <c r="M14393"/>
      <c r="W14393"/>
    </row>
    <row r="14394" spans="10:23" x14ac:dyDescent="0.25">
      <c r="J14394"/>
      <c r="M14394"/>
      <c r="W14394"/>
    </row>
    <row r="14395" spans="10:23" x14ac:dyDescent="0.25">
      <c r="J14395"/>
      <c r="M14395"/>
      <c r="W14395"/>
    </row>
    <row r="14396" spans="10:23" x14ac:dyDescent="0.25">
      <c r="J14396"/>
      <c r="M14396"/>
      <c r="W14396"/>
    </row>
    <row r="14397" spans="10:23" x14ac:dyDescent="0.25">
      <c r="J14397"/>
      <c r="M14397"/>
      <c r="W14397"/>
    </row>
    <row r="14398" spans="10:23" x14ac:dyDescent="0.25">
      <c r="J14398"/>
      <c r="M14398"/>
      <c r="W14398"/>
    </row>
    <row r="14399" spans="10:23" x14ac:dyDescent="0.25">
      <c r="J14399"/>
      <c r="M14399"/>
      <c r="W14399"/>
    </row>
    <row r="14400" spans="10:23" x14ac:dyDescent="0.25">
      <c r="J14400"/>
      <c r="M14400"/>
      <c r="W14400"/>
    </row>
    <row r="14401" spans="10:23" x14ac:dyDescent="0.25">
      <c r="J14401"/>
      <c r="M14401"/>
      <c r="W14401"/>
    </row>
    <row r="14402" spans="10:23" x14ac:dyDescent="0.25">
      <c r="J14402"/>
      <c r="M14402"/>
      <c r="W14402"/>
    </row>
    <row r="14403" spans="10:23" x14ac:dyDescent="0.25">
      <c r="J14403"/>
      <c r="M14403"/>
      <c r="W14403"/>
    </row>
    <row r="14404" spans="10:23" x14ac:dyDescent="0.25">
      <c r="J14404"/>
      <c r="M14404"/>
      <c r="W14404"/>
    </row>
    <row r="14405" spans="10:23" x14ac:dyDescent="0.25">
      <c r="J14405"/>
      <c r="M14405"/>
      <c r="W14405"/>
    </row>
    <row r="14406" spans="10:23" x14ac:dyDescent="0.25">
      <c r="J14406"/>
      <c r="M14406"/>
      <c r="W14406"/>
    </row>
    <row r="14407" spans="10:23" x14ac:dyDescent="0.25">
      <c r="J14407"/>
      <c r="M14407"/>
      <c r="W14407"/>
    </row>
    <row r="14408" spans="10:23" x14ac:dyDescent="0.25">
      <c r="J14408"/>
      <c r="M14408"/>
      <c r="W14408"/>
    </row>
    <row r="14409" spans="10:23" x14ac:dyDescent="0.25">
      <c r="J14409"/>
      <c r="M14409"/>
      <c r="W14409"/>
    </row>
    <row r="14410" spans="10:23" x14ac:dyDescent="0.25">
      <c r="J14410"/>
      <c r="M14410"/>
      <c r="W14410"/>
    </row>
    <row r="14411" spans="10:23" x14ac:dyDescent="0.25">
      <c r="J14411"/>
      <c r="M14411"/>
      <c r="W14411"/>
    </row>
    <row r="14412" spans="10:23" x14ac:dyDescent="0.25">
      <c r="J14412"/>
      <c r="M14412"/>
      <c r="W14412"/>
    </row>
    <row r="14413" spans="10:23" x14ac:dyDescent="0.25">
      <c r="J14413"/>
      <c r="M14413"/>
      <c r="W14413"/>
    </row>
    <row r="14414" spans="10:23" x14ac:dyDescent="0.25">
      <c r="J14414"/>
      <c r="M14414"/>
      <c r="W14414"/>
    </row>
    <row r="14415" spans="10:23" x14ac:dyDescent="0.25">
      <c r="J14415"/>
      <c r="M14415"/>
      <c r="W14415"/>
    </row>
    <row r="14416" spans="10:23" x14ac:dyDescent="0.25">
      <c r="J14416"/>
      <c r="M14416"/>
      <c r="W14416"/>
    </row>
    <row r="14417" spans="10:23" x14ac:dyDescent="0.25">
      <c r="J14417"/>
      <c r="M14417"/>
      <c r="W14417"/>
    </row>
    <row r="14418" spans="10:23" x14ac:dyDescent="0.25">
      <c r="J14418"/>
      <c r="M14418"/>
      <c r="W14418"/>
    </row>
    <row r="14419" spans="10:23" x14ac:dyDescent="0.25">
      <c r="J14419"/>
      <c r="M14419"/>
      <c r="W14419"/>
    </row>
    <row r="14420" spans="10:23" x14ac:dyDescent="0.25">
      <c r="J14420"/>
      <c r="M14420"/>
      <c r="W14420"/>
    </row>
    <row r="14421" spans="10:23" x14ac:dyDescent="0.25">
      <c r="J14421"/>
      <c r="M14421"/>
      <c r="W14421"/>
    </row>
    <row r="14422" spans="10:23" x14ac:dyDescent="0.25">
      <c r="J14422"/>
      <c r="M14422"/>
      <c r="W14422"/>
    </row>
    <row r="14423" spans="10:23" x14ac:dyDescent="0.25">
      <c r="J14423"/>
      <c r="M14423"/>
      <c r="W14423"/>
    </row>
    <row r="14424" spans="10:23" x14ac:dyDescent="0.25">
      <c r="J14424"/>
      <c r="M14424"/>
      <c r="W14424"/>
    </row>
    <row r="14425" spans="10:23" x14ac:dyDescent="0.25">
      <c r="J14425"/>
      <c r="M14425"/>
      <c r="W14425"/>
    </row>
    <row r="14426" spans="10:23" x14ac:dyDescent="0.25">
      <c r="J14426"/>
      <c r="M14426"/>
      <c r="W14426"/>
    </row>
    <row r="14427" spans="10:23" x14ac:dyDescent="0.25">
      <c r="J14427"/>
      <c r="M14427"/>
      <c r="W14427"/>
    </row>
    <row r="14428" spans="10:23" x14ac:dyDescent="0.25">
      <c r="J14428"/>
      <c r="M14428"/>
      <c r="W14428"/>
    </row>
    <row r="14429" spans="10:23" x14ac:dyDescent="0.25">
      <c r="J14429"/>
      <c r="M14429"/>
      <c r="W14429"/>
    </row>
    <row r="14430" spans="10:23" x14ac:dyDescent="0.25">
      <c r="J14430"/>
      <c r="M14430"/>
      <c r="W14430"/>
    </row>
    <row r="14431" spans="10:23" x14ac:dyDescent="0.25">
      <c r="J14431"/>
      <c r="M14431"/>
      <c r="W14431"/>
    </row>
    <row r="14432" spans="10:23" x14ac:dyDescent="0.25">
      <c r="J14432"/>
      <c r="M14432"/>
      <c r="W14432"/>
    </row>
    <row r="14433" spans="10:23" x14ac:dyDescent="0.25">
      <c r="J14433"/>
      <c r="M14433"/>
      <c r="W14433"/>
    </row>
    <row r="14434" spans="10:23" x14ac:dyDescent="0.25">
      <c r="J14434"/>
      <c r="M14434"/>
      <c r="W14434"/>
    </row>
    <row r="14435" spans="10:23" x14ac:dyDescent="0.25">
      <c r="J14435"/>
      <c r="M14435"/>
      <c r="W14435"/>
    </row>
    <row r="14436" spans="10:23" x14ac:dyDescent="0.25">
      <c r="J14436"/>
      <c r="M14436"/>
      <c r="W14436"/>
    </row>
    <row r="14437" spans="10:23" x14ac:dyDescent="0.25">
      <c r="J14437"/>
      <c r="M14437"/>
      <c r="W14437"/>
    </row>
    <row r="14438" spans="10:23" x14ac:dyDescent="0.25">
      <c r="J14438"/>
      <c r="M14438"/>
      <c r="W14438"/>
    </row>
    <row r="14439" spans="10:23" x14ac:dyDescent="0.25">
      <c r="J14439"/>
      <c r="M14439"/>
      <c r="W14439"/>
    </row>
    <row r="14440" spans="10:23" x14ac:dyDescent="0.25">
      <c r="J14440"/>
      <c r="M14440"/>
      <c r="W14440"/>
    </row>
    <row r="14441" spans="10:23" x14ac:dyDescent="0.25">
      <c r="J14441"/>
      <c r="M14441"/>
      <c r="W14441"/>
    </row>
    <row r="14442" spans="10:23" x14ac:dyDescent="0.25">
      <c r="J14442"/>
      <c r="M14442"/>
      <c r="W14442"/>
    </row>
    <row r="14443" spans="10:23" x14ac:dyDescent="0.25">
      <c r="J14443"/>
      <c r="M14443"/>
      <c r="W14443"/>
    </row>
    <row r="14444" spans="10:23" x14ac:dyDescent="0.25">
      <c r="J14444"/>
      <c r="M14444"/>
      <c r="W14444"/>
    </row>
    <row r="14445" spans="10:23" x14ac:dyDescent="0.25">
      <c r="J14445"/>
      <c r="M14445"/>
      <c r="W14445"/>
    </row>
    <row r="14446" spans="10:23" x14ac:dyDescent="0.25">
      <c r="J14446"/>
      <c r="M14446"/>
      <c r="W14446"/>
    </row>
    <row r="14447" spans="10:23" x14ac:dyDescent="0.25">
      <c r="J14447"/>
      <c r="M14447"/>
      <c r="W14447"/>
    </row>
    <row r="14448" spans="10:23" x14ac:dyDescent="0.25">
      <c r="J14448"/>
      <c r="M14448"/>
      <c r="W14448"/>
    </row>
    <row r="14449" spans="10:23" x14ac:dyDescent="0.25">
      <c r="J14449"/>
      <c r="M14449"/>
      <c r="W14449"/>
    </row>
    <row r="14450" spans="10:23" x14ac:dyDescent="0.25">
      <c r="J14450"/>
      <c r="M14450"/>
      <c r="W14450"/>
    </row>
    <row r="14451" spans="10:23" x14ac:dyDescent="0.25">
      <c r="J14451"/>
      <c r="M14451"/>
      <c r="W14451"/>
    </row>
    <row r="14452" spans="10:23" x14ac:dyDescent="0.25">
      <c r="J14452"/>
      <c r="M14452"/>
      <c r="W14452"/>
    </row>
    <row r="14453" spans="10:23" x14ac:dyDescent="0.25">
      <c r="J14453"/>
      <c r="M14453"/>
      <c r="W14453"/>
    </row>
    <row r="14454" spans="10:23" x14ac:dyDescent="0.25">
      <c r="J14454"/>
      <c r="M14454"/>
      <c r="W14454"/>
    </row>
    <row r="14455" spans="10:23" x14ac:dyDescent="0.25">
      <c r="J14455"/>
      <c r="M14455"/>
      <c r="W14455"/>
    </row>
    <row r="14456" spans="10:23" x14ac:dyDescent="0.25">
      <c r="J14456"/>
      <c r="M14456"/>
      <c r="W14456"/>
    </row>
    <row r="14457" spans="10:23" x14ac:dyDescent="0.25">
      <c r="J14457"/>
      <c r="M14457"/>
      <c r="W14457"/>
    </row>
    <row r="14458" spans="10:23" x14ac:dyDescent="0.25">
      <c r="J14458"/>
      <c r="M14458"/>
      <c r="W14458"/>
    </row>
    <row r="14459" spans="10:23" x14ac:dyDescent="0.25">
      <c r="J14459"/>
      <c r="M14459"/>
      <c r="W14459"/>
    </row>
    <row r="14460" spans="10:23" x14ac:dyDescent="0.25">
      <c r="J14460"/>
      <c r="M14460"/>
      <c r="W14460"/>
    </row>
    <row r="14461" spans="10:23" x14ac:dyDescent="0.25">
      <c r="J14461"/>
      <c r="M14461"/>
      <c r="W14461"/>
    </row>
    <row r="14462" spans="10:23" x14ac:dyDescent="0.25">
      <c r="J14462"/>
      <c r="M14462"/>
      <c r="W14462"/>
    </row>
    <row r="14463" spans="10:23" x14ac:dyDescent="0.25">
      <c r="J14463"/>
      <c r="M14463"/>
      <c r="W14463"/>
    </row>
    <row r="14464" spans="10:23" x14ac:dyDescent="0.25">
      <c r="J14464"/>
      <c r="M14464"/>
      <c r="W14464"/>
    </row>
    <row r="14465" spans="10:23" x14ac:dyDescent="0.25">
      <c r="J14465"/>
      <c r="M14465"/>
      <c r="W14465"/>
    </row>
    <row r="14466" spans="10:23" x14ac:dyDescent="0.25">
      <c r="J14466"/>
      <c r="M14466"/>
      <c r="W14466"/>
    </row>
    <row r="14467" spans="10:23" x14ac:dyDescent="0.25">
      <c r="J14467"/>
      <c r="M14467"/>
      <c r="W14467"/>
    </row>
    <row r="14468" spans="10:23" x14ac:dyDescent="0.25">
      <c r="J14468"/>
      <c r="M14468"/>
      <c r="W14468"/>
    </row>
    <row r="14469" spans="10:23" x14ac:dyDescent="0.25">
      <c r="J14469"/>
      <c r="M14469"/>
      <c r="W14469"/>
    </row>
    <row r="14470" spans="10:23" x14ac:dyDescent="0.25">
      <c r="J14470"/>
      <c r="M14470"/>
      <c r="W14470"/>
    </row>
    <row r="14471" spans="10:23" x14ac:dyDescent="0.25">
      <c r="J14471"/>
      <c r="M14471"/>
      <c r="W14471"/>
    </row>
    <row r="14472" spans="10:23" x14ac:dyDescent="0.25">
      <c r="J14472"/>
      <c r="M14472"/>
      <c r="W14472"/>
    </row>
    <row r="14473" spans="10:23" x14ac:dyDescent="0.25">
      <c r="J14473"/>
      <c r="M14473"/>
      <c r="W14473"/>
    </row>
    <row r="14474" spans="10:23" x14ac:dyDescent="0.25">
      <c r="J14474"/>
      <c r="M14474"/>
      <c r="W14474"/>
    </row>
    <row r="14475" spans="10:23" x14ac:dyDescent="0.25">
      <c r="J14475"/>
      <c r="M14475"/>
      <c r="W14475"/>
    </row>
    <row r="14476" spans="10:23" x14ac:dyDescent="0.25">
      <c r="J14476"/>
      <c r="M14476"/>
      <c r="W14476"/>
    </row>
    <row r="14477" spans="10:23" x14ac:dyDescent="0.25">
      <c r="J14477"/>
      <c r="M14477"/>
      <c r="W14477"/>
    </row>
    <row r="14478" spans="10:23" x14ac:dyDescent="0.25">
      <c r="J14478"/>
      <c r="M14478"/>
      <c r="W14478"/>
    </row>
    <row r="14479" spans="10:23" x14ac:dyDescent="0.25">
      <c r="J14479"/>
      <c r="M14479"/>
      <c r="W14479"/>
    </row>
    <row r="14480" spans="10:23" x14ac:dyDescent="0.25">
      <c r="J14480"/>
      <c r="M14480"/>
      <c r="W14480"/>
    </row>
    <row r="14481" spans="10:23" x14ac:dyDescent="0.25">
      <c r="J14481"/>
      <c r="M14481"/>
      <c r="W14481"/>
    </row>
    <row r="14482" spans="10:23" x14ac:dyDescent="0.25">
      <c r="J14482"/>
      <c r="M14482"/>
      <c r="W14482"/>
    </row>
    <row r="14483" spans="10:23" x14ac:dyDescent="0.25">
      <c r="J14483"/>
      <c r="M14483"/>
      <c r="W14483"/>
    </row>
    <row r="14484" spans="10:23" x14ac:dyDescent="0.25">
      <c r="J14484"/>
      <c r="M14484"/>
      <c r="W14484"/>
    </row>
    <row r="14485" spans="10:23" x14ac:dyDescent="0.25">
      <c r="J14485"/>
      <c r="M14485"/>
      <c r="W14485"/>
    </row>
    <row r="14486" spans="10:23" x14ac:dyDescent="0.25">
      <c r="J14486"/>
      <c r="M14486"/>
      <c r="W14486"/>
    </row>
    <row r="14487" spans="10:23" x14ac:dyDescent="0.25">
      <c r="J14487"/>
      <c r="M14487"/>
      <c r="W14487"/>
    </row>
    <row r="14488" spans="10:23" x14ac:dyDescent="0.25">
      <c r="J14488"/>
      <c r="M14488"/>
      <c r="W14488"/>
    </row>
    <row r="14489" spans="10:23" x14ac:dyDescent="0.25">
      <c r="J14489"/>
      <c r="M14489"/>
      <c r="W14489"/>
    </row>
    <row r="14490" spans="10:23" x14ac:dyDescent="0.25">
      <c r="J14490"/>
      <c r="M14490"/>
      <c r="W14490"/>
    </row>
    <row r="14491" spans="10:23" x14ac:dyDescent="0.25">
      <c r="J14491"/>
      <c r="M14491"/>
      <c r="W14491"/>
    </row>
    <row r="14492" spans="10:23" x14ac:dyDescent="0.25">
      <c r="J14492"/>
      <c r="M14492"/>
      <c r="W14492"/>
    </row>
    <row r="14493" spans="10:23" x14ac:dyDescent="0.25">
      <c r="J14493"/>
      <c r="M14493"/>
      <c r="W14493"/>
    </row>
    <row r="14494" spans="10:23" x14ac:dyDescent="0.25">
      <c r="J14494"/>
      <c r="M14494"/>
      <c r="W14494"/>
    </row>
    <row r="14495" spans="10:23" x14ac:dyDescent="0.25">
      <c r="J14495"/>
      <c r="M14495"/>
      <c r="W14495"/>
    </row>
    <row r="14496" spans="10:23" x14ac:dyDescent="0.25">
      <c r="J14496"/>
      <c r="M14496"/>
      <c r="W14496"/>
    </row>
    <row r="14497" spans="10:23" x14ac:dyDescent="0.25">
      <c r="J14497"/>
      <c r="M14497"/>
      <c r="W14497"/>
    </row>
    <row r="14498" spans="10:23" x14ac:dyDescent="0.25">
      <c r="J14498"/>
      <c r="M14498"/>
      <c r="W14498"/>
    </row>
    <row r="14499" spans="10:23" x14ac:dyDescent="0.25">
      <c r="J14499"/>
      <c r="M14499"/>
      <c r="W14499"/>
    </row>
    <row r="14500" spans="10:23" x14ac:dyDescent="0.25">
      <c r="J14500"/>
      <c r="M14500"/>
      <c r="W14500"/>
    </row>
    <row r="14501" spans="10:23" x14ac:dyDescent="0.25">
      <c r="J14501"/>
      <c r="M14501"/>
      <c r="W14501"/>
    </row>
    <row r="14502" spans="10:23" x14ac:dyDescent="0.25">
      <c r="J14502"/>
      <c r="M14502"/>
      <c r="W14502"/>
    </row>
    <row r="14503" spans="10:23" x14ac:dyDescent="0.25">
      <c r="J14503"/>
      <c r="M14503"/>
      <c r="W14503"/>
    </row>
    <row r="14504" spans="10:23" x14ac:dyDescent="0.25">
      <c r="J14504"/>
      <c r="M14504"/>
      <c r="W14504"/>
    </row>
    <row r="14505" spans="10:23" x14ac:dyDescent="0.25">
      <c r="J14505"/>
      <c r="M14505"/>
      <c r="W14505"/>
    </row>
    <row r="14506" spans="10:23" x14ac:dyDescent="0.25">
      <c r="J14506"/>
      <c r="M14506"/>
      <c r="W14506"/>
    </row>
    <row r="14507" spans="10:23" x14ac:dyDescent="0.25">
      <c r="J14507"/>
      <c r="M14507"/>
      <c r="W14507"/>
    </row>
    <row r="14508" spans="10:23" x14ac:dyDescent="0.25">
      <c r="J14508"/>
      <c r="M14508"/>
      <c r="W14508"/>
    </row>
    <row r="14509" spans="10:23" x14ac:dyDescent="0.25">
      <c r="J14509"/>
      <c r="M14509"/>
      <c r="W14509"/>
    </row>
    <row r="14510" spans="10:23" x14ac:dyDescent="0.25">
      <c r="J14510"/>
      <c r="M14510"/>
      <c r="W14510"/>
    </row>
    <row r="14511" spans="10:23" x14ac:dyDescent="0.25">
      <c r="J14511"/>
      <c r="M14511"/>
      <c r="W14511"/>
    </row>
    <row r="14512" spans="10:23" x14ac:dyDescent="0.25">
      <c r="J14512"/>
      <c r="M14512"/>
      <c r="W14512"/>
    </row>
    <row r="14513" spans="10:23" x14ac:dyDescent="0.25">
      <c r="J14513"/>
      <c r="M14513"/>
      <c r="W14513"/>
    </row>
    <row r="14514" spans="10:23" x14ac:dyDescent="0.25">
      <c r="J14514"/>
      <c r="M14514"/>
      <c r="W14514"/>
    </row>
    <row r="14515" spans="10:23" x14ac:dyDescent="0.25">
      <c r="J14515"/>
      <c r="M14515"/>
      <c r="W14515"/>
    </row>
    <row r="14516" spans="10:23" x14ac:dyDescent="0.25">
      <c r="J14516"/>
      <c r="M14516"/>
      <c r="W14516"/>
    </row>
    <row r="14517" spans="10:23" x14ac:dyDescent="0.25">
      <c r="J14517"/>
      <c r="M14517"/>
      <c r="W14517"/>
    </row>
    <row r="14518" spans="10:23" x14ac:dyDescent="0.25">
      <c r="J14518"/>
      <c r="M14518"/>
      <c r="W14518"/>
    </row>
    <row r="14519" spans="10:23" x14ac:dyDescent="0.25">
      <c r="J14519"/>
      <c r="M14519"/>
      <c r="W14519"/>
    </row>
    <row r="14520" spans="10:23" x14ac:dyDescent="0.25">
      <c r="J14520"/>
      <c r="M14520"/>
      <c r="W14520"/>
    </row>
    <row r="14521" spans="10:23" x14ac:dyDescent="0.25">
      <c r="J14521"/>
      <c r="M14521"/>
      <c r="W14521"/>
    </row>
    <row r="14522" spans="10:23" x14ac:dyDescent="0.25">
      <c r="J14522"/>
      <c r="M14522"/>
      <c r="W14522"/>
    </row>
    <row r="14523" spans="10:23" x14ac:dyDescent="0.25">
      <c r="J14523"/>
      <c r="M14523"/>
      <c r="W14523"/>
    </row>
    <row r="14524" spans="10:23" x14ac:dyDescent="0.25">
      <c r="J14524"/>
      <c r="M14524"/>
      <c r="W14524"/>
    </row>
    <row r="14525" spans="10:23" x14ac:dyDescent="0.25">
      <c r="J14525"/>
      <c r="M14525"/>
      <c r="W14525"/>
    </row>
    <row r="14526" spans="10:23" x14ac:dyDescent="0.25">
      <c r="J14526"/>
      <c r="M14526"/>
      <c r="W14526"/>
    </row>
    <row r="14527" spans="10:23" x14ac:dyDescent="0.25">
      <c r="J14527"/>
      <c r="M14527"/>
      <c r="W14527"/>
    </row>
    <row r="14528" spans="10:23" x14ac:dyDescent="0.25">
      <c r="J14528"/>
      <c r="M14528"/>
      <c r="W14528"/>
    </row>
    <row r="14529" spans="10:23" x14ac:dyDescent="0.25">
      <c r="J14529"/>
      <c r="M14529"/>
      <c r="W14529"/>
    </row>
    <row r="14530" spans="10:23" x14ac:dyDescent="0.25">
      <c r="J14530"/>
      <c r="M14530"/>
      <c r="W14530"/>
    </row>
    <row r="14531" spans="10:23" x14ac:dyDescent="0.25">
      <c r="J14531"/>
      <c r="M14531"/>
      <c r="W14531"/>
    </row>
    <row r="14532" spans="10:23" x14ac:dyDescent="0.25">
      <c r="J14532"/>
      <c r="M14532"/>
      <c r="W14532"/>
    </row>
    <row r="14533" spans="10:23" x14ac:dyDescent="0.25">
      <c r="J14533"/>
      <c r="M14533"/>
      <c r="W14533"/>
    </row>
    <row r="14534" spans="10:23" x14ac:dyDescent="0.25">
      <c r="J14534"/>
      <c r="M14534"/>
      <c r="W14534"/>
    </row>
    <row r="14535" spans="10:23" x14ac:dyDescent="0.25">
      <c r="J14535"/>
      <c r="M14535"/>
      <c r="W14535"/>
    </row>
    <row r="14536" spans="10:23" x14ac:dyDescent="0.25">
      <c r="J14536"/>
      <c r="M14536"/>
      <c r="W14536"/>
    </row>
    <row r="14537" spans="10:23" x14ac:dyDescent="0.25">
      <c r="J14537"/>
      <c r="M14537"/>
      <c r="W14537"/>
    </row>
    <row r="14538" spans="10:23" x14ac:dyDescent="0.25">
      <c r="J14538"/>
      <c r="M14538"/>
      <c r="W14538"/>
    </row>
    <row r="14539" spans="10:23" x14ac:dyDescent="0.25">
      <c r="J14539"/>
      <c r="M14539"/>
      <c r="W14539"/>
    </row>
    <row r="14540" spans="10:23" x14ac:dyDescent="0.25">
      <c r="J14540"/>
      <c r="M14540"/>
      <c r="W14540"/>
    </row>
    <row r="14541" spans="10:23" x14ac:dyDescent="0.25">
      <c r="J14541"/>
      <c r="M14541"/>
      <c r="W14541"/>
    </row>
    <row r="14542" spans="10:23" x14ac:dyDescent="0.25">
      <c r="J14542"/>
      <c r="M14542"/>
      <c r="W14542"/>
    </row>
    <row r="14543" spans="10:23" x14ac:dyDescent="0.25">
      <c r="J14543"/>
      <c r="M14543"/>
      <c r="W14543"/>
    </row>
    <row r="14544" spans="10:23" x14ac:dyDescent="0.25">
      <c r="J14544"/>
      <c r="M14544"/>
      <c r="W14544"/>
    </row>
    <row r="14545" spans="10:23" x14ac:dyDescent="0.25">
      <c r="J14545"/>
      <c r="M14545"/>
      <c r="W14545"/>
    </row>
    <row r="14546" spans="10:23" x14ac:dyDescent="0.25">
      <c r="J14546"/>
      <c r="M14546"/>
      <c r="W14546"/>
    </row>
    <row r="14547" spans="10:23" x14ac:dyDescent="0.25">
      <c r="J14547"/>
      <c r="M14547"/>
      <c r="W14547"/>
    </row>
    <row r="14548" spans="10:23" x14ac:dyDescent="0.25">
      <c r="J14548"/>
      <c r="M14548"/>
      <c r="W14548"/>
    </row>
    <row r="14549" spans="10:23" x14ac:dyDescent="0.25">
      <c r="J14549"/>
      <c r="M14549"/>
      <c r="W14549"/>
    </row>
    <row r="14550" spans="10:23" x14ac:dyDescent="0.25">
      <c r="J14550"/>
      <c r="M14550"/>
      <c r="W14550"/>
    </row>
    <row r="14551" spans="10:23" x14ac:dyDescent="0.25">
      <c r="J14551"/>
      <c r="M14551"/>
      <c r="W14551"/>
    </row>
    <row r="14552" spans="10:23" x14ac:dyDescent="0.25">
      <c r="J14552"/>
      <c r="M14552"/>
      <c r="W14552"/>
    </row>
    <row r="14553" spans="10:23" x14ac:dyDescent="0.25">
      <c r="J14553"/>
      <c r="M14553"/>
      <c r="W14553"/>
    </row>
    <row r="14554" spans="10:23" x14ac:dyDescent="0.25">
      <c r="J14554"/>
      <c r="M14554"/>
      <c r="W14554"/>
    </row>
    <row r="14555" spans="10:23" x14ac:dyDescent="0.25">
      <c r="J14555"/>
      <c r="M14555"/>
      <c r="W14555"/>
    </row>
    <row r="14556" spans="10:23" x14ac:dyDescent="0.25">
      <c r="J14556"/>
      <c r="M14556"/>
      <c r="W14556"/>
    </row>
    <row r="14557" spans="10:23" x14ac:dyDescent="0.25">
      <c r="J14557"/>
      <c r="M14557"/>
      <c r="W14557"/>
    </row>
    <row r="14558" spans="10:23" x14ac:dyDescent="0.25">
      <c r="J14558"/>
      <c r="M14558"/>
      <c r="W14558"/>
    </row>
    <row r="14559" spans="10:23" x14ac:dyDescent="0.25">
      <c r="J14559"/>
      <c r="M14559"/>
      <c r="W14559"/>
    </row>
    <row r="14560" spans="10:23" x14ac:dyDescent="0.25">
      <c r="J14560"/>
      <c r="M14560"/>
      <c r="W14560"/>
    </row>
    <row r="14561" spans="10:23" x14ac:dyDescent="0.25">
      <c r="J14561"/>
      <c r="M14561"/>
      <c r="W14561"/>
    </row>
    <row r="14562" spans="10:23" x14ac:dyDescent="0.25">
      <c r="J14562"/>
      <c r="M14562"/>
      <c r="W14562"/>
    </row>
    <row r="14563" spans="10:23" x14ac:dyDescent="0.25">
      <c r="J14563"/>
      <c r="M14563"/>
      <c r="W14563"/>
    </row>
    <row r="14564" spans="10:23" x14ac:dyDescent="0.25">
      <c r="J14564"/>
      <c r="M14564"/>
      <c r="W14564"/>
    </row>
    <row r="14565" spans="10:23" x14ac:dyDescent="0.25">
      <c r="J14565"/>
      <c r="M14565"/>
      <c r="W14565"/>
    </row>
    <row r="14566" spans="10:23" x14ac:dyDescent="0.25">
      <c r="J14566"/>
      <c r="M14566"/>
      <c r="W14566"/>
    </row>
    <row r="14567" spans="10:23" x14ac:dyDescent="0.25">
      <c r="J14567"/>
      <c r="M14567"/>
      <c r="W14567"/>
    </row>
    <row r="14568" spans="10:23" x14ac:dyDescent="0.25">
      <c r="J14568"/>
      <c r="M14568"/>
      <c r="W14568"/>
    </row>
    <row r="14569" spans="10:23" x14ac:dyDescent="0.25">
      <c r="J14569"/>
      <c r="M14569"/>
      <c r="W14569"/>
    </row>
    <row r="14570" spans="10:23" x14ac:dyDescent="0.25">
      <c r="J14570"/>
      <c r="M14570"/>
      <c r="W14570"/>
    </row>
    <row r="14571" spans="10:23" x14ac:dyDescent="0.25">
      <c r="J14571"/>
      <c r="M14571"/>
      <c r="W14571"/>
    </row>
    <row r="14572" spans="10:23" x14ac:dyDescent="0.25">
      <c r="J14572"/>
      <c r="M14572"/>
      <c r="W14572"/>
    </row>
    <row r="14573" spans="10:23" x14ac:dyDescent="0.25">
      <c r="J14573"/>
      <c r="M14573"/>
      <c r="W14573"/>
    </row>
    <row r="14574" spans="10:23" x14ac:dyDescent="0.25">
      <c r="J14574"/>
      <c r="M14574"/>
      <c r="W14574"/>
    </row>
    <row r="14575" spans="10:23" x14ac:dyDescent="0.25">
      <c r="J14575"/>
      <c r="M14575"/>
      <c r="W14575"/>
    </row>
    <row r="14576" spans="10:23" x14ac:dyDescent="0.25">
      <c r="J14576"/>
      <c r="M14576"/>
      <c r="W14576"/>
    </row>
    <row r="14577" spans="10:23" x14ac:dyDescent="0.25">
      <c r="J14577"/>
      <c r="M14577"/>
      <c r="W14577"/>
    </row>
    <row r="14578" spans="10:23" x14ac:dyDescent="0.25">
      <c r="J14578"/>
      <c r="M14578"/>
      <c r="W14578"/>
    </row>
    <row r="14579" spans="10:23" x14ac:dyDescent="0.25">
      <c r="J14579"/>
      <c r="M14579"/>
      <c r="W14579"/>
    </row>
    <row r="14580" spans="10:23" x14ac:dyDescent="0.25">
      <c r="J14580"/>
      <c r="M14580"/>
      <c r="W14580"/>
    </row>
    <row r="14581" spans="10:23" x14ac:dyDescent="0.25">
      <c r="J14581"/>
      <c r="M14581"/>
      <c r="W14581"/>
    </row>
    <row r="14582" spans="10:23" x14ac:dyDescent="0.25">
      <c r="J14582"/>
      <c r="M14582"/>
      <c r="W14582"/>
    </row>
    <row r="14583" spans="10:23" x14ac:dyDescent="0.25">
      <c r="J14583"/>
      <c r="M14583"/>
      <c r="W14583"/>
    </row>
    <row r="14584" spans="10:23" x14ac:dyDescent="0.25">
      <c r="J14584"/>
      <c r="M14584"/>
      <c r="W14584"/>
    </row>
    <row r="14585" spans="10:23" x14ac:dyDescent="0.25">
      <c r="J14585"/>
      <c r="M14585"/>
      <c r="W14585"/>
    </row>
    <row r="14586" spans="10:23" x14ac:dyDescent="0.25">
      <c r="J14586"/>
      <c r="M14586"/>
      <c r="W14586"/>
    </row>
    <row r="14587" spans="10:23" x14ac:dyDescent="0.25">
      <c r="J14587"/>
      <c r="M14587"/>
      <c r="W14587"/>
    </row>
    <row r="14588" spans="10:23" x14ac:dyDescent="0.25">
      <c r="J14588"/>
      <c r="M14588"/>
      <c r="W14588"/>
    </row>
    <row r="14589" spans="10:23" x14ac:dyDescent="0.25">
      <c r="J14589"/>
      <c r="M14589"/>
      <c r="W14589"/>
    </row>
    <row r="14590" spans="10:23" x14ac:dyDescent="0.25">
      <c r="J14590"/>
      <c r="M14590"/>
      <c r="W14590"/>
    </row>
    <row r="14591" spans="10:23" x14ac:dyDescent="0.25">
      <c r="J14591"/>
      <c r="M14591"/>
      <c r="W14591"/>
    </row>
    <row r="14592" spans="10:23" x14ac:dyDescent="0.25">
      <c r="J14592"/>
      <c r="M14592"/>
      <c r="W14592"/>
    </row>
    <row r="14593" spans="10:23" x14ac:dyDescent="0.25">
      <c r="J14593"/>
      <c r="M14593"/>
      <c r="W14593"/>
    </row>
    <row r="14594" spans="10:23" x14ac:dyDescent="0.25">
      <c r="J14594"/>
      <c r="M14594"/>
      <c r="W14594"/>
    </row>
    <row r="14595" spans="10:23" x14ac:dyDescent="0.25">
      <c r="J14595"/>
      <c r="M14595"/>
      <c r="W14595"/>
    </row>
    <row r="14596" spans="10:23" x14ac:dyDescent="0.25">
      <c r="J14596"/>
      <c r="M14596"/>
      <c r="W14596"/>
    </row>
    <row r="14597" spans="10:23" x14ac:dyDescent="0.25">
      <c r="J14597"/>
      <c r="M14597"/>
      <c r="W14597"/>
    </row>
    <row r="14598" spans="10:23" x14ac:dyDescent="0.25">
      <c r="J14598"/>
      <c r="M14598"/>
      <c r="W14598"/>
    </row>
    <row r="14599" spans="10:23" x14ac:dyDescent="0.25">
      <c r="J14599"/>
      <c r="M14599"/>
      <c r="W14599"/>
    </row>
    <row r="14600" spans="10:23" x14ac:dyDescent="0.25">
      <c r="J14600"/>
      <c r="M14600"/>
      <c r="W14600"/>
    </row>
    <row r="14601" spans="10:23" x14ac:dyDescent="0.25">
      <c r="J14601"/>
      <c r="M14601"/>
      <c r="W14601"/>
    </row>
    <row r="14602" spans="10:23" x14ac:dyDescent="0.25">
      <c r="J14602"/>
      <c r="M14602"/>
      <c r="W14602"/>
    </row>
    <row r="14603" spans="10:23" x14ac:dyDescent="0.25">
      <c r="J14603"/>
      <c r="M14603"/>
      <c r="W14603"/>
    </row>
    <row r="14604" spans="10:23" x14ac:dyDescent="0.25">
      <c r="J14604"/>
      <c r="M14604"/>
      <c r="W14604"/>
    </row>
    <row r="14605" spans="10:23" x14ac:dyDescent="0.25">
      <c r="J14605"/>
      <c r="M14605"/>
      <c r="W14605"/>
    </row>
    <row r="14606" spans="10:23" x14ac:dyDescent="0.25">
      <c r="J14606"/>
      <c r="M14606"/>
      <c r="W14606"/>
    </row>
    <row r="14607" spans="10:23" x14ac:dyDescent="0.25">
      <c r="J14607"/>
      <c r="M14607"/>
      <c r="W14607"/>
    </row>
    <row r="14608" spans="10:23" x14ac:dyDescent="0.25">
      <c r="J14608"/>
      <c r="M14608"/>
      <c r="W14608"/>
    </row>
    <row r="14609" spans="10:23" x14ac:dyDescent="0.25">
      <c r="J14609"/>
      <c r="M14609"/>
      <c r="W14609"/>
    </row>
    <row r="14610" spans="10:23" x14ac:dyDescent="0.25">
      <c r="J14610"/>
      <c r="M14610"/>
      <c r="W14610"/>
    </row>
    <row r="14611" spans="10:23" x14ac:dyDescent="0.25">
      <c r="J14611"/>
      <c r="M14611"/>
      <c r="W14611"/>
    </row>
    <row r="14612" spans="10:23" x14ac:dyDescent="0.25">
      <c r="J14612"/>
      <c r="M14612"/>
      <c r="W14612"/>
    </row>
    <row r="14613" spans="10:23" x14ac:dyDescent="0.25">
      <c r="J14613"/>
      <c r="M14613"/>
      <c r="W14613"/>
    </row>
    <row r="14614" spans="10:23" x14ac:dyDescent="0.25">
      <c r="J14614"/>
      <c r="M14614"/>
      <c r="W14614"/>
    </row>
    <row r="14615" spans="10:23" x14ac:dyDescent="0.25">
      <c r="J14615"/>
      <c r="M14615"/>
      <c r="W14615"/>
    </row>
    <row r="14616" spans="10:23" x14ac:dyDescent="0.25">
      <c r="J14616"/>
      <c r="M14616"/>
      <c r="W14616"/>
    </row>
    <row r="14617" spans="10:23" x14ac:dyDescent="0.25">
      <c r="J14617"/>
      <c r="M14617"/>
      <c r="W14617"/>
    </row>
    <row r="14618" spans="10:23" x14ac:dyDescent="0.25">
      <c r="J14618"/>
      <c r="M14618"/>
      <c r="W14618"/>
    </row>
    <row r="14619" spans="10:23" x14ac:dyDescent="0.25">
      <c r="J14619"/>
      <c r="M14619"/>
      <c r="W14619"/>
    </row>
    <row r="14620" spans="10:23" x14ac:dyDescent="0.25">
      <c r="J14620"/>
      <c r="M14620"/>
      <c r="W14620"/>
    </row>
    <row r="14621" spans="10:23" x14ac:dyDescent="0.25">
      <c r="J14621"/>
      <c r="M14621"/>
      <c r="W14621"/>
    </row>
    <row r="14622" spans="10:23" x14ac:dyDescent="0.25">
      <c r="J14622"/>
      <c r="M14622"/>
      <c r="W14622"/>
    </row>
    <row r="14623" spans="10:23" x14ac:dyDescent="0.25">
      <c r="J14623"/>
      <c r="M14623"/>
      <c r="W14623"/>
    </row>
    <row r="14624" spans="10:23" x14ac:dyDescent="0.25">
      <c r="J14624"/>
      <c r="M14624"/>
      <c r="W14624"/>
    </row>
    <row r="14625" spans="10:23" x14ac:dyDescent="0.25">
      <c r="J14625"/>
      <c r="M14625"/>
      <c r="W14625"/>
    </row>
    <row r="14626" spans="10:23" x14ac:dyDescent="0.25">
      <c r="J14626"/>
      <c r="M14626"/>
      <c r="W14626"/>
    </row>
    <row r="14627" spans="10:23" x14ac:dyDescent="0.25">
      <c r="J14627"/>
      <c r="M14627"/>
      <c r="W14627"/>
    </row>
    <row r="14628" spans="10:23" x14ac:dyDescent="0.25">
      <c r="J14628"/>
      <c r="M14628"/>
      <c r="W14628"/>
    </row>
    <row r="14629" spans="10:23" x14ac:dyDescent="0.25">
      <c r="J14629"/>
      <c r="M14629"/>
      <c r="W14629"/>
    </row>
    <row r="14630" spans="10:23" x14ac:dyDescent="0.25">
      <c r="J14630"/>
      <c r="M14630"/>
      <c r="W14630"/>
    </row>
    <row r="14631" spans="10:23" x14ac:dyDescent="0.25">
      <c r="J14631"/>
      <c r="M14631"/>
      <c r="W14631"/>
    </row>
    <row r="14632" spans="10:23" x14ac:dyDescent="0.25">
      <c r="J14632"/>
      <c r="M14632"/>
      <c r="W14632"/>
    </row>
    <row r="14633" spans="10:23" x14ac:dyDescent="0.25">
      <c r="J14633"/>
      <c r="M14633"/>
      <c r="W14633"/>
    </row>
    <row r="14634" spans="10:23" x14ac:dyDescent="0.25">
      <c r="J14634"/>
      <c r="M14634"/>
      <c r="W14634"/>
    </row>
    <row r="14635" spans="10:23" x14ac:dyDescent="0.25">
      <c r="J14635"/>
      <c r="M14635"/>
      <c r="W14635"/>
    </row>
    <row r="14636" spans="10:23" x14ac:dyDescent="0.25">
      <c r="J14636"/>
      <c r="M14636"/>
      <c r="W14636"/>
    </row>
    <row r="14637" spans="10:23" x14ac:dyDescent="0.25">
      <c r="J14637"/>
      <c r="M14637"/>
      <c r="W14637"/>
    </row>
    <row r="14638" spans="10:23" x14ac:dyDescent="0.25">
      <c r="J14638"/>
      <c r="M14638"/>
      <c r="W14638"/>
    </row>
    <row r="14639" spans="10:23" x14ac:dyDescent="0.25">
      <c r="J14639"/>
      <c r="M14639"/>
      <c r="W14639"/>
    </row>
    <row r="14640" spans="10:23" x14ac:dyDescent="0.25">
      <c r="J14640"/>
      <c r="M14640"/>
      <c r="W14640"/>
    </row>
    <row r="14641" spans="10:23" x14ac:dyDescent="0.25">
      <c r="J14641"/>
      <c r="M14641"/>
      <c r="W14641"/>
    </row>
    <row r="14642" spans="10:23" x14ac:dyDescent="0.25">
      <c r="J14642"/>
      <c r="M14642"/>
      <c r="W14642"/>
    </row>
    <row r="14643" spans="10:23" x14ac:dyDescent="0.25">
      <c r="J14643"/>
      <c r="M14643"/>
      <c r="W14643"/>
    </row>
    <row r="14644" spans="10:23" x14ac:dyDescent="0.25">
      <c r="J14644"/>
      <c r="M14644"/>
      <c r="W14644"/>
    </row>
    <row r="14645" spans="10:23" x14ac:dyDescent="0.25">
      <c r="J14645"/>
      <c r="M14645"/>
      <c r="W14645"/>
    </row>
    <row r="14646" spans="10:23" x14ac:dyDescent="0.25">
      <c r="J14646"/>
      <c r="M14646"/>
      <c r="W14646"/>
    </row>
    <row r="14647" spans="10:23" x14ac:dyDescent="0.25">
      <c r="J14647"/>
      <c r="M14647"/>
      <c r="W14647"/>
    </row>
    <row r="14648" spans="10:23" x14ac:dyDescent="0.25">
      <c r="J14648"/>
      <c r="M14648"/>
      <c r="W14648"/>
    </row>
    <row r="14649" spans="10:23" x14ac:dyDescent="0.25">
      <c r="J14649"/>
      <c r="M14649"/>
      <c r="W14649"/>
    </row>
    <row r="14650" spans="10:23" x14ac:dyDescent="0.25">
      <c r="J14650"/>
      <c r="M14650"/>
      <c r="W14650"/>
    </row>
    <row r="14651" spans="10:23" x14ac:dyDescent="0.25">
      <c r="J14651"/>
      <c r="M14651"/>
      <c r="W14651"/>
    </row>
    <row r="14652" spans="10:23" x14ac:dyDescent="0.25">
      <c r="J14652"/>
      <c r="M14652"/>
      <c r="W14652"/>
    </row>
    <row r="14653" spans="10:23" x14ac:dyDescent="0.25">
      <c r="J14653"/>
      <c r="M14653"/>
      <c r="W14653"/>
    </row>
    <row r="14654" spans="10:23" x14ac:dyDescent="0.25">
      <c r="J14654"/>
      <c r="M14654"/>
      <c r="W14654"/>
    </row>
    <row r="14655" spans="10:23" x14ac:dyDescent="0.25">
      <c r="J14655"/>
      <c r="M14655"/>
      <c r="W14655"/>
    </row>
    <row r="14656" spans="10:23" x14ac:dyDescent="0.25">
      <c r="J14656"/>
      <c r="M14656"/>
      <c r="W14656"/>
    </row>
    <row r="14657" spans="10:23" x14ac:dyDescent="0.25">
      <c r="J14657"/>
      <c r="M14657"/>
      <c r="W14657"/>
    </row>
    <row r="14658" spans="10:23" x14ac:dyDescent="0.25">
      <c r="J14658"/>
      <c r="M14658"/>
      <c r="W14658"/>
    </row>
    <row r="14659" spans="10:23" x14ac:dyDescent="0.25">
      <c r="J14659"/>
      <c r="M14659"/>
      <c r="W14659"/>
    </row>
    <row r="14660" spans="10:23" x14ac:dyDescent="0.25">
      <c r="J14660"/>
      <c r="M14660"/>
      <c r="W14660"/>
    </row>
    <row r="14661" spans="10:23" x14ac:dyDescent="0.25">
      <c r="J14661"/>
      <c r="M14661"/>
      <c r="W14661"/>
    </row>
    <row r="14662" spans="10:23" x14ac:dyDescent="0.25">
      <c r="J14662"/>
      <c r="M14662"/>
      <c r="W14662"/>
    </row>
    <row r="14663" spans="10:23" x14ac:dyDescent="0.25">
      <c r="J14663"/>
      <c r="M14663"/>
      <c r="W14663"/>
    </row>
    <row r="14664" spans="10:23" x14ac:dyDescent="0.25">
      <c r="J14664"/>
      <c r="M14664"/>
      <c r="W14664"/>
    </row>
    <row r="14665" spans="10:23" x14ac:dyDescent="0.25">
      <c r="J14665"/>
      <c r="M14665"/>
      <c r="W14665"/>
    </row>
    <row r="14666" spans="10:23" x14ac:dyDescent="0.25">
      <c r="J14666"/>
      <c r="M14666"/>
      <c r="W14666"/>
    </row>
    <row r="14667" spans="10:23" x14ac:dyDescent="0.25">
      <c r="J14667"/>
      <c r="M14667"/>
      <c r="W14667"/>
    </row>
    <row r="14668" spans="10:23" x14ac:dyDescent="0.25">
      <c r="J14668"/>
      <c r="M14668"/>
      <c r="W14668"/>
    </row>
    <row r="14669" spans="10:23" x14ac:dyDescent="0.25">
      <c r="J14669"/>
      <c r="M14669"/>
      <c r="W14669"/>
    </row>
    <row r="14670" spans="10:23" x14ac:dyDescent="0.25">
      <c r="J14670"/>
      <c r="M14670"/>
      <c r="W14670"/>
    </row>
    <row r="14671" spans="10:23" x14ac:dyDescent="0.25">
      <c r="J14671"/>
      <c r="M14671"/>
      <c r="W14671"/>
    </row>
    <row r="14672" spans="10:23" x14ac:dyDescent="0.25">
      <c r="J14672"/>
      <c r="M14672"/>
      <c r="W14672"/>
    </row>
    <row r="14673" spans="10:23" x14ac:dyDescent="0.25">
      <c r="J14673"/>
      <c r="M14673"/>
      <c r="W14673"/>
    </row>
    <row r="14674" spans="10:23" x14ac:dyDescent="0.25">
      <c r="J14674"/>
      <c r="M14674"/>
      <c r="W14674"/>
    </row>
    <row r="14675" spans="10:23" x14ac:dyDescent="0.25">
      <c r="J14675"/>
      <c r="M14675"/>
      <c r="W14675"/>
    </row>
    <row r="14676" spans="10:23" x14ac:dyDescent="0.25">
      <c r="J14676"/>
      <c r="M14676"/>
      <c r="W14676"/>
    </row>
    <row r="14677" spans="10:23" x14ac:dyDescent="0.25">
      <c r="J14677"/>
      <c r="M14677"/>
      <c r="W14677"/>
    </row>
    <row r="14678" spans="10:23" x14ac:dyDescent="0.25">
      <c r="J14678"/>
      <c r="M14678"/>
      <c r="W14678"/>
    </row>
    <row r="14679" spans="10:23" x14ac:dyDescent="0.25">
      <c r="J14679"/>
      <c r="M14679"/>
      <c r="W14679"/>
    </row>
    <row r="14680" spans="10:23" x14ac:dyDescent="0.25">
      <c r="J14680"/>
      <c r="M14680"/>
      <c r="W14680"/>
    </row>
    <row r="14681" spans="10:23" x14ac:dyDescent="0.25">
      <c r="J14681"/>
      <c r="M14681"/>
      <c r="W14681"/>
    </row>
    <row r="14682" spans="10:23" x14ac:dyDescent="0.25">
      <c r="J14682"/>
      <c r="M14682"/>
      <c r="W14682"/>
    </row>
    <row r="14683" spans="10:23" x14ac:dyDescent="0.25">
      <c r="J14683"/>
      <c r="M14683"/>
      <c r="W14683"/>
    </row>
    <row r="14684" spans="10:23" x14ac:dyDescent="0.25">
      <c r="J14684"/>
      <c r="M14684"/>
      <c r="W14684"/>
    </row>
    <row r="14685" spans="10:23" x14ac:dyDescent="0.25">
      <c r="J14685"/>
      <c r="M14685"/>
      <c r="W14685"/>
    </row>
    <row r="14686" spans="10:23" x14ac:dyDescent="0.25">
      <c r="J14686"/>
      <c r="M14686"/>
      <c r="W14686"/>
    </row>
    <row r="14687" spans="10:23" x14ac:dyDescent="0.25">
      <c r="J14687"/>
      <c r="M14687"/>
      <c r="W14687"/>
    </row>
    <row r="14688" spans="10:23" x14ac:dyDescent="0.25">
      <c r="J14688"/>
      <c r="M14688"/>
      <c r="W14688"/>
    </row>
    <row r="14689" spans="10:23" x14ac:dyDescent="0.25">
      <c r="J14689"/>
      <c r="M14689"/>
      <c r="W14689"/>
    </row>
    <row r="14690" spans="10:23" x14ac:dyDescent="0.25">
      <c r="J14690"/>
      <c r="M14690"/>
      <c r="W14690"/>
    </row>
    <row r="14691" spans="10:23" x14ac:dyDescent="0.25">
      <c r="J14691"/>
      <c r="M14691"/>
      <c r="W14691"/>
    </row>
    <row r="14692" spans="10:23" x14ac:dyDescent="0.25">
      <c r="J14692"/>
      <c r="M14692"/>
      <c r="W14692"/>
    </row>
    <row r="14693" spans="10:23" x14ac:dyDescent="0.25">
      <c r="J14693"/>
      <c r="M14693"/>
      <c r="W14693"/>
    </row>
    <row r="14694" spans="10:23" x14ac:dyDescent="0.25">
      <c r="J14694"/>
      <c r="M14694"/>
      <c r="W14694"/>
    </row>
    <row r="14695" spans="10:23" x14ac:dyDescent="0.25">
      <c r="J14695"/>
      <c r="M14695"/>
      <c r="W14695"/>
    </row>
    <row r="14696" spans="10:23" x14ac:dyDescent="0.25">
      <c r="J14696"/>
      <c r="M14696"/>
      <c r="W14696"/>
    </row>
    <row r="14697" spans="10:23" x14ac:dyDescent="0.25">
      <c r="J14697"/>
      <c r="M14697"/>
      <c r="W14697"/>
    </row>
    <row r="14698" spans="10:23" x14ac:dyDescent="0.25">
      <c r="J14698"/>
      <c r="M14698"/>
      <c r="W14698"/>
    </row>
    <row r="14699" spans="10:23" x14ac:dyDescent="0.25">
      <c r="J14699"/>
      <c r="M14699"/>
      <c r="W14699"/>
    </row>
    <row r="14700" spans="10:23" x14ac:dyDescent="0.25">
      <c r="J14700"/>
      <c r="M14700"/>
      <c r="W14700"/>
    </row>
    <row r="14701" spans="10:23" x14ac:dyDescent="0.25">
      <c r="J14701"/>
      <c r="M14701"/>
      <c r="W14701"/>
    </row>
    <row r="14702" spans="10:23" x14ac:dyDescent="0.25">
      <c r="J14702"/>
      <c r="M14702"/>
      <c r="W14702"/>
    </row>
    <row r="14703" spans="10:23" x14ac:dyDescent="0.25">
      <c r="J14703"/>
      <c r="M14703"/>
      <c r="W14703"/>
    </row>
    <row r="14704" spans="10:23" x14ac:dyDescent="0.25">
      <c r="J14704"/>
      <c r="M14704"/>
      <c r="W14704"/>
    </row>
    <row r="14705" spans="10:23" x14ac:dyDescent="0.25">
      <c r="J14705"/>
      <c r="M14705"/>
      <c r="W14705"/>
    </row>
    <row r="14706" spans="10:23" x14ac:dyDescent="0.25">
      <c r="J14706"/>
      <c r="M14706"/>
      <c r="W14706"/>
    </row>
    <row r="14707" spans="10:23" x14ac:dyDescent="0.25">
      <c r="J14707"/>
      <c r="M14707"/>
      <c r="W14707"/>
    </row>
    <row r="14708" spans="10:23" x14ac:dyDescent="0.25">
      <c r="J14708"/>
      <c r="M14708"/>
      <c r="W14708"/>
    </row>
    <row r="14709" spans="10:23" x14ac:dyDescent="0.25">
      <c r="J14709"/>
      <c r="M14709"/>
      <c r="W14709"/>
    </row>
    <row r="14710" spans="10:23" x14ac:dyDescent="0.25">
      <c r="J14710"/>
      <c r="M14710"/>
      <c r="W14710"/>
    </row>
    <row r="14711" spans="10:23" x14ac:dyDescent="0.25">
      <c r="J14711"/>
      <c r="M14711"/>
      <c r="W14711"/>
    </row>
    <row r="14712" spans="10:23" x14ac:dyDescent="0.25">
      <c r="J14712"/>
      <c r="M14712"/>
      <c r="W14712"/>
    </row>
    <row r="14713" spans="10:23" x14ac:dyDescent="0.25">
      <c r="J14713"/>
      <c r="M14713"/>
      <c r="W14713"/>
    </row>
    <row r="14714" spans="10:23" x14ac:dyDescent="0.25">
      <c r="J14714"/>
      <c r="M14714"/>
      <c r="W14714"/>
    </row>
    <row r="14715" spans="10:23" x14ac:dyDescent="0.25">
      <c r="J14715"/>
      <c r="M14715"/>
      <c r="W14715"/>
    </row>
    <row r="14716" spans="10:23" x14ac:dyDescent="0.25">
      <c r="J14716"/>
      <c r="M14716"/>
      <c r="W14716"/>
    </row>
    <row r="14717" spans="10:23" x14ac:dyDescent="0.25">
      <c r="J14717"/>
      <c r="M14717"/>
      <c r="W14717"/>
    </row>
    <row r="14718" spans="10:23" x14ac:dyDescent="0.25">
      <c r="J14718"/>
      <c r="M14718"/>
      <c r="W14718"/>
    </row>
    <row r="14719" spans="10:23" x14ac:dyDescent="0.25">
      <c r="J14719"/>
      <c r="M14719"/>
      <c r="W14719"/>
    </row>
    <row r="14720" spans="10:23" x14ac:dyDescent="0.25">
      <c r="J14720"/>
      <c r="M14720"/>
      <c r="W14720"/>
    </row>
    <row r="14721" spans="10:23" x14ac:dyDescent="0.25">
      <c r="J14721"/>
      <c r="M14721"/>
      <c r="W14721"/>
    </row>
    <row r="14722" spans="10:23" x14ac:dyDescent="0.25">
      <c r="J14722"/>
      <c r="M14722"/>
      <c r="W14722"/>
    </row>
    <row r="14723" spans="10:23" x14ac:dyDescent="0.25">
      <c r="J14723"/>
      <c r="M14723"/>
      <c r="W14723"/>
    </row>
    <row r="14724" spans="10:23" x14ac:dyDescent="0.25">
      <c r="J14724"/>
      <c r="M14724"/>
      <c r="W14724"/>
    </row>
    <row r="14725" spans="10:23" x14ac:dyDescent="0.25">
      <c r="J14725"/>
      <c r="M14725"/>
      <c r="W14725"/>
    </row>
    <row r="14726" spans="10:23" x14ac:dyDescent="0.25">
      <c r="J14726"/>
      <c r="M14726"/>
      <c r="W14726"/>
    </row>
    <row r="14727" spans="10:23" x14ac:dyDescent="0.25">
      <c r="J14727"/>
      <c r="M14727"/>
      <c r="W14727"/>
    </row>
    <row r="14728" spans="10:23" x14ac:dyDescent="0.25">
      <c r="J14728"/>
      <c r="M14728"/>
      <c r="W14728"/>
    </row>
    <row r="14729" spans="10:23" x14ac:dyDescent="0.25">
      <c r="J14729"/>
      <c r="M14729"/>
      <c r="W14729"/>
    </row>
    <row r="14730" spans="10:23" x14ac:dyDescent="0.25">
      <c r="J14730"/>
      <c r="M14730"/>
      <c r="W14730"/>
    </row>
    <row r="14731" spans="10:23" x14ac:dyDescent="0.25">
      <c r="J14731"/>
      <c r="M14731"/>
      <c r="W14731"/>
    </row>
    <row r="14732" spans="10:23" x14ac:dyDescent="0.25">
      <c r="J14732"/>
      <c r="M14732"/>
      <c r="W14732"/>
    </row>
    <row r="14733" spans="10:23" x14ac:dyDescent="0.25">
      <c r="J14733"/>
      <c r="M14733"/>
      <c r="W14733"/>
    </row>
    <row r="14734" spans="10:23" x14ac:dyDescent="0.25">
      <c r="J14734"/>
      <c r="M14734"/>
      <c r="W14734"/>
    </row>
    <row r="14735" spans="10:23" x14ac:dyDescent="0.25">
      <c r="J14735"/>
      <c r="M14735"/>
      <c r="W14735"/>
    </row>
    <row r="14736" spans="10:23" x14ac:dyDescent="0.25">
      <c r="J14736"/>
      <c r="M14736"/>
      <c r="W14736"/>
    </row>
    <row r="14737" spans="10:23" x14ac:dyDescent="0.25">
      <c r="J14737"/>
      <c r="M14737"/>
      <c r="W14737"/>
    </row>
    <row r="14738" spans="10:23" x14ac:dyDescent="0.25">
      <c r="J14738"/>
      <c r="M14738"/>
      <c r="W14738"/>
    </row>
    <row r="14739" spans="10:23" x14ac:dyDescent="0.25">
      <c r="J14739"/>
      <c r="M14739"/>
      <c r="W14739"/>
    </row>
    <row r="14740" spans="10:23" x14ac:dyDescent="0.25">
      <c r="J14740"/>
      <c r="M14740"/>
      <c r="W14740"/>
    </row>
    <row r="14741" spans="10:23" x14ac:dyDescent="0.25">
      <c r="J14741"/>
      <c r="M14741"/>
      <c r="W14741"/>
    </row>
    <row r="14742" spans="10:23" x14ac:dyDescent="0.25">
      <c r="J14742"/>
      <c r="M14742"/>
      <c r="W14742"/>
    </row>
    <row r="14743" spans="10:23" x14ac:dyDescent="0.25">
      <c r="J14743"/>
      <c r="M14743"/>
      <c r="W14743"/>
    </row>
    <row r="14744" spans="10:23" x14ac:dyDescent="0.25">
      <c r="J14744"/>
      <c r="M14744"/>
      <c r="W14744"/>
    </row>
    <row r="14745" spans="10:23" x14ac:dyDescent="0.25">
      <c r="J14745"/>
      <c r="M14745"/>
      <c r="W14745"/>
    </row>
    <row r="14746" spans="10:23" x14ac:dyDescent="0.25">
      <c r="J14746"/>
      <c r="M14746"/>
      <c r="W14746"/>
    </row>
    <row r="14747" spans="10:23" x14ac:dyDescent="0.25">
      <c r="J14747"/>
      <c r="M14747"/>
      <c r="W14747"/>
    </row>
    <row r="14748" spans="10:23" x14ac:dyDescent="0.25">
      <c r="J14748"/>
      <c r="M14748"/>
      <c r="W14748"/>
    </row>
    <row r="14749" spans="10:23" x14ac:dyDescent="0.25">
      <c r="J14749"/>
      <c r="M14749"/>
      <c r="W14749"/>
    </row>
    <row r="14750" spans="10:23" x14ac:dyDescent="0.25">
      <c r="J14750"/>
      <c r="M14750"/>
      <c r="W14750"/>
    </row>
    <row r="14751" spans="10:23" x14ac:dyDescent="0.25">
      <c r="J14751"/>
      <c r="M14751"/>
      <c r="W14751"/>
    </row>
    <row r="14752" spans="10:23" x14ac:dyDescent="0.25">
      <c r="J14752"/>
      <c r="M14752"/>
      <c r="W14752"/>
    </row>
    <row r="14753" spans="10:23" x14ac:dyDescent="0.25">
      <c r="J14753"/>
      <c r="M14753"/>
      <c r="W14753"/>
    </row>
    <row r="14754" spans="10:23" x14ac:dyDescent="0.25">
      <c r="J14754"/>
      <c r="M14754"/>
      <c r="W14754"/>
    </row>
    <row r="14755" spans="10:23" x14ac:dyDescent="0.25">
      <c r="J14755"/>
      <c r="M14755"/>
      <c r="W14755"/>
    </row>
    <row r="14756" spans="10:23" x14ac:dyDescent="0.25">
      <c r="J14756"/>
      <c r="M14756"/>
      <c r="W14756"/>
    </row>
    <row r="14757" spans="10:23" x14ac:dyDescent="0.25">
      <c r="J14757"/>
      <c r="M14757"/>
      <c r="W14757"/>
    </row>
    <row r="14758" spans="10:23" x14ac:dyDescent="0.25">
      <c r="J14758"/>
      <c r="M14758"/>
      <c r="W14758"/>
    </row>
    <row r="14759" spans="10:23" x14ac:dyDescent="0.25">
      <c r="J14759"/>
      <c r="M14759"/>
      <c r="W14759"/>
    </row>
    <row r="14760" spans="10:23" x14ac:dyDescent="0.25">
      <c r="J14760"/>
      <c r="M14760"/>
      <c r="W14760"/>
    </row>
    <row r="14761" spans="10:23" x14ac:dyDescent="0.25">
      <c r="J14761"/>
      <c r="M14761"/>
      <c r="W14761"/>
    </row>
    <row r="14762" spans="10:23" x14ac:dyDescent="0.25">
      <c r="J14762"/>
      <c r="M14762"/>
      <c r="W14762"/>
    </row>
    <row r="14763" spans="10:23" x14ac:dyDescent="0.25">
      <c r="J14763"/>
      <c r="M14763"/>
      <c r="W14763"/>
    </row>
    <row r="14764" spans="10:23" x14ac:dyDescent="0.25">
      <c r="J14764"/>
      <c r="M14764"/>
      <c r="W14764"/>
    </row>
    <row r="14765" spans="10:23" x14ac:dyDescent="0.25">
      <c r="J14765"/>
      <c r="M14765"/>
      <c r="W14765"/>
    </row>
    <row r="14766" spans="10:23" x14ac:dyDescent="0.25">
      <c r="J14766"/>
      <c r="M14766"/>
      <c r="W14766"/>
    </row>
    <row r="14767" spans="10:23" x14ac:dyDescent="0.25">
      <c r="J14767"/>
      <c r="M14767"/>
      <c r="W14767"/>
    </row>
    <row r="14768" spans="10:23" x14ac:dyDescent="0.25">
      <c r="J14768"/>
      <c r="M14768"/>
      <c r="W14768"/>
    </row>
    <row r="14769" spans="10:23" x14ac:dyDescent="0.25">
      <c r="J14769"/>
      <c r="M14769"/>
      <c r="W14769"/>
    </row>
    <row r="14770" spans="10:23" x14ac:dyDescent="0.25">
      <c r="J14770"/>
      <c r="M14770"/>
      <c r="W14770"/>
    </row>
    <row r="14771" spans="10:23" x14ac:dyDescent="0.25">
      <c r="J14771"/>
      <c r="M14771"/>
      <c r="W14771"/>
    </row>
    <row r="14772" spans="10:23" x14ac:dyDescent="0.25">
      <c r="J14772"/>
      <c r="M14772"/>
      <c r="W14772"/>
    </row>
    <row r="14773" spans="10:23" x14ac:dyDescent="0.25">
      <c r="J14773"/>
      <c r="M14773"/>
      <c r="W14773"/>
    </row>
    <row r="14774" spans="10:23" x14ac:dyDescent="0.25">
      <c r="J14774"/>
      <c r="M14774"/>
      <c r="W14774"/>
    </row>
    <row r="14775" spans="10:23" x14ac:dyDescent="0.25">
      <c r="J14775"/>
      <c r="M14775"/>
      <c r="W14775"/>
    </row>
    <row r="14776" spans="10:23" x14ac:dyDescent="0.25">
      <c r="J14776"/>
      <c r="M14776"/>
      <c r="W14776"/>
    </row>
    <row r="14777" spans="10:23" x14ac:dyDescent="0.25">
      <c r="J14777"/>
      <c r="M14777"/>
      <c r="W14777"/>
    </row>
    <row r="14778" spans="10:23" x14ac:dyDescent="0.25">
      <c r="J14778"/>
      <c r="M14778"/>
      <c r="W14778"/>
    </row>
    <row r="14779" spans="10:23" x14ac:dyDescent="0.25">
      <c r="J14779"/>
      <c r="M14779"/>
      <c r="W14779"/>
    </row>
    <row r="14780" spans="10:23" x14ac:dyDescent="0.25">
      <c r="J14780"/>
      <c r="M14780"/>
      <c r="W14780"/>
    </row>
    <row r="14781" spans="10:23" x14ac:dyDescent="0.25">
      <c r="J14781"/>
      <c r="M14781"/>
      <c r="W14781"/>
    </row>
    <row r="14782" spans="10:23" x14ac:dyDescent="0.25">
      <c r="J14782"/>
      <c r="M14782"/>
      <c r="W14782"/>
    </row>
    <row r="14783" spans="10:23" x14ac:dyDescent="0.25">
      <c r="J14783"/>
      <c r="M14783"/>
      <c r="W14783"/>
    </row>
    <row r="14784" spans="10:23" x14ac:dyDescent="0.25">
      <c r="J14784"/>
      <c r="M14784"/>
      <c r="W14784"/>
    </row>
    <row r="14785" spans="10:23" x14ac:dyDescent="0.25">
      <c r="J14785"/>
      <c r="M14785"/>
      <c r="W14785"/>
    </row>
    <row r="14786" spans="10:23" x14ac:dyDescent="0.25">
      <c r="J14786"/>
      <c r="M14786"/>
      <c r="W14786"/>
    </row>
    <row r="14787" spans="10:23" x14ac:dyDescent="0.25">
      <c r="J14787"/>
      <c r="M14787"/>
      <c r="W14787"/>
    </row>
    <row r="14788" spans="10:23" x14ac:dyDescent="0.25">
      <c r="J14788"/>
      <c r="M14788"/>
      <c r="W14788"/>
    </row>
    <row r="14789" spans="10:23" x14ac:dyDescent="0.25">
      <c r="J14789"/>
      <c r="M14789"/>
      <c r="W14789"/>
    </row>
    <row r="14790" spans="10:23" x14ac:dyDescent="0.25">
      <c r="J14790"/>
      <c r="M14790"/>
      <c r="W14790"/>
    </row>
    <row r="14791" spans="10:23" x14ac:dyDescent="0.25">
      <c r="J14791"/>
      <c r="M14791"/>
      <c r="W14791"/>
    </row>
    <row r="14792" spans="10:23" x14ac:dyDescent="0.25">
      <c r="J14792"/>
      <c r="M14792"/>
      <c r="W14792"/>
    </row>
    <row r="14793" spans="10:23" x14ac:dyDescent="0.25">
      <c r="J14793"/>
      <c r="M14793"/>
      <c r="W14793"/>
    </row>
    <row r="14794" spans="10:23" x14ac:dyDescent="0.25">
      <c r="J14794"/>
      <c r="M14794"/>
      <c r="W14794"/>
    </row>
    <row r="14795" spans="10:23" x14ac:dyDescent="0.25">
      <c r="J14795"/>
      <c r="M14795"/>
      <c r="W14795"/>
    </row>
    <row r="14796" spans="10:23" x14ac:dyDescent="0.25">
      <c r="J14796"/>
      <c r="M14796"/>
      <c r="W14796"/>
    </row>
    <row r="14797" spans="10:23" x14ac:dyDescent="0.25">
      <c r="J14797"/>
      <c r="M14797"/>
      <c r="W14797"/>
    </row>
    <row r="14798" spans="10:23" x14ac:dyDescent="0.25">
      <c r="J14798"/>
      <c r="M14798"/>
      <c r="W14798"/>
    </row>
    <row r="14799" spans="10:23" x14ac:dyDescent="0.25">
      <c r="J14799"/>
      <c r="M14799"/>
      <c r="W14799"/>
    </row>
    <row r="14800" spans="10:23" x14ac:dyDescent="0.25">
      <c r="J14800"/>
      <c r="M14800"/>
      <c r="W14800"/>
    </row>
    <row r="14801" spans="10:23" x14ac:dyDescent="0.25">
      <c r="J14801"/>
      <c r="M14801"/>
      <c r="W14801"/>
    </row>
    <row r="14802" spans="10:23" x14ac:dyDescent="0.25">
      <c r="J14802"/>
      <c r="M14802"/>
      <c r="W14802"/>
    </row>
    <row r="14803" spans="10:23" x14ac:dyDescent="0.25">
      <c r="J14803"/>
      <c r="M14803"/>
      <c r="W14803"/>
    </row>
    <row r="14804" spans="10:23" x14ac:dyDescent="0.25">
      <c r="J14804"/>
      <c r="M14804"/>
      <c r="W14804"/>
    </row>
    <row r="14805" spans="10:23" x14ac:dyDescent="0.25">
      <c r="J14805"/>
      <c r="M14805"/>
      <c r="W14805"/>
    </row>
    <row r="14806" spans="10:23" x14ac:dyDescent="0.25">
      <c r="J14806"/>
      <c r="M14806"/>
      <c r="W14806"/>
    </row>
    <row r="14807" spans="10:23" x14ac:dyDescent="0.25">
      <c r="J14807"/>
      <c r="M14807"/>
      <c r="W14807"/>
    </row>
    <row r="14808" spans="10:23" x14ac:dyDescent="0.25">
      <c r="J14808"/>
      <c r="M14808"/>
      <c r="W14808"/>
    </row>
    <row r="14809" spans="10:23" x14ac:dyDescent="0.25">
      <c r="J14809"/>
      <c r="M14809"/>
      <c r="W14809"/>
    </row>
    <row r="14810" spans="10:23" x14ac:dyDescent="0.25">
      <c r="J14810"/>
      <c r="M14810"/>
      <c r="W14810"/>
    </row>
    <row r="14811" spans="10:23" x14ac:dyDescent="0.25">
      <c r="J14811"/>
      <c r="M14811"/>
      <c r="W14811"/>
    </row>
    <row r="14812" spans="10:23" x14ac:dyDescent="0.25">
      <c r="J14812"/>
      <c r="M14812"/>
      <c r="W14812"/>
    </row>
    <row r="14813" spans="10:23" x14ac:dyDescent="0.25">
      <c r="J14813"/>
      <c r="M14813"/>
      <c r="W14813"/>
    </row>
    <row r="14814" spans="10:23" x14ac:dyDescent="0.25">
      <c r="J14814"/>
      <c r="M14814"/>
      <c r="W14814"/>
    </row>
    <row r="14815" spans="10:23" x14ac:dyDescent="0.25">
      <c r="J14815"/>
      <c r="M14815"/>
      <c r="W14815"/>
    </row>
    <row r="14816" spans="10:23" x14ac:dyDescent="0.25">
      <c r="J14816"/>
      <c r="M14816"/>
      <c r="W14816"/>
    </row>
    <row r="14817" spans="10:23" x14ac:dyDescent="0.25">
      <c r="J14817"/>
      <c r="M14817"/>
      <c r="W14817"/>
    </row>
    <row r="14818" spans="10:23" x14ac:dyDescent="0.25">
      <c r="J14818"/>
      <c r="M14818"/>
      <c r="W14818"/>
    </row>
    <row r="14819" spans="10:23" x14ac:dyDescent="0.25">
      <c r="J14819"/>
      <c r="M14819"/>
      <c r="W14819"/>
    </row>
    <row r="14820" spans="10:23" x14ac:dyDescent="0.25">
      <c r="J14820"/>
      <c r="M14820"/>
      <c r="W14820"/>
    </row>
    <row r="14821" spans="10:23" x14ac:dyDescent="0.25">
      <c r="J14821"/>
      <c r="M14821"/>
      <c r="W14821"/>
    </row>
    <row r="14822" spans="10:23" x14ac:dyDescent="0.25">
      <c r="J14822"/>
      <c r="M14822"/>
      <c r="W14822"/>
    </row>
    <row r="14823" spans="10:23" x14ac:dyDescent="0.25">
      <c r="J14823"/>
      <c r="M14823"/>
      <c r="W14823"/>
    </row>
    <row r="14824" spans="10:23" x14ac:dyDescent="0.25">
      <c r="J14824"/>
      <c r="M14824"/>
      <c r="W14824"/>
    </row>
    <row r="14825" spans="10:23" x14ac:dyDescent="0.25">
      <c r="J14825"/>
      <c r="M14825"/>
      <c r="W14825"/>
    </row>
    <row r="14826" spans="10:23" x14ac:dyDescent="0.25">
      <c r="J14826"/>
      <c r="M14826"/>
      <c r="W14826"/>
    </row>
    <row r="14827" spans="10:23" x14ac:dyDescent="0.25">
      <c r="J14827"/>
      <c r="M14827"/>
      <c r="W14827"/>
    </row>
    <row r="14828" spans="10:23" x14ac:dyDescent="0.25">
      <c r="J14828"/>
      <c r="M14828"/>
      <c r="W14828"/>
    </row>
    <row r="14829" spans="10:23" x14ac:dyDescent="0.25">
      <c r="J14829"/>
      <c r="M14829"/>
      <c r="W14829"/>
    </row>
    <row r="14830" spans="10:23" x14ac:dyDescent="0.25">
      <c r="J14830"/>
      <c r="M14830"/>
      <c r="W14830"/>
    </row>
    <row r="14831" spans="10:23" x14ac:dyDescent="0.25">
      <c r="J14831"/>
      <c r="M14831"/>
      <c r="W14831"/>
    </row>
    <row r="14832" spans="10:23" x14ac:dyDescent="0.25">
      <c r="J14832"/>
      <c r="M14832"/>
      <c r="W14832"/>
    </row>
    <row r="14833" spans="10:23" x14ac:dyDescent="0.25">
      <c r="J14833"/>
      <c r="M14833"/>
      <c r="W14833"/>
    </row>
    <row r="14834" spans="10:23" x14ac:dyDescent="0.25">
      <c r="J14834"/>
      <c r="M14834"/>
      <c r="W14834"/>
    </row>
    <row r="14835" spans="10:23" x14ac:dyDescent="0.25">
      <c r="J14835"/>
      <c r="M14835"/>
      <c r="W14835"/>
    </row>
    <row r="14836" spans="10:23" x14ac:dyDescent="0.25">
      <c r="J14836"/>
      <c r="M14836"/>
      <c r="W14836"/>
    </row>
    <row r="14837" spans="10:23" x14ac:dyDescent="0.25">
      <c r="J14837"/>
      <c r="M14837"/>
      <c r="W14837"/>
    </row>
    <row r="14838" spans="10:23" x14ac:dyDescent="0.25">
      <c r="J14838"/>
      <c r="M14838"/>
      <c r="W14838"/>
    </row>
    <row r="14839" spans="10:23" x14ac:dyDescent="0.25">
      <c r="J14839"/>
      <c r="M14839"/>
      <c r="W14839"/>
    </row>
    <row r="14840" spans="10:23" x14ac:dyDescent="0.25">
      <c r="J14840"/>
      <c r="M14840"/>
      <c r="W14840"/>
    </row>
    <row r="14841" spans="10:23" x14ac:dyDescent="0.25">
      <c r="J14841"/>
      <c r="M14841"/>
      <c r="W14841"/>
    </row>
    <row r="14842" spans="10:23" x14ac:dyDescent="0.25">
      <c r="J14842"/>
      <c r="M14842"/>
      <c r="W14842"/>
    </row>
    <row r="14843" spans="10:23" x14ac:dyDescent="0.25">
      <c r="J14843"/>
      <c r="M14843"/>
      <c r="W14843"/>
    </row>
    <row r="14844" spans="10:23" x14ac:dyDescent="0.25">
      <c r="J14844"/>
      <c r="M14844"/>
      <c r="W14844"/>
    </row>
    <row r="14845" spans="10:23" x14ac:dyDescent="0.25">
      <c r="J14845"/>
      <c r="M14845"/>
      <c r="W14845"/>
    </row>
    <row r="14846" spans="10:23" x14ac:dyDescent="0.25">
      <c r="J14846"/>
      <c r="M14846"/>
      <c r="W14846"/>
    </row>
    <row r="14847" spans="10:23" x14ac:dyDescent="0.25">
      <c r="J14847"/>
      <c r="M14847"/>
      <c r="W14847"/>
    </row>
    <row r="14848" spans="10:23" x14ac:dyDescent="0.25">
      <c r="J14848"/>
      <c r="M14848"/>
      <c r="W14848"/>
    </row>
    <row r="14849" spans="10:23" x14ac:dyDescent="0.25">
      <c r="J14849"/>
      <c r="M14849"/>
      <c r="W14849"/>
    </row>
    <row r="14850" spans="10:23" x14ac:dyDescent="0.25">
      <c r="J14850"/>
      <c r="M14850"/>
      <c r="W14850"/>
    </row>
    <row r="14851" spans="10:23" x14ac:dyDescent="0.25">
      <c r="J14851"/>
      <c r="M14851"/>
      <c r="W14851"/>
    </row>
    <row r="14852" spans="10:23" x14ac:dyDescent="0.25">
      <c r="J14852"/>
      <c r="M14852"/>
      <c r="W14852"/>
    </row>
    <row r="14853" spans="10:23" x14ac:dyDescent="0.25">
      <c r="J14853"/>
      <c r="M14853"/>
      <c r="W14853"/>
    </row>
    <row r="14854" spans="10:23" x14ac:dyDescent="0.25">
      <c r="J14854"/>
      <c r="M14854"/>
      <c r="W14854"/>
    </row>
    <row r="14855" spans="10:23" x14ac:dyDescent="0.25">
      <c r="J14855"/>
      <c r="M14855"/>
      <c r="W14855"/>
    </row>
    <row r="14856" spans="10:23" x14ac:dyDescent="0.25">
      <c r="J14856"/>
      <c r="M14856"/>
      <c r="W14856"/>
    </row>
    <row r="14857" spans="10:23" x14ac:dyDescent="0.25">
      <c r="J14857"/>
      <c r="M14857"/>
      <c r="W14857"/>
    </row>
    <row r="14858" spans="10:23" x14ac:dyDescent="0.25">
      <c r="J14858"/>
      <c r="M14858"/>
      <c r="W14858"/>
    </row>
    <row r="14859" spans="10:23" x14ac:dyDescent="0.25">
      <c r="J14859"/>
      <c r="M14859"/>
      <c r="W14859"/>
    </row>
    <row r="14860" spans="10:23" x14ac:dyDescent="0.25">
      <c r="J14860"/>
      <c r="M14860"/>
      <c r="W14860"/>
    </row>
    <row r="14861" spans="10:23" x14ac:dyDescent="0.25">
      <c r="J14861"/>
      <c r="M14861"/>
      <c r="W14861"/>
    </row>
    <row r="14862" spans="10:23" x14ac:dyDescent="0.25">
      <c r="J14862"/>
      <c r="M14862"/>
      <c r="W14862"/>
    </row>
    <row r="14863" spans="10:23" x14ac:dyDescent="0.25">
      <c r="J14863"/>
      <c r="M14863"/>
      <c r="W14863"/>
    </row>
    <row r="14864" spans="10:23" x14ac:dyDescent="0.25">
      <c r="J14864"/>
      <c r="M14864"/>
      <c r="W14864"/>
    </row>
    <row r="14865" spans="10:23" x14ac:dyDescent="0.25">
      <c r="J14865"/>
      <c r="M14865"/>
      <c r="W14865"/>
    </row>
    <row r="14866" spans="10:23" x14ac:dyDescent="0.25">
      <c r="J14866"/>
      <c r="M14866"/>
      <c r="W14866"/>
    </row>
    <row r="14867" spans="10:23" x14ac:dyDescent="0.25">
      <c r="J14867"/>
      <c r="M14867"/>
      <c r="W14867"/>
    </row>
    <row r="14868" spans="10:23" x14ac:dyDescent="0.25">
      <c r="J14868"/>
      <c r="M14868"/>
      <c r="W14868"/>
    </row>
    <row r="14869" spans="10:23" x14ac:dyDescent="0.25">
      <c r="J14869"/>
      <c r="M14869"/>
      <c r="W14869"/>
    </row>
    <row r="14870" spans="10:23" x14ac:dyDescent="0.25">
      <c r="J14870"/>
      <c r="M14870"/>
      <c r="W14870"/>
    </row>
    <row r="14871" spans="10:23" x14ac:dyDescent="0.25">
      <c r="J14871"/>
      <c r="M14871"/>
      <c r="W14871"/>
    </row>
    <row r="14872" spans="10:23" x14ac:dyDescent="0.25">
      <c r="J14872"/>
      <c r="M14872"/>
      <c r="W14872"/>
    </row>
    <row r="14873" spans="10:23" x14ac:dyDescent="0.25">
      <c r="J14873"/>
      <c r="M14873"/>
      <c r="W14873"/>
    </row>
    <row r="14874" spans="10:23" x14ac:dyDescent="0.25">
      <c r="J14874"/>
      <c r="M14874"/>
      <c r="W14874"/>
    </row>
    <row r="14875" spans="10:23" x14ac:dyDescent="0.25">
      <c r="J14875"/>
      <c r="M14875"/>
      <c r="W14875"/>
    </row>
    <row r="14876" spans="10:23" x14ac:dyDescent="0.25">
      <c r="J14876"/>
      <c r="M14876"/>
      <c r="W14876"/>
    </row>
    <row r="14877" spans="10:23" x14ac:dyDescent="0.25">
      <c r="J14877"/>
      <c r="M14877"/>
      <c r="W14877"/>
    </row>
    <row r="14878" spans="10:23" x14ac:dyDescent="0.25">
      <c r="J14878"/>
      <c r="M14878"/>
      <c r="W14878"/>
    </row>
    <row r="14879" spans="10:23" x14ac:dyDescent="0.25">
      <c r="J14879"/>
      <c r="M14879"/>
      <c r="W14879"/>
    </row>
    <row r="14880" spans="10:23" x14ac:dyDescent="0.25">
      <c r="J14880"/>
      <c r="M14880"/>
      <c r="W14880"/>
    </row>
    <row r="14881" spans="10:23" x14ac:dyDescent="0.25">
      <c r="J14881"/>
      <c r="M14881"/>
      <c r="W14881"/>
    </row>
    <row r="14882" spans="10:23" x14ac:dyDescent="0.25">
      <c r="J14882"/>
      <c r="M14882"/>
      <c r="W14882"/>
    </row>
    <row r="14883" spans="10:23" x14ac:dyDescent="0.25">
      <c r="J14883"/>
      <c r="M14883"/>
      <c r="W14883"/>
    </row>
    <row r="14884" spans="10:23" x14ac:dyDescent="0.25">
      <c r="J14884"/>
      <c r="M14884"/>
      <c r="W14884"/>
    </row>
    <row r="14885" spans="10:23" x14ac:dyDescent="0.25">
      <c r="J14885"/>
      <c r="M14885"/>
      <c r="W14885"/>
    </row>
    <row r="14886" spans="10:23" x14ac:dyDescent="0.25">
      <c r="J14886"/>
      <c r="M14886"/>
      <c r="W14886"/>
    </row>
    <row r="14887" spans="10:23" x14ac:dyDescent="0.25">
      <c r="J14887"/>
      <c r="M14887"/>
      <c r="W14887"/>
    </row>
    <row r="14888" spans="10:23" x14ac:dyDescent="0.25">
      <c r="J14888"/>
      <c r="M14888"/>
      <c r="W14888"/>
    </row>
    <row r="14889" spans="10:23" x14ac:dyDescent="0.25">
      <c r="J14889"/>
      <c r="M14889"/>
      <c r="W14889"/>
    </row>
    <row r="14890" spans="10:23" x14ac:dyDescent="0.25">
      <c r="J14890"/>
      <c r="M14890"/>
      <c r="W14890"/>
    </row>
    <row r="14891" spans="10:23" x14ac:dyDescent="0.25">
      <c r="J14891"/>
      <c r="M14891"/>
      <c r="W14891"/>
    </row>
    <row r="14892" spans="10:23" x14ac:dyDescent="0.25">
      <c r="J14892"/>
      <c r="M14892"/>
      <c r="W14892"/>
    </row>
    <row r="14893" spans="10:23" x14ac:dyDescent="0.25">
      <c r="J14893"/>
      <c r="M14893"/>
      <c r="W14893"/>
    </row>
    <row r="14894" spans="10:23" x14ac:dyDescent="0.25">
      <c r="J14894"/>
      <c r="M14894"/>
      <c r="W14894"/>
    </row>
    <row r="14895" spans="10:23" x14ac:dyDescent="0.25">
      <c r="J14895"/>
      <c r="M14895"/>
      <c r="W14895"/>
    </row>
    <row r="14896" spans="10:23" x14ac:dyDescent="0.25">
      <c r="J14896"/>
      <c r="M14896"/>
      <c r="W14896"/>
    </row>
    <row r="14897" spans="10:23" x14ac:dyDescent="0.25">
      <c r="J14897"/>
      <c r="M14897"/>
      <c r="W14897"/>
    </row>
    <row r="14898" spans="10:23" x14ac:dyDescent="0.25">
      <c r="J14898"/>
      <c r="M14898"/>
      <c r="W14898"/>
    </row>
    <row r="14899" spans="10:23" x14ac:dyDescent="0.25">
      <c r="J14899"/>
      <c r="M14899"/>
      <c r="W14899"/>
    </row>
    <row r="14900" spans="10:23" x14ac:dyDescent="0.25">
      <c r="J14900"/>
      <c r="M14900"/>
      <c r="W14900"/>
    </row>
    <row r="14901" spans="10:23" x14ac:dyDescent="0.25">
      <c r="J14901"/>
      <c r="M14901"/>
      <c r="W14901"/>
    </row>
    <row r="14902" spans="10:23" x14ac:dyDescent="0.25">
      <c r="J14902"/>
      <c r="M14902"/>
      <c r="W14902"/>
    </row>
    <row r="14903" spans="10:23" x14ac:dyDescent="0.25">
      <c r="J14903"/>
      <c r="M14903"/>
      <c r="W14903"/>
    </row>
    <row r="14904" spans="10:23" x14ac:dyDescent="0.25">
      <c r="J14904"/>
      <c r="M14904"/>
      <c r="W14904"/>
    </row>
    <row r="14905" spans="10:23" x14ac:dyDescent="0.25">
      <c r="J14905"/>
      <c r="M14905"/>
      <c r="W14905"/>
    </row>
    <row r="14906" spans="10:23" x14ac:dyDescent="0.25">
      <c r="J14906"/>
      <c r="M14906"/>
      <c r="W14906"/>
    </row>
    <row r="14907" spans="10:23" x14ac:dyDescent="0.25">
      <c r="J14907"/>
      <c r="M14907"/>
      <c r="W14907"/>
    </row>
    <row r="14908" spans="10:23" x14ac:dyDescent="0.25">
      <c r="J14908"/>
      <c r="M14908"/>
      <c r="W14908"/>
    </row>
    <row r="14909" spans="10:23" x14ac:dyDescent="0.25">
      <c r="J14909"/>
      <c r="M14909"/>
      <c r="W14909"/>
    </row>
    <row r="14910" spans="10:23" x14ac:dyDescent="0.25">
      <c r="J14910"/>
      <c r="M14910"/>
      <c r="W14910"/>
    </row>
    <row r="14911" spans="10:23" x14ac:dyDescent="0.25">
      <c r="J14911"/>
      <c r="M14911"/>
      <c r="W14911"/>
    </row>
    <row r="14912" spans="10:23" x14ac:dyDescent="0.25">
      <c r="J14912"/>
      <c r="M14912"/>
      <c r="W14912"/>
    </row>
    <row r="14913" spans="10:23" x14ac:dyDescent="0.25">
      <c r="J14913"/>
      <c r="M14913"/>
      <c r="W14913"/>
    </row>
    <row r="14914" spans="10:23" x14ac:dyDescent="0.25">
      <c r="J14914"/>
      <c r="M14914"/>
      <c r="W14914"/>
    </row>
    <row r="14915" spans="10:23" x14ac:dyDescent="0.25">
      <c r="J14915"/>
      <c r="M14915"/>
      <c r="W14915"/>
    </row>
    <row r="14916" spans="10:23" x14ac:dyDescent="0.25">
      <c r="J14916"/>
      <c r="M14916"/>
      <c r="W14916"/>
    </row>
    <row r="14917" spans="10:23" x14ac:dyDescent="0.25">
      <c r="J14917"/>
      <c r="M14917"/>
      <c r="W14917"/>
    </row>
    <row r="14918" spans="10:23" x14ac:dyDescent="0.25">
      <c r="J14918"/>
      <c r="M14918"/>
      <c r="W14918"/>
    </row>
    <row r="14919" spans="10:23" x14ac:dyDescent="0.25">
      <c r="J14919"/>
      <c r="M14919"/>
      <c r="W14919"/>
    </row>
    <row r="14920" spans="10:23" x14ac:dyDescent="0.25">
      <c r="J14920"/>
      <c r="M14920"/>
      <c r="W14920"/>
    </row>
    <row r="14921" spans="10:23" x14ac:dyDescent="0.25">
      <c r="J14921"/>
      <c r="M14921"/>
      <c r="W14921"/>
    </row>
    <row r="14922" spans="10:23" x14ac:dyDescent="0.25">
      <c r="J14922"/>
      <c r="M14922"/>
      <c r="W14922"/>
    </row>
    <row r="14923" spans="10:23" x14ac:dyDescent="0.25">
      <c r="J14923"/>
      <c r="M14923"/>
      <c r="W14923"/>
    </row>
    <row r="14924" spans="10:23" x14ac:dyDescent="0.25">
      <c r="J14924"/>
      <c r="M14924"/>
      <c r="W14924"/>
    </row>
    <row r="14925" spans="10:23" x14ac:dyDescent="0.25">
      <c r="J14925"/>
      <c r="M14925"/>
      <c r="W14925"/>
    </row>
    <row r="14926" spans="10:23" x14ac:dyDescent="0.25">
      <c r="J14926"/>
      <c r="M14926"/>
      <c r="W14926"/>
    </row>
    <row r="14927" spans="10:23" x14ac:dyDescent="0.25">
      <c r="J14927"/>
      <c r="M14927"/>
      <c r="W14927"/>
    </row>
    <row r="14928" spans="10:23" x14ac:dyDescent="0.25">
      <c r="J14928"/>
      <c r="M14928"/>
      <c r="W14928"/>
    </row>
    <row r="14929" spans="10:23" x14ac:dyDescent="0.25">
      <c r="J14929"/>
      <c r="M14929"/>
      <c r="W14929"/>
    </row>
    <row r="14930" spans="10:23" x14ac:dyDescent="0.25">
      <c r="J14930"/>
      <c r="M14930"/>
      <c r="W14930"/>
    </row>
    <row r="14931" spans="10:23" x14ac:dyDescent="0.25">
      <c r="J14931"/>
      <c r="M14931"/>
      <c r="W14931"/>
    </row>
    <row r="14932" spans="10:23" x14ac:dyDescent="0.25">
      <c r="J14932"/>
      <c r="M14932"/>
      <c r="W14932"/>
    </row>
    <row r="14933" spans="10:23" x14ac:dyDescent="0.25">
      <c r="J14933"/>
      <c r="M14933"/>
      <c r="W14933"/>
    </row>
    <row r="14934" spans="10:23" x14ac:dyDescent="0.25">
      <c r="J14934"/>
      <c r="M14934"/>
      <c r="W14934"/>
    </row>
    <row r="14935" spans="10:23" x14ac:dyDescent="0.25">
      <c r="J14935"/>
      <c r="M14935"/>
      <c r="W14935"/>
    </row>
    <row r="14936" spans="10:23" x14ac:dyDescent="0.25">
      <c r="J14936"/>
      <c r="M14936"/>
      <c r="W14936"/>
    </row>
    <row r="14937" spans="10:23" x14ac:dyDescent="0.25">
      <c r="J14937"/>
      <c r="M14937"/>
      <c r="W14937"/>
    </row>
    <row r="14938" spans="10:23" x14ac:dyDescent="0.25">
      <c r="J14938"/>
      <c r="M14938"/>
      <c r="W14938"/>
    </row>
    <row r="14939" spans="10:23" x14ac:dyDescent="0.25">
      <c r="J14939"/>
      <c r="M14939"/>
      <c r="W14939"/>
    </row>
    <row r="14940" spans="10:23" x14ac:dyDescent="0.25">
      <c r="J14940"/>
      <c r="M14940"/>
      <c r="W14940"/>
    </row>
    <row r="14941" spans="10:23" x14ac:dyDescent="0.25">
      <c r="J14941"/>
      <c r="M14941"/>
      <c r="W14941"/>
    </row>
    <row r="14942" spans="10:23" x14ac:dyDescent="0.25">
      <c r="J14942"/>
      <c r="M14942"/>
      <c r="W14942"/>
    </row>
    <row r="14943" spans="10:23" x14ac:dyDescent="0.25">
      <c r="J14943"/>
      <c r="M14943"/>
      <c r="W14943"/>
    </row>
    <row r="14944" spans="10:23" x14ac:dyDescent="0.25">
      <c r="J14944"/>
      <c r="M14944"/>
      <c r="W14944"/>
    </row>
    <row r="14945" spans="10:23" x14ac:dyDescent="0.25">
      <c r="J14945"/>
      <c r="M14945"/>
      <c r="W14945"/>
    </row>
    <row r="14946" spans="10:23" x14ac:dyDescent="0.25">
      <c r="J14946"/>
      <c r="M14946"/>
      <c r="W14946"/>
    </row>
    <row r="14947" spans="10:23" x14ac:dyDescent="0.25">
      <c r="J14947"/>
      <c r="M14947"/>
      <c r="W14947"/>
    </row>
    <row r="14948" spans="10:23" x14ac:dyDescent="0.25">
      <c r="J14948"/>
      <c r="M14948"/>
      <c r="W14948"/>
    </row>
    <row r="14949" spans="10:23" x14ac:dyDescent="0.25">
      <c r="J14949"/>
      <c r="M14949"/>
      <c r="W14949"/>
    </row>
    <row r="14950" spans="10:23" x14ac:dyDescent="0.25">
      <c r="J14950"/>
      <c r="M14950"/>
      <c r="W14950"/>
    </row>
    <row r="14951" spans="10:23" x14ac:dyDescent="0.25">
      <c r="J14951"/>
      <c r="M14951"/>
      <c r="W14951"/>
    </row>
    <row r="14952" spans="10:23" x14ac:dyDescent="0.25">
      <c r="J14952"/>
      <c r="M14952"/>
      <c r="W14952"/>
    </row>
    <row r="14953" spans="10:23" x14ac:dyDescent="0.25">
      <c r="J14953"/>
      <c r="M14953"/>
      <c r="W14953"/>
    </row>
    <row r="14954" spans="10:23" x14ac:dyDescent="0.25">
      <c r="J14954"/>
      <c r="M14954"/>
      <c r="W14954"/>
    </row>
    <row r="14955" spans="10:23" x14ac:dyDescent="0.25">
      <c r="J14955"/>
      <c r="M14955"/>
      <c r="W14955"/>
    </row>
    <row r="14956" spans="10:23" x14ac:dyDescent="0.25">
      <c r="J14956"/>
      <c r="M14956"/>
      <c r="W14956"/>
    </row>
    <row r="14957" spans="10:23" x14ac:dyDescent="0.25">
      <c r="J14957"/>
      <c r="M14957"/>
      <c r="W14957"/>
    </row>
    <row r="14958" spans="10:23" x14ac:dyDescent="0.25">
      <c r="J14958"/>
      <c r="M14958"/>
      <c r="W14958"/>
    </row>
    <row r="14959" spans="10:23" x14ac:dyDescent="0.25">
      <c r="J14959"/>
      <c r="M14959"/>
      <c r="W14959"/>
    </row>
    <row r="14960" spans="10:23" x14ac:dyDescent="0.25">
      <c r="J14960"/>
      <c r="M14960"/>
      <c r="W14960"/>
    </row>
    <row r="14961" spans="10:23" x14ac:dyDescent="0.25">
      <c r="J14961"/>
      <c r="M14961"/>
      <c r="W14961"/>
    </row>
    <row r="14962" spans="10:23" x14ac:dyDescent="0.25">
      <c r="J14962"/>
      <c r="M14962"/>
      <c r="W14962"/>
    </row>
    <row r="14963" spans="10:23" x14ac:dyDescent="0.25">
      <c r="J14963"/>
      <c r="M14963"/>
      <c r="W14963"/>
    </row>
    <row r="14964" spans="10:23" x14ac:dyDescent="0.25">
      <c r="J14964"/>
      <c r="M14964"/>
      <c r="W14964"/>
    </row>
    <row r="14965" spans="10:23" x14ac:dyDescent="0.25">
      <c r="J14965"/>
      <c r="M14965"/>
      <c r="W14965"/>
    </row>
    <row r="14966" spans="10:23" x14ac:dyDescent="0.25">
      <c r="J14966"/>
      <c r="M14966"/>
      <c r="W14966"/>
    </row>
    <row r="14967" spans="10:23" x14ac:dyDescent="0.25">
      <c r="J14967"/>
      <c r="M14967"/>
      <c r="W14967"/>
    </row>
    <row r="14968" spans="10:23" x14ac:dyDescent="0.25">
      <c r="J14968"/>
      <c r="M14968"/>
      <c r="W14968"/>
    </row>
    <row r="14969" spans="10:23" x14ac:dyDescent="0.25">
      <c r="J14969"/>
      <c r="M14969"/>
      <c r="W14969"/>
    </row>
    <row r="14970" spans="10:23" x14ac:dyDescent="0.25">
      <c r="J14970"/>
      <c r="M14970"/>
      <c r="W14970"/>
    </row>
    <row r="14971" spans="10:23" x14ac:dyDescent="0.25">
      <c r="J14971"/>
      <c r="M14971"/>
      <c r="W14971"/>
    </row>
    <row r="14972" spans="10:23" x14ac:dyDescent="0.25">
      <c r="J14972"/>
      <c r="M14972"/>
      <c r="W14972"/>
    </row>
    <row r="14973" spans="10:23" x14ac:dyDescent="0.25">
      <c r="J14973"/>
      <c r="M14973"/>
      <c r="W14973"/>
    </row>
    <row r="14974" spans="10:23" x14ac:dyDescent="0.25">
      <c r="J14974"/>
      <c r="M14974"/>
      <c r="W14974"/>
    </row>
    <row r="14975" spans="10:23" x14ac:dyDescent="0.25">
      <c r="J14975"/>
      <c r="M14975"/>
      <c r="W14975"/>
    </row>
    <row r="14976" spans="10:23" x14ac:dyDescent="0.25">
      <c r="J14976"/>
      <c r="M14976"/>
      <c r="W14976"/>
    </row>
    <row r="14977" spans="10:23" x14ac:dyDescent="0.25">
      <c r="J14977"/>
      <c r="M14977"/>
      <c r="W14977"/>
    </row>
    <row r="14978" spans="10:23" x14ac:dyDescent="0.25">
      <c r="J14978"/>
      <c r="M14978"/>
      <c r="W14978"/>
    </row>
    <row r="14979" spans="10:23" x14ac:dyDescent="0.25">
      <c r="J14979"/>
      <c r="M14979"/>
      <c r="W14979"/>
    </row>
    <row r="14980" spans="10:23" x14ac:dyDescent="0.25">
      <c r="J14980"/>
      <c r="M14980"/>
      <c r="W14980"/>
    </row>
    <row r="14981" spans="10:23" x14ac:dyDescent="0.25">
      <c r="J14981"/>
      <c r="M14981"/>
      <c r="W14981"/>
    </row>
    <row r="14982" spans="10:23" x14ac:dyDescent="0.25">
      <c r="J14982"/>
      <c r="M14982"/>
      <c r="W14982"/>
    </row>
    <row r="14983" spans="10:23" x14ac:dyDescent="0.25">
      <c r="J14983"/>
      <c r="M14983"/>
      <c r="W14983"/>
    </row>
    <row r="14984" spans="10:23" x14ac:dyDescent="0.25">
      <c r="J14984"/>
      <c r="M14984"/>
      <c r="W14984"/>
    </row>
    <row r="14985" spans="10:23" x14ac:dyDescent="0.25">
      <c r="J14985"/>
      <c r="M14985"/>
      <c r="W14985"/>
    </row>
    <row r="14986" spans="10:23" x14ac:dyDescent="0.25">
      <c r="J14986"/>
      <c r="M14986"/>
      <c r="W14986"/>
    </row>
    <row r="14987" spans="10:23" x14ac:dyDescent="0.25">
      <c r="J14987"/>
      <c r="M14987"/>
      <c r="W14987"/>
    </row>
    <row r="14988" spans="10:23" x14ac:dyDescent="0.25">
      <c r="J14988"/>
      <c r="M14988"/>
      <c r="W14988"/>
    </row>
    <row r="14989" spans="10:23" x14ac:dyDescent="0.25">
      <c r="J14989"/>
      <c r="M14989"/>
      <c r="W14989"/>
    </row>
    <row r="14990" spans="10:23" x14ac:dyDescent="0.25">
      <c r="J14990"/>
      <c r="M14990"/>
      <c r="W14990"/>
    </row>
    <row r="14991" spans="10:23" x14ac:dyDescent="0.25">
      <c r="J14991"/>
      <c r="M14991"/>
      <c r="W14991"/>
    </row>
    <row r="14992" spans="10:23" x14ac:dyDescent="0.25">
      <c r="J14992"/>
      <c r="M14992"/>
      <c r="W14992"/>
    </row>
    <row r="14993" spans="10:23" x14ac:dyDescent="0.25">
      <c r="J14993"/>
      <c r="M14993"/>
      <c r="W14993"/>
    </row>
    <row r="14994" spans="10:23" x14ac:dyDescent="0.25">
      <c r="J14994"/>
      <c r="M14994"/>
      <c r="W14994"/>
    </row>
    <row r="14995" spans="10:23" x14ac:dyDescent="0.25">
      <c r="J14995"/>
      <c r="M14995"/>
      <c r="W14995"/>
    </row>
    <row r="14996" spans="10:23" x14ac:dyDescent="0.25">
      <c r="J14996"/>
      <c r="M14996"/>
      <c r="W14996"/>
    </row>
    <row r="14997" spans="10:23" x14ac:dyDescent="0.25">
      <c r="J14997"/>
      <c r="M14997"/>
      <c r="W14997"/>
    </row>
    <row r="14998" spans="10:23" x14ac:dyDescent="0.25">
      <c r="J14998"/>
      <c r="M14998"/>
      <c r="W14998"/>
    </row>
    <row r="14999" spans="10:23" x14ac:dyDescent="0.25">
      <c r="J14999"/>
      <c r="M14999"/>
      <c r="W14999"/>
    </row>
    <row r="15000" spans="10:23" x14ac:dyDescent="0.25">
      <c r="J15000"/>
      <c r="M15000"/>
      <c r="W15000"/>
    </row>
    <row r="15001" spans="10:23" x14ac:dyDescent="0.25">
      <c r="J15001"/>
      <c r="M15001"/>
      <c r="W15001"/>
    </row>
    <row r="15002" spans="10:23" x14ac:dyDescent="0.25">
      <c r="J15002"/>
      <c r="M15002"/>
      <c r="W15002"/>
    </row>
    <row r="15003" spans="10:23" x14ac:dyDescent="0.25">
      <c r="J15003"/>
      <c r="M15003"/>
      <c r="W15003"/>
    </row>
    <row r="15004" spans="10:23" x14ac:dyDescent="0.25">
      <c r="J15004"/>
      <c r="M15004"/>
      <c r="W15004"/>
    </row>
    <row r="15005" spans="10:23" x14ac:dyDescent="0.25">
      <c r="J15005"/>
      <c r="M15005"/>
      <c r="W15005"/>
    </row>
    <row r="15006" spans="10:23" x14ac:dyDescent="0.25">
      <c r="J15006"/>
      <c r="M15006"/>
      <c r="W15006"/>
    </row>
    <row r="15007" spans="10:23" x14ac:dyDescent="0.25">
      <c r="J15007"/>
      <c r="M15007"/>
      <c r="W15007"/>
    </row>
    <row r="15008" spans="10:23" x14ac:dyDescent="0.25">
      <c r="J15008"/>
      <c r="M15008"/>
      <c r="W15008"/>
    </row>
    <row r="15009" spans="10:23" x14ac:dyDescent="0.25">
      <c r="J15009"/>
      <c r="M15009"/>
      <c r="W15009"/>
    </row>
    <row r="15010" spans="10:23" x14ac:dyDescent="0.25">
      <c r="J15010"/>
      <c r="M15010"/>
      <c r="W15010"/>
    </row>
    <row r="15011" spans="10:23" x14ac:dyDescent="0.25">
      <c r="J15011"/>
      <c r="M15011"/>
      <c r="W15011"/>
    </row>
    <row r="15012" spans="10:23" x14ac:dyDescent="0.25">
      <c r="J15012"/>
      <c r="M15012"/>
      <c r="W15012"/>
    </row>
    <row r="15013" spans="10:23" x14ac:dyDescent="0.25">
      <c r="J15013"/>
      <c r="M15013"/>
      <c r="W15013"/>
    </row>
    <row r="15014" spans="10:23" x14ac:dyDescent="0.25">
      <c r="J15014"/>
      <c r="M15014"/>
      <c r="W15014"/>
    </row>
    <row r="15015" spans="10:23" x14ac:dyDescent="0.25">
      <c r="J15015"/>
      <c r="M15015"/>
      <c r="W15015"/>
    </row>
    <row r="15016" spans="10:23" x14ac:dyDescent="0.25">
      <c r="J15016"/>
      <c r="M15016"/>
      <c r="W15016"/>
    </row>
    <row r="15017" spans="10:23" x14ac:dyDescent="0.25">
      <c r="J15017"/>
      <c r="M15017"/>
      <c r="W15017"/>
    </row>
    <row r="15018" spans="10:23" x14ac:dyDescent="0.25">
      <c r="J15018"/>
      <c r="M15018"/>
      <c r="W15018"/>
    </row>
    <row r="15019" spans="10:23" x14ac:dyDescent="0.25">
      <c r="J15019"/>
      <c r="M15019"/>
      <c r="W15019"/>
    </row>
    <row r="15020" spans="10:23" x14ac:dyDescent="0.25">
      <c r="J15020"/>
      <c r="M15020"/>
      <c r="W15020"/>
    </row>
    <row r="15021" spans="10:23" x14ac:dyDescent="0.25">
      <c r="J15021"/>
      <c r="M15021"/>
      <c r="W15021"/>
    </row>
    <row r="15022" spans="10:23" x14ac:dyDescent="0.25">
      <c r="J15022"/>
      <c r="M15022"/>
      <c r="W15022"/>
    </row>
    <row r="15023" spans="10:23" x14ac:dyDescent="0.25">
      <c r="J15023"/>
      <c r="M15023"/>
      <c r="W15023"/>
    </row>
    <row r="15024" spans="10:23" x14ac:dyDescent="0.25">
      <c r="J15024"/>
      <c r="M15024"/>
      <c r="W15024"/>
    </row>
    <row r="15025" spans="10:23" x14ac:dyDescent="0.25">
      <c r="J15025"/>
      <c r="M15025"/>
      <c r="W15025"/>
    </row>
    <row r="15026" spans="10:23" x14ac:dyDescent="0.25">
      <c r="J15026"/>
      <c r="M15026"/>
      <c r="W15026"/>
    </row>
    <row r="15027" spans="10:23" x14ac:dyDescent="0.25">
      <c r="J15027"/>
      <c r="M15027"/>
      <c r="W15027"/>
    </row>
    <row r="15028" spans="10:23" x14ac:dyDescent="0.25">
      <c r="J15028"/>
      <c r="M15028"/>
      <c r="W15028"/>
    </row>
    <row r="15029" spans="10:23" x14ac:dyDescent="0.25">
      <c r="J15029"/>
      <c r="M15029"/>
      <c r="W15029"/>
    </row>
    <row r="15030" spans="10:23" x14ac:dyDescent="0.25">
      <c r="J15030"/>
      <c r="M15030"/>
      <c r="W15030"/>
    </row>
    <row r="15031" spans="10:23" x14ac:dyDescent="0.25">
      <c r="J15031"/>
      <c r="M15031"/>
      <c r="W15031"/>
    </row>
    <row r="15032" spans="10:23" x14ac:dyDescent="0.25">
      <c r="J15032"/>
      <c r="M15032"/>
      <c r="W15032"/>
    </row>
    <row r="15033" spans="10:23" x14ac:dyDescent="0.25">
      <c r="J15033"/>
      <c r="M15033"/>
      <c r="W15033"/>
    </row>
    <row r="15034" spans="10:23" x14ac:dyDescent="0.25">
      <c r="J15034"/>
      <c r="M15034"/>
      <c r="W15034"/>
    </row>
    <row r="15035" spans="10:23" x14ac:dyDescent="0.25">
      <c r="J15035"/>
      <c r="M15035"/>
      <c r="W15035"/>
    </row>
    <row r="15036" spans="10:23" x14ac:dyDescent="0.25">
      <c r="J15036"/>
      <c r="M15036"/>
      <c r="W15036"/>
    </row>
    <row r="15037" spans="10:23" x14ac:dyDescent="0.25">
      <c r="J15037"/>
      <c r="M15037"/>
      <c r="W15037"/>
    </row>
    <row r="15038" spans="10:23" x14ac:dyDescent="0.25">
      <c r="J15038"/>
      <c r="M15038"/>
      <c r="W15038"/>
    </row>
    <row r="15039" spans="10:23" x14ac:dyDescent="0.25">
      <c r="J15039"/>
      <c r="M15039"/>
      <c r="W15039"/>
    </row>
    <row r="15040" spans="10:23" x14ac:dyDescent="0.25">
      <c r="J15040"/>
      <c r="M15040"/>
      <c r="W15040"/>
    </row>
    <row r="15041" spans="10:23" x14ac:dyDescent="0.25">
      <c r="J15041"/>
      <c r="M15041"/>
      <c r="W15041"/>
    </row>
    <row r="15042" spans="10:23" x14ac:dyDescent="0.25">
      <c r="J15042"/>
      <c r="M15042"/>
      <c r="W15042"/>
    </row>
    <row r="15043" spans="10:23" x14ac:dyDescent="0.25">
      <c r="J15043"/>
      <c r="M15043"/>
      <c r="W15043"/>
    </row>
    <row r="15044" spans="10:23" x14ac:dyDescent="0.25">
      <c r="J15044"/>
      <c r="M15044"/>
      <c r="W15044"/>
    </row>
    <row r="15045" spans="10:23" x14ac:dyDescent="0.25">
      <c r="J15045"/>
      <c r="M15045"/>
      <c r="W15045"/>
    </row>
    <row r="15046" spans="10:23" x14ac:dyDescent="0.25">
      <c r="J15046"/>
      <c r="M15046"/>
      <c r="W15046"/>
    </row>
    <row r="15047" spans="10:23" x14ac:dyDescent="0.25">
      <c r="J15047"/>
      <c r="M15047"/>
      <c r="W15047"/>
    </row>
    <row r="15048" spans="10:23" x14ac:dyDescent="0.25">
      <c r="J15048"/>
      <c r="M15048"/>
      <c r="W15048"/>
    </row>
    <row r="15049" spans="10:23" x14ac:dyDescent="0.25">
      <c r="J15049"/>
      <c r="M15049"/>
      <c r="W15049"/>
    </row>
    <row r="15050" spans="10:23" x14ac:dyDescent="0.25">
      <c r="J15050"/>
      <c r="M15050"/>
      <c r="W15050"/>
    </row>
    <row r="15051" spans="10:23" x14ac:dyDescent="0.25">
      <c r="J15051"/>
      <c r="M15051"/>
      <c r="W15051"/>
    </row>
    <row r="15052" spans="10:23" x14ac:dyDescent="0.25">
      <c r="J15052"/>
      <c r="M15052"/>
      <c r="W15052"/>
    </row>
    <row r="15053" spans="10:23" x14ac:dyDescent="0.25">
      <c r="J15053"/>
      <c r="M15053"/>
      <c r="W15053"/>
    </row>
    <row r="15054" spans="10:23" x14ac:dyDescent="0.25">
      <c r="J15054"/>
      <c r="M15054"/>
      <c r="W15054"/>
    </row>
    <row r="15055" spans="10:23" x14ac:dyDescent="0.25">
      <c r="J15055"/>
      <c r="M15055"/>
      <c r="W15055"/>
    </row>
    <row r="15056" spans="10:23" x14ac:dyDescent="0.25">
      <c r="J15056"/>
      <c r="M15056"/>
      <c r="W15056"/>
    </row>
    <row r="15057" spans="10:23" x14ac:dyDescent="0.25">
      <c r="J15057"/>
      <c r="M15057"/>
      <c r="W15057"/>
    </row>
    <row r="15058" spans="10:23" x14ac:dyDescent="0.25">
      <c r="J15058"/>
      <c r="M15058"/>
      <c r="W15058"/>
    </row>
    <row r="15059" spans="10:23" x14ac:dyDescent="0.25">
      <c r="J15059"/>
      <c r="M15059"/>
      <c r="W15059"/>
    </row>
    <row r="15060" spans="10:23" x14ac:dyDescent="0.25">
      <c r="J15060"/>
      <c r="M15060"/>
      <c r="W15060"/>
    </row>
    <row r="15061" spans="10:23" x14ac:dyDescent="0.25">
      <c r="J15061"/>
      <c r="M15061"/>
      <c r="W15061"/>
    </row>
    <row r="15062" spans="10:23" x14ac:dyDescent="0.25">
      <c r="J15062"/>
      <c r="M15062"/>
      <c r="W15062"/>
    </row>
    <row r="15063" spans="10:23" x14ac:dyDescent="0.25">
      <c r="J15063"/>
      <c r="M15063"/>
      <c r="W15063"/>
    </row>
    <row r="15064" spans="10:23" x14ac:dyDescent="0.25">
      <c r="J15064"/>
      <c r="M15064"/>
      <c r="W15064"/>
    </row>
    <row r="15065" spans="10:23" x14ac:dyDescent="0.25">
      <c r="J15065"/>
      <c r="M15065"/>
      <c r="W15065"/>
    </row>
    <row r="15066" spans="10:23" x14ac:dyDescent="0.25">
      <c r="J15066"/>
      <c r="M15066"/>
      <c r="W15066"/>
    </row>
    <row r="15067" spans="10:23" x14ac:dyDescent="0.25">
      <c r="J15067"/>
      <c r="M15067"/>
      <c r="W15067"/>
    </row>
    <row r="15068" spans="10:23" x14ac:dyDescent="0.25">
      <c r="J15068"/>
      <c r="M15068"/>
      <c r="W15068"/>
    </row>
    <row r="15069" spans="10:23" x14ac:dyDescent="0.25">
      <c r="J15069"/>
      <c r="M15069"/>
      <c r="W15069"/>
    </row>
    <row r="15070" spans="10:23" x14ac:dyDescent="0.25">
      <c r="J15070"/>
      <c r="M15070"/>
      <c r="W15070"/>
    </row>
    <row r="15071" spans="10:23" x14ac:dyDescent="0.25">
      <c r="J15071"/>
      <c r="M15071"/>
      <c r="W15071"/>
    </row>
    <row r="15072" spans="10:23" x14ac:dyDescent="0.25">
      <c r="J15072"/>
      <c r="M15072"/>
      <c r="W15072"/>
    </row>
    <row r="15073" spans="10:23" x14ac:dyDescent="0.25">
      <c r="J15073"/>
      <c r="M15073"/>
      <c r="W15073"/>
    </row>
    <row r="15074" spans="10:23" x14ac:dyDescent="0.25">
      <c r="J15074"/>
      <c r="M15074"/>
      <c r="W15074"/>
    </row>
    <row r="15075" spans="10:23" x14ac:dyDescent="0.25">
      <c r="J15075"/>
      <c r="M15075"/>
      <c r="W15075"/>
    </row>
    <row r="15076" spans="10:23" x14ac:dyDescent="0.25">
      <c r="J15076"/>
      <c r="M15076"/>
      <c r="W15076"/>
    </row>
    <row r="15077" spans="10:23" x14ac:dyDescent="0.25">
      <c r="J15077"/>
      <c r="M15077"/>
      <c r="W15077"/>
    </row>
    <row r="15078" spans="10:23" x14ac:dyDescent="0.25">
      <c r="J15078"/>
      <c r="M15078"/>
      <c r="W15078"/>
    </row>
    <row r="15079" spans="10:23" x14ac:dyDescent="0.25">
      <c r="J15079"/>
      <c r="M15079"/>
      <c r="W15079"/>
    </row>
    <row r="15080" spans="10:23" x14ac:dyDescent="0.25">
      <c r="J15080"/>
      <c r="M15080"/>
      <c r="W15080"/>
    </row>
    <row r="15081" spans="10:23" x14ac:dyDescent="0.25">
      <c r="J15081"/>
      <c r="M15081"/>
      <c r="W15081"/>
    </row>
    <row r="15082" spans="10:23" x14ac:dyDescent="0.25">
      <c r="J15082"/>
      <c r="M15082"/>
      <c r="W15082"/>
    </row>
    <row r="15083" spans="10:23" x14ac:dyDescent="0.25">
      <c r="J15083"/>
      <c r="M15083"/>
      <c r="W15083"/>
    </row>
    <row r="15084" spans="10:23" x14ac:dyDescent="0.25">
      <c r="J15084"/>
      <c r="M15084"/>
      <c r="W15084"/>
    </row>
    <row r="15085" spans="10:23" x14ac:dyDescent="0.25">
      <c r="J15085"/>
      <c r="M15085"/>
      <c r="W15085"/>
    </row>
    <row r="15086" spans="10:23" x14ac:dyDescent="0.25">
      <c r="J15086"/>
      <c r="M15086"/>
      <c r="W15086"/>
    </row>
    <row r="15087" spans="10:23" x14ac:dyDescent="0.25">
      <c r="J15087"/>
      <c r="M15087"/>
      <c r="W15087"/>
    </row>
    <row r="15088" spans="10:23" x14ac:dyDescent="0.25">
      <c r="J15088"/>
      <c r="M15088"/>
      <c r="W15088"/>
    </row>
    <row r="15089" spans="10:23" x14ac:dyDescent="0.25">
      <c r="J15089"/>
      <c r="M15089"/>
      <c r="W15089"/>
    </row>
    <row r="15090" spans="10:23" x14ac:dyDescent="0.25">
      <c r="J15090"/>
      <c r="M15090"/>
      <c r="W15090"/>
    </row>
    <row r="15091" spans="10:23" x14ac:dyDescent="0.25">
      <c r="J15091"/>
      <c r="M15091"/>
      <c r="W15091"/>
    </row>
    <row r="15092" spans="10:23" x14ac:dyDescent="0.25">
      <c r="J15092"/>
      <c r="M15092"/>
      <c r="W15092"/>
    </row>
    <row r="15093" spans="10:23" x14ac:dyDescent="0.25">
      <c r="J15093"/>
      <c r="M15093"/>
      <c r="W15093"/>
    </row>
    <row r="15094" spans="10:23" x14ac:dyDescent="0.25">
      <c r="J15094"/>
      <c r="M15094"/>
      <c r="W15094"/>
    </row>
    <row r="15095" spans="10:23" x14ac:dyDescent="0.25">
      <c r="J15095"/>
      <c r="M15095"/>
      <c r="W15095"/>
    </row>
    <row r="15096" spans="10:23" x14ac:dyDescent="0.25">
      <c r="J15096"/>
      <c r="M15096"/>
      <c r="W15096"/>
    </row>
    <row r="15097" spans="10:23" x14ac:dyDescent="0.25">
      <c r="J15097"/>
      <c r="M15097"/>
      <c r="W15097"/>
    </row>
    <row r="15098" spans="10:23" x14ac:dyDescent="0.25">
      <c r="J15098"/>
      <c r="M15098"/>
      <c r="W15098"/>
    </row>
    <row r="15099" spans="10:23" x14ac:dyDescent="0.25">
      <c r="J15099"/>
      <c r="M15099"/>
      <c r="W15099"/>
    </row>
    <row r="15100" spans="10:23" x14ac:dyDescent="0.25">
      <c r="J15100"/>
      <c r="M15100"/>
      <c r="W15100"/>
    </row>
    <row r="15101" spans="10:23" x14ac:dyDescent="0.25">
      <c r="J15101"/>
      <c r="M15101"/>
      <c r="W15101"/>
    </row>
    <row r="15102" spans="10:23" x14ac:dyDescent="0.25">
      <c r="J15102"/>
      <c r="M15102"/>
      <c r="W15102"/>
    </row>
    <row r="15103" spans="10:23" x14ac:dyDescent="0.25">
      <c r="J15103"/>
      <c r="M15103"/>
      <c r="W15103"/>
    </row>
    <row r="15104" spans="10:23" x14ac:dyDescent="0.25">
      <c r="J15104"/>
      <c r="M15104"/>
      <c r="W15104"/>
    </row>
    <row r="15105" spans="10:23" x14ac:dyDescent="0.25">
      <c r="J15105"/>
      <c r="M15105"/>
      <c r="W15105"/>
    </row>
    <row r="15106" spans="10:23" x14ac:dyDescent="0.25">
      <c r="J15106"/>
      <c r="M15106"/>
      <c r="W15106"/>
    </row>
    <row r="15107" spans="10:23" x14ac:dyDescent="0.25">
      <c r="J15107"/>
      <c r="M15107"/>
      <c r="W15107"/>
    </row>
    <row r="15108" spans="10:23" x14ac:dyDescent="0.25">
      <c r="J15108"/>
      <c r="M15108"/>
      <c r="W15108"/>
    </row>
    <row r="15109" spans="10:23" x14ac:dyDescent="0.25">
      <c r="J15109"/>
      <c r="M15109"/>
      <c r="W15109"/>
    </row>
    <row r="15110" spans="10:23" x14ac:dyDescent="0.25">
      <c r="J15110"/>
      <c r="M15110"/>
      <c r="W15110"/>
    </row>
    <row r="15111" spans="10:23" x14ac:dyDescent="0.25">
      <c r="J15111"/>
      <c r="M15111"/>
      <c r="W15111"/>
    </row>
    <row r="15112" spans="10:23" x14ac:dyDescent="0.25">
      <c r="J15112"/>
      <c r="M15112"/>
      <c r="W15112"/>
    </row>
    <row r="15113" spans="10:23" x14ac:dyDescent="0.25">
      <c r="J15113"/>
      <c r="M15113"/>
      <c r="W15113"/>
    </row>
    <row r="15114" spans="10:23" x14ac:dyDescent="0.25">
      <c r="J15114"/>
      <c r="M15114"/>
      <c r="W15114"/>
    </row>
    <row r="15115" spans="10:23" x14ac:dyDescent="0.25">
      <c r="J15115"/>
      <c r="M15115"/>
      <c r="W15115"/>
    </row>
    <row r="15116" spans="10:23" x14ac:dyDescent="0.25">
      <c r="J15116"/>
      <c r="M15116"/>
      <c r="W15116"/>
    </row>
    <row r="15117" spans="10:23" x14ac:dyDescent="0.25">
      <c r="J15117"/>
      <c r="M15117"/>
      <c r="W15117"/>
    </row>
    <row r="15118" spans="10:23" x14ac:dyDescent="0.25">
      <c r="J15118"/>
      <c r="M15118"/>
      <c r="W15118"/>
    </row>
    <row r="15119" spans="10:23" x14ac:dyDescent="0.25">
      <c r="J15119"/>
      <c r="M15119"/>
      <c r="W15119"/>
    </row>
    <row r="15120" spans="10:23" x14ac:dyDescent="0.25">
      <c r="J15120"/>
      <c r="M15120"/>
      <c r="W15120"/>
    </row>
    <row r="15121" spans="10:23" x14ac:dyDescent="0.25">
      <c r="J15121"/>
      <c r="M15121"/>
      <c r="W15121"/>
    </row>
    <row r="15122" spans="10:23" x14ac:dyDescent="0.25">
      <c r="J15122"/>
      <c r="M15122"/>
      <c r="W15122"/>
    </row>
    <row r="15123" spans="10:23" x14ac:dyDescent="0.25">
      <c r="J15123"/>
      <c r="M15123"/>
      <c r="W15123"/>
    </row>
    <row r="15124" spans="10:23" x14ac:dyDescent="0.25">
      <c r="J15124"/>
      <c r="M15124"/>
      <c r="W15124"/>
    </row>
    <row r="15125" spans="10:23" x14ac:dyDescent="0.25">
      <c r="J15125"/>
      <c r="M15125"/>
      <c r="W15125"/>
    </row>
    <row r="15126" spans="10:23" x14ac:dyDescent="0.25">
      <c r="J15126"/>
      <c r="M15126"/>
      <c r="W15126"/>
    </row>
    <row r="15127" spans="10:23" x14ac:dyDescent="0.25">
      <c r="J15127"/>
      <c r="M15127"/>
      <c r="W15127"/>
    </row>
    <row r="15128" spans="10:23" x14ac:dyDescent="0.25">
      <c r="J15128"/>
      <c r="M15128"/>
      <c r="W15128"/>
    </row>
    <row r="15129" spans="10:23" x14ac:dyDescent="0.25">
      <c r="J15129"/>
      <c r="M15129"/>
      <c r="W15129"/>
    </row>
    <row r="15130" spans="10:23" x14ac:dyDescent="0.25">
      <c r="J15130"/>
      <c r="M15130"/>
      <c r="W15130"/>
    </row>
    <row r="15131" spans="10:23" x14ac:dyDescent="0.25">
      <c r="J15131"/>
      <c r="M15131"/>
      <c r="W15131"/>
    </row>
    <row r="15132" spans="10:23" x14ac:dyDescent="0.25">
      <c r="J15132"/>
      <c r="M15132"/>
      <c r="W15132"/>
    </row>
    <row r="15133" spans="10:23" x14ac:dyDescent="0.25">
      <c r="J15133"/>
      <c r="M15133"/>
      <c r="W15133"/>
    </row>
    <row r="15134" spans="10:23" x14ac:dyDescent="0.25">
      <c r="J15134"/>
      <c r="M15134"/>
      <c r="W15134"/>
    </row>
    <row r="15135" spans="10:23" x14ac:dyDescent="0.25">
      <c r="J15135"/>
      <c r="M15135"/>
      <c r="W15135"/>
    </row>
    <row r="15136" spans="10:23" x14ac:dyDescent="0.25">
      <c r="J15136"/>
      <c r="M15136"/>
      <c r="W15136"/>
    </row>
    <row r="15137" spans="10:23" x14ac:dyDescent="0.25">
      <c r="J15137"/>
      <c r="M15137"/>
      <c r="W15137"/>
    </row>
    <row r="15138" spans="10:23" x14ac:dyDescent="0.25">
      <c r="J15138"/>
      <c r="M15138"/>
      <c r="W15138"/>
    </row>
    <row r="15139" spans="10:23" x14ac:dyDescent="0.25">
      <c r="J15139"/>
      <c r="M15139"/>
      <c r="W15139"/>
    </row>
    <row r="15140" spans="10:23" x14ac:dyDescent="0.25">
      <c r="J15140"/>
      <c r="M15140"/>
      <c r="W15140"/>
    </row>
    <row r="15141" spans="10:23" x14ac:dyDescent="0.25">
      <c r="J15141"/>
      <c r="M15141"/>
      <c r="W15141"/>
    </row>
    <row r="15142" spans="10:23" x14ac:dyDescent="0.25">
      <c r="J15142"/>
      <c r="M15142"/>
      <c r="W15142"/>
    </row>
    <row r="15143" spans="10:23" x14ac:dyDescent="0.25">
      <c r="J15143"/>
      <c r="M15143"/>
      <c r="W15143"/>
    </row>
    <row r="15144" spans="10:23" x14ac:dyDescent="0.25">
      <c r="J15144"/>
      <c r="M15144"/>
      <c r="W15144"/>
    </row>
    <row r="15145" spans="10:23" x14ac:dyDescent="0.25">
      <c r="J15145"/>
      <c r="M15145"/>
      <c r="W15145"/>
    </row>
    <row r="15146" spans="10:23" x14ac:dyDescent="0.25">
      <c r="J15146"/>
      <c r="M15146"/>
      <c r="W15146"/>
    </row>
    <row r="15147" spans="10:23" x14ac:dyDescent="0.25">
      <c r="J15147"/>
      <c r="M15147"/>
      <c r="W15147"/>
    </row>
    <row r="15148" spans="10:23" x14ac:dyDescent="0.25">
      <c r="J15148"/>
      <c r="M15148"/>
      <c r="W15148"/>
    </row>
    <row r="15149" spans="10:23" x14ac:dyDescent="0.25">
      <c r="J15149"/>
      <c r="M15149"/>
      <c r="W15149"/>
    </row>
    <row r="15150" spans="10:23" x14ac:dyDescent="0.25">
      <c r="J15150"/>
      <c r="M15150"/>
      <c r="W15150"/>
    </row>
    <row r="15151" spans="10:23" x14ac:dyDescent="0.25">
      <c r="J15151"/>
      <c r="M15151"/>
      <c r="W15151"/>
    </row>
    <row r="15152" spans="10:23" x14ac:dyDescent="0.25">
      <c r="J15152"/>
      <c r="M15152"/>
      <c r="W15152"/>
    </row>
    <row r="15153" spans="10:23" x14ac:dyDescent="0.25">
      <c r="J15153"/>
      <c r="M15153"/>
      <c r="W15153"/>
    </row>
    <row r="15154" spans="10:23" x14ac:dyDescent="0.25">
      <c r="J15154"/>
      <c r="M15154"/>
      <c r="W15154"/>
    </row>
    <row r="15155" spans="10:23" x14ac:dyDescent="0.25">
      <c r="J15155"/>
      <c r="M15155"/>
      <c r="W15155"/>
    </row>
    <row r="15156" spans="10:23" x14ac:dyDescent="0.25">
      <c r="J15156"/>
      <c r="M15156"/>
      <c r="W15156"/>
    </row>
    <row r="15157" spans="10:23" x14ac:dyDescent="0.25">
      <c r="J15157"/>
      <c r="M15157"/>
      <c r="W15157"/>
    </row>
    <row r="15158" spans="10:23" x14ac:dyDescent="0.25">
      <c r="J15158"/>
      <c r="M15158"/>
      <c r="W15158"/>
    </row>
    <row r="15159" spans="10:23" x14ac:dyDescent="0.25">
      <c r="J15159"/>
      <c r="M15159"/>
      <c r="W15159"/>
    </row>
    <row r="15160" spans="10:23" x14ac:dyDescent="0.25">
      <c r="J15160"/>
      <c r="M15160"/>
      <c r="W15160"/>
    </row>
    <row r="15161" spans="10:23" x14ac:dyDescent="0.25">
      <c r="J15161"/>
      <c r="M15161"/>
      <c r="W15161"/>
    </row>
    <row r="15162" spans="10:23" x14ac:dyDescent="0.25">
      <c r="J15162"/>
      <c r="M15162"/>
      <c r="W15162"/>
    </row>
    <row r="15163" spans="10:23" x14ac:dyDescent="0.25">
      <c r="J15163"/>
      <c r="M15163"/>
      <c r="W15163"/>
    </row>
    <row r="15164" spans="10:23" x14ac:dyDescent="0.25">
      <c r="J15164"/>
      <c r="M15164"/>
      <c r="W15164"/>
    </row>
    <row r="15165" spans="10:23" x14ac:dyDescent="0.25">
      <c r="J15165"/>
      <c r="M15165"/>
      <c r="W15165"/>
    </row>
    <row r="15166" spans="10:23" x14ac:dyDescent="0.25">
      <c r="J15166"/>
      <c r="M15166"/>
      <c r="W15166"/>
    </row>
    <row r="15167" spans="10:23" x14ac:dyDescent="0.25">
      <c r="J15167"/>
      <c r="M15167"/>
      <c r="W15167"/>
    </row>
    <row r="15168" spans="10:23" x14ac:dyDescent="0.25">
      <c r="J15168"/>
      <c r="M15168"/>
      <c r="W15168"/>
    </row>
    <row r="15169" spans="10:23" x14ac:dyDescent="0.25">
      <c r="J15169"/>
      <c r="M15169"/>
      <c r="W15169"/>
    </row>
    <row r="15170" spans="10:23" x14ac:dyDescent="0.25">
      <c r="J15170"/>
      <c r="M15170"/>
      <c r="W15170"/>
    </row>
    <row r="15171" spans="10:23" x14ac:dyDescent="0.25">
      <c r="J15171"/>
      <c r="M15171"/>
      <c r="W15171"/>
    </row>
    <row r="15172" spans="10:23" x14ac:dyDescent="0.25">
      <c r="J15172"/>
      <c r="M15172"/>
      <c r="W15172"/>
    </row>
    <row r="15173" spans="10:23" x14ac:dyDescent="0.25">
      <c r="J15173"/>
      <c r="M15173"/>
      <c r="W15173"/>
    </row>
    <row r="15174" spans="10:23" x14ac:dyDescent="0.25">
      <c r="J15174"/>
      <c r="M15174"/>
      <c r="W15174"/>
    </row>
    <row r="15175" spans="10:23" x14ac:dyDescent="0.25">
      <c r="J15175"/>
      <c r="M15175"/>
      <c r="W15175"/>
    </row>
    <row r="15176" spans="10:23" x14ac:dyDescent="0.25">
      <c r="J15176"/>
      <c r="M15176"/>
      <c r="W15176"/>
    </row>
    <row r="15177" spans="10:23" x14ac:dyDescent="0.25">
      <c r="J15177"/>
      <c r="M15177"/>
      <c r="W15177"/>
    </row>
    <row r="15178" spans="10:23" x14ac:dyDescent="0.25">
      <c r="J15178"/>
      <c r="M15178"/>
      <c r="W15178"/>
    </row>
    <row r="15179" spans="10:23" x14ac:dyDescent="0.25">
      <c r="J15179"/>
      <c r="M15179"/>
      <c r="W15179"/>
    </row>
    <row r="15180" spans="10:23" x14ac:dyDescent="0.25">
      <c r="J15180"/>
      <c r="M15180"/>
      <c r="W15180"/>
    </row>
    <row r="15181" spans="10:23" x14ac:dyDescent="0.25">
      <c r="J15181"/>
      <c r="M15181"/>
      <c r="W15181"/>
    </row>
    <row r="15182" spans="10:23" x14ac:dyDescent="0.25">
      <c r="J15182"/>
      <c r="M15182"/>
      <c r="W15182"/>
    </row>
    <row r="15183" spans="10:23" x14ac:dyDescent="0.25">
      <c r="J15183"/>
      <c r="M15183"/>
      <c r="W15183"/>
    </row>
    <row r="15184" spans="10:23" x14ac:dyDescent="0.25">
      <c r="J15184"/>
      <c r="M15184"/>
      <c r="W15184"/>
    </row>
    <row r="15185" spans="10:23" x14ac:dyDescent="0.25">
      <c r="J15185"/>
      <c r="M15185"/>
      <c r="W15185"/>
    </row>
    <row r="15186" spans="10:23" x14ac:dyDescent="0.25">
      <c r="J15186"/>
      <c r="M15186"/>
      <c r="W15186"/>
    </row>
    <row r="15187" spans="10:23" x14ac:dyDescent="0.25">
      <c r="J15187"/>
      <c r="M15187"/>
      <c r="W15187"/>
    </row>
    <row r="15188" spans="10:23" x14ac:dyDescent="0.25">
      <c r="J15188"/>
      <c r="M15188"/>
      <c r="W15188"/>
    </row>
    <row r="15189" spans="10:23" x14ac:dyDescent="0.25">
      <c r="J15189"/>
      <c r="M15189"/>
      <c r="W15189"/>
    </row>
    <row r="15190" spans="10:23" x14ac:dyDescent="0.25">
      <c r="J15190"/>
      <c r="M15190"/>
      <c r="W15190"/>
    </row>
    <row r="15191" spans="10:23" x14ac:dyDescent="0.25">
      <c r="J15191"/>
      <c r="M15191"/>
      <c r="W15191"/>
    </row>
    <row r="15192" spans="10:23" x14ac:dyDescent="0.25">
      <c r="J15192"/>
      <c r="M15192"/>
      <c r="W15192"/>
    </row>
    <row r="15193" spans="10:23" x14ac:dyDescent="0.25">
      <c r="J15193"/>
      <c r="M15193"/>
      <c r="W15193"/>
    </row>
    <row r="15194" spans="10:23" x14ac:dyDescent="0.25">
      <c r="J15194"/>
      <c r="M15194"/>
      <c r="W15194"/>
    </row>
    <row r="15195" spans="10:23" x14ac:dyDescent="0.25">
      <c r="J15195"/>
      <c r="M15195"/>
      <c r="W15195"/>
    </row>
    <row r="15196" spans="10:23" x14ac:dyDescent="0.25">
      <c r="J15196"/>
      <c r="M15196"/>
      <c r="W15196"/>
    </row>
    <row r="15197" spans="10:23" x14ac:dyDescent="0.25">
      <c r="J15197"/>
      <c r="M15197"/>
      <c r="W15197"/>
    </row>
    <row r="15198" spans="10:23" x14ac:dyDescent="0.25">
      <c r="J15198"/>
      <c r="M15198"/>
      <c r="W15198"/>
    </row>
    <row r="15199" spans="10:23" x14ac:dyDescent="0.25">
      <c r="J15199"/>
      <c r="M15199"/>
      <c r="W15199"/>
    </row>
    <row r="15200" spans="10:23" x14ac:dyDescent="0.25">
      <c r="J15200"/>
      <c r="M15200"/>
      <c r="W15200"/>
    </row>
    <row r="15201" spans="10:23" x14ac:dyDescent="0.25">
      <c r="J15201"/>
      <c r="M15201"/>
      <c r="W15201"/>
    </row>
    <row r="15202" spans="10:23" x14ac:dyDescent="0.25">
      <c r="J15202"/>
      <c r="M15202"/>
      <c r="W15202"/>
    </row>
    <row r="15203" spans="10:23" x14ac:dyDescent="0.25">
      <c r="J15203"/>
      <c r="M15203"/>
      <c r="W15203"/>
    </row>
    <row r="15204" spans="10:23" x14ac:dyDescent="0.25">
      <c r="J15204"/>
      <c r="M15204"/>
      <c r="W15204"/>
    </row>
    <row r="15205" spans="10:23" x14ac:dyDescent="0.25">
      <c r="J15205"/>
      <c r="M15205"/>
      <c r="W15205"/>
    </row>
    <row r="15206" spans="10:23" x14ac:dyDescent="0.25">
      <c r="J15206"/>
      <c r="M15206"/>
      <c r="W15206"/>
    </row>
    <row r="15207" spans="10:23" x14ac:dyDescent="0.25">
      <c r="J15207"/>
      <c r="M15207"/>
      <c r="W15207"/>
    </row>
    <row r="15208" spans="10:23" x14ac:dyDescent="0.25">
      <c r="J15208"/>
      <c r="M15208"/>
      <c r="W15208"/>
    </row>
    <row r="15209" spans="10:23" x14ac:dyDescent="0.25">
      <c r="J15209"/>
      <c r="M15209"/>
      <c r="W15209"/>
    </row>
    <row r="15210" spans="10:23" x14ac:dyDescent="0.25">
      <c r="J15210"/>
      <c r="M15210"/>
      <c r="W15210"/>
    </row>
    <row r="15211" spans="10:23" x14ac:dyDescent="0.25">
      <c r="J15211"/>
      <c r="M15211"/>
      <c r="W15211"/>
    </row>
    <row r="15212" spans="10:23" x14ac:dyDescent="0.25">
      <c r="J15212"/>
      <c r="M15212"/>
      <c r="W15212"/>
    </row>
    <row r="15213" spans="10:23" x14ac:dyDescent="0.25">
      <c r="J15213"/>
      <c r="M15213"/>
      <c r="W15213"/>
    </row>
    <row r="15214" spans="10:23" x14ac:dyDescent="0.25">
      <c r="J15214"/>
      <c r="M15214"/>
      <c r="W15214"/>
    </row>
    <row r="15215" spans="10:23" x14ac:dyDescent="0.25">
      <c r="J15215"/>
      <c r="M15215"/>
      <c r="W15215"/>
    </row>
    <row r="15216" spans="10:23" x14ac:dyDescent="0.25">
      <c r="J15216"/>
      <c r="M15216"/>
      <c r="W15216"/>
    </row>
    <row r="15217" spans="10:23" x14ac:dyDescent="0.25">
      <c r="J15217"/>
      <c r="M15217"/>
      <c r="W15217"/>
    </row>
    <row r="15218" spans="10:23" x14ac:dyDescent="0.25">
      <c r="J15218"/>
      <c r="M15218"/>
      <c r="W15218"/>
    </row>
    <row r="15219" spans="10:23" x14ac:dyDescent="0.25">
      <c r="J15219"/>
      <c r="M15219"/>
      <c r="W15219"/>
    </row>
    <row r="15220" spans="10:23" x14ac:dyDescent="0.25">
      <c r="J15220"/>
      <c r="M15220"/>
      <c r="W15220"/>
    </row>
    <row r="15221" spans="10:23" x14ac:dyDescent="0.25">
      <c r="J15221"/>
      <c r="M15221"/>
      <c r="W15221"/>
    </row>
    <row r="15222" spans="10:23" x14ac:dyDescent="0.25">
      <c r="J15222"/>
      <c r="M15222"/>
      <c r="W15222"/>
    </row>
    <row r="15223" spans="10:23" x14ac:dyDescent="0.25">
      <c r="J15223"/>
      <c r="M15223"/>
      <c r="W15223"/>
    </row>
    <row r="15224" spans="10:23" x14ac:dyDescent="0.25">
      <c r="J15224"/>
      <c r="M15224"/>
      <c r="W15224"/>
    </row>
    <row r="15225" spans="10:23" x14ac:dyDescent="0.25">
      <c r="J15225"/>
      <c r="M15225"/>
      <c r="W15225"/>
    </row>
    <row r="15226" spans="10:23" x14ac:dyDescent="0.25">
      <c r="J15226"/>
      <c r="M15226"/>
      <c r="W15226"/>
    </row>
    <row r="15227" spans="10:23" x14ac:dyDescent="0.25">
      <c r="J15227"/>
      <c r="M15227"/>
      <c r="W15227"/>
    </row>
    <row r="15228" spans="10:23" x14ac:dyDescent="0.25">
      <c r="J15228"/>
      <c r="M15228"/>
      <c r="W15228"/>
    </row>
    <row r="15229" spans="10:23" x14ac:dyDescent="0.25">
      <c r="J15229"/>
      <c r="M15229"/>
      <c r="W15229"/>
    </row>
    <row r="15230" spans="10:23" x14ac:dyDescent="0.25">
      <c r="J15230"/>
      <c r="M15230"/>
      <c r="W15230"/>
    </row>
    <row r="15231" spans="10:23" x14ac:dyDescent="0.25">
      <c r="J15231"/>
      <c r="M15231"/>
      <c r="W15231"/>
    </row>
    <row r="15232" spans="10:23" x14ac:dyDescent="0.25">
      <c r="J15232"/>
      <c r="M15232"/>
      <c r="W15232"/>
    </row>
    <row r="15233" spans="10:23" x14ac:dyDescent="0.25">
      <c r="J15233"/>
      <c r="M15233"/>
      <c r="W15233"/>
    </row>
    <row r="15234" spans="10:23" x14ac:dyDescent="0.25">
      <c r="J15234"/>
      <c r="M15234"/>
      <c r="W15234"/>
    </row>
    <row r="15235" spans="10:23" x14ac:dyDescent="0.25">
      <c r="J15235"/>
      <c r="M15235"/>
      <c r="W15235"/>
    </row>
    <row r="15236" spans="10:23" x14ac:dyDescent="0.25">
      <c r="J15236"/>
      <c r="M15236"/>
      <c r="W15236"/>
    </row>
    <row r="15237" spans="10:23" x14ac:dyDescent="0.25">
      <c r="J15237"/>
      <c r="M15237"/>
      <c r="W15237"/>
    </row>
    <row r="15238" spans="10:23" x14ac:dyDescent="0.25">
      <c r="J15238"/>
      <c r="M15238"/>
      <c r="W15238"/>
    </row>
    <row r="15239" spans="10:23" x14ac:dyDescent="0.25">
      <c r="J15239"/>
      <c r="M15239"/>
      <c r="W15239"/>
    </row>
    <row r="15240" spans="10:23" x14ac:dyDescent="0.25">
      <c r="J15240"/>
      <c r="M15240"/>
      <c r="W15240"/>
    </row>
    <row r="15241" spans="10:23" x14ac:dyDescent="0.25">
      <c r="J15241"/>
      <c r="M15241"/>
      <c r="W15241"/>
    </row>
    <row r="15242" spans="10:23" x14ac:dyDescent="0.25">
      <c r="J15242"/>
      <c r="M15242"/>
      <c r="W15242"/>
    </row>
    <row r="15243" spans="10:23" x14ac:dyDescent="0.25">
      <c r="J15243"/>
      <c r="M15243"/>
      <c r="W15243"/>
    </row>
    <row r="15244" spans="10:23" x14ac:dyDescent="0.25">
      <c r="J15244"/>
      <c r="M15244"/>
      <c r="W15244"/>
    </row>
    <row r="15245" spans="10:23" x14ac:dyDescent="0.25">
      <c r="J15245"/>
      <c r="M15245"/>
      <c r="W15245"/>
    </row>
    <row r="15246" spans="10:23" x14ac:dyDescent="0.25">
      <c r="J15246"/>
      <c r="M15246"/>
      <c r="W15246"/>
    </row>
    <row r="15247" spans="10:23" x14ac:dyDescent="0.25">
      <c r="J15247"/>
      <c r="M15247"/>
      <c r="W15247"/>
    </row>
    <row r="15248" spans="10:23" x14ac:dyDescent="0.25">
      <c r="J15248"/>
      <c r="M15248"/>
      <c r="W15248"/>
    </row>
    <row r="15249" spans="10:23" x14ac:dyDescent="0.25">
      <c r="J15249"/>
      <c r="M15249"/>
      <c r="W15249"/>
    </row>
    <row r="15250" spans="10:23" x14ac:dyDescent="0.25">
      <c r="J15250"/>
      <c r="M15250"/>
      <c r="W15250"/>
    </row>
    <row r="15251" spans="10:23" x14ac:dyDescent="0.25">
      <c r="J15251"/>
      <c r="M15251"/>
      <c r="W15251"/>
    </row>
    <row r="15252" spans="10:23" x14ac:dyDescent="0.25">
      <c r="J15252"/>
      <c r="M15252"/>
      <c r="W15252"/>
    </row>
    <row r="15253" spans="10:23" x14ac:dyDescent="0.25">
      <c r="J15253"/>
      <c r="M15253"/>
      <c r="W15253"/>
    </row>
    <row r="15254" spans="10:23" x14ac:dyDescent="0.25">
      <c r="J15254"/>
      <c r="M15254"/>
      <c r="W15254"/>
    </row>
    <row r="15255" spans="10:23" x14ac:dyDescent="0.25">
      <c r="J15255"/>
      <c r="M15255"/>
      <c r="W15255"/>
    </row>
    <row r="15256" spans="10:23" x14ac:dyDescent="0.25">
      <c r="J15256"/>
      <c r="M15256"/>
      <c r="W15256"/>
    </row>
    <row r="15257" spans="10:23" x14ac:dyDescent="0.25">
      <c r="J15257"/>
      <c r="M15257"/>
      <c r="W15257"/>
    </row>
    <row r="15258" spans="10:23" x14ac:dyDescent="0.25">
      <c r="J15258"/>
      <c r="M15258"/>
      <c r="W15258"/>
    </row>
    <row r="15259" spans="10:23" x14ac:dyDescent="0.25">
      <c r="J15259"/>
      <c r="M15259"/>
      <c r="W15259"/>
    </row>
    <row r="15260" spans="10:23" x14ac:dyDescent="0.25">
      <c r="J15260"/>
      <c r="M15260"/>
      <c r="W15260"/>
    </row>
    <row r="15261" spans="10:23" x14ac:dyDescent="0.25">
      <c r="J15261"/>
      <c r="M15261"/>
      <c r="W15261"/>
    </row>
    <row r="15262" spans="10:23" x14ac:dyDescent="0.25">
      <c r="J15262"/>
      <c r="M15262"/>
      <c r="W15262"/>
    </row>
    <row r="15263" spans="10:23" x14ac:dyDescent="0.25">
      <c r="J15263"/>
      <c r="M15263"/>
      <c r="W15263"/>
    </row>
    <row r="15264" spans="10:23" x14ac:dyDescent="0.25">
      <c r="J15264"/>
      <c r="M15264"/>
      <c r="W15264"/>
    </row>
    <row r="15265" spans="10:23" x14ac:dyDescent="0.25">
      <c r="J15265"/>
      <c r="M15265"/>
      <c r="W15265"/>
    </row>
    <row r="15266" spans="10:23" x14ac:dyDescent="0.25">
      <c r="J15266"/>
      <c r="M15266"/>
      <c r="W15266"/>
    </row>
    <row r="15267" spans="10:23" x14ac:dyDescent="0.25">
      <c r="J15267"/>
      <c r="M15267"/>
      <c r="W15267"/>
    </row>
    <row r="15268" spans="10:23" x14ac:dyDescent="0.25">
      <c r="J15268"/>
      <c r="M15268"/>
      <c r="W15268"/>
    </row>
    <row r="15269" spans="10:23" x14ac:dyDescent="0.25">
      <c r="J15269"/>
      <c r="M15269"/>
      <c r="W15269"/>
    </row>
    <row r="15270" spans="10:23" x14ac:dyDescent="0.25">
      <c r="J15270"/>
      <c r="M15270"/>
      <c r="W15270"/>
    </row>
    <row r="15271" spans="10:23" x14ac:dyDescent="0.25">
      <c r="J15271"/>
      <c r="M15271"/>
      <c r="W15271"/>
    </row>
    <row r="15272" spans="10:23" x14ac:dyDescent="0.25">
      <c r="J15272"/>
      <c r="M15272"/>
      <c r="W15272"/>
    </row>
    <row r="15273" spans="10:23" x14ac:dyDescent="0.25">
      <c r="J15273"/>
      <c r="M15273"/>
      <c r="W15273"/>
    </row>
    <row r="15274" spans="10:23" x14ac:dyDescent="0.25">
      <c r="J15274"/>
      <c r="M15274"/>
      <c r="W15274"/>
    </row>
    <row r="15275" spans="10:23" x14ac:dyDescent="0.25">
      <c r="J15275"/>
      <c r="M15275"/>
      <c r="W15275"/>
    </row>
    <row r="15276" spans="10:23" x14ac:dyDescent="0.25">
      <c r="J15276"/>
      <c r="M15276"/>
      <c r="W15276"/>
    </row>
    <row r="15277" spans="10:23" x14ac:dyDescent="0.25">
      <c r="J15277"/>
      <c r="M15277"/>
      <c r="W15277"/>
    </row>
    <row r="15278" spans="10:23" x14ac:dyDescent="0.25">
      <c r="J15278"/>
      <c r="M15278"/>
      <c r="W15278"/>
    </row>
    <row r="15279" spans="10:23" x14ac:dyDescent="0.25">
      <c r="J15279"/>
      <c r="M15279"/>
      <c r="W15279"/>
    </row>
    <row r="15280" spans="10:23" x14ac:dyDescent="0.25">
      <c r="J15280"/>
      <c r="M15280"/>
      <c r="W15280"/>
    </row>
    <row r="15281" spans="10:23" x14ac:dyDescent="0.25">
      <c r="J15281"/>
      <c r="M15281"/>
      <c r="W15281"/>
    </row>
    <row r="15282" spans="10:23" x14ac:dyDescent="0.25">
      <c r="J15282"/>
      <c r="M15282"/>
      <c r="W15282"/>
    </row>
    <row r="15283" spans="10:23" x14ac:dyDescent="0.25">
      <c r="J15283"/>
      <c r="M15283"/>
      <c r="W15283"/>
    </row>
    <row r="15284" spans="10:23" x14ac:dyDescent="0.25">
      <c r="J15284"/>
      <c r="M15284"/>
      <c r="W15284"/>
    </row>
    <row r="15285" spans="10:23" x14ac:dyDescent="0.25">
      <c r="J15285"/>
      <c r="M15285"/>
      <c r="W15285"/>
    </row>
    <row r="15286" spans="10:23" x14ac:dyDescent="0.25">
      <c r="J15286"/>
      <c r="M15286"/>
      <c r="W15286"/>
    </row>
    <row r="15287" spans="10:23" x14ac:dyDescent="0.25">
      <c r="J15287"/>
      <c r="M15287"/>
      <c r="W15287"/>
    </row>
    <row r="15288" spans="10:23" x14ac:dyDescent="0.25">
      <c r="J15288"/>
      <c r="M15288"/>
      <c r="W15288"/>
    </row>
    <row r="15289" spans="10:23" x14ac:dyDescent="0.25">
      <c r="J15289"/>
      <c r="M15289"/>
      <c r="W15289"/>
    </row>
    <row r="15290" spans="10:23" x14ac:dyDescent="0.25">
      <c r="J15290"/>
      <c r="M15290"/>
      <c r="W15290"/>
    </row>
    <row r="15291" spans="10:23" x14ac:dyDescent="0.25">
      <c r="J15291"/>
      <c r="M15291"/>
      <c r="W15291"/>
    </row>
    <row r="15292" spans="10:23" x14ac:dyDescent="0.25">
      <c r="J15292"/>
      <c r="M15292"/>
      <c r="W15292"/>
    </row>
    <row r="15293" spans="10:23" x14ac:dyDescent="0.25">
      <c r="J15293"/>
      <c r="M15293"/>
      <c r="W15293"/>
    </row>
    <row r="15294" spans="10:23" x14ac:dyDescent="0.25">
      <c r="J15294"/>
      <c r="M15294"/>
      <c r="W15294"/>
    </row>
    <row r="15295" spans="10:23" x14ac:dyDescent="0.25">
      <c r="J15295"/>
      <c r="M15295"/>
      <c r="W15295"/>
    </row>
    <row r="15296" spans="10:23" x14ac:dyDescent="0.25">
      <c r="J15296"/>
      <c r="M15296"/>
      <c r="W15296"/>
    </row>
    <row r="15297" spans="10:23" x14ac:dyDescent="0.25">
      <c r="J15297"/>
      <c r="M15297"/>
      <c r="W15297"/>
    </row>
    <row r="15298" spans="10:23" x14ac:dyDescent="0.25">
      <c r="J15298"/>
      <c r="M15298"/>
      <c r="W15298"/>
    </row>
    <row r="15299" spans="10:23" x14ac:dyDescent="0.25">
      <c r="J15299"/>
      <c r="M15299"/>
      <c r="W15299"/>
    </row>
    <row r="15300" spans="10:23" x14ac:dyDescent="0.25">
      <c r="J15300"/>
      <c r="M15300"/>
      <c r="W15300"/>
    </row>
    <row r="15301" spans="10:23" x14ac:dyDescent="0.25">
      <c r="J15301"/>
      <c r="M15301"/>
      <c r="W15301"/>
    </row>
    <row r="15302" spans="10:23" x14ac:dyDescent="0.25">
      <c r="J15302"/>
      <c r="M15302"/>
      <c r="W15302"/>
    </row>
    <row r="15303" spans="10:23" x14ac:dyDescent="0.25">
      <c r="J15303"/>
      <c r="M15303"/>
      <c r="W15303"/>
    </row>
    <row r="15304" spans="10:23" x14ac:dyDescent="0.25">
      <c r="J15304"/>
      <c r="M15304"/>
      <c r="W15304"/>
    </row>
    <row r="15305" spans="10:23" x14ac:dyDescent="0.25">
      <c r="J15305"/>
      <c r="M15305"/>
      <c r="W15305"/>
    </row>
    <row r="15306" spans="10:23" x14ac:dyDescent="0.25">
      <c r="J15306"/>
      <c r="M15306"/>
      <c r="W15306"/>
    </row>
    <row r="15307" spans="10:23" x14ac:dyDescent="0.25">
      <c r="J15307"/>
      <c r="M15307"/>
      <c r="W15307"/>
    </row>
    <row r="15308" spans="10:23" x14ac:dyDescent="0.25">
      <c r="J15308"/>
      <c r="M15308"/>
      <c r="W15308"/>
    </row>
    <row r="15309" spans="10:23" x14ac:dyDescent="0.25">
      <c r="J15309"/>
      <c r="M15309"/>
      <c r="W15309"/>
    </row>
    <row r="15310" spans="10:23" x14ac:dyDescent="0.25">
      <c r="J15310"/>
      <c r="M15310"/>
      <c r="W15310"/>
    </row>
    <row r="15311" spans="10:23" x14ac:dyDescent="0.25">
      <c r="J15311"/>
      <c r="M15311"/>
      <c r="W15311"/>
    </row>
    <row r="15312" spans="10:23" x14ac:dyDescent="0.25">
      <c r="J15312"/>
      <c r="M15312"/>
      <c r="W15312"/>
    </row>
    <row r="15313" spans="10:23" x14ac:dyDescent="0.25">
      <c r="J15313"/>
      <c r="M15313"/>
      <c r="W15313"/>
    </row>
    <row r="15314" spans="10:23" x14ac:dyDescent="0.25">
      <c r="J15314"/>
      <c r="M15314"/>
      <c r="W15314"/>
    </row>
    <row r="15315" spans="10:23" x14ac:dyDescent="0.25">
      <c r="J15315"/>
      <c r="M15315"/>
      <c r="W15315"/>
    </row>
    <row r="15316" spans="10:23" x14ac:dyDescent="0.25">
      <c r="J15316"/>
      <c r="M15316"/>
      <c r="W15316"/>
    </row>
    <row r="15317" spans="10:23" x14ac:dyDescent="0.25">
      <c r="J15317"/>
      <c r="M15317"/>
      <c r="W15317"/>
    </row>
    <row r="15318" spans="10:23" x14ac:dyDescent="0.25">
      <c r="J15318"/>
      <c r="M15318"/>
      <c r="W15318"/>
    </row>
    <row r="15319" spans="10:23" x14ac:dyDescent="0.25">
      <c r="J15319"/>
      <c r="M15319"/>
      <c r="W15319"/>
    </row>
    <row r="15320" spans="10:23" x14ac:dyDescent="0.25">
      <c r="J15320"/>
      <c r="M15320"/>
      <c r="W15320"/>
    </row>
    <row r="15321" spans="10:23" x14ac:dyDescent="0.25">
      <c r="J15321"/>
      <c r="M15321"/>
      <c r="W15321"/>
    </row>
    <row r="15322" spans="10:23" x14ac:dyDescent="0.25">
      <c r="J15322"/>
      <c r="M15322"/>
      <c r="W15322"/>
    </row>
    <row r="15323" spans="10:23" x14ac:dyDescent="0.25">
      <c r="J15323"/>
      <c r="M15323"/>
      <c r="W15323"/>
    </row>
    <row r="15324" spans="10:23" x14ac:dyDescent="0.25">
      <c r="J15324"/>
      <c r="M15324"/>
      <c r="W15324"/>
    </row>
    <row r="15325" spans="10:23" x14ac:dyDescent="0.25">
      <c r="J15325"/>
      <c r="M15325"/>
      <c r="W15325"/>
    </row>
    <row r="15326" spans="10:23" x14ac:dyDescent="0.25">
      <c r="J15326"/>
      <c r="M15326"/>
      <c r="W15326"/>
    </row>
    <row r="15327" spans="10:23" x14ac:dyDescent="0.25">
      <c r="J15327"/>
      <c r="M15327"/>
      <c r="W15327"/>
    </row>
    <row r="15328" spans="10:23" x14ac:dyDescent="0.25">
      <c r="J15328"/>
      <c r="M15328"/>
      <c r="W15328"/>
    </row>
    <row r="15329" spans="10:23" x14ac:dyDescent="0.25">
      <c r="J15329"/>
      <c r="M15329"/>
      <c r="W15329"/>
    </row>
    <row r="15330" spans="10:23" x14ac:dyDescent="0.25">
      <c r="J15330"/>
      <c r="M15330"/>
      <c r="W15330"/>
    </row>
    <row r="15331" spans="10:23" x14ac:dyDescent="0.25">
      <c r="J15331"/>
      <c r="M15331"/>
      <c r="W15331"/>
    </row>
    <row r="15332" spans="10:23" x14ac:dyDescent="0.25">
      <c r="J15332"/>
      <c r="M15332"/>
      <c r="W15332"/>
    </row>
    <row r="15333" spans="10:23" x14ac:dyDescent="0.25">
      <c r="J15333"/>
      <c r="M15333"/>
      <c r="W15333"/>
    </row>
    <row r="15334" spans="10:23" x14ac:dyDescent="0.25">
      <c r="J15334"/>
      <c r="M15334"/>
      <c r="W15334"/>
    </row>
    <row r="15335" spans="10:23" x14ac:dyDescent="0.25">
      <c r="J15335"/>
      <c r="M15335"/>
      <c r="W15335"/>
    </row>
    <row r="15336" spans="10:23" x14ac:dyDescent="0.25">
      <c r="J15336"/>
      <c r="M15336"/>
      <c r="W15336"/>
    </row>
    <row r="15337" spans="10:23" x14ac:dyDescent="0.25">
      <c r="J15337"/>
      <c r="M15337"/>
      <c r="W15337"/>
    </row>
    <row r="15338" spans="10:23" x14ac:dyDescent="0.25">
      <c r="J15338"/>
      <c r="M15338"/>
      <c r="W15338"/>
    </row>
    <row r="15339" spans="10:23" x14ac:dyDescent="0.25">
      <c r="J15339"/>
      <c r="M15339"/>
      <c r="W15339"/>
    </row>
    <row r="15340" spans="10:23" x14ac:dyDescent="0.25">
      <c r="J15340"/>
      <c r="M15340"/>
      <c r="W15340"/>
    </row>
    <row r="15341" spans="10:23" x14ac:dyDescent="0.25">
      <c r="J15341"/>
      <c r="M15341"/>
      <c r="W15341"/>
    </row>
    <row r="15342" spans="10:23" x14ac:dyDescent="0.25">
      <c r="J15342"/>
      <c r="M15342"/>
      <c r="W15342"/>
    </row>
    <row r="15343" spans="10:23" x14ac:dyDescent="0.25">
      <c r="J15343"/>
      <c r="M15343"/>
      <c r="W15343"/>
    </row>
    <row r="15344" spans="10:23" x14ac:dyDescent="0.25">
      <c r="J15344"/>
      <c r="M15344"/>
      <c r="W15344"/>
    </row>
    <row r="15345" spans="10:23" x14ac:dyDescent="0.25">
      <c r="J15345"/>
      <c r="M15345"/>
      <c r="W15345"/>
    </row>
    <row r="15346" spans="10:23" x14ac:dyDescent="0.25">
      <c r="J15346"/>
      <c r="M15346"/>
      <c r="W15346"/>
    </row>
    <row r="15347" spans="10:23" x14ac:dyDescent="0.25">
      <c r="J15347"/>
      <c r="M15347"/>
      <c r="W15347"/>
    </row>
    <row r="15348" spans="10:23" x14ac:dyDescent="0.25">
      <c r="J15348"/>
      <c r="M15348"/>
      <c r="W15348"/>
    </row>
    <row r="15349" spans="10:23" x14ac:dyDescent="0.25">
      <c r="J15349"/>
      <c r="M15349"/>
      <c r="W15349"/>
    </row>
    <row r="15350" spans="10:23" x14ac:dyDescent="0.25">
      <c r="J15350"/>
      <c r="M15350"/>
      <c r="W15350"/>
    </row>
    <row r="15351" spans="10:23" x14ac:dyDescent="0.25">
      <c r="J15351"/>
      <c r="M15351"/>
      <c r="W15351"/>
    </row>
    <row r="15352" spans="10:23" x14ac:dyDescent="0.25">
      <c r="J15352"/>
      <c r="M15352"/>
      <c r="W15352"/>
    </row>
    <row r="15353" spans="10:23" x14ac:dyDescent="0.25">
      <c r="J15353"/>
      <c r="M15353"/>
      <c r="W15353"/>
    </row>
    <row r="15354" spans="10:23" x14ac:dyDescent="0.25">
      <c r="J15354"/>
      <c r="M15354"/>
      <c r="W15354"/>
    </row>
    <row r="15355" spans="10:23" x14ac:dyDescent="0.25">
      <c r="J15355"/>
      <c r="M15355"/>
      <c r="W15355"/>
    </row>
    <row r="15356" spans="10:23" x14ac:dyDescent="0.25">
      <c r="J15356"/>
      <c r="M15356"/>
      <c r="W15356"/>
    </row>
    <row r="15357" spans="10:23" x14ac:dyDescent="0.25">
      <c r="J15357"/>
      <c r="M15357"/>
      <c r="W15357"/>
    </row>
    <row r="15358" spans="10:23" x14ac:dyDescent="0.25">
      <c r="J15358"/>
      <c r="M15358"/>
      <c r="W15358"/>
    </row>
    <row r="15359" spans="10:23" x14ac:dyDescent="0.25">
      <c r="J15359"/>
      <c r="M15359"/>
      <c r="W15359"/>
    </row>
    <row r="15360" spans="10:23" x14ac:dyDescent="0.25">
      <c r="J15360"/>
      <c r="M15360"/>
      <c r="W15360"/>
    </row>
    <row r="15361" spans="10:23" x14ac:dyDescent="0.25">
      <c r="J15361"/>
      <c r="M15361"/>
      <c r="W15361"/>
    </row>
    <row r="15362" spans="10:23" x14ac:dyDescent="0.25">
      <c r="J15362"/>
      <c r="M15362"/>
      <c r="W15362"/>
    </row>
    <row r="15363" spans="10:23" x14ac:dyDescent="0.25">
      <c r="J15363"/>
      <c r="M15363"/>
      <c r="W15363"/>
    </row>
    <row r="15364" spans="10:23" x14ac:dyDescent="0.25">
      <c r="J15364"/>
      <c r="M15364"/>
      <c r="W15364"/>
    </row>
    <row r="15365" spans="10:23" x14ac:dyDescent="0.25">
      <c r="J15365"/>
      <c r="M15365"/>
      <c r="W15365"/>
    </row>
    <row r="15366" spans="10:23" x14ac:dyDescent="0.25">
      <c r="J15366"/>
      <c r="M15366"/>
      <c r="W15366"/>
    </row>
    <row r="15367" spans="10:23" x14ac:dyDescent="0.25">
      <c r="J15367"/>
      <c r="M15367"/>
      <c r="W15367"/>
    </row>
    <row r="15368" spans="10:23" x14ac:dyDescent="0.25">
      <c r="J15368"/>
      <c r="M15368"/>
      <c r="W15368"/>
    </row>
    <row r="15369" spans="10:23" x14ac:dyDescent="0.25">
      <c r="J15369"/>
      <c r="M15369"/>
      <c r="W15369"/>
    </row>
    <row r="15370" spans="10:23" x14ac:dyDescent="0.25">
      <c r="J15370"/>
      <c r="M15370"/>
      <c r="W15370"/>
    </row>
    <row r="15371" spans="10:23" x14ac:dyDescent="0.25">
      <c r="J15371"/>
      <c r="M15371"/>
      <c r="W15371"/>
    </row>
    <row r="15372" spans="10:23" x14ac:dyDescent="0.25">
      <c r="J15372"/>
      <c r="M15372"/>
      <c r="W15372"/>
    </row>
    <row r="15373" spans="10:23" x14ac:dyDescent="0.25">
      <c r="J15373"/>
      <c r="M15373"/>
      <c r="W15373"/>
    </row>
    <row r="15374" spans="10:23" x14ac:dyDescent="0.25">
      <c r="J15374"/>
      <c r="M15374"/>
      <c r="W15374"/>
    </row>
    <row r="15375" spans="10:23" x14ac:dyDescent="0.25">
      <c r="J15375"/>
      <c r="M15375"/>
      <c r="W15375"/>
    </row>
    <row r="15376" spans="10:23" x14ac:dyDescent="0.25">
      <c r="J15376"/>
      <c r="M15376"/>
      <c r="W15376"/>
    </row>
    <row r="15377" spans="10:23" x14ac:dyDescent="0.25">
      <c r="J15377"/>
      <c r="M15377"/>
      <c r="W15377"/>
    </row>
    <row r="15378" spans="10:23" x14ac:dyDescent="0.25">
      <c r="J15378"/>
      <c r="M15378"/>
      <c r="W15378"/>
    </row>
    <row r="15379" spans="10:23" x14ac:dyDescent="0.25">
      <c r="J15379"/>
      <c r="M15379"/>
      <c r="W15379"/>
    </row>
    <row r="15380" spans="10:23" x14ac:dyDescent="0.25">
      <c r="J15380"/>
      <c r="M15380"/>
      <c r="W15380"/>
    </row>
    <row r="15381" spans="10:23" x14ac:dyDescent="0.25">
      <c r="J15381"/>
      <c r="M15381"/>
      <c r="W15381"/>
    </row>
    <row r="15382" spans="10:23" x14ac:dyDescent="0.25">
      <c r="J15382"/>
      <c r="M15382"/>
      <c r="W15382"/>
    </row>
    <row r="15383" spans="10:23" x14ac:dyDescent="0.25">
      <c r="J15383"/>
      <c r="M15383"/>
      <c r="W15383"/>
    </row>
    <row r="15384" spans="10:23" x14ac:dyDescent="0.25">
      <c r="J15384"/>
      <c r="M15384"/>
      <c r="W15384"/>
    </row>
    <row r="15385" spans="10:23" x14ac:dyDescent="0.25">
      <c r="J15385"/>
      <c r="M15385"/>
      <c r="W15385"/>
    </row>
    <row r="15386" spans="10:23" x14ac:dyDescent="0.25">
      <c r="J15386"/>
      <c r="M15386"/>
      <c r="W15386"/>
    </row>
    <row r="15387" spans="10:23" x14ac:dyDescent="0.25">
      <c r="J15387"/>
      <c r="M15387"/>
      <c r="W15387"/>
    </row>
    <row r="15388" spans="10:23" x14ac:dyDescent="0.25">
      <c r="J15388"/>
      <c r="M15388"/>
      <c r="W15388"/>
    </row>
    <row r="15389" spans="10:23" x14ac:dyDescent="0.25">
      <c r="J15389"/>
      <c r="M15389"/>
      <c r="W15389"/>
    </row>
    <row r="15390" spans="10:23" x14ac:dyDescent="0.25">
      <c r="J15390"/>
      <c r="M15390"/>
      <c r="W15390"/>
    </row>
    <row r="15391" spans="10:23" x14ac:dyDescent="0.25">
      <c r="J15391"/>
      <c r="M15391"/>
      <c r="W15391"/>
    </row>
    <row r="15392" spans="10:23" x14ac:dyDescent="0.25">
      <c r="J15392"/>
      <c r="M15392"/>
      <c r="W15392"/>
    </row>
    <row r="15393" spans="10:23" x14ac:dyDescent="0.25">
      <c r="J15393"/>
      <c r="M15393"/>
      <c r="W15393"/>
    </row>
    <row r="15394" spans="10:23" x14ac:dyDescent="0.25">
      <c r="J15394"/>
      <c r="M15394"/>
      <c r="W15394"/>
    </row>
    <row r="15395" spans="10:23" x14ac:dyDescent="0.25">
      <c r="J15395"/>
      <c r="M15395"/>
      <c r="W15395"/>
    </row>
    <row r="15396" spans="10:23" x14ac:dyDescent="0.25">
      <c r="J15396"/>
      <c r="M15396"/>
      <c r="W15396"/>
    </row>
    <row r="15397" spans="10:23" x14ac:dyDescent="0.25">
      <c r="J15397"/>
      <c r="M15397"/>
      <c r="W15397"/>
    </row>
    <row r="15398" spans="10:23" x14ac:dyDescent="0.25">
      <c r="J15398"/>
      <c r="M15398"/>
      <c r="W15398"/>
    </row>
    <row r="15399" spans="10:23" x14ac:dyDescent="0.25">
      <c r="J15399"/>
      <c r="M15399"/>
      <c r="W15399"/>
    </row>
    <row r="15400" spans="10:23" x14ac:dyDescent="0.25">
      <c r="J15400"/>
      <c r="M15400"/>
      <c r="W15400"/>
    </row>
    <row r="15401" spans="10:23" x14ac:dyDescent="0.25">
      <c r="J15401"/>
      <c r="M15401"/>
      <c r="W15401"/>
    </row>
    <row r="15402" spans="10:23" x14ac:dyDescent="0.25">
      <c r="J15402"/>
      <c r="M15402"/>
      <c r="W15402"/>
    </row>
    <row r="15403" spans="10:23" x14ac:dyDescent="0.25">
      <c r="J15403"/>
      <c r="M15403"/>
      <c r="W15403"/>
    </row>
    <row r="15404" spans="10:23" x14ac:dyDescent="0.25">
      <c r="J15404"/>
      <c r="M15404"/>
      <c r="W15404"/>
    </row>
    <row r="15405" spans="10:23" x14ac:dyDescent="0.25">
      <c r="J15405"/>
      <c r="M15405"/>
      <c r="W15405"/>
    </row>
    <row r="15406" spans="10:23" x14ac:dyDescent="0.25">
      <c r="J15406"/>
      <c r="M15406"/>
      <c r="W15406"/>
    </row>
    <row r="15407" spans="10:23" x14ac:dyDescent="0.25">
      <c r="J15407"/>
      <c r="M15407"/>
      <c r="W15407"/>
    </row>
    <row r="15408" spans="10:23" x14ac:dyDescent="0.25">
      <c r="J15408"/>
      <c r="M15408"/>
      <c r="W15408"/>
    </row>
    <row r="15409" spans="10:23" x14ac:dyDescent="0.25">
      <c r="J15409"/>
      <c r="M15409"/>
      <c r="W15409"/>
    </row>
    <row r="15410" spans="10:23" x14ac:dyDescent="0.25">
      <c r="J15410"/>
      <c r="M15410"/>
      <c r="W15410"/>
    </row>
    <row r="15411" spans="10:23" x14ac:dyDescent="0.25">
      <c r="J15411"/>
      <c r="M15411"/>
      <c r="W15411"/>
    </row>
    <row r="15412" spans="10:23" x14ac:dyDescent="0.25">
      <c r="J15412"/>
      <c r="M15412"/>
      <c r="W15412"/>
    </row>
    <row r="15413" spans="10:23" x14ac:dyDescent="0.25">
      <c r="J15413"/>
      <c r="M15413"/>
      <c r="W15413"/>
    </row>
    <row r="15414" spans="10:23" x14ac:dyDescent="0.25">
      <c r="J15414"/>
      <c r="M15414"/>
      <c r="W15414"/>
    </row>
    <row r="15415" spans="10:23" x14ac:dyDescent="0.25">
      <c r="J15415"/>
      <c r="M15415"/>
      <c r="W15415"/>
    </row>
    <row r="15416" spans="10:23" x14ac:dyDescent="0.25">
      <c r="J15416"/>
      <c r="M15416"/>
      <c r="W15416"/>
    </row>
    <row r="15417" spans="10:23" x14ac:dyDescent="0.25">
      <c r="J15417"/>
      <c r="M15417"/>
      <c r="W15417"/>
    </row>
    <row r="15418" spans="10:23" x14ac:dyDescent="0.25">
      <c r="J15418"/>
      <c r="M15418"/>
      <c r="W15418"/>
    </row>
    <row r="15419" spans="10:23" x14ac:dyDescent="0.25">
      <c r="J15419"/>
      <c r="M15419"/>
      <c r="W15419"/>
    </row>
    <row r="15420" spans="10:23" x14ac:dyDescent="0.25">
      <c r="J15420"/>
      <c r="M15420"/>
      <c r="W15420"/>
    </row>
    <row r="15421" spans="10:23" x14ac:dyDescent="0.25">
      <c r="J15421"/>
      <c r="M15421"/>
      <c r="W15421"/>
    </row>
    <row r="15422" spans="10:23" x14ac:dyDescent="0.25">
      <c r="J15422"/>
      <c r="M15422"/>
      <c r="W15422"/>
    </row>
    <row r="15423" spans="10:23" x14ac:dyDescent="0.25">
      <c r="J15423"/>
      <c r="M15423"/>
      <c r="W15423"/>
    </row>
    <row r="15424" spans="10:23" x14ac:dyDescent="0.25">
      <c r="J15424"/>
      <c r="M15424"/>
      <c r="W15424"/>
    </row>
    <row r="15425" spans="10:23" x14ac:dyDescent="0.25">
      <c r="J15425"/>
      <c r="M15425"/>
      <c r="W15425"/>
    </row>
    <row r="15426" spans="10:23" x14ac:dyDescent="0.25">
      <c r="J15426"/>
      <c r="M15426"/>
      <c r="W15426"/>
    </row>
    <row r="15427" spans="10:23" x14ac:dyDescent="0.25">
      <c r="J15427"/>
      <c r="M15427"/>
      <c r="W15427"/>
    </row>
    <row r="15428" spans="10:23" x14ac:dyDescent="0.25">
      <c r="J15428"/>
      <c r="M15428"/>
      <c r="W15428"/>
    </row>
    <row r="15429" spans="10:23" x14ac:dyDescent="0.25">
      <c r="J15429"/>
      <c r="M15429"/>
      <c r="W15429"/>
    </row>
    <row r="15430" spans="10:23" x14ac:dyDescent="0.25">
      <c r="J15430"/>
      <c r="M15430"/>
      <c r="W15430"/>
    </row>
    <row r="15431" spans="10:23" x14ac:dyDescent="0.25">
      <c r="J15431"/>
      <c r="M15431"/>
      <c r="W15431"/>
    </row>
    <row r="15432" spans="10:23" x14ac:dyDescent="0.25">
      <c r="J15432"/>
      <c r="M15432"/>
      <c r="W15432"/>
    </row>
    <row r="15433" spans="10:23" x14ac:dyDescent="0.25">
      <c r="J15433"/>
      <c r="M15433"/>
      <c r="W15433"/>
    </row>
    <row r="15434" spans="10:23" x14ac:dyDescent="0.25">
      <c r="J15434"/>
      <c r="M15434"/>
      <c r="W15434"/>
    </row>
    <row r="15435" spans="10:23" x14ac:dyDescent="0.25">
      <c r="J15435"/>
      <c r="M15435"/>
      <c r="W15435"/>
    </row>
    <row r="15436" spans="10:23" x14ac:dyDescent="0.25">
      <c r="J15436"/>
      <c r="M15436"/>
      <c r="W15436"/>
    </row>
    <row r="15437" spans="10:23" x14ac:dyDescent="0.25">
      <c r="J15437"/>
      <c r="M15437"/>
      <c r="W15437"/>
    </row>
    <row r="15438" spans="10:23" x14ac:dyDescent="0.25">
      <c r="J15438"/>
      <c r="M15438"/>
      <c r="W15438"/>
    </row>
    <row r="15439" spans="10:23" x14ac:dyDescent="0.25">
      <c r="J15439"/>
      <c r="M15439"/>
      <c r="W15439"/>
    </row>
    <row r="15440" spans="10:23" x14ac:dyDescent="0.25">
      <c r="J15440"/>
      <c r="M15440"/>
      <c r="W15440"/>
    </row>
    <row r="15441" spans="10:23" x14ac:dyDescent="0.25">
      <c r="J15441"/>
      <c r="M15441"/>
      <c r="W15441"/>
    </row>
    <row r="15442" spans="10:23" x14ac:dyDescent="0.25">
      <c r="J15442"/>
      <c r="M15442"/>
      <c r="W15442"/>
    </row>
    <row r="15443" spans="10:23" x14ac:dyDescent="0.25">
      <c r="J15443"/>
      <c r="M15443"/>
      <c r="W15443"/>
    </row>
    <row r="15444" spans="10:23" x14ac:dyDescent="0.25">
      <c r="J15444"/>
      <c r="M15444"/>
      <c r="W15444"/>
    </row>
    <row r="15445" spans="10:23" x14ac:dyDescent="0.25">
      <c r="J15445"/>
      <c r="M15445"/>
      <c r="W15445"/>
    </row>
    <row r="15446" spans="10:23" x14ac:dyDescent="0.25">
      <c r="J15446"/>
      <c r="M15446"/>
      <c r="W15446"/>
    </row>
    <row r="15447" spans="10:23" x14ac:dyDescent="0.25">
      <c r="J15447"/>
      <c r="M15447"/>
      <c r="W15447"/>
    </row>
    <row r="15448" spans="10:23" x14ac:dyDescent="0.25">
      <c r="J15448"/>
      <c r="M15448"/>
      <c r="W15448"/>
    </row>
    <row r="15449" spans="10:23" x14ac:dyDescent="0.25">
      <c r="J15449"/>
      <c r="M15449"/>
      <c r="W15449"/>
    </row>
    <row r="15450" spans="10:23" x14ac:dyDescent="0.25">
      <c r="J15450"/>
      <c r="M15450"/>
      <c r="W15450"/>
    </row>
    <row r="15451" spans="10:23" x14ac:dyDescent="0.25">
      <c r="J15451"/>
      <c r="M15451"/>
      <c r="W15451"/>
    </row>
    <row r="15452" spans="10:23" x14ac:dyDescent="0.25">
      <c r="J15452"/>
      <c r="M15452"/>
      <c r="W15452"/>
    </row>
    <row r="15453" spans="10:23" x14ac:dyDescent="0.25">
      <c r="J15453"/>
      <c r="M15453"/>
      <c r="W15453"/>
    </row>
    <row r="15454" spans="10:23" x14ac:dyDescent="0.25">
      <c r="J15454"/>
      <c r="M15454"/>
      <c r="W15454"/>
    </row>
    <row r="15455" spans="10:23" x14ac:dyDescent="0.25">
      <c r="J15455"/>
      <c r="M15455"/>
      <c r="W15455"/>
    </row>
    <row r="15456" spans="10:23" x14ac:dyDescent="0.25">
      <c r="J15456"/>
      <c r="M15456"/>
      <c r="W15456"/>
    </row>
    <row r="15457" spans="10:23" x14ac:dyDescent="0.25">
      <c r="J15457"/>
      <c r="M15457"/>
      <c r="W15457"/>
    </row>
    <row r="15458" spans="10:23" x14ac:dyDescent="0.25">
      <c r="J15458"/>
      <c r="M15458"/>
      <c r="W15458"/>
    </row>
    <row r="15459" spans="10:23" x14ac:dyDescent="0.25">
      <c r="J15459"/>
      <c r="M15459"/>
      <c r="W15459"/>
    </row>
    <row r="15460" spans="10:23" x14ac:dyDescent="0.25">
      <c r="J15460"/>
      <c r="M15460"/>
      <c r="W15460"/>
    </row>
    <row r="15461" spans="10:23" x14ac:dyDescent="0.25">
      <c r="J15461"/>
      <c r="M15461"/>
      <c r="W15461"/>
    </row>
    <row r="15462" spans="10:23" x14ac:dyDescent="0.25">
      <c r="J15462"/>
      <c r="M15462"/>
      <c r="W15462"/>
    </row>
    <row r="15463" spans="10:23" x14ac:dyDescent="0.25">
      <c r="J15463"/>
      <c r="M15463"/>
      <c r="W15463"/>
    </row>
    <row r="15464" spans="10:23" x14ac:dyDescent="0.25">
      <c r="J15464"/>
      <c r="M15464"/>
      <c r="W15464"/>
    </row>
    <row r="15465" spans="10:23" x14ac:dyDescent="0.25">
      <c r="J15465"/>
      <c r="M15465"/>
      <c r="W15465"/>
    </row>
    <row r="15466" spans="10:23" x14ac:dyDescent="0.25">
      <c r="J15466"/>
      <c r="M15466"/>
      <c r="W15466"/>
    </row>
    <row r="15467" spans="10:23" x14ac:dyDescent="0.25">
      <c r="J15467"/>
      <c r="M15467"/>
      <c r="W15467"/>
    </row>
    <row r="15468" spans="10:23" x14ac:dyDescent="0.25">
      <c r="J15468"/>
      <c r="M15468"/>
      <c r="W15468"/>
    </row>
    <row r="15469" spans="10:23" x14ac:dyDescent="0.25">
      <c r="J15469"/>
      <c r="M15469"/>
      <c r="W15469"/>
    </row>
    <row r="15470" spans="10:23" x14ac:dyDescent="0.25">
      <c r="J15470"/>
      <c r="M15470"/>
      <c r="W15470"/>
    </row>
    <row r="15471" spans="10:23" x14ac:dyDescent="0.25">
      <c r="J15471"/>
      <c r="M15471"/>
      <c r="W15471"/>
    </row>
    <row r="15472" spans="10:23" x14ac:dyDescent="0.25">
      <c r="J15472"/>
      <c r="M15472"/>
      <c r="W15472"/>
    </row>
    <row r="15473" spans="10:23" x14ac:dyDescent="0.25">
      <c r="J15473"/>
      <c r="M15473"/>
      <c r="W15473"/>
    </row>
    <row r="15474" spans="10:23" x14ac:dyDescent="0.25">
      <c r="J15474"/>
      <c r="M15474"/>
      <c r="W15474"/>
    </row>
    <row r="15475" spans="10:23" x14ac:dyDescent="0.25">
      <c r="J15475"/>
      <c r="M15475"/>
      <c r="W15475"/>
    </row>
    <row r="15476" spans="10:23" x14ac:dyDescent="0.25">
      <c r="J15476"/>
      <c r="M15476"/>
      <c r="W15476"/>
    </row>
    <row r="15477" spans="10:23" x14ac:dyDescent="0.25">
      <c r="J15477"/>
      <c r="M15477"/>
      <c r="W15477"/>
    </row>
    <row r="15478" spans="10:23" x14ac:dyDescent="0.25">
      <c r="J15478"/>
      <c r="M15478"/>
      <c r="W15478"/>
    </row>
    <row r="15479" spans="10:23" x14ac:dyDescent="0.25">
      <c r="J15479"/>
      <c r="M15479"/>
      <c r="W15479"/>
    </row>
    <row r="15480" spans="10:23" x14ac:dyDescent="0.25">
      <c r="J15480"/>
      <c r="M15480"/>
      <c r="W15480"/>
    </row>
    <row r="15481" spans="10:23" x14ac:dyDescent="0.25">
      <c r="J15481"/>
      <c r="M15481"/>
      <c r="W15481"/>
    </row>
    <row r="15482" spans="10:23" x14ac:dyDescent="0.25">
      <c r="J15482"/>
      <c r="M15482"/>
      <c r="W15482"/>
    </row>
    <row r="15483" spans="10:23" x14ac:dyDescent="0.25">
      <c r="J15483"/>
      <c r="M15483"/>
      <c r="W15483"/>
    </row>
    <row r="15484" spans="10:23" x14ac:dyDescent="0.25">
      <c r="J15484"/>
      <c r="M15484"/>
      <c r="W15484"/>
    </row>
    <row r="15485" spans="10:23" x14ac:dyDescent="0.25">
      <c r="J15485"/>
      <c r="M15485"/>
      <c r="W15485"/>
    </row>
    <row r="15486" spans="10:23" x14ac:dyDescent="0.25">
      <c r="J15486"/>
      <c r="M15486"/>
      <c r="W15486"/>
    </row>
    <row r="15487" spans="10:23" x14ac:dyDescent="0.25">
      <c r="J15487"/>
      <c r="M15487"/>
      <c r="W15487"/>
    </row>
    <row r="15488" spans="10:23" x14ac:dyDescent="0.25">
      <c r="J15488"/>
      <c r="M15488"/>
      <c r="W15488"/>
    </row>
    <row r="15489" spans="10:23" x14ac:dyDescent="0.25">
      <c r="J15489"/>
      <c r="M15489"/>
      <c r="W15489"/>
    </row>
    <row r="15490" spans="10:23" x14ac:dyDescent="0.25">
      <c r="J15490"/>
      <c r="M15490"/>
      <c r="W15490"/>
    </row>
    <row r="15491" spans="10:23" x14ac:dyDescent="0.25">
      <c r="J15491"/>
      <c r="M15491"/>
      <c r="W15491"/>
    </row>
    <row r="15492" spans="10:23" x14ac:dyDescent="0.25">
      <c r="J15492"/>
      <c r="M15492"/>
      <c r="W15492"/>
    </row>
    <row r="15493" spans="10:23" x14ac:dyDescent="0.25">
      <c r="J15493"/>
      <c r="M15493"/>
      <c r="W15493"/>
    </row>
    <row r="15494" spans="10:23" x14ac:dyDescent="0.25">
      <c r="J15494"/>
      <c r="M15494"/>
      <c r="W15494"/>
    </row>
    <row r="15495" spans="10:23" x14ac:dyDescent="0.25">
      <c r="J15495"/>
      <c r="M15495"/>
      <c r="W15495"/>
    </row>
    <row r="15496" spans="10:23" x14ac:dyDescent="0.25">
      <c r="J15496"/>
      <c r="M15496"/>
      <c r="W15496"/>
    </row>
    <row r="15497" spans="10:23" x14ac:dyDescent="0.25">
      <c r="J15497"/>
      <c r="M15497"/>
      <c r="W15497"/>
    </row>
    <row r="15498" spans="10:23" x14ac:dyDescent="0.25">
      <c r="J15498"/>
      <c r="M15498"/>
      <c r="W15498"/>
    </row>
    <row r="15499" spans="10:23" x14ac:dyDescent="0.25">
      <c r="J15499"/>
      <c r="M15499"/>
      <c r="W15499"/>
    </row>
    <row r="15500" spans="10:23" x14ac:dyDescent="0.25">
      <c r="J15500"/>
      <c r="M15500"/>
      <c r="W15500"/>
    </row>
    <row r="15501" spans="10:23" x14ac:dyDescent="0.25">
      <c r="J15501"/>
      <c r="M15501"/>
      <c r="W15501"/>
    </row>
    <row r="15502" spans="10:23" x14ac:dyDescent="0.25">
      <c r="J15502"/>
      <c r="M15502"/>
      <c r="W15502"/>
    </row>
    <row r="15503" spans="10:23" x14ac:dyDescent="0.25">
      <c r="J15503"/>
      <c r="M15503"/>
      <c r="W15503"/>
    </row>
    <row r="15504" spans="10:23" x14ac:dyDescent="0.25">
      <c r="J15504"/>
      <c r="M15504"/>
      <c r="W15504"/>
    </row>
    <row r="15505" spans="10:23" x14ac:dyDescent="0.25">
      <c r="J15505"/>
      <c r="M15505"/>
      <c r="W15505"/>
    </row>
    <row r="15506" spans="10:23" x14ac:dyDescent="0.25">
      <c r="J15506"/>
      <c r="M15506"/>
      <c r="W15506"/>
    </row>
    <row r="15507" spans="10:23" x14ac:dyDescent="0.25">
      <c r="J15507"/>
      <c r="M15507"/>
      <c r="W15507"/>
    </row>
    <row r="15508" spans="10:23" x14ac:dyDescent="0.25">
      <c r="J15508"/>
      <c r="M15508"/>
      <c r="W15508"/>
    </row>
    <row r="15509" spans="10:23" x14ac:dyDescent="0.25">
      <c r="J15509"/>
      <c r="M15509"/>
      <c r="W15509"/>
    </row>
    <row r="15510" spans="10:23" x14ac:dyDescent="0.25">
      <c r="J15510"/>
      <c r="M15510"/>
      <c r="W15510"/>
    </row>
    <row r="15511" spans="10:23" x14ac:dyDescent="0.25">
      <c r="J15511"/>
      <c r="M15511"/>
      <c r="W15511"/>
    </row>
    <row r="15512" spans="10:23" x14ac:dyDescent="0.25">
      <c r="J15512"/>
      <c r="M15512"/>
      <c r="W15512"/>
    </row>
    <row r="15513" spans="10:23" x14ac:dyDescent="0.25">
      <c r="J15513"/>
      <c r="M15513"/>
      <c r="W15513"/>
    </row>
    <row r="15514" spans="10:23" x14ac:dyDescent="0.25">
      <c r="J15514"/>
      <c r="M15514"/>
      <c r="W15514"/>
    </row>
    <row r="15515" spans="10:23" x14ac:dyDescent="0.25">
      <c r="J15515"/>
      <c r="M15515"/>
      <c r="W15515"/>
    </row>
    <row r="15516" spans="10:23" x14ac:dyDescent="0.25">
      <c r="J15516"/>
      <c r="M15516"/>
      <c r="W15516"/>
    </row>
    <row r="15517" spans="10:23" x14ac:dyDescent="0.25">
      <c r="J15517"/>
      <c r="M15517"/>
      <c r="W15517"/>
    </row>
    <row r="15518" spans="10:23" x14ac:dyDescent="0.25">
      <c r="J15518"/>
      <c r="M15518"/>
      <c r="W15518"/>
    </row>
    <row r="15519" spans="10:23" x14ac:dyDescent="0.25">
      <c r="J15519"/>
      <c r="M15519"/>
      <c r="W15519"/>
    </row>
    <row r="15520" spans="10:23" x14ac:dyDescent="0.25">
      <c r="J15520"/>
      <c r="M15520"/>
      <c r="W15520"/>
    </row>
    <row r="15521" spans="10:23" x14ac:dyDescent="0.25">
      <c r="J15521"/>
      <c r="M15521"/>
      <c r="W15521"/>
    </row>
    <row r="15522" spans="10:23" x14ac:dyDescent="0.25">
      <c r="J15522"/>
      <c r="M15522"/>
      <c r="W15522"/>
    </row>
    <row r="15523" spans="10:23" x14ac:dyDescent="0.25">
      <c r="J15523"/>
      <c r="M15523"/>
      <c r="W15523"/>
    </row>
    <row r="15524" spans="10:23" x14ac:dyDescent="0.25">
      <c r="J15524"/>
      <c r="M15524"/>
      <c r="W15524"/>
    </row>
    <row r="15525" spans="10:23" x14ac:dyDescent="0.25">
      <c r="J15525"/>
      <c r="M15525"/>
      <c r="W15525"/>
    </row>
    <row r="15526" spans="10:23" x14ac:dyDescent="0.25">
      <c r="J15526"/>
      <c r="M15526"/>
      <c r="W15526"/>
    </row>
    <row r="15527" spans="10:23" x14ac:dyDescent="0.25">
      <c r="J15527"/>
      <c r="M15527"/>
      <c r="W15527"/>
    </row>
    <row r="15528" spans="10:23" x14ac:dyDescent="0.25">
      <c r="J15528"/>
      <c r="M15528"/>
      <c r="W15528"/>
    </row>
    <row r="15529" spans="10:23" x14ac:dyDescent="0.25">
      <c r="J15529"/>
      <c r="M15529"/>
      <c r="W15529"/>
    </row>
    <row r="15530" spans="10:23" x14ac:dyDescent="0.25">
      <c r="J15530"/>
      <c r="M15530"/>
      <c r="W15530"/>
    </row>
    <row r="15531" spans="10:23" x14ac:dyDescent="0.25">
      <c r="J15531"/>
      <c r="M15531"/>
      <c r="W15531"/>
    </row>
    <row r="15532" spans="10:23" x14ac:dyDescent="0.25">
      <c r="J15532"/>
      <c r="M15532"/>
      <c r="W15532"/>
    </row>
    <row r="15533" spans="10:23" x14ac:dyDescent="0.25">
      <c r="J15533"/>
      <c r="M15533"/>
      <c r="W15533"/>
    </row>
    <row r="15534" spans="10:23" x14ac:dyDescent="0.25">
      <c r="J15534"/>
      <c r="M15534"/>
      <c r="W15534"/>
    </row>
    <row r="15535" spans="10:23" x14ac:dyDescent="0.25">
      <c r="J15535"/>
      <c r="M15535"/>
      <c r="W15535"/>
    </row>
    <row r="15536" spans="10:23" x14ac:dyDescent="0.25">
      <c r="J15536"/>
      <c r="M15536"/>
      <c r="W15536"/>
    </row>
    <row r="15537" spans="10:23" x14ac:dyDescent="0.25">
      <c r="J15537"/>
      <c r="M15537"/>
      <c r="W15537"/>
    </row>
    <row r="15538" spans="10:23" x14ac:dyDescent="0.25">
      <c r="J15538"/>
      <c r="M15538"/>
      <c r="W15538"/>
    </row>
    <row r="15539" spans="10:23" x14ac:dyDescent="0.25">
      <c r="J15539"/>
      <c r="M15539"/>
      <c r="W15539"/>
    </row>
    <row r="15540" spans="10:23" x14ac:dyDescent="0.25">
      <c r="J15540"/>
      <c r="M15540"/>
      <c r="W15540"/>
    </row>
    <row r="15541" spans="10:23" x14ac:dyDescent="0.25">
      <c r="J15541"/>
      <c r="M15541"/>
      <c r="W15541"/>
    </row>
    <row r="15542" spans="10:23" x14ac:dyDescent="0.25">
      <c r="J15542"/>
      <c r="M15542"/>
      <c r="W15542"/>
    </row>
    <row r="15543" spans="10:23" x14ac:dyDescent="0.25">
      <c r="J15543"/>
      <c r="M15543"/>
      <c r="W15543"/>
    </row>
    <row r="15544" spans="10:23" x14ac:dyDescent="0.25">
      <c r="J15544"/>
      <c r="M15544"/>
      <c r="W15544"/>
    </row>
    <row r="15545" spans="10:23" x14ac:dyDescent="0.25">
      <c r="J15545"/>
      <c r="M15545"/>
      <c r="W15545"/>
    </row>
    <row r="15546" spans="10:23" x14ac:dyDescent="0.25">
      <c r="J15546"/>
      <c r="M15546"/>
      <c r="W15546"/>
    </row>
    <row r="15547" spans="10:23" x14ac:dyDescent="0.25">
      <c r="J15547"/>
      <c r="M15547"/>
      <c r="W15547"/>
    </row>
    <row r="15548" spans="10:23" x14ac:dyDescent="0.25">
      <c r="J15548"/>
      <c r="M15548"/>
      <c r="W15548"/>
    </row>
    <row r="15549" spans="10:23" x14ac:dyDescent="0.25">
      <c r="J15549"/>
      <c r="M15549"/>
      <c r="W15549"/>
    </row>
    <row r="15550" spans="10:23" x14ac:dyDescent="0.25">
      <c r="J15550"/>
      <c r="M15550"/>
      <c r="W15550"/>
    </row>
    <row r="15551" spans="10:23" x14ac:dyDescent="0.25">
      <c r="J15551"/>
      <c r="M15551"/>
      <c r="W15551"/>
    </row>
    <row r="15552" spans="10:23" x14ac:dyDescent="0.25">
      <c r="J15552"/>
      <c r="M15552"/>
      <c r="W15552"/>
    </row>
    <row r="15553" spans="10:23" x14ac:dyDescent="0.25">
      <c r="J15553"/>
      <c r="M15553"/>
      <c r="W15553"/>
    </row>
    <row r="15554" spans="10:23" x14ac:dyDescent="0.25">
      <c r="J15554"/>
      <c r="M15554"/>
      <c r="W15554"/>
    </row>
    <row r="15555" spans="10:23" x14ac:dyDescent="0.25">
      <c r="J15555"/>
      <c r="M15555"/>
      <c r="W15555"/>
    </row>
    <row r="15556" spans="10:23" x14ac:dyDescent="0.25">
      <c r="J15556"/>
      <c r="M15556"/>
      <c r="W15556"/>
    </row>
    <row r="15557" spans="10:23" x14ac:dyDescent="0.25">
      <c r="J15557"/>
      <c r="M15557"/>
      <c r="W15557"/>
    </row>
    <row r="15558" spans="10:23" x14ac:dyDescent="0.25">
      <c r="J15558"/>
      <c r="M15558"/>
      <c r="W15558"/>
    </row>
    <row r="15559" spans="10:23" x14ac:dyDescent="0.25">
      <c r="J15559"/>
      <c r="M15559"/>
      <c r="W15559"/>
    </row>
    <row r="15560" spans="10:23" x14ac:dyDescent="0.25">
      <c r="J15560"/>
      <c r="M15560"/>
      <c r="W15560"/>
    </row>
    <row r="15561" spans="10:23" x14ac:dyDescent="0.25">
      <c r="J15561"/>
      <c r="M15561"/>
      <c r="W15561"/>
    </row>
    <row r="15562" spans="10:23" x14ac:dyDescent="0.25">
      <c r="J15562"/>
      <c r="M15562"/>
      <c r="W15562"/>
    </row>
    <row r="15563" spans="10:23" x14ac:dyDescent="0.25">
      <c r="J15563"/>
      <c r="M15563"/>
      <c r="W15563"/>
    </row>
    <row r="15564" spans="10:23" x14ac:dyDescent="0.25">
      <c r="J15564"/>
      <c r="M15564"/>
      <c r="W15564"/>
    </row>
    <row r="15565" spans="10:23" x14ac:dyDescent="0.25">
      <c r="J15565"/>
      <c r="M15565"/>
      <c r="W15565"/>
    </row>
    <row r="15566" spans="10:23" x14ac:dyDescent="0.25">
      <c r="J15566"/>
      <c r="M15566"/>
      <c r="W15566"/>
    </row>
    <row r="15567" spans="10:23" x14ac:dyDescent="0.25">
      <c r="J15567"/>
      <c r="M15567"/>
      <c r="W15567"/>
    </row>
    <row r="15568" spans="10:23" x14ac:dyDescent="0.25">
      <c r="J15568"/>
      <c r="M15568"/>
      <c r="W15568"/>
    </row>
    <row r="15569" spans="10:23" x14ac:dyDescent="0.25">
      <c r="J15569"/>
      <c r="M15569"/>
      <c r="W15569"/>
    </row>
    <row r="15570" spans="10:23" x14ac:dyDescent="0.25">
      <c r="J15570"/>
      <c r="M15570"/>
      <c r="W15570"/>
    </row>
    <row r="15571" spans="10:23" x14ac:dyDescent="0.25">
      <c r="J15571"/>
      <c r="M15571"/>
      <c r="W15571"/>
    </row>
    <row r="15572" spans="10:23" x14ac:dyDescent="0.25">
      <c r="J15572"/>
      <c r="M15572"/>
      <c r="W15572"/>
    </row>
    <row r="15573" spans="10:23" x14ac:dyDescent="0.25">
      <c r="J15573"/>
      <c r="M15573"/>
      <c r="W15573"/>
    </row>
    <row r="15574" spans="10:23" x14ac:dyDescent="0.25">
      <c r="J15574"/>
      <c r="M15574"/>
      <c r="W15574"/>
    </row>
    <row r="15575" spans="10:23" x14ac:dyDescent="0.25">
      <c r="J15575"/>
      <c r="M15575"/>
      <c r="W15575"/>
    </row>
    <row r="15576" spans="10:23" x14ac:dyDescent="0.25">
      <c r="J15576"/>
      <c r="M15576"/>
      <c r="W15576"/>
    </row>
    <row r="15577" spans="10:23" x14ac:dyDescent="0.25">
      <c r="J15577"/>
      <c r="M15577"/>
      <c r="W15577"/>
    </row>
    <row r="15578" spans="10:23" x14ac:dyDescent="0.25">
      <c r="J15578"/>
      <c r="M15578"/>
      <c r="W15578"/>
    </row>
    <row r="15579" spans="10:23" x14ac:dyDescent="0.25">
      <c r="J15579"/>
      <c r="M15579"/>
      <c r="W15579"/>
    </row>
    <row r="15580" spans="10:23" x14ac:dyDescent="0.25">
      <c r="J15580"/>
      <c r="M15580"/>
      <c r="W15580"/>
    </row>
    <row r="15581" spans="10:23" x14ac:dyDescent="0.25">
      <c r="J15581"/>
      <c r="M15581"/>
      <c r="W15581"/>
    </row>
    <row r="15582" spans="10:23" x14ac:dyDescent="0.25">
      <c r="J15582"/>
      <c r="M15582"/>
      <c r="W15582"/>
    </row>
    <row r="15583" spans="10:23" x14ac:dyDescent="0.25">
      <c r="J15583"/>
      <c r="M15583"/>
      <c r="W15583"/>
    </row>
    <row r="15584" spans="10:23" x14ac:dyDescent="0.25">
      <c r="J15584"/>
      <c r="M15584"/>
      <c r="W15584"/>
    </row>
    <row r="15585" spans="10:23" x14ac:dyDescent="0.25">
      <c r="J15585"/>
      <c r="M15585"/>
      <c r="W15585"/>
    </row>
    <row r="15586" spans="10:23" x14ac:dyDescent="0.25">
      <c r="J15586"/>
      <c r="M15586"/>
      <c r="W15586"/>
    </row>
    <row r="15587" spans="10:23" x14ac:dyDescent="0.25">
      <c r="J15587"/>
      <c r="M15587"/>
      <c r="W15587"/>
    </row>
    <row r="15588" spans="10:23" x14ac:dyDescent="0.25">
      <c r="J15588"/>
      <c r="M15588"/>
      <c r="W15588"/>
    </row>
    <row r="15589" spans="10:23" x14ac:dyDescent="0.25">
      <c r="J15589"/>
      <c r="M15589"/>
      <c r="W15589"/>
    </row>
    <row r="15590" spans="10:23" x14ac:dyDescent="0.25">
      <c r="J15590"/>
      <c r="M15590"/>
      <c r="W15590"/>
    </row>
    <row r="15591" spans="10:23" x14ac:dyDescent="0.25">
      <c r="J15591"/>
      <c r="M15591"/>
      <c r="W15591"/>
    </row>
    <row r="15592" spans="10:23" x14ac:dyDescent="0.25">
      <c r="J15592"/>
      <c r="M15592"/>
      <c r="W15592"/>
    </row>
    <row r="15593" spans="10:23" x14ac:dyDescent="0.25">
      <c r="J15593"/>
      <c r="M15593"/>
      <c r="W15593"/>
    </row>
    <row r="15594" spans="10:23" x14ac:dyDescent="0.25">
      <c r="J15594"/>
      <c r="M15594"/>
      <c r="W15594"/>
    </row>
    <row r="15595" spans="10:23" x14ac:dyDescent="0.25">
      <c r="J15595"/>
      <c r="M15595"/>
      <c r="W15595"/>
    </row>
    <row r="15596" spans="10:23" x14ac:dyDescent="0.25">
      <c r="J15596"/>
      <c r="M15596"/>
      <c r="W15596"/>
    </row>
    <row r="15597" spans="10:23" x14ac:dyDescent="0.25">
      <c r="J15597"/>
      <c r="M15597"/>
      <c r="W15597"/>
    </row>
    <row r="15598" spans="10:23" x14ac:dyDescent="0.25">
      <c r="J15598"/>
      <c r="M15598"/>
      <c r="W15598"/>
    </row>
    <row r="15599" spans="10:23" x14ac:dyDescent="0.25">
      <c r="J15599"/>
      <c r="M15599"/>
      <c r="W15599"/>
    </row>
    <row r="15600" spans="10:23" x14ac:dyDescent="0.25">
      <c r="J15600"/>
      <c r="M15600"/>
      <c r="W15600"/>
    </row>
    <row r="15601" spans="10:23" x14ac:dyDescent="0.25">
      <c r="J15601"/>
      <c r="M15601"/>
      <c r="W15601"/>
    </row>
    <row r="15602" spans="10:23" x14ac:dyDescent="0.25">
      <c r="J15602"/>
      <c r="M15602"/>
      <c r="W15602"/>
    </row>
    <row r="15603" spans="10:23" x14ac:dyDescent="0.25">
      <c r="J15603"/>
      <c r="M15603"/>
      <c r="W15603"/>
    </row>
    <row r="15604" spans="10:23" x14ac:dyDescent="0.25">
      <c r="J15604"/>
      <c r="M15604"/>
      <c r="W15604"/>
    </row>
    <row r="15605" spans="10:23" x14ac:dyDescent="0.25">
      <c r="J15605"/>
      <c r="M15605"/>
      <c r="W15605"/>
    </row>
    <row r="15606" spans="10:23" x14ac:dyDescent="0.25">
      <c r="J15606"/>
      <c r="M15606"/>
      <c r="W15606"/>
    </row>
    <row r="15607" spans="10:23" x14ac:dyDescent="0.25">
      <c r="J15607"/>
      <c r="M15607"/>
      <c r="W15607"/>
    </row>
    <row r="15608" spans="10:23" x14ac:dyDescent="0.25">
      <c r="J15608"/>
      <c r="M15608"/>
      <c r="W15608"/>
    </row>
    <row r="15609" spans="10:23" x14ac:dyDescent="0.25">
      <c r="J15609"/>
      <c r="M15609"/>
      <c r="W15609"/>
    </row>
    <row r="15610" spans="10:23" x14ac:dyDescent="0.25">
      <c r="J15610"/>
      <c r="M15610"/>
      <c r="W15610"/>
    </row>
    <row r="15611" spans="10:23" x14ac:dyDescent="0.25">
      <c r="J15611"/>
      <c r="M15611"/>
      <c r="W15611"/>
    </row>
    <row r="15612" spans="10:23" x14ac:dyDescent="0.25">
      <c r="J15612"/>
      <c r="M15612"/>
      <c r="W15612"/>
    </row>
    <row r="15613" spans="10:23" x14ac:dyDescent="0.25">
      <c r="J15613"/>
      <c r="M15613"/>
      <c r="W15613"/>
    </row>
    <row r="15614" spans="10:23" x14ac:dyDescent="0.25">
      <c r="J15614"/>
      <c r="M15614"/>
      <c r="W15614"/>
    </row>
    <row r="15615" spans="10:23" x14ac:dyDescent="0.25">
      <c r="J15615"/>
      <c r="M15615"/>
      <c r="W15615"/>
    </row>
    <row r="15616" spans="10:23" x14ac:dyDescent="0.25">
      <c r="J15616"/>
      <c r="M15616"/>
      <c r="W15616"/>
    </row>
    <row r="15617" spans="10:23" x14ac:dyDescent="0.25">
      <c r="J15617"/>
      <c r="M15617"/>
      <c r="W15617"/>
    </row>
    <row r="15618" spans="10:23" x14ac:dyDescent="0.25">
      <c r="J15618"/>
      <c r="M15618"/>
      <c r="W15618"/>
    </row>
    <row r="15619" spans="10:23" x14ac:dyDescent="0.25">
      <c r="J15619"/>
      <c r="M15619"/>
      <c r="W15619"/>
    </row>
    <row r="15620" spans="10:23" x14ac:dyDescent="0.25">
      <c r="J15620"/>
      <c r="M15620"/>
      <c r="W15620"/>
    </row>
    <row r="15621" spans="10:23" x14ac:dyDescent="0.25">
      <c r="J15621"/>
      <c r="M15621"/>
      <c r="W15621"/>
    </row>
    <row r="15622" spans="10:23" x14ac:dyDescent="0.25">
      <c r="J15622"/>
      <c r="M15622"/>
      <c r="W15622"/>
    </row>
    <row r="15623" spans="10:23" x14ac:dyDescent="0.25">
      <c r="J15623"/>
      <c r="M15623"/>
      <c r="W15623"/>
    </row>
    <row r="15624" spans="10:23" x14ac:dyDescent="0.25">
      <c r="J15624"/>
      <c r="M15624"/>
      <c r="W15624"/>
    </row>
    <row r="15625" spans="10:23" x14ac:dyDescent="0.25">
      <c r="J15625"/>
      <c r="M15625"/>
      <c r="W15625"/>
    </row>
    <row r="15626" spans="10:23" x14ac:dyDescent="0.25">
      <c r="J15626"/>
      <c r="M15626"/>
      <c r="W15626"/>
    </row>
    <row r="15627" spans="10:23" x14ac:dyDescent="0.25">
      <c r="J15627"/>
      <c r="M15627"/>
      <c r="W15627"/>
    </row>
    <row r="15628" spans="10:23" x14ac:dyDescent="0.25">
      <c r="J15628"/>
      <c r="M15628"/>
      <c r="W15628"/>
    </row>
    <row r="15629" spans="10:23" x14ac:dyDescent="0.25">
      <c r="J15629"/>
      <c r="M15629"/>
      <c r="W15629"/>
    </row>
    <row r="15630" spans="10:23" x14ac:dyDescent="0.25">
      <c r="J15630"/>
      <c r="M15630"/>
      <c r="W15630"/>
    </row>
    <row r="15631" spans="10:23" x14ac:dyDescent="0.25">
      <c r="J15631"/>
      <c r="M15631"/>
      <c r="W15631"/>
    </row>
    <row r="15632" spans="10:23" x14ac:dyDescent="0.25">
      <c r="J15632"/>
      <c r="M15632"/>
      <c r="W15632"/>
    </row>
    <row r="15633" spans="10:23" x14ac:dyDescent="0.25">
      <c r="J15633"/>
      <c r="M15633"/>
      <c r="W15633"/>
    </row>
    <row r="15634" spans="10:23" x14ac:dyDescent="0.25">
      <c r="J15634"/>
      <c r="M15634"/>
      <c r="W15634"/>
    </row>
    <row r="15635" spans="10:23" x14ac:dyDescent="0.25">
      <c r="J15635"/>
      <c r="M15635"/>
      <c r="W15635"/>
    </row>
    <row r="15636" spans="10:23" x14ac:dyDescent="0.25">
      <c r="J15636"/>
      <c r="M15636"/>
      <c r="W15636"/>
    </row>
    <row r="15637" spans="10:23" x14ac:dyDescent="0.25">
      <c r="J15637"/>
      <c r="M15637"/>
      <c r="W15637"/>
    </row>
    <row r="15638" spans="10:23" x14ac:dyDescent="0.25">
      <c r="J15638"/>
      <c r="M15638"/>
      <c r="W15638"/>
    </row>
    <row r="15639" spans="10:23" x14ac:dyDescent="0.25">
      <c r="J15639"/>
      <c r="M15639"/>
      <c r="W15639"/>
    </row>
    <row r="15640" spans="10:23" x14ac:dyDescent="0.25">
      <c r="J15640"/>
      <c r="M15640"/>
      <c r="W15640"/>
    </row>
    <row r="15641" spans="10:23" x14ac:dyDescent="0.25">
      <c r="J15641"/>
      <c r="M15641"/>
      <c r="W15641"/>
    </row>
    <row r="15642" spans="10:23" x14ac:dyDescent="0.25">
      <c r="J15642"/>
      <c r="M15642"/>
      <c r="W15642"/>
    </row>
    <row r="15643" spans="10:23" x14ac:dyDescent="0.25">
      <c r="J15643"/>
      <c r="M15643"/>
      <c r="W15643"/>
    </row>
    <row r="15644" spans="10:23" x14ac:dyDescent="0.25">
      <c r="J15644"/>
      <c r="M15644"/>
      <c r="W15644"/>
    </row>
    <row r="15645" spans="10:23" x14ac:dyDescent="0.25">
      <c r="J15645"/>
      <c r="M15645"/>
      <c r="W15645"/>
    </row>
    <row r="15646" spans="10:23" x14ac:dyDescent="0.25">
      <c r="J15646"/>
      <c r="M15646"/>
      <c r="W15646"/>
    </row>
    <row r="15647" spans="10:23" x14ac:dyDescent="0.25">
      <c r="J15647"/>
      <c r="M15647"/>
      <c r="W15647"/>
    </row>
    <row r="15648" spans="10:23" x14ac:dyDescent="0.25">
      <c r="J15648"/>
      <c r="M15648"/>
      <c r="W15648"/>
    </row>
    <row r="15649" spans="10:23" x14ac:dyDescent="0.25">
      <c r="J15649"/>
      <c r="M15649"/>
      <c r="W15649"/>
    </row>
    <row r="15650" spans="10:23" x14ac:dyDescent="0.25">
      <c r="J15650"/>
      <c r="M15650"/>
      <c r="W15650"/>
    </row>
    <row r="15651" spans="10:23" x14ac:dyDescent="0.25">
      <c r="J15651"/>
      <c r="M15651"/>
      <c r="W15651"/>
    </row>
    <row r="15652" spans="10:23" x14ac:dyDescent="0.25">
      <c r="J15652"/>
      <c r="M15652"/>
      <c r="W15652"/>
    </row>
    <row r="15653" spans="10:23" x14ac:dyDescent="0.25">
      <c r="J15653"/>
      <c r="M15653"/>
      <c r="W15653"/>
    </row>
    <row r="15654" spans="10:23" x14ac:dyDescent="0.25">
      <c r="J15654"/>
      <c r="M15654"/>
      <c r="W15654"/>
    </row>
    <row r="15655" spans="10:23" x14ac:dyDescent="0.25">
      <c r="J15655"/>
      <c r="M15655"/>
      <c r="W15655"/>
    </row>
    <row r="15656" spans="10:23" x14ac:dyDescent="0.25">
      <c r="J15656"/>
      <c r="M15656"/>
      <c r="W15656"/>
    </row>
    <row r="15657" spans="10:23" x14ac:dyDescent="0.25">
      <c r="J15657"/>
      <c r="M15657"/>
      <c r="W15657"/>
    </row>
    <row r="15658" spans="10:23" x14ac:dyDescent="0.25">
      <c r="J15658"/>
      <c r="M15658"/>
      <c r="W15658"/>
    </row>
    <row r="15659" spans="10:23" x14ac:dyDescent="0.25">
      <c r="J15659"/>
      <c r="M15659"/>
      <c r="W15659"/>
    </row>
    <row r="15660" spans="10:23" x14ac:dyDescent="0.25">
      <c r="J15660"/>
      <c r="M15660"/>
      <c r="W15660"/>
    </row>
    <row r="15661" spans="10:23" x14ac:dyDescent="0.25">
      <c r="J15661"/>
      <c r="M15661"/>
      <c r="W15661"/>
    </row>
    <row r="15662" spans="10:23" x14ac:dyDescent="0.25">
      <c r="J15662"/>
      <c r="M15662"/>
      <c r="W15662"/>
    </row>
    <row r="15663" spans="10:23" x14ac:dyDescent="0.25">
      <c r="J15663"/>
      <c r="M15663"/>
      <c r="W15663"/>
    </row>
    <row r="15664" spans="10:23" x14ac:dyDescent="0.25">
      <c r="J15664"/>
      <c r="M15664"/>
      <c r="W15664"/>
    </row>
    <row r="15665" spans="10:23" x14ac:dyDescent="0.25">
      <c r="J15665"/>
      <c r="M15665"/>
      <c r="W15665"/>
    </row>
    <row r="15666" spans="10:23" x14ac:dyDescent="0.25">
      <c r="J15666"/>
      <c r="M15666"/>
      <c r="W15666"/>
    </row>
    <row r="15667" spans="10:23" x14ac:dyDescent="0.25">
      <c r="J15667"/>
      <c r="M15667"/>
      <c r="W15667"/>
    </row>
    <row r="15668" spans="10:23" x14ac:dyDescent="0.25">
      <c r="J15668"/>
      <c r="M15668"/>
      <c r="W15668"/>
    </row>
    <row r="15669" spans="10:23" x14ac:dyDescent="0.25">
      <c r="J15669"/>
      <c r="M15669"/>
      <c r="W15669"/>
    </row>
    <row r="15670" spans="10:23" x14ac:dyDescent="0.25">
      <c r="J15670"/>
      <c r="M15670"/>
      <c r="W15670"/>
    </row>
    <row r="15671" spans="10:23" x14ac:dyDescent="0.25">
      <c r="J15671"/>
      <c r="M15671"/>
      <c r="W15671"/>
    </row>
    <row r="15672" spans="10:23" x14ac:dyDescent="0.25">
      <c r="J15672"/>
      <c r="M15672"/>
      <c r="W15672"/>
    </row>
    <row r="15673" spans="10:23" x14ac:dyDescent="0.25">
      <c r="J15673"/>
      <c r="M15673"/>
      <c r="W15673"/>
    </row>
    <row r="15674" spans="10:23" x14ac:dyDescent="0.25">
      <c r="J15674"/>
      <c r="M15674"/>
      <c r="W15674"/>
    </row>
    <row r="15675" spans="10:23" x14ac:dyDescent="0.25">
      <c r="J15675"/>
      <c r="M15675"/>
      <c r="W15675"/>
    </row>
    <row r="15676" spans="10:23" x14ac:dyDescent="0.25">
      <c r="J15676"/>
      <c r="M15676"/>
      <c r="W15676"/>
    </row>
    <row r="15677" spans="10:23" x14ac:dyDescent="0.25">
      <c r="J15677"/>
      <c r="M15677"/>
      <c r="W15677"/>
    </row>
    <row r="15678" spans="10:23" x14ac:dyDescent="0.25">
      <c r="J15678"/>
      <c r="M15678"/>
      <c r="W15678"/>
    </row>
    <row r="15679" spans="10:23" x14ac:dyDescent="0.25">
      <c r="J15679"/>
      <c r="M15679"/>
      <c r="W15679"/>
    </row>
    <row r="15680" spans="10:23" x14ac:dyDescent="0.25">
      <c r="J15680"/>
      <c r="M15680"/>
      <c r="W15680"/>
    </row>
    <row r="15681" spans="10:23" x14ac:dyDescent="0.25">
      <c r="J15681"/>
      <c r="M15681"/>
      <c r="W15681"/>
    </row>
    <row r="15682" spans="10:23" x14ac:dyDescent="0.25">
      <c r="J15682"/>
      <c r="M15682"/>
      <c r="W15682"/>
    </row>
    <row r="15683" spans="10:23" x14ac:dyDescent="0.25">
      <c r="J15683"/>
      <c r="M15683"/>
      <c r="W15683"/>
    </row>
    <row r="15684" spans="10:23" x14ac:dyDescent="0.25">
      <c r="J15684"/>
      <c r="M15684"/>
      <c r="W15684"/>
    </row>
    <row r="15685" spans="10:23" x14ac:dyDescent="0.25">
      <c r="J15685"/>
      <c r="M15685"/>
      <c r="W15685"/>
    </row>
    <row r="15686" spans="10:23" x14ac:dyDescent="0.25">
      <c r="J15686"/>
      <c r="M15686"/>
      <c r="W15686"/>
    </row>
    <row r="15687" spans="10:23" x14ac:dyDescent="0.25">
      <c r="J15687"/>
      <c r="M15687"/>
      <c r="W15687"/>
    </row>
    <row r="15688" spans="10:23" x14ac:dyDescent="0.25">
      <c r="J15688"/>
      <c r="M15688"/>
      <c r="W15688"/>
    </row>
    <row r="15689" spans="10:23" x14ac:dyDescent="0.25">
      <c r="J15689"/>
      <c r="M15689"/>
      <c r="W15689"/>
    </row>
    <row r="15690" spans="10:23" x14ac:dyDescent="0.25">
      <c r="J15690"/>
      <c r="M15690"/>
      <c r="W15690"/>
    </row>
    <row r="15691" spans="10:23" x14ac:dyDescent="0.25">
      <c r="J15691"/>
      <c r="M15691"/>
      <c r="W15691"/>
    </row>
    <row r="15692" spans="10:23" x14ac:dyDescent="0.25">
      <c r="J15692"/>
      <c r="M15692"/>
      <c r="W15692"/>
    </row>
    <row r="15693" spans="10:23" x14ac:dyDescent="0.25">
      <c r="J15693"/>
      <c r="M15693"/>
      <c r="W15693"/>
    </row>
    <row r="15694" spans="10:23" x14ac:dyDescent="0.25">
      <c r="J15694"/>
      <c r="M15694"/>
      <c r="W15694"/>
    </row>
    <row r="15695" spans="10:23" x14ac:dyDescent="0.25">
      <c r="J15695"/>
      <c r="M15695"/>
      <c r="W15695"/>
    </row>
    <row r="15696" spans="10:23" x14ac:dyDescent="0.25">
      <c r="J15696"/>
      <c r="M15696"/>
      <c r="W15696"/>
    </row>
    <row r="15697" spans="10:23" x14ac:dyDescent="0.25">
      <c r="J15697"/>
      <c r="M15697"/>
      <c r="W15697"/>
    </row>
    <row r="15698" spans="10:23" x14ac:dyDescent="0.25">
      <c r="J15698"/>
      <c r="M15698"/>
      <c r="W15698"/>
    </row>
    <row r="15699" spans="10:23" x14ac:dyDescent="0.25">
      <c r="J15699"/>
      <c r="M15699"/>
      <c r="W15699"/>
    </row>
    <row r="15700" spans="10:23" x14ac:dyDescent="0.25">
      <c r="J15700"/>
      <c r="M15700"/>
      <c r="W15700"/>
    </row>
    <row r="15701" spans="10:23" x14ac:dyDescent="0.25">
      <c r="J15701"/>
      <c r="M15701"/>
      <c r="W15701"/>
    </row>
    <row r="15702" spans="10:23" x14ac:dyDescent="0.25">
      <c r="J15702"/>
      <c r="M15702"/>
      <c r="W15702"/>
    </row>
    <row r="15703" spans="10:23" x14ac:dyDescent="0.25">
      <c r="J15703"/>
      <c r="M15703"/>
      <c r="W15703"/>
    </row>
    <row r="15704" spans="10:23" x14ac:dyDescent="0.25">
      <c r="J15704"/>
      <c r="M15704"/>
      <c r="W15704"/>
    </row>
    <row r="15705" spans="10:23" x14ac:dyDescent="0.25">
      <c r="J15705"/>
      <c r="M15705"/>
      <c r="W15705"/>
    </row>
    <row r="15706" spans="10:23" x14ac:dyDescent="0.25">
      <c r="J15706"/>
      <c r="M15706"/>
      <c r="W15706"/>
    </row>
    <row r="15707" spans="10:23" x14ac:dyDescent="0.25">
      <c r="J15707"/>
      <c r="M15707"/>
      <c r="W15707"/>
    </row>
    <row r="15708" spans="10:23" x14ac:dyDescent="0.25">
      <c r="J15708"/>
      <c r="M15708"/>
      <c r="W15708"/>
    </row>
    <row r="15709" spans="10:23" x14ac:dyDescent="0.25">
      <c r="J15709"/>
      <c r="M15709"/>
      <c r="W15709"/>
    </row>
    <row r="15710" spans="10:23" x14ac:dyDescent="0.25">
      <c r="J15710"/>
      <c r="M15710"/>
      <c r="W15710"/>
    </row>
    <row r="15711" spans="10:23" x14ac:dyDescent="0.25">
      <c r="J15711"/>
      <c r="M15711"/>
      <c r="W15711"/>
    </row>
    <row r="15712" spans="10:23" x14ac:dyDescent="0.25">
      <c r="J15712"/>
      <c r="M15712"/>
      <c r="W15712"/>
    </row>
    <row r="15713" spans="10:23" x14ac:dyDescent="0.25">
      <c r="J15713"/>
      <c r="M15713"/>
      <c r="W15713"/>
    </row>
    <row r="15714" spans="10:23" x14ac:dyDescent="0.25">
      <c r="J15714"/>
      <c r="M15714"/>
      <c r="W15714"/>
    </row>
    <row r="15715" spans="10:23" x14ac:dyDescent="0.25">
      <c r="J15715"/>
      <c r="M15715"/>
      <c r="W15715"/>
    </row>
    <row r="15716" spans="10:23" x14ac:dyDescent="0.25">
      <c r="J15716"/>
      <c r="M15716"/>
      <c r="W15716"/>
    </row>
    <row r="15717" spans="10:23" x14ac:dyDescent="0.25">
      <c r="J15717"/>
      <c r="M15717"/>
      <c r="W15717"/>
    </row>
    <row r="15718" spans="10:23" x14ac:dyDescent="0.25">
      <c r="J15718"/>
      <c r="M15718"/>
      <c r="W15718"/>
    </row>
    <row r="15719" spans="10:23" x14ac:dyDescent="0.25">
      <c r="J15719"/>
      <c r="M15719"/>
      <c r="W15719"/>
    </row>
    <row r="15720" spans="10:23" x14ac:dyDescent="0.25">
      <c r="J15720"/>
      <c r="M15720"/>
      <c r="W15720"/>
    </row>
    <row r="15721" spans="10:23" x14ac:dyDescent="0.25">
      <c r="J15721"/>
      <c r="M15721"/>
      <c r="W15721"/>
    </row>
    <row r="15722" spans="10:23" x14ac:dyDescent="0.25">
      <c r="J15722"/>
      <c r="M15722"/>
      <c r="W15722"/>
    </row>
    <row r="15723" spans="10:23" x14ac:dyDescent="0.25">
      <c r="J15723"/>
      <c r="M15723"/>
      <c r="W15723"/>
    </row>
    <row r="15724" spans="10:23" x14ac:dyDescent="0.25">
      <c r="J15724"/>
      <c r="M15724"/>
      <c r="W15724"/>
    </row>
    <row r="15725" spans="10:23" x14ac:dyDescent="0.25">
      <c r="J15725"/>
      <c r="M15725"/>
      <c r="W15725"/>
    </row>
    <row r="15726" spans="10:23" x14ac:dyDescent="0.25">
      <c r="J15726"/>
      <c r="M15726"/>
      <c r="W15726"/>
    </row>
    <row r="15727" spans="10:23" x14ac:dyDescent="0.25">
      <c r="J15727"/>
      <c r="M15727"/>
      <c r="W15727"/>
    </row>
    <row r="15728" spans="10:23" x14ac:dyDescent="0.25">
      <c r="J15728"/>
      <c r="M15728"/>
      <c r="W15728"/>
    </row>
    <row r="15729" spans="10:23" x14ac:dyDescent="0.25">
      <c r="J15729"/>
      <c r="M15729"/>
      <c r="W15729"/>
    </row>
    <row r="15730" spans="10:23" x14ac:dyDescent="0.25">
      <c r="J15730"/>
      <c r="M15730"/>
      <c r="W15730"/>
    </row>
    <row r="15731" spans="10:23" x14ac:dyDescent="0.25">
      <c r="J15731"/>
      <c r="M15731"/>
      <c r="W15731"/>
    </row>
    <row r="15732" spans="10:23" x14ac:dyDescent="0.25">
      <c r="J15732"/>
      <c r="M15732"/>
      <c r="W15732"/>
    </row>
    <row r="15733" spans="10:23" x14ac:dyDescent="0.25">
      <c r="J15733"/>
      <c r="M15733"/>
      <c r="W15733"/>
    </row>
    <row r="15734" spans="10:23" x14ac:dyDescent="0.25">
      <c r="J15734"/>
      <c r="M15734"/>
      <c r="W15734"/>
    </row>
    <row r="15735" spans="10:23" x14ac:dyDescent="0.25">
      <c r="J15735"/>
      <c r="M15735"/>
      <c r="W15735"/>
    </row>
    <row r="15736" spans="10:23" x14ac:dyDescent="0.25">
      <c r="J15736"/>
      <c r="M15736"/>
      <c r="W15736"/>
    </row>
    <row r="15737" spans="10:23" x14ac:dyDescent="0.25">
      <c r="J15737"/>
      <c r="M15737"/>
      <c r="W15737"/>
    </row>
    <row r="15738" spans="10:23" x14ac:dyDescent="0.25">
      <c r="J15738"/>
      <c r="M15738"/>
      <c r="W15738"/>
    </row>
    <row r="15739" spans="10:23" x14ac:dyDescent="0.25">
      <c r="J15739"/>
      <c r="M15739"/>
      <c r="W15739"/>
    </row>
    <row r="15740" spans="10:23" x14ac:dyDescent="0.25">
      <c r="J15740"/>
      <c r="M15740"/>
      <c r="W15740"/>
    </row>
    <row r="15741" spans="10:23" x14ac:dyDescent="0.25">
      <c r="J15741"/>
      <c r="M15741"/>
      <c r="W15741"/>
    </row>
    <row r="15742" spans="10:23" x14ac:dyDescent="0.25">
      <c r="J15742"/>
      <c r="M15742"/>
      <c r="W15742"/>
    </row>
    <row r="15743" spans="10:23" x14ac:dyDescent="0.25">
      <c r="J15743"/>
      <c r="M15743"/>
      <c r="W15743"/>
    </row>
    <row r="15744" spans="10:23" x14ac:dyDescent="0.25">
      <c r="J15744"/>
      <c r="M15744"/>
      <c r="W15744"/>
    </row>
    <row r="15745" spans="10:23" x14ac:dyDescent="0.25">
      <c r="J15745"/>
      <c r="M15745"/>
      <c r="W15745"/>
    </row>
    <row r="15746" spans="10:23" x14ac:dyDescent="0.25">
      <c r="J15746"/>
      <c r="M15746"/>
      <c r="W15746"/>
    </row>
    <row r="15747" spans="10:23" x14ac:dyDescent="0.25">
      <c r="J15747"/>
      <c r="M15747"/>
      <c r="W15747"/>
    </row>
    <row r="15748" spans="10:23" x14ac:dyDescent="0.25">
      <c r="J15748"/>
      <c r="M15748"/>
      <c r="W15748"/>
    </row>
    <row r="15749" spans="10:23" x14ac:dyDescent="0.25">
      <c r="J15749"/>
      <c r="M15749"/>
      <c r="W15749"/>
    </row>
    <row r="15750" spans="10:23" x14ac:dyDescent="0.25">
      <c r="J15750"/>
      <c r="M15750"/>
      <c r="W15750"/>
    </row>
    <row r="15751" spans="10:23" x14ac:dyDescent="0.25">
      <c r="J15751"/>
      <c r="M15751"/>
      <c r="W15751"/>
    </row>
    <row r="15752" spans="10:23" x14ac:dyDescent="0.25">
      <c r="J15752"/>
      <c r="M15752"/>
      <c r="W15752"/>
    </row>
    <row r="15753" spans="10:23" x14ac:dyDescent="0.25">
      <c r="J15753"/>
      <c r="M15753"/>
      <c r="W15753"/>
    </row>
    <row r="15754" spans="10:23" x14ac:dyDescent="0.25">
      <c r="J15754"/>
      <c r="M15754"/>
      <c r="W15754"/>
    </row>
    <row r="15755" spans="10:23" x14ac:dyDescent="0.25">
      <c r="J15755"/>
      <c r="M15755"/>
      <c r="W15755"/>
    </row>
    <row r="15756" spans="10:23" x14ac:dyDescent="0.25">
      <c r="J15756"/>
      <c r="M15756"/>
      <c r="W15756"/>
    </row>
    <row r="15757" spans="10:23" x14ac:dyDescent="0.25">
      <c r="J15757"/>
      <c r="M15757"/>
      <c r="W15757"/>
    </row>
    <row r="15758" spans="10:23" x14ac:dyDescent="0.25">
      <c r="J15758"/>
      <c r="M15758"/>
      <c r="W15758"/>
    </row>
    <row r="15759" spans="10:23" x14ac:dyDescent="0.25">
      <c r="J15759"/>
      <c r="M15759"/>
      <c r="W15759"/>
    </row>
    <row r="15760" spans="10:23" x14ac:dyDescent="0.25">
      <c r="J15760"/>
      <c r="M15760"/>
      <c r="W15760"/>
    </row>
    <row r="15761" spans="10:23" x14ac:dyDescent="0.25">
      <c r="J15761"/>
      <c r="M15761"/>
      <c r="W15761"/>
    </row>
    <row r="15762" spans="10:23" x14ac:dyDescent="0.25">
      <c r="J15762"/>
      <c r="M15762"/>
      <c r="W15762"/>
    </row>
    <row r="15763" spans="10:23" x14ac:dyDescent="0.25">
      <c r="J15763"/>
      <c r="M15763"/>
      <c r="W15763"/>
    </row>
    <row r="15764" spans="10:23" x14ac:dyDescent="0.25">
      <c r="J15764"/>
      <c r="M15764"/>
      <c r="W15764"/>
    </row>
    <row r="15765" spans="10:23" x14ac:dyDescent="0.25">
      <c r="J15765"/>
      <c r="M15765"/>
      <c r="W15765"/>
    </row>
    <row r="15766" spans="10:23" x14ac:dyDescent="0.25">
      <c r="J15766"/>
      <c r="M15766"/>
      <c r="W15766"/>
    </row>
    <row r="15767" spans="10:23" x14ac:dyDescent="0.25">
      <c r="J15767"/>
      <c r="M15767"/>
      <c r="W15767"/>
    </row>
    <row r="15768" spans="10:23" x14ac:dyDescent="0.25">
      <c r="J15768"/>
      <c r="M15768"/>
      <c r="W15768"/>
    </row>
    <row r="15769" spans="10:23" x14ac:dyDescent="0.25">
      <c r="J15769"/>
      <c r="M15769"/>
      <c r="W15769"/>
    </row>
    <row r="15770" spans="10:23" x14ac:dyDescent="0.25">
      <c r="J15770"/>
      <c r="M15770"/>
      <c r="W15770"/>
    </row>
    <row r="15771" spans="10:23" x14ac:dyDescent="0.25">
      <c r="J15771"/>
      <c r="M15771"/>
      <c r="W15771"/>
    </row>
    <row r="15772" spans="10:23" x14ac:dyDescent="0.25">
      <c r="J15772"/>
      <c r="M15772"/>
      <c r="W15772"/>
    </row>
    <row r="15773" spans="10:23" x14ac:dyDescent="0.25">
      <c r="J15773"/>
      <c r="M15773"/>
      <c r="W15773"/>
    </row>
    <row r="15774" spans="10:23" x14ac:dyDescent="0.25">
      <c r="J15774"/>
      <c r="M15774"/>
      <c r="W15774"/>
    </row>
    <row r="15775" spans="10:23" x14ac:dyDescent="0.25">
      <c r="J15775"/>
      <c r="M15775"/>
      <c r="W15775"/>
    </row>
    <row r="15776" spans="10:23" x14ac:dyDescent="0.25">
      <c r="J15776"/>
      <c r="M15776"/>
      <c r="W15776"/>
    </row>
    <row r="15777" spans="10:23" x14ac:dyDescent="0.25">
      <c r="J15777"/>
      <c r="M15777"/>
      <c r="W15777"/>
    </row>
    <row r="15778" spans="10:23" x14ac:dyDescent="0.25">
      <c r="J15778"/>
      <c r="M15778"/>
      <c r="W15778"/>
    </row>
    <row r="15779" spans="10:23" x14ac:dyDescent="0.25">
      <c r="J15779"/>
      <c r="M15779"/>
      <c r="W15779"/>
    </row>
    <row r="15780" spans="10:23" x14ac:dyDescent="0.25">
      <c r="J15780"/>
      <c r="M15780"/>
      <c r="W15780"/>
    </row>
    <row r="15781" spans="10:23" x14ac:dyDescent="0.25">
      <c r="J15781"/>
      <c r="M15781"/>
      <c r="W15781"/>
    </row>
    <row r="15782" spans="10:23" x14ac:dyDescent="0.25">
      <c r="J15782"/>
      <c r="M15782"/>
      <c r="W15782"/>
    </row>
    <row r="15783" spans="10:23" x14ac:dyDescent="0.25">
      <c r="J15783"/>
      <c r="M15783"/>
      <c r="W15783"/>
    </row>
    <row r="15784" spans="10:23" x14ac:dyDescent="0.25">
      <c r="J15784"/>
      <c r="M15784"/>
      <c r="W15784"/>
    </row>
    <row r="15785" spans="10:23" x14ac:dyDescent="0.25">
      <c r="J15785"/>
      <c r="M15785"/>
      <c r="W15785"/>
    </row>
    <row r="15786" spans="10:23" x14ac:dyDescent="0.25">
      <c r="J15786"/>
      <c r="M15786"/>
      <c r="W15786"/>
    </row>
    <row r="15787" spans="10:23" x14ac:dyDescent="0.25">
      <c r="J15787"/>
      <c r="M15787"/>
      <c r="W15787"/>
    </row>
    <row r="15788" spans="10:23" x14ac:dyDescent="0.25">
      <c r="J15788"/>
      <c r="M15788"/>
      <c r="W15788"/>
    </row>
    <row r="15789" spans="10:23" x14ac:dyDescent="0.25">
      <c r="J15789"/>
      <c r="M15789"/>
      <c r="W15789"/>
    </row>
    <row r="15790" spans="10:23" x14ac:dyDescent="0.25">
      <c r="J15790"/>
      <c r="M15790"/>
      <c r="W15790"/>
    </row>
    <row r="15791" spans="10:23" x14ac:dyDescent="0.25">
      <c r="J15791"/>
      <c r="M15791"/>
      <c r="W15791"/>
    </row>
    <row r="15792" spans="10:23" x14ac:dyDescent="0.25">
      <c r="J15792"/>
      <c r="M15792"/>
      <c r="W15792"/>
    </row>
    <row r="15793" spans="10:23" x14ac:dyDescent="0.25">
      <c r="J15793"/>
      <c r="M15793"/>
      <c r="W15793"/>
    </row>
    <row r="15794" spans="10:23" x14ac:dyDescent="0.25">
      <c r="J15794"/>
      <c r="M15794"/>
      <c r="W15794"/>
    </row>
    <row r="15795" spans="10:23" x14ac:dyDescent="0.25">
      <c r="J15795"/>
      <c r="M15795"/>
      <c r="W15795"/>
    </row>
    <row r="15796" spans="10:23" x14ac:dyDescent="0.25">
      <c r="J15796"/>
      <c r="M15796"/>
      <c r="W15796"/>
    </row>
    <row r="15797" spans="10:23" x14ac:dyDescent="0.25">
      <c r="J15797"/>
      <c r="M15797"/>
      <c r="W15797"/>
    </row>
    <row r="15798" spans="10:23" x14ac:dyDescent="0.25">
      <c r="J15798"/>
      <c r="M15798"/>
      <c r="W15798"/>
    </row>
    <row r="15799" spans="10:23" x14ac:dyDescent="0.25">
      <c r="J15799"/>
      <c r="M15799"/>
      <c r="W15799"/>
    </row>
    <row r="15800" spans="10:23" x14ac:dyDescent="0.25">
      <c r="J15800"/>
      <c r="M15800"/>
      <c r="W15800"/>
    </row>
    <row r="15801" spans="10:23" x14ac:dyDescent="0.25">
      <c r="J15801"/>
      <c r="M15801"/>
      <c r="W15801"/>
    </row>
    <row r="15802" spans="10:23" x14ac:dyDescent="0.25">
      <c r="J15802"/>
      <c r="M15802"/>
      <c r="W15802"/>
    </row>
    <row r="15803" spans="10:23" x14ac:dyDescent="0.25">
      <c r="J15803"/>
      <c r="M15803"/>
      <c r="W15803"/>
    </row>
    <row r="15804" spans="10:23" x14ac:dyDescent="0.25">
      <c r="J15804"/>
      <c r="M15804"/>
      <c r="W15804"/>
    </row>
    <row r="15805" spans="10:23" x14ac:dyDescent="0.25">
      <c r="J15805"/>
      <c r="M15805"/>
      <c r="W15805"/>
    </row>
    <row r="15806" spans="10:23" x14ac:dyDescent="0.25">
      <c r="J15806"/>
      <c r="M15806"/>
      <c r="W15806"/>
    </row>
    <row r="15807" spans="10:23" x14ac:dyDescent="0.25">
      <c r="J15807"/>
      <c r="M15807"/>
      <c r="W15807"/>
    </row>
    <row r="15808" spans="10:23" x14ac:dyDescent="0.25">
      <c r="J15808"/>
      <c r="M15808"/>
      <c r="W15808"/>
    </row>
    <row r="15809" spans="10:23" x14ac:dyDescent="0.25">
      <c r="J15809"/>
      <c r="M15809"/>
      <c r="W15809"/>
    </row>
    <row r="15810" spans="10:23" x14ac:dyDescent="0.25">
      <c r="J15810"/>
      <c r="M15810"/>
      <c r="W15810"/>
    </row>
    <row r="15811" spans="10:23" x14ac:dyDescent="0.25">
      <c r="J15811"/>
      <c r="M15811"/>
      <c r="W15811"/>
    </row>
    <row r="15812" spans="10:23" x14ac:dyDescent="0.25">
      <c r="J15812"/>
      <c r="M15812"/>
      <c r="W15812"/>
    </row>
    <row r="15813" spans="10:23" x14ac:dyDescent="0.25">
      <c r="J15813"/>
      <c r="M15813"/>
      <c r="W15813"/>
    </row>
    <row r="15814" spans="10:23" x14ac:dyDescent="0.25">
      <c r="J15814"/>
      <c r="M15814"/>
      <c r="W15814"/>
    </row>
    <row r="15815" spans="10:23" x14ac:dyDescent="0.25">
      <c r="J15815"/>
      <c r="M15815"/>
      <c r="W15815"/>
    </row>
    <row r="15816" spans="10:23" x14ac:dyDescent="0.25">
      <c r="J15816"/>
      <c r="M15816"/>
      <c r="W15816"/>
    </row>
    <row r="15817" spans="10:23" x14ac:dyDescent="0.25">
      <c r="J15817"/>
      <c r="M15817"/>
      <c r="W15817"/>
    </row>
    <row r="15818" spans="10:23" x14ac:dyDescent="0.25">
      <c r="J15818"/>
      <c r="M15818"/>
      <c r="W15818"/>
    </row>
    <row r="15819" spans="10:23" x14ac:dyDescent="0.25">
      <c r="J15819"/>
      <c r="M15819"/>
      <c r="W15819"/>
    </row>
    <row r="15820" spans="10:23" x14ac:dyDescent="0.25">
      <c r="J15820"/>
      <c r="M15820"/>
      <c r="W15820"/>
    </row>
    <row r="15821" spans="10:23" x14ac:dyDescent="0.25">
      <c r="J15821"/>
      <c r="M15821"/>
      <c r="W15821"/>
    </row>
    <row r="15822" spans="10:23" x14ac:dyDescent="0.25">
      <c r="J15822"/>
      <c r="M15822"/>
      <c r="W15822"/>
    </row>
    <row r="15823" spans="10:23" x14ac:dyDescent="0.25">
      <c r="J15823"/>
      <c r="M15823"/>
      <c r="W15823"/>
    </row>
    <row r="15824" spans="10:23" x14ac:dyDescent="0.25">
      <c r="J15824"/>
      <c r="M15824"/>
      <c r="W15824"/>
    </row>
    <row r="15825" spans="10:23" x14ac:dyDescent="0.25">
      <c r="J15825"/>
      <c r="M15825"/>
      <c r="W15825"/>
    </row>
    <row r="15826" spans="10:23" x14ac:dyDescent="0.25">
      <c r="J15826"/>
      <c r="M15826"/>
      <c r="W15826"/>
    </row>
    <row r="15827" spans="10:23" x14ac:dyDescent="0.25">
      <c r="J15827"/>
      <c r="M15827"/>
      <c r="W15827"/>
    </row>
    <row r="15828" spans="10:23" x14ac:dyDescent="0.25">
      <c r="J15828"/>
      <c r="M15828"/>
      <c r="W15828"/>
    </row>
    <row r="15829" spans="10:23" x14ac:dyDescent="0.25">
      <c r="J15829"/>
      <c r="M15829"/>
      <c r="W15829"/>
    </row>
    <row r="15830" spans="10:23" x14ac:dyDescent="0.25">
      <c r="J15830"/>
      <c r="M15830"/>
      <c r="W15830"/>
    </row>
    <row r="15831" spans="10:23" x14ac:dyDescent="0.25">
      <c r="J15831"/>
      <c r="M15831"/>
      <c r="W15831"/>
    </row>
    <row r="15832" spans="10:23" x14ac:dyDescent="0.25">
      <c r="J15832"/>
      <c r="M15832"/>
      <c r="W15832"/>
    </row>
    <row r="15833" spans="10:23" x14ac:dyDescent="0.25">
      <c r="J15833"/>
      <c r="M15833"/>
      <c r="W15833"/>
    </row>
    <row r="15834" spans="10:23" x14ac:dyDescent="0.25">
      <c r="J15834"/>
      <c r="M15834"/>
      <c r="W15834"/>
    </row>
    <row r="15835" spans="10:23" x14ac:dyDescent="0.25">
      <c r="J15835"/>
      <c r="M15835"/>
      <c r="W15835"/>
    </row>
    <row r="15836" spans="10:23" x14ac:dyDescent="0.25">
      <c r="J15836"/>
      <c r="M15836"/>
      <c r="W15836"/>
    </row>
    <row r="15837" spans="10:23" x14ac:dyDescent="0.25">
      <c r="J15837"/>
      <c r="M15837"/>
      <c r="W15837"/>
    </row>
    <row r="15838" spans="10:23" x14ac:dyDescent="0.25">
      <c r="J15838"/>
      <c r="M15838"/>
      <c r="W15838"/>
    </row>
    <row r="15839" spans="10:23" x14ac:dyDescent="0.25">
      <c r="J15839"/>
      <c r="M15839"/>
      <c r="W15839"/>
    </row>
    <row r="15840" spans="10:23" x14ac:dyDescent="0.25">
      <c r="J15840"/>
      <c r="M15840"/>
      <c r="W15840"/>
    </row>
    <row r="15841" spans="10:23" x14ac:dyDescent="0.25">
      <c r="J15841"/>
      <c r="M15841"/>
      <c r="W15841"/>
    </row>
    <row r="15842" spans="10:23" x14ac:dyDescent="0.25">
      <c r="J15842"/>
      <c r="M15842"/>
      <c r="W15842"/>
    </row>
    <row r="15843" spans="10:23" x14ac:dyDescent="0.25">
      <c r="J15843"/>
      <c r="M15843"/>
      <c r="W15843"/>
    </row>
    <row r="15844" spans="10:23" x14ac:dyDescent="0.25">
      <c r="J15844"/>
      <c r="M15844"/>
      <c r="W15844"/>
    </row>
    <row r="15845" spans="10:23" x14ac:dyDescent="0.25">
      <c r="J15845"/>
      <c r="M15845"/>
      <c r="W15845"/>
    </row>
    <row r="15846" spans="10:23" x14ac:dyDescent="0.25">
      <c r="J15846"/>
      <c r="M15846"/>
      <c r="W15846"/>
    </row>
    <row r="15847" spans="10:23" x14ac:dyDescent="0.25">
      <c r="J15847"/>
      <c r="M15847"/>
      <c r="W15847"/>
    </row>
    <row r="15848" spans="10:23" x14ac:dyDescent="0.25">
      <c r="J15848"/>
      <c r="M15848"/>
      <c r="W15848"/>
    </row>
    <row r="15849" spans="10:23" x14ac:dyDescent="0.25">
      <c r="J15849"/>
      <c r="M15849"/>
      <c r="W15849"/>
    </row>
    <row r="15850" spans="10:23" x14ac:dyDescent="0.25">
      <c r="J15850"/>
      <c r="M15850"/>
      <c r="W15850"/>
    </row>
    <row r="15851" spans="10:23" x14ac:dyDescent="0.25">
      <c r="J15851"/>
      <c r="M15851"/>
      <c r="W15851"/>
    </row>
    <row r="15852" spans="10:23" x14ac:dyDescent="0.25">
      <c r="J15852"/>
      <c r="M15852"/>
      <c r="W15852"/>
    </row>
    <row r="15853" spans="10:23" x14ac:dyDescent="0.25">
      <c r="J15853"/>
      <c r="M15853"/>
      <c r="W15853"/>
    </row>
    <row r="15854" spans="10:23" x14ac:dyDescent="0.25">
      <c r="J15854"/>
      <c r="M15854"/>
      <c r="W15854"/>
    </row>
    <row r="15855" spans="10:23" x14ac:dyDescent="0.25">
      <c r="J15855"/>
      <c r="M15855"/>
      <c r="W15855"/>
    </row>
    <row r="15856" spans="10:23" x14ac:dyDescent="0.25">
      <c r="J15856"/>
      <c r="M15856"/>
      <c r="W15856"/>
    </row>
    <row r="15857" spans="10:23" x14ac:dyDescent="0.25">
      <c r="J15857"/>
      <c r="M15857"/>
      <c r="W15857"/>
    </row>
    <row r="15858" spans="10:23" x14ac:dyDescent="0.25">
      <c r="J15858"/>
      <c r="M15858"/>
      <c r="W15858"/>
    </row>
    <row r="15859" spans="10:23" x14ac:dyDescent="0.25">
      <c r="J15859"/>
      <c r="M15859"/>
      <c r="W15859"/>
    </row>
    <row r="15860" spans="10:23" x14ac:dyDescent="0.25">
      <c r="J15860"/>
      <c r="M15860"/>
      <c r="W15860"/>
    </row>
    <row r="15861" spans="10:23" x14ac:dyDescent="0.25">
      <c r="J15861"/>
      <c r="M15861"/>
      <c r="W15861"/>
    </row>
    <row r="15862" spans="10:23" x14ac:dyDescent="0.25">
      <c r="J15862"/>
      <c r="M15862"/>
      <c r="W15862"/>
    </row>
    <row r="15863" spans="10:23" x14ac:dyDescent="0.25">
      <c r="J15863"/>
      <c r="M15863"/>
      <c r="W15863"/>
    </row>
    <row r="15864" spans="10:23" x14ac:dyDescent="0.25">
      <c r="J15864"/>
      <c r="M15864"/>
      <c r="W15864"/>
    </row>
    <row r="15865" spans="10:23" x14ac:dyDescent="0.25">
      <c r="J15865"/>
      <c r="M15865"/>
      <c r="W15865"/>
    </row>
    <row r="15866" spans="10:23" x14ac:dyDescent="0.25">
      <c r="J15866"/>
      <c r="M15866"/>
      <c r="W15866"/>
    </row>
    <row r="15867" spans="10:23" x14ac:dyDescent="0.25">
      <c r="J15867"/>
      <c r="M15867"/>
      <c r="W15867"/>
    </row>
    <row r="15868" spans="10:23" x14ac:dyDescent="0.25">
      <c r="J15868"/>
      <c r="M15868"/>
      <c r="W15868"/>
    </row>
    <row r="15869" spans="10:23" x14ac:dyDescent="0.25">
      <c r="J15869"/>
      <c r="M15869"/>
      <c r="W15869"/>
    </row>
    <row r="15870" spans="10:23" x14ac:dyDescent="0.25">
      <c r="J15870"/>
      <c r="M15870"/>
      <c r="W15870"/>
    </row>
    <row r="15871" spans="10:23" x14ac:dyDescent="0.25">
      <c r="J15871"/>
      <c r="M15871"/>
      <c r="W15871"/>
    </row>
    <row r="15872" spans="10:23" x14ac:dyDescent="0.25">
      <c r="J15872"/>
      <c r="M15872"/>
      <c r="W15872"/>
    </row>
    <row r="15873" spans="10:23" x14ac:dyDescent="0.25">
      <c r="J15873"/>
      <c r="M15873"/>
      <c r="W15873"/>
    </row>
    <row r="15874" spans="10:23" x14ac:dyDescent="0.25">
      <c r="J15874"/>
      <c r="M15874"/>
      <c r="W15874"/>
    </row>
    <row r="15875" spans="10:23" x14ac:dyDescent="0.25">
      <c r="J15875"/>
      <c r="M15875"/>
      <c r="W15875"/>
    </row>
    <row r="15876" spans="10:23" x14ac:dyDescent="0.25">
      <c r="J15876"/>
      <c r="M15876"/>
      <c r="W15876"/>
    </row>
    <row r="15877" spans="10:23" x14ac:dyDescent="0.25">
      <c r="J15877"/>
      <c r="M15877"/>
      <c r="W15877"/>
    </row>
    <row r="15878" spans="10:23" x14ac:dyDescent="0.25">
      <c r="J15878"/>
      <c r="M15878"/>
      <c r="W15878"/>
    </row>
    <row r="15879" spans="10:23" x14ac:dyDescent="0.25">
      <c r="J15879"/>
      <c r="M15879"/>
      <c r="W15879"/>
    </row>
    <row r="15880" spans="10:23" x14ac:dyDescent="0.25">
      <c r="J15880"/>
      <c r="M15880"/>
      <c r="W15880"/>
    </row>
    <row r="15881" spans="10:23" x14ac:dyDescent="0.25">
      <c r="J15881"/>
      <c r="M15881"/>
      <c r="W15881"/>
    </row>
    <row r="15882" spans="10:23" x14ac:dyDescent="0.25">
      <c r="J15882"/>
      <c r="M15882"/>
      <c r="W15882"/>
    </row>
    <row r="15883" spans="10:23" x14ac:dyDescent="0.25">
      <c r="J15883"/>
      <c r="M15883"/>
      <c r="W15883"/>
    </row>
    <row r="15884" spans="10:23" x14ac:dyDescent="0.25">
      <c r="J15884"/>
      <c r="M15884"/>
      <c r="W15884"/>
    </row>
    <row r="15885" spans="10:23" x14ac:dyDescent="0.25">
      <c r="J15885"/>
      <c r="M15885"/>
      <c r="W15885"/>
    </row>
    <row r="15886" spans="10:23" x14ac:dyDescent="0.25">
      <c r="J15886"/>
      <c r="M15886"/>
      <c r="W15886"/>
    </row>
    <row r="15887" spans="10:23" x14ac:dyDescent="0.25">
      <c r="J15887"/>
      <c r="M15887"/>
      <c r="W15887"/>
    </row>
    <row r="15888" spans="10:23" x14ac:dyDescent="0.25">
      <c r="J15888"/>
      <c r="M15888"/>
      <c r="W15888"/>
    </row>
    <row r="15889" spans="10:23" x14ac:dyDescent="0.25">
      <c r="J15889"/>
      <c r="M15889"/>
      <c r="W15889"/>
    </row>
    <row r="15890" spans="10:23" x14ac:dyDescent="0.25">
      <c r="J15890"/>
      <c r="M15890"/>
      <c r="W15890"/>
    </row>
    <row r="15891" spans="10:23" x14ac:dyDescent="0.25">
      <c r="J15891"/>
      <c r="M15891"/>
      <c r="W15891"/>
    </row>
    <row r="15892" spans="10:23" x14ac:dyDescent="0.25">
      <c r="J15892"/>
      <c r="M15892"/>
      <c r="W15892"/>
    </row>
    <row r="15893" spans="10:23" x14ac:dyDescent="0.25">
      <c r="J15893"/>
      <c r="M15893"/>
      <c r="W15893"/>
    </row>
    <row r="15894" spans="10:23" x14ac:dyDescent="0.25">
      <c r="J15894"/>
      <c r="M15894"/>
      <c r="W15894"/>
    </row>
    <row r="15895" spans="10:23" x14ac:dyDescent="0.25">
      <c r="J15895"/>
      <c r="M15895"/>
      <c r="W15895"/>
    </row>
    <row r="15896" spans="10:23" x14ac:dyDescent="0.25">
      <c r="J15896"/>
      <c r="M15896"/>
      <c r="W15896"/>
    </row>
    <row r="15897" spans="10:23" x14ac:dyDescent="0.25">
      <c r="J15897"/>
      <c r="M15897"/>
      <c r="W15897"/>
    </row>
    <row r="15898" spans="10:23" x14ac:dyDescent="0.25">
      <c r="J15898"/>
      <c r="M15898"/>
      <c r="W15898"/>
    </row>
    <row r="15899" spans="10:23" x14ac:dyDescent="0.25">
      <c r="J15899"/>
      <c r="M15899"/>
      <c r="W15899"/>
    </row>
    <row r="15900" spans="10:23" x14ac:dyDescent="0.25">
      <c r="J15900"/>
      <c r="M15900"/>
      <c r="W15900"/>
    </row>
    <row r="15901" spans="10:23" x14ac:dyDescent="0.25">
      <c r="J15901"/>
      <c r="M15901"/>
      <c r="W15901"/>
    </row>
    <row r="15902" spans="10:23" x14ac:dyDescent="0.25">
      <c r="J15902"/>
      <c r="M15902"/>
      <c r="W15902"/>
    </row>
    <row r="15903" spans="10:23" x14ac:dyDescent="0.25">
      <c r="J15903"/>
      <c r="M15903"/>
      <c r="W15903"/>
    </row>
    <row r="15904" spans="10:23" x14ac:dyDescent="0.25">
      <c r="J15904"/>
      <c r="M15904"/>
      <c r="W15904"/>
    </row>
    <row r="15905" spans="10:23" x14ac:dyDescent="0.25">
      <c r="J15905"/>
      <c r="M15905"/>
      <c r="W15905"/>
    </row>
    <row r="15906" spans="10:23" x14ac:dyDescent="0.25">
      <c r="J15906"/>
      <c r="M15906"/>
      <c r="W15906"/>
    </row>
    <row r="15907" spans="10:23" x14ac:dyDescent="0.25">
      <c r="J15907"/>
      <c r="M15907"/>
      <c r="W15907"/>
    </row>
    <row r="15908" spans="10:23" x14ac:dyDescent="0.25">
      <c r="J15908"/>
      <c r="M15908"/>
      <c r="W15908"/>
    </row>
    <row r="15909" spans="10:23" x14ac:dyDescent="0.25">
      <c r="J15909"/>
      <c r="M15909"/>
      <c r="W15909"/>
    </row>
    <row r="15910" spans="10:23" x14ac:dyDescent="0.25">
      <c r="J15910"/>
      <c r="M15910"/>
      <c r="W15910"/>
    </row>
    <row r="15911" spans="10:23" x14ac:dyDescent="0.25">
      <c r="J15911"/>
      <c r="M15911"/>
      <c r="W15911"/>
    </row>
    <row r="15912" spans="10:23" x14ac:dyDescent="0.25">
      <c r="J15912"/>
      <c r="M15912"/>
      <c r="W15912"/>
    </row>
    <row r="15913" spans="10:23" x14ac:dyDescent="0.25">
      <c r="J15913"/>
      <c r="M15913"/>
      <c r="W15913"/>
    </row>
    <row r="15914" spans="10:23" x14ac:dyDescent="0.25">
      <c r="J15914"/>
      <c r="M15914"/>
      <c r="W15914"/>
    </row>
    <row r="15915" spans="10:23" x14ac:dyDescent="0.25">
      <c r="J15915"/>
      <c r="M15915"/>
      <c r="W15915"/>
    </row>
    <row r="15916" spans="10:23" x14ac:dyDescent="0.25">
      <c r="J15916"/>
      <c r="M15916"/>
      <c r="W15916"/>
    </row>
    <row r="15917" spans="10:23" x14ac:dyDescent="0.25">
      <c r="J15917"/>
      <c r="M15917"/>
      <c r="W15917"/>
    </row>
    <row r="15918" spans="10:23" x14ac:dyDescent="0.25">
      <c r="J15918"/>
      <c r="M15918"/>
      <c r="W15918"/>
    </row>
    <row r="15919" spans="10:23" x14ac:dyDescent="0.25">
      <c r="J15919"/>
      <c r="M15919"/>
      <c r="W15919"/>
    </row>
    <row r="15920" spans="10:23" x14ac:dyDescent="0.25">
      <c r="J15920"/>
      <c r="M15920"/>
      <c r="W15920"/>
    </row>
    <row r="15921" spans="10:23" x14ac:dyDescent="0.25">
      <c r="J15921"/>
      <c r="M15921"/>
      <c r="W15921"/>
    </row>
    <row r="15922" spans="10:23" x14ac:dyDescent="0.25">
      <c r="J15922"/>
      <c r="M15922"/>
      <c r="W15922"/>
    </row>
    <row r="15923" spans="10:23" x14ac:dyDescent="0.25">
      <c r="J15923"/>
      <c r="M15923"/>
      <c r="W15923"/>
    </row>
    <row r="15924" spans="10:23" x14ac:dyDescent="0.25">
      <c r="J15924"/>
      <c r="M15924"/>
      <c r="W15924"/>
    </row>
    <row r="15925" spans="10:23" x14ac:dyDescent="0.25">
      <c r="J15925"/>
      <c r="M15925"/>
      <c r="W15925"/>
    </row>
    <row r="15926" spans="10:23" x14ac:dyDescent="0.25">
      <c r="J15926"/>
      <c r="M15926"/>
      <c r="W15926"/>
    </row>
    <row r="15927" spans="10:23" x14ac:dyDescent="0.25">
      <c r="J15927"/>
      <c r="M15927"/>
      <c r="W15927"/>
    </row>
    <row r="15928" spans="10:23" x14ac:dyDescent="0.25">
      <c r="J15928"/>
      <c r="M15928"/>
      <c r="W15928"/>
    </row>
    <row r="15929" spans="10:23" x14ac:dyDescent="0.25">
      <c r="J15929"/>
      <c r="M15929"/>
      <c r="W15929"/>
    </row>
    <row r="15930" spans="10:23" x14ac:dyDescent="0.25">
      <c r="J15930"/>
      <c r="M15930"/>
      <c r="W15930"/>
    </row>
    <row r="15931" spans="10:23" x14ac:dyDescent="0.25">
      <c r="J15931"/>
      <c r="M15931"/>
      <c r="W15931"/>
    </row>
    <row r="15932" spans="10:23" x14ac:dyDescent="0.25">
      <c r="J15932"/>
      <c r="M15932"/>
      <c r="W15932"/>
    </row>
    <row r="15933" spans="10:23" x14ac:dyDescent="0.25">
      <c r="J15933"/>
      <c r="M15933"/>
      <c r="W15933"/>
    </row>
    <row r="15934" spans="10:23" x14ac:dyDescent="0.25">
      <c r="J15934"/>
      <c r="M15934"/>
      <c r="W15934"/>
    </row>
    <row r="15935" spans="10:23" x14ac:dyDescent="0.25">
      <c r="J15935"/>
      <c r="M15935"/>
      <c r="W15935"/>
    </row>
    <row r="15936" spans="10:23" x14ac:dyDescent="0.25">
      <c r="J15936"/>
      <c r="M15936"/>
      <c r="W15936"/>
    </row>
    <row r="15937" spans="10:23" x14ac:dyDescent="0.25">
      <c r="J15937"/>
      <c r="M15937"/>
      <c r="W15937"/>
    </row>
    <row r="15938" spans="10:23" x14ac:dyDescent="0.25">
      <c r="J15938"/>
      <c r="M15938"/>
      <c r="W15938"/>
    </row>
    <row r="15939" spans="10:23" x14ac:dyDescent="0.25">
      <c r="J15939"/>
      <c r="M15939"/>
      <c r="W15939"/>
    </row>
    <row r="15940" spans="10:23" x14ac:dyDescent="0.25">
      <c r="J15940"/>
      <c r="M15940"/>
      <c r="W15940"/>
    </row>
    <row r="15941" spans="10:23" x14ac:dyDescent="0.25">
      <c r="J15941"/>
      <c r="M15941"/>
      <c r="W15941"/>
    </row>
    <row r="15942" spans="10:23" x14ac:dyDescent="0.25">
      <c r="J15942"/>
      <c r="M15942"/>
      <c r="W15942"/>
    </row>
    <row r="15943" spans="10:23" x14ac:dyDescent="0.25">
      <c r="J15943"/>
      <c r="M15943"/>
      <c r="W15943"/>
    </row>
    <row r="15944" spans="10:23" x14ac:dyDescent="0.25">
      <c r="J15944"/>
      <c r="M15944"/>
      <c r="W15944"/>
    </row>
    <row r="15945" spans="10:23" x14ac:dyDescent="0.25">
      <c r="J15945"/>
      <c r="M15945"/>
      <c r="W15945"/>
    </row>
    <row r="15946" spans="10:23" x14ac:dyDescent="0.25">
      <c r="J15946"/>
      <c r="M15946"/>
      <c r="W15946"/>
    </row>
    <row r="15947" spans="10:23" x14ac:dyDescent="0.25">
      <c r="J15947"/>
      <c r="M15947"/>
      <c r="W15947"/>
    </row>
    <row r="15948" spans="10:23" x14ac:dyDescent="0.25">
      <c r="J15948"/>
      <c r="M15948"/>
      <c r="W15948"/>
    </row>
    <row r="15949" spans="10:23" x14ac:dyDescent="0.25">
      <c r="J15949"/>
      <c r="M15949"/>
      <c r="W15949"/>
    </row>
    <row r="15950" spans="10:23" x14ac:dyDescent="0.25">
      <c r="J15950"/>
      <c r="M15950"/>
      <c r="W15950"/>
    </row>
    <row r="15951" spans="10:23" x14ac:dyDescent="0.25">
      <c r="J15951"/>
      <c r="M15951"/>
      <c r="W15951"/>
    </row>
    <row r="15952" spans="10:23" x14ac:dyDescent="0.25">
      <c r="J15952"/>
      <c r="M15952"/>
      <c r="W15952"/>
    </row>
    <row r="15953" spans="10:23" x14ac:dyDescent="0.25">
      <c r="J15953"/>
      <c r="M15953"/>
      <c r="W15953"/>
    </row>
    <row r="15954" spans="10:23" x14ac:dyDescent="0.25">
      <c r="J15954"/>
      <c r="M15954"/>
      <c r="W15954"/>
    </row>
    <row r="15955" spans="10:23" x14ac:dyDescent="0.25">
      <c r="J15955"/>
      <c r="M15955"/>
      <c r="W15955"/>
    </row>
    <row r="15956" spans="10:23" x14ac:dyDescent="0.25">
      <c r="J15956"/>
      <c r="M15956"/>
      <c r="W15956"/>
    </row>
    <row r="15957" spans="10:23" x14ac:dyDescent="0.25">
      <c r="J15957"/>
      <c r="M15957"/>
      <c r="W15957"/>
    </row>
    <row r="15958" spans="10:23" x14ac:dyDescent="0.25">
      <c r="J15958"/>
      <c r="M15958"/>
      <c r="W15958"/>
    </row>
    <row r="15959" spans="10:23" x14ac:dyDescent="0.25">
      <c r="J15959"/>
      <c r="M15959"/>
      <c r="W15959"/>
    </row>
    <row r="15960" spans="10:23" x14ac:dyDescent="0.25">
      <c r="J15960"/>
      <c r="M15960"/>
      <c r="W15960"/>
    </row>
    <row r="15961" spans="10:23" x14ac:dyDescent="0.25">
      <c r="J15961"/>
      <c r="M15961"/>
      <c r="W15961"/>
    </row>
    <row r="15962" spans="10:23" x14ac:dyDescent="0.25">
      <c r="J15962"/>
      <c r="M15962"/>
      <c r="W15962"/>
    </row>
    <row r="15963" spans="10:23" x14ac:dyDescent="0.25">
      <c r="J15963"/>
      <c r="M15963"/>
      <c r="W15963"/>
    </row>
    <row r="15964" spans="10:23" x14ac:dyDescent="0.25">
      <c r="J15964"/>
      <c r="M15964"/>
      <c r="W15964"/>
    </row>
    <row r="15965" spans="10:23" x14ac:dyDescent="0.25">
      <c r="J15965"/>
      <c r="M15965"/>
      <c r="W15965"/>
    </row>
    <row r="15966" spans="10:23" x14ac:dyDescent="0.25">
      <c r="J15966"/>
      <c r="M15966"/>
      <c r="W15966"/>
    </row>
    <row r="15967" spans="10:23" x14ac:dyDescent="0.25">
      <c r="J15967"/>
      <c r="M15967"/>
      <c r="W15967"/>
    </row>
    <row r="15968" spans="10:23" x14ac:dyDescent="0.25">
      <c r="J15968"/>
      <c r="M15968"/>
      <c r="W15968"/>
    </row>
    <row r="15969" spans="10:23" x14ac:dyDescent="0.25">
      <c r="J15969"/>
      <c r="M15969"/>
      <c r="W15969"/>
    </row>
    <row r="15970" spans="10:23" x14ac:dyDescent="0.25">
      <c r="J15970"/>
      <c r="M15970"/>
      <c r="W15970"/>
    </row>
    <row r="15971" spans="10:23" x14ac:dyDescent="0.25">
      <c r="J15971"/>
      <c r="M15971"/>
      <c r="W15971"/>
    </row>
    <row r="15972" spans="10:23" x14ac:dyDescent="0.25">
      <c r="J15972"/>
      <c r="M15972"/>
      <c r="W15972"/>
    </row>
    <row r="15973" spans="10:23" x14ac:dyDescent="0.25">
      <c r="J15973"/>
      <c r="M15973"/>
      <c r="W15973"/>
    </row>
    <row r="15974" spans="10:23" x14ac:dyDescent="0.25">
      <c r="J15974"/>
      <c r="M15974"/>
      <c r="W15974"/>
    </row>
    <row r="15975" spans="10:23" x14ac:dyDescent="0.25">
      <c r="J15975"/>
      <c r="M15975"/>
      <c r="W15975"/>
    </row>
    <row r="15976" spans="10:23" x14ac:dyDescent="0.25">
      <c r="J15976"/>
      <c r="M15976"/>
      <c r="W15976"/>
    </row>
    <row r="15977" spans="10:23" x14ac:dyDescent="0.25">
      <c r="J15977"/>
      <c r="M15977"/>
      <c r="W15977"/>
    </row>
    <row r="15978" spans="10:23" x14ac:dyDescent="0.25">
      <c r="J15978"/>
      <c r="M15978"/>
      <c r="W15978"/>
    </row>
    <row r="15979" spans="10:23" x14ac:dyDescent="0.25">
      <c r="J15979"/>
      <c r="M15979"/>
      <c r="W15979"/>
    </row>
    <row r="15980" spans="10:23" x14ac:dyDescent="0.25">
      <c r="J15980"/>
      <c r="M15980"/>
      <c r="W15980"/>
    </row>
    <row r="15981" spans="10:23" x14ac:dyDescent="0.25">
      <c r="J15981"/>
      <c r="M15981"/>
      <c r="W15981"/>
    </row>
    <row r="15982" spans="10:23" x14ac:dyDescent="0.25">
      <c r="J15982"/>
      <c r="M15982"/>
      <c r="W15982"/>
    </row>
    <row r="15983" spans="10:23" x14ac:dyDescent="0.25">
      <c r="J15983"/>
      <c r="M15983"/>
      <c r="W15983"/>
    </row>
    <row r="15984" spans="10:23" x14ac:dyDescent="0.25">
      <c r="J15984"/>
      <c r="M15984"/>
      <c r="W15984"/>
    </row>
    <row r="15985" spans="10:23" x14ac:dyDescent="0.25">
      <c r="J15985"/>
      <c r="M15985"/>
      <c r="W15985"/>
    </row>
    <row r="15986" spans="10:23" x14ac:dyDescent="0.25">
      <c r="J15986"/>
      <c r="M15986"/>
      <c r="W15986"/>
    </row>
    <row r="15987" spans="10:23" x14ac:dyDescent="0.25">
      <c r="J15987"/>
      <c r="M15987"/>
      <c r="W15987"/>
    </row>
    <row r="15988" spans="10:23" x14ac:dyDescent="0.25">
      <c r="J15988"/>
      <c r="M15988"/>
      <c r="W15988"/>
    </row>
    <row r="15989" spans="10:23" x14ac:dyDescent="0.25">
      <c r="J15989"/>
      <c r="M15989"/>
      <c r="W15989"/>
    </row>
    <row r="15990" spans="10:23" x14ac:dyDescent="0.25">
      <c r="J15990"/>
      <c r="M15990"/>
      <c r="W15990"/>
    </row>
    <row r="15991" spans="10:23" x14ac:dyDescent="0.25">
      <c r="J15991"/>
      <c r="M15991"/>
      <c r="W15991"/>
    </row>
    <row r="15992" spans="10:23" x14ac:dyDescent="0.25">
      <c r="J15992"/>
      <c r="M15992"/>
      <c r="W15992"/>
    </row>
    <row r="15993" spans="10:23" x14ac:dyDescent="0.25">
      <c r="J15993"/>
      <c r="M15993"/>
      <c r="W15993"/>
    </row>
    <row r="15994" spans="10:23" x14ac:dyDescent="0.25">
      <c r="J15994"/>
      <c r="M15994"/>
      <c r="W15994"/>
    </row>
    <row r="15995" spans="10:23" x14ac:dyDescent="0.25">
      <c r="J15995"/>
      <c r="M15995"/>
      <c r="W15995"/>
    </row>
    <row r="15996" spans="10:23" x14ac:dyDescent="0.25">
      <c r="J15996"/>
      <c r="M15996"/>
      <c r="W15996"/>
    </row>
    <row r="15997" spans="10:23" x14ac:dyDescent="0.25">
      <c r="J15997"/>
      <c r="M15997"/>
      <c r="W15997"/>
    </row>
    <row r="15998" spans="10:23" x14ac:dyDescent="0.25">
      <c r="J15998"/>
      <c r="M15998"/>
      <c r="W15998"/>
    </row>
    <row r="15999" spans="10:23" x14ac:dyDescent="0.25">
      <c r="J15999"/>
      <c r="M15999"/>
      <c r="W15999"/>
    </row>
    <row r="16000" spans="10:23" x14ac:dyDescent="0.25">
      <c r="J16000"/>
      <c r="M16000"/>
      <c r="W16000"/>
    </row>
    <row r="16001" spans="10:23" x14ac:dyDescent="0.25">
      <c r="J16001"/>
      <c r="M16001"/>
      <c r="W16001"/>
    </row>
    <row r="16002" spans="10:23" x14ac:dyDescent="0.25">
      <c r="J16002"/>
      <c r="M16002"/>
      <c r="W16002"/>
    </row>
    <row r="16003" spans="10:23" x14ac:dyDescent="0.25">
      <c r="J16003"/>
      <c r="M16003"/>
      <c r="W16003"/>
    </row>
    <row r="16004" spans="10:23" x14ac:dyDescent="0.25">
      <c r="J16004"/>
      <c r="M16004"/>
      <c r="W16004"/>
    </row>
    <row r="16005" spans="10:23" x14ac:dyDescent="0.25">
      <c r="J16005"/>
      <c r="M16005"/>
      <c r="W16005"/>
    </row>
    <row r="16006" spans="10:23" x14ac:dyDescent="0.25">
      <c r="J16006"/>
      <c r="M16006"/>
      <c r="W16006"/>
    </row>
    <row r="16007" spans="10:23" x14ac:dyDescent="0.25">
      <c r="J16007"/>
      <c r="M16007"/>
      <c r="W16007"/>
    </row>
    <row r="16008" spans="10:23" x14ac:dyDescent="0.25">
      <c r="J16008"/>
      <c r="M16008"/>
      <c r="W16008"/>
    </row>
    <row r="16009" spans="10:23" x14ac:dyDescent="0.25">
      <c r="J16009"/>
      <c r="M16009"/>
      <c r="W16009"/>
    </row>
    <row r="16010" spans="10:23" x14ac:dyDescent="0.25">
      <c r="J16010"/>
      <c r="M16010"/>
      <c r="W16010"/>
    </row>
    <row r="16011" spans="10:23" x14ac:dyDescent="0.25">
      <c r="J16011"/>
      <c r="M16011"/>
      <c r="W16011"/>
    </row>
    <row r="16012" spans="10:23" x14ac:dyDescent="0.25">
      <c r="J16012"/>
      <c r="M16012"/>
      <c r="W16012"/>
    </row>
    <row r="16013" spans="10:23" x14ac:dyDescent="0.25">
      <c r="J16013"/>
      <c r="M16013"/>
      <c r="W16013"/>
    </row>
    <row r="16014" spans="10:23" x14ac:dyDescent="0.25">
      <c r="J16014"/>
      <c r="M16014"/>
      <c r="W16014"/>
    </row>
    <row r="16015" spans="10:23" x14ac:dyDescent="0.25">
      <c r="J16015"/>
      <c r="M16015"/>
      <c r="W16015"/>
    </row>
    <row r="16016" spans="10:23" x14ac:dyDescent="0.25">
      <c r="J16016"/>
      <c r="M16016"/>
      <c r="W16016"/>
    </row>
    <row r="16017" spans="10:23" x14ac:dyDescent="0.25">
      <c r="J16017"/>
      <c r="M16017"/>
      <c r="W16017"/>
    </row>
    <row r="16018" spans="10:23" x14ac:dyDescent="0.25">
      <c r="J16018"/>
      <c r="M16018"/>
      <c r="W16018"/>
    </row>
    <row r="16019" spans="10:23" x14ac:dyDescent="0.25">
      <c r="J16019"/>
      <c r="M16019"/>
      <c r="W16019"/>
    </row>
    <row r="16020" spans="10:23" x14ac:dyDescent="0.25">
      <c r="J16020"/>
      <c r="M16020"/>
      <c r="W16020"/>
    </row>
    <row r="16021" spans="10:23" x14ac:dyDescent="0.25">
      <c r="J16021"/>
      <c r="M16021"/>
      <c r="W16021"/>
    </row>
    <row r="16022" spans="10:23" x14ac:dyDescent="0.25">
      <c r="J16022"/>
      <c r="M16022"/>
      <c r="W16022"/>
    </row>
    <row r="16023" spans="10:23" x14ac:dyDescent="0.25">
      <c r="J16023"/>
      <c r="M16023"/>
      <c r="W16023"/>
    </row>
    <row r="16024" spans="10:23" x14ac:dyDescent="0.25">
      <c r="J16024"/>
      <c r="M16024"/>
      <c r="W16024"/>
    </row>
    <row r="16025" spans="10:23" x14ac:dyDescent="0.25">
      <c r="J16025"/>
      <c r="M16025"/>
      <c r="W16025"/>
    </row>
    <row r="16026" spans="10:23" x14ac:dyDescent="0.25">
      <c r="J16026"/>
      <c r="M16026"/>
      <c r="W16026"/>
    </row>
    <row r="16027" spans="10:23" x14ac:dyDescent="0.25">
      <c r="J16027"/>
      <c r="M16027"/>
      <c r="W16027"/>
    </row>
    <row r="16028" spans="10:23" x14ac:dyDescent="0.25">
      <c r="J16028"/>
      <c r="M16028"/>
      <c r="W16028"/>
    </row>
    <row r="16029" spans="10:23" x14ac:dyDescent="0.25">
      <c r="J16029"/>
      <c r="M16029"/>
      <c r="W16029"/>
    </row>
    <row r="16030" spans="10:23" x14ac:dyDescent="0.25">
      <c r="J16030"/>
      <c r="M16030"/>
      <c r="W16030"/>
    </row>
    <row r="16031" spans="10:23" x14ac:dyDescent="0.25">
      <c r="J16031"/>
      <c r="M16031"/>
      <c r="W16031"/>
    </row>
    <row r="16032" spans="10:23" x14ac:dyDescent="0.25">
      <c r="J16032"/>
      <c r="M16032"/>
      <c r="W16032"/>
    </row>
    <row r="16033" spans="10:23" x14ac:dyDescent="0.25">
      <c r="J16033"/>
      <c r="M16033"/>
      <c r="W16033"/>
    </row>
    <row r="16034" spans="10:23" x14ac:dyDescent="0.25">
      <c r="J16034"/>
      <c r="M16034"/>
      <c r="W16034"/>
    </row>
    <row r="16035" spans="10:23" x14ac:dyDescent="0.25">
      <c r="J16035"/>
      <c r="M16035"/>
      <c r="W16035"/>
    </row>
    <row r="16036" spans="10:23" x14ac:dyDescent="0.25">
      <c r="J16036"/>
      <c r="M16036"/>
      <c r="W16036"/>
    </row>
    <row r="16037" spans="10:23" x14ac:dyDescent="0.25">
      <c r="J16037"/>
      <c r="M16037"/>
      <c r="W16037"/>
    </row>
    <row r="16038" spans="10:23" x14ac:dyDescent="0.25">
      <c r="J16038"/>
      <c r="M16038"/>
      <c r="W16038"/>
    </row>
    <row r="16039" spans="10:23" x14ac:dyDescent="0.25">
      <c r="J16039"/>
      <c r="M16039"/>
      <c r="W16039"/>
    </row>
    <row r="16040" spans="10:23" x14ac:dyDescent="0.25">
      <c r="J16040"/>
      <c r="M16040"/>
      <c r="W16040"/>
    </row>
    <row r="16041" spans="10:23" x14ac:dyDescent="0.25">
      <c r="J16041"/>
      <c r="M16041"/>
      <c r="W16041"/>
    </row>
    <row r="16042" spans="10:23" x14ac:dyDescent="0.25">
      <c r="J16042"/>
      <c r="M16042"/>
      <c r="W16042"/>
    </row>
    <row r="16043" spans="10:23" x14ac:dyDescent="0.25">
      <c r="J16043"/>
      <c r="M16043"/>
      <c r="W16043"/>
    </row>
    <row r="16044" spans="10:23" x14ac:dyDescent="0.25">
      <c r="J16044"/>
      <c r="M16044"/>
      <c r="W16044"/>
    </row>
    <row r="16045" spans="10:23" x14ac:dyDescent="0.25">
      <c r="J16045"/>
      <c r="M16045"/>
      <c r="W16045"/>
    </row>
    <row r="16046" spans="10:23" x14ac:dyDescent="0.25">
      <c r="J16046"/>
      <c r="M16046"/>
      <c r="W16046"/>
    </row>
    <row r="16047" spans="10:23" x14ac:dyDescent="0.25">
      <c r="J16047"/>
      <c r="M16047"/>
      <c r="W16047"/>
    </row>
    <row r="16048" spans="10:23" x14ac:dyDescent="0.25">
      <c r="J16048"/>
      <c r="M16048"/>
      <c r="W16048"/>
    </row>
    <row r="16049" spans="10:23" x14ac:dyDescent="0.25">
      <c r="J16049"/>
      <c r="M16049"/>
      <c r="W16049"/>
    </row>
    <row r="16050" spans="10:23" x14ac:dyDescent="0.25">
      <c r="J16050"/>
      <c r="M16050"/>
      <c r="W16050"/>
    </row>
    <row r="16051" spans="10:23" x14ac:dyDescent="0.25">
      <c r="J16051"/>
      <c r="M16051"/>
      <c r="W16051"/>
    </row>
    <row r="16052" spans="10:23" x14ac:dyDescent="0.25">
      <c r="J16052"/>
      <c r="M16052"/>
      <c r="W16052"/>
    </row>
    <row r="16053" spans="10:23" x14ac:dyDescent="0.25">
      <c r="J16053"/>
      <c r="M16053"/>
      <c r="W16053"/>
    </row>
    <row r="16054" spans="10:23" x14ac:dyDescent="0.25">
      <c r="J16054"/>
      <c r="M16054"/>
      <c r="W16054"/>
    </row>
    <row r="16055" spans="10:23" x14ac:dyDescent="0.25">
      <c r="J16055"/>
      <c r="M16055"/>
      <c r="W16055"/>
    </row>
    <row r="16056" spans="10:23" x14ac:dyDescent="0.25">
      <c r="J16056"/>
      <c r="M16056"/>
      <c r="W16056"/>
    </row>
    <row r="16057" spans="10:23" x14ac:dyDescent="0.25">
      <c r="J16057"/>
      <c r="M16057"/>
      <c r="W16057"/>
    </row>
    <row r="16058" spans="10:23" x14ac:dyDescent="0.25">
      <c r="J16058"/>
      <c r="M16058"/>
      <c r="W16058"/>
    </row>
    <row r="16059" spans="10:23" x14ac:dyDescent="0.25">
      <c r="J16059"/>
      <c r="M16059"/>
      <c r="W16059"/>
    </row>
    <row r="16060" spans="10:23" x14ac:dyDescent="0.25">
      <c r="J16060"/>
      <c r="M16060"/>
      <c r="W16060"/>
    </row>
    <row r="16061" spans="10:23" x14ac:dyDescent="0.25">
      <c r="J16061"/>
      <c r="M16061"/>
      <c r="W16061"/>
    </row>
    <row r="16062" spans="10:23" x14ac:dyDescent="0.25">
      <c r="J16062"/>
      <c r="M16062"/>
      <c r="W16062"/>
    </row>
    <row r="16063" spans="10:23" x14ac:dyDescent="0.25">
      <c r="J16063"/>
      <c r="M16063"/>
      <c r="W16063"/>
    </row>
    <row r="16064" spans="10:23" x14ac:dyDescent="0.25">
      <c r="J16064"/>
      <c r="M16064"/>
      <c r="W16064"/>
    </row>
    <row r="16065" spans="10:23" x14ac:dyDescent="0.25">
      <c r="J16065"/>
      <c r="M16065"/>
      <c r="W16065"/>
    </row>
    <row r="16066" spans="10:23" x14ac:dyDescent="0.25">
      <c r="J16066"/>
      <c r="M16066"/>
      <c r="W16066"/>
    </row>
    <row r="16067" spans="10:23" x14ac:dyDescent="0.25">
      <c r="J16067"/>
      <c r="M16067"/>
      <c r="W16067"/>
    </row>
    <row r="16068" spans="10:23" x14ac:dyDescent="0.25">
      <c r="J16068"/>
      <c r="M16068"/>
      <c r="W16068"/>
    </row>
    <row r="16069" spans="10:23" x14ac:dyDescent="0.25">
      <c r="J16069"/>
      <c r="M16069"/>
      <c r="W16069"/>
    </row>
    <row r="16070" spans="10:23" x14ac:dyDescent="0.25">
      <c r="J16070"/>
      <c r="M16070"/>
      <c r="W16070"/>
    </row>
    <row r="16071" spans="10:23" x14ac:dyDescent="0.25">
      <c r="J16071"/>
      <c r="M16071"/>
      <c r="W16071"/>
    </row>
    <row r="16072" spans="10:23" x14ac:dyDescent="0.25">
      <c r="J16072"/>
      <c r="M16072"/>
      <c r="W16072"/>
    </row>
    <row r="16073" spans="10:23" x14ac:dyDescent="0.25">
      <c r="J16073"/>
      <c r="M16073"/>
      <c r="W16073"/>
    </row>
    <row r="16074" spans="10:23" x14ac:dyDescent="0.25">
      <c r="J16074"/>
      <c r="M16074"/>
      <c r="W16074"/>
    </row>
    <row r="16075" spans="10:23" x14ac:dyDescent="0.25">
      <c r="J16075"/>
      <c r="M16075"/>
      <c r="W16075"/>
    </row>
    <row r="16076" spans="10:23" x14ac:dyDescent="0.25">
      <c r="J16076"/>
      <c r="M16076"/>
      <c r="W16076"/>
    </row>
    <row r="16077" spans="10:23" x14ac:dyDescent="0.25">
      <c r="J16077"/>
      <c r="M16077"/>
      <c r="W16077"/>
    </row>
    <row r="16078" spans="10:23" x14ac:dyDescent="0.25">
      <c r="J16078"/>
      <c r="M16078"/>
      <c r="W16078"/>
    </row>
    <row r="16079" spans="10:23" x14ac:dyDescent="0.25">
      <c r="J16079"/>
      <c r="M16079"/>
      <c r="W16079"/>
    </row>
    <row r="16080" spans="10:23" x14ac:dyDescent="0.25">
      <c r="J16080"/>
      <c r="M16080"/>
      <c r="W16080"/>
    </row>
    <row r="16081" spans="10:23" x14ac:dyDescent="0.25">
      <c r="J16081"/>
      <c r="M16081"/>
      <c r="W16081"/>
    </row>
    <row r="16082" spans="10:23" x14ac:dyDescent="0.25">
      <c r="J16082"/>
      <c r="M16082"/>
      <c r="W16082"/>
    </row>
    <row r="16083" spans="10:23" x14ac:dyDescent="0.25">
      <c r="J16083"/>
      <c r="M16083"/>
      <c r="W16083"/>
    </row>
    <row r="16084" spans="10:23" x14ac:dyDescent="0.25">
      <c r="J16084"/>
      <c r="M16084"/>
      <c r="W16084"/>
    </row>
    <row r="16085" spans="10:23" x14ac:dyDescent="0.25">
      <c r="J16085"/>
      <c r="M16085"/>
      <c r="W16085"/>
    </row>
    <row r="16086" spans="10:23" x14ac:dyDescent="0.25">
      <c r="J16086"/>
      <c r="M16086"/>
      <c r="W16086"/>
    </row>
    <row r="16087" spans="10:23" x14ac:dyDescent="0.25">
      <c r="J16087"/>
      <c r="M16087"/>
      <c r="W16087"/>
    </row>
    <row r="16088" spans="10:23" x14ac:dyDescent="0.25">
      <c r="J16088"/>
      <c r="M16088"/>
      <c r="W16088"/>
    </row>
    <row r="16089" spans="10:23" x14ac:dyDescent="0.25">
      <c r="J16089"/>
      <c r="M16089"/>
      <c r="W16089"/>
    </row>
    <row r="16090" spans="10:23" x14ac:dyDescent="0.25">
      <c r="J16090"/>
      <c r="M16090"/>
      <c r="W16090"/>
    </row>
    <row r="16091" spans="10:23" x14ac:dyDescent="0.25">
      <c r="J16091"/>
      <c r="M16091"/>
      <c r="W16091"/>
    </row>
    <row r="16092" spans="10:23" x14ac:dyDescent="0.25">
      <c r="J16092"/>
      <c r="M16092"/>
      <c r="W16092"/>
    </row>
    <row r="16093" spans="10:23" x14ac:dyDescent="0.25">
      <c r="J16093"/>
      <c r="M16093"/>
      <c r="W16093"/>
    </row>
    <row r="16094" spans="10:23" x14ac:dyDescent="0.25">
      <c r="J16094"/>
      <c r="M16094"/>
      <c r="W16094"/>
    </row>
    <row r="16095" spans="10:23" x14ac:dyDescent="0.25">
      <c r="J16095"/>
      <c r="M16095"/>
      <c r="W16095"/>
    </row>
    <row r="16096" spans="10:23" x14ac:dyDescent="0.25">
      <c r="J16096"/>
      <c r="M16096"/>
      <c r="W16096"/>
    </row>
    <row r="16097" spans="10:23" x14ac:dyDescent="0.25">
      <c r="J16097"/>
      <c r="M16097"/>
      <c r="W16097"/>
    </row>
    <row r="16098" spans="10:23" x14ac:dyDescent="0.25">
      <c r="J16098"/>
      <c r="M16098"/>
      <c r="W16098"/>
    </row>
    <row r="16099" spans="10:23" x14ac:dyDescent="0.25">
      <c r="J16099"/>
      <c r="M16099"/>
      <c r="W16099"/>
    </row>
    <row r="16100" spans="10:23" x14ac:dyDescent="0.25">
      <c r="J16100"/>
      <c r="M16100"/>
      <c r="W16100"/>
    </row>
    <row r="16101" spans="10:23" x14ac:dyDescent="0.25">
      <c r="J16101"/>
      <c r="M16101"/>
      <c r="W16101"/>
    </row>
    <row r="16102" spans="10:23" x14ac:dyDescent="0.25">
      <c r="J16102"/>
      <c r="M16102"/>
      <c r="W16102"/>
    </row>
    <row r="16103" spans="10:23" x14ac:dyDescent="0.25">
      <c r="J16103"/>
      <c r="M16103"/>
      <c r="W16103"/>
    </row>
    <row r="16104" spans="10:23" x14ac:dyDescent="0.25">
      <c r="J16104"/>
      <c r="M16104"/>
      <c r="W16104"/>
    </row>
    <row r="16105" spans="10:23" x14ac:dyDescent="0.25">
      <c r="J16105"/>
      <c r="M16105"/>
      <c r="W16105"/>
    </row>
    <row r="16106" spans="10:23" x14ac:dyDescent="0.25">
      <c r="J16106"/>
      <c r="M16106"/>
      <c r="W16106"/>
    </row>
    <row r="16107" spans="10:23" x14ac:dyDescent="0.25">
      <c r="J16107"/>
      <c r="M16107"/>
      <c r="W16107"/>
    </row>
    <row r="16108" spans="10:23" x14ac:dyDescent="0.25">
      <c r="J16108"/>
      <c r="M16108"/>
      <c r="W16108"/>
    </row>
    <row r="16109" spans="10:23" x14ac:dyDescent="0.25">
      <c r="J16109"/>
      <c r="M16109"/>
      <c r="W16109"/>
    </row>
    <row r="16110" spans="10:23" x14ac:dyDescent="0.25">
      <c r="J16110"/>
      <c r="M16110"/>
      <c r="W16110"/>
    </row>
    <row r="16111" spans="10:23" x14ac:dyDescent="0.25">
      <c r="J16111"/>
      <c r="M16111"/>
      <c r="W16111"/>
    </row>
    <row r="16112" spans="10:23" x14ac:dyDescent="0.25">
      <c r="J16112"/>
      <c r="M16112"/>
      <c r="W16112"/>
    </row>
    <row r="16113" spans="10:23" x14ac:dyDescent="0.25">
      <c r="J16113"/>
      <c r="M16113"/>
      <c r="W16113"/>
    </row>
    <row r="16114" spans="10:23" x14ac:dyDescent="0.25">
      <c r="J16114"/>
      <c r="M16114"/>
      <c r="W16114"/>
    </row>
    <row r="16115" spans="10:23" x14ac:dyDescent="0.25">
      <c r="J16115"/>
      <c r="M16115"/>
      <c r="W16115"/>
    </row>
    <row r="16116" spans="10:23" x14ac:dyDescent="0.25">
      <c r="J16116"/>
      <c r="M16116"/>
      <c r="W16116"/>
    </row>
    <row r="16117" spans="10:23" x14ac:dyDescent="0.25">
      <c r="J16117"/>
      <c r="M16117"/>
      <c r="W16117"/>
    </row>
    <row r="16118" spans="10:23" x14ac:dyDescent="0.25">
      <c r="J16118"/>
      <c r="M16118"/>
      <c r="W16118"/>
    </row>
    <row r="16119" spans="10:23" x14ac:dyDescent="0.25">
      <c r="J16119"/>
      <c r="M16119"/>
      <c r="W16119"/>
    </row>
    <row r="16120" spans="10:23" x14ac:dyDescent="0.25">
      <c r="J16120"/>
      <c r="M16120"/>
      <c r="W16120"/>
    </row>
    <row r="16121" spans="10:23" x14ac:dyDescent="0.25">
      <c r="J16121"/>
      <c r="M16121"/>
      <c r="W16121"/>
    </row>
    <row r="16122" spans="10:23" x14ac:dyDescent="0.25">
      <c r="J16122"/>
      <c r="M16122"/>
      <c r="W16122"/>
    </row>
    <row r="16123" spans="10:23" x14ac:dyDescent="0.25">
      <c r="J16123"/>
      <c r="M16123"/>
      <c r="W16123"/>
    </row>
    <row r="16124" spans="10:23" x14ac:dyDescent="0.25">
      <c r="J16124"/>
      <c r="M16124"/>
      <c r="W16124"/>
    </row>
    <row r="16125" spans="10:23" x14ac:dyDescent="0.25">
      <c r="J16125"/>
      <c r="M16125"/>
      <c r="W16125"/>
    </row>
    <row r="16126" spans="10:23" x14ac:dyDescent="0.25">
      <c r="J16126"/>
      <c r="M16126"/>
      <c r="W16126"/>
    </row>
    <row r="16127" spans="10:23" x14ac:dyDescent="0.25">
      <c r="J16127"/>
      <c r="M16127"/>
      <c r="W16127"/>
    </row>
    <row r="16128" spans="10:23" x14ac:dyDescent="0.25">
      <c r="J16128"/>
      <c r="M16128"/>
      <c r="W16128"/>
    </row>
    <row r="16129" spans="10:23" x14ac:dyDescent="0.25">
      <c r="J16129"/>
      <c r="M16129"/>
      <c r="W16129"/>
    </row>
    <row r="16130" spans="10:23" x14ac:dyDescent="0.25">
      <c r="J16130"/>
      <c r="M16130"/>
      <c r="W16130"/>
    </row>
    <row r="16131" spans="10:23" x14ac:dyDescent="0.25">
      <c r="J16131"/>
      <c r="M16131"/>
      <c r="W16131"/>
    </row>
    <row r="16132" spans="10:23" x14ac:dyDescent="0.25">
      <c r="J16132"/>
      <c r="M16132"/>
      <c r="W16132"/>
    </row>
    <row r="16133" spans="10:23" x14ac:dyDescent="0.25">
      <c r="J16133"/>
      <c r="M16133"/>
      <c r="W16133"/>
    </row>
    <row r="16134" spans="10:23" x14ac:dyDescent="0.25">
      <c r="J16134"/>
      <c r="M16134"/>
      <c r="W16134"/>
    </row>
    <row r="16135" spans="10:23" x14ac:dyDescent="0.25">
      <c r="J16135"/>
      <c r="M16135"/>
      <c r="W16135"/>
    </row>
    <row r="16136" spans="10:23" x14ac:dyDescent="0.25">
      <c r="J16136"/>
      <c r="M16136"/>
      <c r="W16136"/>
    </row>
    <row r="16137" spans="10:23" x14ac:dyDescent="0.25">
      <c r="J16137"/>
      <c r="M16137"/>
      <c r="W16137"/>
    </row>
    <row r="16138" spans="10:23" x14ac:dyDescent="0.25">
      <c r="J16138"/>
      <c r="M16138"/>
      <c r="W16138"/>
    </row>
    <row r="16139" spans="10:23" x14ac:dyDescent="0.25">
      <c r="J16139"/>
      <c r="M16139"/>
      <c r="W16139"/>
    </row>
    <row r="16140" spans="10:23" x14ac:dyDescent="0.25">
      <c r="J16140"/>
      <c r="M16140"/>
      <c r="W16140"/>
    </row>
    <row r="16141" spans="10:23" x14ac:dyDescent="0.25">
      <c r="J16141"/>
      <c r="M16141"/>
      <c r="W16141"/>
    </row>
    <row r="16142" spans="10:23" x14ac:dyDescent="0.25">
      <c r="J16142"/>
      <c r="M16142"/>
      <c r="W16142"/>
    </row>
    <row r="16143" spans="10:23" x14ac:dyDescent="0.25">
      <c r="J16143"/>
      <c r="M16143"/>
      <c r="W16143"/>
    </row>
    <row r="16144" spans="10:23" x14ac:dyDescent="0.25">
      <c r="J16144"/>
      <c r="M16144"/>
      <c r="W16144"/>
    </row>
    <row r="16145" spans="10:23" x14ac:dyDescent="0.25">
      <c r="J16145"/>
      <c r="M16145"/>
      <c r="W16145"/>
    </row>
    <row r="16146" spans="10:23" x14ac:dyDescent="0.25">
      <c r="J16146"/>
      <c r="M16146"/>
      <c r="W16146"/>
    </row>
    <row r="16147" spans="10:23" x14ac:dyDescent="0.25">
      <c r="J16147"/>
      <c r="M16147"/>
      <c r="W16147"/>
    </row>
    <row r="16148" spans="10:23" x14ac:dyDescent="0.25">
      <c r="J16148"/>
      <c r="M16148"/>
      <c r="W16148"/>
    </row>
    <row r="16149" spans="10:23" x14ac:dyDescent="0.25">
      <c r="J16149"/>
      <c r="M16149"/>
      <c r="W16149"/>
    </row>
    <row r="16150" spans="10:23" x14ac:dyDescent="0.25">
      <c r="J16150"/>
      <c r="M16150"/>
      <c r="W16150"/>
    </row>
    <row r="16151" spans="10:23" x14ac:dyDescent="0.25">
      <c r="J16151"/>
      <c r="M16151"/>
      <c r="W16151"/>
    </row>
    <row r="16152" spans="10:23" x14ac:dyDescent="0.25">
      <c r="J16152"/>
      <c r="M16152"/>
      <c r="W16152"/>
    </row>
    <row r="16153" spans="10:23" x14ac:dyDescent="0.25">
      <c r="J16153"/>
      <c r="M16153"/>
      <c r="W16153"/>
    </row>
    <row r="16154" spans="10:23" x14ac:dyDescent="0.25">
      <c r="J16154"/>
      <c r="M16154"/>
      <c r="W16154"/>
    </row>
    <row r="16155" spans="10:23" x14ac:dyDescent="0.25">
      <c r="J16155"/>
      <c r="M16155"/>
      <c r="W16155"/>
    </row>
    <row r="16156" spans="10:23" x14ac:dyDescent="0.25">
      <c r="J16156"/>
      <c r="M16156"/>
      <c r="W16156"/>
    </row>
    <row r="16157" spans="10:23" x14ac:dyDescent="0.25">
      <c r="J16157"/>
      <c r="M16157"/>
      <c r="W16157"/>
    </row>
    <row r="16158" spans="10:23" x14ac:dyDescent="0.25">
      <c r="J16158"/>
      <c r="M16158"/>
      <c r="W16158"/>
    </row>
    <row r="16159" spans="10:23" x14ac:dyDescent="0.25">
      <c r="J16159"/>
      <c r="M16159"/>
      <c r="W16159"/>
    </row>
    <row r="16160" spans="10:23" x14ac:dyDescent="0.25">
      <c r="J16160"/>
      <c r="M16160"/>
      <c r="W16160"/>
    </row>
    <row r="16161" spans="10:23" x14ac:dyDescent="0.25">
      <c r="J16161"/>
      <c r="M16161"/>
      <c r="W16161"/>
    </row>
    <row r="16162" spans="10:23" x14ac:dyDescent="0.25">
      <c r="J16162"/>
      <c r="M16162"/>
      <c r="W16162"/>
    </row>
    <row r="16163" spans="10:23" x14ac:dyDescent="0.25">
      <c r="J16163"/>
      <c r="M16163"/>
      <c r="W16163"/>
    </row>
    <row r="16164" spans="10:23" x14ac:dyDescent="0.25">
      <c r="J16164"/>
      <c r="M16164"/>
      <c r="W16164"/>
    </row>
    <row r="16165" spans="10:23" x14ac:dyDescent="0.25">
      <c r="J16165"/>
      <c r="M16165"/>
      <c r="W16165"/>
    </row>
    <row r="16166" spans="10:23" x14ac:dyDescent="0.25">
      <c r="J16166"/>
      <c r="M16166"/>
      <c r="W16166"/>
    </row>
    <row r="16167" spans="10:23" x14ac:dyDescent="0.25">
      <c r="J16167"/>
      <c r="M16167"/>
      <c r="W16167"/>
    </row>
    <row r="16168" spans="10:23" x14ac:dyDescent="0.25">
      <c r="J16168"/>
      <c r="M16168"/>
      <c r="W16168"/>
    </row>
    <row r="16169" spans="10:23" x14ac:dyDescent="0.25">
      <c r="J16169"/>
      <c r="M16169"/>
      <c r="W16169"/>
    </row>
    <row r="16170" spans="10:23" x14ac:dyDescent="0.25">
      <c r="J16170"/>
      <c r="M16170"/>
      <c r="W16170"/>
    </row>
    <row r="16171" spans="10:23" x14ac:dyDescent="0.25">
      <c r="J16171"/>
      <c r="M16171"/>
      <c r="W16171"/>
    </row>
    <row r="16172" spans="10:23" x14ac:dyDescent="0.25">
      <c r="J16172"/>
      <c r="M16172"/>
      <c r="W16172"/>
    </row>
    <row r="16173" spans="10:23" x14ac:dyDescent="0.25">
      <c r="J16173"/>
      <c r="M16173"/>
      <c r="W16173"/>
    </row>
    <row r="16174" spans="10:23" x14ac:dyDescent="0.25">
      <c r="J16174"/>
      <c r="M16174"/>
      <c r="W16174"/>
    </row>
    <row r="16175" spans="10:23" x14ac:dyDescent="0.25">
      <c r="J16175"/>
      <c r="M16175"/>
      <c r="W16175"/>
    </row>
    <row r="16176" spans="10:23" x14ac:dyDescent="0.25">
      <c r="J16176"/>
      <c r="M16176"/>
      <c r="W16176"/>
    </row>
    <row r="16177" spans="10:23" x14ac:dyDescent="0.25">
      <c r="J16177"/>
      <c r="M16177"/>
      <c r="W16177"/>
    </row>
    <row r="16178" spans="10:23" x14ac:dyDescent="0.25">
      <c r="J16178"/>
      <c r="M16178"/>
      <c r="W16178"/>
    </row>
    <row r="16179" spans="10:23" x14ac:dyDescent="0.25">
      <c r="J16179"/>
      <c r="M16179"/>
      <c r="W16179"/>
    </row>
    <row r="16180" spans="10:23" x14ac:dyDescent="0.25">
      <c r="J16180"/>
      <c r="M16180"/>
      <c r="W16180"/>
    </row>
    <row r="16181" spans="10:23" x14ac:dyDescent="0.25">
      <c r="J16181"/>
      <c r="M16181"/>
      <c r="W16181"/>
    </row>
    <row r="16182" spans="10:23" x14ac:dyDescent="0.25">
      <c r="J16182"/>
      <c r="M16182"/>
      <c r="W16182"/>
    </row>
    <row r="16183" spans="10:23" x14ac:dyDescent="0.25">
      <c r="J16183"/>
      <c r="M16183"/>
      <c r="W16183"/>
    </row>
    <row r="16184" spans="10:23" x14ac:dyDescent="0.25">
      <c r="J16184"/>
      <c r="M16184"/>
      <c r="W16184"/>
    </row>
    <row r="16185" spans="10:23" x14ac:dyDescent="0.25">
      <c r="J16185"/>
      <c r="M16185"/>
      <c r="W16185"/>
    </row>
    <row r="16186" spans="10:23" x14ac:dyDescent="0.25">
      <c r="J16186"/>
      <c r="M16186"/>
      <c r="W16186"/>
    </row>
    <row r="16187" spans="10:23" x14ac:dyDescent="0.25">
      <c r="J16187"/>
      <c r="M16187"/>
      <c r="W16187"/>
    </row>
    <row r="16188" spans="10:23" x14ac:dyDescent="0.25">
      <c r="J16188"/>
      <c r="M16188"/>
      <c r="W16188"/>
    </row>
    <row r="16189" spans="10:23" x14ac:dyDescent="0.25">
      <c r="J16189"/>
      <c r="M16189"/>
      <c r="W16189"/>
    </row>
    <row r="16190" spans="10:23" x14ac:dyDescent="0.25">
      <c r="J16190"/>
      <c r="M16190"/>
      <c r="W16190"/>
    </row>
    <row r="16191" spans="10:23" x14ac:dyDescent="0.25">
      <c r="J16191"/>
      <c r="M16191"/>
      <c r="W16191"/>
    </row>
    <row r="16192" spans="10:23" x14ac:dyDescent="0.25">
      <c r="J16192"/>
      <c r="M16192"/>
      <c r="W16192"/>
    </row>
    <row r="16193" spans="10:23" x14ac:dyDescent="0.25">
      <c r="J16193"/>
      <c r="M16193"/>
      <c r="W16193"/>
    </row>
    <row r="16194" spans="10:23" x14ac:dyDescent="0.25">
      <c r="J16194"/>
      <c r="M16194"/>
      <c r="W16194"/>
    </row>
    <row r="16195" spans="10:23" x14ac:dyDescent="0.25">
      <c r="J16195"/>
      <c r="M16195"/>
      <c r="W16195"/>
    </row>
    <row r="16196" spans="10:23" x14ac:dyDescent="0.25">
      <c r="J16196"/>
      <c r="M16196"/>
      <c r="W16196"/>
    </row>
    <row r="16197" spans="10:23" x14ac:dyDescent="0.25">
      <c r="J16197"/>
      <c r="M16197"/>
      <c r="W16197"/>
    </row>
    <row r="16198" spans="10:23" x14ac:dyDescent="0.25">
      <c r="J16198"/>
      <c r="M16198"/>
      <c r="W16198"/>
    </row>
    <row r="16199" spans="10:23" x14ac:dyDescent="0.25">
      <c r="J16199"/>
      <c r="M16199"/>
      <c r="W16199"/>
    </row>
    <row r="16200" spans="10:23" x14ac:dyDescent="0.25">
      <c r="J16200"/>
      <c r="M16200"/>
      <c r="W16200"/>
    </row>
    <row r="16201" spans="10:23" x14ac:dyDescent="0.25">
      <c r="J16201"/>
      <c r="M16201"/>
      <c r="W16201"/>
    </row>
    <row r="16202" spans="10:23" x14ac:dyDescent="0.25">
      <c r="J16202"/>
      <c r="M16202"/>
      <c r="W16202"/>
    </row>
    <row r="16203" spans="10:23" x14ac:dyDescent="0.25">
      <c r="J16203"/>
      <c r="M16203"/>
      <c r="W16203"/>
    </row>
    <row r="16204" spans="10:23" x14ac:dyDescent="0.25">
      <c r="J16204"/>
      <c r="M16204"/>
      <c r="W16204"/>
    </row>
    <row r="16205" spans="10:23" x14ac:dyDescent="0.25">
      <c r="J16205"/>
      <c r="M16205"/>
      <c r="W16205"/>
    </row>
    <row r="16206" spans="10:23" x14ac:dyDescent="0.25">
      <c r="J16206"/>
      <c r="M16206"/>
      <c r="W16206"/>
    </row>
    <row r="16207" spans="10:23" x14ac:dyDescent="0.25">
      <c r="J16207"/>
      <c r="M16207"/>
      <c r="W16207"/>
    </row>
    <row r="16208" spans="10:23" x14ac:dyDescent="0.25">
      <c r="J16208"/>
      <c r="M16208"/>
      <c r="W16208"/>
    </row>
    <row r="16209" spans="10:23" x14ac:dyDescent="0.25">
      <c r="J16209"/>
      <c r="M16209"/>
      <c r="W16209"/>
    </row>
    <row r="16210" spans="10:23" x14ac:dyDescent="0.25">
      <c r="J16210"/>
      <c r="M16210"/>
      <c r="W16210"/>
    </row>
    <row r="16211" spans="10:23" x14ac:dyDescent="0.25">
      <c r="J16211"/>
      <c r="M16211"/>
      <c r="W16211"/>
    </row>
    <row r="16212" spans="10:23" x14ac:dyDescent="0.25">
      <c r="J16212"/>
      <c r="M16212"/>
      <c r="W16212"/>
    </row>
    <row r="16213" spans="10:23" x14ac:dyDescent="0.25">
      <c r="J16213"/>
      <c r="M16213"/>
      <c r="W16213"/>
    </row>
    <row r="16214" spans="10:23" x14ac:dyDescent="0.25">
      <c r="J16214"/>
      <c r="M16214"/>
      <c r="W16214"/>
    </row>
    <row r="16215" spans="10:23" x14ac:dyDescent="0.25">
      <c r="J16215"/>
      <c r="M16215"/>
      <c r="W16215"/>
    </row>
    <row r="16216" spans="10:23" x14ac:dyDescent="0.25">
      <c r="J16216"/>
      <c r="M16216"/>
      <c r="W16216"/>
    </row>
    <row r="16217" spans="10:23" x14ac:dyDescent="0.25">
      <c r="J16217"/>
      <c r="M16217"/>
      <c r="W16217"/>
    </row>
    <row r="16218" spans="10:23" x14ac:dyDescent="0.25">
      <c r="J16218"/>
      <c r="M16218"/>
      <c r="W16218"/>
    </row>
    <row r="16219" spans="10:23" x14ac:dyDescent="0.25">
      <c r="J16219"/>
      <c r="M16219"/>
      <c r="W16219"/>
    </row>
    <row r="16220" spans="10:23" x14ac:dyDescent="0.25">
      <c r="J16220"/>
      <c r="M16220"/>
      <c r="W16220"/>
    </row>
    <row r="16221" spans="10:23" x14ac:dyDescent="0.25">
      <c r="J16221"/>
      <c r="M16221"/>
      <c r="W16221"/>
    </row>
    <row r="16222" spans="10:23" x14ac:dyDescent="0.25">
      <c r="J16222"/>
      <c r="M16222"/>
      <c r="W16222"/>
    </row>
    <row r="16223" spans="10:23" x14ac:dyDescent="0.25">
      <c r="J16223"/>
      <c r="M16223"/>
      <c r="W16223"/>
    </row>
    <row r="16224" spans="10:23" x14ac:dyDescent="0.25">
      <c r="J16224"/>
      <c r="M16224"/>
      <c r="W16224"/>
    </row>
    <row r="16225" spans="10:23" x14ac:dyDescent="0.25">
      <c r="J16225"/>
      <c r="M16225"/>
      <c r="W16225"/>
    </row>
    <row r="16226" spans="10:23" x14ac:dyDescent="0.25">
      <c r="J16226"/>
      <c r="M16226"/>
      <c r="W16226"/>
    </row>
    <row r="16227" spans="10:23" x14ac:dyDescent="0.25">
      <c r="J16227"/>
      <c r="M16227"/>
      <c r="W16227"/>
    </row>
    <row r="16228" spans="10:23" x14ac:dyDescent="0.25">
      <c r="J16228"/>
      <c r="M16228"/>
      <c r="W16228"/>
    </row>
    <row r="16229" spans="10:23" x14ac:dyDescent="0.25">
      <c r="J16229"/>
      <c r="M16229"/>
      <c r="W16229"/>
    </row>
    <row r="16230" spans="10:23" x14ac:dyDescent="0.25">
      <c r="J16230"/>
      <c r="M16230"/>
      <c r="W16230"/>
    </row>
    <row r="16231" spans="10:23" x14ac:dyDescent="0.25">
      <c r="J16231"/>
      <c r="M16231"/>
      <c r="W16231"/>
    </row>
    <row r="16232" spans="10:23" x14ac:dyDescent="0.25">
      <c r="J16232"/>
      <c r="M16232"/>
      <c r="W16232"/>
    </row>
    <row r="16233" spans="10:23" x14ac:dyDescent="0.25">
      <c r="J16233"/>
      <c r="M16233"/>
      <c r="W16233"/>
    </row>
    <row r="16234" spans="10:23" x14ac:dyDescent="0.25">
      <c r="J16234"/>
      <c r="M16234"/>
      <c r="W16234"/>
    </row>
    <row r="16235" spans="10:23" x14ac:dyDescent="0.25">
      <c r="J16235"/>
      <c r="M16235"/>
      <c r="W16235"/>
    </row>
    <row r="16236" spans="10:23" x14ac:dyDescent="0.25">
      <c r="J16236"/>
      <c r="M16236"/>
      <c r="W16236"/>
    </row>
    <row r="16237" spans="10:23" x14ac:dyDescent="0.25">
      <c r="J16237"/>
      <c r="M16237"/>
      <c r="W16237"/>
    </row>
    <row r="16238" spans="10:23" x14ac:dyDescent="0.25">
      <c r="J16238"/>
      <c r="M16238"/>
      <c r="W16238"/>
    </row>
    <row r="16239" spans="10:23" x14ac:dyDescent="0.25">
      <c r="J16239"/>
      <c r="M16239"/>
      <c r="W16239"/>
    </row>
    <row r="16240" spans="10:23" x14ac:dyDescent="0.25">
      <c r="J16240"/>
      <c r="M16240"/>
      <c r="W16240"/>
    </row>
    <row r="16241" spans="10:23" x14ac:dyDescent="0.25">
      <c r="J16241"/>
      <c r="M16241"/>
      <c r="W16241"/>
    </row>
    <row r="16242" spans="10:23" x14ac:dyDescent="0.25">
      <c r="J16242"/>
      <c r="M16242"/>
      <c r="W16242"/>
    </row>
    <row r="16243" spans="10:23" x14ac:dyDescent="0.25">
      <c r="J16243"/>
      <c r="M16243"/>
      <c r="W16243"/>
    </row>
    <row r="16244" spans="10:23" x14ac:dyDescent="0.25">
      <c r="J16244"/>
      <c r="M16244"/>
      <c r="W16244"/>
    </row>
    <row r="16245" spans="10:23" x14ac:dyDescent="0.25">
      <c r="J16245"/>
      <c r="M16245"/>
      <c r="W16245"/>
    </row>
    <row r="16246" spans="10:23" x14ac:dyDescent="0.25">
      <c r="J16246"/>
      <c r="M16246"/>
      <c r="W16246"/>
    </row>
    <row r="16247" spans="10:23" x14ac:dyDescent="0.25">
      <c r="J16247"/>
      <c r="M16247"/>
      <c r="W16247"/>
    </row>
    <row r="16248" spans="10:23" x14ac:dyDescent="0.25">
      <c r="J16248"/>
      <c r="M16248"/>
      <c r="W16248"/>
    </row>
    <row r="16249" spans="10:23" x14ac:dyDescent="0.25">
      <c r="J16249"/>
      <c r="M16249"/>
      <c r="W16249"/>
    </row>
    <row r="16250" spans="10:23" x14ac:dyDescent="0.25">
      <c r="J16250"/>
      <c r="M16250"/>
      <c r="W16250"/>
    </row>
    <row r="16251" spans="10:23" x14ac:dyDescent="0.25">
      <c r="J16251"/>
      <c r="M16251"/>
      <c r="W16251"/>
    </row>
    <row r="16252" spans="10:23" x14ac:dyDescent="0.25">
      <c r="J16252"/>
      <c r="M16252"/>
      <c r="W16252"/>
    </row>
    <row r="16253" spans="10:23" x14ac:dyDescent="0.25">
      <c r="J16253"/>
      <c r="M16253"/>
      <c r="W16253"/>
    </row>
    <row r="16254" spans="10:23" x14ac:dyDescent="0.25">
      <c r="J16254"/>
      <c r="M16254"/>
      <c r="W16254"/>
    </row>
    <row r="16255" spans="10:23" x14ac:dyDescent="0.25">
      <c r="J16255"/>
      <c r="M16255"/>
      <c r="W16255"/>
    </row>
    <row r="16256" spans="10:23" x14ac:dyDescent="0.25">
      <c r="J16256"/>
      <c r="M16256"/>
      <c r="W16256"/>
    </row>
    <row r="16257" spans="10:23" x14ac:dyDescent="0.25">
      <c r="J16257"/>
      <c r="M16257"/>
      <c r="W16257"/>
    </row>
    <row r="16258" spans="10:23" x14ac:dyDescent="0.25">
      <c r="J16258"/>
      <c r="M16258"/>
      <c r="W16258"/>
    </row>
    <row r="16259" spans="10:23" x14ac:dyDescent="0.25">
      <c r="J16259"/>
      <c r="M16259"/>
      <c r="W16259"/>
    </row>
    <row r="16260" spans="10:23" x14ac:dyDescent="0.25">
      <c r="J16260"/>
      <c r="M16260"/>
      <c r="W16260"/>
    </row>
    <row r="16261" spans="10:23" x14ac:dyDescent="0.25">
      <c r="J16261"/>
      <c r="M16261"/>
      <c r="W16261"/>
    </row>
    <row r="16262" spans="10:23" x14ac:dyDescent="0.25">
      <c r="J16262"/>
      <c r="M16262"/>
      <c r="W16262"/>
    </row>
    <row r="16263" spans="10:23" x14ac:dyDescent="0.25">
      <c r="J16263"/>
      <c r="M16263"/>
      <c r="W16263"/>
    </row>
    <row r="16264" spans="10:23" x14ac:dyDescent="0.25">
      <c r="J16264"/>
      <c r="M16264"/>
      <c r="W16264"/>
    </row>
    <row r="16265" spans="10:23" x14ac:dyDescent="0.25">
      <c r="J16265"/>
      <c r="M16265"/>
      <c r="W16265"/>
    </row>
    <row r="16266" spans="10:23" x14ac:dyDescent="0.25">
      <c r="J16266"/>
      <c r="M16266"/>
      <c r="W16266"/>
    </row>
    <row r="16267" spans="10:23" x14ac:dyDescent="0.25">
      <c r="J16267"/>
      <c r="M16267"/>
      <c r="W16267"/>
    </row>
    <row r="16268" spans="10:23" x14ac:dyDescent="0.25">
      <c r="J16268"/>
      <c r="M16268"/>
      <c r="W16268"/>
    </row>
    <row r="16269" spans="10:23" x14ac:dyDescent="0.25">
      <c r="J16269"/>
      <c r="M16269"/>
      <c r="W16269"/>
    </row>
    <row r="16270" spans="10:23" x14ac:dyDescent="0.25">
      <c r="J16270"/>
      <c r="M16270"/>
      <c r="W16270"/>
    </row>
    <row r="16271" spans="10:23" x14ac:dyDescent="0.25">
      <c r="J16271"/>
      <c r="M16271"/>
      <c r="W16271"/>
    </row>
    <row r="16272" spans="10:23" x14ac:dyDescent="0.25">
      <c r="J16272"/>
      <c r="M16272"/>
      <c r="W16272"/>
    </row>
    <row r="16273" spans="10:23" x14ac:dyDescent="0.25">
      <c r="J16273"/>
      <c r="M16273"/>
      <c r="W16273"/>
    </row>
    <row r="16274" spans="10:23" x14ac:dyDescent="0.25">
      <c r="J16274"/>
      <c r="M16274"/>
      <c r="W16274"/>
    </row>
    <row r="16275" spans="10:23" x14ac:dyDescent="0.25">
      <c r="J16275"/>
      <c r="M16275"/>
      <c r="W16275"/>
    </row>
    <row r="16276" spans="10:23" x14ac:dyDescent="0.25">
      <c r="J16276"/>
      <c r="M16276"/>
      <c r="W16276"/>
    </row>
    <row r="16277" spans="10:23" x14ac:dyDescent="0.25">
      <c r="J16277"/>
      <c r="M16277"/>
      <c r="W16277"/>
    </row>
    <row r="16278" spans="10:23" x14ac:dyDescent="0.25">
      <c r="J16278"/>
      <c r="M16278"/>
      <c r="W16278"/>
    </row>
    <row r="16279" spans="10:23" x14ac:dyDescent="0.25">
      <c r="J16279"/>
      <c r="M16279"/>
      <c r="W16279"/>
    </row>
    <row r="16280" spans="10:23" x14ac:dyDescent="0.25">
      <c r="J16280"/>
      <c r="M16280"/>
      <c r="W16280"/>
    </row>
    <row r="16281" spans="10:23" x14ac:dyDescent="0.25">
      <c r="J16281"/>
      <c r="M16281"/>
      <c r="W16281"/>
    </row>
    <row r="16282" spans="10:23" x14ac:dyDescent="0.25">
      <c r="J16282"/>
      <c r="M16282"/>
      <c r="W16282"/>
    </row>
    <row r="16283" spans="10:23" x14ac:dyDescent="0.25">
      <c r="J16283"/>
      <c r="M16283"/>
      <c r="W16283"/>
    </row>
    <row r="16284" spans="10:23" x14ac:dyDescent="0.25">
      <c r="J16284"/>
      <c r="M16284"/>
      <c r="W16284"/>
    </row>
    <row r="16285" spans="10:23" x14ac:dyDescent="0.25">
      <c r="J16285"/>
      <c r="M16285"/>
      <c r="W16285"/>
    </row>
    <row r="16286" spans="10:23" x14ac:dyDescent="0.25">
      <c r="J16286"/>
      <c r="M16286"/>
      <c r="W16286"/>
    </row>
    <row r="16287" spans="10:23" x14ac:dyDescent="0.25">
      <c r="J16287"/>
      <c r="M16287"/>
      <c r="W16287"/>
    </row>
    <row r="16288" spans="10:23" x14ac:dyDescent="0.25">
      <c r="J16288"/>
      <c r="M16288"/>
      <c r="W16288"/>
    </row>
    <row r="16289" spans="10:23" x14ac:dyDescent="0.25">
      <c r="J16289"/>
      <c r="M16289"/>
      <c r="W16289"/>
    </row>
    <row r="16290" spans="10:23" x14ac:dyDescent="0.25">
      <c r="J16290"/>
      <c r="M16290"/>
      <c r="W16290"/>
    </row>
    <row r="16291" spans="10:23" x14ac:dyDescent="0.25">
      <c r="J16291"/>
      <c r="M16291"/>
      <c r="W16291"/>
    </row>
    <row r="16292" spans="10:23" x14ac:dyDescent="0.25">
      <c r="J16292"/>
      <c r="M16292"/>
      <c r="W16292"/>
    </row>
    <row r="16293" spans="10:23" x14ac:dyDescent="0.25">
      <c r="J16293"/>
      <c r="M16293"/>
      <c r="W16293"/>
    </row>
    <row r="16294" spans="10:23" x14ac:dyDescent="0.25">
      <c r="J16294"/>
      <c r="M16294"/>
      <c r="W16294"/>
    </row>
    <row r="16295" spans="10:23" x14ac:dyDescent="0.25">
      <c r="J16295"/>
      <c r="M16295"/>
      <c r="W16295"/>
    </row>
    <row r="16296" spans="10:23" x14ac:dyDescent="0.25">
      <c r="J16296"/>
      <c r="M16296"/>
      <c r="W16296"/>
    </row>
    <row r="16297" spans="10:23" x14ac:dyDescent="0.25">
      <c r="J16297"/>
      <c r="M16297"/>
      <c r="W16297"/>
    </row>
    <row r="16298" spans="10:23" x14ac:dyDescent="0.25">
      <c r="J16298"/>
      <c r="M16298"/>
      <c r="W16298"/>
    </row>
    <row r="16299" spans="10:23" x14ac:dyDescent="0.25">
      <c r="J16299"/>
      <c r="M16299"/>
      <c r="W16299"/>
    </row>
    <row r="16300" spans="10:23" x14ac:dyDescent="0.25">
      <c r="J16300"/>
      <c r="M16300"/>
      <c r="W16300"/>
    </row>
    <row r="16301" spans="10:23" x14ac:dyDescent="0.25">
      <c r="J16301"/>
      <c r="M16301"/>
      <c r="W16301"/>
    </row>
    <row r="16302" spans="10:23" x14ac:dyDescent="0.25">
      <c r="J16302"/>
      <c r="M16302"/>
      <c r="W16302"/>
    </row>
    <row r="16303" spans="10:23" x14ac:dyDescent="0.25">
      <c r="J16303"/>
      <c r="M16303"/>
      <c r="W16303"/>
    </row>
    <row r="16304" spans="10:23" x14ac:dyDescent="0.25">
      <c r="J16304"/>
      <c r="M16304"/>
      <c r="W16304"/>
    </row>
    <row r="16305" spans="10:23" x14ac:dyDescent="0.25">
      <c r="J16305"/>
      <c r="M16305"/>
      <c r="W16305"/>
    </row>
    <row r="16306" spans="10:23" x14ac:dyDescent="0.25">
      <c r="J16306"/>
      <c r="M16306"/>
      <c r="W16306"/>
    </row>
    <row r="16307" spans="10:23" x14ac:dyDescent="0.25">
      <c r="J16307"/>
      <c r="M16307"/>
      <c r="W16307"/>
    </row>
    <row r="16308" spans="10:23" x14ac:dyDescent="0.25">
      <c r="J16308"/>
      <c r="M16308"/>
      <c r="W16308"/>
    </row>
    <row r="16309" spans="10:23" x14ac:dyDescent="0.25">
      <c r="J16309"/>
      <c r="M16309"/>
      <c r="W16309"/>
    </row>
    <row r="16310" spans="10:23" x14ac:dyDescent="0.25">
      <c r="J16310"/>
      <c r="M16310"/>
      <c r="W16310"/>
    </row>
    <row r="16311" spans="10:23" x14ac:dyDescent="0.25">
      <c r="J16311"/>
      <c r="M16311"/>
      <c r="W16311"/>
    </row>
    <row r="16312" spans="10:23" x14ac:dyDescent="0.25">
      <c r="J16312"/>
      <c r="M16312"/>
      <c r="W16312"/>
    </row>
    <row r="16313" spans="10:23" x14ac:dyDescent="0.25">
      <c r="J16313"/>
      <c r="M16313"/>
      <c r="W16313"/>
    </row>
    <row r="16314" spans="10:23" x14ac:dyDescent="0.25">
      <c r="J16314"/>
      <c r="M16314"/>
      <c r="W16314"/>
    </row>
    <row r="16315" spans="10:23" x14ac:dyDescent="0.25">
      <c r="J16315"/>
      <c r="M16315"/>
      <c r="W16315"/>
    </row>
    <row r="16316" spans="10:23" x14ac:dyDescent="0.25">
      <c r="J16316"/>
      <c r="M16316"/>
      <c r="W16316"/>
    </row>
    <row r="16317" spans="10:23" x14ac:dyDescent="0.25">
      <c r="J16317"/>
      <c r="M16317"/>
      <c r="W16317"/>
    </row>
    <row r="16318" spans="10:23" x14ac:dyDescent="0.25">
      <c r="J16318"/>
      <c r="M16318"/>
      <c r="W16318"/>
    </row>
    <row r="16319" spans="10:23" x14ac:dyDescent="0.25">
      <c r="J16319"/>
      <c r="M16319"/>
      <c r="W16319"/>
    </row>
    <row r="16320" spans="10:23" x14ac:dyDescent="0.25">
      <c r="J16320"/>
      <c r="M16320"/>
      <c r="W16320"/>
    </row>
    <row r="16321" spans="10:23" x14ac:dyDescent="0.25">
      <c r="J16321"/>
      <c r="M16321"/>
      <c r="W16321"/>
    </row>
    <row r="16322" spans="10:23" x14ac:dyDescent="0.25">
      <c r="J16322"/>
      <c r="M16322"/>
      <c r="W16322"/>
    </row>
    <row r="16323" spans="10:23" x14ac:dyDescent="0.25">
      <c r="J16323"/>
      <c r="M16323"/>
      <c r="W16323"/>
    </row>
    <row r="16324" spans="10:23" x14ac:dyDescent="0.25">
      <c r="J16324"/>
      <c r="M16324"/>
      <c r="W16324"/>
    </row>
    <row r="16325" spans="10:23" x14ac:dyDescent="0.25">
      <c r="J16325"/>
      <c r="M16325"/>
      <c r="W16325"/>
    </row>
    <row r="16326" spans="10:23" x14ac:dyDescent="0.25">
      <c r="J16326"/>
      <c r="M16326"/>
      <c r="W16326"/>
    </row>
    <row r="16327" spans="10:23" x14ac:dyDescent="0.25">
      <c r="J16327"/>
      <c r="M16327"/>
      <c r="W16327"/>
    </row>
    <row r="16328" spans="10:23" x14ac:dyDescent="0.25">
      <c r="J16328"/>
      <c r="M16328"/>
      <c r="W16328"/>
    </row>
    <row r="16329" spans="10:23" x14ac:dyDescent="0.25">
      <c r="J16329"/>
      <c r="M16329"/>
      <c r="W16329"/>
    </row>
    <row r="16330" spans="10:23" x14ac:dyDescent="0.25">
      <c r="J16330"/>
      <c r="M16330"/>
      <c r="W16330"/>
    </row>
    <row r="16331" spans="10:23" x14ac:dyDescent="0.25">
      <c r="J16331"/>
      <c r="M16331"/>
      <c r="W16331"/>
    </row>
    <row r="16332" spans="10:23" x14ac:dyDescent="0.25">
      <c r="J16332"/>
      <c r="M16332"/>
      <c r="W16332"/>
    </row>
    <row r="16333" spans="10:23" x14ac:dyDescent="0.25">
      <c r="J16333"/>
      <c r="M16333"/>
      <c r="W16333"/>
    </row>
    <row r="16334" spans="10:23" x14ac:dyDescent="0.25">
      <c r="J16334"/>
      <c r="M16334"/>
      <c r="W16334"/>
    </row>
    <row r="16335" spans="10:23" x14ac:dyDescent="0.25">
      <c r="J16335"/>
      <c r="M16335"/>
      <c r="W16335"/>
    </row>
    <row r="16336" spans="10:23" x14ac:dyDescent="0.25">
      <c r="J16336"/>
      <c r="M16336"/>
      <c r="W16336"/>
    </row>
    <row r="16337" spans="10:23" x14ac:dyDescent="0.25">
      <c r="J16337"/>
      <c r="M16337"/>
      <c r="W16337"/>
    </row>
    <row r="16338" spans="10:23" x14ac:dyDescent="0.25">
      <c r="J16338"/>
      <c r="M16338"/>
      <c r="W16338"/>
    </row>
    <row r="16339" spans="10:23" x14ac:dyDescent="0.25">
      <c r="J16339"/>
      <c r="M16339"/>
      <c r="W16339"/>
    </row>
    <row r="16340" spans="10:23" x14ac:dyDescent="0.25">
      <c r="J16340"/>
      <c r="M16340"/>
      <c r="W16340"/>
    </row>
    <row r="16341" spans="10:23" x14ac:dyDescent="0.25">
      <c r="J16341"/>
      <c r="M16341"/>
      <c r="W16341"/>
    </row>
    <row r="16342" spans="10:23" x14ac:dyDescent="0.25">
      <c r="J16342"/>
      <c r="M16342"/>
      <c r="W16342"/>
    </row>
    <row r="16343" spans="10:23" x14ac:dyDescent="0.25">
      <c r="J16343"/>
      <c r="M16343"/>
      <c r="W16343"/>
    </row>
    <row r="16344" spans="10:23" x14ac:dyDescent="0.25">
      <c r="J16344"/>
      <c r="M16344"/>
      <c r="W16344"/>
    </row>
    <row r="16345" spans="10:23" x14ac:dyDescent="0.25">
      <c r="J16345"/>
      <c r="M16345"/>
      <c r="W16345"/>
    </row>
    <row r="16346" spans="10:23" x14ac:dyDescent="0.25">
      <c r="J16346"/>
      <c r="M16346"/>
      <c r="W16346"/>
    </row>
    <row r="16347" spans="10:23" x14ac:dyDescent="0.25">
      <c r="J16347"/>
      <c r="M16347"/>
      <c r="W16347"/>
    </row>
    <row r="16348" spans="10:23" x14ac:dyDescent="0.25">
      <c r="J16348"/>
      <c r="M16348"/>
      <c r="W16348"/>
    </row>
    <row r="16349" spans="10:23" x14ac:dyDescent="0.25">
      <c r="J16349"/>
      <c r="M16349"/>
      <c r="W16349"/>
    </row>
    <row r="16350" spans="10:23" x14ac:dyDescent="0.25">
      <c r="J16350"/>
      <c r="M16350"/>
      <c r="W16350"/>
    </row>
    <row r="16351" spans="10:23" x14ac:dyDescent="0.25">
      <c r="J16351"/>
      <c r="M16351"/>
      <c r="W16351"/>
    </row>
    <row r="16352" spans="10:23" x14ac:dyDescent="0.25">
      <c r="J16352"/>
      <c r="M16352"/>
      <c r="W16352"/>
    </row>
    <row r="16353" spans="10:23" x14ac:dyDescent="0.25">
      <c r="J16353"/>
      <c r="M16353"/>
      <c r="W16353"/>
    </row>
    <row r="16354" spans="10:23" x14ac:dyDescent="0.25">
      <c r="J16354"/>
      <c r="M16354"/>
      <c r="W16354"/>
    </row>
    <row r="16355" spans="10:23" x14ac:dyDescent="0.25">
      <c r="J16355"/>
      <c r="M16355"/>
      <c r="W16355"/>
    </row>
    <row r="16356" spans="10:23" x14ac:dyDescent="0.25">
      <c r="J16356"/>
      <c r="M16356"/>
      <c r="W16356"/>
    </row>
    <row r="16357" spans="10:23" x14ac:dyDescent="0.25">
      <c r="J16357"/>
      <c r="M16357"/>
      <c r="W16357"/>
    </row>
    <row r="16358" spans="10:23" x14ac:dyDescent="0.25">
      <c r="J16358"/>
      <c r="M16358"/>
      <c r="W16358"/>
    </row>
    <row r="16359" spans="10:23" x14ac:dyDescent="0.25">
      <c r="J16359"/>
      <c r="M16359"/>
      <c r="W16359"/>
    </row>
    <row r="16360" spans="10:23" x14ac:dyDescent="0.25">
      <c r="J16360"/>
      <c r="M16360"/>
      <c r="W16360"/>
    </row>
    <row r="16361" spans="10:23" x14ac:dyDescent="0.25">
      <c r="J16361"/>
      <c r="M16361"/>
      <c r="W16361"/>
    </row>
    <row r="16362" spans="10:23" x14ac:dyDescent="0.25">
      <c r="J16362"/>
      <c r="M16362"/>
      <c r="W16362"/>
    </row>
    <row r="16363" spans="10:23" x14ac:dyDescent="0.25">
      <c r="J16363"/>
      <c r="M16363"/>
      <c r="W16363"/>
    </row>
    <row r="16364" spans="10:23" x14ac:dyDescent="0.25">
      <c r="J16364"/>
      <c r="M16364"/>
      <c r="W16364"/>
    </row>
    <row r="16365" spans="10:23" x14ac:dyDescent="0.25">
      <c r="J16365"/>
      <c r="M16365"/>
      <c r="W16365"/>
    </row>
    <row r="16366" spans="10:23" x14ac:dyDescent="0.25">
      <c r="J16366"/>
      <c r="M16366"/>
      <c r="W16366"/>
    </row>
    <row r="16367" spans="10:23" x14ac:dyDescent="0.25">
      <c r="J16367"/>
      <c r="M16367"/>
      <c r="W16367"/>
    </row>
    <row r="16368" spans="10:23" x14ac:dyDescent="0.25">
      <c r="J16368"/>
      <c r="M16368"/>
      <c r="W16368"/>
    </row>
    <row r="16369" spans="10:23" x14ac:dyDescent="0.25">
      <c r="J16369"/>
      <c r="M16369"/>
      <c r="W16369"/>
    </row>
    <row r="16370" spans="10:23" x14ac:dyDescent="0.25">
      <c r="J16370"/>
      <c r="M16370"/>
      <c r="W16370"/>
    </row>
    <row r="16371" spans="10:23" x14ac:dyDescent="0.25">
      <c r="J16371"/>
      <c r="M16371"/>
      <c r="W16371"/>
    </row>
    <row r="16372" spans="10:23" x14ac:dyDescent="0.25">
      <c r="J16372"/>
      <c r="M16372"/>
      <c r="W16372"/>
    </row>
    <row r="16373" spans="10:23" x14ac:dyDescent="0.25">
      <c r="J16373"/>
      <c r="M16373"/>
      <c r="W16373"/>
    </row>
    <row r="16374" spans="10:23" x14ac:dyDescent="0.25">
      <c r="J16374"/>
      <c r="M16374"/>
      <c r="W16374"/>
    </row>
    <row r="16375" spans="10:23" x14ac:dyDescent="0.25">
      <c r="J16375"/>
      <c r="M16375"/>
      <c r="W16375"/>
    </row>
    <row r="16376" spans="10:23" x14ac:dyDescent="0.25">
      <c r="J16376"/>
      <c r="M16376"/>
      <c r="W16376"/>
    </row>
    <row r="16377" spans="10:23" x14ac:dyDescent="0.25">
      <c r="J16377"/>
      <c r="M16377"/>
      <c r="W16377"/>
    </row>
    <row r="16378" spans="10:23" x14ac:dyDescent="0.25">
      <c r="J16378"/>
      <c r="M16378"/>
      <c r="W16378"/>
    </row>
    <row r="16379" spans="10:23" x14ac:dyDescent="0.25">
      <c r="J16379"/>
      <c r="M16379"/>
      <c r="W16379"/>
    </row>
    <row r="16380" spans="10:23" x14ac:dyDescent="0.25">
      <c r="J16380"/>
      <c r="M16380"/>
      <c r="W16380"/>
    </row>
    <row r="16381" spans="10:23" x14ac:dyDescent="0.25">
      <c r="J16381"/>
      <c r="M16381"/>
      <c r="W16381"/>
    </row>
    <row r="16382" spans="10:23" x14ac:dyDescent="0.25">
      <c r="J16382"/>
      <c r="M16382"/>
      <c r="W16382"/>
    </row>
    <row r="16383" spans="10:23" x14ac:dyDescent="0.25">
      <c r="J16383"/>
      <c r="M16383"/>
      <c r="W16383"/>
    </row>
    <row r="16384" spans="10:23" x14ac:dyDescent="0.25">
      <c r="J16384"/>
      <c r="M16384"/>
      <c r="W16384"/>
    </row>
    <row r="16385" spans="10:23" x14ac:dyDescent="0.25">
      <c r="J16385"/>
      <c r="M16385"/>
      <c r="W16385"/>
    </row>
    <row r="16386" spans="10:23" x14ac:dyDescent="0.25">
      <c r="J16386"/>
      <c r="M16386"/>
      <c r="W16386"/>
    </row>
    <row r="16387" spans="10:23" x14ac:dyDescent="0.25">
      <c r="J16387"/>
      <c r="M16387"/>
      <c r="W16387"/>
    </row>
    <row r="16388" spans="10:23" x14ac:dyDescent="0.25">
      <c r="J16388"/>
      <c r="M16388"/>
      <c r="W16388"/>
    </row>
    <row r="16389" spans="10:23" x14ac:dyDescent="0.25">
      <c r="J16389"/>
      <c r="M16389"/>
      <c r="W16389"/>
    </row>
    <row r="16390" spans="10:23" x14ac:dyDescent="0.25">
      <c r="J16390"/>
      <c r="M16390"/>
      <c r="W16390"/>
    </row>
    <row r="16391" spans="10:23" x14ac:dyDescent="0.25">
      <c r="J16391"/>
      <c r="M16391"/>
      <c r="W16391"/>
    </row>
    <row r="16392" spans="10:23" x14ac:dyDescent="0.25">
      <c r="J16392"/>
      <c r="M16392"/>
      <c r="W16392"/>
    </row>
    <row r="16393" spans="10:23" x14ac:dyDescent="0.25">
      <c r="J16393"/>
      <c r="M16393"/>
      <c r="W16393"/>
    </row>
    <row r="16394" spans="10:23" x14ac:dyDescent="0.25">
      <c r="J16394"/>
      <c r="M16394"/>
      <c r="W16394"/>
    </row>
    <row r="16395" spans="10:23" x14ac:dyDescent="0.25">
      <c r="J16395"/>
      <c r="M16395"/>
      <c r="W16395"/>
    </row>
    <row r="16396" spans="10:23" x14ac:dyDescent="0.25">
      <c r="J16396"/>
      <c r="M16396"/>
      <c r="W16396"/>
    </row>
    <row r="16397" spans="10:23" x14ac:dyDescent="0.25">
      <c r="J16397"/>
      <c r="M16397"/>
      <c r="W16397"/>
    </row>
    <row r="16398" spans="10:23" x14ac:dyDescent="0.25">
      <c r="J16398"/>
      <c r="M16398"/>
      <c r="W16398"/>
    </row>
    <row r="16399" spans="10:23" x14ac:dyDescent="0.25">
      <c r="J16399"/>
      <c r="M16399"/>
      <c r="W16399"/>
    </row>
    <row r="16400" spans="10:23" x14ac:dyDescent="0.25">
      <c r="J16400"/>
      <c r="M16400"/>
      <c r="W16400"/>
    </row>
    <row r="16401" spans="10:23" x14ac:dyDescent="0.25">
      <c r="J16401"/>
      <c r="M16401"/>
      <c r="W16401"/>
    </row>
    <row r="16402" spans="10:23" x14ac:dyDescent="0.25">
      <c r="J16402"/>
      <c r="M16402"/>
      <c r="W16402"/>
    </row>
    <row r="16403" spans="10:23" x14ac:dyDescent="0.25">
      <c r="J16403"/>
      <c r="M16403"/>
      <c r="W16403"/>
    </row>
    <row r="16404" spans="10:23" x14ac:dyDescent="0.25">
      <c r="J16404"/>
      <c r="M16404"/>
      <c r="W16404"/>
    </row>
    <row r="16405" spans="10:23" x14ac:dyDescent="0.25">
      <c r="J16405"/>
      <c r="M16405"/>
      <c r="W16405"/>
    </row>
    <row r="16406" spans="10:23" x14ac:dyDescent="0.25">
      <c r="J16406"/>
      <c r="M16406"/>
      <c r="W16406"/>
    </row>
    <row r="16407" spans="10:23" x14ac:dyDescent="0.25">
      <c r="J16407"/>
      <c r="M16407"/>
      <c r="W16407"/>
    </row>
    <row r="16408" spans="10:23" x14ac:dyDescent="0.25">
      <c r="J16408"/>
      <c r="M16408"/>
      <c r="W16408"/>
    </row>
    <row r="16409" spans="10:23" x14ac:dyDescent="0.25">
      <c r="J16409"/>
      <c r="M16409"/>
      <c r="W16409"/>
    </row>
    <row r="16410" spans="10:23" x14ac:dyDescent="0.25">
      <c r="J16410"/>
      <c r="M16410"/>
      <c r="W16410"/>
    </row>
    <row r="16411" spans="10:23" x14ac:dyDescent="0.25">
      <c r="J16411"/>
      <c r="M16411"/>
      <c r="W16411"/>
    </row>
    <row r="16412" spans="10:23" x14ac:dyDescent="0.25">
      <c r="J16412"/>
      <c r="M16412"/>
      <c r="W16412"/>
    </row>
    <row r="16413" spans="10:23" x14ac:dyDescent="0.25">
      <c r="J16413"/>
      <c r="M16413"/>
      <c r="W16413"/>
    </row>
    <row r="16414" spans="10:23" x14ac:dyDescent="0.25">
      <c r="J16414"/>
      <c r="M16414"/>
      <c r="W16414"/>
    </row>
    <row r="16415" spans="10:23" x14ac:dyDescent="0.25">
      <c r="J16415"/>
      <c r="M16415"/>
      <c r="W16415"/>
    </row>
    <row r="16416" spans="10:23" x14ac:dyDescent="0.25">
      <c r="J16416"/>
      <c r="M16416"/>
      <c r="W16416"/>
    </row>
    <row r="16417" spans="10:23" x14ac:dyDescent="0.25">
      <c r="J16417"/>
      <c r="M16417"/>
      <c r="W16417"/>
    </row>
    <row r="16418" spans="10:23" x14ac:dyDescent="0.25">
      <c r="J16418"/>
      <c r="M16418"/>
      <c r="W16418"/>
    </row>
    <row r="16419" spans="10:23" x14ac:dyDescent="0.25">
      <c r="J16419"/>
      <c r="M16419"/>
      <c r="W16419"/>
    </row>
    <row r="16420" spans="10:23" x14ac:dyDescent="0.25">
      <c r="J16420"/>
      <c r="M16420"/>
      <c r="W16420"/>
    </row>
    <row r="16421" spans="10:23" x14ac:dyDescent="0.25">
      <c r="J16421"/>
      <c r="M16421"/>
      <c r="W16421"/>
    </row>
    <row r="16422" spans="10:23" x14ac:dyDescent="0.25">
      <c r="J16422"/>
      <c r="M16422"/>
      <c r="W16422"/>
    </row>
    <row r="16423" spans="10:23" x14ac:dyDescent="0.25">
      <c r="J16423"/>
      <c r="M16423"/>
      <c r="W16423"/>
    </row>
    <row r="16424" spans="10:23" x14ac:dyDescent="0.25">
      <c r="J16424"/>
      <c r="M16424"/>
      <c r="W16424"/>
    </row>
    <row r="16425" spans="10:23" x14ac:dyDescent="0.25">
      <c r="J16425"/>
      <c r="M16425"/>
      <c r="W16425"/>
    </row>
    <row r="16426" spans="10:23" x14ac:dyDescent="0.25">
      <c r="J16426"/>
      <c r="M16426"/>
      <c r="W16426"/>
    </row>
    <row r="16427" spans="10:23" x14ac:dyDescent="0.25">
      <c r="J16427"/>
      <c r="M16427"/>
      <c r="W16427"/>
    </row>
    <row r="16428" spans="10:23" x14ac:dyDescent="0.25">
      <c r="J16428"/>
      <c r="M16428"/>
      <c r="W16428"/>
    </row>
    <row r="16429" spans="10:23" x14ac:dyDescent="0.25">
      <c r="J16429"/>
      <c r="M16429"/>
      <c r="W16429"/>
    </row>
    <row r="16430" spans="10:23" x14ac:dyDescent="0.25">
      <c r="J16430"/>
      <c r="M16430"/>
      <c r="W16430"/>
    </row>
    <row r="16431" spans="10:23" x14ac:dyDescent="0.25">
      <c r="J16431"/>
      <c r="M16431"/>
      <c r="W16431"/>
    </row>
    <row r="16432" spans="10:23" x14ac:dyDescent="0.25">
      <c r="J16432"/>
      <c r="M16432"/>
      <c r="W16432"/>
    </row>
    <row r="16433" spans="10:23" x14ac:dyDescent="0.25">
      <c r="J16433"/>
      <c r="M16433"/>
      <c r="W16433"/>
    </row>
    <row r="16434" spans="10:23" x14ac:dyDescent="0.25">
      <c r="J16434"/>
      <c r="M16434"/>
      <c r="W16434"/>
    </row>
    <row r="16435" spans="10:23" x14ac:dyDescent="0.25">
      <c r="J16435"/>
      <c r="M16435"/>
      <c r="W16435"/>
    </row>
    <row r="16436" spans="10:23" x14ac:dyDescent="0.25">
      <c r="J16436"/>
      <c r="M16436"/>
      <c r="W16436"/>
    </row>
    <row r="16437" spans="10:23" x14ac:dyDescent="0.25">
      <c r="J16437"/>
      <c r="M16437"/>
      <c r="W16437"/>
    </row>
    <row r="16438" spans="10:23" x14ac:dyDescent="0.25">
      <c r="J16438"/>
      <c r="M16438"/>
      <c r="W16438"/>
    </row>
    <row r="16439" spans="10:23" x14ac:dyDescent="0.25">
      <c r="J16439"/>
      <c r="M16439"/>
      <c r="W16439"/>
    </row>
    <row r="16440" spans="10:23" x14ac:dyDescent="0.25">
      <c r="J16440"/>
      <c r="M16440"/>
      <c r="W16440"/>
    </row>
    <row r="16441" spans="10:23" x14ac:dyDescent="0.25">
      <c r="J16441"/>
      <c r="M16441"/>
      <c r="W16441"/>
    </row>
    <row r="16442" spans="10:23" x14ac:dyDescent="0.25">
      <c r="J16442"/>
      <c r="M16442"/>
      <c r="W16442"/>
    </row>
    <row r="16443" spans="10:23" x14ac:dyDescent="0.25">
      <c r="J16443"/>
      <c r="M16443"/>
      <c r="W16443"/>
    </row>
    <row r="16444" spans="10:23" x14ac:dyDescent="0.25">
      <c r="J16444"/>
      <c r="M16444"/>
      <c r="W16444"/>
    </row>
    <row r="16445" spans="10:23" x14ac:dyDescent="0.25">
      <c r="J16445"/>
      <c r="M16445"/>
      <c r="W16445"/>
    </row>
    <row r="16446" spans="10:23" x14ac:dyDescent="0.25">
      <c r="J16446"/>
      <c r="M16446"/>
      <c r="W16446"/>
    </row>
    <row r="16447" spans="10:23" x14ac:dyDescent="0.25">
      <c r="J16447"/>
      <c r="M16447"/>
      <c r="W16447"/>
    </row>
    <row r="16448" spans="10:23" x14ac:dyDescent="0.25">
      <c r="J16448"/>
      <c r="M16448"/>
      <c r="W16448"/>
    </row>
    <row r="16449" spans="10:23" x14ac:dyDescent="0.25">
      <c r="J16449"/>
      <c r="M16449"/>
      <c r="W16449"/>
    </row>
    <row r="16450" spans="10:23" x14ac:dyDescent="0.25">
      <c r="J16450"/>
      <c r="M16450"/>
      <c r="W16450"/>
    </row>
    <row r="16451" spans="10:23" x14ac:dyDescent="0.25">
      <c r="J16451"/>
      <c r="M16451"/>
      <c r="W16451"/>
    </row>
    <row r="16452" spans="10:23" x14ac:dyDescent="0.25">
      <c r="J16452"/>
      <c r="M16452"/>
      <c r="W16452"/>
    </row>
    <row r="16453" spans="10:23" x14ac:dyDescent="0.25">
      <c r="J16453"/>
      <c r="M16453"/>
      <c r="W16453"/>
    </row>
    <row r="16454" spans="10:23" x14ac:dyDescent="0.25">
      <c r="J16454"/>
      <c r="M16454"/>
      <c r="W16454"/>
    </row>
    <row r="16455" spans="10:23" x14ac:dyDescent="0.25">
      <c r="J16455"/>
      <c r="M16455"/>
      <c r="W16455"/>
    </row>
    <row r="16456" spans="10:23" x14ac:dyDescent="0.25">
      <c r="J16456"/>
      <c r="M16456"/>
      <c r="W16456"/>
    </row>
    <row r="16457" spans="10:23" x14ac:dyDescent="0.25">
      <c r="J16457"/>
      <c r="M16457"/>
      <c r="W16457"/>
    </row>
    <row r="16458" spans="10:23" x14ac:dyDescent="0.25">
      <c r="J16458"/>
      <c r="M16458"/>
      <c r="W16458"/>
    </row>
    <row r="16459" spans="10:23" x14ac:dyDescent="0.25">
      <c r="J16459"/>
      <c r="M16459"/>
      <c r="W16459"/>
    </row>
    <row r="16460" spans="10:23" x14ac:dyDescent="0.25">
      <c r="J16460"/>
      <c r="M16460"/>
      <c r="W16460"/>
    </row>
    <row r="16461" spans="10:23" x14ac:dyDescent="0.25">
      <c r="J16461"/>
      <c r="M16461"/>
      <c r="W16461"/>
    </row>
    <row r="16462" spans="10:23" x14ac:dyDescent="0.25">
      <c r="J16462"/>
      <c r="M16462"/>
      <c r="W16462"/>
    </row>
    <row r="16463" spans="10:23" x14ac:dyDescent="0.25">
      <c r="J16463"/>
      <c r="M16463"/>
      <c r="W16463"/>
    </row>
    <row r="16464" spans="10:23" x14ac:dyDescent="0.25">
      <c r="J16464"/>
      <c r="M16464"/>
      <c r="W16464"/>
    </row>
    <row r="16465" spans="10:23" x14ac:dyDescent="0.25">
      <c r="J16465"/>
      <c r="M16465"/>
      <c r="W16465"/>
    </row>
    <row r="16466" spans="10:23" x14ac:dyDescent="0.25">
      <c r="J16466"/>
      <c r="M16466"/>
      <c r="W16466"/>
    </row>
    <row r="16467" spans="10:23" x14ac:dyDescent="0.25">
      <c r="J16467"/>
      <c r="M16467"/>
      <c r="W16467"/>
    </row>
    <row r="16468" spans="10:23" x14ac:dyDescent="0.25">
      <c r="J16468"/>
      <c r="M16468"/>
      <c r="W16468"/>
    </row>
    <row r="16469" spans="10:23" x14ac:dyDescent="0.25">
      <c r="J16469"/>
      <c r="M16469"/>
      <c r="W16469"/>
    </row>
    <row r="16470" spans="10:23" x14ac:dyDescent="0.25">
      <c r="J16470"/>
      <c r="M16470"/>
      <c r="W16470"/>
    </row>
    <row r="16471" spans="10:23" x14ac:dyDescent="0.25">
      <c r="J16471"/>
      <c r="M16471"/>
      <c r="W16471"/>
    </row>
    <row r="16472" spans="10:23" x14ac:dyDescent="0.25">
      <c r="J16472"/>
      <c r="M16472"/>
      <c r="W16472"/>
    </row>
    <row r="16473" spans="10:23" x14ac:dyDescent="0.25">
      <c r="J16473"/>
      <c r="M16473"/>
      <c r="W16473"/>
    </row>
    <row r="16474" spans="10:23" x14ac:dyDescent="0.25">
      <c r="J16474"/>
      <c r="M16474"/>
      <c r="W16474"/>
    </row>
    <row r="16475" spans="10:23" x14ac:dyDescent="0.25">
      <c r="J16475"/>
      <c r="M16475"/>
      <c r="W16475"/>
    </row>
    <row r="16476" spans="10:23" x14ac:dyDescent="0.25">
      <c r="J16476"/>
      <c r="M16476"/>
      <c r="W16476"/>
    </row>
    <row r="16477" spans="10:23" x14ac:dyDescent="0.25">
      <c r="J16477"/>
      <c r="M16477"/>
      <c r="W16477"/>
    </row>
    <row r="16478" spans="10:23" x14ac:dyDescent="0.25">
      <c r="J16478"/>
      <c r="M16478"/>
      <c r="W16478"/>
    </row>
    <row r="16479" spans="10:23" x14ac:dyDescent="0.25">
      <c r="J16479"/>
      <c r="M16479"/>
      <c r="W16479"/>
    </row>
    <row r="16480" spans="10:23" x14ac:dyDescent="0.25">
      <c r="J16480"/>
      <c r="M16480"/>
      <c r="W16480"/>
    </row>
    <row r="16481" spans="10:23" x14ac:dyDescent="0.25">
      <c r="J16481"/>
      <c r="M16481"/>
      <c r="W16481"/>
    </row>
    <row r="16482" spans="10:23" x14ac:dyDescent="0.25">
      <c r="J16482"/>
      <c r="M16482"/>
      <c r="W16482"/>
    </row>
    <row r="16483" spans="10:23" x14ac:dyDescent="0.25">
      <c r="J16483"/>
      <c r="M16483"/>
      <c r="W16483"/>
    </row>
    <row r="16484" spans="10:23" x14ac:dyDescent="0.25">
      <c r="J16484"/>
      <c r="M16484"/>
      <c r="W16484"/>
    </row>
    <row r="16485" spans="10:23" x14ac:dyDescent="0.25">
      <c r="J16485"/>
      <c r="M16485"/>
      <c r="W16485"/>
    </row>
    <row r="16486" spans="10:23" x14ac:dyDescent="0.25">
      <c r="J16486"/>
      <c r="M16486"/>
      <c r="W16486"/>
    </row>
    <row r="16487" spans="10:23" x14ac:dyDescent="0.25">
      <c r="J16487"/>
      <c r="M16487"/>
      <c r="W16487"/>
    </row>
    <row r="16488" spans="10:23" x14ac:dyDescent="0.25">
      <c r="J16488"/>
      <c r="M16488"/>
      <c r="W16488"/>
    </row>
    <row r="16489" spans="10:23" x14ac:dyDescent="0.25">
      <c r="J16489"/>
      <c r="M16489"/>
      <c r="W16489"/>
    </row>
    <row r="16490" spans="10:23" x14ac:dyDescent="0.25">
      <c r="J16490"/>
      <c r="M16490"/>
      <c r="W16490"/>
    </row>
    <row r="16491" spans="10:23" x14ac:dyDescent="0.25">
      <c r="J16491"/>
      <c r="M16491"/>
      <c r="W16491"/>
    </row>
    <row r="16492" spans="10:23" x14ac:dyDescent="0.25">
      <c r="J16492"/>
      <c r="M16492"/>
      <c r="W16492"/>
    </row>
    <row r="16493" spans="10:23" x14ac:dyDescent="0.25">
      <c r="J16493"/>
      <c r="M16493"/>
      <c r="W16493"/>
    </row>
    <row r="16494" spans="10:23" x14ac:dyDescent="0.25">
      <c r="J16494"/>
      <c r="M16494"/>
      <c r="W16494"/>
    </row>
    <row r="16495" spans="10:23" x14ac:dyDescent="0.25">
      <c r="J16495"/>
      <c r="M16495"/>
      <c r="W16495"/>
    </row>
    <row r="16496" spans="10:23" x14ac:dyDescent="0.25">
      <c r="J16496"/>
      <c r="M16496"/>
      <c r="W16496"/>
    </row>
    <row r="16497" spans="10:23" x14ac:dyDescent="0.25">
      <c r="J16497"/>
      <c r="M16497"/>
      <c r="W16497"/>
    </row>
    <row r="16498" spans="10:23" x14ac:dyDescent="0.25">
      <c r="J16498"/>
      <c r="M16498"/>
      <c r="W16498"/>
    </row>
    <row r="16499" spans="10:23" x14ac:dyDescent="0.25">
      <c r="J16499"/>
      <c r="M16499"/>
      <c r="W16499"/>
    </row>
    <row r="16500" spans="10:23" x14ac:dyDescent="0.25">
      <c r="J16500"/>
      <c r="M16500"/>
      <c r="W16500"/>
    </row>
    <row r="16501" spans="10:23" x14ac:dyDescent="0.25">
      <c r="J16501"/>
      <c r="M16501"/>
      <c r="W16501"/>
    </row>
    <row r="16502" spans="10:23" x14ac:dyDescent="0.25">
      <c r="J16502"/>
      <c r="M16502"/>
      <c r="W16502"/>
    </row>
    <row r="16503" spans="10:23" x14ac:dyDescent="0.25">
      <c r="J16503"/>
      <c r="M16503"/>
      <c r="W16503"/>
    </row>
    <row r="16504" spans="10:23" x14ac:dyDescent="0.25">
      <c r="J16504"/>
      <c r="M16504"/>
      <c r="W16504"/>
    </row>
    <row r="16505" spans="10:23" x14ac:dyDescent="0.25">
      <c r="J16505"/>
      <c r="M16505"/>
      <c r="W16505"/>
    </row>
    <row r="16506" spans="10:23" x14ac:dyDescent="0.25">
      <c r="J16506"/>
      <c r="M16506"/>
      <c r="W16506"/>
    </row>
    <row r="16507" spans="10:23" x14ac:dyDescent="0.25">
      <c r="J16507"/>
      <c r="M16507"/>
      <c r="W16507"/>
    </row>
    <row r="16508" spans="10:23" x14ac:dyDescent="0.25">
      <c r="J16508"/>
      <c r="M16508"/>
      <c r="W16508"/>
    </row>
    <row r="16509" spans="10:23" x14ac:dyDescent="0.25">
      <c r="J16509"/>
      <c r="M16509"/>
      <c r="W16509"/>
    </row>
    <row r="16510" spans="10:23" x14ac:dyDescent="0.25">
      <c r="J16510"/>
      <c r="M16510"/>
      <c r="W16510"/>
    </row>
    <row r="16511" spans="10:23" x14ac:dyDescent="0.25">
      <c r="J16511"/>
      <c r="M16511"/>
      <c r="W16511"/>
    </row>
    <row r="16512" spans="10:23" x14ac:dyDescent="0.25">
      <c r="J16512"/>
      <c r="M16512"/>
      <c r="W16512"/>
    </row>
    <row r="16513" spans="10:23" x14ac:dyDescent="0.25">
      <c r="J16513"/>
      <c r="M16513"/>
      <c r="W16513"/>
    </row>
    <row r="16514" spans="10:23" x14ac:dyDescent="0.25">
      <c r="J16514"/>
      <c r="M16514"/>
      <c r="W16514"/>
    </row>
    <row r="16515" spans="10:23" x14ac:dyDescent="0.25">
      <c r="J16515"/>
      <c r="M16515"/>
      <c r="W16515"/>
    </row>
    <row r="16516" spans="10:23" x14ac:dyDescent="0.25">
      <c r="J16516"/>
      <c r="M16516"/>
      <c r="W16516"/>
    </row>
    <row r="16517" spans="10:23" x14ac:dyDescent="0.25">
      <c r="J16517"/>
      <c r="M16517"/>
      <c r="W16517"/>
    </row>
    <row r="16518" spans="10:23" x14ac:dyDescent="0.25">
      <c r="J16518"/>
      <c r="M16518"/>
      <c r="W16518"/>
    </row>
    <row r="16519" spans="10:23" x14ac:dyDescent="0.25">
      <c r="J16519"/>
      <c r="M16519"/>
      <c r="W16519"/>
    </row>
    <row r="16520" spans="10:23" x14ac:dyDescent="0.25">
      <c r="J16520"/>
      <c r="M16520"/>
      <c r="W16520"/>
    </row>
    <row r="16521" spans="10:23" x14ac:dyDescent="0.25">
      <c r="J16521"/>
      <c r="M16521"/>
      <c r="W16521"/>
    </row>
    <row r="16522" spans="10:23" x14ac:dyDescent="0.25">
      <c r="J16522"/>
      <c r="M16522"/>
      <c r="W16522"/>
    </row>
    <row r="16523" spans="10:23" x14ac:dyDescent="0.25">
      <c r="J16523"/>
      <c r="M16523"/>
      <c r="W16523"/>
    </row>
    <row r="16524" spans="10:23" x14ac:dyDescent="0.25">
      <c r="J16524"/>
      <c r="M16524"/>
      <c r="W16524"/>
    </row>
    <row r="16525" spans="10:23" x14ac:dyDescent="0.25">
      <c r="J16525"/>
      <c r="M16525"/>
      <c r="W16525"/>
    </row>
    <row r="16526" spans="10:23" x14ac:dyDescent="0.25">
      <c r="J16526"/>
      <c r="M16526"/>
      <c r="W16526"/>
    </row>
    <row r="16527" spans="10:23" x14ac:dyDescent="0.25">
      <c r="J16527"/>
      <c r="M16527"/>
      <c r="W16527"/>
    </row>
    <row r="16528" spans="10:23" x14ac:dyDescent="0.25">
      <c r="J16528"/>
      <c r="M16528"/>
      <c r="W16528"/>
    </row>
    <row r="16529" spans="10:23" x14ac:dyDescent="0.25">
      <c r="J16529"/>
      <c r="M16529"/>
      <c r="W16529"/>
    </row>
    <row r="16530" spans="10:23" x14ac:dyDescent="0.25">
      <c r="J16530"/>
      <c r="M16530"/>
      <c r="W16530"/>
    </row>
    <row r="16531" spans="10:23" x14ac:dyDescent="0.25">
      <c r="J16531"/>
      <c r="M16531"/>
      <c r="W16531"/>
    </row>
    <row r="16532" spans="10:23" x14ac:dyDescent="0.25">
      <c r="J16532"/>
      <c r="M16532"/>
      <c r="W16532"/>
    </row>
    <row r="16533" spans="10:23" x14ac:dyDescent="0.25">
      <c r="J16533"/>
      <c r="M16533"/>
      <c r="W16533"/>
    </row>
    <row r="16534" spans="10:23" x14ac:dyDescent="0.25">
      <c r="J16534"/>
      <c r="M16534"/>
      <c r="W16534"/>
    </row>
    <row r="16535" spans="10:23" x14ac:dyDescent="0.25">
      <c r="J16535"/>
      <c r="M16535"/>
      <c r="W16535"/>
    </row>
    <row r="16536" spans="10:23" x14ac:dyDescent="0.25">
      <c r="J16536"/>
      <c r="M16536"/>
      <c r="W16536"/>
    </row>
    <row r="16537" spans="10:23" x14ac:dyDescent="0.25">
      <c r="J16537"/>
      <c r="M16537"/>
      <c r="W16537"/>
    </row>
    <row r="16538" spans="10:23" x14ac:dyDescent="0.25">
      <c r="J16538"/>
      <c r="M16538"/>
      <c r="W16538"/>
    </row>
    <row r="16539" spans="10:23" x14ac:dyDescent="0.25">
      <c r="J16539"/>
      <c r="M16539"/>
      <c r="W16539"/>
    </row>
    <row r="16540" spans="10:23" x14ac:dyDescent="0.25">
      <c r="J16540"/>
      <c r="M16540"/>
      <c r="W16540"/>
    </row>
    <row r="16541" spans="10:23" x14ac:dyDescent="0.25">
      <c r="J16541"/>
      <c r="M16541"/>
      <c r="W16541"/>
    </row>
    <row r="16542" spans="10:23" x14ac:dyDescent="0.25">
      <c r="J16542"/>
      <c r="M16542"/>
      <c r="W16542"/>
    </row>
    <row r="16543" spans="10:23" x14ac:dyDescent="0.25">
      <c r="J16543"/>
      <c r="M16543"/>
      <c r="W16543"/>
    </row>
    <row r="16544" spans="10:23" x14ac:dyDescent="0.25">
      <c r="J16544"/>
      <c r="M16544"/>
      <c r="W16544"/>
    </row>
    <row r="16545" spans="10:23" x14ac:dyDescent="0.25">
      <c r="J16545"/>
      <c r="M16545"/>
      <c r="W16545"/>
    </row>
    <row r="16546" spans="10:23" x14ac:dyDescent="0.25">
      <c r="J16546"/>
      <c r="M16546"/>
      <c r="W16546"/>
    </row>
    <row r="16547" spans="10:23" x14ac:dyDescent="0.25">
      <c r="J16547"/>
      <c r="M16547"/>
      <c r="W16547"/>
    </row>
    <row r="16548" spans="10:23" x14ac:dyDescent="0.25">
      <c r="J16548"/>
      <c r="M16548"/>
      <c r="W16548"/>
    </row>
    <row r="16549" spans="10:23" x14ac:dyDescent="0.25">
      <c r="J16549"/>
      <c r="M16549"/>
      <c r="W16549"/>
    </row>
    <row r="16550" spans="10:23" x14ac:dyDescent="0.25">
      <c r="J16550"/>
      <c r="M16550"/>
      <c r="W16550"/>
    </row>
    <row r="16551" spans="10:23" x14ac:dyDescent="0.25">
      <c r="J16551"/>
      <c r="M16551"/>
      <c r="W16551"/>
    </row>
    <row r="16552" spans="10:23" x14ac:dyDescent="0.25">
      <c r="J16552"/>
      <c r="M16552"/>
      <c r="W16552"/>
    </row>
    <row r="16553" spans="10:23" x14ac:dyDescent="0.25">
      <c r="J16553"/>
      <c r="M16553"/>
      <c r="W16553"/>
    </row>
    <row r="16554" spans="10:23" x14ac:dyDescent="0.25">
      <c r="J16554"/>
      <c r="M16554"/>
      <c r="W16554"/>
    </row>
    <row r="16555" spans="10:23" x14ac:dyDescent="0.25">
      <c r="J16555"/>
      <c r="M16555"/>
      <c r="W16555"/>
    </row>
    <row r="16556" spans="10:23" x14ac:dyDescent="0.25">
      <c r="J16556"/>
      <c r="M16556"/>
      <c r="W16556"/>
    </row>
    <row r="16557" spans="10:23" x14ac:dyDescent="0.25">
      <c r="J16557"/>
      <c r="M16557"/>
      <c r="W16557"/>
    </row>
    <row r="16558" spans="10:23" x14ac:dyDescent="0.25">
      <c r="J16558"/>
      <c r="M16558"/>
      <c r="W16558"/>
    </row>
    <row r="16559" spans="10:23" x14ac:dyDescent="0.25">
      <c r="J16559"/>
      <c r="M16559"/>
      <c r="W16559"/>
    </row>
    <row r="16560" spans="10:23" x14ac:dyDescent="0.25">
      <c r="J16560"/>
      <c r="M16560"/>
      <c r="W16560"/>
    </row>
    <row r="16561" spans="10:23" x14ac:dyDescent="0.25">
      <c r="J16561"/>
      <c r="M16561"/>
      <c r="W16561"/>
    </row>
    <row r="16562" spans="10:23" x14ac:dyDescent="0.25">
      <c r="J16562"/>
      <c r="M16562"/>
      <c r="W16562"/>
    </row>
    <row r="16563" spans="10:23" x14ac:dyDescent="0.25">
      <c r="J16563"/>
      <c r="M16563"/>
      <c r="W16563"/>
    </row>
    <row r="16564" spans="10:23" x14ac:dyDescent="0.25">
      <c r="J16564"/>
      <c r="M16564"/>
      <c r="W16564"/>
    </row>
    <row r="16565" spans="10:23" x14ac:dyDescent="0.25">
      <c r="J16565"/>
      <c r="M16565"/>
      <c r="W16565"/>
    </row>
    <row r="16566" spans="10:23" x14ac:dyDescent="0.25">
      <c r="J16566"/>
      <c r="M16566"/>
      <c r="W16566"/>
    </row>
    <row r="16567" spans="10:23" x14ac:dyDescent="0.25">
      <c r="J16567"/>
      <c r="M16567"/>
      <c r="W16567"/>
    </row>
    <row r="16568" spans="10:23" x14ac:dyDescent="0.25">
      <c r="J16568"/>
      <c r="M16568"/>
      <c r="W16568"/>
    </row>
    <row r="16569" spans="10:23" x14ac:dyDescent="0.25">
      <c r="J16569"/>
      <c r="M16569"/>
      <c r="W16569"/>
    </row>
    <row r="16570" spans="10:23" x14ac:dyDescent="0.25">
      <c r="J16570"/>
      <c r="M16570"/>
      <c r="W16570"/>
    </row>
    <row r="16571" spans="10:23" x14ac:dyDescent="0.25">
      <c r="J16571"/>
      <c r="M16571"/>
      <c r="W16571"/>
    </row>
    <row r="16572" spans="10:23" x14ac:dyDescent="0.25">
      <c r="J16572"/>
      <c r="M16572"/>
      <c r="W16572"/>
    </row>
    <row r="16573" spans="10:23" x14ac:dyDescent="0.25">
      <c r="J16573"/>
      <c r="M16573"/>
      <c r="W16573"/>
    </row>
    <row r="16574" spans="10:23" x14ac:dyDescent="0.25">
      <c r="J16574"/>
      <c r="M16574"/>
      <c r="W16574"/>
    </row>
    <row r="16575" spans="10:23" x14ac:dyDescent="0.25">
      <c r="J16575"/>
      <c r="M16575"/>
      <c r="W16575"/>
    </row>
    <row r="16576" spans="10:23" x14ac:dyDescent="0.25">
      <c r="J16576"/>
      <c r="M16576"/>
      <c r="W16576"/>
    </row>
    <row r="16577" spans="10:23" x14ac:dyDescent="0.25">
      <c r="J16577"/>
      <c r="M16577"/>
      <c r="W16577"/>
    </row>
    <row r="16578" spans="10:23" x14ac:dyDescent="0.25">
      <c r="J16578"/>
      <c r="M16578"/>
      <c r="W16578"/>
    </row>
    <row r="16579" spans="10:23" x14ac:dyDescent="0.25">
      <c r="J16579"/>
      <c r="M16579"/>
      <c r="W16579"/>
    </row>
    <row r="16580" spans="10:23" x14ac:dyDescent="0.25">
      <c r="J16580"/>
      <c r="M16580"/>
      <c r="W16580"/>
    </row>
    <row r="16581" spans="10:23" x14ac:dyDescent="0.25">
      <c r="J16581"/>
      <c r="M16581"/>
      <c r="W16581"/>
    </row>
    <row r="16582" spans="10:23" x14ac:dyDescent="0.25">
      <c r="J16582"/>
      <c r="M16582"/>
      <c r="W16582"/>
    </row>
    <row r="16583" spans="10:23" x14ac:dyDescent="0.25">
      <c r="J16583"/>
      <c r="M16583"/>
      <c r="W16583"/>
    </row>
    <row r="16584" spans="10:23" x14ac:dyDescent="0.25">
      <c r="J16584"/>
      <c r="M16584"/>
      <c r="W16584"/>
    </row>
    <row r="16585" spans="10:23" x14ac:dyDescent="0.25">
      <c r="J16585"/>
      <c r="M16585"/>
      <c r="W16585"/>
    </row>
    <row r="16586" spans="10:23" x14ac:dyDescent="0.25">
      <c r="J16586"/>
      <c r="M16586"/>
      <c r="W16586"/>
    </row>
    <row r="16587" spans="10:23" x14ac:dyDescent="0.25">
      <c r="J16587"/>
      <c r="M16587"/>
      <c r="W16587"/>
    </row>
    <row r="16588" spans="10:23" x14ac:dyDescent="0.25">
      <c r="J16588"/>
      <c r="M16588"/>
      <c r="W16588"/>
    </row>
    <row r="16589" spans="10:23" x14ac:dyDescent="0.25">
      <c r="J16589"/>
      <c r="M16589"/>
      <c r="W16589"/>
    </row>
    <row r="16590" spans="10:23" x14ac:dyDescent="0.25">
      <c r="J16590"/>
      <c r="M16590"/>
      <c r="W16590"/>
    </row>
    <row r="16591" spans="10:23" x14ac:dyDescent="0.25">
      <c r="J16591"/>
      <c r="M16591"/>
      <c r="W16591"/>
    </row>
    <row r="16592" spans="10:23" x14ac:dyDescent="0.25">
      <c r="J16592"/>
      <c r="M16592"/>
      <c r="W16592"/>
    </row>
    <row r="16593" spans="10:23" x14ac:dyDescent="0.25">
      <c r="J16593"/>
      <c r="M16593"/>
      <c r="W16593"/>
    </row>
    <row r="16594" spans="10:23" x14ac:dyDescent="0.25">
      <c r="J16594"/>
      <c r="M16594"/>
      <c r="W16594"/>
    </row>
    <row r="16595" spans="10:23" x14ac:dyDescent="0.25">
      <c r="J16595"/>
      <c r="M16595"/>
      <c r="W16595"/>
    </row>
    <row r="16596" spans="10:23" x14ac:dyDescent="0.25">
      <c r="J16596"/>
      <c r="M16596"/>
      <c r="W16596"/>
    </row>
    <row r="16597" spans="10:23" x14ac:dyDescent="0.25">
      <c r="J16597"/>
      <c r="M16597"/>
      <c r="W16597"/>
    </row>
    <row r="16598" spans="10:23" x14ac:dyDescent="0.25">
      <c r="J16598"/>
      <c r="M16598"/>
      <c r="W16598"/>
    </row>
    <row r="16599" spans="10:23" x14ac:dyDescent="0.25">
      <c r="J16599"/>
      <c r="M16599"/>
      <c r="W16599"/>
    </row>
    <row r="16600" spans="10:23" x14ac:dyDescent="0.25">
      <c r="J16600"/>
      <c r="M16600"/>
      <c r="W16600"/>
    </row>
    <row r="16601" spans="10:23" x14ac:dyDescent="0.25">
      <c r="J16601"/>
      <c r="M16601"/>
      <c r="W16601"/>
    </row>
    <row r="16602" spans="10:23" x14ac:dyDescent="0.25">
      <c r="J16602"/>
      <c r="M16602"/>
      <c r="W16602"/>
    </row>
    <row r="16603" spans="10:23" x14ac:dyDescent="0.25">
      <c r="J16603"/>
      <c r="M16603"/>
      <c r="W16603"/>
    </row>
    <row r="16604" spans="10:23" x14ac:dyDescent="0.25">
      <c r="J16604"/>
      <c r="M16604"/>
      <c r="W16604"/>
    </row>
    <row r="16605" spans="10:23" x14ac:dyDescent="0.25">
      <c r="J16605"/>
      <c r="M16605"/>
      <c r="W16605"/>
    </row>
    <row r="16606" spans="10:23" x14ac:dyDescent="0.25">
      <c r="J16606"/>
      <c r="M16606"/>
      <c r="W16606"/>
    </row>
    <row r="16607" spans="10:23" x14ac:dyDescent="0.25">
      <c r="J16607"/>
      <c r="M16607"/>
      <c r="W16607"/>
    </row>
    <row r="16608" spans="10:23" x14ac:dyDescent="0.25">
      <c r="J16608"/>
      <c r="M16608"/>
      <c r="W16608"/>
    </row>
    <row r="16609" spans="10:23" x14ac:dyDescent="0.25">
      <c r="J16609"/>
      <c r="M16609"/>
      <c r="W16609"/>
    </row>
    <row r="16610" spans="10:23" x14ac:dyDescent="0.25">
      <c r="J16610"/>
      <c r="M16610"/>
      <c r="W16610"/>
    </row>
    <row r="16611" spans="10:23" x14ac:dyDescent="0.25">
      <c r="J16611"/>
      <c r="M16611"/>
      <c r="W16611"/>
    </row>
    <row r="16612" spans="10:23" x14ac:dyDescent="0.25">
      <c r="J16612"/>
      <c r="M16612"/>
      <c r="W16612"/>
    </row>
    <row r="16613" spans="10:23" x14ac:dyDescent="0.25">
      <c r="J16613"/>
      <c r="M16613"/>
      <c r="W16613"/>
    </row>
    <row r="16614" spans="10:23" x14ac:dyDescent="0.25">
      <c r="J16614"/>
      <c r="M16614"/>
      <c r="W16614"/>
    </row>
    <row r="16615" spans="10:23" x14ac:dyDescent="0.25">
      <c r="J16615"/>
      <c r="M16615"/>
      <c r="W16615"/>
    </row>
    <row r="16616" spans="10:23" x14ac:dyDescent="0.25">
      <c r="J16616"/>
      <c r="M16616"/>
      <c r="W16616"/>
    </row>
    <row r="16617" spans="10:23" x14ac:dyDescent="0.25">
      <c r="J16617"/>
      <c r="M16617"/>
      <c r="W16617"/>
    </row>
    <row r="16618" spans="10:23" x14ac:dyDescent="0.25">
      <c r="J16618"/>
      <c r="M16618"/>
      <c r="W16618"/>
    </row>
    <row r="16619" spans="10:23" x14ac:dyDescent="0.25">
      <c r="J16619"/>
      <c r="M16619"/>
      <c r="W16619"/>
    </row>
    <row r="16620" spans="10:23" x14ac:dyDescent="0.25">
      <c r="J16620"/>
      <c r="M16620"/>
      <c r="W16620"/>
    </row>
    <row r="16621" spans="10:23" x14ac:dyDescent="0.25">
      <c r="J16621"/>
      <c r="M16621"/>
      <c r="W16621"/>
    </row>
    <row r="16622" spans="10:23" x14ac:dyDescent="0.25">
      <c r="J16622"/>
      <c r="M16622"/>
      <c r="W16622"/>
    </row>
    <row r="16623" spans="10:23" x14ac:dyDescent="0.25">
      <c r="J16623"/>
      <c r="M16623"/>
      <c r="W16623"/>
    </row>
    <row r="16624" spans="10:23" x14ac:dyDescent="0.25">
      <c r="J16624"/>
      <c r="M16624"/>
      <c r="W16624"/>
    </row>
    <row r="16625" spans="10:23" x14ac:dyDescent="0.25">
      <c r="J16625"/>
      <c r="M16625"/>
      <c r="W16625"/>
    </row>
    <row r="16626" spans="10:23" x14ac:dyDescent="0.25">
      <c r="J16626"/>
      <c r="M16626"/>
      <c r="W16626"/>
    </row>
    <row r="16627" spans="10:23" x14ac:dyDescent="0.25">
      <c r="J16627"/>
      <c r="M16627"/>
      <c r="W16627"/>
    </row>
    <row r="16628" spans="10:23" x14ac:dyDescent="0.25">
      <c r="J16628"/>
      <c r="M16628"/>
      <c r="W16628"/>
    </row>
    <row r="16629" spans="10:23" x14ac:dyDescent="0.25">
      <c r="J16629"/>
      <c r="M16629"/>
      <c r="W16629"/>
    </row>
    <row r="16630" spans="10:23" x14ac:dyDescent="0.25">
      <c r="J16630"/>
      <c r="M16630"/>
      <c r="W16630"/>
    </row>
    <row r="16631" spans="10:23" x14ac:dyDescent="0.25">
      <c r="J16631"/>
      <c r="M16631"/>
      <c r="W16631"/>
    </row>
    <row r="16632" spans="10:23" x14ac:dyDescent="0.25">
      <c r="J16632"/>
      <c r="M16632"/>
      <c r="W16632"/>
    </row>
    <row r="16633" spans="10:23" x14ac:dyDescent="0.25">
      <c r="J16633"/>
      <c r="M16633"/>
      <c r="W16633"/>
    </row>
    <row r="16634" spans="10:23" x14ac:dyDescent="0.25">
      <c r="J16634"/>
      <c r="M16634"/>
      <c r="W16634"/>
    </row>
    <row r="16635" spans="10:23" x14ac:dyDescent="0.25">
      <c r="J16635"/>
      <c r="M16635"/>
      <c r="W16635"/>
    </row>
    <row r="16636" spans="10:23" x14ac:dyDescent="0.25">
      <c r="J16636"/>
      <c r="M16636"/>
      <c r="W16636"/>
    </row>
    <row r="16637" spans="10:23" x14ac:dyDescent="0.25">
      <c r="J16637"/>
      <c r="M16637"/>
      <c r="W16637"/>
    </row>
    <row r="16638" spans="10:23" x14ac:dyDescent="0.25">
      <c r="J16638"/>
      <c r="M16638"/>
      <c r="W16638"/>
    </row>
    <row r="16639" spans="10:23" x14ac:dyDescent="0.25">
      <c r="J16639"/>
      <c r="M16639"/>
      <c r="W16639"/>
    </row>
    <row r="16640" spans="10:23" x14ac:dyDescent="0.25">
      <c r="J16640"/>
      <c r="M16640"/>
      <c r="W16640"/>
    </row>
    <row r="16641" spans="10:23" x14ac:dyDescent="0.25">
      <c r="J16641"/>
      <c r="M16641"/>
      <c r="W16641"/>
    </row>
    <row r="16642" spans="10:23" x14ac:dyDescent="0.25">
      <c r="J16642"/>
      <c r="M16642"/>
      <c r="W16642"/>
    </row>
    <row r="16643" spans="10:23" x14ac:dyDescent="0.25">
      <c r="J16643"/>
      <c r="M16643"/>
      <c r="W16643"/>
    </row>
    <row r="16644" spans="10:23" x14ac:dyDescent="0.25">
      <c r="J16644"/>
      <c r="M16644"/>
      <c r="W16644"/>
    </row>
    <row r="16645" spans="10:23" x14ac:dyDescent="0.25">
      <c r="J16645"/>
      <c r="M16645"/>
      <c r="W16645"/>
    </row>
    <row r="16646" spans="10:23" x14ac:dyDescent="0.25">
      <c r="J16646"/>
      <c r="M16646"/>
      <c r="W16646"/>
    </row>
    <row r="16647" spans="10:23" x14ac:dyDescent="0.25">
      <c r="J16647"/>
      <c r="M16647"/>
      <c r="W16647"/>
    </row>
    <row r="16648" spans="10:23" x14ac:dyDescent="0.25">
      <c r="J16648"/>
      <c r="M16648"/>
      <c r="W16648"/>
    </row>
    <row r="16649" spans="10:23" x14ac:dyDescent="0.25">
      <c r="J16649"/>
      <c r="M16649"/>
      <c r="W16649"/>
    </row>
    <row r="16650" spans="10:23" x14ac:dyDescent="0.25">
      <c r="J16650"/>
      <c r="M16650"/>
      <c r="W16650"/>
    </row>
    <row r="16651" spans="10:23" x14ac:dyDescent="0.25">
      <c r="J16651"/>
      <c r="M16651"/>
      <c r="W16651"/>
    </row>
    <row r="16652" spans="10:23" x14ac:dyDescent="0.25">
      <c r="J16652"/>
      <c r="M16652"/>
      <c r="W16652"/>
    </row>
    <row r="16653" spans="10:23" x14ac:dyDescent="0.25">
      <c r="J16653"/>
      <c r="M16653"/>
      <c r="W16653"/>
    </row>
    <row r="16654" spans="10:23" x14ac:dyDescent="0.25">
      <c r="J16654"/>
      <c r="M16654"/>
      <c r="W16654"/>
    </row>
    <row r="16655" spans="10:23" x14ac:dyDescent="0.25">
      <c r="J16655"/>
      <c r="M16655"/>
      <c r="W16655"/>
    </row>
    <row r="16656" spans="10:23" x14ac:dyDescent="0.25">
      <c r="J16656"/>
      <c r="M16656"/>
      <c r="W16656"/>
    </row>
    <row r="16657" spans="10:23" x14ac:dyDescent="0.25">
      <c r="J16657"/>
      <c r="M16657"/>
      <c r="W16657"/>
    </row>
    <row r="16658" spans="10:23" x14ac:dyDescent="0.25">
      <c r="J16658"/>
      <c r="M16658"/>
      <c r="W16658"/>
    </row>
    <row r="16659" spans="10:23" x14ac:dyDescent="0.25">
      <c r="J16659"/>
      <c r="M16659"/>
      <c r="W16659"/>
    </row>
    <row r="16660" spans="10:23" x14ac:dyDescent="0.25">
      <c r="J16660"/>
      <c r="M16660"/>
      <c r="W16660"/>
    </row>
    <row r="16661" spans="10:23" x14ac:dyDescent="0.25">
      <c r="J16661"/>
      <c r="M16661"/>
      <c r="W16661"/>
    </row>
    <row r="16662" spans="10:23" x14ac:dyDescent="0.25">
      <c r="J16662"/>
      <c r="M16662"/>
      <c r="W16662"/>
    </row>
    <row r="16663" spans="10:23" x14ac:dyDescent="0.25">
      <c r="J16663"/>
      <c r="M16663"/>
      <c r="W16663"/>
    </row>
    <row r="16664" spans="10:23" x14ac:dyDescent="0.25">
      <c r="J16664"/>
      <c r="M16664"/>
      <c r="W16664"/>
    </row>
    <row r="16665" spans="10:23" x14ac:dyDescent="0.25">
      <c r="J16665"/>
      <c r="M16665"/>
      <c r="W16665"/>
    </row>
    <row r="16666" spans="10:23" x14ac:dyDescent="0.25">
      <c r="J16666"/>
      <c r="M16666"/>
      <c r="W16666"/>
    </row>
    <row r="16667" spans="10:23" x14ac:dyDescent="0.25">
      <c r="J16667"/>
      <c r="M16667"/>
      <c r="W16667"/>
    </row>
    <row r="16668" spans="10:23" x14ac:dyDescent="0.25">
      <c r="J16668"/>
      <c r="M16668"/>
      <c r="W16668"/>
    </row>
    <row r="16669" spans="10:23" x14ac:dyDescent="0.25">
      <c r="J16669"/>
      <c r="M16669"/>
      <c r="W16669"/>
    </row>
    <row r="16670" spans="10:23" x14ac:dyDescent="0.25">
      <c r="J16670"/>
      <c r="M16670"/>
      <c r="W16670"/>
    </row>
    <row r="16671" spans="10:23" x14ac:dyDescent="0.25">
      <c r="J16671"/>
      <c r="M16671"/>
      <c r="W16671"/>
    </row>
    <row r="16672" spans="10:23" x14ac:dyDescent="0.25">
      <c r="J16672"/>
      <c r="M16672"/>
      <c r="W16672"/>
    </row>
    <row r="16673" spans="10:23" x14ac:dyDescent="0.25">
      <c r="J16673"/>
      <c r="M16673"/>
      <c r="W16673"/>
    </row>
    <row r="16674" spans="10:23" x14ac:dyDescent="0.25">
      <c r="J16674"/>
      <c r="M16674"/>
      <c r="W16674"/>
    </row>
    <row r="16675" spans="10:23" x14ac:dyDescent="0.25">
      <c r="J16675"/>
      <c r="M16675"/>
      <c r="W16675"/>
    </row>
    <row r="16676" spans="10:23" x14ac:dyDescent="0.25">
      <c r="J16676"/>
      <c r="M16676"/>
      <c r="W16676"/>
    </row>
    <row r="16677" spans="10:23" x14ac:dyDescent="0.25">
      <c r="J16677"/>
      <c r="M16677"/>
      <c r="W16677"/>
    </row>
    <row r="16678" spans="10:23" x14ac:dyDescent="0.25">
      <c r="J16678"/>
      <c r="M16678"/>
      <c r="W16678"/>
    </row>
    <row r="16679" spans="10:23" x14ac:dyDescent="0.25">
      <c r="J16679"/>
      <c r="M16679"/>
      <c r="W16679"/>
    </row>
    <row r="16680" spans="10:23" x14ac:dyDescent="0.25">
      <c r="J16680"/>
      <c r="M16680"/>
      <c r="W16680"/>
    </row>
    <row r="16681" spans="10:23" x14ac:dyDescent="0.25">
      <c r="J16681"/>
      <c r="M16681"/>
      <c r="W16681"/>
    </row>
    <row r="16682" spans="10:23" x14ac:dyDescent="0.25">
      <c r="J16682"/>
      <c r="M16682"/>
      <c r="W16682"/>
    </row>
    <row r="16683" spans="10:23" x14ac:dyDescent="0.25">
      <c r="J16683"/>
      <c r="M16683"/>
      <c r="W16683"/>
    </row>
    <row r="16684" spans="10:23" x14ac:dyDescent="0.25">
      <c r="J16684"/>
      <c r="M16684"/>
      <c r="W16684"/>
    </row>
    <row r="16685" spans="10:23" x14ac:dyDescent="0.25">
      <c r="J16685"/>
      <c r="M16685"/>
      <c r="W16685"/>
    </row>
    <row r="16686" spans="10:23" x14ac:dyDescent="0.25">
      <c r="J16686"/>
      <c r="M16686"/>
      <c r="W16686"/>
    </row>
    <row r="16687" spans="10:23" x14ac:dyDescent="0.25">
      <c r="J16687"/>
      <c r="M16687"/>
      <c r="W16687"/>
    </row>
    <row r="16688" spans="10:23" x14ac:dyDescent="0.25">
      <c r="J16688"/>
      <c r="M16688"/>
      <c r="W16688"/>
    </row>
    <row r="16689" spans="10:23" x14ac:dyDescent="0.25">
      <c r="J16689"/>
      <c r="M16689"/>
      <c r="W16689"/>
    </row>
    <row r="16690" spans="10:23" x14ac:dyDescent="0.25">
      <c r="J16690"/>
      <c r="M16690"/>
      <c r="W16690"/>
    </row>
    <row r="16691" spans="10:23" x14ac:dyDescent="0.25">
      <c r="J16691"/>
      <c r="M16691"/>
      <c r="W16691"/>
    </row>
    <row r="16692" spans="10:23" x14ac:dyDescent="0.25">
      <c r="J16692"/>
      <c r="M16692"/>
      <c r="W16692"/>
    </row>
    <row r="16693" spans="10:23" x14ac:dyDescent="0.25">
      <c r="J16693"/>
      <c r="M16693"/>
      <c r="W16693"/>
    </row>
    <row r="16694" spans="10:23" x14ac:dyDescent="0.25">
      <c r="J16694"/>
      <c r="M16694"/>
      <c r="W16694"/>
    </row>
    <row r="16695" spans="10:23" x14ac:dyDescent="0.25">
      <c r="J16695"/>
      <c r="M16695"/>
      <c r="W16695"/>
    </row>
    <row r="16696" spans="10:23" x14ac:dyDescent="0.25">
      <c r="J16696"/>
      <c r="M16696"/>
      <c r="W16696"/>
    </row>
    <row r="16697" spans="10:23" x14ac:dyDescent="0.25">
      <c r="J16697"/>
      <c r="M16697"/>
      <c r="W16697"/>
    </row>
    <row r="16698" spans="10:23" x14ac:dyDescent="0.25">
      <c r="J16698"/>
      <c r="M16698"/>
      <c r="W16698"/>
    </row>
    <row r="16699" spans="10:23" x14ac:dyDescent="0.25">
      <c r="J16699"/>
      <c r="M16699"/>
      <c r="W16699"/>
    </row>
    <row r="16700" spans="10:23" x14ac:dyDescent="0.25">
      <c r="J16700"/>
      <c r="M16700"/>
      <c r="W16700"/>
    </row>
    <row r="16701" spans="10:23" x14ac:dyDescent="0.25">
      <c r="J16701"/>
      <c r="M16701"/>
      <c r="W16701"/>
    </row>
    <row r="16702" spans="10:23" x14ac:dyDescent="0.25">
      <c r="J16702"/>
      <c r="M16702"/>
      <c r="W16702"/>
    </row>
    <row r="16703" spans="10:23" x14ac:dyDescent="0.25">
      <c r="J16703"/>
      <c r="M16703"/>
      <c r="W16703"/>
    </row>
    <row r="16704" spans="10:23" x14ac:dyDescent="0.25">
      <c r="J16704"/>
      <c r="M16704"/>
      <c r="W16704"/>
    </row>
    <row r="16705" spans="10:23" x14ac:dyDescent="0.25">
      <c r="J16705"/>
      <c r="M16705"/>
      <c r="W16705"/>
    </row>
    <row r="16706" spans="10:23" x14ac:dyDescent="0.25">
      <c r="J16706"/>
      <c r="M16706"/>
      <c r="W16706"/>
    </row>
    <row r="16707" spans="10:23" x14ac:dyDescent="0.25">
      <c r="J16707"/>
      <c r="M16707"/>
      <c r="W16707"/>
    </row>
    <row r="16708" spans="10:23" x14ac:dyDescent="0.25">
      <c r="J16708"/>
      <c r="M16708"/>
      <c r="W16708"/>
    </row>
    <row r="16709" spans="10:23" x14ac:dyDescent="0.25">
      <c r="J16709"/>
      <c r="M16709"/>
      <c r="W16709"/>
    </row>
    <row r="16710" spans="10:23" x14ac:dyDescent="0.25">
      <c r="J16710"/>
      <c r="M16710"/>
      <c r="W16710"/>
    </row>
    <row r="16711" spans="10:23" x14ac:dyDescent="0.25">
      <c r="J16711"/>
      <c r="M16711"/>
      <c r="W16711"/>
    </row>
    <row r="16712" spans="10:23" x14ac:dyDescent="0.25">
      <c r="J16712"/>
      <c r="M16712"/>
      <c r="W16712"/>
    </row>
    <row r="16713" spans="10:23" x14ac:dyDescent="0.25">
      <c r="J16713"/>
      <c r="M16713"/>
      <c r="W16713"/>
    </row>
    <row r="16714" spans="10:23" x14ac:dyDescent="0.25">
      <c r="J16714"/>
      <c r="M16714"/>
      <c r="W16714"/>
    </row>
    <row r="16715" spans="10:23" x14ac:dyDescent="0.25">
      <c r="J16715"/>
      <c r="M16715"/>
      <c r="W16715"/>
    </row>
    <row r="16716" spans="10:23" x14ac:dyDescent="0.25">
      <c r="J16716"/>
      <c r="M16716"/>
      <c r="W16716"/>
    </row>
    <row r="16717" spans="10:23" x14ac:dyDescent="0.25">
      <c r="J16717"/>
      <c r="M16717"/>
      <c r="W16717"/>
    </row>
    <row r="16718" spans="10:23" x14ac:dyDescent="0.25">
      <c r="J16718"/>
      <c r="M16718"/>
      <c r="W16718"/>
    </row>
    <row r="16719" spans="10:23" x14ac:dyDescent="0.25">
      <c r="J16719"/>
      <c r="M16719"/>
      <c r="W16719"/>
    </row>
    <row r="16720" spans="10:23" x14ac:dyDescent="0.25">
      <c r="J16720"/>
      <c r="M16720"/>
      <c r="W16720"/>
    </row>
    <row r="16721" spans="10:23" x14ac:dyDescent="0.25">
      <c r="J16721"/>
      <c r="M16721"/>
      <c r="W16721"/>
    </row>
    <row r="16722" spans="10:23" x14ac:dyDescent="0.25">
      <c r="J16722"/>
      <c r="M16722"/>
      <c r="W16722"/>
    </row>
    <row r="16723" spans="10:23" x14ac:dyDescent="0.25">
      <c r="J16723"/>
      <c r="M16723"/>
      <c r="W16723"/>
    </row>
    <row r="16724" spans="10:23" x14ac:dyDescent="0.25">
      <c r="J16724"/>
      <c r="M16724"/>
      <c r="W16724"/>
    </row>
    <row r="16725" spans="10:23" x14ac:dyDescent="0.25">
      <c r="J16725"/>
      <c r="M16725"/>
      <c r="W16725"/>
    </row>
    <row r="16726" spans="10:23" x14ac:dyDescent="0.25">
      <c r="J16726"/>
      <c r="M16726"/>
      <c r="W16726"/>
    </row>
    <row r="16727" spans="10:23" x14ac:dyDescent="0.25">
      <c r="J16727"/>
      <c r="M16727"/>
      <c r="W16727"/>
    </row>
    <row r="16728" spans="10:23" x14ac:dyDescent="0.25">
      <c r="J16728"/>
      <c r="M16728"/>
      <c r="W16728"/>
    </row>
    <row r="16729" spans="10:23" x14ac:dyDescent="0.25">
      <c r="J16729"/>
      <c r="M16729"/>
      <c r="W16729"/>
    </row>
    <row r="16730" spans="10:23" x14ac:dyDescent="0.25">
      <c r="J16730"/>
      <c r="M16730"/>
      <c r="W16730"/>
    </row>
    <row r="16731" spans="10:23" x14ac:dyDescent="0.25">
      <c r="J16731"/>
      <c r="M16731"/>
      <c r="W16731"/>
    </row>
    <row r="16732" spans="10:23" x14ac:dyDescent="0.25">
      <c r="J16732"/>
      <c r="M16732"/>
      <c r="W16732"/>
    </row>
    <row r="16733" spans="10:23" x14ac:dyDescent="0.25">
      <c r="J16733"/>
      <c r="M16733"/>
      <c r="W16733"/>
    </row>
    <row r="16734" spans="10:23" x14ac:dyDescent="0.25">
      <c r="J16734"/>
      <c r="M16734"/>
      <c r="W16734"/>
    </row>
    <row r="16735" spans="10:23" x14ac:dyDescent="0.25">
      <c r="J16735"/>
      <c r="M16735"/>
      <c r="W16735"/>
    </row>
    <row r="16736" spans="10:23" x14ac:dyDescent="0.25">
      <c r="J16736"/>
      <c r="M16736"/>
      <c r="W16736"/>
    </row>
    <row r="16737" spans="10:23" x14ac:dyDescent="0.25">
      <c r="J16737"/>
      <c r="M16737"/>
      <c r="W16737"/>
    </row>
    <row r="16738" spans="10:23" x14ac:dyDescent="0.25">
      <c r="J16738"/>
      <c r="M16738"/>
      <c r="W16738"/>
    </row>
    <row r="16739" spans="10:23" x14ac:dyDescent="0.25">
      <c r="J16739"/>
      <c r="M16739"/>
      <c r="W16739"/>
    </row>
    <row r="16740" spans="10:23" x14ac:dyDescent="0.25">
      <c r="J16740"/>
      <c r="M16740"/>
      <c r="W16740"/>
    </row>
    <row r="16741" spans="10:23" x14ac:dyDescent="0.25">
      <c r="J16741"/>
      <c r="M16741"/>
      <c r="W16741"/>
    </row>
    <row r="16742" spans="10:23" x14ac:dyDescent="0.25">
      <c r="J16742"/>
      <c r="M16742"/>
      <c r="W16742"/>
    </row>
    <row r="16743" spans="10:23" x14ac:dyDescent="0.25">
      <c r="J16743"/>
      <c r="M16743"/>
      <c r="W16743"/>
    </row>
    <row r="16744" spans="10:23" x14ac:dyDescent="0.25">
      <c r="J16744"/>
      <c r="M16744"/>
      <c r="W16744"/>
    </row>
    <row r="16745" spans="10:23" x14ac:dyDescent="0.25">
      <c r="J16745"/>
      <c r="M16745"/>
      <c r="W16745"/>
    </row>
    <row r="16746" spans="10:23" x14ac:dyDescent="0.25">
      <c r="J16746"/>
      <c r="M16746"/>
      <c r="W16746"/>
    </row>
    <row r="16747" spans="10:23" x14ac:dyDescent="0.25">
      <c r="J16747"/>
      <c r="M16747"/>
      <c r="W16747"/>
    </row>
    <row r="16748" spans="10:23" x14ac:dyDescent="0.25">
      <c r="J16748"/>
      <c r="M16748"/>
      <c r="W16748"/>
    </row>
    <row r="16749" spans="10:23" x14ac:dyDescent="0.25">
      <c r="J16749"/>
      <c r="M16749"/>
      <c r="W16749"/>
    </row>
    <row r="16750" spans="10:23" x14ac:dyDescent="0.25">
      <c r="J16750"/>
      <c r="M16750"/>
      <c r="W16750"/>
    </row>
    <row r="16751" spans="10:23" x14ac:dyDescent="0.25">
      <c r="J16751"/>
      <c r="M16751"/>
      <c r="W16751"/>
    </row>
    <row r="16752" spans="10:23" x14ac:dyDescent="0.25">
      <c r="J16752"/>
      <c r="M16752"/>
      <c r="W16752"/>
    </row>
    <row r="16753" spans="10:23" x14ac:dyDescent="0.25">
      <c r="J16753"/>
      <c r="M16753"/>
      <c r="W16753"/>
    </row>
    <row r="16754" spans="10:23" x14ac:dyDescent="0.25">
      <c r="J16754"/>
      <c r="M16754"/>
      <c r="W16754"/>
    </row>
    <row r="16755" spans="10:23" x14ac:dyDescent="0.25">
      <c r="J16755"/>
      <c r="M16755"/>
      <c r="W16755"/>
    </row>
    <row r="16756" spans="10:23" x14ac:dyDescent="0.25">
      <c r="J16756"/>
      <c r="M16756"/>
      <c r="W16756"/>
    </row>
    <row r="16757" spans="10:23" x14ac:dyDescent="0.25">
      <c r="J16757"/>
      <c r="M16757"/>
      <c r="W16757"/>
    </row>
    <row r="16758" spans="10:23" x14ac:dyDescent="0.25">
      <c r="J16758"/>
      <c r="M16758"/>
      <c r="W16758"/>
    </row>
    <row r="16759" spans="10:23" x14ac:dyDescent="0.25">
      <c r="J16759"/>
      <c r="M16759"/>
      <c r="W16759"/>
    </row>
    <row r="16760" spans="10:23" x14ac:dyDescent="0.25">
      <c r="J16760"/>
      <c r="M16760"/>
      <c r="W16760"/>
    </row>
    <row r="16761" spans="10:23" x14ac:dyDescent="0.25">
      <c r="J16761"/>
      <c r="M16761"/>
      <c r="W16761"/>
    </row>
    <row r="16762" spans="10:23" x14ac:dyDescent="0.25">
      <c r="J16762"/>
      <c r="M16762"/>
      <c r="W16762"/>
    </row>
    <row r="16763" spans="10:23" x14ac:dyDescent="0.25">
      <c r="J16763"/>
      <c r="M16763"/>
      <c r="W16763"/>
    </row>
    <row r="16764" spans="10:23" x14ac:dyDescent="0.25">
      <c r="J16764"/>
      <c r="M16764"/>
      <c r="W16764"/>
    </row>
    <row r="16765" spans="10:23" x14ac:dyDescent="0.25">
      <c r="J16765"/>
      <c r="M16765"/>
      <c r="W16765"/>
    </row>
    <row r="16766" spans="10:23" x14ac:dyDescent="0.25">
      <c r="J16766"/>
      <c r="M16766"/>
      <c r="W16766"/>
    </row>
    <row r="16767" spans="10:23" x14ac:dyDescent="0.25">
      <c r="J16767"/>
      <c r="M16767"/>
      <c r="W16767"/>
    </row>
    <row r="16768" spans="10:23" x14ac:dyDescent="0.25">
      <c r="J16768"/>
      <c r="M16768"/>
      <c r="W16768"/>
    </row>
    <row r="16769" spans="10:23" x14ac:dyDescent="0.25">
      <c r="J16769"/>
      <c r="M16769"/>
      <c r="W16769"/>
    </row>
    <row r="16770" spans="10:23" x14ac:dyDescent="0.25">
      <c r="J16770"/>
      <c r="M16770"/>
      <c r="W16770"/>
    </row>
    <row r="16771" spans="10:23" x14ac:dyDescent="0.25">
      <c r="J16771"/>
      <c r="M16771"/>
      <c r="W16771"/>
    </row>
    <row r="16772" spans="10:23" x14ac:dyDescent="0.25">
      <c r="J16772"/>
      <c r="M16772"/>
      <c r="W16772"/>
    </row>
    <row r="16773" spans="10:23" x14ac:dyDescent="0.25">
      <c r="J16773"/>
      <c r="M16773"/>
      <c r="W16773"/>
    </row>
    <row r="16774" spans="10:23" x14ac:dyDescent="0.25">
      <c r="J16774"/>
      <c r="M16774"/>
      <c r="W16774"/>
    </row>
    <row r="16775" spans="10:23" x14ac:dyDescent="0.25">
      <c r="J16775"/>
      <c r="M16775"/>
      <c r="W16775"/>
    </row>
    <row r="16776" spans="10:23" x14ac:dyDescent="0.25">
      <c r="J16776"/>
      <c r="M16776"/>
      <c r="W16776"/>
    </row>
    <row r="16777" spans="10:23" x14ac:dyDescent="0.25">
      <c r="J16777"/>
      <c r="M16777"/>
      <c r="W16777"/>
    </row>
    <row r="16778" spans="10:23" x14ac:dyDescent="0.25">
      <c r="J16778"/>
      <c r="M16778"/>
      <c r="W16778"/>
    </row>
    <row r="16779" spans="10:23" x14ac:dyDescent="0.25">
      <c r="J16779"/>
      <c r="M16779"/>
      <c r="W16779"/>
    </row>
    <row r="16780" spans="10:23" x14ac:dyDescent="0.25">
      <c r="J16780"/>
      <c r="M16780"/>
      <c r="W16780"/>
    </row>
    <row r="16781" spans="10:23" x14ac:dyDescent="0.25">
      <c r="J16781"/>
      <c r="M16781"/>
      <c r="W16781"/>
    </row>
    <row r="16782" spans="10:23" x14ac:dyDescent="0.25">
      <c r="J16782"/>
      <c r="M16782"/>
      <c r="W16782"/>
    </row>
    <row r="16783" spans="10:23" x14ac:dyDescent="0.25">
      <c r="J16783"/>
      <c r="M16783"/>
      <c r="W16783"/>
    </row>
    <row r="16784" spans="10:23" x14ac:dyDescent="0.25">
      <c r="J16784"/>
      <c r="M16784"/>
      <c r="W16784"/>
    </row>
    <row r="16785" spans="10:23" x14ac:dyDescent="0.25">
      <c r="J16785"/>
      <c r="M16785"/>
      <c r="W16785"/>
    </row>
    <row r="16786" spans="10:23" x14ac:dyDescent="0.25">
      <c r="J16786"/>
      <c r="M16786"/>
      <c r="W16786"/>
    </row>
    <row r="16787" spans="10:23" x14ac:dyDescent="0.25">
      <c r="J16787"/>
      <c r="M16787"/>
      <c r="W16787"/>
    </row>
    <row r="16788" spans="10:23" x14ac:dyDescent="0.25">
      <c r="J16788"/>
      <c r="M16788"/>
      <c r="W16788"/>
    </row>
    <row r="16789" spans="10:23" x14ac:dyDescent="0.25">
      <c r="J16789"/>
      <c r="M16789"/>
      <c r="W16789"/>
    </row>
    <row r="16790" spans="10:23" x14ac:dyDescent="0.25">
      <c r="J16790"/>
      <c r="M16790"/>
      <c r="W16790"/>
    </row>
    <row r="16791" spans="10:23" x14ac:dyDescent="0.25">
      <c r="J16791"/>
      <c r="M16791"/>
      <c r="W16791"/>
    </row>
    <row r="16792" spans="10:23" x14ac:dyDescent="0.25">
      <c r="J16792"/>
      <c r="M16792"/>
      <c r="W16792"/>
    </row>
    <row r="16793" spans="10:23" x14ac:dyDescent="0.25">
      <c r="J16793"/>
      <c r="M16793"/>
      <c r="W16793"/>
    </row>
    <row r="16794" spans="10:23" x14ac:dyDescent="0.25">
      <c r="J16794"/>
      <c r="M16794"/>
      <c r="W16794"/>
    </row>
    <row r="16795" spans="10:23" x14ac:dyDescent="0.25">
      <c r="J16795"/>
      <c r="M16795"/>
      <c r="W16795"/>
    </row>
    <row r="16796" spans="10:23" x14ac:dyDescent="0.25">
      <c r="J16796"/>
      <c r="M16796"/>
      <c r="W16796"/>
    </row>
    <row r="16797" spans="10:23" x14ac:dyDescent="0.25">
      <c r="J16797"/>
      <c r="M16797"/>
      <c r="W16797"/>
    </row>
    <row r="16798" spans="10:23" x14ac:dyDescent="0.25">
      <c r="J16798"/>
      <c r="M16798"/>
      <c r="W16798"/>
    </row>
    <row r="16799" spans="10:23" x14ac:dyDescent="0.25">
      <c r="J16799"/>
      <c r="M16799"/>
      <c r="W16799"/>
    </row>
    <row r="16800" spans="10:23" x14ac:dyDescent="0.25">
      <c r="J16800"/>
      <c r="M16800"/>
      <c r="W16800"/>
    </row>
    <row r="16801" spans="10:23" x14ac:dyDescent="0.25">
      <c r="J16801"/>
      <c r="M16801"/>
      <c r="W16801"/>
    </row>
    <row r="16802" spans="10:23" x14ac:dyDescent="0.25">
      <c r="J16802"/>
      <c r="M16802"/>
      <c r="W16802"/>
    </row>
    <row r="16803" spans="10:23" x14ac:dyDescent="0.25">
      <c r="J16803"/>
      <c r="M16803"/>
      <c r="W16803"/>
    </row>
    <row r="16804" spans="10:23" x14ac:dyDescent="0.25">
      <c r="J16804"/>
      <c r="M16804"/>
      <c r="W16804"/>
    </row>
    <row r="16805" spans="10:23" x14ac:dyDescent="0.25">
      <c r="J16805"/>
      <c r="M16805"/>
      <c r="W16805"/>
    </row>
    <row r="16806" spans="10:23" x14ac:dyDescent="0.25">
      <c r="J16806"/>
      <c r="M16806"/>
      <c r="W16806"/>
    </row>
    <row r="16807" spans="10:23" x14ac:dyDescent="0.25">
      <c r="J16807"/>
      <c r="M16807"/>
      <c r="W16807"/>
    </row>
    <row r="16808" spans="10:23" x14ac:dyDescent="0.25">
      <c r="J16808"/>
      <c r="M16808"/>
      <c r="W16808"/>
    </row>
    <row r="16809" spans="10:23" x14ac:dyDescent="0.25">
      <c r="J16809"/>
      <c r="M16809"/>
      <c r="W16809"/>
    </row>
    <row r="16810" spans="10:23" x14ac:dyDescent="0.25">
      <c r="J16810"/>
      <c r="M16810"/>
      <c r="W16810"/>
    </row>
    <row r="16811" spans="10:23" x14ac:dyDescent="0.25">
      <c r="J16811"/>
      <c r="M16811"/>
      <c r="W16811"/>
    </row>
    <row r="16812" spans="10:23" x14ac:dyDescent="0.25">
      <c r="J16812"/>
      <c r="M16812"/>
      <c r="W16812"/>
    </row>
    <row r="16813" spans="10:23" x14ac:dyDescent="0.25">
      <c r="J16813"/>
      <c r="M16813"/>
      <c r="W16813"/>
    </row>
    <row r="16814" spans="10:23" x14ac:dyDescent="0.25">
      <c r="J16814"/>
      <c r="M16814"/>
      <c r="W16814"/>
    </row>
    <row r="16815" spans="10:23" x14ac:dyDescent="0.25">
      <c r="J16815"/>
      <c r="M16815"/>
      <c r="W16815"/>
    </row>
    <row r="16816" spans="10:23" x14ac:dyDescent="0.25">
      <c r="J16816"/>
      <c r="M16816"/>
      <c r="W16816"/>
    </row>
    <row r="16817" spans="10:23" x14ac:dyDescent="0.25">
      <c r="J16817"/>
      <c r="M16817"/>
      <c r="W16817"/>
    </row>
    <row r="16818" spans="10:23" x14ac:dyDescent="0.25">
      <c r="J16818"/>
      <c r="M16818"/>
      <c r="W16818"/>
    </row>
    <row r="16819" spans="10:23" x14ac:dyDescent="0.25">
      <c r="J16819"/>
      <c r="M16819"/>
      <c r="W16819"/>
    </row>
    <row r="16820" spans="10:23" x14ac:dyDescent="0.25">
      <c r="J16820"/>
      <c r="M16820"/>
      <c r="W16820"/>
    </row>
    <row r="16821" spans="10:23" x14ac:dyDescent="0.25">
      <c r="J16821"/>
      <c r="M16821"/>
      <c r="W16821"/>
    </row>
    <row r="16822" spans="10:23" x14ac:dyDescent="0.25">
      <c r="J16822"/>
      <c r="M16822"/>
      <c r="W16822"/>
    </row>
    <row r="16823" spans="10:23" x14ac:dyDescent="0.25">
      <c r="J16823"/>
      <c r="M16823"/>
      <c r="W16823"/>
    </row>
    <row r="16824" spans="10:23" x14ac:dyDescent="0.25">
      <c r="J16824"/>
      <c r="M16824"/>
      <c r="W16824"/>
    </row>
    <row r="16825" spans="10:23" x14ac:dyDescent="0.25">
      <c r="J16825"/>
      <c r="M16825"/>
      <c r="W16825"/>
    </row>
    <row r="16826" spans="10:23" x14ac:dyDescent="0.25">
      <c r="J16826"/>
      <c r="M16826"/>
      <c r="W16826"/>
    </row>
    <row r="16827" spans="10:23" x14ac:dyDescent="0.25">
      <c r="J16827"/>
      <c r="M16827"/>
      <c r="W16827"/>
    </row>
    <row r="16828" spans="10:23" x14ac:dyDescent="0.25">
      <c r="J16828"/>
      <c r="M16828"/>
      <c r="W16828"/>
    </row>
    <row r="16829" spans="10:23" x14ac:dyDescent="0.25">
      <c r="J16829"/>
      <c r="M16829"/>
      <c r="W16829"/>
    </row>
    <row r="16830" spans="10:23" x14ac:dyDescent="0.25">
      <c r="J16830"/>
      <c r="M16830"/>
      <c r="W16830"/>
    </row>
    <row r="16831" spans="10:23" x14ac:dyDescent="0.25">
      <c r="J16831"/>
      <c r="M16831"/>
      <c r="W16831"/>
    </row>
    <row r="16832" spans="10:23" x14ac:dyDescent="0.25">
      <c r="J16832"/>
      <c r="M16832"/>
      <c r="W16832"/>
    </row>
    <row r="16833" spans="10:23" x14ac:dyDescent="0.25">
      <c r="J16833"/>
      <c r="M16833"/>
      <c r="W16833"/>
    </row>
    <row r="16834" spans="10:23" x14ac:dyDescent="0.25">
      <c r="J16834"/>
      <c r="M16834"/>
      <c r="W16834"/>
    </row>
    <row r="16835" spans="10:23" x14ac:dyDescent="0.25">
      <c r="J16835"/>
      <c r="M16835"/>
      <c r="W16835"/>
    </row>
    <row r="16836" spans="10:23" x14ac:dyDescent="0.25">
      <c r="J16836"/>
      <c r="M16836"/>
      <c r="W16836"/>
    </row>
    <row r="16837" spans="10:23" x14ac:dyDescent="0.25">
      <c r="J16837"/>
      <c r="M16837"/>
      <c r="W16837"/>
    </row>
    <row r="16838" spans="10:23" x14ac:dyDescent="0.25">
      <c r="J16838"/>
      <c r="M16838"/>
      <c r="W16838"/>
    </row>
    <row r="16839" spans="10:23" x14ac:dyDescent="0.25">
      <c r="J16839"/>
      <c r="M16839"/>
      <c r="W16839"/>
    </row>
    <row r="16840" spans="10:23" x14ac:dyDescent="0.25">
      <c r="J16840"/>
      <c r="M16840"/>
      <c r="W16840"/>
    </row>
    <row r="16841" spans="10:23" x14ac:dyDescent="0.25">
      <c r="J16841"/>
      <c r="M16841"/>
      <c r="W16841"/>
    </row>
    <row r="16842" spans="10:23" x14ac:dyDescent="0.25">
      <c r="J16842"/>
      <c r="M16842"/>
      <c r="W16842"/>
    </row>
    <row r="16843" spans="10:23" x14ac:dyDescent="0.25">
      <c r="J16843"/>
      <c r="M16843"/>
      <c r="W16843"/>
    </row>
    <row r="16844" spans="10:23" x14ac:dyDescent="0.25">
      <c r="J16844"/>
      <c r="M16844"/>
      <c r="W16844"/>
    </row>
    <row r="16845" spans="10:23" x14ac:dyDescent="0.25">
      <c r="J16845"/>
      <c r="M16845"/>
      <c r="W16845"/>
    </row>
    <row r="16846" spans="10:23" x14ac:dyDescent="0.25">
      <c r="J16846"/>
      <c r="M16846"/>
      <c r="W16846"/>
    </row>
    <row r="16847" spans="10:23" x14ac:dyDescent="0.25">
      <c r="J16847"/>
      <c r="M16847"/>
      <c r="W16847"/>
    </row>
    <row r="16848" spans="10:23" x14ac:dyDescent="0.25">
      <c r="J16848"/>
      <c r="M16848"/>
      <c r="W16848"/>
    </row>
    <row r="16849" spans="10:23" x14ac:dyDescent="0.25">
      <c r="J16849"/>
      <c r="M16849"/>
      <c r="W16849"/>
    </row>
    <row r="16850" spans="10:23" x14ac:dyDescent="0.25">
      <c r="J16850"/>
      <c r="M16850"/>
      <c r="W16850"/>
    </row>
    <row r="16851" spans="10:23" x14ac:dyDescent="0.25">
      <c r="J16851"/>
      <c r="M16851"/>
      <c r="W16851"/>
    </row>
    <row r="16852" spans="10:23" x14ac:dyDescent="0.25">
      <c r="J16852"/>
      <c r="M16852"/>
      <c r="W16852"/>
    </row>
    <row r="16853" spans="10:23" x14ac:dyDescent="0.25">
      <c r="J16853"/>
      <c r="M16853"/>
      <c r="W16853"/>
    </row>
    <row r="16854" spans="10:23" x14ac:dyDescent="0.25">
      <c r="J16854"/>
      <c r="M16854"/>
      <c r="W16854"/>
    </row>
    <row r="16855" spans="10:23" x14ac:dyDescent="0.25">
      <c r="J16855"/>
      <c r="M16855"/>
      <c r="W16855"/>
    </row>
    <row r="16856" spans="10:23" x14ac:dyDescent="0.25">
      <c r="J16856"/>
      <c r="M16856"/>
      <c r="W16856"/>
    </row>
    <row r="16857" spans="10:23" x14ac:dyDescent="0.25">
      <c r="J16857"/>
      <c r="M16857"/>
      <c r="W16857"/>
    </row>
    <row r="16858" spans="10:23" x14ac:dyDescent="0.25">
      <c r="J16858"/>
      <c r="M16858"/>
      <c r="W16858"/>
    </row>
    <row r="16859" spans="10:23" x14ac:dyDescent="0.25">
      <c r="J16859"/>
      <c r="M16859"/>
      <c r="W16859"/>
    </row>
    <row r="16860" spans="10:23" x14ac:dyDescent="0.25">
      <c r="J16860"/>
      <c r="M16860"/>
      <c r="W16860"/>
    </row>
    <row r="16861" spans="10:23" x14ac:dyDescent="0.25">
      <c r="J16861"/>
      <c r="M16861"/>
      <c r="W16861"/>
    </row>
    <row r="16862" spans="10:23" x14ac:dyDescent="0.25">
      <c r="J16862"/>
      <c r="M16862"/>
      <c r="W16862"/>
    </row>
    <row r="16863" spans="10:23" x14ac:dyDescent="0.25">
      <c r="J16863"/>
      <c r="M16863"/>
      <c r="W16863"/>
    </row>
    <row r="16864" spans="10:23" x14ac:dyDescent="0.25">
      <c r="J16864"/>
      <c r="M16864"/>
      <c r="W16864"/>
    </row>
    <row r="16865" spans="10:23" x14ac:dyDescent="0.25">
      <c r="J16865"/>
      <c r="M16865"/>
      <c r="W16865"/>
    </row>
    <row r="16866" spans="10:23" x14ac:dyDescent="0.25">
      <c r="J16866"/>
      <c r="M16866"/>
      <c r="W16866"/>
    </row>
    <row r="16867" spans="10:23" x14ac:dyDescent="0.25">
      <c r="J16867"/>
      <c r="M16867"/>
      <c r="W16867"/>
    </row>
    <row r="16868" spans="10:23" x14ac:dyDescent="0.25">
      <c r="J16868"/>
      <c r="M16868"/>
      <c r="W16868"/>
    </row>
    <row r="16869" spans="10:23" x14ac:dyDescent="0.25">
      <c r="J16869"/>
      <c r="M16869"/>
      <c r="W16869"/>
    </row>
    <row r="16870" spans="10:23" x14ac:dyDescent="0.25">
      <c r="J16870"/>
      <c r="M16870"/>
      <c r="W16870"/>
    </row>
    <row r="16871" spans="10:23" x14ac:dyDescent="0.25">
      <c r="J16871"/>
      <c r="M16871"/>
      <c r="W16871"/>
    </row>
    <row r="16872" spans="10:23" x14ac:dyDescent="0.25">
      <c r="J16872"/>
      <c r="M16872"/>
      <c r="W16872"/>
    </row>
    <row r="16873" spans="10:23" x14ac:dyDescent="0.25">
      <c r="J16873"/>
      <c r="M16873"/>
      <c r="W16873"/>
    </row>
    <row r="16874" spans="10:23" x14ac:dyDescent="0.25">
      <c r="J16874"/>
      <c r="M16874"/>
      <c r="W16874"/>
    </row>
    <row r="16875" spans="10:23" x14ac:dyDescent="0.25">
      <c r="J16875"/>
      <c r="M16875"/>
      <c r="W16875"/>
    </row>
    <row r="16876" spans="10:23" x14ac:dyDescent="0.25">
      <c r="J16876"/>
      <c r="M16876"/>
      <c r="W16876"/>
    </row>
    <row r="16877" spans="10:23" x14ac:dyDescent="0.25">
      <c r="J16877"/>
      <c r="M16877"/>
      <c r="W16877"/>
    </row>
    <row r="16878" spans="10:23" x14ac:dyDescent="0.25">
      <c r="J16878"/>
      <c r="M16878"/>
      <c r="W16878"/>
    </row>
    <row r="16879" spans="10:23" x14ac:dyDescent="0.25">
      <c r="J16879"/>
      <c r="M16879"/>
      <c r="W16879"/>
    </row>
    <row r="16880" spans="10:23" x14ac:dyDescent="0.25">
      <c r="J16880"/>
      <c r="M16880"/>
      <c r="W16880"/>
    </row>
    <row r="16881" spans="10:23" x14ac:dyDescent="0.25">
      <c r="J16881"/>
      <c r="M16881"/>
      <c r="W16881"/>
    </row>
    <row r="16882" spans="10:23" x14ac:dyDescent="0.25">
      <c r="J16882"/>
      <c r="M16882"/>
      <c r="W16882"/>
    </row>
    <row r="16883" spans="10:23" x14ac:dyDescent="0.25">
      <c r="J16883"/>
      <c r="M16883"/>
      <c r="W16883"/>
    </row>
    <row r="16884" spans="10:23" x14ac:dyDescent="0.25">
      <c r="J16884"/>
      <c r="M16884"/>
      <c r="W16884"/>
    </row>
    <row r="16885" spans="10:23" x14ac:dyDescent="0.25">
      <c r="J16885"/>
      <c r="M16885"/>
      <c r="W16885"/>
    </row>
    <row r="16886" spans="10:23" x14ac:dyDescent="0.25">
      <c r="J16886"/>
      <c r="M16886"/>
      <c r="W16886"/>
    </row>
    <row r="16887" spans="10:23" x14ac:dyDescent="0.25">
      <c r="J16887"/>
      <c r="M16887"/>
      <c r="W16887"/>
    </row>
    <row r="16888" spans="10:23" x14ac:dyDescent="0.25">
      <c r="J16888"/>
      <c r="M16888"/>
      <c r="W16888"/>
    </row>
    <row r="16889" spans="10:23" x14ac:dyDescent="0.25">
      <c r="J16889"/>
      <c r="M16889"/>
      <c r="W16889"/>
    </row>
    <row r="16890" spans="10:23" x14ac:dyDescent="0.25">
      <c r="J16890"/>
      <c r="M16890"/>
      <c r="W16890"/>
    </row>
    <row r="16891" spans="10:23" x14ac:dyDescent="0.25">
      <c r="J16891"/>
      <c r="M16891"/>
      <c r="W16891"/>
    </row>
    <row r="16892" spans="10:23" x14ac:dyDescent="0.25">
      <c r="J16892"/>
      <c r="M16892"/>
      <c r="W16892"/>
    </row>
    <row r="16893" spans="10:23" x14ac:dyDescent="0.25">
      <c r="J16893"/>
      <c r="M16893"/>
      <c r="W16893"/>
    </row>
    <row r="16894" spans="10:23" x14ac:dyDescent="0.25">
      <c r="J16894"/>
      <c r="M16894"/>
      <c r="W16894"/>
    </row>
    <row r="16895" spans="10:23" x14ac:dyDescent="0.25">
      <c r="J16895"/>
      <c r="M16895"/>
      <c r="W16895"/>
    </row>
    <row r="16896" spans="10:23" x14ac:dyDescent="0.25">
      <c r="J16896"/>
      <c r="M16896"/>
      <c r="W16896"/>
    </row>
    <row r="16897" spans="10:23" x14ac:dyDescent="0.25">
      <c r="J16897"/>
      <c r="M16897"/>
      <c r="W16897"/>
    </row>
    <row r="16898" spans="10:23" x14ac:dyDescent="0.25">
      <c r="J16898"/>
      <c r="M16898"/>
      <c r="W16898"/>
    </row>
    <row r="16899" spans="10:23" x14ac:dyDescent="0.25">
      <c r="J16899"/>
      <c r="M16899"/>
      <c r="W16899"/>
    </row>
    <row r="16900" spans="10:23" x14ac:dyDescent="0.25">
      <c r="J16900"/>
      <c r="M16900"/>
      <c r="W16900"/>
    </row>
    <row r="16901" spans="10:23" x14ac:dyDescent="0.25">
      <c r="J16901"/>
      <c r="M16901"/>
      <c r="W16901"/>
    </row>
    <row r="16902" spans="10:23" x14ac:dyDescent="0.25">
      <c r="J16902"/>
      <c r="M16902"/>
      <c r="W16902"/>
    </row>
    <row r="16903" spans="10:23" x14ac:dyDescent="0.25">
      <c r="J16903"/>
      <c r="M16903"/>
      <c r="W16903"/>
    </row>
    <row r="16904" spans="10:23" x14ac:dyDescent="0.25">
      <c r="J16904"/>
      <c r="M16904"/>
      <c r="W16904"/>
    </row>
    <row r="16905" spans="10:23" x14ac:dyDescent="0.25">
      <c r="J16905"/>
      <c r="M16905"/>
      <c r="W16905"/>
    </row>
    <row r="16906" spans="10:23" x14ac:dyDescent="0.25">
      <c r="J16906"/>
      <c r="M16906"/>
      <c r="W16906"/>
    </row>
    <row r="16907" spans="10:23" x14ac:dyDescent="0.25">
      <c r="J16907"/>
      <c r="M16907"/>
      <c r="W16907"/>
    </row>
    <row r="16908" spans="10:23" x14ac:dyDescent="0.25">
      <c r="J16908"/>
      <c r="M16908"/>
      <c r="W16908"/>
    </row>
    <row r="16909" spans="10:23" x14ac:dyDescent="0.25">
      <c r="J16909"/>
      <c r="M16909"/>
      <c r="W16909"/>
    </row>
    <row r="16910" spans="10:23" x14ac:dyDescent="0.25">
      <c r="J16910"/>
      <c r="M16910"/>
      <c r="W16910"/>
    </row>
    <row r="16911" spans="10:23" x14ac:dyDescent="0.25">
      <c r="J16911"/>
      <c r="M16911"/>
      <c r="W16911"/>
    </row>
    <row r="16912" spans="10:23" x14ac:dyDescent="0.25">
      <c r="J16912"/>
      <c r="M16912"/>
      <c r="W16912"/>
    </row>
    <row r="16913" spans="10:23" x14ac:dyDescent="0.25">
      <c r="J16913"/>
      <c r="M16913"/>
      <c r="W16913"/>
    </row>
    <row r="16914" spans="10:23" x14ac:dyDescent="0.25">
      <c r="J16914"/>
      <c r="M16914"/>
      <c r="W16914"/>
    </row>
    <row r="16915" spans="10:23" x14ac:dyDescent="0.25">
      <c r="J16915"/>
      <c r="M16915"/>
      <c r="W16915"/>
    </row>
    <row r="16916" spans="10:23" x14ac:dyDescent="0.25">
      <c r="J16916"/>
      <c r="M16916"/>
      <c r="W16916"/>
    </row>
    <row r="16917" spans="10:23" x14ac:dyDescent="0.25">
      <c r="J16917"/>
      <c r="M16917"/>
      <c r="W16917"/>
    </row>
    <row r="16918" spans="10:23" x14ac:dyDescent="0.25">
      <c r="J16918"/>
      <c r="M16918"/>
      <c r="W16918"/>
    </row>
    <row r="16919" spans="10:23" x14ac:dyDescent="0.25">
      <c r="J16919"/>
      <c r="M16919"/>
      <c r="W16919"/>
    </row>
    <row r="16920" spans="10:23" x14ac:dyDescent="0.25">
      <c r="J16920"/>
      <c r="M16920"/>
      <c r="W16920"/>
    </row>
    <row r="16921" spans="10:23" x14ac:dyDescent="0.25">
      <c r="J16921"/>
      <c r="M16921"/>
      <c r="W16921"/>
    </row>
    <row r="16922" spans="10:23" x14ac:dyDescent="0.25">
      <c r="J16922"/>
      <c r="M16922"/>
      <c r="W16922"/>
    </row>
    <row r="16923" spans="10:23" x14ac:dyDescent="0.25">
      <c r="J16923"/>
      <c r="M16923"/>
      <c r="W16923"/>
    </row>
    <row r="16924" spans="10:23" x14ac:dyDescent="0.25">
      <c r="J16924"/>
      <c r="M16924"/>
      <c r="W16924"/>
    </row>
    <row r="16925" spans="10:23" x14ac:dyDescent="0.25">
      <c r="J16925"/>
      <c r="M16925"/>
      <c r="W16925"/>
    </row>
    <row r="16926" spans="10:23" x14ac:dyDescent="0.25">
      <c r="J16926"/>
      <c r="M16926"/>
      <c r="W16926"/>
    </row>
    <row r="16927" spans="10:23" x14ac:dyDescent="0.25">
      <c r="J16927"/>
      <c r="M16927"/>
      <c r="W16927"/>
    </row>
    <row r="16928" spans="10:23" x14ac:dyDescent="0.25">
      <c r="J16928"/>
      <c r="M16928"/>
      <c r="W16928"/>
    </row>
    <row r="16929" spans="10:23" x14ac:dyDescent="0.25">
      <c r="J16929"/>
      <c r="M16929"/>
      <c r="W16929"/>
    </row>
    <row r="16930" spans="10:23" x14ac:dyDescent="0.25">
      <c r="J16930"/>
      <c r="M16930"/>
      <c r="W16930"/>
    </row>
    <row r="16931" spans="10:23" x14ac:dyDescent="0.25">
      <c r="J16931"/>
      <c r="M16931"/>
      <c r="W16931"/>
    </row>
    <row r="16932" spans="10:23" x14ac:dyDescent="0.25">
      <c r="J16932"/>
      <c r="M16932"/>
      <c r="W16932"/>
    </row>
    <row r="16933" spans="10:23" x14ac:dyDescent="0.25">
      <c r="J16933"/>
      <c r="M16933"/>
      <c r="W16933"/>
    </row>
    <row r="16934" spans="10:23" x14ac:dyDescent="0.25">
      <c r="J16934"/>
      <c r="M16934"/>
      <c r="W16934"/>
    </row>
    <row r="16935" spans="10:23" x14ac:dyDescent="0.25">
      <c r="J16935"/>
      <c r="M16935"/>
      <c r="W16935"/>
    </row>
    <row r="16936" spans="10:23" x14ac:dyDescent="0.25">
      <c r="J16936"/>
      <c r="M16936"/>
      <c r="W16936"/>
    </row>
    <row r="16937" spans="10:23" x14ac:dyDescent="0.25">
      <c r="J16937"/>
      <c r="M16937"/>
      <c r="W16937"/>
    </row>
    <row r="16938" spans="10:23" x14ac:dyDescent="0.25">
      <c r="J16938"/>
      <c r="M16938"/>
      <c r="W16938"/>
    </row>
    <row r="16939" spans="10:23" x14ac:dyDescent="0.25">
      <c r="J16939"/>
      <c r="M16939"/>
      <c r="W16939"/>
    </row>
    <row r="16940" spans="10:23" x14ac:dyDescent="0.25">
      <c r="J16940"/>
      <c r="M16940"/>
      <c r="W16940"/>
    </row>
    <row r="16941" spans="10:23" x14ac:dyDescent="0.25">
      <c r="J16941"/>
      <c r="M16941"/>
      <c r="W16941"/>
    </row>
    <row r="16942" spans="10:23" x14ac:dyDescent="0.25">
      <c r="J16942"/>
      <c r="M16942"/>
      <c r="W16942"/>
    </row>
    <row r="16943" spans="10:23" x14ac:dyDescent="0.25">
      <c r="J16943"/>
      <c r="M16943"/>
      <c r="W16943"/>
    </row>
    <row r="16944" spans="10:23" x14ac:dyDescent="0.25">
      <c r="J16944"/>
      <c r="M16944"/>
      <c r="W16944"/>
    </row>
    <row r="16945" spans="10:23" x14ac:dyDescent="0.25">
      <c r="J16945"/>
      <c r="M16945"/>
      <c r="W16945"/>
    </row>
    <row r="16946" spans="10:23" x14ac:dyDescent="0.25">
      <c r="J16946"/>
      <c r="M16946"/>
      <c r="W16946"/>
    </row>
    <row r="16947" spans="10:23" x14ac:dyDescent="0.25">
      <c r="J16947"/>
      <c r="M16947"/>
      <c r="W16947"/>
    </row>
    <row r="16948" spans="10:23" x14ac:dyDescent="0.25">
      <c r="J16948"/>
      <c r="M16948"/>
      <c r="W16948"/>
    </row>
    <row r="16949" spans="10:23" x14ac:dyDescent="0.25">
      <c r="J16949"/>
      <c r="M16949"/>
      <c r="W16949"/>
    </row>
    <row r="16950" spans="10:23" x14ac:dyDescent="0.25">
      <c r="J16950"/>
      <c r="M16950"/>
      <c r="W16950"/>
    </row>
    <row r="16951" spans="10:23" x14ac:dyDescent="0.25">
      <c r="J16951"/>
      <c r="M16951"/>
      <c r="W16951"/>
    </row>
    <row r="16952" spans="10:23" x14ac:dyDescent="0.25">
      <c r="J16952"/>
      <c r="M16952"/>
      <c r="W16952"/>
    </row>
    <row r="16953" spans="10:23" x14ac:dyDescent="0.25">
      <c r="J16953"/>
      <c r="M16953"/>
      <c r="W16953"/>
    </row>
    <row r="16954" spans="10:23" x14ac:dyDescent="0.25">
      <c r="J16954"/>
      <c r="M16954"/>
      <c r="W16954"/>
    </row>
    <row r="16955" spans="10:23" x14ac:dyDescent="0.25">
      <c r="J16955"/>
      <c r="M16955"/>
      <c r="W16955"/>
    </row>
    <row r="16956" spans="10:23" x14ac:dyDescent="0.25">
      <c r="J16956"/>
      <c r="M16956"/>
      <c r="W16956"/>
    </row>
    <row r="16957" spans="10:23" x14ac:dyDescent="0.25">
      <c r="J16957"/>
      <c r="M16957"/>
      <c r="W16957"/>
    </row>
    <row r="16958" spans="10:23" x14ac:dyDescent="0.25">
      <c r="J16958"/>
      <c r="M16958"/>
      <c r="W16958"/>
    </row>
    <row r="16959" spans="10:23" x14ac:dyDescent="0.25">
      <c r="J16959"/>
      <c r="M16959"/>
      <c r="W16959"/>
    </row>
    <row r="16960" spans="10:23" x14ac:dyDescent="0.25">
      <c r="J16960"/>
      <c r="M16960"/>
      <c r="W16960"/>
    </row>
    <row r="16961" spans="10:23" x14ac:dyDescent="0.25">
      <c r="J16961"/>
      <c r="M16961"/>
      <c r="W16961"/>
    </row>
    <row r="16962" spans="10:23" x14ac:dyDescent="0.25">
      <c r="J16962"/>
      <c r="M16962"/>
      <c r="W16962"/>
    </row>
    <row r="16963" spans="10:23" x14ac:dyDescent="0.25">
      <c r="J16963"/>
      <c r="M16963"/>
      <c r="W16963"/>
    </row>
    <row r="16964" spans="10:23" x14ac:dyDescent="0.25">
      <c r="J16964"/>
      <c r="M16964"/>
      <c r="W16964"/>
    </row>
    <row r="16965" spans="10:23" x14ac:dyDescent="0.25">
      <c r="J16965"/>
      <c r="M16965"/>
      <c r="W16965"/>
    </row>
    <row r="16966" spans="10:23" x14ac:dyDescent="0.25">
      <c r="J16966"/>
      <c r="M16966"/>
      <c r="W16966"/>
    </row>
    <row r="16967" spans="10:23" x14ac:dyDescent="0.25">
      <c r="J16967"/>
      <c r="M16967"/>
      <c r="W16967"/>
    </row>
    <row r="16968" spans="10:23" x14ac:dyDescent="0.25">
      <c r="J16968"/>
      <c r="M16968"/>
      <c r="W16968"/>
    </row>
    <row r="16969" spans="10:23" x14ac:dyDescent="0.25">
      <c r="J16969"/>
      <c r="M16969"/>
      <c r="W16969"/>
    </row>
    <row r="16970" spans="10:23" x14ac:dyDescent="0.25">
      <c r="J16970"/>
      <c r="M16970"/>
      <c r="W16970"/>
    </row>
    <row r="16971" spans="10:23" x14ac:dyDescent="0.25">
      <c r="J16971"/>
      <c r="M16971"/>
      <c r="W16971"/>
    </row>
    <row r="16972" spans="10:23" x14ac:dyDescent="0.25">
      <c r="J16972"/>
      <c r="M16972"/>
      <c r="W16972"/>
    </row>
    <row r="16973" spans="10:23" x14ac:dyDescent="0.25">
      <c r="J16973"/>
      <c r="M16973"/>
      <c r="W16973"/>
    </row>
    <row r="16974" spans="10:23" x14ac:dyDescent="0.25">
      <c r="J16974"/>
      <c r="M16974"/>
      <c r="W16974"/>
    </row>
    <row r="16975" spans="10:23" x14ac:dyDescent="0.25">
      <c r="J16975"/>
      <c r="M16975"/>
      <c r="W16975"/>
    </row>
    <row r="16976" spans="10:23" x14ac:dyDescent="0.25">
      <c r="J16976"/>
      <c r="M16976"/>
      <c r="W16976"/>
    </row>
    <row r="16977" spans="10:23" x14ac:dyDescent="0.25">
      <c r="J16977"/>
      <c r="M16977"/>
      <c r="W16977"/>
    </row>
    <row r="16978" spans="10:23" x14ac:dyDescent="0.25">
      <c r="J16978"/>
      <c r="M16978"/>
      <c r="W16978"/>
    </row>
    <row r="16979" spans="10:23" x14ac:dyDescent="0.25">
      <c r="J16979"/>
      <c r="M16979"/>
      <c r="W16979"/>
    </row>
    <row r="16980" spans="10:23" x14ac:dyDescent="0.25">
      <c r="J16980"/>
      <c r="M16980"/>
      <c r="W16980"/>
    </row>
    <row r="16981" spans="10:23" x14ac:dyDescent="0.25">
      <c r="J16981"/>
      <c r="M16981"/>
      <c r="W16981"/>
    </row>
    <row r="16982" spans="10:23" x14ac:dyDescent="0.25">
      <c r="J16982"/>
      <c r="M16982"/>
      <c r="W16982"/>
    </row>
    <row r="16983" spans="10:23" x14ac:dyDescent="0.25">
      <c r="J16983"/>
      <c r="M16983"/>
      <c r="W16983"/>
    </row>
    <row r="16984" spans="10:23" x14ac:dyDescent="0.25">
      <c r="J16984"/>
      <c r="M16984"/>
      <c r="W16984"/>
    </row>
    <row r="16985" spans="10:23" x14ac:dyDescent="0.25">
      <c r="J16985"/>
      <c r="M16985"/>
      <c r="W16985"/>
    </row>
    <row r="16986" spans="10:23" x14ac:dyDescent="0.25">
      <c r="J16986"/>
      <c r="M16986"/>
      <c r="W16986"/>
    </row>
    <row r="16987" spans="10:23" x14ac:dyDescent="0.25">
      <c r="J16987"/>
      <c r="M16987"/>
      <c r="W16987"/>
    </row>
    <row r="16988" spans="10:23" x14ac:dyDescent="0.25">
      <c r="J16988"/>
      <c r="M16988"/>
      <c r="W16988"/>
    </row>
    <row r="16989" spans="10:23" x14ac:dyDescent="0.25">
      <c r="J16989"/>
      <c r="M16989"/>
      <c r="W16989"/>
    </row>
    <row r="16990" spans="10:23" x14ac:dyDescent="0.25">
      <c r="J16990"/>
      <c r="M16990"/>
      <c r="W16990"/>
    </row>
    <row r="16991" spans="10:23" x14ac:dyDescent="0.25">
      <c r="J16991"/>
      <c r="M16991"/>
      <c r="W16991"/>
    </row>
    <row r="16992" spans="10:23" x14ac:dyDescent="0.25">
      <c r="J16992"/>
      <c r="M16992"/>
      <c r="W16992"/>
    </row>
    <row r="16993" spans="10:23" x14ac:dyDescent="0.25">
      <c r="J16993"/>
      <c r="M16993"/>
      <c r="W16993"/>
    </row>
    <row r="16994" spans="10:23" x14ac:dyDescent="0.25">
      <c r="J16994"/>
      <c r="M16994"/>
      <c r="W16994"/>
    </row>
    <row r="16995" spans="10:23" x14ac:dyDescent="0.25">
      <c r="J16995"/>
      <c r="M16995"/>
      <c r="W16995"/>
    </row>
    <row r="16996" spans="10:23" x14ac:dyDescent="0.25">
      <c r="J16996"/>
      <c r="M16996"/>
      <c r="W16996"/>
    </row>
    <row r="16997" spans="10:23" x14ac:dyDescent="0.25">
      <c r="J16997"/>
      <c r="M16997"/>
      <c r="W16997"/>
    </row>
    <row r="16998" spans="10:23" x14ac:dyDescent="0.25">
      <c r="J16998"/>
      <c r="M16998"/>
      <c r="W16998"/>
    </row>
    <row r="16999" spans="10:23" x14ac:dyDescent="0.25">
      <c r="J16999"/>
      <c r="M16999"/>
      <c r="W16999"/>
    </row>
    <row r="17000" spans="10:23" x14ac:dyDescent="0.25">
      <c r="J17000"/>
      <c r="M17000"/>
      <c r="W17000"/>
    </row>
    <row r="17001" spans="10:23" x14ac:dyDescent="0.25">
      <c r="J17001"/>
      <c r="M17001"/>
      <c r="W17001"/>
    </row>
    <row r="17002" spans="10:23" x14ac:dyDescent="0.25">
      <c r="J17002"/>
      <c r="M17002"/>
      <c r="W17002"/>
    </row>
    <row r="17003" spans="10:23" x14ac:dyDescent="0.25">
      <c r="J17003"/>
      <c r="M17003"/>
      <c r="W17003"/>
    </row>
    <row r="17004" spans="10:23" x14ac:dyDescent="0.25">
      <c r="J17004"/>
      <c r="M17004"/>
      <c r="W17004"/>
    </row>
    <row r="17005" spans="10:23" x14ac:dyDescent="0.25">
      <c r="J17005"/>
      <c r="M17005"/>
      <c r="W17005"/>
    </row>
    <row r="17006" spans="10:23" x14ac:dyDescent="0.25">
      <c r="J17006"/>
      <c r="M17006"/>
      <c r="W17006"/>
    </row>
    <row r="17007" spans="10:23" x14ac:dyDescent="0.25">
      <c r="J17007"/>
      <c r="M17007"/>
      <c r="W17007"/>
    </row>
    <row r="17008" spans="10:23" x14ac:dyDescent="0.25">
      <c r="J17008"/>
      <c r="M17008"/>
      <c r="W17008"/>
    </row>
    <row r="17009" spans="10:23" x14ac:dyDescent="0.25">
      <c r="J17009"/>
      <c r="M17009"/>
      <c r="W17009"/>
    </row>
    <row r="17010" spans="10:23" x14ac:dyDescent="0.25">
      <c r="J17010"/>
      <c r="M17010"/>
      <c r="W17010"/>
    </row>
    <row r="17011" spans="10:23" x14ac:dyDescent="0.25">
      <c r="J17011"/>
      <c r="M17011"/>
      <c r="W17011"/>
    </row>
    <row r="17012" spans="10:23" x14ac:dyDescent="0.25">
      <c r="J17012"/>
      <c r="M17012"/>
      <c r="W17012"/>
    </row>
    <row r="17013" spans="10:23" x14ac:dyDescent="0.25">
      <c r="J17013"/>
      <c r="M17013"/>
      <c r="W17013"/>
    </row>
    <row r="17014" spans="10:23" x14ac:dyDescent="0.25">
      <c r="J17014"/>
      <c r="M17014"/>
      <c r="W17014"/>
    </row>
    <row r="17015" spans="10:23" x14ac:dyDescent="0.25">
      <c r="J17015"/>
      <c r="M17015"/>
      <c r="W17015"/>
    </row>
    <row r="17016" spans="10:23" x14ac:dyDescent="0.25">
      <c r="J17016"/>
      <c r="M17016"/>
      <c r="W17016"/>
    </row>
    <row r="17017" spans="10:23" x14ac:dyDescent="0.25">
      <c r="J17017"/>
      <c r="M17017"/>
      <c r="W17017"/>
    </row>
    <row r="17018" spans="10:23" x14ac:dyDescent="0.25">
      <c r="J17018"/>
      <c r="M17018"/>
      <c r="W17018"/>
    </row>
    <row r="17019" spans="10:23" x14ac:dyDescent="0.25">
      <c r="J17019"/>
      <c r="M17019"/>
      <c r="W17019"/>
    </row>
    <row r="17020" spans="10:23" x14ac:dyDescent="0.25">
      <c r="J17020"/>
      <c r="M17020"/>
      <c r="W17020"/>
    </row>
    <row r="17021" spans="10:23" x14ac:dyDescent="0.25">
      <c r="J17021"/>
      <c r="M17021"/>
      <c r="W17021"/>
    </row>
    <row r="17022" spans="10:23" x14ac:dyDescent="0.25">
      <c r="J17022"/>
      <c r="M17022"/>
      <c r="W17022"/>
    </row>
    <row r="17023" spans="10:23" x14ac:dyDescent="0.25">
      <c r="J17023"/>
      <c r="M17023"/>
      <c r="W17023"/>
    </row>
    <row r="17024" spans="10:23" x14ac:dyDescent="0.25">
      <c r="J17024"/>
      <c r="M17024"/>
      <c r="W17024"/>
    </row>
    <row r="17025" spans="10:23" x14ac:dyDescent="0.25">
      <c r="J17025"/>
      <c r="M17025"/>
      <c r="W17025"/>
    </row>
    <row r="17026" spans="10:23" x14ac:dyDescent="0.25">
      <c r="J17026"/>
      <c r="M17026"/>
      <c r="W17026"/>
    </row>
    <row r="17027" spans="10:23" x14ac:dyDescent="0.25">
      <c r="J17027"/>
      <c r="M17027"/>
      <c r="W17027"/>
    </row>
    <row r="17028" spans="10:23" x14ac:dyDescent="0.25">
      <c r="J17028"/>
      <c r="M17028"/>
      <c r="W17028"/>
    </row>
    <row r="17029" spans="10:23" x14ac:dyDescent="0.25">
      <c r="J17029"/>
      <c r="M17029"/>
      <c r="W17029"/>
    </row>
    <row r="17030" spans="10:23" x14ac:dyDescent="0.25">
      <c r="J17030"/>
      <c r="M17030"/>
      <c r="W17030"/>
    </row>
    <row r="17031" spans="10:23" x14ac:dyDescent="0.25">
      <c r="J17031"/>
      <c r="M17031"/>
      <c r="W17031"/>
    </row>
    <row r="17032" spans="10:23" x14ac:dyDescent="0.25">
      <c r="J17032"/>
      <c r="M17032"/>
      <c r="W17032"/>
    </row>
    <row r="17033" spans="10:23" x14ac:dyDescent="0.25">
      <c r="J17033"/>
      <c r="M17033"/>
      <c r="W17033"/>
    </row>
    <row r="17034" spans="10:23" x14ac:dyDescent="0.25">
      <c r="J17034"/>
      <c r="M17034"/>
      <c r="W17034"/>
    </row>
    <row r="17035" spans="10:23" x14ac:dyDescent="0.25">
      <c r="J17035"/>
      <c r="M17035"/>
      <c r="W17035"/>
    </row>
    <row r="17036" spans="10:23" x14ac:dyDescent="0.25">
      <c r="J17036"/>
      <c r="M17036"/>
      <c r="W17036"/>
    </row>
    <row r="17037" spans="10:23" x14ac:dyDescent="0.25">
      <c r="J17037"/>
      <c r="M17037"/>
      <c r="W17037"/>
    </row>
    <row r="17038" spans="10:23" x14ac:dyDescent="0.25">
      <c r="J17038"/>
      <c r="M17038"/>
      <c r="W17038"/>
    </row>
    <row r="17039" spans="10:23" x14ac:dyDescent="0.25">
      <c r="J17039"/>
      <c r="M17039"/>
      <c r="W17039"/>
    </row>
    <row r="17040" spans="10:23" x14ac:dyDescent="0.25">
      <c r="J17040"/>
      <c r="M17040"/>
      <c r="W17040"/>
    </row>
    <row r="17041" spans="10:23" x14ac:dyDescent="0.25">
      <c r="J17041"/>
      <c r="M17041"/>
      <c r="W17041"/>
    </row>
    <row r="17042" spans="10:23" x14ac:dyDescent="0.25">
      <c r="J17042"/>
      <c r="M17042"/>
      <c r="W17042"/>
    </row>
    <row r="17043" spans="10:23" x14ac:dyDescent="0.25">
      <c r="J17043"/>
      <c r="M17043"/>
      <c r="W17043"/>
    </row>
    <row r="17044" spans="10:23" x14ac:dyDescent="0.25">
      <c r="J17044"/>
      <c r="M17044"/>
      <c r="W17044"/>
    </row>
    <row r="17045" spans="10:23" x14ac:dyDescent="0.25">
      <c r="J17045"/>
      <c r="M17045"/>
      <c r="W17045"/>
    </row>
    <row r="17046" spans="10:23" x14ac:dyDescent="0.25">
      <c r="J17046"/>
      <c r="M17046"/>
      <c r="W17046"/>
    </row>
    <row r="17047" spans="10:23" x14ac:dyDescent="0.25">
      <c r="J17047"/>
      <c r="M17047"/>
      <c r="W17047"/>
    </row>
    <row r="17048" spans="10:23" x14ac:dyDescent="0.25">
      <c r="J17048"/>
      <c r="M17048"/>
      <c r="W17048"/>
    </row>
    <row r="17049" spans="10:23" x14ac:dyDescent="0.25">
      <c r="J17049"/>
      <c r="M17049"/>
      <c r="W17049"/>
    </row>
    <row r="17050" spans="10:23" x14ac:dyDescent="0.25">
      <c r="J17050"/>
      <c r="M17050"/>
      <c r="W17050"/>
    </row>
    <row r="17051" spans="10:23" x14ac:dyDescent="0.25">
      <c r="J17051"/>
      <c r="M17051"/>
      <c r="W17051"/>
    </row>
    <row r="17052" spans="10:23" x14ac:dyDescent="0.25">
      <c r="J17052"/>
      <c r="M17052"/>
      <c r="W17052"/>
    </row>
    <row r="17053" spans="10:23" x14ac:dyDescent="0.25">
      <c r="J17053"/>
      <c r="M17053"/>
      <c r="W17053"/>
    </row>
    <row r="17054" spans="10:23" x14ac:dyDescent="0.25">
      <c r="J17054"/>
      <c r="M17054"/>
      <c r="W17054"/>
    </row>
    <row r="17055" spans="10:23" x14ac:dyDescent="0.25">
      <c r="J17055"/>
      <c r="M17055"/>
      <c r="W17055"/>
    </row>
    <row r="17056" spans="10:23" x14ac:dyDescent="0.25">
      <c r="J17056"/>
      <c r="M17056"/>
      <c r="W17056"/>
    </row>
    <row r="17057" spans="10:23" x14ac:dyDescent="0.25">
      <c r="J17057"/>
      <c r="M17057"/>
      <c r="W17057"/>
    </row>
    <row r="17058" spans="10:23" x14ac:dyDescent="0.25">
      <c r="J17058"/>
      <c r="M17058"/>
      <c r="W17058"/>
    </row>
    <row r="17059" spans="10:23" x14ac:dyDescent="0.25">
      <c r="J17059"/>
      <c r="M17059"/>
      <c r="W17059"/>
    </row>
    <row r="17060" spans="10:23" x14ac:dyDescent="0.25">
      <c r="J17060"/>
      <c r="M17060"/>
      <c r="W17060"/>
    </row>
    <row r="17061" spans="10:23" x14ac:dyDescent="0.25">
      <c r="J17061"/>
      <c r="M17061"/>
      <c r="W17061"/>
    </row>
    <row r="17062" spans="10:23" x14ac:dyDescent="0.25">
      <c r="J17062"/>
      <c r="M17062"/>
      <c r="W17062"/>
    </row>
    <row r="17063" spans="10:23" x14ac:dyDescent="0.25">
      <c r="J17063"/>
      <c r="M17063"/>
      <c r="W17063"/>
    </row>
    <row r="17064" spans="10:23" x14ac:dyDescent="0.25">
      <c r="J17064"/>
      <c r="M17064"/>
      <c r="W17064"/>
    </row>
    <row r="17065" spans="10:23" x14ac:dyDescent="0.25">
      <c r="J17065"/>
      <c r="M17065"/>
      <c r="W17065"/>
    </row>
    <row r="17066" spans="10:23" x14ac:dyDescent="0.25">
      <c r="J17066"/>
      <c r="M17066"/>
      <c r="W17066"/>
    </row>
    <row r="17067" spans="10:23" x14ac:dyDescent="0.25">
      <c r="J17067"/>
      <c r="M17067"/>
      <c r="W17067"/>
    </row>
    <row r="17068" spans="10:23" x14ac:dyDescent="0.25">
      <c r="J17068"/>
      <c r="M17068"/>
      <c r="W17068"/>
    </row>
    <row r="17069" spans="10:23" x14ac:dyDescent="0.25">
      <c r="J17069"/>
      <c r="M17069"/>
      <c r="W17069"/>
    </row>
    <row r="17070" spans="10:23" x14ac:dyDescent="0.25">
      <c r="J17070"/>
      <c r="M17070"/>
      <c r="W17070"/>
    </row>
    <row r="17071" spans="10:23" x14ac:dyDescent="0.25">
      <c r="J17071"/>
      <c r="M17071"/>
      <c r="W17071"/>
    </row>
    <row r="17072" spans="10:23" x14ac:dyDescent="0.25">
      <c r="J17072"/>
      <c r="M17072"/>
      <c r="W17072"/>
    </row>
    <row r="17073" spans="10:23" x14ac:dyDescent="0.25">
      <c r="J17073"/>
      <c r="M17073"/>
      <c r="W17073"/>
    </row>
    <row r="17074" spans="10:23" x14ac:dyDescent="0.25">
      <c r="J17074"/>
      <c r="M17074"/>
      <c r="W17074"/>
    </row>
    <row r="17075" spans="10:23" x14ac:dyDescent="0.25">
      <c r="J17075"/>
      <c r="M17075"/>
      <c r="W17075"/>
    </row>
    <row r="17076" spans="10:23" x14ac:dyDescent="0.25">
      <c r="J17076"/>
      <c r="M17076"/>
      <c r="W17076"/>
    </row>
    <row r="17077" spans="10:23" x14ac:dyDescent="0.25">
      <c r="J17077"/>
      <c r="M17077"/>
      <c r="W17077"/>
    </row>
    <row r="17078" spans="10:23" x14ac:dyDescent="0.25">
      <c r="J17078"/>
      <c r="M17078"/>
      <c r="W17078"/>
    </row>
    <row r="17079" spans="10:23" x14ac:dyDescent="0.25">
      <c r="J17079"/>
      <c r="M17079"/>
      <c r="W17079"/>
    </row>
    <row r="17080" spans="10:23" x14ac:dyDescent="0.25">
      <c r="J17080"/>
      <c r="M17080"/>
      <c r="W17080"/>
    </row>
    <row r="17081" spans="10:23" x14ac:dyDescent="0.25">
      <c r="J17081"/>
      <c r="M17081"/>
      <c r="W17081"/>
    </row>
    <row r="17082" spans="10:23" x14ac:dyDescent="0.25">
      <c r="J17082"/>
      <c r="M17082"/>
      <c r="W17082"/>
    </row>
    <row r="17083" spans="10:23" x14ac:dyDescent="0.25">
      <c r="J17083"/>
      <c r="M17083"/>
      <c r="W17083"/>
    </row>
    <row r="17084" spans="10:23" x14ac:dyDescent="0.25">
      <c r="J17084"/>
      <c r="M17084"/>
      <c r="W17084"/>
    </row>
    <row r="17085" spans="10:23" x14ac:dyDescent="0.25">
      <c r="J17085"/>
      <c r="M17085"/>
      <c r="W17085"/>
    </row>
    <row r="17086" spans="10:23" x14ac:dyDescent="0.25">
      <c r="J17086"/>
      <c r="M17086"/>
      <c r="W17086"/>
    </row>
    <row r="17087" spans="10:23" x14ac:dyDescent="0.25">
      <c r="J17087"/>
      <c r="M17087"/>
      <c r="W17087"/>
    </row>
    <row r="17088" spans="10:23" x14ac:dyDescent="0.25">
      <c r="J17088"/>
      <c r="M17088"/>
      <c r="W17088"/>
    </row>
    <row r="17089" spans="10:23" x14ac:dyDescent="0.25">
      <c r="J17089"/>
      <c r="M17089"/>
      <c r="W17089"/>
    </row>
    <row r="17090" spans="10:23" x14ac:dyDescent="0.25">
      <c r="J17090"/>
      <c r="M17090"/>
      <c r="W17090"/>
    </row>
    <row r="17091" spans="10:23" x14ac:dyDescent="0.25">
      <c r="J17091"/>
      <c r="M17091"/>
      <c r="W17091"/>
    </row>
    <row r="17092" spans="10:23" x14ac:dyDescent="0.25">
      <c r="J17092"/>
      <c r="M17092"/>
      <c r="W17092"/>
    </row>
    <row r="17093" spans="10:23" x14ac:dyDescent="0.25">
      <c r="J17093"/>
      <c r="M17093"/>
      <c r="W17093"/>
    </row>
    <row r="17094" spans="10:23" x14ac:dyDescent="0.25">
      <c r="J17094"/>
      <c r="M17094"/>
      <c r="W17094"/>
    </row>
    <row r="17095" spans="10:23" x14ac:dyDescent="0.25">
      <c r="J17095"/>
      <c r="M17095"/>
      <c r="W17095"/>
    </row>
    <row r="17096" spans="10:23" x14ac:dyDescent="0.25">
      <c r="J17096"/>
      <c r="M17096"/>
      <c r="W17096"/>
    </row>
    <row r="17097" spans="10:23" x14ac:dyDescent="0.25">
      <c r="J17097"/>
      <c r="M17097"/>
      <c r="W17097"/>
    </row>
    <row r="17098" spans="10:23" x14ac:dyDescent="0.25">
      <c r="J17098"/>
      <c r="M17098"/>
      <c r="W17098"/>
    </row>
    <row r="17099" spans="10:23" x14ac:dyDescent="0.25">
      <c r="J17099"/>
      <c r="M17099"/>
      <c r="W17099"/>
    </row>
    <row r="17100" spans="10:23" x14ac:dyDescent="0.25">
      <c r="J17100"/>
      <c r="M17100"/>
      <c r="W17100"/>
    </row>
    <row r="17101" spans="10:23" x14ac:dyDescent="0.25">
      <c r="J17101"/>
      <c r="M17101"/>
      <c r="W17101"/>
    </row>
    <row r="17102" spans="10:23" x14ac:dyDescent="0.25">
      <c r="J17102"/>
      <c r="M17102"/>
      <c r="W17102"/>
    </row>
    <row r="17103" spans="10:23" x14ac:dyDescent="0.25">
      <c r="J17103"/>
      <c r="M17103"/>
      <c r="W17103"/>
    </row>
    <row r="17104" spans="10:23" x14ac:dyDescent="0.25">
      <c r="J17104"/>
      <c r="M17104"/>
      <c r="W17104"/>
    </row>
    <row r="17105" spans="10:23" x14ac:dyDescent="0.25">
      <c r="J17105"/>
      <c r="M17105"/>
      <c r="W17105"/>
    </row>
    <row r="17106" spans="10:23" x14ac:dyDescent="0.25">
      <c r="J17106"/>
      <c r="M17106"/>
      <c r="W17106"/>
    </row>
    <row r="17107" spans="10:23" x14ac:dyDescent="0.25">
      <c r="J17107"/>
      <c r="M17107"/>
      <c r="W17107"/>
    </row>
    <row r="17108" spans="10:23" x14ac:dyDescent="0.25">
      <c r="J17108"/>
      <c r="M17108"/>
      <c r="W17108"/>
    </row>
    <row r="17109" spans="10:23" x14ac:dyDescent="0.25">
      <c r="J17109"/>
      <c r="M17109"/>
      <c r="W17109"/>
    </row>
    <row r="17110" spans="10:23" x14ac:dyDescent="0.25">
      <c r="J17110"/>
      <c r="M17110"/>
      <c r="W17110"/>
    </row>
    <row r="17111" spans="10:23" x14ac:dyDescent="0.25">
      <c r="J17111"/>
      <c r="M17111"/>
      <c r="W17111"/>
    </row>
    <row r="17112" spans="10:23" x14ac:dyDescent="0.25">
      <c r="J17112"/>
      <c r="M17112"/>
      <c r="W17112"/>
    </row>
    <row r="17113" spans="10:23" x14ac:dyDescent="0.25">
      <c r="J17113"/>
      <c r="M17113"/>
      <c r="W17113"/>
    </row>
    <row r="17114" spans="10:23" x14ac:dyDescent="0.25">
      <c r="J17114"/>
      <c r="M17114"/>
      <c r="W17114"/>
    </row>
    <row r="17115" spans="10:23" x14ac:dyDescent="0.25">
      <c r="J17115"/>
      <c r="M17115"/>
      <c r="W17115"/>
    </row>
    <row r="17116" spans="10:23" x14ac:dyDescent="0.25">
      <c r="J17116"/>
      <c r="M17116"/>
      <c r="W17116"/>
    </row>
    <row r="17117" spans="10:23" x14ac:dyDescent="0.25">
      <c r="J17117"/>
      <c r="M17117"/>
      <c r="W17117"/>
    </row>
    <row r="17118" spans="10:23" x14ac:dyDescent="0.25">
      <c r="J17118"/>
      <c r="M17118"/>
      <c r="W17118"/>
    </row>
    <row r="17119" spans="10:23" x14ac:dyDescent="0.25">
      <c r="J17119"/>
      <c r="M17119"/>
      <c r="W17119"/>
    </row>
    <row r="17120" spans="10:23" x14ac:dyDescent="0.25">
      <c r="J17120"/>
      <c r="M17120"/>
      <c r="W17120"/>
    </row>
    <row r="17121" spans="10:23" x14ac:dyDescent="0.25">
      <c r="J17121"/>
      <c r="M17121"/>
      <c r="W17121"/>
    </row>
    <row r="17122" spans="10:23" x14ac:dyDescent="0.25">
      <c r="J17122"/>
      <c r="M17122"/>
      <c r="W17122"/>
    </row>
    <row r="17123" spans="10:23" x14ac:dyDescent="0.25">
      <c r="J17123"/>
      <c r="M17123"/>
      <c r="W17123"/>
    </row>
    <row r="17124" spans="10:23" x14ac:dyDescent="0.25">
      <c r="J17124"/>
      <c r="M17124"/>
      <c r="W17124"/>
    </row>
    <row r="17125" spans="10:23" x14ac:dyDescent="0.25">
      <c r="J17125"/>
      <c r="M17125"/>
      <c r="W17125"/>
    </row>
    <row r="17126" spans="10:23" x14ac:dyDescent="0.25">
      <c r="J17126"/>
      <c r="M17126"/>
      <c r="W17126"/>
    </row>
    <row r="17127" spans="10:23" x14ac:dyDescent="0.25">
      <c r="J17127"/>
      <c r="M17127"/>
      <c r="W17127"/>
    </row>
    <row r="17128" spans="10:23" x14ac:dyDescent="0.25">
      <c r="J17128"/>
      <c r="M17128"/>
      <c r="W17128"/>
    </row>
    <row r="17129" spans="10:23" x14ac:dyDescent="0.25">
      <c r="J17129"/>
      <c r="M17129"/>
      <c r="W17129"/>
    </row>
    <row r="17130" spans="10:23" x14ac:dyDescent="0.25">
      <c r="J17130"/>
      <c r="M17130"/>
      <c r="W17130"/>
    </row>
    <row r="17131" spans="10:23" x14ac:dyDescent="0.25">
      <c r="J17131"/>
      <c r="M17131"/>
      <c r="W17131"/>
    </row>
    <row r="17132" spans="10:23" x14ac:dyDescent="0.25">
      <c r="J17132"/>
      <c r="M17132"/>
      <c r="W17132"/>
    </row>
    <row r="17133" spans="10:23" x14ac:dyDescent="0.25">
      <c r="J17133"/>
      <c r="M17133"/>
      <c r="W17133"/>
    </row>
    <row r="17134" spans="10:23" x14ac:dyDescent="0.25">
      <c r="J17134"/>
      <c r="M17134"/>
      <c r="W17134"/>
    </row>
    <row r="17135" spans="10:23" x14ac:dyDescent="0.25">
      <c r="J17135"/>
      <c r="M17135"/>
      <c r="W17135"/>
    </row>
    <row r="17136" spans="10:23" x14ac:dyDescent="0.25">
      <c r="J17136"/>
      <c r="M17136"/>
      <c r="W17136"/>
    </row>
    <row r="17137" spans="10:23" x14ac:dyDescent="0.25">
      <c r="J17137"/>
      <c r="M17137"/>
      <c r="W17137"/>
    </row>
    <row r="17138" spans="10:23" x14ac:dyDescent="0.25">
      <c r="J17138"/>
      <c r="M17138"/>
      <c r="W17138"/>
    </row>
    <row r="17139" spans="10:23" x14ac:dyDescent="0.25">
      <c r="J17139"/>
      <c r="M17139"/>
      <c r="W17139"/>
    </row>
    <row r="17140" spans="10:23" x14ac:dyDescent="0.25">
      <c r="J17140"/>
      <c r="M17140"/>
      <c r="W17140"/>
    </row>
    <row r="17141" spans="10:23" x14ac:dyDescent="0.25">
      <c r="J17141"/>
      <c r="M17141"/>
      <c r="W17141"/>
    </row>
    <row r="17142" spans="10:23" x14ac:dyDescent="0.25">
      <c r="J17142"/>
      <c r="M17142"/>
      <c r="W17142"/>
    </row>
    <row r="17143" spans="10:23" x14ac:dyDescent="0.25">
      <c r="J17143"/>
      <c r="M17143"/>
      <c r="W17143"/>
    </row>
    <row r="17144" spans="10:23" x14ac:dyDescent="0.25">
      <c r="J17144"/>
      <c r="M17144"/>
      <c r="W17144"/>
    </row>
  </sheetData>
  <sheetProtection autoFilter="0"/>
  <autoFilter ref="A19:AB165"/>
  <sortState ref="A20:AB826">
    <sortCondition ref="B19"/>
  </sortState>
  <mergeCells count="1">
    <mergeCell ref="U3:V3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Q4000"/>
  <sheetViews>
    <sheetView showGridLines="0" topLeftCell="U1" zoomScale="85" zoomScaleNormal="85" workbookViewId="0">
      <selection activeCell="BI30" sqref="BI30"/>
    </sheetView>
  </sheetViews>
  <sheetFormatPr defaultRowHeight="15" x14ac:dyDescent="0.25"/>
  <cols>
    <col min="20" max="20" width="9.7109375" bestFit="1" customWidth="1"/>
    <col min="61" max="61" width="10.7109375" customWidth="1"/>
    <col min="69" max="69" width="9.85546875" bestFit="1" customWidth="1"/>
  </cols>
  <sheetData>
    <row r="1" spans="1:69" x14ac:dyDescent="0.25">
      <c r="A1" s="82" t="s">
        <v>54</v>
      </c>
      <c r="B1" s="3" t="s">
        <v>61</v>
      </c>
      <c r="C1" s="3" t="s">
        <v>62</v>
      </c>
      <c r="D1" s="3" t="s">
        <v>63</v>
      </c>
      <c r="E1" s="3" t="s">
        <v>31</v>
      </c>
      <c r="F1" s="3" t="s">
        <v>36</v>
      </c>
      <c r="G1" s="3" t="s">
        <v>64</v>
      </c>
      <c r="H1" s="3" t="s">
        <v>65</v>
      </c>
      <c r="I1" s="3" t="s">
        <v>66</v>
      </c>
      <c r="J1" s="3" t="s">
        <v>67</v>
      </c>
      <c r="K1" s="3" t="s">
        <v>68</v>
      </c>
      <c r="L1" s="3" t="s">
        <v>69</v>
      </c>
      <c r="M1" s="3" t="s">
        <v>70</v>
      </c>
      <c r="N1" s="3" t="s">
        <v>71</v>
      </c>
      <c r="O1" s="3" t="s">
        <v>72</v>
      </c>
      <c r="P1" s="3" t="s">
        <v>73</v>
      </c>
      <c r="Q1" s="3" t="s">
        <v>27</v>
      </c>
      <c r="T1" s="82" t="s">
        <v>54</v>
      </c>
      <c r="U1" s="3" t="s">
        <v>61</v>
      </c>
      <c r="V1" s="3" t="s">
        <v>62</v>
      </c>
      <c r="W1" s="3" t="s">
        <v>63</v>
      </c>
      <c r="X1" s="3" t="s">
        <v>31</v>
      </c>
      <c r="Y1" s="3" t="s">
        <v>36</v>
      </c>
      <c r="Z1" s="3" t="s">
        <v>64</v>
      </c>
      <c r="AA1" s="3" t="s">
        <v>65</v>
      </c>
      <c r="AB1" s="3" t="s">
        <v>66</v>
      </c>
      <c r="AC1" s="3" t="s">
        <v>67</v>
      </c>
      <c r="AD1" s="3" t="s">
        <v>68</v>
      </c>
      <c r="AE1" s="3" t="s">
        <v>69</v>
      </c>
      <c r="AF1" s="3" t="s">
        <v>70</v>
      </c>
      <c r="AG1" s="3" t="s">
        <v>71</v>
      </c>
      <c r="AH1" s="3" t="s">
        <v>72</v>
      </c>
      <c r="AI1" s="3" t="s">
        <v>73</v>
      </c>
      <c r="AJ1" s="3" t="s">
        <v>27</v>
      </c>
      <c r="AK1" s="13" t="s">
        <v>74</v>
      </c>
      <c r="AL1" s="13" t="s">
        <v>31</v>
      </c>
      <c r="AM1" s="13" t="s">
        <v>75</v>
      </c>
      <c r="AN1" s="13" t="s">
        <v>59</v>
      </c>
      <c r="AO1" s="13" t="s">
        <v>60</v>
      </c>
      <c r="AP1" s="83" t="s">
        <v>76</v>
      </c>
      <c r="AQ1" s="84" t="s">
        <v>77</v>
      </c>
      <c r="AT1" s="46" t="s">
        <v>21</v>
      </c>
      <c r="AV1" s="54" t="s">
        <v>101</v>
      </c>
      <c r="AW1" s="54" t="s">
        <v>102</v>
      </c>
      <c r="AX1" s="54" t="s">
        <v>103</v>
      </c>
      <c r="AZ1" s="54" t="s">
        <v>6</v>
      </c>
      <c r="BA1" s="54" t="s">
        <v>7</v>
      </c>
      <c r="BB1" s="54" t="s">
        <v>16</v>
      </c>
    </row>
    <row r="2" spans="1:69" x14ac:dyDescent="0.25">
      <c r="A2" s="1"/>
      <c r="T2" s="1"/>
      <c r="AQ2">
        <v>0</v>
      </c>
      <c r="AT2" s="47" t="s">
        <v>33</v>
      </c>
      <c r="AV2" s="55">
        <v>80286</v>
      </c>
      <c r="AW2" s="55" t="s">
        <v>104</v>
      </c>
      <c r="AX2" s="62" t="s">
        <v>105</v>
      </c>
      <c r="AZ2" s="56" t="s">
        <v>53</v>
      </c>
      <c r="BA2" s="56" t="s">
        <v>153</v>
      </c>
      <c r="BB2" s="56" t="s">
        <v>38</v>
      </c>
    </row>
    <row r="3" spans="1:69" x14ac:dyDescent="0.25">
      <c r="T3" s="1"/>
      <c r="AT3" s="47" t="s">
        <v>93</v>
      </c>
      <c r="AV3" s="55">
        <v>80306</v>
      </c>
      <c r="AW3" s="55" t="s">
        <v>106</v>
      </c>
      <c r="AX3" s="62" t="s">
        <v>107</v>
      </c>
      <c r="AZ3" s="56" t="s">
        <v>49</v>
      </c>
      <c r="BA3" s="56" t="s">
        <v>44</v>
      </c>
      <c r="BB3" s="61" t="s">
        <v>34</v>
      </c>
    </row>
    <row r="4" spans="1:69" x14ac:dyDescent="0.25">
      <c r="T4" s="1"/>
      <c r="AT4" s="48" t="s">
        <v>56</v>
      </c>
      <c r="AV4" s="55">
        <v>80641</v>
      </c>
      <c r="AW4" s="55" t="s">
        <v>108</v>
      </c>
      <c r="AX4" s="62" t="s">
        <v>109</v>
      </c>
      <c r="AZ4" s="56" t="s">
        <v>43</v>
      </c>
      <c r="BA4" s="56" t="s">
        <v>44</v>
      </c>
      <c r="BB4" s="61" t="s">
        <v>34</v>
      </c>
      <c r="BP4" s="14" t="s">
        <v>87</v>
      </c>
      <c r="BQ4" s="14" t="s">
        <v>88</v>
      </c>
    </row>
    <row r="5" spans="1:69" ht="15" customHeight="1" x14ac:dyDescent="0.25">
      <c r="AV5" s="55">
        <v>80653</v>
      </c>
      <c r="AW5" s="55" t="s">
        <v>110</v>
      </c>
      <c r="AX5" s="62" t="s">
        <v>111</v>
      </c>
      <c r="AZ5" s="56" t="s">
        <v>28</v>
      </c>
      <c r="BA5" s="56" t="s">
        <v>29</v>
      </c>
      <c r="BB5" s="56" t="s">
        <v>38</v>
      </c>
      <c r="BP5" s="4" t="s">
        <v>74</v>
      </c>
      <c r="BQ5" s="4">
        <v>80</v>
      </c>
    </row>
    <row r="6" spans="1:69" x14ac:dyDescent="0.25">
      <c r="AV6" s="55">
        <v>80778</v>
      </c>
      <c r="AW6" s="55" t="s">
        <v>112</v>
      </c>
      <c r="AX6" s="62" t="s">
        <v>113</v>
      </c>
      <c r="AZ6" s="56" t="s">
        <v>35</v>
      </c>
      <c r="BA6" s="56" t="s">
        <v>29</v>
      </c>
      <c r="BB6" s="56" t="s">
        <v>38</v>
      </c>
      <c r="BP6" s="4" t="s">
        <v>31</v>
      </c>
      <c r="BQ6" s="4">
        <v>30</v>
      </c>
    </row>
    <row r="7" spans="1:69" x14ac:dyDescent="0.25">
      <c r="A7" s="1"/>
      <c r="AV7" s="55">
        <v>80827</v>
      </c>
      <c r="AW7" s="55" t="s">
        <v>114</v>
      </c>
      <c r="AX7" s="62" t="s">
        <v>115</v>
      </c>
      <c r="AZ7" s="56" t="s">
        <v>46</v>
      </c>
      <c r="BA7" s="56" t="s">
        <v>153</v>
      </c>
      <c r="BB7" s="56" t="s">
        <v>38</v>
      </c>
      <c r="BP7" s="4" t="s">
        <v>75</v>
      </c>
      <c r="BQ7" s="4">
        <v>60</v>
      </c>
    </row>
    <row r="8" spans="1:69" x14ac:dyDescent="0.25">
      <c r="A8" s="1"/>
      <c r="AT8" s="46" t="s">
        <v>23</v>
      </c>
      <c r="AV8" s="55">
        <v>80847</v>
      </c>
      <c r="AW8" s="55" t="s">
        <v>116</v>
      </c>
      <c r="AX8" s="62" t="s">
        <v>117</v>
      </c>
      <c r="AZ8" s="56" t="s">
        <v>52</v>
      </c>
      <c r="BA8" s="56" t="s">
        <v>44</v>
      </c>
      <c r="BB8" s="61" t="s">
        <v>34</v>
      </c>
      <c r="BP8" s="4" t="s">
        <v>59</v>
      </c>
      <c r="BQ8" s="4">
        <v>90</v>
      </c>
    </row>
    <row r="9" spans="1:69" x14ac:dyDescent="0.25">
      <c r="A9" s="1"/>
      <c r="AT9" s="53" t="s">
        <v>38</v>
      </c>
      <c r="AV9" s="55">
        <v>80953</v>
      </c>
      <c r="AW9" s="55" t="s">
        <v>118</v>
      </c>
      <c r="AX9" s="62" t="s">
        <v>119</v>
      </c>
      <c r="AZ9" s="56" t="s">
        <v>51</v>
      </c>
      <c r="BA9" s="56" t="s">
        <v>44</v>
      </c>
      <c r="BB9" s="61" t="s">
        <v>34</v>
      </c>
      <c r="BP9" s="4" t="s">
        <v>60</v>
      </c>
      <c r="BQ9" s="4">
        <v>60</v>
      </c>
    </row>
    <row r="10" spans="1:69" x14ac:dyDescent="0.25">
      <c r="A10" s="1"/>
      <c r="AT10" s="47" t="s">
        <v>34</v>
      </c>
      <c r="AV10" s="55">
        <v>81001</v>
      </c>
      <c r="AW10" s="55" t="s">
        <v>120</v>
      </c>
      <c r="AX10" s="62" t="s">
        <v>121</v>
      </c>
      <c r="AZ10" s="56" t="s">
        <v>50</v>
      </c>
      <c r="BA10" s="56" t="s">
        <v>153</v>
      </c>
      <c r="BB10" s="56" t="s">
        <v>38</v>
      </c>
      <c r="BP10" s="23" t="s">
        <v>76</v>
      </c>
      <c r="BQ10" s="23">
        <v>480</v>
      </c>
    </row>
    <row r="11" spans="1:69" x14ac:dyDescent="0.25">
      <c r="A11" s="1"/>
      <c r="AT11" s="47" t="s">
        <v>57</v>
      </c>
      <c r="AV11" s="55">
        <v>81204</v>
      </c>
      <c r="AW11" s="55" t="s">
        <v>122</v>
      </c>
      <c r="AX11" s="62" t="s">
        <v>123</v>
      </c>
      <c r="AZ11" s="56" t="s">
        <v>48</v>
      </c>
      <c r="BA11" s="56" t="s">
        <v>44</v>
      </c>
      <c r="BB11" s="61" t="s">
        <v>34</v>
      </c>
    </row>
    <row r="12" spans="1:69" x14ac:dyDescent="0.25">
      <c r="A12" s="1"/>
      <c r="AT12" s="47" t="s">
        <v>58</v>
      </c>
      <c r="AV12" s="55">
        <v>81353</v>
      </c>
      <c r="AW12" s="55" t="s">
        <v>158</v>
      </c>
      <c r="AX12" s="62" t="s">
        <v>159</v>
      </c>
      <c r="BP12" s="14" t="s">
        <v>89</v>
      </c>
      <c r="BQ12" s="24">
        <v>43167</v>
      </c>
    </row>
    <row r="13" spans="1:69" x14ac:dyDescent="0.25">
      <c r="A13" s="1"/>
      <c r="AT13" s="50" t="s">
        <v>95</v>
      </c>
      <c r="AV13" s="55">
        <v>81388</v>
      </c>
      <c r="AW13" s="55" t="s">
        <v>124</v>
      </c>
      <c r="AX13" s="62" t="s">
        <v>125</v>
      </c>
      <c r="AZ13" s="57" t="s">
        <v>128</v>
      </c>
      <c r="BA13" s="57" t="s">
        <v>129</v>
      </c>
    </row>
    <row r="14" spans="1:69" ht="15" customHeight="1" x14ac:dyDescent="0.25">
      <c r="A14" s="1"/>
      <c r="AT14" s="51"/>
      <c r="AV14" s="55">
        <v>81389</v>
      </c>
      <c r="AW14" s="55" t="s">
        <v>126</v>
      </c>
      <c r="AX14" s="62" t="s">
        <v>127</v>
      </c>
      <c r="AZ14" s="54" t="s">
        <v>94</v>
      </c>
      <c r="BA14" s="54" t="s">
        <v>16</v>
      </c>
      <c r="BF14" s="103" t="s">
        <v>86</v>
      </c>
      <c r="BG14" s="103"/>
      <c r="BH14" s="21">
        <f>((BI31*$BQ$5)+(BI32*$BQ$6)+(BI33*$BQ$7)+(BI34*$BQ$8)+(BI35*$BQ$9))</f>
        <v>0</v>
      </c>
      <c r="BJ14" s="104" t="s">
        <v>77</v>
      </c>
      <c r="BK14" s="104"/>
      <c r="BL14" s="22">
        <f>$BH$14*100/480</f>
        <v>0</v>
      </c>
    </row>
    <row r="15" spans="1:69" x14ac:dyDescent="0.25">
      <c r="A15" s="1"/>
      <c r="AT15" s="46" t="s">
        <v>96</v>
      </c>
      <c r="AV15" s="55">
        <v>81397</v>
      </c>
      <c r="AW15" s="55" t="s">
        <v>130</v>
      </c>
      <c r="AX15" s="62" t="s">
        <v>131</v>
      </c>
      <c r="AZ15" s="56" t="s">
        <v>133</v>
      </c>
      <c r="BA15" s="56" t="s">
        <v>34</v>
      </c>
    </row>
    <row r="16" spans="1:69" x14ac:dyDescent="0.25">
      <c r="A16" s="1"/>
      <c r="AT16" s="52" t="s">
        <v>97</v>
      </c>
      <c r="AV16" s="55">
        <v>81398</v>
      </c>
      <c r="AW16" s="55" t="s">
        <v>32</v>
      </c>
      <c r="AX16" s="62" t="s">
        <v>132</v>
      </c>
    </row>
    <row r="17" spans="1:65" x14ac:dyDescent="0.25">
      <c r="A17" s="1"/>
      <c r="T17" s="1"/>
      <c r="AT17" s="49" t="s">
        <v>98</v>
      </c>
      <c r="AV17" s="55">
        <v>81420</v>
      </c>
      <c r="AW17" s="55" t="s">
        <v>134</v>
      </c>
      <c r="AX17" s="62" t="s">
        <v>135</v>
      </c>
      <c r="AZ17" s="54" t="s">
        <v>138</v>
      </c>
      <c r="BA17" s="54" t="s">
        <v>139</v>
      </c>
    </row>
    <row r="18" spans="1:65" x14ac:dyDescent="0.25">
      <c r="A18" s="1"/>
      <c r="T18" s="1"/>
      <c r="AT18" s="49" t="s">
        <v>99</v>
      </c>
      <c r="AV18" s="55">
        <v>81456</v>
      </c>
      <c r="AW18" s="55" t="s">
        <v>136</v>
      </c>
      <c r="AX18" s="62" t="s">
        <v>137</v>
      </c>
      <c r="AZ18" s="58" t="s">
        <v>13</v>
      </c>
      <c r="BA18" s="4" t="s">
        <v>142</v>
      </c>
    </row>
    <row r="19" spans="1:65" x14ac:dyDescent="0.25">
      <c r="A19" s="1"/>
      <c r="T19" s="1"/>
      <c r="AT19" s="49" t="s">
        <v>100</v>
      </c>
      <c r="AV19" s="55">
        <v>81511</v>
      </c>
      <c r="AW19" s="55" t="s">
        <v>140</v>
      </c>
      <c r="AX19" s="62" t="s">
        <v>141</v>
      </c>
      <c r="AZ19" s="58" t="s">
        <v>14</v>
      </c>
      <c r="BA19" s="4" t="s">
        <v>145</v>
      </c>
    </row>
    <row r="20" spans="1:65" x14ac:dyDescent="0.25">
      <c r="A20" s="1"/>
      <c r="T20" s="1"/>
      <c r="AT20" s="50" t="s">
        <v>95</v>
      </c>
      <c r="AV20" s="55">
        <v>81532</v>
      </c>
      <c r="AW20" s="55" t="s">
        <v>143</v>
      </c>
      <c r="AX20" s="62" t="s">
        <v>144</v>
      </c>
      <c r="AZ20" s="59" t="s">
        <v>20</v>
      </c>
      <c r="BA20" s="60" t="s">
        <v>148</v>
      </c>
    </row>
    <row r="21" spans="1:65" x14ac:dyDescent="0.25">
      <c r="T21" s="1"/>
      <c r="AV21" s="55">
        <v>81533</v>
      </c>
      <c r="AW21" s="55" t="s">
        <v>146</v>
      </c>
      <c r="AX21" s="62" t="s">
        <v>147</v>
      </c>
    </row>
    <row r="22" spans="1:65" x14ac:dyDescent="0.25">
      <c r="T22" s="1"/>
      <c r="AV22" s="55">
        <v>81534</v>
      </c>
      <c r="AW22" s="55" t="s">
        <v>149</v>
      </c>
      <c r="AX22" s="62" t="s">
        <v>150</v>
      </c>
    </row>
    <row r="23" spans="1:65" x14ac:dyDescent="0.25">
      <c r="T23" s="1"/>
      <c r="AV23" s="55">
        <v>81593</v>
      </c>
      <c r="AW23" s="55" t="s">
        <v>151</v>
      </c>
      <c r="AX23" s="62" t="s">
        <v>152</v>
      </c>
    </row>
    <row r="24" spans="1:65" x14ac:dyDescent="0.25">
      <c r="T24" s="1"/>
      <c r="AV24" s="55">
        <v>81607</v>
      </c>
      <c r="AW24" s="55" t="s">
        <v>160</v>
      </c>
      <c r="AX24" s="62" t="s">
        <v>161</v>
      </c>
    </row>
    <row r="25" spans="1:65" x14ac:dyDescent="0.25">
      <c r="T25" s="1"/>
      <c r="AV25" s="55">
        <v>81608</v>
      </c>
      <c r="AW25" s="55" t="s">
        <v>162</v>
      </c>
      <c r="AX25" s="62" t="s">
        <v>163</v>
      </c>
    </row>
    <row r="26" spans="1:65" x14ac:dyDescent="0.25">
      <c r="T26" s="1"/>
      <c r="AV26" s="55">
        <v>81616</v>
      </c>
      <c r="AW26" s="55" t="s">
        <v>164</v>
      </c>
      <c r="AX26" s="62" t="s">
        <v>165</v>
      </c>
    </row>
    <row r="27" spans="1:65" x14ac:dyDescent="0.25">
      <c r="T27" s="1"/>
    </row>
    <row r="28" spans="1:65" x14ac:dyDescent="0.25">
      <c r="T28" s="1"/>
    </row>
    <row r="29" spans="1:65" x14ac:dyDescent="0.25">
      <c r="T29" s="1"/>
      <c r="BE29" s="94" t="s">
        <v>78</v>
      </c>
      <c r="BF29" s="95"/>
      <c r="BG29" s="95"/>
      <c r="BH29" s="96"/>
      <c r="BI29" s="14" t="s">
        <v>79</v>
      </c>
      <c r="BJ29" s="14" t="s">
        <v>80</v>
      </c>
      <c r="BK29" s="14" t="s">
        <v>81</v>
      </c>
      <c r="BL29" s="14" t="s">
        <v>82</v>
      </c>
      <c r="BM29" s="14" t="s">
        <v>83</v>
      </c>
    </row>
    <row r="30" spans="1:65" x14ac:dyDescent="0.25">
      <c r="T30" s="1"/>
      <c r="BE30" s="97" t="s">
        <v>84</v>
      </c>
      <c r="BF30" s="98"/>
      <c r="BG30" s="98"/>
      <c r="BH30" s="99"/>
      <c r="BI30" s="15">
        <f>Production!$S$1</f>
        <v>43168</v>
      </c>
      <c r="BJ30" s="16">
        <f>BI30</f>
        <v>43168</v>
      </c>
      <c r="BK30" s="17" t="str">
        <f>CONCATENATE("Q",ROUNDUP(MONTH($BI$30)/3,0))</f>
        <v>Q1</v>
      </c>
      <c r="BL30" s="17" t="str">
        <f>CONCATENATE("H",ROUNDUP(MONTH($BI$30)/6,0))</f>
        <v>H1</v>
      </c>
      <c r="BM30" s="18">
        <f>$BI$30</f>
        <v>43168</v>
      </c>
    </row>
    <row r="31" spans="1:65" x14ac:dyDescent="0.25">
      <c r="T31" s="1"/>
      <c r="BE31" s="100" t="s">
        <v>63</v>
      </c>
      <c r="BF31" s="101"/>
      <c r="BG31" s="101"/>
      <c r="BH31" s="102"/>
      <c r="BI31" s="19">
        <f>IFERROR(VLOOKUP($BI$30,$T$1:$AJ$4000,4,FALSE),0)</f>
        <v>0</v>
      </c>
      <c r="BJ31" s="19">
        <f>SUMPRODUCT((ROUNDUP(MONTH($T$2:$T$4000)/1,0)=ROUNDUP(MONTH($BI$30)/1,0))*($W$2:$W$4000))</f>
        <v>0</v>
      </c>
      <c r="BK31" s="19">
        <f>SUMPRODUCT((ROUNDUP(MONTH($T$2:$T$4000)/3,0)=ROUNDUP(MONTH($BI$30)/3,0))*($W$2:$W$4000))</f>
        <v>0</v>
      </c>
      <c r="BL31" s="19">
        <f>SUMPRODUCT((ROUNDUP(MONTH($T$2:$T$4000)/6,0)=ROUNDUP(MONTH($BI$30)/6,0))*($W$2:$W$4000))</f>
        <v>0</v>
      </c>
      <c r="BM31" s="19">
        <f>SUMPRODUCT((ROUNDUP(MONTH($T$2:$T$4000)/12,0)=ROUNDUP(MONTH($BI$30)/12,0))*($W$2:$W$4000))</f>
        <v>0</v>
      </c>
    </row>
    <row r="32" spans="1:65" x14ac:dyDescent="0.25">
      <c r="T32" s="1"/>
      <c r="BE32" s="100" t="s">
        <v>31</v>
      </c>
      <c r="BF32" s="101"/>
      <c r="BG32" s="101"/>
      <c r="BH32" s="102"/>
      <c r="BI32" s="19">
        <f>IFERROR(VLOOKUP($BI$30,$T$1:$AJ$4000,5,FALSE),0)</f>
        <v>0</v>
      </c>
      <c r="BJ32" s="19">
        <f>SUMPRODUCT((ROUNDUP(MONTH($T$2:$T$4000)/1,0)=ROUNDUP(MONTH($BI$30)/1,0))*($X$2:$X$4000))</f>
        <v>0</v>
      </c>
      <c r="BK32" s="19">
        <f>SUMPRODUCT((ROUNDUP(MONTH($T$2:$T$4000)/3,0)=ROUNDUP(MONTH($BI$30)/3,0))*($X$2:$X$4000))</f>
        <v>0</v>
      </c>
      <c r="BL32" s="19">
        <f>SUMPRODUCT((ROUNDUP(MONTH($T$2:$T$4000)/6,0)=ROUNDUP(MONTH($BI$30)/6,0))*($X$2:$X$4000))</f>
        <v>0</v>
      </c>
      <c r="BM32" s="19">
        <f>SUMPRODUCT((ROUNDUP(MONTH($T$2:$T$4000)/12,0)=ROUNDUP(MONTH($BI$30)/12,0))*($X$2:$X$4000))</f>
        <v>0</v>
      </c>
    </row>
    <row r="33" spans="20:65" x14ac:dyDescent="0.25">
      <c r="T33" s="1"/>
      <c r="BE33" s="100" t="s">
        <v>36</v>
      </c>
      <c r="BF33" s="101"/>
      <c r="BG33" s="101"/>
      <c r="BH33" s="102"/>
      <c r="BI33" s="19">
        <f>IFERROR(VLOOKUP($BI$30,$T$1:$AJ$4000,6,FALSE),0)</f>
        <v>0</v>
      </c>
      <c r="BJ33" s="19">
        <f>SUMPRODUCT((ROUNDUP(MONTH($T$2:$T$4000)/1,0)=ROUNDUP(MONTH($BI$30)/1,0))*($Y$2:$Y$4000))</f>
        <v>0</v>
      </c>
      <c r="BK33" s="19">
        <f>SUMPRODUCT((ROUNDUP(MONTH($T$2:$T$4000)/3,0)=ROUNDUP(MONTH($BI$30)/3,0))*($Y$2:$Y$4000))</f>
        <v>0</v>
      </c>
      <c r="BL33" s="19">
        <f>SUMPRODUCT((ROUNDUP(MONTH($T$2:$T$4000)/6,0)=ROUNDUP(MONTH($BI$30)/6,0))*($Y$2:$Y$4000))</f>
        <v>0</v>
      </c>
      <c r="BM33" s="19">
        <f>SUMPRODUCT((ROUNDUP(MONTH($T$2:$T$4000)/12,0)=ROUNDUP(MONTH($BI$30)/12,0))*($Y$2:$Y$4000))</f>
        <v>0</v>
      </c>
    </row>
    <row r="34" spans="20:65" x14ac:dyDescent="0.25">
      <c r="T34" s="1"/>
      <c r="BE34" s="100" t="s">
        <v>59</v>
      </c>
      <c r="BF34" s="101"/>
      <c r="BG34" s="101"/>
      <c r="BH34" s="102"/>
      <c r="BI34" s="19">
        <f>IFERROR(VLOOKUP($BI$30,$T$1:$AJ$4000,7,FALSE),0)</f>
        <v>0</v>
      </c>
      <c r="BJ34" s="19">
        <f>SUMPRODUCT((ROUNDUP(MONTH($T$2:$T$4000)/1,0)=ROUNDUP(MONTH($BI$30)/1,0))*($Z$2:$Z$4000))</f>
        <v>0</v>
      </c>
      <c r="BK34" s="19">
        <f>SUMPRODUCT((ROUNDUP(MONTH($T$2:$T$4000)/3,0)=ROUNDUP(MONTH($BI$30)/3,0))*($Z$2:$Z$4000))</f>
        <v>0</v>
      </c>
      <c r="BL34" s="19">
        <f>SUMPRODUCT((ROUNDUP(MONTH($T$2:$T$4000)/6,0)=ROUNDUP(MONTH($BI$30)/6,0))*($Z$2:$Z$4000))</f>
        <v>0</v>
      </c>
      <c r="BM34" s="19">
        <f>SUMPRODUCT((ROUNDUP(MONTH($T$2:$T$4000)/12,0)=ROUNDUP(MONTH($BI$30)/12,0))*($Z$2:$Z$4000))</f>
        <v>0</v>
      </c>
    </row>
    <row r="35" spans="20:65" x14ac:dyDescent="0.25">
      <c r="T35" s="1"/>
      <c r="BE35" s="100" t="s">
        <v>60</v>
      </c>
      <c r="BF35" s="101"/>
      <c r="BG35" s="101"/>
      <c r="BH35" s="102"/>
      <c r="BI35" s="19">
        <f>IFERROR(VLOOKUP($BI$30,$T$1:$AJ$4000,8,FALSE),0)</f>
        <v>0</v>
      </c>
      <c r="BJ35" s="19">
        <f>SUMPRODUCT((ROUNDUP(MONTH($T$2:$T$4000)/1,0)=ROUNDUP(MONTH($BI$30)/1,0))*($AA$2:$AA$4000))</f>
        <v>0</v>
      </c>
      <c r="BK35" s="19">
        <f>SUMPRODUCT((ROUNDUP(MONTH($T$2:$T$4000)/3,0)=ROUNDUP(MONTH($BI$30)/3,0))*($AA$2:$AA$4000))</f>
        <v>0</v>
      </c>
      <c r="BL35" s="19">
        <f>SUMPRODUCT((ROUNDUP(MONTH($T$2:$T$4000)/6,0)=ROUNDUP(MONTH($BI$30)/6,0))*($AA$2:$AA$4000))</f>
        <v>0</v>
      </c>
      <c r="BM35" s="19">
        <f>SUMPRODUCT((ROUNDUP(MONTH($T$2:$T$4000)/12,0)=ROUNDUP(MONTH($BI$30)/12,0))*($AA$2:$AA$4000))</f>
        <v>0</v>
      </c>
    </row>
    <row r="36" spans="20:65" x14ac:dyDescent="0.25">
      <c r="T36" s="1"/>
      <c r="BE36" s="100" t="s">
        <v>66</v>
      </c>
      <c r="BF36" s="101"/>
      <c r="BG36" s="101"/>
      <c r="BH36" s="102"/>
      <c r="BI36" s="19">
        <f>IFERROR(VLOOKUP($BI$30,$T$1:$AJ$4000,9,FALSE),0)</f>
        <v>0</v>
      </c>
      <c r="BJ36" s="19">
        <f>SUMPRODUCT((ROUNDUP(MONTH($T$2:$T$4000)/1,0)=ROUNDUP(MONTH($BI$30)/1,0))*($AB$2:$AB$4000))</f>
        <v>0</v>
      </c>
      <c r="BK36" s="19">
        <f>SUMPRODUCT((ROUNDUP(MONTH($T$2:$T$4000)/3,0)=ROUNDUP(MONTH($BI$30)/3,0))*($AB$2:$AB$4000))</f>
        <v>0</v>
      </c>
      <c r="BL36" s="19">
        <f>SUMPRODUCT((ROUNDUP(MONTH($T$2:$T$4000)/6,0)=ROUNDUP(MONTH($BI$30)/6,0))*($AB$2:$AB$4000))</f>
        <v>0</v>
      </c>
      <c r="BM36" s="19">
        <f>SUMPRODUCT((ROUNDUP(MONTH($T$2:$T$4000)/12,0)=ROUNDUP(MONTH($BI$30)/12,0))*($AB$2:$AB$4000))</f>
        <v>0</v>
      </c>
    </row>
    <row r="37" spans="20:65" x14ac:dyDescent="0.25">
      <c r="T37" s="1"/>
      <c r="BE37" s="100" t="s">
        <v>67</v>
      </c>
      <c r="BF37" s="101"/>
      <c r="BG37" s="101"/>
      <c r="BH37" s="102"/>
      <c r="BI37" s="19">
        <f>IFERROR(VLOOKUP($BI$30,$T$1:$AJ$4000,10,FALSE),0)</f>
        <v>0</v>
      </c>
      <c r="BJ37" s="19">
        <f>SUMPRODUCT((ROUNDUP(MONTH($T$2:$T$4000)/1,0)=ROUNDUP(MONTH($BI$30)/1,0))*($AC$2:$AC$4000))</f>
        <v>0</v>
      </c>
      <c r="BK37" s="19">
        <f>SUMPRODUCT((ROUNDUP(MONTH($T$2:$T$4000)/3,0)=ROUNDUP(MONTH($BI$30)/3,0))*($AC$2:$AC$4000))</f>
        <v>0</v>
      </c>
      <c r="BL37" s="19">
        <f>SUMPRODUCT((ROUNDUP(MONTH($T$2:$T$4000)/6,0)=ROUNDUP(MONTH($BI$30)/6,0))*($AC$2:$AC$4000))</f>
        <v>0</v>
      </c>
      <c r="BM37" s="19">
        <f>SUMPRODUCT((ROUNDUP(MONTH($T$2:$T$4000)/12,0)=ROUNDUP(MONTH($BI$30)/12,0))*($AC$2:$AC$4000))</f>
        <v>0</v>
      </c>
    </row>
    <row r="38" spans="20:65" x14ac:dyDescent="0.25">
      <c r="T38" s="1"/>
      <c r="BE38" s="88" t="s">
        <v>85</v>
      </c>
      <c r="BF38" s="89"/>
      <c r="BG38" s="89"/>
      <c r="BH38" s="90"/>
      <c r="BI38" s="20">
        <f>IFERROR(VLOOKUP($BI$30,$T$1:$AJ$4000,11,FALSE),0)</f>
        <v>0</v>
      </c>
      <c r="BJ38" s="20">
        <f>SUMPRODUCT((ROUNDUP(MONTH($T$2:$T$4000)/1,0)=ROUNDUP(MONTH($BI$30)/1,0))*($AD$2:$AD$4000))</f>
        <v>0</v>
      </c>
      <c r="BK38" s="20">
        <f>SUMPRODUCT((ROUNDUP(MONTH($T$2:$T$4000)/3,0)=ROUNDUP(MONTH($BI$30)/3,0))*($AD$2:$AD$4000))</f>
        <v>0</v>
      </c>
      <c r="BL38" s="20">
        <f>SUMPRODUCT((ROUNDUP(MONTH($T$2:$T$4000)/6,0)=ROUNDUP(MONTH($BI$30)/6,0))*($AD$2:$AD$4000))</f>
        <v>0</v>
      </c>
      <c r="BM38" s="20">
        <f>SUMPRODUCT((ROUNDUP(MONTH($T$2:$T$4000)/12,0)=ROUNDUP(MONTH($BI$30)/12,0))*($AD$2:$AD$4000))</f>
        <v>0</v>
      </c>
    </row>
    <row r="39" spans="20:65" x14ac:dyDescent="0.25">
      <c r="T39" s="1"/>
      <c r="BE39" s="91" t="s">
        <v>69</v>
      </c>
      <c r="BF39" s="92"/>
      <c r="BG39" s="92"/>
      <c r="BH39" s="93"/>
      <c r="BI39" s="85">
        <f>IFERROR(VLOOKUP($BI$30,$T$1:$AJ$4000,12,FALSE),0)</f>
        <v>0</v>
      </c>
      <c r="BJ39" s="85">
        <f>SUMPRODUCT((ROUNDUP(MONTH($T$2:$T$4000)/1,0)=ROUNDUP(MONTH($BI$30)/1,0))*($AE$2:$AE$4000))</f>
        <v>0</v>
      </c>
      <c r="BK39" s="85">
        <f>SUMPRODUCT((ROUNDUP(MONTH($T$2:$T$4000)/3,0)=ROUNDUP(MONTH($BI$30)/3,0))*($AE$2:$AE$4000))</f>
        <v>0</v>
      </c>
      <c r="BL39" s="85">
        <f>SUMPRODUCT((ROUNDUP(MONTH($T$2:$T$4000)/6,0)=ROUNDUP(MONTH($BI$30)/6,0))*($AE$2:$AE$4000))</f>
        <v>0</v>
      </c>
      <c r="BM39" s="85">
        <f>SUMPRODUCT((ROUNDUP(MONTH($T$2:$T$4000)/12,0)=ROUNDUP(MONTH($BI$30)/12,0))*($AE$2:$AE$4000))</f>
        <v>0</v>
      </c>
    </row>
    <row r="40" spans="20:65" x14ac:dyDescent="0.25">
      <c r="T40" s="1"/>
      <c r="BE40" s="91" t="s">
        <v>70</v>
      </c>
      <c r="BF40" s="92"/>
      <c r="BG40" s="92"/>
      <c r="BH40" s="93"/>
      <c r="BI40" s="85">
        <f>IFERROR(VLOOKUP($BI$30,$T$1:$AJ$4000,13,FALSE),0)</f>
        <v>0</v>
      </c>
      <c r="BJ40" s="85">
        <f>SUMPRODUCT((ROUNDUP(MONTH($T$2:$T$4000)/1,0)=ROUNDUP(MONTH($BI$30)/1,0))*($AF$2:$AF$4000))</f>
        <v>0</v>
      </c>
      <c r="BK40" s="85">
        <f>SUMPRODUCT((ROUNDUP(MONTH($T$2:$T$4000)/3,0)=ROUNDUP(MONTH($BI$30)/3,0))*($AF$2:$AF$4000))</f>
        <v>0</v>
      </c>
      <c r="BL40" s="85">
        <f>SUMPRODUCT((ROUNDUP(MONTH($T$2:$T$4000)/6,0)=ROUNDUP(MONTH($BI$30)/6,0))*($AF$2:$AF$4000))</f>
        <v>0</v>
      </c>
      <c r="BM40" s="85">
        <f>SUMPRODUCT((ROUNDUP(MONTH($T$2:$T$4000)/12,0)=ROUNDUP(MONTH($BI$30)/12,0))*($AF$2:$AF$4000))</f>
        <v>0</v>
      </c>
    </row>
    <row r="41" spans="20:65" x14ac:dyDescent="0.25">
      <c r="T41" s="1"/>
      <c r="BE41" s="91" t="s">
        <v>71</v>
      </c>
      <c r="BF41" s="92"/>
      <c r="BG41" s="92"/>
      <c r="BH41" s="93"/>
      <c r="BI41" s="85">
        <f>IFERROR(VLOOKUP($BI$30,$T$1:$AJ$4000,14,FALSE),0)</f>
        <v>0</v>
      </c>
      <c r="BJ41" s="85">
        <f>SUMPRODUCT((ROUNDUP(MONTH($T$2:$T$4000)/1,0)=ROUNDUP(MONTH($BI$30)/1,0))*($AG$2:$AG$4000))</f>
        <v>0</v>
      </c>
      <c r="BK41" s="85">
        <f>SUMPRODUCT((ROUNDUP(MONTH($T$2:$T$4000)/3,0)=ROUNDUP(MONTH($BI$30)/3,0))*($AG$2:$AG$4000))</f>
        <v>0</v>
      </c>
      <c r="BL41" s="85">
        <f>SUMPRODUCT((ROUNDUP(MONTH($T$2:$T$4000)/6,0)=ROUNDUP(MONTH($BI$30)/6,0))*($AG$2:$AG$4000))</f>
        <v>0</v>
      </c>
      <c r="BM41" s="85">
        <f>SUMPRODUCT((ROUNDUP(MONTH($T$2:$T$4000)/12,0)=ROUNDUP(MONTH($BI$30)/12,0))*($AG$2:$AG$4000))</f>
        <v>0</v>
      </c>
    </row>
    <row r="42" spans="20:65" x14ac:dyDescent="0.25">
      <c r="T42" s="1"/>
      <c r="BE42" s="91" t="s">
        <v>72</v>
      </c>
      <c r="BF42" s="92"/>
      <c r="BG42" s="92"/>
      <c r="BH42" s="93"/>
      <c r="BI42" s="85">
        <f>IFERROR(VLOOKUP($BI$30,$T$1:$AJ$4000,15,FALSE),0)</f>
        <v>0</v>
      </c>
      <c r="BJ42" s="85">
        <f>SUMPRODUCT((ROUNDUP(MONTH($T$2:$T$4000)/1,0)=ROUNDUP(MONTH($BI$30)/1,0))*($AH$2:$AH$4000))</f>
        <v>0</v>
      </c>
      <c r="BK42" s="85">
        <f>SUMPRODUCT((ROUNDUP(MONTH($T$2:$T$4000)/3,0)=ROUNDUP(MONTH($BI$30)/3,0))*($AH$2:$AH$4000))</f>
        <v>0</v>
      </c>
      <c r="BL42" s="85">
        <f>SUMPRODUCT((ROUNDUP(MONTH($T$2:$T$4000)/6,0)=ROUNDUP(MONTH($BI$30)/6,0))*($AH$2:$AH$4000))</f>
        <v>0</v>
      </c>
      <c r="BM42" s="85">
        <f>SUMPRODUCT((ROUNDUP(MONTH($T$2:$T$4000)/12,0)=ROUNDUP(MONTH($BI$30)/12,0))*($AH$2:$AH$4000))</f>
        <v>0</v>
      </c>
    </row>
    <row r="43" spans="20:65" x14ac:dyDescent="0.25">
      <c r="T43" s="1"/>
      <c r="BE43" s="91" t="s">
        <v>73</v>
      </c>
      <c r="BF43" s="92"/>
      <c r="BG43" s="92"/>
      <c r="BH43" s="93"/>
      <c r="BI43" s="85">
        <f>IFERROR(VLOOKUP($BI$30,$T$1:$AJ$4000,16,FALSE),0)</f>
        <v>0</v>
      </c>
      <c r="BJ43" s="85">
        <f>SUMPRODUCT((ROUNDUP(MONTH($T$2:$T$4000)/1,0)=ROUNDUP(MONTH($BI$30)/1,0))*($AI$2:$AI$4000))</f>
        <v>0</v>
      </c>
      <c r="BK43" s="85">
        <f>SUMPRODUCT((ROUNDUP(MONTH($T$2:$T$4000)/3,0)=ROUNDUP(MONTH($BI$30)/3,0))*($AI$2:$AI$4000))</f>
        <v>0</v>
      </c>
      <c r="BL43" s="85">
        <f>SUMPRODUCT((ROUNDUP(MONTH($T$2:$T$4000)/6,0)=ROUNDUP(MONTH($BI$30)/6,0))*($AI$2:$AI$4000))</f>
        <v>0</v>
      </c>
      <c r="BM43" s="85">
        <f>SUMPRODUCT((ROUNDUP(MONTH($T$2:$T$4000)/12,0)=ROUNDUP(MONTH($BI$30)/12,0))*($AI$2:$AI$4000))</f>
        <v>0</v>
      </c>
    </row>
    <row r="44" spans="20:65" x14ac:dyDescent="0.25">
      <c r="T44" s="1"/>
      <c r="BE44" s="91" t="s">
        <v>27</v>
      </c>
      <c r="BF44" s="92"/>
      <c r="BG44" s="92"/>
      <c r="BH44" s="93"/>
      <c r="BI44" s="105">
        <f>IFERROR(VLOOKUP($BI$30,$T$1:$AJ$4000,17,FALSE),0)</f>
        <v>0</v>
      </c>
      <c r="BJ44" s="106"/>
      <c r="BK44" s="106"/>
      <c r="BL44" s="106"/>
      <c r="BM44" s="107"/>
    </row>
    <row r="45" spans="20:65" x14ac:dyDescent="0.25">
      <c r="T45" s="1"/>
    </row>
    <row r="46" spans="20:65" x14ac:dyDescent="0.25">
      <c r="T46" s="1"/>
      <c r="BI46" s="25" t="s">
        <v>90</v>
      </c>
    </row>
    <row r="47" spans="20:65" ht="18.75" x14ac:dyDescent="0.25">
      <c r="T47" s="1"/>
      <c r="BI47" s="26" t="str">
        <f>Production!$A$2</f>
        <v>Yarlagadda Rama Krishna Chowdary</v>
      </c>
    </row>
    <row r="48" spans="20:65" x14ac:dyDescent="0.25">
      <c r="T48" s="1"/>
    </row>
    <row r="49" spans="20:20" x14ac:dyDescent="0.25">
      <c r="T49" s="1"/>
    </row>
    <row r="50" spans="20:20" x14ac:dyDescent="0.25">
      <c r="T50" s="1"/>
    </row>
    <row r="51" spans="20:20" x14ac:dyDescent="0.25">
      <c r="T51" s="1"/>
    </row>
    <row r="52" spans="20:20" x14ac:dyDescent="0.25">
      <c r="T52" s="1"/>
    </row>
    <row r="53" spans="20:20" x14ac:dyDescent="0.25">
      <c r="T53" s="1"/>
    </row>
    <row r="54" spans="20:20" x14ac:dyDescent="0.25">
      <c r="T54" s="1"/>
    </row>
    <row r="55" spans="20:20" x14ac:dyDescent="0.25">
      <c r="T55" s="1"/>
    </row>
    <row r="56" spans="20:20" x14ac:dyDescent="0.25">
      <c r="T56" s="1"/>
    </row>
    <row r="57" spans="20:20" x14ac:dyDescent="0.25">
      <c r="T57" s="1"/>
    </row>
    <row r="58" spans="20:20" x14ac:dyDescent="0.25">
      <c r="T58" s="1"/>
    </row>
    <row r="59" spans="20:20" x14ac:dyDescent="0.25">
      <c r="T59" s="1"/>
    </row>
    <row r="60" spans="20:20" x14ac:dyDescent="0.25">
      <c r="T60" s="1"/>
    </row>
    <row r="61" spans="20:20" x14ac:dyDescent="0.25">
      <c r="T61" s="1"/>
    </row>
    <row r="62" spans="20:20" x14ac:dyDescent="0.25">
      <c r="T62" s="1"/>
    </row>
    <row r="63" spans="20:20" x14ac:dyDescent="0.25">
      <c r="T63" s="1"/>
    </row>
    <row r="64" spans="20:20" x14ac:dyDescent="0.25">
      <c r="T64" s="1"/>
    </row>
    <row r="65" spans="20:20" x14ac:dyDescent="0.25">
      <c r="T65" s="1"/>
    </row>
    <row r="66" spans="20:20" x14ac:dyDescent="0.25">
      <c r="T66" s="1"/>
    </row>
    <row r="67" spans="20:20" x14ac:dyDescent="0.25">
      <c r="T67" s="1"/>
    </row>
    <row r="68" spans="20:20" x14ac:dyDescent="0.25">
      <c r="T68" s="1"/>
    </row>
    <row r="69" spans="20:20" x14ac:dyDescent="0.25">
      <c r="T69" s="1"/>
    </row>
    <row r="70" spans="20:20" x14ac:dyDescent="0.25">
      <c r="T70" s="1"/>
    </row>
    <row r="71" spans="20:20" x14ac:dyDescent="0.25">
      <c r="T71" s="1"/>
    </row>
    <row r="72" spans="20:20" x14ac:dyDescent="0.25">
      <c r="T72" s="1"/>
    </row>
    <row r="73" spans="20:20" x14ac:dyDescent="0.25">
      <c r="T73" s="1"/>
    </row>
    <row r="74" spans="20:20" x14ac:dyDescent="0.25">
      <c r="T74" s="1"/>
    </row>
    <row r="75" spans="20:20" x14ac:dyDescent="0.25">
      <c r="T75" s="1"/>
    </row>
    <row r="76" spans="20:20" x14ac:dyDescent="0.25">
      <c r="T76" s="1"/>
    </row>
    <row r="77" spans="20:20" x14ac:dyDescent="0.25">
      <c r="T77" s="1"/>
    </row>
    <row r="78" spans="20:20" x14ac:dyDescent="0.25">
      <c r="T78" s="1"/>
    </row>
    <row r="79" spans="20:20" x14ac:dyDescent="0.25">
      <c r="T79" s="1"/>
    </row>
    <row r="80" spans="20:20" x14ac:dyDescent="0.25">
      <c r="T80" s="1"/>
    </row>
    <row r="81" spans="20:20" x14ac:dyDescent="0.25">
      <c r="T81" s="1"/>
    </row>
    <row r="82" spans="20:20" x14ac:dyDescent="0.25">
      <c r="T82" s="1"/>
    </row>
    <row r="83" spans="20:20" x14ac:dyDescent="0.25">
      <c r="T83" s="1"/>
    </row>
    <row r="84" spans="20:20" x14ac:dyDescent="0.25">
      <c r="T84" s="1"/>
    </row>
    <row r="85" spans="20:20" x14ac:dyDescent="0.25">
      <c r="T85" s="1"/>
    </row>
    <row r="86" spans="20:20" x14ac:dyDescent="0.25">
      <c r="T86" s="1"/>
    </row>
    <row r="87" spans="20:20" x14ac:dyDescent="0.25">
      <c r="T87" s="1"/>
    </row>
    <row r="88" spans="20:20" x14ac:dyDescent="0.25">
      <c r="T88" s="1"/>
    </row>
    <row r="89" spans="20:20" x14ac:dyDescent="0.25">
      <c r="T89" s="1"/>
    </row>
    <row r="90" spans="20:20" x14ac:dyDescent="0.25">
      <c r="T90" s="1"/>
    </row>
    <row r="91" spans="20:20" x14ac:dyDescent="0.25">
      <c r="T91" s="1"/>
    </row>
    <row r="92" spans="20:20" x14ac:dyDescent="0.25">
      <c r="T92" s="1"/>
    </row>
    <row r="93" spans="20:20" x14ac:dyDescent="0.25">
      <c r="T93" s="1"/>
    </row>
    <row r="94" spans="20:20" x14ac:dyDescent="0.25">
      <c r="T94" s="1"/>
    </row>
    <row r="95" spans="20:20" x14ac:dyDescent="0.25">
      <c r="T95" s="1"/>
    </row>
    <row r="96" spans="20:20" x14ac:dyDescent="0.25">
      <c r="T96" s="1"/>
    </row>
    <row r="97" spans="20:20" x14ac:dyDescent="0.25">
      <c r="T97" s="1"/>
    </row>
    <row r="98" spans="20:20" x14ac:dyDescent="0.25">
      <c r="T98" s="1"/>
    </row>
    <row r="99" spans="20:20" x14ac:dyDescent="0.25">
      <c r="T99" s="1"/>
    </row>
    <row r="100" spans="20:20" x14ac:dyDescent="0.25">
      <c r="T100" s="1"/>
    </row>
    <row r="101" spans="20:20" x14ac:dyDescent="0.25">
      <c r="T101" s="1"/>
    </row>
    <row r="102" spans="20:20" x14ac:dyDescent="0.25">
      <c r="T102" s="1"/>
    </row>
    <row r="103" spans="20:20" x14ac:dyDescent="0.25">
      <c r="T103" s="1"/>
    </row>
    <row r="104" spans="20:20" x14ac:dyDescent="0.25">
      <c r="T104" s="1"/>
    </row>
    <row r="105" spans="20:20" x14ac:dyDescent="0.25">
      <c r="T105" s="1"/>
    </row>
    <row r="106" spans="20:20" x14ac:dyDescent="0.25">
      <c r="T106" s="1"/>
    </row>
    <row r="107" spans="20:20" x14ac:dyDescent="0.25">
      <c r="T107" s="1"/>
    </row>
    <row r="108" spans="20:20" x14ac:dyDescent="0.25">
      <c r="T108" s="1"/>
    </row>
    <row r="109" spans="20:20" x14ac:dyDescent="0.25">
      <c r="T109" s="1"/>
    </row>
    <row r="110" spans="20:20" x14ac:dyDescent="0.25">
      <c r="T110" s="1"/>
    </row>
    <row r="111" spans="20:20" x14ac:dyDescent="0.25">
      <c r="T111" s="1"/>
    </row>
    <row r="112" spans="20:20" x14ac:dyDescent="0.25">
      <c r="T112" s="1"/>
    </row>
    <row r="113" spans="20:20" x14ac:dyDescent="0.25">
      <c r="T113" s="1"/>
    </row>
    <row r="114" spans="20:20" x14ac:dyDescent="0.25">
      <c r="T114" s="1"/>
    </row>
    <row r="115" spans="20:20" x14ac:dyDescent="0.25">
      <c r="T115" s="1"/>
    </row>
    <row r="116" spans="20:20" x14ac:dyDescent="0.25">
      <c r="T116" s="1"/>
    </row>
    <row r="117" spans="20:20" x14ac:dyDescent="0.25">
      <c r="T117" s="1"/>
    </row>
    <row r="118" spans="20:20" x14ac:dyDescent="0.25">
      <c r="T118" s="1"/>
    </row>
    <row r="119" spans="20:20" x14ac:dyDescent="0.25">
      <c r="T119" s="1"/>
    </row>
    <row r="120" spans="20:20" x14ac:dyDescent="0.25">
      <c r="T120" s="1"/>
    </row>
    <row r="121" spans="20:20" x14ac:dyDescent="0.25">
      <c r="T121" s="1"/>
    </row>
    <row r="122" spans="20:20" x14ac:dyDescent="0.25">
      <c r="T122" s="1"/>
    </row>
    <row r="123" spans="20:20" x14ac:dyDescent="0.25">
      <c r="T123" s="1"/>
    </row>
    <row r="124" spans="20:20" x14ac:dyDescent="0.25">
      <c r="T124" s="1"/>
    </row>
    <row r="125" spans="20:20" x14ac:dyDescent="0.25">
      <c r="T125" s="1"/>
    </row>
    <row r="126" spans="20:20" x14ac:dyDescent="0.25">
      <c r="T126" s="1"/>
    </row>
    <row r="127" spans="20:20" x14ac:dyDescent="0.25">
      <c r="T127" s="1"/>
    </row>
    <row r="128" spans="20:20" x14ac:dyDescent="0.25">
      <c r="T128" s="1"/>
    </row>
    <row r="129" spans="20:20" x14ac:dyDescent="0.25">
      <c r="T129" s="1"/>
    </row>
    <row r="130" spans="20:20" x14ac:dyDescent="0.25">
      <c r="T130" s="1"/>
    </row>
    <row r="131" spans="20:20" x14ac:dyDescent="0.25">
      <c r="T131" s="1"/>
    </row>
    <row r="132" spans="20:20" x14ac:dyDescent="0.25">
      <c r="T132" s="1"/>
    </row>
    <row r="133" spans="20:20" x14ac:dyDescent="0.25">
      <c r="T133" s="1"/>
    </row>
    <row r="134" spans="20:20" x14ac:dyDescent="0.25">
      <c r="T134" s="1"/>
    </row>
    <row r="135" spans="20:20" x14ac:dyDescent="0.25">
      <c r="T135" s="1"/>
    </row>
    <row r="136" spans="20:20" x14ac:dyDescent="0.25">
      <c r="T136" s="1"/>
    </row>
    <row r="137" spans="20:20" x14ac:dyDescent="0.25">
      <c r="T137" s="1"/>
    </row>
    <row r="138" spans="20:20" x14ac:dyDescent="0.25">
      <c r="T138" s="1"/>
    </row>
    <row r="139" spans="20:20" x14ac:dyDescent="0.25">
      <c r="T139" s="1"/>
    </row>
    <row r="140" spans="20:20" x14ac:dyDescent="0.25">
      <c r="T140" s="1"/>
    </row>
    <row r="141" spans="20:20" x14ac:dyDescent="0.25">
      <c r="T141" s="1"/>
    </row>
    <row r="142" spans="20:20" x14ac:dyDescent="0.25">
      <c r="T142" s="1"/>
    </row>
    <row r="143" spans="20:20" x14ac:dyDescent="0.25">
      <c r="T143" s="1"/>
    </row>
    <row r="144" spans="20:20" x14ac:dyDescent="0.25">
      <c r="T144" s="1"/>
    </row>
    <row r="145" spans="20:20" x14ac:dyDescent="0.25">
      <c r="T145" s="1"/>
    </row>
    <row r="146" spans="20:20" x14ac:dyDescent="0.25">
      <c r="T146" s="1"/>
    </row>
    <row r="147" spans="20:20" x14ac:dyDescent="0.25">
      <c r="T147" s="1"/>
    </row>
    <row r="148" spans="20:20" x14ac:dyDescent="0.25">
      <c r="T148" s="1"/>
    </row>
    <row r="149" spans="20:20" x14ac:dyDescent="0.25">
      <c r="T149" s="1"/>
    </row>
    <row r="150" spans="20:20" x14ac:dyDescent="0.25">
      <c r="T150" s="1"/>
    </row>
    <row r="151" spans="20:20" x14ac:dyDescent="0.25">
      <c r="T151" s="1"/>
    </row>
    <row r="152" spans="20:20" x14ac:dyDescent="0.25">
      <c r="T152" s="1"/>
    </row>
    <row r="153" spans="20:20" x14ac:dyDescent="0.25">
      <c r="T153" s="1"/>
    </row>
    <row r="154" spans="20:20" x14ac:dyDescent="0.25">
      <c r="T154" s="1"/>
    </row>
    <row r="155" spans="20:20" x14ac:dyDescent="0.25">
      <c r="T155" s="1"/>
    </row>
    <row r="156" spans="20:20" x14ac:dyDescent="0.25">
      <c r="T156" s="1"/>
    </row>
    <row r="157" spans="20:20" x14ac:dyDescent="0.25">
      <c r="T157" s="1"/>
    </row>
    <row r="158" spans="20:20" x14ac:dyDescent="0.25">
      <c r="T158" s="1"/>
    </row>
    <row r="159" spans="20:20" x14ac:dyDescent="0.25">
      <c r="T159" s="1"/>
    </row>
    <row r="160" spans="20:20" x14ac:dyDescent="0.25">
      <c r="T160" s="1"/>
    </row>
    <row r="161" spans="20:20" x14ac:dyDescent="0.25">
      <c r="T161" s="1"/>
    </row>
    <row r="162" spans="20:20" x14ac:dyDescent="0.25">
      <c r="T162" s="1"/>
    </row>
    <row r="163" spans="20:20" x14ac:dyDescent="0.25">
      <c r="T163" s="1"/>
    </row>
    <row r="164" spans="20:20" x14ac:dyDescent="0.25">
      <c r="T164" s="1"/>
    </row>
    <row r="165" spans="20:20" x14ac:dyDescent="0.25">
      <c r="T165" s="1"/>
    </row>
    <row r="166" spans="20:20" x14ac:dyDescent="0.25">
      <c r="T166" s="1"/>
    </row>
    <row r="167" spans="20:20" x14ac:dyDescent="0.25">
      <c r="T167" s="1"/>
    </row>
    <row r="168" spans="20:20" x14ac:dyDescent="0.25">
      <c r="T168" s="1"/>
    </row>
    <row r="169" spans="20:20" x14ac:dyDescent="0.25">
      <c r="T169" s="1"/>
    </row>
    <row r="170" spans="20:20" x14ac:dyDescent="0.25">
      <c r="T170" s="1"/>
    </row>
    <row r="171" spans="20:20" x14ac:dyDescent="0.25">
      <c r="T171" s="1"/>
    </row>
    <row r="172" spans="20:20" x14ac:dyDescent="0.25">
      <c r="T172" s="1"/>
    </row>
    <row r="173" spans="20:20" x14ac:dyDescent="0.25">
      <c r="T173" s="1"/>
    </row>
    <row r="174" spans="20:20" x14ac:dyDescent="0.25">
      <c r="T174" s="1"/>
    </row>
    <row r="175" spans="20:20" x14ac:dyDescent="0.25">
      <c r="T175" s="1"/>
    </row>
    <row r="176" spans="20:20" x14ac:dyDescent="0.25">
      <c r="T176" s="1"/>
    </row>
    <row r="177" spans="20:20" x14ac:dyDescent="0.25">
      <c r="T177" s="1"/>
    </row>
    <row r="178" spans="20:20" x14ac:dyDescent="0.25">
      <c r="T178" s="1"/>
    </row>
    <row r="179" spans="20:20" x14ac:dyDescent="0.25">
      <c r="T179" s="1"/>
    </row>
    <row r="180" spans="20:20" x14ac:dyDescent="0.25">
      <c r="T180" s="1"/>
    </row>
    <row r="181" spans="20:20" x14ac:dyDescent="0.25">
      <c r="T181" s="1"/>
    </row>
    <row r="182" spans="20:20" x14ac:dyDescent="0.25">
      <c r="T182" s="1"/>
    </row>
    <row r="183" spans="20:20" x14ac:dyDescent="0.25">
      <c r="T183" s="1"/>
    </row>
    <row r="184" spans="20:20" x14ac:dyDescent="0.25">
      <c r="T184" s="1"/>
    </row>
    <row r="185" spans="20:20" x14ac:dyDescent="0.25">
      <c r="T185" s="1"/>
    </row>
    <row r="186" spans="20:20" x14ac:dyDescent="0.25">
      <c r="T186" s="1"/>
    </row>
    <row r="187" spans="20:20" x14ac:dyDescent="0.25">
      <c r="T187" s="1"/>
    </row>
    <row r="188" spans="20:20" x14ac:dyDescent="0.25">
      <c r="T188" s="1"/>
    </row>
    <row r="189" spans="20:20" x14ac:dyDescent="0.25">
      <c r="T189" s="1"/>
    </row>
    <row r="190" spans="20:20" x14ac:dyDescent="0.25">
      <c r="T190" s="1"/>
    </row>
    <row r="191" spans="20:20" x14ac:dyDescent="0.25">
      <c r="T191" s="1"/>
    </row>
    <row r="192" spans="20:20" x14ac:dyDescent="0.25">
      <c r="T192" s="1"/>
    </row>
    <row r="193" spans="20:20" x14ac:dyDescent="0.25">
      <c r="T193" s="1"/>
    </row>
    <row r="194" spans="20:20" x14ac:dyDescent="0.25">
      <c r="T194" s="1"/>
    </row>
    <row r="195" spans="20:20" x14ac:dyDescent="0.25">
      <c r="T195" s="1"/>
    </row>
    <row r="196" spans="20:20" x14ac:dyDescent="0.25">
      <c r="T196" s="1"/>
    </row>
    <row r="197" spans="20:20" x14ac:dyDescent="0.25">
      <c r="T197" s="1"/>
    </row>
    <row r="198" spans="20:20" x14ac:dyDescent="0.25">
      <c r="T198" s="1"/>
    </row>
    <row r="199" spans="20:20" x14ac:dyDescent="0.25">
      <c r="T199" s="1"/>
    </row>
    <row r="200" spans="20:20" x14ac:dyDescent="0.25">
      <c r="T200" s="1"/>
    </row>
    <row r="201" spans="20:20" x14ac:dyDescent="0.25">
      <c r="T201" s="1"/>
    </row>
    <row r="202" spans="20:20" x14ac:dyDescent="0.25">
      <c r="T202" s="1"/>
    </row>
    <row r="203" spans="20:20" x14ac:dyDescent="0.25">
      <c r="T203" s="1"/>
    </row>
    <row r="204" spans="20:20" x14ac:dyDescent="0.25">
      <c r="T204" s="1"/>
    </row>
    <row r="205" spans="20:20" x14ac:dyDescent="0.25">
      <c r="T205" s="1"/>
    </row>
    <row r="206" spans="20:20" x14ac:dyDescent="0.25">
      <c r="T206" s="1"/>
    </row>
    <row r="207" spans="20:20" x14ac:dyDescent="0.25">
      <c r="T207" s="1"/>
    </row>
    <row r="208" spans="20:20" x14ac:dyDescent="0.25">
      <c r="T208" s="1"/>
    </row>
    <row r="209" spans="20:20" x14ac:dyDescent="0.25">
      <c r="T209" s="1"/>
    </row>
    <row r="210" spans="20:20" x14ac:dyDescent="0.25">
      <c r="T210" s="1"/>
    </row>
    <row r="211" spans="20:20" x14ac:dyDescent="0.25">
      <c r="T211" s="1"/>
    </row>
    <row r="212" spans="20:20" x14ac:dyDescent="0.25">
      <c r="T212" s="1"/>
    </row>
    <row r="213" spans="20:20" x14ac:dyDescent="0.25">
      <c r="T213" s="1"/>
    </row>
    <row r="214" spans="20:20" x14ac:dyDescent="0.25">
      <c r="T214" s="1"/>
    </row>
    <row r="215" spans="20:20" x14ac:dyDescent="0.25">
      <c r="T215" s="1"/>
    </row>
    <row r="216" spans="20:20" x14ac:dyDescent="0.25">
      <c r="T216" s="1"/>
    </row>
    <row r="217" spans="20:20" x14ac:dyDescent="0.25">
      <c r="T217" s="1"/>
    </row>
    <row r="218" spans="20:20" x14ac:dyDescent="0.25">
      <c r="T218" s="1"/>
    </row>
    <row r="219" spans="20:20" x14ac:dyDescent="0.25">
      <c r="T219" s="1"/>
    </row>
    <row r="220" spans="20:20" x14ac:dyDescent="0.25">
      <c r="T220" s="1"/>
    </row>
    <row r="221" spans="20:20" x14ac:dyDescent="0.25">
      <c r="T221" s="1"/>
    </row>
    <row r="222" spans="20:20" x14ac:dyDescent="0.25">
      <c r="T222" s="1"/>
    </row>
    <row r="223" spans="20:20" x14ac:dyDescent="0.25">
      <c r="T223" s="1"/>
    </row>
    <row r="224" spans="20:20" x14ac:dyDescent="0.25">
      <c r="T224" s="1"/>
    </row>
    <row r="225" spans="20:20" x14ac:dyDescent="0.25">
      <c r="T225" s="1"/>
    </row>
    <row r="226" spans="20:20" x14ac:dyDescent="0.25">
      <c r="T226" s="1"/>
    </row>
    <row r="227" spans="20:20" x14ac:dyDescent="0.25">
      <c r="T227" s="1"/>
    </row>
    <row r="228" spans="20:20" x14ac:dyDescent="0.25">
      <c r="T228" s="1"/>
    </row>
    <row r="229" spans="20:20" x14ac:dyDescent="0.25">
      <c r="T229" s="1"/>
    </row>
    <row r="230" spans="20:20" x14ac:dyDescent="0.25">
      <c r="T230" s="1"/>
    </row>
    <row r="231" spans="20:20" x14ac:dyDescent="0.25">
      <c r="T231" s="1"/>
    </row>
    <row r="232" spans="20:20" x14ac:dyDescent="0.25">
      <c r="T232" s="1"/>
    </row>
    <row r="233" spans="20:20" x14ac:dyDescent="0.25">
      <c r="T233" s="1"/>
    </row>
    <row r="234" spans="20:20" x14ac:dyDescent="0.25">
      <c r="T234" s="1"/>
    </row>
    <row r="235" spans="20:20" x14ac:dyDescent="0.25">
      <c r="T235" s="1"/>
    </row>
    <row r="236" spans="20:20" x14ac:dyDescent="0.25">
      <c r="T236" s="1"/>
    </row>
    <row r="237" spans="20:20" x14ac:dyDescent="0.25">
      <c r="T237" s="1"/>
    </row>
    <row r="238" spans="20:20" x14ac:dyDescent="0.25">
      <c r="T238" s="1"/>
    </row>
    <row r="239" spans="20:20" x14ac:dyDescent="0.25">
      <c r="T239" s="1"/>
    </row>
    <row r="240" spans="20:20" x14ac:dyDescent="0.25">
      <c r="T240" s="1"/>
    </row>
    <row r="241" spans="20:20" x14ac:dyDescent="0.25">
      <c r="T241" s="1"/>
    </row>
    <row r="242" spans="20:20" x14ac:dyDescent="0.25">
      <c r="T242" s="1"/>
    </row>
    <row r="243" spans="20:20" x14ac:dyDescent="0.25">
      <c r="T243" s="1"/>
    </row>
    <row r="244" spans="20:20" x14ac:dyDescent="0.25">
      <c r="T244" s="1"/>
    </row>
    <row r="245" spans="20:20" x14ac:dyDescent="0.25">
      <c r="T245" s="1"/>
    </row>
    <row r="246" spans="20:20" x14ac:dyDescent="0.25">
      <c r="T246" s="1"/>
    </row>
    <row r="247" spans="20:20" x14ac:dyDescent="0.25">
      <c r="T247" s="1"/>
    </row>
    <row r="248" spans="20:20" x14ac:dyDescent="0.25">
      <c r="T248" s="1"/>
    </row>
    <row r="249" spans="20:20" x14ac:dyDescent="0.25">
      <c r="T249" s="1"/>
    </row>
    <row r="250" spans="20:20" x14ac:dyDescent="0.25">
      <c r="T250" s="1"/>
    </row>
    <row r="251" spans="20:20" x14ac:dyDescent="0.25">
      <c r="T251" s="1"/>
    </row>
    <row r="252" spans="20:20" x14ac:dyDescent="0.25">
      <c r="T252" s="1"/>
    </row>
    <row r="253" spans="20:20" x14ac:dyDescent="0.25">
      <c r="T253" s="1"/>
    </row>
    <row r="254" spans="20:20" x14ac:dyDescent="0.25">
      <c r="T254" s="1"/>
    </row>
    <row r="255" spans="20:20" x14ac:dyDescent="0.25">
      <c r="T255" s="1"/>
    </row>
    <row r="256" spans="20:20" x14ac:dyDescent="0.25">
      <c r="T256" s="1"/>
    </row>
    <row r="257" spans="20:20" x14ac:dyDescent="0.25">
      <c r="T257" s="1"/>
    </row>
    <row r="258" spans="20:20" x14ac:dyDescent="0.25">
      <c r="T258" s="1"/>
    </row>
    <row r="259" spans="20:20" x14ac:dyDescent="0.25">
      <c r="T259" s="1"/>
    </row>
    <row r="260" spans="20:20" x14ac:dyDescent="0.25">
      <c r="T260" s="1"/>
    </row>
    <row r="261" spans="20:20" x14ac:dyDescent="0.25">
      <c r="T261" s="1"/>
    </row>
    <row r="262" spans="20:20" x14ac:dyDescent="0.25">
      <c r="T262" s="1"/>
    </row>
    <row r="263" spans="20:20" x14ac:dyDescent="0.25">
      <c r="T263" s="1"/>
    </row>
    <row r="264" spans="20:20" x14ac:dyDescent="0.25">
      <c r="T264" s="1"/>
    </row>
    <row r="265" spans="20:20" x14ac:dyDescent="0.25">
      <c r="T265" s="1"/>
    </row>
    <row r="266" spans="20:20" x14ac:dyDescent="0.25">
      <c r="T266" s="1"/>
    </row>
    <row r="267" spans="20:20" x14ac:dyDescent="0.25">
      <c r="T267" s="1"/>
    </row>
    <row r="268" spans="20:20" x14ac:dyDescent="0.25">
      <c r="T268" s="1"/>
    </row>
    <row r="269" spans="20:20" x14ac:dyDescent="0.25">
      <c r="T269" s="1"/>
    </row>
    <row r="270" spans="20:20" x14ac:dyDescent="0.25">
      <c r="T270" s="1"/>
    </row>
    <row r="271" spans="20:20" x14ac:dyDescent="0.25">
      <c r="T271" s="1"/>
    </row>
    <row r="272" spans="20:20" x14ac:dyDescent="0.25">
      <c r="T272" s="1"/>
    </row>
    <row r="273" spans="20:20" x14ac:dyDescent="0.25">
      <c r="T273" s="1"/>
    </row>
    <row r="274" spans="20:20" x14ac:dyDescent="0.25">
      <c r="T274" s="1"/>
    </row>
    <row r="275" spans="20:20" x14ac:dyDescent="0.25">
      <c r="T275" s="1"/>
    </row>
    <row r="276" spans="20:20" x14ac:dyDescent="0.25">
      <c r="T276" s="1"/>
    </row>
    <row r="277" spans="20:20" x14ac:dyDescent="0.25">
      <c r="T277" s="1"/>
    </row>
    <row r="278" spans="20:20" x14ac:dyDescent="0.25">
      <c r="T278" s="1"/>
    </row>
    <row r="279" spans="20:20" x14ac:dyDescent="0.25">
      <c r="T279" s="1"/>
    </row>
    <row r="280" spans="20:20" x14ac:dyDescent="0.25">
      <c r="T280" s="1"/>
    </row>
    <row r="281" spans="20:20" x14ac:dyDescent="0.25">
      <c r="T281" s="1"/>
    </row>
    <row r="282" spans="20:20" x14ac:dyDescent="0.25">
      <c r="T282" s="1"/>
    </row>
    <row r="283" spans="20:20" x14ac:dyDescent="0.25">
      <c r="T283" s="1"/>
    </row>
    <row r="284" spans="20:20" x14ac:dyDescent="0.25">
      <c r="T284" s="1"/>
    </row>
    <row r="285" spans="20:20" x14ac:dyDescent="0.25">
      <c r="T285" s="1"/>
    </row>
    <row r="286" spans="20:20" x14ac:dyDescent="0.25">
      <c r="T286" s="1"/>
    </row>
    <row r="287" spans="20:20" x14ac:dyDescent="0.25">
      <c r="T287" s="1"/>
    </row>
    <row r="288" spans="20:20" x14ac:dyDescent="0.25">
      <c r="T288" s="1"/>
    </row>
    <row r="289" spans="20:20" x14ac:dyDescent="0.25">
      <c r="T289" s="1"/>
    </row>
    <row r="290" spans="20:20" x14ac:dyDescent="0.25">
      <c r="T290" s="1"/>
    </row>
    <row r="291" spans="20:20" x14ac:dyDescent="0.25">
      <c r="T291" s="1"/>
    </row>
    <row r="292" spans="20:20" x14ac:dyDescent="0.25">
      <c r="T292" s="1"/>
    </row>
    <row r="293" spans="20:20" x14ac:dyDescent="0.25">
      <c r="T293" s="1"/>
    </row>
    <row r="294" spans="20:20" x14ac:dyDescent="0.25">
      <c r="T294" s="1"/>
    </row>
    <row r="295" spans="20:20" x14ac:dyDescent="0.25">
      <c r="T295" s="1"/>
    </row>
    <row r="296" spans="20:20" x14ac:dyDescent="0.25">
      <c r="T296" s="1"/>
    </row>
    <row r="297" spans="20:20" x14ac:dyDescent="0.25">
      <c r="T297" s="1"/>
    </row>
    <row r="298" spans="20:20" x14ac:dyDescent="0.25">
      <c r="T298" s="1"/>
    </row>
    <row r="299" spans="20:20" x14ac:dyDescent="0.25">
      <c r="T299" s="1"/>
    </row>
    <row r="300" spans="20:20" x14ac:dyDescent="0.25">
      <c r="T300" s="1"/>
    </row>
    <row r="301" spans="20:20" x14ac:dyDescent="0.25">
      <c r="T301" s="1"/>
    </row>
    <row r="302" spans="20:20" x14ac:dyDescent="0.25">
      <c r="T302" s="1"/>
    </row>
    <row r="303" spans="20:20" x14ac:dyDescent="0.25">
      <c r="T303" s="1"/>
    </row>
    <row r="304" spans="20:20" x14ac:dyDescent="0.25">
      <c r="T304" s="1"/>
    </row>
    <row r="305" spans="20:20" x14ac:dyDescent="0.25">
      <c r="T305" s="1"/>
    </row>
    <row r="306" spans="20:20" x14ac:dyDescent="0.25">
      <c r="T306" s="1"/>
    </row>
    <row r="307" spans="20:20" x14ac:dyDescent="0.25">
      <c r="T307" s="1"/>
    </row>
    <row r="308" spans="20:20" x14ac:dyDescent="0.25">
      <c r="T308" s="1"/>
    </row>
    <row r="309" spans="20:20" x14ac:dyDescent="0.25">
      <c r="T309" s="1"/>
    </row>
    <row r="310" spans="20:20" x14ac:dyDescent="0.25">
      <c r="T310" s="1"/>
    </row>
    <row r="311" spans="20:20" x14ac:dyDescent="0.25">
      <c r="T311" s="1"/>
    </row>
    <row r="312" spans="20:20" x14ac:dyDescent="0.25">
      <c r="T312" s="1"/>
    </row>
    <row r="313" spans="20:20" x14ac:dyDescent="0.25">
      <c r="T313" s="1"/>
    </row>
    <row r="314" spans="20:20" x14ac:dyDescent="0.25">
      <c r="T314" s="1"/>
    </row>
    <row r="315" spans="20:20" x14ac:dyDescent="0.25">
      <c r="T315" s="1"/>
    </row>
    <row r="316" spans="20:20" x14ac:dyDescent="0.25">
      <c r="T316" s="1"/>
    </row>
    <row r="317" spans="20:20" x14ac:dyDescent="0.25">
      <c r="T317" s="1"/>
    </row>
    <row r="318" spans="20:20" x14ac:dyDescent="0.25">
      <c r="T318" s="1"/>
    </row>
    <row r="319" spans="20:20" x14ac:dyDescent="0.25">
      <c r="T319" s="1"/>
    </row>
    <row r="320" spans="20:20" x14ac:dyDescent="0.25">
      <c r="T320" s="1"/>
    </row>
    <row r="321" spans="20:20" x14ac:dyDescent="0.25">
      <c r="T321" s="1"/>
    </row>
    <row r="322" spans="20:20" x14ac:dyDescent="0.25">
      <c r="T322" s="1"/>
    </row>
    <row r="323" spans="20:20" x14ac:dyDescent="0.25">
      <c r="T323" s="1"/>
    </row>
    <row r="324" spans="20:20" x14ac:dyDescent="0.25">
      <c r="T324" s="1"/>
    </row>
    <row r="325" spans="20:20" x14ac:dyDescent="0.25">
      <c r="T325" s="1"/>
    </row>
    <row r="326" spans="20:20" x14ac:dyDescent="0.25">
      <c r="T326" s="1"/>
    </row>
    <row r="327" spans="20:20" x14ac:dyDescent="0.25">
      <c r="T327" s="1"/>
    </row>
    <row r="328" spans="20:20" x14ac:dyDescent="0.25">
      <c r="T328" s="1"/>
    </row>
    <row r="329" spans="20:20" x14ac:dyDescent="0.25">
      <c r="T329" s="1"/>
    </row>
    <row r="330" spans="20:20" x14ac:dyDescent="0.25">
      <c r="T330" s="1"/>
    </row>
    <row r="331" spans="20:20" x14ac:dyDescent="0.25">
      <c r="T331" s="1"/>
    </row>
    <row r="332" spans="20:20" x14ac:dyDescent="0.25">
      <c r="T332" s="1"/>
    </row>
    <row r="333" spans="20:20" x14ac:dyDescent="0.25">
      <c r="T333" s="1"/>
    </row>
    <row r="334" spans="20:20" x14ac:dyDescent="0.25">
      <c r="T334" s="1"/>
    </row>
    <row r="335" spans="20:20" x14ac:dyDescent="0.25">
      <c r="T335" s="1"/>
    </row>
    <row r="336" spans="20:20" x14ac:dyDescent="0.25">
      <c r="T336" s="1"/>
    </row>
    <row r="337" spans="20:20" x14ac:dyDescent="0.25">
      <c r="T337" s="1"/>
    </row>
    <row r="338" spans="20:20" x14ac:dyDescent="0.25">
      <c r="T338" s="1"/>
    </row>
    <row r="339" spans="20:20" x14ac:dyDescent="0.25">
      <c r="T339" s="1"/>
    </row>
    <row r="340" spans="20:20" x14ac:dyDescent="0.25">
      <c r="T340" s="1"/>
    </row>
    <row r="341" spans="20:20" x14ac:dyDescent="0.25">
      <c r="T341" s="1"/>
    </row>
    <row r="342" spans="20:20" x14ac:dyDescent="0.25">
      <c r="T342" s="1"/>
    </row>
    <row r="343" spans="20:20" x14ac:dyDescent="0.25">
      <c r="T343" s="1"/>
    </row>
    <row r="344" spans="20:20" x14ac:dyDescent="0.25">
      <c r="T344" s="1"/>
    </row>
    <row r="345" spans="20:20" x14ac:dyDescent="0.25">
      <c r="T345" s="1"/>
    </row>
    <row r="346" spans="20:20" x14ac:dyDescent="0.25">
      <c r="T346" s="1"/>
    </row>
    <row r="347" spans="20:20" x14ac:dyDescent="0.25">
      <c r="T347" s="1"/>
    </row>
    <row r="348" spans="20:20" x14ac:dyDescent="0.25">
      <c r="T348" s="1"/>
    </row>
    <row r="349" spans="20:20" x14ac:dyDescent="0.25">
      <c r="T349" s="1"/>
    </row>
    <row r="350" spans="20:20" x14ac:dyDescent="0.25">
      <c r="T350" s="1"/>
    </row>
    <row r="351" spans="20:20" x14ac:dyDescent="0.25">
      <c r="T351" s="1"/>
    </row>
    <row r="352" spans="20:20" x14ac:dyDescent="0.25">
      <c r="T352" s="1"/>
    </row>
    <row r="353" spans="20:20" x14ac:dyDescent="0.25">
      <c r="T353" s="1"/>
    </row>
    <row r="354" spans="20:20" x14ac:dyDescent="0.25">
      <c r="T354" s="1"/>
    </row>
    <row r="355" spans="20:20" x14ac:dyDescent="0.25">
      <c r="T355" s="1"/>
    </row>
    <row r="356" spans="20:20" x14ac:dyDescent="0.25">
      <c r="T356" s="1"/>
    </row>
    <row r="357" spans="20:20" x14ac:dyDescent="0.25">
      <c r="T357" s="1"/>
    </row>
    <row r="358" spans="20:20" x14ac:dyDescent="0.25">
      <c r="T358" s="1"/>
    </row>
    <row r="359" spans="20:20" x14ac:dyDescent="0.25">
      <c r="T359" s="1"/>
    </row>
    <row r="360" spans="20:20" x14ac:dyDescent="0.25">
      <c r="T360" s="1"/>
    </row>
    <row r="361" spans="20:20" x14ac:dyDescent="0.25">
      <c r="T361" s="1"/>
    </row>
    <row r="362" spans="20:20" x14ac:dyDescent="0.25">
      <c r="T362" s="1"/>
    </row>
    <row r="363" spans="20:20" x14ac:dyDescent="0.25">
      <c r="T363" s="1"/>
    </row>
    <row r="364" spans="20:20" x14ac:dyDescent="0.25">
      <c r="T364" s="1"/>
    </row>
    <row r="365" spans="20:20" x14ac:dyDescent="0.25">
      <c r="T365" s="1"/>
    </row>
    <row r="366" spans="20:20" x14ac:dyDescent="0.25">
      <c r="T366" s="1"/>
    </row>
    <row r="367" spans="20:20" x14ac:dyDescent="0.25">
      <c r="T367" s="1"/>
    </row>
    <row r="368" spans="20:20" x14ac:dyDescent="0.25">
      <c r="T368" s="1"/>
    </row>
    <row r="369" spans="20:20" x14ac:dyDescent="0.25">
      <c r="T369" s="1"/>
    </row>
    <row r="370" spans="20:20" x14ac:dyDescent="0.25">
      <c r="T370" s="1"/>
    </row>
    <row r="371" spans="20:20" x14ac:dyDescent="0.25">
      <c r="T371" s="1"/>
    </row>
    <row r="372" spans="20:20" x14ac:dyDescent="0.25">
      <c r="T372" s="1"/>
    </row>
    <row r="373" spans="20:20" x14ac:dyDescent="0.25">
      <c r="T373" s="1"/>
    </row>
    <row r="374" spans="20:20" x14ac:dyDescent="0.25">
      <c r="T374" s="1"/>
    </row>
    <row r="375" spans="20:20" x14ac:dyDescent="0.25">
      <c r="T375" s="1"/>
    </row>
    <row r="376" spans="20:20" x14ac:dyDescent="0.25">
      <c r="T376" s="1"/>
    </row>
    <row r="377" spans="20:20" x14ac:dyDescent="0.25">
      <c r="T377" s="1"/>
    </row>
    <row r="378" spans="20:20" x14ac:dyDescent="0.25">
      <c r="T378" s="1"/>
    </row>
    <row r="379" spans="20:20" x14ac:dyDescent="0.25">
      <c r="T379" s="1"/>
    </row>
    <row r="380" spans="20:20" x14ac:dyDescent="0.25">
      <c r="T380" s="1"/>
    </row>
    <row r="381" spans="20:20" x14ac:dyDescent="0.25">
      <c r="T381" s="1"/>
    </row>
    <row r="382" spans="20:20" x14ac:dyDescent="0.25">
      <c r="T382" s="1"/>
    </row>
    <row r="383" spans="20:20" x14ac:dyDescent="0.25">
      <c r="T383" s="1"/>
    </row>
    <row r="384" spans="20:20" x14ac:dyDescent="0.25">
      <c r="T384" s="1"/>
    </row>
    <row r="385" spans="20:20" x14ac:dyDescent="0.25">
      <c r="T385" s="1"/>
    </row>
    <row r="386" spans="20:20" x14ac:dyDescent="0.25">
      <c r="T386" s="1"/>
    </row>
    <row r="387" spans="20:20" x14ac:dyDescent="0.25">
      <c r="T387" s="1"/>
    </row>
    <row r="388" spans="20:20" x14ac:dyDescent="0.25">
      <c r="T388" s="1"/>
    </row>
    <row r="389" spans="20:20" x14ac:dyDescent="0.25">
      <c r="T389" s="1"/>
    </row>
    <row r="390" spans="20:20" x14ac:dyDescent="0.25">
      <c r="T390" s="1"/>
    </row>
    <row r="391" spans="20:20" x14ac:dyDescent="0.25">
      <c r="T391" s="1"/>
    </row>
    <row r="392" spans="20:20" x14ac:dyDescent="0.25">
      <c r="T392" s="1"/>
    </row>
    <row r="393" spans="20:20" x14ac:dyDescent="0.25">
      <c r="T393" s="1"/>
    </row>
    <row r="394" spans="20:20" x14ac:dyDescent="0.25">
      <c r="T394" s="1"/>
    </row>
    <row r="395" spans="20:20" x14ac:dyDescent="0.25">
      <c r="T395" s="1"/>
    </row>
    <row r="396" spans="20:20" x14ac:dyDescent="0.25">
      <c r="T396" s="1"/>
    </row>
    <row r="397" spans="20:20" x14ac:dyDescent="0.25">
      <c r="T397" s="1"/>
    </row>
    <row r="398" spans="20:20" x14ac:dyDescent="0.25">
      <c r="T398" s="1"/>
    </row>
    <row r="399" spans="20:20" x14ac:dyDescent="0.25">
      <c r="T399" s="1"/>
    </row>
    <row r="400" spans="20:20" x14ac:dyDescent="0.25">
      <c r="T400" s="1"/>
    </row>
    <row r="401" spans="20:20" x14ac:dyDescent="0.25">
      <c r="T401" s="1"/>
    </row>
    <row r="402" spans="20:20" x14ac:dyDescent="0.25">
      <c r="T402" s="1"/>
    </row>
    <row r="403" spans="20:20" x14ac:dyDescent="0.25">
      <c r="T403" s="1"/>
    </row>
    <row r="404" spans="20:20" x14ac:dyDescent="0.25">
      <c r="T404" s="1"/>
    </row>
    <row r="405" spans="20:20" x14ac:dyDescent="0.25">
      <c r="T405" s="1"/>
    </row>
    <row r="406" spans="20:20" x14ac:dyDescent="0.25">
      <c r="T406" s="1"/>
    </row>
    <row r="407" spans="20:20" x14ac:dyDescent="0.25">
      <c r="T407" s="1"/>
    </row>
    <row r="408" spans="20:20" x14ac:dyDescent="0.25">
      <c r="T408" s="1"/>
    </row>
    <row r="409" spans="20:20" x14ac:dyDescent="0.25">
      <c r="T409" s="1"/>
    </row>
    <row r="410" spans="20:20" x14ac:dyDescent="0.25">
      <c r="T410" s="1"/>
    </row>
    <row r="411" spans="20:20" x14ac:dyDescent="0.25">
      <c r="T411" s="1"/>
    </row>
    <row r="412" spans="20:20" x14ac:dyDescent="0.25">
      <c r="T412" s="1"/>
    </row>
    <row r="413" spans="20:20" x14ac:dyDescent="0.25">
      <c r="T413" s="1"/>
    </row>
    <row r="414" spans="20:20" x14ac:dyDescent="0.25">
      <c r="T414" s="1"/>
    </row>
    <row r="415" spans="20:20" x14ac:dyDescent="0.25">
      <c r="T415" s="1"/>
    </row>
    <row r="416" spans="20:20" x14ac:dyDescent="0.25">
      <c r="T416" s="1"/>
    </row>
    <row r="417" spans="20:20" x14ac:dyDescent="0.25">
      <c r="T417" s="1"/>
    </row>
    <row r="418" spans="20:20" x14ac:dyDescent="0.25">
      <c r="T418" s="1"/>
    </row>
    <row r="419" spans="20:20" x14ac:dyDescent="0.25">
      <c r="T419" s="1"/>
    </row>
    <row r="420" spans="20:20" x14ac:dyDescent="0.25">
      <c r="T420" s="1"/>
    </row>
    <row r="421" spans="20:20" x14ac:dyDescent="0.25">
      <c r="T421" s="1"/>
    </row>
    <row r="422" spans="20:20" x14ac:dyDescent="0.25">
      <c r="T422" s="1"/>
    </row>
    <row r="423" spans="20:20" x14ac:dyDescent="0.25">
      <c r="T423" s="1"/>
    </row>
    <row r="424" spans="20:20" x14ac:dyDescent="0.25">
      <c r="T424" s="1"/>
    </row>
    <row r="425" spans="20:20" x14ac:dyDescent="0.25">
      <c r="T425" s="1"/>
    </row>
    <row r="426" spans="20:20" x14ac:dyDescent="0.25">
      <c r="T426" s="1"/>
    </row>
    <row r="427" spans="20:20" x14ac:dyDescent="0.25">
      <c r="T427" s="1"/>
    </row>
    <row r="428" spans="20:20" x14ac:dyDescent="0.25">
      <c r="T428" s="1"/>
    </row>
    <row r="429" spans="20:20" x14ac:dyDescent="0.25">
      <c r="T429" s="1"/>
    </row>
    <row r="430" spans="20:20" x14ac:dyDescent="0.25">
      <c r="T430" s="1"/>
    </row>
    <row r="431" spans="20:20" x14ac:dyDescent="0.25">
      <c r="T431" s="1"/>
    </row>
    <row r="432" spans="20:20" x14ac:dyDescent="0.25">
      <c r="T432" s="1"/>
    </row>
    <row r="433" spans="20:20" x14ac:dyDescent="0.25">
      <c r="T433" s="1"/>
    </row>
    <row r="434" spans="20:20" x14ac:dyDescent="0.25">
      <c r="T434" s="1"/>
    </row>
    <row r="435" spans="20:20" x14ac:dyDescent="0.25">
      <c r="T435" s="1"/>
    </row>
    <row r="436" spans="20:20" x14ac:dyDescent="0.25">
      <c r="T436" s="1"/>
    </row>
    <row r="437" spans="20:20" x14ac:dyDescent="0.25">
      <c r="T437" s="1"/>
    </row>
    <row r="438" spans="20:20" x14ac:dyDescent="0.25">
      <c r="T438" s="1"/>
    </row>
    <row r="439" spans="20:20" x14ac:dyDescent="0.25">
      <c r="T439" s="1"/>
    </row>
    <row r="440" spans="20:20" x14ac:dyDescent="0.25">
      <c r="T440" s="1"/>
    </row>
    <row r="441" spans="20:20" x14ac:dyDescent="0.25">
      <c r="T441" s="1"/>
    </row>
    <row r="442" spans="20:20" x14ac:dyDescent="0.25">
      <c r="T442" s="1"/>
    </row>
    <row r="443" spans="20:20" x14ac:dyDescent="0.25">
      <c r="T443" s="1"/>
    </row>
    <row r="444" spans="20:20" x14ac:dyDescent="0.25">
      <c r="T444" s="1"/>
    </row>
    <row r="445" spans="20:20" x14ac:dyDescent="0.25">
      <c r="T445" s="1"/>
    </row>
    <row r="446" spans="20:20" x14ac:dyDescent="0.25">
      <c r="T446" s="1"/>
    </row>
    <row r="447" spans="20:20" x14ac:dyDescent="0.25">
      <c r="T447" s="1"/>
    </row>
    <row r="448" spans="20:20" x14ac:dyDescent="0.25">
      <c r="T448" s="1"/>
    </row>
    <row r="449" spans="20:20" x14ac:dyDescent="0.25">
      <c r="T449" s="1"/>
    </row>
    <row r="450" spans="20:20" x14ac:dyDescent="0.25">
      <c r="T450" s="1"/>
    </row>
    <row r="451" spans="20:20" x14ac:dyDescent="0.25">
      <c r="T451" s="1"/>
    </row>
    <row r="452" spans="20:20" x14ac:dyDescent="0.25">
      <c r="T452" s="1"/>
    </row>
    <row r="453" spans="20:20" x14ac:dyDescent="0.25">
      <c r="T453" s="1"/>
    </row>
    <row r="454" spans="20:20" x14ac:dyDescent="0.25">
      <c r="T454" s="1"/>
    </row>
    <row r="455" spans="20:20" x14ac:dyDescent="0.25">
      <c r="T455" s="1"/>
    </row>
    <row r="456" spans="20:20" x14ac:dyDescent="0.25">
      <c r="T456" s="1"/>
    </row>
    <row r="457" spans="20:20" x14ac:dyDescent="0.25">
      <c r="T457" s="1"/>
    </row>
    <row r="458" spans="20:20" x14ac:dyDescent="0.25">
      <c r="T458" s="1"/>
    </row>
    <row r="459" spans="20:20" x14ac:dyDescent="0.25">
      <c r="T459" s="1"/>
    </row>
    <row r="460" spans="20:20" x14ac:dyDescent="0.25">
      <c r="T460" s="1"/>
    </row>
    <row r="461" spans="20:20" x14ac:dyDescent="0.25">
      <c r="T461" s="1"/>
    </row>
    <row r="462" spans="20:20" x14ac:dyDescent="0.25">
      <c r="T462" s="1"/>
    </row>
    <row r="463" spans="20:20" x14ac:dyDescent="0.25">
      <c r="T463" s="1"/>
    </row>
    <row r="464" spans="20:20" x14ac:dyDescent="0.25">
      <c r="T464" s="1"/>
    </row>
    <row r="465" spans="20:20" x14ac:dyDescent="0.25">
      <c r="T465" s="1"/>
    </row>
    <row r="466" spans="20:20" x14ac:dyDescent="0.25">
      <c r="T466" s="1"/>
    </row>
    <row r="467" spans="20:20" x14ac:dyDescent="0.25">
      <c r="T467" s="1"/>
    </row>
    <row r="468" spans="20:20" x14ac:dyDescent="0.25">
      <c r="T468" s="1"/>
    </row>
    <row r="469" spans="20:20" x14ac:dyDescent="0.25">
      <c r="T469" s="1"/>
    </row>
    <row r="470" spans="20:20" x14ac:dyDescent="0.25">
      <c r="T470" s="1"/>
    </row>
    <row r="471" spans="20:20" x14ac:dyDescent="0.25">
      <c r="T471" s="1"/>
    </row>
    <row r="472" spans="20:20" x14ac:dyDescent="0.25">
      <c r="T472" s="1"/>
    </row>
    <row r="473" spans="20:20" x14ac:dyDescent="0.25">
      <c r="T473" s="1"/>
    </row>
    <row r="474" spans="20:20" x14ac:dyDescent="0.25">
      <c r="T474" s="1"/>
    </row>
    <row r="475" spans="20:20" x14ac:dyDescent="0.25">
      <c r="T475" s="1"/>
    </row>
    <row r="476" spans="20:20" x14ac:dyDescent="0.25">
      <c r="T476" s="1"/>
    </row>
    <row r="477" spans="20:20" x14ac:dyDescent="0.25">
      <c r="T477" s="1"/>
    </row>
    <row r="478" spans="20:20" x14ac:dyDescent="0.25">
      <c r="T478" s="1"/>
    </row>
    <row r="479" spans="20:20" x14ac:dyDescent="0.25">
      <c r="T479" s="1"/>
    </row>
    <row r="480" spans="20:20" x14ac:dyDescent="0.25">
      <c r="T480" s="1"/>
    </row>
    <row r="481" spans="20:20" x14ac:dyDescent="0.25">
      <c r="T481" s="1"/>
    </row>
    <row r="482" spans="20:20" x14ac:dyDescent="0.25">
      <c r="T482" s="1"/>
    </row>
    <row r="483" spans="20:20" x14ac:dyDescent="0.25">
      <c r="T483" s="1"/>
    </row>
    <row r="484" spans="20:20" x14ac:dyDescent="0.25">
      <c r="T484" s="1"/>
    </row>
    <row r="485" spans="20:20" x14ac:dyDescent="0.25">
      <c r="T485" s="1"/>
    </row>
    <row r="486" spans="20:20" x14ac:dyDescent="0.25">
      <c r="T486" s="1"/>
    </row>
    <row r="487" spans="20:20" x14ac:dyDescent="0.25">
      <c r="T487" s="1"/>
    </row>
    <row r="488" spans="20:20" x14ac:dyDescent="0.25">
      <c r="T488" s="1"/>
    </row>
    <row r="489" spans="20:20" x14ac:dyDescent="0.25">
      <c r="T489" s="1"/>
    </row>
    <row r="490" spans="20:20" x14ac:dyDescent="0.25">
      <c r="T490" s="1"/>
    </row>
    <row r="491" spans="20:20" x14ac:dyDescent="0.25">
      <c r="T491" s="1"/>
    </row>
    <row r="492" spans="20:20" x14ac:dyDescent="0.25">
      <c r="T492" s="1"/>
    </row>
    <row r="493" spans="20:20" x14ac:dyDescent="0.25">
      <c r="T493" s="1"/>
    </row>
    <row r="494" spans="20:20" x14ac:dyDescent="0.25">
      <c r="T494" s="1"/>
    </row>
    <row r="495" spans="20:20" x14ac:dyDescent="0.25">
      <c r="T495" s="1"/>
    </row>
    <row r="496" spans="20:20" x14ac:dyDescent="0.25">
      <c r="T496" s="1"/>
    </row>
    <row r="497" spans="20:20" x14ac:dyDescent="0.25">
      <c r="T497" s="1"/>
    </row>
    <row r="498" spans="20:20" x14ac:dyDescent="0.25">
      <c r="T498" s="1"/>
    </row>
    <row r="499" spans="20:20" x14ac:dyDescent="0.25">
      <c r="T499" s="1"/>
    </row>
    <row r="500" spans="20:20" x14ac:dyDescent="0.25">
      <c r="T500" s="1"/>
    </row>
    <row r="501" spans="20:20" x14ac:dyDescent="0.25">
      <c r="T501" s="1"/>
    </row>
    <row r="502" spans="20:20" x14ac:dyDescent="0.25">
      <c r="T502" s="1"/>
    </row>
    <row r="503" spans="20:20" x14ac:dyDescent="0.25">
      <c r="T503" s="1"/>
    </row>
    <row r="504" spans="20:20" x14ac:dyDescent="0.25">
      <c r="T504" s="1"/>
    </row>
    <row r="505" spans="20:20" x14ac:dyDescent="0.25">
      <c r="T505" s="1"/>
    </row>
    <row r="506" spans="20:20" x14ac:dyDescent="0.25">
      <c r="T506" s="1"/>
    </row>
    <row r="507" spans="20:20" x14ac:dyDescent="0.25">
      <c r="T507" s="1"/>
    </row>
    <row r="508" spans="20:20" x14ac:dyDescent="0.25">
      <c r="T508" s="1"/>
    </row>
    <row r="509" spans="20:20" x14ac:dyDescent="0.25">
      <c r="T509" s="1"/>
    </row>
    <row r="510" spans="20:20" x14ac:dyDescent="0.25">
      <c r="T510" s="1"/>
    </row>
    <row r="511" spans="20:20" x14ac:dyDescent="0.25">
      <c r="T511" s="1"/>
    </row>
    <row r="512" spans="20:20" x14ac:dyDescent="0.25">
      <c r="T512" s="1"/>
    </row>
    <row r="513" spans="20:20" x14ac:dyDescent="0.25">
      <c r="T513" s="1"/>
    </row>
    <row r="514" spans="20:20" x14ac:dyDescent="0.25">
      <c r="T514" s="1"/>
    </row>
    <row r="515" spans="20:20" x14ac:dyDescent="0.25">
      <c r="T515" s="1"/>
    </row>
    <row r="516" spans="20:20" x14ac:dyDescent="0.25">
      <c r="T516" s="1"/>
    </row>
    <row r="517" spans="20:20" x14ac:dyDescent="0.25">
      <c r="T517" s="1"/>
    </row>
    <row r="518" spans="20:20" x14ac:dyDescent="0.25">
      <c r="T518" s="1"/>
    </row>
    <row r="519" spans="20:20" x14ac:dyDescent="0.25">
      <c r="T519" s="1"/>
    </row>
    <row r="520" spans="20:20" x14ac:dyDescent="0.25">
      <c r="T520" s="1"/>
    </row>
    <row r="521" spans="20:20" x14ac:dyDescent="0.25">
      <c r="T521" s="1"/>
    </row>
    <row r="522" spans="20:20" x14ac:dyDescent="0.25">
      <c r="T522" s="1"/>
    </row>
    <row r="523" spans="20:20" x14ac:dyDescent="0.25">
      <c r="T523" s="1"/>
    </row>
    <row r="524" spans="20:20" x14ac:dyDescent="0.25">
      <c r="T524" s="1"/>
    </row>
    <row r="525" spans="20:20" x14ac:dyDescent="0.25">
      <c r="T525" s="1"/>
    </row>
    <row r="526" spans="20:20" x14ac:dyDescent="0.25">
      <c r="T526" s="1"/>
    </row>
    <row r="527" spans="20:20" x14ac:dyDescent="0.25">
      <c r="T527" s="1"/>
    </row>
    <row r="528" spans="20:20" x14ac:dyDescent="0.25">
      <c r="T528" s="1"/>
    </row>
    <row r="529" spans="20:20" x14ac:dyDescent="0.25">
      <c r="T529" s="1"/>
    </row>
    <row r="530" spans="20:20" x14ac:dyDescent="0.25">
      <c r="T530" s="1"/>
    </row>
    <row r="531" spans="20:20" x14ac:dyDescent="0.25">
      <c r="T531" s="1"/>
    </row>
    <row r="532" spans="20:20" x14ac:dyDescent="0.25">
      <c r="T532" s="1"/>
    </row>
    <row r="533" spans="20:20" x14ac:dyDescent="0.25">
      <c r="T533" s="1"/>
    </row>
    <row r="534" spans="20:20" x14ac:dyDescent="0.25">
      <c r="T534" s="1"/>
    </row>
    <row r="535" spans="20:20" x14ac:dyDescent="0.25">
      <c r="T535" s="1"/>
    </row>
    <row r="536" spans="20:20" x14ac:dyDescent="0.25">
      <c r="T536" s="1"/>
    </row>
    <row r="537" spans="20:20" x14ac:dyDescent="0.25">
      <c r="T537" s="1"/>
    </row>
    <row r="538" spans="20:20" x14ac:dyDescent="0.25">
      <c r="T538" s="1"/>
    </row>
    <row r="539" spans="20:20" x14ac:dyDescent="0.25">
      <c r="T539" s="1"/>
    </row>
    <row r="540" spans="20:20" x14ac:dyDescent="0.25">
      <c r="T540" s="1"/>
    </row>
    <row r="541" spans="20:20" x14ac:dyDescent="0.25">
      <c r="T541" s="1"/>
    </row>
    <row r="542" spans="20:20" x14ac:dyDescent="0.25">
      <c r="T542" s="1"/>
    </row>
    <row r="543" spans="20:20" x14ac:dyDescent="0.25">
      <c r="T543" s="1"/>
    </row>
    <row r="544" spans="20:20" x14ac:dyDescent="0.25">
      <c r="T544" s="1"/>
    </row>
    <row r="545" spans="20:20" x14ac:dyDescent="0.25">
      <c r="T545" s="1"/>
    </row>
    <row r="546" spans="20:20" x14ac:dyDescent="0.25">
      <c r="T546" s="1"/>
    </row>
    <row r="547" spans="20:20" x14ac:dyDescent="0.25">
      <c r="T547" s="1"/>
    </row>
    <row r="548" spans="20:20" x14ac:dyDescent="0.25">
      <c r="T548" s="1"/>
    </row>
    <row r="549" spans="20:20" x14ac:dyDescent="0.25">
      <c r="T549" s="1"/>
    </row>
    <row r="550" spans="20:20" x14ac:dyDescent="0.25">
      <c r="T550" s="1"/>
    </row>
    <row r="551" spans="20:20" x14ac:dyDescent="0.25">
      <c r="T551" s="1"/>
    </row>
    <row r="552" spans="20:20" x14ac:dyDescent="0.25">
      <c r="T552" s="1"/>
    </row>
    <row r="553" spans="20:20" x14ac:dyDescent="0.25">
      <c r="T553" s="1"/>
    </row>
    <row r="554" spans="20:20" x14ac:dyDescent="0.25">
      <c r="T554" s="1"/>
    </row>
    <row r="555" spans="20:20" x14ac:dyDescent="0.25">
      <c r="T555" s="1"/>
    </row>
    <row r="556" spans="20:20" x14ac:dyDescent="0.25">
      <c r="T556" s="1"/>
    </row>
    <row r="557" spans="20:20" x14ac:dyDescent="0.25">
      <c r="T557" s="1"/>
    </row>
    <row r="558" spans="20:20" x14ac:dyDescent="0.25">
      <c r="T558" s="1"/>
    </row>
    <row r="559" spans="20:20" x14ac:dyDescent="0.25">
      <c r="T559" s="1"/>
    </row>
    <row r="560" spans="20:20" x14ac:dyDescent="0.25">
      <c r="T560" s="1"/>
    </row>
    <row r="561" spans="20:20" x14ac:dyDescent="0.25">
      <c r="T561" s="1"/>
    </row>
    <row r="562" spans="20:20" x14ac:dyDescent="0.25">
      <c r="T562" s="1"/>
    </row>
    <row r="563" spans="20:20" x14ac:dyDescent="0.25">
      <c r="T563" s="1"/>
    </row>
    <row r="564" spans="20:20" x14ac:dyDescent="0.25">
      <c r="T564" s="1"/>
    </row>
    <row r="565" spans="20:20" x14ac:dyDescent="0.25">
      <c r="T565" s="1"/>
    </row>
    <row r="566" spans="20:20" x14ac:dyDescent="0.25">
      <c r="T566" s="1"/>
    </row>
    <row r="567" spans="20:20" x14ac:dyDescent="0.25">
      <c r="T567" s="1"/>
    </row>
    <row r="568" spans="20:20" x14ac:dyDescent="0.25">
      <c r="T568" s="1"/>
    </row>
    <row r="569" spans="20:20" x14ac:dyDescent="0.25">
      <c r="T569" s="1"/>
    </row>
    <row r="570" spans="20:20" x14ac:dyDescent="0.25">
      <c r="T570" s="1"/>
    </row>
    <row r="571" spans="20:20" x14ac:dyDescent="0.25">
      <c r="T571" s="1"/>
    </row>
    <row r="572" spans="20:20" x14ac:dyDescent="0.25">
      <c r="T572" s="1"/>
    </row>
    <row r="573" spans="20:20" x14ac:dyDescent="0.25">
      <c r="T573" s="1"/>
    </row>
    <row r="574" spans="20:20" x14ac:dyDescent="0.25">
      <c r="T574" s="1"/>
    </row>
    <row r="575" spans="20:20" x14ac:dyDescent="0.25">
      <c r="T575" s="1"/>
    </row>
    <row r="576" spans="20:20" x14ac:dyDescent="0.25">
      <c r="T576" s="1"/>
    </row>
    <row r="577" spans="20:20" x14ac:dyDescent="0.25">
      <c r="T577" s="1"/>
    </row>
    <row r="578" spans="20:20" x14ac:dyDescent="0.25">
      <c r="T578" s="1"/>
    </row>
    <row r="579" spans="20:20" x14ac:dyDescent="0.25">
      <c r="T579" s="1"/>
    </row>
    <row r="580" spans="20:20" x14ac:dyDescent="0.25">
      <c r="T580" s="1"/>
    </row>
    <row r="581" spans="20:20" x14ac:dyDescent="0.25">
      <c r="T581" s="1"/>
    </row>
    <row r="582" spans="20:20" x14ac:dyDescent="0.25">
      <c r="T582" s="1"/>
    </row>
    <row r="583" spans="20:20" x14ac:dyDescent="0.25">
      <c r="T583" s="1"/>
    </row>
    <row r="584" spans="20:20" x14ac:dyDescent="0.25">
      <c r="T584" s="1"/>
    </row>
    <row r="585" spans="20:20" x14ac:dyDescent="0.25">
      <c r="T585" s="1"/>
    </row>
    <row r="586" spans="20:20" x14ac:dyDescent="0.25">
      <c r="T586" s="1"/>
    </row>
    <row r="587" spans="20:20" x14ac:dyDescent="0.25">
      <c r="T587" s="1"/>
    </row>
    <row r="588" spans="20:20" x14ac:dyDescent="0.25">
      <c r="T588" s="1"/>
    </row>
    <row r="589" spans="20:20" x14ac:dyDescent="0.25">
      <c r="T589" s="1"/>
    </row>
    <row r="590" spans="20:20" x14ac:dyDescent="0.25">
      <c r="T590" s="1"/>
    </row>
    <row r="591" spans="20:20" x14ac:dyDescent="0.25">
      <c r="T591" s="1"/>
    </row>
    <row r="592" spans="20:20" x14ac:dyDescent="0.25">
      <c r="T592" s="1"/>
    </row>
    <row r="593" spans="20:20" x14ac:dyDescent="0.25">
      <c r="T593" s="1"/>
    </row>
    <row r="594" spans="20:20" x14ac:dyDescent="0.25">
      <c r="T594" s="1"/>
    </row>
    <row r="595" spans="20:20" x14ac:dyDescent="0.25">
      <c r="T595" s="1"/>
    </row>
    <row r="596" spans="20:20" x14ac:dyDescent="0.25">
      <c r="T596" s="1"/>
    </row>
    <row r="597" spans="20:20" x14ac:dyDescent="0.25">
      <c r="T597" s="1"/>
    </row>
    <row r="598" spans="20:20" x14ac:dyDescent="0.25">
      <c r="T598" s="1"/>
    </row>
    <row r="599" spans="20:20" x14ac:dyDescent="0.25">
      <c r="T599" s="1"/>
    </row>
    <row r="600" spans="20:20" x14ac:dyDescent="0.25">
      <c r="T600" s="1"/>
    </row>
    <row r="601" spans="20:20" x14ac:dyDescent="0.25">
      <c r="T601" s="1"/>
    </row>
    <row r="602" spans="20:20" x14ac:dyDescent="0.25">
      <c r="T602" s="1"/>
    </row>
    <row r="603" spans="20:20" x14ac:dyDescent="0.25">
      <c r="T603" s="1"/>
    </row>
    <row r="604" spans="20:20" x14ac:dyDescent="0.25">
      <c r="T604" s="1"/>
    </row>
    <row r="605" spans="20:20" x14ac:dyDescent="0.25">
      <c r="T605" s="1"/>
    </row>
    <row r="606" spans="20:20" x14ac:dyDescent="0.25">
      <c r="T606" s="1"/>
    </row>
    <row r="607" spans="20:20" x14ac:dyDescent="0.25">
      <c r="T607" s="1"/>
    </row>
    <row r="608" spans="20:20" x14ac:dyDescent="0.25">
      <c r="T608" s="1"/>
    </row>
    <row r="609" spans="20:20" x14ac:dyDescent="0.25">
      <c r="T609" s="1"/>
    </row>
    <row r="610" spans="20:20" x14ac:dyDescent="0.25">
      <c r="T610" s="1"/>
    </row>
    <row r="611" spans="20:20" x14ac:dyDescent="0.25">
      <c r="T611" s="1"/>
    </row>
    <row r="612" spans="20:20" x14ac:dyDescent="0.25">
      <c r="T612" s="1"/>
    </row>
    <row r="613" spans="20:20" x14ac:dyDescent="0.25">
      <c r="T613" s="1"/>
    </row>
    <row r="614" spans="20:20" x14ac:dyDescent="0.25">
      <c r="T614" s="1"/>
    </row>
    <row r="615" spans="20:20" x14ac:dyDescent="0.25">
      <c r="T615" s="1"/>
    </row>
    <row r="616" spans="20:20" x14ac:dyDescent="0.25">
      <c r="T616" s="1"/>
    </row>
    <row r="617" spans="20:20" x14ac:dyDescent="0.25">
      <c r="T617" s="1"/>
    </row>
    <row r="618" spans="20:20" x14ac:dyDescent="0.25">
      <c r="T618" s="1"/>
    </row>
    <row r="619" spans="20:20" x14ac:dyDescent="0.25">
      <c r="T619" s="1"/>
    </row>
    <row r="620" spans="20:20" x14ac:dyDescent="0.25">
      <c r="T620" s="1"/>
    </row>
    <row r="621" spans="20:20" x14ac:dyDescent="0.25">
      <c r="T621" s="1"/>
    </row>
    <row r="622" spans="20:20" x14ac:dyDescent="0.25">
      <c r="T622" s="1"/>
    </row>
    <row r="623" spans="20:20" x14ac:dyDescent="0.25">
      <c r="T623" s="1"/>
    </row>
    <row r="624" spans="20:20" x14ac:dyDescent="0.25">
      <c r="T624" s="1"/>
    </row>
    <row r="625" spans="20:20" x14ac:dyDescent="0.25">
      <c r="T625" s="1"/>
    </row>
    <row r="626" spans="20:20" x14ac:dyDescent="0.25">
      <c r="T626" s="1"/>
    </row>
    <row r="627" spans="20:20" x14ac:dyDescent="0.25">
      <c r="T627" s="1"/>
    </row>
    <row r="628" spans="20:20" x14ac:dyDescent="0.25">
      <c r="T628" s="1"/>
    </row>
    <row r="629" spans="20:20" x14ac:dyDescent="0.25">
      <c r="T629" s="1"/>
    </row>
    <row r="630" spans="20:20" x14ac:dyDescent="0.25">
      <c r="T630" s="1"/>
    </row>
    <row r="631" spans="20:20" x14ac:dyDescent="0.25">
      <c r="T631" s="1"/>
    </row>
    <row r="632" spans="20:20" x14ac:dyDescent="0.25">
      <c r="T632" s="1"/>
    </row>
    <row r="633" spans="20:20" x14ac:dyDescent="0.25">
      <c r="T633" s="1"/>
    </row>
    <row r="634" spans="20:20" x14ac:dyDescent="0.25">
      <c r="T634" s="1"/>
    </row>
    <row r="635" spans="20:20" x14ac:dyDescent="0.25">
      <c r="T635" s="1"/>
    </row>
    <row r="636" spans="20:20" x14ac:dyDescent="0.25">
      <c r="T636" s="1"/>
    </row>
    <row r="637" spans="20:20" x14ac:dyDescent="0.25">
      <c r="T637" s="1"/>
    </row>
    <row r="638" spans="20:20" x14ac:dyDescent="0.25">
      <c r="T638" s="1"/>
    </row>
    <row r="639" spans="20:20" x14ac:dyDescent="0.25">
      <c r="T639" s="1"/>
    </row>
    <row r="640" spans="20:20" x14ac:dyDescent="0.25">
      <c r="T640" s="1"/>
    </row>
    <row r="641" spans="20:20" x14ac:dyDescent="0.25">
      <c r="T641" s="1"/>
    </row>
    <row r="642" spans="20:20" x14ac:dyDescent="0.25">
      <c r="T642" s="1"/>
    </row>
    <row r="643" spans="20:20" x14ac:dyDescent="0.25">
      <c r="T643" s="1"/>
    </row>
    <row r="644" spans="20:20" x14ac:dyDescent="0.25">
      <c r="T644" s="1"/>
    </row>
    <row r="645" spans="20:20" x14ac:dyDescent="0.25">
      <c r="T645" s="1"/>
    </row>
    <row r="646" spans="20:20" x14ac:dyDescent="0.25">
      <c r="T646" s="1"/>
    </row>
    <row r="647" spans="20:20" x14ac:dyDescent="0.25">
      <c r="T647" s="1"/>
    </row>
    <row r="648" spans="20:20" x14ac:dyDescent="0.25">
      <c r="T648" s="1"/>
    </row>
    <row r="649" spans="20:20" x14ac:dyDescent="0.25">
      <c r="T649" s="1"/>
    </row>
    <row r="650" spans="20:20" x14ac:dyDescent="0.25">
      <c r="T650" s="1"/>
    </row>
    <row r="651" spans="20:20" x14ac:dyDescent="0.25">
      <c r="T651" s="1"/>
    </row>
    <row r="652" spans="20:20" x14ac:dyDescent="0.25">
      <c r="T652" s="1"/>
    </row>
    <row r="653" spans="20:20" x14ac:dyDescent="0.25">
      <c r="T653" s="1"/>
    </row>
    <row r="654" spans="20:20" x14ac:dyDescent="0.25">
      <c r="T654" s="1"/>
    </row>
    <row r="655" spans="20:20" x14ac:dyDescent="0.25">
      <c r="T655" s="1"/>
    </row>
    <row r="656" spans="20:20" x14ac:dyDescent="0.25">
      <c r="T656" s="1"/>
    </row>
    <row r="657" spans="20:20" x14ac:dyDescent="0.25">
      <c r="T657" s="1"/>
    </row>
    <row r="658" spans="20:20" x14ac:dyDescent="0.25">
      <c r="T658" s="1"/>
    </row>
    <row r="659" spans="20:20" x14ac:dyDescent="0.25">
      <c r="T659" s="1"/>
    </row>
    <row r="660" spans="20:20" x14ac:dyDescent="0.25">
      <c r="T660" s="1"/>
    </row>
    <row r="661" spans="20:20" x14ac:dyDescent="0.25">
      <c r="T661" s="1"/>
    </row>
    <row r="662" spans="20:20" x14ac:dyDescent="0.25">
      <c r="T662" s="1"/>
    </row>
    <row r="663" spans="20:20" x14ac:dyDescent="0.25">
      <c r="T663" s="1"/>
    </row>
    <row r="664" spans="20:20" x14ac:dyDescent="0.25">
      <c r="T664" s="1"/>
    </row>
    <row r="665" spans="20:20" x14ac:dyDescent="0.25">
      <c r="T665" s="1"/>
    </row>
    <row r="666" spans="20:20" x14ac:dyDescent="0.25">
      <c r="T666" s="1"/>
    </row>
    <row r="667" spans="20:20" x14ac:dyDescent="0.25">
      <c r="T667" s="1"/>
    </row>
    <row r="668" spans="20:20" x14ac:dyDescent="0.25">
      <c r="T668" s="1"/>
    </row>
    <row r="669" spans="20:20" x14ac:dyDescent="0.25">
      <c r="T669" s="1"/>
    </row>
    <row r="670" spans="20:20" x14ac:dyDescent="0.25">
      <c r="T670" s="1"/>
    </row>
    <row r="671" spans="20:20" x14ac:dyDescent="0.25">
      <c r="T671" s="1"/>
    </row>
    <row r="672" spans="20:20" x14ac:dyDescent="0.25">
      <c r="T672" s="1"/>
    </row>
    <row r="673" spans="20:20" x14ac:dyDescent="0.25">
      <c r="T673" s="1"/>
    </row>
    <row r="674" spans="20:20" x14ac:dyDescent="0.25">
      <c r="T674" s="1"/>
    </row>
    <row r="675" spans="20:20" x14ac:dyDescent="0.25">
      <c r="T675" s="1"/>
    </row>
    <row r="676" spans="20:20" x14ac:dyDescent="0.25">
      <c r="T676" s="1"/>
    </row>
    <row r="677" spans="20:20" x14ac:dyDescent="0.25">
      <c r="T677" s="1"/>
    </row>
    <row r="678" spans="20:20" x14ac:dyDescent="0.25">
      <c r="T678" s="1"/>
    </row>
    <row r="679" spans="20:20" x14ac:dyDescent="0.25">
      <c r="T679" s="1"/>
    </row>
    <row r="680" spans="20:20" x14ac:dyDescent="0.25">
      <c r="T680" s="1"/>
    </row>
    <row r="681" spans="20:20" x14ac:dyDescent="0.25">
      <c r="T681" s="1"/>
    </row>
    <row r="682" spans="20:20" x14ac:dyDescent="0.25">
      <c r="T682" s="1"/>
    </row>
    <row r="683" spans="20:20" x14ac:dyDescent="0.25">
      <c r="T683" s="1"/>
    </row>
    <row r="684" spans="20:20" x14ac:dyDescent="0.25">
      <c r="T684" s="1"/>
    </row>
    <row r="685" spans="20:20" x14ac:dyDescent="0.25">
      <c r="T685" s="1"/>
    </row>
    <row r="686" spans="20:20" x14ac:dyDescent="0.25">
      <c r="T686" s="1"/>
    </row>
    <row r="687" spans="20:20" x14ac:dyDescent="0.25">
      <c r="T687" s="1"/>
    </row>
    <row r="688" spans="20:20" x14ac:dyDescent="0.25">
      <c r="T688" s="1"/>
    </row>
    <row r="689" spans="20:20" x14ac:dyDescent="0.25">
      <c r="T689" s="1"/>
    </row>
    <row r="690" spans="20:20" x14ac:dyDescent="0.25">
      <c r="T690" s="1"/>
    </row>
    <row r="691" spans="20:20" x14ac:dyDescent="0.25">
      <c r="T691" s="1"/>
    </row>
    <row r="692" spans="20:20" x14ac:dyDescent="0.25">
      <c r="T692" s="1"/>
    </row>
    <row r="693" spans="20:20" x14ac:dyDescent="0.25">
      <c r="T693" s="1"/>
    </row>
    <row r="694" spans="20:20" x14ac:dyDescent="0.25">
      <c r="T694" s="1"/>
    </row>
    <row r="695" spans="20:20" x14ac:dyDescent="0.25">
      <c r="T695" s="1"/>
    </row>
    <row r="696" spans="20:20" x14ac:dyDescent="0.25">
      <c r="T696" s="1"/>
    </row>
    <row r="697" spans="20:20" x14ac:dyDescent="0.25">
      <c r="T697" s="1"/>
    </row>
    <row r="698" spans="20:20" x14ac:dyDescent="0.25">
      <c r="T698" s="1"/>
    </row>
    <row r="699" spans="20:20" x14ac:dyDescent="0.25">
      <c r="T699" s="1"/>
    </row>
    <row r="700" spans="20:20" x14ac:dyDescent="0.25">
      <c r="T700" s="1"/>
    </row>
    <row r="701" spans="20:20" x14ac:dyDescent="0.25">
      <c r="T701" s="1"/>
    </row>
    <row r="702" spans="20:20" x14ac:dyDescent="0.25">
      <c r="T702" s="1"/>
    </row>
    <row r="703" spans="20:20" x14ac:dyDescent="0.25">
      <c r="T703" s="1"/>
    </row>
    <row r="704" spans="20:20" x14ac:dyDescent="0.25">
      <c r="T704" s="1"/>
    </row>
    <row r="705" spans="20:20" x14ac:dyDescent="0.25">
      <c r="T705" s="1"/>
    </row>
    <row r="706" spans="20:20" x14ac:dyDescent="0.25">
      <c r="T706" s="1"/>
    </row>
    <row r="707" spans="20:20" x14ac:dyDescent="0.25">
      <c r="T707" s="1"/>
    </row>
    <row r="708" spans="20:20" x14ac:dyDescent="0.25">
      <c r="T708" s="1"/>
    </row>
    <row r="709" spans="20:20" x14ac:dyDescent="0.25">
      <c r="T709" s="1"/>
    </row>
    <row r="710" spans="20:20" x14ac:dyDescent="0.25">
      <c r="T710" s="1"/>
    </row>
    <row r="711" spans="20:20" x14ac:dyDescent="0.25">
      <c r="T711" s="1"/>
    </row>
    <row r="712" spans="20:20" x14ac:dyDescent="0.25">
      <c r="T712" s="1"/>
    </row>
    <row r="713" spans="20:20" x14ac:dyDescent="0.25">
      <c r="T713" s="1"/>
    </row>
    <row r="714" spans="20:20" x14ac:dyDescent="0.25">
      <c r="T714" s="1"/>
    </row>
    <row r="715" spans="20:20" x14ac:dyDescent="0.25">
      <c r="T715" s="1"/>
    </row>
    <row r="716" spans="20:20" x14ac:dyDescent="0.25">
      <c r="T716" s="1"/>
    </row>
    <row r="717" spans="20:20" x14ac:dyDescent="0.25">
      <c r="T717" s="1"/>
    </row>
    <row r="718" spans="20:20" x14ac:dyDescent="0.25">
      <c r="T718" s="1"/>
    </row>
    <row r="719" spans="20:20" x14ac:dyDescent="0.25">
      <c r="T719" s="1"/>
    </row>
    <row r="720" spans="20:20" x14ac:dyDescent="0.25">
      <c r="T720" s="1"/>
    </row>
    <row r="721" spans="20:20" x14ac:dyDescent="0.25">
      <c r="T721" s="1"/>
    </row>
    <row r="722" spans="20:20" x14ac:dyDescent="0.25">
      <c r="T722" s="1"/>
    </row>
    <row r="723" spans="20:20" x14ac:dyDescent="0.25">
      <c r="T723" s="1"/>
    </row>
    <row r="724" spans="20:20" x14ac:dyDescent="0.25">
      <c r="T724" s="1"/>
    </row>
    <row r="725" spans="20:20" x14ac:dyDescent="0.25">
      <c r="T725" s="1"/>
    </row>
    <row r="726" spans="20:20" x14ac:dyDescent="0.25">
      <c r="T726" s="1"/>
    </row>
    <row r="727" spans="20:20" x14ac:dyDescent="0.25">
      <c r="T727" s="1"/>
    </row>
    <row r="728" spans="20:20" x14ac:dyDescent="0.25">
      <c r="T728" s="1"/>
    </row>
    <row r="729" spans="20:20" x14ac:dyDescent="0.25">
      <c r="T729" s="1"/>
    </row>
    <row r="730" spans="20:20" x14ac:dyDescent="0.25">
      <c r="T730" s="1"/>
    </row>
    <row r="731" spans="20:20" x14ac:dyDescent="0.25">
      <c r="T731" s="1"/>
    </row>
    <row r="732" spans="20:20" x14ac:dyDescent="0.25">
      <c r="T732" s="1"/>
    </row>
    <row r="733" spans="20:20" x14ac:dyDescent="0.25">
      <c r="T733" s="1"/>
    </row>
    <row r="734" spans="20:20" x14ac:dyDescent="0.25">
      <c r="T734" s="1"/>
    </row>
    <row r="735" spans="20:20" x14ac:dyDescent="0.25">
      <c r="T735" s="1"/>
    </row>
    <row r="736" spans="20:20" x14ac:dyDescent="0.25">
      <c r="T736" s="1"/>
    </row>
    <row r="737" spans="20:20" x14ac:dyDescent="0.25">
      <c r="T737" s="1"/>
    </row>
    <row r="738" spans="20:20" x14ac:dyDescent="0.25">
      <c r="T738" s="1"/>
    </row>
    <row r="739" spans="20:20" x14ac:dyDescent="0.25">
      <c r="T739" s="1"/>
    </row>
    <row r="740" spans="20:20" x14ac:dyDescent="0.25">
      <c r="T740" s="1"/>
    </row>
    <row r="741" spans="20:20" x14ac:dyDescent="0.25">
      <c r="T741" s="1"/>
    </row>
    <row r="742" spans="20:20" x14ac:dyDescent="0.25">
      <c r="T742" s="1"/>
    </row>
    <row r="743" spans="20:20" x14ac:dyDescent="0.25">
      <c r="T743" s="1"/>
    </row>
    <row r="744" spans="20:20" x14ac:dyDescent="0.25">
      <c r="T744" s="1"/>
    </row>
    <row r="745" spans="20:20" x14ac:dyDescent="0.25">
      <c r="T745" s="1"/>
    </row>
    <row r="746" spans="20:20" x14ac:dyDescent="0.25">
      <c r="T746" s="1"/>
    </row>
    <row r="747" spans="20:20" x14ac:dyDescent="0.25">
      <c r="T747" s="1"/>
    </row>
    <row r="748" spans="20:20" x14ac:dyDescent="0.25">
      <c r="T748" s="1"/>
    </row>
    <row r="749" spans="20:20" x14ac:dyDescent="0.25">
      <c r="T749" s="1"/>
    </row>
    <row r="750" spans="20:20" x14ac:dyDescent="0.25">
      <c r="T750" s="1"/>
    </row>
    <row r="751" spans="20:20" x14ac:dyDescent="0.25">
      <c r="T751" s="1"/>
    </row>
    <row r="752" spans="20:20" x14ac:dyDescent="0.25">
      <c r="T752" s="1"/>
    </row>
    <row r="753" spans="20:20" x14ac:dyDescent="0.25">
      <c r="T753" s="1"/>
    </row>
    <row r="754" spans="20:20" x14ac:dyDescent="0.25">
      <c r="T754" s="1"/>
    </row>
    <row r="755" spans="20:20" x14ac:dyDescent="0.25">
      <c r="T755" s="1"/>
    </row>
    <row r="756" spans="20:20" x14ac:dyDescent="0.25">
      <c r="T756" s="1"/>
    </row>
    <row r="757" spans="20:20" x14ac:dyDescent="0.25">
      <c r="T757" s="1"/>
    </row>
    <row r="758" spans="20:20" x14ac:dyDescent="0.25">
      <c r="T758" s="1"/>
    </row>
    <row r="759" spans="20:20" x14ac:dyDescent="0.25">
      <c r="T759" s="1"/>
    </row>
    <row r="760" spans="20:20" x14ac:dyDescent="0.25">
      <c r="T760" s="1"/>
    </row>
    <row r="761" spans="20:20" x14ac:dyDescent="0.25">
      <c r="T761" s="1"/>
    </row>
    <row r="762" spans="20:20" x14ac:dyDescent="0.25">
      <c r="T762" s="1"/>
    </row>
    <row r="763" spans="20:20" x14ac:dyDescent="0.25">
      <c r="T763" s="1"/>
    </row>
    <row r="764" spans="20:20" x14ac:dyDescent="0.25">
      <c r="T764" s="1"/>
    </row>
    <row r="765" spans="20:20" x14ac:dyDescent="0.25">
      <c r="T765" s="1"/>
    </row>
    <row r="766" spans="20:20" x14ac:dyDescent="0.25">
      <c r="T766" s="1"/>
    </row>
    <row r="767" spans="20:20" x14ac:dyDescent="0.25">
      <c r="T767" s="1"/>
    </row>
    <row r="768" spans="20:20" x14ac:dyDescent="0.25">
      <c r="T768" s="1"/>
    </row>
    <row r="769" spans="20:20" x14ac:dyDescent="0.25">
      <c r="T769" s="1"/>
    </row>
    <row r="770" spans="20:20" x14ac:dyDescent="0.25">
      <c r="T770" s="1"/>
    </row>
    <row r="771" spans="20:20" x14ac:dyDescent="0.25">
      <c r="T771" s="1"/>
    </row>
    <row r="772" spans="20:20" x14ac:dyDescent="0.25">
      <c r="T772" s="1"/>
    </row>
    <row r="773" spans="20:20" x14ac:dyDescent="0.25">
      <c r="T773" s="1"/>
    </row>
    <row r="774" spans="20:20" x14ac:dyDescent="0.25">
      <c r="T774" s="1"/>
    </row>
    <row r="775" spans="20:20" x14ac:dyDescent="0.25">
      <c r="T775" s="1"/>
    </row>
    <row r="776" spans="20:20" x14ac:dyDescent="0.25">
      <c r="T776" s="1"/>
    </row>
    <row r="777" spans="20:20" x14ac:dyDescent="0.25">
      <c r="T777" s="1"/>
    </row>
    <row r="778" spans="20:20" x14ac:dyDescent="0.25">
      <c r="T778" s="1"/>
    </row>
    <row r="779" spans="20:20" x14ac:dyDescent="0.25">
      <c r="T779" s="1"/>
    </row>
    <row r="780" spans="20:20" x14ac:dyDescent="0.25">
      <c r="T780" s="1"/>
    </row>
    <row r="781" spans="20:20" x14ac:dyDescent="0.25">
      <c r="T781" s="1"/>
    </row>
    <row r="782" spans="20:20" x14ac:dyDescent="0.25">
      <c r="T782" s="1"/>
    </row>
    <row r="783" spans="20:20" x14ac:dyDescent="0.25">
      <c r="T783" s="1"/>
    </row>
    <row r="784" spans="20:20" x14ac:dyDescent="0.25">
      <c r="T784" s="1"/>
    </row>
    <row r="785" spans="20:20" x14ac:dyDescent="0.25">
      <c r="T785" s="1"/>
    </row>
    <row r="786" spans="20:20" x14ac:dyDescent="0.25">
      <c r="T786" s="1"/>
    </row>
    <row r="787" spans="20:20" x14ac:dyDescent="0.25">
      <c r="T787" s="1"/>
    </row>
    <row r="788" spans="20:20" x14ac:dyDescent="0.25">
      <c r="T788" s="1"/>
    </row>
    <row r="789" spans="20:20" x14ac:dyDescent="0.25">
      <c r="T789" s="1"/>
    </row>
    <row r="790" spans="20:20" x14ac:dyDescent="0.25">
      <c r="T790" s="1"/>
    </row>
    <row r="791" spans="20:20" x14ac:dyDescent="0.25">
      <c r="T791" s="1"/>
    </row>
    <row r="792" spans="20:20" x14ac:dyDescent="0.25">
      <c r="T792" s="1"/>
    </row>
    <row r="793" spans="20:20" x14ac:dyDescent="0.25">
      <c r="T793" s="1"/>
    </row>
    <row r="794" spans="20:20" x14ac:dyDescent="0.25">
      <c r="T794" s="1"/>
    </row>
    <row r="795" spans="20:20" x14ac:dyDescent="0.25">
      <c r="T795" s="1"/>
    </row>
    <row r="796" spans="20:20" x14ac:dyDescent="0.25">
      <c r="T796" s="1"/>
    </row>
    <row r="797" spans="20:20" x14ac:dyDescent="0.25">
      <c r="T797" s="1"/>
    </row>
    <row r="798" spans="20:20" x14ac:dyDescent="0.25">
      <c r="T798" s="1"/>
    </row>
    <row r="799" spans="20:20" x14ac:dyDescent="0.25">
      <c r="T799" s="1"/>
    </row>
    <row r="800" spans="20:20" x14ac:dyDescent="0.25">
      <c r="T800" s="1"/>
    </row>
    <row r="801" spans="20:20" x14ac:dyDescent="0.25">
      <c r="T801" s="1"/>
    </row>
    <row r="802" spans="20:20" x14ac:dyDescent="0.25">
      <c r="T802" s="1"/>
    </row>
    <row r="803" spans="20:20" x14ac:dyDescent="0.25">
      <c r="T803" s="1"/>
    </row>
    <row r="804" spans="20:20" x14ac:dyDescent="0.25">
      <c r="T804" s="1"/>
    </row>
    <row r="805" spans="20:20" x14ac:dyDescent="0.25">
      <c r="T805" s="1"/>
    </row>
    <row r="806" spans="20:20" x14ac:dyDescent="0.25">
      <c r="T806" s="1"/>
    </row>
    <row r="807" spans="20:20" x14ac:dyDescent="0.25">
      <c r="T807" s="1"/>
    </row>
    <row r="808" spans="20:20" x14ac:dyDescent="0.25">
      <c r="T808" s="1"/>
    </row>
    <row r="809" spans="20:20" x14ac:dyDescent="0.25">
      <c r="T809" s="1"/>
    </row>
    <row r="810" spans="20:20" x14ac:dyDescent="0.25">
      <c r="T810" s="1"/>
    </row>
    <row r="811" spans="20:20" x14ac:dyDescent="0.25">
      <c r="T811" s="1"/>
    </row>
    <row r="812" spans="20:20" x14ac:dyDescent="0.25">
      <c r="T812" s="1"/>
    </row>
    <row r="813" spans="20:20" x14ac:dyDescent="0.25">
      <c r="T813" s="1"/>
    </row>
    <row r="814" spans="20:20" x14ac:dyDescent="0.25">
      <c r="T814" s="1"/>
    </row>
    <row r="815" spans="20:20" x14ac:dyDescent="0.25">
      <c r="T815" s="1"/>
    </row>
    <row r="816" spans="20:20" x14ac:dyDescent="0.25">
      <c r="T816" s="1"/>
    </row>
    <row r="817" spans="20:20" x14ac:dyDescent="0.25">
      <c r="T817" s="1"/>
    </row>
    <row r="818" spans="20:20" x14ac:dyDescent="0.25">
      <c r="T818" s="1"/>
    </row>
    <row r="819" spans="20:20" x14ac:dyDescent="0.25">
      <c r="T819" s="1"/>
    </row>
    <row r="820" spans="20:20" x14ac:dyDescent="0.25">
      <c r="T820" s="1"/>
    </row>
    <row r="821" spans="20:20" x14ac:dyDescent="0.25">
      <c r="T821" s="1"/>
    </row>
    <row r="822" spans="20:20" x14ac:dyDescent="0.25">
      <c r="T822" s="1"/>
    </row>
    <row r="823" spans="20:20" x14ac:dyDescent="0.25">
      <c r="T823" s="1"/>
    </row>
    <row r="824" spans="20:20" x14ac:dyDescent="0.25">
      <c r="T824" s="1"/>
    </row>
    <row r="825" spans="20:20" x14ac:dyDescent="0.25">
      <c r="T825" s="1"/>
    </row>
    <row r="826" spans="20:20" x14ac:dyDescent="0.25">
      <c r="T826" s="1"/>
    </row>
    <row r="827" spans="20:20" x14ac:dyDescent="0.25">
      <c r="T827" s="1"/>
    </row>
    <row r="828" spans="20:20" x14ac:dyDescent="0.25">
      <c r="T828" s="1"/>
    </row>
    <row r="829" spans="20:20" x14ac:dyDescent="0.25">
      <c r="T829" s="1"/>
    </row>
    <row r="830" spans="20:20" x14ac:dyDescent="0.25">
      <c r="T830" s="1"/>
    </row>
    <row r="831" spans="20:20" x14ac:dyDescent="0.25">
      <c r="T831" s="1"/>
    </row>
    <row r="832" spans="20:20" x14ac:dyDescent="0.25">
      <c r="T832" s="1"/>
    </row>
    <row r="833" spans="20:20" x14ac:dyDescent="0.25">
      <c r="T833" s="1"/>
    </row>
    <row r="834" spans="20:20" x14ac:dyDescent="0.25">
      <c r="T834" s="1"/>
    </row>
    <row r="835" spans="20:20" x14ac:dyDescent="0.25">
      <c r="T835" s="1"/>
    </row>
    <row r="836" spans="20:20" x14ac:dyDescent="0.25">
      <c r="T836" s="1"/>
    </row>
    <row r="837" spans="20:20" x14ac:dyDescent="0.25">
      <c r="T837" s="1"/>
    </row>
    <row r="838" spans="20:20" x14ac:dyDescent="0.25">
      <c r="T838" s="1"/>
    </row>
    <row r="839" spans="20:20" x14ac:dyDescent="0.25">
      <c r="T839" s="1"/>
    </row>
    <row r="840" spans="20:20" x14ac:dyDescent="0.25">
      <c r="T840" s="1"/>
    </row>
    <row r="841" spans="20:20" x14ac:dyDescent="0.25">
      <c r="T841" s="1"/>
    </row>
    <row r="842" spans="20:20" x14ac:dyDescent="0.25">
      <c r="T842" s="1"/>
    </row>
    <row r="843" spans="20:20" x14ac:dyDescent="0.25">
      <c r="T843" s="1"/>
    </row>
    <row r="844" spans="20:20" x14ac:dyDescent="0.25">
      <c r="T844" s="1"/>
    </row>
    <row r="845" spans="20:20" x14ac:dyDescent="0.25">
      <c r="T845" s="1"/>
    </row>
    <row r="846" spans="20:20" x14ac:dyDescent="0.25">
      <c r="T846" s="1"/>
    </row>
    <row r="847" spans="20:20" x14ac:dyDescent="0.25">
      <c r="T847" s="1"/>
    </row>
    <row r="848" spans="20:20" x14ac:dyDescent="0.25">
      <c r="T848" s="1"/>
    </row>
    <row r="849" spans="20:20" x14ac:dyDescent="0.25">
      <c r="T849" s="1"/>
    </row>
    <row r="850" spans="20:20" x14ac:dyDescent="0.25">
      <c r="T850" s="1"/>
    </row>
    <row r="851" spans="20:20" x14ac:dyDescent="0.25">
      <c r="T851" s="1"/>
    </row>
    <row r="852" spans="20:20" x14ac:dyDescent="0.25">
      <c r="T852" s="1"/>
    </row>
    <row r="853" spans="20:20" x14ac:dyDescent="0.25">
      <c r="T853" s="1"/>
    </row>
    <row r="854" spans="20:20" x14ac:dyDescent="0.25">
      <c r="T854" s="1"/>
    </row>
    <row r="855" spans="20:20" x14ac:dyDescent="0.25">
      <c r="T855" s="1"/>
    </row>
    <row r="856" spans="20:20" x14ac:dyDescent="0.25">
      <c r="T856" s="1"/>
    </row>
    <row r="857" spans="20:20" x14ac:dyDescent="0.25">
      <c r="T857" s="1"/>
    </row>
    <row r="858" spans="20:20" x14ac:dyDescent="0.25">
      <c r="T858" s="1"/>
    </row>
    <row r="859" spans="20:20" x14ac:dyDescent="0.25">
      <c r="T859" s="1"/>
    </row>
    <row r="860" spans="20:20" x14ac:dyDescent="0.25">
      <c r="T860" s="1"/>
    </row>
    <row r="861" spans="20:20" x14ac:dyDescent="0.25">
      <c r="T861" s="1"/>
    </row>
    <row r="862" spans="20:20" x14ac:dyDescent="0.25">
      <c r="T862" s="1"/>
    </row>
    <row r="863" spans="20:20" x14ac:dyDescent="0.25">
      <c r="T863" s="1"/>
    </row>
    <row r="864" spans="20:20" x14ac:dyDescent="0.25">
      <c r="T864" s="1"/>
    </row>
    <row r="865" spans="20:20" x14ac:dyDescent="0.25">
      <c r="T865" s="1"/>
    </row>
    <row r="866" spans="20:20" x14ac:dyDescent="0.25">
      <c r="T866" s="1"/>
    </row>
    <row r="867" spans="20:20" x14ac:dyDescent="0.25">
      <c r="T867" s="1"/>
    </row>
    <row r="868" spans="20:20" x14ac:dyDescent="0.25">
      <c r="T868" s="1"/>
    </row>
    <row r="869" spans="20:20" x14ac:dyDescent="0.25">
      <c r="T869" s="1"/>
    </row>
    <row r="870" spans="20:20" x14ac:dyDescent="0.25">
      <c r="T870" s="1"/>
    </row>
    <row r="871" spans="20:20" x14ac:dyDescent="0.25">
      <c r="T871" s="1"/>
    </row>
    <row r="872" spans="20:20" x14ac:dyDescent="0.25">
      <c r="T872" s="1"/>
    </row>
    <row r="873" spans="20:20" x14ac:dyDescent="0.25">
      <c r="T873" s="1"/>
    </row>
    <row r="874" spans="20:20" x14ac:dyDescent="0.25">
      <c r="T874" s="1"/>
    </row>
    <row r="875" spans="20:20" x14ac:dyDescent="0.25">
      <c r="T875" s="1"/>
    </row>
    <row r="876" spans="20:20" x14ac:dyDescent="0.25">
      <c r="T876" s="1"/>
    </row>
    <row r="877" spans="20:20" x14ac:dyDescent="0.25">
      <c r="T877" s="1"/>
    </row>
    <row r="878" spans="20:20" x14ac:dyDescent="0.25">
      <c r="T878" s="1"/>
    </row>
    <row r="879" spans="20:20" x14ac:dyDescent="0.25">
      <c r="T879" s="1"/>
    </row>
    <row r="880" spans="20:20" x14ac:dyDescent="0.25">
      <c r="T880" s="1"/>
    </row>
    <row r="881" spans="20:20" x14ac:dyDescent="0.25">
      <c r="T881" s="1"/>
    </row>
    <row r="882" spans="20:20" x14ac:dyDescent="0.25">
      <c r="T882" s="1"/>
    </row>
    <row r="883" spans="20:20" x14ac:dyDescent="0.25">
      <c r="T883" s="1"/>
    </row>
    <row r="884" spans="20:20" x14ac:dyDescent="0.25">
      <c r="T884" s="1"/>
    </row>
    <row r="885" spans="20:20" x14ac:dyDescent="0.25">
      <c r="T885" s="1"/>
    </row>
    <row r="886" spans="20:20" x14ac:dyDescent="0.25">
      <c r="T886" s="1"/>
    </row>
    <row r="887" spans="20:20" x14ac:dyDescent="0.25">
      <c r="T887" s="1"/>
    </row>
    <row r="888" spans="20:20" x14ac:dyDescent="0.25">
      <c r="T888" s="1"/>
    </row>
    <row r="889" spans="20:20" x14ac:dyDescent="0.25">
      <c r="T889" s="1"/>
    </row>
    <row r="890" spans="20:20" x14ac:dyDescent="0.25">
      <c r="T890" s="1"/>
    </row>
    <row r="891" spans="20:20" x14ac:dyDescent="0.25">
      <c r="T891" s="1"/>
    </row>
    <row r="892" spans="20:20" x14ac:dyDescent="0.25">
      <c r="T892" s="1"/>
    </row>
    <row r="893" spans="20:20" x14ac:dyDescent="0.25">
      <c r="T893" s="1"/>
    </row>
    <row r="894" spans="20:20" x14ac:dyDescent="0.25">
      <c r="T894" s="1"/>
    </row>
    <row r="895" spans="20:20" x14ac:dyDescent="0.25">
      <c r="T895" s="1"/>
    </row>
    <row r="896" spans="20:20" x14ac:dyDescent="0.25">
      <c r="T896" s="1"/>
    </row>
    <row r="897" spans="20:20" x14ac:dyDescent="0.25">
      <c r="T897" s="1"/>
    </row>
    <row r="898" spans="20:20" x14ac:dyDescent="0.25">
      <c r="T898" s="1"/>
    </row>
    <row r="899" spans="20:20" x14ac:dyDescent="0.25">
      <c r="T899" s="1"/>
    </row>
    <row r="900" spans="20:20" x14ac:dyDescent="0.25">
      <c r="T900" s="1"/>
    </row>
    <row r="901" spans="20:20" x14ac:dyDescent="0.25">
      <c r="T901" s="1"/>
    </row>
    <row r="902" spans="20:20" x14ac:dyDescent="0.25">
      <c r="T902" s="1"/>
    </row>
    <row r="903" spans="20:20" x14ac:dyDescent="0.25">
      <c r="T903" s="1"/>
    </row>
    <row r="904" spans="20:20" x14ac:dyDescent="0.25">
      <c r="T904" s="1"/>
    </row>
    <row r="905" spans="20:20" x14ac:dyDescent="0.25">
      <c r="T905" s="1"/>
    </row>
    <row r="906" spans="20:20" x14ac:dyDescent="0.25">
      <c r="T906" s="1"/>
    </row>
    <row r="907" spans="20:20" x14ac:dyDescent="0.25">
      <c r="T907" s="1"/>
    </row>
    <row r="908" spans="20:20" x14ac:dyDescent="0.25">
      <c r="T908" s="1"/>
    </row>
    <row r="909" spans="20:20" x14ac:dyDescent="0.25">
      <c r="T909" s="1"/>
    </row>
    <row r="910" spans="20:20" x14ac:dyDescent="0.25">
      <c r="T910" s="1"/>
    </row>
    <row r="911" spans="20:20" x14ac:dyDescent="0.25">
      <c r="T911" s="1"/>
    </row>
    <row r="912" spans="20:20" x14ac:dyDescent="0.25">
      <c r="T912" s="1"/>
    </row>
    <row r="913" spans="20:20" x14ac:dyDescent="0.25">
      <c r="T913" s="1"/>
    </row>
    <row r="914" spans="20:20" x14ac:dyDescent="0.25">
      <c r="T914" s="1"/>
    </row>
    <row r="915" spans="20:20" x14ac:dyDescent="0.25">
      <c r="T915" s="1"/>
    </row>
    <row r="916" spans="20:20" x14ac:dyDescent="0.25">
      <c r="T916" s="1"/>
    </row>
    <row r="917" spans="20:20" x14ac:dyDescent="0.25">
      <c r="T917" s="1"/>
    </row>
    <row r="918" spans="20:20" x14ac:dyDescent="0.25">
      <c r="T918" s="1"/>
    </row>
    <row r="919" spans="20:20" x14ac:dyDescent="0.25">
      <c r="T919" s="1"/>
    </row>
    <row r="920" spans="20:20" x14ac:dyDescent="0.25">
      <c r="T920" s="1"/>
    </row>
    <row r="921" spans="20:20" x14ac:dyDescent="0.25">
      <c r="T921" s="1"/>
    </row>
    <row r="922" spans="20:20" x14ac:dyDescent="0.25">
      <c r="T922" s="1"/>
    </row>
    <row r="923" spans="20:20" x14ac:dyDescent="0.25">
      <c r="T923" s="1"/>
    </row>
    <row r="924" spans="20:20" x14ac:dyDescent="0.25">
      <c r="T924" s="1"/>
    </row>
    <row r="925" spans="20:20" x14ac:dyDescent="0.25">
      <c r="T925" s="1"/>
    </row>
    <row r="926" spans="20:20" x14ac:dyDescent="0.25">
      <c r="T926" s="1"/>
    </row>
    <row r="927" spans="20:20" x14ac:dyDescent="0.25">
      <c r="T927" s="1"/>
    </row>
    <row r="928" spans="20:20" x14ac:dyDescent="0.25">
      <c r="T928" s="1"/>
    </row>
    <row r="929" spans="20:20" x14ac:dyDescent="0.25">
      <c r="T929" s="1"/>
    </row>
    <row r="930" spans="20:20" x14ac:dyDescent="0.25">
      <c r="T930" s="1"/>
    </row>
    <row r="931" spans="20:20" x14ac:dyDescent="0.25">
      <c r="T931" s="1"/>
    </row>
    <row r="932" spans="20:20" x14ac:dyDescent="0.25">
      <c r="T932" s="1"/>
    </row>
    <row r="933" spans="20:20" x14ac:dyDescent="0.25">
      <c r="T933" s="1"/>
    </row>
    <row r="934" spans="20:20" x14ac:dyDescent="0.25">
      <c r="T934" s="1"/>
    </row>
    <row r="935" spans="20:20" x14ac:dyDescent="0.25">
      <c r="T935" s="1"/>
    </row>
    <row r="936" spans="20:20" x14ac:dyDescent="0.25">
      <c r="T936" s="1"/>
    </row>
    <row r="937" spans="20:20" x14ac:dyDescent="0.25">
      <c r="T937" s="1"/>
    </row>
    <row r="938" spans="20:20" x14ac:dyDescent="0.25">
      <c r="T938" s="1"/>
    </row>
    <row r="939" spans="20:20" x14ac:dyDescent="0.25">
      <c r="T939" s="1"/>
    </row>
    <row r="940" spans="20:20" x14ac:dyDescent="0.25">
      <c r="T940" s="1"/>
    </row>
    <row r="941" spans="20:20" x14ac:dyDescent="0.25">
      <c r="T941" s="1"/>
    </row>
    <row r="942" spans="20:20" x14ac:dyDescent="0.25">
      <c r="T942" s="1"/>
    </row>
    <row r="943" spans="20:20" x14ac:dyDescent="0.25">
      <c r="T943" s="1"/>
    </row>
    <row r="944" spans="20:20" x14ac:dyDescent="0.25">
      <c r="T944" s="1"/>
    </row>
    <row r="945" spans="20:20" x14ac:dyDescent="0.25">
      <c r="T945" s="1"/>
    </row>
    <row r="946" spans="20:20" x14ac:dyDescent="0.25">
      <c r="T946" s="1"/>
    </row>
    <row r="947" spans="20:20" x14ac:dyDescent="0.25">
      <c r="T947" s="1"/>
    </row>
    <row r="948" spans="20:20" x14ac:dyDescent="0.25">
      <c r="T948" s="1"/>
    </row>
    <row r="949" spans="20:20" x14ac:dyDescent="0.25">
      <c r="T949" s="1"/>
    </row>
    <row r="950" spans="20:20" x14ac:dyDescent="0.25">
      <c r="T950" s="1"/>
    </row>
    <row r="951" spans="20:20" x14ac:dyDescent="0.25">
      <c r="T951" s="1"/>
    </row>
    <row r="952" spans="20:20" x14ac:dyDescent="0.25">
      <c r="T952" s="1"/>
    </row>
    <row r="953" spans="20:20" x14ac:dyDescent="0.25">
      <c r="T953" s="1"/>
    </row>
    <row r="954" spans="20:20" x14ac:dyDescent="0.25">
      <c r="T954" s="1"/>
    </row>
    <row r="955" spans="20:20" x14ac:dyDescent="0.25">
      <c r="T955" s="1"/>
    </row>
    <row r="956" spans="20:20" x14ac:dyDescent="0.25">
      <c r="T956" s="1"/>
    </row>
    <row r="957" spans="20:20" x14ac:dyDescent="0.25">
      <c r="T957" s="1"/>
    </row>
    <row r="958" spans="20:20" x14ac:dyDescent="0.25">
      <c r="T958" s="1"/>
    </row>
    <row r="959" spans="20:20" x14ac:dyDescent="0.25">
      <c r="T959" s="1"/>
    </row>
    <row r="960" spans="20:20" x14ac:dyDescent="0.25">
      <c r="T960" s="1"/>
    </row>
    <row r="961" spans="20:20" x14ac:dyDescent="0.25">
      <c r="T961" s="1"/>
    </row>
    <row r="962" spans="20:20" x14ac:dyDescent="0.25">
      <c r="T962" s="1"/>
    </row>
    <row r="963" spans="20:20" x14ac:dyDescent="0.25">
      <c r="T963" s="1"/>
    </row>
    <row r="964" spans="20:20" x14ac:dyDescent="0.25">
      <c r="T964" s="1"/>
    </row>
    <row r="965" spans="20:20" x14ac:dyDescent="0.25">
      <c r="T965" s="1"/>
    </row>
    <row r="966" spans="20:20" x14ac:dyDescent="0.25">
      <c r="T966" s="1"/>
    </row>
    <row r="967" spans="20:20" x14ac:dyDescent="0.25">
      <c r="T967" s="1"/>
    </row>
    <row r="968" spans="20:20" x14ac:dyDescent="0.25">
      <c r="T968" s="1"/>
    </row>
    <row r="969" spans="20:20" x14ac:dyDescent="0.25">
      <c r="T969" s="1"/>
    </row>
    <row r="970" spans="20:20" x14ac:dyDescent="0.25">
      <c r="T970" s="1"/>
    </row>
    <row r="971" spans="20:20" x14ac:dyDescent="0.25">
      <c r="T971" s="1"/>
    </row>
    <row r="972" spans="20:20" x14ac:dyDescent="0.25">
      <c r="T972" s="1"/>
    </row>
    <row r="973" spans="20:20" x14ac:dyDescent="0.25">
      <c r="T973" s="1"/>
    </row>
    <row r="974" spans="20:20" x14ac:dyDescent="0.25">
      <c r="T974" s="1"/>
    </row>
    <row r="975" spans="20:20" x14ac:dyDescent="0.25">
      <c r="T975" s="1"/>
    </row>
    <row r="976" spans="20:20" x14ac:dyDescent="0.25">
      <c r="T976" s="1"/>
    </row>
    <row r="977" spans="20:20" x14ac:dyDescent="0.25">
      <c r="T977" s="1"/>
    </row>
    <row r="978" spans="20:20" x14ac:dyDescent="0.25">
      <c r="T978" s="1"/>
    </row>
    <row r="979" spans="20:20" x14ac:dyDescent="0.25">
      <c r="T979" s="1"/>
    </row>
    <row r="980" spans="20:20" x14ac:dyDescent="0.25">
      <c r="T980" s="1"/>
    </row>
    <row r="981" spans="20:20" x14ac:dyDescent="0.25">
      <c r="T981" s="1"/>
    </row>
    <row r="982" spans="20:20" x14ac:dyDescent="0.25">
      <c r="T982" s="1"/>
    </row>
    <row r="983" spans="20:20" x14ac:dyDescent="0.25">
      <c r="T983" s="1"/>
    </row>
    <row r="984" spans="20:20" x14ac:dyDescent="0.25">
      <c r="T984" s="1"/>
    </row>
    <row r="985" spans="20:20" x14ac:dyDescent="0.25">
      <c r="T985" s="1"/>
    </row>
    <row r="986" spans="20:20" x14ac:dyDescent="0.25">
      <c r="T986" s="1"/>
    </row>
    <row r="987" spans="20:20" x14ac:dyDescent="0.25">
      <c r="T987" s="1"/>
    </row>
    <row r="988" spans="20:20" x14ac:dyDescent="0.25">
      <c r="T988" s="1"/>
    </row>
    <row r="989" spans="20:20" x14ac:dyDescent="0.25">
      <c r="T989" s="1"/>
    </row>
    <row r="990" spans="20:20" x14ac:dyDescent="0.25">
      <c r="T990" s="1"/>
    </row>
    <row r="991" spans="20:20" x14ac:dyDescent="0.25">
      <c r="T991" s="1"/>
    </row>
    <row r="992" spans="20:20" x14ac:dyDescent="0.25">
      <c r="T992" s="1"/>
    </row>
    <row r="993" spans="20:20" x14ac:dyDescent="0.25">
      <c r="T993" s="1"/>
    </row>
    <row r="994" spans="20:20" x14ac:dyDescent="0.25">
      <c r="T994" s="1"/>
    </row>
    <row r="995" spans="20:20" x14ac:dyDescent="0.25">
      <c r="T995" s="1"/>
    </row>
    <row r="996" spans="20:20" x14ac:dyDescent="0.25">
      <c r="T996" s="1"/>
    </row>
    <row r="997" spans="20:20" x14ac:dyDescent="0.25">
      <c r="T997" s="1"/>
    </row>
    <row r="998" spans="20:20" x14ac:dyDescent="0.25">
      <c r="T998" s="1"/>
    </row>
    <row r="999" spans="20:20" x14ac:dyDescent="0.25">
      <c r="T999" s="1"/>
    </row>
    <row r="1000" spans="20:20" x14ac:dyDescent="0.25">
      <c r="T1000" s="1"/>
    </row>
    <row r="1001" spans="20:20" x14ac:dyDescent="0.25">
      <c r="T1001" s="1"/>
    </row>
    <row r="1002" spans="20:20" x14ac:dyDescent="0.25">
      <c r="T1002" s="1"/>
    </row>
    <row r="1003" spans="20:20" x14ac:dyDescent="0.25">
      <c r="T1003" s="1"/>
    </row>
    <row r="1004" spans="20:20" x14ac:dyDescent="0.25">
      <c r="T1004" s="1"/>
    </row>
    <row r="1005" spans="20:20" x14ac:dyDescent="0.25">
      <c r="T1005" s="1"/>
    </row>
    <row r="1006" spans="20:20" x14ac:dyDescent="0.25">
      <c r="T1006" s="1"/>
    </row>
    <row r="1007" spans="20:20" x14ac:dyDescent="0.25">
      <c r="T1007" s="1"/>
    </row>
    <row r="1008" spans="20:20" x14ac:dyDescent="0.25">
      <c r="T1008" s="1"/>
    </row>
    <row r="1009" spans="20:20" x14ac:dyDescent="0.25">
      <c r="T1009" s="1"/>
    </row>
    <row r="1010" spans="20:20" x14ac:dyDescent="0.25">
      <c r="T1010" s="1"/>
    </row>
    <row r="1011" spans="20:20" x14ac:dyDescent="0.25">
      <c r="T1011" s="1"/>
    </row>
    <row r="1012" spans="20:20" x14ac:dyDescent="0.25">
      <c r="T1012" s="1"/>
    </row>
    <row r="1013" spans="20:20" x14ac:dyDescent="0.25">
      <c r="T1013" s="1"/>
    </row>
    <row r="1014" spans="20:20" x14ac:dyDescent="0.25">
      <c r="T1014" s="1"/>
    </row>
    <row r="1015" spans="20:20" x14ac:dyDescent="0.25">
      <c r="T1015" s="1"/>
    </row>
    <row r="1016" spans="20:20" x14ac:dyDescent="0.25">
      <c r="T1016" s="1"/>
    </row>
    <row r="1017" spans="20:20" x14ac:dyDescent="0.25">
      <c r="T1017" s="1"/>
    </row>
    <row r="1018" spans="20:20" x14ac:dyDescent="0.25">
      <c r="T1018" s="1"/>
    </row>
    <row r="1019" spans="20:20" x14ac:dyDescent="0.25">
      <c r="T1019" s="1"/>
    </row>
    <row r="1020" spans="20:20" x14ac:dyDescent="0.25">
      <c r="T1020" s="1"/>
    </row>
    <row r="1021" spans="20:20" x14ac:dyDescent="0.25">
      <c r="T1021" s="1"/>
    </row>
    <row r="1022" spans="20:20" x14ac:dyDescent="0.25">
      <c r="T1022" s="1"/>
    </row>
    <row r="1023" spans="20:20" x14ac:dyDescent="0.25">
      <c r="T1023" s="1"/>
    </row>
    <row r="1024" spans="20:20" x14ac:dyDescent="0.25">
      <c r="T1024" s="1"/>
    </row>
    <row r="1025" spans="20:20" x14ac:dyDescent="0.25">
      <c r="T1025" s="1"/>
    </row>
    <row r="1026" spans="20:20" x14ac:dyDescent="0.25">
      <c r="T1026" s="1"/>
    </row>
    <row r="1027" spans="20:20" x14ac:dyDescent="0.25">
      <c r="T1027" s="1"/>
    </row>
    <row r="1028" spans="20:20" x14ac:dyDescent="0.25">
      <c r="T1028" s="1"/>
    </row>
    <row r="1029" spans="20:20" x14ac:dyDescent="0.25">
      <c r="T1029" s="1"/>
    </row>
    <row r="1030" spans="20:20" x14ac:dyDescent="0.25">
      <c r="T1030" s="1"/>
    </row>
    <row r="1031" spans="20:20" x14ac:dyDescent="0.25">
      <c r="T1031" s="1"/>
    </row>
    <row r="1032" spans="20:20" x14ac:dyDescent="0.25">
      <c r="T1032" s="1"/>
    </row>
    <row r="1033" spans="20:20" x14ac:dyDescent="0.25">
      <c r="T1033" s="1"/>
    </row>
    <row r="1034" spans="20:20" x14ac:dyDescent="0.25">
      <c r="T1034" s="1"/>
    </row>
    <row r="1035" spans="20:20" x14ac:dyDescent="0.25">
      <c r="T1035" s="1"/>
    </row>
    <row r="1036" spans="20:20" x14ac:dyDescent="0.25">
      <c r="T1036" s="1"/>
    </row>
    <row r="1037" spans="20:20" x14ac:dyDescent="0.25">
      <c r="T1037" s="1"/>
    </row>
    <row r="1038" spans="20:20" x14ac:dyDescent="0.25">
      <c r="T1038" s="1"/>
    </row>
    <row r="1039" spans="20:20" x14ac:dyDescent="0.25">
      <c r="T1039" s="1"/>
    </row>
    <row r="1040" spans="20:20" x14ac:dyDescent="0.25">
      <c r="T1040" s="1"/>
    </row>
    <row r="1041" spans="20:20" x14ac:dyDescent="0.25">
      <c r="T1041" s="1"/>
    </row>
    <row r="1042" spans="20:20" x14ac:dyDescent="0.25">
      <c r="T1042" s="1"/>
    </row>
    <row r="1043" spans="20:20" x14ac:dyDescent="0.25">
      <c r="T1043" s="1"/>
    </row>
    <row r="1044" spans="20:20" x14ac:dyDescent="0.25">
      <c r="T1044" s="1"/>
    </row>
    <row r="1045" spans="20:20" x14ac:dyDescent="0.25">
      <c r="T1045" s="1"/>
    </row>
    <row r="1046" spans="20:20" x14ac:dyDescent="0.25">
      <c r="T1046" s="1"/>
    </row>
    <row r="1047" spans="20:20" x14ac:dyDescent="0.25">
      <c r="T1047" s="1"/>
    </row>
    <row r="1048" spans="20:20" x14ac:dyDescent="0.25">
      <c r="T1048" s="1"/>
    </row>
    <row r="1049" spans="20:20" x14ac:dyDescent="0.25">
      <c r="T1049" s="1"/>
    </row>
    <row r="1050" spans="20:20" x14ac:dyDescent="0.25">
      <c r="T1050" s="1"/>
    </row>
    <row r="1051" spans="20:20" x14ac:dyDescent="0.25">
      <c r="T1051" s="1"/>
    </row>
    <row r="1052" spans="20:20" x14ac:dyDescent="0.25">
      <c r="T1052" s="1"/>
    </row>
    <row r="1053" spans="20:20" x14ac:dyDescent="0.25">
      <c r="T1053" s="1"/>
    </row>
    <row r="1054" spans="20:20" x14ac:dyDescent="0.25">
      <c r="T1054" s="1"/>
    </row>
    <row r="1055" spans="20:20" x14ac:dyDescent="0.25">
      <c r="T1055" s="1"/>
    </row>
    <row r="1056" spans="20:20" x14ac:dyDescent="0.25">
      <c r="T1056" s="1"/>
    </row>
    <row r="1057" spans="20:20" x14ac:dyDescent="0.25">
      <c r="T1057" s="1"/>
    </row>
    <row r="1058" spans="20:20" x14ac:dyDescent="0.25">
      <c r="T1058" s="1"/>
    </row>
    <row r="1059" spans="20:20" x14ac:dyDescent="0.25">
      <c r="T1059" s="1"/>
    </row>
    <row r="1060" spans="20:20" x14ac:dyDescent="0.25">
      <c r="T1060" s="1"/>
    </row>
    <row r="1061" spans="20:20" x14ac:dyDescent="0.25">
      <c r="T1061" s="1"/>
    </row>
    <row r="1062" spans="20:20" x14ac:dyDescent="0.25">
      <c r="T1062" s="1"/>
    </row>
    <row r="1063" spans="20:20" x14ac:dyDescent="0.25">
      <c r="T1063" s="1"/>
    </row>
    <row r="1064" spans="20:20" x14ac:dyDescent="0.25">
      <c r="T1064" s="1"/>
    </row>
    <row r="1065" spans="20:20" x14ac:dyDescent="0.25">
      <c r="T1065" s="1"/>
    </row>
    <row r="1066" spans="20:20" x14ac:dyDescent="0.25">
      <c r="T1066" s="1"/>
    </row>
    <row r="1067" spans="20:20" x14ac:dyDescent="0.25">
      <c r="T1067" s="1"/>
    </row>
    <row r="1068" spans="20:20" x14ac:dyDescent="0.25">
      <c r="T1068" s="1"/>
    </row>
    <row r="1069" spans="20:20" x14ac:dyDescent="0.25">
      <c r="T1069" s="1"/>
    </row>
    <row r="1070" spans="20:20" x14ac:dyDescent="0.25">
      <c r="T1070" s="1"/>
    </row>
    <row r="1071" spans="20:20" x14ac:dyDescent="0.25">
      <c r="T1071" s="1"/>
    </row>
    <row r="1072" spans="20:20" x14ac:dyDescent="0.25">
      <c r="T1072" s="1"/>
    </row>
    <row r="1073" spans="20:20" x14ac:dyDescent="0.25">
      <c r="T1073" s="1"/>
    </row>
    <row r="1074" spans="20:20" x14ac:dyDescent="0.25">
      <c r="T1074" s="1"/>
    </row>
    <row r="1075" spans="20:20" x14ac:dyDescent="0.25">
      <c r="T1075" s="1"/>
    </row>
    <row r="1076" spans="20:20" x14ac:dyDescent="0.25">
      <c r="T1076" s="1"/>
    </row>
    <row r="1077" spans="20:20" x14ac:dyDescent="0.25">
      <c r="T1077" s="1"/>
    </row>
    <row r="1078" spans="20:20" x14ac:dyDescent="0.25">
      <c r="T1078" s="1"/>
    </row>
    <row r="1079" spans="20:20" x14ac:dyDescent="0.25">
      <c r="T1079" s="1"/>
    </row>
    <row r="1080" spans="20:20" x14ac:dyDescent="0.25">
      <c r="T1080" s="1"/>
    </row>
    <row r="1081" spans="20:20" x14ac:dyDescent="0.25">
      <c r="T1081" s="1"/>
    </row>
    <row r="1082" spans="20:20" x14ac:dyDescent="0.25">
      <c r="T1082" s="1"/>
    </row>
    <row r="1083" spans="20:20" x14ac:dyDescent="0.25">
      <c r="T1083" s="1"/>
    </row>
    <row r="1084" spans="20:20" x14ac:dyDescent="0.25">
      <c r="T1084" s="1"/>
    </row>
    <row r="1085" spans="20:20" x14ac:dyDescent="0.25">
      <c r="T1085" s="1"/>
    </row>
    <row r="1086" spans="20:20" x14ac:dyDescent="0.25">
      <c r="T1086" s="1"/>
    </row>
    <row r="1087" spans="20:20" x14ac:dyDescent="0.25">
      <c r="T1087" s="1"/>
    </row>
    <row r="1088" spans="20:20" x14ac:dyDescent="0.25">
      <c r="T1088" s="1"/>
    </row>
    <row r="1089" spans="20:20" x14ac:dyDescent="0.25">
      <c r="T1089" s="1"/>
    </row>
    <row r="1090" spans="20:20" x14ac:dyDescent="0.25">
      <c r="T1090" s="1"/>
    </row>
    <row r="1091" spans="20:20" x14ac:dyDescent="0.25">
      <c r="T1091" s="1"/>
    </row>
    <row r="1092" spans="20:20" x14ac:dyDescent="0.25">
      <c r="T1092" s="1"/>
    </row>
    <row r="1093" spans="20:20" x14ac:dyDescent="0.25">
      <c r="T1093" s="1"/>
    </row>
    <row r="1094" spans="20:20" x14ac:dyDescent="0.25">
      <c r="T1094" s="1"/>
    </row>
    <row r="1095" spans="20:20" x14ac:dyDescent="0.25">
      <c r="T1095" s="1"/>
    </row>
    <row r="1096" spans="20:20" x14ac:dyDescent="0.25">
      <c r="T1096" s="1"/>
    </row>
    <row r="1097" spans="20:20" x14ac:dyDescent="0.25">
      <c r="T1097" s="1"/>
    </row>
    <row r="1098" spans="20:20" x14ac:dyDescent="0.25">
      <c r="T1098" s="1"/>
    </row>
    <row r="1099" spans="20:20" x14ac:dyDescent="0.25">
      <c r="T1099" s="1"/>
    </row>
    <row r="1100" spans="20:20" x14ac:dyDescent="0.25">
      <c r="T1100" s="1"/>
    </row>
    <row r="1101" spans="20:20" x14ac:dyDescent="0.25">
      <c r="T1101" s="1"/>
    </row>
    <row r="1102" spans="20:20" x14ac:dyDescent="0.25">
      <c r="T1102" s="1"/>
    </row>
    <row r="1103" spans="20:20" x14ac:dyDescent="0.25">
      <c r="T1103" s="1"/>
    </row>
    <row r="1104" spans="20:20" x14ac:dyDescent="0.25">
      <c r="T1104" s="1"/>
    </row>
    <row r="1105" spans="20:20" x14ac:dyDescent="0.25">
      <c r="T1105" s="1"/>
    </row>
    <row r="1106" spans="20:20" x14ac:dyDescent="0.25">
      <c r="T1106" s="1"/>
    </row>
    <row r="1107" spans="20:20" x14ac:dyDescent="0.25">
      <c r="T1107" s="1"/>
    </row>
    <row r="1108" spans="20:20" x14ac:dyDescent="0.25">
      <c r="T1108" s="1"/>
    </row>
    <row r="1109" spans="20:20" x14ac:dyDescent="0.25">
      <c r="T1109" s="1"/>
    </row>
    <row r="1110" spans="20:20" x14ac:dyDescent="0.25">
      <c r="T1110" s="1"/>
    </row>
    <row r="1111" spans="20:20" x14ac:dyDescent="0.25">
      <c r="T1111" s="1"/>
    </row>
    <row r="1112" spans="20:20" x14ac:dyDescent="0.25">
      <c r="T1112" s="1"/>
    </row>
    <row r="1113" spans="20:20" x14ac:dyDescent="0.25">
      <c r="T1113" s="1"/>
    </row>
    <row r="1114" spans="20:20" x14ac:dyDescent="0.25">
      <c r="T1114" s="1"/>
    </row>
    <row r="1115" spans="20:20" x14ac:dyDescent="0.25">
      <c r="T1115" s="1"/>
    </row>
    <row r="1116" spans="20:20" x14ac:dyDescent="0.25">
      <c r="T1116" s="1"/>
    </row>
    <row r="1117" spans="20:20" x14ac:dyDescent="0.25">
      <c r="T1117" s="1"/>
    </row>
    <row r="1118" spans="20:20" x14ac:dyDescent="0.25">
      <c r="T1118" s="1"/>
    </row>
    <row r="1119" spans="20:20" x14ac:dyDescent="0.25">
      <c r="T1119" s="1"/>
    </row>
    <row r="1120" spans="20:20" x14ac:dyDescent="0.25">
      <c r="T1120" s="1"/>
    </row>
    <row r="1121" spans="20:20" x14ac:dyDescent="0.25">
      <c r="T1121" s="1"/>
    </row>
    <row r="1122" spans="20:20" x14ac:dyDescent="0.25">
      <c r="T1122" s="1"/>
    </row>
    <row r="1123" spans="20:20" x14ac:dyDescent="0.25">
      <c r="T1123" s="1"/>
    </row>
    <row r="1124" spans="20:20" x14ac:dyDescent="0.25">
      <c r="T1124" s="1"/>
    </row>
    <row r="1125" spans="20:20" x14ac:dyDescent="0.25">
      <c r="T1125" s="1"/>
    </row>
    <row r="1126" spans="20:20" x14ac:dyDescent="0.25">
      <c r="T1126" s="1"/>
    </row>
    <row r="1127" spans="20:20" x14ac:dyDescent="0.25">
      <c r="T1127" s="1"/>
    </row>
    <row r="1128" spans="20:20" x14ac:dyDescent="0.25">
      <c r="T1128" s="1"/>
    </row>
    <row r="1129" spans="20:20" x14ac:dyDescent="0.25">
      <c r="T1129" s="1"/>
    </row>
    <row r="1130" spans="20:20" x14ac:dyDescent="0.25">
      <c r="T1130" s="1"/>
    </row>
    <row r="1131" spans="20:20" x14ac:dyDescent="0.25">
      <c r="T1131" s="1"/>
    </row>
    <row r="1132" spans="20:20" x14ac:dyDescent="0.25">
      <c r="T1132" s="1"/>
    </row>
    <row r="1133" spans="20:20" x14ac:dyDescent="0.25">
      <c r="T1133" s="1"/>
    </row>
    <row r="1134" spans="20:20" x14ac:dyDescent="0.25">
      <c r="T1134" s="1"/>
    </row>
    <row r="1135" spans="20:20" x14ac:dyDescent="0.25">
      <c r="T1135" s="1"/>
    </row>
    <row r="1136" spans="20:20" x14ac:dyDescent="0.25">
      <c r="T1136" s="1"/>
    </row>
    <row r="1137" spans="20:20" x14ac:dyDescent="0.25">
      <c r="T1137" s="1"/>
    </row>
    <row r="1138" spans="20:20" x14ac:dyDescent="0.25">
      <c r="T1138" s="1"/>
    </row>
    <row r="1139" spans="20:20" x14ac:dyDescent="0.25">
      <c r="T1139" s="1"/>
    </row>
    <row r="1140" spans="20:20" x14ac:dyDescent="0.25">
      <c r="T1140" s="1"/>
    </row>
    <row r="1141" spans="20:20" x14ac:dyDescent="0.25">
      <c r="T1141" s="1"/>
    </row>
    <row r="1142" spans="20:20" x14ac:dyDescent="0.25">
      <c r="T1142" s="1"/>
    </row>
    <row r="1143" spans="20:20" x14ac:dyDescent="0.25">
      <c r="T1143" s="1"/>
    </row>
    <row r="1144" spans="20:20" x14ac:dyDescent="0.25">
      <c r="T1144" s="1"/>
    </row>
    <row r="1145" spans="20:20" x14ac:dyDescent="0.25">
      <c r="T1145" s="1"/>
    </row>
    <row r="1146" spans="20:20" x14ac:dyDescent="0.25">
      <c r="T1146" s="1"/>
    </row>
    <row r="1147" spans="20:20" x14ac:dyDescent="0.25">
      <c r="T1147" s="1"/>
    </row>
    <row r="1148" spans="20:20" x14ac:dyDescent="0.25">
      <c r="T1148" s="1"/>
    </row>
    <row r="1149" spans="20:20" x14ac:dyDescent="0.25">
      <c r="T1149" s="1"/>
    </row>
    <row r="1150" spans="20:20" x14ac:dyDescent="0.25">
      <c r="T1150" s="1"/>
    </row>
    <row r="1151" spans="20:20" x14ac:dyDescent="0.25">
      <c r="T1151" s="1"/>
    </row>
    <row r="1152" spans="20:20" x14ac:dyDescent="0.25">
      <c r="T1152" s="1"/>
    </row>
    <row r="1153" spans="20:20" x14ac:dyDescent="0.25">
      <c r="T1153" s="1"/>
    </row>
    <row r="1154" spans="20:20" x14ac:dyDescent="0.25">
      <c r="T1154" s="1"/>
    </row>
    <row r="1155" spans="20:20" x14ac:dyDescent="0.25">
      <c r="T1155" s="1"/>
    </row>
    <row r="1156" spans="20:20" x14ac:dyDescent="0.25">
      <c r="T1156" s="1"/>
    </row>
    <row r="1157" spans="20:20" x14ac:dyDescent="0.25">
      <c r="T1157" s="1"/>
    </row>
    <row r="1158" spans="20:20" x14ac:dyDescent="0.25">
      <c r="T1158" s="1"/>
    </row>
    <row r="1159" spans="20:20" x14ac:dyDescent="0.25">
      <c r="T1159" s="1"/>
    </row>
    <row r="1160" spans="20:20" x14ac:dyDescent="0.25">
      <c r="T1160" s="1"/>
    </row>
    <row r="1161" spans="20:20" x14ac:dyDescent="0.25">
      <c r="T1161" s="1"/>
    </row>
    <row r="1162" spans="20:20" x14ac:dyDescent="0.25">
      <c r="T1162" s="1"/>
    </row>
    <row r="1163" spans="20:20" x14ac:dyDescent="0.25">
      <c r="T1163" s="1"/>
    </row>
    <row r="1164" spans="20:20" x14ac:dyDescent="0.25">
      <c r="T1164" s="1"/>
    </row>
    <row r="1165" spans="20:20" x14ac:dyDescent="0.25">
      <c r="T1165" s="1"/>
    </row>
    <row r="1166" spans="20:20" x14ac:dyDescent="0.25">
      <c r="T1166" s="1"/>
    </row>
    <row r="1167" spans="20:20" x14ac:dyDescent="0.25">
      <c r="T1167" s="1"/>
    </row>
    <row r="1168" spans="20:20" x14ac:dyDescent="0.25">
      <c r="T1168" s="1"/>
    </row>
    <row r="1169" spans="20:20" x14ac:dyDescent="0.25">
      <c r="T1169" s="1"/>
    </row>
    <row r="1170" spans="20:20" x14ac:dyDescent="0.25">
      <c r="T1170" s="1"/>
    </row>
    <row r="1171" spans="20:20" x14ac:dyDescent="0.25">
      <c r="T1171" s="1"/>
    </row>
    <row r="1172" spans="20:20" x14ac:dyDescent="0.25">
      <c r="T1172" s="1"/>
    </row>
    <row r="1173" spans="20:20" x14ac:dyDescent="0.25">
      <c r="T1173" s="1"/>
    </row>
    <row r="1174" spans="20:20" x14ac:dyDescent="0.25">
      <c r="T1174" s="1"/>
    </row>
    <row r="1175" spans="20:20" x14ac:dyDescent="0.25">
      <c r="T1175" s="1"/>
    </row>
    <row r="1176" spans="20:20" x14ac:dyDescent="0.25">
      <c r="T1176" s="1"/>
    </row>
    <row r="1177" spans="20:20" x14ac:dyDescent="0.25">
      <c r="T1177" s="1"/>
    </row>
    <row r="1178" spans="20:20" x14ac:dyDescent="0.25">
      <c r="T1178" s="1"/>
    </row>
    <row r="1179" spans="20:20" x14ac:dyDescent="0.25">
      <c r="T1179" s="1"/>
    </row>
    <row r="1180" spans="20:20" x14ac:dyDescent="0.25">
      <c r="T1180" s="1"/>
    </row>
    <row r="1181" spans="20:20" x14ac:dyDescent="0.25">
      <c r="T1181" s="1"/>
    </row>
    <row r="1182" spans="20:20" x14ac:dyDescent="0.25">
      <c r="T1182" s="1"/>
    </row>
    <row r="1183" spans="20:20" x14ac:dyDescent="0.25">
      <c r="T1183" s="1"/>
    </row>
    <row r="1184" spans="20:20" x14ac:dyDescent="0.25">
      <c r="T1184" s="1"/>
    </row>
    <row r="1185" spans="20:20" x14ac:dyDescent="0.25">
      <c r="T1185" s="1"/>
    </row>
    <row r="1186" spans="20:20" x14ac:dyDescent="0.25">
      <c r="T1186" s="1"/>
    </row>
    <row r="1187" spans="20:20" x14ac:dyDescent="0.25">
      <c r="T1187" s="1"/>
    </row>
    <row r="1188" spans="20:20" x14ac:dyDescent="0.25">
      <c r="T1188" s="1"/>
    </row>
    <row r="1189" spans="20:20" x14ac:dyDescent="0.25">
      <c r="T1189" s="1"/>
    </row>
    <row r="1190" spans="20:20" x14ac:dyDescent="0.25">
      <c r="T1190" s="1"/>
    </row>
    <row r="1191" spans="20:20" x14ac:dyDescent="0.25">
      <c r="T1191" s="1"/>
    </row>
    <row r="1192" spans="20:20" x14ac:dyDescent="0.25">
      <c r="T1192" s="1"/>
    </row>
    <row r="1193" spans="20:20" x14ac:dyDescent="0.25">
      <c r="T1193" s="1"/>
    </row>
    <row r="1194" spans="20:20" x14ac:dyDescent="0.25">
      <c r="T1194" s="1"/>
    </row>
    <row r="1195" spans="20:20" x14ac:dyDescent="0.25">
      <c r="T1195" s="1"/>
    </row>
    <row r="1196" spans="20:20" x14ac:dyDescent="0.25">
      <c r="T1196" s="1"/>
    </row>
    <row r="1197" spans="20:20" x14ac:dyDescent="0.25">
      <c r="T1197" s="1"/>
    </row>
    <row r="1198" spans="20:20" x14ac:dyDescent="0.25">
      <c r="T1198" s="1"/>
    </row>
    <row r="1199" spans="20:20" x14ac:dyDescent="0.25">
      <c r="T1199" s="1"/>
    </row>
    <row r="1200" spans="20:20" x14ac:dyDescent="0.25">
      <c r="T1200" s="1"/>
    </row>
    <row r="1201" spans="20:20" x14ac:dyDescent="0.25">
      <c r="T1201" s="1"/>
    </row>
    <row r="1202" spans="20:20" x14ac:dyDescent="0.25">
      <c r="T1202" s="1"/>
    </row>
    <row r="1203" spans="20:20" x14ac:dyDescent="0.25">
      <c r="T1203" s="1"/>
    </row>
    <row r="1204" spans="20:20" x14ac:dyDescent="0.25">
      <c r="T1204" s="1"/>
    </row>
    <row r="1205" spans="20:20" x14ac:dyDescent="0.25">
      <c r="T1205" s="1"/>
    </row>
    <row r="1206" spans="20:20" x14ac:dyDescent="0.25">
      <c r="T1206" s="1"/>
    </row>
    <row r="1207" spans="20:20" x14ac:dyDescent="0.25">
      <c r="T1207" s="1"/>
    </row>
    <row r="1208" spans="20:20" x14ac:dyDescent="0.25">
      <c r="T1208" s="1"/>
    </row>
    <row r="1209" spans="20:20" x14ac:dyDescent="0.25">
      <c r="T1209" s="1"/>
    </row>
    <row r="1210" spans="20:20" x14ac:dyDescent="0.25">
      <c r="T1210" s="1"/>
    </row>
    <row r="1211" spans="20:20" x14ac:dyDescent="0.25">
      <c r="T1211" s="1"/>
    </row>
    <row r="1212" spans="20:20" x14ac:dyDescent="0.25">
      <c r="T1212" s="1"/>
    </row>
    <row r="1213" spans="20:20" x14ac:dyDescent="0.25">
      <c r="T1213" s="1"/>
    </row>
    <row r="1214" spans="20:20" x14ac:dyDescent="0.25">
      <c r="T1214" s="1"/>
    </row>
    <row r="1215" spans="20:20" x14ac:dyDescent="0.25">
      <c r="T1215" s="1"/>
    </row>
    <row r="1216" spans="20:20" x14ac:dyDescent="0.25">
      <c r="T1216" s="1"/>
    </row>
    <row r="1217" spans="20:20" x14ac:dyDescent="0.25">
      <c r="T1217" s="1"/>
    </row>
    <row r="1218" spans="20:20" x14ac:dyDescent="0.25">
      <c r="T1218" s="1"/>
    </row>
    <row r="1219" spans="20:20" x14ac:dyDescent="0.25">
      <c r="T1219" s="1"/>
    </row>
    <row r="1220" spans="20:20" x14ac:dyDescent="0.25">
      <c r="T1220" s="1"/>
    </row>
    <row r="1221" spans="20:20" x14ac:dyDescent="0.25">
      <c r="T1221" s="1"/>
    </row>
    <row r="1222" spans="20:20" x14ac:dyDescent="0.25">
      <c r="T1222" s="1"/>
    </row>
    <row r="1223" spans="20:20" x14ac:dyDescent="0.25">
      <c r="T1223" s="1"/>
    </row>
    <row r="1224" spans="20:20" x14ac:dyDescent="0.25">
      <c r="T1224" s="1"/>
    </row>
    <row r="1225" spans="20:20" x14ac:dyDescent="0.25">
      <c r="T1225" s="1"/>
    </row>
    <row r="1226" spans="20:20" x14ac:dyDescent="0.25">
      <c r="T1226" s="1"/>
    </row>
    <row r="1227" spans="20:20" x14ac:dyDescent="0.25">
      <c r="T1227" s="1"/>
    </row>
    <row r="1228" spans="20:20" x14ac:dyDescent="0.25">
      <c r="T1228" s="1"/>
    </row>
    <row r="1229" spans="20:20" x14ac:dyDescent="0.25">
      <c r="T1229" s="1"/>
    </row>
    <row r="1230" spans="20:20" x14ac:dyDescent="0.25">
      <c r="T1230" s="1"/>
    </row>
    <row r="1231" spans="20:20" x14ac:dyDescent="0.25">
      <c r="T1231" s="1"/>
    </row>
    <row r="1232" spans="20:20" x14ac:dyDescent="0.25">
      <c r="T1232" s="1"/>
    </row>
    <row r="1233" spans="20:20" x14ac:dyDescent="0.25">
      <c r="T1233" s="1"/>
    </row>
    <row r="1234" spans="20:20" x14ac:dyDescent="0.25">
      <c r="T1234" s="1"/>
    </row>
    <row r="1235" spans="20:20" x14ac:dyDescent="0.25">
      <c r="T1235" s="1"/>
    </row>
    <row r="1236" spans="20:20" x14ac:dyDescent="0.25">
      <c r="T1236" s="1"/>
    </row>
    <row r="1237" spans="20:20" x14ac:dyDescent="0.25">
      <c r="T1237" s="1"/>
    </row>
    <row r="1238" spans="20:20" x14ac:dyDescent="0.25">
      <c r="T1238" s="1"/>
    </row>
    <row r="1239" spans="20:20" x14ac:dyDescent="0.25">
      <c r="T1239" s="1"/>
    </row>
    <row r="1240" spans="20:20" x14ac:dyDescent="0.25">
      <c r="T1240" s="1"/>
    </row>
    <row r="1241" spans="20:20" x14ac:dyDescent="0.25">
      <c r="T1241" s="1"/>
    </row>
    <row r="1242" spans="20:20" x14ac:dyDescent="0.25">
      <c r="T1242" s="1"/>
    </row>
    <row r="1243" spans="20:20" x14ac:dyDescent="0.25">
      <c r="T1243" s="1"/>
    </row>
    <row r="1244" spans="20:20" x14ac:dyDescent="0.25">
      <c r="T1244" s="1"/>
    </row>
    <row r="1245" spans="20:20" x14ac:dyDescent="0.25">
      <c r="T1245" s="1"/>
    </row>
    <row r="1246" spans="20:20" x14ac:dyDescent="0.25">
      <c r="T1246" s="1"/>
    </row>
    <row r="1247" spans="20:20" x14ac:dyDescent="0.25">
      <c r="T1247" s="1"/>
    </row>
    <row r="1248" spans="20:20" x14ac:dyDescent="0.25">
      <c r="T1248" s="1"/>
    </row>
    <row r="1249" spans="20:20" x14ac:dyDescent="0.25">
      <c r="T1249" s="1"/>
    </row>
    <row r="1250" spans="20:20" x14ac:dyDescent="0.25">
      <c r="T1250" s="1"/>
    </row>
    <row r="1251" spans="20:20" x14ac:dyDescent="0.25">
      <c r="T1251" s="1"/>
    </row>
    <row r="1252" spans="20:20" x14ac:dyDescent="0.25">
      <c r="T1252" s="1"/>
    </row>
    <row r="1253" spans="20:20" x14ac:dyDescent="0.25">
      <c r="T1253" s="1"/>
    </row>
    <row r="1254" spans="20:20" x14ac:dyDescent="0.25">
      <c r="T1254" s="1"/>
    </row>
    <row r="1255" spans="20:20" x14ac:dyDescent="0.25">
      <c r="T1255" s="1"/>
    </row>
    <row r="1256" spans="20:20" x14ac:dyDescent="0.25">
      <c r="T1256" s="1"/>
    </row>
    <row r="1257" spans="20:20" x14ac:dyDescent="0.25">
      <c r="T1257" s="1"/>
    </row>
    <row r="1258" spans="20:20" x14ac:dyDescent="0.25">
      <c r="T1258" s="1"/>
    </row>
    <row r="1259" spans="20:20" x14ac:dyDescent="0.25">
      <c r="T1259" s="1"/>
    </row>
    <row r="1260" spans="20:20" x14ac:dyDescent="0.25">
      <c r="T1260" s="1"/>
    </row>
    <row r="1261" spans="20:20" x14ac:dyDescent="0.25">
      <c r="T1261" s="1"/>
    </row>
    <row r="1262" spans="20:20" x14ac:dyDescent="0.25">
      <c r="T1262" s="1"/>
    </row>
    <row r="1263" spans="20:20" x14ac:dyDescent="0.25">
      <c r="T1263" s="1"/>
    </row>
    <row r="1264" spans="20:20" x14ac:dyDescent="0.25">
      <c r="T1264" s="1"/>
    </row>
    <row r="1265" spans="20:20" x14ac:dyDescent="0.25">
      <c r="T1265" s="1"/>
    </row>
    <row r="1266" spans="20:20" x14ac:dyDescent="0.25">
      <c r="T1266" s="1"/>
    </row>
    <row r="1267" spans="20:20" x14ac:dyDescent="0.25">
      <c r="T1267" s="1"/>
    </row>
    <row r="1268" spans="20:20" x14ac:dyDescent="0.25">
      <c r="T1268" s="1"/>
    </row>
    <row r="1269" spans="20:20" x14ac:dyDescent="0.25">
      <c r="T1269" s="1"/>
    </row>
    <row r="1270" spans="20:20" x14ac:dyDescent="0.25">
      <c r="T1270" s="1"/>
    </row>
    <row r="1271" spans="20:20" x14ac:dyDescent="0.25">
      <c r="T1271" s="1"/>
    </row>
    <row r="1272" spans="20:20" x14ac:dyDescent="0.25">
      <c r="T1272" s="1"/>
    </row>
    <row r="1273" spans="20:20" x14ac:dyDescent="0.25">
      <c r="T1273" s="1"/>
    </row>
    <row r="1274" spans="20:20" x14ac:dyDescent="0.25">
      <c r="T1274" s="1"/>
    </row>
    <row r="1275" spans="20:20" x14ac:dyDescent="0.25">
      <c r="T1275" s="1"/>
    </row>
    <row r="1276" spans="20:20" x14ac:dyDescent="0.25">
      <c r="T1276" s="1"/>
    </row>
    <row r="1277" spans="20:20" x14ac:dyDescent="0.25">
      <c r="T1277" s="1"/>
    </row>
    <row r="1278" spans="20:20" x14ac:dyDescent="0.25">
      <c r="T1278" s="1"/>
    </row>
    <row r="1279" spans="20:20" x14ac:dyDescent="0.25">
      <c r="T1279" s="1"/>
    </row>
    <row r="1280" spans="20:20" x14ac:dyDescent="0.25">
      <c r="T1280" s="1"/>
    </row>
    <row r="1281" spans="20:20" x14ac:dyDescent="0.25">
      <c r="T1281" s="1"/>
    </row>
    <row r="1282" spans="20:20" x14ac:dyDescent="0.25">
      <c r="T1282" s="1"/>
    </row>
    <row r="1283" spans="20:20" x14ac:dyDescent="0.25">
      <c r="T1283" s="1"/>
    </row>
    <row r="1284" spans="20:20" x14ac:dyDescent="0.25">
      <c r="T1284" s="1"/>
    </row>
    <row r="1285" spans="20:20" x14ac:dyDescent="0.25">
      <c r="T1285" s="1"/>
    </row>
    <row r="1286" spans="20:20" x14ac:dyDescent="0.25">
      <c r="T1286" s="1"/>
    </row>
    <row r="1287" spans="20:20" x14ac:dyDescent="0.25">
      <c r="T1287" s="1"/>
    </row>
    <row r="1288" spans="20:20" x14ac:dyDescent="0.25">
      <c r="T1288" s="1"/>
    </row>
    <row r="1289" spans="20:20" x14ac:dyDescent="0.25">
      <c r="T1289" s="1"/>
    </row>
    <row r="1290" spans="20:20" x14ac:dyDescent="0.25">
      <c r="T1290" s="1"/>
    </row>
    <row r="1291" spans="20:20" x14ac:dyDescent="0.25">
      <c r="T1291" s="1"/>
    </row>
    <row r="1292" spans="20:20" x14ac:dyDescent="0.25">
      <c r="T1292" s="1"/>
    </row>
    <row r="1293" spans="20:20" x14ac:dyDescent="0.25">
      <c r="T1293" s="1"/>
    </row>
    <row r="1294" spans="20:20" x14ac:dyDescent="0.25">
      <c r="T1294" s="1"/>
    </row>
    <row r="1295" spans="20:20" x14ac:dyDescent="0.25">
      <c r="T1295" s="1"/>
    </row>
    <row r="1296" spans="20:20" x14ac:dyDescent="0.25">
      <c r="T1296" s="1"/>
    </row>
    <row r="1297" spans="20:20" x14ac:dyDescent="0.25">
      <c r="T1297" s="1"/>
    </row>
    <row r="1298" spans="20:20" x14ac:dyDescent="0.25">
      <c r="T1298" s="1"/>
    </row>
    <row r="1299" spans="20:20" x14ac:dyDescent="0.25">
      <c r="T1299" s="1"/>
    </row>
    <row r="1300" spans="20:20" x14ac:dyDescent="0.25">
      <c r="T1300" s="1"/>
    </row>
    <row r="1301" spans="20:20" x14ac:dyDescent="0.25">
      <c r="T1301" s="1"/>
    </row>
    <row r="1302" spans="20:20" x14ac:dyDescent="0.25">
      <c r="T1302" s="1"/>
    </row>
    <row r="1303" spans="20:20" x14ac:dyDescent="0.25">
      <c r="T1303" s="1"/>
    </row>
    <row r="1304" spans="20:20" x14ac:dyDescent="0.25">
      <c r="T1304" s="1"/>
    </row>
    <row r="1305" spans="20:20" x14ac:dyDescent="0.25">
      <c r="T1305" s="1"/>
    </row>
    <row r="1306" spans="20:20" x14ac:dyDescent="0.25">
      <c r="T1306" s="1"/>
    </row>
    <row r="1307" spans="20:20" x14ac:dyDescent="0.25">
      <c r="T1307" s="1"/>
    </row>
    <row r="1308" spans="20:20" x14ac:dyDescent="0.25">
      <c r="T1308" s="1"/>
    </row>
    <row r="1309" spans="20:20" x14ac:dyDescent="0.25">
      <c r="T1309" s="1"/>
    </row>
    <row r="1310" spans="20:20" x14ac:dyDescent="0.25">
      <c r="T1310" s="1"/>
    </row>
    <row r="1311" spans="20:20" x14ac:dyDescent="0.25">
      <c r="T1311" s="1"/>
    </row>
    <row r="1312" spans="20:20" x14ac:dyDescent="0.25">
      <c r="T1312" s="1"/>
    </row>
    <row r="1313" spans="20:20" x14ac:dyDescent="0.25">
      <c r="T1313" s="1"/>
    </row>
    <row r="1314" spans="20:20" x14ac:dyDescent="0.25">
      <c r="T1314" s="1"/>
    </row>
    <row r="1315" spans="20:20" x14ac:dyDescent="0.25">
      <c r="T1315" s="1"/>
    </row>
    <row r="1316" spans="20:20" x14ac:dyDescent="0.25">
      <c r="T1316" s="1"/>
    </row>
    <row r="1317" spans="20:20" x14ac:dyDescent="0.25">
      <c r="T1317" s="1"/>
    </row>
    <row r="1318" spans="20:20" x14ac:dyDescent="0.25">
      <c r="T1318" s="1"/>
    </row>
    <row r="1319" spans="20:20" x14ac:dyDescent="0.25">
      <c r="T1319" s="1"/>
    </row>
    <row r="1320" spans="20:20" x14ac:dyDescent="0.25">
      <c r="T1320" s="1"/>
    </row>
    <row r="1321" spans="20:20" x14ac:dyDescent="0.25">
      <c r="T1321" s="1"/>
    </row>
    <row r="1322" spans="20:20" x14ac:dyDescent="0.25">
      <c r="T1322" s="1"/>
    </row>
    <row r="1323" spans="20:20" x14ac:dyDescent="0.25">
      <c r="T1323" s="1"/>
    </row>
    <row r="1324" spans="20:20" x14ac:dyDescent="0.25">
      <c r="T1324" s="1"/>
    </row>
    <row r="1325" spans="20:20" x14ac:dyDescent="0.25">
      <c r="T1325" s="1"/>
    </row>
    <row r="1326" spans="20:20" x14ac:dyDescent="0.25">
      <c r="T1326" s="1"/>
    </row>
    <row r="1327" spans="20:20" x14ac:dyDescent="0.25">
      <c r="T1327" s="1"/>
    </row>
    <row r="1328" spans="20:20" x14ac:dyDescent="0.25">
      <c r="T1328" s="1"/>
    </row>
    <row r="1329" spans="20:20" x14ac:dyDescent="0.25">
      <c r="T1329" s="1"/>
    </row>
    <row r="1330" spans="20:20" x14ac:dyDescent="0.25">
      <c r="T1330" s="1"/>
    </row>
    <row r="1331" spans="20:20" x14ac:dyDescent="0.25">
      <c r="T1331" s="1"/>
    </row>
    <row r="1332" spans="20:20" x14ac:dyDescent="0.25">
      <c r="T1332" s="1"/>
    </row>
    <row r="1333" spans="20:20" x14ac:dyDescent="0.25">
      <c r="T1333" s="1"/>
    </row>
    <row r="1334" spans="20:20" x14ac:dyDescent="0.25">
      <c r="T1334" s="1"/>
    </row>
    <row r="1335" spans="20:20" x14ac:dyDescent="0.25">
      <c r="T1335" s="1"/>
    </row>
    <row r="1336" spans="20:20" x14ac:dyDescent="0.25">
      <c r="T1336" s="1"/>
    </row>
    <row r="1337" spans="20:20" x14ac:dyDescent="0.25">
      <c r="T1337" s="1"/>
    </row>
    <row r="1338" spans="20:20" x14ac:dyDescent="0.25">
      <c r="T1338" s="1"/>
    </row>
    <row r="1339" spans="20:20" x14ac:dyDescent="0.25">
      <c r="T1339" s="1"/>
    </row>
    <row r="1340" spans="20:20" x14ac:dyDescent="0.25">
      <c r="T1340" s="1"/>
    </row>
    <row r="1341" spans="20:20" x14ac:dyDescent="0.25">
      <c r="T1341" s="1"/>
    </row>
    <row r="1342" spans="20:20" x14ac:dyDescent="0.25">
      <c r="T1342" s="1"/>
    </row>
    <row r="1343" spans="20:20" x14ac:dyDescent="0.25">
      <c r="T1343" s="1"/>
    </row>
    <row r="1344" spans="20:20" x14ac:dyDescent="0.25">
      <c r="T1344" s="1"/>
    </row>
    <row r="1345" spans="20:20" x14ac:dyDescent="0.25">
      <c r="T1345" s="1"/>
    </row>
    <row r="1346" spans="20:20" x14ac:dyDescent="0.25">
      <c r="T1346" s="1"/>
    </row>
    <row r="1347" spans="20:20" x14ac:dyDescent="0.25">
      <c r="T1347" s="1"/>
    </row>
    <row r="1348" spans="20:20" x14ac:dyDescent="0.25">
      <c r="T1348" s="1"/>
    </row>
    <row r="1349" spans="20:20" x14ac:dyDescent="0.25">
      <c r="T1349" s="1"/>
    </row>
    <row r="1350" spans="20:20" x14ac:dyDescent="0.25">
      <c r="T1350" s="1"/>
    </row>
    <row r="1351" spans="20:20" x14ac:dyDescent="0.25">
      <c r="T1351" s="1"/>
    </row>
    <row r="1352" spans="20:20" x14ac:dyDescent="0.25">
      <c r="T1352" s="1"/>
    </row>
    <row r="1353" spans="20:20" x14ac:dyDescent="0.25">
      <c r="T1353" s="1"/>
    </row>
    <row r="1354" spans="20:20" x14ac:dyDescent="0.25">
      <c r="T1354" s="1"/>
    </row>
    <row r="1355" spans="20:20" x14ac:dyDescent="0.25">
      <c r="T1355" s="1"/>
    </row>
    <row r="1356" spans="20:20" x14ac:dyDescent="0.25">
      <c r="T1356" s="1"/>
    </row>
    <row r="1357" spans="20:20" x14ac:dyDescent="0.25">
      <c r="T1357" s="1"/>
    </row>
    <row r="1358" spans="20:20" x14ac:dyDescent="0.25">
      <c r="T1358" s="1"/>
    </row>
    <row r="1359" spans="20:20" x14ac:dyDescent="0.25">
      <c r="T1359" s="1"/>
    </row>
    <row r="1360" spans="20:20" x14ac:dyDescent="0.25">
      <c r="T1360" s="1"/>
    </row>
    <row r="1361" spans="20:20" x14ac:dyDescent="0.25">
      <c r="T1361" s="1"/>
    </row>
    <row r="1362" spans="20:20" x14ac:dyDescent="0.25">
      <c r="T1362" s="1"/>
    </row>
    <row r="1363" spans="20:20" x14ac:dyDescent="0.25">
      <c r="T1363" s="1"/>
    </row>
    <row r="1364" spans="20:20" x14ac:dyDescent="0.25">
      <c r="T1364" s="1"/>
    </row>
    <row r="1365" spans="20:20" x14ac:dyDescent="0.25">
      <c r="T1365" s="1"/>
    </row>
    <row r="1366" spans="20:20" x14ac:dyDescent="0.25">
      <c r="T1366" s="1"/>
    </row>
    <row r="1367" spans="20:20" x14ac:dyDescent="0.25">
      <c r="T1367" s="1"/>
    </row>
    <row r="1368" spans="20:20" x14ac:dyDescent="0.25">
      <c r="T1368" s="1"/>
    </row>
    <row r="1369" spans="20:20" x14ac:dyDescent="0.25">
      <c r="T1369" s="1"/>
    </row>
    <row r="1370" spans="20:20" x14ac:dyDescent="0.25">
      <c r="T1370" s="1"/>
    </row>
    <row r="1371" spans="20:20" x14ac:dyDescent="0.25">
      <c r="T1371" s="1"/>
    </row>
    <row r="1372" spans="20:20" x14ac:dyDescent="0.25">
      <c r="T1372" s="1"/>
    </row>
    <row r="1373" spans="20:20" x14ac:dyDescent="0.25">
      <c r="T1373" s="1"/>
    </row>
    <row r="1374" spans="20:20" x14ac:dyDescent="0.25">
      <c r="T1374" s="1"/>
    </row>
    <row r="1375" spans="20:20" x14ac:dyDescent="0.25">
      <c r="T1375" s="1"/>
    </row>
    <row r="1376" spans="20:20" x14ac:dyDescent="0.25">
      <c r="T1376" s="1"/>
    </row>
    <row r="1377" spans="20:20" x14ac:dyDescent="0.25">
      <c r="T1377" s="1"/>
    </row>
    <row r="1378" spans="20:20" x14ac:dyDescent="0.25">
      <c r="T1378" s="1"/>
    </row>
    <row r="1379" spans="20:20" x14ac:dyDescent="0.25">
      <c r="T1379" s="1"/>
    </row>
    <row r="1380" spans="20:20" x14ac:dyDescent="0.25">
      <c r="T1380" s="1"/>
    </row>
    <row r="1381" spans="20:20" x14ac:dyDescent="0.25">
      <c r="T1381" s="1"/>
    </row>
    <row r="1382" spans="20:20" x14ac:dyDescent="0.25">
      <c r="T1382" s="1"/>
    </row>
    <row r="1383" spans="20:20" x14ac:dyDescent="0.25">
      <c r="T1383" s="1"/>
    </row>
    <row r="1384" spans="20:20" x14ac:dyDescent="0.25">
      <c r="T1384" s="1"/>
    </row>
    <row r="1385" spans="20:20" x14ac:dyDescent="0.25">
      <c r="T1385" s="1"/>
    </row>
    <row r="1386" spans="20:20" x14ac:dyDescent="0.25">
      <c r="T1386" s="1"/>
    </row>
    <row r="1387" spans="20:20" x14ac:dyDescent="0.25">
      <c r="T1387" s="1"/>
    </row>
    <row r="1388" spans="20:20" x14ac:dyDescent="0.25">
      <c r="T1388" s="1"/>
    </row>
    <row r="1389" spans="20:20" x14ac:dyDescent="0.25">
      <c r="T1389" s="1"/>
    </row>
    <row r="1390" spans="20:20" x14ac:dyDescent="0.25">
      <c r="T1390" s="1"/>
    </row>
    <row r="1391" spans="20:20" x14ac:dyDescent="0.25">
      <c r="T1391" s="1"/>
    </row>
    <row r="1392" spans="20:20" x14ac:dyDescent="0.25">
      <c r="T1392" s="1"/>
    </row>
    <row r="1393" spans="20:20" x14ac:dyDescent="0.25">
      <c r="T1393" s="1"/>
    </row>
    <row r="1394" spans="20:20" x14ac:dyDescent="0.25">
      <c r="T1394" s="1"/>
    </row>
    <row r="1395" spans="20:20" x14ac:dyDescent="0.25">
      <c r="T1395" s="1"/>
    </row>
    <row r="1396" spans="20:20" x14ac:dyDescent="0.25">
      <c r="T1396" s="1"/>
    </row>
    <row r="1397" spans="20:20" x14ac:dyDescent="0.25">
      <c r="T1397" s="1"/>
    </row>
    <row r="1398" spans="20:20" x14ac:dyDescent="0.25">
      <c r="T1398" s="1"/>
    </row>
    <row r="1399" spans="20:20" x14ac:dyDescent="0.25">
      <c r="T1399" s="1"/>
    </row>
    <row r="1400" spans="20:20" x14ac:dyDescent="0.25">
      <c r="T1400" s="1"/>
    </row>
    <row r="1401" spans="20:20" x14ac:dyDescent="0.25">
      <c r="T1401" s="1"/>
    </row>
    <row r="1402" spans="20:20" x14ac:dyDescent="0.25">
      <c r="T1402" s="1"/>
    </row>
    <row r="1403" spans="20:20" x14ac:dyDescent="0.25">
      <c r="T1403" s="1"/>
    </row>
    <row r="1404" spans="20:20" x14ac:dyDescent="0.25">
      <c r="T1404" s="1"/>
    </row>
    <row r="1405" spans="20:20" x14ac:dyDescent="0.25">
      <c r="T1405" s="1"/>
    </row>
    <row r="1406" spans="20:20" x14ac:dyDescent="0.25">
      <c r="T1406" s="1"/>
    </row>
    <row r="1407" spans="20:20" x14ac:dyDescent="0.25">
      <c r="T1407" s="1"/>
    </row>
    <row r="1408" spans="20:20" x14ac:dyDescent="0.25">
      <c r="T1408" s="1"/>
    </row>
    <row r="1409" spans="20:20" x14ac:dyDescent="0.25">
      <c r="T1409" s="1"/>
    </row>
    <row r="1410" spans="20:20" x14ac:dyDescent="0.25">
      <c r="T1410" s="1"/>
    </row>
    <row r="1411" spans="20:20" x14ac:dyDescent="0.25">
      <c r="T1411" s="1"/>
    </row>
    <row r="1412" spans="20:20" x14ac:dyDescent="0.25">
      <c r="T1412" s="1"/>
    </row>
    <row r="1413" spans="20:20" x14ac:dyDescent="0.25">
      <c r="T1413" s="1"/>
    </row>
    <row r="1414" spans="20:20" x14ac:dyDescent="0.25">
      <c r="T1414" s="1"/>
    </row>
    <row r="1415" spans="20:20" x14ac:dyDescent="0.25">
      <c r="T1415" s="1"/>
    </row>
    <row r="1416" spans="20:20" x14ac:dyDescent="0.25">
      <c r="T1416" s="1"/>
    </row>
    <row r="1417" spans="20:20" x14ac:dyDescent="0.25">
      <c r="T1417" s="1"/>
    </row>
    <row r="1418" spans="20:20" x14ac:dyDescent="0.25">
      <c r="T1418" s="1"/>
    </row>
    <row r="1419" spans="20:20" x14ac:dyDescent="0.25">
      <c r="T1419" s="1"/>
    </row>
    <row r="1420" spans="20:20" x14ac:dyDescent="0.25">
      <c r="T1420" s="1"/>
    </row>
    <row r="1421" spans="20:20" x14ac:dyDescent="0.25">
      <c r="T1421" s="1"/>
    </row>
    <row r="1422" spans="20:20" x14ac:dyDescent="0.25">
      <c r="T1422" s="1"/>
    </row>
    <row r="1423" spans="20:20" x14ac:dyDescent="0.25">
      <c r="T1423" s="1"/>
    </row>
    <row r="1424" spans="20:20" x14ac:dyDescent="0.25">
      <c r="T1424" s="1"/>
    </row>
    <row r="1425" spans="20:20" x14ac:dyDescent="0.25">
      <c r="T1425" s="1"/>
    </row>
    <row r="1426" spans="20:20" x14ac:dyDescent="0.25">
      <c r="T1426" s="1"/>
    </row>
    <row r="1427" spans="20:20" x14ac:dyDescent="0.25">
      <c r="T1427" s="1"/>
    </row>
    <row r="1428" spans="20:20" x14ac:dyDescent="0.25">
      <c r="T1428" s="1"/>
    </row>
    <row r="1429" spans="20:20" x14ac:dyDescent="0.25">
      <c r="T1429" s="1"/>
    </row>
    <row r="1430" spans="20:20" x14ac:dyDescent="0.25">
      <c r="T1430" s="1"/>
    </row>
    <row r="1431" spans="20:20" x14ac:dyDescent="0.25">
      <c r="T1431" s="1"/>
    </row>
    <row r="1432" spans="20:20" x14ac:dyDescent="0.25">
      <c r="T1432" s="1"/>
    </row>
    <row r="1433" spans="20:20" x14ac:dyDescent="0.25">
      <c r="T1433" s="1"/>
    </row>
    <row r="1434" spans="20:20" x14ac:dyDescent="0.25">
      <c r="T1434" s="1"/>
    </row>
    <row r="1435" spans="20:20" x14ac:dyDescent="0.25">
      <c r="T1435" s="1"/>
    </row>
    <row r="1436" spans="20:20" x14ac:dyDescent="0.25">
      <c r="T1436" s="1"/>
    </row>
    <row r="1437" spans="20:20" x14ac:dyDescent="0.25">
      <c r="T1437" s="1"/>
    </row>
    <row r="1438" spans="20:20" x14ac:dyDescent="0.25">
      <c r="T1438" s="1"/>
    </row>
    <row r="1439" spans="20:20" x14ac:dyDescent="0.25">
      <c r="T1439" s="1"/>
    </row>
    <row r="1440" spans="20:20" x14ac:dyDescent="0.25">
      <c r="T1440" s="1"/>
    </row>
    <row r="1441" spans="20:20" x14ac:dyDescent="0.25">
      <c r="T1441" s="1"/>
    </row>
    <row r="1442" spans="20:20" x14ac:dyDescent="0.25">
      <c r="T1442" s="1"/>
    </row>
    <row r="1443" spans="20:20" x14ac:dyDescent="0.25">
      <c r="T1443" s="1"/>
    </row>
    <row r="1444" spans="20:20" x14ac:dyDescent="0.25">
      <c r="T1444" s="1"/>
    </row>
    <row r="1445" spans="20:20" x14ac:dyDescent="0.25">
      <c r="T1445" s="1"/>
    </row>
    <row r="1446" spans="20:20" x14ac:dyDescent="0.25">
      <c r="T1446" s="1"/>
    </row>
    <row r="1447" spans="20:20" x14ac:dyDescent="0.25">
      <c r="T1447" s="1"/>
    </row>
    <row r="1448" spans="20:20" x14ac:dyDescent="0.25">
      <c r="T1448" s="1"/>
    </row>
    <row r="1449" spans="20:20" x14ac:dyDescent="0.25">
      <c r="T1449" s="1"/>
    </row>
    <row r="1450" spans="20:20" x14ac:dyDescent="0.25">
      <c r="T1450" s="1"/>
    </row>
    <row r="1451" spans="20:20" x14ac:dyDescent="0.25">
      <c r="T1451" s="1"/>
    </row>
    <row r="1452" spans="20:20" x14ac:dyDescent="0.25">
      <c r="T1452" s="1"/>
    </row>
    <row r="1453" spans="20:20" x14ac:dyDescent="0.25">
      <c r="T1453" s="1"/>
    </row>
    <row r="1454" spans="20:20" x14ac:dyDescent="0.25">
      <c r="T1454" s="1"/>
    </row>
    <row r="1455" spans="20:20" x14ac:dyDescent="0.25">
      <c r="T1455" s="1"/>
    </row>
    <row r="1456" spans="20:20" x14ac:dyDescent="0.25">
      <c r="T1456" s="1"/>
    </row>
    <row r="1457" spans="20:20" x14ac:dyDescent="0.25">
      <c r="T1457" s="1"/>
    </row>
    <row r="1458" spans="20:20" x14ac:dyDescent="0.25">
      <c r="T1458" s="1"/>
    </row>
    <row r="1459" spans="20:20" x14ac:dyDescent="0.25">
      <c r="T1459" s="1"/>
    </row>
    <row r="1460" spans="20:20" x14ac:dyDescent="0.25">
      <c r="T1460" s="1"/>
    </row>
    <row r="1461" spans="20:20" x14ac:dyDescent="0.25">
      <c r="T1461" s="1"/>
    </row>
    <row r="1462" spans="20:20" x14ac:dyDescent="0.25">
      <c r="T1462" s="1"/>
    </row>
    <row r="1463" spans="20:20" x14ac:dyDescent="0.25">
      <c r="T1463" s="1"/>
    </row>
    <row r="1464" spans="20:20" x14ac:dyDescent="0.25">
      <c r="T1464" s="1"/>
    </row>
    <row r="1465" spans="20:20" x14ac:dyDescent="0.25">
      <c r="T1465" s="1"/>
    </row>
    <row r="1466" spans="20:20" x14ac:dyDescent="0.25">
      <c r="T1466" s="1"/>
    </row>
    <row r="1467" spans="20:20" x14ac:dyDescent="0.25">
      <c r="T1467" s="1"/>
    </row>
    <row r="1468" spans="20:20" x14ac:dyDescent="0.25">
      <c r="T1468" s="1"/>
    </row>
    <row r="1469" spans="20:20" x14ac:dyDescent="0.25">
      <c r="T1469" s="1"/>
    </row>
    <row r="1470" spans="20:20" x14ac:dyDescent="0.25">
      <c r="T1470" s="1"/>
    </row>
    <row r="1471" spans="20:20" x14ac:dyDescent="0.25">
      <c r="T1471" s="1"/>
    </row>
    <row r="1472" spans="20:20" x14ac:dyDescent="0.25">
      <c r="T1472" s="1"/>
    </row>
    <row r="1473" spans="20:20" x14ac:dyDescent="0.25">
      <c r="T1473" s="1"/>
    </row>
    <row r="1474" spans="20:20" x14ac:dyDescent="0.25">
      <c r="T1474" s="1"/>
    </row>
    <row r="1475" spans="20:20" x14ac:dyDescent="0.25">
      <c r="T1475" s="1"/>
    </row>
    <row r="1476" spans="20:20" x14ac:dyDescent="0.25">
      <c r="T1476" s="1"/>
    </row>
    <row r="1477" spans="20:20" x14ac:dyDescent="0.25">
      <c r="T1477" s="1"/>
    </row>
    <row r="1478" spans="20:20" x14ac:dyDescent="0.25">
      <c r="T1478" s="1"/>
    </row>
    <row r="1479" spans="20:20" x14ac:dyDescent="0.25">
      <c r="T1479" s="1"/>
    </row>
    <row r="1480" spans="20:20" x14ac:dyDescent="0.25">
      <c r="T1480" s="1"/>
    </row>
    <row r="1481" spans="20:20" x14ac:dyDescent="0.25">
      <c r="T1481" s="1"/>
    </row>
    <row r="1482" spans="20:20" x14ac:dyDescent="0.25">
      <c r="T1482" s="1"/>
    </row>
    <row r="1483" spans="20:20" x14ac:dyDescent="0.25">
      <c r="T1483" s="1"/>
    </row>
    <row r="1484" spans="20:20" x14ac:dyDescent="0.25">
      <c r="T1484" s="1"/>
    </row>
    <row r="1485" spans="20:20" x14ac:dyDescent="0.25">
      <c r="T1485" s="1"/>
    </row>
    <row r="1486" spans="20:20" x14ac:dyDescent="0.25">
      <c r="T1486" s="1"/>
    </row>
    <row r="1487" spans="20:20" x14ac:dyDescent="0.25">
      <c r="T1487" s="1"/>
    </row>
    <row r="1488" spans="20:20" x14ac:dyDescent="0.25">
      <c r="T1488" s="1"/>
    </row>
    <row r="1489" spans="20:20" x14ac:dyDescent="0.25">
      <c r="T1489" s="1"/>
    </row>
    <row r="1490" spans="20:20" x14ac:dyDescent="0.25">
      <c r="T1490" s="1"/>
    </row>
    <row r="1491" spans="20:20" x14ac:dyDescent="0.25">
      <c r="T1491" s="1"/>
    </row>
    <row r="1492" spans="20:20" x14ac:dyDescent="0.25">
      <c r="T1492" s="1"/>
    </row>
    <row r="1493" spans="20:20" x14ac:dyDescent="0.25">
      <c r="T1493" s="1"/>
    </row>
    <row r="1494" spans="20:20" x14ac:dyDescent="0.25">
      <c r="T1494" s="1"/>
    </row>
    <row r="1495" spans="20:20" x14ac:dyDescent="0.25">
      <c r="T1495" s="1"/>
    </row>
    <row r="1496" spans="20:20" x14ac:dyDescent="0.25">
      <c r="T1496" s="1"/>
    </row>
    <row r="1497" spans="20:20" x14ac:dyDescent="0.25">
      <c r="T1497" s="1"/>
    </row>
    <row r="1498" spans="20:20" x14ac:dyDescent="0.25">
      <c r="T1498" s="1"/>
    </row>
    <row r="1499" spans="20:20" x14ac:dyDescent="0.25">
      <c r="T1499" s="1"/>
    </row>
    <row r="1500" spans="20:20" x14ac:dyDescent="0.25">
      <c r="T1500" s="1"/>
    </row>
    <row r="1501" spans="20:20" x14ac:dyDescent="0.25">
      <c r="T1501" s="1"/>
    </row>
    <row r="1502" spans="20:20" x14ac:dyDescent="0.25">
      <c r="T1502" s="1"/>
    </row>
    <row r="1503" spans="20:20" x14ac:dyDescent="0.25">
      <c r="T1503" s="1"/>
    </row>
    <row r="1504" spans="20:20" x14ac:dyDescent="0.25">
      <c r="T1504" s="1"/>
    </row>
    <row r="1505" spans="20:20" x14ac:dyDescent="0.25">
      <c r="T1505" s="1"/>
    </row>
    <row r="1506" spans="20:20" x14ac:dyDescent="0.25">
      <c r="T1506" s="1"/>
    </row>
    <row r="1507" spans="20:20" x14ac:dyDescent="0.25">
      <c r="T1507" s="1"/>
    </row>
    <row r="1508" spans="20:20" x14ac:dyDescent="0.25">
      <c r="T1508" s="1"/>
    </row>
    <row r="1509" spans="20:20" x14ac:dyDescent="0.25">
      <c r="T1509" s="1"/>
    </row>
    <row r="1510" spans="20:20" x14ac:dyDescent="0.25">
      <c r="T1510" s="1"/>
    </row>
    <row r="1511" spans="20:20" x14ac:dyDescent="0.25">
      <c r="T1511" s="1"/>
    </row>
    <row r="1512" spans="20:20" x14ac:dyDescent="0.25">
      <c r="T1512" s="1"/>
    </row>
    <row r="1513" spans="20:20" x14ac:dyDescent="0.25">
      <c r="T1513" s="1"/>
    </row>
    <row r="1514" spans="20:20" x14ac:dyDescent="0.25">
      <c r="T1514" s="1"/>
    </row>
    <row r="1515" spans="20:20" x14ac:dyDescent="0.25">
      <c r="T1515" s="1"/>
    </row>
    <row r="1516" spans="20:20" x14ac:dyDescent="0.25">
      <c r="T1516" s="1"/>
    </row>
    <row r="1517" spans="20:20" x14ac:dyDescent="0.25">
      <c r="T1517" s="1"/>
    </row>
    <row r="1518" spans="20:20" x14ac:dyDescent="0.25">
      <c r="T1518" s="1"/>
    </row>
    <row r="1519" spans="20:20" x14ac:dyDescent="0.25">
      <c r="T1519" s="1"/>
    </row>
    <row r="1520" spans="20:20" x14ac:dyDescent="0.25">
      <c r="T1520" s="1"/>
    </row>
    <row r="1521" spans="20:20" x14ac:dyDescent="0.25">
      <c r="T1521" s="1"/>
    </row>
    <row r="1522" spans="20:20" x14ac:dyDescent="0.25">
      <c r="T1522" s="1"/>
    </row>
    <row r="1523" spans="20:20" x14ac:dyDescent="0.25">
      <c r="T1523" s="1"/>
    </row>
    <row r="1524" spans="20:20" x14ac:dyDescent="0.25">
      <c r="T1524" s="1"/>
    </row>
    <row r="1525" spans="20:20" x14ac:dyDescent="0.25">
      <c r="T1525" s="1"/>
    </row>
    <row r="1526" spans="20:20" x14ac:dyDescent="0.25">
      <c r="T1526" s="1"/>
    </row>
    <row r="1527" spans="20:20" x14ac:dyDescent="0.25">
      <c r="T1527" s="1"/>
    </row>
    <row r="1528" spans="20:20" x14ac:dyDescent="0.25">
      <c r="T1528" s="1"/>
    </row>
    <row r="1529" spans="20:20" x14ac:dyDescent="0.25">
      <c r="T1529" s="1"/>
    </row>
    <row r="1530" spans="20:20" x14ac:dyDescent="0.25">
      <c r="T1530" s="1"/>
    </row>
    <row r="1531" spans="20:20" x14ac:dyDescent="0.25">
      <c r="T1531" s="1"/>
    </row>
    <row r="1532" spans="20:20" x14ac:dyDescent="0.25">
      <c r="T1532" s="1"/>
    </row>
    <row r="1533" spans="20:20" x14ac:dyDescent="0.25">
      <c r="T1533" s="1"/>
    </row>
    <row r="1534" spans="20:20" x14ac:dyDescent="0.25">
      <c r="T1534" s="1"/>
    </row>
    <row r="1535" spans="20:20" x14ac:dyDescent="0.25">
      <c r="T1535" s="1"/>
    </row>
    <row r="1536" spans="20:20" x14ac:dyDescent="0.25">
      <c r="T1536" s="1"/>
    </row>
    <row r="1537" spans="20:20" x14ac:dyDescent="0.25">
      <c r="T1537" s="1"/>
    </row>
    <row r="1538" spans="20:20" x14ac:dyDescent="0.25">
      <c r="T1538" s="1"/>
    </row>
    <row r="1539" spans="20:20" x14ac:dyDescent="0.25">
      <c r="T1539" s="1"/>
    </row>
    <row r="1540" spans="20:20" x14ac:dyDescent="0.25">
      <c r="T1540" s="1"/>
    </row>
    <row r="1541" spans="20:20" x14ac:dyDescent="0.25">
      <c r="T1541" s="1"/>
    </row>
    <row r="1542" spans="20:20" x14ac:dyDescent="0.25">
      <c r="T1542" s="1"/>
    </row>
    <row r="1543" spans="20:20" x14ac:dyDescent="0.25">
      <c r="T1543" s="1"/>
    </row>
    <row r="1544" spans="20:20" x14ac:dyDescent="0.25">
      <c r="T1544" s="1"/>
    </row>
    <row r="1545" spans="20:20" x14ac:dyDescent="0.25">
      <c r="T1545" s="1"/>
    </row>
    <row r="1546" spans="20:20" x14ac:dyDescent="0.25">
      <c r="T1546" s="1"/>
    </row>
    <row r="1547" spans="20:20" x14ac:dyDescent="0.25">
      <c r="T1547" s="1"/>
    </row>
    <row r="1548" spans="20:20" x14ac:dyDescent="0.25">
      <c r="T1548" s="1"/>
    </row>
    <row r="1549" spans="20:20" x14ac:dyDescent="0.25">
      <c r="T1549" s="1"/>
    </row>
    <row r="1550" spans="20:20" x14ac:dyDescent="0.25">
      <c r="T1550" s="1"/>
    </row>
    <row r="1551" spans="20:20" x14ac:dyDescent="0.25">
      <c r="T1551" s="1"/>
    </row>
    <row r="1552" spans="20:20" x14ac:dyDescent="0.25">
      <c r="T1552" s="1"/>
    </row>
    <row r="1553" spans="20:20" x14ac:dyDescent="0.25">
      <c r="T1553" s="1"/>
    </row>
    <row r="1554" spans="20:20" x14ac:dyDescent="0.25">
      <c r="T1554" s="1"/>
    </row>
    <row r="1555" spans="20:20" x14ac:dyDescent="0.25">
      <c r="T1555" s="1"/>
    </row>
    <row r="1556" spans="20:20" x14ac:dyDescent="0.25">
      <c r="T1556" s="1"/>
    </row>
    <row r="1557" spans="20:20" x14ac:dyDescent="0.25">
      <c r="T1557" s="1"/>
    </row>
    <row r="1558" spans="20:20" x14ac:dyDescent="0.25">
      <c r="T1558" s="1"/>
    </row>
    <row r="1559" spans="20:20" x14ac:dyDescent="0.25">
      <c r="T1559" s="1"/>
    </row>
    <row r="1560" spans="20:20" x14ac:dyDescent="0.25">
      <c r="T1560" s="1"/>
    </row>
    <row r="1561" spans="20:20" x14ac:dyDescent="0.25">
      <c r="T1561" s="1"/>
    </row>
    <row r="1562" spans="20:20" x14ac:dyDescent="0.25">
      <c r="T1562" s="1"/>
    </row>
    <row r="1563" spans="20:20" x14ac:dyDescent="0.25">
      <c r="T1563" s="1"/>
    </row>
    <row r="1564" spans="20:20" x14ac:dyDescent="0.25">
      <c r="T1564" s="1"/>
    </row>
    <row r="1565" spans="20:20" x14ac:dyDescent="0.25">
      <c r="T1565" s="1"/>
    </row>
    <row r="1566" spans="20:20" x14ac:dyDescent="0.25">
      <c r="T1566" s="1"/>
    </row>
    <row r="1567" spans="20:20" x14ac:dyDescent="0.25">
      <c r="T1567" s="1"/>
    </row>
    <row r="1568" spans="20:20" x14ac:dyDescent="0.25">
      <c r="T1568" s="1"/>
    </row>
    <row r="1569" spans="20:20" x14ac:dyDescent="0.25">
      <c r="T1569" s="1"/>
    </row>
    <row r="1570" spans="20:20" x14ac:dyDescent="0.25">
      <c r="T1570" s="1"/>
    </row>
    <row r="1571" spans="20:20" x14ac:dyDescent="0.25">
      <c r="T1571" s="1"/>
    </row>
    <row r="1572" spans="20:20" x14ac:dyDescent="0.25">
      <c r="T1572" s="1"/>
    </row>
    <row r="1573" spans="20:20" x14ac:dyDescent="0.25">
      <c r="T1573" s="1"/>
    </row>
    <row r="1574" spans="20:20" x14ac:dyDescent="0.25">
      <c r="T1574" s="1"/>
    </row>
    <row r="1575" spans="20:20" x14ac:dyDescent="0.25">
      <c r="T1575" s="1"/>
    </row>
    <row r="1576" spans="20:20" x14ac:dyDescent="0.25">
      <c r="T1576" s="1"/>
    </row>
    <row r="1577" spans="20:20" x14ac:dyDescent="0.25">
      <c r="T1577" s="1"/>
    </row>
    <row r="1578" spans="20:20" x14ac:dyDescent="0.25">
      <c r="T1578" s="1"/>
    </row>
    <row r="1579" spans="20:20" x14ac:dyDescent="0.25">
      <c r="T1579" s="1"/>
    </row>
    <row r="1580" spans="20:20" x14ac:dyDescent="0.25">
      <c r="T1580" s="1"/>
    </row>
    <row r="1581" spans="20:20" x14ac:dyDescent="0.25">
      <c r="T1581" s="1"/>
    </row>
    <row r="1582" spans="20:20" x14ac:dyDescent="0.25">
      <c r="T1582" s="1"/>
    </row>
    <row r="1583" spans="20:20" x14ac:dyDescent="0.25">
      <c r="T1583" s="1"/>
    </row>
    <row r="1584" spans="20:20" x14ac:dyDescent="0.25">
      <c r="T1584" s="1"/>
    </row>
    <row r="1585" spans="20:20" x14ac:dyDescent="0.25">
      <c r="T1585" s="1"/>
    </row>
    <row r="1586" spans="20:20" x14ac:dyDescent="0.25">
      <c r="T1586" s="1"/>
    </row>
    <row r="1587" spans="20:20" x14ac:dyDescent="0.25">
      <c r="T1587" s="1"/>
    </row>
    <row r="1588" spans="20:20" x14ac:dyDescent="0.25">
      <c r="T1588" s="1"/>
    </row>
    <row r="1589" spans="20:20" x14ac:dyDescent="0.25">
      <c r="T1589" s="1"/>
    </row>
    <row r="1590" spans="20:20" x14ac:dyDescent="0.25">
      <c r="T1590" s="1"/>
    </row>
    <row r="1591" spans="20:20" x14ac:dyDescent="0.25">
      <c r="T1591" s="1"/>
    </row>
    <row r="1592" spans="20:20" x14ac:dyDescent="0.25">
      <c r="T1592" s="1"/>
    </row>
    <row r="1593" spans="20:20" x14ac:dyDescent="0.25">
      <c r="T1593" s="1"/>
    </row>
    <row r="1594" spans="20:20" x14ac:dyDescent="0.25">
      <c r="T1594" s="1"/>
    </row>
    <row r="1595" spans="20:20" x14ac:dyDescent="0.25">
      <c r="T1595" s="1"/>
    </row>
    <row r="1596" spans="20:20" x14ac:dyDescent="0.25">
      <c r="T1596" s="1"/>
    </row>
    <row r="1597" spans="20:20" x14ac:dyDescent="0.25">
      <c r="T1597" s="1"/>
    </row>
    <row r="1598" spans="20:20" x14ac:dyDescent="0.25">
      <c r="T1598" s="1"/>
    </row>
    <row r="1599" spans="20:20" x14ac:dyDescent="0.25">
      <c r="T1599" s="1"/>
    </row>
    <row r="1600" spans="20:20" x14ac:dyDescent="0.25">
      <c r="T1600" s="1"/>
    </row>
    <row r="1601" spans="20:20" x14ac:dyDescent="0.25">
      <c r="T1601" s="1"/>
    </row>
    <row r="1602" spans="20:20" x14ac:dyDescent="0.25">
      <c r="T1602" s="1"/>
    </row>
    <row r="1603" spans="20:20" x14ac:dyDescent="0.25">
      <c r="T1603" s="1"/>
    </row>
    <row r="1604" spans="20:20" x14ac:dyDescent="0.25">
      <c r="T1604" s="1"/>
    </row>
    <row r="1605" spans="20:20" x14ac:dyDescent="0.25">
      <c r="T1605" s="1"/>
    </row>
    <row r="1606" spans="20:20" x14ac:dyDescent="0.25">
      <c r="T1606" s="1"/>
    </row>
    <row r="1607" spans="20:20" x14ac:dyDescent="0.25">
      <c r="T1607" s="1"/>
    </row>
    <row r="1608" spans="20:20" x14ac:dyDescent="0.25">
      <c r="T1608" s="1"/>
    </row>
    <row r="1609" spans="20:20" x14ac:dyDescent="0.25">
      <c r="T1609" s="1"/>
    </row>
    <row r="1610" spans="20:20" x14ac:dyDescent="0.25">
      <c r="T1610" s="1"/>
    </row>
    <row r="1611" spans="20:20" x14ac:dyDescent="0.25">
      <c r="T1611" s="1"/>
    </row>
    <row r="1612" spans="20:20" x14ac:dyDescent="0.25">
      <c r="T1612" s="1"/>
    </row>
    <row r="1613" spans="20:20" x14ac:dyDescent="0.25">
      <c r="T1613" s="1"/>
    </row>
    <row r="1614" spans="20:20" x14ac:dyDescent="0.25">
      <c r="T1614" s="1"/>
    </row>
    <row r="1615" spans="20:20" x14ac:dyDescent="0.25">
      <c r="T1615" s="1"/>
    </row>
    <row r="1616" spans="20:20" x14ac:dyDescent="0.25">
      <c r="T1616" s="1"/>
    </row>
    <row r="1617" spans="20:20" x14ac:dyDescent="0.25">
      <c r="T1617" s="1"/>
    </row>
    <row r="1618" spans="20:20" x14ac:dyDescent="0.25">
      <c r="T1618" s="1"/>
    </row>
    <row r="1619" spans="20:20" x14ac:dyDescent="0.25">
      <c r="T1619" s="1"/>
    </row>
    <row r="1620" spans="20:20" x14ac:dyDescent="0.25">
      <c r="T1620" s="1"/>
    </row>
    <row r="1621" spans="20:20" x14ac:dyDescent="0.25">
      <c r="T1621" s="1"/>
    </row>
    <row r="1622" spans="20:20" x14ac:dyDescent="0.25">
      <c r="T1622" s="1"/>
    </row>
    <row r="1623" spans="20:20" x14ac:dyDescent="0.25">
      <c r="T1623" s="1"/>
    </row>
    <row r="1624" spans="20:20" x14ac:dyDescent="0.25">
      <c r="T1624" s="1"/>
    </row>
    <row r="1625" spans="20:20" x14ac:dyDescent="0.25">
      <c r="T1625" s="1"/>
    </row>
    <row r="1626" spans="20:20" x14ac:dyDescent="0.25">
      <c r="T1626" s="1"/>
    </row>
    <row r="1627" spans="20:20" x14ac:dyDescent="0.25">
      <c r="T1627" s="1"/>
    </row>
    <row r="1628" spans="20:20" x14ac:dyDescent="0.25">
      <c r="T1628" s="1"/>
    </row>
    <row r="1629" spans="20:20" x14ac:dyDescent="0.25">
      <c r="T1629" s="1"/>
    </row>
    <row r="1630" spans="20:20" x14ac:dyDescent="0.25">
      <c r="T1630" s="1"/>
    </row>
    <row r="1631" spans="20:20" x14ac:dyDescent="0.25">
      <c r="T1631" s="1"/>
    </row>
    <row r="1632" spans="20:20" x14ac:dyDescent="0.25">
      <c r="T1632" s="1"/>
    </row>
    <row r="1633" spans="20:20" x14ac:dyDescent="0.25">
      <c r="T1633" s="1"/>
    </row>
    <row r="1634" spans="20:20" x14ac:dyDescent="0.25">
      <c r="T1634" s="1"/>
    </row>
    <row r="1635" spans="20:20" x14ac:dyDescent="0.25">
      <c r="T1635" s="1"/>
    </row>
    <row r="1636" spans="20:20" x14ac:dyDescent="0.25">
      <c r="T1636" s="1"/>
    </row>
    <row r="1637" spans="20:20" x14ac:dyDescent="0.25">
      <c r="T1637" s="1"/>
    </row>
    <row r="1638" spans="20:20" x14ac:dyDescent="0.25">
      <c r="T1638" s="1"/>
    </row>
    <row r="1639" spans="20:20" x14ac:dyDescent="0.25">
      <c r="T1639" s="1"/>
    </row>
    <row r="1640" spans="20:20" x14ac:dyDescent="0.25">
      <c r="T1640" s="1"/>
    </row>
    <row r="1641" spans="20:20" x14ac:dyDescent="0.25">
      <c r="T1641" s="1"/>
    </row>
    <row r="1642" spans="20:20" x14ac:dyDescent="0.25">
      <c r="T1642" s="1"/>
    </row>
    <row r="1643" spans="20:20" x14ac:dyDescent="0.25">
      <c r="T1643" s="1"/>
    </row>
    <row r="1644" spans="20:20" x14ac:dyDescent="0.25">
      <c r="T1644" s="1"/>
    </row>
    <row r="1645" spans="20:20" x14ac:dyDescent="0.25">
      <c r="T1645" s="1"/>
    </row>
    <row r="1646" spans="20:20" x14ac:dyDescent="0.25">
      <c r="T1646" s="1"/>
    </row>
    <row r="1647" spans="20:20" x14ac:dyDescent="0.25">
      <c r="T1647" s="1"/>
    </row>
    <row r="1648" spans="20:20" x14ac:dyDescent="0.25">
      <c r="T1648" s="1"/>
    </row>
    <row r="1649" spans="20:20" x14ac:dyDescent="0.25">
      <c r="T1649" s="1"/>
    </row>
    <row r="1650" spans="20:20" x14ac:dyDescent="0.25">
      <c r="T1650" s="1"/>
    </row>
    <row r="1651" spans="20:20" x14ac:dyDescent="0.25">
      <c r="T1651" s="1"/>
    </row>
    <row r="1652" spans="20:20" x14ac:dyDescent="0.25">
      <c r="T1652" s="1"/>
    </row>
    <row r="1653" spans="20:20" x14ac:dyDescent="0.25">
      <c r="T1653" s="1"/>
    </row>
    <row r="1654" spans="20:20" x14ac:dyDescent="0.25">
      <c r="T1654" s="1"/>
    </row>
    <row r="1655" spans="20:20" x14ac:dyDescent="0.25">
      <c r="T1655" s="1"/>
    </row>
    <row r="1656" spans="20:20" x14ac:dyDescent="0.25">
      <c r="T1656" s="1"/>
    </row>
    <row r="1657" spans="20:20" x14ac:dyDescent="0.25">
      <c r="T1657" s="1"/>
    </row>
    <row r="1658" spans="20:20" x14ac:dyDescent="0.25">
      <c r="T1658" s="1"/>
    </row>
    <row r="1659" spans="20:20" x14ac:dyDescent="0.25">
      <c r="T1659" s="1"/>
    </row>
    <row r="1660" spans="20:20" x14ac:dyDescent="0.25">
      <c r="T1660" s="1"/>
    </row>
    <row r="1661" spans="20:20" x14ac:dyDescent="0.25">
      <c r="T1661" s="1"/>
    </row>
    <row r="1662" spans="20:20" x14ac:dyDescent="0.25">
      <c r="T1662" s="1"/>
    </row>
    <row r="1663" spans="20:20" x14ac:dyDescent="0.25">
      <c r="T1663" s="1"/>
    </row>
    <row r="1664" spans="20:20" x14ac:dyDescent="0.25">
      <c r="T1664" s="1"/>
    </row>
    <row r="1665" spans="20:20" x14ac:dyDescent="0.25">
      <c r="T1665" s="1"/>
    </row>
    <row r="1666" spans="20:20" x14ac:dyDescent="0.25">
      <c r="T1666" s="1"/>
    </row>
    <row r="1667" spans="20:20" x14ac:dyDescent="0.25">
      <c r="T1667" s="1"/>
    </row>
    <row r="1668" spans="20:20" x14ac:dyDescent="0.25">
      <c r="T1668" s="1"/>
    </row>
    <row r="1669" spans="20:20" x14ac:dyDescent="0.25">
      <c r="T1669" s="1"/>
    </row>
    <row r="1670" spans="20:20" x14ac:dyDescent="0.25">
      <c r="T1670" s="1"/>
    </row>
    <row r="1671" spans="20:20" x14ac:dyDescent="0.25">
      <c r="T1671" s="1"/>
    </row>
    <row r="1672" spans="20:20" x14ac:dyDescent="0.25">
      <c r="T1672" s="1"/>
    </row>
    <row r="1673" spans="20:20" x14ac:dyDescent="0.25">
      <c r="T1673" s="1"/>
    </row>
    <row r="1674" spans="20:20" x14ac:dyDescent="0.25">
      <c r="T1674" s="1"/>
    </row>
    <row r="1675" spans="20:20" x14ac:dyDescent="0.25">
      <c r="T1675" s="1"/>
    </row>
    <row r="1676" spans="20:20" x14ac:dyDescent="0.25">
      <c r="T1676" s="1"/>
    </row>
    <row r="1677" spans="20:20" x14ac:dyDescent="0.25">
      <c r="T1677" s="1"/>
    </row>
    <row r="1678" spans="20:20" x14ac:dyDescent="0.25">
      <c r="T1678" s="1"/>
    </row>
    <row r="1679" spans="20:20" x14ac:dyDescent="0.25">
      <c r="T1679" s="1"/>
    </row>
    <row r="1680" spans="20:20" x14ac:dyDescent="0.25">
      <c r="T1680" s="1"/>
    </row>
    <row r="1681" spans="20:20" x14ac:dyDescent="0.25">
      <c r="T1681" s="1"/>
    </row>
    <row r="1682" spans="20:20" x14ac:dyDescent="0.25">
      <c r="T1682" s="1"/>
    </row>
    <row r="1683" spans="20:20" x14ac:dyDescent="0.25">
      <c r="T1683" s="1"/>
    </row>
    <row r="1684" spans="20:20" x14ac:dyDescent="0.25">
      <c r="T1684" s="1"/>
    </row>
    <row r="1685" spans="20:20" x14ac:dyDescent="0.25">
      <c r="T1685" s="1"/>
    </row>
    <row r="1686" spans="20:20" x14ac:dyDescent="0.25">
      <c r="T1686" s="1"/>
    </row>
    <row r="1687" spans="20:20" x14ac:dyDescent="0.25">
      <c r="T1687" s="1"/>
    </row>
    <row r="1688" spans="20:20" x14ac:dyDescent="0.25">
      <c r="T1688" s="1"/>
    </row>
    <row r="1689" spans="20:20" x14ac:dyDescent="0.25">
      <c r="T1689" s="1"/>
    </row>
    <row r="1690" spans="20:20" x14ac:dyDescent="0.25">
      <c r="T1690" s="1"/>
    </row>
    <row r="1691" spans="20:20" x14ac:dyDescent="0.25">
      <c r="T1691" s="1"/>
    </row>
    <row r="1692" spans="20:20" x14ac:dyDescent="0.25">
      <c r="T1692" s="1"/>
    </row>
    <row r="1693" spans="20:20" x14ac:dyDescent="0.25">
      <c r="T1693" s="1"/>
    </row>
    <row r="1694" spans="20:20" x14ac:dyDescent="0.25">
      <c r="T1694" s="1"/>
    </row>
    <row r="1695" spans="20:20" x14ac:dyDescent="0.25">
      <c r="T1695" s="1"/>
    </row>
    <row r="1696" spans="20:20" x14ac:dyDescent="0.25">
      <c r="T1696" s="1"/>
    </row>
    <row r="1697" spans="20:20" x14ac:dyDescent="0.25">
      <c r="T1697" s="1"/>
    </row>
    <row r="1698" spans="20:20" x14ac:dyDescent="0.25">
      <c r="T1698" s="1"/>
    </row>
    <row r="1699" spans="20:20" x14ac:dyDescent="0.25">
      <c r="T1699" s="1"/>
    </row>
    <row r="1700" spans="20:20" x14ac:dyDescent="0.25">
      <c r="T1700" s="1"/>
    </row>
    <row r="1701" spans="20:20" x14ac:dyDescent="0.25">
      <c r="T1701" s="1"/>
    </row>
    <row r="1702" spans="20:20" x14ac:dyDescent="0.25">
      <c r="T1702" s="1"/>
    </row>
    <row r="1703" spans="20:20" x14ac:dyDescent="0.25">
      <c r="T1703" s="1"/>
    </row>
    <row r="1704" spans="20:20" x14ac:dyDescent="0.25">
      <c r="T1704" s="1"/>
    </row>
    <row r="1705" spans="20:20" x14ac:dyDescent="0.25">
      <c r="T1705" s="1"/>
    </row>
    <row r="1706" spans="20:20" x14ac:dyDescent="0.25">
      <c r="T1706" s="1"/>
    </row>
    <row r="1707" spans="20:20" x14ac:dyDescent="0.25">
      <c r="T1707" s="1"/>
    </row>
    <row r="1708" spans="20:20" x14ac:dyDescent="0.25">
      <c r="T1708" s="1"/>
    </row>
    <row r="1709" spans="20:20" x14ac:dyDescent="0.25">
      <c r="T1709" s="1"/>
    </row>
    <row r="1710" spans="20:20" x14ac:dyDescent="0.25">
      <c r="T1710" s="1"/>
    </row>
    <row r="1711" spans="20:20" x14ac:dyDescent="0.25">
      <c r="T1711" s="1"/>
    </row>
    <row r="1712" spans="20:20" x14ac:dyDescent="0.25">
      <c r="T1712" s="1"/>
    </row>
    <row r="1713" spans="20:20" x14ac:dyDescent="0.25">
      <c r="T1713" s="1"/>
    </row>
    <row r="1714" spans="20:20" x14ac:dyDescent="0.25">
      <c r="T1714" s="1"/>
    </row>
    <row r="1715" spans="20:20" x14ac:dyDescent="0.25">
      <c r="T1715" s="1"/>
    </row>
    <row r="1716" spans="20:20" x14ac:dyDescent="0.25">
      <c r="T1716" s="1"/>
    </row>
    <row r="1717" spans="20:20" x14ac:dyDescent="0.25">
      <c r="T1717" s="1"/>
    </row>
    <row r="1718" spans="20:20" x14ac:dyDescent="0.25">
      <c r="T1718" s="1"/>
    </row>
    <row r="1719" spans="20:20" x14ac:dyDescent="0.25">
      <c r="T1719" s="1"/>
    </row>
    <row r="1720" spans="20:20" x14ac:dyDescent="0.25">
      <c r="T1720" s="1"/>
    </row>
    <row r="1721" spans="20:20" x14ac:dyDescent="0.25">
      <c r="T1721" s="1"/>
    </row>
    <row r="1722" spans="20:20" x14ac:dyDescent="0.25">
      <c r="T1722" s="1"/>
    </row>
    <row r="1723" spans="20:20" x14ac:dyDescent="0.25">
      <c r="T1723" s="1"/>
    </row>
    <row r="1724" spans="20:20" x14ac:dyDescent="0.25">
      <c r="T1724" s="1"/>
    </row>
    <row r="1725" spans="20:20" x14ac:dyDescent="0.25">
      <c r="T1725" s="1"/>
    </row>
    <row r="1726" spans="20:20" x14ac:dyDescent="0.25">
      <c r="T1726" s="1"/>
    </row>
    <row r="1727" spans="20:20" x14ac:dyDescent="0.25">
      <c r="T1727" s="1"/>
    </row>
    <row r="1728" spans="20:20" x14ac:dyDescent="0.25">
      <c r="T1728" s="1"/>
    </row>
    <row r="1729" spans="20:20" x14ac:dyDescent="0.25">
      <c r="T1729" s="1"/>
    </row>
    <row r="1730" spans="20:20" x14ac:dyDescent="0.25">
      <c r="T1730" s="1"/>
    </row>
    <row r="1731" spans="20:20" x14ac:dyDescent="0.25">
      <c r="T1731" s="1"/>
    </row>
    <row r="1732" spans="20:20" x14ac:dyDescent="0.25">
      <c r="T1732" s="1"/>
    </row>
    <row r="1733" spans="20:20" x14ac:dyDescent="0.25">
      <c r="T1733" s="1"/>
    </row>
    <row r="1734" spans="20:20" x14ac:dyDescent="0.25">
      <c r="T1734" s="1"/>
    </row>
    <row r="1735" spans="20:20" x14ac:dyDescent="0.25">
      <c r="T1735" s="1"/>
    </row>
    <row r="1736" spans="20:20" x14ac:dyDescent="0.25">
      <c r="T1736" s="1"/>
    </row>
    <row r="1737" spans="20:20" x14ac:dyDescent="0.25">
      <c r="T1737" s="1"/>
    </row>
    <row r="1738" spans="20:20" x14ac:dyDescent="0.25">
      <c r="T1738" s="1"/>
    </row>
    <row r="1739" spans="20:20" x14ac:dyDescent="0.25">
      <c r="T1739" s="1"/>
    </row>
    <row r="1740" spans="20:20" x14ac:dyDescent="0.25">
      <c r="T1740" s="1"/>
    </row>
    <row r="1741" spans="20:20" x14ac:dyDescent="0.25">
      <c r="T1741" s="1"/>
    </row>
    <row r="1742" spans="20:20" x14ac:dyDescent="0.25">
      <c r="T1742" s="1"/>
    </row>
    <row r="1743" spans="20:20" x14ac:dyDescent="0.25">
      <c r="T1743" s="1"/>
    </row>
    <row r="1744" spans="20:20" x14ac:dyDescent="0.25">
      <c r="T1744" s="1"/>
    </row>
    <row r="1745" spans="20:20" x14ac:dyDescent="0.25">
      <c r="T1745" s="1"/>
    </row>
    <row r="1746" spans="20:20" x14ac:dyDescent="0.25">
      <c r="T1746" s="1"/>
    </row>
    <row r="1747" spans="20:20" x14ac:dyDescent="0.25">
      <c r="T1747" s="1"/>
    </row>
    <row r="1748" spans="20:20" x14ac:dyDescent="0.25">
      <c r="T1748" s="1"/>
    </row>
    <row r="1749" spans="20:20" x14ac:dyDescent="0.25">
      <c r="T1749" s="1"/>
    </row>
    <row r="1750" spans="20:20" x14ac:dyDescent="0.25">
      <c r="T1750" s="1"/>
    </row>
    <row r="1751" spans="20:20" x14ac:dyDescent="0.25">
      <c r="T1751" s="1"/>
    </row>
    <row r="1752" spans="20:20" x14ac:dyDescent="0.25">
      <c r="T1752" s="1"/>
    </row>
    <row r="1753" spans="20:20" x14ac:dyDescent="0.25">
      <c r="T1753" s="1"/>
    </row>
    <row r="1754" spans="20:20" x14ac:dyDescent="0.25">
      <c r="T1754" s="1"/>
    </row>
    <row r="1755" spans="20:20" x14ac:dyDescent="0.25">
      <c r="T1755" s="1"/>
    </row>
    <row r="1756" spans="20:20" x14ac:dyDescent="0.25">
      <c r="T1756" s="1"/>
    </row>
    <row r="1757" spans="20:20" x14ac:dyDescent="0.25">
      <c r="T1757" s="1"/>
    </row>
    <row r="1758" spans="20:20" x14ac:dyDescent="0.25">
      <c r="T1758" s="1"/>
    </row>
    <row r="1759" spans="20:20" x14ac:dyDescent="0.25">
      <c r="T1759" s="1"/>
    </row>
    <row r="1760" spans="20:20" x14ac:dyDescent="0.25">
      <c r="T1760" s="1"/>
    </row>
    <row r="1761" spans="20:20" x14ac:dyDescent="0.25">
      <c r="T1761" s="1"/>
    </row>
    <row r="1762" spans="20:20" x14ac:dyDescent="0.25">
      <c r="T1762" s="1"/>
    </row>
    <row r="1763" spans="20:20" x14ac:dyDescent="0.25">
      <c r="T1763" s="1"/>
    </row>
    <row r="1764" spans="20:20" x14ac:dyDescent="0.25">
      <c r="T1764" s="1"/>
    </row>
    <row r="1765" spans="20:20" x14ac:dyDescent="0.25">
      <c r="T1765" s="1"/>
    </row>
    <row r="1766" spans="20:20" x14ac:dyDescent="0.25">
      <c r="T1766" s="1"/>
    </row>
    <row r="1767" spans="20:20" x14ac:dyDescent="0.25">
      <c r="T1767" s="1"/>
    </row>
    <row r="1768" spans="20:20" x14ac:dyDescent="0.25">
      <c r="T1768" s="1"/>
    </row>
    <row r="1769" spans="20:20" x14ac:dyDescent="0.25">
      <c r="T1769" s="1"/>
    </row>
    <row r="1770" spans="20:20" x14ac:dyDescent="0.25">
      <c r="T1770" s="1"/>
    </row>
    <row r="1771" spans="20:20" x14ac:dyDescent="0.25">
      <c r="T1771" s="1"/>
    </row>
    <row r="1772" spans="20:20" x14ac:dyDescent="0.25">
      <c r="T1772" s="1"/>
    </row>
    <row r="1773" spans="20:20" x14ac:dyDescent="0.25">
      <c r="T1773" s="1"/>
    </row>
    <row r="1774" spans="20:20" x14ac:dyDescent="0.25">
      <c r="T1774" s="1"/>
    </row>
    <row r="1775" spans="20:20" x14ac:dyDescent="0.25">
      <c r="T1775" s="1"/>
    </row>
    <row r="1776" spans="20:20" x14ac:dyDescent="0.25">
      <c r="T1776" s="1"/>
    </row>
    <row r="1777" spans="20:20" x14ac:dyDescent="0.25">
      <c r="T1777" s="1"/>
    </row>
    <row r="1778" spans="20:20" x14ac:dyDescent="0.25">
      <c r="T1778" s="1"/>
    </row>
    <row r="1779" spans="20:20" x14ac:dyDescent="0.25">
      <c r="T1779" s="1"/>
    </row>
    <row r="1780" spans="20:20" x14ac:dyDescent="0.25">
      <c r="T1780" s="1"/>
    </row>
    <row r="1781" spans="20:20" x14ac:dyDescent="0.25">
      <c r="T1781" s="1"/>
    </row>
    <row r="1782" spans="20:20" x14ac:dyDescent="0.25">
      <c r="T1782" s="1"/>
    </row>
    <row r="1783" spans="20:20" x14ac:dyDescent="0.25">
      <c r="T1783" s="1"/>
    </row>
    <row r="1784" spans="20:20" x14ac:dyDescent="0.25">
      <c r="T1784" s="1"/>
    </row>
    <row r="1785" spans="20:20" x14ac:dyDescent="0.25">
      <c r="T1785" s="1"/>
    </row>
    <row r="1786" spans="20:20" x14ac:dyDescent="0.25">
      <c r="T1786" s="1"/>
    </row>
    <row r="1787" spans="20:20" x14ac:dyDescent="0.25">
      <c r="T1787" s="1"/>
    </row>
    <row r="1788" spans="20:20" x14ac:dyDescent="0.25">
      <c r="T1788" s="1"/>
    </row>
    <row r="1789" spans="20:20" x14ac:dyDescent="0.25">
      <c r="T1789" s="1"/>
    </row>
    <row r="1790" spans="20:20" x14ac:dyDescent="0.25">
      <c r="T1790" s="1"/>
    </row>
    <row r="1791" spans="20:20" x14ac:dyDescent="0.25">
      <c r="T1791" s="1"/>
    </row>
    <row r="1792" spans="20:20" x14ac:dyDescent="0.25">
      <c r="T1792" s="1"/>
    </row>
    <row r="1793" spans="20:20" x14ac:dyDescent="0.25">
      <c r="T1793" s="1"/>
    </row>
    <row r="1794" spans="20:20" x14ac:dyDescent="0.25">
      <c r="T1794" s="1"/>
    </row>
    <row r="1795" spans="20:20" x14ac:dyDescent="0.25">
      <c r="T1795" s="1"/>
    </row>
    <row r="1796" spans="20:20" x14ac:dyDescent="0.25">
      <c r="T1796" s="1"/>
    </row>
    <row r="1797" spans="20:20" x14ac:dyDescent="0.25">
      <c r="T1797" s="1"/>
    </row>
    <row r="1798" spans="20:20" x14ac:dyDescent="0.25">
      <c r="T1798" s="1"/>
    </row>
    <row r="1799" spans="20:20" x14ac:dyDescent="0.25">
      <c r="T1799" s="1"/>
    </row>
    <row r="1800" spans="20:20" x14ac:dyDescent="0.25">
      <c r="T1800" s="1"/>
    </row>
    <row r="1801" spans="20:20" x14ac:dyDescent="0.25">
      <c r="T1801" s="1"/>
    </row>
    <row r="1802" spans="20:20" x14ac:dyDescent="0.25">
      <c r="T1802" s="1"/>
    </row>
    <row r="1803" spans="20:20" x14ac:dyDescent="0.25">
      <c r="T1803" s="1"/>
    </row>
    <row r="1804" spans="20:20" x14ac:dyDescent="0.25">
      <c r="T1804" s="1"/>
    </row>
    <row r="1805" spans="20:20" x14ac:dyDescent="0.25">
      <c r="T1805" s="1"/>
    </row>
    <row r="1806" spans="20:20" x14ac:dyDescent="0.25">
      <c r="T1806" s="1"/>
    </row>
    <row r="1807" spans="20:20" x14ac:dyDescent="0.25">
      <c r="T1807" s="1"/>
    </row>
    <row r="1808" spans="20:20" x14ac:dyDescent="0.25">
      <c r="T1808" s="1"/>
    </row>
    <row r="1809" spans="20:20" x14ac:dyDescent="0.25">
      <c r="T1809" s="1"/>
    </row>
    <row r="1810" spans="20:20" x14ac:dyDescent="0.25">
      <c r="T1810" s="1"/>
    </row>
    <row r="1811" spans="20:20" x14ac:dyDescent="0.25">
      <c r="T1811" s="1"/>
    </row>
    <row r="1812" spans="20:20" x14ac:dyDescent="0.25">
      <c r="T1812" s="1"/>
    </row>
    <row r="1813" spans="20:20" x14ac:dyDescent="0.25">
      <c r="T1813" s="1"/>
    </row>
    <row r="1814" spans="20:20" x14ac:dyDescent="0.25">
      <c r="T1814" s="1"/>
    </row>
    <row r="1815" spans="20:20" x14ac:dyDescent="0.25">
      <c r="T1815" s="1"/>
    </row>
    <row r="1816" spans="20:20" x14ac:dyDescent="0.25">
      <c r="T1816" s="1"/>
    </row>
    <row r="1817" spans="20:20" x14ac:dyDescent="0.25">
      <c r="T1817" s="1"/>
    </row>
    <row r="1818" spans="20:20" x14ac:dyDescent="0.25">
      <c r="T1818" s="1"/>
    </row>
    <row r="1819" spans="20:20" x14ac:dyDescent="0.25">
      <c r="T1819" s="1"/>
    </row>
    <row r="1820" spans="20:20" x14ac:dyDescent="0.25">
      <c r="T1820" s="1"/>
    </row>
    <row r="1821" spans="20:20" x14ac:dyDescent="0.25">
      <c r="T1821" s="1"/>
    </row>
    <row r="1822" spans="20:20" x14ac:dyDescent="0.25">
      <c r="T1822" s="1"/>
    </row>
    <row r="1823" spans="20:20" x14ac:dyDescent="0.25">
      <c r="T1823" s="1"/>
    </row>
    <row r="1824" spans="20:20" x14ac:dyDescent="0.25">
      <c r="T1824" s="1"/>
    </row>
    <row r="1825" spans="20:20" x14ac:dyDescent="0.25">
      <c r="T1825" s="1"/>
    </row>
    <row r="1826" spans="20:20" x14ac:dyDescent="0.25">
      <c r="T1826" s="1"/>
    </row>
    <row r="1827" spans="20:20" x14ac:dyDescent="0.25">
      <c r="T1827" s="1"/>
    </row>
    <row r="1828" spans="20:20" x14ac:dyDescent="0.25">
      <c r="T1828" s="1"/>
    </row>
    <row r="1829" spans="20:20" x14ac:dyDescent="0.25">
      <c r="T1829" s="1"/>
    </row>
    <row r="1830" spans="20:20" x14ac:dyDescent="0.25">
      <c r="T1830" s="1"/>
    </row>
    <row r="1831" spans="20:20" x14ac:dyDescent="0.25">
      <c r="T1831" s="1"/>
    </row>
    <row r="1832" spans="20:20" x14ac:dyDescent="0.25">
      <c r="T1832" s="1"/>
    </row>
    <row r="1833" spans="20:20" x14ac:dyDescent="0.25">
      <c r="T1833" s="1"/>
    </row>
    <row r="1834" spans="20:20" x14ac:dyDescent="0.25">
      <c r="T1834" s="1"/>
    </row>
    <row r="1835" spans="20:20" x14ac:dyDescent="0.25">
      <c r="T1835" s="1"/>
    </row>
    <row r="1836" spans="20:20" x14ac:dyDescent="0.25">
      <c r="T1836" s="1"/>
    </row>
    <row r="1837" spans="20:20" x14ac:dyDescent="0.25">
      <c r="T1837" s="1"/>
    </row>
    <row r="1838" spans="20:20" x14ac:dyDescent="0.25">
      <c r="T1838" s="1"/>
    </row>
    <row r="1839" spans="20:20" x14ac:dyDescent="0.25">
      <c r="T1839" s="1"/>
    </row>
    <row r="1840" spans="20:20" x14ac:dyDescent="0.25">
      <c r="T1840" s="1"/>
    </row>
    <row r="1841" spans="20:20" x14ac:dyDescent="0.25">
      <c r="T1841" s="1"/>
    </row>
    <row r="1842" spans="20:20" x14ac:dyDescent="0.25">
      <c r="T1842" s="1"/>
    </row>
    <row r="1843" spans="20:20" x14ac:dyDescent="0.25">
      <c r="T1843" s="1"/>
    </row>
    <row r="1844" spans="20:20" x14ac:dyDescent="0.25">
      <c r="T1844" s="1"/>
    </row>
    <row r="1845" spans="20:20" x14ac:dyDescent="0.25">
      <c r="T1845" s="1"/>
    </row>
    <row r="1846" spans="20:20" x14ac:dyDescent="0.25">
      <c r="T1846" s="1"/>
    </row>
    <row r="1847" spans="20:20" x14ac:dyDescent="0.25">
      <c r="T1847" s="1"/>
    </row>
    <row r="1848" spans="20:20" x14ac:dyDescent="0.25">
      <c r="T1848" s="1"/>
    </row>
    <row r="1849" spans="20:20" x14ac:dyDescent="0.25">
      <c r="T1849" s="1"/>
    </row>
    <row r="1850" spans="20:20" x14ac:dyDescent="0.25">
      <c r="T1850" s="1"/>
    </row>
    <row r="1851" spans="20:20" x14ac:dyDescent="0.25">
      <c r="T1851" s="1"/>
    </row>
    <row r="1852" spans="20:20" x14ac:dyDescent="0.25">
      <c r="T1852" s="1"/>
    </row>
    <row r="1853" spans="20:20" x14ac:dyDescent="0.25">
      <c r="T1853" s="1"/>
    </row>
    <row r="1854" spans="20:20" x14ac:dyDescent="0.25">
      <c r="T1854" s="1"/>
    </row>
    <row r="1855" spans="20:20" x14ac:dyDescent="0.25">
      <c r="T1855" s="1"/>
    </row>
    <row r="1856" spans="20:20" x14ac:dyDescent="0.25">
      <c r="T1856" s="1"/>
    </row>
    <row r="1857" spans="20:20" x14ac:dyDescent="0.25">
      <c r="T1857" s="1"/>
    </row>
    <row r="1858" spans="20:20" x14ac:dyDescent="0.25">
      <c r="T1858" s="1"/>
    </row>
    <row r="1859" spans="20:20" x14ac:dyDescent="0.25">
      <c r="T1859" s="1"/>
    </row>
    <row r="1860" spans="20:20" x14ac:dyDescent="0.25">
      <c r="T1860" s="1"/>
    </row>
    <row r="1861" spans="20:20" x14ac:dyDescent="0.25">
      <c r="T1861" s="1"/>
    </row>
    <row r="1862" spans="20:20" x14ac:dyDescent="0.25">
      <c r="T1862" s="1"/>
    </row>
    <row r="1863" spans="20:20" x14ac:dyDescent="0.25">
      <c r="T1863" s="1"/>
    </row>
    <row r="1864" spans="20:20" x14ac:dyDescent="0.25">
      <c r="T1864" s="1"/>
    </row>
    <row r="1865" spans="20:20" x14ac:dyDescent="0.25">
      <c r="T1865" s="1"/>
    </row>
    <row r="1866" spans="20:20" x14ac:dyDescent="0.25">
      <c r="T1866" s="1"/>
    </row>
    <row r="1867" spans="20:20" x14ac:dyDescent="0.25">
      <c r="T1867" s="1"/>
    </row>
    <row r="1868" spans="20:20" x14ac:dyDescent="0.25">
      <c r="T1868" s="1"/>
    </row>
    <row r="1869" spans="20:20" x14ac:dyDescent="0.25">
      <c r="T1869" s="1"/>
    </row>
    <row r="1870" spans="20:20" x14ac:dyDescent="0.25">
      <c r="T1870" s="1"/>
    </row>
    <row r="1871" spans="20:20" x14ac:dyDescent="0.25">
      <c r="T1871" s="1"/>
    </row>
    <row r="1872" spans="20:20" x14ac:dyDescent="0.25">
      <c r="T1872" s="1"/>
    </row>
    <row r="1873" spans="20:20" x14ac:dyDescent="0.25">
      <c r="T1873" s="1"/>
    </row>
    <row r="1874" spans="20:20" x14ac:dyDescent="0.25">
      <c r="T1874" s="1"/>
    </row>
    <row r="1875" spans="20:20" x14ac:dyDescent="0.25">
      <c r="T1875" s="1"/>
    </row>
    <row r="1876" spans="20:20" x14ac:dyDescent="0.25">
      <c r="T1876" s="1"/>
    </row>
    <row r="1877" spans="20:20" x14ac:dyDescent="0.25">
      <c r="T1877" s="1"/>
    </row>
    <row r="1878" spans="20:20" x14ac:dyDescent="0.25">
      <c r="T1878" s="1"/>
    </row>
    <row r="1879" spans="20:20" x14ac:dyDescent="0.25">
      <c r="T1879" s="1"/>
    </row>
    <row r="1880" spans="20:20" x14ac:dyDescent="0.25">
      <c r="T1880" s="1"/>
    </row>
    <row r="1881" spans="20:20" x14ac:dyDescent="0.25">
      <c r="T1881" s="1"/>
    </row>
    <row r="1882" spans="20:20" x14ac:dyDescent="0.25">
      <c r="T1882" s="1"/>
    </row>
    <row r="1883" spans="20:20" x14ac:dyDescent="0.25">
      <c r="T1883" s="1"/>
    </row>
    <row r="1884" spans="20:20" x14ac:dyDescent="0.25">
      <c r="T1884" s="1"/>
    </row>
    <row r="1885" spans="20:20" x14ac:dyDescent="0.25">
      <c r="T1885" s="1"/>
    </row>
    <row r="1886" spans="20:20" x14ac:dyDescent="0.25">
      <c r="T1886" s="1"/>
    </row>
    <row r="1887" spans="20:20" x14ac:dyDescent="0.25">
      <c r="T1887" s="1"/>
    </row>
    <row r="1888" spans="20:20" x14ac:dyDescent="0.25">
      <c r="T1888" s="1"/>
    </row>
    <row r="1889" spans="20:20" x14ac:dyDescent="0.25">
      <c r="T1889" s="1"/>
    </row>
    <row r="1890" spans="20:20" x14ac:dyDescent="0.25">
      <c r="T1890" s="1"/>
    </row>
    <row r="1891" spans="20:20" x14ac:dyDescent="0.25">
      <c r="T1891" s="1"/>
    </row>
    <row r="1892" spans="20:20" x14ac:dyDescent="0.25">
      <c r="T1892" s="1"/>
    </row>
    <row r="1893" spans="20:20" x14ac:dyDescent="0.25">
      <c r="T1893" s="1"/>
    </row>
    <row r="1894" spans="20:20" x14ac:dyDescent="0.25">
      <c r="T1894" s="1"/>
    </row>
    <row r="1895" spans="20:20" x14ac:dyDescent="0.25">
      <c r="T1895" s="1"/>
    </row>
    <row r="1896" spans="20:20" x14ac:dyDescent="0.25">
      <c r="T1896" s="1"/>
    </row>
    <row r="1897" spans="20:20" x14ac:dyDescent="0.25">
      <c r="T1897" s="1"/>
    </row>
    <row r="1898" spans="20:20" x14ac:dyDescent="0.25">
      <c r="T1898" s="1"/>
    </row>
    <row r="1899" spans="20:20" x14ac:dyDescent="0.25">
      <c r="T1899" s="1"/>
    </row>
    <row r="1900" spans="20:20" x14ac:dyDescent="0.25">
      <c r="T1900" s="1"/>
    </row>
    <row r="1901" spans="20:20" x14ac:dyDescent="0.25">
      <c r="T1901" s="1"/>
    </row>
    <row r="1902" spans="20:20" x14ac:dyDescent="0.25">
      <c r="T1902" s="1"/>
    </row>
    <row r="1903" spans="20:20" x14ac:dyDescent="0.25">
      <c r="T1903" s="1"/>
    </row>
    <row r="1904" spans="20:20" x14ac:dyDescent="0.25">
      <c r="T1904" s="1"/>
    </row>
    <row r="1905" spans="20:20" x14ac:dyDescent="0.25">
      <c r="T1905" s="1"/>
    </row>
    <row r="1906" spans="20:20" x14ac:dyDescent="0.25">
      <c r="T1906" s="1"/>
    </row>
    <row r="1907" spans="20:20" x14ac:dyDescent="0.25">
      <c r="T1907" s="1"/>
    </row>
    <row r="1908" spans="20:20" x14ac:dyDescent="0.25">
      <c r="T1908" s="1"/>
    </row>
    <row r="1909" spans="20:20" x14ac:dyDescent="0.25">
      <c r="T1909" s="1"/>
    </row>
    <row r="1910" spans="20:20" x14ac:dyDescent="0.25">
      <c r="T1910" s="1"/>
    </row>
    <row r="1911" spans="20:20" x14ac:dyDescent="0.25">
      <c r="T1911" s="1"/>
    </row>
    <row r="1912" spans="20:20" x14ac:dyDescent="0.25">
      <c r="T1912" s="1"/>
    </row>
    <row r="1913" spans="20:20" x14ac:dyDescent="0.25">
      <c r="T1913" s="1"/>
    </row>
    <row r="1914" spans="20:20" x14ac:dyDescent="0.25">
      <c r="T1914" s="1"/>
    </row>
    <row r="1915" spans="20:20" x14ac:dyDescent="0.25">
      <c r="T1915" s="1"/>
    </row>
    <row r="1916" spans="20:20" x14ac:dyDescent="0.25">
      <c r="T1916" s="1"/>
    </row>
    <row r="1917" spans="20:20" x14ac:dyDescent="0.25">
      <c r="T1917" s="1"/>
    </row>
    <row r="1918" spans="20:20" x14ac:dyDescent="0.25">
      <c r="T1918" s="1"/>
    </row>
    <row r="1919" spans="20:20" x14ac:dyDescent="0.25">
      <c r="T1919" s="1"/>
    </row>
    <row r="1920" spans="20:20" x14ac:dyDescent="0.25">
      <c r="T1920" s="1"/>
    </row>
    <row r="1921" spans="20:20" x14ac:dyDescent="0.25">
      <c r="T1921" s="1"/>
    </row>
    <row r="1922" spans="20:20" x14ac:dyDescent="0.25">
      <c r="T1922" s="1"/>
    </row>
    <row r="1923" spans="20:20" x14ac:dyDescent="0.25">
      <c r="T1923" s="1"/>
    </row>
    <row r="1924" spans="20:20" x14ac:dyDescent="0.25">
      <c r="T1924" s="1"/>
    </row>
    <row r="1925" spans="20:20" x14ac:dyDescent="0.25">
      <c r="T1925" s="1"/>
    </row>
    <row r="1926" spans="20:20" x14ac:dyDescent="0.25">
      <c r="T1926" s="1"/>
    </row>
    <row r="1927" spans="20:20" x14ac:dyDescent="0.25">
      <c r="T1927" s="1"/>
    </row>
    <row r="1928" spans="20:20" x14ac:dyDescent="0.25">
      <c r="T1928" s="1"/>
    </row>
    <row r="1929" spans="20:20" x14ac:dyDescent="0.25">
      <c r="T1929" s="1"/>
    </row>
    <row r="1930" spans="20:20" x14ac:dyDescent="0.25">
      <c r="T1930" s="1"/>
    </row>
    <row r="1931" spans="20:20" x14ac:dyDescent="0.25">
      <c r="T1931" s="1"/>
    </row>
    <row r="1932" spans="20:20" x14ac:dyDescent="0.25">
      <c r="T1932" s="1"/>
    </row>
    <row r="1933" spans="20:20" x14ac:dyDescent="0.25">
      <c r="T1933" s="1"/>
    </row>
    <row r="1934" spans="20:20" x14ac:dyDescent="0.25">
      <c r="T1934" s="1"/>
    </row>
    <row r="1935" spans="20:20" x14ac:dyDescent="0.25">
      <c r="T1935" s="1"/>
    </row>
    <row r="1936" spans="20:20" x14ac:dyDescent="0.25">
      <c r="T1936" s="1"/>
    </row>
    <row r="1937" spans="20:20" x14ac:dyDescent="0.25">
      <c r="T1937" s="1"/>
    </row>
    <row r="1938" spans="20:20" x14ac:dyDescent="0.25">
      <c r="T1938" s="1"/>
    </row>
    <row r="1939" spans="20:20" x14ac:dyDescent="0.25">
      <c r="T1939" s="1"/>
    </row>
    <row r="1940" spans="20:20" x14ac:dyDescent="0.25">
      <c r="T1940" s="1"/>
    </row>
    <row r="1941" spans="20:20" x14ac:dyDescent="0.25">
      <c r="T1941" s="1"/>
    </row>
    <row r="1942" spans="20:20" x14ac:dyDescent="0.25">
      <c r="T1942" s="1"/>
    </row>
    <row r="1943" spans="20:20" x14ac:dyDescent="0.25">
      <c r="T1943" s="1"/>
    </row>
    <row r="1944" spans="20:20" x14ac:dyDescent="0.25">
      <c r="T1944" s="1"/>
    </row>
    <row r="1945" spans="20:20" x14ac:dyDescent="0.25">
      <c r="T1945" s="1"/>
    </row>
    <row r="1946" spans="20:20" x14ac:dyDescent="0.25">
      <c r="T1946" s="1"/>
    </row>
    <row r="1947" spans="20:20" x14ac:dyDescent="0.25">
      <c r="T1947" s="1"/>
    </row>
    <row r="1948" spans="20:20" x14ac:dyDescent="0.25">
      <c r="T1948" s="1"/>
    </row>
    <row r="1949" spans="20:20" x14ac:dyDescent="0.25">
      <c r="T1949" s="1"/>
    </row>
    <row r="1950" spans="20:20" x14ac:dyDescent="0.25">
      <c r="T1950" s="1"/>
    </row>
    <row r="1951" spans="20:20" x14ac:dyDescent="0.25">
      <c r="T1951" s="1"/>
    </row>
    <row r="1952" spans="20:20" x14ac:dyDescent="0.25">
      <c r="T1952" s="1"/>
    </row>
    <row r="1953" spans="20:20" x14ac:dyDescent="0.25">
      <c r="T1953" s="1"/>
    </row>
    <row r="1954" spans="20:20" x14ac:dyDescent="0.25">
      <c r="T1954" s="1"/>
    </row>
    <row r="1955" spans="20:20" x14ac:dyDescent="0.25">
      <c r="T1955" s="1"/>
    </row>
    <row r="1956" spans="20:20" x14ac:dyDescent="0.25">
      <c r="T1956" s="1"/>
    </row>
    <row r="1957" spans="20:20" x14ac:dyDescent="0.25">
      <c r="T1957" s="1"/>
    </row>
    <row r="1958" spans="20:20" x14ac:dyDescent="0.25">
      <c r="T1958" s="1"/>
    </row>
    <row r="1959" spans="20:20" x14ac:dyDescent="0.25">
      <c r="T1959" s="1"/>
    </row>
    <row r="1960" spans="20:20" x14ac:dyDescent="0.25">
      <c r="T1960" s="1"/>
    </row>
    <row r="1961" spans="20:20" x14ac:dyDescent="0.25">
      <c r="T1961" s="1"/>
    </row>
    <row r="1962" spans="20:20" x14ac:dyDescent="0.25">
      <c r="T1962" s="1"/>
    </row>
    <row r="1963" spans="20:20" x14ac:dyDescent="0.25">
      <c r="T1963" s="1"/>
    </row>
    <row r="1964" spans="20:20" x14ac:dyDescent="0.25">
      <c r="T1964" s="1"/>
    </row>
    <row r="1965" spans="20:20" x14ac:dyDescent="0.25">
      <c r="T1965" s="1"/>
    </row>
    <row r="1966" spans="20:20" x14ac:dyDescent="0.25">
      <c r="T1966" s="1"/>
    </row>
    <row r="1967" spans="20:20" x14ac:dyDescent="0.25">
      <c r="T1967" s="1"/>
    </row>
    <row r="1968" spans="20:20" x14ac:dyDescent="0.25">
      <c r="T1968" s="1"/>
    </row>
    <row r="1969" spans="20:20" x14ac:dyDescent="0.25">
      <c r="T1969" s="1"/>
    </row>
    <row r="1970" spans="20:20" x14ac:dyDescent="0.25">
      <c r="T1970" s="1"/>
    </row>
    <row r="1971" spans="20:20" x14ac:dyDescent="0.25">
      <c r="T1971" s="1"/>
    </row>
    <row r="1972" spans="20:20" x14ac:dyDescent="0.25">
      <c r="T1972" s="1"/>
    </row>
    <row r="1973" spans="20:20" x14ac:dyDescent="0.25">
      <c r="T1973" s="1"/>
    </row>
    <row r="1974" spans="20:20" x14ac:dyDescent="0.25">
      <c r="T1974" s="1"/>
    </row>
    <row r="1975" spans="20:20" x14ac:dyDescent="0.25">
      <c r="T1975" s="1"/>
    </row>
    <row r="1976" spans="20:20" x14ac:dyDescent="0.25">
      <c r="T1976" s="1"/>
    </row>
    <row r="1977" spans="20:20" x14ac:dyDescent="0.25">
      <c r="T1977" s="1"/>
    </row>
    <row r="1978" spans="20:20" x14ac:dyDescent="0.25">
      <c r="T1978" s="1"/>
    </row>
    <row r="1979" spans="20:20" x14ac:dyDescent="0.25">
      <c r="T1979" s="1"/>
    </row>
    <row r="1980" spans="20:20" x14ac:dyDescent="0.25">
      <c r="T1980" s="1"/>
    </row>
    <row r="1981" spans="20:20" x14ac:dyDescent="0.25">
      <c r="T1981" s="1"/>
    </row>
    <row r="1982" spans="20:20" x14ac:dyDescent="0.25">
      <c r="T1982" s="1"/>
    </row>
    <row r="1983" spans="20:20" x14ac:dyDescent="0.25">
      <c r="T1983" s="1"/>
    </row>
    <row r="1984" spans="20:20" x14ac:dyDescent="0.25">
      <c r="T1984" s="1"/>
    </row>
    <row r="1985" spans="20:20" x14ac:dyDescent="0.25">
      <c r="T1985" s="1"/>
    </row>
    <row r="1986" spans="20:20" x14ac:dyDescent="0.25">
      <c r="T1986" s="1"/>
    </row>
    <row r="1987" spans="20:20" x14ac:dyDescent="0.25">
      <c r="T1987" s="1"/>
    </row>
    <row r="1988" spans="20:20" x14ac:dyDescent="0.25">
      <c r="T1988" s="1"/>
    </row>
    <row r="1989" spans="20:20" x14ac:dyDescent="0.25">
      <c r="T1989" s="1"/>
    </row>
    <row r="1990" spans="20:20" x14ac:dyDescent="0.25">
      <c r="T1990" s="1"/>
    </row>
    <row r="1991" spans="20:20" x14ac:dyDescent="0.25">
      <c r="T1991" s="1"/>
    </row>
    <row r="1992" spans="20:20" x14ac:dyDescent="0.25">
      <c r="T1992" s="1"/>
    </row>
    <row r="1993" spans="20:20" x14ac:dyDescent="0.25">
      <c r="T1993" s="1"/>
    </row>
    <row r="1994" spans="20:20" x14ac:dyDescent="0.25">
      <c r="T1994" s="1"/>
    </row>
    <row r="1995" spans="20:20" x14ac:dyDescent="0.25">
      <c r="T1995" s="1"/>
    </row>
    <row r="1996" spans="20:20" x14ac:dyDescent="0.25">
      <c r="T1996" s="1"/>
    </row>
    <row r="1997" spans="20:20" x14ac:dyDescent="0.25">
      <c r="T1997" s="1"/>
    </row>
    <row r="1998" spans="20:20" x14ac:dyDescent="0.25">
      <c r="T1998" s="1"/>
    </row>
    <row r="1999" spans="20:20" x14ac:dyDescent="0.25">
      <c r="T1999" s="1"/>
    </row>
    <row r="2000" spans="20:20" x14ac:dyDescent="0.25">
      <c r="T2000" s="1"/>
    </row>
    <row r="2001" spans="20:20" x14ac:dyDescent="0.25">
      <c r="T2001" s="1"/>
    </row>
    <row r="2002" spans="20:20" x14ac:dyDescent="0.25">
      <c r="T2002" s="1"/>
    </row>
    <row r="2003" spans="20:20" x14ac:dyDescent="0.25">
      <c r="T2003" s="1"/>
    </row>
    <row r="2004" spans="20:20" x14ac:dyDescent="0.25">
      <c r="T2004" s="1"/>
    </row>
    <row r="2005" spans="20:20" x14ac:dyDescent="0.25">
      <c r="T2005" s="1"/>
    </row>
    <row r="2006" spans="20:20" x14ac:dyDescent="0.25">
      <c r="T2006" s="1"/>
    </row>
    <row r="2007" spans="20:20" x14ac:dyDescent="0.25">
      <c r="T2007" s="1"/>
    </row>
    <row r="2008" spans="20:20" x14ac:dyDescent="0.25">
      <c r="T2008" s="1"/>
    </row>
    <row r="2009" spans="20:20" x14ac:dyDescent="0.25">
      <c r="T2009" s="1"/>
    </row>
    <row r="2010" spans="20:20" x14ac:dyDescent="0.25">
      <c r="T2010" s="1"/>
    </row>
    <row r="2011" spans="20:20" x14ac:dyDescent="0.25">
      <c r="T2011" s="1"/>
    </row>
    <row r="2012" spans="20:20" x14ac:dyDescent="0.25">
      <c r="T2012" s="1"/>
    </row>
    <row r="2013" spans="20:20" x14ac:dyDescent="0.25">
      <c r="T2013" s="1"/>
    </row>
    <row r="2014" spans="20:20" x14ac:dyDescent="0.25">
      <c r="T2014" s="1"/>
    </row>
    <row r="2015" spans="20:20" x14ac:dyDescent="0.25">
      <c r="T2015" s="1"/>
    </row>
    <row r="2016" spans="20:20" x14ac:dyDescent="0.25">
      <c r="T2016" s="1"/>
    </row>
    <row r="2017" spans="20:20" x14ac:dyDescent="0.25">
      <c r="T2017" s="1"/>
    </row>
    <row r="2018" spans="20:20" x14ac:dyDescent="0.25">
      <c r="T2018" s="1"/>
    </row>
    <row r="2019" spans="20:20" x14ac:dyDescent="0.25">
      <c r="T2019" s="1"/>
    </row>
    <row r="2020" spans="20:20" x14ac:dyDescent="0.25">
      <c r="T2020" s="1"/>
    </row>
    <row r="2021" spans="20:20" x14ac:dyDescent="0.25">
      <c r="T2021" s="1"/>
    </row>
    <row r="2022" spans="20:20" x14ac:dyDescent="0.25">
      <c r="T2022" s="1"/>
    </row>
    <row r="2023" spans="20:20" x14ac:dyDescent="0.25">
      <c r="T2023" s="1"/>
    </row>
    <row r="2024" spans="20:20" x14ac:dyDescent="0.25">
      <c r="T2024" s="1"/>
    </row>
    <row r="2025" spans="20:20" x14ac:dyDescent="0.25">
      <c r="T2025" s="1"/>
    </row>
    <row r="2026" spans="20:20" x14ac:dyDescent="0.25">
      <c r="T2026" s="1"/>
    </row>
    <row r="2027" spans="20:20" x14ac:dyDescent="0.25">
      <c r="T2027" s="1"/>
    </row>
    <row r="2028" spans="20:20" x14ac:dyDescent="0.25">
      <c r="T2028" s="1"/>
    </row>
    <row r="2029" spans="20:20" x14ac:dyDescent="0.25">
      <c r="T2029" s="1"/>
    </row>
    <row r="2030" spans="20:20" x14ac:dyDescent="0.25">
      <c r="T2030" s="1"/>
    </row>
    <row r="2031" spans="20:20" x14ac:dyDescent="0.25">
      <c r="T2031" s="1"/>
    </row>
    <row r="2032" spans="20:20" x14ac:dyDescent="0.25">
      <c r="T2032" s="1"/>
    </row>
    <row r="2033" spans="20:20" x14ac:dyDescent="0.25">
      <c r="T2033" s="1"/>
    </row>
    <row r="2034" spans="20:20" x14ac:dyDescent="0.25">
      <c r="T2034" s="1"/>
    </row>
    <row r="2035" spans="20:20" x14ac:dyDescent="0.25">
      <c r="T2035" s="1"/>
    </row>
    <row r="2036" spans="20:20" x14ac:dyDescent="0.25">
      <c r="T2036" s="1"/>
    </row>
    <row r="2037" spans="20:20" x14ac:dyDescent="0.25">
      <c r="T2037" s="1"/>
    </row>
    <row r="2038" spans="20:20" x14ac:dyDescent="0.25">
      <c r="T2038" s="1"/>
    </row>
    <row r="2039" spans="20:20" x14ac:dyDescent="0.25">
      <c r="T2039" s="1"/>
    </row>
    <row r="2040" spans="20:20" x14ac:dyDescent="0.25">
      <c r="T2040" s="1"/>
    </row>
    <row r="2041" spans="20:20" x14ac:dyDescent="0.25">
      <c r="T2041" s="1"/>
    </row>
    <row r="2042" spans="20:20" x14ac:dyDescent="0.25">
      <c r="T2042" s="1"/>
    </row>
    <row r="2043" spans="20:20" x14ac:dyDescent="0.25">
      <c r="T2043" s="1"/>
    </row>
    <row r="2044" spans="20:20" x14ac:dyDescent="0.25">
      <c r="T2044" s="1"/>
    </row>
    <row r="2045" spans="20:20" x14ac:dyDescent="0.25">
      <c r="T2045" s="1"/>
    </row>
    <row r="2046" spans="20:20" x14ac:dyDescent="0.25">
      <c r="T2046" s="1"/>
    </row>
    <row r="2047" spans="20:20" x14ac:dyDescent="0.25">
      <c r="T2047" s="1"/>
    </row>
    <row r="2048" spans="20:20" x14ac:dyDescent="0.25">
      <c r="T2048" s="1"/>
    </row>
    <row r="2049" spans="20:20" x14ac:dyDescent="0.25">
      <c r="T2049" s="1"/>
    </row>
    <row r="2050" spans="20:20" x14ac:dyDescent="0.25">
      <c r="T2050" s="1"/>
    </row>
    <row r="2051" spans="20:20" x14ac:dyDescent="0.25">
      <c r="T2051" s="1"/>
    </row>
    <row r="2052" spans="20:20" x14ac:dyDescent="0.25">
      <c r="T2052" s="1"/>
    </row>
    <row r="2053" spans="20:20" x14ac:dyDescent="0.25">
      <c r="T2053" s="1"/>
    </row>
    <row r="2054" spans="20:20" x14ac:dyDescent="0.25">
      <c r="T2054" s="1"/>
    </row>
    <row r="2055" spans="20:20" x14ac:dyDescent="0.25">
      <c r="T2055" s="1"/>
    </row>
    <row r="2056" spans="20:20" x14ac:dyDescent="0.25">
      <c r="T2056" s="1"/>
    </row>
    <row r="2057" spans="20:20" x14ac:dyDescent="0.25">
      <c r="T2057" s="1"/>
    </row>
    <row r="2058" spans="20:20" x14ac:dyDescent="0.25">
      <c r="T2058" s="1"/>
    </row>
    <row r="2059" spans="20:20" x14ac:dyDescent="0.25">
      <c r="T2059" s="1"/>
    </row>
    <row r="2060" spans="20:20" x14ac:dyDescent="0.25">
      <c r="T2060" s="1"/>
    </row>
    <row r="2061" spans="20:20" x14ac:dyDescent="0.25">
      <c r="T2061" s="1"/>
    </row>
    <row r="2062" spans="20:20" x14ac:dyDescent="0.25">
      <c r="T2062" s="1"/>
    </row>
    <row r="2063" spans="20:20" x14ac:dyDescent="0.25">
      <c r="T2063" s="1"/>
    </row>
    <row r="2064" spans="20:20" x14ac:dyDescent="0.25">
      <c r="T2064" s="1"/>
    </row>
    <row r="2065" spans="20:20" x14ac:dyDescent="0.25">
      <c r="T2065" s="1"/>
    </row>
    <row r="2066" spans="20:20" x14ac:dyDescent="0.25">
      <c r="T2066" s="1"/>
    </row>
    <row r="2067" spans="20:20" x14ac:dyDescent="0.25">
      <c r="T2067" s="1"/>
    </row>
    <row r="2068" spans="20:20" x14ac:dyDescent="0.25">
      <c r="T2068" s="1"/>
    </row>
    <row r="2069" spans="20:20" x14ac:dyDescent="0.25">
      <c r="T2069" s="1"/>
    </row>
    <row r="2070" spans="20:20" x14ac:dyDescent="0.25">
      <c r="T2070" s="1"/>
    </row>
    <row r="2071" spans="20:20" x14ac:dyDescent="0.25">
      <c r="T2071" s="1"/>
    </row>
    <row r="2072" spans="20:20" x14ac:dyDescent="0.25">
      <c r="T2072" s="1"/>
    </row>
    <row r="2073" spans="20:20" x14ac:dyDescent="0.25">
      <c r="T2073" s="1"/>
    </row>
    <row r="2074" spans="20:20" x14ac:dyDescent="0.25">
      <c r="T2074" s="1"/>
    </row>
    <row r="2075" spans="20:20" x14ac:dyDescent="0.25">
      <c r="T2075" s="1"/>
    </row>
    <row r="2076" spans="20:20" x14ac:dyDescent="0.25">
      <c r="T2076" s="1"/>
    </row>
    <row r="2077" spans="20:20" x14ac:dyDescent="0.25">
      <c r="T2077" s="1"/>
    </row>
    <row r="2078" spans="20:20" x14ac:dyDescent="0.25">
      <c r="T2078" s="1"/>
    </row>
    <row r="2079" spans="20:20" x14ac:dyDescent="0.25">
      <c r="T2079" s="1"/>
    </row>
    <row r="2080" spans="20:20" x14ac:dyDescent="0.25">
      <c r="T2080" s="1"/>
    </row>
    <row r="2081" spans="20:20" x14ac:dyDescent="0.25">
      <c r="T2081" s="1"/>
    </row>
    <row r="2082" spans="20:20" x14ac:dyDescent="0.25">
      <c r="T2082" s="1"/>
    </row>
    <row r="2083" spans="20:20" x14ac:dyDescent="0.25">
      <c r="T2083" s="1"/>
    </row>
    <row r="2084" spans="20:20" x14ac:dyDescent="0.25">
      <c r="T2084" s="1"/>
    </row>
    <row r="2085" spans="20:20" x14ac:dyDescent="0.25">
      <c r="T2085" s="1"/>
    </row>
    <row r="2086" spans="20:20" x14ac:dyDescent="0.25">
      <c r="T2086" s="1"/>
    </row>
    <row r="2087" spans="20:20" x14ac:dyDescent="0.25">
      <c r="T2087" s="1"/>
    </row>
    <row r="2088" spans="20:20" x14ac:dyDescent="0.25">
      <c r="T2088" s="1"/>
    </row>
    <row r="2089" spans="20:20" x14ac:dyDescent="0.25">
      <c r="T2089" s="1"/>
    </row>
    <row r="2090" spans="20:20" x14ac:dyDescent="0.25">
      <c r="T2090" s="1"/>
    </row>
    <row r="2091" spans="20:20" x14ac:dyDescent="0.25">
      <c r="T2091" s="1"/>
    </row>
    <row r="2092" spans="20:20" x14ac:dyDescent="0.25">
      <c r="T2092" s="1"/>
    </row>
    <row r="2093" spans="20:20" x14ac:dyDescent="0.25">
      <c r="T2093" s="1"/>
    </row>
    <row r="2094" spans="20:20" x14ac:dyDescent="0.25">
      <c r="T2094" s="1"/>
    </row>
    <row r="2095" spans="20:20" x14ac:dyDescent="0.25">
      <c r="T2095" s="1"/>
    </row>
    <row r="2096" spans="20:20" x14ac:dyDescent="0.25">
      <c r="T2096" s="1"/>
    </row>
    <row r="2097" spans="20:20" x14ac:dyDescent="0.25">
      <c r="T2097" s="1"/>
    </row>
    <row r="2098" spans="20:20" x14ac:dyDescent="0.25">
      <c r="T2098" s="1"/>
    </row>
    <row r="2099" spans="20:20" x14ac:dyDescent="0.25">
      <c r="T2099" s="1"/>
    </row>
    <row r="2100" spans="20:20" x14ac:dyDescent="0.25">
      <c r="T2100" s="1"/>
    </row>
    <row r="2101" spans="20:20" x14ac:dyDescent="0.25">
      <c r="T2101" s="1"/>
    </row>
    <row r="2102" spans="20:20" x14ac:dyDescent="0.25">
      <c r="T2102" s="1"/>
    </row>
    <row r="2103" spans="20:20" x14ac:dyDescent="0.25">
      <c r="T2103" s="1"/>
    </row>
    <row r="2104" spans="20:20" x14ac:dyDescent="0.25">
      <c r="T2104" s="1"/>
    </row>
    <row r="2105" spans="20:20" x14ac:dyDescent="0.25">
      <c r="T2105" s="1"/>
    </row>
    <row r="2106" spans="20:20" x14ac:dyDescent="0.25">
      <c r="T2106" s="1"/>
    </row>
    <row r="2107" spans="20:20" x14ac:dyDescent="0.25">
      <c r="T2107" s="1"/>
    </row>
    <row r="2108" spans="20:20" x14ac:dyDescent="0.25">
      <c r="T2108" s="1"/>
    </row>
    <row r="2109" spans="20:20" x14ac:dyDescent="0.25">
      <c r="T2109" s="1"/>
    </row>
    <row r="2110" spans="20:20" x14ac:dyDescent="0.25">
      <c r="T2110" s="1"/>
    </row>
    <row r="2111" spans="20:20" x14ac:dyDescent="0.25">
      <c r="T2111" s="1"/>
    </row>
    <row r="2112" spans="20:20" x14ac:dyDescent="0.25">
      <c r="T2112" s="1"/>
    </row>
    <row r="2113" spans="20:20" x14ac:dyDescent="0.25">
      <c r="T2113" s="1"/>
    </row>
    <row r="2114" spans="20:20" x14ac:dyDescent="0.25">
      <c r="T2114" s="1"/>
    </row>
    <row r="2115" spans="20:20" x14ac:dyDescent="0.25">
      <c r="T2115" s="1"/>
    </row>
    <row r="2116" spans="20:20" x14ac:dyDescent="0.25">
      <c r="T2116" s="1"/>
    </row>
    <row r="2117" spans="20:20" x14ac:dyDescent="0.25">
      <c r="T2117" s="1"/>
    </row>
    <row r="2118" spans="20:20" x14ac:dyDescent="0.25">
      <c r="T2118" s="1"/>
    </row>
    <row r="2119" spans="20:20" x14ac:dyDescent="0.25">
      <c r="T2119" s="1"/>
    </row>
    <row r="2120" spans="20:20" x14ac:dyDescent="0.25">
      <c r="T2120" s="1"/>
    </row>
    <row r="2121" spans="20:20" x14ac:dyDescent="0.25">
      <c r="T2121" s="1"/>
    </row>
    <row r="2122" spans="20:20" x14ac:dyDescent="0.25">
      <c r="T2122" s="1"/>
    </row>
    <row r="2123" spans="20:20" x14ac:dyDescent="0.25">
      <c r="T2123" s="1"/>
    </row>
    <row r="2124" spans="20:20" x14ac:dyDescent="0.25">
      <c r="T2124" s="1"/>
    </row>
    <row r="2125" spans="20:20" x14ac:dyDescent="0.25">
      <c r="T2125" s="1"/>
    </row>
    <row r="2126" spans="20:20" x14ac:dyDescent="0.25">
      <c r="T2126" s="1"/>
    </row>
    <row r="2127" spans="20:20" x14ac:dyDescent="0.25">
      <c r="T2127" s="1"/>
    </row>
    <row r="2128" spans="20:20" x14ac:dyDescent="0.25">
      <c r="T2128" s="1"/>
    </row>
    <row r="2129" spans="20:20" x14ac:dyDescent="0.25">
      <c r="T2129" s="1"/>
    </row>
    <row r="2130" spans="20:20" x14ac:dyDescent="0.25">
      <c r="T2130" s="1"/>
    </row>
    <row r="2131" spans="20:20" x14ac:dyDescent="0.25">
      <c r="T2131" s="1"/>
    </row>
    <row r="2132" spans="20:20" x14ac:dyDescent="0.25">
      <c r="T2132" s="1"/>
    </row>
    <row r="2133" spans="20:20" x14ac:dyDescent="0.25">
      <c r="T2133" s="1"/>
    </row>
    <row r="2134" spans="20:20" x14ac:dyDescent="0.25">
      <c r="T2134" s="1"/>
    </row>
    <row r="2135" spans="20:20" x14ac:dyDescent="0.25">
      <c r="T2135" s="1"/>
    </row>
    <row r="2136" spans="20:20" x14ac:dyDescent="0.25">
      <c r="T2136" s="1"/>
    </row>
    <row r="2137" spans="20:20" x14ac:dyDescent="0.25">
      <c r="T2137" s="1"/>
    </row>
    <row r="2138" spans="20:20" x14ac:dyDescent="0.25">
      <c r="T2138" s="1"/>
    </row>
    <row r="2139" spans="20:20" x14ac:dyDescent="0.25">
      <c r="T2139" s="1"/>
    </row>
    <row r="2140" spans="20:20" x14ac:dyDescent="0.25">
      <c r="T2140" s="1"/>
    </row>
    <row r="2141" spans="20:20" x14ac:dyDescent="0.25">
      <c r="T2141" s="1"/>
    </row>
    <row r="2142" spans="20:20" x14ac:dyDescent="0.25">
      <c r="T2142" s="1"/>
    </row>
    <row r="2143" spans="20:20" x14ac:dyDescent="0.25">
      <c r="T2143" s="1"/>
    </row>
    <row r="2144" spans="20:20" x14ac:dyDescent="0.25">
      <c r="T2144" s="1"/>
    </row>
    <row r="2145" spans="20:20" x14ac:dyDescent="0.25">
      <c r="T2145" s="1"/>
    </row>
    <row r="2146" spans="20:20" x14ac:dyDescent="0.25">
      <c r="T2146" s="1"/>
    </row>
    <row r="2147" spans="20:20" x14ac:dyDescent="0.25">
      <c r="T2147" s="1"/>
    </row>
    <row r="2148" spans="20:20" x14ac:dyDescent="0.25">
      <c r="T2148" s="1"/>
    </row>
    <row r="2149" spans="20:20" x14ac:dyDescent="0.25">
      <c r="T2149" s="1"/>
    </row>
    <row r="2150" spans="20:20" x14ac:dyDescent="0.25">
      <c r="T2150" s="1"/>
    </row>
    <row r="2151" spans="20:20" x14ac:dyDescent="0.25">
      <c r="T2151" s="1"/>
    </row>
    <row r="2152" spans="20:20" x14ac:dyDescent="0.25">
      <c r="T2152" s="1"/>
    </row>
    <row r="2153" spans="20:20" x14ac:dyDescent="0.25">
      <c r="T2153" s="1"/>
    </row>
    <row r="2154" spans="20:20" x14ac:dyDescent="0.25">
      <c r="T2154" s="1"/>
    </row>
    <row r="2155" spans="20:20" x14ac:dyDescent="0.25">
      <c r="T2155" s="1"/>
    </row>
    <row r="2156" spans="20:20" x14ac:dyDescent="0.25">
      <c r="T2156" s="1"/>
    </row>
    <row r="2157" spans="20:20" x14ac:dyDescent="0.25">
      <c r="T2157" s="1"/>
    </row>
    <row r="2158" spans="20:20" x14ac:dyDescent="0.25">
      <c r="T2158" s="1"/>
    </row>
    <row r="2159" spans="20:20" x14ac:dyDescent="0.25">
      <c r="T2159" s="1"/>
    </row>
    <row r="2160" spans="20:20" x14ac:dyDescent="0.25">
      <c r="T2160" s="1"/>
    </row>
    <row r="2161" spans="20:20" x14ac:dyDescent="0.25">
      <c r="T2161" s="1"/>
    </row>
    <row r="2162" spans="20:20" x14ac:dyDescent="0.25">
      <c r="T2162" s="1"/>
    </row>
    <row r="2163" spans="20:20" x14ac:dyDescent="0.25">
      <c r="T2163" s="1"/>
    </row>
    <row r="2164" spans="20:20" x14ac:dyDescent="0.25">
      <c r="T2164" s="1"/>
    </row>
    <row r="2165" spans="20:20" x14ac:dyDescent="0.25">
      <c r="T2165" s="1"/>
    </row>
    <row r="2166" spans="20:20" x14ac:dyDescent="0.25">
      <c r="T2166" s="1"/>
    </row>
    <row r="2167" spans="20:20" x14ac:dyDescent="0.25">
      <c r="T2167" s="1"/>
    </row>
    <row r="2168" spans="20:20" x14ac:dyDescent="0.25">
      <c r="T2168" s="1"/>
    </row>
    <row r="2169" spans="20:20" x14ac:dyDescent="0.25">
      <c r="T2169" s="1"/>
    </row>
    <row r="2170" spans="20:20" x14ac:dyDescent="0.25">
      <c r="T2170" s="1"/>
    </row>
    <row r="2171" spans="20:20" x14ac:dyDescent="0.25">
      <c r="T2171" s="1"/>
    </row>
    <row r="2172" spans="20:20" x14ac:dyDescent="0.25">
      <c r="T2172" s="1"/>
    </row>
    <row r="2173" spans="20:20" x14ac:dyDescent="0.25">
      <c r="T2173" s="1"/>
    </row>
    <row r="2174" spans="20:20" x14ac:dyDescent="0.25">
      <c r="T2174" s="1"/>
    </row>
    <row r="2175" spans="20:20" x14ac:dyDescent="0.25">
      <c r="T2175" s="1"/>
    </row>
    <row r="2176" spans="20:20" x14ac:dyDescent="0.25">
      <c r="T2176" s="1"/>
    </row>
    <row r="2177" spans="20:20" x14ac:dyDescent="0.25">
      <c r="T2177" s="1"/>
    </row>
    <row r="2178" spans="20:20" x14ac:dyDescent="0.25">
      <c r="T2178" s="1"/>
    </row>
    <row r="2179" spans="20:20" x14ac:dyDescent="0.25">
      <c r="T2179" s="1"/>
    </row>
    <row r="2180" spans="20:20" x14ac:dyDescent="0.25">
      <c r="T2180" s="1"/>
    </row>
    <row r="2181" spans="20:20" x14ac:dyDescent="0.25">
      <c r="T2181" s="1"/>
    </row>
    <row r="2182" spans="20:20" x14ac:dyDescent="0.25">
      <c r="T2182" s="1"/>
    </row>
    <row r="2183" spans="20:20" x14ac:dyDescent="0.25">
      <c r="T2183" s="1"/>
    </row>
    <row r="2184" spans="20:20" x14ac:dyDescent="0.25">
      <c r="T2184" s="1"/>
    </row>
    <row r="2185" spans="20:20" x14ac:dyDescent="0.25">
      <c r="T2185" s="1"/>
    </row>
    <row r="2186" spans="20:20" x14ac:dyDescent="0.25">
      <c r="T2186" s="1"/>
    </row>
    <row r="2187" spans="20:20" x14ac:dyDescent="0.25">
      <c r="T2187" s="1"/>
    </row>
    <row r="2188" spans="20:20" x14ac:dyDescent="0.25">
      <c r="T2188" s="1"/>
    </row>
    <row r="2189" spans="20:20" x14ac:dyDescent="0.25">
      <c r="T2189" s="1"/>
    </row>
    <row r="2190" spans="20:20" x14ac:dyDescent="0.25">
      <c r="T2190" s="1"/>
    </row>
    <row r="2191" spans="20:20" x14ac:dyDescent="0.25">
      <c r="T2191" s="1"/>
    </row>
    <row r="2192" spans="20:20" x14ac:dyDescent="0.25">
      <c r="T2192" s="1"/>
    </row>
    <row r="2193" spans="20:20" x14ac:dyDescent="0.25">
      <c r="T2193" s="1"/>
    </row>
    <row r="2194" spans="20:20" x14ac:dyDescent="0.25">
      <c r="T2194" s="1"/>
    </row>
    <row r="2195" spans="20:20" x14ac:dyDescent="0.25">
      <c r="T2195" s="1"/>
    </row>
    <row r="2196" spans="20:20" x14ac:dyDescent="0.25">
      <c r="T2196" s="1"/>
    </row>
    <row r="2197" spans="20:20" x14ac:dyDescent="0.25">
      <c r="T2197" s="1"/>
    </row>
    <row r="2198" spans="20:20" x14ac:dyDescent="0.25">
      <c r="T2198" s="1"/>
    </row>
    <row r="2199" spans="20:20" x14ac:dyDescent="0.25">
      <c r="T2199" s="1"/>
    </row>
    <row r="2200" spans="20:20" x14ac:dyDescent="0.25">
      <c r="T2200" s="1"/>
    </row>
    <row r="2201" spans="20:20" x14ac:dyDescent="0.25">
      <c r="T2201" s="1"/>
    </row>
    <row r="2202" spans="20:20" x14ac:dyDescent="0.25">
      <c r="T2202" s="1"/>
    </row>
    <row r="2203" spans="20:20" x14ac:dyDescent="0.25">
      <c r="T2203" s="1"/>
    </row>
    <row r="2204" spans="20:20" x14ac:dyDescent="0.25">
      <c r="T2204" s="1"/>
    </row>
    <row r="2205" spans="20:20" x14ac:dyDescent="0.25">
      <c r="T2205" s="1"/>
    </row>
    <row r="2206" spans="20:20" x14ac:dyDescent="0.25">
      <c r="T2206" s="1"/>
    </row>
    <row r="2207" spans="20:20" x14ac:dyDescent="0.25">
      <c r="T2207" s="1"/>
    </row>
    <row r="2208" spans="20:20" x14ac:dyDescent="0.25">
      <c r="T2208" s="1"/>
    </row>
    <row r="2209" spans="20:20" x14ac:dyDescent="0.25">
      <c r="T2209" s="1"/>
    </row>
    <row r="2210" spans="20:20" x14ac:dyDescent="0.25">
      <c r="T2210" s="1"/>
    </row>
    <row r="2211" spans="20:20" x14ac:dyDescent="0.25">
      <c r="T2211" s="1"/>
    </row>
    <row r="2212" spans="20:20" x14ac:dyDescent="0.25">
      <c r="T2212" s="1"/>
    </row>
    <row r="2213" spans="20:20" x14ac:dyDescent="0.25">
      <c r="T2213" s="1"/>
    </row>
    <row r="2214" spans="20:20" x14ac:dyDescent="0.25">
      <c r="T2214" s="1"/>
    </row>
    <row r="2215" spans="20:20" x14ac:dyDescent="0.25">
      <c r="T2215" s="1"/>
    </row>
    <row r="2216" spans="20:20" x14ac:dyDescent="0.25">
      <c r="T2216" s="1"/>
    </row>
    <row r="2217" spans="20:20" x14ac:dyDescent="0.25">
      <c r="T2217" s="1"/>
    </row>
    <row r="2218" spans="20:20" x14ac:dyDescent="0.25">
      <c r="T2218" s="1"/>
    </row>
    <row r="2219" spans="20:20" x14ac:dyDescent="0.25">
      <c r="T2219" s="1"/>
    </row>
    <row r="2220" spans="20:20" x14ac:dyDescent="0.25">
      <c r="T2220" s="1"/>
    </row>
    <row r="2221" spans="20:20" x14ac:dyDescent="0.25">
      <c r="T2221" s="1"/>
    </row>
    <row r="2222" spans="20:20" x14ac:dyDescent="0.25">
      <c r="T2222" s="1"/>
    </row>
    <row r="2223" spans="20:20" x14ac:dyDescent="0.25">
      <c r="T2223" s="1"/>
    </row>
    <row r="2224" spans="20:20" x14ac:dyDescent="0.25">
      <c r="T2224" s="1"/>
    </row>
    <row r="2225" spans="20:20" x14ac:dyDescent="0.25">
      <c r="T2225" s="1"/>
    </row>
    <row r="2226" spans="20:20" x14ac:dyDescent="0.25">
      <c r="T2226" s="1"/>
    </row>
    <row r="2227" spans="20:20" x14ac:dyDescent="0.25">
      <c r="T2227" s="1"/>
    </row>
    <row r="2228" spans="20:20" x14ac:dyDescent="0.25">
      <c r="T2228" s="1"/>
    </row>
    <row r="2229" spans="20:20" x14ac:dyDescent="0.25">
      <c r="T2229" s="1"/>
    </row>
    <row r="2230" spans="20:20" x14ac:dyDescent="0.25">
      <c r="T2230" s="1"/>
    </row>
    <row r="2231" spans="20:20" x14ac:dyDescent="0.25">
      <c r="T2231" s="1"/>
    </row>
    <row r="2232" spans="20:20" x14ac:dyDescent="0.25">
      <c r="T2232" s="1"/>
    </row>
    <row r="2233" spans="20:20" x14ac:dyDescent="0.25">
      <c r="T2233" s="1"/>
    </row>
    <row r="2234" spans="20:20" x14ac:dyDescent="0.25">
      <c r="T2234" s="1"/>
    </row>
    <row r="2235" spans="20:20" x14ac:dyDescent="0.25">
      <c r="T2235" s="1"/>
    </row>
    <row r="2236" spans="20:20" x14ac:dyDescent="0.25">
      <c r="T2236" s="1"/>
    </row>
    <row r="2237" spans="20:20" x14ac:dyDescent="0.25">
      <c r="T2237" s="1"/>
    </row>
    <row r="2238" spans="20:20" x14ac:dyDescent="0.25">
      <c r="T2238" s="1"/>
    </row>
    <row r="2239" spans="20:20" x14ac:dyDescent="0.25">
      <c r="T2239" s="1"/>
    </row>
    <row r="2240" spans="20:20" x14ac:dyDescent="0.25">
      <c r="T2240" s="1"/>
    </row>
    <row r="2241" spans="20:20" x14ac:dyDescent="0.25">
      <c r="T2241" s="1"/>
    </row>
    <row r="2242" spans="20:20" x14ac:dyDescent="0.25">
      <c r="T2242" s="1"/>
    </row>
    <row r="2243" spans="20:20" x14ac:dyDescent="0.25">
      <c r="T2243" s="1"/>
    </row>
    <row r="2244" spans="20:20" x14ac:dyDescent="0.25">
      <c r="T2244" s="1"/>
    </row>
    <row r="2245" spans="20:20" x14ac:dyDescent="0.25">
      <c r="T2245" s="1"/>
    </row>
    <row r="2246" spans="20:20" x14ac:dyDescent="0.25">
      <c r="T2246" s="1"/>
    </row>
    <row r="2247" spans="20:20" x14ac:dyDescent="0.25">
      <c r="T2247" s="1"/>
    </row>
    <row r="2248" spans="20:20" x14ac:dyDescent="0.25">
      <c r="T2248" s="1"/>
    </row>
    <row r="2249" spans="20:20" x14ac:dyDescent="0.25">
      <c r="T2249" s="1"/>
    </row>
    <row r="2250" spans="20:20" x14ac:dyDescent="0.25">
      <c r="T2250" s="1"/>
    </row>
    <row r="2251" spans="20:20" x14ac:dyDescent="0.25">
      <c r="T2251" s="1"/>
    </row>
    <row r="2252" spans="20:20" x14ac:dyDescent="0.25">
      <c r="T2252" s="1"/>
    </row>
    <row r="2253" spans="20:20" x14ac:dyDescent="0.25">
      <c r="T2253" s="1"/>
    </row>
    <row r="2254" spans="20:20" x14ac:dyDescent="0.25">
      <c r="T2254" s="1"/>
    </row>
    <row r="2255" spans="20:20" x14ac:dyDescent="0.25">
      <c r="T2255" s="1"/>
    </row>
    <row r="2256" spans="20:20" x14ac:dyDescent="0.25">
      <c r="T2256" s="1"/>
    </row>
    <row r="2257" spans="20:20" x14ac:dyDescent="0.25">
      <c r="T2257" s="1"/>
    </row>
    <row r="2258" spans="20:20" x14ac:dyDescent="0.25">
      <c r="T2258" s="1"/>
    </row>
    <row r="2259" spans="20:20" x14ac:dyDescent="0.25">
      <c r="T2259" s="1"/>
    </row>
    <row r="2260" spans="20:20" x14ac:dyDescent="0.25">
      <c r="T2260" s="1"/>
    </row>
    <row r="2261" spans="20:20" x14ac:dyDescent="0.25">
      <c r="T2261" s="1"/>
    </row>
    <row r="2262" spans="20:20" x14ac:dyDescent="0.25">
      <c r="T2262" s="1"/>
    </row>
    <row r="2263" spans="20:20" x14ac:dyDescent="0.25">
      <c r="T2263" s="1"/>
    </row>
    <row r="2264" spans="20:20" x14ac:dyDescent="0.25">
      <c r="T2264" s="1"/>
    </row>
    <row r="2265" spans="20:20" x14ac:dyDescent="0.25">
      <c r="T2265" s="1"/>
    </row>
    <row r="2266" spans="20:20" x14ac:dyDescent="0.25">
      <c r="T2266" s="1"/>
    </row>
    <row r="2267" spans="20:20" x14ac:dyDescent="0.25">
      <c r="T2267" s="1"/>
    </row>
    <row r="2268" spans="20:20" x14ac:dyDescent="0.25">
      <c r="T2268" s="1"/>
    </row>
    <row r="2269" spans="20:20" x14ac:dyDescent="0.25">
      <c r="T2269" s="1"/>
    </row>
    <row r="2270" spans="20:20" x14ac:dyDescent="0.25">
      <c r="T2270" s="1"/>
    </row>
    <row r="2271" spans="20:20" x14ac:dyDescent="0.25">
      <c r="T2271" s="1"/>
    </row>
    <row r="2272" spans="20:20" x14ac:dyDescent="0.25">
      <c r="T2272" s="1"/>
    </row>
    <row r="2273" spans="20:20" x14ac:dyDescent="0.25">
      <c r="T2273" s="1"/>
    </row>
    <row r="2274" spans="20:20" x14ac:dyDescent="0.25">
      <c r="T2274" s="1"/>
    </row>
    <row r="2275" spans="20:20" x14ac:dyDescent="0.25">
      <c r="T2275" s="1"/>
    </row>
    <row r="2276" spans="20:20" x14ac:dyDescent="0.25">
      <c r="T2276" s="1"/>
    </row>
    <row r="2277" spans="20:20" x14ac:dyDescent="0.25">
      <c r="T2277" s="1"/>
    </row>
    <row r="2278" spans="20:20" x14ac:dyDescent="0.25">
      <c r="T2278" s="1"/>
    </row>
    <row r="2279" spans="20:20" x14ac:dyDescent="0.25">
      <c r="T2279" s="1"/>
    </row>
    <row r="2280" spans="20:20" x14ac:dyDescent="0.25">
      <c r="T2280" s="1"/>
    </row>
    <row r="2281" spans="20:20" x14ac:dyDescent="0.25">
      <c r="T2281" s="1"/>
    </row>
    <row r="2282" spans="20:20" x14ac:dyDescent="0.25">
      <c r="T2282" s="1"/>
    </row>
    <row r="2283" spans="20:20" x14ac:dyDescent="0.25">
      <c r="T2283" s="1"/>
    </row>
    <row r="2284" spans="20:20" x14ac:dyDescent="0.25">
      <c r="T2284" s="1"/>
    </row>
    <row r="2285" spans="20:20" x14ac:dyDescent="0.25">
      <c r="T2285" s="1"/>
    </row>
    <row r="2286" spans="20:20" x14ac:dyDescent="0.25">
      <c r="T2286" s="1"/>
    </row>
    <row r="2287" spans="20:20" x14ac:dyDescent="0.25">
      <c r="T2287" s="1"/>
    </row>
    <row r="2288" spans="20:20" x14ac:dyDescent="0.25">
      <c r="T2288" s="1"/>
    </row>
    <row r="2289" spans="20:20" x14ac:dyDescent="0.25">
      <c r="T2289" s="1"/>
    </row>
    <row r="2290" spans="20:20" x14ac:dyDescent="0.25">
      <c r="T2290" s="1"/>
    </row>
    <row r="2291" spans="20:20" x14ac:dyDescent="0.25">
      <c r="T2291" s="1"/>
    </row>
    <row r="2292" spans="20:20" x14ac:dyDescent="0.25">
      <c r="T2292" s="1"/>
    </row>
    <row r="2293" spans="20:20" x14ac:dyDescent="0.25">
      <c r="T2293" s="1"/>
    </row>
    <row r="2294" spans="20:20" x14ac:dyDescent="0.25">
      <c r="T2294" s="1"/>
    </row>
    <row r="2295" spans="20:20" x14ac:dyDescent="0.25">
      <c r="T2295" s="1"/>
    </row>
    <row r="2296" spans="20:20" x14ac:dyDescent="0.25">
      <c r="T2296" s="1"/>
    </row>
    <row r="2297" spans="20:20" x14ac:dyDescent="0.25">
      <c r="T2297" s="1"/>
    </row>
    <row r="2298" spans="20:20" x14ac:dyDescent="0.25">
      <c r="T2298" s="1"/>
    </row>
    <row r="2299" spans="20:20" x14ac:dyDescent="0.25">
      <c r="T2299" s="1"/>
    </row>
    <row r="2300" spans="20:20" x14ac:dyDescent="0.25">
      <c r="T2300" s="1"/>
    </row>
    <row r="2301" spans="20:20" x14ac:dyDescent="0.25">
      <c r="T2301" s="1"/>
    </row>
    <row r="2302" spans="20:20" x14ac:dyDescent="0.25">
      <c r="T2302" s="1"/>
    </row>
    <row r="2303" spans="20:20" x14ac:dyDescent="0.25">
      <c r="T2303" s="1"/>
    </row>
    <row r="2304" spans="20:20" x14ac:dyDescent="0.25">
      <c r="T2304" s="1"/>
    </row>
    <row r="2305" spans="20:20" x14ac:dyDescent="0.25">
      <c r="T2305" s="1"/>
    </row>
    <row r="2306" spans="20:20" x14ac:dyDescent="0.25">
      <c r="T2306" s="1"/>
    </row>
    <row r="2307" spans="20:20" x14ac:dyDescent="0.25">
      <c r="T2307" s="1"/>
    </row>
    <row r="2308" spans="20:20" x14ac:dyDescent="0.25">
      <c r="T2308" s="1"/>
    </row>
    <row r="2309" spans="20:20" x14ac:dyDescent="0.25">
      <c r="T2309" s="1"/>
    </row>
    <row r="2310" spans="20:20" x14ac:dyDescent="0.25">
      <c r="T2310" s="1"/>
    </row>
    <row r="2311" spans="20:20" x14ac:dyDescent="0.25">
      <c r="T2311" s="1"/>
    </row>
    <row r="2312" spans="20:20" x14ac:dyDescent="0.25">
      <c r="T2312" s="1"/>
    </row>
    <row r="2313" spans="20:20" x14ac:dyDescent="0.25">
      <c r="T2313" s="1"/>
    </row>
    <row r="2314" spans="20:20" x14ac:dyDescent="0.25">
      <c r="T2314" s="1"/>
    </row>
    <row r="2315" spans="20:20" x14ac:dyDescent="0.25">
      <c r="T2315" s="1"/>
    </row>
    <row r="2316" spans="20:20" x14ac:dyDescent="0.25">
      <c r="T2316" s="1"/>
    </row>
    <row r="2317" spans="20:20" x14ac:dyDescent="0.25">
      <c r="T2317" s="1"/>
    </row>
    <row r="2318" spans="20:20" x14ac:dyDescent="0.25">
      <c r="T2318" s="1"/>
    </row>
    <row r="2319" spans="20:20" x14ac:dyDescent="0.25">
      <c r="T2319" s="1"/>
    </row>
    <row r="2320" spans="20:20" x14ac:dyDescent="0.25">
      <c r="T2320" s="1"/>
    </row>
    <row r="2321" spans="20:20" x14ac:dyDescent="0.25">
      <c r="T2321" s="1"/>
    </row>
    <row r="2322" spans="20:20" x14ac:dyDescent="0.25">
      <c r="T2322" s="1"/>
    </row>
    <row r="2323" spans="20:20" x14ac:dyDescent="0.25">
      <c r="T2323" s="1"/>
    </row>
    <row r="2324" spans="20:20" x14ac:dyDescent="0.25">
      <c r="T2324" s="1"/>
    </row>
    <row r="2325" spans="20:20" x14ac:dyDescent="0.25">
      <c r="T2325" s="1"/>
    </row>
    <row r="2326" spans="20:20" x14ac:dyDescent="0.25">
      <c r="T2326" s="1"/>
    </row>
    <row r="2327" spans="20:20" x14ac:dyDescent="0.25">
      <c r="T2327" s="1"/>
    </row>
    <row r="2328" spans="20:20" x14ac:dyDescent="0.25">
      <c r="T2328" s="1"/>
    </row>
    <row r="2329" spans="20:20" x14ac:dyDescent="0.25">
      <c r="T2329" s="1"/>
    </row>
    <row r="2330" spans="20:20" x14ac:dyDescent="0.25">
      <c r="T2330" s="1"/>
    </row>
    <row r="2331" spans="20:20" x14ac:dyDescent="0.25">
      <c r="T2331" s="1"/>
    </row>
    <row r="2332" spans="20:20" x14ac:dyDescent="0.25">
      <c r="T2332" s="1"/>
    </row>
    <row r="2333" spans="20:20" x14ac:dyDescent="0.25">
      <c r="T2333" s="1"/>
    </row>
    <row r="2334" spans="20:20" x14ac:dyDescent="0.25">
      <c r="T2334" s="1"/>
    </row>
    <row r="2335" spans="20:20" x14ac:dyDescent="0.25">
      <c r="T2335" s="1"/>
    </row>
    <row r="2336" spans="20:20" x14ac:dyDescent="0.25">
      <c r="T2336" s="1"/>
    </row>
    <row r="2337" spans="20:20" x14ac:dyDescent="0.25">
      <c r="T2337" s="1"/>
    </row>
    <row r="2338" spans="20:20" x14ac:dyDescent="0.25">
      <c r="T2338" s="1"/>
    </row>
    <row r="2339" spans="20:20" x14ac:dyDescent="0.25">
      <c r="T2339" s="1"/>
    </row>
    <row r="2340" spans="20:20" x14ac:dyDescent="0.25">
      <c r="T2340" s="1"/>
    </row>
    <row r="2341" spans="20:20" x14ac:dyDescent="0.25">
      <c r="T2341" s="1"/>
    </row>
    <row r="2342" spans="20:20" x14ac:dyDescent="0.25">
      <c r="T2342" s="1"/>
    </row>
    <row r="2343" spans="20:20" x14ac:dyDescent="0.25">
      <c r="T2343" s="1"/>
    </row>
    <row r="2344" spans="20:20" x14ac:dyDescent="0.25">
      <c r="T2344" s="1"/>
    </row>
    <row r="2345" spans="20:20" x14ac:dyDescent="0.25">
      <c r="T2345" s="1"/>
    </row>
    <row r="2346" spans="20:20" x14ac:dyDescent="0.25">
      <c r="T2346" s="1"/>
    </row>
    <row r="2347" spans="20:20" x14ac:dyDescent="0.25">
      <c r="T2347" s="1"/>
    </row>
    <row r="2348" spans="20:20" x14ac:dyDescent="0.25">
      <c r="T2348" s="1"/>
    </row>
    <row r="2349" spans="20:20" x14ac:dyDescent="0.25">
      <c r="T2349" s="1"/>
    </row>
    <row r="2350" spans="20:20" x14ac:dyDescent="0.25">
      <c r="T2350" s="1"/>
    </row>
    <row r="2351" spans="20:20" x14ac:dyDescent="0.25">
      <c r="T2351" s="1"/>
    </row>
    <row r="2352" spans="20:20" x14ac:dyDescent="0.25">
      <c r="T2352" s="1"/>
    </row>
    <row r="2353" spans="20:20" x14ac:dyDescent="0.25">
      <c r="T2353" s="1"/>
    </row>
    <row r="2354" spans="20:20" x14ac:dyDescent="0.25">
      <c r="T2354" s="1"/>
    </row>
    <row r="2355" spans="20:20" x14ac:dyDescent="0.25">
      <c r="T2355" s="1"/>
    </row>
    <row r="2356" spans="20:20" x14ac:dyDescent="0.25">
      <c r="T2356" s="1"/>
    </row>
    <row r="2357" spans="20:20" x14ac:dyDescent="0.25">
      <c r="T2357" s="1"/>
    </row>
    <row r="2358" spans="20:20" x14ac:dyDescent="0.25">
      <c r="T2358" s="1"/>
    </row>
    <row r="2359" spans="20:20" x14ac:dyDescent="0.25">
      <c r="T2359" s="1"/>
    </row>
    <row r="2360" spans="20:20" x14ac:dyDescent="0.25">
      <c r="T2360" s="1"/>
    </row>
    <row r="2361" spans="20:20" x14ac:dyDescent="0.25">
      <c r="T2361" s="1"/>
    </row>
    <row r="2362" spans="20:20" x14ac:dyDescent="0.25">
      <c r="T2362" s="1"/>
    </row>
    <row r="2363" spans="20:20" x14ac:dyDescent="0.25">
      <c r="T2363" s="1"/>
    </row>
    <row r="2364" spans="20:20" x14ac:dyDescent="0.25">
      <c r="T2364" s="1"/>
    </row>
    <row r="2365" spans="20:20" x14ac:dyDescent="0.25">
      <c r="T2365" s="1"/>
    </row>
    <row r="2366" spans="20:20" x14ac:dyDescent="0.25">
      <c r="T2366" s="1"/>
    </row>
    <row r="2367" spans="20:20" x14ac:dyDescent="0.25">
      <c r="T2367" s="1"/>
    </row>
    <row r="2368" spans="20:20" x14ac:dyDescent="0.25">
      <c r="T2368" s="1"/>
    </row>
    <row r="2369" spans="20:20" x14ac:dyDescent="0.25">
      <c r="T2369" s="1"/>
    </row>
    <row r="2370" spans="20:20" x14ac:dyDescent="0.25">
      <c r="T2370" s="1"/>
    </row>
    <row r="2371" spans="20:20" x14ac:dyDescent="0.25">
      <c r="T2371" s="1"/>
    </row>
    <row r="2372" spans="20:20" x14ac:dyDescent="0.25">
      <c r="T2372" s="1"/>
    </row>
    <row r="2373" spans="20:20" x14ac:dyDescent="0.25">
      <c r="T2373" s="1"/>
    </row>
    <row r="2374" spans="20:20" x14ac:dyDescent="0.25">
      <c r="T2374" s="1"/>
    </row>
    <row r="2375" spans="20:20" x14ac:dyDescent="0.25">
      <c r="T2375" s="1"/>
    </row>
    <row r="2376" spans="20:20" x14ac:dyDescent="0.25">
      <c r="T2376" s="1"/>
    </row>
    <row r="2377" spans="20:20" x14ac:dyDescent="0.25">
      <c r="T2377" s="1"/>
    </row>
    <row r="2378" spans="20:20" x14ac:dyDescent="0.25">
      <c r="T2378" s="1"/>
    </row>
    <row r="2379" spans="20:20" x14ac:dyDescent="0.25">
      <c r="T2379" s="1"/>
    </row>
    <row r="2380" spans="20:20" x14ac:dyDescent="0.25">
      <c r="T2380" s="1"/>
    </row>
    <row r="2381" spans="20:20" x14ac:dyDescent="0.25">
      <c r="T2381" s="1"/>
    </row>
    <row r="2382" spans="20:20" x14ac:dyDescent="0.25">
      <c r="T2382" s="1"/>
    </row>
    <row r="2383" spans="20:20" x14ac:dyDescent="0.25">
      <c r="T2383" s="1"/>
    </row>
    <row r="2384" spans="20:20" x14ac:dyDescent="0.25">
      <c r="T2384" s="1"/>
    </row>
    <row r="2385" spans="20:20" x14ac:dyDescent="0.25">
      <c r="T2385" s="1"/>
    </row>
    <row r="2386" spans="20:20" x14ac:dyDescent="0.25">
      <c r="T2386" s="1"/>
    </row>
    <row r="2387" spans="20:20" x14ac:dyDescent="0.25">
      <c r="T2387" s="1"/>
    </row>
    <row r="2388" spans="20:20" x14ac:dyDescent="0.25">
      <c r="T2388" s="1"/>
    </row>
    <row r="2389" spans="20:20" x14ac:dyDescent="0.25">
      <c r="T2389" s="1"/>
    </row>
    <row r="2390" spans="20:20" x14ac:dyDescent="0.25">
      <c r="T2390" s="1"/>
    </row>
    <row r="2391" spans="20:20" x14ac:dyDescent="0.25">
      <c r="T2391" s="1"/>
    </row>
    <row r="2392" spans="20:20" x14ac:dyDescent="0.25">
      <c r="T2392" s="1"/>
    </row>
    <row r="2393" spans="20:20" x14ac:dyDescent="0.25">
      <c r="T2393" s="1"/>
    </row>
    <row r="2394" spans="20:20" x14ac:dyDescent="0.25">
      <c r="T2394" s="1"/>
    </row>
    <row r="2395" spans="20:20" x14ac:dyDescent="0.25">
      <c r="T2395" s="1"/>
    </row>
    <row r="2396" spans="20:20" x14ac:dyDescent="0.25">
      <c r="T2396" s="1"/>
    </row>
    <row r="2397" spans="20:20" x14ac:dyDescent="0.25">
      <c r="T2397" s="1"/>
    </row>
    <row r="2398" spans="20:20" x14ac:dyDescent="0.25">
      <c r="T2398" s="1"/>
    </row>
    <row r="2399" spans="20:20" x14ac:dyDescent="0.25">
      <c r="T2399" s="1"/>
    </row>
    <row r="2400" spans="20:20" x14ac:dyDescent="0.25">
      <c r="T2400" s="1"/>
    </row>
    <row r="2401" spans="20:20" x14ac:dyDescent="0.25">
      <c r="T2401" s="1"/>
    </row>
    <row r="2402" spans="20:20" x14ac:dyDescent="0.25">
      <c r="T2402" s="1"/>
    </row>
    <row r="2403" spans="20:20" x14ac:dyDescent="0.25">
      <c r="T2403" s="1"/>
    </row>
    <row r="2404" spans="20:20" x14ac:dyDescent="0.25">
      <c r="T2404" s="1"/>
    </row>
    <row r="2405" spans="20:20" x14ac:dyDescent="0.25">
      <c r="T2405" s="1"/>
    </row>
    <row r="2406" spans="20:20" x14ac:dyDescent="0.25">
      <c r="T2406" s="1"/>
    </row>
    <row r="2407" spans="20:20" x14ac:dyDescent="0.25">
      <c r="T2407" s="1"/>
    </row>
    <row r="2408" spans="20:20" x14ac:dyDescent="0.25">
      <c r="T2408" s="1"/>
    </row>
    <row r="2409" spans="20:20" x14ac:dyDescent="0.25">
      <c r="T2409" s="1"/>
    </row>
    <row r="2410" spans="20:20" x14ac:dyDescent="0.25">
      <c r="T2410" s="1"/>
    </row>
    <row r="2411" spans="20:20" x14ac:dyDescent="0.25">
      <c r="T2411" s="1"/>
    </row>
    <row r="2412" spans="20:20" x14ac:dyDescent="0.25">
      <c r="T2412" s="1"/>
    </row>
    <row r="2413" spans="20:20" x14ac:dyDescent="0.25">
      <c r="T2413" s="1"/>
    </row>
    <row r="2414" spans="20:20" x14ac:dyDescent="0.25">
      <c r="T2414" s="1"/>
    </row>
    <row r="2415" spans="20:20" x14ac:dyDescent="0.25">
      <c r="T2415" s="1"/>
    </row>
    <row r="2416" spans="20:20" x14ac:dyDescent="0.25">
      <c r="T2416" s="1"/>
    </row>
    <row r="2417" spans="20:20" x14ac:dyDescent="0.25">
      <c r="T2417" s="1"/>
    </row>
    <row r="2418" spans="20:20" x14ac:dyDescent="0.25">
      <c r="T2418" s="1"/>
    </row>
    <row r="2419" spans="20:20" x14ac:dyDescent="0.25">
      <c r="T2419" s="1"/>
    </row>
    <row r="2420" spans="20:20" x14ac:dyDescent="0.25">
      <c r="T2420" s="1"/>
    </row>
    <row r="2421" spans="20:20" x14ac:dyDescent="0.25">
      <c r="T2421" s="1"/>
    </row>
    <row r="2422" spans="20:20" x14ac:dyDescent="0.25">
      <c r="T2422" s="1"/>
    </row>
    <row r="2423" spans="20:20" x14ac:dyDescent="0.25">
      <c r="T2423" s="1"/>
    </row>
    <row r="2424" spans="20:20" x14ac:dyDescent="0.25">
      <c r="T2424" s="1"/>
    </row>
    <row r="2425" spans="20:20" x14ac:dyDescent="0.25">
      <c r="T2425" s="1"/>
    </row>
    <row r="2426" spans="20:20" x14ac:dyDescent="0.25">
      <c r="T2426" s="1"/>
    </row>
    <row r="2427" spans="20:20" x14ac:dyDescent="0.25">
      <c r="T2427" s="1"/>
    </row>
    <row r="2428" spans="20:20" x14ac:dyDescent="0.25">
      <c r="T2428" s="1"/>
    </row>
    <row r="2429" spans="20:20" x14ac:dyDescent="0.25">
      <c r="T2429" s="1"/>
    </row>
    <row r="2430" spans="20:20" x14ac:dyDescent="0.25">
      <c r="T2430" s="1"/>
    </row>
    <row r="2431" spans="20:20" x14ac:dyDescent="0.25">
      <c r="T2431" s="1"/>
    </row>
    <row r="2432" spans="20:20" x14ac:dyDescent="0.25">
      <c r="T2432" s="1"/>
    </row>
    <row r="2433" spans="20:20" x14ac:dyDescent="0.25">
      <c r="T2433" s="1"/>
    </row>
    <row r="2434" spans="20:20" x14ac:dyDescent="0.25">
      <c r="T2434" s="1"/>
    </row>
    <row r="2435" spans="20:20" x14ac:dyDescent="0.25">
      <c r="T2435" s="1"/>
    </row>
    <row r="2436" spans="20:20" x14ac:dyDescent="0.25">
      <c r="T2436" s="1"/>
    </row>
    <row r="2437" spans="20:20" x14ac:dyDescent="0.25">
      <c r="T2437" s="1"/>
    </row>
    <row r="2438" spans="20:20" x14ac:dyDescent="0.25">
      <c r="T2438" s="1"/>
    </row>
    <row r="2439" spans="20:20" x14ac:dyDescent="0.25">
      <c r="T2439" s="1"/>
    </row>
    <row r="2440" spans="20:20" x14ac:dyDescent="0.25">
      <c r="T2440" s="1"/>
    </row>
    <row r="2441" spans="20:20" x14ac:dyDescent="0.25">
      <c r="T2441" s="1"/>
    </row>
    <row r="2442" spans="20:20" x14ac:dyDescent="0.25">
      <c r="T2442" s="1"/>
    </row>
    <row r="2443" spans="20:20" x14ac:dyDescent="0.25">
      <c r="T2443" s="1"/>
    </row>
    <row r="2444" spans="20:20" x14ac:dyDescent="0.25">
      <c r="T2444" s="1"/>
    </row>
    <row r="2445" spans="20:20" x14ac:dyDescent="0.25">
      <c r="T2445" s="1"/>
    </row>
    <row r="2446" spans="20:20" x14ac:dyDescent="0.25">
      <c r="T2446" s="1"/>
    </row>
    <row r="2447" spans="20:20" x14ac:dyDescent="0.25">
      <c r="T2447" s="1"/>
    </row>
    <row r="2448" spans="20:20" x14ac:dyDescent="0.25">
      <c r="T2448" s="1"/>
    </row>
    <row r="2449" spans="20:20" x14ac:dyDescent="0.25">
      <c r="T2449" s="1"/>
    </row>
    <row r="2450" spans="20:20" x14ac:dyDescent="0.25">
      <c r="T2450" s="1"/>
    </row>
    <row r="2451" spans="20:20" x14ac:dyDescent="0.25">
      <c r="T2451" s="1"/>
    </row>
    <row r="2452" spans="20:20" x14ac:dyDescent="0.25">
      <c r="T2452" s="1"/>
    </row>
    <row r="2453" spans="20:20" x14ac:dyDescent="0.25">
      <c r="T2453" s="1"/>
    </row>
    <row r="2454" spans="20:20" x14ac:dyDescent="0.25">
      <c r="T2454" s="1"/>
    </row>
    <row r="2455" spans="20:20" x14ac:dyDescent="0.25">
      <c r="T2455" s="1"/>
    </row>
    <row r="2456" spans="20:20" x14ac:dyDescent="0.25">
      <c r="T2456" s="1"/>
    </row>
    <row r="2457" spans="20:20" x14ac:dyDescent="0.25">
      <c r="T2457" s="1"/>
    </row>
    <row r="2458" spans="20:20" x14ac:dyDescent="0.25">
      <c r="T2458" s="1"/>
    </row>
    <row r="2459" spans="20:20" x14ac:dyDescent="0.25">
      <c r="T2459" s="1"/>
    </row>
    <row r="2460" spans="20:20" x14ac:dyDescent="0.25">
      <c r="T2460" s="1"/>
    </row>
    <row r="2461" spans="20:20" x14ac:dyDescent="0.25">
      <c r="T2461" s="1"/>
    </row>
    <row r="2462" spans="20:20" x14ac:dyDescent="0.25">
      <c r="T2462" s="1"/>
    </row>
    <row r="2463" spans="20:20" x14ac:dyDescent="0.25">
      <c r="T2463" s="1"/>
    </row>
    <row r="2464" spans="20:20" x14ac:dyDescent="0.25">
      <c r="T2464" s="1"/>
    </row>
    <row r="2465" spans="20:20" x14ac:dyDescent="0.25">
      <c r="T2465" s="1"/>
    </row>
    <row r="2466" spans="20:20" x14ac:dyDescent="0.25">
      <c r="T2466" s="1"/>
    </row>
    <row r="2467" spans="20:20" x14ac:dyDescent="0.25">
      <c r="T2467" s="1"/>
    </row>
    <row r="2468" spans="20:20" x14ac:dyDescent="0.25">
      <c r="T2468" s="1"/>
    </row>
    <row r="2469" spans="20:20" x14ac:dyDescent="0.25">
      <c r="T2469" s="1"/>
    </row>
    <row r="2470" spans="20:20" x14ac:dyDescent="0.25">
      <c r="T2470" s="1"/>
    </row>
    <row r="2471" spans="20:20" x14ac:dyDescent="0.25">
      <c r="T2471" s="1"/>
    </row>
    <row r="2472" spans="20:20" x14ac:dyDescent="0.25">
      <c r="T2472" s="1"/>
    </row>
    <row r="2473" spans="20:20" x14ac:dyDescent="0.25">
      <c r="T2473" s="1"/>
    </row>
    <row r="2474" spans="20:20" x14ac:dyDescent="0.25">
      <c r="T2474" s="1"/>
    </row>
    <row r="2475" spans="20:20" x14ac:dyDescent="0.25">
      <c r="T2475" s="1"/>
    </row>
    <row r="2476" spans="20:20" x14ac:dyDescent="0.25">
      <c r="T2476" s="1"/>
    </row>
    <row r="2477" spans="20:20" x14ac:dyDescent="0.25">
      <c r="T2477" s="1"/>
    </row>
    <row r="2478" spans="20:20" x14ac:dyDescent="0.25">
      <c r="T2478" s="1"/>
    </row>
    <row r="2479" spans="20:20" x14ac:dyDescent="0.25">
      <c r="T2479" s="1"/>
    </row>
    <row r="2480" spans="20:20" x14ac:dyDescent="0.25">
      <c r="T2480" s="1"/>
    </row>
    <row r="2481" spans="20:20" x14ac:dyDescent="0.25">
      <c r="T2481" s="1"/>
    </row>
    <row r="2482" spans="20:20" x14ac:dyDescent="0.25">
      <c r="T2482" s="1"/>
    </row>
    <row r="2483" spans="20:20" x14ac:dyDescent="0.25">
      <c r="T2483" s="1"/>
    </row>
    <row r="2484" spans="20:20" x14ac:dyDescent="0.25">
      <c r="T2484" s="1"/>
    </row>
    <row r="2485" spans="20:20" x14ac:dyDescent="0.25">
      <c r="T2485" s="1"/>
    </row>
    <row r="2486" spans="20:20" x14ac:dyDescent="0.25">
      <c r="T2486" s="1"/>
    </row>
    <row r="2487" spans="20:20" x14ac:dyDescent="0.25">
      <c r="T2487" s="1"/>
    </row>
    <row r="2488" spans="20:20" x14ac:dyDescent="0.25">
      <c r="T2488" s="1"/>
    </row>
    <row r="2489" spans="20:20" x14ac:dyDescent="0.25">
      <c r="T2489" s="1"/>
    </row>
    <row r="2490" spans="20:20" x14ac:dyDescent="0.25">
      <c r="T2490" s="1"/>
    </row>
    <row r="2491" spans="20:20" x14ac:dyDescent="0.25">
      <c r="T2491" s="1"/>
    </row>
    <row r="2492" spans="20:20" x14ac:dyDescent="0.25">
      <c r="T2492" s="1"/>
    </row>
    <row r="2493" spans="20:20" x14ac:dyDescent="0.25">
      <c r="T2493" s="1"/>
    </row>
    <row r="2494" spans="20:20" x14ac:dyDescent="0.25">
      <c r="T2494" s="1"/>
    </row>
    <row r="2495" spans="20:20" x14ac:dyDescent="0.25">
      <c r="T2495" s="1"/>
    </row>
    <row r="2496" spans="20:20" x14ac:dyDescent="0.25">
      <c r="T2496" s="1"/>
    </row>
    <row r="2497" spans="20:20" x14ac:dyDescent="0.25">
      <c r="T2497" s="1"/>
    </row>
    <row r="2498" spans="20:20" x14ac:dyDescent="0.25">
      <c r="T2498" s="1"/>
    </row>
    <row r="2499" spans="20:20" x14ac:dyDescent="0.25">
      <c r="T2499" s="1"/>
    </row>
    <row r="2500" spans="20:20" x14ac:dyDescent="0.25">
      <c r="T2500" s="1"/>
    </row>
    <row r="2501" spans="20:20" x14ac:dyDescent="0.25">
      <c r="T2501" s="1"/>
    </row>
    <row r="2502" spans="20:20" x14ac:dyDescent="0.25">
      <c r="T2502" s="1"/>
    </row>
    <row r="2503" spans="20:20" x14ac:dyDescent="0.25">
      <c r="T2503" s="1"/>
    </row>
    <row r="2504" spans="20:20" x14ac:dyDescent="0.25">
      <c r="T2504" s="1"/>
    </row>
    <row r="2505" spans="20:20" x14ac:dyDescent="0.25">
      <c r="T2505" s="1"/>
    </row>
    <row r="2506" spans="20:20" x14ac:dyDescent="0.25">
      <c r="T2506" s="1"/>
    </row>
    <row r="2507" spans="20:20" x14ac:dyDescent="0.25">
      <c r="T2507" s="1"/>
    </row>
    <row r="2508" spans="20:20" x14ac:dyDescent="0.25">
      <c r="T2508" s="1"/>
    </row>
    <row r="2509" spans="20:20" x14ac:dyDescent="0.25">
      <c r="T2509" s="1"/>
    </row>
    <row r="2510" spans="20:20" x14ac:dyDescent="0.25">
      <c r="T2510" s="1"/>
    </row>
    <row r="2511" spans="20:20" x14ac:dyDescent="0.25">
      <c r="T2511" s="1"/>
    </row>
    <row r="2512" spans="20:20" x14ac:dyDescent="0.25">
      <c r="T2512" s="1"/>
    </row>
    <row r="2513" spans="20:20" x14ac:dyDescent="0.25">
      <c r="T2513" s="1"/>
    </row>
    <row r="2514" spans="20:20" x14ac:dyDescent="0.25">
      <c r="T2514" s="1"/>
    </row>
    <row r="2515" spans="20:20" x14ac:dyDescent="0.25">
      <c r="T2515" s="1"/>
    </row>
    <row r="2516" spans="20:20" x14ac:dyDescent="0.25">
      <c r="T2516" s="1"/>
    </row>
    <row r="2517" spans="20:20" x14ac:dyDescent="0.25">
      <c r="T2517" s="1"/>
    </row>
    <row r="2518" spans="20:20" x14ac:dyDescent="0.25">
      <c r="T2518" s="1"/>
    </row>
    <row r="2519" spans="20:20" x14ac:dyDescent="0.25">
      <c r="T2519" s="1"/>
    </row>
    <row r="2520" spans="20:20" x14ac:dyDescent="0.25">
      <c r="T2520" s="1"/>
    </row>
    <row r="2521" spans="20:20" x14ac:dyDescent="0.25">
      <c r="T2521" s="1"/>
    </row>
    <row r="2522" spans="20:20" x14ac:dyDescent="0.25">
      <c r="T2522" s="1"/>
    </row>
    <row r="2523" spans="20:20" x14ac:dyDescent="0.25">
      <c r="T2523" s="1"/>
    </row>
    <row r="2524" spans="20:20" x14ac:dyDescent="0.25">
      <c r="T2524" s="1"/>
    </row>
    <row r="2525" spans="20:20" x14ac:dyDescent="0.25">
      <c r="T2525" s="1"/>
    </row>
    <row r="2526" spans="20:20" x14ac:dyDescent="0.25">
      <c r="T2526" s="1"/>
    </row>
    <row r="2527" spans="20:20" x14ac:dyDescent="0.25">
      <c r="T2527" s="1"/>
    </row>
    <row r="2528" spans="20:20" x14ac:dyDescent="0.25">
      <c r="T2528" s="1"/>
    </row>
    <row r="2529" spans="20:20" x14ac:dyDescent="0.25">
      <c r="T2529" s="1"/>
    </row>
    <row r="2530" spans="20:20" x14ac:dyDescent="0.25">
      <c r="T2530" s="1"/>
    </row>
    <row r="2531" spans="20:20" x14ac:dyDescent="0.25">
      <c r="T2531" s="1"/>
    </row>
    <row r="2532" spans="20:20" x14ac:dyDescent="0.25">
      <c r="T2532" s="1"/>
    </row>
    <row r="2533" spans="20:20" x14ac:dyDescent="0.25">
      <c r="T2533" s="1"/>
    </row>
    <row r="2534" spans="20:20" x14ac:dyDescent="0.25">
      <c r="T2534" s="1"/>
    </row>
    <row r="2535" spans="20:20" x14ac:dyDescent="0.25">
      <c r="T2535" s="1"/>
    </row>
    <row r="2536" spans="20:20" x14ac:dyDescent="0.25">
      <c r="T2536" s="1"/>
    </row>
    <row r="2537" spans="20:20" x14ac:dyDescent="0.25">
      <c r="T2537" s="1"/>
    </row>
    <row r="2538" spans="20:20" x14ac:dyDescent="0.25">
      <c r="T2538" s="1"/>
    </row>
    <row r="2539" spans="20:20" x14ac:dyDescent="0.25">
      <c r="T2539" s="1"/>
    </row>
    <row r="2540" spans="20:20" x14ac:dyDescent="0.25">
      <c r="T2540" s="1"/>
    </row>
    <row r="2541" spans="20:20" x14ac:dyDescent="0.25">
      <c r="T2541" s="1"/>
    </row>
    <row r="2542" spans="20:20" x14ac:dyDescent="0.25">
      <c r="T2542" s="1"/>
    </row>
    <row r="2543" spans="20:20" x14ac:dyDescent="0.25">
      <c r="T2543" s="1"/>
    </row>
    <row r="2544" spans="20:20" x14ac:dyDescent="0.25">
      <c r="T2544" s="1"/>
    </row>
    <row r="2545" spans="20:20" x14ac:dyDescent="0.25">
      <c r="T2545" s="1"/>
    </row>
    <row r="2546" spans="20:20" x14ac:dyDescent="0.25">
      <c r="T2546" s="1"/>
    </row>
    <row r="2547" spans="20:20" x14ac:dyDescent="0.25">
      <c r="T2547" s="1"/>
    </row>
    <row r="2548" spans="20:20" x14ac:dyDescent="0.25">
      <c r="T2548" s="1"/>
    </row>
    <row r="2549" spans="20:20" x14ac:dyDescent="0.25">
      <c r="T2549" s="1"/>
    </row>
    <row r="2550" spans="20:20" x14ac:dyDescent="0.25">
      <c r="T2550" s="1"/>
    </row>
    <row r="2551" spans="20:20" x14ac:dyDescent="0.25">
      <c r="T2551" s="1"/>
    </row>
    <row r="2552" spans="20:20" x14ac:dyDescent="0.25">
      <c r="T2552" s="1"/>
    </row>
    <row r="2553" spans="20:20" x14ac:dyDescent="0.25">
      <c r="T2553" s="1"/>
    </row>
    <row r="2554" spans="20:20" x14ac:dyDescent="0.25">
      <c r="T2554" s="1"/>
    </row>
    <row r="2555" spans="20:20" x14ac:dyDescent="0.25">
      <c r="T2555" s="1"/>
    </row>
    <row r="2556" spans="20:20" x14ac:dyDescent="0.25">
      <c r="T2556" s="1"/>
    </row>
    <row r="2557" spans="20:20" x14ac:dyDescent="0.25">
      <c r="T2557" s="1"/>
    </row>
    <row r="2558" spans="20:20" x14ac:dyDescent="0.25">
      <c r="T2558" s="1"/>
    </row>
    <row r="2559" spans="20:20" x14ac:dyDescent="0.25">
      <c r="T2559" s="1"/>
    </row>
    <row r="2560" spans="20:20" x14ac:dyDescent="0.25">
      <c r="T2560" s="1"/>
    </row>
    <row r="2561" spans="20:20" x14ac:dyDescent="0.25">
      <c r="T2561" s="1"/>
    </row>
    <row r="2562" spans="20:20" x14ac:dyDescent="0.25">
      <c r="T2562" s="1"/>
    </row>
    <row r="2563" spans="20:20" x14ac:dyDescent="0.25">
      <c r="T2563" s="1"/>
    </row>
    <row r="2564" spans="20:20" x14ac:dyDescent="0.25">
      <c r="T2564" s="1"/>
    </row>
    <row r="2565" spans="20:20" x14ac:dyDescent="0.25">
      <c r="T2565" s="1"/>
    </row>
    <row r="2566" spans="20:20" x14ac:dyDescent="0.25">
      <c r="T2566" s="1"/>
    </row>
    <row r="2567" spans="20:20" x14ac:dyDescent="0.25">
      <c r="T2567" s="1"/>
    </row>
    <row r="2568" spans="20:20" x14ac:dyDescent="0.25">
      <c r="T2568" s="1"/>
    </row>
    <row r="2569" spans="20:20" x14ac:dyDescent="0.25">
      <c r="T2569" s="1"/>
    </row>
    <row r="2570" spans="20:20" x14ac:dyDescent="0.25">
      <c r="T2570" s="1"/>
    </row>
    <row r="2571" spans="20:20" x14ac:dyDescent="0.25">
      <c r="T2571" s="1"/>
    </row>
    <row r="2572" spans="20:20" x14ac:dyDescent="0.25">
      <c r="T2572" s="1"/>
    </row>
    <row r="2573" spans="20:20" x14ac:dyDescent="0.25">
      <c r="T2573" s="1"/>
    </row>
    <row r="2574" spans="20:20" x14ac:dyDescent="0.25">
      <c r="T2574" s="1"/>
    </row>
    <row r="2575" spans="20:20" x14ac:dyDescent="0.25">
      <c r="T2575" s="1"/>
    </row>
    <row r="2576" spans="20:20" x14ac:dyDescent="0.25">
      <c r="T2576" s="1"/>
    </row>
    <row r="2577" spans="20:20" x14ac:dyDescent="0.25">
      <c r="T2577" s="1"/>
    </row>
    <row r="2578" spans="20:20" x14ac:dyDescent="0.25">
      <c r="T2578" s="1"/>
    </row>
    <row r="2579" spans="20:20" x14ac:dyDescent="0.25">
      <c r="T2579" s="1"/>
    </row>
    <row r="2580" spans="20:20" x14ac:dyDescent="0.25">
      <c r="T2580" s="1"/>
    </row>
    <row r="2581" spans="20:20" x14ac:dyDescent="0.25">
      <c r="T2581" s="1"/>
    </row>
    <row r="2582" spans="20:20" x14ac:dyDescent="0.25">
      <c r="T2582" s="1"/>
    </row>
    <row r="2583" spans="20:20" x14ac:dyDescent="0.25">
      <c r="T2583" s="1"/>
    </row>
    <row r="2584" spans="20:20" x14ac:dyDescent="0.25">
      <c r="T2584" s="1"/>
    </row>
    <row r="2585" spans="20:20" x14ac:dyDescent="0.25">
      <c r="T2585" s="1"/>
    </row>
    <row r="2586" spans="20:20" x14ac:dyDescent="0.25">
      <c r="T2586" s="1"/>
    </row>
    <row r="2587" spans="20:20" x14ac:dyDescent="0.25">
      <c r="T2587" s="1"/>
    </row>
    <row r="2588" spans="20:20" x14ac:dyDescent="0.25">
      <c r="T2588" s="1"/>
    </row>
    <row r="2589" spans="20:20" x14ac:dyDescent="0.25">
      <c r="T2589" s="1"/>
    </row>
    <row r="2590" spans="20:20" x14ac:dyDescent="0.25">
      <c r="T2590" s="1"/>
    </row>
    <row r="2591" spans="20:20" x14ac:dyDescent="0.25">
      <c r="T2591" s="1"/>
    </row>
    <row r="2592" spans="20:20" x14ac:dyDescent="0.25">
      <c r="T2592" s="1"/>
    </row>
    <row r="2593" spans="20:20" x14ac:dyDescent="0.25">
      <c r="T2593" s="1"/>
    </row>
    <row r="2594" spans="20:20" x14ac:dyDescent="0.25">
      <c r="T2594" s="1"/>
    </row>
    <row r="2595" spans="20:20" x14ac:dyDescent="0.25">
      <c r="T2595" s="1"/>
    </row>
    <row r="2596" spans="20:20" x14ac:dyDescent="0.25">
      <c r="T2596" s="1"/>
    </row>
    <row r="2597" spans="20:20" x14ac:dyDescent="0.25">
      <c r="T2597" s="1"/>
    </row>
    <row r="2598" spans="20:20" x14ac:dyDescent="0.25">
      <c r="T2598" s="1"/>
    </row>
    <row r="2599" spans="20:20" x14ac:dyDescent="0.25">
      <c r="T2599" s="1"/>
    </row>
    <row r="2600" spans="20:20" x14ac:dyDescent="0.25">
      <c r="T2600" s="1"/>
    </row>
    <row r="2601" spans="20:20" x14ac:dyDescent="0.25">
      <c r="T2601" s="1"/>
    </row>
    <row r="2602" spans="20:20" x14ac:dyDescent="0.25">
      <c r="T2602" s="1"/>
    </row>
    <row r="2603" spans="20:20" x14ac:dyDescent="0.25">
      <c r="T2603" s="1"/>
    </row>
    <row r="2604" spans="20:20" x14ac:dyDescent="0.25">
      <c r="T2604" s="1"/>
    </row>
    <row r="2605" spans="20:20" x14ac:dyDescent="0.25">
      <c r="T2605" s="1"/>
    </row>
    <row r="2606" spans="20:20" x14ac:dyDescent="0.25">
      <c r="T2606" s="1"/>
    </row>
    <row r="2607" spans="20:20" x14ac:dyDescent="0.25">
      <c r="T2607" s="1"/>
    </row>
    <row r="2608" spans="20:20" x14ac:dyDescent="0.25">
      <c r="T2608" s="1"/>
    </row>
    <row r="2609" spans="20:20" x14ac:dyDescent="0.25">
      <c r="T2609" s="1"/>
    </row>
    <row r="2610" spans="20:20" x14ac:dyDescent="0.25">
      <c r="T2610" s="1"/>
    </row>
    <row r="2611" spans="20:20" x14ac:dyDescent="0.25">
      <c r="T2611" s="1"/>
    </row>
    <row r="2612" spans="20:20" x14ac:dyDescent="0.25">
      <c r="T2612" s="1"/>
    </row>
    <row r="2613" spans="20:20" x14ac:dyDescent="0.25">
      <c r="T2613" s="1"/>
    </row>
    <row r="2614" spans="20:20" x14ac:dyDescent="0.25">
      <c r="T2614" s="1"/>
    </row>
    <row r="2615" spans="20:20" x14ac:dyDescent="0.25">
      <c r="T2615" s="1"/>
    </row>
    <row r="2616" spans="20:20" x14ac:dyDescent="0.25">
      <c r="T2616" s="1"/>
    </row>
    <row r="2617" spans="20:20" x14ac:dyDescent="0.25">
      <c r="T2617" s="1"/>
    </row>
    <row r="2618" spans="20:20" x14ac:dyDescent="0.25">
      <c r="T2618" s="1"/>
    </row>
    <row r="2619" spans="20:20" x14ac:dyDescent="0.25">
      <c r="T2619" s="1"/>
    </row>
    <row r="2620" spans="20:20" x14ac:dyDescent="0.25">
      <c r="T2620" s="1"/>
    </row>
    <row r="2621" spans="20:20" x14ac:dyDescent="0.25">
      <c r="T2621" s="1"/>
    </row>
    <row r="2622" spans="20:20" x14ac:dyDescent="0.25">
      <c r="T2622" s="1"/>
    </row>
    <row r="2623" spans="20:20" x14ac:dyDescent="0.25">
      <c r="T2623" s="1"/>
    </row>
    <row r="2624" spans="20:20" x14ac:dyDescent="0.25">
      <c r="T2624" s="1"/>
    </row>
    <row r="2625" spans="20:20" x14ac:dyDescent="0.25">
      <c r="T2625" s="1"/>
    </row>
    <row r="2626" spans="20:20" x14ac:dyDescent="0.25">
      <c r="T2626" s="1"/>
    </row>
    <row r="2627" spans="20:20" x14ac:dyDescent="0.25">
      <c r="T2627" s="1"/>
    </row>
    <row r="2628" spans="20:20" x14ac:dyDescent="0.25">
      <c r="T2628" s="1"/>
    </row>
    <row r="2629" spans="20:20" x14ac:dyDescent="0.25">
      <c r="T2629" s="1"/>
    </row>
    <row r="2630" spans="20:20" x14ac:dyDescent="0.25">
      <c r="T2630" s="1"/>
    </row>
    <row r="2631" spans="20:20" x14ac:dyDescent="0.25">
      <c r="T2631" s="1"/>
    </row>
    <row r="2632" spans="20:20" x14ac:dyDescent="0.25">
      <c r="T2632" s="1"/>
    </row>
    <row r="2633" spans="20:20" x14ac:dyDescent="0.25">
      <c r="T2633" s="1"/>
    </row>
    <row r="2634" spans="20:20" x14ac:dyDescent="0.25">
      <c r="T2634" s="1"/>
    </row>
    <row r="2635" spans="20:20" x14ac:dyDescent="0.25">
      <c r="T2635" s="1"/>
    </row>
    <row r="2636" spans="20:20" x14ac:dyDescent="0.25">
      <c r="T2636" s="1"/>
    </row>
    <row r="2637" spans="20:20" x14ac:dyDescent="0.25">
      <c r="T2637" s="1"/>
    </row>
    <row r="2638" spans="20:20" x14ac:dyDescent="0.25">
      <c r="T2638" s="1"/>
    </row>
    <row r="2639" spans="20:20" x14ac:dyDescent="0.25">
      <c r="T2639" s="1"/>
    </row>
    <row r="2640" spans="20:20" x14ac:dyDescent="0.25">
      <c r="T2640" s="1"/>
    </row>
    <row r="2641" spans="20:20" x14ac:dyDescent="0.25">
      <c r="T2641" s="1"/>
    </row>
    <row r="2642" spans="20:20" x14ac:dyDescent="0.25">
      <c r="T2642" s="1"/>
    </row>
    <row r="2643" spans="20:20" x14ac:dyDescent="0.25">
      <c r="T2643" s="1"/>
    </row>
    <row r="2644" spans="20:20" x14ac:dyDescent="0.25">
      <c r="T2644" s="1"/>
    </row>
    <row r="2645" spans="20:20" x14ac:dyDescent="0.25">
      <c r="T2645" s="1"/>
    </row>
    <row r="2646" spans="20:20" x14ac:dyDescent="0.25">
      <c r="T2646" s="1"/>
    </row>
    <row r="2647" spans="20:20" x14ac:dyDescent="0.25">
      <c r="T2647" s="1"/>
    </row>
    <row r="2648" spans="20:20" x14ac:dyDescent="0.25">
      <c r="T2648" s="1"/>
    </row>
    <row r="2649" spans="20:20" x14ac:dyDescent="0.25">
      <c r="T2649" s="1"/>
    </row>
    <row r="2650" spans="20:20" x14ac:dyDescent="0.25">
      <c r="T2650" s="1"/>
    </row>
    <row r="2651" spans="20:20" x14ac:dyDescent="0.25">
      <c r="T2651" s="1"/>
    </row>
    <row r="2652" spans="20:20" x14ac:dyDescent="0.25">
      <c r="T2652" s="1"/>
    </row>
    <row r="2653" spans="20:20" x14ac:dyDescent="0.25">
      <c r="T2653" s="1"/>
    </row>
    <row r="2654" spans="20:20" x14ac:dyDescent="0.25">
      <c r="T2654" s="1"/>
    </row>
    <row r="2655" spans="20:20" x14ac:dyDescent="0.25">
      <c r="T2655" s="1"/>
    </row>
    <row r="2656" spans="20:20" x14ac:dyDescent="0.25">
      <c r="T2656" s="1"/>
    </row>
    <row r="2657" spans="20:20" x14ac:dyDescent="0.25">
      <c r="T2657" s="1"/>
    </row>
    <row r="2658" spans="20:20" x14ac:dyDescent="0.25">
      <c r="T2658" s="1"/>
    </row>
    <row r="2659" spans="20:20" x14ac:dyDescent="0.25">
      <c r="T2659" s="1"/>
    </row>
    <row r="2660" spans="20:20" x14ac:dyDescent="0.25">
      <c r="T2660" s="1"/>
    </row>
    <row r="2661" spans="20:20" x14ac:dyDescent="0.25">
      <c r="T2661" s="1"/>
    </row>
    <row r="2662" spans="20:20" x14ac:dyDescent="0.25">
      <c r="T2662" s="1"/>
    </row>
    <row r="2663" spans="20:20" x14ac:dyDescent="0.25">
      <c r="T2663" s="1"/>
    </row>
    <row r="2664" spans="20:20" x14ac:dyDescent="0.25">
      <c r="T2664" s="1"/>
    </row>
    <row r="2665" spans="20:20" x14ac:dyDescent="0.25">
      <c r="T2665" s="1"/>
    </row>
    <row r="2666" spans="20:20" x14ac:dyDescent="0.25">
      <c r="T2666" s="1"/>
    </row>
    <row r="2667" spans="20:20" x14ac:dyDescent="0.25">
      <c r="T2667" s="1"/>
    </row>
    <row r="2668" spans="20:20" x14ac:dyDescent="0.25">
      <c r="T2668" s="1"/>
    </row>
    <row r="2669" spans="20:20" x14ac:dyDescent="0.25">
      <c r="T2669" s="1"/>
    </row>
    <row r="2670" spans="20:20" x14ac:dyDescent="0.25">
      <c r="T2670" s="1"/>
    </row>
    <row r="2671" spans="20:20" x14ac:dyDescent="0.25">
      <c r="T2671" s="1"/>
    </row>
    <row r="2672" spans="20:20" x14ac:dyDescent="0.25">
      <c r="T2672" s="1"/>
    </row>
    <row r="2673" spans="20:20" x14ac:dyDescent="0.25">
      <c r="T2673" s="1"/>
    </row>
    <row r="2674" spans="20:20" x14ac:dyDescent="0.25">
      <c r="T2674" s="1"/>
    </row>
    <row r="2675" spans="20:20" x14ac:dyDescent="0.25">
      <c r="T2675" s="1"/>
    </row>
    <row r="2676" spans="20:20" x14ac:dyDescent="0.25">
      <c r="T2676" s="1"/>
    </row>
    <row r="2677" spans="20:20" x14ac:dyDescent="0.25">
      <c r="T2677" s="1"/>
    </row>
    <row r="2678" spans="20:20" x14ac:dyDescent="0.25">
      <c r="T2678" s="1"/>
    </row>
    <row r="2679" spans="20:20" x14ac:dyDescent="0.25">
      <c r="T2679" s="1"/>
    </row>
    <row r="2680" spans="20:20" x14ac:dyDescent="0.25">
      <c r="T2680" s="1"/>
    </row>
    <row r="2681" spans="20:20" x14ac:dyDescent="0.25">
      <c r="T2681" s="1"/>
    </row>
    <row r="2682" spans="20:20" x14ac:dyDescent="0.25">
      <c r="T2682" s="1"/>
    </row>
    <row r="2683" spans="20:20" x14ac:dyDescent="0.25">
      <c r="T2683" s="1"/>
    </row>
    <row r="2684" spans="20:20" x14ac:dyDescent="0.25">
      <c r="T2684" s="1"/>
    </row>
    <row r="2685" spans="20:20" x14ac:dyDescent="0.25">
      <c r="T2685" s="1"/>
    </row>
    <row r="2686" spans="20:20" x14ac:dyDescent="0.25">
      <c r="T2686" s="1"/>
    </row>
    <row r="2687" spans="20:20" x14ac:dyDescent="0.25">
      <c r="T2687" s="1"/>
    </row>
    <row r="2688" spans="20:20" x14ac:dyDescent="0.25">
      <c r="T2688" s="1"/>
    </row>
    <row r="2689" spans="20:20" x14ac:dyDescent="0.25">
      <c r="T2689" s="1"/>
    </row>
    <row r="2690" spans="20:20" x14ac:dyDescent="0.25">
      <c r="T2690" s="1"/>
    </row>
    <row r="2691" spans="20:20" x14ac:dyDescent="0.25">
      <c r="T2691" s="1"/>
    </row>
    <row r="2692" spans="20:20" x14ac:dyDescent="0.25">
      <c r="T2692" s="1"/>
    </row>
    <row r="2693" spans="20:20" x14ac:dyDescent="0.25">
      <c r="T2693" s="1"/>
    </row>
    <row r="2694" spans="20:20" x14ac:dyDescent="0.25">
      <c r="T2694" s="1"/>
    </row>
    <row r="2695" spans="20:20" x14ac:dyDescent="0.25">
      <c r="T2695" s="1"/>
    </row>
    <row r="2696" spans="20:20" x14ac:dyDescent="0.25">
      <c r="T2696" s="1"/>
    </row>
    <row r="2697" spans="20:20" x14ac:dyDescent="0.25">
      <c r="T2697" s="1"/>
    </row>
    <row r="2698" spans="20:20" x14ac:dyDescent="0.25">
      <c r="T2698" s="1"/>
    </row>
    <row r="2699" spans="20:20" x14ac:dyDescent="0.25">
      <c r="T2699" s="1"/>
    </row>
    <row r="2700" spans="20:20" x14ac:dyDescent="0.25">
      <c r="T2700" s="1"/>
    </row>
    <row r="2701" spans="20:20" x14ac:dyDescent="0.25">
      <c r="T2701" s="1"/>
    </row>
    <row r="2702" spans="20:20" x14ac:dyDescent="0.25">
      <c r="T2702" s="1"/>
    </row>
    <row r="2703" spans="20:20" x14ac:dyDescent="0.25">
      <c r="T2703" s="1"/>
    </row>
    <row r="2704" spans="20:20" x14ac:dyDescent="0.25">
      <c r="T2704" s="1"/>
    </row>
    <row r="2705" spans="20:20" x14ac:dyDescent="0.25">
      <c r="T2705" s="1"/>
    </row>
    <row r="2706" spans="20:20" x14ac:dyDescent="0.25">
      <c r="T2706" s="1"/>
    </row>
    <row r="2707" spans="20:20" x14ac:dyDescent="0.25">
      <c r="T2707" s="1"/>
    </row>
    <row r="2708" spans="20:20" x14ac:dyDescent="0.25">
      <c r="T2708" s="1"/>
    </row>
    <row r="2709" spans="20:20" x14ac:dyDescent="0.25">
      <c r="T2709" s="1"/>
    </row>
    <row r="2710" spans="20:20" x14ac:dyDescent="0.25">
      <c r="T2710" s="1"/>
    </row>
    <row r="2711" spans="20:20" x14ac:dyDescent="0.25">
      <c r="T2711" s="1"/>
    </row>
    <row r="2712" spans="20:20" x14ac:dyDescent="0.25">
      <c r="T2712" s="1"/>
    </row>
    <row r="2713" spans="20:20" x14ac:dyDescent="0.25">
      <c r="T2713" s="1"/>
    </row>
    <row r="2714" spans="20:20" x14ac:dyDescent="0.25">
      <c r="T2714" s="1"/>
    </row>
    <row r="2715" spans="20:20" x14ac:dyDescent="0.25">
      <c r="T2715" s="1"/>
    </row>
    <row r="2716" spans="20:20" x14ac:dyDescent="0.25">
      <c r="T2716" s="1"/>
    </row>
    <row r="2717" spans="20:20" x14ac:dyDescent="0.25">
      <c r="T2717" s="1"/>
    </row>
    <row r="2718" spans="20:20" x14ac:dyDescent="0.25">
      <c r="T2718" s="1"/>
    </row>
    <row r="2719" spans="20:20" x14ac:dyDescent="0.25">
      <c r="T2719" s="1"/>
    </row>
    <row r="2720" spans="20:20" x14ac:dyDescent="0.25">
      <c r="T2720" s="1"/>
    </row>
    <row r="2721" spans="20:20" x14ac:dyDescent="0.25">
      <c r="T2721" s="1"/>
    </row>
    <row r="2722" spans="20:20" x14ac:dyDescent="0.25">
      <c r="T2722" s="1"/>
    </row>
    <row r="2723" spans="20:20" x14ac:dyDescent="0.25">
      <c r="T2723" s="1"/>
    </row>
    <row r="2724" spans="20:20" x14ac:dyDescent="0.25">
      <c r="T2724" s="1"/>
    </row>
    <row r="2725" spans="20:20" x14ac:dyDescent="0.25">
      <c r="T2725" s="1"/>
    </row>
    <row r="2726" spans="20:20" x14ac:dyDescent="0.25">
      <c r="T2726" s="1"/>
    </row>
    <row r="2727" spans="20:20" x14ac:dyDescent="0.25">
      <c r="T2727" s="1"/>
    </row>
    <row r="2728" spans="20:20" x14ac:dyDescent="0.25">
      <c r="T2728" s="1"/>
    </row>
    <row r="2729" spans="20:20" x14ac:dyDescent="0.25">
      <c r="T2729" s="1"/>
    </row>
    <row r="2730" spans="20:20" x14ac:dyDescent="0.25">
      <c r="T2730" s="1"/>
    </row>
    <row r="2731" spans="20:20" x14ac:dyDescent="0.25">
      <c r="T2731" s="1"/>
    </row>
    <row r="2732" spans="20:20" x14ac:dyDescent="0.25">
      <c r="T2732" s="1"/>
    </row>
    <row r="2733" spans="20:20" x14ac:dyDescent="0.25">
      <c r="T2733" s="1"/>
    </row>
    <row r="2734" spans="20:20" x14ac:dyDescent="0.25">
      <c r="T2734" s="1"/>
    </row>
    <row r="2735" spans="20:20" x14ac:dyDescent="0.25">
      <c r="T2735" s="1"/>
    </row>
    <row r="2736" spans="20:20" x14ac:dyDescent="0.25">
      <c r="T2736" s="1"/>
    </row>
    <row r="2737" spans="20:20" x14ac:dyDescent="0.25">
      <c r="T2737" s="1"/>
    </row>
    <row r="2738" spans="20:20" x14ac:dyDescent="0.25">
      <c r="T2738" s="1"/>
    </row>
    <row r="2739" spans="20:20" x14ac:dyDescent="0.25">
      <c r="T2739" s="1"/>
    </row>
    <row r="2740" spans="20:20" x14ac:dyDescent="0.25">
      <c r="T2740" s="1"/>
    </row>
    <row r="2741" spans="20:20" x14ac:dyDescent="0.25">
      <c r="T2741" s="1"/>
    </row>
    <row r="2742" spans="20:20" x14ac:dyDescent="0.25">
      <c r="T2742" s="1"/>
    </row>
    <row r="2743" spans="20:20" x14ac:dyDescent="0.25">
      <c r="T2743" s="1"/>
    </row>
    <row r="2744" spans="20:20" x14ac:dyDescent="0.25">
      <c r="T2744" s="1"/>
    </row>
    <row r="2745" spans="20:20" x14ac:dyDescent="0.25">
      <c r="T2745" s="1"/>
    </row>
    <row r="2746" spans="20:20" x14ac:dyDescent="0.25">
      <c r="T2746" s="1"/>
    </row>
    <row r="2747" spans="20:20" x14ac:dyDescent="0.25">
      <c r="T2747" s="1"/>
    </row>
    <row r="2748" spans="20:20" x14ac:dyDescent="0.25">
      <c r="T2748" s="1"/>
    </row>
    <row r="2749" spans="20:20" x14ac:dyDescent="0.25">
      <c r="T2749" s="1"/>
    </row>
    <row r="2750" spans="20:20" x14ac:dyDescent="0.25">
      <c r="T2750" s="1"/>
    </row>
    <row r="2751" spans="20:20" x14ac:dyDescent="0.25">
      <c r="T2751" s="1"/>
    </row>
    <row r="2752" spans="20:20" x14ac:dyDescent="0.25">
      <c r="T2752" s="1"/>
    </row>
    <row r="2753" spans="20:20" x14ac:dyDescent="0.25">
      <c r="T2753" s="1"/>
    </row>
    <row r="2754" spans="20:20" x14ac:dyDescent="0.25">
      <c r="T2754" s="1"/>
    </row>
    <row r="2755" spans="20:20" x14ac:dyDescent="0.25">
      <c r="T2755" s="1"/>
    </row>
    <row r="2756" spans="20:20" x14ac:dyDescent="0.25">
      <c r="T2756" s="1"/>
    </row>
    <row r="2757" spans="20:20" x14ac:dyDescent="0.25">
      <c r="T2757" s="1"/>
    </row>
    <row r="2758" spans="20:20" x14ac:dyDescent="0.25">
      <c r="T2758" s="1"/>
    </row>
    <row r="2759" spans="20:20" x14ac:dyDescent="0.25">
      <c r="T2759" s="1"/>
    </row>
    <row r="2760" spans="20:20" x14ac:dyDescent="0.25">
      <c r="T2760" s="1"/>
    </row>
    <row r="2761" spans="20:20" x14ac:dyDescent="0.25">
      <c r="T2761" s="1"/>
    </row>
    <row r="2762" spans="20:20" x14ac:dyDescent="0.25">
      <c r="T2762" s="1"/>
    </row>
    <row r="2763" spans="20:20" x14ac:dyDescent="0.25">
      <c r="T2763" s="1"/>
    </row>
    <row r="2764" spans="20:20" x14ac:dyDescent="0.25">
      <c r="T2764" s="1"/>
    </row>
    <row r="2765" spans="20:20" x14ac:dyDescent="0.25">
      <c r="T2765" s="1"/>
    </row>
    <row r="2766" spans="20:20" x14ac:dyDescent="0.25">
      <c r="T2766" s="1"/>
    </row>
    <row r="2767" spans="20:20" x14ac:dyDescent="0.25">
      <c r="T2767" s="1"/>
    </row>
    <row r="2768" spans="20:20" x14ac:dyDescent="0.25">
      <c r="T2768" s="1"/>
    </row>
    <row r="2769" spans="20:20" x14ac:dyDescent="0.25">
      <c r="T2769" s="1"/>
    </row>
    <row r="2770" spans="20:20" x14ac:dyDescent="0.25">
      <c r="T2770" s="1"/>
    </row>
    <row r="2771" spans="20:20" x14ac:dyDescent="0.25">
      <c r="T2771" s="1"/>
    </row>
    <row r="2772" spans="20:20" x14ac:dyDescent="0.25">
      <c r="T2772" s="1"/>
    </row>
    <row r="2773" spans="20:20" x14ac:dyDescent="0.25">
      <c r="T2773" s="1"/>
    </row>
    <row r="2774" spans="20:20" x14ac:dyDescent="0.25">
      <c r="T2774" s="1"/>
    </row>
    <row r="2775" spans="20:20" x14ac:dyDescent="0.25">
      <c r="T2775" s="1"/>
    </row>
    <row r="2776" spans="20:20" x14ac:dyDescent="0.25">
      <c r="T2776" s="1"/>
    </row>
    <row r="2777" spans="20:20" x14ac:dyDescent="0.25">
      <c r="T2777" s="1"/>
    </row>
    <row r="2778" spans="20:20" x14ac:dyDescent="0.25">
      <c r="T2778" s="1"/>
    </row>
    <row r="2779" spans="20:20" x14ac:dyDescent="0.25">
      <c r="T2779" s="1"/>
    </row>
    <row r="2780" spans="20:20" x14ac:dyDescent="0.25">
      <c r="T2780" s="1"/>
    </row>
    <row r="2781" spans="20:20" x14ac:dyDescent="0.25">
      <c r="T2781" s="1"/>
    </row>
    <row r="2782" spans="20:20" x14ac:dyDescent="0.25">
      <c r="T2782" s="1"/>
    </row>
    <row r="2783" spans="20:20" x14ac:dyDescent="0.25">
      <c r="T2783" s="1"/>
    </row>
    <row r="2784" spans="20:20" x14ac:dyDescent="0.25">
      <c r="T2784" s="1"/>
    </row>
    <row r="2785" spans="20:20" x14ac:dyDescent="0.25">
      <c r="T2785" s="1"/>
    </row>
    <row r="2786" spans="20:20" x14ac:dyDescent="0.25">
      <c r="T2786" s="1"/>
    </row>
    <row r="2787" spans="20:20" x14ac:dyDescent="0.25">
      <c r="T2787" s="1"/>
    </row>
    <row r="2788" spans="20:20" x14ac:dyDescent="0.25">
      <c r="T2788" s="1"/>
    </row>
    <row r="2789" spans="20:20" x14ac:dyDescent="0.25">
      <c r="T2789" s="1"/>
    </row>
    <row r="2790" spans="20:20" x14ac:dyDescent="0.25">
      <c r="T2790" s="1"/>
    </row>
    <row r="2791" spans="20:20" x14ac:dyDescent="0.25">
      <c r="T2791" s="1"/>
    </row>
    <row r="2792" spans="20:20" x14ac:dyDescent="0.25">
      <c r="T2792" s="1"/>
    </row>
    <row r="2793" spans="20:20" x14ac:dyDescent="0.25">
      <c r="T2793" s="1"/>
    </row>
    <row r="2794" spans="20:20" x14ac:dyDescent="0.25">
      <c r="T2794" s="1"/>
    </row>
    <row r="2795" spans="20:20" x14ac:dyDescent="0.25">
      <c r="T2795" s="1"/>
    </row>
    <row r="2796" spans="20:20" x14ac:dyDescent="0.25">
      <c r="T2796" s="1"/>
    </row>
    <row r="2797" spans="20:20" x14ac:dyDescent="0.25">
      <c r="T2797" s="1"/>
    </row>
    <row r="2798" spans="20:20" x14ac:dyDescent="0.25">
      <c r="T2798" s="1"/>
    </row>
    <row r="2799" spans="20:20" x14ac:dyDescent="0.25">
      <c r="T2799" s="1"/>
    </row>
    <row r="2800" spans="20:20" x14ac:dyDescent="0.25">
      <c r="T2800" s="1"/>
    </row>
    <row r="2801" spans="20:20" x14ac:dyDescent="0.25">
      <c r="T2801" s="1"/>
    </row>
    <row r="2802" spans="20:20" x14ac:dyDescent="0.25">
      <c r="T2802" s="1"/>
    </row>
    <row r="2803" spans="20:20" x14ac:dyDescent="0.25">
      <c r="T2803" s="1"/>
    </row>
    <row r="2804" spans="20:20" x14ac:dyDescent="0.25">
      <c r="T2804" s="1"/>
    </row>
    <row r="2805" spans="20:20" x14ac:dyDescent="0.25">
      <c r="T2805" s="1"/>
    </row>
    <row r="2806" spans="20:20" x14ac:dyDescent="0.25">
      <c r="T2806" s="1"/>
    </row>
    <row r="2807" spans="20:20" x14ac:dyDescent="0.25">
      <c r="T2807" s="1"/>
    </row>
    <row r="2808" spans="20:20" x14ac:dyDescent="0.25">
      <c r="T2808" s="1"/>
    </row>
    <row r="2809" spans="20:20" x14ac:dyDescent="0.25">
      <c r="T2809" s="1"/>
    </row>
    <row r="2810" spans="20:20" x14ac:dyDescent="0.25">
      <c r="T2810" s="1"/>
    </row>
    <row r="2811" spans="20:20" x14ac:dyDescent="0.25">
      <c r="T2811" s="1"/>
    </row>
    <row r="2812" spans="20:20" x14ac:dyDescent="0.25">
      <c r="T2812" s="1"/>
    </row>
    <row r="2813" spans="20:20" x14ac:dyDescent="0.25">
      <c r="T2813" s="1"/>
    </row>
    <row r="2814" spans="20:20" x14ac:dyDescent="0.25">
      <c r="T2814" s="1"/>
    </row>
    <row r="2815" spans="20:20" x14ac:dyDescent="0.25">
      <c r="T2815" s="1"/>
    </row>
    <row r="2816" spans="20:20" x14ac:dyDescent="0.25">
      <c r="T2816" s="1"/>
    </row>
    <row r="2817" spans="20:20" x14ac:dyDescent="0.25">
      <c r="T2817" s="1"/>
    </row>
    <row r="2818" spans="20:20" x14ac:dyDescent="0.25">
      <c r="T2818" s="1"/>
    </row>
    <row r="2819" spans="20:20" x14ac:dyDescent="0.25">
      <c r="T2819" s="1"/>
    </row>
    <row r="2820" spans="20:20" x14ac:dyDescent="0.25">
      <c r="T2820" s="1"/>
    </row>
    <row r="2821" spans="20:20" x14ac:dyDescent="0.25">
      <c r="T2821" s="1"/>
    </row>
    <row r="2822" spans="20:20" x14ac:dyDescent="0.25">
      <c r="T2822" s="1"/>
    </row>
    <row r="2823" spans="20:20" x14ac:dyDescent="0.25">
      <c r="T2823" s="1"/>
    </row>
    <row r="2824" spans="20:20" x14ac:dyDescent="0.25">
      <c r="T2824" s="1"/>
    </row>
    <row r="2825" spans="20:20" x14ac:dyDescent="0.25">
      <c r="T2825" s="1"/>
    </row>
    <row r="2826" spans="20:20" x14ac:dyDescent="0.25">
      <c r="T2826" s="1"/>
    </row>
    <row r="2827" spans="20:20" x14ac:dyDescent="0.25">
      <c r="T2827" s="1"/>
    </row>
    <row r="2828" spans="20:20" x14ac:dyDescent="0.25">
      <c r="T2828" s="1"/>
    </row>
    <row r="2829" spans="20:20" x14ac:dyDescent="0.25">
      <c r="T2829" s="1"/>
    </row>
    <row r="2830" spans="20:20" x14ac:dyDescent="0.25">
      <c r="T2830" s="1"/>
    </row>
    <row r="2831" spans="20:20" x14ac:dyDescent="0.25">
      <c r="T2831" s="1"/>
    </row>
    <row r="2832" spans="20:20" x14ac:dyDescent="0.25">
      <c r="T2832" s="1"/>
    </row>
    <row r="2833" spans="20:20" x14ac:dyDescent="0.25">
      <c r="T2833" s="1"/>
    </row>
    <row r="2834" spans="20:20" x14ac:dyDescent="0.25">
      <c r="T2834" s="1"/>
    </row>
    <row r="2835" spans="20:20" x14ac:dyDescent="0.25">
      <c r="T2835" s="1"/>
    </row>
    <row r="2836" spans="20:20" x14ac:dyDescent="0.25">
      <c r="T2836" s="1"/>
    </row>
    <row r="2837" spans="20:20" x14ac:dyDescent="0.25">
      <c r="T2837" s="1"/>
    </row>
    <row r="2838" spans="20:20" x14ac:dyDescent="0.25">
      <c r="T2838" s="1"/>
    </row>
    <row r="2839" spans="20:20" x14ac:dyDescent="0.25">
      <c r="T2839" s="1"/>
    </row>
    <row r="2840" spans="20:20" x14ac:dyDescent="0.25">
      <c r="T2840" s="1"/>
    </row>
    <row r="2841" spans="20:20" x14ac:dyDescent="0.25">
      <c r="T2841" s="1"/>
    </row>
    <row r="2842" spans="20:20" x14ac:dyDescent="0.25">
      <c r="T2842" s="1"/>
    </row>
    <row r="2843" spans="20:20" x14ac:dyDescent="0.25">
      <c r="T2843" s="1"/>
    </row>
    <row r="2844" spans="20:20" x14ac:dyDescent="0.25">
      <c r="T2844" s="1"/>
    </row>
    <row r="2845" spans="20:20" x14ac:dyDescent="0.25">
      <c r="T2845" s="1"/>
    </row>
    <row r="2846" spans="20:20" x14ac:dyDescent="0.25">
      <c r="T2846" s="1"/>
    </row>
    <row r="2847" spans="20:20" x14ac:dyDescent="0.25">
      <c r="T2847" s="1"/>
    </row>
    <row r="2848" spans="20:20" x14ac:dyDescent="0.25">
      <c r="T2848" s="1"/>
    </row>
    <row r="2849" spans="20:20" x14ac:dyDescent="0.25">
      <c r="T2849" s="1"/>
    </row>
    <row r="2850" spans="20:20" x14ac:dyDescent="0.25">
      <c r="T2850" s="1"/>
    </row>
    <row r="2851" spans="20:20" x14ac:dyDescent="0.25">
      <c r="T2851" s="1"/>
    </row>
    <row r="2852" spans="20:20" x14ac:dyDescent="0.25">
      <c r="T2852" s="1"/>
    </row>
    <row r="2853" spans="20:20" x14ac:dyDescent="0.25">
      <c r="T2853" s="1"/>
    </row>
    <row r="2854" spans="20:20" x14ac:dyDescent="0.25">
      <c r="T2854" s="1"/>
    </row>
    <row r="2855" spans="20:20" x14ac:dyDescent="0.25">
      <c r="T2855" s="1"/>
    </row>
    <row r="2856" spans="20:20" x14ac:dyDescent="0.25">
      <c r="T2856" s="1"/>
    </row>
    <row r="2857" spans="20:20" x14ac:dyDescent="0.25">
      <c r="T2857" s="1"/>
    </row>
    <row r="2858" spans="20:20" x14ac:dyDescent="0.25">
      <c r="T2858" s="1"/>
    </row>
    <row r="2859" spans="20:20" x14ac:dyDescent="0.25">
      <c r="T2859" s="1"/>
    </row>
    <row r="2860" spans="20:20" x14ac:dyDescent="0.25">
      <c r="T2860" s="1"/>
    </row>
    <row r="2861" spans="20:20" x14ac:dyDescent="0.25">
      <c r="T2861" s="1"/>
    </row>
    <row r="2862" spans="20:20" x14ac:dyDescent="0.25">
      <c r="T2862" s="1"/>
    </row>
    <row r="2863" spans="20:20" x14ac:dyDescent="0.25">
      <c r="T2863" s="1"/>
    </row>
    <row r="2864" spans="20:20" x14ac:dyDescent="0.25">
      <c r="T2864" s="1"/>
    </row>
    <row r="2865" spans="20:20" x14ac:dyDescent="0.25">
      <c r="T2865" s="1"/>
    </row>
    <row r="2866" spans="20:20" x14ac:dyDescent="0.25">
      <c r="T2866" s="1"/>
    </row>
    <row r="2867" spans="20:20" x14ac:dyDescent="0.25">
      <c r="T2867" s="1"/>
    </row>
    <row r="2868" spans="20:20" x14ac:dyDescent="0.25">
      <c r="T2868" s="1"/>
    </row>
    <row r="2869" spans="20:20" x14ac:dyDescent="0.25">
      <c r="T2869" s="1"/>
    </row>
    <row r="2870" spans="20:20" x14ac:dyDescent="0.25">
      <c r="T2870" s="1"/>
    </row>
    <row r="2871" spans="20:20" x14ac:dyDescent="0.25">
      <c r="T2871" s="1"/>
    </row>
    <row r="2872" spans="20:20" x14ac:dyDescent="0.25">
      <c r="T2872" s="1"/>
    </row>
    <row r="2873" spans="20:20" x14ac:dyDescent="0.25">
      <c r="T2873" s="1"/>
    </row>
    <row r="2874" spans="20:20" x14ac:dyDescent="0.25">
      <c r="T2874" s="1"/>
    </row>
    <row r="2875" spans="20:20" x14ac:dyDescent="0.25">
      <c r="T2875" s="1"/>
    </row>
    <row r="2876" spans="20:20" x14ac:dyDescent="0.25">
      <c r="T2876" s="1"/>
    </row>
    <row r="2877" spans="20:20" x14ac:dyDescent="0.25">
      <c r="T2877" s="1"/>
    </row>
    <row r="2878" spans="20:20" x14ac:dyDescent="0.25">
      <c r="T2878" s="1"/>
    </row>
    <row r="2879" spans="20:20" x14ac:dyDescent="0.25">
      <c r="T2879" s="1"/>
    </row>
    <row r="2880" spans="20:20" x14ac:dyDescent="0.25">
      <c r="T2880" s="1"/>
    </row>
    <row r="2881" spans="20:20" x14ac:dyDescent="0.25">
      <c r="T2881" s="1"/>
    </row>
    <row r="2882" spans="20:20" x14ac:dyDescent="0.25">
      <c r="T2882" s="1"/>
    </row>
    <row r="2883" spans="20:20" x14ac:dyDescent="0.25">
      <c r="T2883" s="1"/>
    </row>
    <row r="2884" spans="20:20" x14ac:dyDescent="0.25">
      <c r="T2884" s="1"/>
    </row>
    <row r="2885" spans="20:20" x14ac:dyDescent="0.25">
      <c r="T2885" s="1"/>
    </row>
    <row r="2886" spans="20:20" x14ac:dyDescent="0.25">
      <c r="T2886" s="1"/>
    </row>
    <row r="2887" spans="20:20" x14ac:dyDescent="0.25">
      <c r="T2887" s="1"/>
    </row>
    <row r="2888" spans="20:20" x14ac:dyDescent="0.25">
      <c r="T2888" s="1"/>
    </row>
    <row r="2889" spans="20:20" x14ac:dyDescent="0.25">
      <c r="T2889" s="1"/>
    </row>
    <row r="2890" spans="20:20" x14ac:dyDescent="0.25">
      <c r="T2890" s="1"/>
    </row>
    <row r="2891" spans="20:20" x14ac:dyDescent="0.25">
      <c r="T2891" s="1"/>
    </row>
    <row r="2892" spans="20:20" x14ac:dyDescent="0.25">
      <c r="T2892" s="1"/>
    </row>
    <row r="2893" spans="20:20" x14ac:dyDescent="0.25">
      <c r="T2893" s="1"/>
    </row>
    <row r="2894" spans="20:20" x14ac:dyDescent="0.25">
      <c r="T2894" s="1"/>
    </row>
    <row r="2895" spans="20:20" x14ac:dyDescent="0.25">
      <c r="T2895" s="1"/>
    </row>
    <row r="2896" spans="20:20" x14ac:dyDescent="0.25">
      <c r="T2896" s="1"/>
    </row>
    <row r="2897" spans="20:20" x14ac:dyDescent="0.25">
      <c r="T2897" s="1"/>
    </row>
    <row r="2898" spans="20:20" x14ac:dyDescent="0.25">
      <c r="T2898" s="1"/>
    </row>
    <row r="2899" spans="20:20" x14ac:dyDescent="0.25">
      <c r="T2899" s="1"/>
    </row>
    <row r="2900" spans="20:20" x14ac:dyDescent="0.25">
      <c r="T2900" s="1"/>
    </row>
    <row r="2901" spans="20:20" x14ac:dyDescent="0.25">
      <c r="T2901" s="1"/>
    </row>
    <row r="2902" spans="20:20" x14ac:dyDescent="0.25">
      <c r="T2902" s="1"/>
    </row>
    <row r="2903" spans="20:20" x14ac:dyDescent="0.25">
      <c r="T2903" s="1"/>
    </row>
    <row r="2904" spans="20:20" x14ac:dyDescent="0.25">
      <c r="T2904" s="1"/>
    </row>
    <row r="2905" spans="20:20" x14ac:dyDescent="0.25">
      <c r="T2905" s="1"/>
    </row>
    <row r="2906" spans="20:20" x14ac:dyDescent="0.25">
      <c r="T2906" s="1"/>
    </row>
    <row r="2907" spans="20:20" x14ac:dyDescent="0.25">
      <c r="T2907" s="1"/>
    </row>
    <row r="2908" spans="20:20" x14ac:dyDescent="0.25">
      <c r="T2908" s="1"/>
    </row>
    <row r="2909" spans="20:20" x14ac:dyDescent="0.25">
      <c r="T2909" s="1"/>
    </row>
    <row r="2910" spans="20:20" x14ac:dyDescent="0.25">
      <c r="T2910" s="1"/>
    </row>
    <row r="2911" spans="20:20" x14ac:dyDescent="0.25">
      <c r="T2911" s="1"/>
    </row>
    <row r="2912" spans="20:20" x14ac:dyDescent="0.25">
      <c r="T2912" s="1"/>
    </row>
    <row r="2913" spans="20:20" x14ac:dyDescent="0.25">
      <c r="T2913" s="1"/>
    </row>
    <row r="2914" spans="20:20" x14ac:dyDescent="0.25">
      <c r="T2914" s="1"/>
    </row>
    <row r="2915" spans="20:20" x14ac:dyDescent="0.25">
      <c r="T2915" s="1"/>
    </row>
    <row r="2916" spans="20:20" x14ac:dyDescent="0.25">
      <c r="T2916" s="1"/>
    </row>
    <row r="2917" spans="20:20" x14ac:dyDescent="0.25">
      <c r="T2917" s="1"/>
    </row>
    <row r="2918" spans="20:20" x14ac:dyDescent="0.25">
      <c r="T2918" s="1"/>
    </row>
    <row r="2919" spans="20:20" x14ac:dyDescent="0.25">
      <c r="T2919" s="1"/>
    </row>
    <row r="2920" spans="20:20" x14ac:dyDescent="0.25">
      <c r="T2920" s="1"/>
    </row>
    <row r="2921" spans="20:20" x14ac:dyDescent="0.25">
      <c r="T2921" s="1"/>
    </row>
    <row r="2922" spans="20:20" x14ac:dyDescent="0.25">
      <c r="T2922" s="1"/>
    </row>
    <row r="2923" spans="20:20" x14ac:dyDescent="0.25">
      <c r="T2923" s="1"/>
    </row>
    <row r="2924" spans="20:20" x14ac:dyDescent="0.25">
      <c r="T2924" s="1"/>
    </row>
    <row r="2925" spans="20:20" x14ac:dyDescent="0.25">
      <c r="T2925" s="1"/>
    </row>
    <row r="2926" spans="20:20" x14ac:dyDescent="0.25">
      <c r="T2926" s="1"/>
    </row>
    <row r="2927" spans="20:20" x14ac:dyDescent="0.25">
      <c r="T2927" s="1"/>
    </row>
    <row r="2928" spans="20:20" x14ac:dyDescent="0.25">
      <c r="T2928" s="1"/>
    </row>
    <row r="2929" spans="20:20" x14ac:dyDescent="0.25">
      <c r="T2929" s="1"/>
    </row>
    <row r="2930" spans="20:20" x14ac:dyDescent="0.25">
      <c r="T2930" s="1"/>
    </row>
    <row r="2931" spans="20:20" x14ac:dyDescent="0.25">
      <c r="T2931" s="1"/>
    </row>
    <row r="2932" spans="20:20" x14ac:dyDescent="0.25">
      <c r="T2932" s="1"/>
    </row>
    <row r="2933" spans="20:20" x14ac:dyDescent="0.25">
      <c r="T2933" s="1"/>
    </row>
    <row r="2934" spans="20:20" x14ac:dyDescent="0.25">
      <c r="T2934" s="1"/>
    </row>
    <row r="2935" spans="20:20" x14ac:dyDescent="0.25">
      <c r="T2935" s="1"/>
    </row>
    <row r="2936" spans="20:20" x14ac:dyDescent="0.25">
      <c r="T2936" s="1"/>
    </row>
    <row r="2937" spans="20:20" x14ac:dyDescent="0.25">
      <c r="T2937" s="1"/>
    </row>
    <row r="2938" spans="20:20" x14ac:dyDescent="0.25">
      <c r="T2938" s="1"/>
    </row>
    <row r="2939" spans="20:20" x14ac:dyDescent="0.25">
      <c r="T2939" s="1"/>
    </row>
    <row r="2940" spans="20:20" x14ac:dyDescent="0.25">
      <c r="T2940" s="1"/>
    </row>
    <row r="2941" spans="20:20" x14ac:dyDescent="0.25">
      <c r="T2941" s="1"/>
    </row>
    <row r="2942" spans="20:20" x14ac:dyDescent="0.25">
      <c r="T2942" s="1"/>
    </row>
    <row r="2943" spans="20:20" x14ac:dyDescent="0.25">
      <c r="T2943" s="1"/>
    </row>
    <row r="2944" spans="20:20" x14ac:dyDescent="0.25">
      <c r="T2944" s="1"/>
    </row>
    <row r="2945" spans="20:20" x14ac:dyDescent="0.25">
      <c r="T2945" s="1"/>
    </row>
    <row r="2946" spans="20:20" x14ac:dyDescent="0.25">
      <c r="T2946" s="1"/>
    </row>
    <row r="2947" spans="20:20" x14ac:dyDescent="0.25">
      <c r="T2947" s="1"/>
    </row>
    <row r="2948" spans="20:20" x14ac:dyDescent="0.25">
      <c r="T2948" s="1"/>
    </row>
    <row r="2949" spans="20:20" x14ac:dyDescent="0.25">
      <c r="T2949" s="1"/>
    </row>
    <row r="2950" spans="20:20" x14ac:dyDescent="0.25">
      <c r="T2950" s="1"/>
    </row>
    <row r="2951" spans="20:20" x14ac:dyDescent="0.25">
      <c r="T2951" s="1"/>
    </row>
    <row r="2952" spans="20:20" x14ac:dyDescent="0.25">
      <c r="T2952" s="1"/>
    </row>
    <row r="2953" spans="20:20" x14ac:dyDescent="0.25">
      <c r="T2953" s="1"/>
    </row>
    <row r="2954" spans="20:20" x14ac:dyDescent="0.25">
      <c r="T2954" s="1"/>
    </row>
    <row r="2955" spans="20:20" x14ac:dyDescent="0.25">
      <c r="T2955" s="1"/>
    </row>
    <row r="2956" spans="20:20" x14ac:dyDescent="0.25">
      <c r="T2956" s="1"/>
    </row>
    <row r="2957" spans="20:20" x14ac:dyDescent="0.25">
      <c r="T2957" s="1"/>
    </row>
    <row r="2958" spans="20:20" x14ac:dyDescent="0.25">
      <c r="T2958" s="1"/>
    </row>
    <row r="2959" spans="20:20" x14ac:dyDescent="0.25">
      <c r="T2959" s="1"/>
    </row>
    <row r="2960" spans="20:20" x14ac:dyDescent="0.25">
      <c r="T2960" s="1"/>
    </row>
    <row r="2961" spans="20:20" x14ac:dyDescent="0.25">
      <c r="T2961" s="1"/>
    </row>
    <row r="2962" spans="20:20" x14ac:dyDescent="0.25">
      <c r="T2962" s="1"/>
    </row>
    <row r="2963" spans="20:20" x14ac:dyDescent="0.25">
      <c r="T2963" s="1"/>
    </row>
    <row r="2964" spans="20:20" x14ac:dyDescent="0.25">
      <c r="T2964" s="1"/>
    </row>
    <row r="2965" spans="20:20" x14ac:dyDescent="0.25">
      <c r="T2965" s="1"/>
    </row>
    <row r="2966" spans="20:20" x14ac:dyDescent="0.25">
      <c r="T2966" s="1"/>
    </row>
    <row r="2967" spans="20:20" x14ac:dyDescent="0.25">
      <c r="T2967" s="1"/>
    </row>
    <row r="2968" spans="20:20" x14ac:dyDescent="0.25">
      <c r="T2968" s="1"/>
    </row>
    <row r="2969" spans="20:20" x14ac:dyDescent="0.25">
      <c r="T2969" s="1"/>
    </row>
    <row r="2970" spans="20:20" x14ac:dyDescent="0.25">
      <c r="T2970" s="1"/>
    </row>
    <row r="2971" spans="20:20" x14ac:dyDescent="0.25">
      <c r="T2971" s="1"/>
    </row>
    <row r="2972" spans="20:20" x14ac:dyDescent="0.25">
      <c r="T2972" s="1"/>
    </row>
    <row r="2973" spans="20:20" x14ac:dyDescent="0.25">
      <c r="T2973" s="1"/>
    </row>
    <row r="2974" spans="20:20" x14ac:dyDescent="0.25">
      <c r="T2974" s="1"/>
    </row>
    <row r="2975" spans="20:20" x14ac:dyDescent="0.25">
      <c r="T2975" s="1"/>
    </row>
    <row r="2976" spans="20:20" x14ac:dyDescent="0.25">
      <c r="T2976" s="1"/>
    </row>
    <row r="2977" spans="20:20" x14ac:dyDescent="0.25">
      <c r="T2977" s="1"/>
    </row>
    <row r="2978" spans="20:20" x14ac:dyDescent="0.25">
      <c r="T2978" s="1"/>
    </row>
    <row r="2979" spans="20:20" x14ac:dyDescent="0.25">
      <c r="T2979" s="1"/>
    </row>
    <row r="2980" spans="20:20" x14ac:dyDescent="0.25">
      <c r="T2980" s="1"/>
    </row>
    <row r="2981" spans="20:20" x14ac:dyDescent="0.25">
      <c r="T2981" s="1"/>
    </row>
    <row r="2982" spans="20:20" x14ac:dyDescent="0.25">
      <c r="T2982" s="1"/>
    </row>
    <row r="2983" spans="20:20" x14ac:dyDescent="0.25">
      <c r="T2983" s="1"/>
    </row>
    <row r="2984" spans="20:20" x14ac:dyDescent="0.25">
      <c r="T2984" s="1"/>
    </row>
    <row r="2985" spans="20:20" x14ac:dyDescent="0.25">
      <c r="T2985" s="1"/>
    </row>
    <row r="2986" spans="20:20" x14ac:dyDescent="0.25">
      <c r="T2986" s="1"/>
    </row>
    <row r="2987" spans="20:20" x14ac:dyDescent="0.25">
      <c r="T2987" s="1"/>
    </row>
    <row r="2988" spans="20:20" x14ac:dyDescent="0.25">
      <c r="T2988" s="1"/>
    </row>
    <row r="2989" spans="20:20" x14ac:dyDescent="0.25">
      <c r="T2989" s="1"/>
    </row>
    <row r="2990" spans="20:20" x14ac:dyDescent="0.25">
      <c r="T2990" s="1"/>
    </row>
    <row r="2991" spans="20:20" x14ac:dyDescent="0.25">
      <c r="T2991" s="1"/>
    </row>
    <row r="2992" spans="20:20" x14ac:dyDescent="0.25">
      <c r="T2992" s="1"/>
    </row>
    <row r="2993" spans="20:20" x14ac:dyDescent="0.25">
      <c r="T2993" s="1"/>
    </row>
    <row r="2994" spans="20:20" x14ac:dyDescent="0.25">
      <c r="T2994" s="1"/>
    </row>
    <row r="2995" spans="20:20" x14ac:dyDescent="0.25">
      <c r="T2995" s="1"/>
    </row>
    <row r="2996" spans="20:20" x14ac:dyDescent="0.25">
      <c r="T2996" s="1"/>
    </row>
    <row r="2997" spans="20:20" x14ac:dyDescent="0.25">
      <c r="T2997" s="1"/>
    </row>
    <row r="2998" spans="20:20" x14ac:dyDescent="0.25">
      <c r="T2998" s="1"/>
    </row>
    <row r="2999" spans="20:20" x14ac:dyDescent="0.25">
      <c r="T2999" s="1"/>
    </row>
    <row r="3000" spans="20:20" x14ac:dyDescent="0.25">
      <c r="T3000" s="1"/>
    </row>
    <row r="3001" spans="20:20" x14ac:dyDescent="0.25">
      <c r="T3001" s="1"/>
    </row>
    <row r="3002" spans="20:20" x14ac:dyDescent="0.25">
      <c r="T3002" s="1"/>
    </row>
    <row r="3003" spans="20:20" x14ac:dyDescent="0.25">
      <c r="T3003" s="1"/>
    </row>
    <row r="3004" spans="20:20" x14ac:dyDescent="0.25">
      <c r="T3004" s="1"/>
    </row>
    <row r="3005" spans="20:20" x14ac:dyDescent="0.25">
      <c r="T3005" s="1"/>
    </row>
    <row r="3006" spans="20:20" x14ac:dyDescent="0.25">
      <c r="T3006" s="1"/>
    </row>
    <row r="3007" spans="20:20" x14ac:dyDescent="0.25">
      <c r="T3007" s="1"/>
    </row>
    <row r="3008" spans="20:20" x14ac:dyDescent="0.25">
      <c r="T3008" s="1"/>
    </row>
    <row r="3009" spans="20:20" x14ac:dyDescent="0.25">
      <c r="T3009" s="1"/>
    </row>
    <row r="3010" spans="20:20" x14ac:dyDescent="0.25">
      <c r="T3010" s="1"/>
    </row>
    <row r="3011" spans="20:20" x14ac:dyDescent="0.25">
      <c r="T3011" s="1"/>
    </row>
    <row r="3012" spans="20:20" x14ac:dyDescent="0.25">
      <c r="T3012" s="1"/>
    </row>
    <row r="3013" spans="20:20" x14ac:dyDescent="0.25">
      <c r="T3013" s="1"/>
    </row>
    <row r="3014" spans="20:20" x14ac:dyDescent="0.25">
      <c r="T3014" s="1"/>
    </row>
    <row r="3015" spans="20:20" x14ac:dyDescent="0.25">
      <c r="T3015" s="1"/>
    </row>
    <row r="3016" spans="20:20" x14ac:dyDescent="0.25">
      <c r="T3016" s="1"/>
    </row>
    <row r="3017" spans="20:20" x14ac:dyDescent="0.25">
      <c r="T3017" s="1"/>
    </row>
    <row r="3018" spans="20:20" x14ac:dyDescent="0.25">
      <c r="T3018" s="1"/>
    </row>
    <row r="3019" spans="20:20" x14ac:dyDescent="0.25">
      <c r="T3019" s="1"/>
    </row>
    <row r="3020" spans="20:20" x14ac:dyDescent="0.25">
      <c r="T3020" s="1"/>
    </row>
    <row r="3021" spans="20:20" x14ac:dyDescent="0.25">
      <c r="T3021" s="1"/>
    </row>
    <row r="3022" spans="20:20" x14ac:dyDescent="0.25">
      <c r="T3022" s="1"/>
    </row>
    <row r="3023" spans="20:20" x14ac:dyDescent="0.25">
      <c r="T3023" s="1"/>
    </row>
    <row r="3024" spans="20:20" x14ac:dyDescent="0.25">
      <c r="T3024" s="1"/>
    </row>
    <row r="3025" spans="20:20" x14ac:dyDescent="0.25">
      <c r="T3025" s="1"/>
    </row>
    <row r="3026" spans="20:20" x14ac:dyDescent="0.25">
      <c r="T3026" s="1"/>
    </row>
    <row r="3027" spans="20:20" x14ac:dyDescent="0.25">
      <c r="T3027" s="1"/>
    </row>
    <row r="3028" spans="20:20" x14ac:dyDescent="0.25">
      <c r="T3028" s="1"/>
    </row>
    <row r="3029" spans="20:20" x14ac:dyDescent="0.25">
      <c r="T3029" s="1"/>
    </row>
    <row r="3030" spans="20:20" x14ac:dyDescent="0.25">
      <c r="T3030" s="1"/>
    </row>
    <row r="3031" spans="20:20" x14ac:dyDescent="0.25">
      <c r="T3031" s="1"/>
    </row>
    <row r="3032" spans="20:20" x14ac:dyDescent="0.25">
      <c r="T3032" s="1"/>
    </row>
    <row r="3033" spans="20:20" x14ac:dyDescent="0.25">
      <c r="T3033" s="1"/>
    </row>
    <row r="3034" spans="20:20" x14ac:dyDescent="0.25">
      <c r="T3034" s="1"/>
    </row>
    <row r="3035" spans="20:20" x14ac:dyDescent="0.25">
      <c r="T3035" s="1"/>
    </row>
    <row r="3036" spans="20:20" x14ac:dyDescent="0.25">
      <c r="T3036" s="1"/>
    </row>
    <row r="3037" spans="20:20" x14ac:dyDescent="0.25">
      <c r="T3037" s="1"/>
    </row>
    <row r="3038" spans="20:20" x14ac:dyDescent="0.25">
      <c r="T3038" s="1"/>
    </row>
    <row r="3039" spans="20:20" x14ac:dyDescent="0.25">
      <c r="T3039" s="1"/>
    </row>
    <row r="3040" spans="20:20" x14ac:dyDescent="0.25">
      <c r="T3040" s="1"/>
    </row>
    <row r="3041" spans="20:20" x14ac:dyDescent="0.25">
      <c r="T3041" s="1"/>
    </row>
    <row r="3042" spans="20:20" x14ac:dyDescent="0.25">
      <c r="T3042" s="1"/>
    </row>
    <row r="3043" spans="20:20" x14ac:dyDescent="0.25">
      <c r="T3043" s="1"/>
    </row>
    <row r="3044" spans="20:20" x14ac:dyDescent="0.25">
      <c r="T3044" s="1"/>
    </row>
    <row r="3045" spans="20:20" x14ac:dyDescent="0.25">
      <c r="T3045" s="1"/>
    </row>
    <row r="3046" spans="20:20" x14ac:dyDescent="0.25">
      <c r="T3046" s="1"/>
    </row>
    <row r="3047" spans="20:20" x14ac:dyDescent="0.25">
      <c r="T3047" s="1"/>
    </row>
    <row r="3048" spans="20:20" x14ac:dyDescent="0.25">
      <c r="T3048" s="1"/>
    </row>
    <row r="3049" spans="20:20" x14ac:dyDescent="0.25">
      <c r="T3049" s="1"/>
    </row>
    <row r="3050" spans="20:20" x14ac:dyDescent="0.25">
      <c r="T3050" s="1"/>
    </row>
    <row r="3051" spans="20:20" x14ac:dyDescent="0.25">
      <c r="T3051" s="1"/>
    </row>
    <row r="3052" spans="20:20" x14ac:dyDescent="0.25">
      <c r="T3052" s="1"/>
    </row>
    <row r="3053" spans="20:20" x14ac:dyDescent="0.25">
      <c r="T3053" s="1"/>
    </row>
    <row r="3054" spans="20:20" x14ac:dyDescent="0.25">
      <c r="T3054" s="1"/>
    </row>
    <row r="3055" spans="20:20" x14ac:dyDescent="0.25">
      <c r="T3055" s="1"/>
    </row>
    <row r="3056" spans="20:20" x14ac:dyDescent="0.25">
      <c r="T3056" s="1"/>
    </row>
    <row r="3057" spans="20:20" x14ac:dyDescent="0.25">
      <c r="T3057" s="1"/>
    </row>
    <row r="3058" spans="20:20" x14ac:dyDescent="0.25">
      <c r="T3058" s="1"/>
    </row>
    <row r="3059" spans="20:20" x14ac:dyDescent="0.25">
      <c r="T3059" s="1"/>
    </row>
    <row r="3060" spans="20:20" x14ac:dyDescent="0.25">
      <c r="T3060" s="1"/>
    </row>
    <row r="3061" spans="20:20" x14ac:dyDescent="0.25">
      <c r="T3061" s="1"/>
    </row>
    <row r="3062" spans="20:20" x14ac:dyDescent="0.25">
      <c r="T3062" s="1"/>
    </row>
    <row r="3063" spans="20:20" x14ac:dyDescent="0.25">
      <c r="T3063" s="1"/>
    </row>
    <row r="3064" spans="20:20" x14ac:dyDescent="0.25">
      <c r="T3064" s="1"/>
    </row>
    <row r="3065" spans="20:20" x14ac:dyDescent="0.25">
      <c r="T3065" s="1"/>
    </row>
    <row r="3066" spans="20:20" x14ac:dyDescent="0.25">
      <c r="T3066" s="1"/>
    </row>
    <row r="3067" spans="20:20" x14ac:dyDescent="0.25">
      <c r="T3067" s="1"/>
    </row>
    <row r="3068" spans="20:20" x14ac:dyDescent="0.25">
      <c r="T3068" s="1"/>
    </row>
    <row r="3069" spans="20:20" x14ac:dyDescent="0.25">
      <c r="T3069" s="1"/>
    </row>
    <row r="3070" spans="20:20" x14ac:dyDescent="0.25">
      <c r="T3070" s="1"/>
    </row>
    <row r="3071" spans="20:20" x14ac:dyDescent="0.25">
      <c r="T3071" s="1"/>
    </row>
    <row r="3072" spans="20:20" x14ac:dyDescent="0.25">
      <c r="T3072" s="1"/>
    </row>
    <row r="3073" spans="20:20" x14ac:dyDescent="0.25">
      <c r="T3073" s="1"/>
    </row>
    <row r="3074" spans="20:20" x14ac:dyDescent="0.25">
      <c r="T3074" s="1"/>
    </row>
    <row r="3075" spans="20:20" x14ac:dyDescent="0.25">
      <c r="T3075" s="1"/>
    </row>
    <row r="3076" spans="20:20" x14ac:dyDescent="0.25">
      <c r="T3076" s="1"/>
    </row>
    <row r="3077" spans="20:20" x14ac:dyDescent="0.25">
      <c r="T3077" s="1"/>
    </row>
    <row r="3078" spans="20:20" x14ac:dyDescent="0.25">
      <c r="T3078" s="1"/>
    </row>
    <row r="3079" spans="20:20" x14ac:dyDescent="0.25">
      <c r="T3079" s="1"/>
    </row>
    <row r="3080" spans="20:20" x14ac:dyDescent="0.25">
      <c r="T3080" s="1"/>
    </row>
    <row r="3081" spans="20:20" x14ac:dyDescent="0.25">
      <c r="T3081" s="1"/>
    </row>
    <row r="3082" spans="20:20" x14ac:dyDescent="0.25">
      <c r="T3082" s="1"/>
    </row>
    <row r="3083" spans="20:20" x14ac:dyDescent="0.25">
      <c r="T3083" s="1"/>
    </row>
    <row r="3084" spans="20:20" x14ac:dyDescent="0.25">
      <c r="T3084" s="1"/>
    </row>
    <row r="3085" spans="20:20" x14ac:dyDescent="0.25">
      <c r="T3085" s="1"/>
    </row>
    <row r="3086" spans="20:20" x14ac:dyDescent="0.25">
      <c r="T3086" s="1"/>
    </row>
    <row r="3087" spans="20:20" x14ac:dyDescent="0.25">
      <c r="T3087" s="1"/>
    </row>
    <row r="3088" spans="20:20" x14ac:dyDescent="0.25">
      <c r="T3088" s="1"/>
    </row>
    <row r="3089" spans="20:20" x14ac:dyDescent="0.25">
      <c r="T3089" s="1"/>
    </row>
    <row r="3090" spans="20:20" x14ac:dyDescent="0.25">
      <c r="T3090" s="1"/>
    </row>
    <row r="3091" spans="20:20" x14ac:dyDescent="0.25">
      <c r="T3091" s="1"/>
    </row>
    <row r="3092" spans="20:20" x14ac:dyDescent="0.25">
      <c r="T3092" s="1"/>
    </row>
    <row r="3093" spans="20:20" x14ac:dyDescent="0.25">
      <c r="T3093" s="1"/>
    </row>
    <row r="3094" spans="20:20" x14ac:dyDescent="0.25">
      <c r="T3094" s="1"/>
    </row>
    <row r="3095" spans="20:20" x14ac:dyDescent="0.25">
      <c r="T3095" s="1"/>
    </row>
    <row r="3096" spans="20:20" x14ac:dyDescent="0.25">
      <c r="T3096" s="1"/>
    </row>
    <row r="3097" spans="20:20" x14ac:dyDescent="0.25">
      <c r="T3097" s="1"/>
    </row>
    <row r="3098" spans="20:20" x14ac:dyDescent="0.25">
      <c r="T3098" s="1"/>
    </row>
    <row r="3099" spans="20:20" x14ac:dyDescent="0.25">
      <c r="T3099" s="1"/>
    </row>
    <row r="3100" spans="20:20" x14ac:dyDescent="0.25">
      <c r="T3100" s="1"/>
    </row>
    <row r="3101" spans="20:20" x14ac:dyDescent="0.25">
      <c r="T3101" s="1"/>
    </row>
    <row r="3102" spans="20:20" x14ac:dyDescent="0.25">
      <c r="T3102" s="1"/>
    </row>
    <row r="3103" spans="20:20" x14ac:dyDescent="0.25">
      <c r="T3103" s="1"/>
    </row>
    <row r="3104" spans="20:20" x14ac:dyDescent="0.25">
      <c r="T3104" s="1"/>
    </row>
    <row r="3105" spans="20:20" x14ac:dyDescent="0.25">
      <c r="T3105" s="1"/>
    </row>
    <row r="3106" spans="20:20" x14ac:dyDescent="0.25">
      <c r="T3106" s="1"/>
    </row>
    <row r="3107" spans="20:20" x14ac:dyDescent="0.25">
      <c r="T3107" s="1"/>
    </row>
    <row r="3108" spans="20:20" x14ac:dyDescent="0.25">
      <c r="T3108" s="1"/>
    </row>
    <row r="3109" spans="20:20" x14ac:dyDescent="0.25">
      <c r="T3109" s="1"/>
    </row>
    <row r="3110" spans="20:20" x14ac:dyDescent="0.25">
      <c r="T3110" s="1"/>
    </row>
    <row r="3111" spans="20:20" x14ac:dyDescent="0.25">
      <c r="T3111" s="1"/>
    </row>
    <row r="3112" spans="20:20" x14ac:dyDescent="0.25">
      <c r="T3112" s="1"/>
    </row>
    <row r="3113" spans="20:20" x14ac:dyDescent="0.25">
      <c r="T3113" s="1"/>
    </row>
    <row r="3114" spans="20:20" x14ac:dyDescent="0.25">
      <c r="T3114" s="1"/>
    </row>
    <row r="3115" spans="20:20" x14ac:dyDescent="0.25">
      <c r="T3115" s="1"/>
    </row>
    <row r="3116" spans="20:20" x14ac:dyDescent="0.25">
      <c r="T3116" s="1"/>
    </row>
    <row r="3117" spans="20:20" x14ac:dyDescent="0.25">
      <c r="T3117" s="1"/>
    </row>
    <row r="3118" spans="20:20" x14ac:dyDescent="0.25">
      <c r="T3118" s="1"/>
    </row>
    <row r="3119" spans="20:20" x14ac:dyDescent="0.25">
      <c r="T3119" s="1"/>
    </row>
    <row r="3120" spans="20:20" x14ac:dyDescent="0.25">
      <c r="T3120" s="1"/>
    </row>
    <row r="3121" spans="20:20" x14ac:dyDescent="0.25">
      <c r="T3121" s="1"/>
    </row>
    <row r="3122" spans="20:20" x14ac:dyDescent="0.25">
      <c r="T3122" s="1"/>
    </row>
    <row r="3123" spans="20:20" x14ac:dyDescent="0.25">
      <c r="T3123" s="1"/>
    </row>
    <row r="3124" spans="20:20" x14ac:dyDescent="0.25">
      <c r="T3124" s="1"/>
    </row>
    <row r="3125" spans="20:20" x14ac:dyDescent="0.25">
      <c r="T3125" s="1"/>
    </row>
    <row r="3126" spans="20:20" x14ac:dyDescent="0.25">
      <c r="T3126" s="1"/>
    </row>
    <row r="3127" spans="20:20" x14ac:dyDescent="0.25">
      <c r="T3127" s="1"/>
    </row>
    <row r="3128" spans="20:20" x14ac:dyDescent="0.25">
      <c r="T3128" s="1"/>
    </row>
    <row r="3129" spans="20:20" x14ac:dyDescent="0.25">
      <c r="T3129" s="1"/>
    </row>
    <row r="3130" spans="20:20" x14ac:dyDescent="0.25">
      <c r="T3130" s="1"/>
    </row>
    <row r="3131" spans="20:20" x14ac:dyDescent="0.25">
      <c r="T3131" s="1"/>
    </row>
    <row r="3132" spans="20:20" x14ac:dyDescent="0.25">
      <c r="T3132" s="1"/>
    </row>
    <row r="3133" spans="20:20" x14ac:dyDescent="0.25">
      <c r="T3133" s="1"/>
    </row>
    <row r="3134" spans="20:20" x14ac:dyDescent="0.25">
      <c r="T3134" s="1"/>
    </row>
    <row r="3135" spans="20:20" x14ac:dyDescent="0.25">
      <c r="T3135" s="1"/>
    </row>
    <row r="3136" spans="20:20" x14ac:dyDescent="0.25">
      <c r="T3136" s="1"/>
    </row>
    <row r="3137" spans="20:20" x14ac:dyDescent="0.25">
      <c r="T3137" s="1"/>
    </row>
    <row r="3138" spans="20:20" x14ac:dyDescent="0.25">
      <c r="T3138" s="1"/>
    </row>
    <row r="3139" spans="20:20" x14ac:dyDescent="0.25">
      <c r="T3139" s="1"/>
    </row>
    <row r="3140" spans="20:20" x14ac:dyDescent="0.25">
      <c r="T3140" s="1"/>
    </row>
    <row r="3141" spans="20:20" x14ac:dyDescent="0.25">
      <c r="T3141" s="1"/>
    </row>
    <row r="3142" spans="20:20" x14ac:dyDescent="0.25">
      <c r="T3142" s="1"/>
    </row>
    <row r="3143" spans="20:20" x14ac:dyDescent="0.25">
      <c r="T3143" s="1"/>
    </row>
    <row r="3144" spans="20:20" x14ac:dyDescent="0.25">
      <c r="T3144" s="1"/>
    </row>
    <row r="3145" spans="20:20" x14ac:dyDescent="0.25">
      <c r="T3145" s="1"/>
    </row>
    <row r="3146" spans="20:20" x14ac:dyDescent="0.25">
      <c r="T3146" s="1"/>
    </row>
    <row r="3147" spans="20:20" x14ac:dyDescent="0.25">
      <c r="T3147" s="1"/>
    </row>
    <row r="3148" spans="20:20" x14ac:dyDescent="0.25">
      <c r="T3148" s="1"/>
    </row>
    <row r="3149" spans="20:20" x14ac:dyDescent="0.25">
      <c r="T3149" s="1"/>
    </row>
    <row r="3150" spans="20:20" x14ac:dyDescent="0.25">
      <c r="T3150" s="1"/>
    </row>
    <row r="3151" spans="20:20" x14ac:dyDescent="0.25">
      <c r="T3151" s="1"/>
    </row>
    <row r="3152" spans="20:20" x14ac:dyDescent="0.25">
      <c r="T3152" s="1"/>
    </row>
    <row r="3153" spans="20:20" x14ac:dyDescent="0.25">
      <c r="T3153" s="1"/>
    </row>
    <row r="3154" spans="20:20" x14ac:dyDescent="0.25">
      <c r="T3154" s="1"/>
    </row>
    <row r="3155" spans="20:20" x14ac:dyDescent="0.25">
      <c r="T3155" s="1"/>
    </row>
    <row r="3156" spans="20:20" x14ac:dyDescent="0.25">
      <c r="T3156" s="1"/>
    </row>
    <row r="3157" spans="20:20" x14ac:dyDescent="0.25">
      <c r="T3157" s="1"/>
    </row>
    <row r="3158" spans="20:20" x14ac:dyDescent="0.25">
      <c r="T3158" s="1"/>
    </row>
    <row r="3159" spans="20:20" x14ac:dyDescent="0.25">
      <c r="T3159" s="1"/>
    </row>
    <row r="3160" spans="20:20" x14ac:dyDescent="0.25">
      <c r="T3160" s="1"/>
    </row>
    <row r="3161" spans="20:20" x14ac:dyDescent="0.25">
      <c r="T3161" s="1"/>
    </row>
    <row r="3162" spans="20:20" x14ac:dyDescent="0.25">
      <c r="T3162" s="1"/>
    </row>
    <row r="3163" spans="20:20" x14ac:dyDescent="0.25">
      <c r="T3163" s="1"/>
    </row>
    <row r="3164" spans="20:20" x14ac:dyDescent="0.25">
      <c r="T3164" s="1"/>
    </row>
    <row r="3165" spans="20:20" x14ac:dyDescent="0.25">
      <c r="T3165" s="1"/>
    </row>
    <row r="3166" spans="20:20" x14ac:dyDescent="0.25">
      <c r="T3166" s="1"/>
    </row>
    <row r="3167" spans="20:20" x14ac:dyDescent="0.25">
      <c r="T3167" s="1"/>
    </row>
    <row r="3168" spans="20:20" x14ac:dyDescent="0.25">
      <c r="T3168" s="1"/>
    </row>
    <row r="3169" spans="20:20" x14ac:dyDescent="0.25">
      <c r="T3169" s="1"/>
    </row>
    <row r="3170" spans="20:20" x14ac:dyDescent="0.25">
      <c r="T3170" s="1"/>
    </row>
    <row r="3171" spans="20:20" x14ac:dyDescent="0.25">
      <c r="T3171" s="1"/>
    </row>
    <row r="3172" spans="20:20" x14ac:dyDescent="0.25">
      <c r="T3172" s="1"/>
    </row>
    <row r="3173" spans="20:20" x14ac:dyDescent="0.25">
      <c r="T3173" s="1"/>
    </row>
    <row r="3174" spans="20:20" x14ac:dyDescent="0.25">
      <c r="T3174" s="1"/>
    </row>
    <row r="3175" spans="20:20" x14ac:dyDescent="0.25">
      <c r="T3175" s="1"/>
    </row>
    <row r="3176" spans="20:20" x14ac:dyDescent="0.25">
      <c r="T3176" s="1"/>
    </row>
    <row r="3177" spans="20:20" x14ac:dyDescent="0.25">
      <c r="T3177" s="1"/>
    </row>
    <row r="3178" spans="20:20" x14ac:dyDescent="0.25">
      <c r="T3178" s="1"/>
    </row>
    <row r="3179" spans="20:20" x14ac:dyDescent="0.25">
      <c r="T3179" s="1"/>
    </row>
    <row r="3180" spans="20:20" x14ac:dyDescent="0.25">
      <c r="T3180" s="1"/>
    </row>
    <row r="3181" spans="20:20" x14ac:dyDescent="0.25">
      <c r="T3181" s="1"/>
    </row>
    <row r="3182" spans="20:20" x14ac:dyDescent="0.25">
      <c r="T3182" s="1"/>
    </row>
    <row r="3183" spans="20:20" x14ac:dyDescent="0.25">
      <c r="T3183" s="1"/>
    </row>
    <row r="3184" spans="20:20" x14ac:dyDescent="0.25">
      <c r="T3184" s="1"/>
    </row>
    <row r="3185" spans="20:20" x14ac:dyDescent="0.25">
      <c r="T3185" s="1"/>
    </row>
    <row r="3186" spans="20:20" x14ac:dyDescent="0.25">
      <c r="T3186" s="1"/>
    </row>
    <row r="3187" spans="20:20" x14ac:dyDescent="0.25">
      <c r="T3187" s="1"/>
    </row>
    <row r="3188" spans="20:20" x14ac:dyDescent="0.25">
      <c r="T3188" s="1"/>
    </row>
    <row r="3189" spans="20:20" x14ac:dyDescent="0.25">
      <c r="T3189" s="1"/>
    </row>
    <row r="3190" spans="20:20" x14ac:dyDescent="0.25">
      <c r="T3190" s="1"/>
    </row>
    <row r="3191" spans="20:20" x14ac:dyDescent="0.25">
      <c r="T3191" s="1"/>
    </row>
    <row r="3192" spans="20:20" x14ac:dyDescent="0.25">
      <c r="T3192" s="1"/>
    </row>
    <row r="3193" spans="20:20" x14ac:dyDescent="0.25">
      <c r="T3193" s="1"/>
    </row>
    <row r="3194" spans="20:20" x14ac:dyDescent="0.25">
      <c r="T3194" s="1"/>
    </row>
    <row r="3195" spans="20:20" x14ac:dyDescent="0.25">
      <c r="T3195" s="1"/>
    </row>
    <row r="3196" spans="20:20" x14ac:dyDescent="0.25">
      <c r="T3196" s="1"/>
    </row>
    <row r="3197" spans="20:20" x14ac:dyDescent="0.25">
      <c r="T3197" s="1"/>
    </row>
    <row r="3198" spans="20:20" x14ac:dyDescent="0.25">
      <c r="T3198" s="1"/>
    </row>
    <row r="3199" spans="20:20" x14ac:dyDescent="0.25">
      <c r="T3199" s="1"/>
    </row>
    <row r="3200" spans="20:20" x14ac:dyDescent="0.25">
      <c r="T3200" s="1"/>
    </row>
    <row r="3201" spans="20:20" x14ac:dyDescent="0.25">
      <c r="T3201" s="1"/>
    </row>
    <row r="3202" spans="20:20" x14ac:dyDescent="0.25">
      <c r="T3202" s="1"/>
    </row>
    <row r="3203" spans="20:20" x14ac:dyDescent="0.25">
      <c r="T3203" s="1"/>
    </row>
    <row r="3204" spans="20:20" x14ac:dyDescent="0.25">
      <c r="T3204" s="1"/>
    </row>
    <row r="3205" spans="20:20" x14ac:dyDescent="0.25">
      <c r="T3205" s="1"/>
    </row>
    <row r="3206" spans="20:20" x14ac:dyDescent="0.25">
      <c r="T3206" s="1"/>
    </row>
    <row r="3207" spans="20:20" x14ac:dyDescent="0.25">
      <c r="T3207" s="1"/>
    </row>
    <row r="3208" spans="20:20" x14ac:dyDescent="0.25">
      <c r="T3208" s="1"/>
    </row>
    <row r="3209" spans="20:20" x14ac:dyDescent="0.25">
      <c r="T3209" s="1"/>
    </row>
    <row r="3210" spans="20:20" x14ac:dyDescent="0.25">
      <c r="T3210" s="1"/>
    </row>
    <row r="3211" spans="20:20" x14ac:dyDescent="0.25">
      <c r="T3211" s="1"/>
    </row>
    <row r="3212" spans="20:20" x14ac:dyDescent="0.25">
      <c r="T3212" s="1"/>
    </row>
    <row r="3213" spans="20:20" x14ac:dyDescent="0.25">
      <c r="T3213" s="1"/>
    </row>
    <row r="3214" spans="20:20" x14ac:dyDescent="0.25">
      <c r="T3214" s="1"/>
    </row>
    <row r="3215" spans="20:20" x14ac:dyDescent="0.25">
      <c r="T3215" s="1"/>
    </row>
    <row r="3216" spans="20:20" x14ac:dyDescent="0.25">
      <c r="T3216" s="1"/>
    </row>
    <row r="3217" spans="20:20" x14ac:dyDescent="0.25">
      <c r="T3217" s="1"/>
    </row>
    <row r="3218" spans="20:20" x14ac:dyDescent="0.25">
      <c r="T3218" s="1"/>
    </row>
    <row r="3219" spans="20:20" x14ac:dyDescent="0.25">
      <c r="T3219" s="1"/>
    </row>
    <row r="3220" spans="20:20" x14ac:dyDescent="0.25">
      <c r="T3220" s="1"/>
    </row>
    <row r="3221" spans="20:20" x14ac:dyDescent="0.25">
      <c r="T3221" s="1"/>
    </row>
    <row r="3222" spans="20:20" x14ac:dyDescent="0.25">
      <c r="T3222" s="1"/>
    </row>
    <row r="3223" spans="20:20" x14ac:dyDescent="0.25">
      <c r="T3223" s="1"/>
    </row>
    <row r="3224" spans="20:20" x14ac:dyDescent="0.25">
      <c r="T3224" s="1"/>
    </row>
    <row r="3225" spans="20:20" x14ac:dyDescent="0.25">
      <c r="T3225" s="1"/>
    </row>
    <row r="3226" spans="20:20" x14ac:dyDescent="0.25">
      <c r="T3226" s="1"/>
    </row>
    <row r="3227" spans="20:20" x14ac:dyDescent="0.25">
      <c r="T3227" s="1"/>
    </row>
    <row r="3228" spans="20:20" x14ac:dyDescent="0.25">
      <c r="T3228" s="1"/>
    </row>
    <row r="3229" spans="20:20" x14ac:dyDescent="0.25">
      <c r="T3229" s="1"/>
    </row>
    <row r="3230" spans="20:20" x14ac:dyDescent="0.25">
      <c r="T3230" s="1"/>
    </row>
    <row r="3231" spans="20:20" x14ac:dyDescent="0.25">
      <c r="T3231" s="1"/>
    </row>
    <row r="3232" spans="20:20" x14ac:dyDescent="0.25">
      <c r="T3232" s="1"/>
    </row>
    <row r="3233" spans="20:20" x14ac:dyDescent="0.25">
      <c r="T3233" s="1"/>
    </row>
    <row r="3234" spans="20:20" x14ac:dyDescent="0.25">
      <c r="T3234" s="1"/>
    </row>
    <row r="3235" spans="20:20" x14ac:dyDescent="0.25">
      <c r="T3235" s="1"/>
    </row>
    <row r="3236" spans="20:20" x14ac:dyDescent="0.25">
      <c r="T3236" s="1"/>
    </row>
    <row r="3237" spans="20:20" x14ac:dyDescent="0.25">
      <c r="T3237" s="1"/>
    </row>
    <row r="3238" spans="20:20" x14ac:dyDescent="0.25">
      <c r="T3238" s="1"/>
    </row>
    <row r="3239" spans="20:20" x14ac:dyDescent="0.25">
      <c r="T3239" s="1"/>
    </row>
    <row r="3240" spans="20:20" x14ac:dyDescent="0.25">
      <c r="T3240" s="1"/>
    </row>
    <row r="3241" spans="20:20" x14ac:dyDescent="0.25">
      <c r="T3241" s="1"/>
    </row>
    <row r="3242" spans="20:20" x14ac:dyDescent="0.25">
      <c r="T3242" s="1"/>
    </row>
    <row r="3243" spans="20:20" x14ac:dyDescent="0.25">
      <c r="T3243" s="1"/>
    </row>
    <row r="3244" spans="20:20" x14ac:dyDescent="0.25">
      <c r="T3244" s="1"/>
    </row>
    <row r="3245" spans="20:20" x14ac:dyDescent="0.25">
      <c r="T3245" s="1"/>
    </row>
    <row r="3246" spans="20:20" x14ac:dyDescent="0.25">
      <c r="T3246" s="1"/>
    </row>
    <row r="3247" spans="20:20" x14ac:dyDescent="0.25">
      <c r="T3247" s="1"/>
    </row>
    <row r="3248" spans="20:20" x14ac:dyDescent="0.25">
      <c r="T3248" s="1"/>
    </row>
    <row r="3249" spans="20:20" x14ac:dyDescent="0.25">
      <c r="T3249" s="1"/>
    </row>
    <row r="3250" spans="20:20" x14ac:dyDescent="0.25">
      <c r="T3250" s="1"/>
    </row>
    <row r="3251" spans="20:20" x14ac:dyDescent="0.25">
      <c r="T3251" s="1"/>
    </row>
    <row r="3252" spans="20:20" x14ac:dyDescent="0.25">
      <c r="T3252" s="1"/>
    </row>
    <row r="3253" spans="20:20" x14ac:dyDescent="0.25">
      <c r="T3253" s="1"/>
    </row>
    <row r="3254" spans="20:20" x14ac:dyDescent="0.25">
      <c r="T3254" s="1"/>
    </row>
    <row r="3255" spans="20:20" x14ac:dyDescent="0.25">
      <c r="T3255" s="1"/>
    </row>
    <row r="3256" spans="20:20" x14ac:dyDescent="0.25">
      <c r="T3256" s="1"/>
    </row>
    <row r="3257" spans="20:20" x14ac:dyDescent="0.25">
      <c r="T3257" s="1"/>
    </row>
    <row r="3258" spans="20:20" x14ac:dyDescent="0.25">
      <c r="T3258" s="1"/>
    </row>
    <row r="3259" spans="20:20" x14ac:dyDescent="0.25">
      <c r="T3259" s="1"/>
    </row>
    <row r="3260" spans="20:20" x14ac:dyDescent="0.25">
      <c r="T3260" s="1"/>
    </row>
    <row r="3261" spans="20:20" x14ac:dyDescent="0.25">
      <c r="T3261" s="1"/>
    </row>
    <row r="3262" spans="20:20" x14ac:dyDescent="0.25">
      <c r="T3262" s="1"/>
    </row>
    <row r="3263" spans="20:20" x14ac:dyDescent="0.25">
      <c r="T3263" s="1"/>
    </row>
    <row r="3264" spans="20:20" x14ac:dyDescent="0.25">
      <c r="T3264" s="1"/>
    </row>
    <row r="3265" spans="20:20" x14ac:dyDescent="0.25">
      <c r="T3265" s="1"/>
    </row>
    <row r="3266" spans="20:20" x14ac:dyDescent="0.25">
      <c r="T3266" s="1"/>
    </row>
    <row r="3267" spans="20:20" x14ac:dyDescent="0.25">
      <c r="T3267" s="1"/>
    </row>
    <row r="3268" spans="20:20" x14ac:dyDescent="0.25">
      <c r="T3268" s="1"/>
    </row>
    <row r="3269" spans="20:20" x14ac:dyDescent="0.25">
      <c r="T3269" s="1"/>
    </row>
    <row r="3270" spans="20:20" x14ac:dyDescent="0.25">
      <c r="T3270" s="1"/>
    </row>
    <row r="3271" spans="20:20" x14ac:dyDescent="0.25">
      <c r="T3271" s="1"/>
    </row>
    <row r="3272" spans="20:20" x14ac:dyDescent="0.25">
      <c r="T3272" s="1"/>
    </row>
    <row r="3273" spans="20:20" x14ac:dyDescent="0.25">
      <c r="T3273" s="1"/>
    </row>
    <row r="3274" spans="20:20" x14ac:dyDescent="0.25">
      <c r="T3274" s="1"/>
    </row>
    <row r="3275" spans="20:20" x14ac:dyDescent="0.25">
      <c r="T3275" s="1"/>
    </row>
    <row r="3276" spans="20:20" x14ac:dyDescent="0.25">
      <c r="T3276" s="1"/>
    </row>
    <row r="3277" spans="20:20" x14ac:dyDescent="0.25">
      <c r="T3277" s="1"/>
    </row>
    <row r="3278" spans="20:20" x14ac:dyDescent="0.25">
      <c r="T3278" s="1"/>
    </row>
    <row r="3279" spans="20:20" x14ac:dyDescent="0.25">
      <c r="T3279" s="1"/>
    </row>
    <row r="3280" spans="20:20" x14ac:dyDescent="0.25">
      <c r="T3280" s="1"/>
    </row>
    <row r="3281" spans="20:20" x14ac:dyDescent="0.25">
      <c r="T3281" s="1"/>
    </row>
    <row r="3282" spans="20:20" x14ac:dyDescent="0.25">
      <c r="T3282" s="1"/>
    </row>
    <row r="3283" spans="20:20" x14ac:dyDescent="0.25">
      <c r="T3283" s="1"/>
    </row>
    <row r="3284" spans="20:20" x14ac:dyDescent="0.25">
      <c r="T3284" s="1"/>
    </row>
    <row r="3285" spans="20:20" x14ac:dyDescent="0.25">
      <c r="T3285" s="1"/>
    </row>
    <row r="3286" spans="20:20" x14ac:dyDescent="0.25">
      <c r="T3286" s="1"/>
    </row>
    <row r="3287" spans="20:20" x14ac:dyDescent="0.25">
      <c r="T3287" s="1"/>
    </row>
    <row r="3288" spans="20:20" x14ac:dyDescent="0.25">
      <c r="T3288" s="1"/>
    </row>
    <row r="3289" spans="20:20" x14ac:dyDescent="0.25">
      <c r="T3289" s="1"/>
    </row>
    <row r="3290" spans="20:20" x14ac:dyDescent="0.25">
      <c r="T3290" s="1"/>
    </row>
    <row r="3291" spans="20:20" x14ac:dyDescent="0.25">
      <c r="T3291" s="1"/>
    </row>
    <row r="3292" spans="20:20" x14ac:dyDescent="0.25">
      <c r="T3292" s="1"/>
    </row>
    <row r="3293" spans="20:20" x14ac:dyDescent="0.25">
      <c r="T3293" s="1"/>
    </row>
    <row r="3294" spans="20:20" x14ac:dyDescent="0.25">
      <c r="T3294" s="1"/>
    </row>
    <row r="3295" spans="20:20" x14ac:dyDescent="0.25">
      <c r="T3295" s="1"/>
    </row>
    <row r="3296" spans="20:20" x14ac:dyDescent="0.25">
      <c r="T3296" s="1"/>
    </row>
    <row r="3297" spans="20:20" x14ac:dyDescent="0.25">
      <c r="T3297" s="1"/>
    </row>
    <row r="3298" spans="20:20" x14ac:dyDescent="0.25">
      <c r="T3298" s="1"/>
    </row>
    <row r="3299" spans="20:20" x14ac:dyDescent="0.25">
      <c r="T3299" s="1"/>
    </row>
    <row r="3300" spans="20:20" x14ac:dyDescent="0.25">
      <c r="T3300" s="1"/>
    </row>
    <row r="3301" spans="20:20" x14ac:dyDescent="0.25">
      <c r="T3301" s="1"/>
    </row>
    <row r="3302" spans="20:20" x14ac:dyDescent="0.25">
      <c r="T3302" s="1"/>
    </row>
    <row r="3303" spans="20:20" x14ac:dyDescent="0.25">
      <c r="T3303" s="1"/>
    </row>
    <row r="3304" spans="20:20" x14ac:dyDescent="0.25">
      <c r="T3304" s="1"/>
    </row>
    <row r="3305" spans="20:20" x14ac:dyDescent="0.25">
      <c r="T3305" s="1"/>
    </row>
    <row r="3306" spans="20:20" x14ac:dyDescent="0.25">
      <c r="T3306" s="1"/>
    </row>
    <row r="3307" spans="20:20" x14ac:dyDescent="0.25">
      <c r="T3307" s="1"/>
    </row>
    <row r="3308" spans="20:20" x14ac:dyDescent="0.25">
      <c r="T3308" s="1"/>
    </row>
    <row r="3309" spans="20:20" x14ac:dyDescent="0.25">
      <c r="T3309" s="1"/>
    </row>
    <row r="3310" spans="20:20" x14ac:dyDescent="0.25">
      <c r="T3310" s="1"/>
    </row>
    <row r="3311" spans="20:20" x14ac:dyDescent="0.25">
      <c r="T3311" s="1"/>
    </row>
    <row r="3312" spans="20:20" x14ac:dyDescent="0.25">
      <c r="T3312" s="1"/>
    </row>
    <row r="3313" spans="20:20" x14ac:dyDescent="0.25">
      <c r="T3313" s="1"/>
    </row>
    <row r="3314" spans="20:20" x14ac:dyDescent="0.25">
      <c r="T3314" s="1"/>
    </row>
    <row r="3315" spans="20:20" x14ac:dyDescent="0.25">
      <c r="T3315" s="1"/>
    </row>
    <row r="3316" spans="20:20" x14ac:dyDescent="0.25">
      <c r="T3316" s="1"/>
    </row>
    <row r="3317" spans="20:20" x14ac:dyDescent="0.25">
      <c r="T3317" s="1"/>
    </row>
    <row r="3318" spans="20:20" x14ac:dyDescent="0.25">
      <c r="T3318" s="1"/>
    </row>
    <row r="3319" spans="20:20" x14ac:dyDescent="0.25">
      <c r="T3319" s="1"/>
    </row>
    <row r="3320" spans="20:20" x14ac:dyDescent="0.25">
      <c r="T3320" s="1"/>
    </row>
    <row r="3321" spans="20:20" x14ac:dyDescent="0.25">
      <c r="T3321" s="1"/>
    </row>
    <row r="3322" spans="20:20" x14ac:dyDescent="0.25">
      <c r="T3322" s="1"/>
    </row>
    <row r="3323" spans="20:20" x14ac:dyDescent="0.25">
      <c r="T3323" s="1"/>
    </row>
    <row r="3324" spans="20:20" x14ac:dyDescent="0.25">
      <c r="T3324" s="1"/>
    </row>
    <row r="3325" spans="20:20" x14ac:dyDescent="0.25">
      <c r="T3325" s="1"/>
    </row>
    <row r="3326" spans="20:20" x14ac:dyDescent="0.25">
      <c r="T3326" s="1"/>
    </row>
    <row r="3327" spans="20:20" x14ac:dyDescent="0.25">
      <c r="T3327" s="1"/>
    </row>
    <row r="3328" spans="20:20" x14ac:dyDescent="0.25">
      <c r="T3328" s="1"/>
    </row>
    <row r="3329" spans="20:20" x14ac:dyDescent="0.25">
      <c r="T3329" s="1"/>
    </row>
    <row r="3330" spans="20:20" x14ac:dyDescent="0.25">
      <c r="T3330" s="1"/>
    </row>
    <row r="3331" spans="20:20" x14ac:dyDescent="0.25">
      <c r="T3331" s="1"/>
    </row>
    <row r="3332" spans="20:20" x14ac:dyDescent="0.25">
      <c r="T3332" s="1"/>
    </row>
    <row r="3333" spans="20:20" x14ac:dyDescent="0.25">
      <c r="T3333" s="1"/>
    </row>
    <row r="3334" spans="20:20" x14ac:dyDescent="0.25">
      <c r="T3334" s="1"/>
    </row>
    <row r="3335" spans="20:20" x14ac:dyDescent="0.25">
      <c r="T3335" s="1"/>
    </row>
    <row r="3336" spans="20:20" x14ac:dyDescent="0.25">
      <c r="T3336" s="1"/>
    </row>
    <row r="3337" spans="20:20" x14ac:dyDescent="0.25">
      <c r="T3337" s="1"/>
    </row>
    <row r="3338" spans="20:20" x14ac:dyDescent="0.25">
      <c r="T3338" s="1"/>
    </row>
    <row r="3339" spans="20:20" x14ac:dyDescent="0.25">
      <c r="T3339" s="1"/>
    </row>
    <row r="3340" spans="20:20" x14ac:dyDescent="0.25">
      <c r="T3340" s="1"/>
    </row>
    <row r="3341" spans="20:20" x14ac:dyDescent="0.25">
      <c r="T3341" s="1"/>
    </row>
    <row r="3342" spans="20:20" x14ac:dyDescent="0.25">
      <c r="T3342" s="1"/>
    </row>
    <row r="3343" spans="20:20" x14ac:dyDescent="0.25">
      <c r="T3343" s="1"/>
    </row>
    <row r="3344" spans="20:20" x14ac:dyDescent="0.25">
      <c r="T3344" s="1"/>
    </row>
    <row r="3345" spans="20:20" x14ac:dyDescent="0.25">
      <c r="T3345" s="1"/>
    </row>
    <row r="3346" spans="20:20" x14ac:dyDescent="0.25">
      <c r="T3346" s="1"/>
    </row>
    <row r="3347" spans="20:20" x14ac:dyDescent="0.25">
      <c r="T3347" s="1"/>
    </row>
    <row r="3348" spans="20:20" x14ac:dyDescent="0.25">
      <c r="T3348" s="1"/>
    </row>
    <row r="3349" spans="20:20" x14ac:dyDescent="0.25">
      <c r="T3349" s="1"/>
    </row>
    <row r="3350" spans="20:20" x14ac:dyDescent="0.25">
      <c r="T3350" s="1"/>
    </row>
    <row r="3351" spans="20:20" x14ac:dyDescent="0.25">
      <c r="T3351" s="1"/>
    </row>
    <row r="3352" spans="20:20" x14ac:dyDescent="0.25">
      <c r="T3352" s="1"/>
    </row>
    <row r="3353" spans="20:20" x14ac:dyDescent="0.25">
      <c r="T3353" s="1"/>
    </row>
    <row r="3354" spans="20:20" x14ac:dyDescent="0.25">
      <c r="T3354" s="1"/>
    </row>
    <row r="3355" spans="20:20" x14ac:dyDescent="0.25">
      <c r="T3355" s="1"/>
    </row>
    <row r="3356" spans="20:20" x14ac:dyDescent="0.25">
      <c r="T3356" s="1"/>
    </row>
    <row r="3357" spans="20:20" x14ac:dyDescent="0.25">
      <c r="T3357" s="1"/>
    </row>
    <row r="3358" spans="20:20" x14ac:dyDescent="0.25">
      <c r="T3358" s="1"/>
    </row>
    <row r="3359" spans="20:20" x14ac:dyDescent="0.25">
      <c r="T3359" s="1"/>
    </row>
    <row r="3360" spans="20:20" x14ac:dyDescent="0.25">
      <c r="T3360" s="1"/>
    </row>
    <row r="3361" spans="20:20" x14ac:dyDescent="0.25">
      <c r="T3361" s="1"/>
    </row>
    <row r="3362" spans="20:20" x14ac:dyDescent="0.25">
      <c r="T3362" s="1"/>
    </row>
    <row r="3363" spans="20:20" x14ac:dyDescent="0.25">
      <c r="T3363" s="1"/>
    </row>
    <row r="3364" spans="20:20" x14ac:dyDescent="0.25">
      <c r="T3364" s="1"/>
    </row>
    <row r="3365" spans="20:20" x14ac:dyDescent="0.25">
      <c r="T3365" s="1"/>
    </row>
    <row r="3366" spans="20:20" x14ac:dyDescent="0.25">
      <c r="T3366" s="1"/>
    </row>
    <row r="3367" spans="20:20" x14ac:dyDescent="0.25">
      <c r="T3367" s="1"/>
    </row>
    <row r="3368" spans="20:20" x14ac:dyDescent="0.25">
      <c r="T3368" s="1"/>
    </row>
    <row r="3369" spans="20:20" x14ac:dyDescent="0.25">
      <c r="T3369" s="1"/>
    </row>
    <row r="3370" spans="20:20" x14ac:dyDescent="0.25">
      <c r="T3370" s="1"/>
    </row>
    <row r="3371" spans="20:20" x14ac:dyDescent="0.25">
      <c r="T3371" s="1"/>
    </row>
    <row r="3372" spans="20:20" x14ac:dyDescent="0.25">
      <c r="T3372" s="1"/>
    </row>
    <row r="3373" spans="20:20" x14ac:dyDescent="0.25">
      <c r="T3373" s="1"/>
    </row>
    <row r="3374" spans="20:20" x14ac:dyDescent="0.25">
      <c r="T3374" s="1"/>
    </row>
    <row r="3375" spans="20:20" x14ac:dyDescent="0.25">
      <c r="T3375" s="1"/>
    </row>
    <row r="3376" spans="20:20" x14ac:dyDescent="0.25">
      <c r="T3376" s="1"/>
    </row>
    <row r="3377" spans="20:20" x14ac:dyDescent="0.25">
      <c r="T3377" s="1"/>
    </row>
    <row r="3378" spans="20:20" x14ac:dyDescent="0.25">
      <c r="T3378" s="1"/>
    </row>
    <row r="3379" spans="20:20" x14ac:dyDescent="0.25">
      <c r="T3379" s="1"/>
    </row>
    <row r="3380" spans="20:20" x14ac:dyDescent="0.25">
      <c r="T3380" s="1"/>
    </row>
    <row r="3381" spans="20:20" x14ac:dyDescent="0.25">
      <c r="T3381" s="1"/>
    </row>
    <row r="3382" spans="20:20" x14ac:dyDescent="0.25">
      <c r="T3382" s="1"/>
    </row>
    <row r="3383" spans="20:20" x14ac:dyDescent="0.25">
      <c r="T3383" s="1"/>
    </row>
    <row r="3384" spans="20:20" x14ac:dyDescent="0.25">
      <c r="T3384" s="1"/>
    </row>
    <row r="3385" spans="20:20" x14ac:dyDescent="0.25">
      <c r="T3385" s="1"/>
    </row>
    <row r="3386" spans="20:20" x14ac:dyDescent="0.25">
      <c r="T3386" s="1"/>
    </row>
    <row r="3387" spans="20:20" x14ac:dyDescent="0.25">
      <c r="T3387" s="1"/>
    </row>
    <row r="3388" spans="20:20" x14ac:dyDescent="0.25">
      <c r="T3388" s="1"/>
    </row>
    <row r="3389" spans="20:20" x14ac:dyDescent="0.25">
      <c r="T3389" s="1"/>
    </row>
    <row r="3390" spans="20:20" x14ac:dyDescent="0.25">
      <c r="T3390" s="1"/>
    </row>
    <row r="3391" spans="20:20" x14ac:dyDescent="0.25">
      <c r="T3391" s="1"/>
    </row>
    <row r="3392" spans="20:20" x14ac:dyDescent="0.25">
      <c r="T3392" s="1"/>
    </row>
    <row r="3393" spans="20:20" x14ac:dyDescent="0.25">
      <c r="T3393" s="1"/>
    </row>
    <row r="3394" spans="20:20" x14ac:dyDescent="0.25">
      <c r="T3394" s="1"/>
    </row>
    <row r="3395" spans="20:20" x14ac:dyDescent="0.25">
      <c r="T3395" s="1"/>
    </row>
    <row r="3396" spans="20:20" x14ac:dyDescent="0.25">
      <c r="T3396" s="1"/>
    </row>
    <row r="3397" spans="20:20" x14ac:dyDescent="0.25">
      <c r="T3397" s="1"/>
    </row>
    <row r="3398" spans="20:20" x14ac:dyDescent="0.25">
      <c r="T3398" s="1"/>
    </row>
    <row r="3399" spans="20:20" x14ac:dyDescent="0.25">
      <c r="T3399" s="1"/>
    </row>
    <row r="3400" spans="20:20" x14ac:dyDescent="0.25">
      <c r="T3400" s="1"/>
    </row>
    <row r="3401" spans="20:20" x14ac:dyDescent="0.25">
      <c r="T3401" s="1"/>
    </row>
    <row r="3402" spans="20:20" x14ac:dyDescent="0.25">
      <c r="T3402" s="1"/>
    </row>
    <row r="3403" spans="20:20" x14ac:dyDescent="0.25">
      <c r="T3403" s="1"/>
    </row>
    <row r="3404" spans="20:20" x14ac:dyDescent="0.25">
      <c r="T3404" s="1"/>
    </row>
    <row r="3405" spans="20:20" x14ac:dyDescent="0.25">
      <c r="T3405" s="1"/>
    </row>
    <row r="3406" spans="20:20" x14ac:dyDescent="0.25">
      <c r="T3406" s="1"/>
    </row>
    <row r="3407" spans="20:20" x14ac:dyDescent="0.25">
      <c r="T3407" s="1"/>
    </row>
    <row r="3408" spans="20:20" x14ac:dyDescent="0.25">
      <c r="T3408" s="1"/>
    </row>
    <row r="3409" spans="20:20" x14ac:dyDescent="0.25">
      <c r="T3409" s="1"/>
    </row>
    <row r="3410" spans="20:20" x14ac:dyDescent="0.25">
      <c r="T3410" s="1"/>
    </row>
    <row r="3411" spans="20:20" x14ac:dyDescent="0.25">
      <c r="T3411" s="1"/>
    </row>
    <row r="3412" spans="20:20" x14ac:dyDescent="0.25">
      <c r="T3412" s="1"/>
    </row>
    <row r="3413" spans="20:20" x14ac:dyDescent="0.25">
      <c r="T3413" s="1"/>
    </row>
    <row r="3414" spans="20:20" x14ac:dyDescent="0.25">
      <c r="T3414" s="1"/>
    </row>
    <row r="3415" spans="20:20" x14ac:dyDescent="0.25">
      <c r="T3415" s="1"/>
    </row>
    <row r="3416" spans="20:20" x14ac:dyDescent="0.25">
      <c r="T3416" s="1"/>
    </row>
    <row r="3417" spans="20:20" x14ac:dyDescent="0.25">
      <c r="T3417" s="1"/>
    </row>
    <row r="3418" spans="20:20" x14ac:dyDescent="0.25">
      <c r="T3418" s="1"/>
    </row>
    <row r="3419" spans="20:20" x14ac:dyDescent="0.25">
      <c r="T3419" s="1"/>
    </row>
    <row r="3420" spans="20:20" x14ac:dyDescent="0.25">
      <c r="T3420" s="1"/>
    </row>
    <row r="3421" spans="20:20" x14ac:dyDescent="0.25">
      <c r="T3421" s="1"/>
    </row>
    <row r="3422" spans="20:20" x14ac:dyDescent="0.25">
      <c r="T3422" s="1"/>
    </row>
    <row r="3423" spans="20:20" x14ac:dyDescent="0.25">
      <c r="T3423" s="1"/>
    </row>
    <row r="3424" spans="20:20" x14ac:dyDescent="0.25">
      <c r="T3424" s="1"/>
    </row>
    <row r="3425" spans="20:20" x14ac:dyDescent="0.25">
      <c r="T3425" s="1"/>
    </row>
    <row r="3426" spans="20:20" x14ac:dyDescent="0.25">
      <c r="T3426" s="1"/>
    </row>
    <row r="3427" spans="20:20" x14ac:dyDescent="0.25">
      <c r="T3427" s="1"/>
    </row>
    <row r="3428" spans="20:20" x14ac:dyDescent="0.25">
      <c r="T3428" s="1"/>
    </row>
    <row r="3429" spans="20:20" x14ac:dyDescent="0.25">
      <c r="T3429" s="1"/>
    </row>
    <row r="3430" spans="20:20" x14ac:dyDescent="0.25">
      <c r="T3430" s="1"/>
    </row>
    <row r="3431" spans="20:20" x14ac:dyDescent="0.25">
      <c r="T3431" s="1"/>
    </row>
    <row r="3432" spans="20:20" x14ac:dyDescent="0.25">
      <c r="T3432" s="1"/>
    </row>
    <row r="3433" spans="20:20" x14ac:dyDescent="0.25">
      <c r="T3433" s="1"/>
    </row>
    <row r="3434" spans="20:20" x14ac:dyDescent="0.25">
      <c r="T3434" s="1"/>
    </row>
    <row r="3435" spans="20:20" x14ac:dyDescent="0.25">
      <c r="T3435" s="1"/>
    </row>
    <row r="3436" spans="20:20" x14ac:dyDescent="0.25">
      <c r="T3436" s="1"/>
    </row>
    <row r="3437" spans="20:20" x14ac:dyDescent="0.25">
      <c r="T3437" s="1"/>
    </row>
    <row r="3438" spans="20:20" x14ac:dyDescent="0.25">
      <c r="T3438" s="1"/>
    </row>
    <row r="3439" spans="20:20" x14ac:dyDescent="0.25">
      <c r="T3439" s="1"/>
    </row>
    <row r="3440" spans="20:20" x14ac:dyDescent="0.25">
      <c r="T3440" s="1"/>
    </row>
    <row r="3441" spans="20:20" x14ac:dyDescent="0.25">
      <c r="T3441" s="1"/>
    </row>
    <row r="3442" spans="20:20" x14ac:dyDescent="0.25">
      <c r="T3442" s="1"/>
    </row>
    <row r="3443" spans="20:20" x14ac:dyDescent="0.25">
      <c r="T3443" s="1"/>
    </row>
    <row r="3444" spans="20:20" x14ac:dyDescent="0.25">
      <c r="T3444" s="1"/>
    </row>
    <row r="3445" spans="20:20" x14ac:dyDescent="0.25">
      <c r="T3445" s="1"/>
    </row>
    <row r="3446" spans="20:20" x14ac:dyDescent="0.25">
      <c r="T3446" s="1"/>
    </row>
    <row r="3447" spans="20:20" x14ac:dyDescent="0.25">
      <c r="T3447" s="1"/>
    </row>
    <row r="3448" spans="20:20" x14ac:dyDescent="0.25">
      <c r="T3448" s="1"/>
    </row>
    <row r="3449" spans="20:20" x14ac:dyDescent="0.25">
      <c r="T3449" s="1"/>
    </row>
    <row r="3450" spans="20:20" x14ac:dyDescent="0.25">
      <c r="T3450" s="1"/>
    </row>
    <row r="3451" spans="20:20" x14ac:dyDescent="0.25">
      <c r="T3451" s="1"/>
    </row>
    <row r="3452" spans="20:20" x14ac:dyDescent="0.25">
      <c r="T3452" s="1"/>
    </row>
    <row r="3453" spans="20:20" x14ac:dyDescent="0.25">
      <c r="T3453" s="1"/>
    </row>
    <row r="3454" spans="20:20" x14ac:dyDescent="0.25">
      <c r="T3454" s="1"/>
    </row>
    <row r="3455" spans="20:20" x14ac:dyDescent="0.25">
      <c r="T3455" s="1"/>
    </row>
    <row r="3456" spans="20:20" x14ac:dyDescent="0.25">
      <c r="T3456" s="1"/>
    </row>
    <row r="3457" spans="20:20" x14ac:dyDescent="0.25">
      <c r="T3457" s="1"/>
    </row>
    <row r="3458" spans="20:20" x14ac:dyDescent="0.25">
      <c r="T3458" s="1"/>
    </row>
    <row r="3459" spans="20:20" x14ac:dyDescent="0.25">
      <c r="T3459" s="1"/>
    </row>
    <row r="3460" spans="20:20" x14ac:dyDescent="0.25">
      <c r="T3460" s="1"/>
    </row>
    <row r="3461" spans="20:20" x14ac:dyDescent="0.25">
      <c r="T3461" s="1"/>
    </row>
    <row r="3462" spans="20:20" x14ac:dyDescent="0.25">
      <c r="T3462" s="1"/>
    </row>
    <row r="3463" spans="20:20" x14ac:dyDescent="0.25">
      <c r="T3463" s="1"/>
    </row>
    <row r="3464" spans="20:20" x14ac:dyDescent="0.25">
      <c r="T3464" s="1"/>
    </row>
    <row r="3465" spans="20:20" x14ac:dyDescent="0.25">
      <c r="T3465" s="1"/>
    </row>
    <row r="3466" spans="20:20" x14ac:dyDescent="0.25">
      <c r="T3466" s="1"/>
    </row>
    <row r="3467" spans="20:20" x14ac:dyDescent="0.25">
      <c r="T3467" s="1"/>
    </row>
    <row r="3468" spans="20:20" x14ac:dyDescent="0.25">
      <c r="T3468" s="1"/>
    </row>
    <row r="3469" spans="20:20" x14ac:dyDescent="0.25">
      <c r="T3469" s="1"/>
    </row>
    <row r="3470" spans="20:20" x14ac:dyDescent="0.25">
      <c r="T3470" s="1"/>
    </row>
    <row r="3471" spans="20:20" x14ac:dyDescent="0.25">
      <c r="T3471" s="1"/>
    </row>
    <row r="3472" spans="20:20" x14ac:dyDescent="0.25">
      <c r="T3472" s="1"/>
    </row>
    <row r="3473" spans="20:20" x14ac:dyDescent="0.25">
      <c r="T3473" s="1"/>
    </row>
    <row r="3474" spans="20:20" x14ac:dyDescent="0.25">
      <c r="T3474" s="1"/>
    </row>
    <row r="3475" spans="20:20" x14ac:dyDescent="0.25">
      <c r="T3475" s="1"/>
    </row>
    <row r="3476" spans="20:20" x14ac:dyDescent="0.25">
      <c r="T3476" s="1"/>
    </row>
    <row r="3477" spans="20:20" x14ac:dyDescent="0.25">
      <c r="T3477" s="1"/>
    </row>
    <row r="3478" spans="20:20" x14ac:dyDescent="0.25">
      <c r="T3478" s="1"/>
    </row>
    <row r="3479" spans="20:20" x14ac:dyDescent="0.25">
      <c r="T3479" s="1"/>
    </row>
    <row r="3480" spans="20:20" x14ac:dyDescent="0.25">
      <c r="T3480" s="1"/>
    </row>
    <row r="3481" spans="20:20" x14ac:dyDescent="0.25">
      <c r="T3481" s="1"/>
    </row>
    <row r="3482" spans="20:20" x14ac:dyDescent="0.25">
      <c r="T3482" s="1"/>
    </row>
    <row r="3483" spans="20:20" x14ac:dyDescent="0.25">
      <c r="T3483" s="1"/>
    </row>
    <row r="3484" spans="20:20" x14ac:dyDescent="0.25">
      <c r="T3484" s="1"/>
    </row>
    <row r="3485" spans="20:20" x14ac:dyDescent="0.25">
      <c r="T3485" s="1"/>
    </row>
    <row r="3486" spans="20:20" x14ac:dyDescent="0.25">
      <c r="T3486" s="1"/>
    </row>
    <row r="3487" spans="20:20" x14ac:dyDescent="0.25">
      <c r="T3487" s="1"/>
    </row>
    <row r="3488" spans="20:20" x14ac:dyDescent="0.25">
      <c r="T3488" s="1"/>
    </row>
    <row r="3489" spans="20:20" x14ac:dyDescent="0.25">
      <c r="T3489" s="1"/>
    </row>
    <row r="3490" spans="20:20" x14ac:dyDescent="0.25">
      <c r="T3490" s="1"/>
    </row>
    <row r="3491" spans="20:20" x14ac:dyDescent="0.25">
      <c r="T3491" s="1"/>
    </row>
    <row r="3492" spans="20:20" x14ac:dyDescent="0.25">
      <c r="T3492" s="1"/>
    </row>
    <row r="3493" spans="20:20" x14ac:dyDescent="0.25">
      <c r="T3493" s="1"/>
    </row>
    <row r="3494" spans="20:20" x14ac:dyDescent="0.25">
      <c r="T3494" s="1"/>
    </row>
    <row r="3495" spans="20:20" x14ac:dyDescent="0.25">
      <c r="T3495" s="1"/>
    </row>
    <row r="3496" spans="20:20" x14ac:dyDescent="0.25">
      <c r="T3496" s="1"/>
    </row>
    <row r="3497" spans="20:20" x14ac:dyDescent="0.25">
      <c r="T3497" s="1"/>
    </row>
    <row r="3498" spans="20:20" x14ac:dyDescent="0.25">
      <c r="T3498" s="1"/>
    </row>
    <row r="3499" spans="20:20" x14ac:dyDescent="0.25">
      <c r="T3499" s="1"/>
    </row>
    <row r="3500" spans="20:20" x14ac:dyDescent="0.25">
      <c r="T3500" s="1"/>
    </row>
    <row r="3501" spans="20:20" x14ac:dyDescent="0.25">
      <c r="T3501" s="1"/>
    </row>
    <row r="3502" spans="20:20" x14ac:dyDescent="0.25">
      <c r="T3502" s="1"/>
    </row>
    <row r="3503" spans="20:20" x14ac:dyDescent="0.25">
      <c r="T3503" s="1"/>
    </row>
    <row r="3504" spans="20:20" x14ac:dyDescent="0.25">
      <c r="T3504" s="1"/>
    </row>
    <row r="3505" spans="20:20" x14ac:dyDescent="0.25">
      <c r="T3505" s="1"/>
    </row>
    <row r="3506" spans="20:20" x14ac:dyDescent="0.25">
      <c r="T3506" s="1"/>
    </row>
    <row r="3507" spans="20:20" x14ac:dyDescent="0.25">
      <c r="T3507" s="1"/>
    </row>
    <row r="3508" spans="20:20" x14ac:dyDescent="0.25">
      <c r="T3508" s="1"/>
    </row>
    <row r="3509" spans="20:20" x14ac:dyDescent="0.25">
      <c r="T3509" s="1"/>
    </row>
    <row r="3510" spans="20:20" x14ac:dyDescent="0.25">
      <c r="T3510" s="1"/>
    </row>
    <row r="3511" spans="20:20" x14ac:dyDescent="0.25">
      <c r="T3511" s="1"/>
    </row>
    <row r="3512" spans="20:20" x14ac:dyDescent="0.25">
      <c r="T3512" s="1"/>
    </row>
    <row r="3513" spans="20:20" x14ac:dyDescent="0.25">
      <c r="T3513" s="1"/>
    </row>
    <row r="3514" spans="20:20" x14ac:dyDescent="0.25">
      <c r="T3514" s="1"/>
    </row>
    <row r="3515" spans="20:20" x14ac:dyDescent="0.25">
      <c r="T3515" s="1"/>
    </row>
    <row r="3516" spans="20:20" x14ac:dyDescent="0.25">
      <c r="T3516" s="1"/>
    </row>
    <row r="3517" spans="20:20" x14ac:dyDescent="0.25">
      <c r="T3517" s="1"/>
    </row>
    <row r="3518" spans="20:20" x14ac:dyDescent="0.25">
      <c r="T3518" s="1"/>
    </row>
    <row r="3519" spans="20:20" x14ac:dyDescent="0.25">
      <c r="T3519" s="1"/>
    </row>
    <row r="3520" spans="20:20" x14ac:dyDescent="0.25">
      <c r="T3520" s="1"/>
    </row>
    <row r="3521" spans="20:20" x14ac:dyDescent="0.25">
      <c r="T3521" s="1"/>
    </row>
    <row r="3522" spans="20:20" x14ac:dyDescent="0.25">
      <c r="T3522" s="1"/>
    </row>
    <row r="3523" spans="20:20" x14ac:dyDescent="0.25">
      <c r="T3523" s="1"/>
    </row>
    <row r="3524" spans="20:20" x14ac:dyDescent="0.25">
      <c r="T3524" s="1"/>
    </row>
    <row r="3525" spans="20:20" x14ac:dyDescent="0.25">
      <c r="T3525" s="1"/>
    </row>
    <row r="3526" spans="20:20" x14ac:dyDescent="0.25">
      <c r="T3526" s="1"/>
    </row>
    <row r="3527" spans="20:20" x14ac:dyDescent="0.25">
      <c r="T3527" s="1"/>
    </row>
    <row r="3528" spans="20:20" x14ac:dyDescent="0.25">
      <c r="T3528" s="1"/>
    </row>
    <row r="3529" spans="20:20" x14ac:dyDescent="0.25">
      <c r="T3529" s="1"/>
    </row>
    <row r="3530" spans="20:20" x14ac:dyDescent="0.25">
      <c r="T3530" s="1"/>
    </row>
    <row r="3531" spans="20:20" x14ac:dyDescent="0.25">
      <c r="T3531" s="1"/>
    </row>
    <row r="3532" spans="20:20" x14ac:dyDescent="0.25">
      <c r="T3532" s="1"/>
    </row>
    <row r="3533" spans="20:20" x14ac:dyDescent="0.25">
      <c r="T3533" s="1"/>
    </row>
    <row r="3534" spans="20:20" x14ac:dyDescent="0.25">
      <c r="T3534" s="1"/>
    </row>
    <row r="3535" spans="20:20" x14ac:dyDescent="0.25">
      <c r="T3535" s="1"/>
    </row>
    <row r="3536" spans="20:20" x14ac:dyDescent="0.25">
      <c r="T3536" s="1"/>
    </row>
    <row r="3537" spans="20:20" x14ac:dyDescent="0.25">
      <c r="T3537" s="1"/>
    </row>
    <row r="3538" spans="20:20" x14ac:dyDescent="0.25">
      <c r="T3538" s="1"/>
    </row>
    <row r="3539" spans="20:20" x14ac:dyDescent="0.25">
      <c r="T3539" s="1"/>
    </row>
    <row r="3540" spans="20:20" x14ac:dyDescent="0.25">
      <c r="T3540" s="1"/>
    </row>
    <row r="3541" spans="20:20" x14ac:dyDescent="0.25">
      <c r="T3541" s="1"/>
    </row>
    <row r="3542" spans="20:20" x14ac:dyDescent="0.25">
      <c r="T3542" s="1"/>
    </row>
    <row r="3543" spans="20:20" x14ac:dyDescent="0.25">
      <c r="T3543" s="1"/>
    </row>
    <row r="3544" spans="20:20" x14ac:dyDescent="0.25">
      <c r="T3544" s="1"/>
    </row>
    <row r="3545" spans="20:20" x14ac:dyDescent="0.25">
      <c r="T3545" s="1"/>
    </row>
    <row r="3546" spans="20:20" x14ac:dyDescent="0.25">
      <c r="T3546" s="1"/>
    </row>
    <row r="3547" spans="20:20" x14ac:dyDescent="0.25">
      <c r="T3547" s="1"/>
    </row>
    <row r="3548" spans="20:20" x14ac:dyDescent="0.25">
      <c r="T3548" s="1"/>
    </row>
    <row r="3549" spans="20:20" x14ac:dyDescent="0.25">
      <c r="T3549" s="1"/>
    </row>
    <row r="3550" spans="20:20" x14ac:dyDescent="0.25">
      <c r="T3550" s="1"/>
    </row>
    <row r="3551" spans="20:20" x14ac:dyDescent="0.25">
      <c r="T3551" s="1"/>
    </row>
    <row r="3552" spans="20:20" x14ac:dyDescent="0.25">
      <c r="T3552" s="1"/>
    </row>
    <row r="3553" spans="20:20" x14ac:dyDescent="0.25">
      <c r="T3553" s="1"/>
    </row>
    <row r="3554" spans="20:20" x14ac:dyDescent="0.25">
      <c r="T3554" s="1"/>
    </row>
    <row r="3555" spans="20:20" x14ac:dyDescent="0.25">
      <c r="T3555" s="1"/>
    </row>
    <row r="3556" spans="20:20" x14ac:dyDescent="0.25">
      <c r="T3556" s="1"/>
    </row>
    <row r="3557" spans="20:20" x14ac:dyDescent="0.25">
      <c r="T3557" s="1"/>
    </row>
    <row r="3558" spans="20:20" x14ac:dyDescent="0.25">
      <c r="T3558" s="1"/>
    </row>
    <row r="3559" spans="20:20" x14ac:dyDescent="0.25">
      <c r="T3559" s="1"/>
    </row>
    <row r="3560" spans="20:20" x14ac:dyDescent="0.25">
      <c r="T3560" s="1"/>
    </row>
    <row r="3561" spans="20:20" x14ac:dyDescent="0.25">
      <c r="T3561" s="1"/>
    </row>
    <row r="3562" spans="20:20" x14ac:dyDescent="0.25">
      <c r="T3562" s="1"/>
    </row>
    <row r="3563" spans="20:20" x14ac:dyDescent="0.25">
      <c r="T3563" s="1"/>
    </row>
    <row r="3564" spans="20:20" x14ac:dyDescent="0.25">
      <c r="T3564" s="1"/>
    </row>
    <row r="3565" spans="20:20" x14ac:dyDescent="0.25">
      <c r="T3565" s="1"/>
    </row>
    <row r="3566" spans="20:20" x14ac:dyDescent="0.25">
      <c r="T3566" s="1"/>
    </row>
    <row r="3567" spans="20:20" x14ac:dyDescent="0.25">
      <c r="T3567" s="1"/>
    </row>
    <row r="3568" spans="20:20" x14ac:dyDescent="0.25">
      <c r="T3568" s="1"/>
    </row>
    <row r="3569" spans="20:20" x14ac:dyDescent="0.25">
      <c r="T3569" s="1"/>
    </row>
    <row r="3570" spans="20:20" x14ac:dyDescent="0.25">
      <c r="T3570" s="1"/>
    </row>
    <row r="3571" spans="20:20" x14ac:dyDescent="0.25">
      <c r="T3571" s="1"/>
    </row>
    <row r="3572" spans="20:20" x14ac:dyDescent="0.25">
      <c r="T3572" s="1"/>
    </row>
    <row r="3573" spans="20:20" x14ac:dyDescent="0.25">
      <c r="T3573" s="1"/>
    </row>
    <row r="3574" spans="20:20" x14ac:dyDescent="0.25">
      <c r="T3574" s="1"/>
    </row>
    <row r="3575" spans="20:20" x14ac:dyDescent="0.25">
      <c r="T3575" s="1"/>
    </row>
    <row r="3576" spans="20:20" x14ac:dyDescent="0.25">
      <c r="T3576" s="1"/>
    </row>
    <row r="3577" spans="20:20" x14ac:dyDescent="0.25">
      <c r="T3577" s="1"/>
    </row>
    <row r="3578" spans="20:20" x14ac:dyDescent="0.25">
      <c r="T3578" s="1"/>
    </row>
    <row r="3579" spans="20:20" x14ac:dyDescent="0.25">
      <c r="T3579" s="1"/>
    </row>
    <row r="3580" spans="20:20" x14ac:dyDescent="0.25">
      <c r="T3580" s="1"/>
    </row>
    <row r="3581" spans="20:20" x14ac:dyDescent="0.25">
      <c r="T3581" s="1"/>
    </row>
    <row r="3582" spans="20:20" x14ac:dyDescent="0.25">
      <c r="T3582" s="1"/>
    </row>
    <row r="3583" spans="20:20" x14ac:dyDescent="0.25">
      <c r="T3583" s="1"/>
    </row>
    <row r="3584" spans="20:20" x14ac:dyDescent="0.25">
      <c r="T3584" s="1"/>
    </row>
    <row r="3585" spans="20:20" x14ac:dyDescent="0.25">
      <c r="T3585" s="1"/>
    </row>
    <row r="3586" spans="20:20" x14ac:dyDescent="0.25">
      <c r="T3586" s="1"/>
    </row>
    <row r="3587" spans="20:20" x14ac:dyDescent="0.25">
      <c r="T3587" s="1"/>
    </row>
    <row r="3588" spans="20:20" x14ac:dyDescent="0.25">
      <c r="T3588" s="1"/>
    </row>
    <row r="3589" spans="20:20" x14ac:dyDescent="0.25">
      <c r="T3589" s="1"/>
    </row>
    <row r="3590" spans="20:20" x14ac:dyDescent="0.25">
      <c r="T3590" s="1"/>
    </row>
    <row r="3591" spans="20:20" x14ac:dyDescent="0.25">
      <c r="T3591" s="1"/>
    </row>
    <row r="3592" spans="20:20" x14ac:dyDescent="0.25">
      <c r="T3592" s="1"/>
    </row>
    <row r="3593" spans="20:20" x14ac:dyDescent="0.25">
      <c r="T3593" s="1"/>
    </row>
    <row r="3594" spans="20:20" x14ac:dyDescent="0.25">
      <c r="T3594" s="1"/>
    </row>
    <row r="3595" spans="20:20" x14ac:dyDescent="0.25">
      <c r="T3595" s="1"/>
    </row>
    <row r="3596" spans="20:20" x14ac:dyDescent="0.25">
      <c r="T3596" s="1"/>
    </row>
    <row r="3597" spans="20:20" x14ac:dyDescent="0.25">
      <c r="T3597" s="1"/>
    </row>
    <row r="3598" spans="20:20" x14ac:dyDescent="0.25">
      <c r="T3598" s="1"/>
    </row>
    <row r="3599" spans="20:20" x14ac:dyDescent="0.25">
      <c r="T3599" s="1"/>
    </row>
    <row r="3600" spans="20:20" x14ac:dyDescent="0.25">
      <c r="T3600" s="1"/>
    </row>
    <row r="3601" spans="20:20" x14ac:dyDescent="0.25">
      <c r="T3601" s="1"/>
    </row>
    <row r="3602" spans="20:20" x14ac:dyDescent="0.25">
      <c r="T3602" s="1"/>
    </row>
    <row r="3603" spans="20:20" x14ac:dyDescent="0.25">
      <c r="T3603" s="1"/>
    </row>
    <row r="3604" spans="20:20" x14ac:dyDescent="0.25">
      <c r="T3604" s="1"/>
    </row>
    <row r="3605" spans="20:20" x14ac:dyDescent="0.25">
      <c r="T3605" s="1"/>
    </row>
    <row r="3606" spans="20:20" x14ac:dyDescent="0.25">
      <c r="T3606" s="1"/>
    </row>
    <row r="3607" spans="20:20" x14ac:dyDescent="0.25">
      <c r="T3607" s="1"/>
    </row>
    <row r="3608" spans="20:20" x14ac:dyDescent="0.25">
      <c r="T3608" s="1"/>
    </row>
    <row r="3609" spans="20:20" x14ac:dyDescent="0.25">
      <c r="T3609" s="1"/>
    </row>
    <row r="3610" spans="20:20" x14ac:dyDescent="0.25">
      <c r="T3610" s="1"/>
    </row>
    <row r="3611" spans="20:20" x14ac:dyDescent="0.25">
      <c r="T3611" s="1"/>
    </row>
    <row r="3612" spans="20:20" x14ac:dyDescent="0.25">
      <c r="T3612" s="1"/>
    </row>
    <row r="3613" spans="20:20" x14ac:dyDescent="0.25">
      <c r="T3613" s="1"/>
    </row>
    <row r="3614" spans="20:20" x14ac:dyDescent="0.25">
      <c r="T3614" s="1"/>
    </row>
    <row r="3615" spans="20:20" x14ac:dyDescent="0.25">
      <c r="T3615" s="1"/>
    </row>
    <row r="3616" spans="20:20" x14ac:dyDescent="0.25">
      <c r="T3616" s="1"/>
    </row>
    <row r="3617" spans="20:20" x14ac:dyDescent="0.25">
      <c r="T3617" s="1"/>
    </row>
    <row r="3618" spans="20:20" x14ac:dyDescent="0.25">
      <c r="T3618" s="1"/>
    </row>
    <row r="3619" spans="20:20" x14ac:dyDescent="0.25">
      <c r="T3619" s="1"/>
    </row>
    <row r="3620" spans="20:20" x14ac:dyDescent="0.25">
      <c r="T3620" s="1"/>
    </row>
    <row r="3621" spans="20:20" x14ac:dyDescent="0.25">
      <c r="T3621" s="1"/>
    </row>
    <row r="3622" spans="20:20" x14ac:dyDescent="0.25">
      <c r="T3622" s="1"/>
    </row>
    <row r="3623" spans="20:20" x14ac:dyDescent="0.25">
      <c r="T3623" s="1"/>
    </row>
    <row r="3624" spans="20:20" x14ac:dyDescent="0.25">
      <c r="T3624" s="1"/>
    </row>
    <row r="3625" spans="20:20" x14ac:dyDescent="0.25">
      <c r="T3625" s="1"/>
    </row>
    <row r="3626" spans="20:20" x14ac:dyDescent="0.25">
      <c r="T3626" s="1"/>
    </row>
    <row r="3627" spans="20:20" x14ac:dyDescent="0.25">
      <c r="T3627" s="1"/>
    </row>
    <row r="3628" spans="20:20" x14ac:dyDescent="0.25">
      <c r="T3628" s="1"/>
    </row>
    <row r="3629" spans="20:20" x14ac:dyDescent="0.25">
      <c r="T3629" s="1"/>
    </row>
    <row r="3630" spans="20:20" x14ac:dyDescent="0.25">
      <c r="T3630" s="1"/>
    </row>
    <row r="3631" spans="20:20" x14ac:dyDescent="0.25">
      <c r="T3631" s="1"/>
    </row>
    <row r="3632" spans="20:20" x14ac:dyDescent="0.25">
      <c r="T3632" s="1"/>
    </row>
    <row r="3633" spans="20:20" x14ac:dyDescent="0.25">
      <c r="T3633" s="1"/>
    </row>
    <row r="3634" spans="20:20" x14ac:dyDescent="0.25">
      <c r="T3634" s="1"/>
    </row>
    <row r="3635" spans="20:20" x14ac:dyDescent="0.25">
      <c r="T3635" s="1"/>
    </row>
    <row r="3636" spans="20:20" x14ac:dyDescent="0.25">
      <c r="T3636" s="1"/>
    </row>
    <row r="3637" spans="20:20" x14ac:dyDescent="0.25">
      <c r="T3637" s="1"/>
    </row>
    <row r="3638" spans="20:20" x14ac:dyDescent="0.25">
      <c r="T3638" s="1"/>
    </row>
    <row r="3639" spans="20:20" x14ac:dyDescent="0.25">
      <c r="T3639" s="1"/>
    </row>
    <row r="3640" spans="20:20" x14ac:dyDescent="0.25">
      <c r="T3640" s="1"/>
    </row>
    <row r="3641" spans="20:20" x14ac:dyDescent="0.25">
      <c r="T3641" s="1"/>
    </row>
    <row r="3642" spans="20:20" x14ac:dyDescent="0.25">
      <c r="T3642" s="1"/>
    </row>
    <row r="3643" spans="20:20" x14ac:dyDescent="0.25">
      <c r="T3643" s="1"/>
    </row>
    <row r="3644" spans="20:20" x14ac:dyDescent="0.25">
      <c r="T3644" s="1"/>
    </row>
    <row r="3645" spans="20:20" x14ac:dyDescent="0.25">
      <c r="T3645" s="1"/>
    </row>
    <row r="3646" spans="20:20" x14ac:dyDescent="0.25">
      <c r="T3646" s="1"/>
    </row>
    <row r="3647" spans="20:20" x14ac:dyDescent="0.25">
      <c r="T3647" s="1"/>
    </row>
    <row r="3648" spans="20:20" x14ac:dyDescent="0.25">
      <c r="T3648" s="1"/>
    </row>
    <row r="3649" spans="20:20" x14ac:dyDescent="0.25">
      <c r="T3649" s="1"/>
    </row>
    <row r="3650" spans="20:20" x14ac:dyDescent="0.25">
      <c r="T3650" s="1"/>
    </row>
    <row r="3651" spans="20:20" x14ac:dyDescent="0.25">
      <c r="T3651" s="1"/>
    </row>
    <row r="3652" spans="20:20" x14ac:dyDescent="0.25">
      <c r="T3652" s="1"/>
    </row>
    <row r="3653" spans="20:20" x14ac:dyDescent="0.25">
      <c r="T3653" s="1"/>
    </row>
    <row r="3654" spans="20:20" x14ac:dyDescent="0.25">
      <c r="T3654" s="1"/>
    </row>
    <row r="3655" spans="20:20" x14ac:dyDescent="0.25">
      <c r="T3655" s="1"/>
    </row>
    <row r="3656" spans="20:20" x14ac:dyDescent="0.25">
      <c r="T3656" s="1"/>
    </row>
    <row r="3657" spans="20:20" x14ac:dyDescent="0.25">
      <c r="T3657" s="1"/>
    </row>
    <row r="3658" spans="20:20" x14ac:dyDescent="0.25">
      <c r="T3658" s="1"/>
    </row>
    <row r="3659" spans="20:20" x14ac:dyDescent="0.25">
      <c r="T3659" s="1"/>
    </row>
    <row r="3660" spans="20:20" x14ac:dyDescent="0.25">
      <c r="T3660" s="1"/>
    </row>
    <row r="3661" spans="20:20" x14ac:dyDescent="0.25">
      <c r="T3661" s="1"/>
    </row>
    <row r="3662" spans="20:20" x14ac:dyDescent="0.25">
      <c r="T3662" s="1"/>
    </row>
    <row r="3663" spans="20:20" x14ac:dyDescent="0.25">
      <c r="T3663" s="1"/>
    </row>
    <row r="3664" spans="20:20" x14ac:dyDescent="0.25">
      <c r="T3664" s="1"/>
    </row>
    <row r="3665" spans="20:20" x14ac:dyDescent="0.25">
      <c r="T3665" s="1"/>
    </row>
    <row r="3666" spans="20:20" x14ac:dyDescent="0.25">
      <c r="T3666" s="1"/>
    </row>
    <row r="3667" spans="20:20" x14ac:dyDescent="0.25">
      <c r="T3667" s="1"/>
    </row>
    <row r="3668" spans="20:20" x14ac:dyDescent="0.25">
      <c r="T3668" s="1"/>
    </row>
    <row r="3669" spans="20:20" x14ac:dyDescent="0.25">
      <c r="T3669" s="1"/>
    </row>
    <row r="3670" spans="20:20" x14ac:dyDescent="0.25">
      <c r="T3670" s="1"/>
    </row>
    <row r="3671" spans="20:20" x14ac:dyDescent="0.25">
      <c r="T3671" s="1"/>
    </row>
    <row r="3672" spans="20:20" x14ac:dyDescent="0.25">
      <c r="T3672" s="1"/>
    </row>
    <row r="3673" spans="20:20" x14ac:dyDescent="0.25">
      <c r="T3673" s="1"/>
    </row>
    <row r="3674" spans="20:20" x14ac:dyDescent="0.25">
      <c r="T3674" s="1"/>
    </row>
    <row r="3675" spans="20:20" x14ac:dyDescent="0.25">
      <c r="T3675" s="1"/>
    </row>
    <row r="3676" spans="20:20" x14ac:dyDescent="0.25">
      <c r="T3676" s="1"/>
    </row>
    <row r="3677" spans="20:20" x14ac:dyDescent="0.25">
      <c r="T3677" s="1"/>
    </row>
    <row r="3678" spans="20:20" x14ac:dyDescent="0.25">
      <c r="T3678" s="1"/>
    </row>
    <row r="3679" spans="20:20" x14ac:dyDescent="0.25">
      <c r="T3679" s="1"/>
    </row>
    <row r="3680" spans="20:20" x14ac:dyDescent="0.25">
      <c r="T3680" s="1"/>
    </row>
    <row r="3681" spans="20:20" x14ac:dyDescent="0.25">
      <c r="T3681" s="1"/>
    </row>
    <row r="3682" spans="20:20" x14ac:dyDescent="0.25">
      <c r="T3682" s="1"/>
    </row>
    <row r="3683" spans="20:20" x14ac:dyDescent="0.25">
      <c r="T3683" s="1"/>
    </row>
    <row r="3684" spans="20:20" x14ac:dyDescent="0.25">
      <c r="T3684" s="1"/>
    </row>
    <row r="3685" spans="20:20" x14ac:dyDescent="0.25">
      <c r="T3685" s="1"/>
    </row>
    <row r="3686" spans="20:20" x14ac:dyDescent="0.25">
      <c r="T3686" s="1"/>
    </row>
    <row r="3687" spans="20:20" x14ac:dyDescent="0.25">
      <c r="T3687" s="1"/>
    </row>
    <row r="3688" spans="20:20" x14ac:dyDescent="0.25">
      <c r="T3688" s="1"/>
    </row>
    <row r="3689" spans="20:20" x14ac:dyDescent="0.25">
      <c r="T3689" s="1"/>
    </row>
    <row r="3690" spans="20:20" x14ac:dyDescent="0.25">
      <c r="T3690" s="1"/>
    </row>
    <row r="3691" spans="20:20" x14ac:dyDescent="0.25">
      <c r="T3691" s="1"/>
    </row>
    <row r="3692" spans="20:20" x14ac:dyDescent="0.25">
      <c r="T3692" s="1"/>
    </row>
    <row r="3693" spans="20:20" x14ac:dyDescent="0.25">
      <c r="T3693" s="1"/>
    </row>
    <row r="3694" spans="20:20" x14ac:dyDescent="0.25">
      <c r="T3694" s="1"/>
    </row>
    <row r="3695" spans="20:20" x14ac:dyDescent="0.25">
      <c r="T3695" s="1"/>
    </row>
    <row r="3696" spans="20:20" x14ac:dyDescent="0.25">
      <c r="T3696" s="1"/>
    </row>
    <row r="3697" spans="20:20" x14ac:dyDescent="0.25">
      <c r="T3697" s="1"/>
    </row>
    <row r="3698" spans="20:20" x14ac:dyDescent="0.25">
      <c r="T3698" s="1"/>
    </row>
    <row r="3699" spans="20:20" x14ac:dyDescent="0.25">
      <c r="T3699" s="1"/>
    </row>
    <row r="3700" spans="20:20" x14ac:dyDescent="0.25">
      <c r="T3700" s="1"/>
    </row>
    <row r="3701" spans="20:20" x14ac:dyDescent="0.25">
      <c r="T3701" s="1"/>
    </row>
    <row r="3702" spans="20:20" x14ac:dyDescent="0.25">
      <c r="T3702" s="1"/>
    </row>
    <row r="3703" spans="20:20" x14ac:dyDescent="0.25">
      <c r="T3703" s="1"/>
    </row>
    <row r="3704" spans="20:20" x14ac:dyDescent="0.25">
      <c r="T3704" s="1"/>
    </row>
    <row r="3705" spans="20:20" x14ac:dyDescent="0.25">
      <c r="T3705" s="1"/>
    </row>
    <row r="3706" spans="20:20" x14ac:dyDescent="0.25">
      <c r="T3706" s="1"/>
    </row>
    <row r="3707" spans="20:20" x14ac:dyDescent="0.25">
      <c r="T3707" s="1"/>
    </row>
    <row r="3708" spans="20:20" x14ac:dyDescent="0.25">
      <c r="T3708" s="1"/>
    </row>
    <row r="3709" spans="20:20" x14ac:dyDescent="0.25">
      <c r="T3709" s="1"/>
    </row>
    <row r="3710" spans="20:20" x14ac:dyDescent="0.25">
      <c r="T3710" s="1"/>
    </row>
    <row r="3711" spans="20:20" x14ac:dyDescent="0.25">
      <c r="T3711" s="1"/>
    </row>
    <row r="3712" spans="20:20" x14ac:dyDescent="0.25">
      <c r="T3712" s="1"/>
    </row>
    <row r="3713" spans="20:20" x14ac:dyDescent="0.25">
      <c r="T3713" s="1"/>
    </row>
    <row r="3714" spans="20:20" x14ac:dyDescent="0.25">
      <c r="T3714" s="1"/>
    </row>
    <row r="3715" spans="20:20" x14ac:dyDescent="0.25">
      <c r="T3715" s="1"/>
    </row>
    <row r="3716" spans="20:20" x14ac:dyDescent="0.25">
      <c r="T3716" s="1"/>
    </row>
    <row r="3717" spans="20:20" x14ac:dyDescent="0.25">
      <c r="T3717" s="1"/>
    </row>
    <row r="3718" spans="20:20" x14ac:dyDescent="0.25">
      <c r="T3718" s="1"/>
    </row>
    <row r="3719" spans="20:20" x14ac:dyDescent="0.25">
      <c r="T3719" s="1"/>
    </row>
    <row r="3720" spans="20:20" x14ac:dyDescent="0.25">
      <c r="T3720" s="1"/>
    </row>
    <row r="3721" spans="20:20" x14ac:dyDescent="0.25">
      <c r="T3721" s="1"/>
    </row>
    <row r="3722" spans="20:20" x14ac:dyDescent="0.25">
      <c r="T3722" s="1"/>
    </row>
    <row r="3723" spans="20:20" x14ac:dyDescent="0.25">
      <c r="T3723" s="1"/>
    </row>
    <row r="3724" spans="20:20" x14ac:dyDescent="0.25">
      <c r="T3724" s="1"/>
    </row>
    <row r="3725" spans="20:20" x14ac:dyDescent="0.25">
      <c r="T3725" s="1"/>
    </row>
    <row r="3726" spans="20:20" x14ac:dyDescent="0.25">
      <c r="T3726" s="1"/>
    </row>
    <row r="3727" spans="20:20" x14ac:dyDescent="0.25">
      <c r="T3727" s="1"/>
    </row>
    <row r="3728" spans="20:20" x14ac:dyDescent="0.25">
      <c r="T3728" s="1"/>
    </row>
    <row r="3729" spans="20:20" x14ac:dyDescent="0.25">
      <c r="T3729" s="1"/>
    </row>
    <row r="3730" spans="20:20" x14ac:dyDescent="0.25">
      <c r="T3730" s="1"/>
    </row>
    <row r="3731" spans="20:20" x14ac:dyDescent="0.25">
      <c r="T3731" s="1"/>
    </row>
    <row r="3732" spans="20:20" x14ac:dyDescent="0.25">
      <c r="T3732" s="1"/>
    </row>
    <row r="3733" spans="20:20" x14ac:dyDescent="0.25">
      <c r="T3733" s="1"/>
    </row>
    <row r="3734" spans="20:20" x14ac:dyDescent="0.25">
      <c r="T3734" s="1"/>
    </row>
    <row r="3735" spans="20:20" x14ac:dyDescent="0.25">
      <c r="T3735" s="1"/>
    </row>
    <row r="3736" spans="20:20" x14ac:dyDescent="0.25">
      <c r="T3736" s="1"/>
    </row>
    <row r="3737" spans="20:20" x14ac:dyDescent="0.25">
      <c r="T3737" s="1"/>
    </row>
    <row r="3738" spans="20:20" x14ac:dyDescent="0.25">
      <c r="T3738" s="1"/>
    </row>
    <row r="3739" spans="20:20" x14ac:dyDescent="0.25">
      <c r="T3739" s="1"/>
    </row>
    <row r="3740" spans="20:20" x14ac:dyDescent="0.25">
      <c r="T3740" s="1"/>
    </row>
    <row r="3741" spans="20:20" x14ac:dyDescent="0.25">
      <c r="T3741" s="1"/>
    </row>
    <row r="3742" spans="20:20" x14ac:dyDescent="0.25">
      <c r="T3742" s="1"/>
    </row>
    <row r="3743" spans="20:20" x14ac:dyDescent="0.25">
      <c r="T3743" s="1"/>
    </row>
    <row r="3744" spans="20:20" x14ac:dyDescent="0.25">
      <c r="T3744" s="1"/>
    </row>
    <row r="3745" spans="20:20" x14ac:dyDescent="0.25">
      <c r="T3745" s="1"/>
    </row>
    <row r="3746" spans="20:20" x14ac:dyDescent="0.25">
      <c r="T3746" s="1"/>
    </row>
    <row r="3747" spans="20:20" x14ac:dyDescent="0.25">
      <c r="T3747" s="1"/>
    </row>
    <row r="3748" spans="20:20" x14ac:dyDescent="0.25">
      <c r="T3748" s="1"/>
    </row>
    <row r="3749" spans="20:20" x14ac:dyDescent="0.25">
      <c r="T3749" s="1"/>
    </row>
    <row r="3750" spans="20:20" x14ac:dyDescent="0.25">
      <c r="T3750" s="1"/>
    </row>
    <row r="3751" spans="20:20" x14ac:dyDescent="0.25">
      <c r="T3751" s="1"/>
    </row>
    <row r="3752" spans="20:20" x14ac:dyDescent="0.25">
      <c r="T3752" s="1"/>
    </row>
    <row r="3753" spans="20:20" x14ac:dyDescent="0.25">
      <c r="T3753" s="1"/>
    </row>
    <row r="3754" spans="20:20" x14ac:dyDescent="0.25">
      <c r="T3754" s="1"/>
    </row>
    <row r="3755" spans="20:20" x14ac:dyDescent="0.25">
      <c r="T3755" s="1"/>
    </row>
    <row r="3756" spans="20:20" x14ac:dyDescent="0.25">
      <c r="T3756" s="1"/>
    </row>
    <row r="3757" spans="20:20" x14ac:dyDescent="0.25">
      <c r="T3757" s="1"/>
    </row>
    <row r="3758" spans="20:20" x14ac:dyDescent="0.25">
      <c r="T3758" s="1"/>
    </row>
    <row r="3759" spans="20:20" x14ac:dyDescent="0.25">
      <c r="T3759" s="1"/>
    </row>
    <row r="3760" spans="20:20" x14ac:dyDescent="0.25">
      <c r="T3760" s="1"/>
    </row>
    <row r="3761" spans="20:20" x14ac:dyDescent="0.25">
      <c r="T3761" s="1"/>
    </row>
    <row r="3762" spans="20:20" x14ac:dyDescent="0.25">
      <c r="T3762" s="1"/>
    </row>
    <row r="3763" spans="20:20" x14ac:dyDescent="0.25">
      <c r="T3763" s="1"/>
    </row>
    <row r="3764" spans="20:20" x14ac:dyDescent="0.25">
      <c r="T3764" s="1"/>
    </row>
    <row r="3765" spans="20:20" x14ac:dyDescent="0.25">
      <c r="T3765" s="1"/>
    </row>
    <row r="3766" spans="20:20" x14ac:dyDescent="0.25">
      <c r="T3766" s="1"/>
    </row>
    <row r="3767" spans="20:20" x14ac:dyDescent="0.25">
      <c r="T3767" s="1"/>
    </row>
    <row r="3768" spans="20:20" x14ac:dyDescent="0.25">
      <c r="T3768" s="1"/>
    </row>
    <row r="3769" spans="20:20" x14ac:dyDescent="0.25">
      <c r="T3769" s="1"/>
    </row>
    <row r="3770" spans="20:20" x14ac:dyDescent="0.25">
      <c r="T3770" s="1"/>
    </row>
    <row r="3771" spans="20:20" x14ac:dyDescent="0.25">
      <c r="T3771" s="1"/>
    </row>
    <row r="3772" spans="20:20" x14ac:dyDescent="0.25">
      <c r="T3772" s="1"/>
    </row>
    <row r="3773" spans="20:20" x14ac:dyDescent="0.25">
      <c r="T3773" s="1"/>
    </row>
    <row r="3774" spans="20:20" x14ac:dyDescent="0.25">
      <c r="T3774" s="1"/>
    </row>
    <row r="3775" spans="20:20" x14ac:dyDescent="0.25">
      <c r="T3775" s="1"/>
    </row>
    <row r="3776" spans="20:20" x14ac:dyDescent="0.25">
      <c r="T3776" s="1"/>
    </row>
    <row r="3777" spans="20:20" x14ac:dyDescent="0.25">
      <c r="T3777" s="1"/>
    </row>
    <row r="3778" spans="20:20" x14ac:dyDescent="0.25">
      <c r="T3778" s="1"/>
    </row>
    <row r="3779" spans="20:20" x14ac:dyDescent="0.25">
      <c r="T3779" s="1"/>
    </row>
    <row r="3780" spans="20:20" x14ac:dyDescent="0.25">
      <c r="T3780" s="1"/>
    </row>
    <row r="3781" spans="20:20" x14ac:dyDescent="0.25">
      <c r="T3781" s="1"/>
    </row>
    <row r="3782" spans="20:20" x14ac:dyDescent="0.25">
      <c r="T3782" s="1"/>
    </row>
    <row r="3783" spans="20:20" x14ac:dyDescent="0.25">
      <c r="T3783" s="1"/>
    </row>
    <row r="3784" spans="20:20" x14ac:dyDescent="0.25">
      <c r="T3784" s="1"/>
    </row>
    <row r="3785" spans="20:20" x14ac:dyDescent="0.25">
      <c r="T3785" s="1"/>
    </row>
    <row r="3786" spans="20:20" x14ac:dyDescent="0.25">
      <c r="T3786" s="1"/>
    </row>
    <row r="3787" spans="20:20" x14ac:dyDescent="0.25">
      <c r="T3787" s="1"/>
    </row>
    <row r="3788" spans="20:20" x14ac:dyDescent="0.25">
      <c r="T3788" s="1"/>
    </row>
    <row r="3789" spans="20:20" x14ac:dyDescent="0.25">
      <c r="T3789" s="1"/>
    </row>
    <row r="3790" spans="20:20" x14ac:dyDescent="0.25">
      <c r="T3790" s="1"/>
    </row>
    <row r="3791" spans="20:20" x14ac:dyDescent="0.25">
      <c r="T3791" s="1"/>
    </row>
    <row r="3792" spans="20:20" x14ac:dyDescent="0.25">
      <c r="T3792" s="1"/>
    </row>
    <row r="3793" spans="20:20" x14ac:dyDescent="0.25">
      <c r="T3793" s="1"/>
    </row>
    <row r="3794" spans="20:20" x14ac:dyDescent="0.25">
      <c r="T3794" s="1"/>
    </row>
    <row r="3795" spans="20:20" x14ac:dyDescent="0.25">
      <c r="T3795" s="1"/>
    </row>
    <row r="3796" spans="20:20" x14ac:dyDescent="0.25">
      <c r="T3796" s="1"/>
    </row>
    <row r="3797" spans="20:20" x14ac:dyDescent="0.25">
      <c r="T3797" s="1"/>
    </row>
    <row r="3798" spans="20:20" x14ac:dyDescent="0.25">
      <c r="T3798" s="1"/>
    </row>
    <row r="3799" spans="20:20" x14ac:dyDescent="0.25">
      <c r="T3799" s="1"/>
    </row>
    <row r="3800" spans="20:20" x14ac:dyDescent="0.25">
      <c r="T3800" s="1"/>
    </row>
    <row r="3801" spans="20:20" x14ac:dyDescent="0.25">
      <c r="T3801" s="1"/>
    </row>
    <row r="3802" spans="20:20" x14ac:dyDescent="0.25">
      <c r="T3802" s="1"/>
    </row>
    <row r="3803" spans="20:20" x14ac:dyDescent="0.25">
      <c r="T3803" s="1"/>
    </row>
    <row r="3804" spans="20:20" x14ac:dyDescent="0.25">
      <c r="T3804" s="1"/>
    </row>
    <row r="3805" spans="20:20" x14ac:dyDescent="0.25">
      <c r="T3805" s="1"/>
    </row>
    <row r="3806" spans="20:20" x14ac:dyDescent="0.25">
      <c r="T3806" s="1"/>
    </row>
    <row r="3807" spans="20:20" x14ac:dyDescent="0.25">
      <c r="T3807" s="1"/>
    </row>
    <row r="3808" spans="20:20" x14ac:dyDescent="0.25">
      <c r="T3808" s="1"/>
    </row>
    <row r="3809" spans="20:20" x14ac:dyDescent="0.25">
      <c r="T3809" s="1"/>
    </row>
    <row r="3810" spans="20:20" x14ac:dyDescent="0.25">
      <c r="T3810" s="1"/>
    </row>
    <row r="3811" spans="20:20" x14ac:dyDescent="0.25">
      <c r="T3811" s="1"/>
    </row>
    <row r="3812" spans="20:20" x14ac:dyDescent="0.25">
      <c r="T3812" s="1"/>
    </row>
    <row r="3813" spans="20:20" x14ac:dyDescent="0.25">
      <c r="T3813" s="1"/>
    </row>
    <row r="3814" spans="20:20" x14ac:dyDescent="0.25">
      <c r="T3814" s="1"/>
    </row>
    <row r="3815" spans="20:20" x14ac:dyDescent="0.25">
      <c r="T3815" s="1"/>
    </row>
    <row r="3816" spans="20:20" x14ac:dyDescent="0.25">
      <c r="T3816" s="1"/>
    </row>
    <row r="3817" spans="20:20" x14ac:dyDescent="0.25">
      <c r="T3817" s="1"/>
    </row>
    <row r="3818" spans="20:20" x14ac:dyDescent="0.25">
      <c r="T3818" s="1"/>
    </row>
    <row r="3819" spans="20:20" x14ac:dyDescent="0.25">
      <c r="T3819" s="1"/>
    </row>
    <row r="3820" spans="20:20" x14ac:dyDescent="0.25">
      <c r="T3820" s="1"/>
    </row>
    <row r="3821" spans="20:20" x14ac:dyDescent="0.25">
      <c r="T3821" s="1"/>
    </row>
    <row r="3822" spans="20:20" x14ac:dyDescent="0.25">
      <c r="T3822" s="1"/>
    </row>
    <row r="3823" spans="20:20" x14ac:dyDescent="0.25">
      <c r="T3823" s="1"/>
    </row>
    <row r="3824" spans="20:20" x14ac:dyDescent="0.25">
      <c r="T3824" s="1"/>
    </row>
    <row r="3825" spans="20:20" x14ac:dyDescent="0.25">
      <c r="T3825" s="1"/>
    </row>
    <row r="3826" spans="20:20" x14ac:dyDescent="0.25">
      <c r="T3826" s="1"/>
    </row>
    <row r="3827" spans="20:20" x14ac:dyDescent="0.25">
      <c r="T3827" s="1"/>
    </row>
    <row r="3828" spans="20:20" x14ac:dyDescent="0.25">
      <c r="T3828" s="1"/>
    </row>
    <row r="3829" spans="20:20" x14ac:dyDescent="0.25">
      <c r="T3829" s="1"/>
    </row>
    <row r="3830" spans="20:20" x14ac:dyDescent="0.25">
      <c r="T3830" s="1"/>
    </row>
    <row r="3831" spans="20:20" x14ac:dyDescent="0.25">
      <c r="T3831" s="1"/>
    </row>
    <row r="3832" spans="20:20" x14ac:dyDescent="0.25">
      <c r="T3832" s="1"/>
    </row>
    <row r="3833" spans="20:20" x14ac:dyDescent="0.25">
      <c r="T3833" s="1"/>
    </row>
    <row r="3834" spans="20:20" x14ac:dyDescent="0.25">
      <c r="T3834" s="1"/>
    </row>
    <row r="3835" spans="20:20" x14ac:dyDescent="0.25">
      <c r="T3835" s="1"/>
    </row>
    <row r="3836" spans="20:20" x14ac:dyDescent="0.25">
      <c r="T3836" s="1"/>
    </row>
    <row r="3837" spans="20:20" x14ac:dyDescent="0.25">
      <c r="T3837" s="1"/>
    </row>
    <row r="3838" spans="20:20" x14ac:dyDescent="0.25">
      <c r="T3838" s="1"/>
    </row>
    <row r="3839" spans="20:20" x14ac:dyDescent="0.25">
      <c r="T3839" s="1"/>
    </row>
    <row r="3840" spans="20:20" x14ac:dyDescent="0.25">
      <c r="T3840" s="1"/>
    </row>
    <row r="3841" spans="20:20" x14ac:dyDescent="0.25">
      <c r="T3841" s="1"/>
    </row>
    <row r="3842" spans="20:20" x14ac:dyDescent="0.25">
      <c r="T3842" s="1"/>
    </row>
    <row r="3843" spans="20:20" x14ac:dyDescent="0.25">
      <c r="T3843" s="1"/>
    </row>
    <row r="3844" spans="20:20" x14ac:dyDescent="0.25">
      <c r="T3844" s="1"/>
    </row>
    <row r="3845" spans="20:20" x14ac:dyDescent="0.25">
      <c r="T3845" s="1"/>
    </row>
    <row r="3846" spans="20:20" x14ac:dyDescent="0.25">
      <c r="T3846" s="1"/>
    </row>
    <row r="3847" spans="20:20" x14ac:dyDescent="0.25">
      <c r="T3847" s="1"/>
    </row>
    <row r="3848" spans="20:20" x14ac:dyDescent="0.25">
      <c r="T3848" s="1"/>
    </row>
    <row r="3849" spans="20:20" x14ac:dyDescent="0.25">
      <c r="T3849" s="1"/>
    </row>
    <row r="3850" spans="20:20" x14ac:dyDescent="0.25">
      <c r="T3850" s="1"/>
    </row>
    <row r="3851" spans="20:20" x14ac:dyDescent="0.25">
      <c r="T3851" s="1"/>
    </row>
    <row r="3852" spans="20:20" x14ac:dyDescent="0.25">
      <c r="T3852" s="1"/>
    </row>
    <row r="3853" spans="20:20" x14ac:dyDescent="0.25">
      <c r="T3853" s="1"/>
    </row>
    <row r="3854" spans="20:20" x14ac:dyDescent="0.25">
      <c r="T3854" s="1"/>
    </row>
    <row r="3855" spans="20:20" x14ac:dyDescent="0.25">
      <c r="T3855" s="1"/>
    </row>
    <row r="3856" spans="20:20" x14ac:dyDescent="0.25">
      <c r="T3856" s="1"/>
    </row>
    <row r="3857" spans="20:20" x14ac:dyDescent="0.25">
      <c r="T3857" s="1"/>
    </row>
    <row r="3858" spans="20:20" x14ac:dyDescent="0.25">
      <c r="T3858" s="1"/>
    </row>
    <row r="3859" spans="20:20" x14ac:dyDescent="0.25">
      <c r="T3859" s="1"/>
    </row>
    <row r="3860" spans="20:20" x14ac:dyDescent="0.25">
      <c r="T3860" s="1"/>
    </row>
    <row r="3861" spans="20:20" x14ac:dyDescent="0.25">
      <c r="T3861" s="1"/>
    </row>
    <row r="3862" spans="20:20" x14ac:dyDescent="0.25">
      <c r="T3862" s="1"/>
    </row>
    <row r="3863" spans="20:20" x14ac:dyDescent="0.25">
      <c r="T3863" s="1"/>
    </row>
    <row r="3864" spans="20:20" x14ac:dyDescent="0.25">
      <c r="T3864" s="1"/>
    </row>
    <row r="3865" spans="20:20" x14ac:dyDescent="0.25">
      <c r="T3865" s="1"/>
    </row>
    <row r="3866" spans="20:20" x14ac:dyDescent="0.25">
      <c r="T3866" s="1"/>
    </row>
    <row r="3867" spans="20:20" x14ac:dyDescent="0.25">
      <c r="T3867" s="1"/>
    </row>
    <row r="3868" spans="20:20" x14ac:dyDescent="0.25">
      <c r="T3868" s="1"/>
    </row>
    <row r="3869" spans="20:20" x14ac:dyDescent="0.25">
      <c r="T3869" s="1"/>
    </row>
    <row r="3870" spans="20:20" x14ac:dyDescent="0.25">
      <c r="T3870" s="1"/>
    </row>
    <row r="3871" spans="20:20" x14ac:dyDescent="0.25">
      <c r="T3871" s="1"/>
    </row>
    <row r="3872" spans="20:20" x14ac:dyDescent="0.25">
      <c r="T3872" s="1"/>
    </row>
    <row r="3873" spans="20:20" x14ac:dyDescent="0.25">
      <c r="T3873" s="1"/>
    </row>
    <row r="3874" spans="20:20" x14ac:dyDescent="0.25">
      <c r="T3874" s="1"/>
    </row>
    <row r="3875" spans="20:20" x14ac:dyDescent="0.25">
      <c r="T3875" s="1"/>
    </row>
    <row r="3876" spans="20:20" x14ac:dyDescent="0.25">
      <c r="T3876" s="1"/>
    </row>
    <row r="3877" spans="20:20" x14ac:dyDescent="0.25">
      <c r="T3877" s="1"/>
    </row>
    <row r="3878" spans="20:20" x14ac:dyDescent="0.25">
      <c r="T3878" s="1"/>
    </row>
    <row r="3879" spans="20:20" x14ac:dyDescent="0.25">
      <c r="T3879" s="1"/>
    </row>
    <row r="3880" spans="20:20" x14ac:dyDescent="0.25">
      <c r="T3880" s="1"/>
    </row>
    <row r="3881" spans="20:20" x14ac:dyDescent="0.25">
      <c r="T3881" s="1"/>
    </row>
    <row r="3882" spans="20:20" x14ac:dyDescent="0.25">
      <c r="T3882" s="1"/>
    </row>
    <row r="3883" spans="20:20" x14ac:dyDescent="0.25">
      <c r="T3883" s="1"/>
    </row>
    <row r="3884" spans="20:20" x14ac:dyDescent="0.25">
      <c r="T3884" s="1"/>
    </row>
    <row r="3885" spans="20:20" x14ac:dyDescent="0.25">
      <c r="T3885" s="1"/>
    </row>
    <row r="3886" spans="20:20" x14ac:dyDescent="0.25">
      <c r="T3886" s="1"/>
    </row>
    <row r="3887" spans="20:20" x14ac:dyDescent="0.25">
      <c r="T3887" s="1"/>
    </row>
    <row r="3888" spans="20:20" x14ac:dyDescent="0.25">
      <c r="T3888" s="1"/>
    </row>
    <row r="3889" spans="20:20" x14ac:dyDescent="0.25">
      <c r="T3889" s="1"/>
    </row>
    <row r="3890" spans="20:20" x14ac:dyDescent="0.25">
      <c r="T3890" s="1"/>
    </row>
    <row r="3891" spans="20:20" x14ac:dyDescent="0.25">
      <c r="T3891" s="1"/>
    </row>
    <row r="3892" spans="20:20" x14ac:dyDescent="0.25">
      <c r="T3892" s="1"/>
    </row>
    <row r="3893" spans="20:20" x14ac:dyDescent="0.25">
      <c r="T3893" s="1"/>
    </row>
    <row r="3894" spans="20:20" x14ac:dyDescent="0.25">
      <c r="T3894" s="1"/>
    </row>
    <row r="3895" spans="20:20" x14ac:dyDescent="0.25">
      <c r="T3895" s="1"/>
    </row>
    <row r="3896" spans="20:20" x14ac:dyDescent="0.25">
      <c r="T3896" s="1"/>
    </row>
    <row r="3897" spans="20:20" x14ac:dyDescent="0.25">
      <c r="T3897" s="1"/>
    </row>
    <row r="3898" spans="20:20" x14ac:dyDescent="0.25">
      <c r="T3898" s="1"/>
    </row>
    <row r="3899" spans="20:20" x14ac:dyDescent="0.25">
      <c r="T3899" s="1"/>
    </row>
    <row r="3900" spans="20:20" x14ac:dyDescent="0.25">
      <c r="T3900" s="1"/>
    </row>
    <row r="3901" spans="20:20" x14ac:dyDescent="0.25">
      <c r="T3901" s="1"/>
    </row>
    <row r="3902" spans="20:20" x14ac:dyDescent="0.25">
      <c r="T3902" s="1"/>
    </row>
    <row r="3903" spans="20:20" x14ac:dyDescent="0.25">
      <c r="T3903" s="1"/>
    </row>
    <row r="3904" spans="20:20" x14ac:dyDescent="0.25">
      <c r="T3904" s="1"/>
    </row>
    <row r="3905" spans="20:20" x14ac:dyDescent="0.25">
      <c r="T3905" s="1"/>
    </row>
    <row r="3906" spans="20:20" x14ac:dyDescent="0.25">
      <c r="T3906" s="1"/>
    </row>
    <row r="3907" spans="20:20" x14ac:dyDescent="0.25">
      <c r="T3907" s="1"/>
    </row>
    <row r="3908" spans="20:20" x14ac:dyDescent="0.25">
      <c r="T3908" s="1"/>
    </row>
    <row r="3909" spans="20:20" x14ac:dyDescent="0.25">
      <c r="T3909" s="1"/>
    </row>
    <row r="3910" spans="20:20" x14ac:dyDescent="0.25">
      <c r="T3910" s="1"/>
    </row>
    <row r="3911" spans="20:20" x14ac:dyDescent="0.25">
      <c r="T3911" s="1"/>
    </row>
    <row r="3912" spans="20:20" x14ac:dyDescent="0.25">
      <c r="T3912" s="1"/>
    </row>
    <row r="3913" spans="20:20" x14ac:dyDescent="0.25">
      <c r="T3913" s="1"/>
    </row>
    <row r="3914" spans="20:20" x14ac:dyDescent="0.25">
      <c r="T3914" s="1"/>
    </row>
    <row r="3915" spans="20:20" x14ac:dyDescent="0.25">
      <c r="T3915" s="1"/>
    </row>
    <row r="3916" spans="20:20" x14ac:dyDescent="0.25">
      <c r="T3916" s="1"/>
    </row>
    <row r="3917" spans="20:20" x14ac:dyDescent="0.25">
      <c r="T3917" s="1"/>
    </row>
    <row r="3918" spans="20:20" x14ac:dyDescent="0.25">
      <c r="T3918" s="1"/>
    </row>
    <row r="3919" spans="20:20" x14ac:dyDescent="0.25">
      <c r="T3919" s="1"/>
    </row>
    <row r="3920" spans="20:20" x14ac:dyDescent="0.25">
      <c r="T3920" s="1"/>
    </row>
    <row r="3921" spans="20:20" x14ac:dyDescent="0.25">
      <c r="T3921" s="1"/>
    </row>
    <row r="3922" spans="20:20" x14ac:dyDescent="0.25">
      <c r="T3922" s="1"/>
    </row>
    <row r="3923" spans="20:20" x14ac:dyDescent="0.25">
      <c r="T3923" s="1"/>
    </row>
    <row r="3924" spans="20:20" x14ac:dyDescent="0.25">
      <c r="T3924" s="1"/>
    </row>
    <row r="3925" spans="20:20" x14ac:dyDescent="0.25">
      <c r="T3925" s="1"/>
    </row>
    <row r="3926" spans="20:20" x14ac:dyDescent="0.25">
      <c r="T3926" s="1"/>
    </row>
    <row r="3927" spans="20:20" x14ac:dyDescent="0.25">
      <c r="T3927" s="1"/>
    </row>
    <row r="3928" spans="20:20" x14ac:dyDescent="0.25">
      <c r="T3928" s="1"/>
    </row>
    <row r="3929" spans="20:20" x14ac:dyDescent="0.25">
      <c r="T3929" s="1"/>
    </row>
    <row r="3930" spans="20:20" x14ac:dyDescent="0.25">
      <c r="T3930" s="1"/>
    </row>
    <row r="3931" spans="20:20" x14ac:dyDescent="0.25">
      <c r="T3931" s="1"/>
    </row>
    <row r="3932" spans="20:20" x14ac:dyDescent="0.25">
      <c r="T3932" s="1"/>
    </row>
    <row r="3933" spans="20:20" x14ac:dyDescent="0.25">
      <c r="T3933" s="1"/>
    </row>
    <row r="3934" spans="20:20" x14ac:dyDescent="0.25">
      <c r="T3934" s="1"/>
    </row>
    <row r="3935" spans="20:20" x14ac:dyDescent="0.25">
      <c r="T3935" s="1"/>
    </row>
    <row r="3936" spans="20:20" x14ac:dyDescent="0.25">
      <c r="T3936" s="1"/>
    </row>
    <row r="3937" spans="20:20" x14ac:dyDescent="0.25">
      <c r="T3937" s="1"/>
    </row>
    <row r="3938" spans="20:20" x14ac:dyDescent="0.25">
      <c r="T3938" s="1"/>
    </row>
    <row r="3939" spans="20:20" x14ac:dyDescent="0.25">
      <c r="T3939" s="1"/>
    </row>
    <row r="3940" spans="20:20" x14ac:dyDescent="0.25">
      <c r="T3940" s="1"/>
    </row>
    <row r="3941" spans="20:20" x14ac:dyDescent="0.25">
      <c r="T3941" s="1"/>
    </row>
    <row r="3942" spans="20:20" x14ac:dyDescent="0.25">
      <c r="T3942" s="1"/>
    </row>
    <row r="3943" spans="20:20" x14ac:dyDescent="0.25">
      <c r="T3943" s="1"/>
    </row>
    <row r="3944" spans="20:20" x14ac:dyDescent="0.25">
      <c r="T3944" s="1"/>
    </row>
    <row r="3945" spans="20:20" x14ac:dyDescent="0.25">
      <c r="T3945" s="1"/>
    </row>
    <row r="3946" spans="20:20" x14ac:dyDescent="0.25">
      <c r="T3946" s="1"/>
    </row>
    <row r="3947" spans="20:20" x14ac:dyDescent="0.25">
      <c r="T3947" s="1"/>
    </row>
    <row r="3948" spans="20:20" x14ac:dyDescent="0.25">
      <c r="T3948" s="1"/>
    </row>
    <row r="3949" spans="20:20" x14ac:dyDescent="0.25">
      <c r="T3949" s="1"/>
    </row>
    <row r="3950" spans="20:20" x14ac:dyDescent="0.25">
      <c r="T3950" s="1"/>
    </row>
    <row r="3951" spans="20:20" x14ac:dyDescent="0.25">
      <c r="T3951" s="1"/>
    </row>
    <row r="3952" spans="20:20" x14ac:dyDescent="0.25">
      <c r="T3952" s="1"/>
    </row>
    <row r="3953" spans="20:20" x14ac:dyDescent="0.25">
      <c r="T3953" s="1"/>
    </row>
    <row r="3954" spans="20:20" x14ac:dyDescent="0.25">
      <c r="T3954" s="1"/>
    </row>
    <row r="3955" spans="20:20" x14ac:dyDescent="0.25">
      <c r="T3955" s="1"/>
    </row>
    <row r="3956" spans="20:20" x14ac:dyDescent="0.25">
      <c r="T3956" s="1"/>
    </row>
    <row r="3957" spans="20:20" x14ac:dyDescent="0.25">
      <c r="T3957" s="1"/>
    </row>
    <row r="3958" spans="20:20" x14ac:dyDescent="0.25">
      <c r="T3958" s="1"/>
    </row>
    <row r="3959" spans="20:20" x14ac:dyDescent="0.25">
      <c r="T3959" s="1"/>
    </row>
    <row r="3960" spans="20:20" x14ac:dyDescent="0.25">
      <c r="T3960" s="1"/>
    </row>
    <row r="3961" spans="20:20" x14ac:dyDescent="0.25">
      <c r="T3961" s="1"/>
    </row>
    <row r="3962" spans="20:20" x14ac:dyDescent="0.25">
      <c r="T3962" s="1"/>
    </row>
    <row r="3963" spans="20:20" x14ac:dyDescent="0.25">
      <c r="T3963" s="1"/>
    </row>
    <row r="3964" spans="20:20" x14ac:dyDescent="0.25">
      <c r="T3964" s="1"/>
    </row>
    <row r="3965" spans="20:20" x14ac:dyDescent="0.25">
      <c r="T3965" s="1"/>
    </row>
    <row r="3966" spans="20:20" x14ac:dyDescent="0.25">
      <c r="T3966" s="1"/>
    </row>
    <row r="3967" spans="20:20" x14ac:dyDescent="0.25">
      <c r="T3967" s="1"/>
    </row>
    <row r="3968" spans="20:20" x14ac:dyDescent="0.25">
      <c r="T3968" s="1"/>
    </row>
    <row r="3969" spans="20:20" x14ac:dyDescent="0.25">
      <c r="T3969" s="1"/>
    </row>
    <row r="3970" spans="20:20" x14ac:dyDescent="0.25">
      <c r="T3970" s="1"/>
    </row>
    <row r="3971" spans="20:20" x14ac:dyDescent="0.25">
      <c r="T3971" s="1"/>
    </row>
    <row r="3972" spans="20:20" x14ac:dyDescent="0.25">
      <c r="T3972" s="1"/>
    </row>
    <row r="3973" spans="20:20" x14ac:dyDescent="0.25">
      <c r="T3973" s="1"/>
    </row>
    <row r="3974" spans="20:20" x14ac:dyDescent="0.25">
      <c r="T3974" s="1"/>
    </row>
    <row r="3975" spans="20:20" x14ac:dyDescent="0.25">
      <c r="T3975" s="1"/>
    </row>
    <row r="3976" spans="20:20" x14ac:dyDescent="0.25">
      <c r="T3976" s="1"/>
    </row>
    <row r="3977" spans="20:20" x14ac:dyDescent="0.25">
      <c r="T3977" s="1"/>
    </row>
    <row r="3978" spans="20:20" x14ac:dyDescent="0.25">
      <c r="T3978" s="1"/>
    </row>
    <row r="3979" spans="20:20" x14ac:dyDescent="0.25">
      <c r="T3979" s="1"/>
    </row>
    <row r="3980" spans="20:20" x14ac:dyDescent="0.25">
      <c r="T3980" s="1"/>
    </row>
    <row r="3981" spans="20:20" x14ac:dyDescent="0.25">
      <c r="T3981" s="1"/>
    </row>
    <row r="3982" spans="20:20" x14ac:dyDescent="0.25">
      <c r="T3982" s="1"/>
    </row>
    <row r="3983" spans="20:20" x14ac:dyDescent="0.25">
      <c r="T3983" s="1"/>
    </row>
    <row r="3984" spans="20:20" x14ac:dyDescent="0.25">
      <c r="T3984" s="1"/>
    </row>
    <row r="3985" spans="20:20" x14ac:dyDescent="0.25">
      <c r="T3985" s="1"/>
    </row>
    <row r="3986" spans="20:20" x14ac:dyDescent="0.25">
      <c r="T3986" s="1"/>
    </row>
    <row r="3987" spans="20:20" x14ac:dyDescent="0.25">
      <c r="T3987" s="1"/>
    </row>
    <row r="3988" spans="20:20" x14ac:dyDescent="0.25">
      <c r="T3988" s="1"/>
    </row>
    <row r="3989" spans="20:20" x14ac:dyDescent="0.25">
      <c r="T3989" s="1"/>
    </row>
    <row r="3990" spans="20:20" x14ac:dyDescent="0.25">
      <c r="T3990" s="1"/>
    </row>
    <row r="3991" spans="20:20" x14ac:dyDescent="0.25">
      <c r="T3991" s="1"/>
    </row>
    <row r="3992" spans="20:20" x14ac:dyDescent="0.25">
      <c r="T3992" s="1"/>
    </row>
    <row r="3993" spans="20:20" x14ac:dyDescent="0.25">
      <c r="T3993" s="1"/>
    </row>
    <row r="3994" spans="20:20" x14ac:dyDescent="0.25">
      <c r="T3994" s="1"/>
    </row>
    <row r="3995" spans="20:20" x14ac:dyDescent="0.25">
      <c r="T3995" s="1"/>
    </row>
    <row r="3996" spans="20:20" x14ac:dyDescent="0.25">
      <c r="T3996" s="1"/>
    </row>
    <row r="3997" spans="20:20" x14ac:dyDescent="0.25">
      <c r="T3997" s="1"/>
    </row>
    <row r="3998" spans="20:20" x14ac:dyDescent="0.25">
      <c r="T3998" s="1"/>
    </row>
    <row r="3999" spans="20:20" x14ac:dyDescent="0.25">
      <c r="T3999" s="1"/>
    </row>
    <row r="4000" spans="20:20" x14ac:dyDescent="0.25">
      <c r="T4000" s="1"/>
    </row>
  </sheetData>
  <autoFilter ref="AZ1:BB1">
    <sortState ref="AZ2:BB11">
      <sortCondition ref="AZ1"/>
    </sortState>
  </autoFilter>
  <mergeCells count="19">
    <mergeCell ref="BE41:BH41"/>
    <mergeCell ref="BE42:BH42"/>
    <mergeCell ref="BE43:BH43"/>
    <mergeCell ref="BE44:BH44"/>
    <mergeCell ref="BI44:BM44"/>
    <mergeCell ref="BF14:BG14"/>
    <mergeCell ref="BJ14:BK14"/>
    <mergeCell ref="BE35:BH35"/>
    <mergeCell ref="BE36:BH36"/>
    <mergeCell ref="BE37:BH37"/>
    <mergeCell ref="BE38:BH38"/>
    <mergeCell ref="BE39:BH39"/>
    <mergeCell ref="BE40:BH40"/>
    <mergeCell ref="BE29:BH29"/>
    <mergeCell ref="BE30:BH30"/>
    <mergeCell ref="BE31:BH31"/>
    <mergeCell ref="BE32:BH32"/>
    <mergeCell ref="BE33:BH33"/>
    <mergeCell ref="BE34:BH34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I32" sqref="I32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C39" sqref="C39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E25" sqref="E2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Main</vt:lpstr>
      <vt:lpstr>Production</vt:lpstr>
      <vt:lpstr>Temp.</vt:lpstr>
      <vt:lpstr>Temp1</vt:lpstr>
      <vt:lpstr>Temp2</vt:lpstr>
      <vt:lpstr>UserMail</vt:lpstr>
      <vt:lpstr>vStatus</vt:lpstr>
      <vt:lpstr>vUpdateType</vt:lpstr>
    </vt:vector>
  </TitlesOfParts>
  <Company>DMV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gsantosh</dc:creator>
  <cp:lastModifiedBy>gsantosh</cp:lastModifiedBy>
  <dcterms:created xsi:type="dcterms:W3CDTF">2018-02-06T04:55:41Z</dcterms:created>
  <dcterms:modified xsi:type="dcterms:W3CDTF">2018-11-20T12:12:39Z</dcterms:modified>
</cp:coreProperties>
</file>