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9020" windowHeight="11760" activeTab="1"/>
  </bookViews>
  <sheets>
    <sheet name="Audit" sheetId="1" r:id="rId1"/>
    <sheet name="Sheet2" sheetId="2" r:id="rId2"/>
    <sheet name="Summary" sheetId="3" r:id="rId3"/>
  </sheets>
  <definedNames>
    <definedName name="_xlnm._FilterDatabase" localSheetId="0" hidden="1">Audit!$A$2:$Z$257</definedName>
    <definedName name="_xlnm._FilterDatabase" localSheetId="1" hidden="1">Sheet2!$M$1:$O$255</definedName>
    <definedName name="Auditor">Sheet2!$M$2:$M$9</definedName>
    <definedName name="QC_PublishedBy">Sheet2!$N$2:$N$17</definedName>
    <definedName name="Updated_By">Sheet2!$O$2:$O$76</definedName>
  </definedNames>
  <calcPr calcId="144525"/>
</workbook>
</file>

<file path=xl/calcChain.xml><?xml version="1.0" encoding="utf-8"?>
<calcChain xmlns="http://schemas.openxmlformats.org/spreadsheetml/2006/main">
  <c r="H5" i="2" l="1"/>
  <c r="C24" i="2"/>
  <c r="F29" i="2"/>
  <c r="G15" i="2"/>
  <c r="D24" i="2"/>
  <c r="G27" i="2"/>
  <c r="D21" i="2"/>
  <c r="E29" i="2"/>
  <c r="F12" i="2"/>
  <c r="D29" i="2"/>
  <c r="F18" i="2"/>
  <c r="D22" i="2"/>
  <c r="C29" i="2"/>
  <c r="F28" i="2"/>
  <c r="C13" i="2"/>
  <c r="F17" i="2"/>
  <c r="D18" i="2"/>
  <c r="D27" i="2"/>
  <c r="F21" i="2"/>
  <c r="C23" i="2"/>
  <c r="F15" i="2"/>
  <c r="D13" i="2"/>
  <c r="C12" i="2"/>
  <c r="D17" i="2"/>
  <c r="D16" i="2"/>
  <c r="F27" i="2"/>
  <c r="E27" i="2"/>
  <c r="H4" i="2"/>
  <c r="E24" i="2"/>
  <c r="C22" i="2"/>
  <c r="G21" i="2"/>
  <c r="D23" i="2"/>
  <c r="D14" i="2"/>
  <c r="C18" i="2"/>
  <c r="G23" i="2"/>
  <c r="F14" i="2"/>
  <c r="E21" i="2"/>
  <c r="G17" i="2"/>
  <c r="E15" i="2"/>
  <c r="C27" i="2"/>
  <c r="E14" i="2"/>
  <c r="G14" i="2"/>
  <c r="G24" i="2"/>
  <c r="F22" i="2"/>
  <c r="E28" i="2"/>
  <c r="C21" i="2"/>
  <c r="E23" i="2"/>
  <c r="G22" i="2"/>
  <c r="C15" i="2"/>
  <c r="F23" i="2"/>
  <c r="D15" i="2"/>
  <c r="G29" i="2"/>
  <c r="C16" i="2"/>
  <c r="F13" i="2"/>
  <c r="E12" i="2"/>
  <c r="G16" i="2"/>
  <c r="C14" i="2"/>
  <c r="E17" i="2"/>
  <c r="D28" i="2"/>
  <c r="G13" i="2"/>
  <c r="C17" i="2"/>
  <c r="G18" i="2"/>
  <c r="E16" i="2"/>
  <c r="C28" i="2"/>
  <c r="G12" i="2"/>
  <c r="F24" i="2"/>
  <c r="D12" i="2"/>
  <c r="G28" i="2"/>
  <c r="F16" i="2"/>
  <c r="E13" i="2"/>
  <c r="E18" i="2"/>
  <c r="E22" i="2"/>
  <c r="H12" i="2" l="1"/>
  <c r="H28" i="2"/>
  <c r="H15" i="2"/>
  <c r="H14" i="2"/>
  <c r="H23" i="2"/>
  <c r="H16" i="2"/>
  <c r="H17" i="2"/>
  <c r="H13" i="2"/>
  <c r="H27" i="2"/>
  <c r="H26" i="2" s="1"/>
  <c r="A26" i="2" s="1"/>
  <c r="H18" i="2"/>
  <c r="H22" i="2"/>
  <c r="H29" i="2"/>
  <c r="H21" i="2"/>
  <c r="H20" i="2" s="1"/>
  <c r="A20" i="2" s="1"/>
  <c r="H24" i="2"/>
  <c r="H11" i="2" l="1"/>
  <c r="H6" i="2" l="1"/>
  <c r="A11" i="2"/>
</calcChain>
</file>

<file path=xl/comments1.xml><?xml version="1.0" encoding="utf-8"?>
<comments xmlns="http://schemas.openxmlformats.org/spreadsheetml/2006/main">
  <authors>
    <author>gchideesh</author>
  </authors>
  <commentList>
    <comment ref="O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Q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V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C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correct
3 = Duplicate project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Estimation Logics
2 = error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Address, Zip Codes City missing
2 = Error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Errors
1 = Address, city, country
2 = Stakeholder Job Role
3 = Company Name, Phone no. &amp; Website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correct
1 = incorrect secondary tagging
2 = incorrect primary tagging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All industry specific scope covered and added to OPM
1 = A few minor scopes missed
2 = Major scope missed
3 = Research incomplete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– no errors
1 – minimal minor errors (1 or 2)
2 – several minor errors (3-7)
3 – multiple minor errors (=&gt;8) or major errors (such as in title of project, or very obvious mistakes)
</t>
        </r>
      </text>
    </comment>
  </commentList>
</comments>
</file>

<file path=xl/sharedStrings.xml><?xml version="1.0" encoding="utf-8"?>
<sst xmlns="http://schemas.openxmlformats.org/spreadsheetml/2006/main" count="1298" uniqueCount="191">
  <si>
    <t>ProjectID</t>
  </si>
  <si>
    <t>Auditor</t>
  </si>
  <si>
    <t>Check for duplicate</t>
  </si>
  <si>
    <t>Op Metric / Scope Errors - incompleteness of related data</t>
  </si>
  <si>
    <t xml:space="preserve">Identified actual project construction start date where it had been estimated </t>
  </si>
  <si>
    <t>Project value Errors</t>
  </si>
  <si>
    <t>Incorrect stage</t>
  </si>
  <si>
    <t>Date errors</t>
  </si>
  <si>
    <t>Stage and Date Correlation</t>
  </si>
  <si>
    <t>Incorrect construction location</t>
  </si>
  <si>
    <t>Project Location does not match with Geocode</t>
  </si>
  <si>
    <t>Missing stakeholders information which is appropriate to that stage (e.g. In/post design stage, but no design/FEED, and in/post EPC award and no main contractor)</t>
  </si>
  <si>
    <t>Stakeholders contact information (address, contact no, website.. Etc.)</t>
  </si>
  <si>
    <t>Tagged to the wrong taxonomy</t>
  </si>
  <si>
    <t>Spelling/ grammatical errors</t>
  </si>
  <si>
    <t>NFU Update Check</t>
  </si>
  <si>
    <t>Funding Mode</t>
  </si>
  <si>
    <t>Projects in Early stages with Construction Start/End Quarter/Completion Year/Tender Dates very close to current date</t>
  </si>
  <si>
    <t>Projects in Mid stages with Construction Start/End Quarter/Completion Year/Tender Dates very close to current date</t>
  </si>
  <si>
    <t>Projects in Late stages with Construction Start/Tender Dates after current date</t>
  </si>
  <si>
    <t>Correct name, but missing/wrong phone number or email</t>
  </si>
  <si>
    <t>Incorrect name, correct company</t>
  </si>
  <si>
    <t>Other contact detail error</t>
  </si>
  <si>
    <t>Santosh RPB</t>
  </si>
  <si>
    <t>pmaniratnam</t>
  </si>
  <si>
    <t>itishrees</t>
  </si>
  <si>
    <t>No</t>
  </si>
  <si>
    <t>rsravani</t>
  </si>
  <si>
    <t>sudipp</t>
  </si>
  <si>
    <t>paparna</t>
  </si>
  <si>
    <t>Sanjib</t>
  </si>
  <si>
    <t>mravi</t>
  </si>
  <si>
    <t>ratneshk</t>
  </si>
  <si>
    <t>Surajk</t>
  </si>
  <si>
    <t>kkumari</t>
  </si>
  <si>
    <t>ebhandari</t>
  </si>
  <si>
    <t>akumari</t>
  </si>
  <si>
    <t>shekharv</t>
  </si>
  <si>
    <t>Sameena</t>
  </si>
  <si>
    <t>rshankar</t>
  </si>
  <si>
    <t>schandrupatla</t>
  </si>
  <si>
    <t>ssiddharth</t>
  </si>
  <si>
    <t>pyerra</t>
  </si>
  <si>
    <t>giridharm</t>
  </si>
  <si>
    <t>mchauhan</t>
  </si>
  <si>
    <t>mithuncr</t>
  </si>
  <si>
    <t>nkumar</t>
  </si>
  <si>
    <t xml:space="preserve">paparna </t>
  </si>
  <si>
    <t>vteja</t>
  </si>
  <si>
    <t>amohd</t>
  </si>
  <si>
    <t>tprasanna</t>
  </si>
  <si>
    <t>Project should be PPP</t>
  </si>
  <si>
    <t>sagar</t>
  </si>
  <si>
    <t>Ankit Jasoria</t>
  </si>
  <si>
    <t>Govada Sirivalli</t>
  </si>
  <si>
    <t>Priyanka Goli</t>
  </si>
  <si>
    <t>Yes</t>
  </si>
  <si>
    <t>Sadguru Sreevani</t>
  </si>
  <si>
    <t>Sangannagari Ravi Kiran</t>
  </si>
  <si>
    <t>Himanshu Kumar</t>
  </si>
  <si>
    <t>Khalid Mustafa</t>
  </si>
  <si>
    <t>Prutha Pati</t>
  </si>
  <si>
    <t>Prathamesh Akotker</t>
  </si>
  <si>
    <t>Allam Srikanth Reddy</t>
  </si>
  <si>
    <t>Kiran Suresh Dawat</t>
  </si>
  <si>
    <t>Sridhar Gangarapu</t>
  </si>
  <si>
    <t>K Meghana</t>
  </si>
  <si>
    <t>Srinivas Katta</t>
  </si>
  <si>
    <t>Vandrapu Navee GangaRao</t>
  </si>
  <si>
    <t>Jay Kumar Singh</t>
  </si>
  <si>
    <t>Oindrila Sar</t>
  </si>
  <si>
    <t>Nandi Rekha</t>
  </si>
  <si>
    <t>Rathod Aravind</t>
  </si>
  <si>
    <t>Permanla Keerthi</t>
  </si>
  <si>
    <t>Kamala Dake</t>
  </si>
  <si>
    <t>Farha Naaz</t>
  </si>
  <si>
    <t>Akhil Boppudi</t>
  </si>
  <si>
    <t>Topula Susmitha</t>
  </si>
  <si>
    <t>Ragi Lalith Kumar</t>
  </si>
  <si>
    <t>S Swapna</t>
  </si>
  <si>
    <t>Santhosh Jha</t>
  </si>
  <si>
    <t>Eerla Mounika</t>
  </si>
  <si>
    <t>Kritika Jindal</t>
  </si>
  <si>
    <t>Merugu Raghuveer Prasad</t>
  </si>
  <si>
    <t>G Hemanth</t>
  </si>
  <si>
    <t>Neha Rikibe</t>
  </si>
  <si>
    <t>Katabathini Durga Sunayana</t>
  </si>
  <si>
    <t>Sri Vandla Siddartha</t>
  </si>
  <si>
    <t>Sunny</t>
  </si>
  <si>
    <t>Lingoji Wamanrao Jadhav</t>
  </si>
  <si>
    <t>Yarlagadda Rama Krishna Chowdary</t>
  </si>
  <si>
    <t>Amit Kumar</t>
  </si>
  <si>
    <t>Anjan Kumar Ghosh</t>
  </si>
  <si>
    <t>Deepak Kumar</t>
  </si>
  <si>
    <t>Baswade Dhondiba Ram Chandra</t>
  </si>
  <si>
    <t>Rajni Yadav</t>
  </si>
  <si>
    <t>Gowlikar Shamlal</t>
  </si>
  <si>
    <t>A Bhanu Prasad</t>
  </si>
  <si>
    <t>Navein Prakash</t>
  </si>
  <si>
    <t>Rajesh</t>
  </si>
  <si>
    <t>Bavisetti Sowjanya</t>
  </si>
  <si>
    <t>Erla Venkata Surendra</t>
  </si>
  <si>
    <t>Mutnuri Swathi Priya</t>
  </si>
  <si>
    <t>Marri Madhusudhan Reddy</t>
  </si>
  <si>
    <t>Sanagapalli Praneetha Indrani</t>
  </si>
  <si>
    <t>Sivapriya Devaram</t>
  </si>
  <si>
    <t>Khusbu Kumari</t>
  </si>
  <si>
    <t>Gundimeda Mangapathi Karthik</t>
  </si>
  <si>
    <t>Vamshi Krishna Challa</t>
  </si>
  <si>
    <t>Arpitha Bissa</t>
  </si>
  <si>
    <t>Koduru Harika</t>
  </si>
  <si>
    <t>Ch Naresh Kumar</t>
  </si>
  <si>
    <t>R B Rajasree</t>
  </si>
  <si>
    <t>Gundu Rajeevi</t>
  </si>
  <si>
    <t>Mohd Arbaz</t>
  </si>
  <si>
    <t>Pittala Laxman Kumar</t>
  </si>
  <si>
    <t>Pallavi Chakrabarty</t>
  </si>
  <si>
    <t xml:space="preserve">Yes, Recommended for deletion </t>
  </si>
  <si>
    <t>Gotte Ashwanth Kumar</t>
  </si>
  <si>
    <t>Diksha Tanwar</t>
  </si>
  <si>
    <t>Pooja Bhushan</t>
  </si>
  <si>
    <t>Tulasi Nandini</t>
  </si>
  <si>
    <t>Palupuri Mounika</t>
  </si>
  <si>
    <t>Srikanth Ramyayanam</t>
  </si>
  <si>
    <t>Pooja Chopra</t>
  </si>
  <si>
    <t>It was tagged as NFU but through social media (facebook), we have images of project being under construction.</t>
  </si>
  <si>
    <t>Vajjala Divya</t>
  </si>
  <si>
    <t>It was earlier an NFU project but now converted</t>
  </si>
  <si>
    <t>QC_PublishedBy</t>
  </si>
  <si>
    <t>Updated_By</t>
  </si>
  <si>
    <t>Stage and Date Correlation1</t>
  </si>
  <si>
    <t>Stage and Date Correlation2</t>
  </si>
  <si>
    <t>Stage and Date Correlation3</t>
  </si>
  <si>
    <t>Primary checks for incorrect/incomplete contact information1</t>
  </si>
  <si>
    <t>Primary checks for incorrect/incomplete contact information2</t>
  </si>
  <si>
    <t>Primary checks for incorrect/incomplete contact information3</t>
  </si>
  <si>
    <t>Primary checks for incorrect/incomplete contact information4</t>
  </si>
  <si>
    <t>Primary checks for incorrect/incomplete contact information</t>
  </si>
  <si>
    <t>Total Sample Size</t>
  </si>
  <si>
    <t>Projects with error</t>
  </si>
  <si>
    <t>Total Score</t>
  </si>
  <si>
    <t>Score</t>
  </si>
  <si>
    <t>Incorrect name &amp; Incorrect company</t>
  </si>
  <si>
    <t>Audit Date</t>
  </si>
  <si>
    <t>Pulished Date</t>
  </si>
  <si>
    <t>Factual</t>
  </si>
  <si>
    <t>Comment</t>
  </si>
  <si>
    <t>Incomplete  Research / Logic</t>
  </si>
  <si>
    <t>Other Comment</t>
  </si>
  <si>
    <t>Comment2</t>
  </si>
  <si>
    <t>Team Masters</t>
  </si>
  <si>
    <t>Africa</t>
  </si>
  <si>
    <t>Americas</t>
  </si>
  <si>
    <t>APAC</t>
  </si>
  <si>
    <t>Europe Eng</t>
  </si>
  <si>
    <t>Europe Lang</t>
  </si>
  <si>
    <t>Audit_Africa.xlsm</t>
  </si>
  <si>
    <t>Audit_Americas.xlsm</t>
  </si>
  <si>
    <t>Audit_APAC.xlsm</t>
  </si>
  <si>
    <t>Audit_Europe Eng.xlsm</t>
  </si>
  <si>
    <t>Audit_Europe Lang.xlsm</t>
  </si>
  <si>
    <t>T:\WMI\WMI Projects &amp; Tender\Construction Project\2018\Management Trackers\Stnd_Ref\Audit\</t>
  </si>
  <si>
    <t>Regions</t>
  </si>
  <si>
    <t>Moram Aishwarya</t>
  </si>
  <si>
    <t>NULL</t>
  </si>
  <si>
    <t>Palupuri Naga Mounika</t>
  </si>
  <si>
    <t>Ramyayanam Srikanth</t>
  </si>
  <si>
    <t>Itishree Sahoo</t>
  </si>
  <si>
    <t>P Maniratnam</t>
  </si>
  <si>
    <t>Ramireddi Gari Venkata Sravani</t>
  </si>
  <si>
    <t>Sudip Manashya Pasupulati</t>
  </si>
  <si>
    <t>Putti Aparna</t>
  </si>
  <si>
    <t>Ratnesh Kumar</t>
  </si>
  <si>
    <t>Ravi Malothu</t>
  </si>
  <si>
    <t>Suraj Kumar</t>
  </si>
  <si>
    <t>Eashwar Satyanand Bhandari</t>
  </si>
  <si>
    <t>Vidhu Shekhar</t>
  </si>
  <si>
    <t>Asha Kumari</t>
  </si>
  <si>
    <t>Rayavarapu Gowri Shankar</t>
  </si>
  <si>
    <t>S L S Durga Chandrupatla</t>
  </si>
  <si>
    <t>Shekhar Siddharth</t>
  </si>
  <si>
    <t>Yerra Prabhu Kumar</t>
  </si>
  <si>
    <t>Giridhar Muchi</t>
  </si>
  <si>
    <t>Meghna Singh Chauhan</t>
  </si>
  <si>
    <t>Mithun Chakravarthy Royini</t>
  </si>
  <si>
    <t>Ratnesh Raj</t>
  </si>
  <si>
    <t>Neelamraju Palani Phani Kumar</t>
  </si>
  <si>
    <t>Vunta Pavan Teja</t>
  </si>
  <si>
    <t>Thanduri Sai Prasanna</t>
  </si>
  <si>
    <t>Sagar</t>
  </si>
  <si>
    <t>Arpita Bissa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</si>
</sst>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9"/>
      <color theme="3" tint="0.39997558519241921"/>
      <name val="Calibri"/>
      <family val="2"/>
      <scheme val="minor"/>
    </font>
    <font>
      <sz val="9"/>
      <color rgb="FF1F497D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49" fontId="3" fillId="2" borderId="1" xfId="0" applyNumberFormat="1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164" fontId="1" fillId="2" borderId="0" xfId="0" applyNumberFormat="1" applyFont="1" applyFill="1" applyAlignment="1">
      <alignment vertical="center"/>
    </xf>
    <xf numFmtId="0" fontId="0" fillId="3" borderId="0" xfId="0" applyFill="1"/>
    <xf numFmtId="0" fontId="4" fillId="3" borderId="3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0" fontId="0" fillId="0" borderId="0" xfId="0" applyAlignment="1">
      <alignment horizontal="right"/>
    </xf>
    <xf numFmtId="0" fontId="6" fillId="0" borderId="0" xfId="0" applyFont="1"/>
    <xf numFmtId="15" fontId="0" fillId="0" borderId="0" xfId="0" applyNumberFormat="1"/>
    <xf numFmtId="14" fontId="0" fillId="0" borderId="0" xfId="0" applyNumberFormat="1"/>
    <xf numFmtId="0" fontId="9" fillId="4" borderId="5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2" fillId="0" borderId="7" xfId="0" applyFont="1" applyBorder="1"/>
    <xf numFmtId="0" fontId="0" fillId="0" borderId="3" xfId="0" applyBorder="1" applyAlignment="1">
      <alignment horizontal="right"/>
    </xf>
    <xf numFmtId="0" fontId="2" fillId="0" borderId="9" xfId="0" applyFont="1" applyBorder="1"/>
    <xf numFmtId="0" fontId="2" fillId="0" borderId="8" xfId="0" applyFont="1" applyBorder="1"/>
    <xf numFmtId="0" fontId="1" fillId="5" borderId="3" xfId="0" applyFont="1" applyFill="1" applyBorder="1"/>
    <xf numFmtId="0" fontId="1" fillId="5" borderId="3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11" fillId="0" borderId="0" xfId="0" applyFont="1" applyAlignment="1">
      <alignment horizontal="right"/>
    </xf>
    <xf numFmtId="0" fontId="0" fillId="0" borderId="0" xfId="0" applyNumberFormat="1"/>
    <xf numFmtId="0" fontId="10" fillId="4" borderId="1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2" fillId="6" borderId="3" xfId="0" applyFont="1" applyFill="1" applyBorder="1" applyAlignment="1">
      <alignment horizontal="right" indent="1"/>
    </xf>
    <xf numFmtId="0" fontId="2" fillId="7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0" fontId="0" fillId="0" borderId="11" xfId="0" applyBorder="1"/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10" xfId="0" applyBorder="1"/>
    <xf numFmtId="0" fontId="0" fillId="0" borderId="11" xfId="0" applyBorder="1" applyAlignment="1">
      <alignment horizontal="right"/>
    </xf>
    <xf numFmtId="49" fontId="3" fillId="2" borderId="0" xfId="0" applyNumberFormat="1" applyFont="1" applyFill="1" applyBorder="1" applyAlignment="1">
      <alignment vertical="center" wrapText="1"/>
    </xf>
    <xf numFmtId="0" fontId="0" fillId="0" borderId="3" xfId="0" applyBorder="1"/>
    <xf numFmtId="0" fontId="9" fillId="4" borderId="3" xfId="0" applyFont="1" applyFill="1" applyBorder="1" applyAlignment="1">
      <alignment horizontal="center" vertical="center"/>
    </xf>
    <xf numFmtId="14" fontId="0" fillId="0" borderId="0" xfId="0" applyNumberFormat="1" applyBorder="1"/>
    <xf numFmtId="0" fontId="0" fillId="0" borderId="0" xfId="0" applyNumberFormat="1" applyBorder="1"/>
    <xf numFmtId="0" fontId="1" fillId="2" borderId="0" xfId="0" applyFont="1" applyFill="1" applyAlignment="1">
      <alignment horizontal="center" vertical="center" wrapText="1"/>
    </xf>
    <xf numFmtId="15" fontId="0" fillId="0" borderId="0" xfId="0" applyNumberFormat="1" applyBorder="1"/>
  </cellXfs>
  <cellStyles count="1">
    <cellStyle name="Normal" xfId="0" builtinId="0"/>
  </cellStyles>
  <dxfs count="12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20" formatCode="d\-mmm\-yy"/>
    </dxf>
    <dxf>
      <numFmt numFmtId="20" formatCode="d\-mmm\-yy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Sheet2!$A$2</c:f>
          <c:strCache>
            <c:ptCount val="1"/>
            <c:pt idx="0">
              <c:v>Erla Venkata Surendra</c:v>
            </c:pt>
          </c:strCache>
        </c:strRef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sz="1200"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(Sheet2!$A$11,Sheet2!$A$20,Sheet2!$A$26)</c:f>
              <c:strCache>
                <c:ptCount val="3"/>
                <c:pt idx="0">
                  <c:v>Factual Errors     (14%)</c:v>
                </c:pt>
                <c:pt idx="1">
                  <c:v>Incomplete Research    (14%)</c:v>
                </c:pt>
                <c:pt idx="2">
                  <c:v>Validation / Grammer Error    (17%)</c:v>
                </c:pt>
              </c:strCache>
            </c:strRef>
          </c:cat>
          <c:val>
            <c:numRef>
              <c:f>(Sheet2!$H$11,Sheet2!$H$20,Sheet2!$H$26)</c:f>
              <c:numCache>
                <c:formatCode>General</c:formatCode>
                <c:ptCount val="3"/>
                <c:pt idx="0">
                  <c:v>160</c:v>
                </c:pt>
                <c:pt idx="1">
                  <c:v>95</c:v>
                </c:pt>
                <c:pt idx="2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483904"/>
        <c:axId val="89482368"/>
      </c:barChart>
      <c:valAx>
        <c:axId val="8948236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89483904"/>
        <c:crosses val="autoZero"/>
        <c:crossBetween val="between"/>
      </c:valAx>
      <c:catAx>
        <c:axId val="894839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 i="0" baseline="0"/>
            </a:pPr>
            <a:endParaRPr lang="en-US"/>
          </a:p>
        </c:txPr>
        <c:crossAx val="8948236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0</xdr:row>
      <xdr:rowOff>112059</xdr:rowOff>
    </xdr:from>
    <xdr:to>
      <xdr:col>1</xdr:col>
      <xdr:colOff>885264</xdr:colOff>
      <xdr:row>0</xdr:row>
      <xdr:rowOff>504265</xdr:rowOff>
    </xdr:to>
    <xdr:sp macro="[0]!cmdGetData" textlink="">
      <xdr:nvSpPr>
        <xdr:cNvPr id="2" name="Rounded Rectangle 1"/>
        <xdr:cNvSpPr/>
      </xdr:nvSpPr>
      <xdr:spPr>
        <a:xfrm>
          <a:off x="89647" y="112059"/>
          <a:ext cx="1400735" cy="392206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Get Data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238123</xdr:colOff>
      <xdr:row>10</xdr:row>
      <xdr:rowOff>9525</xdr:rowOff>
    </xdr:from>
    <xdr:to>
      <xdr:col>23</xdr:col>
      <xdr:colOff>161924</xdr:colOff>
      <xdr:row>28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AH257" totalsRowShown="0">
  <autoFilter ref="A2:AH257"/>
  <tableColumns count="34">
    <tableColumn id="2" name="ProjectID"/>
    <tableColumn id="4" name="Auditor"/>
    <tableColumn id="7" name="Check for duplicate"/>
    <tableColumn id="8" name="Project value Errors"/>
    <tableColumn id="9" name="Incorrect stage"/>
    <tableColumn id="10" name="Date errors"/>
    <tableColumn id="11" name="Incorrect construction location"/>
    <tableColumn id="12" name="Project Location does not match with Geocode"/>
    <tableColumn id="13" name="Stakeholders contact information (address, contact no, website.. Etc.)"/>
    <tableColumn id="14" name="Tagged to the wrong taxonomy"/>
    <tableColumn id="15" name="Op Metric / Scope Errors - incompleteness of related data"/>
    <tableColumn id="16" name="Identified actual project construction start date where it had been estimated "/>
    <tableColumn id="17" name="Missing stakeholders information which is appropriate to that stage (e.g. In/post design stage, but no design/FEED, and in/post EPC award and no main contractor)"/>
    <tableColumn id="18" name="Funding Mode"/>
    <tableColumn id="19" name="Stage and Date Correlation1"/>
    <tableColumn id="20" name="Stage and Date Correlation2"/>
    <tableColumn id="21" name="Stage and Date Correlation3"/>
    <tableColumn id="22" name="Spelling/ grammatical errors"/>
    <tableColumn id="23" name="Primary checks for incorrect/incomplete contact information1"/>
    <tableColumn id="24" name="Primary checks for incorrect/incomplete contact information2"/>
    <tableColumn id="25" name="Primary checks for incorrect/incomplete contact information3"/>
    <tableColumn id="26" name="Primary checks for incorrect/incomplete contact information4"/>
    <tableColumn id="27" name="NFU Update Check"/>
    <tableColumn id="28" name="Audit Date" dataDxfId="10"/>
    <tableColumn id="30" name="Pulished Date" dataDxfId="9"/>
    <tableColumn id="31" name="Factual" dataDxfId="8"/>
    <tableColumn id="5" name="Comment" dataDxfId="7"/>
    <tableColumn id="3" name="Incomplete  Research / Logic" dataDxfId="6"/>
    <tableColumn id="6" name="Comment2" dataDxfId="5"/>
    <tableColumn id="1" name="Other Comment" dataDxfId="4"/>
    <tableColumn id="32" name="Projects with error" dataDxfId="3"/>
    <tableColumn id="34" name="Regions" dataDxfId="2"/>
    <tableColumn id="29" name="QC_PublishedBy" dataDxfId="1"/>
    <tableColumn id="33" name="Updated_By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000"/>
  <sheetViews>
    <sheetView showGridLines="0" zoomScale="85" zoomScaleNormal="85" workbookViewId="0">
      <pane xSplit="2" ySplit="2" topLeftCell="P21" activePane="bottomRight" state="frozen"/>
      <selection pane="topRight" activeCell="C1" sqref="C1"/>
      <selection pane="bottomLeft" activeCell="A6" sqref="A6"/>
      <selection pane="bottomRight" activeCell="AG26" sqref="AG26"/>
    </sheetView>
  </sheetViews>
  <sheetFormatPr defaultRowHeight="15" x14ac:dyDescent="0.25"/>
  <cols>
    <col min="2" max="2" width="14.28515625" customWidth="1"/>
    <col min="24" max="25" width="11.42578125" customWidth="1"/>
  </cols>
  <sheetData>
    <row r="1" spans="1:34" ht="55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O1" s="6" t="s">
        <v>17</v>
      </c>
      <c r="P1" s="6" t="s">
        <v>18</v>
      </c>
      <c r="Q1" s="6" t="s">
        <v>19</v>
      </c>
      <c r="R1" s="5"/>
      <c r="S1" s="7" t="s">
        <v>20</v>
      </c>
      <c r="T1" s="7" t="s">
        <v>21</v>
      </c>
      <c r="U1" s="7" t="s">
        <v>142</v>
      </c>
      <c r="V1" s="7" t="s">
        <v>22</v>
      </c>
      <c r="W1" s="5"/>
      <c r="X1" s="5"/>
      <c r="Y1" s="5"/>
      <c r="Z1" s="5"/>
      <c r="AA1" s="5"/>
      <c r="AB1" s="5"/>
      <c r="AC1" s="5"/>
    </row>
    <row r="2" spans="1:34" ht="49.5" customHeight="1" x14ac:dyDescent="0.25">
      <c r="A2" s="1" t="s">
        <v>0</v>
      </c>
      <c r="B2" s="1" t="s">
        <v>1</v>
      </c>
      <c r="C2" s="2" t="s">
        <v>2</v>
      </c>
      <c r="D2" s="2" t="s">
        <v>5</v>
      </c>
      <c r="E2" s="2" t="s">
        <v>6</v>
      </c>
      <c r="F2" s="3" t="s">
        <v>7</v>
      </c>
      <c r="G2" s="2" t="s">
        <v>9</v>
      </c>
      <c r="H2" s="2" t="s">
        <v>10</v>
      </c>
      <c r="I2" s="3" t="s">
        <v>12</v>
      </c>
      <c r="J2" s="2" t="s">
        <v>13</v>
      </c>
      <c r="K2" s="2" t="s">
        <v>3</v>
      </c>
      <c r="L2" s="2" t="s">
        <v>4</v>
      </c>
      <c r="M2" s="2" t="s">
        <v>11</v>
      </c>
      <c r="N2" s="42" t="s">
        <v>16</v>
      </c>
      <c r="O2" s="15" t="s">
        <v>130</v>
      </c>
      <c r="P2" s="15" t="s">
        <v>131</v>
      </c>
      <c r="Q2" s="15" t="s">
        <v>132</v>
      </c>
      <c r="R2" s="2" t="s">
        <v>14</v>
      </c>
      <c r="S2" s="16" t="s">
        <v>133</v>
      </c>
      <c r="T2" s="16" t="s">
        <v>134</v>
      </c>
      <c r="U2" s="16" t="s">
        <v>135</v>
      </c>
      <c r="V2" s="16" t="s">
        <v>136</v>
      </c>
      <c r="W2" s="3" t="s">
        <v>15</v>
      </c>
      <c r="X2" s="3" t="s">
        <v>143</v>
      </c>
      <c r="Y2" s="4" t="s">
        <v>144</v>
      </c>
      <c r="Z2" s="1" t="s">
        <v>145</v>
      </c>
      <c r="AA2" s="37" t="s">
        <v>146</v>
      </c>
      <c r="AB2" s="37" t="s">
        <v>147</v>
      </c>
      <c r="AC2" s="37" t="s">
        <v>149</v>
      </c>
      <c r="AD2" s="37" t="s">
        <v>148</v>
      </c>
      <c r="AE2" s="27" t="s">
        <v>139</v>
      </c>
      <c r="AF2" s="27" t="s">
        <v>162</v>
      </c>
      <c r="AG2" s="27" t="s">
        <v>128</v>
      </c>
      <c r="AH2" s="27" t="s">
        <v>129</v>
      </c>
    </row>
    <row r="3" spans="1:34" x14ac:dyDescent="0.25">
      <c r="A3">
        <v>267845</v>
      </c>
      <c r="B3" t="s">
        <v>118</v>
      </c>
      <c r="C3" s="8">
        <v>0</v>
      </c>
      <c r="D3" s="8">
        <v>0</v>
      </c>
      <c r="E3" s="8">
        <v>0</v>
      </c>
      <c r="F3" s="8">
        <v>1</v>
      </c>
      <c r="G3" s="8">
        <v>1</v>
      </c>
      <c r="H3" s="8">
        <v>0</v>
      </c>
      <c r="I3" s="8">
        <v>0</v>
      </c>
      <c r="J3" s="8">
        <v>1</v>
      </c>
      <c r="K3" s="8">
        <v>1</v>
      </c>
      <c r="L3" s="8">
        <v>0</v>
      </c>
      <c r="M3" s="8">
        <v>0</v>
      </c>
      <c r="N3" s="9"/>
      <c r="O3" s="8">
        <v>0</v>
      </c>
      <c r="P3" s="8">
        <v>0</v>
      </c>
      <c r="Q3" s="8">
        <v>0</v>
      </c>
      <c r="R3" s="8">
        <v>1</v>
      </c>
      <c r="S3">
        <v>0</v>
      </c>
      <c r="T3">
        <v>0</v>
      </c>
      <c r="U3">
        <v>0</v>
      </c>
      <c r="V3">
        <v>0</v>
      </c>
      <c r="X3" s="10"/>
      <c r="Y3" s="10"/>
      <c r="Z3" s="11"/>
      <c r="AA3" s="11"/>
      <c r="AB3" s="11"/>
      <c r="AC3" s="11"/>
      <c r="AD3" s="11"/>
      <c r="AE3" s="25">
        <v>5</v>
      </c>
      <c r="AF3" s="25" t="s">
        <v>151</v>
      </c>
      <c r="AG3" s="11" t="s">
        <v>163</v>
      </c>
      <c r="AH3" s="11" t="s">
        <v>119</v>
      </c>
    </row>
    <row r="4" spans="1:34" x14ac:dyDescent="0.25">
      <c r="A4">
        <v>267758</v>
      </c>
      <c r="B4" t="s">
        <v>118</v>
      </c>
      <c r="C4">
        <v>2</v>
      </c>
      <c r="S4">
        <v>0</v>
      </c>
      <c r="T4">
        <v>0</v>
      </c>
      <c r="U4">
        <v>0</v>
      </c>
      <c r="V4">
        <v>0</v>
      </c>
      <c r="X4" s="10"/>
      <c r="Y4" s="10"/>
      <c r="Z4" s="11"/>
      <c r="AA4" s="11"/>
      <c r="AB4" s="11"/>
      <c r="AC4" s="11"/>
      <c r="AD4" s="11"/>
      <c r="AE4" s="25">
        <v>1</v>
      </c>
      <c r="AF4" s="25" t="s">
        <v>151</v>
      </c>
      <c r="AG4" s="11" t="s">
        <v>164</v>
      </c>
      <c r="AH4" s="11" t="s">
        <v>164</v>
      </c>
    </row>
    <row r="5" spans="1:34" x14ac:dyDescent="0.25">
      <c r="A5">
        <v>190339</v>
      </c>
      <c r="B5" t="s">
        <v>118</v>
      </c>
      <c r="C5">
        <v>0</v>
      </c>
      <c r="D5">
        <v>2</v>
      </c>
      <c r="E5">
        <v>0</v>
      </c>
      <c r="F5">
        <v>0</v>
      </c>
      <c r="G5">
        <v>0</v>
      </c>
      <c r="H5">
        <v>0</v>
      </c>
      <c r="I5">
        <v>3</v>
      </c>
      <c r="J5">
        <v>0</v>
      </c>
      <c r="K5">
        <v>1</v>
      </c>
      <c r="L5">
        <v>0</v>
      </c>
      <c r="M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0</v>
      </c>
      <c r="U5">
        <v>0</v>
      </c>
      <c r="V5">
        <v>0</v>
      </c>
      <c r="X5" s="10"/>
      <c r="Y5" s="10"/>
      <c r="Z5" s="11"/>
      <c r="AA5" s="11"/>
      <c r="AB5" s="11"/>
      <c r="AC5" s="11"/>
      <c r="AD5" s="11"/>
      <c r="AE5" s="25">
        <v>4</v>
      </c>
      <c r="AF5" s="25" t="s">
        <v>151</v>
      </c>
      <c r="AG5" s="11" t="s">
        <v>121</v>
      </c>
      <c r="AH5" s="11" t="s">
        <v>120</v>
      </c>
    </row>
    <row r="6" spans="1:34" x14ac:dyDescent="0.25">
      <c r="A6">
        <v>190754</v>
      </c>
      <c r="B6" t="s">
        <v>118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X6" s="10"/>
      <c r="Y6" s="10"/>
      <c r="Z6" s="11"/>
      <c r="AA6" s="11"/>
      <c r="AB6" s="11"/>
      <c r="AC6" s="11"/>
      <c r="AD6" s="11"/>
      <c r="AE6" s="25">
        <v>2</v>
      </c>
      <c r="AF6" s="25" t="s">
        <v>151</v>
      </c>
      <c r="AG6" s="11" t="s">
        <v>121</v>
      </c>
      <c r="AH6" s="11" t="s">
        <v>165</v>
      </c>
    </row>
    <row r="7" spans="1:34" x14ac:dyDescent="0.25">
      <c r="A7">
        <v>268135</v>
      </c>
      <c r="B7" t="s">
        <v>118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X7" s="10"/>
      <c r="Y7" s="10"/>
      <c r="Z7" s="11"/>
      <c r="AA7" s="11"/>
      <c r="AB7" s="11"/>
      <c r="AC7" s="11"/>
      <c r="AD7" s="11"/>
      <c r="AE7" s="25">
        <v>3</v>
      </c>
      <c r="AF7" s="25" t="s">
        <v>151</v>
      </c>
      <c r="AG7" s="11" t="s">
        <v>121</v>
      </c>
      <c r="AH7" s="11" t="s">
        <v>166</v>
      </c>
    </row>
    <row r="8" spans="1:34" x14ac:dyDescent="0.25">
      <c r="A8">
        <v>186855</v>
      </c>
      <c r="B8" t="s">
        <v>124</v>
      </c>
      <c r="C8">
        <v>0</v>
      </c>
      <c r="D8">
        <v>0</v>
      </c>
      <c r="E8">
        <v>0</v>
      </c>
      <c r="F8">
        <v>2</v>
      </c>
      <c r="G8">
        <v>0</v>
      </c>
      <c r="H8">
        <v>2</v>
      </c>
      <c r="I8">
        <v>2</v>
      </c>
      <c r="J8">
        <v>0</v>
      </c>
      <c r="K8">
        <v>2</v>
      </c>
      <c r="L8">
        <v>0</v>
      </c>
      <c r="M8">
        <v>2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X8" s="10"/>
      <c r="Y8" s="10"/>
      <c r="Z8" s="11"/>
      <c r="AA8" s="11"/>
      <c r="AB8" s="11"/>
      <c r="AC8" s="11"/>
      <c r="AD8" s="11"/>
      <c r="AE8" s="25">
        <v>5</v>
      </c>
      <c r="AF8" s="25" t="s">
        <v>151</v>
      </c>
      <c r="AG8" s="11" t="s">
        <v>121</v>
      </c>
      <c r="AH8" s="11" t="s">
        <v>120</v>
      </c>
    </row>
    <row r="9" spans="1:34" x14ac:dyDescent="0.25">
      <c r="A9">
        <v>131943</v>
      </c>
      <c r="B9" t="s">
        <v>118</v>
      </c>
      <c r="C9">
        <v>0</v>
      </c>
      <c r="D9">
        <v>2</v>
      </c>
      <c r="E9">
        <v>2</v>
      </c>
      <c r="F9">
        <v>2</v>
      </c>
      <c r="G9">
        <v>1</v>
      </c>
      <c r="H9">
        <v>0</v>
      </c>
      <c r="I9">
        <v>0</v>
      </c>
      <c r="J9">
        <v>0</v>
      </c>
      <c r="K9">
        <v>0</v>
      </c>
      <c r="L9">
        <v>2</v>
      </c>
      <c r="M9">
        <v>0</v>
      </c>
      <c r="O9">
        <v>0</v>
      </c>
      <c r="P9">
        <v>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 t="s">
        <v>125</v>
      </c>
      <c r="X9" s="10"/>
      <c r="Y9" s="10">
        <v>43332</v>
      </c>
      <c r="Z9" s="11"/>
      <c r="AA9" s="11"/>
      <c r="AB9" s="11"/>
      <c r="AC9" s="11"/>
      <c r="AD9" s="11"/>
      <c r="AE9" s="25">
        <v>6</v>
      </c>
      <c r="AF9" s="25" t="s">
        <v>151</v>
      </c>
      <c r="AG9" s="11" t="s">
        <v>121</v>
      </c>
      <c r="AH9" s="11" t="s">
        <v>165</v>
      </c>
    </row>
    <row r="10" spans="1:34" x14ac:dyDescent="0.25">
      <c r="A10">
        <v>180950</v>
      </c>
      <c r="B10" t="s">
        <v>118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X10" s="10"/>
      <c r="Y10" s="10">
        <v>43333</v>
      </c>
      <c r="Z10" s="11"/>
      <c r="AA10" s="11"/>
      <c r="AB10" s="11"/>
      <c r="AC10" s="11"/>
      <c r="AD10" s="11"/>
      <c r="AE10" s="25">
        <v>0</v>
      </c>
      <c r="AF10" s="25" t="s">
        <v>151</v>
      </c>
      <c r="AG10" s="11" t="s">
        <v>121</v>
      </c>
      <c r="AH10" s="11" t="s">
        <v>126</v>
      </c>
    </row>
    <row r="11" spans="1:34" x14ac:dyDescent="0.25">
      <c r="A11">
        <v>208907</v>
      </c>
      <c r="B11" t="s">
        <v>118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O11">
        <v>0</v>
      </c>
      <c r="P11">
        <v>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 t="s">
        <v>127</v>
      </c>
      <c r="X11" s="10"/>
      <c r="Y11" s="10">
        <v>43334</v>
      </c>
      <c r="Z11" s="11"/>
      <c r="AA11" s="11"/>
      <c r="AB11" s="11"/>
      <c r="AC11" s="11"/>
      <c r="AD11" s="11"/>
      <c r="AE11" s="25">
        <v>1</v>
      </c>
      <c r="AF11" s="25" t="s">
        <v>151</v>
      </c>
      <c r="AG11" s="11" t="s">
        <v>121</v>
      </c>
      <c r="AH11" s="11" t="s">
        <v>165</v>
      </c>
    </row>
    <row r="12" spans="1:34" x14ac:dyDescent="0.25">
      <c r="A12">
        <v>218517</v>
      </c>
      <c r="B12" t="s">
        <v>118</v>
      </c>
      <c r="C12">
        <v>0</v>
      </c>
      <c r="D12">
        <v>0</v>
      </c>
      <c r="E12">
        <v>0</v>
      </c>
      <c r="F12">
        <v>0</v>
      </c>
      <c r="G12">
        <v>1</v>
      </c>
      <c r="H12">
        <v>0</v>
      </c>
      <c r="I12">
        <v>2</v>
      </c>
      <c r="J12">
        <v>0</v>
      </c>
      <c r="K12">
        <v>0</v>
      </c>
      <c r="L12">
        <v>0</v>
      </c>
      <c r="M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X12" s="10"/>
      <c r="Y12" s="10">
        <v>43335</v>
      </c>
      <c r="Z12" s="11"/>
      <c r="AA12" s="11"/>
      <c r="AB12" s="11"/>
      <c r="AC12" s="11"/>
      <c r="AD12" s="11"/>
      <c r="AE12" s="25">
        <v>2</v>
      </c>
      <c r="AF12" s="25" t="s">
        <v>151</v>
      </c>
      <c r="AG12" s="11" t="s">
        <v>121</v>
      </c>
      <c r="AH12" s="11" t="s">
        <v>165</v>
      </c>
    </row>
    <row r="13" spans="1:34" x14ac:dyDescent="0.25">
      <c r="A13">
        <v>175632</v>
      </c>
      <c r="B13" t="s">
        <v>124</v>
      </c>
      <c r="C13">
        <v>0</v>
      </c>
      <c r="D13">
        <v>0</v>
      </c>
      <c r="E13">
        <v>0</v>
      </c>
      <c r="F13">
        <v>0</v>
      </c>
      <c r="G13">
        <v>0</v>
      </c>
      <c r="H13">
        <v>2</v>
      </c>
      <c r="I13">
        <v>0</v>
      </c>
      <c r="J13">
        <v>0</v>
      </c>
      <c r="K13">
        <v>1</v>
      </c>
      <c r="L13">
        <v>0</v>
      </c>
      <c r="M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X13" s="10"/>
      <c r="Y13" s="10">
        <v>43335</v>
      </c>
      <c r="Z13" s="11"/>
      <c r="AA13" s="11"/>
      <c r="AB13" s="11"/>
      <c r="AC13" s="11"/>
      <c r="AD13" s="11"/>
      <c r="AE13" s="25">
        <v>2</v>
      </c>
      <c r="AF13" s="25" t="s">
        <v>151</v>
      </c>
      <c r="AG13" s="11" t="s">
        <v>121</v>
      </c>
      <c r="AH13" s="11" t="s">
        <v>119</v>
      </c>
    </row>
    <row r="14" spans="1:34" x14ac:dyDescent="0.25">
      <c r="A14">
        <v>127444</v>
      </c>
      <c r="B14" t="s">
        <v>23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3</v>
      </c>
      <c r="J14">
        <v>0</v>
      </c>
      <c r="K14">
        <v>3</v>
      </c>
      <c r="L14">
        <v>0</v>
      </c>
      <c r="M14">
        <v>0</v>
      </c>
      <c r="N14">
        <v>2</v>
      </c>
      <c r="O14">
        <v>0</v>
      </c>
      <c r="P14">
        <v>0</v>
      </c>
      <c r="Q14">
        <v>2</v>
      </c>
      <c r="R14">
        <v>0</v>
      </c>
      <c r="S14">
        <v>0</v>
      </c>
      <c r="T14">
        <v>0</v>
      </c>
      <c r="U14">
        <v>0</v>
      </c>
      <c r="V14">
        <v>0</v>
      </c>
      <c r="X14" s="10"/>
      <c r="Y14" s="10"/>
      <c r="Z14" s="11"/>
      <c r="AA14" s="11"/>
      <c r="AB14" s="11"/>
      <c r="AC14" s="11"/>
      <c r="AD14" s="11"/>
      <c r="AE14" s="25">
        <v>4</v>
      </c>
      <c r="AF14" s="25" t="s">
        <v>152</v>
      </c>
      <c r="AG14" s="11" t="s">
        <v>167</v>
      </c>
      <c r="AH14" s="11" t="s">
        <v>168</v>
      </c>
    </row>
    <row r="15" spans="1:34" x14ac:dyDescent="0.25">
      <c r="A15">
        <v>154355</v>
      </c>
      <c r="B15" t="s">
        <v>23</v>
      </c>
      <c r="C15">
        <v>0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1</v>
      </c>
      <c r="K15">
        <v>3</v>
      </c>
      <c r="L15">
        <v>2</v>
      </c>
      <c r="M15">
        <v>2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X15" s="10"/>
      <c r="Y15" s="10"/>
      <c r="Z15" s="11"/>
      <c r="AA15" s="11"/>
      <c r="AB15" s="11"/>
      <c r="AC15" s="11"/>
      <c r="AD15" s="11"/>
      <c r="AE15" s="25">
        <v>5</v>
      </c>
      <c r="AF15" s="25" t="s">
        <v>152</v>
      </c>
      <c r="AG15" s="11" t="s">
        <v>167</v>
      </c>
      <c r="AH15" s="11" t="s">
        <v>169</v>
      </c>
    </row>
    <row r="16" spans="1:34" x14ac:dyDescent="0.25">
      <c r="A16">
        <v>219345</v>
      </c>
      <c r="B16" t="s">
        <v>23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1</v>
      </c>
      <c r="K16">
        <v>0</v>
      </c>
      <c r="L16">
        <v>0</v>
      </c>
      <c r="M16">
        <v>2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X16" s="10"/>
      <c r="Y16" s="10"/>
      <c r="Z16" s="11"/>
      <c r="AA16" s="11"/>
      <c r="AB16" s="11"/>
      <c r="AC16" s="11"/>
      <c r="AD16" s="11"/>
      <c r="AE16" s="25">
        <v>3</v>
      </c>
      <c r="AF16" s="25" t="s">
        <v>152</v>
      </c>
      <c r="AG16" s="11" t="s">
        <v>167</v>
      </c>
      <c r="AH16" s="11" t="s">
        <v>170</v>
      </c>
    </row>
    <row r="17" spans="1:34" x14ac:dyDescent="0.25">
      <c r="A17">
        <v>180820</v>
      </c>
      <c r="B17" t="s">
        <v>23</v>
      </c>
      <c r="C17">
        <v>0</v>
      </c>
      <c r="D17">
        <v>0</v>
      </c>
      <c r="E17">
        <v>2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X17" s="10"/>
      <c r="Y17" s="10"/>
      <c r="Z17" s="11"/>
      <c r="AA17" s="11"/>
      <c r="AB17" s="11"/>
      <c r="AC17" s="11"/>
      <c r="AD17" s="11"/>
      <c r="AE17" s="25">
        <v>2</v>
      </c>
      <c r="AF17" s="25" t="s">
        <v>152</v>
      </c>
      <c r="AG17" s="11" t="s">
        <v>167</v>
      </c>
      <c r="AH17" s="11" t="s">
        <v>171</v>
      </c>
    </row>
    <row r="18" spans="1:34" x14ac:dyDescent="0.25">
      <c r="A18">
        <v>169624</v>
      </c>
      <c r="B18" t="s">
        <v>30</v>
      </c>
      <c r="C18">
        <v>0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2</v>
      </c>
      <c r="O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V18">
        <v>0</v>
      </c>
      <c r="X18" s="10"/>
      <c r="Y18" s="10"/>
      <c r="Z18" s="11"/>
      <c r="AA18" s="11"/>
      <c r="AB18" s="11"/>
      <c r="AC18" s="11"/>
      <c r="AD18" s="11"/>
      <c r="AE18" s="25">
        <v>3</v>
      </c>
      <c r="AF18" s="25" t="s">
        <v>152</v>
      </c>
      <c r="AG18" s="11" t="s">
        <v>172</v>
      </c>
      <c r="AH18" s="11" t="s">
        <v>173</v>
      </c>
    </row>
    <row r="19" spans="1:34" x14ac:dyDescent="0.25">
      <c r="A19">
        <v>191360</v>
      </c>
      <c r="B19" t="s">
        <v>30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3</v>
      </c>
      <c r="L19">
        <v>0</v>
      </c>
      <c r="M19">
        <v>2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X19" s="10"/>
      <c r="Y19" s="10"/>
      <c r="Z19" s="11"/>
      <c r="AA19" s="11"/>
      <c r="AB19" s="11"/>
      <c r="AC19" s="11"/>
      <c r="AD19" s="11"/>
      <c r="AE19" s="25">
        <v>3</v>
      </c>
      <c r="AF19" s="25" t="s">
        <v>152</v>
      </c>
      <c r="AG19" s="11" t="s">
        <v>172</v>
      </c>
      <c r="AH19" s="11" t="s">
        <v>174</v>
      </c>
    </row>
    <row r="20" spans="1:34" x14ac:dyDescent="0.25">
      <c r="A20">
        <v>189900</v>
      </c>
      <c r="B20" t="s">
        <v>23</v>
      </c>
      <c r="C20">
        <v>0</v>
      </c>
      <c r="D20">
        <v>0</v>
      </c>
      <c r="E20">
        <v>0</v>
      </c>
      <c r="F20">
        <v>2</v>
      </c>
      <c r="G20">
        <v>1</v>
      </c>
      <c r="H20">
        <v>0</v>
      </c>
      <c r="I20">
        <v>0</v>
      </c>
      <c r="J20">
        <v>0</v>
      </c>
      <c r="K20">
        <v>3</v>
      </c>
      <c r="L20">
        <v>0</v>
      </c>
      <c r="M20">
        <v>2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X20" s="10"/>
      <c r="Y20" s="10"/>
      <c r="Z20" s="11"/>
      <c r="AA20" s="11"/>
      <c r="AB20" s="11"/>
      <c r="AC20" s="11"/>
      <c r="AD20" s="11"/>
      <c r="AE20" s="25">
        <v>4</v>
      </c>
      <c r="AF20" s="25" t="s">
        <v>152</v>
      </c>
      <c r="AG20" s="11" t="s">
        <v>167</v>
      </c>
      <c r="AH20" s="11" t="s">
        <v>106</v>
      </c>
    </row>
    <row r="21" spans="1:34" x14ac:dyDescent="0.25">
      <c r="A21">
        <v>192754</v>
      </c>
      <c r="B21" t="s">
        <v>23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</v>
      </c>
      <c r="L21">
        <v>2</v>
      </c>
      <c r="M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X21" s="10"/>
      <c r="Y21" s="10"/>
      <c r="Z21" s="11"/>
      <c r="AA21" s="11"/>
      <c r="AB21" s="11"/>
      <c r="AC21" s="11"/>
      <c r="AD21" s="11"/>
      <c r="AE21" s="25">
        <v>2</v>
      </c>
      <c r="AF21" s="25" t="s">
        <v>152</v>
      </c>
      <c r="AG21" s="11" t="s">
        <v>101</v>
      </c>
      <c r="AH21" s="11" t="s">
        <v>175</v>
      </c>
    </row>
    <row r="22" spans="1:34" x14ac:dyDescent="0.25">
      <c r="A22">
        <v>208108</v>
      </c>
      <c r="B22" t="s">
        <v>23</v>
      </c>
      <c r="C22">
        <v>0</v>
      </c>
      <c r="D22">
        <v>0</v>
      </c>
      <c r="E22">
        <v>0</v>
      </c>
      <c r="F22">
        <v>0</v>
      </c>
      <c r="G22">
        <v>0</v>
      </c>
      <c r="H22">
        <v>1</v>
      </c>
      <c r="I22">
        <v>0</v>
      </c>
      <c r="J22">
        <v>0</v>
      </c>
      <c r="K22">
        <v>1</v>
      </c>
      <c r="L22">
        <v>0</v>
      </c>
      <c r="M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X22" s="10"/>
      <c r="Y22" s="10"/>
      <c r="Z22" s="11"/>
      <c r="AA22" s="11"/>
      <c r="AB22" s="11"/>
      <c r="AC22" s="11"/>
      <c r="AD22" s="11"/>
      <c r="AE22" s="25">
        <v>2</v>
      </c>
      <c r="AF22" s="25" t="s">
        <v>152</v>
      </c>
      <c r="AG22" s="11" t="s">
        <v>101</v>
      </c>
      <c r="AH22" s="11" t="s">
        <v>175</v>
      </c>
    </row>
    <row r="23" spans="1:34" x14ac:dyDescent="0.25">
      <c r="A23">
        <v>143163</v>
      </c>
      <c r="B23" t="s">
        <v>30</v>
      </c>
      <c r="C23">
        <v>0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2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X23" s="10"/>
      <c r="Y23" s="10"/>
      <c r="Z23" s="11"/>
      <c r="AA23" s="11"/>
      <c r="AB23" s="11"/>
      <c r="AC23" s="11"/>
      <c r="AD23" s="11"/>
      <c r="AE23" s="25">
        <v>2</v>
      </c>
      <c r="AF23" s="25" t="s">
        <v>152</v>
      </c>
      <c r="AG23" s="11" t="s">
        <v>176</v>
      </c>
      <c r="AH23" s="11" t="s">
        <v>177</v>
      </c>
    </row>
    <row r="24" spans="1:34" x14ac:dyDescent="0.25">
      <c r="A24">
        <v>184812</v>
      </c>
      <c r="B24" t="s">
        <v>38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2</v>
      </c>
      <c r="O24">
        <v>0</v>
      </c>
      <c r="P24">
        <v>0</v>
      </c>
      <c r="Q24">
        <v>0</v>
      </c>
      <c r="R24">
        <v>1</v>
      </c>
      <c r="S24">
        <v>0</v>
      </c>
      <c r="T24">
        <v>0</v>
      </c>
      <c r="U24">
        <v>0</v>
      </c>
      <c r="V24">
        <v>0</v>
      </c>
      <c r="X24" s="10"/>
      <c r="Y24" s="10"/>
      <c r="Z24" s="11"/>
      <c r="AA24" s="11"/>
      <c r="AB24" s="11"/>
      <c r="AC24" s="11"/>
      <c r="AD24" s="11"/>
      <c r="AE24" s="25">
        <v>2</v>
      </c>
      <c r="AF24" s="25" t="s">
        <v>152</v>
      </c>
      <c r="AG24" s="11" t="s">
        <v>101</v>
      </c>
      <c r="AH24" s="11" t="s">
        <v>178</v>
      </c>
    </row>
    <row r="25" spans="1:34" x14ac:dyDescent="0.25">
      <c r="A25">
        <v>198054</v>
      </c>
      <c r="B25" t="s">
        <v>38</v>
      </c>
      <c r="C25">
        <v>0</v>
      </c>
      <c r="D25">
        <v>0</v>
      </c>
      <c r="E25">
        <v>0</v>
      </c>
      <c r="F25">
        <v>2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O25">
        <v>0</v>
      </c>
      <c r="P25">
        <v>0</v>
      </c>
      <c r="Q25">
        <v>0</v>
      </c>
      <c r="R25">
        <v>1</v>
      </c>
      <c r="S25">
        <v>0</v>
      </c>
      <c r="T25">
        <v>0</v>
      </c>
      <c r="U25">
        <v>0</v>
      </c>
      <c r="V25">
        <v>0</v>
      </c>
      <c r="X25" s="10"/>
      <c r="Y25" s="10"/>
      <c r="Z25" s="11"/>
      <c r="AA25" s="11"/>
      <c r="AB25" s="11"/>
      <c r="AC25" s="11"/>
      <c r="AD25" s="11"/>
      <c r="AE25" s="25">
        <v>3</v>
      </c>
      <c r="AF25" s="25" t="s">
        <v>152</v>
      </c>
      <c r="AG25" s="11" t="s">
        <v>101</v>
      </c>
      <c r="AH25" s="11" t="s">
        <v>179</v>
      </c>
    </row>
    <row r="26" spans="1:34" x14ac:dyDescent="0.25">
      <c r="A26">
        <v>208934</v>
      </c>
      <c r="B26" t="s">
        <v>38</v>
      </c>
      <c r="C26">
        <v>0</v>
      </c>
      <c r="D26">
        <v>0</v>
      </c>
      <c r="E26">
        <v>0</v>
      </c>
      <c r="F26">
        <v>2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O26">
        <v>0</v>
      </c>
      <c r="P26">
        <v>0</v>
      </c>
      <c r="Q26">
        <v>0</v>
      </c>
      <c r="R26">
        <v>1</v>
      </c>
      <c r="S26">
        <v>0</v>
      </c>
      <c r="T26">
        <v>0</v>
      </c>
      <c r="U26">
        <v>0</v>
      </c>
      <c r="V26">
        <v>0</v>
      </c>
      <c r="X26" s="10"/>
      <c r="Y26" s="10"/>
      <c r="Z26" s="11"/>
      <c r="AA26" s="11"/>
      <c r="AB26" s="11"/>
      <c r="AC26" s="11"/>
      <c r="AD26" s="11"/>
      <c r="AE26" s="25">
        <v>3</v>
      </c>
      <c r="AF26" s="25" t="s">
        <v>152</v>
      </c>
      <c r="AG26" s="11" t="s">
        <v>101</v>
      </c>
      <c r="AH26" s="11" t="s">
        <v>179</v>
      </c>
    </row>
    <row r="27" spans="1:34" x14ac:dyDescent="0.25">
      <c r="A27">
        <v>230074</v>
      </c>
      <c r="B27" t="s">
        <v>30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1</v>
      </c>
      <c r="L27">
        <v>0</v>
      </c>
      <c r="M27">
        <v>2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X27" s="10"/>
      <c r="Y27" s="10"/>
      <c r="Z27" s="11"/>
      <c r="AA27" s="11"/>
      <c r="AB27" s="11"/>
      <c r="AC27" s="11"/>
      <c r="AD27" s="11"/>
      <c r="AE27" s="25">
        <v>3</v>
      </c>
      <c r="AF27" s="25" t="s">
        <v>152</v>
      </c>
      <c r="AG27" s="11" t="s">
        <v>172</v>
      </c>
      <c r="AH27" s="11" t="s">
        <v>173</v>
      </c>
    </row>
    <row r="28" spans="1:34" x14ac:dyDescent="0.25">
      <c r="A28">
        <v>197080</v>
      </c>
      <c r="B28" t="s">
        <v>30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X28" s="10"/>
      <c r="Y28" s="10"/>
      <c r="Z28" s="11"/>
      <c r="AA28" s="11"/>
      <c r="AB28" s="11"/>
      <c r="AC28" s="11"/>
      <c r="AD28" s="11"/>
      <c r="AE28" s="25">
        <v>0</v>
      </c>
      <c r="AF28" s="25" t="s">
        <v>152</v>
      </c>
      <c r="AG28" s="11" t="s">
        <v>176</v>
      </c>
      <c r="AH28" s="11" t="s">
        <v>180</v>
      </c>
    </row>
    <row r="29" spans="1:34" x14ac:dyDescent="0.25">
      <c r="A29">
        <v>209147</v>
      </c>
      <c r="B29" t="s">
        <v>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X29" s="10"/>
      <c r="Y29" s="10"/>
      <c r="Z29" s="11"/>
      <c r="AA29" s="11"/>
      <c r="AB29" s="11"/>
      <c r="AC29" s="11"/>
      <c r="AD29" s="11"/>
      <c r="AE29" s="25">
        <v>0</v>
      </c>
      <c r="AF29" s="25" t="s">
        <v>152</v>
      </c>
      <c r="AG29" s="11" t="s">
        <v>176</v>
      </c>
      <c r="AH29" s="11" t="s">
        <v>181</v>
      </c>
    </row>
    <row r="30" spans="1:34" x14ac:dyDescent="0.25">
      <c r="A30">
        <v>168359</v>
      </c>
      <c r="B30" t="s">
        <v>38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2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X30" s="10"/>
      <c r="Y30" s="10"/>
      <c r="Z30" s="11"/>
      <c r="AA30" s="11"/>
      <c r="AB30" s="11"/>
      <c r="AC30" s="11"/>
      <c r="AD30" s="11"/>
      <c r="AE30" s="25">
        <v>2</v>
      </c>
      <c r="AF30" s="25" t="s">
        <v>152</v>
      </c>
      <c r="AG30" s="11" t="s">
        <v>101</v>
      </c>
      <c r="AH30" s="11" t="s">
        <v>182</v>
      </c>
    </row>
    <row r="31" spans="1:34" x14ac:dyDescent="0.25">
      <c r="A31">
        <v>176781</v>
      </c>
      <c r="B3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2</v>
      </c>
      <c r="O31">
        <v>0</v>
      </c>
      <c r="P31">
        <v>0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X31" s="10"/>
      <c r="Y31" s="10"/>
      <c r="Z31" s="11"/>
      <c r="AA31" s="11"/>
      <c r="AB31" s="11"/>
      <c r="AC31" s="11"/>
      <c r="AD31" s="11"/>
      <c r="AE31" s="25">
        <v>2</v>
      </c>
      <c r="AF31" s="25" t="s">
        <v>152</v>
      </c>
      <c r="AG31" s="11" t="s">
        <v>101</v>
      </c>
      <c r="AH31" s="11" t="s">
        <v>179</v>
      </c>
    </row>
    <row r="32" spans="1:34" x14ac:dyDescent="0.25">
      <c r="A32">
        <v>172399</v>
      </c>
      <c r="B32" t="s">
        <v>38</v>
      </c>
      <c r="C32">
        <v>0</v>
      </c>
      <c r="D32">
        <v>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X32" s="10"/>
      <c r="Y32" s="10"/>
      <c r="Z32" s="11"/>
      <c r="AA32" s="11"/>
      <c r="AB32" s="11"/>
      <c r="AC32" s="11"/>
      <c r="AD32" s="11"/>
      <c r="AE32" s="25">
        <v>1</v>
      </c>
      <c r="AF32" s="25" t="s">
        <v>152</v>
      </c>
      <c r="AG32" s="11" t="s">
        <v>167</v>
      </c>
      <c r="AH32" s="11" t="s">
        <v>183</v>
      </c>
    </row>
    <row r="33" spans="1:34" x14ac:dyDescent="0.25">
      <c r="A33">
        <v>174830</v>
      </c>
      <c r="B33" t="s">
        <v>38</v>
      </c>
      <c r="C33">
        <v>0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X33" s="10"/>
      <c r="Y33" s="10"/>
      <c r="Z33" s="11"/>
      <c r="AA33" s="11"/>
      <c r="AB33" s="11"/>
      <c r="AC33" s="11"/>
      <c r="AD33" s="11"/>
      <c r="AE33" s="25">
        <v>1</v>
      </c>
      <c r="AF33" s="25" t="s">
        <v>152</v>
      </c>
      <c r="AG33" s="11" t="s">
        <v>184</v>
      </c>
      <c r="AH33" s="11" t="s">
        <v>170</v>
      </c>
    </row>
    <row r="34" spans="1:34" x14ac:dyDescent="0.25">
      <c r="A34">
        <v>194046</v>
      </c>
      <c r="B34" t="s">
        <v>38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2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X34" s="10"/>
      <c r="Y34" s="10"/>
      <c r="Z34" s="11"/>
      <c r="AA34" s="11"/>
      <c r="AB34" s="11"/>
      <c r="AC34" s="11"/>
      <c r="AD34" s="11"/>
      <c r="AE34" s="25">
        <v>1</v>
      </c>
      <c r="AF34" s="25" t="s">
        <v>152</v>
      </c>
      <c r="AG34" s="11" t="s">
        <v>101</v>
      </c>
      <c r="AH34" s="11" t="s">
        <v>175</v>
      </c>
    </row>
    <row r="35" spans="1:34" x14ac:dyDescent="0.25">
      <c r="A35">
        <v>199699</v>
      </c>
      <c r="B35" t="s">
        <v>38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X35" s="10"/>
      <c r="Y35" s="10"/>
      <c r="Z35" s="11"/>
      <c r="AA35" s="11"/>
      <c r="AB35" s="11"/>
      <c r="AC35" s="11"/>
      <c r="AD35" s="11"/>
      <c r="AE35" s="25">
        <v>0</v>
      </c>
      <c r="AF35" s="25" t="s">
        <v>152</v>
      </c>
      <c r="AG35" s="11" t="s">
        <v>167</v>
      </c>
      <c r="AH35" s="11" t="s">
        <v>106</v>
      </c>
    </row>
    <row r="36" spans="1:34" x14ac:dyDescent="0.25">
      <c r="A36">
        <v>210337</v>
      </c>
      <c r="B36" t="s">
        <v>38</v>
      </c>
      <c r="C36">
        <v>0</v>
      </c>
      <c r="D36">
        <v>0</v>
      </c>
      <c r="E36">
        <v>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O36">
        <v>0</v>
      </c>
      <c r="P36">
        <v>0</v>
      </c>
      <c r="Q36">
        <v>2</v>
      </c>
      <c r="R36">
        <v>0</v>
      </c>
      <c r="S36">
        <v>0</v>
      </c>
      <c r="T36">
        <v>0</v>
      </c>
      <c r="U36">
        <v>0</v>
      </c>
      <c r="V36">
        <v>0</v>
      </c>
      <c r="X36" s="10"/>
      <c r="Y36" s="10"/>
      <c r="Z36" s="11"/>
      <c r="AA36" s="11"/>
      <c r="AB36" s="11"/>
      <c r="AC36" s="11"/>
      <c r="AD36" s="11"/>
      <c r="AE36" s="25">
        <v>2</v>
      </c>
      <c r="AF36" s="25" t="s">
        <v>152</v>
      </c>
      <c r="AG36" s="11" t="s">
        <v>101</v>
      </c>
      <c r="AH36" s="11" t="s">
        <v>175</v>
      </c>
    </row>
    <row r="37" spans="1:34" x14ac:dyDescent="0.25">
      <c r="A37">
        <v>221871</v>
      </c>
      <c r="B37" t="s">
        <v>38</v>
      </c>
      <c r="C37">
        <v>0</v>
      </c>
      <c r="D37">
        <v>0</v>
      </c>
      <c r="E37">
        <v>2</v>
      </c>
      <c r="F37">
        <v>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O37">
        <v>0</v>
      </c>
      <c r="P37">
        <v>0</v>
      </c>
      <c r="Q37">
        <v>0</v>
      </c>
      <c r="R37">
        <v>1</v>
      </c>
      <c r="S37">
        <v>0</v>
      </c>
      <c r="T37">
        <v>0</v>
      </c>
      <c r="U37">
        <v>0</v>
      </c>
      <c r="V37">
        <v>0</v>
      </c>
      <c r="X37" s="10"/>
      <c r="Y37" s="10"/>
      <c r="Z37" s="11"/>
      <c r="AA37" s="11"/>
      <c r="AB37" s="11"/>
      <c r="AC37" s="11"/>
      <c r="AD37" s="11"/>
      <c r="AE37" s="25">
        <v>3</v>
      </c>
      <c r="AF37" s="25" t="s">
        <v>152</v>
      </c>
      <c r="AG37" s="11" t="s">
        <v>101</v>
      </c>
      <c r="AH37" s="11" t="s">
        <v>175</v>
      </c>
    </row>
    <row r="38" spans="1:34" x14ac:dyDescent="0.25">
      <c r="A38">
        <v>222477</v>
      </c>
      <c r="B38" t="s">
        <v>38</v>
      </c>
      <c r="C38">
        <v>0</v>
      </c>
      <c r="D38">
        <v>0</v>
      </c>
      <c r="E38">
        <v>2</v>
      </c>
      <c r="F38">
        <v>0</v>
      </c>
      <c r="G38">
        <v>0</v>
      </c>
      <c r="H38">
        <v>0</v>
      </c>
      <c r="I38">
        <v>3</v>
      </c>
      <c r="J38">
        <v>0</v>
      </c>
      <c r="K38">
        <v>0</v>
      </c>
      <c r="L38">
        <v>0</v>
      </c>
      <c r="M38">
        <v>0</v>
      </c>
      <c r="O38">
        <v>0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X38" s="10"/>
      <c r="Y38" s="10"/>
      <c r="Z38" s="11"/>
      <c r="AA38" s="11"/>
      <c r="AB38" s="11"/>
      <c r="AC38" s="11"/>
      <c r="AD38" s="11"/>
      <c r="AE38" s="25">
        <v>3</v>
      </c>
      <c r="AF38" s="25" t="s">
        <v>152</v>
      </c>
      <c r="AG38" s="11" t="s">
        <v>184</v>
      </c>
      <c r="AH38" s="11" t="s">
        <v>179</v>
      </c>
    </row>
    <row r="39" spans="1:34" x14ac:dyDescent="0.25">
      <c r="A39">
        <v>155892</v>
      </c>
      <c r="B39" t="s">
        <v>38</v>
      </c>
      <c r="C39">
        <v>0</v>
      </c>
      <c r="D39">
        <v>0</v>
      </c>
      <c r="E39">
        <v>2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X39" s="10"/>
      <c r="Y39" s="10"/>
      <c r="Z39" s="11"/>
      <c r="AA39" s="11"/>
      <c r="AB39" s="11"/>
      <c r="AC39" s="11"/>
      <c r="AD39" s="11"/>
      <c r="AE39" s="25">
        <v>1</v>
      </c>
      <c r="AF39" s="25" t="s">
        <v>152</v>
      </c>
      <c r="AG39" s="11" t="s">
        <v>184</v>
      </c>
      <c r="AH39" s="11" t="s">
        <v>106</v>
      </c>
    </row>
    <row r="40" spans="1:34" x14ac:dyDescent="0.25">
      <c r="A40">
        <v>122676</v>
      </c>
      <c r="B40" t="s">
        <v>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X40" s="10"/>
      <c r="Y40" s="10"/>
      <c r="Z40" s="11"/>
      <c r="AA40" s="11"/>
      <c r="AB40" s="11"/>
      <c r="AC40" s="11"/>
      <c r="AD40" s="11"/>
      <c r="AE40" s="25">
        <v>0</v>
      </c>
      <c r="AF40" s="25" t="s">
        <v>152</v>
      </c>
      <c r="AG40" s="11" t="s">
        <v>172</v>
      </c>
      <c r="AH40" s="11" t="s">
        <v>185</v>
      </c>
    </row>
    <row r="41" spans="1:34" x14ac:dyDescent="0.25">
      <c r="A41">
        <v>195105</v>
      </c>
      <c r="B41" t="s">
        <v>30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X41" s="10"/>
      <c r="Y41" s="10"/>
      <c r="Z41" s="11"/>
      <c r="AA41" s="11"/>
      <c r="AB41" s="11"/>
      <c r="AC41" s="11"/>
      <c r="AD41" s="11"/>
      <c r="AE41" s="25">
        <v>0</v>
      </c>
      <c r="AF41" s="25" t="s">
        <v>152</v>
      </c>
      <c r="AG41" s="11" t="s">
        <v>176</v>
      </c>
      <c r="AH41" s="11" t="s">
        <v>177</v>
      </c>
    </row>
    <row r="42" spans="1:34" x14ac:dyDescent="0.25">
      <c r="A42">
        <v>222679</v>
      </c>
      <c r="B42" t="s">
        <v>30</v>
      </c>
      <c r="C42">
        <v>0</v>
      </c>
      <c r="D42">
        <v>0</v>
      </c>
      <c r="E42">
        <v>2</v>
      </c>
      <c r="F42">
        <v>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2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X42" s="10"/>
      <c r="Y42" s="10"/>
      <c r="Z42" s="11"/>
      <c r="AA42" s="11"/>
      <c r="AB42" s="11"/>
      <c r="AC42" s="11"/>
      <c r="AD42" s="11"/>
      <c r="AE42" s="25">
        <v>3</v>
      </c>
      <c r="AF42" s="25" t="s">
        <v>152</v>
      </c>
      <c r="AG42" s="11" t="s">
        <v>176</v>
      </c>
      <c r="AH42" s="11" t="s">
        <v>181</v>
      </c>
    </row>
    <row r="43" spans="1:34" x14ac:dyDescent="0.25">
      <c r="A43">
        <v>220968</v>
      </c>
      <c r="B43" t="s">
        <v>30</v>
      </c>
      <c r="C43">
        <v>0</v>
      </c>
      <c r="D43">
        <v>0</v>
      </c>
      <c r="E43">
        <v>0</v>
      </c>
      <c r="F43">
        <v>0</v>
      </c>
      <c r="G43">
        <v>0</v>
      </c>
      <c r="H43">
        <v>2</v>
      </c>
      <c r="I43">
        <v>0</v>
      </c>
      <c r="J43">
        <v>0</v>
      </c>
      <c r="K43">
        <v>0</v>
      </c>
      <c r="L43">
        <v>0</v>
      </c>
      <c r="M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X43" s="10"/>
      <c r="Y43" s="10"/>
      <c r="Z43" s="11"/>
      <c r="AA43" s="11"/>
      <c r="AB43" s="11"/>
      <c r="AC43" s="11"/>
      <c r="AD43" s="11"/>
      <c r="AE43" s="25">
        <v>2</v>
      </c>
      <c r="AF43" s="25" t="s">
        <v>152</v>
      </c>
      <c r="AG43" s="11" t="s">
        <v>172</v>
      </c>
      <c r="AH43" s="11" t="s">
        <v>173</v>
      </c>
    </row>
    <row r="44" spans="1:34" x14ac:dyDescent="0.25">
      <c r="A44">
        <v>222360</v>
      </c>
      <c r="B44" t="s">
        <v>30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2</v>
      </c>
      <c r="M44">
        <v>2</v>
      </c>
      <c r="O44">
        <v>0</v>
      </c>
      <c r="P44">
        <v>0</v>
      </c>
      <c r="Q44">
        <v>0</v>
      </c>
      <c r="R44">
        <v>1</v>
      </c>
      <c r="S44">
        <v>0</v>
      </c>
      <c r="T44">
        <v>0</v>
      </c>
      <c r="U44">
        <v>0</v>
      </c>
      <c r="V44">
        <v>0</v>
      </c>
      <c r="X44" s="10"/>
      <c r="Y44" s="10"/>
      <c r="Z44" s="11"/>
      <c r="AA44" s="11"/>
      <c r="AB44" s="11"/>
      <c r="AC44" s="11"/>
      <c r="AD44" s="11"/>
      <c r="AE44" s="25">
        <v>3</v>
      </c>
      <c r="AF44" s="25" t="s">
        <v>152</v>
      </c>
      <c r="AG44" s="11" t="s">
        <v>172</v>
      </c>
      <c r="AH44" s="11" t="s">
        <v>174</v>
      </c>
    </row>
    <row r="45" spans="1:34" x14ac:dyDescent="0.25">
      <c r="A45">
        <v>222953</v>
      </c>
      <c r="B45" t="s">
        <v>38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X45" s="10"/>
      <c r="Y45" s="10"/>
      <c r="Z45" s="11"/>
      <c r="AA45" s="11"/>
      <c r="AB45" s="11"/>
      <c r="AC45" s="11"/>
      <c r="AD45" s="11"/>
      <c r="AE45" s="25">
        <v>2</v>
      </c>
      <c r="AF45" s="25" t="s">
        <v>152</v>
      </c>
      <c r="AG45" s="11" t="s">
        <v>184</v>
      </c>
      <c r="AH45" s="11" t="s">
        <v>186</v>
      </c>
    </row>
    <row r="46" spans="1:34" x14ac:dyDescent="0.25">
      <c r="A46">
        <v>170316</v>
      </c>
      <c r="B46" t="s">
        <v>30</v>
      </c>
      <c r="C46">
        <v>0</v>
      </c>
      <c r="D46">
        <v>1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2</v>
      </c>
      <c r="O46">
        <v>0</v>
      </c>
      <c r="P46">
        <v>0</v>
      </c>
      <c r="Q46">
        <v>0</v>
      </c>
      <c r="R46">
        <v>1</v>
      </c>
      <c r="S46">
        <v>0</v>
      </c>
      <c r="T46">
        <v>0</v>
      </c>
      <c r="U46">
        <v>0</v>
      </c>
      <c r="V46">
        <v>0</v>
      </c>
      <c r="X46" s="10"/>
      <c r="Y46" s="10"/>
      <c r="Z46" s="11"/>
      <c r="AA46" s="11"/>
      <c r="AB46" s="11"/>
      <c r="AC46" s="11"/>
      <c r="AD46" s="11"/>
      <c r="AE46" s="25">
        <v>4</v>
      </c>
      <c r="AF46" s="25" t="s">
        <v>152</v>
      </c>
      <c r="AG46" s="11" t="s">
        <v>172</v>
      </c>
      <c r="AH46" s="11" t="s">
        <v>174</v>
      </c>
    </row>
    <row r="47" spans="1:34" x14ac:dyDescent="0.25">
      <c r="A47">
        <v>186211</v>
      </c>
      <c r="B47" t="s">
        <v>30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X47" s="10"/>
      <c r="Y47" s="10"/>
      <c r="Z47" s="11"/>
      <c r="AA47" s="11"/>
      <c r="AB47" s="11"/>
      <c r="AC47" s="11"/>
      <c r="AD47" s="11"/>
      <c r="AE47" s="25">
        <v>0</v>
      </c>
      <c r="AF47" s="25" t="s">
        <v>152</v>
      </c>
      <c r="AG47" s="11" t="s">
        <v>176</v>
      </c>
      <c r="AH47" s="11" t="s">
        <v>181</v>
      </c>
    </row>
    <row r="48" spans="1:34" x14ac:dyDescent="0.25">
      <c r="A48">
        <v>192428</v>
      </c>
      <c r="B48" t="s">
        <v>30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O48">
        <v>0</v>
      </c>
      <c r="P48">
        <v>0</v>
      </c>
      <c r="Q48">
        <v>0</v>
      </c>
      <c r="R48">
        <v>2</v>
      </c>
      <c r="S48">
        <v>0</v>
      </c>
      <c r="T48">
        <v>0</v>
      </c>
      <c r="U48">
        <v>0</v>
      </c>
      <c r="V48">
        <v>0</v>
      </c>
      <c r="X48" s="10"/>
      <c r="Y48" s="10"/>
      <c r="Z48" s="11"/>
      <c r="AA48" s="11"/>
      <c r="AB48" s="11"/>
      <c r="AC48" s="11"/>
      <c r="AD48" s="11"/>
      <c r="AE48" s="25">
        <v>2</v>
      </c>
      <c r="AF48" s="25" t="s">
        <v>152</v>
      </c>
      <c r="AG48" s="11" t="s">
        <v>172</v>
      </c>
      <c r="AH48" s="11" t="s">
        <v>174</v>
      </c>
    </row>
    <row r="49" spans="1:34" x14ac:dyDescent="0.25">
      <c r="A49">
        <v>166221</v>
      </c>
      <c r="B49" t="s">
        <v>38</v>
      </c>
      <c r="C49">
        <v>0</v>
      </c>
      <c r="D49">
        <v>0</v>
      </c>
      <c r="E49">
        <v>0</v>
      </c>
      <c r="F49">
        <v>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O49">
        <v>0</v>
      </c>
      <c r="P49">
        <v>0</v>
      </c>
      <c r="Q49">
        <v>0</v>
      </c>
      <c r="R49">
        <v>1</v>
      </c>
      <c r="S49">
        <v>0</v>
      </c>
      <c r="T49">
        <v>0</v>
      </c>
      <c r="U49">
        <v>0</v>
      </c>
      <c r="V49">
        <v>0</v>
      </c>
      <c r="X49" s="10"/>
      <c r="Y49" s="10"/>
      <c r="Z49" s="11"/>
      <c r="AA49" s="11"/>
      <c r="AB49" s="11"/>
      <c r="AC49" s="11"/>
      <c r="AD49" s="11"/>
      <c r="AE49" s="25">
        <v>2</v>
      </c>
      <c r="AF49" s="25" t="s">
        <v>152</v>
      </c>
      <c r="AG49" s="11" t="s">
        <v>167</v>
      </c>
      <c r="AH49" s="11" t="s">
        <v>183</v>
      </c>
    </row>
    <row r="50" spans="1:34" x14ac:dyDescent="0.25">
      <c r="A50">
        <v>174935</v>
      </c>
      <c r="B50" t="s">
        <v>38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2</v>
      </c>
      <c r="J50">
        <v>0</v>
      </c>
      <c r="K50">
        <v>0</v>
      </c>
      <c r="L50">
        <v>0</v>
      </c>
      <c r="M50">
        <v>0</v>
      </c>
      <c r="O50">
        <v>0</v>
      </c>
      <c r="P50">
        <v>0</v>
      </c>
      <c r="Q50">
        <v>0</v>
      </c>
      <c r="R50">
        <v>1</v>
      </c>
      <c r="S50">
        <v>0</v>
      </c>
      <c r="T50">
        <v>0</v>
      </c>
      <c r="U50">
        <v>0</v>
      </c>
      <c r="V50">
        <v>0</v>
      </c>
      <c r="X50" s="10"/>
      <c r="Y50" s="10"/>
      <c r="Z50" s="11"/>
      <c r="AA50" s="11"/>
      <c r="AB50" s="11"/>
      <c r="AC50" s="11"/>
      <c r="AD50" s="11"/>
      <c r="AE50" s="25">
        <v>2</v>
      </c>
      <c r="AF50" s="25" t="s">
        <v>152</v>
      </c>
      <c r="AG50" s="11" t="s">
        <v>167</v>
      </c>
      <c r="AH50" s="11" t="s">
        <v>175</v>
      </c>
    </row>
    <row r="51" spans="1:34" x14ac:dyDescent="0.25">
      <c r="A51">
        <v>144740</v>
      </c>
      <c r="B51" t="s">
        <v>38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2</v>
      </c>
      <c r="M51">
        <v>0</v>
      </c>
      <c r="O51">
        <v>0</v>
      </c>
      <c r="P51">
        <v>0</v>
      </c>
      <c r="Q51">
        <v>0</v>
      </c>
      <c r="R51">
        <v>1</v>
      </c>
      <c r="S51">
        <v>0</v>
      </c>
      <c r="T51">
        <v>0</v>
      </c>
      <c r="U51">
        <v>0</v>
      </c>
      <c r="V51">
        <v>0</v>
      </c>
      <c r="X51" s="10"/>
      <c r="Y51" s="10"/>
      <c r="Z51" s="11"/>
      <c r="AA51" s="11"/>
      <c r="AB51" s="11"/>
      <c r="AC51" s="11"/>
      <c r="AD51" s="11"/>
      <c r="AE51" s="25">
        <v>2</v>
      </c>
      <c r="AF51" s="25" t="s">
        <v>152</v>
      </c>
      <c r="AG51" s="11" t="s">
        <v>101</v>
      </c>
      <c r="AH51" s="11" t="s">
        <v>186</v>
      </c>
    </row>
    <row r="52" spans="1:34" x14ac:dyDescent="0.25">
      <c r="A52">
        <v>169639</v>
      </c>
      <c r="B52" t="s">
        <v>38</v>
      </c>
      <c r="C52">
        <v>0</v>
      </c>
      <c r="D52">
        <v>1</v>
      </c>
      <c r="E52">
        <v>2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X52" s="10"/>
      <c r="Y52" s="10"/>
      <c r="Z52" s="11"/>
      <c r="AA52" s="11"/>
      <c r="AB52" s="11"/>
      <c r="AC52" s="11"/>
      <c r="AD52" s="11"/>
      <c r="AE52" s="25">
        <v>2</v>
      </c>
      <c r="AF52" s="25" t="s">
        <v>152</v>
      </c>
      <c r="AG52" s="11" t="s">
        <v>101</v>
      </c>
      <c r="AH52" s="11" t="s">
        <v>171</v>
      </c>
    </row>
    <row r="53" spans="1:34" x14ac:dyDescent="0.25">
      <c r="A53">
        <v>147820</v>
      </c>
      <c r="B53" t="s">
        <v>30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0</v>
      </c>
      <c r="M53">
        <v>2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X53" s="10"/>
      <c r="Y53" s="10"/>
      <c r="Z53" s="11"/>
      <c r="AA53" s="11"/>
      <c r="AB53" s="11"/>
      <c r="AC53" s="11"/>
      <c r="AD53" s="11"/>
      <c r="AE53" s="25">
        <v>3</v>
      </c>
      <c r="AF53" s="25" t="s">
        <v>152</v>
      </c>
      <c r="AG53" s="11" t="s">
        <v>176</v>
      </c>
      <c r="AH53" s="11" t="s">
        <v>181</v>
      </c>
    </row>
    <row r="54" spans="1:34" x14ac:dyDescent="0.25">
      <c r="A54">
        <v>223301</v>
      </c>
      <c r="B54" t="s">
        <v>30</v>
      </c>
      <c r="C54">
        <v>0</v>
      </c>
      <c r="D54">
        <v>0</v>
      </c>
      <c r="E54">
        <v>0</v>
      </c>
      <c r="F54">
        <v>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X54" s="10"/>
      <c r="Y54" s="10"/>
      <c r="Z54" s="11"/>
      <c r="AA54" s="11"/>
      <c r="AB54" s="11"/>
      <c r="AC54" s="11"/>
      <c r="AD54" s="11"/>
      <c r="AE54" s="25">
        <v>2</v>
      </c>
      <c r="AF54" s="25" t="s">
        <v>152</v>
      </c>
      <c r="AG54" s="11" t="s">
        <v>176</v>
      </c>
      <c r="AH54" s="11" t="s">
        <v>177</v>
      </c>
    </row>
    <row r="55" spans="1:34" x14ac:dyDescent="0.25">
      <c r="A55">
        <v>222776</v>
      </c>
      <c r="B55" t="s">
        <v>30</v>
      </c>
      <c r="C55">
        <v>0</v>
      </c>
      <c r="D55">
        <v>0</v>
      </c>
      <c r="E55">
        <v>2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X55" s="10"/>
      <c r="Y55" s="10"/>
      <c r="Z55" s="11"/>
      <c r="AA55" s="11"/>
      <c r="AB55" s="11"/>
      <c r="AC55" s="11"/>
      <c r="AD55" s="11"/>
      <c r="AE55" s="25">
        <v>1</v>
      </c>
      <c r="AF55" s="25" t="s">
        <v>152</v>
      </c>
      <c r="AG55" s="11" t="s">
        <v>176</v>
      </c>
      <c r="AH55" s="11" t="s">
        <v>177</v>
      </c>
    </row>
    <row r="56" spans="1:34" x14ac:dyDescent="0.25">
      <c r="A56">
        <v>208161</v>
      </c>
      <c r="B56" t="s">
        <v>38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X56" s="10"/>
      <c r="Y56" s="10"/>
      <c r="Z56" s="11"/>
      <c r="AA56" s="11"/>
      <c r="AB56" s="11"/>
      <c r="AC56" s="11"/>
      <c r="AD56" s="11"/>
      <c r="AE56" s="25">
        <v>0</v>
      </c>
      <c r="AF56" s="25" t="s">
        <v>152</v>
      </c>
      <c r="AG56" s="11" t="s">
        <v>101</v>
      </c>
      <c r="AH56" s="11" t="s">
        <v>169</v>
      </c>
    </row>
    <row r="57" spans="1:34" x14ac:dyDescent="0.25">
      <c r="A57">
        <v>215989</v>
      </c>
      <c r="B57" t="s">
        <v>38</v>
      </c>
      <c r="C57">
        <v>0</v>
      </c>
      <c r="D57">
        <v>2</v>
      </c>
      <c r="E57">
        <v>0</v>
      </c>
      <c r="F57">
        <v>0</v>
      </c>
      <c r="G57">
        <v>0</v>
      </c>
      <c r="H57">
        <v>0</v>
      </c>
      <c r="I57">
        <v>2</v>
      </c>
      <c r="J57">
        <v>0</v>
      </c>
      <c r="K57">
        <v>0</v>
      </c>
      <c r="L57">
        <v>0</v>
      </c>
      <c r="M57">
        <v>2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X57" s="10"/>
      <c r="Y57" s="10"/>
      <c r="Z57" s="11"/>
      <c r="AA57" s="11"/>
      <c r="AB57" s="11"/>
      <c r="AC57" s="11"/>
      <c r="AD57" s="11"/>
      <c r="AE57" s="25">
        <v>3</v>
      </c>
      <c r="AF57" s="25" t="s">
        <v>152</v>
      </c>
      <c r="AG57" s="11" t="s">
        <v>167</v>
      </c>
      <c r="AH57" s="11" t="s">
        <v>106</v>
      </c>
    </row>
    <row r="58" spans="1:34" x14ac:dyDescent="0.25">
      <c r="A58">
        <v>209207</v>
      </c>
      <c r="B58" t="s">
        <v>30</v>
      </c>
      <c r="C58">
        <v>0</v>
      </c>
      <c r="D58">
        <v>0</v>
      </c>
      <c r="E58">
        <v>2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X58" s="10"/>
      <c r="Y58" s="10"/>
      <c r="Z58" s="11"/>
      <c r="AA58" s="11"/>
      <c r="AB58" s="11"/>
      <c r="AC58" s="11"/>
      <c r="AD58" s="11"/>
      <c r="AE58" s="25">
        <v>1</v>
      </c>
      <c r="AF58" s="25" t="s">
        <v>152</v>
      </c>
      <c r="AG58" s="11" t="s">
        <v>101</v>
      </c>
      <c r="AH58" s="11" t="s">
        <v>187</v>
      </c>
    </row>
    <row r="59" spans="1:34" x14ac:dyDescent="0.25">
      <c r="A59">
        <v>161438</v>
      </c>
      <c r="B59" t="s">
        <v>30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X59" s="10"/>
      <c r="Y59" s="10"/>
      <c r="Z59" s="11"/>
      <c r="AA59" s="11"/>
      <c r="AB59" s="11"/>
      <c r="AC59" s="11"/>
      <c r="AD59" s="11"/>
      <c r="AE59" s="25">
        <v>0</v>
      </c>
      <c r="AF59" s="25" t="s">
        <v>152</v>
      </c>
      <c r="AG59" s="11" t="s">
        <v>176</v>
      </c>
      <c r="AH59" s="11" t="s">
        <v>180</v>
      </c>
    </row>
    <row r="60" spans="1:34" x14ac:dyDescent="0.25">
      <c r="A60">
        <v>227267</v>
      </c>
      <c r="B60" t="s">
        <v>30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2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X60" s="10"/>
      <c r="Y60" s="10"/>
      <c r="Z60" s="11"/>
      <c r="AA60" s="11"/>
      <c r="AB60" s="11"/>
      <c r="AC60" s="11"/>
      <c r="AD60" s="11"/>
      <c r="AE60" s="25">
        <v>1</v>
      </c>
      <c r="AF60" s="25" t="s">
        <v>152</v>
      </c>
      <c r="AG60" s="11" t="s">
        <v>176</v>
      </c>
      <c r="AH60" s="11" t="s">
        <v>177</v>
      </c>
    </row>
    <row r="61" spans="1:34" x14ac:dyDescent="0.25">
      <c r="A61">
        <v>180361</v>
      </c>
      <c r="B61" t="s">
        <v>30</v>
      </c>
      <c r="C61">
        <v>0</v>
      </c>
      <c r="D61">
        <v>0</v>
      </c>
      <c r="E61">
        <v>2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X61" s="10"/>
      <c r="Y61" s="10"/>
      <c r="Z61" s="11"/>
      <c r="AA61" s="11"/>
      <c r="AB61" s="11"/>
      <c r="AC61" s="11"/>
      <c r="AD61" s="11"/>
      <c r="AE61" s="25">
        <v>1</v>
      </c>
      <c r="AF61" s="25" t="s">
        <v>152</v>
      </c>
      <c r="AG61" s="11" t="s">
        <v>101</v>
      </c>
      <c r="AH61" s="11" t="s">
        <v>179</v>
      </c>
    </row>
    <row r="62" spans="1:34" x14ac:dyDescent="0.25">
      <c r="A62">
        <v>184666</v>
      </c>
      <c r="B62" t="s">
        <v>38</v>
      </c>
      <c r="C62">
        <v>0</v>
      </c>
      <c r="D62">
        <v>0</v>
      </c>
      <c r="E62">
        <v>2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X62" s="10"/>
      <c r="Y62" s="10"/>
      <c r="Z62" s="11"/>
      <c r="AA62" s="11"/>
      <c r="AB62" s="11"/>
      <c r="AC62" s="11"/>
      <c r="AD62" s="11"/>
      <c r="AE62" s="25">
        <v>1</v>
      </c>
      <c r="AF62" s="25" t="s">
        <v>152</v>
      </c>
      <c r="AG62" s="11" t="s">
        <v>167</v>
      </c>
      <c r="AH62" s="11" t="s">
        <v>114</v>
      </c>
    </row>
    <row r="63" spans="1:34" x14ac:dyDescent="0.25">
      <c r="A63">
        <v>194187</v>
      </c>
      <c r="B63" t="s">
        <v>38</v>
      </c>
      <c r="C63">
        <v>0</v>
      </c>
      <c r="D63">
        <v>0</v>
      </c>
      <c r="E63">
        <v>2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X63" s="10"/>
      <c r="Y63" s="10"/>
      <c r="Z63" s="11"/>
      <c r="AA63" s="11"/>
      <c r="AB63" s="11"/>
      <c r="AC63" s="11"/>
      <c r="AD63" s="11"/>
      <c r="AE63" s="25">
        <v>1</v>
      </c>
      <c r="AF63" s="25" t="s">
        <v>152</v>
      </c>
      <c r="AG63" s="11" t="s">
        <v>101</v>
      </c>
      <c r="AH63" s="11" t="s">
        <v>179</v>
      </c>
    </row>
    <row r="64" spans="1:34" x14ac:dyDescent="0.25">
      <c r="A64">
        <v>149721</v>
      </c>
      <c r="B64" t="s">
        <v>38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O64">
        <v>0</v>
      </c>
      <c r="P64">
        <v>0</v>
      </c>
      <c r="Q64">
        <v>0</v>
      </c>
      <c r="R64">
        <v>1</v>
      </c>
      <c r="S64">
        <v>0</v>
      </c>
      <c r="T64">
        <v>0</v>
      </c>
      <c r="U64">
        <v>0</v>
      </c>
      <c r="V64">
        <v>0</v>
      </c>
      <c r="X64" s="10"/>
      <c r="Y64" s="10"/>
      <c r="Z64" s="11"/>
      <c r="AA64" s="11"/>
      <c r="AB64" s="11"/>
      <c r="AC64" s="11"/>
      <c r="AD64" s="11"/>
      <c r="AE64" s="25">
        <v>1</v>
      </c>
      <c r="AF64" s="25" t="s">
        <v>152</v>
      </c>
      <c r="AG64" s="11" t="s">
        <v>167</v>
      </c>
      <c r="AH64" s="11" t="s">
        <v>188</v>
      </c>
    </row>
    <row r="65" spans="1:34" x14ac:dyDescent="0.25">
      <c r="A65">
        <v>182343</v>
      </c>
      <c r="B65" t="s">
        <v>38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O65">
        <v>0</v>
      </c>
      <c r="P65">
        <v>0</v>
      </c>
      <c r="Q65">
        <v>0</v>
      </c>
      <c r="R65">
        <v>2</v>
      </c>
      <c r="S65">
        <v>0</v>
      </c>
      <c r="T65">
        <v>0</v>
      </c>
      <c r="U65">
        <v>0</v>
      </c>
      <c r="V65">
        <v>0</v>
      </c>
      <c r="X65" s="10"/>
      <c r="Y65" s="10"/>
      <c r="Z65" s="11"/>
      <c r="AA65" s="11"/>
      <c r="AB65" s="11"/>
      <c r="AC65" s="11"/>
      <c r="AD65" s="11"/>
      <c r="AE65" s="25">
        <v>1</v>
      </c>
      <c r="AF65" s="25" t="s">
        <v>152</v>
      </c>
      <c r="AG65" s="11" t="s">
        <v>101</v>
      </c>
      <c r="AH65" s="11" t="s">
        <v>179</v>
      </c>
    </row>
    <row r="66" spans="1:34" x14ac:dyDescent="0.25">
      <c r="A66">
        <v>180589</v>
      </c>
      <c r="B66" t="s">
        <v>38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O66">
        <v>0</v>
      </c>
      <c r="P66">
        <v>0</v>
      </c>
      <c r="Q66">
        <v>0</v>
      </c>
      <c r="R66">
        <v>1</v>
      </c>
      <c r="S66">
        <v>0</v>
      </c>
      <c r="T66">
        <v>0</v>
      </c>
      <c r="U66">
        <v>0</v>
      </c>
      <c r="V66">
        <v>0</v>
      </c>
      <c r="X66" s="10"/>
      <c r="Y66" s="10"/>
      <c r="Z66" s="11"/>
      <c r="AA66" s="11"/>
      <c r="AB66" s="11"/>
      <c r="AC66" s="11"/>
      <c r="AD66" s="11"/>
      <c r="AE66" s="25">
        <v>1</v>
      </c>
      <c r="AF66" s="25" t="s">
        <v>152</v>
      </c>
      <c r="AG66" s="11" t="s">
        <v>101</v>
      </c>
      <c r="AH66" s="11" t="s">
        <v>175</v>
      </c>
    </row>
    <row r="67" spans="1:34" x14ac:dyDescent="0.25">
      <c r="A67">
        <v>189685</v>
      </c>
      <c r="B67" t="s">
        <v>38</v>
      </c>
      <c r="C67">
        <v>0</v>
      </c>
      <c r="D67">
        <v>0</v>
      </c>
      <c r="E67">
        <v>0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O67">
        <v>0</v>
      </c>
      <c r="P67">
        <v>0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X67" s="10"/>
      <c r="Y67" s="10"/>
      <c r="Z67" s="11"/>
      <c r="AA67" s="11"/>
      <c r="AB67" s="11"/>
      <c r="AC67" s="11"/>
      <c r="AD67" s="11"/>
      <c r="AE67" s="25">
        <v>2</v>
      </c>
      <c r="AF67" s="25" t="s">
        <v>152</v>
      </c>
      <c r="AG67" s="11" t="s">
        <v>184</v>
      </c>
      <c r="AH67" s="11" t="s">
        <v>178</v>
      </c>
    </row>
    <row r="68" spans="1:34" x14ac:dyDescent="0.25">
      <c r="A68">
        <v>185555</v>
      </c>
      <c r="B68" t="s">
        <v>38</v>
      </c>
      <c r="C68">
        <v>0</v>
      </c>
      <c r="D68">
        <v>0</v>
      </c>
      <c r="E68">
        <v>0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O68">
        <v>0</v>
      </c>
      <c r="P68">
        <v>0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X68" s="10"/>
      <c r="Y68" s="10"/>
      <c r="Z68" s="11"/>
      <c r="AA68" s="11"/>
      <c r="AB68" s="11"/>
      <c r="AC68" s="11"/>
      <c r="AD68" s="11"/>
      <c r="AE68" s="25">
        <v>2</v>
      </c>
      <c r="AF68" s="25" t="s">
        <v>152</v>
      </c>
      <c r="AG68" s="11" t="s">
        <v>167</v>
      </c>
      <c r="AH68" s="11" t="s">
        <v>175</v>
      </c>
    </row>
    <row r="69" spans="1:34" x14ac:dyDescent="0.25">
      <c r="A69">
        <v>146373</v>
      </c>
      <c r="B69" t="s">
        <v>30</v>
      </c>
      <c r="C69">
        <v>0</v>
      </c>
      <c r="D69">
        <v>0</v>
      </c>
      <c r="E69">
        <v>2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X69" s="10"/>
      <c r="Y69" s="10"/>
      <c r="Z69" s="11"/>
      <c r="AA69" s="11"/>
      <c r="AB69" s="11"/>
      <c r="AC69" s="11"/>
      <c r="AD69" s="11"/>
      <c r="AE69" s="25">
        <v>1</v>
      </c>
      <c r="AF69" s="25" t="s">
        <v>152</v>
      </c>
      <c r="AG69" s="11" t="s">
        <v>172</v>
      </c>
      <c r="AH69" s="11" t="s">
        <v>173</v>
      </c>
    </row>
    <row r="70" spans="1:34" x14ac:dyDescent="0.25">
      <c r="A70">
        <v>150273</v>
      </c>
      <c r="B70" t="s">
        <v>38</v>
      </c>
      <c r="C70">
        <v>0</v>
      </c>
      <c r="D70">
        <v>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 t="s">
        <v>51</v>
      </c>
      <c r="O70">
        <v>0</v>
      </c>
      <c r="P70">
        <v>0</v>
      </c>
      <c r="Q70">
        <v>0</v>
      </c>
      <c r="R70">
        <v>1</v>
      </c>
      <c r="S70">
        <v>0</v>
      </c>
      <c r="T70">
        <v>0</v>
      </c>
      <c r="U70">
        <v>0</v>
      </c>
      <c r="V70">
        <v>0</v>
      </c>
      <c r="X70" s="10"/>
      <c r="Y70" s="10"/>
      <c r="Z70" s="11"/>
      <c r="AA70" s="11"/>
      <c r="AB70" s="11"/>
      <c r="AC70" s="11"/>
      <c r="AD70" s="11"/>
      <c r="AE70" s="25">
        <v>2</v>
      </c>
      <c r="AF70" s="25" t="s">
        <v>152</v>
      </c>
      <c r="AG70" s="11" t="s">
        <v>101</v>
      </c>
      <c r="AH70" s="11" t="s">
        <v>186</v>
      </c>
    </row>
    <row r="71" spans="1:34" x14ac:dyDescent="0.25">
      <c r="A71">
        <v>185273</v>
      </c>
      <c r="B71" t="s">
        <v>38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2</v>
      </c>
      <c r="N71" t="s">
        <v>51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X71" s="10"/>
      <c r="Y71" s="10"/>
      <c r="Z71" s="11"/>
      <c r="AA71" s="11"/>
      <c r="AB71" s="11"/>
      <c r="AC71" s="11"/>
      <c r="AD71" s="11"/>
      <c r="AE71" s="25">
        <v>1</v>
      </c>
      <c r="AF71" s="25" t="s">
        <v>152</v>
      </c>
      <c r="AG71" s="11" t="s">
        <v>167</v>
      </c>
      <c r="AH71" s="11" t="s">
        <v>175</v>
      </c>
    </row>
    <row r="72" spans="1:34" x14ac:dyDescent="0.25">
      <c r="A72">
        <v>218664</v>
      </c>
      <c r="B72" t="s">
        <v>30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2</v>
      </c>
      <c r="L72">
        <v>0</v>
      </c>
      <c r="M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X72" s="10"/>
      <c r="Y72" s="10"/>
      <c r="Z72" s="11"/>
      <c r="AA72" s="11"/>
      <c r="AB72" s="11"/>
      <c r="AC72" s="11"/>
      <c r="AD72" s="11"/>
      <c r="AE72" s="25">
        <v>1</v>
      </c>
      <c r="AF72" s="25" t="s">
        <v>152</v>
      </c>
      <c r="AG72" s="11" t="s">
        <v>172</v>
      </c>
      <c r="AH72" s="11" t="s">
        <v>185</v>
      </c>
    </row>
    <row r="73" spans="1:34" x14ac:dyDescent="0.25">
      <c r="A73">
        <v>184794</v>
      </c>
      <c r="B73" t="s">
        <v>38</v>
      </c>
      <c r="C73">
        <v>0</v>
      </c>
      <c r="D73">
        <v>2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X73" s="10"/>
      <c r="Y73" s="10"/>
      <c r="Z73" s="11"/>
      <c r="AA73" s="11"/>
      <c r="AB73" s="11"/>
      <c r="AC73" s="11"/>
      <c r="AD73" s="11"/>
      <c r="AE73" s="25">
        <v>1</v>
      </c>
      <c r="AF73" s="25" t="s">
        <v>152</v>
      </c>
      <c r="AG73" s="11" t="s">
        <v>101</v>
      </c>
      <c r="AH73" s="11" t="s">
        <v>187</v>
      </c>
    </row>
    <row r="74" spans="1:34" x14ac:dyDescent="0.25">
      <c r="A74">
        <v>213918</v>
      </c>
      <c r="B74" t="s">
        <v>30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0</v>
      </c>
      <c r="M74">
        <v>2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X74" s="10"/>
      <c r="Y74" s="10"/>
      <c r="Z74" s="11"/>
      <c r="AA74" s="11"/>
      <c r="AB74" s="11"/>
      <c r="AC74" s="11"/>
      <c r="AD74" s="11"/>
      <c r="AE74" s="25">
        <v>2</v>
      </c>
      <c r="AF74" s="25" t="s">
        <v>152</v>
      </c>
      <c r="AG74" s="11" t="s">
        <v>176</v>
      </c>
      <c r="AH74" s="11" t="s">
        <v>177</v>
      </c>
    </row>
    <row r="75" spans="1:34" x14ac:dyDescent="0.25">
      <c r="A75">
        <v>130080</v>
      </c>
      <c r="B75" t="s">
        <v>30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2</v>
      </c>
      <c r="J75">
        <v>0</v>
      </c>
      <c r="K75">
        <v>0</v>
      </c>
      <c r="L75">
        <v>0</v>
      </c>
      <c r="M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X75" s="10"/>
      <c r="Y75" s="10"/>
      <c r="Z75" s="11"/>
      <c r="AA75" s="11"/>
      <c r="AB75" s="11"/>
      <c r="AC75" s="11"/>
      <c r="AD75" s="11"/>
      <c r="AE75" s="25">
        <v>1</v>
      </c>
      <c r="AF75" s="25" t="s">
        <v>152</v>
      </c>
      <c r="AG75" s="11" t="s">
        <v>101</v>
      </c>
      <c r="AH75" s="11" t="s">
        <v>183</v>
      </c>
    </row>
    <row r="76" spans="1:34" x14ac:dyDescent="0.25">
      <c r="A76">
        <v>177699</v>
      </c>
      <c r="B76" t="s">
        <v>30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3</v>
      </c>
      <c r="J76">
        <v>0</v>
      </c>
      <c r="K76">
        <v>0</v>
      </c>
      <c r="L76">
        <v>0</v>
      </c>
      <c r="M76">
        <v>0</v>
      </c>
      <c r="O76">
        <v>0</v>
      </c>
      <c r="P76">
        <v>0</v>
      </c>
      <c r="Q76">
        <v>0</v>
      </c>
      <c r="R76">
        <v>1</v>
      </c>
      <c r="S76">
        <v>0</v>
      </c>
      <c r="T76">
        <v>0</v>
      </c>
      <c r="U76">
        <v>0</v>
      </c>
      <c r="V76">
        <v>0</v>
      </c>
      <c r="X76" s="10"/>
      <c r="Y76" s="10"/>
      <c r="Z76" s="11"/>
      <c r="AA76" s="11"/>
      <c r="AB76" s="11"/>
      <c r="AC76" s="11"/>
      <c r="AD76" s="11"/>
      <c r="AE76" s="25">
        <v>2</v>
      </c>
      <c r="AF76" s="25" t="s">
        <v>152</v>
      </c>
      <c r="AG76" s="11" t="s">
        <v>167</v>
      </c>
      <c r="AH76" s="11" t="s">
        <v>106</v>
      </c>
    </row>
    <row r="77" spans="1:34" x14ac:dyDescent="0.25">
      <c r="A77">
        <v>138473</v>
      </c>
      <c r="B77" t="s">
        <v>30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2</v>
      </c>
      <c r="O77">
        <v>0</v>
      </c>
      <c r="P77">
        <v>0</v>
      </c>
      <c r="Q77">
        <v>0</v>
      </c>
      <c r="R77">
        <v>1</v>
      </c>
      <c r="S77">
        <v>0</v>
      </c>
      <c r="T77">
        <v>0</v>
      </c>
      <c r="U77">
        <v>0</v>
      </c>
      <c r="V77">
        <v>0</v>
      </c>
      <c r="X77" s="10"/>
      <c r="Y77" s="10"/>
      <c r="Z77" s="11"/>
      <c r="AA77" s="11"/>
      <c r="AB77" s="11"/>
      <c r="AC77" s="11"/>
      <c r="AD77" s="11"/>
      <c r="AE77" s="25">
        <v>3</v>
      </c>
      <c r="AF77" s="25" t="s">
        <v>152</v>
      </c>
      <c r="AG77" s="11" t="s">
        <v>172</v>
      </c>
      <c r="AH77" s="11" t="s">
        <v>189</v>
      </c>
    </row>
    <row r="78" spans="1:34" x14ac:dyDescent="0.25">
      <c r="A78" s="34">
        <v>215208</v>
      </c>
      <c r="B78" s="34" t="s">
        <v>30</v>
      </c>
      <c r="C78" s="34">
        <v>0</v>
      </c>
      <c r="D78" s="34">
        <v>0</v>
      </c>
      <c r="E78" s="34">
        <v>0</v>
      </c>
      <c r="F78" s="34">
        <v>0</v>
      </c>
      <c r="G78" s="34">
        <v>0</v>
      </c>
      <c r="H78" s="34">
        <v>0</v>
      </c>
      <c r="I78" s="34">
        <v>0</v>
      </c>
      <c r="J78" s="34">
        <v>0</v>
      </c>
      <c r="K78" s="34">
        <v>0</v>
      </c>
      <c r="L78" s="34">
        <v>0</v>
      </c>
      <c r="M78" s="34">
        <v>0</v>
      </c>
      <c r="N78" s="34"/>
      <c r="O78" s="34">
        <v>0</v>
      </c>
      <c r="P78" s="34">
        <v>0</v>
      </c>
      <c r="Q78" s="34">
        <v>0</v>
      </c>
      <c r="R78" s="34">
        <v>2</v>
      </c>
      <c r="S78" s="34">
        <v>0</v>
      </c>
      <c r="T78" s="34">
        <v>0</v>
      </c>
      <c r="U78" s="34">
        <v>0</v>
      </c>
      <c r="V78" s="34">
        <v>0</v>
      </c>
      <c r="W78" s="34"/>
      <c r="X78" s="43"/>
      <c r="Y78" s="43"/>
      <c r="Z78" s="40"/>
      <c r="AA78" s="40"/>
      <c r="AB78" s="40"/>
      <c r="AC78" s="40"/>
      <c r="AD78" s="40"/>
      <c r="AE78" s="41">
        <v>1</v>
      </c>
      <c r="AF78" s="41" t="s">
        <v>152</v>
      </c>
      <c r="AG78" s="40" t="s">
        <v>172</v>
      </c>
      <c r="AH78" s="40" t="s">
        <v>173</v>
      </c>
    </row>
    <row r="79" spans="1:34" x14ac:dyDescent="0.25">
      <c r="A79">
        <v>222184</v>
      </c>
      <c r="B79" t="s">
        <v>53</v>
      </c>
      <c r="C79">
        <v>0</v>
      </c>
      <c r="D79">
        <v>0</v>
      </c>
      <c r="E79">
        <v>2</v>
      </c>
      <c r="F79">
        <v>2</v>
      </c>
      <c r="G79">
        <v>1</v>
      </c>
      <c r="H79">
        <v>2</v>
      </c>
      <c r="I79">
        <v>3</v>
      </c>
      <c r="J79">
        <v>0</v>
      </c>
      <c r="K79">
        <v>2</v>
      </c>
      <c r="L79">
        <v>2</v>
      </c>
      <c r="M79">
        <v>2</v>
      </c>
      <c r="O79">
        <v>0</v>
      </c>
      <c r="P79">
        <v>0</v>
      </c>
      <c r="Q79">
        <v>0</v>
      </c>
      <c r="R79">
        <v>3</v>
      </c>
      <c r="S79">
        <v>0</v>
      </c>
      <c r="T79">
        <v>2</v>
      </c>
      <c r="U79">
        <v>2</v>
      </c>
      <c r="V79">
        <v>0</v>
      </c>
      <c r="W79" t="s">
        <v>26</v>
      </c>
      <c r="X79" s="10"/>
      <c r="Y79" s="10">
        <v>43319</v>
      </c>
      <c r="Z79" s="11"/>
      <c r="AA79" s="11"/>
      <c r="AB79" s="11"/>
      <c r="AC79" s="11"/>
      <c r="AD79" s="11"/>
      <c r="AE79" s="25">
        <v>11</v>
      </c>
      <c r="AF79" s="25" t="s">
        <v>153</v>
      </c>
      <c r="AG79" s="11" t="s">
        <v>55</v>
      </c>
      <c r="AH79" s="11" t="s">
        <v>54</v>
      </c>
    </row>
    <row r="80" spans="1:34" x14ac:dyDescent="0.25">
      <c r="A80">
        <v>170324</v>
      </c>
      <c r="B80" t="s">
        <v>53</v>
      </c>
      <c r="C80">
        <v>0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O80">
        <v>0</v>
      </c>
      <c r="P80">
        <v>0</v>
      </c>
      <c r="Q80">
        <v>0</v>
      </c>
      <c r="R80">
        <v>2</v>
      </c>
      <c r="S80">
        <v>0</v>
      </c>
      <c r="T80">
        <v>0</v>
      </c>
      <c r="U80">
        <v>0</v>
      </c>
      <c r="V80">
        <v>0</v>
      </c>
      <c r="W80" t="s">
        <v>26</v>
      </c>
      <c r="X80" s="10"/>
      <c r="Y80" s="10">
        <v>43319</v>
      </c>
      <c r="Z80" s="11"/>
      <c r="AA80" s="11"/>
      <c r="AB80" s="11"/>
      <c r="AC80" s="11"/>
      <c r="AD80" s="11"/>
      <c r="AE80" s="25">
        <v>2</v>
      </c>
      <c r="AF80" s="25" t="s">
        <v>153</v>
      </c>
      <c r="AG80" s="11" t="s">
        <v>58</v>
      </c>
      <c r="AH80" s="11" t="s">
        <v>57</v>
      </c>
    </row>
    <row r="81" spans="1:34" x14ac:dyDescent="0.25">
      <c r="A81">
        <v>267366</v>
      </c>
      <c r="B81" t="s">
        <v>53</v>
      </c>
      <c r="C81">
        <v>0</v>
      </c>
      <c r="D81">
        <v>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 t="s">
        <v>26</v>
      </c>
      <c r="X81" s="10"/>
      <c r="Y81" s="10">
        <v>43319</v>
      </c>
      <c r="Z81" s="11"/>
      <c r="AA81" s="11"/>
      <c r="AB81" s="11"/>
      <c r="AC81" s="11"/>
      <c r="AD81" s="11"/>
      <c r="AE81" s="25">
        <v>1</v>
      </c>
      <c r="AF81" s="25" t="s">
        <v>153</v>
      </c>
      <c r="AG81" s="11" t="s">
        <v>60</v>
      </c>
      <c r="AH81" s="11" t="s">
        <v>60</v>
      </c>
    </row>
    <row r="82" spans="1:34" x14ac:dyDescent="0.25">
      <c r="A82">
        <v>215560</v>
      </c>
      <c r="B82" t="s">
        <v>53</v>
      </c>
      <c r="C82">
        <v>0</v>
      </c>
      <c r="D82">
        <v>2</v>
      </c>
      <c r="E82">
        <v>0</v>
      </c>
      <c r="F82">
        <v>0</v>
      </c>
      <c r="G82">
        <v>0</v>
      </c>
      <c r="H82">
        <v>0</v>
      </c>
      <c r="I82">
        <v>0</v>
      </c>
      <c r="J82">
        <v>2</v>
      </c>
      <c r="K82">
        <v>2</v>
      </c>
      <c r="L82">
        <v>0</v>
      </c>
      <c r="M82">
        <v>0</v>
      </c>
      <c r="O82">
        <v>0</v>
      </c>
      <c r="P82">
        <v>0</v>
      </c>
      <c r="Q82">
        <v>0</v>
      </c>
      <c r="R82">
        <v>1</v>
      </c>
      <c r="S82">
        <v>0</v>
      </c>
      <c r="T82">
        <v>0</v>
      </c>
      <c r="U82">
        <v>0</v>
      </c>
      <c r="V82">
        <v>2</v>
      </c>
      <c r="W82" t="s">
        <v>26</v>
      </c>
      <c r="X82" s="10"/>
      <c r="Y82" s="10">
        <v>43319</v>
      </c>
      <c r="Z82" s="11"/>
      <c r="AA82" s="11"/>
      <c r="AB82" s="11"/>
      <c r="AC82" s="11"/>
      <c r="AD82" s="11"/>
      <c r="AE82" s="25">
        <v>5</v>
      </c>
      <c r="AF82" s="25" t="s">
        <v>153</v>
      </c>
      <c r="AG82" s="11" t="s">
        <v>55</v>
      </c>
      <c r="AH82" s="11" t="s">
        <v>61</v>
      </c>
    </row>
    <row r="83" spans="1:34" x14ac:dyDescent="0.25">
      <c r="A83">
        <v>267317</v>
      </c>
      <c r="B83" t="s">
        <v>53</v>
      </c>
      <c r="C83">
        <v>0</v>
      </c>
      <c r="D83">
        <v>1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O83">
        <v>0</v>
      </c>
      <c r="P83">
        <v>0</v>
      </c>
      <c r="Q83">
        <v>0</v>
      </c>
      <c r="R83">
        <v>2</v>
      </c>
      <c r="S83">
        <v>0</v>
      </c>
      <c r="T83">
        <v>0</v>
      </c>
      <c r="U83">
        <v>0</v>
      </c>
      <c r="V83">
        <v>0</v>
      </c>
      <c r="W83" t="s">
        <v>26</v>
      </c>
      <c r="X83" s="10"/>
      <c r="Y83" s="10">
        <v>43320</v>
      </c>
      <c r="Z83" s="11"/>
      <c r="AA83" s="11"/>
      <c r="AB83" s="11"/>
      <c r="AC83" s="11"/>
      <c r="AD83" s="11"/>
      <c r="AE83" s="25">
        <v>2</v>
      </c>
      <c r="AF83" s="25" t="s">
        <v>153</v>
      </c>
      <c r="AG83" s="11" t="s">
        <v>60</v>
      </c>
      <c r="AH83" s="11" t="s">
        <v>60</v>
      </c>
    </row>
    <row r="84" spans="1:34" x14ac:dyDescent="0.25">
      <c r="A84">
        <v>193732</v>
      </c>
      <c r="B84" t="s">
        <v>53</v>
      </c>
      <c r="C84">
        <v>0</v>
      </c>
      <c r="D84">
        <v>0</v>
      </c>
      <c r="E84">
        <v>0</v>
      </c>
      <c r="F84">
        <v>1</v>
      </c>
      <c r="G84">
        <v>1</v>
      </c>
      <c r="H84">
        <v>0</v>
      </c>
      <c r="I84">
        <v>0</v>
      </c>
      <c r="J84">
        <v>0</v>
      </c>
      <c r="K84">
        <v>3</v>
      </c>
      <c r="L84">
        <v>0</v>
      </c>
      <c r="M84">
        <v>0</v>
      </c>
      <c r="O84">
        <v>0</v>
      </c>
      <c r="P84">
        <v>0</v>
      </c>
      <c r="Q84">
        <v>0</v>
      </c>
      <c r="R84">
        <v>2</v>
      </c>
      <c r="S84">
        <v>0</v>
      </c>
      <c r="T84">
        <v>0</v>
      </c>
      <c r="U84">
        <v>0</v>
      </c>
      <c r="V84">
        <v>0</v>
      </c>
      <c r="W84" t="s">
        <v>26</v>
      </c>
      <c r="X84" s="10"/>
      <c r="Y84" s="10">
        <v>43320</v>
      </c>
      <c r="Z84" s="11"/>
      <c r="AA84" s="11"/>
      <c r="AB84" s="11"/>
      <c r="AC84" s="11"/>
      <c r="AD84" s="11"/>
      <c r="AE84" s="25">
        <v>4</v>
      </c>
      <c r="AF84" s="25" t="s">
        <v>153</v>
      </c>
      <c r="AG84" s="11" t="s">
        <v>60</v>
      </c>
      <c r="AH84" s="11" t="s">
        <v>62</v>
      </c>
    </row>
    <row r="85" spans="1:34" x14ac:dyDescent="0.25">
      <c r="A85">
        <v>218716</v>
      </c>
      <c r="B85" t="s">
        <v>53</v>
      </c>
      <c r="C85">
        <v>0</v>
      </c>
      <c r="D85">
        <v>0</v>
      </c>
      <c r="E85">
        <v>0</v>
      </c>
      <c r="F85">
        <v>2</v>
      </c>
      <c r="G85">
        <v>1</v>
      </c>
      <c r="H85">
        <v>2</v>
      </c>
      <c r="I85">
        <v>0</v>
      </c>
      <c r="J85">
        <v>0</v>
      </c>
      <c r="K85">
        <v>3</v>
      </c>
      <c r="L85">
        <v>0</v>
      </c>
      <c r="M85">
        <v>0</v>
      </c>
      <c r="O85">
        <v>0</v>
      </c>
      <c r="P85">
        <v>0</v>
      </c>
      <c r="Q85">
        <v>0</v>
      </c>
      <c r="R85">
        <v>3</v>
      </c>
      <c r="S85">
        <v>0</v>
      </c>
      <c r="T85">
        <v>0</v>
      </c>
      <c r="U85">
        <v>0</v>
      </c>
      <c r="V85">
        <v>2</v>
      </c>
      <c r="W85" t="s">
        <v>26</v>
      </c>
      <c r="X85" s="10"/>
      <c r="Y85" s="10">
        <v>43320</v>
      </c>
      <c r="Z85" s="11"/>
      <c r="AA85" s="11"/>
      <c r="AB85" s="11"/>
      <c r="AC85" s="11"/>
      <c r="AD85" s="11"/>
      <c r="AE85" s="25">
        <v>6</v>
      </c>
      <c r="AF85" s="25" t="s">
        <v>153</v>
      </c>
      <c r="AG85" s="11" t="s">
        <v>55</v>
      </c>
      <c r="AH85" s="11" t="s">
        <v>63</v>
      </c>
    </row>
    <row r="86" spans="1:34" x14ac:dyDescent="0.25">
      <c r="A86">
        <v>267778</v>
      </c>
      <c r="B86" t="s">
        <v>53</v>
      </c>
      <c r="C86">
        <v>0</v>
      </c>
      <c r="D86">
        <v>0</v>
      </c>
      <c r="E86">
        <v>0</v>
      </c>
      <c r="F86">
        <v>2</v>
      </c>
      <c r="G86">
        <v>0</v>
      </c>
      <c r="H86">
        <v>0</v>
      </c>
      <c r="I86">
        <v>0</v>
      </c>
      <c r="J86">
        <v>1</v>
      </c>
      <c r="K86">
        <v>1</v>
      </c>
      <c r="L86">
        <v>0</v>
      </c>
      <c r="M86">
        <v>2</v>
      </c>
      <c r="O86">
        <v>1</v>
      </c>
      <c r="P86">
        <v>0</v>
      </c>
      <c r="Q86">
        <v>0</v>
      </c>
      <c r="R86">
        <v>1</v>
      </c>
      <c r="S86">
        <v>0</v>
      </c>
      <c r="T86">
        <v>0</v>
      </c>
      <c r="U86">
        <v>0</v>
      </c>
      <c r="V86">
        <v>0</v>
      </c>
      <c r="W86" t="s">
        <v>26</v>
      </c>
      <c r="X86" s="10"/>
      <c r="Y86" s="10">
        <v>43320</v>
      </c>
      <c r="Z86" s="11"/>
      <c r="AA86" s="11"/>
      <c r="AB86" s="11"/>
      <c r="AC86" s="11"/>
      <c r="AD86" s="11"/>
      <c r="AE86" s="25">
        <v>6</v>
      </c>
      <c r="AF86" s="25" t="s">
        <v>153</v>
      </c>
      <c r="AG86" s="11" t="s">
        <v>58</v>
      </c>
      <c r="AH86" s="11" t="s">
        <v>64</v>
      </c>
    </row>
    <row r="87" spans="1:34" x14ac:dyDescent="0.25">
      <c r="A87">
        <v>130009</v>
      </c>
      <c r="B87" t="s">
        <v>53</v>
      </c>
      <c r="C87">
        <v>0</v>
      </c>
      <c r="D87">
        <v>0</v>
      </c>
      <c r="E87">
        <v>0</v>
      </c>
      <c r="F87">
        <v>0</v>
      </c>
      <c r="G87">
        <v>0</v>
      </c>
      <c r="H87">
        <v>2</v>
      </c>
      <c r="I87">
        <v>3</v>
      </c>
      <c r="J87">
        <v>2</v>
      </c>
      <c r="K87">
        <v>1</v>
      </c>
      <c r="L87">
        <v>0</v>
      </c>
      <c r="M87">
        <v>0</v>
      </c>
      <c r="O87">
        <v>0</v>
      </c>
      <c r="P87">
        <v>0</v>
      </c>
      <c r="Q87">
        <v>0</v>
      </c>
      <c r="R87">
        <v>1</v>
      </c>
      <c r="S87">
        <v>2</v>
      </c>
      <c r="T87">
        <v>0</v>
      </c>
      <c r="U87">
        <v>0</v>
      </c>
      <c r="V87">
        <v>0</v>
      </c>
      <c r="W87" t="s">
        <v>26</v>
      </c>
      <c r="X87" s="10"/>
      <c r="Y87" s="10">
        <v>43320</v>
      </c>
      <c r="Z87" s="11"/>
      <c r="AA87" s="11"/>
      <c r="AB87" s="11"/>
      <c r="AC87" s="11"/>
      <c r="AD87" s="11"/>
      <c r="AE87" s="25">
        <v>6</v>
      </c>
      <c r="AF87" s="25" t="s">
        <v>153</v>
      </c>
      <c r="AG87" s="11" t="s">
        <v>58</v>
      </c>
      <c r="AH87" s="11" t="s">
        <v>65</v>
      </c>
    </row>
    <row r="88" spans="1:34" x14ac:dyDescent="0.25">
      <c r="A88">
        <v>221259</v>
      </c>
      <c r="B88" t="s">
        <v>23</v>
      </c>
      <c r="C88">
        <v>0</v>
      </c>
      <c r="D88">
        <v>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 t="s">
        <v>26</v>
      </c>
      <c r="X88" s="10"/>
      <c r="Y88" s="10">
        <v>43320</v>
      </c>
      <c r="Z88" s="11"/>
      <c r="AA88" s="11"/>
      <c r="AB88" s="11"/>
      <c r="AC88" s="11"/>
      <c r="AD88" s="11"/>
      <c r="AE88" s="25">
        <v>1</v>
      </c>
      <c r="AF88" s="25" t="s">
        <v>153</v>
      </c>
      <c r="AG88" s="11" t="s">
        <v>67</v>
      </c>
      <c r="AH88" s="11" t="s">
        <v>66</v>
      </c>
    </row>
    <row r="89" spans="1:34" x14ac:dyDescent="0.25">
      <c r="A89">
        <v>180207</v>
      </c>
      <c r="B89" t="s">
        <v>23</v>
      </c>
      <c r="C89">
        <v>0</v>
      </c>
      <c r="D89">
        <v>0</v>
      </c>
      <c r="E89">
        <v>2</v>
      </c>
      <c r="F89">
        <v>2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 t="s">
        <v>26</v>
      </c>
      <c r="X89" s="10"/>
      <c r="Y89" s="10">
        <v>43320</v>
      </c>
      <c r="Z89" s="11"/>
      <c r="AA89" s="11"/>
      <c r="AB89" s="11"/>
      <c r="AC89" s="11"/>
      <c r="AD89" s="11"/>
      <c r="AE89" s="25">
        <v>2</v>
      </c>
      <c r="AF89" s="25" t="s">
        <v>153</v>
      </c>
      <c r="AG89" s="11" t="s">
        <v>67</v>
      </c>
      <c r="AH89" s="11" t="s">
        <v>68</v>
      </c>
    </row>
    <row r="90" spans="1:34" x14ac:dyDescent="0.25">
      <c r="A90">
        <v>226162</v>
      </c>
      <c r="B90" t="s">
        <v>53</v>
      </c>
      <c r="C90">
        <v>0</v>
      </c>
      <c r="D90">
        <v>0</v>
      </c>
      <c r="E90">
        <v>0</v>
      </c>
      <c r="F90">
        <v>0</v>
      </c>
      <c r="G90">
        <v>1</v>
      </c>
      <c r="H90">
        <v>0</v>
      </c>
      <c r="I90">
        <v>3</v>
      </c>
      <c r="J90">
        <v>0</v>
      </c>
      <c r="K90">
        <v>1</v>
      </c>
      <c r="L90">
        <v>0</v>
      </c>
      <c r="M90">
        <v>0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0</v>
      </c>
      <c r="V90">
        <v>2</v>
      </c>
      <c r="W90" t="s">
        <v>26</v>
      </c>
      <c r="X90" s="10"/>
      <c r="Y90" s="10">
        <v>43321</v>
      </c>
      <c r="Z90" s="11"/>
      <c r="AA90" s="11"/>
      <c r="AB90" s="11"/>
      <c r="AC90" s="11"/>
      <c r="AD90" s="11"/>
      <c r="AE90" s="25">
        <v>5</v>
      </c>
      <c r="AF90" s="25" t="s">
        <v>153</v>
      </c>
      <c r="AG90" s="11" t="s">
        <v>55</v>
      </c>
      <c r="AH90" s="11" t="s">
        <v>69</v>
      </c>
    </row>
    <row r="91" spans="1:34" x14ac:dyDescent="0.25">
      <c r="A91">
        <v>232632</v>
      </c>
      <c r="B91" t="s">
        <v>53</v>
      </c>
      <c r="C91">
        <v>0</v>
      </c>
      <c r="D91">
        <v>2</v>
      </c>
      <c r="E91">
        <v>0</v>
      </c>
      <c r="F91">
        <v>2</v>
      </c>
      <c r="G91">
        <v>0</v>
      </c>
      <c r="H91">
        <v>2</v>
      </c>
      <c r="I91">
        <v>0</v>
      </c>
      <c r="J91">
        <v>0</v>
      </c>
      <c r="K91">
        <v>2</v>
      </c>
      <c r="L91">
        <v>0</v>
      </c>
      <c r="M91">
        <v>0</v>
      </c>
      <c r="O91">
        <v>2</v>
      </c>
      <c r="P91">
        <v>0</v>
      </c>
      <c r="Q91">
        <v>0</v>
      </c>
      <c r="R91">
        <v>3</v>
      </c>
      <c r="S91">
        <v>0</v>
      </c>
      <c r="T91">
        <v>0</v>
      </c>
      <c r="U91">
        <v>0</v>
      </c>
      <c r="V91">
        <v>2</v>
      </c>
      <c r="W91" t="s">
        <v>26</v>
      </c>
      <c r="X91" s="10"/>
      <c r="Y91" s="10">
        <v>43321</v>
      </c>
      <c r="Z91" s="11"/>
      <c r="AA91" s="11"/>
      <c r="AB91" s="11"/>
      <c r="AC91" s="11"/>
      <c r="AD91" s="11"/>
      <c r="AE91" s="25">
        <v>7</v>
      </c>
      <c r="AF91" s="25" t="s">
        <v>153</v>
      </c>
      <c r="AG91" s="11" t="s">
        <v>60</v>
      </c>
      <c r="AH91" s="11" t="s">
        <v>68</v>
      </c>
    </row>
    <row r="92" spans="1:34" x14ac:dyDescent="0.25">
      <c r="A92">
        <v>195768</v>
      </c>
      <c r="B92" t="s">
        <v>53</v>
      </c>
      <c r="C92">
        <v>0</v>
      </c>
      <c r="D92">
        <v>0</v>
      </c>
      <c r="E92">
        <v>0</v>
      </c>
      <c r="F92">
        <v>2</v>
      </c>
      <c r="G92">
        <v>0</v>
      </c>
      <c r="H92">
        <v>0</v>
      </c>
      <c r="I92">
        <v>0</v>
      </c>
      <c r="J92">
        <v>0</v>
      </c>
      <c r="K92">
        <v>0</v>
      </c>
      <c r="L92">
        <v>2</v>
      </c>
      <c r="M92">
        <v>2</v>
      </c>
      <c r="O92">
        <v>0</v>
      </c>
      <c r="P92">
        <v>0</v>
      </c>
      <c r="Q92">
        <v>0</v>
      </c>
      <c r="R92">
        <v>3</v>
      </c>
      <c r="S92">
        <v>0</v>
      </c>
      <c r="T92">
        <v>0</v>
      </c>
      <c r="U92">
        <v>0</v>
      </c>
      <c r="V92">
        <v>0</v>
      </c>
      <c r="W92" t="s">
        <v>26</v>
      </c>
      <c r="X92" s="10"/>
      <c r="Y92" s="10">
        <v>43321</v>
      </c>
      <c r="Z92" s="11"/>
      <c r="AA92" s="11"/>
      <c r="AB92" s="11"/>
      <c r="AC92" s="11"/>
      <c r="AD92" s="11"/>
      <c r="AE92" s="25">
        <v>4</v>
      </c>
      <c r="AF92" s="25" t="s">
        <v>153</v>
      </c>
      <c r="AG92" s="11" t="s">
        <v>60</v>
      </c>
      <c r="AH92" s="11" t="s">
        <v>70</v>
      </c>
    </row>
    <row r="93" spans="1:34" x14ac:dyDescent="0.25">
      <c r="A93">
        <v>205366</v>
      </c>
      <c r="B93" t="s">
        <v>53</v>
      </c>
      <c r="C93">
        <v>0</v>
      </c>
      <c r="D93">
        <v>1</v>
      </c>
      <c r="E93">
        <v>0</v>
      </c>
      <c r="F93">
        <v>2</v>
      </c>
      <c r="G93">
        <v>0</v>
      </c>
      <c r="H93">
        <v>2</v>
      </c>
      <c r="I93">
        <v>0</v>
      </c>
      <c r="J93">
        <v>2</v>
      </c>
      <c r="K93">
        <v>3</v>
      </c>
      <c r="L93">
        <v>0</v>
      </c>
      <c r="M93">
        <v>0</v>
      </c>
      <c r="O93">
        <v>0</v>
      </c>
      <c r="P93">
        <v>0</v>
      </c>
      <c r="Q93">
        <v>0</v>
      </c>
      <c r="R93">
        <v>2</v>
      </c>
      <c r="S93">
        <v>0</v>
      </c>
      <c r="T93">
        <v>0</v>
      </c>
      <c r="U93">
        <v>0</v>
      </c>
      <c r="V93">
        <v>0</v>
      </c>
      <c r="W93" t="s">
        <v>26</v>
      </c>
      <c r="X93" s="10"/>
      <c r="Y93" s="10">
        <v>43321</v>
      </c>
      <c r="Z93" s="11"/>
      <c r="AA93" s="11"/>
      <c r="AB93" s="11"/>
      <c r="AC93" s="11"/>
      <c r="AD93" s="11"/>
      <c r="AE93" s="25">
        <v>6</v>
      </c>
      <c r="AF93" s="25" t="s">
        <v>153</v>
      </c>
      <c r="AG93" s="11" t="s">
        <v>58</v>
      </c>
      <c r="AH93" s="11" t="s">
        <v>66</v>
      </c>
    </row>
    <row r="94" spans="1:34" x14ac:dyDescent="0.25">
      <c r="A94">
        <v>226591</v>
      </c>
      <c r="B94" t="s">
        <v>23</v>
      </c>
      <c r="C94">
        <v>0</v>
      </c>
      <c r="D94">
        <v>1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3</v>
      </c>
      <c r="L94">
        <v>0</v>
      </c>
      <c r="M94">
        <v>0</v>
      </c>
      <c r="O94">
        <v>0</v>
      </c>
      <c r="P94">
        <v>0</v>
      </c>
      <c r="Q94">
        <v>0</v>
      </c>
      <c r="R94">
        <v>1</v>
      </c>
      <c r="S94">
        <v>0</v>
      </c>
      <c r="T94">
        <v>0</v>
      </c>
      <c r="U94">
        <v>0</v>
      </c>
      <c r="V94">
        <v>0</v>
      </c>
      <c r="W94" t="s">
        <v>26</v>
      </c>
      <c r="X94" s="10"/>
      <c r="Y94" s="10">
        <v>43321</v>
      </c>
      <c r="Z94" s="11"/>
      <c r="AA94" s="11"/>
      <c r="AB94" s="11"/>
      <c r="AC94" s="11"/>
      <c r="AD94" s="11"/>
      <c r="AE94" s="25">
        <v>3</v>
      </c>
      <c r="AF94" s="25" t="s">
        <v>153</v>
      </c>
      <c r="AG94" s="11" t="s">
        <v>72</v>
      </c>
      <c r="AH94" s="11" t="s">
        <v>71</v>
      </c>
    </row>
    <row r="95" spans="1:34" x14ac:dyDescent="0.25">
      <c r="A95">
        <v>216466</v>
      </c>
      <c r="B95" t="s">
        <v>23</v>
      </c>
      <c r="C95">
        <v>0</v>
      </c>
      <c r="D95">
        <v>0</v>
      </c>
      <c r="E95">
        <v>0</v>
      </c>
      <c r="F95">
        <v>2</v>
      </c>
      <c r="G95">
        <v>1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O95">
        <v>0</v>
      </c>
      <c r="P95">
        <v>0</v>
      </c>
      <c r="Q95">
        <v>0</v>
      </c>
      <c r="R95">
        <v>2</v>
      </c>
      <c r="S95">
        <v>0</v>
      </c>
      <c r="T95">
        <v>0</v>
      </c>
      <c r="U95">
        <v>0</v>
      </c>
      <c r="V95">
        <v>0</v>
      </c>
      <c r="W95" t="s">
        <v>26</v>
      </c>
      <c r="X95" s="10"/>
      <c r="Y95" s="10">
        <v>43321</v>
      </c>
      <c r="Z95" s="11"/>
      <c r="AA95" s="11"/>
      <c r="AB95" s="11"/>
      <c r="AC95" s="11"/>
      <c r="AD95" s="11"/>
      <c r="AE95" s="25">
        <v>4</v>
      </c>
      <c r="AF95" s="25" t="s">
        <v>153</v>
      </c>
      <c r="AG95" s="11" t="s">
        <v>72</v>
      </c>
      <c r="AH95" s="11" t="s">
        <v>61</v>
      </c>
    </row>
    <row r="96" spans="1:34" x14ac:dyDescent="0.25">
      <c r="A96">
        <v>220574</v>
      </c>
      <c r="B96" t="s">
        <v>23</v>
      </c>
      <c r="C96">
        <v>0</v>
      </c>
      <c r="D96">
        <v>2</v>
      </c>
      <c r="E96">
        <v>0</v>
      </c>
      <c r="F96">
        <v>2</v>
      </c>
      <c r="G96">
        <v>0</v>
      </c>
      <c r="H96">
        <v>0</v>
      </c>
      <c r="I96">
        <v>3</v>
      </c>
      <c r="J96">
        <v>0</v>
      </c>
      <c r="K96">
        <v>3</v>
      </c>
      <c r="L96">
        <v>2</v>
      </c>
      <c r="M96">
        <v>0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0</v>
      </c>
      <c r="V96">
        <v>0</v>
      </c>
      <c r="W96" t="s">
        <v>26</v>
      </c>
      <c r="X96" s="10"/>
      <c r="Y96" s="10">
        <v>43321</v>
      </c>
      <c r="Z96" s="11"/>
      <c r="AA96" s="11"/>
      <c r="AB96" s="11"/>
      <c r="AC96" s="11"/>
      <c r="AD96" s="11"/>
      <c r="AE96" s="25">
        <v>6</v>
      </c>
      <c r="AF96" s="25" t="s">
        <v>153</v>
      </c>
      <c r="AG96" s="11" t="s">
        <v>72</v>
      </c>
      <c r="AH96" s="11" t="s">
        <v>61</v>
      </c>
    </row>
    <row r="97" spans="1:34" x14ac:dyDescent="0.25">
      <c r="A97">
        <v>229959</v>
      </c>
      <c r="B97" t="s">
        <v>23</v>
      </c>
      <c r="C97">
        <v>0</v>
      </c>
      <c r="D97">
        <v>0</v>
      </c>
      <c r="E97">
        <v>2</v>
      </c>
      <c r="F97">
        <v>2</v>
      </c>
      <c r="G97">
        <v>0</v>
      </c>
      <c r="H97">
        <v>0</v>
      </c>
      <c r="I97">
        <v>0</v>
      </c>
      <c r="J97">
        <v>0</v>
      </c>
      <c r="K97">
        <v>3</v>
      </c>
      <c r="L97">
        <v>2</v>
      </c>
      <c r="M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 t="s">
        <v>26</v>
      </c>
      <c r="X97" s="10"/>
      <c r="Y97" s="10">
        <v>43321</v>
      </c>
      <c r="Z97" s="11"/>
      <c r="AA97" s="11"/>
      <c r="AB97" s="11"/>
      <c r="AC97" s="11"/>
      <c r="AD97" s="11"/>
      <c r="AE97" s="25">
        <v>4</v>
      </c>
      <c r="AF97" s="25" t="s">
        <v>153</v>
      </c>
      <c r="AG97" s="11" t="s">
        <v>67</v>
      </c>
      <c r="AH97" s="11" t="s">
        <v>73</v>
      </c>
    </row>
    <row r="98" spans="1:34" x14ac:dyDescent="0.25">
      <c r="A98">
        <v>138333</v>
      </c>
      <c r="B98" t="s">
        <v>23</v>
      </c>
      <c r="C98">
        <v>0</v>
      </c>
      <c r="D98">
        <v>1</v>
      </c>
      <c r="E98">
        <v>2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 t="s">
        <v>56</v>
      </c>
      <c r="X98" s="10"/>
      <c r="Y98" s="10">
        <v>43322</v>
      </c>
      <c r="Z98" s="11"/>
      <c r="AA98" s="11"/>
      <c r="AB98" s="11"/>
      <c r="AC98" s="11"/>
      <c r="AD98" s="11"/>
      <c r="AE98" s="25">
        <v>3</v>
      </c>
      <c r="AF98" s="25" t="s">
        <v>153</v>
      </c>
      <c r="AG98" s="11" t="s">
        <v>72</v>
      </c>
      <c r="AH98" s="11" t="s">
        <v>74</v>
      </c>
    </row>
    <row r="99" spans="1:34" x14ac:dyDescent="0.25">
      <c r="A99">
        <v>147234</v>
      </c>
      <c r="B99" t="s">
        <v>23</v>
      </c>
      <c r="C99">
        <v>0</v>
      </c>
      <c r="D99">
        <v>1</v>
      </c>
      <c r="E99">
        <v>2</v>
      </c>
      <c r="F99">
        <v>0</v>
      </c>
      <c r="G99">
        <v>0</v>
      </c>
      <c r="H99">
        <v>0</v>
      </c>
      <c r="I99">
        <v>0</v>
      </c>
      <c r="J99">
        <v>1</v>
      </c>
      <c r="K99">
        <v>1</v>
      </c>
      <c r="L99">
        <v>0</v>
      </c>
      <c r="M99">
        <v>0</v>
      </c>
      <c r="O99">
        <v>0</v>
      </c>
      <c r="P99">
        <v>0</v>
      </c>
      <c r="Q99">
        <v>0</v>
      </c>
      <c r="R99">
        <v>2</v>
      </c>
      <c r="S99">
        <v>0</v>
      </c>
      <c r="T99">
        <v>0</v>
      </c>
      <c r="U99">
        <v>2</v>
      </c>
      <c r="V99">
        <v>0</v>
      </c>
      <c r="W99" t="s">
        <v>56</v>
      </c>
      <c r="X99" s="10"/>
      <c r="Y99" s="10">
        <v>43322</v>
      </c>
      <c r="Z99" s="11"/>
      <c r="AA99" s="11"/>
      <c r="AB99" s="11"/>
      <c r="AC99" s="11"/>
      <c r="AD99" s="11"/>
      <c r="AE99" s="25">
        <v>6</v>
      </c>
      <c r="AF99" s="25" t="s">
        <v>153</v>
      </c>
      <c r="AG99" s="11" t="s">
        <v>72</v>
      </c>
      <c r="AH99" s="11" t="s">
        <v>75</v>
      </c>
    </row>
    <row r="100" spans="1:34" x14ac:dyDescent="0.25">
      <c r="A100">
        <v>114326</v>
      </c>
      <c r="B100" t="s">
        <v>23</v>
      </c>
      <c r="C100">
        <v>0</v>
      </c>
      <c r="D100">
        <v>0</v>
      </c>
      <c r="E100">
        <v>2</v>
      </c>
      <c r="F100">
        <v>2</v>
      </c>
      <c r="G100">
        <v>1</v>
      </c>
      <c r="H100">
        <v>0</v>
      </c>
      <c r="I100">
        <v>0</v>
      </c>
      <c r="J100">
        <v>0</v>
      </c>
      <c r="K100">
        <v>3</v>
      </c>
      <c r="L100">
        <v>0</v>
      </c>
      <c r="M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 t="s">
        <v>26</v>
      </c>
      <c r="X100" s="10"/>
      <c r="Y100" s="10">
        <v>43322</v>
      </c>
      <c r="Z100" s="11"/>
      <c r="AA100" s="11"/>
      <c r="AB100" s="11"/>
      <c r="AC100" s="11"/>
      <c r="AD100" s="11"/>
      <c r="AE100" s="25">
        <v>4</v>
      </c>
      <c r="AF100" s="25" t="s">
        <v>153</v>
      </c>
      <c r="AG100" s="11" t="s">
        <v>72</v>
      </c>
      <c r="AH100" s="11" t="s">
        <v>75</v>
      </c>
    </row>
    <row r="101" spans="1:34" x14ac:dyDescent="0.25">
      <c r="A101">
        <v>190918</v>
      </c>
      <c r="B101" t="s">
        <v>53</v>
      </c>
      <c r="C101">
        <v>0</v>
      </c>
      <c r="D101">
        <v>2</v>
      </c>
      <c r="E101">
        <v>0</v>
      </c>
      <c r="F101">
        <v>2</v>
      </c>
      <c r="G101">
        <v>0</v>
      </c>
      <c r="H101">
        <v>0</v>
      </c>
      <c r="I101">
        <v>0</v>
      </c>
      <c r="J101">
        <v>0</v>
      </c>
      <c r="K101">
        <v>3</v>
      </c>
      <c r="L101">
        <v>0</v>
      </c>
      <c r="M101">
        <v>0</v>
      </c>
      <c r="O101">
        <v>0</v>
      </c>
      <c r="P101">
        <v>0</v>
      </c>
      <c r="Q101">
        <v>0</v>
      </c>
      <c r="R101">
        <v>2</v>
      </c>
      <c r="S101">
        <v>0</v>
      </c>
      <c r="T101">
        <v>2</v>
      </c>
      <c r="U101">
        <v>0</v>
      </c>
      <c r="V101">
        <v>0</v>
      </c>
      <c r="W101" t="s">
        <v>26</v>
      </c>
      <c r="X101" s="10"/>
      <c r="Y101" s="10">
        <v>43325</v>
      </c>
      <c r="Z101" s="11"/>
      <c r="AA101" s="11"/>
      <c r="AB101" s="11"/>
      <c r="AC101" s="11"/>
      <c r="AD101" s="11"/>
      <c r="AE101" s="25">
        <v>5</v>
      </c>
      <c r="AF101" s="25" t="s">
        <v>153</v>
      </c>
      <c r="AG101" s="11" t="s">
        <v>60</v>
      </c>
      <c r="AH101" s="11" t="s">
        <v>62</v>
      </c>
    </row>
    <row r="102" spans="1:34" x14ac:dyDescent="0.25">
      <c r="A102">
        <v>215337</v>
      </c>
      <c r="B102" t="s">
        <v>53</v>
      </c>
      <c r="C102">
        <v>0</v>
      </c>
      <c r="D102">
        <v>2</v>
      </c>
      <c r="E102">
        <v>0</v>
      </c>
      <c r="F102">
        <v>2</v>
      </c>
      <c r="H102">
        <v>0</v>
      </c>
      <c r="I102">
        <v>0</v>
      </c>
      <c r="J102">
        <v>0</v>
      </c>
      <c r="K102">
        <v>1</v>
      </c>
      <c r="L102">
        <v>0</v>
      </c>
      <c r="M102">
        <v>0</v>
      </c>
      <c r="O102">
        <v>0</v>
      </c>
      <c r="P102">
        <v>0</v>
      </c>
      <c r="Q102">
        <v>0</v>
      </c>
      <c r="R102">
        <v>3</v>
      </c>
      <c r="S102">
        <v>0</v>
      </c>
      <c r="T102">
        <v>0</v>
      </c>
      <c r="U102">
        <v>0</v>
      </c>
      <c r="V102">
        <v>0</v>
      </c>
      <c r="W102" t="s">
        <v>26</v>
      </c>
      <c r="X102" s="10"/>
      <c r="Y102" s="10">
        <v>43325</v>
      </c>
      <c r="Z102" s="11"/>
      <c r="AA102" s="11"/>
      <c r="AB102" s="11"/>
      <c r="AC102" s="11"/>
      <c r="AD102" s="11"/>
      <c r="AE102" s="25">
        <v>4</v>
      </c>
      <c r="AF102" s="25" t="s">
        <v>153</v>
      </c>
      <c r="AG102" s="11" t="s">
        <v>55</v>
      </c>
      <c r="AH102" s="11" t="s">
        <v>69</v>
      </c>
    </row>
    <row r="103" spans="1:34" x14ac:dyDescent="0.25">
      <c r="A103">
        <v>224136</v>
      </c>
      <c r="B103" t="s">
        <v>53</v>
      </c>
      <c r="C103">
        <v>0</v>
      </c>
      <c r="D103">
        <v>1</v>
      </c>
      <c r="E103">
        <v>0</v>
      </c>
      <c r="F103">
        <v>2</v>
      </c>
      <c r="G103">
        <v>0</v>
      </c>
      <c r="H103">
        <v>0</v>
      </c>
      <c r="I103">
        <v>0</v>
      </c>
      <c r="J103">
        <v>0</v>
      </c>
      <c r="K103">
        <v>3</v>
      </c>
      <c r="L103">
        <v>0</v>
      </c>
      <c r="M103">
        <v>0</v>
      </c>
      <c r="O103">
        <v>1</v>
      </c>
      <c r="P103">
        <v>0</v>
      </c>
      <c r="Q103">
        <v>0</v>
      </c>
      <c r="R103">
        <v>2</v>
      </c>
      <c r="S103">
        <v>0</v>
      </c>
      <c r="T103">
        <v>0</v>
      </c>
      <c r="U103">
        <v>0</v>
      </c>
      <c r="V103">
        <v>0</v>
      </c>
      <c r="W103" t="s">
        <v>26</v>
      </c>
      <c r="X103" s="10"/>
      <c r="Y103" s="10">
        <v>43325</v>
      </c>
      <c r="Z103" s="11"/>
      <c r="AA103" s="11"/>
      <c r="AB103" s="11"/>
      <c r="AC103" s="11"/>
      <c r="AD103" s="11"/>
      <c r="AE103" s="25">
        <v>5</v>
      </c>
      <c r="AF103" s="25" t="s">
        <v>153</v>
      </c>
      <c r="AG103" s="11" t="s">
        <v>58</v>
      </c>
      <c r="AH103" s="11" t="s">
        <v>63</v>
      </c>
    </row>
    <row r="104" spans="1:34" x14ac:dyDescent="0.25">
      <c r="A104">
        <v>182917</v>
      </c>
      <c r="B104" t="s">
        <v>23</v>
      </c>
      <c r="C104">
        <v>0</v>
      </c>
      <c r="D104">
        <v>0</v>
      </c>
      <c r="E104">
        <v>2</v>
      </c>
      <c r="F104">
        <v>2</v>
      </c>
      <c r="G104">
        <v>0</v>
      </c>
      <c r="H104">
        <v>0</v>
      </c>
      <c r="I104">
        <v>0</v>
      </c>
      <c r="J104">
        <v>0</v>
      </c>
      <c r="K104">
        <v>2</v>
      </c>
      <c r="L104">
        <v>0</v>
      </c>
      <c r="M104">
        <v>0</v>
      </c>
      <c r="O104">
        <v>0</v>
      </c>
      <c r="P104">
        <v>0</v>
      </c>
      <c r="Q104">
        <v>0</v>
      </c>
      <c r="R104">
        <v>2</v>
      </c>
      <c r="S104">
        <v>0</v>
      </c>
      <c r="T104">
        <v>0</v>
      </c>
      <c r="U104">
        <v>0</v>
      </c>
      <c r="V104">
        <v>2</v>
      </c>
      <c r="W104" t="s">
        <v>26</v>
      </c>
      <c r="X104" s="10"/>
      <c r="Y104" s="10">
        <v>43326</v>
      </c>
      <c r="Z104" s="11"/>
      <c r="AA104" s="11"/>
      <c r="AB104" s="11"/>
      <c r="AC104" s="11"/>
      <c r="AD104" s="11"/>
      <c r="AE104" s="25">
        <v>5</v>
      </c>
      <c r="AF104" s="25" t="s">
        <v>153</v>
      </c>
      <c r="AG104" s="11" t="s">
        <v>67</v>
      </c>
      <c r="AH104" s="11" t="s">
        <v>76</v>
      </c>
    </row>
    <row r="105" spans="1:34" x14ac:dyDescent="0.25">
      <c r="A105">
        <v>189539</v>
      </c>
      <c r="B105" t="s">
        <v>23</v>
      </c>
      <c r="C105">
        <v>0</v>
      </c>
      <c r="D105">
        <v>2</v>
      </c>
      <c r="E105">
        <v>0</v>
      </c>
      <c r="F105">
        <v>2</v>
      </c>
      <c r="G105">
        <v>0</v>
      </c>
      <c r="H105">
        <v>0</v>
      </c>
      <c r="I105">
        <v>0</v>
      </c>
      <c r="J105">
        <v>0</v>
      </c>
      <c r="K105">
        <v>3</v>
      </c>
      <c r="L105">
        <v>0</v>
      </c>
      <c r="M105">
        <v>2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0</v>
      </c>
      <c r="U105">
        <v>0</v>
      </c>
      <c r="V105">
        <v>0</v>
      </c>
      <c r="W105" t="s">
        <v>26</v>
      </c>
      <c r="X105" s="10"/>
      <c r="Y105" s="10">
        <v>43326</v>
      </c>
      <c r="Z105" s="11"/>
      <c r="AA105" s="11"/>
      <c r="AB105" s="11"/>
      <c r="AC105" s="11"/>
      <c r="AD105" s="11"/>
      <c r="AE105" s="25">
        <v>5</v>
      </c>
      <c r="AF105" s="25" t="s">
        <v>153</v>
      </c>
      <c r="AG105" s="11" t="s">
        <v>72</v>
      </c>
      <c r="AH105" s="11" t="s">
        <v>74</v>
      </c>
    </row>
    <row r="106" spans="1:34" x14ac:dyDescent="0.25">
      <c r="A106">
        <v>199225</v>
      </c>
      <c r="B106" t="s">
        <v>23</v>
      </c>
      <c r="C106">
        <v>0</v>
      </c>
      <c r="D106">
        <v>0</v>
      </c>
      <c r="E106">
        <v>0</v>
      </c>
      <c r="F106">
        <v>2</v>
      </c>
      <c r="G106">
        <v>0</v>
      </c>
      <c r="H106">
        <v>0</v>
      </c>
      <c r="I106">
        <v>0</v>
      </c>
      <c r="J106">
        <v>0</v>
      </c>
      <c r="K106">
        <v>3</v>
      </c>
      <c r="L106">
        <v>0</v>
      </c>
      <c r="M106">
        <v>0</v>
      </c>
      <c r="O106">
        <v>0</v>
      </c>
      <c r="P106">
        <v>0</v>
      </c>
      <c r="Q106">
        <v>0</v>
      </c>
      <c r="R106">
        <v>2</v>
      </c>
      <c r="S106">
        <v>0</v>
      </c>
      <c r="T106">
        <v>0</v>
      </c>
      <c r="U106">
        <v>0</v>
      </c>
      <c r="V106">
        <v>0</v>
      </c>
      <c r="W106" t="s">
        <v>26</v>
      </c>
      <c r="X106" s="10"/>
      <c r="Y106" s="10">
        <v>43326</v>
      </c>
      <c r="Z106" s="11"/>
      <c r="AA106" s="11"/>
      <c r="AB106" s="11"/>
      <c r="AC106" s="11"/>
      <c r="AD106" s="11"/>
      <c r="AE106" s="25">
        <v>3</v>
      </c>
      <c r="AF106" s="25" t="s">
        <v>153</v>
      </c>
      <c r="AG106" s="11" t="s">
        <v>72</v>
      </c>
      <c r="AH106" s="11" t="s">
        <v>61</v>
      </c>
    </row>
    <row r="107" spans="1:34" x14ac:dyDescent="0.25">
      <c r="A107">
        <v>192520</v>
      </c>
      <c r="B107" t="s">
        <v>23</v>
      </c>
      <c r="C107">
        <v>0</v>
      </c>
      <c r="D107">
        <v>0</v>
      </c>
      <c r="E107">
        <v>2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 t="s">
        <v>26</v>
      </c>
      <c r="X107" s="10"/>
      <c r="Y107" s="10">
        <v>43332</v>
      </c>
      <c r="Z107" s="11"/>
      <c r="AA107" s="11"/>
      <c r="AB107" s="11"/>
      <c r="AC107" s="11"/>
      <c r="AD107" s="11"/>
      <c r="AE107" s="25">
        <v>2</v>
      </c>
      <c r="AF107" s="25" t="s">
        <v>153</v>
      </c>
      <c r="AG107" s="11" t="s">
        <v>67</v>
      </c>
      <c r="AH107" s="11" t="s">
        <v>77</v>
      </c>
    </row>
    <row r="108" spans="1:34" x14ac:dyDescent="0.25">
      <c r="A108">
        <v>140510</v>
      </c>
      <c r="B108" t="s">
        <v>23</v>
      </c>
      <c r="C108">
        <v>0</v>
      </c>
      <c r="D108">
        <v>0</v>
      </c>
      <c r="E108">
        <v>2</v>
      </c>
      <c r="F108">
        <v>2</v>
      </c>
      <c r="G108">
        <v>2</v>
      </c>
      <c r="H108">
        <v>0</v>
      </c>
      <c r="I108">
        <v>0</v>
      </c>
      <c r="J108">
        <v>0</v>
      </c>
      <c r="K108">
        <v>3</v>
      </c>
      <c r="L108">
        <v>0</v>
      </c>
      <c r="M108">
        <v>2</v>
      </c>
      <c r="O108">
        <v>0</v>
      </c>
      <c r="P108">
        <v>1</v>
      </c>
      <c r="Q108">
        <v>0</v>
      </c>
      <c r="R108">
        <v>2</v>
      </c>
      <c r="S108">
        <v>0</v>
      </c>
      <c r="T108">
        <v>0</v>
      </c>
      <c r="U108">
        <v>0</v>
      </c>
      <c r="V108">
        <v>0</v>
      </c>
      <c r="W108" t="s">
        <v>26</v>
      </c>
      <c r="X108" s="10"/>
      <c r="Y108" s="10">
        <v>43332</v>
      </c>
      <c r="Z108" s="11"/>
      <c r="AA108" s="11"/>
      <c r="AB108" s="11"/>
      <c r="AC108" s="11"/>
      <c r="AD108" s="11"/>
      <c r="AE108" s="25">
        <v>7</v>
      </c>
      <c r="AF108" s="25" t="s">
        <v>153</v>
      </c>
      <c r="AG108" s="11" t="s">
        <v>72</v>
      </c>
      <c r="AH108" s="11" t="s">
        <v>78</v>
      </c>
    </row>
    <row r="109" spans="1:34" x14ac:dyDescent="0.25">
      <c r="A109">
        <v>170357</v>
      </c>
      <c r="B109" t="s">
        <v>23</v>
      </c>
      <c r="C109">
        <v>0</v>
      </c>
      <c r="D109">
        <v>0</v>
      </c>
      <c r="E109">
        <v>0</v>
      </c>
      <c r="F109">
        <v>2</v>
      </c>
      <c r="G109">
        <v>0</v>
      </c>
      <c r="H109">
        <v>0</v>
      </c>
      <c r="I109">
        <v>0</v>
      </c>
      <c r="J109">
        <v>1</v>
      </c>
      <c r="K109">
        <v>1</v>
      </c>
      <c r="L109">
        <v>2</v>
      </c>
      <c r="M109">
        <v>0</v>
      </c>
      <c r="O109">
        <v>0</v>
      </c>
      <c r="P109">
        <v>0</v>
      </c>
      <c r="Q109">
        <v>0</v>
      </c>
      <c r="R109">
        <v>1</v>
      </c>
      <c r="S109">
        <v>0</v>
      </c>
      <c r="T109">
        <v>0</v>
      </c>
      <c r="U109">
        <v>0</v>
      </c>
      <c r="V109">
        <v>0</v>
      </c>
      <c r="W109" t="s">
        <v>26</v>
      </c>
      <c r="X109" s="10"/>
      <c r="Y109" s="10">
        <v>43332</v>
      </c>
      <c r="Z109" s="11"/>
      <c r="AA109" s="11"/>
      <c r="AB109" s="11"/>
      <c r="AC109" s="11"/>
      <c r="AD109" s="11"/>
      <c r="AE109" s="25">
        <v>5</v>
      </c>
      <c r="AF109" s="25" t="s">
        <v>153</v>
      </c>
      <c r="AG109" s="11" t="s">
        <v>67</v>
      </c>
      <c r="AH109" s="11" t="s">
        <v>79</v>
      </c>
    </row>
    <row r="110" spans="1:34" x14ac:dyDescent="0.25">
      <c r="A110">
        <v>189560</v>
      </c>
      <c r="B110" t="s">
        <v>23</v>
      </c>
      <c r="C110">
        <v>0</v>
      </c>
      <c r="D110">
        <v>0</v>
      </c>
      <c r="E110">
        <v>2</v>
      </c>
      <c r="F110">
        <v>0</v>
      </c>
      <c r="G110">
        <v>2</v>
      </c>
      <c r="H110">
        <v>0</v>
      </c>
      <c r="I110">
        <v>0</v>
      </c>
      <c r="J110">
        <v>2</v>
      </c>
      <c r="K110">
        <v>3</v>
      </c>
      <c r="L110">
        <v>0</v>
      </c>
      <c r="M110">
        <v>2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 t="s">
        <v>26</v>
      </c>
      <c r="X110" s="10"/>
      <c r="Y110" s="10">
        <v>43332</v>
      </c>
      <c r="Z110" s="11"/>
      <c r="AA110" s="11"/>
      <c r="AB110" s="11"/>
      <c r="AC110" s="11"/>
      <c r="AD110" s="11"/>
      <c r="AE110" s="25">
        <v>5</v>
      </c>
      <c r="AF110" s="25" t="s">
        <v>153</v>
      </c>
      <c r="AG110" s="11" t="s">
        <v>72</v>
      </c>
      <c r="AH110" s="11" t="s">
        <v>71</v>
      </c>
    </row>
    <row r="111" spans="1:34" x14ac:dyDescent="0.25">
      <c r="A111">
        <v>268224</v>
      </c>
      <c r="B111" t="s">
        <v>23</v>
      </c>
      <c r="C111">
        <v>0</v>
      </c>
      <c r="D111">
        <v>2</v>
      </c>
      <c r="E111">
        <v>0</v>
      </c>
      <c r="F111">
        <v>2</v>
      </c>
      <c r="G111">
        <v>0</v>
      </c>
      <c r="H111">
        <v>0</v>
      </c>
      <c r="I111">
        <v>0</v>
      </c>
      <c r="J111">
        <v>0</v>
      </c>
      <c r="K111">
        <v>2</v>
      </c>
      <c r="L111">
        <v>0</v>
      </c>
      <c r="M111">
        <v>0</v>
      </c>
      <c r="O111">
        <v>0</v>
      </c>
      <c r="P111">
        <v>0</v>
      </c>
      <c r="Q111">
        <v>0</v>
      </c>
      <c r="R111">
        <v>2</v>
      </c>
      <c r="S111">
        <v>0</v>
      </c>
      <c r="T111">
        <v>0</v>
      </c>
      <c r="U111">
        <v>0</v>
      </c>
      <c r="V111">
        <v>0</v>
      </c>
      <c r="W111" t="s">
        <v>26</v>
      </c>
      <c r="X111" s="10"/>
      <c r="Y111" s="10">
        <v>43333</v>
      </c>
      <c r="Z111" s="11"/>
      <c r="AA111" s="11"/>
      <c r="AB111" s="11"/>
      <c r="AC111" s="11"/>
      <c r="AD111" s="11"/>
      <c r="AE111" s="25">
        <v>4</v>
      </c>
      <c r="AF111" s="25" t="s">
        <v>153</v>
      </c>
      <c r="AG111" s="11" t="s">
        <v>72</v>
      </c>
      <c r="AH111" s="11" t="s">
        <v>78</v>
      </c>
    </row>
    <row r="112" spans="1:34" x14ac:dyDescent="0.25">
      <c r="A112">
        <v>166794</v>
      </c>
      <c r="B112" t="s">
        <v>23</v>
      </c>
      <c r="C112">
        <v>0</v>
      </c>
      <c r="D112">
        <v>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2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 t="s">
        <v>26</v>
      </c>
      <c r="X112" s="10"/>
      <c r="Y112" s="10">
        <v>43333</v>
      </c>
      <c r="Z112" s="11"/>
      <c r="AA112" s="11"/>
      <c r="AB112" s="11"/>
      <c r="AC112" s="11"/>
      <c r="AD112" s="11"/>
      <c r="AE112" s="25">
        <v>2</v>
      </c>
      <c r="AF112" s="25" t="s">
        <v>153</v>
      </c>
      <c r="AG112" s="11" t="s">
        <v>72</v>
      </c>
      <c r="AH112" s="11" t="s">
        <v>66</v>
      </c>
    </row>
    <row r="113" spans="1:34" x14ac:dyDescent="0.25">
      <c r="A113">
        <v>172667</v>
      </c>
      <c r="B113" t="s">
        <v>23</v>
      </c>
      <c r="C113">
        <v>0</v>
      </c>
      <c r="D113">
        <v>0</v>
      </c>
      <c r="E113">
        <v>2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0</v>
      </c>
      <c r="M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 t="s">
        <v>26</v>
      </c>
      <c r="X113" s="10"/>
      <c r="Y113" s="10">
        <v>43333</v>
      </c>
      <c r="Z113" s="11"/>
      <c r="AA113" s="11"/>
      <c r="AB113" s="11"/>
      <c r="AC113" s="11"/>
      <c r="AD113" s="11"/>
      <c r="AE113" s="25">
        <v>2</v>
      </c>
      <c r="AF113" s="25" t="s">
        <v>153</v>
      </c>
      <c r="AG113" s="11" t="s">
        <v>72</v>
      </c>
      <c r="AH113" s="11" t="s">
        <v>61</v>
      </c>
    </row>
    <row r="114" spans="1:34" x14ac:dyDescent="0.25">
      <c r="A114">
        <v>190640</v>
      </c>
      <c r="B114" t="s">
        <v>23</v>
      </c>
      <c r="C114">
        <v>0</v>
      </c>
      <c r="D114">
        <v>0</v>
      </c>
      <c r="E114">
        <v>0</v>
      </c>
      <c r="F114">
        <v>2</v>
      </c>
      <c r="G114">
        <v>1</v>
      </c>
      <c r="H114">
        <v>0</v>
      </c>
      <c r="I114">
        <v>0</v>
      </c>
      <c r="J114">
        <v>0</v>
      </c>
      <c r="K114">
        <v>2</v>
      </c>
      <c r="L114">
        <v>0</v>
      </c>
      <c r="M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 t="s">
        <v>26</v>
      </c>
      <c r="X114" s="10"/>
      <c r="Y114" s="10">
        <v>43333</v>
      </c>
      <c r="Z114" s="11"/>
      <c r="AA114" s="11"/>
      <c r="AB114" s="11"/>
      <c r="AC114" s="11"/>
      <c r="AD114" s="11"/>
      <c r="AE114" s="25">
        <v>3</v>
      </c>
      <c r="AF114" s="25" t="s">
        <v>153</v>
      </c>
      <c r="AG114" s="11" t="s">
        <v>72</v>
      </c>
      <c r="AH114" s="11" t="s">
        <v>71</v>
      </c>
    </row>
    <row r="115" spans="1:34" x14ac:dyDescent="0.25">
      <c r="A115">
        <v>132514</v>
      </c>
      <c r="B115" t="s">
        <v>53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1</v>
      </c>
      <c r="J115">
        <v>0</v>
      </c>
      <c r="K115">
        <v>1</v>
      </c>
      <c r="L115">
        <v>0</v>
      </c>
      <c r="M115">
        <v>0</v>
      </c>
      <c r="O115">
        <v>0</v>
      </c>
      <c r="P115">
        <v>0</v>
      </c>
      <c r="Q115">
        <v>0</v>
      </c>
      <c r="R115">
        <v>3</v>
      </c>
      <c r="S115">
        <v>0</v>
      </c>
      <c r="T115">
        <v>0</v>
      </c>
      <c r="U115">
        <v>0</v>
      </c>
      <c r="V115">
        <v>0</v>
      </c>
      <c r="W115" t="s">
        <v>26</v>
      </c>
      <c r="X115" s="10"/>
      <c r="Y115" s="10">
        <v>43334</v>
      </c>
      <c r="Z115" s="11"/>
      <c r="AA115" s="11"/>
      <c r="AB115" s="11"/>
      <c r="AC115" s="11"/>
      <c r="AD115" s="11"/>
      <c r="AE115" s="25">
        <v>3</v>
      </c>
      <c r="AF115" s="25" t="s">
        <v>153</v>
      </c>
      <c r="AG115" s="11" t="s">
        <v>60</v>
      </c>
      <c r="AH115" s="11" t="s">
        <v>70</v>
      </c>
    </row>
    <row r="116" spans="1:34" x14ac:dyDescent="0.25">
      <c r="A116">
        <v>210800</v>
      </c>
      <c r="B116" t="s">
        <v>53</v>
      </c>
      <c r="C116">
        <v>0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1</v>
      </c>
      <c r="L116">
        <v>0</v>
      </c>
      <c r="M116">
        <v>0</v>
      </c>
      <c r="O116">
        <v>0</v>
      </c>
      <c r="P116">
        <v>0</v>
      </c>
      <c r="Q116">
        <v>0</v>
      </c>
      <c r="R116">
        <v>2</v>
      </c>
      <c r="S116">
        <v>0</v>
      </c>
      <c r="T116">
        <v>0</v>
      </c>
      <c r="U116">
        <v>0</v>
      </c>
      <c r="V116">
        <v>0</v>
      </c>
      <c r="W116" t="s">
        <v>26</v>
      </c>
      <c r="X116" s="10"/>
      <c r="Y116" s="10">
        <v>43334</v>
      </c>
      <c r="Z116" s="11"/>
      <c r="AA116" s="11"/>
      <c r="AB116" s="11"/>
      <c r="AC116" s="11"/>
      <c r="AD116" s="11"/>
      <c r="AE116" s="25">
        <v>3</v>
      </c>
      <c r="AF116" s="25" t="s">
        <v>153</v>
      </c>
      <c r="AG116" s="11" t="s">
        <v>60</v>
      </c>
      <c r="AH116" s="11" t="s">
        <v>70</v>
      </c>
    </row>
    <row r="117" spans="1:34" x14ac:dyDescent="0.25">
      <c r="A117">
        <v>213238</v>
      </c>
      <c r="B117" t="s">
        <v>53</v>
      </c>
      <c r="C117">
        <v>0</v>
      </c>
      <c r="D117">
        <v>2</v>
      </c>
      <c r="E117">
        <v>2</v>
      </c>
      <c r="F117">
        <v>1</v>
      </c>
      <c r="G117">
        <v>0</v>
      </c>
      <c r="H117">
        <v>0</v>
      </c>
      <c r="I117">
        <v>2</v>
      </c>
      <c r="J117">
        <v>2</v>
      </c>
      <c r="K117">
        <v>1</v>
      </c>
      <c r="L117">
        <v>0</v>
      </c>
      <c r="M117">
        <v>0</v>
      </c>
      <c r="O117">
        <v>0</v>
      </c>
      <c r="P117">
        <v>0</v>
      </c>
      <c r="Q117">
        <v>0</v>
      </c>
      <c r="R117">
        <v>2</v>
      </c>
      <c r="S117">
        <v>2</v>
      </c>
      <c r="T117">
        <v>2</v>
      </c>
      <c r="U117">
        <v>0</v>
      </c>
      <c r="V117">
        <v>2</v>
      </c>
      <c r="W117" t="s">
        <v>26</v>
      </c>
      <c r="X117" s="10"/>
      <c r="Y117" s="10">
        <v>43334</v>
      </c>
      <c r="Z117" s="11"/>
      <c r="AA117" s="11"/>
      <c r="AB117" s="11"/>
      <c r="AC117" s="11"/>
      <c r="AD117" s="11"/>
      <c r="AE117" s="25">
        <v>10</v>
      </c>
      <c r="AF117" s="25" t="s">
        <v>153</v>
      </c>
      <c r="AG117" s="11" t="s">
        <v>60</v>
      </c>
      <c r="AH117" s="11" t="s">
        <v>80</v>
      </c>
    </row>
    <row r="118" spans="1:34" x14ac:dyDescent="0.25">
      <c r="A118">
        <v>127886</v>
      </c>
      <c r="B118" t="s">
        <v>23</v>
      </c>
      <c r="C118">
        <v>0</v>
      </c>
      <c r="D118">
        <v>0</v>
      </c>
      <c r="E118">
        <v>0</v>
      </c>
      <c r="F118">
        <v>2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 t="s">
        <v>26</v>
      </c>
      <c r="X118" s="10"/>
      <c r="Y118" s="10">
        <v>43335</v>
      </c>
      <c r="Z118" s="11"/>
      <c r="AA118" s="11"/>
      <c r="AB118" s="11"/>
      <c r="AC118" s="11"/>
      <c r="AD118" s="11"/>
      <c r="AE118" s="25">
        <v>1</v>
      </c>
      <c r="AF118" s="25" t="s">
        <v>153</v>
      </c>
      <c r="AG118" s="11" t="s">
        <v>72</v>
      </c>
      <c r="AH118" s="11" t="s">
        <v>61</v>
      </c>
    </row>
    <row r="119" spans="1:34" x14ac:dyDescent="0.25">
      <c r="A119">
        <v>225126</v>
      </c>
      <c r="B119" t="s">
        <v>23</v>
      </c>
      <c r="C119">
        <v>0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1</v>
      </c>
      <c r="K119">
        <v>0</v>
      </c>
      <c r="L119">
        <v>0</v>
      </c>
      <c r="M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 t="s">
        <v>26</v>
      </c>
      <c r="X119" s="10"/>
      <c r="Y119" s="10">
        <v>43335</v>
      </c>
      <c r="Z119" s="11"/>
      <c r="AA119" s="11"/>
      <c r="AB119" s="11"/>
      <c r="AC119" s="11"/>
      <c r="AD119" s="11"/>
      <c r="AE119" s="25">
        <v>2</v>
      </c>
      <c r="AF119" s="25" t="s">
        <v>153</v>
      </c>
      <c r="AG119" s="11" t="s">
        <v>72</v>
      </c>
      <c r="AH119" s="11" t="s">
        <v>74</v>
      </c>
    </row>
    <row r="120" spans="1:34" x14ac:dyDescent="0.25">
      <c r="A120">
        <v>268194</v>
      </c>
      <c r="B120" t="s">
        <v>23</v>
      </c>
      <c r="C120">
        <v>0</v>
      </c>
      <c r="D120">
        <v>0</v>
      </c>
      <c r="E120">
        <v>0</v>
      </c>
      <c r="F120">
        <v>2</v>
      </c>
      <c r="G120">
        <v>1</v>
      </c>
      <c r="H120">
        <v>0</v>
      </c>
      <c r="I120">
        <v>0</v>
      </c>
      <c r="J120">
        <v>0</v>
      </c>
      <c r="K120">
        <v>3</v>
      </c>
      <c r="L120">
        <v>0</v>
      </c>
      <c r="M120">
        <v>0</v>
      </c>
      <c r="O120">
        <v>0</v>
      </c>
      <c r="P120">
        <v>0</v>
      </c>
      <c r="Q120">
        <v>0</v>
      </c>
      <c r="R120">
        <v>1</v>
      </c>
      <c r="S120">
        <v>0</v>
      </c>
      <c r="T120">
        <v>0</v>
      </c>
      <c r="U120">
        <v>0</v>
      </c>
      <c r="V120">
        <v>0</v>
      </c>
      <c r="W120" t="s">
        <v>26</v>
      </c>
      <c r="X120" s="10"/>
      <c r="Y120" s="10">
        <v>43335</v>
      </c>
      <c r="Z120" s="11"/>
      <c r="AA120" s="11"/>
      <c r="AB120" s="11"/>
      <c r="AC120" s="11"/>
      <c r="AD120" s="11"/>
      <c r="AE120" s="25">
        <v>4</v>
      </c>
      <c r="AF120" s="25" t="s">
        <v>153</v>
      </c>
      <c r="AG120" s="11" t="s">
        <v>72</v>
      </c>
      <c r="AH120" s="11" t="s">
        <v>80</v>
      </c>
    </row>
    <row r="121" spans="1:34" x14ac:dyDescent="0.25">
      <c r="A121">
        <v>267799</v>
      </c>
      <c r="B121" t="s">
        <v>53</v>
      </c>
      <c r="C121">
        <v>0</v>
      </c>
      <c r="D121">
        <v>0</v>
      </c>
      <c r="E121">
        <v>0</v>
      </c>
      <c r="F121">
        <v>2</v>
      </c>
      <c r="G121">
        <v>0</v>
      </c>
      <c r="H121">
        <v>0</v>
      </c>
      <c r="I121">
        <v>0</v>
      </c>
      <c r="J121">
        <v>1</v>
      </c>
      <c r="K121">
        <v>2</v>
      </c>
      <c r="L121">
        <v>0</v>
      </c>
      <c r="M121">
        <v>0</v>
      </c>
      <c r="O121">
        <v>0</v>
      </c>
      <c r="P121">
        <v>0</v>
      </c>
      <c r="Q121">
        <v>0</v>
      </c>
      <c r="R121">
        <v>2</v>
      </c>
      <c r="S121">
        <v>2</v>
      </c>
      <c r="T121">
        <v>0</v>
      </c>
      <c r="U121">
        <v>0</v>
      </c>
      <c r="V121">
        <v>0</v>
      </c>
      <c r="W121" t="s">
        <v>26</v>
      </c>
      <c r="X121" s="10"/>
      <c r="Y121" s="10">
        <v>43335</v>
      </c>
      <c r="Z121" s="11"/>
      <c r="AA121" s="11"/>
      <c r="AB121" s="11"/>
      <c r="AC121" s="11"/>
      <c r="AD121" s="11"/>
      <c r="AE121" s="25">
        <v>5</v>
      </c>
      <c r="AF121" s="25" t="s">
        <v>153</v>
      </c>
      <c r="AG121" s="11" t="s">
        <v>55</v>
      </c>
      <c r="AH121" s="11" t="s">
        <v>69</v>
      </c>
    </row>
    <row r="122" spans="1:34" x14ac:dyDescent="0.25">
      <c r="A122">
        <v>268067</v>
      </c>
      <c r="B122" t="s">
        <v>53</v>
      </c>
      <c r="C122">
        <v>0</v>
      </c>
      <c r="D122">
        <v>1</v>
      </c>
      <c r="E122">
        <v>2</v>
      </c>
      <c r="F122">
        <v>1</v>
      </c>
      <c r="G122">
        <v>1</v>
      </c>
      <c r="H122">
        <v>2</v>
      </c>
      <c r="I122">
        <v>0</v>
      </c>
      <c r="J122">
        <v>0</v>
      </c>
      <c r="K122">
        <v>0</v>
      </c>
      <c r="L122">
        <v>0</v>
      </c>
      <c r="M122">
        <v>0</v>
      </c>
      <c r="O122">
        <v>0</v>
      </c>
      <c r="P122">
        <v>0</v>
      </c>
      <c r="Q122">
        <v>0</v>
      </c>
      <c r="R122">
        <v>2</v>
      </c>
      <c r="S122">
        <v>0</v>
      </c>
      <c r="T122">
        <v>0</v>
      </c>
      <c r="U122">
        <v>0</v>
      </c>
      <c r="V122">
        <v>2</v>
      </c>
      <c r="W122" t="s">
        <v>26</v>
      </c>
      <c r="X122" s="10"/>
      <c r="Y122" s="10">
        <v>43335</v>
      </c>
      <c r="Z122" s="11"/>
      <c r="AA122" s="11"/>
      <c r="AB122" s="11"/>
      <c r="AC122" s="11"/>
      <c r="AD122" s="11"/>
      <c r="AE122" s="25">
        <v>7</v>
      </c>
      <c r="AF122" s="25" t="s">
        <v>153</v>
      </c>
      <c r="AG122" s="11" t="s">
        <v>55</v>
      </c>
      <c r="AH122" s="11" t="s">
        <v>81</v>
      </c>
    </row>
    <row r="123" spans="1:34" x14ac:dyDescent="0.25">
      <c r="A123">
        <v>268257</v>
      </c>
      <c r="B123" t="s">
        <v>23</v>
      </c>
      <c r="C123">
        <v>0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3</v>
      </c>
      <c r="L123">
        <v>0</v>
      </c>
      <c r="M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0</v>
      </c>
      <c r="V123">
        <v>0</v>
      </c>
      <c r="W123" t="s">
        <v>26</v>
      </c>
      <c r="X123" s="10"/>
      <c r="Y123" s="10">
        <v>43335</v>
      </c>
      <c r="Z123" s="11"/>
      <c r="AA123" s="11"/>
      <c r="AB123" s="11"/>
      <c r="AC123" s="11"/>
      <c r="AD123" s="11"/>
      <c r="AE123" s="25">
        <v>3</v>
      </c>
      <c r="AF123" s="25" t="s">
        <v>153</v>
      </c>
      <c r="AG123" s="11" t="s">
        <v>72</v>
      </c>
      <c r="AH123" s="11" t="s">
        <v>61</v>
      </c>
    </row>
    <row r="124" spans="1:34" x14ac:dyDescent="0.25">
      <c r="A124">
        <v>169244</v>
      </c>
      <c r="B124" t="s">
        <v>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 t="s">
        <v>26</v>
      </c>
      <c r="X124" s="10"/>
      <c r="Y124" s="10">
        <v>43335</v>
      </c>
      <c r="Z124" s="11"/>
      <c r="AA124" s="11"/>
      <c r="AB124" s="11"/>
      <c r="AC124" s="11"/>
      <c r="AD124" s="11"/>
      <c r="AE124" s="25">
        <v>0</v>
      </c>
      <c r="AF124" s="25" t="s">
        <v>153</v>
      </c>
      <c r="AG124" s="11" t="s">
        <v>55</v>
      </c>
      <c r="AH124" s="11" t="s">
        <v>82</v>
      </c>
    </row>
    <row r="125" spans="1:34" x14ac:dyDescent="0.25">
      <c r="A125">
        <v>268062</v>
      </c>
      <c r="B125" t="s">
        <v>53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3</v>
      </c>
      <c r="M125">
        <v>2</v>
      </c>
      <c r="O125">
        <v>0</v>
      </c>
      <c r="P125">
        <v>0</v>
      </c>
      <c r="Q125">
        <v>0</v>
      </c>
      <c r="R125">
        <v>3</v>
      </c>
      <c r="S125">
        <v>0</v>
      </c>
      <c r="T125">
        <v>0</v>
      </c>
      <c r="U125">
        <v>0</v>
      </c>
      <c r="V125">
        <v>0</v>
      </c>
      <c r="W125" t="s">
        <v>26</v>
      </c>
      <c r="X125" s="10"/>
      <c r="Y125" s="10">
        <v>43335</v>
      </c>
      <c r="Z125" s="11"/>
      <c r="AA125" s="11"/>
      <c r="AB125" s="11"/>
      <c r="AC125" s="11"/>
      <c r="AD125" s="11"/>
      <c r="AE125" s="25">
        <v>3</v>
      </c>
      <c r="AF125" s="25" t="s">
        <v>153</v>
      </c>
      <c r="AG125" s="11" t="s">
        <v>58</v>
      </c>
      <c r="AH125" s="11" t="s">
        <v>57</v>
      </c>
    </row>
    <row r="126" spans="1:34" x14ac:dyDescent="0.25">
      <c r="A126">
        <v>213699</v>
      </c>
      <c r="B126" t="s">
        <v>53</v>
      </c>
      <c r="C126">
        <v>0</v>
      </c>
      <c r="D126">
        <v>2</v>
      </c>
      <c r="E126">
        <v>0</v>
      </c>
      <c r="F126">
        <v>1</v>
      </c>
      <c r="G126">
        <v>2</v>
      </c>
      <c r="H126">
        <v>2</v>
      </c>
      <c r="I126">
        <v>0</v>
      </c>
      <c r="J126">
        <v>0</v>
      </c>
      <c r="K126">
        <v>3</v>
      </c>
      <c r="L126">
        <v>0</v>
      </c>
      <c r="M126">
        <v>2</v>
      </c>
      <c r="O126">
        <v>1</v>
      </c>
      <c r="P126">
        <v>0</v>
      </c>
      <c r="Q126">
        <v>0</v>
      </c>
      <c r="R126">
        <v>2</v>
      </c>
      <c r="S126">
        <v>0</v>
      </c>
      <c r="T126">
        <v>0</v>
      </c>
      <c r="U126">
        <v>2</v>
      </c>
      <c r="V126">
        <v>0</v>
      </c>
      <c r="W126" t="s">
        <v>26</v>
      </c>
      <c r="X126" s="10"/>
      <c r="Y126" s="10">
        <v>43336</v>
      </c>
      <c r="Z126" s="11"/>
      <c r="AA126" s="11"/>
      <c r="AB126" s="11"/>
      <c r="AC126" s="11"/>
      <c r="AD126" s="11"/>
      <c r="AE126" s="25">
        <v>9</v>
      </c>
      <c r="AF126" s="25" t="s">
        <v>153</v>
      </c>
      <c r="AG126" s="11" t="s">
        <v>58</v>
      </c>
      <c r="AH126" s="11" t="s">
        <v>66</v>
      </c>
    </row>
    <row r="127" spans="1:34" x14ac:dyDescent="0.25">
      <c r="A127">
        <v>267930</v>
      </c>
      <c r="B127" t="s">
        <v>53</v>
      </c>
      <c r="C127">
        <v>0</v>
      </c>
      <c r="D127">
        <v>0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2</v>
      </c>
      <c r="O127">
        <v>0</v>
      </c>
      <c r="P127">
        <v>0</v>
      </c>
      <c r="Q127">
        <v>0</v>
      </c>
      <c r="R127">
        <v>1</v>
      </c>
      <c r="S127">
        <v>0</v>
      </c>
      <c r="T127">
        <v>0</v>
      </c>
      <c r="U127">
        <v>0</v>
      </c>
      <c r="V127">
        <v>0</v>
      </c>
      <c r="W127" t="s">
        <v>26</v>
      </c>
      <c r="X127" s="10"/>
      <c r="Y127" s="10">
        <v>43336</v>
      </c>
      <c r="Z127" s="11"/>
      <c r="AA127" s="11"/>
      <c r="AB127" s="11"/>
      <c r="AC127" s="11"/>
      <c r="AD127" s="11"/>
      <c r="AE127" s="25">
        <v>3</v>
      </c>
      <c r="AF127" s="25" t="s">
        <v>153</v>
      </c>
      <c r="AG127" s="11" t="s">
        <v>58</v>
      </c>
      <c r="AH127" s="11" t="s">
        <v>66</v>
      </c>
    </row>
    <row r="128" spans="1:34" x14ac:dyDescent="0.25">
      <c r="A128">
        <v>226145</v>
      </c>
      <c r="B128" t="s">
        <v>53</v>
      </c>
      <c r="C128">
        <v>0</v>
      </c>
      <c r="D128">
        <v>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3</v>
      </c>
      <c r="L128">
        <v>0</v>
      </c>
      <c r="M128">
        <v>0</v>
      </c>
      <c r="O128">
        <v>0</v>
      </c>
      <c r="P128">
        <v>0</v>
      </c>
      <c r="Q128">
        <v>0</v>
      </c>
      <c r="R128">
        <v>2</v>
      </c>
      <c r="S128">
        <v>0</v>
      </c>
      <c r="T128">
        <v>0</v>
      </c>
      <c r="U128">
        <v>0</v>
      </c>
      <c r="V128">
        <v>0</v>
      </c>
      <c r="W128" t="s">
        <v>26</v>
      </c>
      <c r="X128" s="10"/>
      <c r="Y128" s="10">
        <v>43336</v>
      </c>
      <c r="Z128" s="11"/>
      <c r="AA128" s="11"/>
      <c r="AB128" s="11"/>
      <c r="AC128" s="11"/>
      <c r="AD128" s="11"/>
      <c r="AE128" s="25">
        <v>3</v>
      </c>
      <c r="AF128" s="25" t="s">
        <v>153</v>
      </c>
      <c r="AG128" s="11" t="s">
        <v>55</v>
      </c>
      <c r="AH128" s="11" t="s">
        <v>69</v>
      </c>
    </row>
    <row r="129" spans="1:34" x14ac:dyDescent="0.25">
      <c r="A129">
        <v>181879</v>
      </c>
      <c r="B129" t="s">
        <v>53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 t="s">
        <v>26</v>
      </c>
      <c r="X129" s="10"/>
      <c r="Y129" s="10">
        <v>43336</v>
      </c>
      <c r="Z129" s="11"/>
      <c r="AA129" s="11"/>
      <c r="AB129" s="11"/>
      <c r="AC129" s="11"/>
      <c r="AD129" s="11"/>
      <c r="AE129" s="25">
        <v>0</v>
      </c>
      <c r="AF129" s="25" t="s">
        <v>153</v>
      </c>
      <c r="AG129" s="11" t="s">
        <v>58</v>
      </c>
      <c r="AH129" s="11" t="s">
        <v>83</v>
      </c>
    </row>
    <row r="130" spans="1:34" x14ac:dyDescent="0.25">
      <c r="A130">
        <v>187817</v>
      </c>
      <c r="B130" t="s">
        <v>53</v>
      </c>
      <c r="C130">
        <v>0</v>
      </c>
      <c r="D130">
        <v>1</v>
      </c>
      <c r="E130">
        <v>2</v>
      </c>
      <c r="F130">
        <v>1</v>
      </c>
      <c r="G130">
        <v>0</v>
      </c>
      <c r="H130">
        <v>0</v>
      </c>
      <c r="I130">
        <v>0</v>
      </c>
      <c r="J130">
        <v>1</v>
      </c>
      <c r="K130">
        <v>3</v>
      </c>
      <c r="L130">
        <v>0</v>
      </c>
      <c r="M130">
        <v>0</v>
      </c>
      <c r="O130">
        <v>0</v>
      </c>
      <c r="P130">
        <v>0</v>
      </c>
      <c r="Q130">
        <v>0</v>
      </c>
      <c r="R130">
        <v>2</v>
      </c>
      <c r="S130">
        <v>0</v>
      </c>
      <c r="T130">
        <v>0</v>
      </c>
      <c r="U130">
        <v>0</v>
      </c>
      <c r="V130">
        <v>0</v>
      </c>
      <c r="W130" t="s">
        <v>26</v>
      </c>
      <c r="X130" s="10"/>
      <c r="Y130" s="10">
        <v>43336</v>
      </c>
      <c r="Z130" s="11"/>
      <c r="AA130" s="11"/>
      <c r="AB130" s="11"/>
      <c r="AC130" s="11"/>
      <c r="AD130" s="11"/>
      <c r="AE130" s="25">
        <v>6</v>
      </c>
      <c r="AF130" s="25" t="s">
        <v>153</v>
      </c>
      <c r="AG130" s="11" t="s">
        <v>58</v>
      </c>
      <c r="AH130" s="11" t="s">
        <v>57</v>
      </c>
    </row>
    <row r="131" spans="1:34" x14ac:dyDescent="0.25">
      <c r="A131">
        <v>267800</v>
      </c>
      <c r="B131" t="s">
        <v>53</v>
      </c>
      <c r="C131">
        <v>0</v>
      </c>
      <c r="D131">
        <v>1</v>
      </c>
      <c r="E131">
        <v>0</v>
      </c>
      <c r="F131">
        <v>2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O131">
        <v>0</v>
      </c>
      <c r="P131">
        <v>0</v>
      </c>
      <c r="Q131">
        <v>0</v>
      </c>
      <c r="R131">
        <v>2</v>
      </c>
      <c r="S131">
        <v>0</v>
      </c>
      <c r="T131">
        <v>0</v>
      </c>
      <c r="U131">
        <v>0</v>
      </c>
      <c r="V131">
        <v>0</v>
      </c>
      <c r="W131" t="s">
        <v>26</v>
      </c>
      <c r="X131" s="10"/>
      <c r="Y131" s="10">
        <v>43336</v>
      </c>
      <c r="Z131" s="11"/>
      <c r="AA131" s="11"/>
      <c r="AB131" s="11"/>
      <c r="AC131" s="11"/>
      <c r="AD131" s="11"/>
      <c r="AE131" s="25">
        <v>3</v>
      </c>
      <c r="AF131" s="25" t="s">
        <v>153</v>
      </c>
      <c r="AG131" s="11" t="s">
        <v>58</v>
      </c>
      <c r="AH131" s="11" t="s">
        <v>57</v>
      </c>
    </row>
    <row r="132" spans="1:34" x14ac:dyDescent="0.25">
      <c r="A132">
        <v>224836</v>
      </c>
      <c r="B132" t="s">
        <v>23</v>
      </c>
      <c r="C132">
        <v>0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0</v>
      </c>
      <c r="O132">
        <v>0</v>
      </c>
      <c r="P132">
        <v>0</v>
      </c>
      <c r="Q132">
        <v>0</v>
      </c>
      <c r="R132">
        <v>1</v>
      </c>
      <c r="S132">
        <v>0</v>
      </c>
      <c r="T132">
        <v>0</v>
      </c>
      <c r="U132">
        <v>0</v>
      </c>
      <c r="V132">
        <v>2</v>
      </c>
      <c r="W132" t="s">
        <v>26</v>
      </c>
      <c r="X132" s="10"/>
      <c r="Y132" s="10">
        <v>43336</v>
      </c>
      <c r="Z132" s="11"/>
      <c r="AA132" s="11"/>
      <c r="AB132" s="11"/>
      <c r="AC132" s="11"/>
      <c r="AD132" s="11"/>
      <c r="AE132" s="25">
        <v>4</v>
      </c>
      <c r="AF132" s="25" t="s">
        <v>153</v>
      </c>
      <c r="AG132" s="11" t="s">
        <v>72</v>
      </c>
      <c r="AH132" s="11" t="s">
        <v>71</v>
      </c>
    </row>
    <row r="133" spans="1:34" x14ac:dyDescent="0.25">
      <c r="A133">
        <v>131092</v>
      </c>
      <c r="B133" t="s">
        <v>23</v>
      </c>
      <c r="C133">
        <v>0</v>
      </c>
      <c r="D133">
        <v>2</v>
      </c>
      <c r="E133">
        <v>0</v>
      </c>
      <c r="F133">
        <v>2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O133">
        <v>0</v>
      </c>
      <c r="P133">
        <v>0</v>
      </c>
      <c r="Q133">
        <v>0</v>
      </c>
      <c r="R133">
        <v>1</v>
      </c>
      <c r="S133">
        <v>0</v>
      </c>
      <c r="T133">
        <v>0</v>
      </c>
      <c r="U133">
        <v>0</v>
      </c>
      <c r="V133">
        <v>0</v>
      </c>
      <c r="W133" t="s">
        <v>26</v>
      </c>
      <c r="X133" s="10"/>
      <c r="Y133" s="10">
        <v>43339</v>
      </c>
      <c r="Z133" s="11"/>
      <c r="AA133" s="11"/>
      <c r="AB133" s="11"/>
      <c r="AC133" s="11"/>
      <c r="AD133" s="11"/>
      <c r="AE133" s="25">
        <v>3</v>
      </c>
      <c r="AF133" s="25" t="s">
        <v>153</v>
      </c>
      <c r="AG133" s="11" t="s">
        <v>58</v>
      </c>
      <c r="AH133" s="11" t="s">
        <v>65</v>
      </c>
    </row>
    <row r="134" spans="1:34" x14ac:dyDescent="0.25">
      <c r="A134">
        <v>151064</v>
      </c>
      <c r="B134" t="s">
        <v>23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O134">
        <v>0</v>
      </c>
      <c r="P134">
        <v>0</v>
      </c>
      <c r="Q134">
        <v>0</v>
      </c>
      <c r="R134">
        <v>2</v>
      </c>
      <c r="S134">
        <v>0</v>
      </c>
      <c r="T134">
        <v>0</v>
      </c>
      <c r="U134">
        <v>0</v>
      </c>
      <c r="V134">
        <v>0</v>
      </c>
      <c r="W134" t="s">
        <v>26</v>
      </c>
      <c r="X134" s="10"/>
      <c r="Y134" s="10">
        <v>43339</v>
      </c>
      <c r="Z134" s="11"/>
      <c r="AA134" s="11"/>
      <c r="AB134" s="11"/>
      <c r="AC134" s="11"/>
      <c r="AD134" s="11"/>
      <c r="AE134" s="25">
        <v>1</v>
      </c>
      <c r="AF134" s="25" t="s">
        <v>153</v>
      </c>
      <c r="AG134" s="11" t="s">
        <v>72</v>
      </c>
      <c r="AH134" s="11" t="s">
        <v>61</v>
      </c>
    </row>
    <row r="135" spans="1:34" x14ac:dyDescent="0.25">
      <c r="A135">
        <v>167024</v>
      </c>
      <c r="B135" t="s">
        <v>23</v>
      </c>
      <c r="C135">
        <v>0</v>
      </c>
      <c r="D135">
        <v>2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O135">
        <v>0</v>
      </c>
      <c r="P135">
        <v>0</v>
      </c>
      <c r="Q135">
        <v>0</v>
      </c>
      <c r="R135">
        <v>2</v>
      </c>
      <c r="S135">
        <v>0</v>
      </c>
      <c r="T135">
        <v>0</v>
      </c>
      <c r="U135">
        <v>0</v>
      </c>
      <c r="V135">
        <v>0</v>
      </c>
      <c r="W135" t="s">
        <v>26</v>
      </c>
      <c r="X135" s="10"/>
      <c r="Y135" s="10">
        <v>43339</v>
      </c>
      <c r="Z135" s="11"/>
      <c r="AA135" s="11"/>
      <c r="AB135" s="11"/>
      <c r="AC135" s="11"/>
      <c r="AD135" s="11"/>
      <c r="AE135" s="25">
        <v>3</v>
      </c>
      <c r="AF135" s="25" t="s">
        <v>153</v>
      </c>
      <c r="AG135" s="11" t="s">
        <v>72</v>
      </c>
      <c r="AH135" s="11" t="s">
        <v>84</v>
      </c>
    </row>
    <row r="136" spans="1:34" x14ac:dyDescent="0.25">
      <c r="A136">
        <v>178443</v>
      </c>
      <c r="B136" t="s">
        <v>23</v>
      </c>
      <c r="C136">
        <v>0</v>
      </c>
      <c r="D136">
        <v>0</v>
      </c>
      <c r="E136">
        <v>2</v>
      </c>
      <c r="F136">
        <v>0</v>
      </c>
      <c r="G136">
        <v>0</v>
      </c>
      <c r="H136">
        <v>0</v>
      </c>
      <c r="I136">
        <v>0</v>
      </c>
      <c r="J136">
        <v>1</v>
      </c>
      <c r="K136">
        <v>1</v>
      </c>
      <c r="L136">
        <v>0</v>
      </c>
      <c r="M136">
        <v>2</v>
      </c>
      <c r="O136">
        <v>0</v>
      </c>
      <c r="P136">
        <v>0</v>
      </c>
      <c r="Q136">
        <v>0</v>
      </c>
      <c r="R136">
        <v>1</v>
      </c>
      <c r="S136">
        <v>0</v>
      </c>
      <c r="T136">
        <v>0</v>
      </c>
      <c r="U136">
        <v>0</v>
      </c>
      <c r="V136">
        <v>0</v>
      </c>
      <c r="W136" t="s">
        <v>26</v>
      </c>
      <c r="X136" s="10"/>
      <c r="Y136" s="10">
        <v>43339</v>
      </c>
      <c r="Z136" s="11"/>
      <c r="AA136" s="11"/>
      <c r="AB136" s="11"/>
      <c r="AC136" s="11"/>
      <c r="AD136" s="11"/>
      <c r="AE136" s="25">
        <v>5</v>
      </c>
      <c r="AF136" s="25" t="s">
        <v>153</v>
      </c>
      <c r="AG136" s="11" t="s">
        <v>72</v>
      </c>
      <c r="AH136" s="11" t="s">
        <v>78</v>
      </c>
    </row>
    <row r="137" spans="1:34" x14ac:dyDescent="0.25">
      <c r="A137">
        <v>185412</v>
      </c>
      <c r="B137" t="s">
        <v>23</v>
      </c>
      <c r="C137">
        <v>0</v>
      </c>
      <c r="D137">
        <v>2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3</v>
      </c>
      <c r="L137">
        <v>0</v>
      </c>
      <c r="M137">
        <v>2</v>
      </c>
      <c r="O137">
        <v>0</v>
      </c>
      <c r="P137">
        <v>0</v>
      </c>
      <c r="Q137">
        <v>0</v>
      </c>
      <c r="R137">
        <v>2</v>
      </c>
      <c r="S137">
        <v>0</v>
      </c>
      <c r="T137">
        <v>0</v>
      </c>
      <c r="U137">
        <v>0</v>
      </c>
      <c r="V137">
        <v>0</v>
      </c>
      <c r="W137" t="s">
        <v>26</v>
      </c>
      <c r="X137" s="10"/>
      <c r="Y137" s="10">
        <v>43339</v>
      </c>
      <c r="Z137" s="11"/>
      <c r="AA137" s="11"/>
      <c r="AB137" s="11"/>
      <c r="AC137" s="11"/>
      <c r="AD137" s="11"/>
      <c r="AE137" s="25">
        <v>5</v>
      </c>
      <c r="AF137" s="25" t="s">
        <v>153</v>
      </c>
      <c r="AG137" s="11" t="s">
        <v>72</v>
      </c>
      <c r="AH137" s="11" t="s">
        <v>71</v>
      </c>
    </row>
    <row r="138" spans="1:34" x14ac:dyDescent="0.25">
      <c r="A138">
        <v>208028</v>
      </c>
      <c r="B138" t="s">
        <v>53</v>
      </c>
      <c r="C138">
        <v>0</v>
      </c>
      <c r="D138">
        <v>2</v>
      </c>
      <c r="E138">
        <v>2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3</v>
      </c>
      <c r="L138">
        <v>0</v>
      </c>
      <c r="M138">
        <v>0</v>
      </c>
      <c r="O138">
        <v>0</v>
      </c>
      <c r="P138">
        <v>0</v>
      </c>
      <c r="Q138">
        <v>0</v>
      </c>
      <c r="R138">
        <v>2</v>
      </c>
      <c r="S138">
        <v>0</v>
      </c>
      <c r="T138">
        <v>0</v>
      </c>
      <c r="U138">
        <v>0</v>
      </c>
      <c r="V138">
        <v>0</v>
      </c>
      <c r="W138" t="s">
        <v>26</v>
      </c>
      <c r="X138" s="10"/>
      <c r="Y138" s="10">
        <v>43340</v>
      </c>
      <c r="Z138" s="11"/>
      <c r="AA138" s="11"/>
      <c r="AB138" s="11"/>
      <c r="AC138" s="11"/>
      <c r="AD138" s="11"/>
      <c r="AE138" s="25">
        <v>4</v>
      </c>
      <c r="AF138" s="25" t="s">
        <v>153</v>
      </c>
      <c r="AG138" s="11" t="s">
        <v>58</v>
      </c>
      <c r="AH138" s="11" t="s">
        <v>83</v>
      </c>
    </row>
    <row r="139" spans="1:34" x14ac:dyDescent="0.25">
      <c r="A139">
        <v>218665</v>
      </c>
      <c r="B139" t="s">
        <v>53</v>
      </c>
      <c r="C139">
        <v>0</v>
      </c>
      <c r="D139">
        <v>2</v>
      </c>
      <c r="E139">
        <v>0</v>
      </c>
      <c r="F139">
        <v>2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O139">
        <v>0</v>
      </c>
      <c r="P139">
        <v>0</v>
      </c>
      <c r="Q139">
        <v>0</v>
      </c>
      <c r="R139">
        <v>2</v>
      </c>
      <c r="S139">
        <v>0</v>
      </c>
      <c r="T139">
        <v>0</v>
      </c>
      <c r="U139">
        <v>0</v>
      </c>
      <c r="V139">
        <v>0</v>
      </c>
      <c r="W139" t="s">
        <v>26</v>
      </c>
      <c r="X139" s="10"/>
      <c r="Y139" s="10">
        <v>43340</v>
      </c>
      <c r="Z139" s="11"/>
      <c r="AA139" s="11"/>
      <c r="AB139" s="11"/>
      <c r="AC139" s="11"/>
      <c r="AD139" s="11"/>
      <c r="AE139" s="25">
        <v>3</v>
      </c>
      <c r="AF139" s="25" t="s">
        <v>153</v>
      </c>
      <c r="AG139" s="11" t="s">
        <v>58</v>
      </c>
      <c r="AH139" s="11" t="s">
        <v>65</v>
      </c>
    </row>
    <row r="140" spans="1:34" x14ac:dyDescent="0.25">
      <c r="A140">
        <v>141101</v>
      </c>
      <c r="B140" t="s">
        <v>53</v>
      </c>
      <c r="C140">
        <v>0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O140">
        <v>0</v>
      </c>
      <c r="P140">
        <v>0</v>
      </c>
      <c r="Q140">
        <v>0</v>
      </c>
      <c r="R140">
        <v>2</v>
      </c>
      <c r="S140">
        <v>0</v>
      </c>
      <c r="T140">
        <v>0</v>
      </c>
      <c r="U140">
        <v>0</v>
      </c>
      <c r="V140">
        <v>0</v>
      </c>
      <c r="W140" t="s">
        <v>26</v>
      </c>
      <c r="X140" s="10"/>
      <c r="Y140" s="10">
        <v>43340</v>
      </c>
      <c r="Z140" s="11"/>
      <c r="AA140" s="11"/>
      <c r="AB140" s="11"/>
      <c r="AC140" s="11"/>
      <c r="AD140" s="11"/>
      <c r="AE140" s="25">
        <v>2</v>
      </c>
      <c r="AF140" s="25" t="s">
        <v>153</v>
      </c>
      <c r="AG140" s="11" t="s">
        <v>58</v>
      </c>
      <c r="AH140" s="11" t="s">
        <v>65</v>
      </c>
    </row>
    <row r="141" spans="1:34" x14ac:dyDescent="0.25">
      <c r="A141">
        <v>207216</v>
      </c>
      <c r="B141" t="s">
        <v>53</v>
      </c>
      <c r="C141">
        <v>0</v>
      </c>
      <c r="D141">
        <v>0</v>
      </c>
      <c r="E141">
        <v>2</v>
      </c>
      <c r="F141">
        <v>2</v>
      </c>
      <c r="G141">
        <v>0</v>
      </c>
      <c r="H141">
        <v>0</v>
      </c>
      <c r="I141">
        <v>0</v>
      </c>
      <c r="J141">
        <v>0</v>
      </c>
      <c r="K141">
        <v>3</v>
      </c>
      <c r="L141">
        <v>0</v>
      </c>
      <c r="M141">
        <v>0</v>
      </c>
      <c r="O141">
        <v>0</v>
      </c>
      <c r="P141">
        <v>0</v>
      </c>
      <c r="Q141">
        <v>0</v>
      </c>
      <c r="R141">
        <v>1</v>
      </c>
      <c r="S141">
        <v>0</v>
      </c>
      <c r="T141">
        <v>0</v>
      </c>
      <c r="U141">
        <v>0</v>
      </c>
      <c r="V141">
        <v>0</v>
      </c>
      <c r="W141" t="s">
        <v>26</v>
      </c>
      <c r="X141" s="10"/>
      <c r="Y141" s="10">
        <v>43340</v>
      </c>
      <c r="Z141" s="11"/>
      <c r="AA141" s="11"/>
      <c r="AB141" s="11"/>
      <c r="AC141" s="11"/>
      <c r="AD141" s="11"/>
      <c r="AE141" s="25">
        <v>4</v>
      </c>
      <c r="AF141" s="25" t="s">
        <v>153</v>
      </c>
      <c r="AG141" s="11" t="s">
        <v>58</v>
      </c>
      <c r="AH141" s="11" t="s">
        <v>83</v>
      </c>
    </row>
    <row r="142" spans="1:34" x14ac:dyDescent="0.25">
      <c r="A142">
        <v>223570</v>
      </c>
      <c r="B142" t="s">
        <v>53</v>
      </c>
      <c r="C142">
        <v>0</v>
      </c>
      <c r="D142">
        <v>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2</v>
      </c>
      <c r="O142">
        <v>0</v>
      </c>
      <c r="P142">
        <v>0</v>
      </c>
      <c r="Q142">
        <v>0</v>
      </c>
      <c r="R142">
        <v>3</v>
      </c>
      <c r="S142">
        <v>0</v>
      </c>
      <c r="T142">
        <v>0</v>
      </c>
      <c r="U142">
        <v>0</v>
      </c>
      <c r="V142">
        <v>0</v>
      </c>
      <c r="W142" t="s">
        <v>26</v>
      </c>
      <c r="X142" s="10"/>
      <c r="Y142" s="10">
        <v>43340</v>
      </c>
      <c r="Z142" s="11"/>
      <c r="AA142" s="11"/>
      <c r="AB142" s="11"/>
      <c r="AC142" s="11"/>
      <c r="AD142" s="11"/>
      <c r="AE142" s="25">
        <v>3</v>
      </c>
      <c r="AF142" s="25" t="s">
        <v>153</v>
      </c>
      <c r="AG142" s="11" t="s">
        <v>55</v>
      </c>
      <c r="AH142" s="11" t="s">
        <v>85</v>
      </c>
    </row>
    <row r="143" spans="1:34" x14ac:dyDescent="0.25">
      <c r="A143">
        <v>207196</v>
      </c>
      <c r="B143" t="s">
        <v>53</v>
      </c>
      <c r="C143">
        <v>0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1</v>
      </c>
      <c r="L143">
        <v>0</v>
      </c>
      <c r="M143">
        <v>0</v>
      </c>
      <c r="O143">
        <v>0</v>
      </c>
      <c r="P143">
        <v>0</v>
      </c>
      <c r="Q143">
        <v>0</v>
      </c>
      <c r="R143">
        <v>2</v>
      </c>
      <c r="S143">
        <v>0</v>
      </c>
      <c r="T143">
        <v>0</v>
      </c>
      <c r="U143">
        <v>0</v>
      </c>
      <c r="V143">
        <v>0</v>
      </c>
      <c r="W143" t="s">
        <v>26</v>
      </c>
      <c r="X143" s="10"/>
      <c r="Y143" s="10">
        <v>43340</v>
      </c>
      <c r="Z143" s="11"/>
      <c r="AA143" s="11"/>
      <c r="AB143" s="11"/>
      <c r="AC143" s="11"/>
      <c r="AD143" s="11"/>
      <c r="AE143" s="25">
        <v>3</v>
      </c>
      <c r="AF143" s="25" t="s">
        <v>153</v>
      </c>
      <c r="AG143" s="11" t="s">
        <v>55</v>
      </c>
      <c r="AH143" s="11" t="s">
        <v>63</v>
      </c>
    </row>
    <row r="144" spans="1:34" x14ac:dyDescent="0.25">
      <c r="A144">
        <v>222011</v>
      </c>
      <c r="B144" t="s">
        <v>53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0</v>
      </c>
      <c r="J144">
        <v>2</v>
      </c>
      <c r="K144">
        <v>0</v>
      </c>
      <c r="L144">
        <v>0</v>
      </c>
      <c r="M144">
        <v>0</v>
      </c>
      <c r="O144">
        <v>1</v>
      </c>
      <c r="P144">
        <v>0</v>
      </c>
      <c r="Q144">
        <v>0</v>
      </c>
      <c r="R144">
        <v>2</v>
      </c>
      <c r="S144">
        <v>0</v>
      </c>
      <c r="T144">
        <v>0</v>
      </c>
      <c r="U144">
        <v>0</v>
      </c>
      <c r="V144">
        <v>0</v>
      </c>
      <c r="W144" t="s">
        <v>26</v>
      </c>
      <c r="X144" s="10"/>
      <c r="Y144" s="10">
        <v>43340</v>
      </c>
      <c r="Z144" s="11"/>
      <c r="AA144" s="11"/>
      <c r="AB144" s="11"/>
      <c r="AC144" s="11"/>
      <c r="AD144" s="11"/>
      <c r="AE144" s="25">
        <v>4</v>
      </c>
      <c r="AF144" s="25" t="s">
        <v>153</v>
      </c>
      <c r="AG144" s="11" t="s">
        <v>55</v>
      </c>
      <c r="AH144" s="11" t="s">
        <v>63</v>
      </c>
    </row>
    <row r="145" spans="1:34" x14ac:dyDescent="0.25">
      <c r="A145">
        <v>198255</v>
      </c>
      <c r="B145" t="s">
        <v>23</v>
      </c>
      <c r="C145">
        <v>0</v>
      </c>
      <c r="D145">
        <v>0</v>
      </c>
      <c r="E145">
        <v>0</v>
      </c>
      <c r="F145">
        <v>2</v>
      </c>
      <c r="G145">
        <v>1</v>
      </c>
      <c r="H145">
        <v>0</v>
      </c>
      <c r="I145">
        <v>0</v>
      </c>
      <c r="J145">
        <v>1</v>
      </c>
      <c r="K145">
        <v>3</v>
      </c>
      <c r="L145">
        <v>0</v>
      </c>
      <c r="M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0</v>
      </c>
      <c r="W145" t="s">
        <v>26</v>
      </c>
      <c r="X145" s="10"/>
      <c r="Y145" s="10">
        <v>43340</v>
      </c>
      <c r="Z145" s="11"/>
      <c r="AA145" s="11"/>
      <c r="AB145" s="11"/>
      <c r="AC145" s="11"/>
      <c r="AD145" s="11"/>
      <c r="AE145" s="25">
        <v>5</v>
      </c>
      <c r="AF145" s="25" t="s">
        <v>153</v>
      </c>
      <c r="AG145" s="11" t="s">
        <v>72</v>
      </c>
      <c r="AH145" s="11" t="s">
        <v>75</v>
      </c>
    </row>
    <row r="146" spans="1:34" x14ac:dyDescent="0.25">
      <c r="A146">
        <v>199538</v>
      </c>
      <c r="B146" t="s">
        <v>23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2</v>
      </c>
      <c r="O146">
        <v>0</v>
      </c>
      <c r="P146">
        <v>0</v>
      </c>
      <c r="Q146">
        <v>0</v>
      </c>
      <c r="R146">
        <v>2</v>
      </c>
      <c r="S146">
        <v>0</v>
      </c>
      <c r="T146">
        <v>0</v>
      </c>
      <c r="U146">
        <v>0</v>
      </c>
      <c r="V146">
        <v>0</v>
      </c>
      <c r="W146" t="s">
        <v>26</v>
      </c>
      <c r="X146" s="10"/>
      <c r="Y146" s="10">
        <v>43340</v>
      </c>
      <c r="Z146" s="11"/>
      <c r="AA146" s="11"/>
      <c r="AB146" s="11"/>
      <c r="AC146" s="11"/>
      <c r="AD146" s="11"/>
      <c r="AE146" s="25">
        <v>3</v>
      </c>
      <c r="AF146" s="25" t="s">
        <v>153</v>
      </c>
      <c r="AG146" s="11" t="s">
        <v>72</v>
      </c>
      <c r="AH146" s="11" t="s">
        <v>74</v>
      </c>
    </row>
    <row r="147" spans="1:34" x14ac:dyDescent="0.25">
      <c r="A147">
        <v>206976</v>
      </c>
      <c r="B147" t="s">
        <v>53</v>
      </c>
      <c r="C147">
        <v>0</v>
      </c>
      <c r="D147">
        <v>0</v>
      </c>
      <c r="E147">
        <v>0</v>
      </c>
      <c r="F147">
        <v>1</v>
      </c>
      <c r="G147">
        <v>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O147">
        <v>0</v>
      </c>
      <c r="P147">
        <v>0</v>
      </c>
      <c r="Q147">
        <v>0</v>
      </c>
      <c r="R147">
        <v>1</v>
      </c>
      <c r="S147">
        <v>0</v>
      </c>
      <c r="T147">
        <v>0</v>
      </c>
      <c r="U147">
        <v>0</v>
      </c>
      <c r="V147">
        <v>0</v>
      </c>
      <c r="W147" t="s">
        <v>26</v>
      </c>
      <c r="X147" s="10"/>
      <c r="Y147" s="10">
        <v>43341</v>
      </c>
      <c r="Z147" s="11"/>
      <c r="AA147" s="11"/>
      <c r="AB147" s="11"/>
      <c r="AC147" s="11"/>
      <c r="AD147" s="11"/>
      <c r="AE147" s="25">
        <v>3</v>
      </c>
      <c r="AF147" s="25" t="s">
        <v>153</v>
      </c>
      <c r="AG147" s="11" t="s">
        <v>55</v>
      </c>
      <c r="AH147" s="11" t="s">
        <v>86</v>
      </c>
    </row>
    <row r="148" spans="1:34" x14ac:dyDescent="0.25">
      <c r="A148">
        <v>188488</v>
      </c>
      <c r="B148" t="s">
        <v>53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O148">
        <v>0</v>
      </c>
      <c r="P148">
        <v>0</v>
      </c>
      <c r="Q148">
        <v>0</v>
      </c>
      <c r="R148">
        <v>2</v>
      </c>
      <c r="S148">
        <v>0</v>
      </c>
      <c r="T148">
        <v>0</v>
      </c>
      <c r="U148">
        <v>0</v>
      </c>
      <c r="V148">
        <v>0</v>
      </c>
      <c r="W148" t="s">
        <v>26</v>
      </c>
      <c r="X148" s="10"/>
      <c r="Y148" s="10">
        <v>43341</v>
      </c>
      <c r="Z148" s="11"/>
      <c r="AA148" s="11"/>
      <c r="AB148" s="11"/>
      <c r="AC148" s="11"/>
      <c r="AD148" s="11"/>
      <c r="AE148" s="25">
        <v>1</v>
      </c>
      <c r="AF148" s="25" t="s">
        <v>153</v>
      </c>
      <c r="AG148" s="11" t="s">
        <v>58</v>
      </c>
      <c r="AH148" s="11" t="s">
        <v>66</v>
      </c>
    </row>
    <row r="149" spans="1:34" x14ac:dyDescent="0.25">
      <c r="A149">
        <v>153316</v>
      </c>
      <c r="B149" t="s">
        <v>23</v>
      </c>
      <c r="C149">
        <v>0</v>
      </c>
      <c r="D149">
        <v>1</v>
      </c>
      <c r="E149">
        <v>2</v>
      </c>
      <c r="F149">
        <v>0</v>
      </c>
      <c r="G149">
        <v>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 t="s">
        <v>56</v>
      </c>
      <c r="X149" s="10"/>
      <c r="Y149" s="10">
        <v>43341</v>
      </c>
      <c r="Z149" s="11"/>
      <c r="AA149" s="11"/>
      <c r="AB149" s="11"/>
      <c r="AC149" s="11"/>
      <c r="AD149" s="11"/>
      <c r="AE149" s="25">
        <v>3</v>
      </c>
      <c r="AF149" s="25" t="s">
        <v>153</v>
      </c>
      <c r="AG149" s="11" t="s">
        <v>72</v>
      </c>
      <c r="AH149" s="11" t="s">
        <v>61</v>
      </c>
    </row>
    <row r="150" spans="1:34" x14ac:dyDescent="0.25">
      <c r="A150">
        <v>136086</v>
      </c>
      <c r="B150" t="s">
        <v>23</v>
      </c>
      <c r="C150">
        <v>0</v>
      </c>
      <c r="D150">
        <v>0</v>
      </c>
      <c r="E150">
        <v>2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2</v>
      </c>
      <c r="W150" t="s">
        <v>56</v>
      </c>
      <c r="X150" s="10"/>
      <c r="Y150" s="10">
        <v>43341</v>
      </c>
      <c r="Z150" s="11"/>
      <c r="AA150" s="11"/>
      <c r="AB150" s="11"/>
      <c r="AC150" s="11"/>
      <c r="AD150" s="11"/>
      <c r="AE150" s="25">
        <v>3</v>
      </c>
      <c r="AF150" s="25" t="s">
        <v>153</v>
      </c>
      <c r="AG150" s="11" t="s">
        <v>72</v>
      </c>
      <c r="AH150" s="11" t="s">
        <v>78</v>
      </c>
    </row>
    <row r="151" spans="1:34" x14ac:dyDescent="0.25">
      <c r="A151">
        <v>201848</v>
      </c>
      <c r="B151" t="s">
        <v>53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O151">
        <v>0</v>
      </c>
      <c r="P151">
        <v>0</v>
      </c>
      <c r="Q151">
        <v>0</v>
      </c>
      <c r="R151">
        <v>3</v>
      </c>
      <c r="S151">
        <v>0</v>
      </c>
      <c r="T151">
        <v>0</v>
      </c>
      <c r="U151">
        <v>0</v>
      </c>
      <c r="V151">
        <v>0</v>
      </c>
      <c r="W151" t="s">
        <v>26</v>
      </c>
      <c r="X151" s="10"/>
      <c r="Y151" s="10">
        <v>43342</v>
      </c>
      <c r="Z151" s="11"/>
      <c r="AA151" s="11"/>
      <c r="AB151" s="11"/>
      <c r="AC151" s="11"/>
      <c r="AD151" s="11"/>
      <c r="AE151" s="25">
        <v>1</v>
      </c>
      <c r="AF151" s="25" t="s">
        <v>153</v>
      </c>
      <c r="AG151" s="11" t="s">
        <v>58</v>
      </c>
      <c r="AH151" s="11" t="s">
        <v>64</v>
      </c>
    </row>
    <row r="152" spans="1:34" x14ac:dyDescent="0.25">
      <c r="A152">
        <v>189543</v>
      </c>
      <c r="B152" t="s">
        <v>53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O152">
        <v>0</v>
      </c>
      <c r="P152">
        <v>0</v>
      </c>
      <c r="Q152">
        <v>0</v>
      </c>
      <c r="R152">
        <v>2</v>
      </c>
      <c r="S152">
        <v>0</v>
      </c>
      <c r="T152">
        <v>0</v>
      </c>
      <c r="U152">
        <v>0</v>
      </c>
      <c r="V152">
        <v>0</v>
      </c>
      <c r="W152" t="s">
        <v>26</v>
      </c>
      <c r="X152" s="10"/>
      <c r="Y152" s="10">
        <v>43342</v>
      </c>
      <c r="Z152" s="11"/>
      <c r="AA152" s="11"/>
      <c r="AB152" s="11"/>
      <c r="AC152" s="11"/>
      <c r="AD152" s="11"/>
      <c r="AE152" s="25">
        <v>1</v>
      </c>
      <c r="AF152" s="25" t="s">
        <v>153</v>
      </c>
      <c r="AG152" s="11" t="s">
        <v>55</v>
      </c>
      <c r="AH152" s="11" t="s">
        <v>68</v>
      </c>
    </row>
    <row r="153" spans="1:34" x14ac:dyDescent="0.25">
      <c r="A153">
        <v>110379</v>
      </c>
      <c r="B153" t="s">
        <v>53</v>
      </c>
      <c r="C153">
        <v>0</v>
      </c>
      <c r="D153">
        <v>0</v>
      </c>
      <c r="E153">
        <v>0</v>
      </c>
      <c r="F153">
        <v>2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O153">
        <v>0</v>
      </c>
      <c r="P153">
        <v>0</v>
      </c>
      <c r="Q153">
        <v>0</v>
      </c>
      <c r="R153">
        <v>3</v>
      </c>
      <c r="S153">
        <v>0</v>
      </c>
      <c r="T153">
        <v>0</v>
      </c>
      <c r="U153">
        <v>0</v>
      </c>
      <c r="V153">
        <v>0</v>
      </c>
      <c r="W153" t="s">
        <v>26</v>
      </c>
      <c r="X153" s="10"/>
      <c r="Y153" s="10">
        <v>43343</v>
      </c>
      <c r="Z153" s="11"/>
      <c r="AA153" s="11"/>
      <c r="AB153" s="11"/>
      <c r="AC153" s="11"/>
      <c r="AD153" s="11"/>
      <c r="AE153" s="25">
        <v>3</v>
      </c>
      <c r="AF153" s="25" t="s">
        <v>153</v>
      </c>
      <c r="AG153" s="11" t="s">
        <v>55</v>
      </c>
      <c r="AH153" s="11" t="s">
        <v>82</v>
      </c>
    </row>
    <row r="154" spans="1:34" x14ac:dyDescent="0.25">
      <c r="A154">
        <v>164753</v>
      </c>
      <c r="B154" t="s">
        <v>53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O154">
        <v>0</v>
      </c>
      <c r="P154">
        <v>0</v>
      </c>
      <c r="Q154">
        <v>0</v>
      </c>
      <c r="R154">
        <v>3</v>
      </c>
      <c r="S154">
        <v>0</v>
      </c>
      <c r="T154">
        <v>0</v>
      </c>
      <c r="U154">
        <v>0</v>
      </c>
      <c r="V154">
        <v>0</v>
      </c>
      <c r="W154" t="s">
        <v>26</v>
      </c>
      <c r="X154" s="10"/>
      <c r="Y154" s="10">
        <v>43346</v>
      </c>
      <c r="Z154" s="11"/>
      <c r="AA154" s="11"/>
      <c r="AB154" s="11"/>
      <c r="AC154" s="11"/>
      <c r="AD154" s="11"/>
      <c r="AE154" s="25">
        <v>1</v>
      </c>
      <c r="AF154" s="25" t="s">
        <v>153</v>
      </c>
      <c r="AG154" s="11" t="s">
        <v>55</v>
      </c>
      <c r="AH154" s="11" t="s">
        <v>69</v>
      </c>
    </row>
    <row r="155" spans="1:34" x14ac:dyDescent="0.25">
      <c r="A155">
        <v>165414</v>
      </c>
      <c r="B155" t="s">
        <v>23</v>
      </c>
      <c r="C155">
        <v>0</v>
      </c>
      <c r="D155">
        <v>0</v>
      </c>
      <c r="E155">
        <v>2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O155">
        <v>0</v>
      </c>
      <c r="P155">
        <v>0</v>
      </c>
      <c r="Q155">
        <v>0</v>
      </c>
      <c r="R155">
        <v>4</v>
      </c>
      <c r="S155">
        <v>0</v>
      </c>
      <c r="T155">
        <v>0</v>
      </c>
      <c r="U155">
        <v>0</v>
      </c>
      <c r="V155">
        <v>0</v>
      </c>
      <c r="W155" t="s">
        <v>26</v>
      </c>
      <c r="X155" s="10"/>
      <c r="Y155" s="10">
        <v>43346</v>
      </c>
      <c r="Z155" s="11"/>
      <c r="AA155" s="11"/>
      <c r="AB155" s="11"/>
      <c r="AC155" s="11"/>
      <c r="AD155" s="11"/>
      <c r="AE155" s="25">
        <v>3</v>
      </c>
      <c r="AF155" s="25" t="s">
        <v>153</v>
      </c>
      <c r="AG155" s="11" t="s">
        <v>72</v>
      </c>
      <c r="AH155" s="11" t="s">
        <v>79</v>
      </c>
    </row>
    <row r="156" spans="1:34" x14ac:dyDescent="0.25">
      <c r="A156">
        <v>208930</v>
      </c>
      <c r="B156" t="s">
        <v>23</v>
      </c>
      <c r="C156">
        <v>0</v>
      </c>
      <c r="D156">
        <v>0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3</v>
      </c>
      <c r="L156">
        <v>0</v>
      </c>
      <c r="M156">
        <v>0</v>
      </c>
      <c r="O156">
        <v>0</v>
      </c>
      <c r="P156">
        <v>0</v>
      </c>
      <c r="Q156">
        <v>0</v>
      </c>
      <c r="R156">
        <v>2</v>
      </c>
      <c r="S156">
        <v>0</v>
      </c>
      <c r="T156">
        <v>0</v>
      </c>
      <c r="U156">
        <v>0</v>
      </c>
      <c r="V156">
        <v>0</v>
      </c>
      <c r="W156" t="s">
        <v>26</v>
      </c>
      <c r="X156" s="10"/>
      <c r="Y156" s="10">
        <v>43346</v>
      </c>
      <c r="Z156" s="11"/>
      <c r="AA156" s="11"/>
      <c r="AB156" s="11"/>
      <c r="AC156" s="11"/>
      <c r="AD156" s="11"/>
      <c r="AE156" s="25">
        <v>3</v>
      </c>
      <c r="AF156" s="25" t="s">
        <v>153</v>
      </c>
      <c r="AG156" s="11" t="s">
        <v>72</v>
      </c>
      <c r="AH156" s="11" t="s">
        <v>74</v>
      </c>
    </row>
    <row r="157" spans="1:34" x14ac:dyDescent="0.25">
      <c r="A157">
        <v>133718</v>
      </c>
      <c r="B157" t="s">
        <v>53</v>
      </c>
      <c r="C157">
        <v>0</v>
      </c>
      <c r="D157">
        <v>0</v>
      </c>
      <c r="E157">
        <v>0</v>
      </c>
      <c r="F157">
        <v>2</v>
      </c>
      <c r="G157">
        <v>0</v>
      </c>
      <c r="H157">
        <v>0</v>
      </c>
      <c r="I157">
        <v>0</v>
      </c>
      <c r="J157">
        <v>0</v>
      </c>
      <c r="K157">
        <v>1</v>
      </c>
      <c r="L157">
        <v>2</v>
      </c>
      <c r="M157">
        <v>0</v>
      </c>
      <c r="O157">
        <v>0</v>
      </c>
      <c r="P157">
        <v>0</v>
      </c>
      <c r="Q157">
        <v>0</v>
      </c>
      <c r="R157">
        <v>2</v>
      </c>
      <c r="S157">
        <v>0</v>
      </c>
      <c r="T157">
        <v>0</v>
      </c>
      <c r="U157">
        <v>0</v>
      </c>
      <c r="V157">
        <v>0</v>
      </c>
      <c r="W157" t="s">
        <v>26</v>
      </c>
      <c r="X157" s="10"/>
      <c r="Y157" s="10">
        <v>43347</v>
      </c>
      <c r="Z157" s="11"/>
      <c r="AA157" s="11"/>
      <c r="AB157" s="11"/>
      <c r="AC157" s="11"/>
      <c r="AD157" s="11"/>
      <c r="AE157" s="25">
        <v>4</v>
      </c>
      <c r="AF157" s="25" t="s">
        <v>153</v>
      </c>
      <c r="AG157" s="11" t="s">
        <v>60</v>
      </c>
      <c r="AH157" s="11" t="s">
        <v>62</v>
      </c>
    </row>
    <row r="158" spans="1:34" x14ac:dyDescent="0.25">
      <c r="A158">
        <v>130302</v>
      </c>
      <c r="B158" t="s">
        <v>53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O158">
        <v>0</v>
      </c>
      <c r="P158">
        <v>0</v>
      </c>
      <c r="Q158">
        <v>0</v>
      </c>
      <c r="R158">
        <v>3</v>
      </c>
      <c r="S158">
        <v>0</v>
      </c>
      <c r="T158">
        <v>0</v>
      </c>
      <c r="U158">
        <v>0</v>
      </c>
      <c r="V158">
        <v>0</v>
      </c>
      <c r="W158" t="s">
        <v>26</v>
      </c>
      <c r="X158" s="10"/>
      <c r="Y158" s="10">
        <v>43347</v>
      </c>
      <c r="Z158" s="11"/>
      <c r="AA158" s="11"/>
      <c r="AB158" s="11"/>
      <c r="AC158" s="11"/>
      <c r="AD158" s="11"/>
      <c r="AE158" s="25">
        <v>1</v>
      </c>
      <c r="AF158" s="25" t="s">
        <v>153</v>
      </c>
      <c r="AG158" s="11" t="s">
        <v>60</v>
      </c>
      <c r="AH158" s="11" t="s">
        <v>62</v>
      </c>
    </row>
    <row r="159" spans="1:34" x14ac:dyDescent="0.25">
      <c r="A159">
        <v>128560</v>
      </c>
      <c r="B159" t="s">
        <v>23</v>
      </c>
      <c r="C159">
        <v>0</v>
      </c>
      <c r="D159">
        <v>0</v>
      </c>
      <c r="E159">
        <v>2</v>
      </c>
      <c r="F159">
        <v>0</v>
      </c>
      <c r="G159">
        <v>2</v>
      </c>
      <c r="H159">
        <v>2</v>
      </c>
      <c r="I159">
        <v>0</v>
      </c>
      <c r="J159">
        <v>0</v>
      </c>
      <c r="K159">
        <v>0</v>
      </c>
      <c r="L159">
        <v>0</v>
      </c>
      <c r="M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 t="s">
        <v>26</v>
      </c>
      <c r="X159" s="10"/>
      <c r="Y159" s="10">
        <v>43347</v>
      </c>
      <c r="Z159" s="11"/>
      <c r="AA159" s="11"/>
      <c r="AB159" s="11"/>
      <c r="AC159" s="11"/>
      <c r="AD159" s="11"/>
      <c r="AE159" s="25">
        <v>3</v>
      </c>
      <c r="AF159" s="25" t="s">
        <v>153</v>
      </c>
      <c r="AG159" s="11" t="s">
        <v>72</v>
      </c>
      <c r="AH159" s="11" t="s">
        <v>75</v>
      </c>
    </row>
    <row r="160" spans="1:34" x14ac:dyDescent="0.25">
      <c r="A160">
        <v>133828</v>
      </c>
      <c r="B160" t="s">
        <v>23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O160">
        <v>0</v>
      </c>
      <c r="P160">
        <v>0</v>
      </c>
      <c r="Q160">
        <v>0</v>
      </c>
      <c r="R160">
        <v>2</v>
      </c>
      <c r="S160">
        <v>0</v>
      </c>
      <c r="T160">
        <v>0</v>
      </c>
      <c r="U160">
        <v>0</v>
      </c>
      <c r="V160">
        <v>0</v>
      </c>
      <c r="W160" t="s">
        <v>26</v>
      </c>
      <c r="X160" s="10"/>
      <c r="Y160" s="10">
        <v>43347</v>
      </c>
      <c r="Z160" s="11"/>
      <c r="AA160" s="11"/>
      <c r="AB160" s="11"/>
      <c r="AC160" s="11"/>
      <c r="AD160" s="11"/>
      <c r="AE160" s="25">
        <v>2</v>
      </c>
      <c r="AF160" s="25" t="s">
        <v>153</v>
      </c>
      <c r="AG160" s="11" t="s">
        <v>72</v>
      </c>
      <c r="AH160" s="11" t="s">
        <v>87</v>
      </c>
    </row>
    <row r="161" spans="1:34" x14ac:dyDescent="0.25">
      <c r="A161">
        <v>215565</v>
      </c>
      <c r="B161" t="s">
        <v>23</v>
      </c>
      <c r="C161">
        <v>0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O161">
        <v>0</v>
      </c>
      <c r="P161">
        <v>0</v>
      </c>
      <c r="Q161">
        <v>0</v>
      </c>
      <c r="R161">
        <v>2</v>
      </c>
      <c r="S161">
        <v>0</v>
      </c>
      <c r="T161">
        <v>0</v>
      </c>
      <c r="U161">
        <v>0</v>
      </c>
      <c r="V161">
        <v>0</v>
      </c>
      <c r="W161" t="s">
        <v>26</v>
      </c>
      <c r="X161" s="10"/>
      <c r="Y161" s="10">
        <v>43348</v>
      </c>
      <c r="Z161" s="11"/>
      <c r="AA161" s="11"/>
      <c r="AB161" s="11"/>
      <c r="AC161" s="11"/>
      <c r="AD161" s="11"/>
      <c r="AE161" s="25">
        <v>2</v>
      </c>
      <c r="AF161" s="25" t="s">
        <v>153</v>
      </c>
      <c r="AG161" s="11" t="s">
        <v>72</v>
      </c>
      <c r="AH161" s="11" t="s">
        <v>74</v>
      </c>
    </row>
    <row r="162" spans="1:34" x14ac:dyDescent="0.25">
      <c r="A162">
        <v>136866</v>
      </c>
      <c r="B162" t="s">
        <v>23</v>
      </c>
      <c r="C162">
        <v>0</v>
      </c>
      <c r="D162">
        <v>2</v>
      </c>
      <c r="E162">
        <v>2</v>
      </c>
      <c r="F162">
        <v>2</v>
      </c>
      <c r="G162">
        <v>1</v>
      </c>
      <c r="H162">
        <v>2</v>
      </c>
      <c r="I162">
        <v>0</v>
      </c>
      <c r="J162">
        <v>1</v>
      </c>
      <c r="K162">
        <v>0</v>
      </c>
      <c r="L162">
        <v>0</v>
      </c>
      <c r="M162">
        <v>0</v>
      </c>
      <c r="O162">
        <v>0</v>
      </c>
      <c r="P162">
        <v>0</v>
      </c>
      <c r="Q162">
        <v>0</v>
      </c>
      <c r="R162">
        <v>1</v>
      </c>
      <c r="S162">
        <v>0</v>
      </c>
      <c r="T162">
        <v>0</v>
      </c>
      <c r="U162">
        <v>0</v>
      </c>
      <c r="V162">
        <v>0</v>
      </c>
      <c r="W162" t="s">
        <v>26</v>
      </c>
      <c r="X162" s="10"/>
      <c r="Y162" s="10">
        <v>43348</v>
      </c>
      <c r="Z162" s="11"/>
      <c r="AA162" s="11"/>
      <c r="AB162" s="11"/>
      <c r="AC162" s="11"/>
      <c r="AD162" s="11"/>
      <c r="AE162" s="25">
        <v>7</v>
      </c>
      <c r="AF162" s="25" t="s">
        <v>153</v>
      </c>
      <c r="AG162" s="11" t="s">
        <v>72</v>
      </c>
      <c r="AH162" s="11" t="s">
        <v>71</v>
      </c>
    </row>
    <row r="163" spans="1:34" x14ac:dyDescent="0.25">
      <c r="A163">
        <v>158307</v>
      </c>
      <c r="B163" t="s">
        <v>53</v>
      </c>
      <c r="C163">
        <v>0</v>
      </c>
      <c r="D163">
        <v>0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2</v>
      </c>
      <c r="K163">
        <v>0</v>
      </c>
      <c r="L163">
        <v>0</v>
      </c>
      <c r="M163">
        <v>0</v>
      </c>
      <c r="O163">
        <v>0</v>
      </c>
      <c r="P163">
        <v>0</v>
      </c>
      <c r="Q163">
        <v>0</v>
      </c>
      <c r="R163">
        <v>3</v>
      </c>
      <c r="S163">
        <v>0</v>
      </c>
      <c r="T163">
        <v>0</v>
      </c>
      <c r="U163">
        <v>0</v>
      </c>
      <c r="V163">
        <v>0</v>
      </c>
      <c r="W163" t="s">
        <v>56</v>
      </c>
      <c r="X163" s="10"/>
      <c r="Y163" s="10">
        <v>43343</v>
      </c>
      <c r="Z163" s="11"/>
      <c r="AA163" s="11"/>
      <c r="AB163" s="11"/>
      <c r="AC163" s="11"/>
      <c r="AD163" s="11"/>
      <c r="AE163" s="25">
        <v>3</v>
      </c>
      <c r="AF163" s="25" t="s">
        <v>153</v>
      </c>
      <c r="AG163" s="11" t="s">
        <v>58</v>
      </c>
      <c r="AH163" s="11" t="s">
        <v>77</v>
      </c>
    </row>
    <row r="164" spans="1:34" x14ac:dyDescent="0.25">
      <c r="A164">
        <v>141759</v>
      </c>
      <c r="B164" t="s">
        <v>53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O164">
        <v>0</v>
      </c>
      <c r="P164">
        <v>0</v>
      </c>
      <c r="Q164">
        <v>0</v>
      </c>
      <c r="R164">
        <v>2</v>
      </c>
      <c r="S164">
        <v>0</v>
      </c>
      <c r="T164">
        <v>0</v>
      </c>
      <c r="U164">
        <v>0</v>
      </c>
      <c r="V164">
        <v>0</v>
      </c>
      <c r="W164" t="s">
        <v>56</v>
      </c>
      <c r="X164" s="10"/>
      <c r="Y164" s="10">
        <v>43346</v>
      </c>
      <c r="Z164" s="11"/>
      <c r="AA164" s="11"/>
      <c r="AB164" s="11"/>
      <c r="AC164" s="11"/>
      <c r="AD164" s="11"/>
      <c r="AE164" s="25">
        <v>1</v>
      </c>
      <c r="AF164" s="25" t="s">
        <v>153</v>
      </c>
      <c r="AG164" s="11" t="s">
        <v>64</v>
      </c>
      <c r="AH164" s="11" t="s">
        <v>64</v>
      </c>
    </row>
    <row r="165" spans="1:34" x14ac:dyDescent="0.25">
      <c r="A165">
        <v>209347</v>
      </c>
      <c r="B165" t="s">
        <v>53</v>
      </c>
      <c r="C165">
        <v>0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O165">
        <v>0</v>
      </c>
      <c r="P165">
        <v>0</v>
      </c>
      <c r="Q165">
        <v>0</v>
      </c>
      <c r="R165">
        <v>3</v>
      </c>
      <c r="S165">
        <v>0</v>
      </c>
      <c r="T165">
        <v>0</v>
      </c>
      <c r="U165">
        <v>0</v>
      </c>
      <c r="V165">
        <v>0</v>
      </c>
      <c r="W165" t="s">
        <v>26</v>
      </c>
      <c r="X165" s="10"/>
      <c r="Y165" s="10">
        <v>43350</v>
      </c>
      <c r="Z165" s="11"/>
      <c r="AA165" s="11"/>
      <c r="AB165" s="11"/>
      <c r="AC165" s="11"/>
      <c r="AD165" s="11"/>
      <c r="AE165" s="25">
        <v>2</v>
      </c>
      <c r="AF165" s="25" t="s">
        <v>153</v>
      </c>
      <c r="AG165" s="11" t="s">
        <v>58</v>
      </c>
      <c r="AH165" s="11" t="s">
        <v>65</v>
      </c>
    </row>
    <row r="166" spans="1:34" x14ac:dyDescent="0.25">
      <c r="A166">
        <v>174575</v>
      </c>
      <c r="B166" t="s">
        <v>23</v>
      </c>
      <c r="C166">
        <v>0</v>
      </c>
      <c r="D166">
        <v>0</v>
      </c>
      <c r="E166">
        <v>2</v>
      </c>
      <c r="F166">
        <v>2</v>
      </c>
      <c r="G166">
        <v>0</v>
      </c>
      <c r="H166">
        <v>0</v>
      </c>
      <c r="I166">
        <v>0</v>
      </c>
      <c r="J166">
        <v>1</v>
      </c>
      <c r="K166">
        <v>1</v>
      </c>
      <c r="L166">
        <v>2</v>
      </c>
      <c r="M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 t="s">
        <v>26</v>
      </c>
      <c r="X166" s="10"/>
      <c r="Y166" s="10">
        <v>43350</v>
      </c>
      <c r="Z166" s="11"/>
      <c r="AA166" s="11"/>
      <c r="AB166" s="11"/>
      <c r="AC166" s="11"/>
      <c r="AD166" s="11"/>
      <c r="AE166" s="25">
        <v>5</v>
      </c>
      <c r="AF166" s="25" t="s">
        <v>153</v>
      </c>
      <c r="AG166" s="11" t="s">
        <v>72</v>
      </c>
      <c r="AH166" s="11" t="s">
        <v>87</v>
      </c>
    </row>
    <row r="167" spans="1:34" x14ac:dyDescent="0.25">
      <c r="A167">
        <v>215007</v>
      </c>
      <c r="B167" t="s">
        <v>23</v>
      </c>
      <c r="C167">
        <v>0</v>
      </c>
      <c r="D167">
        <v>0</v>
      </c>
      <c r="E167">
        <v>0</v>
      </c>
      <c r="F167">
        <v>2</v>
      </c>
      <c r="G167">
        <v>0</v>
      </c>
      <c r="H167">
        <v>0</v>
      </c>
      <c r="I167">
        <v>0</v>
      </c>
      <c r="J167">
        <v>1</v>
      </c>
      <c r="K167">
        <v>3</v>
      </c>
      <c r="L167">
        <v>2</v>
      </c>
      <c r="M167">
        <v>0</v>
      </c>
      <c r="O167">
        <v>0</v>
      </c>
      <c r="P167">
        <v>0</v>
      </c>
      <c r="Q167">
        <v>0</v>
      </c>
      <c r="R167">
        <v>1</v>
      </c>
      <c r="S167">
        <v>0</v>
      </c>
      <c r="T167">
        <v>0</v>
      </c>
      <c r="U167">
        <v>0</v>
      </c>
      <c r="V167">
        <v>0</v>
      </c>
      <c r="W167" t="s">
        <v>26</v>
      </c>
      <c r="X167" s="10"/>
      <c r="Y167" s="10">
        <v>43350</v>
      </c>
      <c r="Z167" s="11"/>
      <c r="AA167" s="11"/>
      <c r="AB167" s="11"/>
      <c r="AC167" s="11"/>
      <c r="AD167" s="11"/>
      <c r="AE167" s="25">
        <v>5</v>
      </c>
      <c r="AF167" s="25" t="s">
        <v>153</v>
      </c>
      <c r="AG167" s="11" t="s">
        <v>72</v>
      </c>
      <c r="AH167" s="11" t="s">
        <v>74</v>
      </c>
    </row>
    <row r="168" spans="1:34" x14ac:dyDescent="0.25">
      <c r="A168">
        <v>122946</v>
      </c>
      <c r="B168" t="s">
        <v>53</v>
      </c>
      <c r="C168">
        <v>0</v>
      </c>
      <c r="D168">
        <v>0</v>
      </c>
      <c r="E168">
        <v>0</v>
      </c>
      <c r="F168">
        <v>0</v>
      </c>
      <c r="G168">
        <v>2</v>
      </c>
      <c r="H168">
        <v>2</v>
      </c>
      <c r="I168">
        <v>0</v>
      </c>
      <c r="J168">
        <v>0</v>
      </c>
      <c r="K168">
        <v>0</v>
      </c>
      <c r="L168">
        <v>0</v>
      </c>
      <c r="M168">
        <v>0</v>
      </c>
      <c r="O168">
        <v>0</v>
      </c>
      <c r="P168">
        <v>0</v>
      </c>
      <c r="Q168">
        <v>0</v>
      </c>
      <c r="R168">
        <v>3</v>
      </c>
      <c r="S168">
        <v>0</v>
      </c>
      <c r="T168">
        <v>0</v>
      </c>
      <c r="U168">
        <v>0</v>
      </c>
      <c r="V168">
        <v>0</v>
      </c>
      <c r="W168" t="s">
        <v>26</v>
      </c>
      <c r="X168" s="10"/>
      <c r="Y168" s="10">
        <v>43353</v>
      </c>
      <c r="Z168" s="11"/>
      <c r="AA168" s="11"/>
      <c r="AB168" s="11"/>
      <c r="AC168" s="11"/>
      <c r="AD168" s="11"/>
      <c r="AE168" s="25">
        <v>3</v>
      </c>
      <c r="AF168" s="25" t="s">
        <v>153</v>
      </c>
      <c r="AG168" s="11" t="s">
        <v>58</v>
      </c>
      <c r="AH168" s="11" t="s">
        <v>73</v>
      </c>
    </row>
    <row r="169" spans="1:34" x14ac:dyDescent="0.25">
      <c r="A169">
        <v>133908</v>
      </c>
      <c r="B169" t="s">
        <v>23</v>
      </c>
      <c r="C169">
        <v>0</v>
      </c>
      <c r="D169">
        <v>0</v>
      </c>
      <c r="E169">
        <v>2</v>
      </c>
      <c r="F169">
        <v>1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O169">
        <v>0</v>
      </c>
      <c r="P169">
        <v>0</v>
      </c>
      <c r="Q169">
        <v>0</v>
      </c>
      <c r="R169">
        <v>2</v>
      </c>
      <c r="S169">
        <v>0</v>
      </c>
      <c r="T169">
        <v>0</v>
      </c>
      <c r="U169">
        <v>0</v>
      </c>
      <c r="V169">
        <v>2</v>
      </c>
      <c r="W169" t="s">
        <v>26</v>
      </c>
      <c r="X169" s="10"/>
      <c r="Y169" s="10">
        <v>43353</v>
      </c>
      <c r="Z169" s="11"/>
      <c r="AA169" s="11"/>
      <c r="AB169" s="11"/>
      <c r="AC169" s="11"/>
      <c r="AD169" s="11"/>
      <c r="AE169" s="25">
        <v>5</v>
      </c>
      <c r="AF169" s="25" t="s">
        <v>153</v>
      </c>
      <c r="AG169" s="11" t="s">
        <v>72</v>
      </c>
      <c r="AH169" s="11" t="s">
        <v>66</v>
      </c>
    </row>
    <row r="170" spans="1:34" x14ac:dyDescent="0.25">
      <c r="A170" s="34">
        <v>138454</v>
      </c>
      <c r="B170" s="34" t="s">
        <v>23</v>
      </c>
      <c r="C170" s="34">
        <v>0</v>
      </c>
      <c r="D170" s="34">
        <v>0</v>
      </c>
      <c r="E170" s="34">
        <v>2</v>
      </c>
      <c r="F170" s="34">
        <v>0</v>
      </c>
      <c r="G170" s="34">
        <v>0</v>
      </c>
      <c r="H170" s="34">
        <v>0</v>
      </c>
      <c r="I170" s="34">
        <v>0</v>
      </c>
      <c r="J170" s="34">
        <v>1</v>
      </c>
      <c r="K170" s="34">
        <v>0</v>
      </c>
      <c r="L170" s="34">
        <v>0</v>
      </c>
      <c r="M170" s="34">
        <v>0</v>
      </c>
      <c r="N170" s="34"/>
      <c r="O170" s="34">
        <v>0</v>
      </c>
      <c r="P170" s="34">
        <v>0</v>
      </c>
      <c r="Q170" s="34">
        <v>0</v>
      </c>
      <c r="R170" s="34">
        <v>2</v>
      </c>
      <c r="S170" s="34">
        <v>0</v>
      </c>
      <c r="T170" s="34">
        <v>0</v>
      </c>
      <c r="U170" s="34">
        <v>0</v>
      </c>
      <c r="V170" s="34">
        <v>0</v>
      </c>
      <c r="W170" s="34" t="s">
        <v>26</v>
      </c>
      <c r="X170" s="43"/>
      <c r="Y170" s="43">
        <v>43353</v>
      </c>
      <c r="Z170" s="40"/>
      <c r="AA170" s="40"/>
      <c r="AB170" s="40"/>
      <c r="AC170" s="40"/>
      <c r="AD170" s="40"/>
      <c r="AE170" s="41">
        <v>3</v>
      </c>
      <c r="AF170" s="41" t="s">
        <v>153</v>
      </c>
      <c r="AG170" s="40" t="s">
        <v>72</v>
      </c>
      <c r="AH170" s="40" t="s">
        <v>87</v>
      </c>
    </row>
    <row r="171" spans="1:34" x14ac:dyDescent="0.25">
      <c r="A171">
        <v>111036</v>
      </c>
      <c r="B171" t="s">
        <v>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2</v>
      </c>
      <c r="K171">
        <v>3</v>
      </c>
      <c r="L171">
        <v>0</v>
      </c>
      <c r="M171">
        <v>2</v>
      </c>
      <c r="O171">
        <v>0</v>
      </c>
      <c r="P171">
        <v>0</v>
      </c>
      <c r="Q171">
        <v>0</v>
      </c>
      <c r="R171">
        <v>2</v>
      </c>
      <c r="S171">
        <v>0</v>
      </c>
      <c r="T171">
        <v>0</v>
      </c>
      <c r="U171">
        <v>0</v>
      </c>
      <c r="V171">
        <v>0</v>
      </c>
      <c r="X171" s="10"/>
      <c r="Y171" s="10">
        <v>43332</v>
      </c>
      <c r="Z171" s="11"/>
      <c r="AA171" s="11"/>
      <c r="AB171" s="11"/>
      <c r="AC171" s="11"/>
      <c r="AD171" s="11"/>
      <c r="AE171" s="25">
        <v>4</v>
      </c>
      <c r="AF171" s="25" t="s">
        <v>154</v>
      </c>
      <c r="AG171" s="11" t="s">
        <v>101</v>
      </c>
      <c r="AH171" s="11" t="s">
        <v>100</v>
      </c>
    </row>
    <row r="172" spans="1:34" x14ac:dyDescent="0.25">
      <c r="A172">
        <v>140107</v>
      </c>
      <c r="B172" t="s">
        <v>99</v>
      </c>
      <c r="C172">
        <v>0</v>
      </c>
      <c r="D172">
        <v>0</v>
      </c>
      <c r="E172">
        <v>0</v>
      </c>
      <c r="F172">
        <v>2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2</v>
      </c>
      <c r="O172">
        <v>0</v>
      </c>
      <c r="P172">
        <v>0</v>
      </c>
      <c r="Q172">
        <v>0</v>
      </c>
      <c r="R172">
        <v>1</v>
      </c>
      <c r="S172">
        <v>0</v>
      </c>
      <c r="T172">
        <v>0</v>
      </c>
      <c r="U172">
        <v>0</v>
      </c>
      <c r="V172">
        <v>0</v>
      </c>
      <c r="X172" s="10"/>
      <c r="Y172" s="10">
        <v>43332</v>
      </c>
      <c r="Z172" s="11"/>
      <c r="AA172" s="11"/>
      <c r="AB172" s="11"/>
      <c r="AC172" s="11"/>
      <c r="AD172" s="11"/>
      <c r="AE172" s="25">
        <v>3</v>
      </c>
      <c r="AF172" s="25" t="s">
        <v>154</v>
      </c>
      <c r="AG172" s="11" t="s">
        <v>103</v>
      </c>
      <c r="AH172" s="11" t="s">
        <v>102</v>
      </c>
    </row>
    <row r="173" spans="1:34" x14ac:dyDescent="0.25">
      <c r="A173">
        <v>181129</v>
      </c>
      <c r="B173" t="s">
        <v>99</v>
      </c>
      <c r="C173">
        <v>0</v>
      </c>
      <c r="D173">
        <v>0</v>
      </c>
      <c r="E173">
        <v>0</v>
      </c>
      <c r="F173">
        <v>2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O173">
        <v>0</v>
      </c>
      <c r="P173">
        <v>0</v>
      </c>
      <c r="Q173">
        <v>0</v>
      </c>
      <c r="R173">
        <v>2</v>
      </c>
      <c r="S173">
        <v>0</v>
      </c>
      <c r="T173">
        <v>0</v>
      </c>
      <c r="U173">
        <v>0</v>
      </c>
      <c r="V173">
        <v>0</v>
      </c>
      <c r="X173" s="10"/>
      <c r="Y173" s="10">
        <v>43332</v>
      </c>
      <c r="Z173" s="11"/>
      <c r="AA173" s="11"/>
      <c r="AB173" s="11"/>
      <c r="AC173" s="11"/>
      <c r="AD173" s="11"/>
      <c r="AE173" s="25">
        <v>2</v>
      </c>
      <c r="AF173" s="25" t="s">
        <v>154</v>
      </c>
      <c r="AG173" s="11" t="s">
        <v>105</v>
      </c>
      <c r="AH173" s="11" t="s">
        <v>104</v>
      </c>
    </row>
    <row r="174" spans="1:34" x14ac:dyDescent="0.25">
      <c r="A174">
        <v>232635</v>
      </c>
      <c r="B174" t="s">
        <v>99</v>
      </c>
      <c r="C174">
        <v>0</v>
      </c>
      <c r="D174">
        <v>1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O174">
        <v>0</v>
      </c>
      <c r="P174">
        <v>0</v>
      </c>
      <c r="Q174">
        <v>0</v>
      </c>
      <c r="R174">
        <v>1</v>
      </c>
      <c r="S174">
        <v>0</v>
      </c>
      <c r="T174">
        <v>0</v>
      </c>
      <c r="U174">
        <v>0</v>
      </c>
      <c r="V174">
        <v>0</v>
      </c>
      <c r="X174" s="10"/>
      <c r="Y174" s="10">
        <v>43332</v>
      </c>
      <c r="Z174" s="11"/>
      <c r="AA174" s="11"/>
      <c r="AB174" s="11"/>
      <c r="AC174" s="11"/>
      <c r="AD174" s="11"/>
      <c r="AE174" s="25">
        <v>2</v>
      </c>
      <c r="AF174" s="25" t="s">
        <v>154</v>
      </c>
      <c r="AG174" s="11" t="s">
        <v>103</v>
      </c>
      <c r="AH174" s="11" t="s">
        <v>106</v>
      </c>
    </row>
    <row r="175" spans="1:34" x14ac:dyDescent="0.25">
      <c r="A175">
        <v>191085</v>
      </c>
      <c r="B175" t="s">
        <v>99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2</v>
      </c>
      <c r="K175">
        <v>2</v>
      </c>
      <c r="L175">
        <v>0</v>
      </c>
      <c r="M175">
        <v>0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0</v>
      </c>
      <c r="U175">
        <v>0</v>
      </c>
      <c r="V175">
        <v>0</v>
      </c>
      <c r="X175" s="10"/>
      <c r="Y175" s="10">
        <v>43332</v>
      </c>
      <c r="Z175" s="11"/>
      <c r="AA175" s="11"/>
      <c r="AB175" s="11"/>
      <c r="AC175" s="11"/>
      <c r="AD175" s="11"/>
      <c r="AE175" s="25">
        <v>3</v>
      </c>
      <c r="AF175" s="25" t="s">
        <v>154</v>
      </c>
      <c r="AG175" s="11" t="s">
        <v>108</v>
      </c>
      <c r="AH175" s="11" t="s">
        <v>107</v>
      </c>
    </row>
    <row r="176" spans="1:34" x14ac:dyDescent="0.25">
      <c r="A176">
        <v>192483</v>
      </c>
      <c r="B176" t="s">
        <v>99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2</v>
      </c>
      <c r="I176">
        <v>0</v>
      </c>
      <c r="J176">
        <v>1</v>
      </c>
      <c r="K176">
        <v>0</v>
      </c>
      <c r="L176">
        <v>0</v>
      </c>
      <c r="M176">
        <v>0</v>
      </c>
      <c r="O176">
        <v>0</v>
      </c>
      <c r="P176">
        <v>0</v>
      </c>
      <c r="Q176">
        <v>0</v>
      </c>
      <c r="R176">
        <v>2</v>
      </c>
      <c r="S176">
        <v>0</v>
      </c>
      <c r="T176">
        <v>0</v>
      </c>
      <c r="U176">
        <v>0</v>
      </c>
      <c r="V176">
        <v>0</v>
      </c>
      <c r="X176" s="10"/>
      <c r="Y176" s="10">
        <v>43332</v>
      </c>
      <c r="Z176" s="11"/>
      <c r="AA176" s="11"/>
      <c r="AB176" s="11"/>
      <c r="AC176" s="11"/>
      <c r="AD176" s="11"/>
      <c r="AE176" s="25">
        <v>3</v>
      </c>
      <c r="AF176" s="25" t="s">
        <v>154</v>
      </c>
      <c r="AG176" s="11" t="s">
        <v>105</v>
      </c>
      <c r="AH176" s="11" t="s">
        <v>104</v>
      </c>
    </row>
    <row r="177" spans="1:34" x14ac:dyDescent="0.25">
      <c r="A177">
        <v>267761</v>
      </c>
      <c r="B177" t="s">
        <v>99</v>
      </c>
      <c r="C177">
        <v>0</v>
      </c>
      <c r="D177">
        <v>0</v>
      </c>
      <c r="E177">
        <v>2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X177" s="10"/>
      <c r="Y177" s="10">
        <v>43332</v>
      </c>
      <c r="Z177" s="11"/>
      <c r="AA177" s="11"/>
      <c r="AB177" s="11"/>
      <c r="AC177" s="11"/>
      <c r="AD177" s="11"/>
      <c r="AE177" s="25">
        <v>1</v>
      </c>
      <c r="AF177" s="25" t="s">
        <v>154</v>
      </c>
      <c r="AG177" s="11" t="s">
        <v>105</v>
      </c>
      <c r="AH177" s="11" t="s">
        <v>190</v>
      </c>
    </row>
    <row r="178" spans="1:34" x14ac:dyDescent="0.25">
      <c r="A178">
        <v>267771</v>
      </c>
      <c r="B178" t="s">
        <v>99</v>
      </c>
      <c r="D178">
        <v>0</v>
      </c>
      <c r="E178">
        <v>2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2</v>
      </c>
      <c r="M178">
        <v>0</v>
      </c>
      <c r="O178">
        <v>0</v>
      </c>
      <c r="P178">
        <v>1</v>
      </c>
      <c r="Q178">
        <v>0</v>
      </c>
      <c r="R178">
        <v>2</v>
      </c>
      <c r="S178">
        <v>0</v>
      </c>
      <c r="T178">
        <v>0</v>
      </c>
      <c r="U178">
        <v>0</v>
      </c>
      <c r="V178">
        <v>0</v>
      </c>
      <c r="X178" s="10"/>
      <c r="Y178" s="10">
        <v>43332</v>
      </c>
      <c r="Z178" s="11"/>
      <c r="AA178" s="11"/>
      <c r="AB178" s="11"/>
      <c r="AC178" s="11"/>
      <c r="AD178" s="11"/>
      <c r="AE178" s="25">
        <v>5</v>
      </c>
      <c r="AF178" s="25" t="s">
        <v>154</v>
      </c>
      <c r="AG178" s="11" t="s">
        <v>105</v>
      </c>
      <c r="AH178" s="11" t="s">
        <v>110</v>
      </c>
    </row>
    <row r="179" spans="1:34" x14ac:dyDescent="0.25">
      <c r="A179">
        <v>125129</v>
      </c>
      <c r="B179" t="s">
        <v>99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O179">
        <v>0</v>
      </c>
      <c r="P179">
        <v>0</v>
      </c>
      <c r="Q179">
        <v>1</v>
      </c>
      <c r="R179">
        <v>2</v>
      </c>
      <c r="S179">
        <v>0</v>
      </c>
      <c r="T179">
        <v>0</v>
      </c>
      <c r="U179">
        <v>0</v>
      </c>
      <c r="V179">
        <v>0</v>
      </c>
      <c r="X179" s="10"/>
      <c r="Y179" s="10">
        <v>43332</v>
      </c>
      <c r="Z179" s="11"/>
      <c r="AA179" s="11"/>
      <c r="AB179" s="11"/>
      <c r="AC179" s="11"/>
      <c r="AD179" s="11"/>
      <c r="AE179" s="25">
        <v>3</v>
      </c>
      <c r="AF179" s="25" t="s">
        <v>154</v>
      </c>
      <c r="AG179" s="11" t="s">
        <v>101</v>
      </c>
      <c r="AH179" s="11" t="s">
        <v>111</v>
      </c>
    </row>
    <row r="180" spans="1:34" x14ac:dyDescent="0.25">
      <c r="A180">
        <v>233451</v>
      </c>
      <c r="B180" t="s">
        <v>99</v>
      </c>
      <c r="C180">
        <v>0</v>
      </c>
      <c r="D180">
        <v>0</v>
      </c>
      <c r="E180">
        <v>0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O180">
        <v>1</v>
      </c>
      <c r="P180">
        <v>0</v>
      </c>
      <c r="Q180">
        <v>0</v>
      </c>
      <c r="R180">
        <v>2</v>
      </c>
      <c r="S180">
        <v>0</v>
      </c>
      <c r="T180">
        <v>0</v>
      </c>
      <c r="U180">
        <v>0</v>
      </c>
      <c r="V180">
        <v>0</v>
      </c>
      <c r="X180" s="10"/>
      <c r="Y180" s="10">
        <v>43332</v>
      </c>
      <c r="Z180" s="11"/>
      <c r="AA180" s="11"/>
      <c r="AB180" s="11"/>
      <c r="AC180" s="11"/>
      <c r="AD180" s="11"/>
      <c r="AE180" s="25">
        <v>3</v>
      </c>
      <c r="AF180" s="25" t="s">
        <v>154</v>
      </c>
      <c r="AG180" s="11" t="s">
        <v>103</v>
      </c>
      <c r="AH180" s="11" t="s">
        <v>106</v>
      </c>
    </row>
    <row r="181" spans="1:34" x14ac:dyDescent="0.25">
      <c r="A181">
        <v>144546</v>
      </c>
      <c r="B181" t="s">
        <v>99</v>
      </c>
      <c r="C181">
        <v>0</v>
      </c>
      <c r="D181">
        <v>1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2</v>
      </c>
      <c r="K181">
        <v>2</v>
      </c>
      <c r="L181">
        <v>0</v>
      </c>
      <c r="M181">
        <v>0</v>
      </c>
      <c r="O181">
        <v>0</v>
      </c>
      <c r="P181">
        <v>0</v>
      </c>
      <c r="Q181">
        <v>0</v>
      </c>
      <c r="R181">
        <v>2</v>
      </c>
      <c r="S181">
        <v>0</v>
      </c>
      <c r="T181">
        <v>0</v>
      </c>
      <c r="U181">
        <v>0</v>
      </c>
      <c r="V181">
        <v>0</v>
      </c>
      <c r="X181" s="10"/>
      <c r="Y181" s="10">
        <v>43333</v>
      </c>
      <c r="Z181" s="11"/>
      <c r="AA181" s="11"/>
      <c r="AB181" s="11"/>
      <c r="AC181" s="11"/>
      <c r="AD181" s="11"/>
      <c r="AE181" s="25">
        <v>4</v>
      </c>
      <c r="AF181" s="25" t="s">
        <v>154</v>
      </c>
      <c r="AG181" s="11" t="s">
        <v>105</v>
      </c>
      <c r="AH181" s="11" t="s">
        <v>112</v>
      </c>
    </row>
    <row r="182" spans="1:34" x14ac:dyDescent="0.25">
      <c r="A182">
        <v>154715</v>
      </c>
      <c r="B182" t="s">
        <v>99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O182">
        <v>0</v>
      </c>
      <c r="P182">
        <v>0</v>
      </c>
      <c r="Q182">
        <v>0</v>
      </c>
      <c r="R182">
        <v>2</v>
      </c>
      <c r="S182">
        <v>0</v>
      </c>
      <c r="T182">
        <v>0</v>
      </c>
      <c r="U182">
        <v>0</v>
      </c>
      <c r="V182">
        <v>0</v>
      </c>
      <c r="X182" s="10"/>
      <c r="Y182" s="10">
        <v>43333</v>
      </c>
      <c r="Z182" s="11"/>
      <c r="AA182" s="11"/>
      <c r="AB182" s="11"/>
      <c r="AC182" s="11"/>
      <c r="AD182" s="11"/>
      <c r="AE182" s="25">
        <v>1</v>
      </c>
      <c r="AF182" s="25" t="s">
        <v>154</v>
      </c>
      <c r="AG182" s="11" t="s">
        <v>108</v>
      </c>
      <c r="AH182" s="11" t="s">
        <v>107</v>
      </c>
    </row>
    <row r="183" spans="1:34" x14ac:dyDescent="0.25">
      <c r="A183">
        <v>157889</v>
      </c>
      <c r="B183" t="s">
        <v>99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O183">
        <v>0</v>
      </c>
      <c r="P183">
        <v>0</v>
      </c>
      <c r="Q183">
        <v>0</v>
      </c>
      <c r="R183">
        <v>2</v>
      </c>
      <c r="S183">
        <v>0</v>
      </c>
      <c r="T183">
        <v>0</v>
      </c>
      <c r="U183">
        <v>0</v>
      </c>
      <c r="V183">
        <v>0</v>
      </c>
      <c r="X183" s="10"/>
      <c r="Y183" s="10">
        <v>43333</v>
      </c>
      <c r="Z183" s="11"/>
      <c r="AA183" s="11"/>
      <c r="AB183" s="11"/>
      <c r="AC183" s="11"/>
      <c r="AD183" s="11"/>
      <c r="AE183" s="25">
        <v>1</v>
      </c>
      <c r="AF183" s="25" t="s">
        <v>154</v>
      </c>
      <c r="AG183" s="11" t="s">
        <v>118</v>
      </c>
      <c r="AH183" s="11" t="s">
        <v>163</v>
      </c>
    </row>
    <row r="184" spans="1:34" x14ac:dyDescent="0.25">
      <c r="A184">
        <v>161476</v>
      </c>
      <c r="B184" t="s">
        <v>99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0</v>
      </c>
      <c r="M184">
        <v>0</v>
      </c>
      <c r="O184">
        <v>0</v>
      </c>
      <c r="P184">
        <v>0</v>
      </c>
      <c r="Q184">
        <v>0</v>
      </c>
      <c r="R184">
        <v>2</v>
      </c>
      <c r="S184">
        <v>0</v>
      </c>
      <c r="T184">
        <v>0</v>
      </c>
      <c r="U184">
        <v>0</v>
      </c>
      <c r="V184">
        <v>0</v>
      </c>
      <c r="X184" s="10"/>
      <c r="Y184" s="10">
        <v>43333</v>
      </c>
      <c r="Z184" s="11"/>
      <c r="AA184" s="11"/>
      <c r="AB184" s="11"/>
      <c r="AC184" s="11"/>
      <c r="AD184" s="11"/>
      <c r="AE184" s="25">
        <v>2</v>
      </c>
      <c r="AF184" s="25" t="s">
        <v>154</v>
      </c>
      <c r="AG184" s="11" t="s">
        <v>103</v>
      </c>
      <c r="AH184" s="11" t="s">
        <v>111</v>
      </c>
    </row>
    <row r="185" spans="1:34" x14ac:dyDescent="0.25">
      <c r="A185">
        <v>171314</v>
      </c>
      <c r="B185" t="s">
        <v>99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O185">
        <v>0</v>
      </c>
      <c r="P185">
        <v>0</v>
      </c>
      <c r="Q185">
        <v>0</v>
      </c>
      <c r="R185">
        <v>2</v>
      </c>
      <c r="S185">
        <v>0</v>
      </c>
      <c r="T185">
        <v>0</v>
      </c>
      <c r="U185">
        <v>0</v>
      </c>
      <c r="V185">
        <v>0</v>
      </c>
      <c r="X185" s="10"/>
      <c r="Y185" s="10">
        <v>43333</v>
      </c>
      <c r="Z185" s="11"/>
      <c r="AA185" s="11"/>
      <c r="AB185" s="11"/>
      <c r="AC185" s="11"/>
      <c r="AD185" s="11"/>
      <c r="AE185" s="25">
        <v>2</v>
      </c>
      <c r="AF185" s="25" t="s">
        <v>154</v>
      </c>
      <c r="AG185" s="11" t="s">
        <v>108</v>
      </c>
      <c r="AH185" s="11" t="s">
        <v>107</v>
      </c>
    </row>
    <row r="186" spans="1:34" x14ac:dyDescent="0.25">
      <c r="A186">
        <v>197284</v>
      </c>
      <c r="B186" t="s">
        <v>99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O186">
        <v>0</v>
      </c>
      <c r="P186">
        <v>0</v>
      </c>
      <c r="Q186">
        <v>0</v>
      </c>
      <c r="R186">
        <v>2</v>
      </c>
      <c r="S186">
        <v>0</v>
      </c>
      <c r="T186">
        <v>0</v>
      </c>
      <c r="U186">
        <v>0</v>
      </c>
      <c r="V186">
        <v>0</v>
      </c>
      <c r="X186" s="10"/>
      <c r="Y186" s="10">
        <v>43333</v>
      </c>
      <c r="Z186" s="11"/>
      <c r="AA186" s="11"/>
      <c r="AB186" s="11"/>
      <c r="AC186" s="11"/>
      <c r="AD186" s="11"/>
      <c r="AE186" s="25">
        <v>2</v>
      </c>
      <c r="AF186" s="25" t="s">
        <v>154</v>
      </c>
      <c r="AG186" s="11" t="s">
        <v>108</v>
      </c>
      <c r="AH186" s="11" t="s">
        <v>114</v>
      </c>
    </row>
    <row r="187" spans="1:34" x14ac:dyDescent="0.25">
      <c r="A187">
        <v>214978</v>
      </c>
      <c r="B187" t="s">
        <v>99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O187">
        <v>0</v>
      </c>
      <c r="P187">
        <v>0</v>
      </c>
      <c r="Q187">
        <v>0</v>
      </c>
      <c r="R187">
        <v>2</v>
      </c>
      <c r="S187">
        <v>0</v>
      </c>
      <c r="T187">
        <v>0</v>
      </c>
      <c r="U187">
        <v>0</v>
      </c>
      <c r="V187">
        <v>0</v>
      </c>
      <c r="X187" s="10"/>
      <c r="Y187" s="10">
        <v>43333</v>
      </c>
      <c r="Z187" s="11"/>
      <c r="AA187" s="11"/>
      <c r="AB187" s="11"/>
      <c r="AC187" s="11"/>
      <c r="AD187" s="11"/>
      <c r="AE187" s="25">
        <v>1</v>
      </c>
      <c r="AF187" s="25" t="s">
        <v>154</v>
      </c>
      <c r="AG187" s="11" t="s">
        <v>101</v>
      </c>
      <c r="AH187" s="11" t="s">
        <v>107</v>
      </c>
    </row>
    <row r="188" spans="1:34" x14ac:dyDescent="0.25">
      <c r="A188">
        <v>110486</v>
      </c>
      <c r="B188" t="s">
        <v>99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1</v>
      </c>
      <c r="I188">
        <v>0</v>
      </c>
      <c r="J188">
        <v>0</v>
      </c>
      <c r="K188">
        <v>1</v>
      </c>
      <c r="L188">
        <v>0</v>
      </c>
      <c r="M188">
        <v>0</v>
      </c>
      <c r="O188">
        <v>0</v>
      </c>
      <c r="P188">
        <v>0</v>
      </c>
      <c r="Q188">
        <v>0</v>
      </c>
      <c r="R188">
        <v>1</v>
      </c>
      <c r="S188">
        <v>0</v>
      </c>
      <c r="T188">
        <v>0</v>
      </c>
      <c r="U188">
        <v>0</v>
      </c>
      <c r="V188">
        <v>0</v>
      </c>
      <c r="X188" s="10"/>
      <c r="Y188" s="10">
        <v>43340</v>
      </c>
      <c r="Z188" s="11"/>
      <c r="AA188" s="11"/>
      <c r="AB188" s="11"/>
      <c r="AC188" s="11"/>
      <c r="AD188" s="11"/>
      <c r="AE188" s="25">
        <v>3</v>
      </c>
      <c r="AF188" s="25" t="s">
        <v>154</v>
      </c>
      <c r="AG188" s="11" t="s">
        <v>105</v>
      </c>
      <c r="AH188" s="11" t="s">
        <v>102</v>
      </c>
    </row>
    <row r="189" spans="1:34" x14ac:dyDescent="0.25">
      <c r="A189">
        <v>268193</v>
      </c>
      <c r="B189" t="s">
        <v>99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O189">
        <v>0</v>
      </c>
      <c r="P189">
        <v>0</v>
      </c>
      <c r="Q189">
        <v>0</v>
      </c>
      <c r="R189">
        <v>2</v>
      </c>
      <c r="S189">
        <v>0</v>
      </c>
      <c r="T189">
        <v>0</v>
      </c>
      <c r="U189">
        <v>0</v>
      </c>
      <c r="V189">
        <v>0</v>
      </c>
      <c r="X189" s="10"/>
      <c r="Y189" s="10">
        <v>43340</v>
      </c>
      <c r="Z189" s="11"/>
      <c r="AA189" s="11"/>
      <c r="AB189" s="11"/>
      <c r="AC189" s="11"/>
      <c r="AD189" s="11"/>
      <c r="AE189" s="25">
        <v>1</v>
      </c>
      <c r="AF189" s="25" t="s">
        <v>154</v>
      </c>
      <c r="AG189" s="11" t="s">
        <v>105</v>
      </c>
      <c r="AH189" s="11" t="s">
        <v>115</v>
      </c>
    </row>
    <row r="190" spans="1:34" x14ac:dyDescent="0.25">
      <c r="A190">
        <v>268247</v>
      </c>
      <c r="B190" t="s">
        <v>99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X190" s="10"/>
      <c r="Y190" s="10">
        <v>43340</v>
      </c>
      <c r="Z190" s="11"/>
      <c r="AA190" s="11"/>
      <c r="AB190" s="11"/>
      <c r="AC190" s="11"/>
      <c r="AD190" s="11"/>
      <c r="AE190" s="25">
        <v>0</v>
      </c>
      <c r="AF190" s="25" t="s">
        <v>154</v>
      </c>
      <c r="AG190" s="11" t="s">
        <v>164</v>
      </c>
      <c r="AH190" s="11" t="s">
        <v>164</v>
      </c>
    </row>
    <row r="191" spans="1:34" x14ac:dyDescent="0.25">
      <c r="A191">
        <v>268365</v>
      </c>
      <c r="B191" t="s">
        <v>99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O191">
        <v>1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X191" s="10"/>
      <c r="Y191" s="10">
        <v>43340</v>
      </c>
      <c r="Z191" s="11"/>
      <c r="AA191" s="11"/>
      <c r="AB191" s="11"/>
      <c r="AC191" s="11"/>
      <c r="AD191" s="11"/>
      <c r="AE191" s="25">
        <v>2</v>
      </c>
      <c r="AF191" s="25" t="s">
        <v>154</v>
      </c>
      <c r="AG191" s="11" t="s">
        <v>103</v>
      </c>
      <c r="AH191" s="11" t="s">
        <v>116</v>
      </c>
    </row>
    <row r="192" spans="1:34" x14ac:dyDescent="0.25">
      <c r="A192">
        <v>268394</v>
      </c>
      <c r="B192" t="s">
        <v>99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O192">
        <v>0</v>
      </c>
      <c r="P192">
        <v>0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0</v>
      </c>
      <c r="X192" s="10"/>
      <c r="Y192" s="10">
        <v>43340</v>
      </c>
      <c r="Z192" s="11"/>
      <c r="AA192" s="11"/>
      <c r="AB192" s="11"/>
      <c r="AC192" s="11"/>
      <c r="AD192" s="11"/>
      <c r="AE192" s="25">
        <v>1</v>
      </c>
      <c r="AF192" s="25" t="s">
        <v>154</v>
      </c>
      <c r="AG192" s="11" t="s">
        <v>105</v>
      </c>
      <c r="AH192" s="11" t="s">
        <v>115</v>
      </c>
    </row>
    <row r="193" spans="1:34" x14ac:dyDescent="0.25">
      <c r="A193">
        <v>268434</v>
      </c>
      <c r="B193" t="s">
        <v>99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O193">
        <v>0</v>
      </c>
      <c r="P193">
        <v>0</v>
      </c>
      <c r="Q193">
        <v>0</v>
      </c>
      <c r="R193">
        <v>1</v>
      </c>
      <c r="S193">
        <v>0</v>
      </c>
      <c r="T193">
        <v>0</v>
      </c>
      <c r="U193">
        <v>0</v>
      </c>
      <c r="V193">
        <v>0</v>
      </c>
      <c r="X193" s="10"/>
      <c r="Y193" s="10">
        <v>43341</v>
      </c>
      <c r="Z193" s="11"/>
      <c r="AA193" s="11"/>
      <c r="AB193" s="11"/>
      <c r="AC193" s="11"/>
      <c r="AD193" s="11"/>
      <c r="AE193" s="25">
        <v>1</v>
      </c>
      <c r="AF193" s="25" t="s">
        <v>154</v>
      </c>
      <c r="AG193" s="11" t="s">
        <v>103</v>
      </c>
      <c r="AH193" s="11" t="s">
        <v>116</v>
      </c>
    </row>
    <row r="194" spans="1:34" x14ac:dyDescent="0.25">
      <c r="A194">
        <v>226889</v>
      </c>
      <c r="B194" t="s">
        <v>99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O194">
        <v>0</v>
      </c>
      <c r="P194">
        <v>0</v>
      </c>
      <c r="Q194">
        <v>0</v>
      </c>
      <c r="R194">
        <v>2</v>
      </c>
      <c r="S194">
        <v>0</v>
      </c>
      <c r="T194">
        <v>0</v>
      </c>
      <c r="U194">
        <v>0</v>
      </c>
      <c r="V194">
        <v>0</v>
      </c>
      <c r="X194" s="10"/>
      <c r="Y194" s="10">
        <v>43341</v>
      </c>
      <c r="Z194" s="11"/>
      <c r="AA194" s="11"/>
      <c r="AB194" s="11"/>
      <c r="AC194" s="11"/>
      <c r="AD194" s="11"/>
      <c r="AE194" s="25">
        <v>1</v>
      </c>
      <c r="AF194" s="25" t="s">
        <v>154</v>
      </c>
      <c r="AG194" s="11" t="s">
        <v>103</v>
      </c>
      <c r="AH194" s="11" t="s">
        <v>102</v>
      </c>
    </row>
    <row r="195" spans="1:34" x14ac:dyDescent="0.25">
      <c r="A195">
        <v>218839</v>
      </c>
      <c r="B195" t="s">
        <v>99</v>
      </c>
      <c r="C195">
        <v>0</v>
      </c>
      <c r="D195">
        <v>2</v>
      </c>
      <c r="E195">
        <v>0</v>
      </c>
      <c r="F195">
        <v>1</v>
      </c>
      <c r="G195">
        <v>0</v>
      </c>
      <c r="H195">
        <v>0</v>
      </c>
      <c r="I195">
        <v>0</v>
      </c>
      <c r="J195">
        <v>2</v>
      </c>
      <c r="K195">
        <v>0</v>
      </c>
      <c r="L195">
        <v>0</v>
      </c>
      <c r="M195">
        <v>2</v>
      </c>
      <c r="O195">
        <v>1</v>
      </c>
      <c r="P195">
        <v>0</v>
      </c>
      <c r="Q195">
        <v>0</v>
      </c>
      <c r="R195">
        <v>3</v>
      </c>
      <c r="S195">
        <v>0</v>
      </c>
      <c r="T195">
        <v>0</v>
      </c>
      <c r="U195">
        <v>0</v>
      </c>
      <c r="V195">
        <v>0</v>
      </c>
      <c r="X195" s="10"/>
      <c r="Y195" s="10">
        <v>43341</v>
      </c>
      <c r="Z195" s="11"/>
      <c r="AA195" s="11"/>
      <c r="AB195" s="11"/>
      <c r="AC195" s="11"/>
      <c r="AD195" s="11"/>
      <c r="AE195" s="25">
        <v>6</v>
      </c>
      <c r="AF195" s="25" t="s">
        <v>154</v>
      </c>
      <c r="AG195" s="11" t="s">
        <v>108</v>
      </c>
      <c r="AH195" s="11" t="s">
        <v>115</v>
      </c>
    </row>
    <row r="196" spans="1:34" x14ac:dyDescent="0.25">
      <c r="A196">
        <v>162784</v>
      </c>
      <c r="B196" t="s">
        <v>99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 t="s">
        <v>117</v>
      </c>
      <c r="X196" s="10"/>
      <c r="Y196" s="10">
        <v>43341</v>
      </c>
      <c r="Z196" s="11"/>
      <c r="AA196" s="11"/>
      <c r="AB196" s="11"/>
      <c r="AC196" s="11"/>
      <c r="AD196" s="11"/>
      <c r="AE196" s="25">
        <v>0</v>
      </c>
      <c r="AF196" s="25" t="s">
        <v>154</v>
      </c>
      <c r="AG196" s="11" t="s">
        <v>103</v>
      </c>
      <c r="AH196" s="11" t="s">
        <v>112</v>
      </c>
    </row>
    <row r="197" spans="1:34" x14ac:dyDescent="0.25">
      <c r="A197" s="34">
        <v>213435</v>
      </c>
      <c r="B197" s="34" t="s">
        <v>99</v>
      </c>
      <c r="C197" s="34">
        <v>0</v>
      </c>
      <c r="D197" s="34">
        <v>0</v>
      </c>
      <c r="E197" s="34">
        <v>0</v>
      </c>
      <c r="F197" s="34">
        <v>0</v>
      </c>
      <c r="G197" s="34">
        <v>0</v>
      </c>
      <c r="H197" s="34">
        <v>0</v>
      </c>
      <c r="I197" s="34">
        <v>0</v>
      </c>
      <c r="J197" s="34">
        <v>1</v>
      </c>
      <c r="K197" s="34">
        <v>1</v>
      </c>
      <c r="L197" s="34">
        <v>0</v>
      </c>
      <c r="M197" s="34">
        <v>0</v>
      </c>
      <c r="N197" s="34"/>
      <c r="O197" s="34">
        <v>0</v>
      </c>
      <c r="P197" s="34">
        <v>0</v>
      </c>
      <c r="Q197" s="34">
        <v>0</v>
      </c>
      <c r="R197" s="34">
        <v>2</v>
      </c>
      <c r="S197" s="34">
        <v>0</v>
      </c>
      <c r="T197" s="34">
        <v>0</v>
      </c>
      <c r="U197" s="34">
        <v>0</v>
      </c>
      <c r="V197" s="34">
        <v>0</v>
      </c>
      <c r="W197" s="34"/>
      <c r="X197" s="43"/>
      <c r="Y197" s="43">
        <v>43341</v>
      </c>
      <c r="Z197" s="40"/>
      <c r="AA197" s="40"/>
      <c r="AB197" s="40"/>
      <c r="AC197" s="40"/>
      <c r="AD197" s="40"/>
      <c r="AE197" s="41">
        <v>3</v>
      </c>
      <c r="AF197" s="41" t="s">
        <v>154</v>
      </c>
      <c r="AG197" s="40" t="s">
        <v>103</v>
      </c>
      <c r="AH197" s="40" t="s">
        <v>102</v>
      </c>
    </row>
    <row r="198" spans="1:34" x14ac:dyDescent="0.25">
      <c r="A198">
        <v>194447</v>
      </c>
      <c r="B198" t="s">
        <v>88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 s="10">
        <v>43339</v>
      </c>
      <c r="Y198" s="10"/>
      <c r="Z198" s="11"/>
      <c r="AA198" s="11"/>
      <c r="AB198" s="11"/>
      <c r="AC198" s="11"/>
      <c r="AD198" s="11"/>
      <c r="AE198" s="25">
        <v>0</v>
      </c>
      <c r="AF198" s="25" t="s">
        <v>155</v>
      </c>
      <c r="AG198" s="11" t="s">
        <v>90</v>
      </c>
      <c r="AH198" s="11" t="s">
        <v>89</v>
      </c>
    </row>
    <row r="199" spans="1:34" x14ac:dyDescent="0.25">
      <c r="A199">
        <v>174102</v>
      </c>
      <c r="B199" t="s">
        <v>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 s="10">
        <v>43339</v>
      </c>
      <c r="Y199" s="10"/>
      <c r="Z199" s="11"/>
      <c r="AA199" s="11"/>
      <c r="AB199" s="11"/>
      <c r="AC199" s="11"/>
      <c r="AD199" s="11"/>
      <c r="AE199" s="25">
        <v>0</v>
      </c>
      <c r="AF199" s="25" t="s">
        <v>155</v>
      </c>
      <c r="AG199" s="11" t="s">
        <v>92</v>
      </c>
      <c r="AH199" s="11" t="s">
        <v>91</v>
      </c>
    </row>
    <row r="200" spans="1:34" x14ac:dyDescent="0.25">
      <c r="A200">
        <v>207894</v>
      </c>
      <c r="B200" t="s">
        <v>88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 s="10">
        <v>43339</v>
      </c>
      <c r="Y200" s="10"/>
      <c r="Z200" s="11"/>
      <c r="AA200" s="11"/>
      <c r="AB200" s="11"/>
      <c r="AC200" s="11"/>
      <c r="AD200" s="11"/>
      <c r="AE200" s="25">
        <v>0</v>
      </c>
      <c r="AF200" s="25" t="s">
        <v>155</v>
      </c>
      <c r="AG200" s="11" t="s">
        <v>90</v>
      </c>
      <c r="AH200" s="11" t="s">
        <v>93</v>
      </c>
    </row>
    <row r="201" spans="1:34" x14ac:dyDescent="0.25">
      <c r="A201">
        <v>142186</v>
      </c>
      <c r="B201" t="s">
        <v>88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 s="10">
        <v>43339</v>
      </c>
      <c r="Y201" s="10"/>
      <c r="Z201" s="11"/>
      <c r="AA201" s="11"/>
      <c r="AB201" s="11"/>
      <c r="AC201" s="11"/>
      <c r="AD201" s="11"/>
      <c r="AE201" s="25">
        <v>0</v>
      </c>
      <c r="AF201" s="25" t="s">
        <v>155</v>
      </c>
      <c r="AG201" s="11" t="s">
        <v>92</v>
      </c>
      <c r="AH201" s="11" t="s">
        <v>94</v>
      </c>
    </row>
    <row r="202" spans="1:34" x14ac:dyDescent="0.25">
      <c r="A202">
        <v>209189</v>
      </c>
      <c r="B202" t="s">
        <v>88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2</v>
      </c>
      <c r="L202">
        <v>0</v>
      </c>
      <c r="M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  <c r="V202">
        <v>0</v>
      </c>
      <c r="W202">
        <v>0</v>
      </c>
      <c r="X202" s="10">
        <v>43339</v>
      </c>
      <c r="Y202" s="10"/>
      <c r="Z202" s="11"/>
      <c r="AA202" s="11"/>
      <c r="AB202" s="11"/>
      <c r="AC202" s="11"/>
      <c r="AD202" s="11"/>
      <c r="AE202" s="25">
        <v>2</v>
      </c>
      <c r="AF202" s="25" t="s">
        <v>155</v>
      </c>
      <c r="AG202" s="11" t="s">
        <v>90</v>
      </c>
      <c r="AH202" s="11" t="s">
        <v>95</v>
      </c>
    </row>
    <row r="203" spans="1:34" x14ac:dyDescent="0.25">
      <c r="A203">
        <v>186875</v>
      </c>
      <c r="B203" t="s">
        <v>88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 s="10">
        <v>43340</v>
      </c>
      <c r="Y203" s="10"/>
      <c r="Z203" s="11"/>
      <c r="AA203" s="11"/>
      <c r="AB203" s="11"/>
      <c r="AC203" s="11"/>
      <c r="AD203" s="11"/>
      <c r="AE203" s="25">
        <v>0</v>
      </c>
      <c r="AF203" s="25" t="s">
        <v>155</v>
      </c>
      <c r="AG203" s="11" t="s">
        <v>92</v>
      </c>
      <c r="AH203" s="11" t="s">
        <v>96</v>
      </c>
    </row>
    <row r="204" spans="1:34" x14ac:dyDescent="0.25">
      <c r="A204">
        <v>145432</v>
      </c>
      <c r="B204" t="s">
        <v>88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2</v>
      </c>
      <c r="O204">
        <v>0</v>
      </c>
      <c r="P204">
        <v>0</v>
      </c>
      <c r="Q204">
        <v>0</v>
      </c>
      <c r="R204">
        <v>2</v>
      </c>
      <c r="S204">
        <v>0</v>
      </c>
      <c r="T204">
        <v>0</v>
      </c>
      <c r="U204">
        <v>0</v>
      </c>
      <c r="V204">
        <v>0</v>
      </c>
      <c r="W204">
        <v>0</v>
      </c>
      <c r="X204" s="10">
        <v>43340</v>
      </c>
      <c r="Y204" s="10"/>
      <c r="Z204" s="11"/>
      <c r="AA204" s="11"/>
      <c r="AB204" s="11"/>
      <c r="AC204" s="11"/>
      <c r="AD204" s="11"/>
      <c r="AE204" s="25">
        <v>2</v>
      </c>
      <c r="AF204" s="25" t="s">
        <v>155</v>
      </c>
      <c r="AG204" s="11" t="s">
        <v>92</v>
      </c>
      <c r="AH204" s="11" t="s">
        <v>91</v>
      </c>
    </row>
    <row r="205" spans="1:34" x14ac:dyDescent="0.25">
      <c r="A205">
        <v>146547</v>
      </c>
      <c r="B205" t="s">
        <v>88</v>
      </c>
      <c r="C205">
        <v>0</v>
      </c>
      <c r="D205">
        <v>2</v>
      </c>
      <c r="E205">
        <v>0</v>
      </c>
      <c r="F205">
        <v>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 s="10">
        <v>43340</v>
      </c>
      <c r="Y205" s="10"/>
      <c r="Z205" s="11"/>
      <c r="AA205" s="11"/>
      <c r="AB205" s="11"/>
      <c r="AC205" s="11"/>
      <c r="AD205" s="11"/>
      <c r="AE205" s="25">
        <v>2</v>
      </c>
      <c r="AF205" s="25" t="s">
        <v>155</v>
      </c>
      <c r="AG205" s="11" t="s">
        <v>92</v>
      </c>
      <c r="AH205" s="11" t="s">
        <v>97</v>
      </c>
    </row>
    <row r="206" spans="1:34" x14ac:dyDescent="0.25">
      <c r="A206">
        <v>183524</v>
      </c>
      <c r="B206" t="s">
        <v>88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 s="10">
        <v>43340</v>
      </c>
      <c r="Y206" s="10"/>
      <c r="Z206" s="11"/>
      <c r="AA206" s="11"/>
      <c r="AB206" s="11"/>
      <c r="AC206" s="11"/>
      <c r="AD206" s="11"/>
      <c r="AE206" s="25">
        <v>0</v>
      </c>
      <c r="AF206" s="25" t="s">
        <v>155</v>
      </c>
      <c r="AG206" s="11" t="s">
        <v>92</v>
      </c>
      <c r="AH206" s="11" t="s">
        <v>94</v>
      </c>
    </row>
    <row r="207" spans="1:34" x14ac:dyDescent="0.25">
      <c r="A207">
        <v>197628</v>
      </c>
      <c r="B207" t="s">
        <v>88</v>
      </c>
      <c r="C207">
        <v>0</v>
      </c>
      <c r="D207">
        <v>0</v>
      </c>
      <c r="E207">
        <v>2</v>
      </c>
      <c r="F207">
        <v>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2</v>
      </c>
      <c r="M207">
        <v>2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 s="10">
        <v>43340</v>
      </c>
      <c r="Y207" s="10"/>
      <c r="Z207" s="11"/>
      <c r="AA207" s="11"/>
      <c r="AB207" s="11"/>
      <c r="AC207" s="11"/>
      <c r="AD207" s="11"/>
      <c r="AE207" s="25">
        <v>4</v>
      </c>
      <c r="AF207" s="25" t="s">
        <v>155</v>
      </c>
      <c r="AG207" s="11" t="s">
        <v>92</v>
      </c>
      <c r="AH207" s="11" t="s">
        <v>94</v>
      </c>
    </row>
    <row r="208" spans="1:34" x14ac:dyDescent="0.25">
      <c r="A208">
        <v>201672</v>
      </c>
      <c r="B208" t="s">
        <v>88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1</v>
      </c>
      <c r="L208">
        <v>2</v>
      </c>
      <c r="M208">
        <v>0</v>
      </c>
      <c r="O208">
        <v>0</v>
      </c>
      <c r="P208">
        <v>0</v>
      </c>
      <c r="Q208">
        <v>0</v>
      </c>
      <c r="R208">
        <v>1</v>
      </c>
      <c r="S208">
        <v>0</v>
      </c>
      <c r="T208">
        <v>0</v>
      </c>
      <c r="U208">
        <v>0</v>
      </c>
      <c r="V208">
        <v>0</v>
      </c>
      <c r="W208">
        <v>0</v>
      </c>
      <c r="X208" s="10">
        <v>43341</v>
      </c>
      <c r="Y208" s="10"/>
      <c r="Z208" s="11"/>
      <c r="AA208" s="11"/>
      <c r="AB208" s="11"/>
      <c r="AC208" s="11"/>
      <c r="AD208" s="11"/>
      <c r="AE208" s="25">
        <v>3</v>
      </c>
      <c r="AF208" s="25" t="s">
        <v>155</v>
      </c>
      <c r="AG208" s="11" t="s">
        <v>92</v>
      </c>
      <c r="AH208" s="11" t="s">
        <v>96</v>
      </c>
    </row>
    <row r="209" spans="1:34" x14ac:dyDescent="0.25">
      <c r="A209">
        <v>231578</v>
      </c>
      <c r="B209" t="s">
        <v>88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0</v>
      </c>
      <c r="K209">
        <v>0</v>
      </c>
      <c r="L209">
        <v>0</v>
      </c>
      <c r="M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 s="10">
        <v>43341</v>
      </c>
      <c r="Y209" s="10"/>
      <c r="Z209" s="11"/>
      <c r="AA209" s="11"/>
      <c r="AB209" s="11"/>
      <c r="AC209" s="11"/>
      <c r="AD209" s="11"/>
      <c r="AE209" s="25">
        <v>1</v>
      </c>
      <c r="AF209" s="25" t="s">
        <v>155</v>
      </c>
      <c r="AG209" s="11" t="s">
        <v>92</v>
      </c>
      <c r="AH209" s="11" t="s">
        <v>91</v>
      </c>
    </row>
    <row r="210" spans="1:34" x14ac:dyDescent="0.25">
      <c r="A210">
        <v>162338</v>
      </c>
      <c r="B210" t="s">
        <v>88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2</v>
      </c>
      <c r="M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 s="10">
        <v>43341</v>
      </c>
      <c r="Y210" s="10"/>
      <c r="Z210" s="11"/>
      <c r="AA210" s="11"/>
      <c r="AB210" s="11"/>
      <c r="AC210" s="11"/>
      <c r="AD210" s="11"/>
      <c r="AE210" s="25">
        <v>1</v>
      </c>
      <c r="AF210" s="25" t="s">
        <v>155</v>
      </c>
      <c r="AG210" s="11" t="s">
        <v>90</v>
      </c>
      <c r="AH210" s="11" t="s">
        <v>95</v>
      </c>
    </row>
    <row r="211" spans="1:34" x14ac:dyDescent="0.25">
      <c r="A211">
        <v>200106</v>
      </c>
      <c r="B211" t="s">
        <v>88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O211">
        <v>0</v>
      </c>
      <c r="P211">
        <v>0</v>
      </c>
      <c r="Q211">
        <v>0</v>
      </c>
      <c r="R211">
        <v>1</v>
      </c>
      <c r="S211">
        <v>0</v>
      </c>
      <c r="T211">
        <v>0</v>
      </c>
      <c r="U211">
        <v>0</v>
      </c>
      <c r="V211">
        <v>0</v>
      </c>
      <c r="W211">
        <v>0</v>
      </c>
      <c r="X211" s="10">
        <v>43341</v>
      </c>
      <c r="Y211" s="10"/>
      <c r="Z211" s="11"/>
      <c r="AA211" s="11"/>
      <c r="AB211" s="11"/>
      <c r="AC211" s="11"/>
      <c r="AD211" s="11"/>
      <c r="AE211" s="25">
        <v>1</v>
      </c>
      <c r="AF211" s="25" t="s">
        <v>155</v>
      </c>
      <c r="AG211" s="11" t="s">
        <v>90</v>
      </c>
      <c r="AH211" s="11" t="s">
        <v>93</v>
      </c>
    </row>
    <row r="212" spans="1:34" x14ac:dyDescent="0.25">
      <c r="A212">
        <v>268390</v>
      </c>
      <c r="B212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 s="10">
        <v>43341</v>
      </c>
      <c r="Y212" s="10"/>
      <c r="Z212" s="11"/>
      <c r="AA212" s="11"/>
      <c r="AB212" s="11"/>
      <c r="AC212" s="11"/>
      <c r="AD212" s="11"/>
      <c r="AE212" s="25">
        <v>0</v>
      </c>
      <c r="AF212" s="25" t="s">
        <v>155</v>
      </c>
      <c r="AG212" s="11" t="s">
        <v>90</v>
      </c>
      <c r="AH212" s="11" t="s">
        <v>89</v>
      </c>
    </row>
    <row r="213" spans="1:34" x14ac:dyDescent="0.25">
      <c r="A213">
        <v>210863</v>
      </c>
      <c r="B213" t="s">
        <v>88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O213">
        <v>0</v>
      </c>
      <c r="P213">
        <v>0</v>
      </c>
      <c r="Q213">
        <v>0</v>
      </c>
      <c r="R213">
        <v>1</v>
      </c>
      <c r="S213">
        <v>0</v>
      </c>
      <c r="T213">
        <v>0</v>
      </c>
      <c r="U213">
        <v>0</v>
      </c>
      <c r="V213">
        <v>0</v>
      </c>
      <c r="W213">
        <v>0</v>
      </c>
      <c r="X213" s="10">
        <v>43342</v>
      </c>
      <c r="Y213" s="10"/>
      <c r="Z213" s="11"/>
      <c r="AA213" s="11"/>
      <c r="AB213" s="11"/>
      <c r="AC213" s="11"/>
      <c r="AD213" s="11"/>
      <c r="AE213" s="25">
        <v>1</v>
      </c>
      <c r="AF213" s="25" t="s">
        <v>155</v>
      </c>
      <c r="AG213" s="11" t="s">
        <v>90</v>
      </c>
      <c r="AH213" s="11" t="s">
        <v>89</v>
      </c>
    </row>
    <row r="214" spans="1:34" x14ac:dyDescent="0.25">
      <c r="A214">
        <v>191570</v>
      </c>
      <c r="B214" t="s">
        <v>88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 s="10">
        <v>43342</v>
      </c>
      <c r="Y214" s="10"/>
      <c r="Z214" s="11"/>
      <c r="AA214" s="11"/>
      <c r="AB214" s="11"/>
      <c r="AC214" s="11"/>
      <c r="AD214" s="11"/>
      <c r="AE214" s="25">
        <v>0</v>
      </c>
      <c r="AF214" s="25" t="s">
        <v>155</v>
      </c>
      <c r="AG214" s="11" t="s">
        <v>92</v>
      </c>
      <c r="AH214" s="11" t="s">
        <v>96</v>
      </c>
    </row>
    <row r="215" spans="1:34" x14ac:dyDescent="0.25">
      <c r="A215">
        <v>224074</v>
      </c>
      <c r="B215" t="s">
        <v>88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 s="10">
        <v>43342</v>
      </c>
      <c r="Y215" s="10"/>
      <c r="Z215" s="11"/>
      <c r="AA215" s="11"/>
      <c r="AB215" s="11"/>
      <c r="AC215" s="11"/>
      <c r="AD215" s="11"/>
      <c r="AE215" s="25">
        <v>0</v>
      </c>
      <c r="AF215" s="25" t="s">
        <v>155</v>
      </c>
      <c r="AG215" s="11" t="s">
        <v>90</v>
      </c>
      <c r="AH215" s="11" t="s">
        <v>98</v>
      </c>
    </row>
    <row r="216" spans="1:34" x14ac:dyDescent="0.25">
      <c r="A216">
        <v>233480</v>
      </c>
      <c r="B216" t="s">
        <v>88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s="10">
        <v>43342</v>
      </c>
      <c r="Y216" s="10"/>
      <c r="Z216" s="11"/>
      <c r="AA216" s="11"/>
      <c r="AB216" s="11"/>
      <c r="AC216" s="11"/>
      <c r="AD216" s="11"/>
      <c r="AE216" s="25">
        <v>0</v>
      </c>
      <c r="AF216" s="25" t="s">
        <v>155</v>
      </c>
      <c r="AG216" s="11" t="s">
        <v>90</v>
      </c>
      <c r="AH216" s="11" t="s">
        <v>93</v>
      </c>
    </row>
    <row r="217" spans="1:34" x14ac:dyDescent="0.25">
      <c r="A217">
        <v>151790</v>
      </c>
      <c r="B217" t="s">
        <v>88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 s="10">
        <v>43342</v>
      </c>
      <c r="Y217" s="10"/>
      <c r="Z217" s="11"/>
      <c r="AA217" s="11"/>
      <c r="AB217" s="11"/>
      <c r="AC217" s="11"/>
      <c r="AD217" s="11"/>
      <c r="AE217" s="25">
        <v>1</v>
      </c>
      <c r="AF217" s="25" t="s">
        <v>155</v>
      </c>
      <c r="AG217" s="11" t="s">
        <v>92</v>
      </c>
      <c r="AH217" s="11" t="s">
        <v>97</v>
      </c>
    </row>
    <row r="218" spans="1:34" x14ac:dyDescent="0.25">
      <c r="A218">
        <v>168857</v>
      </c>
      <c r="B218" t="s">
        <v>88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 s="10">
        <v>43343</v>
      </c>
      <c r="Y218" s="10"/>
      <c r="Z218" s="11"/>
      <c r="AA218" s="11"/>
      <c r="AB218" s="11"/>
      <c r="AC218" s="11"/>
      <c r="AD218" s="11"/>
      <c r="AE218" s="25">
        <v>0</v>
      </c>
      <c r="AF218" s="25" t="s">
        <v>155</v>
      </c>
      <c r="AG218" s="11" t="s">
        <v>92</v>
      </c>
      <c r="AH218" s="11" t="s">
        <v>94</v>
      </c>
    </row>
    <row r="219" spans="1:34" x14ac:dyDescent="0.25">
      <c r="A219">
        <v>193686</v>
      </c>
      <c r="B219" t="s">
        <v>88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O219">
        <v>0</v>
      </c>
      <c r="P219">
        <v>0</v>
      </c>
      <c r="Q219">
        <v>0</v>
      </c>
      <c r="R219">
        <v>1</v>
      </c>
      <c r="S219">
        <v>0</v>
      </c>
      <c r="T219">
        <v>0</v>
      </c>
      <c r="U219">
        <v>0</v>
      </c>
      <c r="V219">
        <v>0</v>
      </c>
      <c r="W219">
        <v>0</v>
      </c>
      <c r="X219" s="10">
        <v>43343</v>
      </c>
      <c r="Y219" s="10"/>
      <c r="Z219" s="11"/>
      <c r="AA219" s="11"/>
      <c r="AB219" s="11"/>
      <c r="AC219" s="11"/>
      <c r="AD219" s="11"/>
      <c r="AE219" s="25">
        <v>1</v>
      </c>
      <c r="AF219" s="25" t="s">
        <v>155</v>
      </c>
      <c r="AG219" s="11" t="s">
        <v>92</v>
      </c>
      <c r="AH219" s="11" t="s">
        <v>96</v>
      </c>
    </row>
    <row r="220" spans="1:34" x14ac:dyDescent="0.25">
      <c r="A220">
        <v>268511</v>
      </c>
      <c r="B220" t="s">
        <v>88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 s="10">
        <v>43343</v>
      </c>
      <c r="Y220" s="10"/>
      <c r="Z220" s="11"/>
      <c r="AA220" s="11"/>
      <c r="AB220" s="11"/>
      <c r="AC220" s="11"/>
      <c r="AD220" s="11"/>
      <c r="AE220" s="25">
        <v>0</v>
      </c>
      <c r="AF220" s="25" t="s">
        <v>155</v>
      </c>
      <c r="AG220" s="11" t="s">
        <v>90</v>
      </c>
      <c r="AH220" s="11" t="s">
        <v>89</v>
      </c>
    </row>
    <row r="221" spans="1:34" x14ac:dyDescent="0.25">
      <c r="A221">
        <v>268537</v>
      </c>
      <c r="B221" t="s">
        <v>88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0</v>
      </c>
      <c r="U221">
        <v>0</v>
      </c>
      <c r="V221">
        <v>0</v>
      </c>
      <c r="W221">
        <v>0</v>
      </c>
      <c r="X221" s="10">
        <v>43343</v>
      </c>
      <c r="Y221" s="10"/>
      <c r="Z221" s="11"/>
      <c r="AA221" s="11"/>
      <c r="AB221" s="11"/>
      <c r="AC221" s="11"/>
      <c r="AD221" s="11"/>
      <c r="AE221" s="25">
        <v>1</v>
      </c>
      <c r="AF221" s="25" t="s">
        <v>155</v>
      </c>
      <c r="AG221" s="11" t="s">
        <v>90</v>
      </c>
      <c r="AH221" s="11" t="s">
        <v>98</v>
      </c>
    </row>
    <row r="222" spans="1:34" x14ac:dyDescent="0.25">
      <c r="A222">
        <v>209398</v>
      </c>
      <c r="B222" t="s">
        <v>88</v>
      </c>
      <c r="C222">
        <v>0</v>
      </c>
      <c r="D222">
        <v>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 s="10">
        <v>43343</v>
      </c>
      <c r="Y222" s="10"/>
      <c r="Z222" s="11"/>
      <c r="AA222" s="11"/>
      <c r="AB222" s="11"/>
      <c r="AC222" s="11"/>
      <c r="AD222" s="11"/>
      <c r="AE222" s="25">
        <v>2</v>
      </c>
      <c r="AF222" s="25" t="s">
        <v>155</v>
      </c>
      <c r="AG222" s="11" t="s">
        <v>90</v>
      </c>
      <c r="AH222" s="11" t="s">
        <v>93</v>
      </c>
    </row>
    <row r="223" spans="1:34" x14ac:dyDescent="0.25">
      <c r="A223">
        <v>178024</v>
      </c>
      <c r="B223" t="s">
        <v>88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 s="10">
        <v>43346</v>
      </c>
      <c r="Y223" s="10"/>
      <c r="Z223" s="11"/>
      <c r="AA223" s="11"/>
      <c r="AB223" s="11"/>
      <c r="AC223" s="11"/>
      <c r="AD223" s="11"/>
      <c r="AE223" s="25">
        <v>0</v>
      </c>
      <c r="AF223" s="25" t="s">
        <v>155</v>
      </c>
      <c r="AG223" s="11" t="s">
        <v>92</v>
      </c>
      <c r="AH223" s="11" t="s">
        <v>94</v>
      </c>
    </row>
    <row r="224" spans="1:34" x14ac:dyDescent="0.25">
      <c r="A224">
        <v>208433</v>
      </c>
      <c r="B224" t="s">
        <v>88</v>
      </c>
      <c r="C224">
        <v>0</v>
      </c>
      <c r="D224">
        <v>0</v>
      </c>
      <c r="E224">
        <v>2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</v>
      </c>
      <c r="L224">
        <v>0</v>
      </c>
      <c r="M224">
        <v>2</v>
      </c>
      <c r="O224">
        <v>0</v>
      </c>
      <c r="P224">
        <v>0</v>
      </c>
      <c r="Q224">
        <v>0</v>
      </c>
      <c r="R224">
        <v>2</v>
      </c>
      <c r="S224">
        <v>0</v>
      </c>
      <c r="T224">
        <v>0</v>
      </c>
      <c r="U224">
        <v>0</v>
      </c>
      <c r="V224">
        <v>0</v>
      </c>
      <c r="W224">
        <v>0</v>
      </c>
      <c r="X224" s="10">
        <v>43346</v>
      </c>
      <c r="Y224" s="10"/>
      <c r="Z224" s="11"/>
      <c r="AA224" s="11"/>
      <c r="AB224" s="11"/>
      <c r="AC224" s="11"/>
      <c r="AD224" s="11"/>
      <c r="AE224" s="25">
        <v>4</v>
      </c>
      <c r="AF224" s="25" t="s">
        <v>155</v>
      </c>
      <c r="AG224" s="11" t="s">
        <v>92</v>
      </c>
      <c r="AH224" s="11" t="s">
        <v>96</v>
      </c>
    </row>
    <row r="225" spans="1:34" x14ac:dyDescent="0.25">
      <c r="A225">
        <v>186231</v>
      </c>
      <c r="B225" t="s">
        <v>88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3</v>
      </c>
      <c r="J225">
        <v>0</v>
      </c>
      <c r="K225">
        <v>0</v>
      </c>
      <c r="L225">
        <v>0</v>
      </c>
      <c r="M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 s="10">
        <v>43346</v>
      </c>
      <c r="Y225" s="10"/>
      <c r="Z225" s="11"/>
      <c r="AA225" s="11"/>
      <c r="AB225" s="11"/>
      <c r="AC225" s="11"/>
      <c r="AD225" s="11"/>
      <c r="AE225" s="25">
        <v>1</v>
      </c>
      <c r="AF225" s="25" t="s">
        <v>155</v>
      </c>
      <c r="AG225" s="11" t="s">
        <v>92</v>
      </c>
      <c r="AH225" s="11" t="s">
        <v>97</v>
      </c>
    </row>
    <row r="226" spans="1:34" x14ac:dyDescent="0.25">
      <c r="A226">
        <v>163406</v>
      </c>
      <c r="B226" t="s">
        <v>88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 s="10">
        <v>43346</v>
      </c>
      <c r="Y226" s="10"/>
      <c r="Z226" s="11"/>
      <c r="AA226" s="11"/>
      <c r="AB226" s="11"/>
      <c r="AC226" s="11"/>
      <c r="AD226" s="11"/>
      <c r="AE226" s="25">
        <v>0</v>
      </c>
      <c r="AF226" s="25" t="s">
        <v>155</v>
      </c>
      <c r="AG226" s="11" t="s">
        <v>92</v>
      </c>
      <c r="AH226" s="11" t="s">
        <v>91</v>
      </c>
    </row>
    <row r="227" spans="1:34" x14ac:dyDescent="0.25">
      <c r="A227">
        <v>190513</v>
      </c>
      <c r="B227" t="s">
        <v>88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 s="10">
        <v>43346</v>
      </c>
      <c r="Y227" s="10"/>
      <c r="Z227" s="11"/>
      <c r="AA227" s="11"/>
      <c r="AB227" s="11"/>
      <c r="AC227" s="11"/>
      <c r="AD227" s="11"/>
      <c r="AE227" s="25">
        <v>0</v>
      </c>
      <c r="AF227" s="25" t="s">
        <v>155</v>
      </c>
      <c r="AG227" s="11" t="s">
        <v>92</v>
      </c>
      <c r="AH227" s="11" t="s">
        <v>94</v>
      </c>
    </row>
    <row r="228" spans="1:34" x14ac:dyDescent="0.25">
      <c r="A228">
        <v>268684</v>
      </c>
      <c r="B228" t="s">
        <v>88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 s="10">
        <v>43347</v>
      </c>
      <c r="Y228" s="10"/>
      <c r="Z228" s="11"/>
      <c r="AA228" s="11"/>
      <c r="AB228" s="11"/>
      <c r="AC228" s="11"/>
      <c r="AD228" s="11"/>
      <c r="AE228" s="25">
        <v>0</v>
      </c>
      <c r="AF228" s="25" t="s">
        <v>155</v>
      </c>
      <c r="AG228" s="11" t="s">
        <v>92</v>
      </c>
      <c r="AH228" s="11" t="s">
        <v>97</v>
      </c>
    </row>
    <row r="229" spans="1:34" x14ac:dyDescent="0.25">
      <c r="A229">
        <v>189241</v>
      </c>
      <c r="B229" t="s">
        <v>88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 s="10">
        <v>43347</v>
      </c>
      <c r="Y229" s="10"/>
      <c r="Z229" s="11"/>
      <c r="AA229" s="11"/>
      <c r="AB229" s="11"/>
      <c r="AC229" s="11"/>
      <c r="AD229" s="11"/>
      <c r="AE229" s="25">
        <v>0</v>
      </c>
      <c r="AF229" s="25" t="s">
        <v>155</v>
      </c>
      <c r="AG229" s="11" t="s">
        <v>92</v>
      </c>
      <c r="AH229" s="11" t="s">
        <v>96</v>
      </c>
    </row>
    <row r="230" spans="1:34" x14ac:dyDescent="0.25">
      <c r="A230">
        <v>143779</v>
      </c>
      <c r="B230" t="s">
        <v>88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X230" s="10">
        <v>43347</v>
      </c>
      <c r="Y230" s="10"/>
      <c r="Z230" s="11"/>
      <c r="AA230" s="11"/>
      <c r="AB230" s="11"/>
      <c r="AC230" s="11"/>
      <c r="AD230" s="11"/>
      <c r="AE230" s="25">
        <v>1</v>
      </c>
      <c r="AF230" s="25" t="s">
        <v>155</v>
      </c>
      <c r="AG230" s="11" t="s">
        <v>92</v>
      </c>
      <c r="AH230" s="11" t="s">
        <v>96</v>
      </c>
    </row>
    <row r="231" spans="1:34" x14ac:dyDescent="0.25">
      <c r="A231">
        <v>202369</v>
      </c>
      <c r="B231" t="s">
        <v>88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2</v>
      </c>
      <c r="M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 s="10">
        <v>43347</v>
      </c>
      <c r="Y231" s="10"/>
      <c r="Z231" s="11"/>
      <c r="AA231" s="11"/>
      <c r="AB231" s="11"/>
      <c r="AC231" s="11"/>
      <c r="AD231" s="11"/>
      <c r="AE231" s="25">
        <v>1</v>
      </c>
      <c r="AF231" s="25" t="s">
        <v>155</v>
      </c>
      <c r="AG231" s="11" t="s">
        <v>92</v>
      </c>
      <c r="AH231" s="11" t="s">
        <v>94</v>
      </c>
    </row>
    <row r="232" spans="1:34" x14ac:dyDescent="0.25">
      <c r="A232">
        <v>197804</v>
      </c>
      <c r="B232" t="s">
        <v>88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 s="10">
        <v>43347</v>
      </c>
      <c r="Y232" s="10"/>
      <c r="Z232" s="11"/>
      <c r="AA232" s="11"/>
      <c r="AB232" s="11"/>
      <c r="AC232" s="11"/>
      <c r="AD232" s="11"/>
      <c r="AE232" s="25">
        <v>0</v>
      </c>
      <c r="AF232" s="25" t="s">
        <v>155</v>
      </c>
      <c r="AG232" s="11" t="s">
        <v>92</v>
      </c>
      <c r="AH232" s="11" t="s">
        <v>94</v>
      </c>
    </row>
    <row r="233" spans="1:34" x14ac:dyDescent="0.25">
      <c r="A233">
        <v>203497</v>
      </c>
      <c r="B233" t="s">
        <v>88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2</v>
      </c>
      <c r="M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 s="10">
        <v>43348</v>
      </c>
      <c r="Y233" s="10"/>
      <c r="Z233" s="11"/>
      <c r="AA233" s="11"/>
      <c r="AB233" s="11"/>
      <c r="AC233" s="11"/>
      <c r="AD233" s="11"/>
      <c r="AE233" s="25">
        <v>1</v>
      </c>
      <c r="AF233" s="25" t="s">
        <v>155</v>
      </c>
      <c r="AG233" s="11" t="s">
        <v>92</v>
      </c>
      <c r="AH233" s="11" t="s">
        <v>89</v>
      </c>
    </row>
    <row r="234" spans="1:34" x14ac:dyDescent="0.25">
      <c r="A234">
        <v>268578</v>
      </c>
      <c r="B234" t="s">
        <v>88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 s="10">
        <v>43348</v>
      </c>
      <c r="Y234" s="10"/>
      <c r="Z234" s="11"/>
      <c r="AA234" s="11"/>
      <c r="AB234" s="11"/>
      <c r="AC234" s="11"/>
      <c r="AD234" s="11"/>
      <c r="AE234" s="25">
        <v>0</v>
      </c>
      <c r="AF234" s="25" t="s">
        <v>155</v>
      </c>
      <c r="AG234" s="11" t="s">
        <v>92</v>
      </c>
      <c r="AH234" s="11" t="s">
        <v>91</v>
      </c>
    </row>
    <row r="235" spans="1:34" x14ac:dyDescent="0.25">
      <c r="A235">
        <v>162653</v>
      </c>
      <c r="B235" t="s">
        <v>88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2</v>
      </c>
      <c r="M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 s="10">
        <v>43348</v>
      </c>
      <c r="Y235" s="10"/>
      <c r="Z235" s="11"/>
      <c r="AA235" s="11"/>
      <c r="AB235" s="11"/>
      <c r="AC235" s="11"/>
      <c r="AD235" s="11"/>
      <c r="AE235" s="25">
        <v>1</v>
      </c>
      <c r="AF235" s="25" t="s">
        <v>155</v>
      </c>
      <c r="AG235" s="11" t="s">
        <v>90</v>
      </c>
      <c r="AH235" s="11" t="s">
        <v>98</v>
      </c>
    </row>
    <row r="236" spans="1:34" x14ac:dyDescent="0.25">
      <c r="A236">
        <v>175679</v>
      </c>
      <c r="B236" t="s">
        <v>88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 s="10">
        <v>43348</v>
      </c>
      <c r="Y236" s="10"/>
      <c r="Z236" s="11"/>
      <c r="AA236" s="11"/>
      <c r="AB236" s="11"/>
      <c r="AC236" s="11"/>
      <c r="AD236" s="11"/>
      <c r="AE236" s="25">
        <v>0</v>
      </c>
      <c r="AF236" s="25" t="s">
        <v>155</v>
      </c>
      <c r="AG236" s="11" t="s">
        <v>90</v>
      </c>
      <c r="AH236" s="11" t="s">
        <v>95</v>
      </c>
    </row>
    <row r="237" spans="1:34" x14ac:dyDescent="0.25">
      <c r="A237">
        <v>209043</v>
      </c>
      <c r="B237" t="s">
        <v>88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O237">
        <v>0</v>
      </c>
      <c r="P237">
        <v>0</v>
      </c>
      <c r="Q237">
        <v>0</v>
      </c>
      <c r="R237">
        <v>1</v>
      </c>
      <c r="S237">
        <v>0</v>
      </c>
      <c r="T237">
        <v>0</v>
      </c>
      <c r="U237">
        <v>0</v>
      </c>
      <c r="X237" s="10">
        <v>43348</v>
      </c>
      <c r="Y237" s="10"/>
      <c r="Z237" s="11"/>
      <c r="AA237" s="11"/>
      <c r="AB237" s="11"/>
      <c r="AC237" s="11"/>
      <c r="AD237" s="11"/>
      <c r="AE237" s="25">
        <v>1</v>
      </c>
      <c r="AF237" s="25" t="s">
        <v>155</v>
      </c>
      <c r="AG237" s="11" t="s">
        <v>90</v>
      </c>
      <c r="AH237" s="11" t="s">
        <v>93</v>
      </c>
    </row>
    <row r="238" spans="1:34" x14ac:dyDescent="0.25">
      <c r="A238">
        <v>190508</v>
      </c>
      <c r="B238" t="s">
        <v>88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O238">
        <v>0</v>
      </c>
      <c r="P238">
        <v>0</v>
      </c>
      <c r="Q238">
        <v>0</v>
      </c>
      <c r="R238">
        <v>1</v>
      </c>
      <c r="S238">
        <v>0</v>
      </c>
      <c r="T238">
        <v>0</v>
      </c>
      <c r="U238">
        <v>0</v>
      </c>
      <c r="V238">
        <v>0</v>
      </c>
      <c r="W238">
        <v>0</v>
      </c>
      <c r="X238" s="10">
        <v>43349</v>
      </c>
      <c r="Y238" s="10"/>
      <c r="Z238" s="11"/>
      <c r="AA238" s="11"/>
      <c r="AB238" s="11"/>
      <c r="AC238" s="11"/>
      <c r="AD238" s="11"/>
      <c r="AE238" s="25">
        <v>1</v>
      </c>
      <c r="AF238" s="25" t="s">
        <v>155</v>
      </c>
      <c r="AG238" s="11" t="s">
        <v>92</v>
      </c>
      <c r="AH238" s="11" t="s">
        <v>94</v>
      </c>
    </row>
    <row r="239" spans="1:34" x14ac:dyDescent="0.25">
      <c r="A239">
        <v>161086</v>
      </c>
      <c r="B239" t="s">
        <v>88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 s="10">
        <v>43349</v>
      </c>
      <c r="Y239" s="10"/>
      <c r="Z239" s="11"/>
      <c r="AA239" s="11"/>
      <c r="AB239" s="11"/>
      <c r="AC239" s="11"/>
      <c r="AD239" s="11"/>
      <c r="AE239" s="25">
        <v>0</v>
      </c>
      <c r="AF239" s="25" t="s">
        <v>155</v>
      </c>
      <c r="AG239" s="11" t="s">
        <v>92</v>
      </c>
      <c r="AH239" s="11" t="s">
        <v>94</v>
      </c>
    </row>
    <row r="240" spans="1:34" x14ac:dyDescent="0.25">
      <c r="A240">
        <v>130921</v>
      </c>
      <c r="B240" t="s">
        <v>88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 s="10">
        <v>43349</v>
      </c>
      <c r="Y240" s="10"/>
      <c r="Z240" s="11"/>
      <c r="AA240" s="11"/>
      <c r="AB240" s="11"/>
      <c r="AC240" s="11"/>
      <c r="AD240" s="11"/>
      <c r="AE240" s="25">
        <v>0</v>
      </c>
      <c r="AF240" s="25" t="s">
        <v>155</v>
      </c>
      <c r="AG240" s="11" t="s">
        <v>92</v>
      </c>
      <c r="AH240" s="11" t="s">
        <v>97</v>
      </c>
    </row>
    <row r="241" spans="1:34" x14ac:dyDescent="0.25">
      <c r="A241">
        <v>219977</v>
      </c>
      <c r="B241" t="s">
        <v>88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 s="10">
        <v>43349</v>
      </c>
      <c r="Y241" s="10"/>
      <c r="Z241" s="11"/>
      <c r="AA241" s="11"/>
      <c r="AB241" s="11"/>
      <c r="AC241" s="11"/>
      <c r="AD241" s="11"/>
      <c r="AE241" s="25">
        <v>0</v>
      </c>
      <c r="AF241" s="25" t="s">
        <v>155</v>
      </c>
      <c r="AG241" s="11" t="s">
        <v>92</v>
      </c>
      <c r="AH241" s="11" t="s">
        <v>89</v>
      </c>
    </row>
    <row r="242" spans="1:34" x14ac:dyDescent="0.25">
      <c r="A242">
        <v>138374</v>
      </c>
      <c r="B242" t="s">
        <v>88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 s="10">
        <v>43349</v>
      </c>
      <c r="Y242" s="10"/>
      <c r="Z242" s="11"/>
      <c r="AA242" s="11"/>
      <c r="AB242" s="11"/>
      <c r="AC242" s="11"/>
      <c r="AD242" s="11"/>
      <c r="AE242" s="25">
        <v>0</v>
      </c>
      <c r="AF242" s="25" t="s">
        <v>155</v>
      </c>
      <c r="AG242" s="11" t="s">
        <v>92</v>
      </c>
      <c r="AH242" s="11" t="s">
        <v>98</v>
      </c>
    </row>
    <row r="243" spans="1:34" x14ac:dyDescent="0.25">
      <c r="A243">
        <v>127434</v>
      </c>
      <c r="B243" t="s">
        <v>88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2</v>
      </c>
      <c r="M243">
        <v>0</v>
      </c>
      <c r="O243">
        <v>0</v>
      </c>
      <c r="P243">
        <v>0</v>
      </c>
      <c r="Q243">
        <v>0</v>
      </c>
      <c r="R243">
        <v>1</v>
      </c>
      <c r="S243">
        <v>0</v>
      </c>
      <c r="T243">
        <v>0</v>
      </c>
      <c r="U243">
        <v>0</v>
      </c>
      <c r="V243">
        <v>0</v>
      </c>
      <c r="W243">
        <v>0</v>
      </c>
      <c r="X243" s="10">
        <v>43354</v>
      </c>
      <c r="Y243" s="10"/>
      <c r="Z243" s="11"/>
      <c r="AA243" s="11"/>
      <c r="AB243" s="11"/>
      <c r="AC243" s="11"/>
      <c r="AD243" s="11"/>
      <c r="AE243" s="25">
        <v>2</v>
      </c>
      <c r="AF243" s="25" t="s">
        <v>155</v>
      </c>
      <c r="AG243" s="11" t="s">
        <v>92</v>
      </c>
      <c r="AH243" s="11" t="s">
        <v>96</v>
      </c>
    </row>
    <row r="244" spans="1:34" x14ac:dyDescent="0.25">
      <c r="A244">
        <v>217338</v>
      </c>
      <c r="B244" t="s">
        <v>88</v>
      </c>
      <c r="C244">
        <v>0</v>
      </c>
      <c r="D244">
        <v>0</v>
      </c>
      <c r="E244">
        <v>0</v>
      </c>
      <c r="F244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O244">
        <v>0</v>
      </c>
      <c r="P244">
        <v>0</v>
      </c>
      <c r="Q244">
        <v>0</v>
      </c>
      <c r="R244">
        <v>1</v>
      </c>
      <c r="S244">
        <v>0</v>
      </c>
      <c r="T244">
        <v>0</v>
      </c>
      <c r="U244">
        <v>0</v>
      </c>
      <c r="V244">
        <v>0</v>
      </c>
      <c r="W244">
        <v>0</v>
      </c>
      <c r="X244" s="10">
        <v>43354</v>
      </c>
      <c r="Y244" s="10"/>
      <c r="Z244" s="11"/>
      <c r="AA244" s="11"/>
      <c r="AB244" s="11"/>
      <c r="AC244" s="11"/>
      <c r="AD244" s="11"/>
      <c r="AE244" s="25">
        <v>2</v>
      </c>
      <c r="AF244" s="25" t="s">
        <v>155</v>
      </c>
      <c r="AG244" s="11" t="s">
        <v>90</v>
      </c>
      <c r="AH244" s="11" t="s">
        <v>93</v>
      </c>
    </row>
    <row r="245" spans="1:34" x14ac:dyDescent="0.25">
      <c r="A245">
        <v>199559</v>
      </c>
      <c r="B245" t="s">
        <v>88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O245">
        <v>0</v>
      </c>
      <c r="P245">
        <v>0</v>
      </c>
      <c r="Q245">
        <v>0</v>
      </c>
      <c r="R245">
        <v>2</v>
      </c>
      <c r="S245">
        <v>0</v>
      </c>
      <c r="T245">
        <v>0</v>
      </c>
      <c r="U245">
        <v>0</v>
      </c>
      <c r="V245">
        <v>0</v>
      </c>
      <c r="W245">
        <v>0</v>
      </c>
      <c r="X245" s="10">
        <v>43354</v>
      </c>
      <c r="Y245" s="10"/>
      <c r="Z245" s="11"/>
      <c r="AA245" s="11"/>
      <c r="AB245" s="11"/>
      <c r="AC245" s="11"/>
      <c r="AD245" s="11"/>
      <c r="AE245" s="25">
        <v>1</v>
      </c>
      <c r="AF245" s="25" t="s">
        <v>155</v>
      </c>
      <c r="AG245" s="11" t="s">
        <v>90</v>
      </c>
      <c r="AH245" s="11" t="s">
        <v>93</v>
      </c>
    </row>
    <row r="246" spans="1:34" x14ac:dyDescent="0.25">
      <c r="A246">
        <v>188398</v>
      </c>
      <c r="B246" t="s">
        <v>88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 s="10">
        <v>43354</v>
      </c>
      <c r="Y246" s="10"/>
      <c r="Z246" s="11"/>
      <c r="AA246" s="11"/>
      <c r="AB246" s="11"/>
      <c r="AC246" s="11"/>
      <c r="AD246" s="11"/>
      <c r="AE246" s="25">
        <v>0</v>
      </c>
      <c r="AF246" s="25" t="s">
        <v>155</v>
      </c>
      <c r="AG246" s="11" t="s">
        <v>90</v>
      </c>
      <c r="AH246" s="11" t="s">
        <v>95</v>
      </c>
    </row>
    <row r="247" spans="1:34" x14ac:dyDescent="0.25">
      <c r="A247">
        <v>221328</v>
      </c>
      <c r="B247" t="s">
        <v>88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 s="10">
        <v>43354</v>
      </c>
      <c r="Y247" s="10"/>
      <c r="Z247" s="11"/>
      <c r="AA247" s="11"/>
      <c r="AB247" s="11"/>
      <c r="AC247" s="11"/>
      <c r="AD247" s="11"/>
      <c r="AE247" s="25">
        <v>0</v>
      </c>
      <c r="AF247" s="25" t="s">
        <v>155</v>
      </c>
      <c r="AG247" s="11" t="s">
        <v>92</v>
      </c>
      <c r="AH247" s="11" t="s">
        <v>94</v>
      </c>
    </row>
    <row r="248" spans="1:34" x14ac:dyDescent="0.25">
      <c r="A248">
        <v>170624</v>
      </c>
      <c r="B248" t="s">
        <v>88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 s="10">
        <v>43355</v>
      </c>
      <c r="Y248" s="10"/>
      <c r="Z248" s="11"/>
      <c r="AA248" s="11"/>
      <c r="AB248" s="11"/>
      <c r="AC248" s="11"/>
      <c r="AD248" s="11"/>
      <c r="AE248" s="25">
        <v>0</v>
      </c>
      <c r="AF248" s="25" t="s">
        <v>155</v>
      </c>
      <c r="AG248" s="11" t="s">
        <v>90</v>
      </c>
      <c r="AH248" s="11" t="s">
        <v>98</v>
      </c>
    </row>
    <row r="249" spans="1:34" x14ac:dyDescent="0.25">
      <c r="A249">
        <v>209314</v>
      </c>
      <c r="B249" t="s">
        <v>88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3</v>
      </c>
      <c r="J249">
        <v>0</v>
      </c>
      <c r="K249">
        <v>1</v>
      </c>
      <c r="L249">
        <v>0</v>
      </c>
      <c r="M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 s="10">
        <v>43355</v>
      </c>
      <c r="Y249" s="10"/>
      <c r="Z249" s="11"/>
      <c r="AA249" s="11"/>
      <c r="AB249" s="11"/>
      <c r="AC249" s="11"/>
      <c r="AD249" s="11"/>
      <c r="AE249" s="25">
        <v>3</v>
      </c>
      <c r="AF249" s="25" t="s">
        <v>155</v>
      </c>
      <c r="AG249" s="11" t="s">
        <v>92</v>
      </c>
      <c r="AH249" s="11" t="s">
        <v>96</v>
      </c>
    </row>
    <row r="250" spans="1:34" x14ac:dyDescent="0.25">
      <c r="A250">
        <v>194793</v>
      </c>
      <c r="B250" t="s">
        <v>88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 s="10">
        <v>43355</v>
      </c>
      <c r="Y250" s="10"/>
      <c r="Z250" s="11"/>
      <c r="AA250" s="11"/>
      <c r="AB250" s="11"/>
      <c r="AC250" s="11"/>
      <c r="AD250" s="11"/>
      <c r="AE250" s="25">
        <v>0</v>
      </c>
      <c r="AF250" s="25" t="s">
        <v>155</v>
      </c>
      <c r="AG250" s="11" t="s">
        <v>92</v>
      </c>
      <c r="AH250" s="11" t="s">
        <v>97</v>
      </c>
    </row>
    <row r="251" spans="1:34" x14ac:dyDescent="0.25">
      <c r="A251">
        <v>193706</v>
      </c>
      <c r="B251" t="s">
        <v>88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</v>
      </c>
      <c r="J251">
        <v>0</v>
      </c>
      <c r="K251">
        <v>1</v>
      </c>
      <c r="L251">
        <v>0</v>
      </c>
      <c r="M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 s="10">
        <v>43355</v>
      </c>
      <c r="Y251" s="10"/>
      <c r="Z251" s="11"/>
      <c r="AA251" s="11"/>
      <c r="AB251" s="11"/>
      <c r="AC251" s="11"/>
      <c r="AD251" s="11"/>
      <c r="AE251" s="25">
        <v>2</v>
      </c>
      <c r="AF251" s="25" t="s">
        <v>155</v>
      </c>
      <c r="AG251" s="11" t="s">
        <v>90</v>
      </c>
      <c r="AH251" s="11" t="s">
        <v>89</v>
      </c>
    </row>
    <row r="252" spans="1:34" x14ac:dyDescent="0.25">
      <c r="A252">
        <v>192814</v>
      </c>
      <c r="B252" t="s">
        <v>88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 s="10">
        <v>43355</v>
      </c>
      <c r="Y252" s="10"/>
      <c r="Z252" s="11"/>
      <c r="AA252" s="11"/>
      <c r="AB252" s="11"/>
      <c r="AC252" s="11"/>
      <c r="AD252" s="11"/>
      <c r="AE252" s="25">
        <v>0</v>
      </c>
      <c r="AF252" s="25" t="s">
        <v>155</v>
      </c>
      <c r="AG252" s="11" t="s">
        <v>90</v>
      </c>
      <c r="AH252" s="11" t="s">
        <v>93</v>
      </c>
    </row>
    <row r="253" spans="1:34" x14ac:dyDescent="0.25">
      <c r="A253">
        <v>224047</v>
      </c>
      <c r="B253" t="s">
        <v>88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2</v>
      </c>
      <c r="M253">
        <v>0</v>
      </c>
      <c r="O253">
        <v>0</v>
      </c>
      <c r="P253">
        <v>0</v>
      </c>
      <c r="Q253">
        <v>0</v>
      </c>
      <c r="R253">
        <v>1</v>
      </c>
      <c r="S253">
        <v>0</v>
      </c>
      <c r="T253">
        <v>0</v>
      </c>
      <c r="U253">
        <v>0</v>
      </c>
      <c r="V253">
        <v>0</v>
      </c>
      <c r="W253">
        <v>0</v>
      </c>
      <c r="X253" s="10">
        <v>43357</v>
      </c>
      <c r="Y253" s="10"/>
      <c r="Z253" s="11"/>
      <c r="AA253" s="11"/>
      <c r="AB253" s="11"/>
      <c r="AC253" s="11"/>
      <c r="AD253" s="11"/>
      <c r="AE253" s="25">
        <v>3</v>
      </c>
      <c r="AF253" s="25" t="s">
        <v>155</v>
      </c>
      <c r="AG253" s="11" t="s">
        <v>90</v>
      </c>
      <c r="AH253" s="11" t="s">
        <v>89</v>
      </c>
    </row>
    <row r="254" spans="1:34" x14ac:dyDescent="0.25">
      <c r="A254">
        <v>268975</v>
      </c>
      <c r="B254" t="s">
        <v>88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 s="10">
        <v>43357</v>
      </c>
      <c r="Y254" s="10"/>
      <c r="Z254" s="11"/>
      <c r="AA254" s="11"/>
      <c r="AB254" s="11"/>
      <c r="AC254" s="11"/>
      <c r="AD254" s="11"/>
      <c r="AE254" s="25">
        <v>1</v>
      </c>
      <c r="AF254" s="25" t="s">
        <v>155</v>
      </c>
      <c r="AG254" s="11" t="s">
        <v>92</v>
      </c>
      <c r="AH254" s="11" t="s">
        <v>91</v>
      </c>
    </row>
    <row r="255" spans="1:34" x14ac:dyDescent="0.25">
      <c r="A255">
        <v>220199</v>
      </c>
      <c r="B255" t="s">
        <v>88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 s="10">
        <v>43357</v>
      </c>
      <c r="Y255" s="10"/>
      <c r="Z255" s="11"/>
      <c r="AA255" s="11"/>
      <c r="AB255" s="11"/>
      <c r="AC255" s="11"/>
      <c r="AD255" s="11"/>
      <c r="AE255" s="25">
        <v>0</v>
      </c>
      <c r="AF255" s="25" t="s">
        <v>155</v>
      </c>
      <c r="AG255" s="11" t="s">
        <v>92</v>
      </c>
      <c r="AH255" s="11" t="s">
        <v>94</v>
      </c>
    </row>
    <row r="256" spans="1:34" x14ac:dyDescent="0.25">
      <c r="A256">
        <v>208488</v>
      </c>
      <c r="B256" t="s">
        <v>88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 s="10">
        <v>43357</v>
      </c>
      <c r="Y256" s="10"/>
      <c r="Z256" s="11"/>
      <c r="AA256" s="11"/>
      <c r="AB256" s="11"/>
      <c r="AC256" s="11"/>
      <c r="AD256" s="11"/>
      <c r="AE256" s="25">
        <v>0</v>
      </c>
      <c r="AF256" s="25" t="s">
        <v>155</v>
      </c>
      <c r="AG256" s="11" t="s">
        <v>90</v>
      </c>
      <c r="AH256" s="11" t="s">
        <v>93</v>
      </c>
    </row>
    <row r="257" spans="1:34" x14ac:dyDescent="0.25">
      <c r="A257" s="34">
        <v>224201</v>
      </c>
      <c r="B257" s="34" t="s">
        <v>88</v>
      </c>
      <c r="C257" s="34">
        <v>0</v>
      </c>
      <c r="D257" s="34">
        <v>0</v>
      </c>
      <c r="E257" s="34">
        <v>0</v>
      </c>
      <c r="F257" s="34">
        <v>0</v>
      </c>
      <c r="G257" s="34">
        <v>0</v>
      </c>
      <c r="H257" s="34">
        <v>0</v>
      </c>
      <c r="I257" s="34">
        <v>0</v>
      </c>
      <c r="J257" s="34">
        <v>0</v>
      </c>
      <c r="K257" s="34">
        <v>0</v>
      </c>
      <c r="L257" s="34">
        <v>0</v>
      </c>
      <c r="M257" s="34">
        <v>0</v>
      </c>
      <c r="N257" s="34"/>
      <c r="O257" s="34">
        <v>0</v>
      </c>
      <c r="P257" s="34">
        <v>0</v>
      </c>
      <c r="Q257" s="34">
        <v>0</v>
      </c>
      <c r="R257" s="34">
        <v>0</v>
      </c>
      <c r="S257" s="34">
        <v>0</v>
      </c>
      <c r="T257" s="34">
        <v>0</v>
      </c>
      <c r="U257" s="34">
        <v>0</v>
      </c>
      <c r="V257" s="34">
        <v>0</v>
      </c>
      <c r="W257" s="34">
        <v>0</v>
      </c>
      <c r="X257" s="43">
        <v>43357</v>
      </c>
      <c r="Y257" s="43"/>
      <c r="Z257" s="40"/>
      <c r="AA257" s="40"/>
      <c r="AB257" s="40"/>
      <c r="AC257" s="40"/>
      <c r="AD257" s="40"/>
      <c r="AE257" s="41">
        <v>0</v>
      </c>
      <c r="AF257" s="41" t="s">
        <v>155</v>
      </c>
      <c r="AG257" s="40" t="s">
        <v>90</v>
      </c>
      <c r="AH257" s="40" t="s">
        <v>89</v>
      </c>
    </row>
    <row r="258" spans="1:34" x14ac:dyDescent="0.25">
      <c r="X258" s="10"/>
      <c r="Y258" s="10"/>
    </row>
    <row r="259" spans="1:34" x14ac:dyDescent="0.25">
      <c r="X259" s="10"/>
      <c r="Y259" s="10"/>
    </row>
    <row r="260" spans="1:34" x14ac:dyDescent="0.25">
      <c r="X260" s="10"/>
      <c r="Y260" s="10"/>
    </row>
    <row r="261" spans="1:34" x14ac:dyDescent="0.25">
      <c r="X261" s="10"/>
      <c r="Y261" s="10"/>
    </row>
    <row r="262" spans="1:34" x14ac:dyDescent="0.25">
      <c r="X262" s="10"/>
      <c r="Y262" s="10"/>
    </row>
    <row r="263" spans="1:34" x14ac:dyDescent="0.25">
      <c r="X263" s="10"/>
      <c r="Y263" s="10"/>
    </row>
    <row r="264" spans="1:34" x14ac:dyDescent="0.25">
      <c r="X264" s="10"/>
      <c r="Y264" s="10"/>
    </row>
    <row r="265" spans="1:34" x14ac:dyDescent="0.25">
      <c r="X265" s="10"/>
      <c r="Y265" s="10"/>
    </row>
    <row r="266" spans="1:34" x14ac:dyDescent="0.25">
      <c r="X266" s="10"/>
      <c r="Y266" s="10"/>
    </row>
    <row r="267" spans="1:34" x14ac:dyDescent="0.25">
      <c r="X267" s="10"/>
      <c r="Y267" s="10"/>
    </row>
    <row r="268" spans="1:34" x14ac:dyDescent="0.25">
      <c r="X268" s="10"/>
      <c r="Y268" s="10"/>
    </row>
    <row r="269" spans="1:34" x14ac:dyDescent="0.25">
      <c r="X269" s="10"/>
      <c r="Y269" s="10"/>
    </row>
    <row r="270" spans="1:34" x14ac:dyDescent="0.25">
      <c r="X270" s="10"/>
      <c r="Y270" s="10"/>
    </row>
    <row r="271" spans="1:34" x14ac:dyDescent="0.25">
      <c r="X271" s="10"/>
      <c r="Y271" s="10"/>
    </row>
    <row r="272" spans="1:34" x14ac:dyDescent="0.25">
      <c r="X272" s="10"/>
      <c r="Y272" s="10"/>
    </row>
    <row r="273" spans="24:25" x14ac:dyDescent="0.25">
      <c r="X273" s="10"/>
      <c r="Y273" s="10"/>
    </row>
    <row r="274" spans="24:25" x14ac:dyDescent="0.25">
      <c r="X274" s="10"/>
      <c r="Y274" s="10"/>
    </row>
    <row r="275" spans="24:25" x14ac:dyDescent="0.25">
      <c r="X275" s="10"/>
      <c r="Y275" s="10"/>
    </row>
    <row r="276" spans="24:25" x14ac:dyDescent="0.25">
      <c r="X276" s="10"/>
      <c r="Y276" s="10"/>
    </row>
    <row r="277" spans="24:25" x14ac:dyDescent="0.25">
      <c r="X277" s="10"/>
      <c r="Y277" s="10"/>
    </row>
    <row r="278" spans="24:25" x14ac:dyDescent="0.25">
      <c r="X278" s="10"/>
      <c r="Y278" s="10"/>
    </row>
    <row r="279" spans="24:25" x14ac:dyDescent="0.25">
      <c r="X279" s="10"/>
      <c r="Y279" s="10"/>
    </row>
    <row r="280" spans="24:25" x14ac:dyDescent="0.25">
      <c r="X280" s="10"/>
      <c r="Y280" s="10"/>
    </row>
    <row r="281" spans="24:25" x14ac:dyDescent="0.25">
      <c r="X281" s="10"/>
      <c r="Y281" s="10"/>
    </row>
    <row r="282" spans="24:25" x14ac:dyDescent="0.25">
      <c r="X282" s="10"/>
      <c r="Y282" s="10"/>
    </row>
    <row r="283" spans="24:25" x14ac:dyDescent="0.25">
      <c r="X283" s="10"/>
      <c r="Y283" s="10"/>
    </row>
    <row r="284" spans="24:25" x14ac:dyDescent="0.25">
      <c r="X284" s="10"/>
      <c r="Y284" s="10"/>
    </row>
    <row r="285" spans="24:25" x14ac:dyDescent="0.25">
      <c r="X285" s="10"/>
      <c r="Y285" s="10"/>
    </row>
    <row r="286" spans="24:25" x14ac:dyDescent="0.25">
      <c r="X286" s="10"/>
      <c r="Y286" s="10"/>
    </row>
    <row r="287" spans="24:25" x14ac:dyDescent="0.25">
      <c r="X287" s="10"/>
      <c r="Y287" s="10"/>
    </row>
    <row r="288" spans="24:25" x14ac:dyDescent="0.25">
      <c r="X288" s="10"/>
      <c r="Y288" s="10"/>
    </row>
    <row r="289" spans="24:25" x14ac:dyDescent="0.25">
      <c r="X289" s="10"/>
      <c r="Y289" s="10"/>
    </row>
    <row r="290" spans="24:25" x14ac:dyDescent="0.25">
      <c r="X290" s="10"/>
      <c r="Y290" s="10"/>
    </row>
    <row r="291" spans="24:25" x14ac:dyDescent="0.25">
      <c r="X291" s="10"/>
      <c r="Y291" s="10"/>
    </row>
    <row r="292" spans="24:25" x14ac:dyDescent="0.25">
      <c r="X292" s="10"/>
      <c r="Y292" s="10"/>
    </row>
    <row r="293" spans="24:25" x14ac:dyDescent="0.25">
      <c r="X293" s="10"/>
      <c r="Y293" s="10"/>
    </row>
    <row r="294" spans="24:25" x14ac:dyDescent="0.25">
      <c r="X294" s="10"/>
      <c r="Y294" s="10"/>
    </row>
    <row r="295" spans="24:25" x14ac:dyDescent="0.25">
      <c r="X295" s="10"/>
      <c r="Y295" s="10"/>
    </row>
    <row r="296" spans="24:25" x14ac:dyDescent="0.25">
      <c r="X296" s="10"/>
      <c r="Y296" s="10"/>
    </row>
    <row r="297" spans="24:25" x14ac:dyDescent="0.25">
      <c r="X297" s="10"/>
      <c r="Y297" s="10"/>
    </row>
    <row r="298" spans="24:25" x14ac:dyDescent="0.25">
      <c r="X298" s="10"/>
      <c r="Y298" s="10"/>
    </row>
    <row r="299" spans="24:25" x14ac:dyDescent="0.25">
      <c r="X299" s="10"/>
      <c r="Y299" s="10"/>
    </row>
    <row r="300" spans="24:25" x14ac:dyDescent="0.25">
      <c r="X300" s="10"/>
      <c r="Y300" s="10"/>
    </row>
    <row r="301" spans="24:25" x14ac:dyDescent="0.25">
      <c r="X301" s="10"/>
      <c r="Y301" s="10"/>
    </row>
    <row r="302" spans="24:25" x14ac:dyDescent="0.25">
      <c r="X302" s="10"/>
      <c r="Y302" s="10"/>
    </row>
    <row r="303" spans="24:25" x14ac:dyDescent="0.25">
      <c r="X303" s="10"/>
      <c r="Y303" s="10"/>
    </row>
    <row r="304" spans="24:25" x14ac:dyDescent="0.25">
      <c r="X304" s="10"/>
      <c r="Y304" s="10"/>
    </row>
    <row r="305" spans="24:25" x14ac:dyDescent="0.25">
      <c r="X305" s="10"/>
      <c r="Y305" s="10"/>
    </row>
    <row r="306" spans="24:25" x14ac:dyDescent="0.25">
      <c r="X306" s="10"/>
      <c r="Y306" s="10"/>
    </row>
    <row r="307" spans="24:25" x14ac:dyDescent="0.25">
      <c r="X307" s="10"/>
      <c r="Y307" s="10"/>
    </row>
    <row r="308" spans="24:25" x14ac:dyDescent="0.25">
      <c r="X308" s="10"/>
      <c r="Y308" s="10"/>
    </row>
    <row r="309" spans="24:25" x14ac:dyDescent="0.25">
      <c r="X309" s="10"/>
      <c r="Y309" s="10"/>
    </row>
    <row r="310" spans="24:25" x14ac:dyDescent="0.25">
      <c r="X310" s="10"/>
      <c r="Y310" s="10"/>
    </row>
    <row r="311" spans="24:25" x14ac:dyDescent="0.25">
      <c r="X311" s="10"/>
      <c r="Y311" s="10"/>
    </row>
    <row r="312" spans="24:25" x14ac:dyDescent="0.25">
      <c r="X312" s="10"/>
      <c r="Y312" s="10"/>
    </row>
    <row r="313" spans="24:25" x14ac:dyDescent="0.25">
      <c r="X313" s="10"/>
      <c r="Y313" s="10"/>
    </row>
    <row r="314" spans="24:25" x14ac:dyDescent="0.25">
      <c r="X314" s="10"/>
      <c r="Y314" s="10"/>
    </row>
    <row r="315" spans="24:25" x14ac:dyDescent="0.25">
      <c r="X315" s="10"/>
      <c r="Y315" s="10"/>
    </row>
    <row r="316" spans="24:25" x14ac:dyDescent="0.25">
      <c r="X316" s="10"/>
      <c r="Y316" s="10"/>
    </row>
    <row r="317" spans="24:25" x14ac:dyDescent="0.25">
      <c r="X317" s="10"/>
      <c r="Y317" s="10"/>
    </row>
    <row r="318" spans="24:25" x14ac:dyDescent="0.25">
      <c r="X318" s="10"/>
      <c r="Y318" s="10"/>
    </row>
    <row r="319" spans="24:25" x14ac:dyDescent="0.25">
      <c r="X319" s="10"/>
      <c r="Y319" s="10"/>
    </row>
    <row r="320" spans="24:25" x14ac:dyDescent="0.25">
      <c r="X320" s="10"/>
      <c r="Y320" s="10"/>
    </row>
    <row r="321" spans="24:25" x14ac:dyDescent="0.25">
      <c r="X321" s="10"/>
      <c r="Y321" s="10"/>
    </row>
    <row r="322" spans="24:25" x14ac:dyDescent="0.25">
      <c r="X322" s="10"/>
      <c r="Y322" s="10"/>
    </row>
    <row r="323" spans="24:25" x14ac:dyDescent="0.25">
      <c r="X323" s="10"/>
      <c r="Y323" s="10"/>
    </row>
    <row r="324" spans="24:25" x14ac:dyDescent="0.25">
      <c r="X324" s="10"/>
      <c r="Y324" s="10"/>
    </row>
    <row r="325" spans="24:25" x14ac:dyDescent="0.25">
      <c r="X325" s="10"/>
      <c r="Y325" s="10"/>
    </row>
    <row r="326" spans="24:25" x14ac:dyDescent="0.25">
      <c r="X326" s="10"/>
      <c r="Y326" s="10"/>
    </row>
    <row r="327" spans="24:25" x14ac:dyDescent="0.25">
      <c r="X327" s="10"/>
      <c r="Y327" s="10"/>
    </row>
    <row r="328" spans="24:25" x14ac:dyDescent="0.25">
      <c r="X328" s="10"/>
      <c r="Y328" s="10"/>
    </row>
    <row r="329" spans="24:25" x14ac:dyDescent="0.25">
      <c r="X329" s="10"/>
      <c r="Y329" s="10"/>
    </row>
    <row r="330" spans="24:25" x14ac:dyDescent="0.25">
      <c r="X330" s="10"/>
      <c r="Y330" s="10"/>
    </row>
    <row r="331" spans="24:25" x14ac:dyDescent="0.25">
      <c r="X331" s="10"/>
      <c r="Y331" s="10"/>
    </row>
    <row r="332" spans="24:25" x14ac:dyDescent="0.25">
      <c r="X332" s="10"/>
      <c r="Y332" s="10"/>
    </row>
    <row r="333" spans="24:25" x14ac:dyDescent="0.25">
      <c r="X333" s="10"/>
      <c r="Y333" s="10"/>
    </row>
    <row r="334" spans="24:25" x14ac:dyDescent="0.25">
      <c r="X334" s="10"/>
      <c r="Y334" s="10"/>
    </row>
    <row r="335" spans="24:25" x14ac:dyDescent="0.25">
      <c r="X335" s="10"/>
      <c r="Y335" s="10"/>
    </row>
    <row r="336" spans="24:25" x14ac:dyDescent="0.25">
      <c r="X336" s="10"/>
      <c r="Y336" s="10"/>
    </row>
    <row r="337" spans="24:25" x14ac:dyDescent="0.25">
      <c r="X337" s="10"/>
      <c r="Y337" s="10"/>
    </row>
    <row r="338" spans="24:25" x14ac:dyDescent="0.25">
      <c r="X338" s="10"/>
      <c r="Y338" s="10"/>
    </row>
    <row r="339" spans="24:25" x14ac:dyDescent="0.25">
      <c r="X339" s="10"/>
      <c r="Y339" s="10"/>
    </row>
    <row r="340" spans="24:25" x14ac:dyDescent="0.25">
      <c r="X340" s="10"/>
      <c r="Y340" s="10"/>
    </row>
    <row r="341" spans="24:25" x14ac:dyDescent="0.25">
      <c r="X341" s="10"/>
      <c r="Y341" s="10"/>
    </row>
    <row r="342" spans="24:25" x14ac:dyDescent="0.25">
      <c r="X342" s="10"/>
      <c r="Y342" s="10"/>
    </row>
    <row r="343" spans="24:25" x14ac:dyDescent="0.25">
      <c r="X343" s="10"/>
      <c r="Y343" s="10"/>
    </row>
    <row r="344" spans="24:25" x14ac:dyDescent="0.25">
      <c r="X344" s="10"/>
      <c r="Y344" s="10"/>
    </row>
    <row r="345" spans="24:25" x14ac:dyDescent="0.25">
      <c r="X345" s="10"/>
      <c r="Y345" s="10"/>
    </row>
    <row r="346" spans="24:25" x14ac:dyDescent="0.25">
      <c r="X346" s="10"/>
      <c r="Y346" s="10"/>
    </row>
    <row r="347" spans="24:25" x14ac:dyDescent="0.25">
      <c r="X347" s="10"/>
      <c r="Y347" s="10"/>
    </row>
    <row r="348" spans="24:25" x14ac:dyDescent="0.25">
      <c r="X348" s="10"/>
      <c r="Y348" s="10"/>
    </row>
    <row r="349" spans="24:25" x14ac:dyDescent="0.25">
      <c r="X349" s="10"/>
      <c r="Y349" s="10"/>
    </row>
    <row r="350" spans="24:25" x14ac:dyDescent="0.25">
      <c r="X350" s="10"/>
      <c r="Y350" s="10"/>
    </row>
    <row r="351" spans="24:25" x14ac:dyDescent="0.25">
      <c r="X351" s="10"/>
      <c r="Y351" s="10"/>
    </row>
    <row r="352" spans="24:25" x14ac:dyDescent="0.25">
      <c r="X352" s="10"/>
      <c r="Y352" s="10"/>
    </row>
    <row r="353" spans="24:25" x14ac:dyDescent="0.25">
      <c r="X353" s="10"/>
      <c r="Y353" s="10"/>
    </row>
    <row r="354" spans="24:25" x14ac:dyDescent="0.25">
      <c r="X354" s="10"/>
      <c r="Y354" s="10"/>
    </row>
    <row r="355" spans="24:25" x14ac:dyDescent="0.25">
      <c r="X355" s="10"/>
      <c r="Y355" s="10"/>
    </row>
    <row r="356" spans="24:25" x14ac:dyDescent="0.25">
      <c r="X356" s="10"/>
      <c r="Y356" s="10"/>
    </row>
    <row r="357" spans="24:25" x14ac:dyDescent="0.25">
      <c r="X357" s="10"/>
      <c r="Y357" s="10"/>
    </row>
    <row r="358" spans="24:25" x14ac:dyDescent="0.25">
      <c r="X358" s="10"/>
      <c r="Y358" s="10"/>
    </row>
    <row r="359" spans="24:25" x14ac:dyDescent="0.25">
      <c r="X359" s="10"/>
      <c r="Y359" s="10"/>
    </row>
    <row r="360" spans="24:25" x14ac:dyDescent="0.25">
      <c r="X360" s="10"/>
      <c r="Y360" s="10"/>
    </row>
    <row r="361" spans="24:25" x14ac:dyDescent="0.25">
      <c r="X361" s="10"/>
      <c r="Y361" s="10"/>
    </row>
    <row r="362" spans="24:25" x14ac:dyDescent="0.25">
      <c r="X362" s="10"/>
      <c r="Y362" s="10"/>
    </row>
    <row r="363" spans="24:25" x14ac:dyDescent="0.25">
      <c r="X363" s="10"/>
      <c r="Y363" s="10"/>
    </row>
    <row r="364" spans="24:25" x14ac:dyDescent="0.25">
      <c r="X364" s="10"/>
      <c r="Y364" s="10"/>
    </row>
    <row r="365" spans="24:25" x14ac:dyDescent="0.25">
      <c r="X365" s="10"/>
      <c r="Y365" s="10"/>
    </row>
    <row r="366" spans="24:25" x14ac:dyDescent="0.25">
      <c r="X366" s="10"/>
      <c r="Y366" s="10"/>
    </row>
    <row r="367" spans="24:25" x14ac:dyDescent="0.25">
      <c r="X367" s="10"/>
      <c r="Y367" s="10"/>
    </row>
    <row r="368" spans="24:25" x14ac:dyDescent="0.25">
      <c r="X368" s="10"/>
      <c r="Y368" s="10"/>
    </row>
    <row r="369" spans="24:25" x14ac:dyDescent="0.25">
      <c r="X369" s="10"/>
      <c r="Y369" s="10"/>
    </row>
    <row r="370" spans="24:25" x14ac:dyDescent="0.25">
      <c r="X370" s="10"/>
      <c r="Y370" s="10"/>
    </row>
    <row r="371" spans="24:25" x14ac:dyDescent="0.25">
      <c r="X371" s="10"/>
      <c r="Y371" s="10"/>
    </row>
    <row r="372" spans="24:25" x14ac:dyDescent="0.25">
      <c r="X372" s="10"/>
      <c r="Y372" s="10"/>
    </row>
    <row r="373" spans="24:25" x14ac:dyDescent="0.25">
      <c r="X373" s="10"/>
      <c r="Y373" s="10"/>
    </row>
    <row r="374" spans="24:25" x14ac:dyDescent="0.25">
      <c r="X374" s="10"/>
      <c r="Y374" s="10"/>
    </row>
    <row r="375" spans="24:25" x14ac:dyDescent="0.25">
      <c r="X375" s="10"/>
      <c r="Y375" s="10"/>
    </row>
    <row r="376" spans="24:25" x14ac:dyDescent="0.25">
      <c r="X376" s="10"/>
      <c r="Y376" s="10"/>
    </row>
    <row r="377" spans="24:25" x14ac:dyDescent="0.25">
      <c r="X377" s="10"/>
      <c r="Y377" s="10"/>
    </row>
    <row r="378" spans="24:25" x14ac:dyDescent="0.25">
      <c r="X378" s="10"/>
      <c r="Y378" s="10"/>
    </row>
    <row r="379" spans="24:25" x14ac:dyDescent="0.25">
      <c r="X379" s="10"/>
      <c r="Y379" s="10"/>
    </row>
    <row r="380" spans="24:25" x14ac:dyDescent="0.25">
      <c r="X380" s="10"/>
      <c r="Y380" s="10"/>
    </row>
    <row r="381" spans="24:25" x14ac:dyDescent="0.25">
      <c r="X381" s="10"/>
      <c r="Y381" s="10"/>
    </row>
    <row r="382" spans="24:25" x14ac:dyDescent="0.25">
      <c r="X382" s="10"/>
      <c r="Y382" s="10"/>
    </row>
    <row r="383" spans="24:25" x14ac:dyDescent="0.25">
      <c r="X383" s="10"/>
      <c r="Y383" s="10"/>
    </row>
    <row r="384" spans="24:25" x14ac:dyDescent="0.25">
      <c r="X384" s="10"/>
      <c r="Y384" s="10"/>
    </row>
    <row r="385" spans="24:25" x14ac:dyDescent="0.25">
      <c r="X385" s="10"/>
      <c r="Y385" s="10"/>
    </row>
    <row r="386" spans="24:25" x14ac:dyDescent="0.25">
      <c r="X386" s="10"/>
      <c r="Y386" s="10"/>
    </row>
    <row r="387" spans="24:25" x14ac:dyDescent="0.25">
      <c r="X387" s="10"/>
      <c r="Y387" s="10"/>
    </row>
    <row r="388" spans="24:25" x14ac:dyDescent="0.25">
      <c r="X388" s="10"/>
      <c r="Y388" s="10"/>
    </row>
    <row r="389" spans="24:25" x14ac:dyDescent="0.25">
      <c r="X389" s="10"/>
      <c r="Y389" s="10"/>
    </row>
    <row r="390" spans="24:25" x14ac:dyDescent="0.25">
      <c r="X390" s="10"/>
      <c r="Y390" s="10"/>
    </row>
    <row r="391" spans="24:25" x14ac:dyDescent="0.25">
      <c r="X391" s="10"/>
      <c r="Y391" s="10"/>
    </row>
    <row r="392" spans="24:25" x14ac:dyDescent="0.25">
      <c r="X392" s="10"/>
      <c r="Y392" s="10"/>
    </row>
    <row r="393" spans="24:25" x14ac:dyDescent="0.25">
      <c r="X393" s="10"/>
      <c r="Y393" s="10"/>
    </row>
    <row r="394" spans="24:25" x14ac:dyDescent="0.25">
      <c r="X394" s="10"/>
      <c r="Y394" s="10"/>
    </row>
    <row r="395" spans="24:25" x14ac:dyDescent="0.25">
      <c r="X395" s="10"/>
      <c r="Y395" s="10"/>
    </row>
    <row r="396" spans="24:25" x14ac:dyDescent="0.25">
      <c r="X396" s="10"/>
      <c r="Y396" s="10"/>
    </row>
    <row r="397" spans="24:25" x14ac:dyDescent="0.25">
      <c r="X397" s="10"/>
      <c r="Y397" s="10"/>
    </row>
    <row r="398" spans="24:25" x14ac:dyDescent="0.25">
      <c r="X398" s="10"/>
      <c r="Y398" s="10"/>
    </row>
    <row r="399" spans="24:25" x14ac:dyDescent="0.25">
      <c r="X399" s="10"/>
      <c r="Y399" s="10"/>
    </row>
    <row r="400" spans="24:25" x14ac:dyDescent="0.25">
      <c r="X400" s="10"/>
      <c r="Y400" s="10"/>
    </row>
    <row r="401" spans="24:25" x14ac:dyDescent="0.25">
      <c r="X401" s="10"/>
      <c r="Y401" s="10"/>
    </row>
    <row r="402" spans="24:25" x14ac:dyDescent="0.25">
      <c r="X402" s="10"/>
      <c r="Y402" s="10"/>
    </row>
    <row r="403" spans="24:25" x14ac:dyDescent="0.25">
      <c r="X403" s="10"/>
      <c r="Y403" s="10"/>
    </row>
    <row r="404" spans="24:25" x14ac:dyDescent="0.25">
      <c r="X404" s="10"/>
      <c r="Y404" s="10"/>
    </row>
    <row r="405" spans="24:25" x14ac:dyDescent="0.25">
      <c r="X405" s="10"/>
      <c r="Y405" s="10"/>
    </row>
    <row r="406" spans="24:25" x14ac:dyDescent="0.25">
      <c r="X406" s="10"/>
      <c r="Y406" s="10"/>
    </row>
    <row r="407" spans="24:25" x14ac:dyDescent="0.25">
      <c r="X407" s="10"/>
      <c r="Y407" s="10"/>
    </row>
    <row r="408" spans="24:25" x14ac:dyDescent="0.25">
      <c r="X408" s="10"/>
      <c r="Y408" s="10"/>
    </row>
    <row r="409" spans="24:25" x14ac:dyDescent="0.25">
      <c r="X409" s="10"/>
      <c r="Y409" s="10"/>
    </row>
    <row r="410" spans="24:25" x14ac:dyDescent="0.25">
      <c r="X410" s="10"/>
      <c r="Y410" s="10"/>
    </row>
    <row r="411" spans="24:25" x14ac:dyDescent="0.25">
      <c r="X411" s="10"/>
      <c r="Y411" s="10"/>
    </row>
    <row r="412" spans="24:25" x14ac:dyDescent="0.25">
      <c r="X412" s="10"/>
      <c r="Y412" s="10"/>
    </row>
    <row r="413" spans="24:25" x14ac:dyDescent="0.25">
      <c r="X413" s="10"/>
      <c r="Y413" s="10"/>
    </row>
    <row r="414" spans="24:25" x14ac:dyDescent="0.25">
      <c r="X414" s="10"/>
      <c r="Y414" s="10"/>
    </row>
    <row r="415" spans="24:25" x14ac:dyDescent="0.25">
      <c r="X415" s="10"/>
      <c r="Y415" s="10"/>
    </row>
    <row r="416" spans="24:25" x14ac:dyDescent="0.25">
      <c r="X416" s="10"/>
      <c r="Y416" s="10"/>
    </row>
    <row r="417" spans="24:25" x14ac:dyDescent="0.25">
      <c r="X417" s="10"/>
      <c r="Y417" s="10"/>
    </row>
    <row r="418" spans="24:25" x14ac:dyDescent="0.25">
      <c r="X418" s="10"/>
      <c r="Y418" s="10"/>
    </row>
    <row r="419" spans="24:25" x14ac:dyDescent="0.25">
      <c r="X419" s="10"/>
      <c r="Y419" s="10"/>
    </row>
    <row r="420" spans="24:25" x14ac:dyDescent="0.25">
      <c r="X420" s="10"/>
      <c r="Y420" s="10"/>
    </row>
    <row r="421" spans="24:25" x14ac:dyDescent="0.25">
      <c r="X421" s="10"/>
      <c r="Y421" s="10"/>
    </row>
    <row r="422" spans="24:25" x14ac:dyDescent="0.25">
      <c r="X422" s="10"/>
      <c r="Y422" s="10"/>
    </row>
    <row r="423" spans="24:25" x14ac:dyDescent="0.25">
      <c r="X423" s="10"/>
      <c r="Y423" s="10"/>
    </row>
    <row r="424" spans="24:25" x14ac:dyDescent="0.25">
      <c r="X424" s="10"/>
      <c r="Y424" s="10"/>
    </row>
    <row r="425" spans="24:25" x14ac:dyDescent="0.25">
      <c r="X425" s="10"/>
      <c r="Y425" s="10"/>
    </row>
    <row r="426" spans="24:25" x14ac:dyDescent="0.25">
      <c r="X426" s="10"/>
      <c r="Y426" s="10"/>
    </row>
    <row r="427" spans="24:25" x14ac:dyDescent="0.25">
      <c r="X427" s="10"/>
      <c r="Y427" s="10"/>
    </row>
    <row r="428" spans="24:25" x14ac:dyDescent="0.25">
      <c r="X428" s="10"/>
      <c r="Y428" s="10"/>
    </row>
    <row r="429" spans="24:25" x14ac:dyDescent="0.25">
      <c r="X429" s="10"/>
      <c r="Y429" s="10"/>
    </row>
    <row r="430" spans="24:25" x14ac:dyDescent="0.25">
      <c r="X430" s="10"/>
      <c r="Y430" s="10"/>
    </row>
    <row r="431" spans="24:25" x14ac:dyDescent="0.25">
      <c r="X431" s="10"/>
      <c r="Y431" s="10"/>
    </row>
    <row r="432" spans="24:25" x14ac:dyDescent="0.25">
      <c r="X432" s="10"/>
      <c r="Y432" s="10"/>
    </row>
    <row r="433" spans="24:25" x14ac:dyDescent="0.25">
      <c r="X433" s="10"/>
      <c r="Y433" s="10"/>
    </row>
    <row r="434" spans="24:25" x14ac:dyDescent="0.25">
      <c r="X434" s="10"/>
      <c r="Y434" s="10"/>
    </row>
    <row r="435" spans="24:25" x14ac:dyDescent="0.25">
      <c r="X435" s="10"/>
      <c r="Y435" s="10"/>
    </row>
    <row r="436" spans="24:25" x14ac:dyDescent="0.25">
      <c r="X436" s="10"/>
      <c r="Y436" s="10"/>
    </row>
    <row r="437" spans="24:25" x14ac:dyDescent="0.25">
      <c r="X437" s="10"/>
      <c r="Y437" s="10"/>
    </row>
    <row r="438" spans="24:25" x14ac:dyDescent="0.25">
      <c r="X438" s="10"/>
      <c r="Y438" s="10"/>
    </row>
    <row r="439" spans="24:25" x14ac:dyDescent="0.25">
      <c r="X439" s="10"/>
      <c r="Y439" s="10"/>
    </row>
    <row r="440" spans="24:25" x14ac:dyDescent="0.25">
      <c r="X440" s="10"/>
      <c r="Y440" s="10"/>
    </row>
    <row r="441" spans="24:25" x14ac:dyDescent="0.25">
      <c r="X441" s="10"/>
      <c r="Y441" s="10"/>
    </row>
    <row r="442" spans="24:25" x14ac:dyDescent="0.25">
      <c r="X442" s="10"/>
      <c r="Y442" s="10"/>
    </row>
    <row r="443" spans="24:25" x14ac:dyDescent="0.25">
      <c r="X443" s="10"/>
      <c r="Y443" s="10"/>
    </row>
    <row r="444" spans="24:25" x14ac:dyDescent="0.25">
      <c r="X444" s="10"/>
      <c r="Y444" s="10"/>
    </row>
    <row r="445" spans="24:25" x14ac:dyDescent="0.25">
      <c r="X445" s="10"/>
      <c r="Y445" s="10"/>
    </row>
    <row r="446" spans="24:25" x14ac:dyDescent="0.25">
      <c r="X446" s="10"/>
      <c r="Y446" s="10"/>
    </row>
    <row r="447" spans="24:25" x14ac:dyDescent="0.25">
      <c r="X447" s="10"/>
      <c r="Y447" s="10"/>
    </row>
    <row r="448" spans="24:25" x14ac:dyDescent="0.25">
      <c r="X448" s="10"/>
      <c r="Y448" s="10"/>
    </row>
    <row r="449" spans="24:25" x14ac:dyDescent="0.25">
      <c r="X449" s="10"/>
      <c r="Y449" s="10"/>
    </row>
    <row r="450" spans="24:25" x14ac:dyDescent="0.25">
      <c r="X450" s="10"/>
      <c r="Y450" s="10"/>
    </row>
    <row r="451" spans="24:25" x14ac:dyDescent="0.25">
      <c r="X451" s="10"/>
      <c r="Y451" s="10"/>
    </row>
    <row r="452" spans="24:25" x14ac:dyDescent="0.25">
      <c r="X452" s="10"/>
      <c r="Y452" s="10"/>
    </row>
    <row r="453" spans="24:25" x14ac:dyDescent="0.25">
      <c r="X453" s="10"/>
      <c r="Y453" s="10"/>
    </row>
    <row r="454" spans="24:25" x14ac:dyDescent="0.25">
      <c r="X454" s="10"/>
      <c r="Y454" s="10"/>
    </row>
    <row r="455" spans="24:25" x14ac:dyDescent="0.25">
      <c r="X455" s="10"/>
      <c r="Y455" s="10"/>
    </row>
    <row r="456" spans="24:25" x14ac:dyDescent="0.25">
      <c r="X456" s="10"/>
      <c r="Y456" s="10"/>
    </row>
    <row r="457" spans="24:25" x14ac:dyDescent="0.25">
      <c r="X457" s="10"/>
      <c r="Y457" s="10"/>
    </row>
    <row r="458" spans="24:25" x14ac:dyDescent="0.25">
      <c r="X458" s="10"/>
      <c r="Y458" s="10"/>
    </row>
    <row r="459" spans="24:25" x14ac:dyDescent="0.25">
      <c r="X459" s="10"/>
      <c r="Y459" s="10"/>
    </row>
    <row r="460" spans="24:25" x14ac:dyDescent="0.25">
      <c r="X460" s="10"/>
      <c r="Y460" s="10"/>
    </row>
    <row r="461" spans="24:25" x14ac:dyDescent="0.25">
      <c r="X461" s="10"/>
      <c r="Y461" s="10"/>
    </row>
    <row r="462" spans="24:25" x14ac:dyDescent="0.25">
      <c r="X462" s="10"/>
      <c r="Y462" s="10"/>
    </row>
    <row r="463" spans="24:25" x14ac:dyDescent="0.25">
      <c r="X463" s="10"/>
      <c r="Y463" s="10"/>
    </row>
    <row r="464" spans="24:25" x14ac:dyDescent="0.25">
      <c r="X464" s="10"/>
      <c r="Y464" s="10"/>
    </row>
    <row r="465" spans="24:25" x14ac:dyDescent="0.25">
      <c r="X465" s="10"/>
      <c r="Y465" s="10"/>
    </row>
    <row r="466" spans="24:25" x14ac:dyDescent="0.25">
      <c r="X466" s="10"/>
      <c r="Y466" s="10"/>
    </row>
    <row r="467" spans="24:25" x14ac:dyDescent="0.25">
      <c r="X467" s="10"/>
      <c r="Y467" s="10"/>
    </row>
    <row r="468" spans="24:25" x14ac:dyDescent="0.25">
      <c r="X468" s="10"/>
      <c r="Y468" s="10"/>
    </row>
    <row r="469" spans="24:25" x14ac:dyDescent="0.25">
      <c r="X469" s="10"/>
      <c r="Y469" s="10"/>
    </row>
    <row r="470" spans="24:25" x14ac:dyDescent="0.25">
      <c r="X470" s="10"/>
      <c r="Y470" s="10"/>
    </row>
    <row r="471" spans="24:25" x14ac:dyDescent="0.25">
      <c r="X471" s="10"/>
      <c r="Y471" s="10"/>
    </row>
    <row r="472" spans="24:25" x14ac:dyDescent="0.25">
      <c r="X472" s="10"/>
      <c r="Y472" s="10"/>
    </row>
    <row r="473" spans="24:25" x14ac:dyDescent="0.25">
      <c r="X473" s="10"/>
      <c r="Y473" s="10"/>
    </row>
    <row r="474" spans="24:25" x14ac:dyDescent="0.25">
      <c r="X474" s="10"/>
      <c r="Y474" s="10"/>
    </row>
    <row r="475" spans="24:25" x14ac:dyDescent="0.25">
      <c r="X475" s="10"/>
      <c r="Y475" s="10"/>
    </row>
    <row r="476" spans="24:25" x14ac:dyDescent="0.25">
      <c r="X476" s="10"/>
      <c r="Y476" s="10"/>
    </row>
    <row r="477" spans="24:25" x14ac:dyDescent="0.25">
      <c r="X477" s="10"/>
      <c r="Y477" s="10"/>
    </row>
    <row r="478" spans="24:25" x14ac:dyDescent="0.25">
      <c r="X478" s="10"/>
      <c r="Y478" s="10"/>
    </row>
    <row r="479" spans="24:25" x14ac:dyDescent="0.25">
      <c r="X479" s="10"/>
      <c r="Y479" s="10"/>
    </row>
    <row r="480" spans="24:25" x14ac:dyDescent="0.25">
      <c r="X480" s="10"/>
      <c r="Y480" s="10"/>
    </row>
    <row r="481" spans="24:25" x14ac:dyDescent="0.25">
      <c r="X481" s="10"/>
      <c r="Y481" s="10"/>
    </row>
    <row r="482" spans="24:25" x14ac:dyDescent="0.25">
      <c r="X482" s="10"/>
      <c r="Y482" s="10"/>
    </row>
    <row r="483" spans="24:25" x14ac:dyDescent="0.25">
      <c r="X483" s="10"/>
      <c r="Y483" s="10"/>
    </row>
    <row r="484" spans="24:25" x14ac:dyDescent="0.25">
      <c r="X484" s="10"/>
      <c r="Y484" s="10"/>
    </row>
    <row r="485" spans="24:25" x14ac:dyDescent="0.25">
      <c r="X485" s="10"/>
      <c r="Y485" s="10"/>
    </row>
    <row r="486" spans="24:25" x14ac:dyDescent="0.25">
      <c r="X486" s="10"/>
      <c r="Y486" s="10"/>
    </row>
    <row r="487" spans="24:25" x14ac:dyDescent="0.25">
      <c r="X487" s="10"/>
      <c r="Y487" s="10"/>
    </row>
    <row r="488" spans="24:25" x14ac:dyDescent="0.25">
      <c r="X488" s="10"/>
      <c r="Y488" s="10"/>
    </row>
    <row r="489" spans="24:25" x14ac:dyDescent="0.25">
      <c r="X489" s="10"/>
      <c r="Y489" s="10"/>
    </row>
    <row r="490" spans="24:25" x14ac:dyDescent="0.25">
      <c r="X490" s="10"/>
      <c r="Y490" s="10"/>
    </row>
    <row r="491" spans="24:25" x14ac:dyDescent="0.25">
      <c r="X491" s="10"/>
      <c r="Y491" s="10"/>
    </row>
    <row r="492" spans="24:25" x14ac:dyDescent="0.25">
      <c r="X492" s="10"/>
      <c r="Y492" s="10"/>
    </row>
    <row r="493" spans="24:25" x14ac:dyDescent="0.25">
      <c r="X493" s="10"/>
      <c r="Y493" s="10"/>
    </row>
    <row r="494" spans="24:25" x14ac:dyDescent="0.25">
      <c r="X494" s="10"/>
      <c r="Y494" s="10"/>
    </row>
    <row r="495" spans="24:25" x14ac:dyDescent="0.25">
      <c r="X495" s="10"/>
      <c r="Y495" s="10"/>
    </row>
    <row r="496" spans="24:25" x14ac:dyDescent="0.25">
      <c r="X496" s="10"/>
      <c r="Y496" s="10"/>
    </row>
    <row r="497" spans="24:25" x14ac:dyDescent="0.25">
      <c r="X497" s="10"/>
      <c r="Y497" s="10"/>
    </row>
    <row r="498" spans="24:25" x14ac:dyDescent="0.25">
      <c r="X498" s="10"/>
      <c r="Y498" s="10"/>
    </row>
    <row r="499" spans="24:25" x14ac:dyDescent="0.25">
      <c r="X499" s="10"/>
      <c r="Y499" s="10"/>
    </row>
    <row r="500" spans="24:25" x14ac:dyDescent="0.25">
      <c r="X500" s="10"/>
      <c r="Y500" s="10"/>
    </row>
    <row r="501" spans="24:25" x14ac:dyDescent="0.25">
      <c r="X501" s="10"/>
      <c r="Y501" s="10"/>
    </row>
    <row r="502" spans="24:25" x14ac:dyDescent="0.25">
      <c r="X502" s="10"/>
      <c r="Y502" s="10"/>
    </row>
    <row r="503" spans="24:25" x14ac:dyDescent="0.25">
      <c r="X503" s="10"/>
      <c r="Y503" s="10"/>
    </row>
    <row r="504" spans="24:25" x14ac:dyDescent="0.25">
      <c r="X504" s="10"/>
      <c r="Y504" s="10"/>
    </row>
    <row r="505" spans="24:25" x14ac:dyDescent="0.25">
      <c r="X505" s="10"/>
      <c r="Y505" s="10"/>
    </row>
    <row r="506" spans="24:25" x14ac:dyDescent="0.25">
      <c r="X506" s="10"/>
      <c r="Y506" s="10"/>
    </row>
    <row r="507" spans="24:25" x14ac:dyDescent="0.25">
      <c r="X507" s="10"/>
      <c r="Y507" s="10"/>
    </row>
    <row r="508" spans="24:25" x14ac:dyDescent="0.25">
      <c r="X508" s="10"/>
      <c r="Y508" s="10"/>
    </row>
    <row r="509" spans="24:25" x14ac:dyDescent="0.25">
      <c r="X509" s="10"/>
      <c r="Y509" s="10"/>
    </row>
    <row r="510" spans="24:25" x14ac:dyDescent="0.25">
      <c r="X510" s="10"/>
      <c r="Y510" s="10"/>
    </row>
    <row r="511" spans="24:25" x14ac:dyDescent="0.25">
      <c r="X511" s="10"/>
      <c r="Y511" s="10"/>
    </row>
    <row r="512" spans="24:25" x14ac:dyDescent="0.25">
      <c r="X512" s="10"/>
      <c r="Y512" s="10"/>
    </row>
    <row r="513" spans="24:25" x14ac:dyDescent="0.25">
      <c r="X513" s="10"/>
      <c r="Y513" s="10"/>
    </row>
    <row r="514" spans="24:25" x14ac:dyDescent="0.25">
      <c r="X514" s="10"/>
      <c r="Y514" s="10"/>
    </row>
    <row r="515" spans="24:25" x14ac:dyDescent="0.25">
      <c r="X515" s="10"/>
      <c r="Y515" s="10"/>
    </row>
    <row r="516" spans="24:25" x14ac:dyDescent="0.25">
      <c r="X516" s="10"/>
      <c r="Y516" s="10"/>
    </row>
    <row r="517" spans="24:25" x14ac:dyDescent="0.25">
      <c r="X517" s="10"/>
      <c r="Y517" s="10"/>
    </row>
    <row r="518" spans="24:25" x14ac:dyDescent="0.25">
      <c r="X518" s="10"/>
      <c r="Y518" s="10"/>
    </row>
    <row r="519" spans="24:25" x14ac:dyDescent="0.25">
      <c r="X519" s="10"/>
      <c r="Y519" s="10"/>
    </row>
    <row r="520" spans="24:25" x14ac:dyDescent="0.25">
      <c r="X520" s="10"/>
      <c r="Y520" s="10"/>
    </row>
    <row r="521" spans="24:25" x14ac:dyDescent="0.25">
      <c r="X521" s="10"/>
      <c r="Y521" s="10"/>
    </row>
    <row r="522" spans="24:25" x14ac:dyDescent="0.25">
      <c r="X522" s="10"/>
      <c r="Y522" s="10"/>
    </row>
    <row r="523" spans="24:25" x14ac:dyDescent="0.25">
      <c r="X523" s="10"/>
      <c r="Y523" s="10"/>
    </row>
    <row r="524" spans="24:25" x14ac:dyDescent="0.25">
      <c r="X524" s="10"/>
      <c r="Y524" s="10"/>
    </row>
    <row r="525" spans="24:25" x14ac:dyDescent="0.25">
      <c r="X525" s="10"/>
      <c r="Y525" s="10"/>
    </row>
    <row r="526" spans="24:25" x14ac:dyDescent="0.25">
      <c r="X526" s="10"/>
      <c r="Y526" s="10"/>
    </row>
    <row r="527" spans="24:25" x14ac:dyDescent="0.25">
      <c r="X527" s="10"/>
      <c r="Y527" s="10"/>
    </row>
    <row r="528" spans="24:25" x14ac:dyDescent="0.25">
      <c r="X528" s="10"/>
      <c r="Y528" s="10"/>
    </row>
    <row r="529" spans="24:25" x14ac:dyDescent="0.25">
      <c r="X529" s="10"/>
      <c r="Y529" s="10"/>
    </row>
    <row r="530" spans="24:25" x14ac:dyDescent="0.25">
      <c r="X530" s="10"/>
      <c r="Y530" s="10"/>
    </row>
    <row r="531" spans="24:25" x14ac:dyDescent="0.25">
      <c r="X531" s="10"/>
      <c r="Y531" s="10"/>
    </row>
    <row r="532" spans="24:25" x14ac:dyDescent="0.25">
      <c r="X532" s="10"/>
      <c r="Y532" s="10"/>
    </row>
    <row r="533" spans="24:25" x14ac:dyDescent="0.25">
      <c r="X533" s="10"/>
      <c r="Y533" s="10"/>
    </row>
    <row r="534" spans="24:25" x14ac:dyDescent="0.25">
      <c r="X534" s="10"/>
      <c r="Y534" s="10"/>
    </row>
    <row r="535" spans="24:25" x14ac:dyDescent="0.25">
      <c r="X535" s="10"/>
      <c r="Y535" s="10"/>
    </row>
    <row r="536" spans="24:25" x14ac:dyDescent="0.25">
      <c r="X536" s="10"/>
      <c r="Y536" s="10"/>
    </row>
    <row r="537" spans="24:25" x14ac:dyDescent="0.25">
      <c r="X537" s="10"/>
      <c r="Y537" s="10"/>
    </row>
    <row r="538" spans="24:25" x14ac:dyDescent="0.25">
      <c r="X538" s="10"/>
      <c r="Y538" s="10"/>
    </row>
    <row r="539" spans="24:25" x14ac:dyDescent="0.25">
      <c r="X539" s="10"/>
      <c r="Y539" s="10"/>
    </row>
    <row r="540" spans="24:25" x14ac:dyDescent="0.25">
      <c r="X540" s="10"/>
      <c r="Y540" s="10"/>
    </row>
    <row r="541" spans="24:25" x14ac:dyDescent="0.25">
      <c r="X541" s="10"/>
      <c r="Y541" s="10"/>
    </row>
    <row r="542" spans="24:25" x14ac:dyDescent="0.25">
      <c r="X542" s="10"/>
      <c r="Y542" s="10"/>
    </row>
    <row r="543" spans="24:25" x14ac:dyDescent="0.25">
      <c r="X543" s="10"/>
      <c r="Y543" s="10"/>
    </row>
    <row r="544" spans="24:25" x14ac:dyDescent="0.25">
      <c r="X544" s="10"/>
      <c r="Y544" s="10"/>
    </row>
    <row r="545" spans="24:25" x14ac:dyDescent="0.25">
      <c r="X545" s="10"/>
      <c r="Y545" s="10"/>
    </row>
    <row r="546" spans="24:25" x14ac:dyDescent="0.25">
      <c r="X546" s="10"/>
      <c r="Y546" s="10"/>
    </row>
    <row r="547" spans="24:25" x14ac:dyDescent="0.25">
      <c r="X547" s="10"/>
      <c r="Y547" s="10"/>
    </row>
    <row r="548" spans="24:25" x14ac:dyDescent="0.25">
      <c r="X548" s="10"/>
      <c r="Y548" s="10"/>
    </row>
    <row r="549" spans="24:25" x14ac:dyDescent="0.25">
      <c r="X549" s="10"/>
      <c r="Y549" s="10"/>
    </row>
    <row r="550" spans="24:25" x14ac:dyDescent="0.25">
      <c r="X550" s="10"/>
      <c r="Y550" s="10"/>
    </row>
    <row r="551" spans="24:25" x14ac:dyDescent="0.25">
      <c r="X551" s="10"/>
      <c r="Y551" s="10"/>
    </row>
    <row r="552" spans="24:25" x14ac:dyDescent="0.25">
      <c r="X552" s="10"/>
      <c r="Y552" s="10"/>
    </row>
    <row r="553" spans="24:25" x14ac:dyDescent="0.25">
      <c r="X553" s="10"/>
      <c r="Y553" s="10"/>
    </row>
    <row r="554" spans="24:25" x14ac:dyDescent="0.25">
      <c r="X554" s="10"/>
      <c r="Y554" s="10"/>
    </row>
    <row r="555" spans="24:25" x14ac:dyDescent="0.25">
      <c r="X555" s="10"/>
      <c r="Y555" s="10"/>
    </row>
    <row r="556" spans="24:25" x14ac:dyDescent="0.25">
      <c r="X556" s="10"/>
      <c r="Y556" s="10"/>
    </row>
    <row r="557" spans="24:25" x14ac:dyDescent="0.25">
      <c r="X557" s="10"/>
      <c r="Y557" s="10"/>
    </row>
    <row r="558" spans="24:25" x14ac:dyDescent="0.25">
      <c r="X558" s="10"/>
      <c r="Y558" s="10"/>
    </row>
    <row r="559" spans="24:25" x14ac:dyDescent="0.25">
      <c r="X559" s="10"/>
      <c r="Y559" s="10"/>
    </row>
    <row r="560" spans="24:25" x14ac:dyDescent="0.25">
      <c r="X560" s="10"/>
      <c r="Y560" s="10"/>
    </row>
    <row r="561" spans="24:25" x14ac:dyDescent="0.25">
      <c r="X561" s="10"/>
      <c r="Y561" s="10"/>
    </row>
    <row r="562" spans="24:25" x14ac:dyDescent="0.25">
      <c r="X562" s="10"/>
      <c r="Y562" s="10"/>
    </row>
    <row r="563" spans="24:25" x14ac:dyDescent="0.25">
      <c r="X563" s="10"/>
      <c r="Y563" s="10"/>
    </row>
    <row r="564" spans="24:25" x14ac:dyDescent="0.25">
      <c r="X564" s="10"/>
      <c r="Y564" s="10"/>
    </row>
    <row r="565" spans="24:25" x14ac:dyDescent="0.25">
      <c r="X565" s="10"/>
      <c r="Y565" s="10"/>
    </row>
    <row r="566" spans="24:25" x14ac:dyDescent="0.25">
      <c r="X566" s="10"/>
      <c r="Y566" s="10"/>
    </row>
    <row r="567" spans="24:25" x14ac:dyDescent="0.25">
      <c r="X567" s="10"/>
      <c r="Y567" s="10"/>
    </row>
    <row r="568" spans="24:25" x14ac:dyDescent="0.25">
      <c r="X568" s="10"/>
      <c r="Y568" s="10"/>
    </row>
    <row r="569" spans="24:25" x14ac:dyDescent="0.25">
      <c r="X569" s="10"/>
      <c r="Y569" s="10"/>
    </row>
    <row r="570" spans="24:25" x14ac:dyDescent="0.25">
      <c r="X570" s="10"/>
      <c r="Y570" s="10"/>
    </row>
    <row r="571" spans="24:25" x14ac:dyDescent="0.25">
      <c r="X571" s="10"/>
      <c r="Y571" s="10"/>
    </row>
    <row r="572" spans="24:25" x14ac:dyDescent="0.25">
      <c r="X572" s="10"/>
      <c r="Y572" s="10"/>
    </row>
    <row r="573" spans="24:25" x14ac:dyDescent="0.25">
      <c r="X573" s="10"/>
      <c r="Y573" s="10"/>
    </row>
    <row r="574" spans="24:25" x14ac:dyDescent="0.25">
      <c r="X574" s="10"/>
      <c r="Y574" s="10"/>
    </row>
    <row r="575" spans="24:25" x14ac:dyDescent="0.25">
      <c r="X575" s="10"/>
      <c r="Y575" s="10"/>
    </row>
    <row r="576" spans="24:25" x14ac:dyDescent="0.25">
      <c r="X576" s="10"/>
      <c r="Y576" s="10"/>
    </row>
    <row r="577" spans="24:25" x14ac:dyDescent="0.25">
      <c r="X577" s="10"/>
      <c r="Y577" s="10"/>
    </row>
    <row r="578" spans="24:25" x14ac:dyDescent="0.25">
      <c r="X578" s="10"/>
      <c r="Y578" s="10"/>
    </row>
    <row r="579" spans="24:25" x14ac:dyDescent="0.25">
      <c r="X579" s="10"/>
      <c r="Y579" s="10"/>
    </row>
    <row r="580" spans="24:25" x14ac:dyDescent="0.25">
      <c r="X580" s="10"/>
      <c r="Y580" s="10"/>
    </row>
    <row r="581" spans="24:25" x14ac:dyDescent="0.25">
      <c r="X581" s="10"/>
      <c r="Y581" s="10"/>
    </row>
    <row r="582" spans="24:25" x14ac:dyDescent="0.25">
      <c r="X582" s="10"/>
      <c r="Y582" s="10"/>
    </row>
    <row r="583" spans="24:25" x14ac:dyDescent="0.25">
      <c r="X583" s="10"/>
      <c r="Y583" s="10"/>
    </row>
    <row r="584" spans="24:25" x14ac:dyDescent="0.25">
      <c r="X584" s="10"/>
      <c r="Y584" s="10"/>
    </row>
    <row r="585" spans="24:25" x14ac:dyDescent="0.25">
      <c r="X585" s="10"/>
      <c r="Y585" s="10"/>
    </row>
    <row r="586" spans="24:25" x14ac:dyDescent="0.25">
      <c r="X586" s="10"/>
      <c r="Y586" s="10"/>
    </row>
    <row r="587" spans="24:25" x14ac:dyDescent="0.25">
      <c r="X587" s="10"/>
      <c r="Y587" s="10"/>
    </row>
    <row r="588" spans="24:25" x14ac:dyDescent="0.25">
      <c r="X588" s="10"/>
      <c r="Y588" s="10"/>
    </row>
    <row r="589" spans="24:25" x14ac:dyDescent="0.25">
      <c r="X589" s="10"/>
      <c r="Y589" s="10"/>
    </row>
    <row r="590" spans="24:25" x14ac:dyDescent="0.25">
      <c r="X590" s="10"/>
      <c r="Y590" s="10"/>
    </row>
    <row r="591" spans="24:25" x14ac:dyDescent="0.25">
      <c r="X591" s="10"/>
      <c r="Y591" s="10"/>
    </row>
    <row r="592" spans="24:25" x14ac:dyDescent="0.25">
      <c r="X592" s="10"/>
      <c r="Y592" s="10"/>
    </row>
    <row r="593" spans="24:25" x14ac:dyDescent="0.25">
      <c r="X593" s="10"/>
      <c r="Y593" s="10"/>
    </row>
    <row r="594" spans="24:25" x14ac:dyDescent="0.25">
      <c r="X594" s="10"/>
      <c r="Y594" s="10"/>
    </row>
    <row r="595" spans="24:25" x14ac:dyDescent="0.25">
      <c r="X595" s="10"/>
      <c r="Y595" s="10"/>
    </row>
    <row r="596" spans="24:25" x14ac:dyDescent="0.25">
      <c r="X596" s="10"/>
      <c r="Y596" s="10"/>
    </row>
    <row r="597" spans="24:25" x14ac:dyDescent="0.25">
      <c r="X597" s="10"/>
      <c r="Y597" s="10"/>
    </row>
    <row r="598" spans="24:25" x14ac:dyDescent="0.25">
      <c r="X598" s="10"/>
      <c r="Y598" s="10"/>
    </row>
    <row r="599" spans="24:25" x14ac:dyDescent="0.25">
      <c r="X599" s="10"/>
      <c r="Y599" s="10"/>
    </row>
    <row r="600" spans="24:25" x14ac:dyDescent="0.25">
      <c r="X600" s="10"/>
      <c r="Y600" s="10"/>
    </row>
    <row r="601" spans="24:25" x14ac:dyDescent="0.25">
      <c r="X601" s="10"/>
      <c r="Y601" s="10"/>
    </row>
    <row r="602" spans="24:25" x14ac:dyDescent="0.25">
      <c r="X602" s="10"/>
      <c r="Y602" s="10"/>
    </row>
    <row r="603" spans="24:25" x14ac:dyDescent="0.25">
      <c r="X603" s="10"/>
      <c r="Y603" s="10"/>
    </row>
    <row r="604" spans="24:25" x14ac:dyDescent="0.25">
      <c r="X604" s="10"/>
      <c r="Y604" s="10"/>
    </row>
    <row r="605" spans="24:25" x14ac:dyDescent="0.25">
      <c r="X605" s="10"/>
      <c r="Y605" s="10"/>
    </row>
    <row r="606" spans="24:25" x14ac:dyDescent="0.25">
      <c r="X606" s="10"/>
      <c r="Y606" s="10"/>
    </row>
    <row r="607" spans="24:25" x14ac:dyDescent="0.25">
      <c r="X607" s="10"/>
      <c r="Y607" s="10"/>
    </row>
    <row r="608" spans="24:25" x14ac:dyDescent="0.25">
      <c r="X608" s="10"/>
      <c r="Y608" s="10"/>
    </row>
    <row r="609" spans="24:25" x14ac:dyDescent="0.25">
      <c r="X609" s="10"/>
      <c r="Y609" s="10"/>
    </row>
    <row r="610" spans="24:25" x14ac:dyDescent="0.25">
      <c r="X610" s="10"/>
      <c r="Y610" s="10"/>
    </row>
    <row r="611" spans="24:25" x14ac:dyDescent="0.25">
      <c r="X611" s="10"/>
      <c r="Y611" s="10"/>
    </row>
    <row r="612" spans="24:25" x14ac:dyDescent="0.25">
      <c r="X612" s="10"/>
      <c r="Y612" s="10"/>
    </row>
    <row r="613" spans="24:25" x14ac:dyDescent="0.25">
      <c r="X613" s="10"/>
      <c r="Y613" s="10"/>
    </row>
    <row r="614" spans="24:25" x14ac:dyDescent="0.25">
      <c r="X614" s="10"/>
      <c r="Y614" s="10"/>
    </row>
    <row r="615" spans="24:25" x14ac:dyDescent="0.25">
      <c r="X615" s="10"/>
      <c r="Y615" s="10"/>
    </row>
    <row r="616" spans="24:25" x14ac:dyDescent="0.25">
      <c r="X616" s="10"/>
      <c r="Y616" s="10"/>
    </row>
    <row r="617" spans="24:25" x14ac:dyDescent="0.25">
      <c r="X617" s="10"/>
      <c r="Y617" s="10"/>
    </row>
    <row r="618" spans="24:25" x14ac:dyDescent="0.25">
      <c r="X618" s="10"/>
      <c r="Y618" s="10"/>
    </row>
    <row r="619" spans="24:25" x14ac:dyDescent="0.25">
      <c r="X619" s="10"/>
      <c r="Y619" s="10"/>
    </row>
    <row r="620" spans="24:25" x14ac:dyDescent="0.25">
      <c r="X620" s="10"/>
      <c r="Y620" s="10"/>
    </row>
    <row r="621" spans="24:25" x14ac:dyDescent="0.25">
      <c r="X621" s="10"/>
      <c r="Y621" s="10"/>
    </row>
    <row r="622" spans="24:25" x14ac:dyDescent="0.25">
      <c r="X622" s="10"/>
      <c r="Y622" s="10"/>
    </row>
    <row r="623" spans="24:25" x14ac:dyDescent="0.25">
      <c r="X623" s="10"/>
      <c r="Y623" s="10"/>
    </row>
    <row r="624" spans="24:25" x14ac:dyDescent="0.25">
      <c r="X624" s="10"/>
      <c r="Y624" s="10"/>
    </row>
    <row r="625" spans="24:25" x14ac:dyDescent="0.25">
      <c r="X625" s="10"/>
      <c r="Y625" s="10"/>
    </row>
    <row r="626" spans="24:25" x14ac:dyDescent="0.25">
      <c r="X626" s="10"/>
      <c r="Y626" s="10"/>
    </row>
    <row r="627" spans="24:25" x14ac:dyDescent="0.25">
      <c r="X627" s="10"/>
      <c r="Y627" s="10"/>
    </row>
    <row r="628" spans="24:25" x14ac:dyDescent="0.25">
      <c r="X628" s="10"/>
      <c r="Y628" s="10"/>
    </row>
    <row r="629" spans="24:25" x14ac:dyDescent="0.25">
      <c r="X629" s="10"/>
      <c r="Y629" s="10"/>
    </row>
    <row r="630" spans="24:25" x14ac:dyDescent="0.25">
      <c r="X630" s="10"/>
      <c r="Y630" s="10"/>
    </row>
    <row r="631" spans="24:25" x14ac:dyDescent="0.25">
      <c r="X631" s="10"/>
      <c r="Y631" s="10"/>
    </row>
    <row r="632" spans="24:25" x14ac:dyDescent="0.25">
      <c r="X632" s="10"/>
      <c r="Y632" s="10"/>
    </row>
    <row r="633" spans="24:25" x14ac:dyDescent="0.25">
      <c r="X633" s="10"/>
      <c r="Y633" s="10"/>
    </row>
    <row r="634" spans="24:25" x14ac:dyDescent="0.25">
      <c r="X634" s="10"/>
      <c r="Y634" s="10"/>
    </row>
    <row r="635" spans="24:25" x14ac:dyDescent="0.25">
      <c r="X635" s="10"/>
      <c r="Y635" s="10"/>
    </row>
    <row r="636" spans="24:25" x14ac:dyDescent="0.25">
      <c r="X636" s="10"/>
      <c r="Y636" s="10"/>
    </row>
    <row r="637" spans="24:25" x14ac:dyDescent="0.25">
      <c r="X637" s="10"/>
      <c r="Y637" s="10"/>
    </row>
    <row r="638" spans="24:25" x14ac:dyDescent="0.25">
      <c r="X638" s="10"/>
      <c r="Y638" s="10"/>
    </row>
    <row r="639" spans="24:25" x14ac:dyDescent="0.25">
      <c r="X639" s="10"/>
      <c r="Y639" s="10"/>
    </row>
    <row r="640" spans="24:25" x14ac:dyDescent="0.25">
      <c r="X640" s="10"/>
      <c r="Y640" s="10"/>
    </row>
    <row r="641" spans="24:25" x14ac:dyDescent="0.25">
      <c r="X641" s="10"/>
      <c r="Y641" s="10"/>
    </row>
    <row r="642" spans="24:25" x14ac:dyDescent="0.25">
      <c r="X642" s="10"/>
      <c r="Y642" s="10"/>
    </row>
    <row r="643" spans="24:25" x14ac:dyDescent="0.25">
      <c r="X643" s="10"/>
      <c r="Y643" s="10"/>
    </row>
    <row r="644" spans="24:25" x14ac:dyDescent="0.25">
      <c r="X644" s="10"/>
      <c r="Y644" s="10"/>
    </row>
    <row r="645" spans="24:25" x14ac:dyDescent="0.25">
      <c r="X645" s="10"/>
      <c r="Y645" s="10"/>
    </row>
    <row r="646" spans="24:25" x14ac:dyDescent="0.25">
      <c r="X646" s="10"/>
      <c r="Y646" s="10"/>
    </row>
    <row r="647" spans="24:25" x14ac:dyDescent="0.25">
      <c r="X647" s="10"/>
      <c r="Y647" s="10"/>
    </row>
    <row r="648" spans="24:25" x14ac:dyDescent="0.25">
      <c r="X648" s="10"/>
      <c r="Y648" s="10"/>
    </row>
    <row r="649" spans="24:25" x14ac:dyDescent="0.25">
      <c r="X649" s="10"/>
      <c r="Y649" s="10"/>
    </row>
    <row r="650" spans="24:25" x14ac:dyDescent="0.25">
      <c r="X650" s="10"/>
      <c r="Y650" s="10"/>
    </row>
    <row r="651" spans="24:25" x14ac:dyDescent="0.25">
      <c r="X651" s="10"/>
      <c r="Y651" s="10"/>
    </row>
    <row r="652" spans="24:25" x14ac:dyDescent="0.25">
      <c r="X652" s="10"/>
      <c r="Y652" s="10"/>
    </row>
    <row r="653" spans="24:25" x14ac:dyDescent="0.25">
      <c r="X653" s="10"/>
      <c r="Y653" s="10"/>
    </row>
    <row r="654" spans="24:25" x14ac:dyDescent="0.25">
      <c r="X654" s="10"/>
      <c r="Y654" s="10"/>
    </row>
    <row r="655" spans="24:25" x14ac:dyDescent="0.25">
      <c r="X655" s="10"/>
      <c r="Y655" s="10"/>
    </row>
    <row r="656" spans="24:25" x14ac:dyDescent="0.25">
      <c r="X656" s="10"/>
      <c r="Y656" s="10"/>
    </row>
    <row r="657" spans="24:25" x14ac:dyDescent="0.25">
      <c r="X657" s="10"/>
      <c r="Y657" s="10"/>
    </row>
    <row r="658" spans="24:25" x14ac:dyDescent="0.25">
      <c r="X658" s="10"/>
      <c r="Y658" s="10"/>
    </row>
    <row r="659" spans="24:25" x14ac:dyDescent="0.25">
      <c r="X659" s="10"/>
      <c r="Y659" s="10"/>
    </row>
    <row r="660" spans="24:25" x14ac:dyDescent="0.25">
      <c r="X660" s="10"/>
      <c r="Y660" s="10"/>
    </row>
    <row r="661" spans="24:25" x14ac:dyDescent="0.25">
      <c r="X661" s="10"/>
      <c r="Y661" s="10"/>
    </row>
    <row r="662" spans="24:25" x14ac:dyDescent="0.25">
      <c r="X662" s="10"/>
      <c r="Y662" s="10"/>
    </row>
    <row r="663" spans="24:25" x14ac:dyDescent="0.25">
      <c r="X663" s="10"/>
      <c r="Y663" s="10"/>
    </row>
    <row r="664" spans="24:25" x14ac:dyDescent="0.25">
      <c r="X664" s="10"/>
      <c r="Y664" s="10"/>
    </row>
    <row r="665" spans="24:25" x14ac:dyDescent="0.25">
      <c r="X665" s="10"/>
      <c r="Y665" s="10"/>
    </row>
    <row r="666" spans="24:25" x14ac:dyDescent="0.25">
      <c r="X666" s="10"/>
      <c r="Y666" s="10"/>
    </row>
    <row r="667" spans="24:25" x14ac:dyDescent="0.25">
      <c r="X667" s="10"/>
      <c r="Y667" s="10"/>
    </row>
    <row r="668" spans="24:25" x14ac:dyDescent="0.25">
      <c r="X668" s="10"/>
      <c r="Y668" s="10"/>
    </row>
    <row r="669" spans="24:25" x14ac:dyDescent="0.25">
      <c r="X669" s="10"/>
      <c r="Y669" s="10"/>
    </row>
    <row r="670" spans="24:25" x14ac:dyDescent="0.25">
      <c r="X670" s="10"/>
      <c r="Y670" s="10"/>
    </row>
    <row r="671" spans="24:25" x14ac:dyDescent="0.25">
      <c r="X671" s="10"/>
      <c r="Y671" s="10"/>
    </row>
    <row r="672" spans="24:25" x14ac:dyDescent="0.25">
      <c r="X672" s="10"/>
      <c r="Y672" s="10"/>
    </row>
    <row r="673" spans="24:25" x14ac:dyDescent="0.25">
      <c r="X673" s="10"/>
      <c r="Y673" s="10"/>
    </row>
    <row r="674" spans="24:25" x14ac:dyDescent="0.25">
      <c r="X674" s="10"/>
      <c r="Y674" s="10"/>
    </row>
    <row r="675" spans="24:25" x14ac:dyDescent="0.25">
      <c r="X675" s="10"/>
      <c r="Y675" s="10"/>
    </row>
    <row r="676" spans="24:25" x14ac:dyDescent="0.25">
      <c r="X676" s="10"/>
      <c r="Y676" s="10"/>
    </row>
    <row r="677" spans="24:25" x14ac:dyDescent="0.25">
      <c r="X677" s="10"/>
      <c r="Y677" s="10"/>
    </row>
    <row r="678" spans="24:25" x14ac:dyDescent="0.25">
      <c r="X678" s="10"/>
      <c r="Y678" s="10"/>
    </row>
    <row r="679" spans="24:25" x14ac:dyDescent="0.25">
      <c r="X679" s="10"/>
      <c r="Y679" s="10"/>
    </row>
    <row r="680" spans="24:25" x14ac:dyDescent="0.25">
      <c r="X680" s="10"/>
      <c r="Y680" s="10"/>
    </row>
    <row r="681" spans="24:25" x14ac:dyDescent="0.25">
      <c r="X681" s="10"/>
      <c r="Y681" s="10"/>
    </row>
    <row r="682" spans="24:25" x14ac:dyDescent="0.25">
      <c r="X682" s="10"/>
      <c r="Y682" s="10"/>
    </row>
    <row r="683" spans="24:25" x14ac:dyDescent="0.25">
      <c r="X683" s="10"/>
      <c r="Y683" s="10"/>
    </row>
    <row r="684" spans="24:25" x14ac:dyDescent="0.25">
      <c r="X684" s="10"/>
      <c r="Y684" s="10"/>
    </row>
    <row r="685" spans="24:25" x14ac:dyDescent="0.25">
      <c r="X685" s="10"/>
      <c r="Y685" s="10"/>
    </row>
    <row r="686" spans="24:25" x14ac:dyDescent="0.25">
      <c r="X686" s="10"/>
      <c r="Y686" s="10"/>
    </row>
    <row r="687" spans="24:25" x14ac:dyDescent="0.25">
      <c r="X687" s="10"/>
      <c r="Y687" s="10"/>
    </row>
    <row r="688" spans="24:25" x14ac:dyDescent="0.25">
      <c r="X688" s="10"/>
      <c r="Y688" s="10"/>
    </row>
    <row r="689" spans="24:25" x14ac:dyDescent="0.25">
      <c r="X689" s="10"/>
      <c r="Y689" s="10"/>
    </row>
    <row r="690" spans="24:25" x14ac:dyDescent="0.25">
      <c r="X690" s="10"/>
      <c r="Y690" s="10"/>
    </row>
    <row r="691" spans="24:25" x14ac:dyDescent="0.25">
      <c r="X691" s="10"/>
      <c r="Y691" s="10"/>
    </row>
    <row r="692" spans="24:25" x14ac:dyDescent="0.25">
      <c r="X692" s="10"/>
      <c r="Y692" s="10"/>
    </row>
    <row r="693" spans="24:25" x14ac:dyDescent="0.25">
      <c r="X693" s="10"/>
      <c r="Y693" s="10"/>
    </row>
    <row r="694" spans="24:25" x14ac:dyDescent="0.25">
      <c r="X694" s="10"/>
      <c r="Y694" s="10"/>
    </row>
    <row r="695" spans="24:25" x14ac:dyDescent="0.25">
      <c r="X695" s="10"/>
      <c r="Y695" s="10"/>
    </row>
    <row r="696" spans="24:25" x14ac:dyDescent="0.25">
      <c r="X696" s="10"/>
      <c r="Y696" s="10"/>
    </row>
    <row r="697" spans="24:25" x14ac:dyDescent="0.25">
      <c r="X697" s="10"/>
      <c r="Y697" s="10"/>
    </row>
    <row r="698" spans="24:25" x14ac:dyDescent="0.25">
      <c r="X698" s="10"/>
      <c r="Y698" s="10"/>
    </row>
    <row r="699" spans="24:25" x14ac:dyDescent="0.25">
      <c r="X699" s="10"/>
      <c r="Y699" s="10"/>
    </row>
    <row r="700" spans="24:25" x14ac:dyDescent="0.25">
      <c r="X700" s="10"/>
      <c r="Y700" s="10"/>
    </row>
    <row r="701" spans="24:25" x14ac:dyDescent="0.25">
      <c r="X701" s="10"/>
      <c r="Y701" s="10"/>
    </row>
    <row r="702" spans="24:25" x14ac:dyDescent="0.25">
      <c r="X702" s="10"/>
      <c r="Y702" s="10"/>
    </row>
    <row r="703" spans="24:25" x14ac:dyDescent="0.25">
      <c r="X703" s="10"/>
      <c r="Y703" s="10"/>
    </row>
    <row r="704" spans="24:25" x14ac:dyDescent="0.25">
      <c r="X704" s="10"/>
      <c r="Y704" s="10"/>
    </row>
    <row r="705" spans="24:25" x14ac:dyDescent="0.25">
      <c r="X705" s="10"/>
      <c r="Y705" s="10"/>
    </row>
    <row r="706" spans="24:25" x14ac:dyDescent="0.25">
      <c r="X706" s="10"/>
      <c r="Y706" s="10"/>
    </row>
    <row r="707" spans="24:25" x14ac:dyDescent="0.25">
      <c r="X707" s="10"/>
      <c r="Y707" s="10"/>
    </row>
    <row r="708" spans="24:25" x14ac:dyDescent="0.25">
      <c r="X708" s="10"/>
      <c r="Y708" s="10"/>
    </row>
    <row r="709" spans="24:25" x14ac:dyDescent="0.25">
      <c r="X709" s="10"/>
      <c r="Y709" s="10"/>
    </row>
    <row r="710" spans="24:25" x14ac:dyDescent="0.25">
      <c r="X710" s="10"/>
      <c r="Y710" s="10"/>
    </row>
    <row r="711" spans="24:25" x14ac:dyDescent="0.25">
      <c r="X711" s="10"/>
      <c r="Y711" s="10"/>
    </row>
    <row r="712" spans="24:25" x14ac:dyDescent="0.25">
      <c r="X712" s="10"/>
      <c r="Y712" s="10"/>
    </row>
    <row r="713" spans="24:25" x14ac:dyDescent="0.25">
      <c r="X713" s="10"/>
      <c r="Y713" s="10"/>
    </row>
    <row r="714" spans="24:25" x14ac:dyDescent="0.25">
      <c r="X714" s="10"/>
      <c r="Y714" s="10"/>
    </row>
    <row r="715" spans="24:25" x14ac:dyDescent="0.25">
      <c r="X715" s="10"/>
      <c r="Y715" s="10"/>
    </row>
    <row r="716" spans="24:25" x14ac:dyDescent="0.25">
      <c r="X716" s="10"/>
      <c r="Y716" s="10"/>
    </row>
    <row r="717" spans="24:25" x14ac:dyDescent="0.25">
      <c r="X717" s="10"/>
      <c r="Y717" s="10"/>
    </row>
    <row r="718" spans="24:25" x14ac:dyDescent="0.25">
      <c r="X718" s="10"/>
      <c r="Y718" s="10"/>
    </row>
    <row r="719" spans="24:25" x14ac:dyDescent="0.25">
      <c r="X719" s="10"/>
      <c r="Y719" s="10"/>
    </row>
    <row r="720" spans="24:25" x14ac:dyDescent="0.25">
      <c r="X720" s="10"/>
      <c r="Y720" s="10"/>
    </row>
    <row r="721" spans="24:25" x14ac:dyDescent="0.25">
      <c r="X721" s="10"/>
      <c r="Y721" s="10"/>
    </row>
    <row r="722" spans="24:25" x14ac:dyDescent="0.25">
      <c r="X722" s="10"/>
      <c r="Y722" s="10"/>
    </row>
    <row r="723" spans="24:25" x14ac:dyDescent="0.25">
      <c r="X723" s="10"/>
      <c r="Y723" s="10"/>
    </row>
    <row r="724" spans="24:25" x14ac:dyDescent="0.25">
      <c r="X724" s="10"/>
      <c r="Y724" s="10"/>
    </row>
    <row r="725" spans="24:25" x14ac:dyDescent="0.25">
      <c r="X725" s="10"/>
      <c r="Y725" s="10"/>
    </row>
    <row r="726" spans="24:25" x14ac:dyDescent="0.25">
      <c r="X726" s="10"/>
      <c r="Y726" s="10"/>
    </row>
    <row r="727" spans="24:25" x14ac:dyDescent="0.25">
      <c r="X727" s="10"/>
      <c r="Y727" s="10"/>
    </row>
    <row r="728" spans="24:25" x14ac:dyDescent="0.25">
      <c r="X728" s="10"/>
      <c r="Y728" s="10"/>
    </row>
    <row r="729" spans="24:25" x14ac:dyDescent="0.25">
      <c r="X729" s="10"/>
      <c r="Y729" s="10"/>
    </row>
    <row r="730" spans="24:25" x14ac:dyDescent="0.25">
      <c r="X730" s="10"/>
      <c r="Y730" s="10"/>
    </row>
    <row r="731" spans="24:25" x14ac:dyDescent="0.25">
      <c r="X731" s="10"/>
      <c r="Y731" s="10"/>
    </row>
    <row r="732" spans="24:25" x14ac:dyDescent="0.25">
      <c r="X732" s="10"/>
      <c r="Y732" s="10"/>
    </row>
    <row r="733" spans="24:25" x14ac:dyDescent="0.25">
      <c r="X733" s="10"/>
      <c r="Y733" s="10"/>
    </row>
    <row r="734" spans="24:25" x14ac:dyDescent="0.25">
      <c r="X734" s="10"/>
      <c r="Y734" s="10"/>
    </row>
    <row r="735" spans="24:25" x14ac:dyDescent="0.25">
      <c r="X735" s="10"/>
      <c r="Y735" s="10"/>
    </row>
    <row r="736" spans="24:25" x14ac:dyDescent="0.25">
      <c r="X736" s="10"/>
      <c r="Y736" s="10"/>
    </row>
    <row r="737" spans="24:25" x14ac:dyDescent="0.25">
      <c r="X737" s="10"/>
      <c r="Y737" s="10"/>
    </row>
    <row r="738" spans="24:25" x14ac:dyDescent="0.25">
      <c r="X738" s="10"/>
      <c r="Y738" s="10"/>
    </row>
    <row r="739" spans="24:25" x14ac:dyDescent="0.25">
      <c r="X739" s="10"/>
      <c r="Y739" s="10"/>
    </row>
    <row r="740" spans="24:25" x14ac:dyDescent="0.25">
      <c r="X740" s="10"/>
      <c r="Y740" s="10"/>
    </row>
    <row r="741" spans="24:25" x14ac:dyDescent="0.25">
      <c r="X741" s="10"/>
      <c r="Y741" s="10"/>
    </row>
    <row r="742" spans="24:25" x14ac:dyDescent="0.25">
      <c r="X742" s="10"/>
      <c r="Y742" s="10"/>
    </row>
    <row r="743" spans="24:25" x14ac:dyDescent="0.25">
      <c r="X743" s="10"/>
      <c r="Y743" s="10"/>
    </row>
    <row r="744" spans="24:25" x14ac:dyDescent="0.25">
      <c r="X744" s="10"/>
      <c r="Y744" s="10"/>
    </row>
    <row r="745" spans="24:25" x14ac:dyDescent="0.25">
      <c r="X745" s="10"/>
      <c r="Y745" s="10"/>
    </row>
    <row r="746" spans="24:25" x14ac:dyDescent="0.25">
      <c r="X746" s="10"/>
      <c r="Y746" s="10"/>
    </row>
    <row r="747" spans="24:25" x14ac:dyDescent="0.25">
      <c r="X747" s="10"/>
      <c r="Y747" s="10"/>
    </row>
    <row r="748" spans="24:25" x14ac:dyDescent="0.25">
      <c r="X748" s="10"/>
      <c r="Y748" s="10"/>
    </row>
    <row r="749" spans="24:25" x14ac:dyDescent="0.25">
      <c r="X749" s="10"/>
      <c r="Y749" s="10"/>
    </row>
    <row r="750" spans="24:25" x14ac:dyDescent="0.25">
      <c r="X750" s="10"/>
      <c r="Y750" s="10"/>
    </row>
    <row r="751" spans="24:25" x14ac:dyDescent="0.25">
      <c r="X751" s="10"/>
      <c r="Y751" s="10"/>
    </row>
    <row r="752" spans="24:25" x14ac:dyDescent="0.25">
      <c r="X752" s="10"/>
      <c r="Y752" s="10"/>
    </row>
    <row r="753" spans="24:25" x14ac:dyDescent="0.25">
      <c r="X753" s="10"/>
      <c r="Y753" s="10"/>
    </row>
    <row r="754" spans="24:25" x14ac:dyDescent="0.25">
      <c r="X754" s="10"/>
      <c r="Y754" s="10"/>
    </row>
    <row r="755" spans="24:25" x14ac:dyDescent="0.25">
      <c r="X755" s="10"/>
      <c r="Y755" s="10"/>
    </row>
    <row r="756" spans="24:25" x14ac:dyDescent="0.25">
      <c r="X756" s="10"/>
      <c r="Y756" s="10"/>
    </row>
    <row r="757" spans="24:25" x14ac:dyDescent="0.25">
      <c r="X757" s="10"/>
      <c r="Y757" s="10"/>
    </row>
    <row r="758" spans="24:25" x14ac:dyDescent="0.25">
      <c r="X758" s="10"/>
      <c r="Y758" s="10"/>
    </row>
    <row r="759" spans="24:25" x14ac:dyDescent="0.25">
      <c r="X759" s="10"/>
      <c r="Y759" s="10"/>
    </row>
    <row r="760" spans="24:25" x14ac:dyDescent="0.25">
      <c r="X760" s="10"/>
      <c r="Y760" s="10"/>
    </row>
    <row r="761" spans="24:25" x14ac:dyDescent="0.25">
      <c r="X761" s="10"/>
      <c r="Y761" s="10"/>
    </row>
    <row r="762" spans="24:25" x14ac:dyDescent="0.25">
      <c r="X762" s="10"/>
      <c r="Y762" s="10"/>
    </row>
    <row r="763" spans="24:25" x14ac:dyDescent="0.25">
      <c r="X763" s="10"/>
      <c r="Y763" s="10"/>
    </row>
    <row r="764" spans="24:25" x14ac:dyDescent="0.25">
      <c r="X764" s="10"/>
      <c r="Y764" s="10"/>
    </row>
    <row r="765" spans="24:25" x14ac:dyDescent="0.25">
      <c r="X765" s="10"/>
      <c r="Y765" s="10"/>
    </row>
    <row r="766" spans="24:25" x14ac:dyDescent="0.25">
      <c r="X766" s="10"/>
      <c r="Y766" s="10"/>
    </row>
    <row r="767" spans="24:25" x14ac:dyDescent="0.25">
      <c r="X767" s="10"/>
      <c r="Y767" s="10"/>
    </row>
    <row r="768" spans="24:25" x14ac:dyDescent="0.25">
      <c r="X768" s="10"/>
      <c r="Y768" s="10"/>
    </row>
    <row r="769" spans="24:25" x14ac:dyDescent="0.25">
      <c r="X769" s="10"/>
      <c r="Y769" s="10"/>
    </row>
    <row r="770" spans="24:25" x14ac:dyDescent="0.25">
      <c r="X770" s="10"/>
      <c r="Y770" s="10"/>
    </row>
    <row r="771" spans="24:25" x14ac:dyDescent="0.25">
      <c r="X771" s="10"/>
      <c r="Y771" s="10"/>
    </row>
    <row r="772" spans="24:25" x14ac:dyDescent="0.25">
      <c r="X772" s="10"/>
      <c r="Y772" s="10"/>
    </row>
    <row r="773" spans="24:25" x14ac:dyDescent="0.25">
      <c r="X773" s="10"/>
      <c r="Y773" s="10"/>
    </row>
    <row r="774" spans="24:25" x14ac:dyDescent="0.25">
      <c r="X774" s="10"/>
      <c r="Y774" s="10"/>
    </row>
    <row r="775" spans="24:25" x14ac:dyDescent="0.25">
      <c r="X775" s="10"/>
      <c r="Y775" s="10"/>
    </row>
    <row r="776" spans="24:25" x14ac:dyDescent="0.25">
      <c r="X776" s="10"/>
      <c r="Y776" s="10"/>
    </row>
    <row r="777" spans="24:25" x14ac:dyDescent="0.25">
      <c r="X777" s="10"/>
      <c r="Y777" s="10"/>
    </row>
    <row r="778" spans="24:25" x14ac:dyDescent="0.25">
      <c r="X778" s="10"/>
      <c r="Y778" s="10"/>
    </row>
    <row r="779" spans="24:25" x14ac:dyDescent="0.25">
      <c r="X779" s="10"/>
      <c r="Y779" s="10"/>
    </row>
    <row r="780" spans="24:25" x14ac:dyDescent="0.25">
      <c r="X780" s="10"/>
      <c r="Y780" s="10"/>
    </row>
    <row r="781" spans="24:25" x14ac:dyDescent="0.25">
      <c r="X781" s="10"/>
      <c r="Y781" s="10"/>
    </row>
    <row r="782" spans="24:25" x14ac:dyDescent="0.25">
      <c r="X782" s="10"/>
      <c r="Y782" s="10"/>
    </row>
    <row r="783" spans="24:25" x14ac:dyDescent="0.25">
      <c r="X783" s="10"/>
      <c r="Y783" s="10"/>
    </row>
    <row r="784" spans="24:25" x14ac:dyDescent="0.25">
      <c r="X784" s="10"/>
      <c r="Y784" s="10"/>
    </row>
    <row r="785" spans="24:25" x14ac:dyDescent="0.25">
      <c r="X785" s="10"/>
      <c r="Y785" s="10"/>
    </row>
    <row r="786" spans="24:25" x14ac:dyDescent="0.25">
      <c r="X786" s="10"/>
      <c r="Y786" s="10"/>
    </row>
    <row r="787" spans="24:25" x14ac:dyDescent="0.25">
      <c r="X787" s="10"/>
      <c r="Y787" s="10"/>
    </row>
    <row r="788" spans="24:25" x14ac:dyDescent="0.25">
      <c r="X788" s="10"/>
      <c r="Y788" s="10"/>
    </row>
    <row r="789" spans="24:25" x14ac:dyDescent="0.25">
      <c r="X789" s="10"/>
      <c r="Y789" s="10"/>
    </row>
    <row r="790" spans="24:25" x14ac:dyDescent="0.25">
      <c r="X790" s="10"/>
      <c r="Y790" s="10"/>
    </row>
    <row r="791" spans="24:25" x14ac:dyDescent="0.25">
      <c r="X791" s="10"/>
      <c r="Y791" s="10"/>
    </row>
    <row r="792" spans="24:25" x14ac:dyDescent="0.25">
      <c r="X792" s="10"/>
      <c r="Y792" s="10"/>
    </row>
    <row r="793" spans="24:25" x14ac:dyDescent="0.25">
      <c r="X793" s="10"/>
      <c r="Y793" s="10"/>
    </row>
    <row r="794" spans="24:25" x14ac:dyDescent="0.25">
      <c r="X794" s="10"/>
      <c r="Y794" s="10"/>
    </row>
    <row r="795" spans="24:25" x14ac:dyDescent="0.25">
      <c r="X795" s="10"/>
      <c r="Y795" s="10"/>
    </row>
    <row r="796" spans="24:25" x14ac:dyDescent="0.25">
      <c r="X796" s="10"/>
      <c r="Y796" s="10"/>
    </row>
    <row r="797" spans="24:25" x14ac:dyDescent="0.25">
      <c r="X797" s="10"/>
      <c r="Y797" s="10"/>
    </row>
    <row r="798" spans="24:25" x14ac:dyDescent="0.25">
      <c r="X798" s="10"/>
      <c r="Y798" s="10"/>
    </row>
    <row r="799" spans="24:25" x14ac:dyDescent="0.25">
      <c r="X799" s="10"/>
      <c r="Y799" s="10"/>
    </row>
    <row r="800" spans="24:25" x14ac:dyDescent="0.25">
      <c r="X800" s="10"/>
      <c r="Y800" s="10"/>
    </row>
    <row r="801" spans="24:25" x14ac:dyDescent="0.25">
      <c r="X801" s="10"/>
      <c r="Y801" s="10"/>
    </row>
    <row r="802" spans="24:25" x14ac:dyDescent="0.25">
      <c r="X802" s="10"/>
      <c r="Y802" s="10"/>
    </row>
    <row r="803" spans="24:25" x14ac:dyDescent="0.25">
      <c r="X803" s="10"/>
      <c r="Y803" s="10"/>
    </row>
    <row r="804" spans="24:25" x14ac:dyDescent="0.25">
      <c r="X804" s="10"/>
      <c r="Y804" s="10"/>
    </row>
    <row r="805" spans="24:25" x14ac:dyDescent="0.25">
      <c r="X805" s="10"/>
      <c r="Y805" s="10"/>
    </row>
    <row r="806" spans="24:25" x14ac:dyDescent="0.25">
      <c r="X806" s="10"/>
      <c r="Y806" s="10"/>
    </row>
    <row r="807" spans="24:25" x14ac:dyDescent="0.25">
      <c r="X807" s="10"/>
      <c r="Y807" s="10"/>
    </row>
    <row r="808" spans="24:25" x14ac:dyDescent="0.25">
      <c r="X808" s="10"/>
      <c r="Y808" s="10"/>
    </row>
    <row r="809" spans="24:25" x14ac:dyDescent="0.25">
      <c r="X809" s="10"/>
      <c r="Y809" s="10"/>
    </row>
    <row r="810" spans="24:25" x14ac:dyDescent="0.25">
      <c r="X810" s="10"/>
      <c r="Y810" s="10"/>
    </row>
    <row r="811" spans="24:25" x14ac:dyDescent="0.25">
      <c r="X811" s="10"/>
      <c r="Y811" s="10"/>
    </row>
    <row r="812" spans="24:25" x14ac:dyDescent="0.25">
      <c r="X812" s="10"/>
      <c r="Y812" s="10"/>
    </row>
    <row r="813" spans="24:25" x14ac:dyDescent="0.25">
      <c r="X813" s="10"/>
      <c r="Y813" s="10"/>
    </row>
    <row r="814" spans="24:25" x14ac:dyDescent="0.25">
      <c r="X814" s="10"/>
      <c r="Y814" s="10"/>
    </row>
    <row r="815" spans="24:25" x14ac:dyDescent="0.25">
      <c r="X815" s="10"/>
      <c r="Y815" s="10"/>
    </row>
    <row r="816" spans="24:25" x14ac:dyDescent="0.25">
      <c r="X816" s="10"/>
      <c r="Y816" s="10"/>
    </row>
    <row r="817" spans="24:25" x14ac:dyDescent="0.25">
      <c r="X817" s="10"/>
      <c r="Y817" s="10"/>
    </row>
    <row r="818" spans="24:25" x14ac:dyDescent="0.25">
      <c r="X818" s="10"/>
      <c r="Y818" s="10"/>
    </row>
    <row r="819" spans="24:25" x14ac:dyDescent="0.25">
      <c r="X819" s="10"/>
      <c r="Y819" s="10"/>
    </row>
    <row r="820" spans="24:25" x14ac:dyDescent="0.25">
      <c r="X820" s="10"/>
      <c r="Y820" s="10"/>
    </row>
    <row r="821" spans="24:25" x14ac:dyDescent="0.25">
      <c r="X821" s="10"/>
      <c r="Y821" s="10"/>
    </row>
    <row r="822" spans="24:25" x14ac:dyDescent="0.25">
      <c r="X822" s="10"/>
      <c r="Y822" s="10"/>
    </row>
    <row r="823" spans="24:25" x14ac:dyDescent="0.25">
      <c r="X823" s="10"/>
      <c r="Y823" s="10"/>
    </row>
    <row r="824" spans="24:25" x14ac:dyDescent="0.25">
      <c r="X824" s="10"/>
      <c r="Y824" s="10"/>
    </row>
    <row r="825" spans="24:25" x14ac:dyDescent="0.25">
      <c r="X825" s="10"/>
      <c r="Y825" s="10"/>
    </row>
    <row r="826" spans="24:25" x14ac:dyDescent="0.25">
      <c r="X826" s="10"/>
      <c r="Y826" s="10"/>
    </row>
    <row r="827" spans="24:25" x14ac:dyDescent="0.25">
      <c r="X827" s="10"/>
      <c r="Y827" s="10"/>
    </row>
    <row r="828" spans="24:25" x14ac:dyDescent="0.25">
      <c r="X828" s="10"/>
      <c r="Y828" s="10"/>
    </row>
    <row r="829" spans="24:25" x14ac:dyDescent="0.25">
      <c r="X829" s="10"/>
      <c r="Y829" s="10"/>
    </row>
    <row r="830" spans="24:25" x14ac:dyDescent="0.25">
      <c r="X830" s="10"/>
      <c r="Y830" s="10"/>
    </row>
    <row r="831" spans="24:25" x14ac:dyDescent="0.25">
      <c r="X831" s="10"/>
      <c r="Y831" s="10"/>
    </row>
    <row r="832" spans="24:25" x14ac:dyDescent="0.25">
      <c r="X832" s="10"/>
      <c r="Y832" s="10"/>
    </row>
    <row r="833" spans="24:25" x14ac:dyDescent="0.25">
      <c r="X833" s="10"/>
      <c r="Y833" s="10"/>
    </row>
    <row r="834" spans="24:25" x14ac:dyDescent="0.25">
      <c r="X834" s="10"/>
      <c r="Y834" s="10"/>
    </row>
    <row r="835" spans="24:25" x14ac:dyDescent="0.25">
      <c r="X835" s="10"/>
      <c r="Y835" s="10"/>
    </row>
    <row r="836" spans="24:25" x14ac:dyDescent="0.25">
      <c r="X836" s="10"/>
      <c r="Y836" s="10"/>
    </row>
    <row r="837" spans="24:25" x14ac:dyDescent="0.25">
      <c r="X837" s="10"/>
      <c r="Y837" s="10"/>
    </row>
    <row r="838" spans="24:25" x14ac:dyDescent="0.25">
      <c r="X838" s="10"/>
      <c r="Y838" s="10"/>
    </row>
    <row r="839" spans="24:25" x14ac:dyDescent="0.25">
      <c r="X839" s="10"/>
      <c r="Y839" s="10"/>
    </row>
    <row r="840" spans="24:25" x14ac:dyDescent="0.25">
      <c r="X840" s="10"/>
      <c r="Y840" s="10"/>
    </row>
    <row r="841" spans="24:25" x14ac:dyDescent="0.25">
      <c r="X841" s="10"/>
      <c r="Y841" s="10"/>
    </row>
    <row r="842" spans="24:25" x14ac:dyDescent="0.25">
      <c r="X842" s="10"/>
      <c r="Y842" s="10"/>
    </row>
    <row r="843" spans="24:25" x14ac:dyDescent="0.25">
      <c r="X843" s="10"/>
      <c r="Y843" s="10"/>
    </row>
    <row r="844" spans="24:25" x14ac:dyDescent="0.25">
      <c r="X844" s="10"/>
      <c r="Y844" s="10"/>
    </row>
    <row r="845" spans="24:25" x14ac:dyDescent="0.25">
      <c r="X845" s="10"/>
      <c r="Y845" s="10"/>
    </row>
    <row r="846" spans="24:25" x14ac:dyDescent="0.25">
      <c r="X846" s="10"/>
      <c r="Y846" s="10"/>
    </row>
    <row r="847" spans="24:25" x14ac:dyDescent="0.25">
      <c r="X847" s="10"/>
      <c r="Y847" s="10"/>
    </row>
    <row r="848" spans="24:25" x14ac:dyDescent="0.25">
      <c r="X848" s="10"/>
      <c r="Y848" s="10"/>
    </row>
    <row r="849" spans="24:25" x14ac:dyDescent="0.25">
      <c r="X849" s="10"/>
      <c r="Y849" s="10"/>
    </row>
    <row r="850" spans="24:25" x14ac:dyDescent="0.25">
      <c r="X850" s="10"/>
      <c r="Y850" s="10"/>
    </row>
    <row r="851" spans="24:25" x14ac:dyDescent="0.25">
      <c r="X851" s="10"/>
      <c r="Y851" s="10"/>
    </row>
    <row r="852" spans="24:25" x14ac:dyDescent="0.25">
      <c r="X852" s="10"/>
      <c r="Y852" s="10"/>
    </row>
    <row r="853" spans="24:25" x14ac:dyDescent="0.25">
      <c r="X853" s="10"/>
      <c r="Y853" s="10"/>
    </row>
    <row r="854" spans="24:25" x14ac:dyDescent="0.25">
      <c r="X854" s="10"/>
      <c r="Y854" s="10"/>
    </row>
    <row r="855" spans="24:25" x14ac:dyDescent="0.25">
      <c r="X855" s="10"/>
      <c r="Y855" s="10"/>
    </row>
    <row r="856" spans="24:25" x14ac:dyDescent="0.25">
      <c r="X856" s="10"/>
      <c r="Y856" s="10"/>
    </row>
    <row r="857" spans="24:25" x14ac:dyDescent="0.25">
      <c r="X857" s="10"/>
      <c r="Y857" s="10"/>
    </row>
    <row r="858" spans="24:25" x14ac:dyDescent="0.25">
      <c r="X858" s="10"/>
      <c r="Y858" s="10"/>
    </row>
    <row r="859" spans="24:25" x14ac:dyDescent="0.25">
      <c r="X859" s="10"/>
      <c r="Y859" s="10"/>
    </row>
    <row r="860" spans="24:25" x14ac:dyDescent="0.25">
      <c r="X860" s="10"/>
      <c r="Y860" s="10"/>
    </row>
    <row r="861" spans="24:25" x14ac:dyDescent="0.25">
      <c r="X861" s="10"/>
      <c r="Y861" s="10"/>
    </row>
    <row r="862" spans="24:25" x14ac:dyDescent="0.25">
      <c r="X862" s="10"/>
      <c r="Y862" s="10"/>
    </row>
    <row r="863" spans="24:25" x14ac:dyDescent="0.25">
      <c r="X863" s="10"/>
      <c r="Y863" s="10"/>
    </row>
    <row r="864" spans="24:25" x14ac:dyDescent="0.25">
      <c r="X864" s="10"/>
      <c r="Y864" s="10"/>
    </row>
    <row r="865" spans="24:25" x14ac:dyDescent="0.25">
      <c r="X865" s="10"/>
      <c r="Y865" s="10"/>
    </row>
    <row r="866" spans="24:25" x14ac:dyDescent="0.25">
      <c r="X866" s="10"/>
      <c r="Y866" s="10"/>
    </row>
    <row r="867" spans="24:25" x14ac:dyDescent="0.25">
      <c r="X867" s="10"/>
      <c r="Y867" s="10"/>
    </row>
    <row r="868" spans="24:25" x14ac:dyDescent="0.25">
      <c r="X868" s="10"/>
      <c r="Y868" s="10"/>
    </row>
    <row r="869" spans="24:25" x14ac:dyDescent="0.25">
      <c r="X869" s="10"/>
      <c r="Y869" s="10"/>
    </row>
    <row r="870" spans="24:25" x14ac:dyDescent="0.25">
      <c r="X870" s="10"/>
      <c r="Y870" s="10"/>
    </row>
    <row r="871" spans="24:25" x14ac:dyDescent="0.25">
      <c r="X871" s="10"/>
      <c r="Y871" s="10"/>
    </row>
    <row r="872" spans="24:25" x14ac:dyDescent="0.25">
      <c r="X872" s="10"/>
      <c r="Y872" s="10"/>
    </row>
    <row r="873" spans="24:25" x14ac:dyDescent="0.25">
      <c r="X873" s="10"/>
      <c r="Y873" s="10"/>
    </row>
    <row r="874" spans="24:25" x14ac:dyDescent="0.25">
      <c r="X874" s="10"/>
      <c r="Y874" s="10"/>
    </row>
    <row r="875" spans="24:25" x14ac:dyDescent="0.25">
      <c r="X875" s="10"/>
      <c r="Y875" s="10"/>
    </row>
    <row r="876" spans="24:25" x14ac:dyDescent="0.25">
      <c r="X876" s="10"/>
      <c r="Y876" s="10"/>
    </row>
    <row r="877" spans="24:25" x14ac:dyDescent="0.25">
      <c r="X877" s="10"/>
      <c r="Y877" s="10"/>
    </row>
    <row r="878" spans="24:25" x14ac:dyDescent="0.25">
      <c r="X878" s="10"/>
      <c r="Y878" s="10"/>
    </row>
    <row r="879" spans="24:25" x14ac:dyDescent="0.25">
      <c r="X879" s="10"/>
      <c r="Y879" s="10"/>
    </row>
    <row r="880" spans="24:25" x14ac:dyDescent="0.25">
      <c r="X880" s="10"/>
      <c r="Y880" s="10"/>
    </row>
    <row r="881" spans="24:25" x14ac:dyDescent="0.25">
      <c r="X881" s="10"/>
      <c r="Y881" s="10"/>
    </row>
    <row r="882" spans="24:25" x14ac:dyDescent="0.25">
      <c r="X882" s="10"/>
      <c r="Y882" s="10"/>
    </row>
    <row r="883" spans="24:25" x14ac:dyDescent="0.25">
      <c r="X883" s="10"/>
      <c r="Y883" s="10"/>
    </row>
    <row r="884" spans="24:25" x14ac:dyDescent="0.25">
      <c r="X884" s="10"/>
      <c r="Y884" s="10"/>
    </row>
    <row r="885" spans="24:25" x14ac:dyDescent="0.25">
      <c r="X885" s="10"/>
      <c r="Y885" s="10"/>
    </row>
    <row r="886" spans="24:25" x14ac:dyDescent="0.25">
      <c r="X886" s="10"/>
      <c r="Y886" s="10"/>
    </row>
    <row r="887" spans="24:25" x14ac:dyDescent="0.25">
      <c r="X887" s="10"/>
      <c r="Y887" s="10"/>
    </row>
    <row r="888" spans="24:25" x14ac:dyDescent="0.25">
      <c r="X888" s="10"/>
      <c r="Y888" s="10"/>
    </row>
    <row r="889" spans="24:25" x14ac:dyDescent="0.25">
      <c r="X889" s="10"/>
      <c r="Y889" s="10"/>
    </row>
    <row r="890" spans="24:25" x14ac:dyDescent="0.25">
      <c r="X890" s="10"/>
      <c r="Y890" s="10"/>
    </row>
    <row r="891" spans="24:25" x14ac:dyDescent="0.25">
      <c r="X891" s="10"/>
      <c r="Y891" s="10"/>
    </row>
    <row r="892" spans="24:25" x14ac:dyDescent="0.25">
      <c r="X892" s="10"/>
      <c r="Y892" s="10"/>
    </row>
    <row r="893" spans="24:25" x14ac:dyDescent="0.25">
      <c r="X893" s="10"/>
      <c r="Y893" s="10"/>
    </row>
    <row r="894" spans="24:25" x14ac:dyDescent="0.25">
      <c r="X894" s="10"/>
      <c r="Y894" s="10"/>
    </row>
    <row r="895" spans="24:25" x14ac:dyDescent="0.25">
      <c r="X895" s="10"/>
      <c r="Y895" s="10"/>
    </row>
    <row r="896" spans="24:25" x14ac:dyDescent="0.25">
      <c r="X896" s="10"/>
      <c r="Y896" s="10"/>
    </row>
    <row r="897" spans="24:25" x14ac:dyDescent="0.25">
      <c r="X897" s="10"/>
      <c r="Y897" s="10"/>
    </row>
    <row r="898" spans="24:25" x14ac:dyDescent="0.25">
      <c r="X898" s="10"/>
      <c r="Y898" s="10"/>
    </row>
    <row r="899" spans="24:25" x14ac:dyDescent="0.25">
      <c r="X899" s="10"/>
      <c r="Y899" s="10"/>
    </row>
    <row r="900" spans="24:25" x14ac:dyDescent="0.25">
      <c r="X900" s="10"/>
      <c r="Y900" s="10"/>
    </row>
    <row r="901" spans="24:25" x14ac:dyDescent="0.25">
      <c r="X901" s="10"/>
      <c r="Y901" s="10"/>
    </row>
    <row r="902" spans="24:25" x14ac:dyDescent="0.25">
      <c r="X902" s="10"/>
      <c r="Y902" s="10"/>
    </row>
    <row r="903" spans="24:25" x14ac:dyDescent="0.25">
      <c r="X903" s="10"/>
      <c r="Y903" s="10"/>
    </row>
    <row r="904" spans="24:25" x14ac:dyDescent="0.25">
      <c r="X904" s="10"/>
      <c r="Y904" s="10"/>
    </row>
    <row r="905" spans="24:25" x14ac:dyDescent="0.25">
      <c r="X905" s="10"/>
      <c r="Y905" s="10"/>
    </row>
    <row r="906" spans="24:25" x14ac:dyDescent="0.25">
      <c r="X906" s="10"/>
      <c r="Y906" s="10"/>
    </row>
    <row r="907" spans="24:25" x14ac:dyDescent="0.25">
      <c r="X907" s="10"/>
      <c r="Y907" s="10"/>
    </row>
    <row r="908" spans="24:25" x14ac:dyDescent="0.25">
      <c r="X908" s="10"/>
      <c r="Y908" s="10"/>
    </row>
    <row r="909" spans="24:25" x14ac:dyDescent="0.25">
      <c r="X909" s="10"/>
      <c r="Y909" s="10"/>
    </row>
    <row r="910" spans="24:25" x14ac:dyDescent="0.25">
      <c r="X910" s="10"/>
      <c r="Y910" s="10"/>
    </row>
    <row r="911" spans="24:25" x14ac:dyDescent="0.25">
      <c r="X911" s="10"/>
      <c r="Y911" s="10"/>
    </row>
    <row r="912" spans="24:25" x14ac:dyDescent="0.25">
      <c r="X912" s="10"/>
      <c r="Y912" s="10"/>
    </row>
    <row r="913" spans="24:25" x14ac:dyDescent="0.25">
      <c r="X913" s="10"/>
      <c r="Y913" s="10"/>
    </row>
    <row r="914" spans="24:25" x14ac:dyDescent="0.25">
      <c r="X914" s="10"/>
      <c r="Y914" s="10"/>
    </row>
    <row r="915" spans="24:25" x14ac:dyDescent="0.25">
      <c r="X915" s="10"/>
      <c r="Y915" s="10"/>
    </row>
    <row r="916" spans="24:25" x14ac:dyDescent="0.25">
      <c r="X916" s="10"/>
      <c r="Y916" s="10"/>
    </row>
    <row r="917" spans="24:25" x14ac:dyDescent="0.25">
      <c r="X917" s="10"/>
      <c r="Y917" s="10"/>
    </row>
    <row r="918" spans="24:25" x14ac:dyDescent="0.25">
      <c r="X918" s="10"/>
      <c r="Y918" s="10"/>
    </row>
    <row r="919" spans="24:25" x14ac:dyDescent="0.25">
      <c r="X919" s="10"/>
      <c r="Y919" s="10"/>
    </row>
    <row r="920" spans="24:25" x14ac:dyDescent="0.25">
      <c r="X920" s="10"/>
      <c r="Y920" s="10"/>
    </row>
    <row r="921" spans="24:25" x14ac:dyDescent="0.25">
      <c r="X921" s="10"/>
      <c r="Y921" s="10"/>
    </row>
    <row r="922" spans="24:25" x14ac:dyDescent="0.25">
      <c r="X922" s="10"/>
      <c r="Y922" s="10"/>
    </row>
    <row r="923" spans="24:25" x14ac:dyDescent="0.25">
      <c r="X923" s="10"/>
      <c r="Y923" s="10"/>
    </row>
    <row r="924" spans="24:25" x14ac:dyDescent="0.25">
      <c r="X924" s="10"/>
      <c r="Y924" s="10"/>
    </row>
    <row r="925" spans="24:25" x14ac:dyDescent="0.25">
      <c r="X925" s="10"/>
      <c r="Y925" s="10"/>
    </row>
    <row r="926" spans="24:25" x14ac:dyDescent="0.25">
      <c r="X926" s="10"/>
      <c r="Y926" s="10"/>
    </row>
    <row r="927" spans="24:25" x14ac:dyDescent="0.25">
      <c r="X927" s="10"/>
      <c r="Y927" s="10"/>
    </row>
    <row r="928" spans="24:25" x14ac:dyDescent="0.25">
      <c r="X928" s="10"/>
      <c r="Y928" s="10"/>
    </row>
    <row r="929" spans="24:25" x14ac:dyDescent="0.25">
      <c r="X929" s="10"/>
      <c r="Y929" s="10"/>
    </row>
    <row r="930" spans="24:25" x14ac:dyDescent="0.25">
      <c r="X930" s="10"/>
      <c r="Y930" s="10"/>
    </row>
    <row r="931" spans="24:25" x14ac:dyDescent="0.25">
      <c r="X931" s="10"/>
      <c r="Y931" s="10"/>
    </row>
    <row r="932" spans="24:25" x14ac:dyDescent="0.25">
      <c r="X932" s="10"/>
      <c r="Y932" s="10"/>
    </row>
    <row r="933" spans="24:25" x14ac:dyDescent="0.25">
      <c r="X933" s="10"/>
      <c r="Y933" s="10"/>
    </row>
    <row r="934" spans="24:25" x14ac:dyDescent="0.25">
      <c r="X934" s="10"/>
      <c r="Y934" s="10"/>
    </row>
    <row r="935" spans="24:25" x14ac:dyDescent="0.25">
      <c r="X935" s="10"/>
      <c r="Y935" s="10"/>
    </row>
    <row r="936" spans="24:25" x14ac:dyDescent="0.25">
      <c r="X936" s="10"/>
      <c r="Y936" s="10"/>
    </row>
    <row r="937" spans="24:25" x14ac:dyDescent="0.25">
      <c r="X937" s="10"/>
      <c r="Y937" s="10"/>
    </row>
    <row r="938" spans="24:25" x14ac:dyDescent="0.25">
      <c r="X938" s="10"/>
      <c r="Y938" s="10"/>
    </row>
    <row r="939" spans="24:25" x14ac:dyDescent="0.25">
      <c r="X939" s="10"/>
      <c r="Y939" s="10"/>
    </row>
    <row r="940" spans="24:25" x14ac:dyDescent="0.25">
      <c r="X940" s="10"/>
      <c r="Y940" s="10"/>
    </row>
    <row r="941" spans="24:25" x14ac:dyDescent="0.25">
      <c r="X941" s="10"/>
      <c r="Y941" s="10"/>
    </row>
    <row r="942" spans="24:25" x14ac:dyDescent="0.25">
      <c r="X942" s="10"/>
      <c r="Y942" s="10"/>
    </row>
    <row r="943" spans="24:25" x14ac:dyDescent="0.25">
      <c r="X943" s="10"/>
      <c r="Y943" s="10"/>
    </row>
    <row r="944" spans="24:25" x14ac:dyDescent="0.25">
      <c r="X944" s="10"/>
      <c r="Y944" s="10"/>
    </row>
    <row r="945" spans="24:25" x14ac:dyDescent="0.25">
      <c r="X945" s="10"/>
      <c r="Y945" s="10"/>
    </row>
    <row r="946" spans="24:25" x14ac:dyDescent="0.25">
      <c r="X946" s="10"/>
      <c r="Y946" s="10"/>
    </row>
    <row r="947" spans="24:25" x14ac:dyDescent="0.25">
      <c r="X947" s="10"/>
      <c r="Y947" s="10"/>
    </row>
    <row r="948" spans="24:25" x14ac:dyDescent="0.25">
      <c r="X948" s="10"/>
      <c r="Y948" s="10"/>
    </row>
    <row r="949" spans="24:25" x14ac:dyDescent="0.25">
      <c r="X949" s="10"/>
      <c r="Y949" s="10"/>
    </row>
    <row r="950" spans="24:25" x14ac:dyDescent="0.25">
      <c r="X950" s="10"/>
      <c r="Y950" s="10"/>
    </row>
    <row r="951" spans="24:25" x14ac:dyDescent="0.25">
      <c r="X951" s="10"/>
      <c r="Y951" s="10"/>
    </row>
    <row r="952" spans="24:25" x14ac:dyDescent="0.25">
      <c r="X952" s="10"/>
      <c r="Y952" s="10"/>
    </row>
    <row r="953" spans="24:25" x14ac:dyDescent="0.25">
      <c r="X953" s="10"/>
      <c r="Y953" s="10"/>
    </row>
    <row r="954" spans="24:25" x14ac:dyDescent="0.25">
      <c r="X954" s="10"/>
      <c r="Y954" s="10"/>
    </row>
    <row r="955" spans="24:25" x14ac:dyDescent="0.25">
      <c r="X955" s="10"/>
      <c r="Y955" s="10"/>
    </row>
    <row r="956" spans="24:25" x14ac:dyDescent="0.25">
      <c r="X956" s="10"/>
      <c r="Y956" s="10"/>
    </row>
    <row r="957" spans="24:25" x14ac:dyDescent="0.25">
      <c r="X957" s="10"/>
      <c r="Y957" s="10"/>
    </row>
    <row r="958" spans="24:25" x14ac:dyDescent="0.25">
      <c r="X958" s="10"/>
      <c r="Y958" s="10"/>
    </row>
    <row r="959" spans="24:25" x14ac:dyDescent="0.25">
      <c r="X959" s="10"/>
      <c r="Y959" s="10"/>
    </row>
    <row r="960" spans="24:25" x14ac:dyDescent="0.25">
      <c r="X960" s="10"/>
      <c r="Y960" s="10"/>
    </row>
    <row r="961" spans="24:25" x14ac:dyDescent="0.25">
      <c r="X961" s="10"/>
      <c r="Y961" s="10"/>
    </row>
    <row r="962" spans="24:25" x14ac:dyDescent="0.25">
      <c r="X962" s="10"/>
      <c r="Y962" s="10"/>
    </row>
    <row r="963" spans="24:25" x14ac:dyDescent="0.25">
      <c r="X963" s="10"/>
      <c r="Y963" s="10"/>
    </row>
    <row r="964" spans="24:25" x14ac:dyDescent="0.25">
      <c r="X964" s="10"/>
      <c r="Y964" s="10"/>
    </row>
    <row r="965" spans="24:25" x14ac:dyDescent="0.25">
      <c r="X965" s="10"/>
      <c r="Y965" s="10"/>
    </row>
    <row r="966" spans="24:25" x14ac:dyDescent="0.25">
      <c r="X966" s="10"/>
      <c r="Y966" s="10"/>
    </row>
    <row r="967" spans="24:25" x14ac:dyDescent="0.25">
      <c r="X967" s="10"/>
      <c r="Y967" s="10"/>
    </row>
    <row r="968" spans="24:25" x14ac:dyDescent="0.25">
      <c r="X968" s="10"/>
      <c r="Y968" s="10"/>
    </row>
    <row r="969" spans="24:25" x14ac:dyDescent="0.25">
      <c r="X969" s="10"/>
      <c r="Y969" s="10"/>
    </row>
    <row r="970" spans="24:25" x14ac:dyDescent="0.25">
      <c r="X970" s="10"/>
      <c r="Y970" s="10"/>
    </row>
    <row r="971" spans="24:25" x14ac:dyDescent="0.25">
      <c r="X971" s="10"/>
      <c r="Y971" s="10"/>
    </row>
    <row r="972" spans="24:25" x14ac:dyDescent="0.25">
      <c r="X972" s="10"/>
      <c r="Y972" s="10"/>
    </row>
    <row r="973" spans="24:25" x14ac:dyDescent="0.25">
      <c r="X973" s="10"/>
      <c r="Y973" s="10"/>
    </row>
    <row r="974" spans="24:25" x14ac:dyDescent="0.25">
      <c r="X974" s="10"/>
      <c r="Y974" s="10"/>
    </row>
    <row r="975" spans="24:25" x14ac:dyDescent="0.25">
      <c r="X975" s="10"/>
      <c r="Y975" s="10"/>
    </row>
    <row r="976" spans="24:25" x14ac:dyDescent="0.25">
      <c r="X976" s="10"/>
      <c r="Y976" s="10"/>
    </row>
    <row r="977" spans="24:25" x14ac:dyDescent="0.25">
      <c r="X977" s="10"/>
      <c r="Y977" s="10"/>
    </row>
    <row r="978" spans="24:25" x14ac:dyDescent="0.25">
      <c r="X978" s="10"/>
      <c r="Y978" s="10"/>
    </row>
    <row r="979" spans="24:25" x14ac:dyDescent="0.25">
      <c r="X979" s="10"/>
      <c r="Y979" s="10"/>
    </row>
    <row r="980" spans="24:25" x14ac:dyDescent="0.25">
      <c r="X980" s="10"/>
      <c r="Y980" s="10"/>
    </row>
    <row r="981" spans="24:25" x14ac:dyDescent="0.25">
      <c r="X981" s="10"/>
      <c r="Y981" s="10"/>
    </row>
    <row r="982" spans="24:25" x14ac:dyDescent="0.25">
      <c r="X982" s="10"/>
      <c r="Y982" s="10"/>
    </row>
    <row r="983" spans="24:25" x14ac:dyDescent="0.25">
      <c r="X983" s="10"/>
      <c r="Y983" s="10"/>
    </row>
    <row r="984" spans="24:25" x14ac:dyDescent="0.25">
      <c r="X984" s="10"/>
      <c r="Y984" s="10"/>
    </row>
    <row r="985" spans="24:25" x14ac:dyDescent="0.25">
      <c r="X985" s="10"/>
      <c r="Y985" s="10"/>
    </row>
    <row r="986" spans="24:25" x14ac:dyDescent="0.25">
      <c r="X986" s="10"/>
      <c r="Y986" s="10"/>
    </row>
    <row r="987" spans="24:25" x14ac:dyDescent="0.25">
      <c r="X987" s="10"/>
      <c r="Y987" s="10"/>
    </row>
    <row r="988" spans="24:25" x14ac:dyDescent="0.25">
      <c r="X988" s="10"/>
      <c r="Y988" s="10"/>
    </row>
    <row r="989" spans="24:25" x14ac:dyDescent="0.25">
      <c r="X989" s="10"/>
      <c r="Y989" s="10"/>
    </row>
    <row r="990" spans="24:25" x14ac:dyDescent="0.25">
      <c r="X990" s="10"/>
      <c r="Y990" s="10"/>
    </row>
    <row r="991" spans="24:25" x14ac:dyDescent="0.25">
      <c r="X991" s="10"/>
      <c r="Y991" s="10"/>
    </row>
    <row r="992" spans="24:25" x14ac:dyDescent="0.25">
      <c r="X992" s="10"/>
      <c r="Y992" s="10"/>
    </row>
    <row r="993" spans="24:25" x14ac:dyDescent="0.25">
      <c r="X993" s="10"/>
      <c r="Y993" s="10"/>
    </row>
    <row r="994" spans="24:25" x14ac:dyDescent="0.25">
      <c r="X994" s="10"/>
      <c r="Y994" s="10"/>
    </row>
    <row r="995" spans="24:25" x14ac:dyDescent="0.25">
      <c r="X995" s="10"/>
      <c r="Y995" s="10"/>
    </row>
    <row r="996" spans="24:25" x14ac:dyDescent="0.25">
      <c r="X996" s="10"/>
      <c r="Y996" s="10"/>
    </row>
    <row r="997" spans="24:25" x14ac:dyDescent="0.25">
      <c r="X997" s="10"/>
      <c r="Y997" s="10"/>
    </row>
    <row r="998" spans="24:25" x14ac:dyDescent="0.25">
      <c r="X998" s="10"/>
      <c r="Y998" s="10"/>
    </row>
    <row r="999" spans="24:25" x14ac:dyDescent="0.25">
      <c r="X999" s="10"/>
      <c r="Y999" s="10"/>
    </row>
    <row r="1000" spans="24:25" x14ac:dyDescent="0.25">
      <c r="X1000" s="10"/>
      <c r="Y1000" s="10"/>
    </row>
    <row r="1001" spans="24:25" x14ac:dyDescent="0.25">
      <c r="X1001" s="10"/>
      <c r="Y1001" s="10"/>
    </row>
    <row r="1002" spans="24:25" x14ac:dyDescent="0.25">
      <c r="X1002" s="10"/>
      <c r="Y1002" s="10"/>
    </row>
    <row r="1003" spans="24:25" x14ac:dyDescent="0.25">
      <c r="X1003" s="10"/>
      <c r="Y1003" s="10"/>
    </row>
    <row r="1004" spans="24:25" x14ac:dyDescent="0.25">
      <c r="X1004" s="10"/>
      <c r="Y1004" s="10"/>
    </row>
    <row r="1005" spans="24:25" x14ac:dyDescent="0.25">
      <c r="X1005" s="10"/>
      <c r="Y1005" s="10"/>
    </row>
    <row r="1006" spans="24:25" x14ac:dyDescent="0.25">
      <c r="X1006" s="10"/>
      <c r="Y1006" s="10"/>
    </row>
    <row r="1007" spans="24:25" x14ac:dyDescent="0.25">
      <c r="X1007" s="10"/>
      <c r="Y1007" s="10"/>
    </row>
    <row r="1008" spans="24:25" x14ac:dyDescent="0.25">
      <c r="X1008" s="10"/>
      <c r="Y1008" s="10"/>
    </row>
    <row r="1009" spans="24:25" x14ac:dyDescent="0.25">
      <c r="X1009" s="10"/>
      <c r="Y1009" s="10"/>
    </row>
    <row r="1010" spans="24:25" x14ac:dyDescent="0.25">
      <c r="X1010" s="10"/>
      <c r="Y1010" s="10"/>
    </row>
    <row r="1011" spans="24:25" x14ac:dyDescent="0.25">
      <c r="X1011" s="10"/>
      <c r="Y1011" s="10"/>
    </row>
    <row r="1012" spans="24:25" x14ac:dyDescent="0.25">
      <c r="X1012" s="10"/>
      <c r="Y1012" s="10"/>
    </row>
    <row r="1013" spans="24:25" x14ac:dyDescent="0.25">
      <c r="X1013" s="10"/>
      <c r="Y1013" s="10"/>
    </row>
    <row r="1014" spans="24:25" x14ac:dyDescent="0.25">
      <c r="X1014" s="10"/>
      <c r="Y1014" s="10"/>
    </row>
    <row r="1015" spans="24:25" x14ac:dyDescent="0.25">
      <c r="X1015" s="10"/>
      <c r="Y1015" s="10"/>
    </row>
    <row r="1016" spans="24:25" x14ac:dyDescent="0.25">
      <c r="X1016" s="10"/>
      <c r="Y1016" s="10"/>
    </row>
    <row r="1017" spans="24:25" x14ac:dyDescent="0.25">
      <c r="X1017" s="10"/>
      <c r="Y1017" s="10"/>
    </row>
    <row r="1018" spans="24:25" x14ac:dyDescent="0.25">
      <c r="X1018" s="10"/>
      <c r="Y1018" s="10"/>
    </row>
    <row r="1019" spans="24:25" x14ac:dyDescent="0.25">
      <c r="X1019" s="10"/>
      <c r="Y1019" s="10"/>
    </row>
    <row r="1020" spans="24:25" x14ac:dyDescent="0.25">
      <c r="X1020" s="10"/>
      <c r="Y1020" s="10"/>
    </row>
    <row r="1021" spans="24:25" x14ac:dyDescent="0.25">
      <c r="X1021" s="10"/>
      <c r="Y1021" s="10"/>
    </row>
    <row r="1022" spans="24:25" x14ac:dyDescent="0.25">
      <c r="X1022" s="10"/>
      <c r="Y1022" s="10"/>
    </row>
    <row r="1023" spans="24:25" x14ac:dyDescent="0.25">
      <c r="X1023" s="10"/>
      <c r="Y1023" s="10"/>
    </row>
    <row r="1024" spans="24:25" x14ac:dyDescent="0.25">
      <c r="X1024" s="10"/>
      <c r="Y1024" s="10"/>
    </row>
    <row r="1025" spans="24:25" x14ac:dyDescent="0.25">
      <c r="X1025" s="10"/>
      <c r="Y1025" s="10"/>
    </row>
    <row r="1026" spans="24:25" x14ac:dyDescent="0.25">
      <c r="X1026" s="10"/>
      <c r="Y1026" s="10"/>
    </row>
    <row r="1027" spans="24:25" x14ac:dyDescent="0.25">
      <c r="X1027" s="10"/>
      <c r="Y1027" s="10"/>
    </row>
    <row r="1028" spans="24:25" x14ac:dyDescent="0.25">
      <c r="X1028" s="10"/>
      <c r="Y1028" s="10"/>
    </row>
    <row r="1029" spans="24:25" x14ac:dyDescent="0.25">
      <c r="X1029" s="10"/>
      <c r="Y1029" s="10"/>
    </row>
    <row r="1030" spans="24:25" x14ac:dyDescent="0.25">
      <c r="X1030" s="10"/>
      <c r="Y1030" s="10"/>
    </row>
    <row r="1031" spans="24:25" x14ac:dyDescent="0.25">
      <c r="X1031" s="10"/>
      <c r="Y1031" s="10"/>
    </row>
    <row r="1032" spans="24:25" x14ac:dyDescent="0.25">
      <c r="X1032" s="10"/>
      <c r="Y1032" s="10"/>
    </row>
    <row r="1033" spans="24:25" x14ac:dyDescent="0.25">
      <c r="X1033" s="10"/>
      <c r="Y1033" s="10"/>
    </row>
    <row r="1034" spans="24:25" x14ac:dyDescent="0.25">
      <c r="X1034" s="10"/>
      <c r="Y1034" s="10"/>
    </row>
    <row r="1035" spans="24:25" x14ac:dyDescent="0.25">
      <c r="X1035" s="10"/>
      <c r="Y1035" s="10"/>
    </row>
    <row r="1036" spans="24:25" x14ac:dyDescent="0.25">
      <c r="X1036" s="10"/>
      <c r="Y1036" s="10"/>
    </row>
    <row r="1037" spans="24:25" x14ac:dyDescent="0.25">
      <c r="X1037" s="10"/>
      <c r="Y1037" s="10"/>
    </row>
    <row r="1038" spans="24:25" x14ac:dyDescent="0.25">
      <c r="X1038" s="10"/>
      <c r="Y1038" s="10"/>
    </row>
    <row r="1039" spans="24:25" x14ac:dyDescent="0.25">
      <c r="X1039" s="10"/>
      <c r="Y1039" s="10"/>
    </row>
    <row r="1040" spans="24:25" x14ac:dyDescent="0.25">
      <c r="X1040" s="10"/>
      <c r="Y1040" s="10"/>
    </row>
    <row r="1041" spans="24:25" x14ac:dyDescent="0.25">
      <c r="X1041" s="10"/>
      <c r="Y1041" s="10"/>
    </row>
    <row r="1042" spans="24:25" x14ac:dyDescent="0.25">
      <c r="X1042" s="10"/>
      <c r="Y1042" s="10"/>
    </row>
    <row r="1043" spans="24:25" x14ac:dyDescent="0.25">
      <c r="X1043" s="10"/>
      <c r="Y1043" s="10"/>
    </row>
    <row r="1044" spans="24:25" x14ac:dyDescent="0.25">
      <c r="X1044" s="10"/>
      <c r="Y1044" s="10"/>
    </row>
    <row r="1045" spans="24:25" x14ac:dyDescent="0.25">
      <c r="X1045" s="10"/>
      <c r="Y1045" s="10"/>
    </row>
    <row r="1046" spans="24:25" x14ac:dyDescent="0.25">
      <c r="X1046" s="10"/>
      <c r="Y1046" s="10"/>
    </row>
    <row r="1047" spans="24:25" x14ac:dyDescent="0.25">
      <c r="X1047" s="10"/>
      <c r="Y1047" s="10"/>
    </row>
    <row r="1048" spans="24:25" x14ac:dyDescent="0.25">
      <c r="X1048" s="10"/>
      <c r="Y1048" s="10"/>
    </row>
    <row r="1049" spans="24:25" x14ac:dyDescent="0.25">
      <c r="X1049" s="10"/>
      <c r="Y1049" s="10"/>
    </row>
    <row r="1050" spans="24:25" x14ac:dyDescent="0.25">
      <c r="X1050" s="10"/>
      <c r="Y1050" s="10"/>
    </row>
    <row r="1051" spans="24:25" x14ac:dyDescent="0.25">
      <c r="X1051" s="10"/>
      <c r="Y1051" s="10"/>
    </row>
    <row r="1052" spans="24:25" x14ac:dyDescent="0.25">
      <c r="X1052" s="10"/>
      <c r="Y1052" s="10"/>
    </row>
    <row r="1053" spans="24:25" x14ac:dyDescent="0.25">
      <c r="X1053" s="10"/>
      <c r="Y1053" s="10"/>
    </row>
    <row r="1054" spans="24:25" x14ac:dyDescent="0.25">
      <c r="X1054" s="10"/>
      <c r="Y1054" s="10"/>
    </row>
    <row r="1055" spans="24:25" x14ac:dyDescent="0.25">
      <c r="X1055" s="10"/>
      <c r="Y1055" s="10"/>
    </row>
    <row r="1056" spans="24:25" x14ac:dyDescent="0.25">
      <c r="X1056" s="10"/>
      <c r="Y1056" s="10"/>
    </row>
    <row r="1057" spans="24:25" x14ac:dyDescent="0.25">
      <c r="X1057" s="10"/>
      <c r="Y1057" s="10"/>
    </row>
    <row r="1058" spans="24:25" x14ac:dyDescent="0.25">
      <c r="X1058" s="10"/>
      <c r="Y1058" s="10"/>
    </row>
    <row r="1059" spans="24:25" x14ac:dyDescent="0.25">
      <c r="X1059" s="10"/>
      <c r="Y1059" s="10"/>
    </row>
    <row r="1060" spans="24:25" x14ac:dyDescent="0.25">
      <c r="X1060" s="10"/>
      <c r="Y1060" s="10"/>
    </row>
    <row r="1061" spans="24:25" x14ac:dyDescent="0.25">
      <c r="X1061" s="10"/>
      <c r="Y1061" s="10"/>
    </row>
    <row r="1062" spans="24:25" x14ac:dyDescent="0.25">
      <c r="X1062" s="10"/>
      <c r="Y1062" s="10"/>
    </row>
    <row r="1063" spans="24:25" x14ac:dyDescent="0.25">
      <c r="X1063" s="10"/>
      <c r="Y1063" s="10"/>
    </row>
    <row r="1064" spans="24:25" x14ac:dyDescent="0.25">
      <c r="X1064" s="10"/>
      <c r="Y1064" s="10"/>
    </row>
    <row r="1065" spans="24:25" x14ac:dyDescent="0.25">
      <c r="X1065" s="10"/>
      <c r="Y1065" s="10"/>
    </row>
    <row r="1066" spans="24:25" x14ac:dyDescent="0.25">
      <c r="X1066" s="10"/>
      <c r="Y1066" s="10"/>
    </row>
    <row r="1067" spans="24:25" x14ac:dyDescent="0.25">
      <c r="X1067" s="10"/>
      <c r="Y1067" s="10"/>
    </row>
    <row r="1068" spans="24:25" x14ac:dyDescent="0.25">
      <c r="X1068" s="10"/>
      <c r="Y1068" s="10"/>
    </row>
    <row r="1069" spans="24:25" x14ac:dyDescent="0.25">
      <c r="X1069" s="10"/>
      <c r="Y1069" s="10"/>
    </row>
    <row r="1070" spans="24:25" x14ac:dyDescent="0.25">
      <c r="X1070" s="10"/>
      <c r="Y1070" s="10"/>
    </row>
    <row r="1071" spans="24:25" x14ac:dyDescent="0.25">
      <c r="X1071" s="10"/>
      <c r="Y1071" s="10"/>
    </row>
    <row r="1072" spans="24:25" x14ac:dyDescent="0.25">
      <c r="X1072" s="10"/>
      <c r="Y1072" s="10"/>
    </row>
    <row r="1073" spans="24:25" x14ac:dyDescent="0.25">
      <c r="X1073" s="10"/>
      <c r="Y1073" s="10"/>
    </row>
    <row r="1074" spans="24:25" x14ac:dyDescent="0.25">
      <c r="X1074" s="10"/>
      <c r="Y1074" s="10"/>
    </row>
    <row r="1075" spans="24:25" x14ac:dyDescent="0.25">
      <c r="X1075" s="10"/>
      <c r="Y1075" s="10"/>
    </row>
    <row r="1076" spans="24:25" x14ac:dyDescent="0.25">
      <c r="X1076" s="10"/>
      <c r="Y1076" s="10"/>
    </row>
    <row r="1077" spans="24:25" x14ac:dyDescent="0.25">
      <c r="X1077" s="10"/>
      <c r="Y1077" s="10"/>
    </row>
    <row r="1078" spans="24:25" x14ac:dyDescent="0.25">
      <c r="X1078" s="10"/>
      <c r="Y1078" s="10"/>
    </row>
    <row r="1079" spans="24:25" x14ac:dyDescent="0.25">
      <c r="X1079" s="10"/>
      <c r="Y1079" s="10"/>
    </row>
    <row r="1080" spans="24:25" x14ac:dyDescent="0.25">
      <c r="X1080" s="10"/>
      <c r="Y1080" s="10"/>
    </row>
    <row r="1081" spans="24:25" x14ac:dyDescent="0.25">
      <c r="X1081" s="10"/>
      <c r="Y1081" s="10"/>
    </row>
    <row r="1082" spans="24:25" x14ac:dyDescent="0.25">
      <c r="X1082" s="10"/>
      <c r="Y1082" s="10"/>
    </row>
    <row r="1083" spans="24:25" x14ac:dyDescent="0.25">
      <c r="X1083" s="10"/>
      <c r="Y1083" s="10"/>
    </row>
    <row r="1084" spans="24:25" x14ac:dyDescent="0.25">
      <c r="X1084" s="10"/>
      <c r="Y1084" s="10"/>
    </row>
    <row r="1085" spans="24:25" x14ac:dyDescent="0.25">
      <c r="X1085" s="10"/>
      <c r="Y1085" s="10"/>
    </row>
    <row r="1086" spans="24:25" x14ac:dyDescent="0.25">
      <c r="X1086" s="10"/>
      <c r="Y1086" s="10"/>
    </row>
    <row r="1087" spans="24:25" x14ac:dyDescent="0.25">
      <c r="X1087" s="10"/>
      <c r="Y1087" s="10"/>
    </row>
    <row r="1088" spans="24:25" x14ac:dyDescent="0.25">
      <c r="X1088" s="10"/>
      <c r="Y1088" s="10"/>
    </row>
    <row r="1089" spans="24:25" x14ac:dyDescent="0.25">
      <c r="X1089" s="10"/>
      <c r="Y1089" s="10"/>
    </row>
    <row r="1090" spans="24:25" x14ac:dyDescent="0.25">
      <c r="X1090" s="10"/>
      <c r="Y1090" s="10"/>
    </row>
    <row r="1091" spans="24:25" x14ac:dyDescent="0.25">
      <c r="X1091" s="10"/>
      <c r="Y1091" s="10"/>
    </row>
    <row r="1092" spans="24:25" x14ac:dyDescent="0.25">
      <c r="X1092" s="10"/>
      <c r="Y1092" s="10"/>
    </row>
    <row r="1093" spans="24:25" x14ac:dyDescent="0.25">
      <c r="X1093" s="10"/>
      <c r="Y1093" s="10"/>
    </row>
    <row r="1094" spans="24:25" x14ac:dyDescent="0.25">
      <c r="X1094" s="10"/>
      <c r="Y1094" s="10"/>
    </row>
    <row r="1095" spans="24:25" x14ac:dyDescent="0.25">
      <c r="X1095" s="10"/>
      <c r="Y1095" s="10"/>
    </row>
    <row r="1096" spans="24:25" x14ac:dyDescent="0.25">
      <c r="X1096" s="10"/>
      <c r="Y1096" s="10"/>
    </row>
    <row r="1097" spans="24:25" x14ac:dyDescent="0.25">
      <c r="X1097" s="10"/>
      <c r="Y1097" s="10"/>
    </row>
    <row r="1098" spans="24:25" x14ac:dyDescent="0.25">
      <c r="X1098" s="10"/>
      <c r="Y1098" s="10"/>
    </row>
    <row r="1099" spans="24:25" x14ac:dyDescent="0.25">
      <c r="X1099" s="10"/>
      <c r="Y1099" s="10"/>
    </row>
    <row r="1100" spans="24:25" x14ac:dyDescent="0.25">
      <c r="X1100" s="10"/>
      <c r="Y1100" s="10"/>
    </row>
    <row r="1101" spans="24:25" x14ac:dyDescent="0.25">
      <c r="X1101" s="10"/>
      <c r="Y1101" s="10"/>
    </row>
    <row r="1102" spans="24:25" x14ac:dyDescent="0.25">
      <c r="X1102" s="10"/>
      <c r="Y1102" s="10"/>
    </row>
    <row r="1103" spans="24:25" x14ac:dyDescent="0.25">
      <c r="X1103" s="10"/>
      <c r="Y1103" s="10"/>
    </row>
    <row r="1104" spans="24:25" x14ac:dyDescent="0.25">
      <c r="X1104" s="10"/>
      <c r="Y1104" s="10"/>
    </row>
    <row r="1105" spans="24:25" x14ac:dyDescent="0.25">
      <c r="X1105" s="10"/>
      <c r="Y1105" s="10"/>
    </row>
    <row r="1106" spans="24:25" x14ac:dyDescent="0.25">
      <c r="X1106" s="10"/>
      <c r="Y1106" s="10"/>
    </row>
    <row r="1107" spans="24:25" x14ac:dyDescent="0.25">
      <c r="X1107" s="10"/>
      <c r="Y1107" s="10"/>
    </row>
    <row r="1108" spans="24:25" x14ac:dyDescent="0.25">
      <c r="X1108" s="10"/>
      <c r="Y1108" s="10"/>
    </row>
    <row r="1109" spans="24:25" x14ac:dyDescent="0.25">
      <c r="X1109" s="10"/>
      <c r="Y1109" s="10"/>
    </row>
    <row r="1110" spans="24:25" x14ac:dyDescent="0.25">
      <c r="X1110" s="10"/>
      <c r="Y1110" s="10"/>
    </row>
    <row r="1111" spans="24:25" x14ac:dyDescent="0.25">
      <c r="X1111" s="10"/>
      <c r="Y1111" s="10"/>
    </row>
    <row r="1112" spans="24:25" x14ac:dyDescent="0.25">
      <c r="X1112" s="10"/>
      <c r="Y1112" s="10"/>
    </row>
    <row r="1113" spans="24:25" x14ac:dyDescent="0.25">
      <c r="X1113" s="10"/>
      <c r="Y1113" s="10"/>
    </row>
    <row r="1114" spans="24:25" x14ac:dyDescent="0.25">
      <c r="X1114" s="10"/>
      <c r="Y1114" s="10"/>
    </row>
    <row r="1115" spans="24:25" x14ac:dyDescent="0.25">
      <c r="X1115" s="10"/>
      <c r="Y1115" s="10"/>
    </row>
    <row r="1116" spans="24:25" x14ac:dyDescent="0.25">
      <c r="X1116" s="10"/>
      <c r="Y1116" s="10"/>
    </row>
    <row r="1117" spans="24:25" x14ac:dyDescent="0.25">
      <c r="X1117" s="10"/>
      <c r="Y1117" s="10"/>
    </row>
    <row r="1118" spans="24:25" x14ac:dyDescent="0.25">
      <c r="X1118" s="10"/>
      <c r="Y1118" s="10"/>
    </row>
    <row r="1119" spans="24:25" x14ac:dyDescent="0.25">
      <c r="X1119" s="10"/>
      <c r="Y1119" s="10"/>
    </row>
    <row r="1120" spans="24:25" x14ac:dyDescent="0.25">
      <c r="X1120" s="10"/>
      <c r="Y1120" s="10"/>
    </row>
    <row r="1121" spans="24:25" x14ac:dyDescent="0.25">
      <c r="X1121" s="10"/>
      <c r="Y1121" s="10"/>
    </row>
    <row r="1122" spans="24:25" x14ac:dyDescent="0.25">
      <c r="X1122" s="10"/>
      <c r="Y1122" s="10"/>
    </row>
    <row r="1123" spans="24:25" x14ac:dyDescent="0.25">
      <c r="X1123" s="10"/>
      <c r="Y1123" s="10"/>
    </row>
    <row r="1124" spans="24:25" x14ac:dyDescent="0.25">
      <c r="X1124" s="10"/>
      <c r="Y1124" s="10"/>
    </row>
    <row r="1125" spans="24:25" x14ac:dyDescent="0.25">
      <c r="X1125" s="10"/>
      <c r="Y1125" s="10"/>
    </row>
    <row r="1126" spans="24:25" x14ac:dyDescent="0.25">
      <c r="X1126" s="10"/>
      <c r="Y1126" s="10"/>
    </row>
    <row r="1127" spans="24:25" x14ac:dyDescent="0.25">
      <c r="X1127" s="10"/>
      <c r="Y1127" s="10"/>
    </row>
    <row r="1128" spans="24:25" x14ac:dyDescent="0.25">
      <c r="X1128" s="10"/>
      <c r="Y1128" s="10"/>
    </row>
    <row r="1129" spans="24:25" x14ac:dyDescent="0.25">
      <c r="X1129" s="10"/>
      <c r="Y1129" s="10"/>
    </row>
    <row r="1130" spans="24:25" x14ac:dyDescent="0.25">
      <c r="X1130" s="10"/>
      <c r="Y1130" s="10"/>
    </row>
    <row r="1131" spans="24:25" x14ac:dyDescent="0.25">
      <c r="X1131" s="10"/>
      <c r="Y1131" s="10"/>
    </row>
    <row r="1132" spans="24:25" x14ac:dyDescent="0.25">
      <c r="X1132" s="10"/>
      <c r="Y1132" s="10"/>
    </row>
    <row r="1133" spans="24:25" x14ac:dyDescent="0.25">
      <c r="X1133" s="10"/>
      <c r="Y1133" s="10"/>
    </row>
    <row r="1134" spans="24:25" x14ac:dyDescent="0.25">
      <c r="X1134" s="10"/>
      <c r="Y1134" s="10"/>
    </row>
    <row r="1135" spans="24:25" x14ac:dyDescent="0.25">
      <c r="X1135" s="10"/>
      <c r="Y1135" s="10"/>
    </row>
    <row r="1136" spans="24:25" x14ac:dyDescent="0.25">
      <c r="X1136" s="10"/>
      <c r="Y1136" s="10"/>
    </row>
    <row r="1137" spans="24:25" x14ac:dyDescent="0.25">
      <c r="X1137" s="10"/>
      <c r="Y1137" s="10"/>
    </row>
    <row r="1138" spans="24:25" x14ac:dyDescent="0.25">
      <c r="X1138" s="10"/>
      <c r="Y1138" s="10"/>
    </row>
    <row r="1139" spans="24:25" x14ac:dyDescent="0.25">
      <c r="X1139" s="10"/>
      <c r="Y1139" s="10"/>
    </row>
    <row r="1140" spans="24:25" x14ac:dyDescent="0.25">
      <c r="X1140" s="10"/>
      <c r="Y1140" s="10"/>
    </row>
    <row r="1141" spans="24:25" x14ac:dyDescent="0.25">
      <c r="X1141" s="10"/>
      <c r="Y1141" s="10"/>
    </row>
    <row r="1142" spans="24:25" x14ac:dyDescent="0.25">
      <c r="X1142" s="10"/>
      <c r="Y1142" s="10"/>
    </row>
    <row r="1143" spans="24:25" x14ac:dyDescent="0.25">
      <c r="X1143" s="10"/>
      <c r="Y1143" s="10"/>
    </row>
    <row r="1144" spans="24:25" x14ac:dyDescent="0.25">
      <c r="X1144" s="10"/>
      <c r="Y1144" s="10"/>
    </row>
    <row r="1145" spans="24:25" x14ac:dyDescent="0.25">
      <c r="X1145" s="10"/>
      <c r="Y1145" s="10"/>
    </row>
    <row r="1146" spans="24:25" x14ac:dyDescent="0.25">
      <c r="X1146" s="10"/>
      <c r="Y1146" s="10"/>
    </row>
    <row r="1147" spans="24:25" x14ac:dyDescent="0.25">
      <c r="X1147" s="10"/>
      <c r="Y1147" s="10"/>
    </row>
    <row r="1148" spans="24:25" x14ac:dyDescent="0.25">
      <c r="X1148" s="10"/>
      <c r="Y1148" s="10"/>
    </row>
    <row r="1149" spans="24:25" x14ac:dyDescent="0.25">
      <c r="X1149" s="10"/>
      <c r="Y1149" s="10"/>
    </row>
    <row r="1150" spans="24:25" x14ac:dyDescent="0.25">
      <c r="X1150" s="10"/>
      <c r="Y1150" s="10"/>
    </row>
    <row r="1151" spans="24:25" x14ac:dyDescent="0.25">
      <c r="X1151" s="10"/>
      <c r="Y1151" s="10"/>
    </row>
    <row r="1152" spans="24:25" x14ac:dyDescent="0.25">
      <c r="X1152" s="10"/>
      <c r="Y1152" s="10"/>
    </row>
    <row r="1153" spans="24:25" x14ac:dyDescent="0.25">
      <c r="X1153" s="10"/>
      <c r="Y1153" s="10"/>
    </row>
    <row r="1154" spans="24:25" x14ac:dyDescent="0.25">
      <c r="X1154" s="10"/>
      <c r="Y1154" s="10"/>
    </row>
    <row r="1155" spans="24:25" x14ac:dyDescent="0.25">
      <c r="X1155" s="10"/>
      <c r="Y1155" s="10"/>
    </row>
    <row r="1156" spans="24:25" x14ac:dyDescent="0.25">
      <c r="X1156" s="10"/>
      <c r="Y1156" s="10"/>
    </row>
    <row r="1157" spans="24:25" x14ac:dyDescent="0.25">
      <c r="X1157" s="10"/>
      <c r="Y1157" s="10"/>
    </row>
    <row r="1158" spans="24:25" x14ac:dyDescent="0.25">
      <c r="X1158" s="10"/>
      <c r="Y1158" s="10"/>
    </row>
    <row r="1159" spans="24:25" x14ac:dyDescent="0.25">
      <c r="X1159" s="10"/>
      <c r="Y1159" s="10"/>
    </row>
    <row r="1160" spans="24:25" x14ac:dyDescent="0.25">
      <c r="X1160" s="10"/>
      <c r="Y1160" s="10"/>
    </row>
    <row r="1161" spans="24:25" x14ac:dyDescent="0.25">
      <c r="X1161" s="10"/>
      <c r="Y1161" s="10"/>
    </row>
    <row r="1162" spans="24:25" x14ac:dyDescent="0.25">
      <c r="X1162" s="10"/>
      <c r="Y1162" s="10"/>
    </row>
    <row r="1163" spans="24:25" x14ac:dyDescent="0.25">
      <c r="X1163" s="10"/>
      <c r="Y1163" s="10"/>
    </row>
    <row r="1164" spans="24:25" x14ac:dyDescent="0.25">
      <c r="X1164" s="10"/>
      <c r="Y1164" s="10"/>
    </row>
    <row r="1165" spans="24:25" x14ac:dyDescent="0.25">
      <c r="X1165" s="10"/>
      <c r="Y1165" s="10"/>
    </row>
    <row r="1166" spans="24:25" x14ac:dyDescent="0.25">
      <c r="X1166" s="10"/>
      <c r="Y1166" s="10"/>
    </row>
    <row r="1167" spans="24:25" x14ac:dyDescent="0.25">
      <c r="X1167" s="10"/>
      <c r="Y1167" s="10"/>
    </row>
    <row r="1168" spans="24:25" x14ac:dyDescent="0.25">
      <c r="X1168" s="10"/>
      <c r="Y1168" s="10"/>
    </row>
    <row r="1169" spans="24:25" x14ac:dyDescent="0.25">
      <c r="X1169" s="10"/>
      <c r="Y1169" s="10"/>
    </row>
    <row r="1170" spans="24:25" x14ac:dyDescent="0.25">
      <c r="X1170" s="10"/>
      <c r="Y1170" s="10"/>
    </row>
    <row r="1171" spans="24:25" x14ac:dyDescent="0.25">
      <c r="X1171" s="10"/>
      <c r="Y1171" s="10"/>
    </row>
    <row r="1172" spans="24:25" x14ac:dyDescent="0.25">
      <c r="X1172" s="10"/>
      <c r="Y1172" s="10"/>
    </row>
    <row r="1173" spans="24:25" x14ac:dyDescent="0.25">
      <c r="X1173" s="10"/>
      <c r="Y1173" s="10"/>
    </row>
    <row r="1174" spans="24:25" x14ac:dyDescent="0.25">
      <c r="X1174" s="10"/>
      <c r="Y1174" s="10"/>
    </row>
    <row r="1175" spans="24:25" x14ac:dyDescent="0.25">
      <c r="X1175" s="10"/>
      <c r="Y1175" s="10"/>
    </row>
    <row r="1176" spans="24:25" x14ac:dyDescent="0.25">
      <c r="X1176" s="10"/>
      <c r="Y1176" s="10"/>
    </row>
    <row r="1177" spans="24:25" x14ac:dyDescent="0.25">
      <c r="X1177" s="10"/>
      <c r="Y1177" s="10"/>
    </row>
    <row r="1178" spans="24:25" x14ac:dyDescent="0.25">
      <c r="X1178" s="10"/>
      <c r="Y1178" s="10"/>
    </row>
    <row r="1179" spans="24:25" x14ac:dyDescent="0.25">
      <c r="X1179" s="10"/>
      <c r="Y1179" s="10"/>
    </row>
    <row r="1180" spans="24:25" x14ac:dyDescent="0.25">
      <c r="X1180" s="10"/>
      <c r="Y1180" s="10"/>
    </row>
    <row r="1181" spans="24:25" x14ac:dyDescent="0.25">
      <c r="X1181" s="10"/>
      <c r="Y1181" s="10"/>
    </row>
    <row r="1182" spans="24:25" x14ac:dyDescent="0.25">
      <c r="X1182" s="10"/>
      <c r="Y1182" s="10"/>
    </row>
    <row r="1183" spans="24:25" x14ac:dyDescent="0.25">
      <c r="X1183" s="10"/>
      <c r="Y1183" s="10"/>
    </row>
    <row r="1184" spans="24:25" x14ac:dyDescent="0.25">
      <c r="X1184" s="10"/>
      <c r="Y1184" s="10"/>
    </row>
    <row r="1185" spans="24:25" x14ac:dyDescent="0.25">
      <c r="X1185" s="10"/>
      <c r="Y1185" s="10"/>
    </row>
    <row r="1186" spans="24:25" x14ac:dyDescent="0.25">
      <c r="X1186" s="10"/>
      <c r="Y1186" s="10"/>
    </row>
    <row r="1187" spans="24:25" x14ac:dyDescent="0.25">
      <c r="X1187" s="10"/>
      <c r="Y1187" s="10"/>
    </row>
    <row r="1188" spans="24:25" x14ac:dyDescent="0.25">
      <c r="X1188" s="10"/>
      <c r="Y1188" s="10"/>
    </row>
    <row r="1189" spans="24:25" x14ac:dyDescent="0.25">
      <c r="X1189" s="10"/>
      <c r="Y1189" s="10"/>
    </row>
    <row r="1190" spans="24:25" x14ac:dyDescent="0.25">
      <c r="X1190" s="10"/>
      <c r="Y1190" s="10"/>
    </row>
    <row r="1191" spans="24:25" x14ac:dyDescent="0.25">
      <c r="X1191" s="10"/>
      <c r="Y1191" s="10"/>
    </row>
    <row r="1192" spans="24:25" x14ac:dyDescent="0.25">
      <c r="X1192" s="10"/>
      <c r="Y1192" s="10"/>
    </row>
    <row r="1193" spans="24:25" x14ac:dyDescent="0.25">
      <c r="X1193" s="10"/>
      <c r="Y1193" s="10"/>
    </row>
    <row r="1194" spans="24:25" x14ac:dyDescent="0.25">
      <c r="X1194" s="10"/>
      <c r="Y1194" s="10"/>
    </row>
    <row r="1195" spans="24:25" x14ac:dyDescent="0.25">
      <c r="X1195" s="10"/>
      <c r="Y1195" s="10"/>
    </row>
    <row r="1196" spans="24:25" x14ac:dyDescent="0.25">
      <c r="X1196" s="10"/>
      <c r="Y1196" s="10"/>
    </row>
    <row r="1197" spans="24:25" x14ac:dyDescent="0.25">
      <c r="X1197" s="10"/>
      <c r="Y1197" s="10"/>
    </row>
    <row r="1198" spans="24:25" x14ac:dyDescent="0.25">
      <c r="X1198" s="10"/>
      <c r="Y1198" s="10"/>
    </row>
    <row r="1199" spans="24:25" x14ac:dyDescent="0.25">
      <c r="X1199" s="10"/>
      <c r="Y1199" s="10"/>
    </row>
    <row r="1200" spans="24:25" x14ac:dyDescent="0.25">
      <c r="X1200" s="10"/>
      <c r="Y1200" s="10"/>
    </row>
    <row r="1201" spans="24:25" x14ac:dyDescent="0.25">
      <c r="X1201" s="10"/>
      <c r="Y1201" s="10"/>
    </row>
    <row r="1202" spans="24:25" x14ac:dyDescent="0.25">
      <c r="X1202" s="10"/>
      <c r="Y1202" s="10"/>
    </row>
    <row r="1203" spans="24:25" x14ac:dyDescent="0.25">
      <c r="X1203" s="10"/>
      <c r="Y1203" s="10"/>
    </row>
    <row r="1204" spans="24:25" x14ac:dyDescent="0.25">
      <c r="X1204" s="10"/>
      <c r="Y1204" s="10"/>
    </row>
    <row r="1205" spans="24:25" x14ac:dyDescent="0.25">
      <c r="X1205" s="10"/>
      <c r="Y1205" s="10"/>
    </row>
    <row r="1206" spans="24:25" x14ac:dyDescent="0.25">
      <c r="X1206" s="10"/>
      <c r="Y1206" s="10"/>
    </row>
    <row r="1207" spans="24:25" x14ac:dyDescent="0.25">
      <c r="X1207" s="10"/>
      <c r="Y1207" s="10"/>
    </row>
    <row r="1208" spans="24:25" x14ac:dyDescent="0.25">
      <c r="X1208" s="10"/>
      <c r="Y1208" s="10"/>
    </row>
    <row r="1209" spans="24:25" x14ac:dyDescent="0.25">
      <c r="X1209" s="10"/>
      <c r="Y1209" s="10"/>
    </row>
    <row r="1210" spans="24:25" x14ac:dyDescent="0.25">
      <c r="X1210" s="10"/>
      <c r="Y1210" s="10"/>
    </row>
    <row r="1211" spans="24:25" x14ac:dyDescent="0.25">
      <c r="X1211" s="10"/>
      <c r="Y1211" s="10"/>
    </row>
    <row r="1212" spans="24:25" x14ac:dyDescent="0.25">
      <c r="X1212" s="10"/>
      <c r="Y1212" s="10"/>
    </row>
    <row r="1213" spans="24:25" x14ac:dyDescent="0.25">
      <c r="X1213" s="10"/>
      <c r="Y1213" s="10"/>
    </row>
    <row r="1214" spans="24:25" x14ac:dyDescent="0.25">
      <c r="X1214" s="10"/>
      <c r="Y1214" s="10"/>
    </row>
    <row r="1215" spans="24:25" x14ac:dyDescent="0.25">
      <c r="X1215" s="10"/>
      <c r="Y1215" s="10"/>
    </row>
    <row r="1216" spans="24:25" x14ac:dyDescent="0.25">
      <c r="X1216" s="10"/>
      <c r="Y1216" s="10"/>
    </row>
    <row r="1217" spans="24:25" x14ac:dyDescent="0.25">
      <c r="X1217" s="10"/>
      <c r="Y1217" s="10"/>
    </row>
    <row r="1218" spans="24:25" x14ac:dyDescent="0.25">
      <c r="X1218" s="10"/>
      <c r="Y1218" s="10"/>
    </row>
    <row r="1219" spans="24:25" x14ac:dyDescent="0.25">
      <c r="X1219" s="10"/>
      <c r="Y1219" s="10"/>
    </row>
    <row r="1220" spans="24:25" x14ac:dyDescent="0.25">
      <c r="X1220" s="10"/>
      <c r="Y1220" s="10"/>
    </row>
    <row r="1221" spans="24:25" x14ac:dyDescent="0.25">
      <c r="X1221" s="10"/>
      <c r="Y1221" s="10"/>
    </row>
    <row r="1222" spans="24:25" x14ac:dyDescent="0.25">
      <c r="X1222" s="10"/>
      <c r="Y1222" s="10"/>
    </row>
    <row r="1223" spans="24:25" x14ac:dyDescent="0.25">
      <c r="X1223" s="10"/>
      <c r="Y1223" s="10"/>
    </row>
    <row r="1224" spans="24:25" x14ac:dyDescent="0.25">
      <c r="X1224" s="10"/>
      <c r="Y1224" s="10"/>
    </row>
    <row r="1225" spans="24:25" x14ac:dyDescent="0.25">
      <c r="X1225" s="10"/>
      <c r="Y1225" s="10"/>
    </row>
    <row r="1226" spans="24:25" x14ac:dyDescent="0.25">
      <c r="X1226" s="10"/>
      <c r="Y1226" s="10"/>
    </row>
    <row r="1227" spans="24:25" x14ac:dyDescent="0.25">
      <c r="X1227" s="10"/>
      <c r="Y1227" s="10"/>
    </row>
    <row r="1228" spans="24:25" x14ac:dyDescent="0.25">
      <c r="X1228" s="10"/>
      <c r="Y1228" s="10"/>
    </row>
    <row r="1229" spans="24:25" x14ac:dyDescent="0.25">
      <c r="X1229" s="10"/>
      <c r="Y1229" s="10"/>
    </row>
    <row r="1230" spans="24:25" x14ac:dyDescent="0.25">
      <c r="X1230" s="10"/>
      <c r="Y1230" s="10"/>
    </row>
    <row r="1231" spans="24:25" x14ac:dyDescent="0.25">
      <c r="X1231" s="10"/>
      <c r="Y1231" s="10"/>
    </row>
    <row r="1232" spans="24:25" x14ac:dyDescent="0.25">
      <c r="X1232" s="10"/>
      <c r="Y1232" s="10"/>
    </row>
    <row r="1233" spans="24:25" x14ac:dyDescent="0.25">
      <c r="X1233" s="10"/>
      <c r="Y1233" s="10"/>
    </row>
    <row r="1234" spans="24:25" x14ac:dyDescent="0.25">
      <c r="X1234" s="10"/>
      <c r="Y1234" s="10"/>
    </row>
    <row r="1235" spans="24:25" x14ac:dyDescent="0.25">
      <c r="X1235" s="10"/>
      <c r="Y1235" s="10"/>
    </row>
    <row r="1236" spans="24:25" x14ac:dyDescent="0.25">
      <c r="X1236" s="10"/>
      <c r="Y1236" s="10"/>
    </row>
    <row r="1237" spans="24:25" x14ac:dyDescent="0.25">
      <c r="X1237" s="10"/>
      <c r="Y1237" s="10"/>
    </row>
    <row r="1238" spans="24:25" x14ac:dyDescent="0.25">
      <c r="X1238" s="10"/>
      <c r="Y1238" s="10"/>
    </row>
    <row r="1239" spans="24:25" x14ac:dyDescent="0.25">
      <c r="X1239" s="10"/>
      <c r="Y1239" s="10"/>
    </row>
    <row r="1240" spans="24:25" x14ac:dyDescent="0.25">
      <c r="X1240" s="10"/>
      <c r="Y1240" s="10"/>
    </row>
    <row r="1241" spans="24:25" x14ac:dyDescent="0.25">
      <c r="X1241" s="10"/>
      <c r="Y1241" s="10"/>
    </row>
    <row r="1242" spans="24:25" x14ac:dyDescent="0.25">
      <c r="X1242" s="10"/>
      <c r="Y1242" s="10"/>
    </row>
    <row r="1243" spans="24:25" x14ac:dyDescent="0.25">
      <c r="X1243" s="10"/>
      <c r="Y1243" s="10"/>
    </row>
    <row r="1244" spans="24:25" x14ac:dyDescent="0.25">
      <c r="X1244" s="10"/>
      <c r="Y1244" s="10"/>
    </row>
    <row r="1245" spans="24:25" x14ac:dyDescent="0.25">
      <c r="X1245" s="10"/>
      <c r="Y1245" s="10"/>
    </row>
    <row r="1246" spans="24:25" x14ac:dyDescent="0.25">
      <c r="X1246" s="10"/>
      <c r="Y1246" s="10"/>
    </row>
    <row r="1247" spans="24:25" x14ac:dyDescent="0.25">
      <c r="X1247" s="10"/>
      <c r="Y1247" s="10"/>
    </row>
    <row r="1248" spans="24:25" x14ac:dyDescent="0.25">
      <c r="X1248" s="10"/>
      <c r="Y1248" s="10"/>
    </row>
    <row r="1249" spans="24:25" x14ac:dyDescent="0.25">
      <c r="X1249" s="10"/>
      <c r="Y1249" s="10"/>
    </row>
    <row r="1250" spans="24:25" x14ac:dyDescent="0.25">
      <c r="X1250" s="10"/>
      <c r="Y1250" s="10"/>
    </row>
    <row r="1251" spans="24:25" x14ac:dyDescent="0.25">
      <c r="X1251" s="10"/>
      <c r="Y1251" s="10"/>
    </row>
    <row r="1252" spans="24:25" x14ac:dyDescent="0.25">
      <c r="X1252" s="10"/>
      <c r="Y1252" s="10"/>
    </row>
    <row r="1253" spans="24:25" x14ac:dyDescent="0.25">
      <c r="X1253" s="10"/>
      <c r="Y1253" s="10"/>
    </row>
    <row r="1254" spans="24:25" x14ac:dyDescent="0.25">
      <c r="X1254" s="10"/>
      <c r="Y1254" s="10"/>
    </row>
    <row r="1255" spans="24:25" x14ac:dyDescent="0.25">
      <c r="X1255" s="10"/>
      <c r="Y1255" s="10"/>
    </row>
    <row r="1256" spans="24:25" x14ac:dyDescent="0.25">
      <c r="X1256" s="10"/>
      <c r="Y1256" s="10"/>
    </row>
    <row r="1257" spans="24:25" x14ac:dyDescent="0.25">
      <c r="X1257" s="10"/>
      <c r="Y1257" s="10"/>
    </row>
    <row r="1258" spans="24:25" x14ac:dyDescent="0.25">
      <c r="X1258" s="10"/>
      <c r="Y1258" s="10"/>
    </row>
    <row r="1259" spans="24:25" x14ac:dyDescent="0.25">
      <c r="X1259" s="10"/>
      <c r="Y1259" s="10"/>
    </row>
    <row r="1260" spans="24:25" x14ac:dyDescent="0.25">
      <c r="X1260" s="10"/>
      <c r="Y1260" s="10"/>
    </row>
    <row r="1261" spans="24:25" x14ac:dyDescent="0.25">
      <c r="X1261" s="10"/>
      <c r="Y1261" s="10"/>
    </row>
    <row r="1262" spans="24:25" x14ac:dyDescent="0.25">
      <c r="X1262" s="10"/>
      <c r="Y1262" s="10"/>
    </row>
    <row r="1263" spans="24:25" x14ac:dyDescent="0.25">
      <c r="X1263" s="10"/>
      <c r="Y1263" s="10"/>
    </row>
    <row r="1264" spans="24:25" x14ac:dyDescent="0.25">
      <c r="X1264" s="10"/>
      <c r="Y1264" s="10"/>
    </row>
    <row r="1265" spans="24:25" x14ac:dyDescent="0.25">
      <c r="X1265" s="10"/>
      <c r="Y1265" s="10"/>
    </row>
    <row r="1266" spans="24:25" x14ac:dyDescent="0.25">
      <c r="X1266" s="10"/>
      <c r="Y1266" s="10"/>
    </row>
    <row r="1267" spans="24:25" x14ac:dyDescent="0.25">
      <c r="X1267" s="10"/>
      <c r="Y1267" s="10"/>
    </row>
    <row r="1268" spans="24:25" x14ac:dyDescent="0.25">
      <c r="X1268" s="10"/>
      <c r="Y1268" s="10"/>
    </row>
    <row r="1269" spans="24:25" x14ac:dyDescent="0.25">
      <c r="X1269" s="10"/>
      <c r="Y1269" s="10"/>
    </row>
    <row r="1270" spans="24:25" x14ac:dyDescent="0.25">
      <c r="X1270" s="10"/>
      <c r="Y1270" s="10"/>
    </row>
    <row r="1271" spans="24:25" x14ac:dyDescent="0.25">
      <c r="X1271" s="10"/>
      <c r="Y1271" s="10"/>
    </row>
    <row r="1272" spans="24:25" x14ac:dyDescent="0.25">
      <c r="X1272" s="10"/>
      <c r="Y1272" s="10"/>
    </row>
    <row r="1273" spans="24:25" x14ac:dyDescent="0.25">
      <c r="X1273" s="10"/>
      <c r="Y1273" s="10"/>
    </row>
    <row r="1274" spans="24:25" x14ac:dyDescent="0.25">
      <c r="X1274" s="10"/>
      <c r="Y1274" s="10"/>
    </row>
    <row r="1275" spans="24:25" x14ac:dyDescent="0.25">
      <c r="X1275" s="10"/>
      <c r="Y1275" s="10"/>
    </row>
    <row r="1276" spans="24:25" x14ac:dyDescent="0.25">
      <c r="X1276" s="10"/>
      <c r="Y1276" s="10"/>
    </row>
    <row r="1277" spans="24:25" x14ac:dyDescent="0.25">
      <c r="X1277" s="10"/>
      <c r="Y1277" s="10"/>
    </row>
    <row r="1278" spans="24:25" x14ac:dyDescent="0.25">
      <c r="X1278" s="10"/>
      <c r="Y1278" s="10"/>
    </row>
    <row r="1279" spans="24:25" x14ac:dyDescent="0.25">
      <c r="X1279" s="10"/>
      <c r="Y1279" s="10"/>
    </row>
    <row r="1280" spans="24:25" x14ac:dyDescent="0.25">
      <c r="X1280" s="10"/>
      <c r="Y1280" s="10"/>
    </row>
    <row r="1281" spans="24:25" x14ac:dyDescent="0.25">
      <c r="X1281" s="10"/>
      <c r="Y1281" s="10"/>
    </row>
    <row r="1282" spans="24:25" x14ac:dyDescent="0.25">
      <c r="X1282" s="10"/>
      <c r="Y1282" s="10"/>
    </row>
    <row r="1283" spans="24:25" x14ac:dyDescent="0.25">
      <c r="X1283" s="10"/>
      <c r="Y1283" s="10"/>
    </row>
    <row r="1284" spans="24:25" x14ac:dyDescent="0.25">
      <c r="X1284" s="10"/>
      <c r="Y1284" s="10"/>
    </row>
    <row r="1285" spans="24:25" x14ac:dyDescent="0.25">
      <c r="X1285" s="10"/>
      <c r="Y1285" s="10"/>
    </row>
    <row r="1286" spans="24:25" x14ac:dyDescent="0.25">
      <c r="X1286" s="10"/>
      <c r="Y1286" s="10"/>
    </row>
    <row r="1287" spans="24:25" x14ac:dyDescent="0.25">
      <c r="X1287" s="10"/>
      <c r="Y1287" s="10"/>
    </row>
    <row r="1288" spans="24:25" x14ac:dyDescent="0.25">
      <c r="X1288" s="10"/>
      <c r="Y1288" s="10"/>
    </row>
    <row r="1289" spans="24:25" x14ac:dyDescent="0.25">
      <c r="X1289" s="10"/>
      <c r="Y1289" s="10"/>
    </row>
    <row r="1290" spans="24:25" x14ac:dyDescent="0.25">
      <c r="X1290" s="10"/>
      <c r="Y1290" s="10"/>
    </row>
    <row r="1291" spans="24:25" x14ac:dyDescent="0.25">
      <c r="X1291" s="10"/>
      <c r="Y1291" s="10"/>
    </row>
    <row r="1292" spans="24:25" x14ac:dyDescent="0.25">
      <c r="X1292" s="10"/>
      <c r="Y1292" s="10"/>
    </row>
    <row r="1293" spans="24:25" x14ac:dyDescent="0.25">
      <c r="X1293" s="10"/>
      <c r="Y1293" s="10"/>
    </row>
    <row r="1294" spans="24:25" x14ac:dyDescent="0.25">
      <c r="X1294" s="10"/>
      <c r="Y1294" s="10"/>
    </row>
    <row r="1295" spans="24:25" x14ac:dyDescent="0.25">
      <c r="X1295" s="10"/>
      <c r="Y1295" s="10"/>
    </row>
    <row r="1296" spans="24:25" x14ac:dyDescent="0.25">
      <c r="X1296" s="10"/>
      <c r="Y1296" s="10"/>
    </row>
    <row r="1297" spans="24:25" x14ac:dyDescent="0.25">
      <c r="X1297" s="10"/>
      <c r="Y1297" s="10"/>
    </row>
    <row r="1298" spans="24:25" x14ac:dyDescent="0.25">
      <c r="X1298" s="10"/>
      <c r="Y1298" s="10"/>
    </row>
    <row r="1299" spans="24:25" x14ac:dyDescent="0.25">
      <c r="X1299" s="10"/>
      <c r="Y1299" s="10"/>
    </row>
    <row r="1300" spans="24:25" x14ac:dyDescent="0.25">
      <c r="X1300" s="10"/>
      <c r="Y1300" s="10"/>
    </row>
    <row r="1301" spans="24:25" x14ac:dyDescent="0.25">
      <c r="X1301" s="10"/>
      <c r="Y1301" s="10"/>
    </row>
    <row r="1302" spans="24:25" x14ac:dyDescent="0.25">
      <c r="X1302" s="10"/>
      <c r="Y1302" s="10"/>
    </row>
    <row r="1303" spans="24:25" x14ac:dyDescent="0.25">
      <c r="X1303" s="10"/>
      <c r="Y1303" s="10"/>
    </row>
    <row r="1304" spans="24:25" x14ac:dyDescent="0.25">
      <c r="X1304" s="10"/>
      <c r="Y1304" s="10"/>
    </row>
    <row r="1305" spans="24:25" x14ac:dyDescent="0.25">
      <c r="X1305" s="10"/>
      <c r="Y1305" s="10"/>
    </row>
    <row r="1306" spans="24:25" x14ac:dyDescent="0.25">
      <c r="X1306" s="10"/>
      <c r="Y1306" s="10"/>
    </row>
    <row r="1307" spans="24:25" x14ac:dyDescent="0.25">
      <c r="X1307" s="10"/>
      <c r="Y1307" s="10"/>
    </row>
    <row r="1308" spans="24:25" x14ac:dyDescent="0.25">
      <c r="X1308" s="10"/>
      <c r="Y1308" s="10"/>
    </row>
    <row r="1309" spans="24:25" x14ac:dyDescent="0.25">
      <c r="X1309" s="10"/>
      <c r="Y1309" s="10"/>
    </row>
    <row r="1310" spans="24:25" x14ac:dyDescent="0.25">
      <c r="X1310" s="10"/>
      <c r="Y1310" s="10"/>
    </row>
    <row r="1311" spans="24:25" x14ac:dyDescent="0.25">
      <c r="X1311" s="10"/>
      <c r="Y1311" s="10"/>
    </row>
    <row r="1312" spans="24:25" x14ac:dyDescent="0.25">
      <c r="X1312" s="10"/>
      <c r="Y1312" s="10"/>
    </row>
    <row r="1313" spans="24:25" x14ac:dyDescent="0.25">
      <c r="X1313" s="10"/>
      <c r="Y1313" s="10"/>
    </row>
    <row r="1314" spans="24:25" x14ac:dyDescent="0.25">
      <c r="X1314" s="10"/>
      <c r="Y1314" s="10"/>
    </row>
    <row r="1315" spans="24:25" x14ac:dyDescent="0.25">
      <c r="X1315" s="10"/>
      <c r="Y1315" s="10"/>
    </row>
    <row r="1316" spans="24:25" x14ac:dyDescent="0.25">
      <c r="X1316" s="10"/>
      <c r="Y1316" s="10"/>
    </row>
    <row r="1317" spans="24:25" x14ac:dyDescent="0.25">
      <c r="X1317" s="10"/>
      <c r="Y1317" s="10"/>
    </row>
    <row r="1318" spans="24:25" x14ac:dyDescent="0.25">
      <c r="X1318" s="10"/>
      <c r="Y1318" s="10"/>
    </row>
    <row r="1319" spans="24:25" x14ac:dyDescent="0.25">
      <c r="X1319" s="10"/>
      <c r="Y1319" s="10"/>
    </row>
    <row r="1320" spans="24:25" x14ac:dyDescent="0.25">
      <c r="X1320" s="10"/>
      <c r="Y1320" s="10"/>
    </row>
    <row r="1321" spans="24:25" x14ac:dyDescent="0.25">
      <c r="X1321" s="10"/>
      <c r="Y1321" s="10"/>
    </row>
    <row r="1322" spans="24:25" x14ac:dyDescent="0.25">
      <c r="X1322" s="10"/>
      <c r="Y1322" s="10"/>
    </row>
    <row r="1323" spans="24:25" x14ac:dyDescent="0.25">
      <c r="X1323" s="10"/>
      <c r="Y1323" s="10"/>
    </row>
    <row r="1324" spans="24:25" x14ac:dyDescent="0.25">
      <c r="X1324" s="10"/>
      <c r="Y1324" s="10"/>
    </row>
    <row r="1325" spans="24:25" x14ac:dyDescent="0.25">
      <c r="X1325" s="10"/>
      <c r="Y1325" s="10"/>
    </row>
    <row r="1326" spans="24:25" x14ac:dyDescent="0.25">
      <c r="X1326" s="10"/>
      <c r="Y1326" s="10"/>
    </row>
    <row r="1327" spans="24:25" x14ac:dyDescent="0.25">
      <c r="X1327" s="10"/>
      <c r="Y1327" s="10"/>
    </row>
    <row r="1328" spans="24:25" x14ac:dyDescent="0.25">
      <c r="X1328" s="10"/>
      <c r="Y1328" s="10"/>
    </row>
    <row r="1329" spans="24:25" x14ac:dyDescent="0.25">
      <c r="X1329" s="10"/>
      <c r="Y1329" s="10"/>
    </row>
    <row r="1330" spans="24:25" x14ac:dyDescent="0.25">
      <c r="X1330" s="10"/>
      <c r="Y1330" s="10"/>
    </row>
    <row r="1331" spans="24:25" x14ac:dyDescent="0.25">
      <c r="X1331" s="10"/>
      <c r="Y1331" s="10"/>
    </row>
    <row r="1332" spans="24:25" x14ac:dyDescent="0.25">
      <c r="X1332" s="10"/>
      <c r="Y1332" s="10"/>
    </row>
    <row r="1333" spans="24:25" x14ac:dyDescent="0.25">
      <c r="X1333" s="10"/>
      <c r="Y1333" s="10"/>
    </row>
    <row r="1334" spans="24:25" x14ac:dyDescent="0.25">
      <c r="X1334" s="10"/>
      <c r="Y1334" s="10"/>
    </row>
    <row r="1335" spans="24:25" x14ac:dyDescent="0.25">
      <c r="X1335" s="10"/>
      <c r="Y1335" s="10"/>
    </row>
    <row r="1336" spans="24:25" x14ac:dyDescent="0.25">
      <c r="X1336" s="10"/>
      <c r="Y1336" s="10"/>
    </row>
    <row r="1337" spans="24:25" x14ac:dyDescent="0.25">
      <c r="X1337" s="10"/>
      <c r="Y1337" s="10"/>
    </row>
    <row r="1338" spans="24:25" x14ac:dyDescent="0.25">
      <c r="X1338" s="10"/>
      <c r="Y1338" s="10"/>
    </row>
    <row r="1339" spans="24:25" x14ac:dyDescent="0.25">
      <c r="X1339" s="10"/>
      <c r="Y1339" s="10"/>
    </row>
    <row r="1340" spans="24:25" x14ac:dyDescent="0.25">
      <c r="X1340" s="10"/>
      <c r="Y1340" s="10"/>
    </row>
    <row r="1341" spans="24:25" x14ac:dyDescent="0.25">
      <c r="X1341" s="10"/>
      <c r="Y1341" s="10"/>
    </row>
    <row r="1342" spans="24:25" x14ac:dyDescent="0.25">
      <c r="X1342" s="10"/>
      <c r="Y1342" s="10"/>
    </row>
    <row r="1343" spans="24:25" x14ac:dyDescent="0.25">
      <c r="X1343" s="10"/>
      <c r="Y1343" s="10"/>
    </row>
    <row r="1344" spans="24:25" x14ac:dyDescent="0.25">
      <c r="X1344" s="10"/>
      <c r="Y1344" s="10"/>
    </row>
    <row r="1345" spans="24:25" x14ac:dyDescent="0.25">
      <c r="X1345" s="10"/>
      <c r="Y1345" s="10"/>
    </row>
    <row r="1346" spans="24:25" x14ac:dyDescent="0.25">
      <c r="X1346" s="10"/>
      <c r="Y1346" s="10"/>
    </row>
    <row r="1347" spans="24:25" x14ac:dyDescent="0.25">
      <c r="X1347" s="10"/>
      <c r="Y1347" s="10"/>
    </row>
    <row r="1348" spans="24:25" x14ac:dyDescent="0.25">
      <c r="X1348" s="10"/>
      <c r="Y1348" s="10"/>
    </row>
    <row r="1349" spans="24:25" x14ac:dyDescent="0.25">
      <c r="X1349" s="10"/>
      <c r="Y1349" s="10"/>
    </row>
    <row r="1350" spans="24:25" x14ac:dyDescent="0.25">
      <c r="X1350" s="10"/>
      <c r="Y1350" s="10"/>
    </row>
    <row r="1351" spans="24:25" x14ac:dyDescent="0.25">
      <c r="X1351" s="10"/>
      <c r="Y1351" s="10"/>
    </row>
    <row r="1352" spans="24:25" x14ac:dyDescent="0.25">
      <c r="X1352" s="10"/>
      <c r="Y1352" s="10"/>
    </row>
    <row r="1353" spans="24:25" x14ac:dyDescent="0.25">
      <c r="X1353" s="10"/>
      <c r="Y1353" s="10"/>
    </row>
    <row r="1354" spans="24:25" x14ac:dyDescent="0.25">
      <c r="X1354" s="10"/>
      <c r="Y1354" s="10"/>
    </row>
    <row r="1355" spans="24:25" x14ac:dyDescent="0.25">
      <c r="X1355" s="10"/>
      <c r="Y1355" s="10"/>
    </row>
    <row r="1356" spans="24:25" x14ac:dyDescent="0.25">
      <c r="X1356" s="10"/>
      <c r="Y1356" s="10"/>
    </row>
    <row r="1357" spans="24:25" x14ac:dyDescent="0.25">
      <c r="X1357" s="10"/>
      <c r="Y1357" s="10"/>
    </row>
    <row r="1358" spans="24:25" x14ac:dyDescent="0.25">
      <c r="X1358" s="10"/>
      <c r="Y1358" s="10"/>
    </row>
    <row r="1359" spans="24:25" x14ac:dyDescent="0.25">
      <c r="X1359" s="10"/>
      <c r="Y1359" s="10"/>
    </row>
    <row r="1360" spans="24:25" x14ac:dyDescent="0.25">
      <c r="X1360" s="10"/>
      <c r="Y1360" s="10"/>
    </row>
    <row r="1361" spans="24:25" x14ac:dyDescent="0.25">
      <c r="X1361" s="10"/>
      <c r="Y1361" s="10"/>
    </row>
    <row r="1362" spans="24:25" x14ac:dyDescent="0.25">
      <c r="X1362" s="10"/>
      <c r="Y1362" s="10"/>
    </row>
    <row r="1363" spans="24:25" x14ac:dyDescent="0.25">
      <c r="X1363" s="10"/>
      <c r="Y1363" s="10"/>
    </row>
    <row r="1364" spans="24:25" x14ac:dyDescent="0.25">
      <c r="X1364" s="10"/>
      <c r="Y1364" s="10"/>
    </row>
    <row r="1365" spans="24:25" x14ac:dyDescent="0.25">
      <c r="X1365" s="10"/>
      <c r="Y1365" s="10"/>
    </row>
    <row r="1366" spans="24:25" x14ac:dyDescent="0.25">
      <c r="X1366" s="10"/>
      <c r="Y1366" s="10"/>
    </row>
    <row r="1367" spans="24:25" x14ac:dyDescent="0.25">
      <c r="X1367" s="10"/>
      <c r="Y1367" s="10"/>
    </row>
    <row r="1368" spans="24:25" x14ac:dyDescent="0.25">
      <c r="X1368" s="10"/>
      <c r="Y1368" s="10"/>
    </row>
    <row r="1369" spans="24:25" x14ac:dyDescent="0.25">
      <c r="X1369" s="10"/>
      <c r="Y1369" s="10"/>
    </row>
    <row r="1370" spans="24:25" x14ac:dyDescent="0.25">
      <c r="X1370" s="10"/>
      <c r="Y1370" s="10"/>
    </row>
    <row r="1371" spans="24:25" x14ac:dyDescent="0.25">
      <c r="X1371" s="10"/>
      <c r="Y1371" s="10"/>
    </row>
    <row r="1372" spans="24:25" x14ac:dyDescent="0.25">
      <c r="X1372" s="10"/>
      <c r="Y1372" s="10"/>
    </row>
    <row r="1373" spans="24:25" x14ac:dyDescent="0.25">
      <c r="X1373" s="10"/>
      <c r="Y1373" s="10"/>
    </row>
    <row r="1374" spans="24:25" x14ac:dyDescent="0.25">
      <c r="X1374" s="10"/>
      <c r="Y1374" s="10"/>
    </row>
    <row r="1375" spans="24:25" x14ac:dyDescent="0.25">
      <c r="X1375" s="10"/>
      <c r="Y1375" s="10"/>
    </row>
    <row r="1376" spans="24:25" x14ac:dyDescent="0.25">
      <c r="X1376" s="10"/>
      <c r="Y1376" s="10"/>
    </row>
    <row r="1377" spans="24:25" x14ac:dyDescent="0.25">
      <c r="X1377" s="10"/>
      <c r="Y1377" s="10"/>
    </row>
    <row r="1378" spans="24:25" x14ac:dyDescent="0.25">
      <c r="X1378" s="10"/>
      <c r="Y1378" s="10"/>
    </row>
    <row r="1379" spans="24:25" x14ac:dyDescent="0.25">
      <c r="X1379" s="10"/>
      <c r="Y1379" s="10"/>
    </row>
    <row r="1380" spans="24:25" x14ac:dyDescent="0.25">
      <c r="X1380" s="10"/>
      <c r="Y1380" s="10"/>
    </row>
    <row r="1381" spans="24:25" x14ac:dyDescent="0.25">
      <c r="X1381" s="10"/>
      <c r="Y1381" s="10"/>
    </row>
    <row r="1382" spans="24:25" x14ac:dyDescent="0.25">
      <c r="X1382" s="10"/>
      <c r="Y1382" s="10"/>
    </row>
    <row r="1383" spans="24:25" x14ac:dyDescent="0.25">
      <c r="X1383" s="10"/>
      <c r="Y1383" s="10"/>
    </row>
    <row r="1384" spans="24:25" x14ac:dyDescent="0.25">
      <c r="X1384" s="10"/>
      <c r="Y1384" s="10"/>
    </row>
    <row r="1385" spans="24:25" x14ac:dyDescent="0.25">
      <c r="X1385" s="10"/>
      <c r="Y1385" s="10"/>
    </row>
    <row r="1386" spans="24:25" x14ac:dyDescent="0.25">
      <c r="X1386" s="10"/>
      <c r="Y1386" s="10"/>
    </row>
    <row r="1387" spans="24:25" x14ac:dyDescent="0.25">
      <c r="X1387" s="10"/>
      <c r="Y1387" s="10"/>
    </row>
    <row r="1388" spans="24:25" x14ac:dyDescent="0.25">
      <c r="X1388" s="10"/>
      <c r="Y1388" s="10"/>
    </row>
    <row r="1389" spans="24:25" x14ac:dyDescent="0.25">
      <c r="X1389" s="10"/>
      <c r="Y1389" s="10"/>
    </row>
    <row r="1390" spans="24:25" x14ac:dyDescent="0.25">
      <c r="X1390" s="10"/>
      <c r="Y1390" s="10"/>
    </row>
    <row r="1391" spans="24:25" x14ac:dyDescent="0.25">
      <c r="X1391" s="10"/>
      <c r="Y1391" s="10"/>
    </row>
    <row r="1392" spans="24:25" x14ac:dyDescent="0.25">
      <c r="X1392" s="10"/>
      <c r="Y1392" s="10"/>
    </row>
    <row r="1393" spans="24:25" x14ac:dyDescent="0.25">
      <c r="X1393" s="10"/>
      <c r="Y1393" s="10"/>
    </row>
    <row r="1394" spans="24:25" x14ac:dyDescent="0.25">
      <c r="X1394" s="10"/>
      <c r="Y1394" s="10"/>
    </row>
    <row r="1395" spans="24:25" x14ac:dyDescent="0.25">
      <c r="X1395" s="10"/>
      <c r="Y1395" s="10"/>
    </row>
    <row r="1396" spans="24:25" x14ac:dyDescent="0.25">
      <c r="X1396" s="10"/>
      <c r="Y1396" s="10"/>
    </row>
    <row r="1397" spans="24:25" x14ac:dyDescent="0.25">
      <c r="X1397" s="10"/>
      <c r="Y1397" s="10"/>
    </row>
    <row r="1398" spans="24:25" x14ac:dyDescent="0.25">
      <c r="X1398" s="10"/>
      <c r="Y1398" s="10"/>
    </row>
    <row r="1399" spans="24:25" x14ac:dyDescent="0.25">
      <c r="X1399" s="10"/>
      <c r="Y1399" s="10"/>
    </row>
    <row r="1400" spans="24:25" x14ac:dyDescent="0.25">
      <c r="X1400" s="10"/>
      <c r="Y1400" s="10"/>
    </row>
    <row r="1401" spans="24:25" x14ac:dyDescent="0.25">
      <c r="X1401" s="10"/>
      <c r="Y1401" s="10"/>
    </row>
    <row r="1402" spans="24:25" x14ac:dyDescent="0.25">
      <c r="X1402" s="10"/>
      <c r="Y1402" s="10"/>
    </row>
    <row r="1403" spans="24:25" x14ac:dyDescent="0.25">
      <c r="X1403" s="10"/>
      <c r="Y1403" s="10"/>
    </row>
    <row r="1404" spans="24:25" x14ac:dyDescent="0.25">
      <c r="X1404" s="10"/>
      <c r="Y1404" s="10"/>
    </row>
    <row r="1405" spans="24:25" x14ac:dyDescent="0.25">
      <c r="X1405" s="10"/>
      <c r="Y1405" s="10"/>
    </row>
    <row r="1406" spans="24:25" x14ac:dyDescent="0.25">
      <c r="X1406" s="10"/>
      <c r="Y1406" s="10"/>
    </row>
    <row r="1407" spans="24:25" x14ac:dyDescent="0.25">
      <c r="X1407" s="10"/>
      <c r="Y1407" s="10"/>
    </row>
    <row r="1408" spans="24:25" x14ac:dyDescent="0.25">
      <c r="X1408" s="10"/>
      <c r="Y1408" s="10"/>
    </row>
    <row r="1409" spans="24:25" x14ac:dyDescent="0.25">
      <c r="X1409" s="10"/>
      <c r="Y1409" s="10"/>
    </row>
    <row r="1410" spans="24:25" x14ac:dyDescent="0.25">
      <c r="X1410" s="10"/>
      <c r="Y1410" s="10"/>
    </row>
    <row r="1411" spans="24:25" x14ac:dyDescent="0.25">
      <c r="X1411" s="10"/>
      <c r="Y1411" s="10"/>
    </row>
    <row r="1412" spans="24:25" x14ac:dyDescent="0.25">
      <c r="X1412" s="10"/>
      <c r="Y1412" s="10"/>
    </row>
    <row r="1413" spans="24:25" x14ac:dyDescent="0.25">
      <c r="X1413" s="10"/>
      <c r="Y1413" s="10"/>
    </row>
    <row r="1414" spans="24:25" x14ac:dyDescent="0.25">
      <c r="X1414" s="10"/>
      <c r="Y1414" s="10"/>
    </row>
    <row r="1415" spans="24:25" x14ac:dyDescent="0.25">
      <c r="X1415" s="10"/>
      <c r="Y1415" s="10"/>
    </row>
    <row r="1416" spans="24:25" x14ac:dyDescent="0.25">
      <c r="X1416" s="10"/>
      <c r="Y1416" s="10"/>
    </row>
    <row r="1417" spans="24:25" x14ac:dyDescent="0.25">
      <c r="X1417" s="10"/>
      <c r="Y1417" s="10"/>
    </row>
    <row r="1418" spans="24:25" x14ac:dyDescent="0.25">
      <c r="X1418" s="10"/>
      <c r="Y1418" s="10"/>
    </row>
    <row r="1419" spans="24:25" x14ac:dyDescent="0.25">
      <c r="X1419" s="10"/>
      <c r="Y1419" s="10"/>
    </row>
    <row r="1420" spans="24:25" x14ac:dyDescent="0.25">
      <c r="X1420" s="10"/>
      <c r="Y1420" s="10"/>
    </row>
    <row r="1421" spans="24:25" x14ac:dyDescent="0.25">
      <c r="X1421" s="10"/>
      <c r="Y1421" s="10"/>
    </row>
    <row r="1422" spans="24:25" x14ac:dyDescent="0.25">
      <c r="X1422" s="10"/>
      <c r="Y1422" s="10"/>
    </row>
    <row r="1423" spans="24:25" x14ac:dyDescent="0.25">
      <c r="X1423" s="10"/>
      <c r="Y1423" s="10"/>
    </row>
    <row r="1424" spans="24:25" x14ac:dyDescent="0.25">
      <c r="X1424" s="10"/>
      <c r="Y1424" s="10"/>
    </row>
    <row r="1425" spans="24:25" x14ac:dyDescent="0.25">
      <c r="X1425" s="10"/>
      <c r="Y1425" s="10"/>
    </row>
    <row r="1426" spans="24:25" x14ac:dyDescent="0.25">
      <c r="X1426" s="10"/>
      <c r="Y1426" s="10"/>
    </row>
    <row r="1427" spans="24:25" x14ac:dyDescent="0.25">
      <c r="X1427" s="10"/>
      <c r="Y1427" s="10"/>
    </row>
    <row r="1428" spans="24:25" x14ac:dyDescent="0.25">
      <c r="X1428" s="10"/>
      <c r="Y1428" s="10"/>
    </row>
    <row r="1429" spans="24:25" x14ac:dyDescent="0.25">
      <c r="X1429" s="10"/>
      <c r="Y1429" s="10"/>
    </row>
    <row r="1430" spans="24:25" x14ac:dyDescent="0.25">
      <c r="X1430" s="10"/>
      <c r="Y1430" s="10"/>
    </row>
    <row r="1431" spans="24:25" x14ac:dyDescent="0.25">
      <c r="X1431" s="10"/>
      <c r="Y1431" s="10"/>
    </row>
    <row r="1432" spans="24:25" x14ac:dyDescent="0.25">
      <c r="X1432" s="10"/>
      <c r="Y1432" s="10"/>
    </row>
    <row r="1433" spans="24:25" x14ac:dyDescent="0.25">
      <c r="X1433" s="10"/>
      <c r="Y1433" s="10"/>
    </row>
    <row r="1434" spans="24:25" x14ac:dyDescent="0.25">
      <c r="X1434" s="10"/>
      <c r="Y1434" s="10"/>
    </row>
    <row r="1435" spans="24:25" x14ac:dyDescent="0.25">
      <c r="X1435" s="10"/>
      <c r="Y1435" s="10"/>
    </row>
    <row r="1436" spans="24:25" x14ac:dyDescent="0.25">
      <c r="X1436" s="10"/>
      <c r="Y1436" s="10"/>
    </row>
    <row r="1437" spans="24:25" x14ac:dyDescent="0.25">
      <c r="X1437" s="10"/>
      <c r="Y1437" s="10"/>
    </row>
    <row r="1438" spans="24:25" x14ac:dyDescent="0.25">
      <c r="X1438" s="10"/>
      <c r="Y1438" s="10"/>
    </row>
    <row r="1439" spans="24:25" x14ac:dyDescent="0.25">
      <c r="X1439" s="10"/>
      <c r="Y1439" s="10"/>
    </row>
    <row r="1440" spans="24:25" x14ac:dyDescent="0.25">
      <c r="X1440" s="10"/>
      <c r="Y1440" s="10"/>
    </row>
    <row r="1441" spans="24:25" x14ac:dyDescent="0.25">
      <c r="X1441" s="10"/>
      <c r="Y1441" s="10"/>
    </row>
    <row r="1442" spans="24:25" x14ac:dyDescent="0.25">
      <c r="X1442" s="10"/>
      <c r="Y1442" s="10"/>
    </row>
    <row r="1443" spans="24:25" x14ac:dyDescent="0.25">
      <c r="X1443" s="10"/>
      <c r="Y1443" s="10"/>
    </row>
    <row r="1444" spans="24:25" x14ac:dyDescent="0.25">
      <c r="X1444" s="10"/>
      <c r="Y1444" s="10"/>
    </row>
    <row r="1445" spans="24:25" x14ac:dyDescent="0.25">
      <c r="X1445" s="10"/>
      <c r="Y1445" s="10"/>
    </row>
    <row r="1446" spans="24:25" x14ac:dyDescent="0.25">
      <c r="X1446" s="10"/>
      <c r="Y1446" s="10"/>
    </row>
    <row r="1447" spans="24:25" x14ac:dyDescent="0.25">
      <c r="X1447" s="10"/>
      <c r="Y1447" s="10"/>
    </row>
    <row r="1448" spans="24:25" x14ac:dyDescent="0.25">
      <c r="X1448" s="10"/>
      <c r="Y1448" s="10"/>
    </row>
    <row r="1449" spans="24:25" x14ac:dyDescent="0.25">
      <c r="X1449" s="10"/>
      <c r="Y1449" s="10"/>
    </row>
    <row r="1450" spans="24:25" x14ac:dyDescent="0.25">
      <c r="X1450" s="10"/>
      <c r="Y1450" s="10"/>
    </row>
    <row r="1451" spans="24:25" x14ac:dyDescent="0.25">
      <c r="X1451" s="10"/>
      <c r="Y1451" s="10"/>
    </row>
    <row r="1452" spans="24:25" x14ac:dyDescent="0.25">
      <c r="X1452" s="10"/>
      <c r="Y1452" s="10"/>
    </row>
    <row r="1453" spans="24:25" x14ac:dyDescent="0.25">
      <c r="X1453" s="10"/>
      <c r="Y1453" s="10"/>
    </row>
    <row r="1454" spans="24:25" x14ac:dyDescent="0.25">
      <c r="X1454" s="10"/>
      <c r="Y1454" s="10"/>
    </row>
    <row r="1455" spans="24:25" x14ac:dyDescent="0.25">
      <c r="X1455" s="10"/>
      <c r="Y1455" s="10"/>
    </row>
    <row r="1456" spans="24:25" x14ac:dyDescent="0.25">
      <c r="X1456" s="10"/>
      <c r="Y1456" s="10"/>
    </row>
    <row r="1457" spans="24:25" x14ac:dyDescent="0.25">
      <c r="X1457" s="10"/>
      <c r="Y1457" s="10"/>
    </row>
    <row r="1458" spans="24:25" x14ac:dyDescent="0.25">
      <c r="X1458" s="10"/>
      <c r="Y1458" s="10"/>
    </row>
    <row r="1459" spans="24:25" x14ac:dyDescent="0.25">
      <c r="X1459" s="10"/>
      <c r="Y1459" s="10"/>
    </row>
    <row r="1460" spans="24:25" x14ac:dyDescent="0.25">
      <c r="X1460" s="10"/>
      <c r="Y1460" s="10"/>
    </row>
    <row r="1461" spans="24:25" x14ac:dyDescent="0.25">
      <c r="X1461" s="10"/>
      <c r="Y1461" s="10"/>
    </row>
    <row r="1462" spans="24:25" x14ac:dyDescent="0.25">
      <c r="X1462" s="10"/>
      <c r="Y1462" s="10"/>
    </row>
    <row r="1463" spans="24:25" x14ac:dyDescent="0.25">
      <c r="X1463" s="10"/>
      <c r="Y1463" s="10"/>
    </row>
    <row r="1464" spans="24:25" x14ac:dyDescent="0.25">
      <c r="X1464" s="10"/>
      <c r="Y1464" s="10"/>
    </row>
    <row r="1465" spans="24:25" x14ac:dyDescent="0.25">
      <c r="X1465" s="10"/>
      <c r="Y1465" s="10"/>
    </row>
    <row r="1466" spans="24:25" x14ac:dyDescent="0.25">
      <c r="X1466" s="10"/>
      <c r="Y1466" s="10"/>
    </row>
    <row r="1467" spans="24:25" x14ac:dyDescent="0.25">
      <c r="X1467" s="10"/>
      <c r="Y1467" s="10"/>
    </row>
    <row r="1468" spans="24:25" x14ac:dyDescent="0.25">
      <c r="X1468" s="10"/>
      <c r="Y1468" s="10"/>
    </row>
    <row r="1469" spans="24:25" x14ac:dyDescent="0.25">
      <c r="X1469" s="10"/>
      <c r="Y1469" s="10"/>
    </row>
    <row r="1470" spans="24:25" x14ac:dyDescent="0.25">
      <c r="X1470" s="10"/>
      <c r="Y1470" s="10"/>
    </row>
    <row r="1471" spans="24:25" x14ac:dyDescent="0.25">
      <c r="X1471" s="10"/>
      <c r="Y1471" s="10"/>
    </row>
    <row r="1472" spans="24:25" x14ac:dyDescent="0.25">
      <c r="X1472" s="10"/>
      <c r="Y1472" s="10"/>
    </row>
    <row r="1473" spans="24:25" x14ac:dyDescent="0.25">
      <c r="X1473" s="10"/>
      <c r="Y1473" s="10"/>
    </row>
    <row r="1474" spans="24:25" x14ac:dyDescent="0.25">
      <c r="X1474" s="10"/>
      <c r="Y1474" s="10"/>
    </row>
    <row r="1475" spans="24:25" x14ac:dyDescent="0.25">
      <c r="X1475" s="10"/>
      <c r="Y1475" s="10"/>
    </row>
    <row r="1476" spans="24:25" x14ac:dyDescent="0.25">
      <c r="X1476" s="10"/>
      <c r="Y1476" s="10"/>
    </row>
    <row r="1477" spans="24:25" x14ac:dyDescent="0.25">
      <c r="X1477" s="10"/>
      <c r="Y1477" s="10"/>
    </row>
    <row r="1478" spans="24:25" x14ac:dyDescent="0.25">
      <c r="X1478" s="10"/>
      <c r="Y1478" s="10"/>
    </row>
    <row r="1479" spans="24:25" x14ac:dyDescent="0.25">
      <c r="X1479" s="10"/>
      <c r="Y1479" s="10"/>
    </row>
    <row r="1480" spans="24:25" x14ac:dyDescent="0.25">
      <c r="X1480" s="10"/>
      <c r="Y1480" s="10"/>
    </row>
    <row r="1481" spans="24:25" x14ac:dyDescent="0.25">
      <c r="X1481" s="10"/>
      <c r="Y1481" s="10"/>
    </row>
    <row r="1482" spans="24:25" x14ac:dyDescent="0.25">
      <c r="X1482" s="10"/>
      <c r="Y1482" s="10"/>
    </row>
    <row r="1483" spans="24:25" x14ac:dyDescent="0.25">
      <c r="X1483" s="10"/>
      <c r="Y1483" s="10"/>
    </row>
    <row r="1484" spans="24:25" x14ac:dyDescent="0.25">
      <c r="X1484" s="10"/>
      <c r="Y1484" s="10"/>
    </row>
    <row r="1485" spans="24:25" x14ac:dyDescent="0.25">
      <c r="X1485" s="10"/>
      <c r="Y1485" s="10"/>
    </row>
    <row r="1486" spans="24:25" x14ac:dyDescent="0.25">
      <c r="X1486" s="10"/>
      <c r="Y1486" s="10"/>
    </row>
    <row r="1487" spans="24:25" x14ac:dyDescent="0.25">
      <c r="X1487" s="10"/>
      <c r="Y1487" s="10"/>
    </row>
    <row r="1488" spans="24:25" x14ac:dyDescent="0.25">
      <c r="X1488" s="10"/>
      <c r="Y1488" s="10"/>
    </row>
    <row r="1489" spans="24:25" x14ac:dyDescent="0.25">
      <c r="X1489" s="10"/>
      <c r="Y1489" s="10"/>
    </row>
    <row r="1490" spans="24:25" x14ac:dyDescent="0.25">
      <c r="X1490" s="10"/>
      <c r="Y1490" s="10"/>
    </row>
    <row r="1491" spans="24:25" x14ac:dyDescent="0.25">
      <c r="X1491" s="10"/>
      <c r="Y1491" s="10"/>
    </row>
    <row r="1492" spans="24:25" x14ac:dyDescent="0.25">
      <c r="X1492" s="10"/>
      <c r="Y1492" s="10"/>
    </row>
    <row r="1493" spans="24:25" x14ac:dyDescent="0.25">
      <c r="X1493" s="10"/>
      <c r="Y1493" s="10"/>
    </row>
    <row r="1494" spans="24:25" x14ac:dyDescent="0.25">
      <c r="X1494" s="10"/>
      <c r="Y1494" s="10"/>
    </row>
    <row r="1495" spans="24:25" x14ac:dyDescent="0.25">
      <c r="X1495" s="10"/>
      <c r="Y1495" s="10"/>
    </row>
    <row r="1496" spans="24:25" x14ac:dyDescent="0.25">
      <c r="X1496" s="10"/>
      <c r="Y1496" s="10"/>
    </row>
    <row r="1497" spans="24:25" x14ac:dyDescent="0.25">
      <c r="X1497" s="10"/>
      <c r="Y1497" s="10"/>
    </row>
    <row r="1498" spans="24:25" x14ac:dyDescent="0.25">
      <c r="X1498" s="10"/>
      <c r="Y1498" s="10"/>
    </row>
    <row r="1499" spans="24:25" x14ac:dyDescent="0.25">
      <c r="X1499" s="10"/>
      <c r="Y1499" s="10"/>
    </row>
    <row r="1500" spans="24:25" x14ac:dyDescent="0.25">
      <c r="X1500" s="10"/>
      <c r="Y1500" s="10"/>
    </row>
    <row r="1501" spans="24:25" x14ac:dyDescent="0.25">
      <c r="X1501" s="10"/>
      <c r="Y1501" s="10"/>
    </row>
    <row r="1502" spans="24:25" x14ac:dyDescent="0.25">
      <c r="X1502" s="10"/>
      <c r="Y1502" s="10"/>
    </row>
    <row r="1503" spans="24:25" x14ac:dyDescent="0.25">
      <c r="X1503" s="10"/>
      <c r="Y1503" s="10"/>
    </row>
    <row r="1504" spans="24:25" x14ac:dyDescent="0.25">
      <c r="X1504" s="10"/>
      <c r="Y1504" s="10"/>
    </row>
    <row r="1505" spans="24:25" x14ac:dyDescent="0.25">
      <c r="X1505" s="10"/>
      <c r="Y1505" s="10"/>
    </row>
    <row r="1506" spans="24:25" x14ac:dyDescent="0.25">
      <c r="X1506" s="10"/>
      <c r="Y1506" s="10"/>
    </row>
    <row r="1507" spans="24:25" x14ac:dyDescent="0.25">
      <c r="X1507" s="10"/>
      <c r="Y1507" s="10"/>
    </row>
    <row r="1508" spans="24:25" x14ac:dyDescent="0.25">
      <c r="X1508" s="10"/>
      <c r="Y1508" s="10"/>
    </row>
    <row r="1509" spans="24:25" x14ac:dyDescent="0.25">
      <c r="X1509" s="10"/>
      <c r="Y1509" s="10"/>
    </row>
    <row r="1510" spans="24:25" x14ac:dyDescent="0.25">
      <c r="X1510" s="10"/>
      <c r="Y1510" s="10"/>
    </row>
    <row r="1511" spans="24:25" x14ac:dyDescent="0.25">
      <c r="X1511" s="10"/>
      <c r="Y1511" s="10"/>
    </row>
    <row r="1512" spans="24:25" x14ac:dyDescent="0.25">
      <c r="X1512" s="10"/>
      <c r="Y1512" s="10"/>
    </row>
    <row r="1513" spans="24:25" x14ac:dyDescent="0.25">
      <c r="X1513" s="10"/>
      <c r="Y1513" s="10"/>
    </row>
    <row r="1514" spans="24:25" x14ac:dyDescent="0.25">
      <c r="X1514" s="10"/>
      <c r="Y1514" s="10"/>
    </row>
    <row r="1515" spans="24:25" x14ac:dyDescent="0.25">
      <c r="X1515" s="10"/>
      <c r="Y1515" s="10"/>
    </row>
    <row r="1516" spans="24:25" x14ac:dyDescent="0.25">
      <c r="X1516" s="10"/>
      <c r="Y1516" s="10"/>
    </row>
    <row r="1517" spans="24:25" x14ac:dyDescent="0.25">
      <c r="X1517" s="10"/>
      <c r="Y1517" s="10"/>
    </row>
    <row r="1518" spans="24:25" x14ac:dyDescent="0.25">
      <c r="X1518" s="10"/>
      <c r="Y1518" s="10"/>
    </row>
    <row r="1519" spans="24:25" x14ac:dyDescent="0.25">
      <c r="X1519" s="10"/>
      <c r="Y1519" s="10"/>
    </row>
    <row r="1520" spans="24:25" x14ac:dyDescent="0.25">
      <c r="X1520" s="10"/>
      <c r="Y1520" s="10"/>
    </row>
    <row r="1521" spans="24:25" x14ac:dyDescent="0.25">
      <c r="X1521" s="10"/>
      <c r="Y1521" s="10"/>
    </row>
    <row r="1522" spans="24:25" x14ac:dyDescent="0.25">
      <c r="X1522" s="10"/>
      <c r="Y1522" s="10"/>
    </row>
    <row r="1523" spans="24:25" x14ac:dyDescent="0.25">
      <c r="X1523" s="10"/>
      <c r="Y1523" s="10"/>
    </row>
    <row r="1524" spans="24:25" x14ac:dyDescent="0.25">
      <c r="X1524" s="10"/>
      <c r="Y1524" s="10"/>
    </row>
    <row r="1525" spans="24:25" x14ac:dyDescent="0.25">
      <c r="X1525" s="10"/>
      <c r="Y1525" s="10"/>
    </row>
    <row r="1526" spans="24:25" x14ac:dyDescent="0.25">
      <c r="X1526" s="10"/>
      <c r="Y1526" s="10"/>
    </row>
    <row r="1527" spans="24:25" x14ac:dyDescent="0.25">
      <c r="X1527" s="10"/>
      <c r="Y1527" s="10"/>
    </row>
    <row r="1528" spans="24:25" x14ac:dyDescent="0.25">
      <c r="X1528" s="10"/>
      <c r="Y1528" s="10"/>
    </row>
    <row r="1529" spans="24:25" x14ac:dyDescent="0.25">
      <c r="X1529" s="10"/>
      <c r="Y1529" s="10"/>
    </row>
    <row r="1530" spans="24:25" x14ac:dyDescent="0.25">
      <c r="X1530" s="10"/>
      <c r="Y1530" s="10"/>
    </row>
    <row r="1531" spans="24:25" x14ac:dyDescent="0.25">
      <c r="X1531" s="10"/>
      <c r="Y1531" s="10"/>
    </row>
    <row r="1532" spans="24:25" x14ac:dyDescent="0.25">
      <c r="X1532" s="10"/>
      <c r="Y1532" s="10"/>
    </row>
    <row r="1533" spans="24:25" x14ac:dyDescent="0.25">
      <c r="X1533" s="10"/>
      <c r="Y1533" s="10"/>
    </row>
    <row r="1534" spans="24:25" x14ac:dyDescent="0.25">
      <c r="X1534" s="10"/>
      <c r="Y1534" s="10"/>
    </row>
    <row r="1535" spans="24:25" x14ac:dyDescent="0.25">
      <c r="X1535" s="10"/>
      <c r="Y1535" s="10"/>
    </row>
    <row r="1536" spans="24:25" x14ac:dyDescent="0.25">
      <c r="X1536" s="10"/>
      <c r="Y1536" s="10"/>
    </row>
    <row r="1537" spans="24:25" x14ac:dyDescent="0.25">
      <c r="X1537" s="10"/>
      <c r="Y1537" s="10"/>
    </row>
    <row r="1538" spans="24:25" x14ac:dyDescent="0.25">
      <c r="X1538" s="10"/>
      <c r="Y1538" s="10"/>
    </row>
    <row r="1539" spans="24:25" x14ac:dyDescent="0.25">
      <c r="X1539" s="10"/>
      <c r="Y1539" s="10"/>
    </row>
    <row r="1540" spans="24:25" x14ac:dyDescent="0.25">
      <c r="X1540" s="10"/>
      <c r="Y1540" s="10"/>
    </row>
    <row r="1541" spans="24:25" x14ac:dyDescent="0.25">
      <c r="X1541" s="10"/>
      <c r="Y1541" s="10"/>
    </row>
    <row r="1542" spans="24:25" x14ac:dyDescent="0.25">
      <c r="X1542" s="10"/>
      <c r="Y1542" s="10"/>
    </row>
    <row r="1543" spans="24:25" x14ac:dyDescent="0.25">
      <c r="X1543" s="10"/>
      <c r="Y1543" s="10"/>
    </row>
    <row r="1544" spans="24:25" x14ac:dyDescent="0.25">
      <c r="X1544" s="10"/>
      <c r="Y1544" s="10"/>
    </row>
    <row r="1545" spans="24:25" x14ac:dyDescent="0.25">
      <c r="X1545" s="10"/>
      <c r="Y1545" s="10"/>
    </row>
    <row r="1546" spans="24:25" x14ac:dyDescent="0.25">
      <c r="X1546" s="10"/>
      <c r="Y1546" s="10"/>
    </row>
    <row r="1547" spans="24:25" x14ac:dyDescent="0.25">
      <c r="X1547" s="10"/>
      <c r="Y1547" s="10"/>
    </row>
    <row r="1548" spans="24:25" x14ac:dyDescent="0.25">
      <c r="X1548" s="10"/>
      <c r="Y1548" s="10"/>
    </row>
    <row r="1549" spans="24:25" x14ac:dyDescent="0.25">
      <c r="X1549" s="10"/>
      <c r="Y1549" s="10"/>
    </row>
    <row r="1550" spans="24:25" x14ac:dyDescent="0.25">
      <c r="X1550" s="10"/>
      <c r="Y1550" s="10"/>
    </row>
    <row r="1551" spans="24:25" x14ac:dyDescent="0.25">
      <c r="X1551" s="10"/>
      <c r="Y1551" s="10"/>
    </row>
    <row r="1552" spans="24:25" x14ac:dyDescent="0.25">
      <c r="X1552" s="10"/>
      <c r="Y1552" s="10"/>
    </row>
    <row r="1553" spans="24:25" x14ac:dyDescent="0.25">
      <c r="X1553" s="10"/>
      <c r="Y1553" s="10"/>
    </row>
    <row r="1554" spans="24:25" x14ac:dyDescent="0.25">
      <c r="X1554" s="10"/>
      <c r="Y1554" s="10"/>
    </row>
    <row r="1555" spans="24:25" x14ac:dyDescent="0.25">
      <c r="X1555" s="10"/>
      <c r="Y1555" s="10"/>
    </row>
    <row r="1556" spans="24:25" x14ac:dyDescent="0.25">
      <c r="X1556" s="10"/>
      <c r="Y1556" s="10"/>
    </row>
    <row r="1557" spans="24:25" x14ac:dyDescent="0.25">
      <c r="X1557" s="10"/>
      <c r="Y1557" s="10"/>
    </row>
    <row r="1558" spans="24:25" x14ac:dyDescent="0.25">
      <c r="X1558" s="10"/>
      <c r="Y1558" s="10"/>
    </row>
    <row r="1559" spans="24:25" x14ac:dyDescent="0.25">
      <c r="X1559" s="10"/>
      <c r="Y1559" s="10"/>
    </row>
    <row r="1560" spans="24:25" x14ac:dyDescent="0.25">
      <c r="X1560" s="10"/>
      <c r="Y1560" s="10"/>
    </row>
    <row r="1561" spans="24:25" x14ac:dyDescent="0.25">
      <c r="X1561" s="10"/>
      <c r="Y1561" s="10"/>
    </row>
    <row r="1562" spans="24:25" x14ac:dyDescent="0.25">
      <c r="X1562" s="10"/>
      <c r="Y1562" s="10"/>
    </row>
    <row r="1563" spans="24:25" x14ac:dyDescent="0.25">
      <c r="X1563" s="10"/>
      <c r="Y1563" s="10"/>
    </row>
    <row r="1564" spans="24:25" x14ac:dyDescent="0.25">
      <c r="X1564" s="10"/>
      <c r="Y1564" s="10"/>
    </row>
    <row r="1565" spans="24:25" x14ac:dyDescent="0.25">
      <c r="X1565" s="10"/>
      <c r="Y1565" s="10"/>
    </row>
    <row r="1566" spans="24:25" x14ac:dyDescent="0.25">
      <c r="X1566" s="10"/>
      <c r="Y1566" s="10"/>
    </row>
    <row r="1567" spans="24:25" x14ac:dyDescent="0.25">
      <c r="X1567" s="10"/>
      <c r="Y1567" s="10"/>
    </row>
    <row r="1568" spans="24:25" x14ac:dyDescent="0.25">
      <c r="X1568" s="10"/>
      <c r="Y1568" s="10"/>
    </row>
    <row r="1569" spans="24:25" x14ac:dyDescent="0.25">
      <c r="X1569" s="10"/>
      <c r="Y1569" s="10"/>
    </row>
    <row r="1570" spans="24:25" x14ac:dyDescent="0.25">
      <c r="X1570" s="10"/>
      <c r="Y1570" s="10"/>
    </row>
    <row r="1571" spans="24:25" x14ac:dyDescent="0.25">
      <c r="X1571" s="10"/>
      <c r="Y1571" s="10"/>
    </row>
    <row r="1572" spans="24:25" x14ac:dyDescent="0.25">
      <c r="X1572" s="10"/>
      <c r="Y1572" s="10"/>
    </row>
    <row r="1573" spans="24:25" x14ac:dyDescent="0.25">
      <c r="X1573" s="10"/>
      <c r="Y1573" s="10"/>
    </row>
    <row r="1574" spans="24:25" x14ac:dyDescent="0.25">
      <c r="X1574" s="10"/>
      <c r="Y1574" s="10"/>
    </row>
    <row r="1575" spans="24:25" x14ac:dyDescent="0.25">
      <c r="X1575" s="10"/>
      <c r="Y1575" s="10"/>
    </row>
    <row r="1576" spans="24:25" x14ac:dyDescent="0.25">
      <c r="X1576" s="10"/>
      <c r="Y1576" s="10"/>
    </row>
    <row r="1577" spans="24:25" x14ac:dyDescent="0.25">
      <c r="X1577" s="10"/>
      <c r="Y1577" s="10"/>
    </row>
    <row r="1578" spans="24:25" x14ac:dyDescent="0.25">
      <c r="X1578" s="10"/>
      <c r="Y1578" s="10"/>
    </row>
    <row r="1579" spans="24:25" x14ac:dyDescent="0.25">
      <c r="X1579" s="10"/>
      <c r="Y1579" s="10"/>
    </row>
    <row r="1580" spans="24:25" x14ac:dyDescent="0.25">
      <c r="X1580" s="10"/>
      <c r="Y1580" s="10"/>
    </row>
    <row r="1581" spans="24:25" x14ac:dyDescent="0.25">
      <c r="X1581" s="10"/>
      <c r="Y1581" s="10"/>
    </row>
    <row r="1582" spans="24:25" x14ac:dyDescent="0.25">
      <c r="X1582" s="10"/>
      <c r="Y1582" s="10"/>
    </row>
    <row r="1583" spans="24:25" x14ac:dyDescent="0.25">
      <c r="X1583" s="10"/>
      <c r="Y1583" s="10"/>
    </row>
    <row r="1584" spans="24:25" x14ac:dyDescent="0.25">
      <c r="X1584" s="10"/>
      <c r="Y1584" s="10"/>
    </row>
    <row r="1585" spans="24:25" x14ac:dyDescent="0.25">
      <c r="X1585" s="10"/>
      <c r="Y1585" s="10"/>
    </row>
    <row r="1586" spans="24:25" x14ac:dyDescent="0.25">
      <c r="X1586" s="10"/>
      <c r="Y1586" s="10"/>
    </row>
    <row r="1587" spans="24:25" x14ac:dyDescent="0.25">
      <c r="X1587" s="10"/>
      <c r="Y1587" s="10"/>
    </row>
    <row r="1588" spans="24:25" x14ac:dyDescent="0.25">
      <c r="X1588" s="10"/>
      <c r="Y1588" s="10"/>
    </row>
    <row r="1589" spans="24:25" x14ac:dyDescent="0.25">
      <c r="X1589" s="10"/>
      <c r="Y1589" s="10"/>
    </row>
    <row r="1590" spans="24:25" x14ac:dyDescent="0.25">
      <c r="X1590" s="10"/>
      <c r="Y1590" s="10"/>
    </row>
    <row r="1591" spans="24:25" x14ac:dyDescent="0.25">
      <c r="X1591" s="10"/>
      <c r="Y1591" s="10"/>
    </row>
    <row r="1592" spans="24:25" x14ac:dyDescent="0.25">
      <c r="X1592" s="10"/>
      <c r="Y1592" s="10"/>
    </row>
    <row r="1593" spans="24:25" x14ac:dyDescent="0.25">
      <c r="X1593" s="10"/>
      <c r="Y1593" s="10"/>
    </row>
    <row r="1594" spans="24:25" x14ac:dyDescent="0.25">
      <c r="X1594" s="10"/>
      <c r="Y1594" s="10"/>
    </row>
    <row r="1595" spans="24:25" x14ac:dyDescent="0.25">
      <c r="X1595" s="10"/>
      <c r="Y1595" s="10"/>
    </row>
    <row r="1596" spans="24:25" x14ac:dyDescent="0.25">
      <c r="X1596" s="10"/>
      <c r="Y1596" s="10"/>
    </row>
    <row r="1597" spans="24:25" x14ac:dyDescent="0.25">
      <c r="X1597" s="10"/>
      <c r="Y1597" s="10"/>
    </row>
    <row r="1598" spans="24:25" x14ac:dyDescent="0.25">
      <c r="X1598" s="10"/>
      <c r="Y1598" s="10"/>
    </row>
    <row r="1599" spans="24:25" x14ac:dyDescent="0.25">
      <c r="X1599" s="10"/>
      <c r="Y1599" s="10"/>
    </row>
    <row r="1600" spans="24:25" x14ac:dyDescent="0.25">
      <c r="X1600" s="10"/>
      <c r="Y1600" s="10"/>
    </row>
    <row r="1601" spans="24:25" x14ac:dyDescent="0.25">
      <c r="X1601" s="10"/>
      <c r="Y1601" s="10"/>
    </row>
    <row r="1602" spans="24:25" x14ac:dyDescent="0.25">
      <c r="X1602" s="10"/>
      <c r="Y1602" s="10"/>
    </row>
    <row r="1603" spans="24:25" x14ac:dyDescent="0.25">
      <c r="X1603" s="10"/>
      <c r="Y1603" s="10"/>
    </row>
    <row r="1604" spans="24:25" x14ac:dyDescent="0.25">
      <c r="X1604" s="10"/>
      <c r="Y1604" s="10"/>
    </row>
    <row r="1605" spans="24:25" x14ac:dyDescent="0.25">
      <c r="X1605" s="10"/>
      <c r="Y1605" s="10"/>
    </row>
    <row r="1606" spans="24:25" x14ac:dyDescent="0.25">
      <c r="X1606" s="10"/>
      <c r="Y1606" s="10"/>
    </row>
    <row r="1607" spans="24:25" x14ac:dyDescent="0.25">
      <c r="X1607" s="10"/>
      <c r="Y1607" s="10"/>
    </row>
    <row r="1608" spans="24:25" x14ac:dyDescent="0.25">
      <c r="X1608" s="10"/>
      <c r="Y1608" s="10"/>
    </row>
    <row r="1609" spans="24:25" x14ac:dyDescent="0.25">
      <c r="X1609" s="10"/>
      <c r="Y1609" s="10"/>
    </row>
    <row r="1610" spans="24:25" x14ac:dyDescent="0.25">
      <c r="X1610" s="10"/>
      <c r="Y1610" s="10"/>
    </row>
    <row r="1611" spans="24:25" x14ac:dyDescent="0.25">
      <c r="X1611" s="10"/>
      <c r="Y1611" s="10"/>
    </row>
    <row r="1612" spans="24:25" x14ac:dyDescent="0.25">
      <c r="X1612" s="10"/>
      <c r="Y1612" s="10"/>
    </row>
    <row r="1613" spans="24:25" x14ac:dyDescent="0.25">
      <c r="X1613" s="10"/>
      <c r="Y1613" s="10"/>
    </row>
    <row r="1614" spans="24:25" x14ac:dyDescent="0.25">
      <c r="X1614" s="10"/>
      <c r="Y1614" s="10"/>
    </row>
    <row r="1615" spans="24:25" x14ac:dyDescent="0.25">
      <c r="X1615" s="10"/>
      <c r="Y1615" s="10"/>
    </row>
    <row r="1616" spans="24:25" x14ac:dyDescent="0.25">
      <c r="X1616" s="10"/>
      <c r="Y1616" s="10"/>
    </row>
    <row r="1617" spans="24:25" x14ac:dyDescent="0.25">
      <c r="X1617" s="10"/>
      <c r="Y1617" s="10"/>
    </row>
    <row r="1618" spans="24:25" x14ac:dyDescent="0.25">
      <c r="X1618" s="10"/>
      <c r="Y1618" s="10"/>
    </row>
    <row r="1619" spans="24:25" x14ac:dyDescent="0.25">
      <c r="X1619" s="10"/>
      <c r="Y1619" s="10"/>
    </row>
    <row r="1620" spans="24:25" x14ac:dyDescent="0.25">
      <c r="X1620" s="10"/>
      <c r="Y1620" s="10"/>
    </row>
    <row r="1621" spans="24:25" x14ac:dyDescent="0.25">
      <c r="X1621" s="10"/>
      <c r="Y1621" s="10"/>
    </row>
    <row r="1622" spans="24:25" x14ac:dyDescent="0.25">
      <c r="X1622" s="10"/>
      <c r="Y1622" s="10"/>
    </row>
    <row r="1623" spans="24:25" x14ac:dyDescent="0.25">
      <c r="X1623" s="10"/>
      <c r="Y1623" s="10"/>
    </row>
    <row r="1624" spans="24:25" x14ac:dyDescent="0.25">
      <c r="X1624" s="10"/>
      <c r="Y1624" s="10"/>
    </row>
    <row r="1625" spans="24:25" x14ac:dyDescent="0.25">
      <c r="X1625" s="10"/>
      <c r="Y1625" s="10"/>
    </row>
    <row r="1626" spans="24:25" x14ac:dyDescent="0.25">
      <c r="X1626" s="10"/>
      <c r="Y1626" s="10"/>
    </row>
    <row r="1627" spans="24:25" x14ac:dyDescent="0.25">
      <c r="X1627" s="10"/>
      <c r="Y1627" s="10"/>
    </row>
    <row r="1628" spans="24:25" x14ac:dyDescent="0.25">
      <c r="X1628" s="10"/>
      <c r="Y1628" s="10"/>
    </row>
    <row r="1629" spans="24:25" x14ac:dyDescent="0.25">
      <c r="X1629" s="10"/>
      <c r="Y1629" s="10"/>
    </row>
    <row r="1630" spans="24:25" x14ac:dyDescent="0.25">
      <c r="X1630" s="10"/>
      <c r="Y1630" s="10"/>
    </row>
    <row r="1631" spans="24:25" x14ac:dyDescent="0.25">
      <c r="X1631" s="10"/>
      <c r="Y1631" s="10"/>
    </row>
    <row r="1632" spans="24:25" x14ac:dyDescent="0.25">
      <c r="X1632" s="10"/>
      <c r="Y1632" s="10"/>
    </row>
    <row r="1633" spans="24:25" x14ac:dyDescent="0.25">
      <c r="X1633" s="10"/>
      <c r="Y1633" s="10"/>
    </row>
    <row r="1634" spans="24:25" x14ac:dyDescent="0.25">
      <c r="X1634" s="10"/>
      <c r="Y1634" s="10"/>
    </row>
    <row r="1635" spans="24:25" x14ac:dyDescent="0.25">
      <c r="X1635" s="10"/>
      <c r="Y1635" s="10"/>
    </row>
    <row r="1636" spans="24:25" x14ac:dyDescent="0.25">
      <c r="X1636" s="10"/>
      <c r="Y1636" s="10"/>
    </row>
    <row r="1637" spans="24:25" x14ac:dyDescent="0.25">
      <c r="X1637" s="10"/>
      <c r="Y1637" s="10"/>
    </row>
    <row r="1638" spans="24:25" x14ac:dyDescent="0.25">
      <c r="X1638" s="10"/>
      <c r="Y1638" s="10"/>
    </row>
    <row r="1639" spans="24:25" x14ac:dyDescent="0.25">
      <c r="X1639" s="10"/>
      <c r="Y1639" s="10"/>
    </row>
    <row r="1640" spans="24:25" x14ac:dyDescent="0.25">
      <c r="X1640" s="10"/>
      <c r="Y1640" s="10"/>
    </row>
    <row r="1641" spans="24:25" x14ac:dyDescent="0.25">
      <c r="X1641" s="10"/>
      <c r="Y1641" s="10"/>
    </row>
    <row r="1642" spans="24:25" x14ac:dyDescent="0.25">
      <c r="X1642" s="10"/>
      <c r="Y1642" s="10"/>
    </row>
    <row r="1643" spans="24:25" x14ac:dyDescent="0.25">
      <c r="X1643" s="10"/>
      <c r="Y1643" s="10"/>
    </row>
    <row r="1644" spans="24:25" x14ac:dyDescent="0.25">
      <c r="X1644" s="10"/>
      <c r="Y1644" s="10"/>
    </row>
    <row r="1645" spans="24:25" x14ac:dyDescent="0.25">
      <c r="X1645" s="10"/>
      <c r="Y1645" s="10"/>
    </row>
    <row r="1646" spans="24:25" x14ac:dyDescent="0.25">
      <c r="X1646" s="10"/>
      <c r="Y1646" s="10"/>
    </row>
    <row r="1647" spans="24:25" x14ac:dyDescent="0.25">
      <c r="X1647" s="10"/>
      <c r="Y1647" s="10"/>
    </row>
    <row r="1648" spans="24:25" x14ac:dyDescent="0.25">
      <c r="X1648" s="10"/>
      <c r="Y1648" s="10"/>
    </row>
    <row r="1649" spans="24:25" x14ac:dyDescent="0.25">
      <c r="X1649" s="10"/>
      <c r="Y1649" s="10"/>
    </row>
    <row r="1650" spans="24:25" x14ac:dyDescent="0.25">
      <c r="X1650" s="10"/>
      <c r="Y1650" s="10"/>
    </row>
    <row r="1651" spans="24:25" x14ac:dyDescent="0.25">
      <c r="X1651" s="10"/>
      <c r="Y1651" s="10"/>
    </row>
    <row r="1652" spans="24:25" x14ac:dyDescent="0.25">
      <c r="X1652" s="10"/>
      <c r="Y1652" s="10"/>
    </row>
    <row r="1653" spans="24:25" x14ac:dyDescent="0.25">
      <c r="X1653" s="10"/>
      <c r="Y1653" s="10"/>
    </row>
    <row r="1654" spans="24:25" x14ac:dyDescent="0.25">
      <c r="X1654" s="10"/>
      <c r="Y1654" s="10"/>
    </row>
    <row r="1655" spans="24:25" x14ac:dyDescent="0.25">
      <c r="X1655" s="10"/>
      <c r="Y1655" s="10"/>
    </row>
    <row r="1656" spans="24:25" x14ac:dyDescent="0.25">
      <c r="X1656" s="10"/>
      <c r="Y1656" s="10"/>
    </row>
    <row r="1657" spans="24:25" x14ac:dyDescent="0.25">
      <c r="X1657" s="10"/>
      <c r="Y1657" s="10"/>
    </row>
    <row r="1658" spans="24:25" x14ac:dyDescent="0.25">
      <c r="X1658" s="10"/>
      <c r="Y1658" s="10"/>
    </row>
    <row r="1659" spans="24:25" x14ac:dyDescent="0.25">
      <c r="X1659" s="10"/>
      <c r="Y1659" s="10"/>
    </row>
    <row r="1660" spans="24:25" x14ac:dyDescent="0.25">
      <c r="X1660" s="10"/>
      <c r="Y1660" s="10"/>
    </row>
    <row r="1661" spans="24:25" x14ac:dyDescent="0.25">
      <c r="X1661" s="10"/>
      <c r="Y1661" s="10"/>
    </row>
    <row r="1662" spans="24:25" x14ac:dyDescent="0.25">
      <c r="X1662" s="10"/>
      <c r="Y1662" s="10"/>
    </row>
    <row r="1663" spans="24:25" x14ac:dyDescent="0.25">
      <c r="X1663" s="10"/>
      <c r="Y1663" s="10"/>
    </row>
    <row r="1664" spans="24:25" x14ac:dyDescent="0.25">
      <c r="X1664" s="10"/>
      <c r="Y1664" s="10"/>
    </row>
    <row r="1665" spans="24:25" x14ac:dyDescent="0.25">
      <c r="X1665" s="10"/>
      <c r="Y1665" s="10"/>
    </row>
    <row r="1666" spans="24:25" x14ac:dyDescent="0.25">
      <c r="X1666" s="10"/>
      <c r="Y1666" s="10"/>
    </row>
    <row r="1667" spans="24:25" x14ac:dyDescent="0.25">
      <c r="X1667" s="10"/>
      <c r="Y1667" s="10"/>
    </row>
    <row r="1668" spans="24:25" x14ac:dyDescent="0.25">
      <c r="X1668" s="10"/>
      <c r="Y1668" s="10"/>
    </row>
    <row r="1669" spans="24:25" x14ac:dyDescent="0.25">
      <c r="X1669" s="10"/>
      <c r="Y1669" s="10"/>
    </row>
    <row r="1670" spans="24:25" x14ac:dyDescent="0.25">
      <c r="X1670" s="10"/>
      <c r="Y1670" s="10"/>
    </row>
    <row r="1671" spans="24:25" x14ac:dyDescent="0.25">
      <c r="X1671" s="10"/>
      <c r="Y1671" s="10"/>
    </row>
    <row r="1672" spans="24:25" x14ac:dyDescent="0.25">
      <c r="X1672" s="10"/>
      <c r="Y1672" s="10"/>
    </row>
    <row r="1673" spans="24:25" x14ac:dyDescent="0.25">
      <c r="X1673" s="10"/>
      <c r="Y1673" s="10"/>
    </row>
    <row r="1674" spans="24:25" x14ac:dyDescent="0.25">
      <c r="X1674" s="10"/>
      <c r="Y1674" s="10"/>
    </row>
    <row r="1675" spans="24:25" x14ac:dyDescent="0.25">
      <c r="X1675" s="10"/>
      <c r="Y1675" s="10"/>
    </row>
    <row r="1676" spans="24:25" x14ac:dyDescent="0.25">
      <c r="X1676" s="10"/>
      <c r="Y1676" s="10"/>
    </row>
    <row r="1677" spans="24:25" x14ac:dyDescent="0.25">
      <c r="X1677" s="10"/>
      <c r="Y1677" s="10"/>
    </row>
    <row r="1678" spans="24:25" x14ac:dyDescent="0.25">
      <c r="X1678" s="10"/>
      <c r="Y1678" s="10"/>
    </row>
    <row r="1679" spans="24:25" x14ac:dyDescent="0.25">
      <c r="X1679" s="10"/>
      <c r="Y1679" s="10"/>
    </row>
    <row r="1680" spans="24:25" x14ac:dyDescent="0.25">
      <c r="X1680" s="10"/>
      <c r="Y1680" s="10"/>
    </row>
    <row r="1681" spans="24:25" x14ac:dyDescent="0.25">
      <c r="X1681" s="10"/>
      <c r="Y1681" s="10"/>
    </row>
    <row r="1682" spans="24:25" x14ac:dyDescent="0.25">
      <c r="X1682" s="10"/>
      <c r="Y1682" s="10"/>
    </row>
    <row r="1683" spans="24:25" x14ac:dyDescent="0.25">
      <c r="X1683" s="10"/>
      <c r="Y1683" s="10"/>
    </row>
    <row r="1684" spans="24:25" x14ac:dyDescent="0.25">
      <c r="X1684" s="10"/>
      <c r="Y1684" s="10"/>
    </row>
    <row r="1685" spans="24:25" x14ac:dyDescent="0.25">
      <c r="X1685" s="10"/>
      <c r="Y1685" s="10"/>
    </row>
    <row r="1686" spans="24:25" x14ac:dyDescent="0.25">
      <c r="X1686" s="10"/>
      <c r="Y1686" s="10"/>
    </row>
    <row r="1687" spans="24:25" x14ac:dyDescent="0.25">
      <c r="X1687" s="10"/>
      <c r="Y1687" s="10"/>
    </row>
    <row r="1688" spans="24:25" x14ac:dyDescent="0.25">
      <c r="X1688" s="10"/>
      <c r="Y1688" s="10"/>
    </row>
    <row r="1689" spans="24:25" x14ac:dyDescent="0.25">
      <c r="X1689" s="10"/>
      <c r="Y1689" s="10"/>
    </row>
    <row r="1690" spans="24:25" x14ac:dyDescent="0.25">
      <c r="X1690" s="10"/>
      <c r="Y1690" s="10"/>
    </row>
    <row r="1691" spans="24:25" x14ac:dyDescent="0.25">
      <c r="X1691" s="10"/>
      <c r="Y1691" s="10"/>
    </row>
    <row r="1692" spans="24:25" x14ac:dyDescent="0.25">
      <c r="X1692" s="10"/>
      <c r="Y1692" s="10"/>
    </row>
    <row r="1693" spans="24:25" x14ac:dyDescent="0.25">
      <c r="X1693" s="10"/>
      <c r="Y1693" s="10"/>
    </row>
    <row r="1694" spans="24:25" x14ac:dyDescent="0.25">
      <c r="X1694" s="10"/>
      <c r="Y1694" s="10"/>
    </row>
    <row r="1695" spans="24:25" x14ac:dyDescent="0.25">
      <c r="X1695" s="10"/>
      <c r="Y1695" s="10"/>
    </row>
    <row r="1696" spans="24:25" x14ac:dyDescent="0.25">
      <c r="X1696" s="10"/>
      <c r="Y1696" s="10"/>
    </row>
    <row r="1697" spans="24:25" x14ac:dyDescent="0.25">
      <c r="X1697" s="10"/>
      <c r="Y1697" s="10"/>
    </row>
    <row r="1698" spans="24:25" x14ac:dyDescent="0.25">
      <c r="X1698" s="10"/>
      <c r="Y1698" s="10"/>
    </row>
    <row r="1699" spans="24:25" x14ac:dyDescent="0.25">
      <c r="X1699" s="10"/>
      <c r="Y1699" s="10"/>
    </row>
    <row r="1700" spans="24:25" x14ac:dyDescent="0.25">
      <c r="X1700" s="10"/>
      <c r="Y1700" s="10"/>
    </row>
    <row r="1701" spans="24:25" x14ac:dyDescent="0.25">
      <c r="X1701" s="10"/>
      <c r="Y1701" s="10"/>
    </row>
    <row r="1702" spans="24:25" x14ac:dyDescent="0.25">
      <c r="X1702" s="10"/>
      <c r="Y1702" s="10"/>
    </row>
    <row r="1703" spans="24:25" x14ac:dyDescent="0.25">
      <c r="X1703" s="10"/>
      <c r="Y1703" s="10"/>
    </row>
    <row r="1704" spans="24:25" x14ac:dyDescent="0.25">
      <c r="X1704" s="10"/>
      <c r="Y1704" s="10"/>
    </row>
    <row r="1705" spans="24:25" x14ac:dyDescent="0.25">
      <c r="X1705" s="10"/>
      <c r="Y1705" s="10"/>
    </row>
    <row r="1706" spans="24:25" x14ac:dyDescent="0.25">
      <c r="X1706" s="10"/>
      <c r="Y1706" s="10"/>
    </row>
    <row r="1707" spans="24:25" x14ac:dyDescent="0.25">
      <c r="X1707" s="10"/>
      <c r="Y1707" s="10"/>
    </row>
    <row r="1708" spans="24:25" x14ac:dyDescent="0.25">
      <c r="X1708" s="10"/>
      <c r="Y1708" s="10"/>
    </row>
    <row r="1709" spans="24:25" x14ac:dyDescent="0.25">
      <c r="X1709" s="10"/>
      <c r="Y1709" s="10"/>
    </row>
    <row r="1710" spans="24:25" x14ac:dyDescent="0.25">
      <c r="X1710" s="10"/>
      <c r="Y1710" s="10"/>
    </row>
    <row r="1711" spans="24:25" x14ac:dyDescent="0.25">
      <c r="X1711" s="10"/>
      <c r="Y1711" s="10"/>
    </row>
    <row r="1712" spans="24:25" x14ac:dyDescent="0.25">
      <c r="X1712" s="10"/>
      <c r="Y1712" s="10"/>
    </row>
    <row r="1713" spans="24:25" x14ac:dyDescent="0.25">
      <c r="X1713" s="10"/>
      <c r="Y1713" s="10"/>
    </row>
    <row r="1714" spans="24:25" x14ac:dyDescent="0.25">
      <c r="X1714" s="10"/>
      <c r="Y1714" s="10"/>
    </row>
    <row r="1715" spans="24:25" x14ac:dyDescent="0.25">
      <c r="X1715" s="10"/>
      <c r="Y1715" s="10"/>
    </row>
    <row r="1716" spans="24:25" x14ac:dyDescent="0.25">
      <c r="X1716" s="10"/>
      <c r="Y1716" s="10"/>
    </row>
    <row r="1717" spans="24:25" x14ac:dyDescent="0.25">
      <c r="X1717" s="10"/>
      <c r="Y1717" s="10"/>
    </row>
    <row r="1718" spans="24:25" x14ac:dyDescent="0.25">
      <c r="X1718" s="10"/>
      <c r="Y1718" s="10"/>
    </row>
    <row r="1719" spans="24:25" x14ac:dyDescent="0.25">
      <c r="X1719" s="10"/>
      <c r="Y1719" s="10"/>
    </row>
    <row r="1720" spans="24:25" x14ac:dyDescent="0.25">
      <c r="X1720" s="10"/>
      <c r="Y1720" s="10"/>
    </row>
    <row r="1721" spans="24:25" x14ac:dyDescent="0.25">
      <c r="X1721" s="10"/>
      <c r="Y1721" s="10"/>
    </row>
    <row r="1722" spans="24:25" x14ac:dyDescent="0.25">
      <c r="X1722" s="10"/>
      <c r="Y1722" s="10"/>
    </row>
    <row r="1723" spans="24:25" x14ac:dyDescent="0.25">
      <c r="X1723" s="10"/>
      <c r="Y1723" s="10"/>
    </row>
    <row r="1724" spans="24:25" x14ac:dyDescent="0.25">
      <c r="X1724" s="10"/>
      <c r="Y1724" s="10"/>
    </row>
    <row r="1725" spans="24:25" x14ac:dyDescent="0.25">
      <c r="X1725" s="10"/>
      <c r="Y1725" s="10"/>
    </row>
    <row r="1726" spans="24:25" x14ac:dyDescent="0.25">
      <c r="X1726" s="10"/>
      <c r="Y1726" s="10"/>
    </row>
    <row r="1727" spans="24:25" x14ac:dyDescent="0.25">
      <c r="X1727" s="10"/>
      <c r="Y1727" s="10"/>
    </row>
    <row r="1728" spans="24:25" x14ac:dyDescent="0.25">
      <c r="X1728" s="10"/>
      <c r="Y1728" s="10"/>
    </row>
    <row r="1729" spans="24:25" x14ac:dyDescent="0.25">
      <c r="X1729" s="10"/>
      <c r="Y1729" s="10"/>
    </row>
    <row r="1730" spans="24:25" x14ac:dyDescent="0.25">
      <c r="X1730" s="10"/>
      <c r="Y1730" s="10"/>
    </row>
    <row r="1731" spans="24:25" x14ac:dyDescent="0.25">
      <c r="X1731" s="10"/>
      <c r="Y1731" s="10"/>
    </row>
    <row r="1732" spans="24:25" x14ac:dyDescent="0.25">
      <c r="X1732" s="10"/>
      <c r="Y1732" s="10"/>
    </row>
    <row r="1733" spans="24:25" x14ac:dyDescent="0.25">
      <c r="X1733" s="10"/>
      <c r="Y1733" s="10"/>
    </row>
    <row r="1734" spans="24:25" x14ac:dyDescent="0.25">
      <c r="X1734" s="10"/>
      <c r="Y1734" s="10"/>
    </row>
    <row r="1735" spans="24:25" x14ac:dyDescent="0.25">
      <c r="X1735" s="10"/>
      <c r="Y1735" s="10"/>
    </row>
    <row r="1736" spans="24:25" x14ac:dyDescent="0.25">
      <c r="X1736" s="10"/>
      <c r="Y1736" s="10"/>
    </row>
    <row r="1737" spans="24:25" x14ac:dyDescent="0.25">
      <c r="X1737" s="10"/>
      <c r="Y1737" s="10"/>
    </row>
    <row r="1738" spans="24:25" x14ac:dyDescent="0.25">
      <c r="X1738" s="10"/>
      <c r="Y1738" s="10"/>
    </row>
    <row r="1739" spans="24:25" x14ac:dyDescent="0.25">
      <c r="X1739" s="10"/>
      <c r="Y1739" s="10"/>
    </row>
    <row r="1740" spans="24:25" x14ac:dyDescent="0.25">
      <c r="X1740" s="10"/>
      <c r="Y1740" s="10"/>
    </row>
    <row r="1741" spans="24:25" x14ac:dyDescent="0.25">
      <c r="X1741" s="10"/>
      <c r="Y1741" s="10"/>
    </row>
    <row r="1742" spans="24:25" x14ac:dyDescent="0.25">
      <c r="X1742" s="10"/>
      <c r="Y1742" s="10"/>
    </row>
    <row r="1743" spans="24:25" x14ac:dyDescent="0.25">
      <c r="X1743" s="10"/>
      <c r="Y1743" s="10"/>
    </row>
    <row r="1744" spans="24:25" x14ac:dyDescent="0.25">
      <c r="X1744" s="10"/>
      <c r="Y1744" s="10"/>
    </row>
    <row r="1745" spans="24:25" x14ac:dyDescent="0.25">
      <c r="X1745" s="10"/>
      <c r="Y1745" s="10"/>
    </row>
    <row r="1746" spans="24:25" x14ac:dyDescent="0.25">
      <c r="X1746" s="10"/>
      <c r="Y1746" s="10"/>
    </row>
    <row r="1747" spans="24:25" x14ac:dyDescent="0.25">
      <c r="X1747" s="10"/>
      <c r="Y1747" s="10"/>
    </row>
    <row r="1748" spans="24:25" x14ac:dyDescent="0.25">
      <c r="X1748" s="10"/>
      <c r="Y1748" s="10"/>
    </row>
    <row r="1749" spans="24:25" x14ac:dyDescent="0.25">
      <c r="X1749" s="10"/>
      <c r="Y1749" s="10"/>
    </row>
    <row r="1750" spans="24:25" x14ac:dyDescent="0.25">
      <c r="X1750" s="10"/>
      <c r="Y1750" s="10"/>
    </row>
    <row r="1751" spans="24:25" x14ac:dyDescent="0.25">
      <c r="X1751" s="10"/>
      <c r="Y1751" s="10"/>
    </row>
    <row r="1752" spans="24:25" x14ac:dyDescent="0.25">
      <c r="X1752" s="10"/>
      <c r="Y1752" s="10"/>
    </row>
    <row r="1753" spans="24:25" x14ac:dyDescent="0.25">
      <c r="X1753" s="10"/>
      <c r="Y1753" s="10"/>
    </row>
    <row r="1754" spans="24:25" x14ac:dyDescent="0.25">
      <c r="X1754" s="10"/>
      <c r="Y1754" s="10"/>
    </row>
    <row r="1755" spans="24:25" x14ac:dyDescent="0.25">
      <c r="X1755" s="10"/>
      <c r="Y1755" s="10"/>
    </row>
    <row r="1756" spans="24:25" x14ac:dyDescent="0.25">
      <c r="X1756" s="10"/>
      <c r="Y1756" s="10"/>
    </row>
    <row r="1757" spans="24:25" x14ac:dyDescent="0.25">
      <c r="X1757" s="10"/>
      <c r="Y1757" s="10"/>
    </row>
    <row r="1758" spans="24:25" x14ac:dyDescent="0.25">
      <c r="X1758" s="10"/>
      <c r="Y1758" s="10"/>
    </row>
    <row r="1759" spans="24:25" x14ac:dyDescent="0.25">
      <c r="X1759" s="10"/>
      <c r="Y1759" s="10"/>
    </row>
    <row r="1760" spans="24:25" x14ac:dyDescent="0.25">
      <c r="X1760" s="10"/>
      <c r="Y1760" s="10"/>
    </row>
    <row r="1761" spans="24:25" x14ac:dyDescent="0.25">
      <c r="X1761" s="10"/>
      <c r="Y1761" s="10"/>
    </row>
    <row r="1762" spans="24:25" x14ac:dyDescent="0.25">
      <c r="X1762" s="10"/>
      <c r="Y1762" s="10"/>
    </row>
    <row r="1763" spans="24:25" x14ac:dyDescent="0.25">
      <c r="X1763" s="10"/>
      <c r="Y1763" s="10"/>
    </row>
    <row r="1764" spans="24:25" x14ac:dyDescent="0.25">
      <c r="X1764" s="10"/>
      <c r="Y1764" s="10"/>
    </row>
    <row r="1765" spans="24:25" x14ac:dyDescent="0.25">
      <c r="X1765" s="10"/>
      <c r="Y1765" s="10"/>
    </row>
    <row r="1766" spans="24:25" x14ac:dyDescent="0.25">
      <c r="X1766" s="10"/>
      <c r="Y1766" s="10"/>
    </row>
    <row r="1767" spans="24:25" x14ac:dyDescent="0.25">
      <c r="X1767" s="10"/>
      <c r="Y1767" s="10"/>
    </row>
    <row r="1768" spans="24:25" x14ac:dyDescent="0.25">
      <c r="X1768" s="10"/>
      <c r="Y1768" s="10"/>
    </row>
    <row r="1769" spans="24:25" x14ac:dyDescent="0.25">
      <c r="X1769" s="10"/>
      <c r="Y1769" s="10"/>
    </row>
    <row r="1770" spans="24:25" x14ac:dyDescent="0.25">
      <c r="X1770" s="10"/>
      <c r="Y1770" s="10"/>
    </row>
    <row r="1771" spans="24:25" x14ac:dyDescent="0.25">
      <c r="X1771" s="10"/>
      <c r="Y1771" s="10"/>
    </row>
    <row r="1772" spans="24:25" x14ac:dyDescent="0.25">
      <c r="X1772" s="10"/>
      <c r="Y1772" s="10"/>
    </row>
    <row r="1773" spans="24:25" x14ac:dyDescent="0.25">
      <c r="X1773" s="10"/>
      <c r="Y1773" s="10"/>
    </row>
    <row r="1774" spans="24:25" x14ac:dyDescent="0.25">
      <c r="X1774" s="10"/>
      <c r="Y1774" s="10"/>
    </row>
    <row r="1775" spans="24:25" x14ac:dyDescent="0.25">
      <c r="X1775" s="10"/>
      <c r="Y1775" s="10"/>
    </row>
    <row r="1776" spans="24:25" x14ac:dyDescent="0.25">
      <c r="X1776" s="10"/>
      <c r="Y1776" s="10"/>
    </row>
    <row r="1777" spans="24:25" x14ac:dyDescent="0.25">
      <c r="X1777" s="10"/>
      <c r="Y1777" s="10"/>
    </row>
    <row r="1778" spans="24:25" x14ac:dyDescent="0.25">
      <c r="X1778" s="10"/>
      <c r="Y1778" s="10"/>
    </row>
    <row r="1779" spans="24:25" x14ac:dyDescent="0.25">
      <c r="X1779" s="10"/>
      <c r="Y1779" s="10"/>
    </row>
    <row r="1780" spans="24:25" x14ac:dyDescent="0.25">
      <c r="X1780" s="10"/>
      <c r="Y1780" s="10"/>
    </row>
    <row r="1781" spans="24:25" x14ac:dyDescent="0.25">
      <c r="X1781" s="10"/>
      <c r="Y1781" s="10"/>
    </row>
    <row r="1782" spans="24:25" x14ac:dyDescent="0.25">
      <c r="X1782" s="10"/>
      <c r="Y1782" s="10"/>
    </row>
    <row r="1783" spans="24:25" x14ac:dyDescent="0.25">
      <c r="X1783" s="10"/>
      <c r="Y1783" s="10"/>
    </row>
    <row r="1784" spans="24:25" x14ac:dyDescent="0.25">
      <c r="X1784" s="10"/>
      <c r="Y1784" s="10"/>
    </row>
    <row r="1785" spans="24:25" x14ac:dyDescent="0.25">
      <c r="X1785" s="10"/>
      <c r="Y1785" s="10"/>
    </row>
    <row r="1786" spans="24:25" x14ac:dyDescent="0.25">
      <c r="X1786" s="10"/>
      <c r="Y1786" s="10"/>
    </row>
    <row r="1787" spans="24:25" x14ac:dyDescent="0.25">
      <c r="X1787" s="10"/>
      <c r="Y1787" s="10"/>
    </row>
    <row r="1788" spans="24:25" x14ac:dyDescent="0.25">
      <c r="X1788" s="10"/>
      <c r="Y1788" s="10"/>
    </row>
    <row r="1789" spans="24:25" x14ac:dyDescent="0.25">
      <c r="X1789" s="10"/>
      <c r="Y1789" s="10"/>
    </row>
    <row r="1790" spans="24:25" x14ac:dyDescent="0.25">
      <c r="X1790" s="10"/>
      <c r="Y1790" s="10"/>
    </row>
    <row r="1791" spans="24:25" x14ac:dyDescent="0.25">
      <c r="X1791" s="10"/>
      <c r="Y1791" s="10"/>
    </row>
    <row r="1792" spans="24:25" x14ac:dyDescent="0.25">
      <c r="X1792" s="10"/>
      <c r="Y1792" s="10"/>
    </row>
    <row r="1793" spans="24:25" x14ac:dyDescent="0.25">
      <c r="X1793" s="10"/>
      <c r="Y1793" s="10"/>
    </row>
    <row r="1794" spans="24:25" x14ac:dyDescent="0.25">
      <c r="X1794" s="10"/>
      <c r="Y1794" s="10"/>
    </row>
    <row r="1795" spans="24:25" x14ac:dyDescent="0.25">
      <c r="X1795" s="10"/>
      <c r="Y1795" s="10"/>
    </row>
    <row r="1796" spans="24:25" x14ac:dyDescent="0.25">
      <c r="X1796" s="10"/>
      <c r="Y1796" s="10"/>
    </row>
    <row r="1797" spans="24:25" x14ac:dyDescent="0.25">
      <c r="X1797" s="10"/>
      <c r="Y1797" s="10"/>
    </row>
    <row r="1798" spans="24:25" x14ac:dyDescent="0.25">
      <c r="X1798" s="10"/>
      <c r="Y1798" s="10"/>
    </row>
    <row r="1799" spans="24:25" x14ac:dyDescent="0.25">
      <c r="X1799" s="10"/>
      <c r="Y1799" s="10"/>
    </row>
    <row r="1800" spans="24:25" x14ac:dyDescent="0.25">
      <c r="X1800" s="10"/>
      <c r="Y1800" s="10"/>
    </row>
    <row r="1801" spans="24:25" x14ac:dyDescent="0.25">
      <c r="X1801" s="10"/>
      <c r="Y1801" s="10"/>
    </row>
    <row r="1802" spans="24:25" x14ac:dyDescent="0.25">
      <c r="X1802" s="10"/>
      <c r="Y1802" s="10"/>
    </row>
    <row r="1803" spans="24:25" x14ac:dyDescent="0.25">
      <c r="X1803" s="10"/>
      <c r="Y1803" s="10"/>
    </row>
    <row r="1804" spans="24:25" x14ac:dyDescent="0.25">
      <c r="X1804" s="10"/>
      <c r="Y1804" s="10"/>
    </row>
    <row r="1805" spans="24:25" x14ac:dyDescent="0.25">
      <c r="X1805" s="10"/>
      <c r="Y1805" s="10"/>
    </row>
    <row r="1806" spans="24:25" x14ac:dyDescent="0.25">
      <c r="X1806" s="10"/>
      <c r="Y1806" s="10"/>
    </row>
    <row r="1807" spans="24:25" x14ac:dyDescent="0.25">
      <c r="X1807" s="10"/>
      <c r="Y1807" s="10"/>
    </row>
    <row r="1808" spans="24:25" x14ac:dyDescent="0.25">
      <c r="X1808" s="10"/>
      <c r="Y1808" s="10"/>
    </row>
    <row r="1809" spans="24:25" x14ac:dyDescent="0.25">
      <c r="X1809" s="10"/>
      <c r="Y1809" s="10"/>
    </row>
    <row r="1810" spans="24:25" x14ac:dyDescent="0.25">
      <c r="X1810" s="10"/>
      <c r="Y1810" s="10"/>
    </row>
    <row r="1811" spans="24:25" x14ac:dyDescent="0.25">
      <c r="X1811" s="10"/>
      <c r="Y1811" s="10"/>
    </row>
    <row r="1812" spans="24:25" x14ac:dyDescent="0.25">
      <c r="X1812" s="10"/>
      <c r="Y1812" s="10"/>
    </row>
    <row r="1813" spans="24:25" x14ac:dyDescent="0.25">
      <c r="X1813" s="10"/>
      <c r="Y1813" s="10"/>
    </row>
    <row r="1814" spans="24:25" x14ac:dyDescent="0.25">
      <c r="X1814" s="10"/>
      <c r="Y1814" s="10"/>
    </row>
    <row r="1815" spans="24:25" x14ac:dyDescent="0.25">
      <c r="X1815" s="10"/>
      <c r="Y1815" s="10"/>
    </row>
    <row r="1816" spans="24:25" x14ac:dyDescent="0.25">
      <c r="X1816" s="10"/>
      <c r="Y1816" s="10"/>
    </row>
    <row r="1817" spans="24:25" x14ac:dyDescent="0.25">
      <c r="X1817" s="10"/>
      <c r="Y1817" s="10"/>
    </row>
    <row r="1818" spans="24:25" x14ac:dyDescent="0.25">
      <c r="X1818" s="10"/>
      <c r="Y1818" s="10"/>
    </row>
    <row r="1819" spans="24:25" x14ac:dyDescent="0.25">
      <c r="X1819" s="10"/>
      <c r="Y1819" s="10"/>
    </row>
    <row r="1820" spans="24:25" x14ac:dyDescent="0.25">
      <c r="X1820" s="10"/>
      <c r="Y1820" s="10"/>
    </row>
    <row r="1821" spans="24:25" x14ac:dyDescent="0.25">
      <c r="X1821" s="10"/>
      <c r="Y1821" s="10"/>
    </row>
    <row r="1822" spans="24:25" x14ac:dyDescent="0.25">
      <c r="X1822" s="10"/>
      <c r="Y1822" s="10"/>
    </row>
    <row r="1823" spans="24:25" x14ac:dyDescent="0.25">
      <c r="X1823" s="10"/>
      <c r="Y1823" s="10"/>
    </row>
    <row r="1824" spans="24:25" x14ac:dyDescent="0.25">
      <c r="X1824" s="10"/>
      <c r="Y1824" s="10"/>
    </row>
    <row r="1825" spans="24:25" x14ac:dyDescent="0.25">
      <c r="X1825" s="10"/>
      <c r="Y1825" s="10"/>
    </row>
    <row r="1826" spans="24:25" x14ac:dyDescent="0.25">
      <c r="X1826" s="10"/>
      <c r="Y1826" s="10"/>
    </row>
    <row r="1827" spans="24:25" x14ac:dyDescent="0.25">
      <c r="X1827" s="10"/>
      <c r="Y1827" s="10"/>
    </row>
    <row r="1828" spans="24:25" x14ac:dyDescent="0.25">
      <c r="X1828" s="10"/>
      <c r="Y1828" s="10"/>
    </row>
    <row r="1829" spans="24:25" x14ac:dyDescent="0.25">
      <c r="X1829" s="10"/>
      <c r="Y1829" s="10"/>
    </row>
    <row r="1830" spans="24:25" x14ac:dyDescent="0.25">
      <c r="X1830" s="10"/>
      <c r="Y1830" s="10"/>
    </row>
    <row r="1831" spans="24:25" x14ac:dyDescent="0.25">
      <c r="X1831" s="10"/>
      <c r="Y1831" s="10"/>
    </row>
    <row r="1832" spans="24:25" x14ac:dyDescent="0.25">
      <c r="X1832" s="10"/>
      <c r="Y1832" s="10"/>
    </row>
    <row r="1833" spans="24:25" x14ac:dyDescent="0.25">
      <c r="X1833" s="10"/>
      <c r="Y1833" s="10"/>
    </row>
    <row r="1834" spans="24:25" x14ac:dyDescent="0.25">
      <c r="X1834" s="10"/>
      <c r="Y1834" s="10"/>
    </row>
    <row r="1835" spans="24:25" x14ac:dyDescent="0.25">
      <c r="X1835" s="10"/>
      <c r="Y1835" s="10"/>
    </row>
    <row r="1836" spans="24:25" x14ac:dyDescent="0.25">
      <c r="X1836" s="10"/>
      <c r="Y1836" s="10"/>
    </row>
    <row r="1837" spans="24:25" x14ac:dyDescent="0.25">
      <c r="X1837" s="10"/>
      <c r="Y1837" s="10"/>
    </row>
    <row r="1838" spans="24:25" x14ac:dyDescent="0.25">
      <c r="X1838" s="10"/>
      <c r="Y1838" s="10"/>
    </row>
    <row r="1839" spans="24:25" x14ac:dyDescent="0.25">
      <c r="X1839" s="10"/>
      <c r="Y1839" s="10"/>
    </row>
    <row r="1840" spans="24:25" x14ac:dyDescent="0.25">
      <c r="X1840" s="10"/>
      <c r="Y1840" s="10"/>
    </row>
    <row r="1841" spans="24:25" x14ac:dyDescent="0.25">
      <c r="X1841" s="10"/>
      <c r="Y1841" s="10"/>
    </row>
    <row r="1842" spans="24:25" x14ac:dyDescent="0.25">
      <c r="X1842" s="10"/>
      <c r="Y1842" s="10"/>
    </row>
    <row r="1843" spans="24:25" x14ac:dyDescent="0.25">
      <c r="X1843" s="10"/>
      <c r="Y1843" s="10"/>
    </row>
    <row r="1844" spans="24:25" x14ac:dyDescent="0.25">
      <c r="X1844" s="10"/>
      <c r="Y1844" s="10"/>
    </row>
    <row r="1845" spans="24:25" x14ac:dyDescent="0.25">
      <c r="X1845" s="10"/>
      <c r="Y1845" s="10"/>
    </row>
    <row r="1846" spans="24:25" x14ac:dyDescent="0.25">
      <c r="X1846" s="10"/>
      <c r="Y1846" s="10"/>
    </row>
    <row r="1847" spans="24:25" x14ac:dyDescent="0.25">
      <c r="X1847" s="10"/>
      <c r="Y1847" s="10"/>
    </row>
    <row r="1848" spans="24:25" x14ac:dyDescent="0.25">
      <c r="X1848" s="10"/>
      <c r="Y1848" s="10"/>
    </row>
    <row r="1849" spans="24:25" x14ac:dyDescent="0.25">
      <c r="X1849" s="10"/>
      <c r="Y1849" s="10"/>
    </row>
    <row r="1850" spans="24:25" x14ac:dyDescent="0.25">
      <c r="X1850" s="10"/>
      <c r="Y1850" s="10"/>
    </row>
    <row r="1851" spans="24:25" x14ac:dyDescent="0.25">
      <c r="X1851" s="10"/>
      <c r="Y1851" s="10"/>
    </row>
    <row r="1852" spans="24:25" x14ac:dyDescent="0.25">
      <c r="X1852" s="10"/>
      <c r="Y1852" s="10"/>
    </row>
    <row r="1853" spans="24:25" x14ac:dyDescent="0.25">
      <c r="X1853" s="10"/>
      <c r="Y1853" s="10"/>
    </row>
    <row r="1854" spans="24:25" x14ac:dyDescent="0.25">
      <c r="X1854" s="10"/>
      <c r="Y1854" s="10"/>
    </row>
    <row r="1855" spans="24:25" x14ac:dyDescent="0.25">
      <c r="X1855" s="10"/>
      <c r="Y1855" s="10"/>
    </row>
    <row r="1856" spans="24:25" x14ac:dyDescent="0.25">
      <c r="X1856" s="10"/>
      <c r="Y1856" s="10"/>
    </row>
    <row r="1857" spans="24:25" x14ac:dyDescent="0.25">
      <c r="X1857" s="10"/>
      <c r="Y1857" s="10"/>
    </row>
    <row r="1858" spans="24:25" x14ac:dyDescent="0.25">
      <c r="X1858" s="10"/>
      <c r="Y1858" s="10"/>
    </row>
    <row r="1859" spans="24:25" x14ac:dyDescent="0.25">
      <c r="X1859" s="10"/>
      <c r="Y1859" s="10"/>
    </row>
    <row r="1860" spans="24:25" x14ac:dyDescent="0.25">
      <c r="X1860" s="10"/>
      <c r="Y1860" s="10"/>
    </row>
    <row r="1861" spans="24:25" x14ac:dyDescent="0.25">
      <c r="X1861" s="10"/>
      <c r="Y1861" s="10"/>
    </row>
    <row r="1862" spans="24:25" x14ac:dyDescent="0.25">
      <c r="X1862" s="10"/>
      <c r="Y1862" s="10"/>
    </row>
    <row r="1863" spans="24:25" x14ac:dyDescent="0.25">
      <c r="X1863" s="10"/>
      <c r="Y1863" s="10"/>
    </row>
    <row r="1864" spans="24:25" x14ac:dyDescent="0.25">
      <c r="X1864" s="10"/>
      <c r="Y1864" s="10"/>
    </row>
    <row r="1865" spans="24:25" x14ac:dyDescent="0.25">
      <c r="X1865" s="10"/>
      <c r="Y1865" s="10"/>
    </row>
    <row r="1866" spans="24:25" x14ac:dyDescent="0.25">
      <c r="X1866" s="10"/>
      <c r="Y1866" s="10"/>
    </row>
    <row r="1867" spans="24:25" x14ac:dyDescent="0.25">
      <c r="X1867" s="10"/>
      <c r="Y1867" s="10"/>
    </row>
    <row r="1868" spans="24:25" x14ac:dyDescent="0.25">
      <c r="X1868" s="10"/>
      <c r="Y1868" s="10"/>
    </row>
    <row r="1869" spans="24:25" x14ac:dyDescent="0.25">
      <c r="X1869" s="10"/>
      <c r="Y1869" s="10"/>
    </row>
    <row r="1870" spans="24:25" x14ac:dyDescent="0.25">
      <c r="X1870" s="10"/>
      <c r="Y1870" s="10"/>
    </row>
    <row r="1871" spans="24:25" x14ac:dyDescent="0.25">
      <c r="X1871" s="10"/>
      <c r="Y1871" s="10"/>
    </row>
    <row r="1872" spans="24:25" x14ac:dyDescent="0.25">
      <c r="X1872" s="10"/>
      <c r="Y1872" s="10"/>
    </row>
    <row r="1873" spans="24:25" x14ac:dyDescent="0.25">
      <c r="X1873" s="10"/>
      <c r="Y1873" s="10"/>
    </row>
    <row r="1874" spans="24:25" x14ac:dyDescent="0.25">
      <c r="X1874" s="10"/>
      <c r="Y1874" s="10"/>
    </row>
    <row r="1875" spans="24:25" x14ac:dyDescent="0.25">
      <c r="X1875" s="10"/>
      <c r="Y1875" s="10"/>
    </row>
    <row r="1876" spans="24:25" x14ac:dyDescent="0.25">
      <c r="X1876" s="10"/>
      <c r="Y1876" s="10"/>
    </row>
    <row r="1877" spans="24:25" x14ac:dyDescent="0.25">
      <c r="X1877" s="10"/>
      <c r="Y1877" s="10"/>
    </row>
    <row r="1878" spans="24:25" x14ac:dyDescent="0.25">
      <c r="X1878" s="10"/>
      <c r="Y1878" s="10"/>
    </row>
    <row r="1879" spans="24:25" x14ac:dyDescent="0.25">
      <c r="X1879" s="10"/>
      <c r="Y1879" s="10"/>
    </row>
    <row r="1880" spans="24:25" x14ac:dyDescent="0.25">
      <c r="X1880" s="10"/>
      <c r="Y1880" s="10"/>
    </row>
    <row r="1881" spans="24:25" x14ac:dyDescent="0.25">
      <c r="X1881" s="10"/>
      <c r="Y1881" s="10"/>
    </row>
    <row r="1882" spans="24:25" x14ac:dyDescent="0.25">
      <c r="X1882" s="10"/>
      <c r="Y1882" s="10"/>
    </row>
    <row r="1883" spans="24:25" x14ac:dyDescent="0.25">
      <c r="X1883" s="10"/>
      <c r="Y1883" s="10"/>
    </row>
    <row r="1884" spans="24:25" x14ac:dyDescent="0.25">
      <c r="X1884" s="10"/>
      <c r="Y1884" s="10"/>
    </row>
    <row r="1885" spans="24:25" x14ac:dyDescent="0.25">
      <c r="X1885" s="10"/>
      <c r="Y1885" s="10"/>
    </row>
    <row r="1886" spans="24:25" x14ac:dyDescent="0.25">
      <c r="X1886" s="10"/>
      <c r="Y1886" s="10"/>
    </row>
    <row r="1887" spans="24:25" x14ac:dyDescent="0.25">
      <c r="X1887" s="10"/>
      <c r="Y1887" s="10"/>
    </row>
    <row r="1888" spans="24:25" x14ac:dyDescent="0.25">
      <c r="X1888" s="10"/>
      <c r="Y1888" s="10"/>
    </row>
    <row r="1889" spans="24:25" x14ac:dyDescent="0.25">
      <c r="X1889" s="10"/>
      <c r="Y1889" s="10"/>
    </row>
    <row r="1890" spans="24:25" x14ac:dyDescent="0.25">
      <c r="X1890" s="10"/>
      <c r="Y1890" s="10"/>
    </row>
    <row r="1891" spans="24:25" x14ac:dyDescent="0.25">
      <c r="X1891" s="10"/>
      <c r="Y1891" s="10"/>
    </row>
    <row r="1892" spans="24:25" x14ac:dyDescent="0.25">
      <c r="X1892" s="10"/>
      <c r="Y1892" s="10"/>
    </row>
    <row r="1893" spans="24:25" x14ac:dyDescent="0.25">
      <c r="X1893" s="10"/>
      <c r="Y1893" s="10"/>
    </row>
    <row r="1894" spans="24:25" x14ac:dyDescent="0.25">
      <c r="X1894" s="10"/>
      <c r="Y1894" s="10"/>
    </row>
    <row r="1895" spans="24:25" x14ac:dyDescent="0.25">
      <c r="X1895" s="10"/>
      <c r="Y1895" s="10"/>
    </row>
    <row r="1896" spans="24:25" x14ac:dyDescent="0.25">
      <c r="X1896" s="10"/>
      <c r="Y1896" s="10"/>
    </row>
    <row r="1897" spans="24:25" x14ac:dyDescent="0.25">
      <c r="X1897" s="10"/>
      <c r="Y1897" s="10"/>
    </row>
    <row r="1898" spans="24:25" x14ac:dyDescent="0.25">
      <c r="X1898" s="10"/>
      <c r="Y1898" s="10"/>
    </row>
    <row r="1899" spans="24:25" x14ac:dyDescent="0.25">
      <c r="X1899" s="10"/>
      <c r="Y1899" s="10"/>
    </row>
    <row r="1900" spans="24:25" x14ac:dyDescent="0.25">
      <c r="X1900" s="10"/>
      <c r="Y1900" s="10"/>
    </row>
    <row r="1901" spans="24:25" x14ac:dyDescent="0.25">
      <c r="X1901" s="10"/>
      <c r="Y1901" s="10"/>
    </row>
    <row r="1902" spans="24:25" x14ac:dyDescent="0.25">
      <c r="X1902" s="10"/>
      <c r="Y1902" s="10"/>
    </row>
    <row r="1903" spans="24:25" x14ac:dyDescent="0.25">
      <c r="X1903" s="10"/>
      <c r="Y1903" s="10"/>
    </row>
    <row r="1904" spans="24:25" x14ac:dyDescent="0.25">
      <c r="X1904" s="10"/>
      <c r="Y1904" s="10"/>
    </row>
    <row r="1905" spans="24:25" x14ac:dyDescent="0.25">
      <c r="X1905" s="10"/>
      <c r="Y1905" s="10"/>
    </row>
    <row r="1906" spans="24:25" x14ac:dyDescent="0.25">
      <c r="X1906" s="10"/>
      <c r="Y1906" s="10"/>
    </row>
    <row r="1907" spans="24:25" x14ac:dyDescent="0.25">
      <c r="X1907" s="10"/>
      <c r="Y1907" s="10"/>
    </row>
    <row r="1908" spans="24:25" x14ac:dyDescent="0.25">
      <c r="X1908" s="10"/>
      <c r="Y1908" s="10"/>
    </row>
    <row r="1909" spans="24:25" x14ac:dyDescent="0.25">
      <c r="X1909" s="10"/>
      <c r="Y1909" s="10"/>
    </row>
    <row r="1910" spans="24:25" x14ac:dyDescent="0.25">
      <c r="X1910" s="10"/>
      <c r="Y1910" s="10"/>
    </row>
    <row r="1911" spans="24:25" x14ac:dyDescent="0.25">
      <c r="X1911" s="10"/>
      <c r="Y1911" s="10"/>
    </row>
    <row r="1912" spans="24:25" x14ac:dyDescent="0.25">
      <c r="X1912" s="10"/>
      <c r="Y1912" s="10"/>
    </row>
    <row r="1913" spans="24:25" x14ac:dyDescent="0.25">
      <c r="X1913" s="10"/>
      <c r="Y1913" s="10"/>
    </row>
    <row r="1914" spans="24:25" x14ac:dyDescent="0.25">
      <c r="X1914" s="10"/>
      <c r="Y1914" s="10"/>
    </row>
    <row r="1915" spans="24:25" x14ac:dyDescent="0.25">
      <c r="X1915" s="10"/>
      <c r="Y1915" s="10"/>
    </row>
    <row r="1916" spans="24:25" x14ac:dyDescent="0.25">
      <c r="X1916" s="10"/>
      <c r="Y1916" s="10"/>
    </row>
    <row r="1917" spans="24:25" x14ac:dyDescent="0.25">
      <c r="X1917" s="10"/>
      <c r="Y1917" s="10"/>
    </row>
    <row r="1918" spans="24:25" x14ac:dyDescent="0.25">
      <c r="X1918" s="10"/>
      <c r="Y1918" s="10"/>
    </row>
    <row r="1919" spans="24:25" x14ac:dyDescent="0.25">
      <c r="X1919" s="10"/>
      <c r="Y1919" s="10"/>
    </row>
    <row r="1920" spans="24:25" x14ac:dyDescent="0.25">
      <c r="X1920" s="10"/>
      <c r="Y1920" s="10"/>
    </row>
    <row r="1921" spans="24:25" x14ac:dyDescent="0.25">
      <c r="X1921" s="10"/>
      <c r="Y1921" s="10"/>
    </row>
    <row r="1922" spans="24:25" x14ac:dyDescent="0.25">
      <c r="X1922" s="10"/>
      <c r="Y1922" s="10"/>
    </row>
    <row r="1923" spans="24:25" x14ac:dyDescent="0.25">
      <c r="X1923" s="10"/>
      <c r="Y1923" s="10"/>
    </row>
    <row r="1924" spans="24:25" x14ac:dyDescent="0.25">
      <c r="X1924" s="10"/>
      <c r="Y1924" s="10"/>
    </row>
    <row r="1925" spans="24:25" x14ac:dyDescent="0.25">
      <c r="X1925" s="10"/>
      <c r="Y1925" s="10"/>
    </row>
    <row r="1926" spans="24:25" x14ac:dyDescent="0.25">
      <c r="X1926" s="10"/>
      <c r="Y1926" s="10"/>
    </row>
    <row r="1927" spans="24:25" x14ac:dyDescent="0.25">
      <c r="X1927" s="10"/>
      <c r="Y1927" s="10"/>
    </row>
    <row r="1928" spans="24:25" x14ac:dyDescent="0.25">
      <c r="X1928" s="10"/>
      <c r="Y1928" s="10"/>
    </row>
    <row r="1929" spans="24:25" x14ac:dyDescent="0.25">
      <c r="X1929" s="10"/>
      <c r="Y1929" s="10"/>
    </row>
    <row r="1930" spans="24:25" x14ac:dyDescent="0.25">
      <c r="X1930" s="10"/>
      <c r="Y1930" s="10"/>
    </row>
    <row r="1931" spans="24:25" x14ac:dyDescent="0.25">
      <c r="X1931" s="10"/>
      <c r="Y1931" s="10"/>
    </row>
    <row r="1932" spans="24:25" x14ac:dyDescent="0.25">
      <c r="X1932" s="10"/>
      <c r="Y1932" s="10"/>
    </row>
    <row r="1933" spans="24:25" x14ac:dyDescent="0.25">
      <c r="X1933" s="10"/>
      <c r="Y1933" s="10"/>
    </row>
    <row r="1934" spans="24:25" x14ac:dyDescent="0.25">
      <c r="X1934" s="10"/>
      <c r="Y1934" s="10"/>
    </row>
    <row r="1935" spans="24:25" x14ac:dyDescent="0.25">
      <c r="X1935" s="10"/>
      <c r="Y1935" s="10"/>
    </row>
    <row r="1936" spans="24:25" x14ac:dyDescent="0.25">
      <c r="X1936" s="10"/>
      <c r="Y1936" s="10"/>
    </row>
    <row r="1937" spans="24:25" x14ac:dyDescent="0.25">
      <c r="X1937" s="10"/>
      <c r="Y1937" s="10"/>
    </row>
    <row r="1938" spans="24:25" x14ac:dyDescent="0.25">
      <c r="X1938" s="10"/>
      <c r="Y1938" s="10"/>
    </row>
    <row r="1939" spans="24:25" x14ac:dyDescent="0.25">
      <c r="X1939" s="10"/>
      <c r="Y1939" s="10"/>
    </row>
    <row r="1940" spans="24:25" x14ac:dyDescent="0.25">
      <c r="X1940" s="10"/>
      <c r="Y1940" s="10"/>
    </row>
    <row r="1941" spans="24:25" x14ac:dyDescent="0.25">
      <c r="X1941" s="10"/>
      <c r="Y1941" s="10"/>
    </row>
    <row r="1942" spans="24:25" x14ac:dyDescent="0.25">
      <c r="X1942" s="10"/>
      <c r="Y1942" s="10"/>
    </row>
    <row r="1943" spans="24:25" x14ac:dyDescent="0.25">
      <c r="X1943" s="10"/>
      <c r="Y1943" s="10"/>
    </row>
    <row r="1944" spans="24:25" x14ac:dyDescent="0.25">
      <c r="X1944" s="10"/>
      <c r="Y1944" s="10"/>
    </row>
    <row r="1945" spans="24:25" x14ac:dyDescent="0.25">
      <c r="X1945" s="10"/>
      <c r="Y1945" s="10"/>
    </row>
    <row r="1946" spans="24:25" x14ac:dyDescent="0.25">
      <c r="X1946" s="10"/>
      <c r="Y1946" s="10"/>
    </row>
    <row r="1947" spans="24:25" x14ac:dyDescent="0.25">
      <c r="X1947" s="10"/>
      <c r="Y1947" s="10"/>
    </row>
    <row r="1948" spans="24:25" x14ac:dyDescent="0.25">
      <c r="X1948" s="10"/>
      <c r="Y1948" s="10"/>
    </row>
    <row r="1949" spans="24:25" x14ac:dyDescent="0.25">
      <c r="X1949" s="10"/>
      <c r="Y1949" s="10"/>
    </row>
    <row r="1950" spans="24:25" x14ac:dyDescent="0.25">
      <c r="X1950" s="10"/>
      <c r="Y1950" s="10"/>
    </row>
    <row r="1951" spans="24:25" x14ac:dyDescent="0.25">
      <c r="X1951" s="10"/>
      <c r="Y1951" s="10"/>
    </row>
    <row r="1952" spans="24:25" x14ac:dyDescent="0.25">
      <c r="X1952" s="10"/>
      <c r="Y1952" s="10"/>
    </row>
    <row r="1953" spans="24:25" x14ac:dyDescent="0.25">
      <c r="X1953" s="10"/>
      <c r="Y1953" s="10"/>
    </row>
    <row r="1954" spans="24:25" x14ac:dyDescent="0.25">
      <c r="X1954" s="10"/>
      <c r="Y1954" s="10"/>
    </row>
    <row r="1955" spans="24:25" x14ac:dyDescent="0.25">
      <c r="X1955" s="10"/>
      <c r="Y1955" s="10"/>
    </row>
    <row r="1956" spans="24:25" x14ac:dyDescent="0.25">
      <c r="X1956" s="10"/>
      <c r="Y1956" s="10"/>
    </row>
    <row r="1957" spans="24:25" x14ac:dyDescent="0.25">
      <c r="X1957" s="10"/>
      <c r="Y1957" s="10"/>
    </row>
    <row r="1958" spans="24:25" x14ac:dyDescent="0.25">
      <c r="X1958" s="10"/>
      <c r="Y1958" s="10"/>
    </row>
    <row r="1959" spans="24:25" x14ac:dyDescent="0.25">
      <c r="X1959" s="10"/>
      <c r="Y1959" s="10"/>
    </row>
    <row r="1960" spans="24:25" x14ac:dyDescent="0.25">
      <c r="X1960" s="10"/>
      <c r="Y1960" s="10"/>
    </row>
    <row r="1961" spans="24:25" x14ac:dyDescent="0.25">
      <c r="X1961" s="10"/>
      <c r="Y1961" s="10"/>
    </row>
    <row r="1962" spans="24:25" x14ac:dyDescent="0.25">
      <c r="X1962" s="10"/>
      <c r="Y1962" s="10"/>
    </row>
    <row r="1963" spans="24:25" x14ac:dyDescent="0.25">
      <c r="X1963" s="10"/>
      <c r="Y1963" s="10"/>
    </row>
    <row r="1964" spans="24:25" x14ac:dyDescent="0.25">
      <c r="X1964" s="10"/>
      <c r="Y1964" s="10"/>
    </row>
    <row r="1965" spans="24:25" x14ac:dyDescent="0.25">
      <c r="X1965" s="10"/>
      <c r="Y1965" s="10"/>
    </row>
    <row r="1966" spans="24:25" x14ac:dyDescent="0.25">
      <c r="X1966" s="10"/>
      <c r="Y1966" s="10"/>
    </row>
    <row r="1967" spans="24:25" x14ac:dyDescent="0.25">
      <c r="X1967" s="10"/>
      <c r="Y1967" s="10"/>
    </row>
    <row r="1968" spans="24:25" x14ac:dyDescent="0.25">
      <c r="X1968" s="10"/>
      <c r="Y1968" s="10"/>
    </row>
    <row r="1969" spans="24:25" x14ac:dyDescent="0.25">
      <c r="X1969" s="10"/>
      <c r="Y1969" s="10"/>
    </row>
    <row r="1970" spans="24:25" x14ac:dyDescent="0.25">
      <c r="X1970" s="10"/>
      <c r="Y1970" s="10"/>
    </row>
    <row r="1971" spans="24:25" x14ac:dyDescent="0.25">
      <c r="X1971" s="10"/>
      <c r="Y1971" s="10"/>
    </row>
    <row r="1972" spans="24:25" x14ac:dyDescent="0.25">
      <c r="X1972" s="10"/>
      <c r="Y1972" s="10"/>
    </row>
    <row r="1973" spans="24:25" x14ac:dyDescent="0.25">
      <c r="X1973" s="10"/>
      <c r="Y1973" s="10"/>
    </row>
    <row r="1974" spans="24:25" x14ac:dyDescent="0.25">
      <c r="X1974" s="10"/>
      <c r="Y1974" s="10"/>
    </row>
    <row r="1975" spans="24:25" x14ac:dyDescent="0.25">
      <c r="X1975" s="10"/>
      <c r="Y1975" s="10"/>
    </row>
    <row r="1976" spans="24:25" x14ac:dyDescent="0.25">
      <c r="X1976" s="10"/>
      <c r="Y1976" s="10"/>
    </row>
    <row r="1977" spans="24:25" x14ac:dyDescent="0.25">
      <c r="X1977" s="10"/>
      <c r="Y1977" s="10"/>
    </row>
    <row r="1978" spans="24:25" x14ac:dyDescent="0.25">
      <c r="X1978" s="10"/>
      <c r="Y1978" s="10"/>
    </row>
    <row r="1979" spans="24:25" x14ac:dyDescent="0.25">
      <c r="X1979" s="10"/>
      <c r="Y1979" s="10"/>
    </row>
    <row r="1980" spans="24:25" x14ac:dyDescent="0.25">
      <c r="X1980" s="10"/>
      <c r="Y1980" s="10"/>
    </row>
    <row r="1981" spans="24:25" x14ac:dyDescent="0.25">
      <c r="X1981" s="10"/>
      <c r="Y1981" s="10"/>
    </row>
    <row r="1982" spans="24:25" x14ac:dyDescent="0.25">
      <c r="X1982" s="10"/>
      <c r="Y1982" s="10"/>
    </row>
    <row r="1983" spans="24:25" x14ac:dyDescent="0.25">
      <c r="X1983" s="10"/>
      <c r="Y1983" s="10"/>
    </row>
    <row r="1984" spans="24:25" x14ac:dyDescent="0.25">
      <c r="X1984" s="10"/>
      <c r="Y1984" s="10"/>
    </row>
    <row r="1985" spans="24:25" x14ac:dyDescent="0.25">
      <c r="X1985" s="10"/>
      <c r="Y1985" s="10"/>
    </row>
    <row r="1986" spans="24:25" x14ac:dyDescent="0.25">
      <c r="X1986" s="10"/>
      <c r="Y1986" s="10"/>
    </row>
    <row r="1987" spans="24:25" x14ac:dyDescent="0.25">
      <c r="X1987" s="10"/>
      <c r="Y1987" s="10"/>
    </row>
    <row r="1988" spans="24:25" x14ac:dyDescent="0.25">
      <c r="X1988" s="10"/>
      <c r="Y1988" s="10"/>
    </row>
    <row r="1989" spans="24:25" x14ac:dyDescent="0.25">
      <c r="X1989" s="10"/>
      <c r="Y1989" s="10"/>
    </row>
    <row r="1990" spans="24:25" x14ac:dyDescent="0.25">
      <c r="X1990" s="10"/>
      <c r="Y1990" s="10"/>
    </row>
    <row r="1991" spans="24:25" x14ac:dyDescent="0.25">
      <c r="X1991" s="10"/>
      <c r="Y1991" s="10"/>
    </row>
    <row r="1992" spans="24:25" x14ac:dyDescent="0.25">
      <c r="X1992" s="10"/>
      <c r="Y1992" s="10"/>
    </row>
    <row r="1993" spans="24:25" x14ac:dyDescent="0.25">
      <c r="X1993" s="10"/>
      <c r="Y1993" s="10"/>
    </row>
    <row r="1994" spans="24:25" x14ac:dyDescent="0.25">
      <c r="X1994" s="10"/>
      <c r="Y1994" s="10"/>
    </row>
    <row r="1995" spans="24:25" x14ac:dyDescent="0.25">
      <c r="X1995" s="10"/>
      <c r="Y1995" s="10"/>
    </row>
    <row r="1996" spans="24:25" x14ac:dyDescent="0.25">
      <c r="X1996" s="10"/>
      <c r="Y1996" s="10"/>
    </row>
    <row r="1997" spans="24:25" x14ac:dyDescent="0.25">
      <c r="X1997" s="10"/>
      <c r="Y1997" s="10"/>
    </row>
    <row r="1998" spans="24:25" x14ac:dyDescent="0.25">
      <c r="X1998" s="10"/>
      <c r="Y1998" s="10"/>
    </row>
    <row r="1999" spans="24:25" x14ac:dyDescent="0.25">
      <c r="X1999" s="10"/>
      <c r="Y1999" s="10"/>
    </row>
    <row r="2000" spans="24:25" x14ac:dyDescent="0.25">
      <c r="X2000" s="10"/>
      <c r="Y2000" s="10"/>
    </row>
  </sheetData>
  <conditionalFormatting sqref="A1:A3">
    <cfRule type="duplicateValues" dxfId="11" priority="2"/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6"/>
  <sheetViews>
    <sheetView showGridLines="0" showRowColHeaders="0" tabSelected="1" zoomScale="85" zoomScaleNormal="85" workbookViewId="0">
      <selection activeCell="K4" sqref="K4"/>
    </sheetView>
  </sheetViews>
  <sheetFormatPr defaultRowHeight="15" outlineLevelRow="1" outlineLevelCol="1" x14ac:dyDescent="0.25"/>
  <cols>
    <col min="1" max="1" width="49.7109375" customWidth="1"/>
    <col min="2" max="2" width="7.5703125" hidden="1" customWidth="1" outlineLevel="1"/>
    <col min="3" max="3" width="9.140625" style="8" hidden="1" customWidth="1" outlineLevel="1"/>
    <col min="4" max="7" width="9.140625" hidden="1" customWidth="1" outlineLevel="1"/>
    <col min="8" max="8" width="9.140625" collapsed="1"/>
    <col min="12" max="12" width="9.140625" hidden="1" customWidth="1"/>
    <col min="13" max="13" width="21.85546875" hidden="1" customWidth="1"/>
    <col min="14" max="14" width="32.85546875" hidden="1" customWidth="1"/>
    <col min="15" max="15" width="30.5703125" hidden="1" customWidth="1"/>
  </cols>
  <sheetData>
    <row r="1" spans="1:15" ht="19.5" x14ac:dyDescent="0.4">
      <c r="A1" s="31" t="s">
        <v>128</v>
      </c>
      <c r="L1" t="s">
        <v>1</v>
      </c>
      <c r="M1" t="s">
        <v>1</v>
      </c>
      <c r="N1" t="s">
        <v>128</v>
      </c>
      <c r="O1" t="s">
        <v>129</v>
      </c>
    </row>
    <row r="2" spans="1:15" ht="18.75" x14ac:dyDescent="0.3">
      <c r="A2" s="30" t="s">
        <v>101</v>
      </c>
      <c r="L2" t="s">
        <v>128</v>
      </c>
      <c r="M2" t="s">
        <v>23</v>
      </c>
      <c r="N2" t="s">
        <v>25</v>
      </c>
      <c r="O2" t="s">
        <v>24</v>
      </c>
    </row>
    <row r="3" spans="1:15" x14ac:dyDescent="0.25">
      <c r="L3" t="s">
        <v>129</v>
      </c>
      <c r="M3" t="s">
        <v>30</v>
      </c>
      <c r="N3" t="s">
        <v>32</v>
      </c>
      <c r="O3" t="s">
        <v>27</v>
      </c>
    </row>
    <row r="4" spans="1:15" x14ac:dyDescent="0.25">
      <c r="A4" s="28" t="s">
        <v>138</v>
      </c>
      <c r="B4" s="32"/>
      <c r="C4" s="33"/>
      <c r="D4" s="34"/>
      <c r="E4" s="34"/>
      <c r="F4" s="34"/>
      <c r="G4" s="35"/>
      <c r="H4" s="29">
        <f ca="1">COUNTIFS(INDIRECT("Table1["&amp;$A$1&amp;"]"),$A$2)</f>
        <v>24</v>
      </c>
      <c r="M4" t="s">
        <v>38</v>
      </c>
      <c r="N4" t="s">
        <v>37</v>
      </c>
      <c r="O4" t="s">
        <v>28</v>
      </c>
    </row>
    <row r="5" spans="1:15" x14ac:dyDescent="0.25">
      <c r="A5" s="28" t="s">
        <v>139</v>
      </c>
      <c r="B5" s="36"/>
      <c r="C5" s="33"/>
      <c r="D5" s="34"/>
      <c r="E5" s="34"/>
      <c r="F5" s="34"/>
      <c r="G5" s="35"/>
      <c r="H5" s="29">
        <f ca="1">COUNTIFS(INDIRECT("Table1["&amp;$A$1&amp;"]"),$A2,INDIRECT("Table1["&amp;A$5&amp;"]"),"&gt;"&amp;0)</f>
        <v>23</v>
      </c>
      <c r="M5" t="s">
        <v>53</v>
      </c>
      <c r="N5" t="s">
        <v>45</v>
      </c>
      <c r="O5" t="s">
        <v>29</v>
      </c>
    </row>
    <row r="6" spans="1:15" x14ac:dyDescent="0.25">
      <c r="A6" s="28" t="s">
        <v>140</v>
      </c>
      <c r="B6" s="32"/>
      <c r="C6" s="33"/>
      <c r="D6" s="34"/>
      <c r="E6" s="34"/>
      <c r="F6" s="34"/>
      <c r="G6" s="35"/>
      <c r="H6" s="29">
        <f ca="1">H11+H20+H26</f>
        <v>335</v>
      </c>
      <c r="J6" s="8"/>
      <c r="M6" t="s">
        <v>88</v>
      </c>
      <c r="N6" t="s">
        <v>55</v>
      </c>
      <c r="O6" t="s">
        <v>31</v>
      </c>
    </row>
    <row r="7" spans="1:15" x14ac:dyDescent="0.25">
      <c r="A7" s="8"/>
      <c r="H7" s="8"/>
      <c r="J7" s="8"/>
      <c r="M7" t="s">
        <v>99</v>
      </c>
      <c r="N7" t="s">
        <v>58</v>
      </c>
      <c r="O7" t="s">
        <v>33</v>
      </c>
    </row>
    <row r="8" spans="1:15" ht="15.75" thickBot="1" x14ac:dyDescent="0.3">
      <c r="A8" s="8"/>
      <c r="H8" s="8"/>
      <c r="J8" s="8"/>
      <c r="M8" t="s">
        <v>118</v>
      </c>
      <c r="N8" t="s">
        <v>60</v>
      </c>
      <c r="O8" t="s">
        <v>34</v>
      </c>
    </row>
    <row r="9" spans="1:15" ht="15.75" thickBot="1" x14ac:dyDescent="0.3">
      <c r="A9" s="12" t="s">
        <v>2</v>
      </c>
      <c r="J9" s="8"/>
      <c r="M9" t="s">
        <v>124</v>
      </c>
      <c r="N9" t="s">
        <v>67</v>
      </c>
      <c r="O9" t="s">
        <v>35</v>
      </c>
    </row>
    <row r="10" spans="1:15" x14ac:dyDescent="0.25">
      <c r="C10"/>
      <c r="J10" s="8"/>
      <c r="N10" t="s">
        <v>72</v>
      </c>
      <c r="O10" t="s">
        <v>36</v>
      </c>
    </row>
    <row r="11" spans="1:15" ht="15.75" thickBot="1" x14ac:dyDescent="0.3">
      <c r="A11" s="26" t="str">
        <f ca="1">"Factual Errors     " &amp;"("&amp;ROUND(($H$11/($H$5*SUM(B12:B18)))*100,0)&amp;"%)"</f>
        <v>Factual Errors     (14%)</v>
      </c>
      <c r="B11" s="26" t="s">
        <v>141</v>
      </c>
      <c r="C11" s="21">
        <v>0</v>
      </c>
      <c r="D11" s="21">
        <v>1</v>
      </c>
      <c r="E11" s="21">
        <v>2</v>
      </c>
      <c r="F11" s="21">
        <v>3</v>
      </c>
      <c r="G11" s="21">
        <v>4</v>
      </c>
      <c r="H11" s="22">
        <f ca="1">SUM(H12:H18)</f>
        <v>160</v>
      </c>
      <c r="J11" s="8"/>
      <c r="N11" t="s">
        <v>90</v>
      </c>
      <c r="O11" t="s">
        <v>39</v>
      </c>
    </row>
    <row r="12" spans="1:15" ht="15.75" outlineLevel="1" thickBot="1" x14ac:dyDescent="0.3">
      <c r="A12" s="13" t="s">
        <v>5</v>
      </c>
      <c r="B12" s="24">
        <v>10</v>
      </c>
      <c r="C12" s="18">
        <f t="shared" ref="C12:G18" ca="1" si="0">COUNTIFS(INDIRECT("Table1["&amp;$A$1&amp;"]"),$A$2,INDIRECT("Table1["&amp;$A12&amp;"]"),C$11)</f>
        <v>20</v>
      </c>
      <c r="D12" s="18">
        <f t="shared" ca="1" si="0"/>
        <v>3</v>
      </c>
      <c r="E12" s="18">
        <f t="shared" ca="1" si="0"/>
        <v>1</v>
      </c>
      <c r="F12" s="18">
        <f t="shared" ca="1" si="0"/>
        <v>0</v>
      </c>
      <c r="G12" s="18">
        <f t="shared" ca="1" si="0"/>
        <v>0</v>
      </c>
      <c r="H12" s="23">
        <f ca="1">SUM($D12:$G12)*$B12</f>
        <v>40</v>
      </c>
      <c r="N12" t="s">
        <v>92</v>
      </c>
      <c r="O12" t="s">
        <v>40</v>
      </c>
    </row>
    <row r="13" spans="1:15" ht="15.75" outlineLevel="1" thickBot="1" x14ac:dyDescent="0.3">
      <c r="A13" s="17" t="s">
        <v>6</v>
      </c>
      <c r="B13" s="24">
        <v>10</v>
      </c>
      <c r="C13" s="18">
        <f t="shared" ca="1" si="0"/>
        <v>18</v>
      </c>
      <c r="D13" s="18">
        <f t="shared" ca="1" si="0"/>
        <v>0</v>
      </c>
      <c r="E13" s="18">
        <f t="shared" ca="1" si="0"/>
        <v>6</v>
      </c>
      <c r="F13" s="18">
        <f t="shared" ca="1" si="0"/>
        <v>0</v>
      </c>
      <c r="G13" s="18">
        <f t="shared" ca="1" si="0"/>
        <v>0</v>
      </c>
      <c r="H13" s="23">
        <f t="shared" ref="H13:H18" ca="1" si="1">SUM($D13:$G13)*$B13</f>
        <v>60</v>
      </c>
      <c r="J13" s="8"/>
      <c r="N13" t="s">
        <v>101</v>
      </c>
      <c r="O13" t="s">
        <v>41</v>
      </c>
    </row>
    <row r="14" spans="1:15" ht="15.75" outlineLevel="1" thickBot="1" x14ac:dyDescent="0.3">
      <c r="A14" s="14" t="s">
        <v>7</v>
      </c>
      <c r="B14" s="24">
        <v>10</v>
      </c>
      <c r="C14" s="18">
        <f t="shared" ca="1" si="0"/>
        <v>20</v>
      </c>
      <c r="D14" s="18">
        <f t="shared" ca="1" si="0"/>
        <v>1</v>
      </c>
      <c r="E14" s="18">
        <f t="shared" ca="1" si="0"/>
        <v>3</v>
      </c>
      <c r="F14" s="18">
        <f t="shared" ca="1" si="0"/>
        <v>0</v>
      </c>
      <c r="G14" s="18">
        <f t="shared" ca="1" si="0"/>
        <v>0</v>
      </c>
      <c r="H14" s="23">
        <f t="shared" ca="1" si="1"/>
        <v>40</v>
      </c>
      <c r="J14" s="8"/>
      <c r="N14" t="s">
        <v>103</v>
      </c>
      <c r="O14" t="s">
        <v>42</v>
      </c>
    </row>
    <row r="15" spans="1:15" ht="15.75" outlineLevel="1" thickBot="1" x14ac:dyDescent="0.3">
      <c r="A15" s="14" t="s">
        <v>9</v>
      </c>
      <c r="B15" s="24">
        <v>5</v>
      </c>
      <c r="C15" s="18">
        <f t="shared" ca="1" si="0"/>
        <v>23</v>
      </c>
      <c r="D15" s="18">
        <f t="shared" ca="1" si="0"/>
        <v>1</v>
      </c>
      <c r="E15" s="18">
        <f t="shared" ca="1" si="0"/>
        <v>0</v>
      </c>
      <c r="F15" s="18">
        <f t="shared" ca="1" si="0"/>
        <v>0</v>
      </c>
      <c r="G15" s="18">
        <f t="shared" ca="1" si="0"/>
        <v>0</v>
      </c>
      <c r="H15" s="23">
        <f t="shared" ca="1" si="1"/>
        <v>5</v>
      </c>
      <c r="J15" s="8"/>
      <c r="N15" t="s">
        <v>105</v>
      </c>
      <c r="O15" t="s">
        <v>43</v>
      </c>
    </row>
    <row r="16" spans="1:15" ht="15.75" outlineLevel="1" thickBot="1" x14ac:dyDescent="0.3">
      <c r="A16" s="14" t="s">
        <v>10</v>
      </c>
      <c r="B16" s="24">
        <v>5</v>
      </c>
      <c r="C16" s="18">
        <f t="shared" ca="1" si="0"/>
        <v>23</v>
      </c>
      <c r="D16" s="18">
        <f t="shared" ca="1" si="0"/>
        <v>1</v>
      </c>
      <c r="E16" s="18">
        <f t="shared" ca="1" si="0"/>
        <v>0</v>
      </c>
      <c r="F16" s="18">
        <f t="shared" ca="1" si="0"/>
        <v>0</v>
      </c>
      <c r="G16" s="18">
        <f t="shared" ca="1" si="0"/>
        <v>0</v>
      </c>
      <c r="H16" s="23">
        <f t="shared" ca="1" si="1"/>
        <v>5</v>
      </c>
      <c r="J16" s="8"/>
      <c r="N16" t="s">
        <v>108</v>
      </c>
      <c r="O16" t="s">
        <v>44</v>
      </c>
    </row>
    <row r="17" spans="1:15" ht="15.75" outlineLevel="1" thickBot="1" x14ac:dyDescent="0.3">
      <c r="A17" s="19" t="s">
        <v>12</v>
      </c>
      <c r="B17" s="24">
        <v>5</v>
      </c>
      <c r="C17" s="18">
        <f t="shared" ca="1" si="0"/>
        <v>23</v>
      </c>
      <c r="D17" s="18">
        <f t="shared" ca="1" si="0"/>
        <v>0</v>
      </c>
      <c r="E17" s="18">
        <f t="shared" ca="1" si="0"/>
        <v>1</v>
      </c>
      <c r="F17" s="18">
        <f t="shared" ca="1" si="0"/>
        <v>0</v>
      </c>
      <c r="G17" s="18">
        <f t="shared" ca="1" si="0"/>
        <v>0</v>
      </c>
      <c r="H17" s="23">
        <f t="shared" ca="1" si="1"/>
        <v>5</v>
      </c>
      <c r="J17" s="8"/>
      <c r="N17" t="s">
        <v>121</v>
      </c>
      <c r="O17" t="s">
        <v>46</v>
      </c>
    </row>
    <row r="18" spans="1:15" ht="15.75" outlineLevel="1" thickBot="1" x14ac:dyDescent="0.3">
      <c r="A18" s="20" t="s">
        <v>13</v>
      </c>
      <c r="B18" s="24">
        <v>5</v>
      </c>
      <c r="C18" s="18">
        <f t="shared" ca="1" si="0"/>
        <v>23</v>
      </c>
      <c r="D18" s="18">
        <f t="shared" ca="1" si="0"/>
        <v>0</v>
      </c>
      <c r="E18" s="18">
        <f t="shared" ca="1" si="0"/>
        <v>1</v>
      </c>
      <c r="F18" s="18">
        <f t="shared" ca="1" si="0"/>
        <v>0</v>
      </c>
      <c r="G18" s="18">
        <f t="shared" ca="1" si="0"/>
        <v>0</v>
      </c>
      <c r="H18" s="23">
        <f t="shared" ca="1" si="1"/>
        <v>5</v>
      </c>
      <c r="J18" s="8"/>
      <c r="L18" s="39" t="s">
        <v>150</v>
      </c>
      <c r="O18" t="s">
        <v>47</v>
      </c>
    </row>
    <row r="19" spans="1:15" x14ac:dyDescent="0.25">
      <c r="J19" s="8"/>
      <c r="L19" s="38" t="s">
        <v>161</v>
      </c>
      <c r="O19" t="s">
        <v>48</v>
      </c>
    </row>
    <row r="20" spans="1:15" ht="15.75" thickBot="1" x14ac:dyDescent="0.3">
      <c r="A20" s="26" t="str">
        <f ca="1">"Incomplete Research    " &amp;"("&amp;ROUND(($H$20/($H$5*SUM(B21:B24)))*100,0)&amp;"%)"</f>
        <v>Incomplete Research    (14%)</v>
      </c>
      <c r="B20" s="26" t="s">
        <v>141</v>
      </c>
      <c r="C20" s="21">
        <v>0</v>
      </c>
      <c r="D20" s="21">
        <v>1</v>
      </c>
      <c r="E20" s="21">
        <v>2</v>
      </c>
      <c r="F20" s="21">
        <v>3</v>
      </c>
      <c r="G20" s="21">
        <v>4</v>
      </c>
      <c r="H20" s="22">
        <f ca="1">SUM(H21:H24)</f>
        <v>95</v>
      </c>
      <c r="J20" s="8"/>
      <c r="L20" s="38" t="s">
        <v>156</v>
      </c>
      <c r="M20" s="38" t="s">
        <v>151</v>
      </c>
      <c r="O20" t="s">
        <v>49</v>
      </c>
    </row>
    <row r="21" spans="1:15" ht="15.75" outlineLevel="1" thickBot="1" x14ac:dyDescent="0.3">
      <c r="A21" s="13" t="s">
        <v>3</v>
      </c>
      <c r="B21" s="24">
        <v>10</v>
      </c>
      <c r="C21" s="18">
        <f t="shared" ref="C21:G24" ca="1" si="2">COUNTIFS(INDIRECT("Table1["&amp;$A$1&amp;"]"),$A$2,INDIRECT("Table1["&amp;$A21&amp;"]"),C$20)</f>
        <v>21</v>
      </c>
      <c r="D21" s="18">
        <f t="shared" ca="1" si="2"/>
        <v>2</v>
      </c>
      <c r="E21" s="18">
        <f t="shared" ca="1" si="2"/>
        <v>0</v>
      </c>
      <c r="F21" s="18">
        <f t="shared" ca="1" si="2"/>
        <v>1</v>
      </c>
      <c r="G21" s="18">
        <f t="shared" ca="1" si="2"/>
        <v>0</v>
      </c>
      <c r="H21" s="23">
        <f ca="1">SUM($D21:$G21)*$B21</f>
        <v>30</v>
      </c>
      <c r="J21" s="8"/>
      <c r="L21" s="38" t="s">
        <v>157</v>
      </c>
      <c r="M21" s="38" t="s">
        <v>152</v>
      </c>
      <c r="O21" t="s">
        <v>50</v>
      </c>
    </row>
    <row r="22" spans="1:15" ht="15.75" outlineLevel="1" thickBot="1" x14ac:dyDescent="0.3">
      <c r="A22" s="14" t="s">
        <v>4</v>
      </c>
      <c r="B22" s="24">
        <v>5</v>
      </c>
      <c r="C22" s="18">
        <f t="shared" ca="1" si="2"/>
        <v>21</v>
      </c>
      <c r="D22" s="18">
        <f t="shared" ca="1" si="2"/>
        <v>1</v>
      </c>
      <c r="E22" s="18">
        <f t="shared" ca="1" si="2"/>
        <v>2</v>
      </c>
      <c r="F22" s="18">
        <f t="shared" ca="1" si="2"/>
        <v>0</v>
      </c>
      <c r="G22" s="18">
        <f t="shared" ca="1" si="2"/>
        <v>0</v>
      </c>
      <c r="H22" s="23">
        <f t="shared" ref="H22:H24" ca="1" si="3">SUM($D22:$G22)*$B22</f>
        <v>15</v>
      </c>
      <c r="J22" s="8"/>
      <c r="L22" s="38" t="s">
        <v>158</v>
      </c>
      <c r="M22" s="38" t="s">
        <v>153</v>
      </c>
      <c r="O22" t="s">
        <v>52</v>
      </c>
    </row>
    <row r="23" spans="1:15" ht="15.75" outlineLevel="1" thickBot="1" x14ac:dyDescent="0.3">
      <c r="A23" s="14" t="s">
        <v>11</v>
      </c>
      <c r="B23" s="24">
        <v>10</v>
      </c>
      <c r="C23" s="18">
        <f t="shared" ca="1" si="2"/>
        <v>19</v>
      </c>
      <c r="D23" s="18">
        <f t="shared" ca="1" si="2"/>
        <v>0</v>
      </c>
      <c r="E23" s="18">
        <f t="shared" ca="1" si="2"/>
        <v>5</v>
      </c>
      <c r="F23" s="18">
        <f t="shared" ca="1" si="2"/>
        <v>0</v>
      </c>
      <c r="G23" s="18">
        <f t="shared" ca="1" si="2"/>
        <v>0</v>
      </c>
      <c r="H23" s="23">
        <f t="shared" ca="1" si="3"/>
        <v>50</v>
      </c>
      <c r="J23" s="8"/>
      <c r="L23" s="38" t="s">
        <v>159</v>
      </c>
      <c r="M23" s="38" t="s">
        <v>154</v>
      </c>
      <c r="O23" t="s">
        <v>54</v>
      </c>
    </row>
    <row r="24" spans="1:15" ht="15.75" outlineLevel="1" thickBot="1" x14ac:dyDescent="0.3">
      <c r="A24" s="14" t="s">
        <v>16</v>
      </c>
      <c r="B24" s="24">
        <v>5</v>
      </c>
      <c r="C24" s="18">
        <f t="shared" ca="1" si="2"/>
        <v>0</v>
      </c>
      <c r="D24" s="18">
        <f t="shared" ca="1" si="2"/>
        <v>0</v>
      </c>
      <c r="E24" s="18">
        <f t="shared" ca="1" si="2"/>
        <v>0</v>
      </c>
      <c r="F24" s="18">
        <f t="shared" ca="1" si="2"/>
        <v>0</v>
      </c>
      <c r="G24" s="18">
        <f t="shared" ca="1" si="2"/>
        <v>0</v>
      </c>
      <c r="H24" s="23">
        <f t="shared" ca="1" si="3"/>
        <v>0</v>
      </c>
      <c r="J24" s="8"/>
      <c r="L24" s="38" t="s">
        <v>160</v>
      </c>
      <c r="M24" s="38" t="s">
        <v>155</v>
      </c>
      <c r="O24" t="s">
        <v>57</v>
      </c>
    </row>
    <row r="25" spans="1:15" x14ac:dyDescent="0.25">
      <c r="J25" s="8"/>
      <c r="O25" t="s">
        <v>59</v>
      </c>
    </row>
    <row r="26" spans="1:15" ht="15.75" thickBot="1" x14ac:dyDescent="0.3">
      <c r="A26" s="26" t="str">
        <f ca="1">"Validation / Grammer Error    " &amp;"("&amp;ROUND(($H$26/($H$5*SUM(B27:B29)))*100,0)&amp;"%)"</f>
        <v>Validation / Grammer Error    (17%)</v>
      </c>
      <c r="B26" s="26" t="s">
        <v>141</v>
      </c>
      <c r="C26" s="21">
        <v>0</v>
      </c>
      <c r="D26" s="21">
        <v>1</v>
      </c>
      <c r="E26" s="21">
        <v>2</v>
      </c>
      <c r="F26" s="21">
        <v>3</v>
      </c>
      <c r="G26" s="21">
        <v>4</v>
      </c>
      <c r="H26" s="22">
        <f ca="1">SUM(H27:H29)</f>
        <v>80</v>
      </c>
      <c r="J26" s="8"/>
      <c r="O26" t="s">
        <v>61</v>
      </c>
    </row>
    <row r="27" spans="1:15" ht="15.75" outlineLevel="1" thickBot="1" x14ac:dyDescent="0.3">
      <c r="A27" s="13" t="s">
        <v>8</v>
      </c>
      <c r="B27" s="24">
        <v>10</v>
      </c>
      <c r="C27" s="18">
        <f ca="1">COUNTIFS(INDIRECT("Table1["&amp;$A$1&amp;"]"),$A$2,INDIRECT("Table1["&amp;$A27&amp;"1]"),C$26)+COUNTIFS(INDIRECT("Table1["&amp;$A$1&amp;"]"),$A$2,INDIRECT("Table1["&amp;$A27&amp;"2]"),C$26)+COUNTIFS(INDIRECT("Table1["&amp;$A$1&amp;"]"),$A$2,INDIRECT("Table1["&amp;$A27&amp;"3]"),C$26)</f>
        <v>70</v>
      </c>
      <c r="D27" s="18">
        <f ca="1">COUNTIFS(INDIRECT("Table1["&amp;$A$1&amp;"]"),$A$2,INDIRECT("Table1["&amp;$A27&amp;"1]"),D$26)+COUNTIFS(INDIRECT("Table1["&amp;$A$1&amp;"]"),$A$2,INDIRECT("Table1["&amp;$A27&amp;"2]"),D$26)+COUNTIFS(INDIRECT("Table1["&amp;$A$1&amp;"]"),$A$2,INDIRECT("Table1["&amp;$A27&amp;"3]"),D$26)</f>
        <v>1</v>
      </c>
      <c r="E27" s="18">
        <f ca="1">COUNTIFS(INDIRECT("Table1["&amp;$A$1&amp;"]"),$A$2,INDIRECT("Table1["&amp;$A27&amp;"1]"),E$26)+COUNTIFS(INDIRECT("Table1["&amp;$A$1&amp;"]"),$A$2,INDIRECT("Table1["&amp;$A27&amp;"2]"),E$26)+COUNTIFS(INDIRECT("Table1["&amp;$A$1&amp;"]"),$A$2,INDIRECT("Table1["&amp;$A27&amp;"3]"),E$26)</f>
        <v>1</v>
      </c>
      <c r="F27" s="18">
        <f ca="1">COUNTIFS(INDIRECT("Table1["&amp;$A$1&amp;"]"),$A$2,INDIRECT("Table1["&amp;$A27&amp;"1]"),F$26)+COUNTIFS(INDIRECT("Table1["&amp;$A$1&amp;"]"),$A$2,INDIRECT("Table1["&amp;$A27&amp;"2]"),F$26)+COUNTIFS(INDIRECT("Table1["&amp;$A$1&amp;"]"),$A$2,INDIRECT("Table1["&amp;$A27&amp;"3]"),F$26)</f>
        <v>0</v>
      </c>
      <c r="G27" s="18">
        <f ca="1">COUNTIFS(INDIRECT("Table1["&amp;$A$1&amp;"]"),$A$2,INDIRECT("Table1["&amp;$A27&amp;"1]"),G$26)+COUNTIFS(INDIRECT("Table1["&amp;$A$1&amp;"]"),$A$2,INDIRECT("Table1["&amp;$A27&amp;"2]"),G$26)+COUNTIFS(INDIRECT("Table1["&amp;$A$1&amp;"]"),$A$2,INDIRECT("Table1["&amp;$A27&amp;"3]"),G$26)</f>
        <v>0</v>
      </c>
      <c r="H27" s="23">
        <f ca="1">SUM($D27:$G27)*$B27</f>
        <v>20</v>
      </c>
      <c r="J27" s="8"/>
      <c r="O27" t="s">
        <v>62</v>
      </c>
    </row>
    <row r="28" spans="1:15" ht="15.75" outlineLevel="1" thickBot="1" x14ac:dyDescent="0.3">
      <c r="A28" s="14" t="s">
        <v>14</v>
      </c>
      <c r="B28" s="24">
        <v>5</v>
      </c>
      <c r="C28" s="18">
        <f ca="1">COUNTIFS(INDIRECT("Table1["&amp;$A$1&amp;"]"),$A$2,INDIRECT("Table1["&amp;$A28&amp;"]"),C$26)</f>
        <v>12</v>
      </c>
      <c r="D28" s="18">
        <f ca="1">COUNTIFS(INDIRECT("Table1["&amp;$A$1&amp;"]"),$A$2,INDIRECT("Table1["&amp;$A28&amp;"]"),D$26)</f>
        <v>8</v>
      </c>
      <c r="E28" s="18">
        <f ca="1">COUNTIFS(INDIRECT("Table1["&amp;$A$1&amp;"]"),$A$2,INDIRECT("Table1["&amp;$A28&amp;"]"),E$26)</f>
        <v>4</v>
      </c>
      <c r="F28" s="18">
        <f ca="1">COUNTIFS(INDIRECT("Table1["&amp;$A$1&amp;"]"),$A$2,INDIRECT("Table1["&amp;$A28&amp;"]"),F$26)</f>
        <v>0</v>
      </c>
      <c r="G28" s="18">
        <f ca="1">COUNTIFS(INDIRECT("Table1["&amp;$A$1&amp;"]"),$A$2,INDIRECT("Table1["&amp;$A28&amp;"]"),G$26)</f>
        <v>0</v>
      </c>
      <c r="H28" s="23">
        <f t="shared" ref="H28:H29" ca="1" si="4">SUM($D28:$G28)*$B28</f>
        <v>60</v>
      </c>
      <c r="J28" s="8"/>
      <c r="O28" t="s">
        <v>63</v>
      </c>
    </row>
    <row r="29" spans="1:15" ht="15.75" outlineLevel="1" thickBot="1" x14ac:dyDescent="0.3">
      <c r="A29" s="14" t="s">
        <v>137</v>
      </c>
      <c r="B29" s="24">
        <v>5</v>
      </c>
      <c r="C29" s="18">
        <f ca="1">COUNTIFS(INDIRECT("Table1["&amp;$A$1&amp;"]"),$A$2,INDIRECT("Table1["&amp;$A29&amp;"1]"),C$26)+COUNTIFS(INDIRECT("Table1["&amp;$A$1&amp;"]"),$A$2,INDIRECT("Table1["&amp;$A29&amp;"2]"),C$26)+COUNTIFS(INDIRECT("Table1["&amp;$A$1&amp;"]"),$A$2,INDIRECT("Table1["&amp;$A29&amp;"3]"),C$26)+COUNTIFS(INDIRECT("Table1["&amp;$A$1&amp;"]"),$A$2,INDIRECT("Table1["&amp;$A29&amp;"4]"),C$26)</f>
        <v>96</v>
      </c>
      <c r="D29" s="18">
        <f ca="1">COUNTIFS(INDIRECT("Table1["&amp;$A$1&amp;"]"),$A$2,INDIRECT("Table1["&amp;$A29&amp;"1]"),D$26)+COUNTIFS(INDIRECT("Table1["&amp;$A$1&amp;"]"),$A$2,INDIRECT("Table1["&amp;$A29&amp;"2]"),D$26)+COUNTIFS(INDIRECT("Table1["&amp;$A$1&amp;"]"),$A$2,INDIRECT("Table1["&amp;$A29&amp;"3]"),D$26)+COUNTIFS(INDIRECT("Table1["&amp;$A$1&amp;"]"),$A$2,INDIRECT("Table1["&amp;$A29&amp;"4]"),D$26)</f>
        <v>0</v>
      </c>
      <c r="E29" s="18">
        <f ca="1">COUNTIFS(INDIRECT("Table1["&amp;$A$1&amp;"]"),$A$2,INDIRECT("Table1["&amp;$A29&amp;"1]"),E$26)+COUNTIFS(INDIRECT("Table1["&amp;$A$1&amp;"]"),$A$2,INDIRECT("Table1["&amp;$A29&amp;"2]"),E$26)+COUNTIFS(INDIRECT("Table1["&amp;$A$1&amp;"]"),$A$2,INDIRECT("Table1["&amp;$A29&amp;"3]"),E$26)+COUNTIFS(INDIRECT("Table1["&amp;$A$1&amp;"]"),$A$2,INDIRECT("Table1["&amp;$A29&amp;"4]"),E$26)</f>
        <v>0</v>
      </c>
      <c r="F29" s="18">
        <f ca="1">COUNTIFS(INDIRECT("Table1["&amp;$A$1&amp;"]"),$A$2,INDIRECT("Table1["&amp;$A29&amp;"1]"),F$26)+COUNTIFS(INDIRECT("Table1["&amp;$A$1&amp;"]"),$A$2,INDIRECT("Table1["&amp;$A29&amp;"2]"),F$26)+COUNTIFS(INDIRECT("Table1["&amp;$A$1&amp;"]"),$A$2,INDIRECT("Table1["&amp;$A29&amp;"3]"),F$26)+COUNTIFS(INDIRECT("Table1["&amp;$A$1&amp;"]"),$A$2,INDIRECT("Table1["&amp;$A29&amp;"4]"),F$26)</f>
        <v>0</v>
      </c>
      <c r="G29" s="18">
        <f ca="1">COUNTIFS(INDIRECT("Table1["&amp;$A$1&amp;"]"),$A$2,INDIRECT("Table1["&amp;$A29&amp;"1]"),G$26)+COUNTIFS(INDIRECT("Table1["&amp;$A$1&amp;"]"),$A$2,INDIRECT("Table1["&amp;$A29&amp;"2]"),G$26)+COUNTIFS(INDIRECT("Table1["&amp;$A$1&amp;"]"),$A$2,INDIRECT("Table1["&amp;$A29&amp;"3]"),G$26)+COUNTIFS(INDIRECT("Table1["&amp;$A$1&amp;"]"),$A$2,INDIRECT("Table1["&amp;$A29&amp;"4]"),G$26)</f>
        <v>0</v>
      </c>
      <c r="H29" s="23">
        <f t="shared" ca="1" si="4"/>
        <v>0</v>
      </c>
      <c r="J29" s="8"/>
      <c r="O29" t="s">
        <v>64</v>
      </c>
    </row>
    <row r="30" spans="1:15" x14ac:dyDescent="0.25">
      <c r="O30" t="s">
        <v>65</v>
      </c>
    </row>
    <row r="31" spans="1:15" x14ac:dyDescent="0.25">
      <c r="O31" t="s">
        <v>66</v>
      </c>
    </row>
    <row r="32" spans="1:15" x14ac:dyDescent="0.25">
      <c r="O32" t="s">
        <v>68</v>
      </c>
    </row>
    <row r="33" spans="3:15" x14ac:dyDescent="0.25">
      <c r="O33" t="s">
        <v>69</v>
      </c>
    </row>
    <row r="34" spans="3:15" x14ac:dyDescent="0.25">
      <c r="O34" t="s">
        <v>70</v>
      </c>
    </row>
    <row r="35" spans="3:15" x14ac:dyDescent="0.25">
      <c r="O35" t="s">
        <v>71</v>
      </c>
    </row>
    <row r="36" spans="3:15" x14ac:dyDescent="0.25">
      <c r="O36" t="s">
        <v>73</v>
      </c>
    </row>
    <row r="37" spans="3:15" x14ac:dyDescent="0.25">
      <c r="O37" t="s">
        <v>74</v>
      </c>
    </row>
    <row r="38" spans="3:15" x14ac:dyDescent="0.25">
      <c r="O38" t="s">
        <v>75</v>
      </c>
    </row>
    <row r="39" spans="3:15" x14ac:dyDescent="0.25">
      <c r="C39"/>
      <c r="O39" t="s">
        <v>76</v>
      </c>
    </row>
    <row r="40" spans="3:15" x14ac:dyDescent="0.25">
      <c r="C40"/>
      <c r="O40" t="s">
        <v>77</v>
      </c>
    </row>
    <row r="41" spans="3:15" x14ac:dyDescent="0.25">
      <c r="C41"/>
      <c r="O41" t="s">
        <v>78</v>
      </c>
    </row>
    <row r="42" spans="3:15" x14ac:dyDescent="0.25">
      <c r="C42"/>
      <c r="O42" t="s">
        <v>79</v>
      </c>
    </row>
    <row r="43" spans="3:15" x14ac:dyDescent="0.25">
      <c r="C43"/>
      <c r="O43" t="s">
        <v>80</v>
      </c>
    </row>
    <row r="44" spans="3:15" x14ac:dyDescent="0.25">
      <c r="C44"/>
      <c r="O44" t="s">
        <v>81</v>
      </c>
    </row>
    <row r="45" spans="3:15" x14ac:dyDescent="0.25">
      <c r="C45"/>
      <c r="O45" t="s">
        <v>82</v>
      </c>
    </row>
    <row r="46" spans="3:15" x14ac:dyDescent="0.25">
      <c r="C46"/>
      <c r="O46" t="s">
        <v>83</v>
      </c>
    </row>
    <row r="47" spans="3:15" x14ac:dyDescent="0.25">
      <c r="C47"/>
      <c r="O47" t="s">
        <v>84</v>
      </c>
    </row>
    <row r="48" spans="3:15" x14ac:dyDescent="0.25">
      <c r="C48"/>
      <c r="O48" t="s">
        <v>85</v>
      </c>
    </row>
    <row r="49" spans="3:15" x14ac:dyDescent="0.25">
      <c r="C49"/>
      <c r="O49" t="s">
        <v>86</v>
      </c>
    </row>
    <row r="50" spans="3:15" x14ac:dyDescent="0.25">
      <c r="C50"/>
      <c r="O50" t="s">
        <v>87</v>
      </c>
    </row>
    <row r="51" spans="3:15" x14ac:dyDescent="0.25">
      <c r="C51"/>
      <c r="O51" t="s">
        <v>89</v>
      </c>
    </row>
    <row r="52" spans="3:15" x14ac:dyDescent="0.25">
      <c r="C52"/>
      <c r="O52" t="s">
        <v>91</v>
      </c>
    </row>
    <row r="53" spans="3:15" x14ac:dyDescent="0.25">
      <c r="C53"/>
      <c r="O53" t="s">
        <v>93</v>
      </c>
    </row>
    <row r="54" spans="3:15" x14ac:dyDescent="0.25">
      <c r="C54"/>
      <c r="O54" t="s">
        <v>94</v>
      </c>
    </row>
    <row r="55" spans="3:15" x14ac:dyDescent="0.25">
      <c r="C55"/>
      <c r="O55" t="s">
        <v>95</v>
      </c>
    </row>
    <row r="56" spans="3:15" x14ac:dyDescent="0.25">
      <c r="C56"/>
      <c r="O56" t="s">
        <v>96</v>
      </c>
    </row>
    <row r="57" spans="3:15" x14ac:dyDescent="0.25">
      <c r="C57"/>
      <c r="O57" t="s">
        <v>97</v>
      </c>
    </row>
    <row r="58" spans="3:15" x14ac:dyDescent="0.25">
      <c r="C58"/>
      <c r="O58" t="s">
        <v>98</v>
      </c>
    </row>
    <row r="59" spans="3:15" x14ac:dyDescent="0.25">
      <c r="C59"/>
      <c r="O59" t="s">
        <v>100</v>
      </c>
    </row>
    <row r="60" spans="3:15" x14ac:dyDescent="0.25">
      <c r="C60"/>
      <c r="O60" t="s">
        <v>102</v>
      </c>
    </row>
    <row r="61" spans="3:15" x14ac:dyDescent="0.25">
      <c r="C61"/>
      <c r="O61" t="s">
        <v>104</v>
      </c>
    </row>
    <row r="62" spans="3:15" x14ac:dyDescent="0.25">
      <c r="O62" t="s">
        <v>106</v>
      </c>
    </row>
    <row r="63" spans="3:15" x14ac:dyDescent="0.25">
      <c r="O63" t="s">
        <v>107</v>
      </c>
    </row>
    <row r="64" spans="3:15" x14ac:dyDescent="0.25">
      <c r="O64" t="s">
        <v>109</v>
      </c>
    </row>
    <row r="65" spans="15:15" x14ac:dyDescent="0.25">
      <c r="O65" t="s">
        <v>110</v>
      </c>
    </row>
    <row r="66" spans="15:15" x14ac:dyDescent="0.25">
      <c r="O66" t="s">
        <v>111</v>
      </c>
    </row>
    <row r="67" spans="15:15" x14ac:dyDescent="0.25">
      <c r="O67" t="s">
        <v>112</v>
      </c>
    </row>
    <row r="68" spans="15:15" x14ac:dyDescent="0.25">
      <c r="O68" t="s">
        <v>113</v>
      </c>
    </row>
    <row r="69" spans="15:15" x14ac:dyDescent="0.25">
      <c r="O69" t="s">
        <v>114</v>
      </c>
    </row>
    <row r="70" spans="15:15" x14ac:dyDescent="0.25">
      <c r="O70" t="s">
        <v>115</v>
      </c>
    </row>
    <row r="71" spans="15:15" x14ac:dyDescent="0.25">
      <c r="O71" t="s">
        <v>116</v>
      </c>
    </row>
    <row r="72" spans="15:15" x14ac:dyDescent="0.25">
      <c r="O72" t="s">
        <v>119</v>
      </c>
    </row>
    <row r="73" spans="15:15" x14ac:dyDescent="0.25">
      <c r="O73" t="s">
        <v>120</v>
      </c>
    </row>
    <row r="74" spans="15:15" x14ac:dyDescent="0.25">
      <c r="O74" t="s">
        <v>122</v>
      </c>
    </row>
    <row r="75" spans="15:15" x14ac:dyDescent="0.25">
      <c r="O75" t="s">
        <v>123</v>
      </c>
    </row>
    <row r="76" spans="15:15" x14ac:dyDescent="0.25">
      <c r="O76" t="s">
        <v>126</v>
      </c>
    </row>
  </sheetData>
  <dataValidations count="2">
    <dataValidation type="list" allowBlank="1" showInputMessage="1" showErrorMessage="1" sqref="A1">
      <formula1>$L$1:$L$3</formula1>
    </dataValidation>
    <dataValidation type="list" allowBlank="1" showInputMessage="1" showErrorMessage="1" sqref="B2:B3 A2">
      <formula1>INDIRECT($A$1)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Audit</vt:lpstr>
      <vt:lpstr>Sheet2</vt:lpstr>
      <vt:lpstr>Summary</vt:lpstr>
      <vt:lpstr>Auditor</vt:lpstr>
      <vt:lpstr>QC_PublishedBy</vt:lpstr>
      <vt:lpstr>Updated_By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2018-09-24T11:34:22Z</dcterms:created>
  <dcterms:modified xsi:type="dcterms:W3CDTF">2018-11-11T09:59:14Z</dcterms:modified>
</cp:coreProperties>
</file>