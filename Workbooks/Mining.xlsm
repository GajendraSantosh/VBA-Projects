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19320" windowHeight="7770"/>
  </bookViews>
  <sheets>
    <sheet name="Main Data" sheetId="1" r:id="rId1"/>
    <sheet name="Summary" sheetId="2" r:id="rId2"/>
    <sheet name="Ref." sheetId="3" r:id="rId3"/>
    <sheet name="Temp." sheetId="4" r:id="rId4"/>
  </sheets>
  <definedNames>
    <definedName name="_xlnm._FilterDatabase" localSheetId="0" hidden="1">'Main Data'!$A$19:$Z$24</definedName>
    <definedName name="_xlnm._FilterDatabase" localSheetId="2" hidden="1">Ref.!$Q$4:$S$7395</definedName>
    <definedName name="_xlnm._FilterDatabase" localSheetId="3" hidden="1">Temp.!#REF!</definedName>
    <definedName name="Core">OFFSET(Ref.!$B$4,1,0,COUNTA(Ref.!$B$5:$B$100),1)</definedName>
    <definedName name="EP">OFFSET('Main Data'!$O$20,0,0,COUNTA('Main Data'!$O$20:$O$70982),1)</definedName>
    <definedName name="_xlnm.Extract" localSheetId="1">Summary!$H$20:$AG$20</definedName>
  </definedNames>
  <calcPr calcId="144525"/>
</workbook>
</file>

<file path=xl/calcChain.xml><?xml version="1.0" encoding="utf-8"?>
<calcChain xmlns="http://schemas.openxmlformats.org/spreadsheetml/2006/main">
  <c r="D6" i="2" l="1"/>
  <c r="D4" i="2"/>
  <c r="I6" i="2"/>
  <c r="J6" i="2"/>
  <c r="K6" i="2"/>
  <c r="L6" i="2"/>
  <c r="M6" i="2"/>
  <c r="N6" i="2"/>
  <c r="H6" i="2"/>
  <c r="I4" i="2"/>
  <c r="J4" i="2"/>
  <c r="K4" i="2"/>
  <c r="L4" i="2"/>
  <c r="M4" i="2"/>
  <c r="N4" i="2"/>
  <c r="H4" i="2"/>
  <c r="E18" i="2"/>
  <c r="D18" i="2"/>
  <c r="C18" i="2"/>
  <c r="B18" i="2"/>
  <c r="R2" i="3" l="1"/>
  <c r="S2" i="3" l="1"/>
  <c r="T6" i="2"/>
  <c r="T7" i="2" s="1"/>
  <c r="Q4" i="2"/>
  <c r="Q5" i="2"/>
  <c r="Q6" i="2"/>
  <c r="P6" i="2"/>
  <c r="P5" i="2"/>
  <c r="P4" i="2"/>
</calcChain>
</file>

<file path=xl/sharedStrings.xml><?xml version="1.0" encoding="utf-8"?>
<sst xmlns="http://schemas.openxmlformats.org/spreadsheetml/2006/main" count="402" uniqueCount="219">
  <si>
    <t>MineId</t>
  </si>
  <si>
    <t>MineName</t>
  </si>
  <si>
    <t>Region</t>
  </si>
  <si>
    <t>Country</t>
  </si>
  <si>
    <t>State/Province</t>
  </si>
  <si>
    <t>MineCity</t>
  </si>
  <si>
    <t>Latitude</t>
  </si>
  <si>
    <t>Longitude</t>
  </si>
  <si>
    <t>MineStage</t>
  </si>
  <si>
    <t>MineSubStage</t>
  </si>
  <si>
    <t>Commodity</t>
  </si>
  <si>
    <t>EquityPartner</t>
  </si>
  <si>
    <t>EquityPartner2</t>
  </si>
  <si>
    <t>EquityPartner3</t>
  </si>
  <si>
    <t>EquityPartner4</t>
  </si>
  <si>
    <t>EquityPartner5</t>
  </si>
  <si>
    <t>EquityPartner6</t>
  </si>
  <si>
    <t>EquityPartner7</t>
  </si>
  <si>
    <t>Priority</t>
  </si>
  <si>
    <t>Stage</t>
  </si>
  <si>
    <t>NULL</t>
  </si>
  <si>
    <t>Exploration</t>
  </si>
  <si>
    <t>Ongoing</t>
  </si>
  <si>
    <t>Core</t>
  </si>
  <si>
    <t>Critical</t>
  </si>
  <si>
    <t>Surface</t>
  </si>
  <si>
    <t>Operation</t>
  </si>
  <si>
    <t>Operating</t>
  </si>
  <si>
    <t>Limestone</t>
  </si>
  <si>
    <t>Non-Core</t>
  </si>
  <si>
    <t>Coal</t>
  </si>
  <si>
    <t>Closure</t>
  </si>
  <si>
    <t>Asia-Pacific</t>
  </si>
  <si>
    <t>India</t>
  </si>
  <si>
    <t>Underground</t>
  </si>
  <si>
    <t>Coal India Ltd</t>
  </si>
  <si>
    <t>Iron Ore</t>
  </si>
  <si>
    <t>Potash</t>
  </si>
  <si>
    <t>South and Central America</t>
  </si>
  <si>
    <t>Peru</t>
  </si>
  <si>
    <t>Open Cast</t>
  </si>
  <si>
    <t>Feasibility</t>
  </si>
  <si>
    <t>Developing</t>
  </si>
  <si>
    <t>Sandstone</t>
  </si>
  <si>
    <t>Copper</t>
  </si>
  <si>
    <t>Talc</t>
  </si>
  <si>
    <t>Open Cut</t>
  </si>
  <si>
    <t>Gold</t>
  </si>
  <si>
    <t>Manganese</t>
  </si>
  <si>
    <t>Suspended</t>
  </si>
  <si>
    <t>Surface and Underground</t>
  </si>
  <si>
    <t>Bord and Pillar</t>
  </si>
  <si>
    <t>High</t>
  </si>
  <si>
    <t>Middle East and Africa</t>
  </si>
  <si>
    <t>South Africa</t>
  </si>
  <si>
    <t>Prefeasibility</t>
  </si>
  <si>
    <t>Construction</t>
  </si>
  <si>
    <t>Low</t>
  </si>
  <si>
    <t>Silica</t>
  </si>
  <si>
    <t>Uranium</t>
  </si>
  <si>
    <t>Platinum</t>
  </si>
  <si>
    <t>Nickel</t>
  </si>
  <si>
    <t>Marble</t>
  </si>
  <si>
    <t>Tin</t>
  </si>
  <si>
    <t>Diamond</t>
  </si>
  <si>
    <t>Andalusite</t>
  </si>
  <si>
    <t>Jharkhand</t>
  </si>
  <si>
    <t>Bauxite</t>
  </si>
  <si>
    <t>Gypsum</t>
  </si>
  <si>
    <t>Xenotime</t>
  </si>
  <si>
    <t>Phosphate</t>
  </si>
  <si>
    <t>Copper, Gold, Silver, Molybdenum</t>
  </si>
  <si>
    <t>Alpha Natural Resources, Inc.</t>
  </si>
  <si>
    <t>Graphite</t>
  </si>
  <si>
    <t>Chromium</t>
  </si>
  <si>
    <t>Ilmenite</t>
  </si>
  <si>
    <t>Diatomite</t>
  </si>
  <si>
    <t>Tungsten</t>
  </si>
  <si>
    <t>Kaolin</t>
  </si>
  <si>
    <t>Silver</t>
  </si>
  <si>
    <t>Molybdenum</t>
  </si>
  <si>
    <t>Mica</t>
  </si>
  <si>
    <t>Niobium</t>
  </si>
  <si>
    <t>Cusco</t>
  </si>
  <si>
    <t>Glencore Plc</t>
  </si>
  <si>
    <t>Lead</t>
  </si>
  <si>
    <t>Granite</t>
  </si>
  <si>
    <t>Jharia</t>
  </si>
  <si>
    <t>Dolomite</t>
  </si>
  <si>
    <t>West Bengal</t>
  </si>
  <si>
    <t>Zinc</t>
  </si>
  <si>
    <t>Lithium</t>
  </si>
  <si>
    <t>Salt</t>
  </si>
  <si>
    <t>Magnesium</t>
  </si>
  <si>
    <t>Antimony</t>
  </si>
  <si>
    <t>Cordierite</t>
  </si>
  <si>
    <t>Rutile</t>
  </si>
  <si>
    <t>Vanadium</t>
  </si>
  <si>
    <t>Fluorspar</t>
  </si>
  <si>
    <t>Clay</t>
  </si>
  <si>
    <t>Ruby</t>
  </si>
  <si>
    <t>Boron</t>
  </si>
  <si>
    <t>Scandium</t>
  </si>
  <si>
    <t>Lanthanide</t>
  </si>
  <si>
    <t>Asphalt</t>
  </si>
  <si>
    <t>Witbank</t>
  </si>
  <si>
    <t>Barite</t>
  </si>
  <si>
    <t>Bassuriya Mine</t>
  </si>
  <si>
    <t>Eudialyte</t>
  </si>
  <si>
    <t>Corundum</t>
  </si>
  <si>
    <t>Cobalt</t>
  </si>
  <si>
    <t>Titanium</t>
  </si>
  <si>
    <t>Quartz</t>
  </si>
  <si>
    <t>Sand</t>
  </si>
  <si>
    <t>Strontium</t>
  </si>
  <si>
    <t>Zirconium</t>
  </si>
  <si>
    <t>Tisra</t>
  </si>
  <si>
    <t>Burdwan</t>
  </si>
  <si>
    <t>African Rainbow Minerals Limited</t>
  </si>
  <si>
    <t>Emerald</t>
  </si>
  <si>
    <t>Bentonite</t>
  </si>
  <si>
    <t>Garnet</t>
  </si>
  <si>
    <t>Dolerite</t>
  </si>
  <si>
    <t>Basalt</t>
  </si>
  <si>
    <t>Perlite</t>
  </si>
  <si>
    <t>Fireclay</t>
  </si>
  <si>
    <t>Olivine</t>
  </si>
  <si>
    <t>Tantalum</t>
  </si>
  <si>
    <t>Quartzite</t>
  </si>
  <si>
    <t>Palladium</t>
  </si>
  <si>
    <t>Iodine</t>
  </si>
  <si>
    <t>Yttrium</t>
  </si>
  <si>
    <t>Morganite</t>
  </si>
  <si>
    <t>Jade</t>
  </si>
  <si>
    <t>Sapphire</t>
  </si>
  <si>
    <t>Sodium</t>
  </si>
  <si>
    <t>Begunia Mine</t>
  </si>
  <si>
    <t>Goedgevonden Mine</t>
  </si>
  <si>
    <t>Beryllium</t>
  </si>
  <si>
    <t>Traprock</t>
  </si>
  <si>
    <t>Zircon</t>
  </si>
  <si>
    <t>Gabbro</t>
  </si>
  <si>
    <t>Coroccohuayco Project</t>
  </si>
  <si>
    <t>Hector Tejada</t>
  </si>
  <si>
    <t>Thorium</t>
  </si>
  <si>
    <t>Bastacolla Mine</t>
  </si>
  <si>
    <t>Andesite</t>
  </si>
  <si>
    <t>Dysprosium</t>
  </si>
  <si>
    <t>Sulphur</t>
  </si>
  <si>
    <t>Top Company</t>
  </si>
  <si>
    <t>Feas./PreFeas.</t>
  </si>
  <si>
    <t>Company</t>
  </si>
  <si>
    <t>Selected</t>
  </si>
  <si>
    <t>Total</t>
  </si>
  <si>
    <t>Resource Calculator</t>
  </si>
  <si>
    <t xml:space="preserve">New </t>
  </si>
  <si>
    <t>Update</t>
  </si>
  <si>
    <t>No. of Resources</t>
  </si>
  <si>
    <t>Financial Published Date</t>
  </si>
  <si>
    <t xml:space="preserve"> =IF(SUMPRODUCT(--ISNUMBER(SEARCH(Core,Main_Data[[#This Row],[Commodity]])))&gt;0,"Core","Non-Core")</t>
  </si>
  <si>
    <t>Bismuth</t>
  </si>
  <si>
    <t>OilSands</t>
  </si>
  <si>
    <t>Rhenium</t>
  </si>
  <si>
    <t>Neodymium</t>
  </si>
  <si>
    <t>Monazite</t>
  </si>
  <si>
    <t>Cerium</t>
  </si>
  <si>
    <t>Magnetite</t>
  </si>
  <si>
    <t>Europium</t>
  </si>
  <si>
    <t>Lanthanum</t>
  </si>
  <si>
    <t>Praseodymium</t>
  </si>
  <si>
    <t>Terbium</t>
  </si>
  <si>
    <t>Rhodium</t>
  </si>
  <si>
    <t>Samarium</t>
  </si>
  <si>
    <t>Gadolinium</t>
  </si>
  <si>
    <t>Leucoxene</t>
  </si>
  <si>
    <t>Carbonatite</t>
  </si>
  <si>
    <t>SodaAsh</t>
  </si>
  <si>
    <t>Rubidium</t>
  </si>
  <si>
    <t>Pyrophyllite</t>
  </si>
  <si>
    <t>Hafnium</t>
  </si>
  <si>
    <t>Tourmaline</t>
  </si>
  <si>
    <t>Germanium</t>
  </si>
  <si>
    <t>Caesium</t>
  </si>
  <si>
    <t>Nitrate</t>
  </si>
  <si>
    <t>Beryl</t>
  </si>
  <si>
    <t>Tanzanite</t>
  </si>
  <si>
    <t>Halloysite</t>
  </si>
  <si>
    <t>Iridium</t>
  </si>
  <si>
    <t>Potassium</t>
  </si>
  <si>
    <t>Ruthenium</t>
  </si>
  <si>
    <t>Osmium</t>
  </si>
  <si>
    <t xml:space="preserve"> </t>
  </si>
  <si>
    <t>&gt;120</t>
  </si>
  <si>
    <t>&gt;90</t>
  </si>
  <si>
    <t>&lt;120</t>
  </si>
  <si>
    <t>&lt;90</t>
  </si>
  <si>
    <t>&gt;160</t>
  </si>
  <si>
    <t>&lt;160</t>
  </si>
  <si>
    <t>&gt;240</t>
  </si>
  <si>
    <t>&gt;180</t>
  </si>
  <si>
    <t>&lt;240</t>
  </si>
  <si>
    <t>&lt;180</t>
  </si>
  <si>
    <t>Minuets</t>
  </si>
  <si>
    <t>All</t>
  </si>
  <si>
    <t>Total Work (Min)</t>
  </si>
  <si>
    <t>MineType</t>
  </si>
  <si>
    <t>MineMethod</t>
  </si>
  <si>
    <t>SubStageStatus</t>
  </si>
  <si>
    <t>Core&amp;NonCore</t>
  </si>
  <si>
    <t>LatestUpdate</t>
  </si>
  <si>
    <t>FinancialPublishedDate</t>
  </si>
  <si>
    <t>AllocatedTo</t>
  </si>
  <si>
    <t>AllocatedDate</t>
  </si>
  <si>
    <t>UpdatedDate</t>
  </si>
  <si>
    <t>Count</t>
  </si>
  <si>
    <t>Rank</t>
  </si>
  <si>
    <t>&lt;=150</t>
  </si>
  <si>
    <t>Mpumalanga</t>
  </si>
  <si>
    <t>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</si>
</sst>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/mmm/yy;@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right" vertical="center" indent="1"/>
    </xf>
    <xf numFmtId="0" fontId="1" fillId="6" borderId="2" xfId="0" applyFont="1" applyFill="1" applyBorder="1" applyAlignment="1">
      <alignment horizontal="right" vertical="center" indent="1"/>
    </xf>
    <xf numFmtId="0" fontId="1" fillId="7" borderId="2" xfId="0" applyFont="1" applyFill="1" applyBorder="1" applyAlignment="1">
      <alignment horizontal="right" vertical="center" indent="1"/>
    </xf>
    <xf numFmtId="0" fontId="7" fillId="5" borderId="2" xfId="0" applyFont="1" applyFill="1" applyBorder="1" applyAlignment="1"/>
    <xf numFmtId="0" fontId="7" fillId="6" borderId="2" xfId="0" applyFont="1" applyFill="1" applyBorder="1" applyAlignment="1"/>
    <xf numFmtId="0" fontId="7" fillId="7" borderId="2" xfId="0" applyFont="1" applyFill="1" applyBorder="1" applyAlignment="1"/>
    <xf numFmtId="0" fontId="9" fillId="8" borderId="2" xfId="0" applyFont="1" applyFill="1" applyBorder="1" applyAlignment="1">
      <alignment horizontal="right" vertical="center" indent="1"/>
    </xf>
    <xf numFmtId="0" fontId="0" fillId="3" borderId="2" xfId="0" applyFill="1" applyBorder="1"/>
    <xf numFmtId="0" fontId="10" fillId="8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right" vertical="center" indent="1"/>
    </xf>
    <xf numFmtId="0" fontId="9" fillId="8" borderId="0" xfId="0" applyFont="1" applyFill="1" applyAlignment="1">
      <alignment horizontal="left" vertical="center"/>
    </xf>
    <xf numFmtId="0" fontId="0" fillId="3" borderId="3" xfId="0" applyFill="1" applyBorder="1"/>
    <xf numFmtId="0" fontId="0" fillId="3" borderId="5" xfId="0" applyFill="1" applyBorder="1"/>
    <xf numFmtId="0" fontId="9" fillId="8" borderId="2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Fill="1"/>
    <xf numFmtId="0" fontId="11" fillId="14" borderId="2" xfId="0" applyFont="1" applyFill="1" applyBorder="1" applyAlignment="1">
      <alignment horizontal="left" vertical="center" indent="2"/>
    </xf>
    <xf numFmtId="0" fontId="0" fillId="11" borderId="2" xfId="0" applyFill="1" applyBorder="1" applyAlignment="1">
      <alignment horizontal="left" vertical="center" indent="2"/>
    </xf>
    <xf numFmtId="0" fontId="0" fillId="12" borderId="2" xfId="0" applyFill="1" applyBorder="1" applyAlignment="1">
      <alignment horizontal="left" vertical="center" indent="2"/>
    </xf>
    <xf numFmtId="0" fontId="0" fillId="13" borderId="2" xfId="0" applyFill="1" applyBorder="1" applyAlignment="1">
      <alignment horizontal="left" vertical="center" indent="2"/>
    </xf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0" fillId="15" borderId="0" xfId="0" applyFill="1"/>
    <xf numFmtId="0" fontId="2" fillId="2" borderId="0" xfId="0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0" fontId="0" fillId="11" borderId="0" xfId="0" applyFill="1"/>
    <xf numFmtId="0" fontId="5" fillId="17" borderId="2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right" vertical="center"/>
    </xf>
    <xf numFmtId="0" fontId="11" fillId="10" borderId="2" xfId="0" applyFont="1" applyFill="1" applyBorder="1" applyAlignment="1">
      <alignment horizontal="right" vertical="center"/>
    </xf>
    <xf numFmtId="0" fontId="8" fillId="0" borderId="2" xfId="0" applyFont="1" applyBorder="1" applyAlignment="1">
      <alignment horizontal="center" vertical="center" textRotation="90" wrapText="1"/>
    </xf>
    <xf numFmtId="1" fontId="11" fillId="10" borderId="2" xfId="0" applyNumberFormat="1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 indent="3"/>
    </xf>
    <xf numFmtId="0" fontId="1" fillId="2" borderId="0" xfId="0" applyFont="1" applyFill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164" formatCode="[$-409]d/mmm/yy;@"/>
    </dxf>
    <dxf>
      <numFmt numFmtId="164" formatCode="[$-409]d/mmm/yy;@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19050</xdr:rowOff>
    </xdr:from>
    <xdr:to>
      <xdr:col>20</xdr:col>
      <xdr:colOff>161924</xdr:colOff>
      <xdr:row>7</xdr:row>
      <xdr:rowOff>180974</xdr:rowOff>
    </xdr:to>
    <xdr:pic>
      <xdr:nvPicPr>
        <xdr:cNvPr id="2" name="Picture 1" descr="Mining_Industries_CT_Stage.jpg"/>
        <xdr:cNvPicPr>
          <a:picLocks noChangeAspect="1"/>
        </xdr:cNvPicPr>
      </xdr:nvPicPr>
      <xdr:blipFill>
        <a:blip xmlns:r="http://schemas.openxmlformats.org/officeDocument/2006/relationships" r:embed="rId1" cstate="screen"/>
        <a:stretch>
          <a:fillRect/>
        </a:stretch>
      </xdr:blipFill>
      <xdr:spPr>
        <a:xfrm>
          <a:off x="28574" y="19050"/>
          <a:ext cx="12144375" cy="149542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95250</xdr:rowOff>
    </xdr:from>
    <xdr:to>
      <xdr:col>8</xdr:col>
      <xdr:colOff>409575</xdr:colOff>
      <xdr:row>7</xdr:row>
      <xdr:rowOff>28575</xdr:rowOff>
    </xdr:to>
    <xdr:grpSp>
      <xdr:nvGrpSpPr>
        <xdr:cNvPr id="10" name="Group 9"/>
        <xdr:cNvGrpSpPr/>
      </xdr:nvGrpSpPr>
      <xdr:grpSpPr>
        <a:xfrm>
          <a:off x="228600" y="95250"/>
          <a:ext cx="4876800" cy="1266825"/>
          <a:chOff x="12811125" y="123825"/>
          <a:chExt cx="4876800" cy="1266825"/>
        </a:xfrm>
      </xdr:grpSpPr>
      <xdr:sp macro="" textlink="">
        <xdr:nvSpPr>
          <xdr:cNvPr id="9" name="Rectangle 8"/>
          <xdr:cNvSpPr/>
        </xdr:nvSpPr>
        <xdr:spPr>
          <a:xfrm>
            <a:off x="12811125" y="228600"/>
            <a:ext cx="4876800" cy="1162050"/>
          </a:xfrm>
          <a:prstGeom prst="rect">
            <a:avLst/>
          </a:prstGeom>
          <a:solidFill>
            <a:schemeClr val="bg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15230476" y="400050"/>
            <a:ext cx="2343149" cy="790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4800" b="1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chemeClr val="bg1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  <a:latin typeface="Trebuchet MS" pitchFamily="34" charset="0"/>
              </a:rPr>
              <a:t>MINING</a:t>
            </a:r>
            <a:endParaRPr lang="en-US" sz="3600" b="1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Trebuchet MS" pitchFamily="34" charset="0"/>
            </a:endParaRPr>
          </a:p>
        </xdr:txBody>
      </xdr:sp>
      <xdr:pic>
        <xdr:nvPicPr>
          <xdr:cNvPr id="6" name="Picture 5" descr="mining-2-03-512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13887450" y="123825"/>
            <a:ext cx="1238250" cy="1238250"/>
          </a:xfrm>
          <a:prstGeom prst="rect">
            <a:avLst/>
          </a:prstGeom>
        </xdr:spPr>
      </xdr:pic>
      <xdr:pic>
        <xdr:nvPicPr>
          <xdr:cNvPr id="8" name="Picture 7" descr="Excavator_Landfill_color-512.pn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tretch>
            <a:fillRect/>
          </a:stretch>
        </xdr:blipFill>
        <xdr:spPr>
          <a:xfrm>
            <a:off x="12853950" y="171450"/>
            <a:ext cx="1128750" cy="11287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18</xdr:row>
      <xdr:rowOff>9525</xdr:rowOff>
    </xdr:from>
    <xdr:to>
      <xdr:col>5</xdr:col>
      <xdr:colOff>0</xdr:colOff>
      <xdr:row>18</xdr:row>
      <xdr:rowOff>200025</xdr:rowOff>
    </xdr:to>
    <xdr:sp macro="[0]!ColE" textlink="">
      <xdr:nvSpPr>
        <xdr:cNvPr id="2" name="Rectangle 1"/>
        <xdr:cNvSpPr/>
      </xdr:nvSpPr>
      <xdr:spPr>
        <a:xfrm>
          <a:off x="3057526" y="3438525"/>
          <a:ext cx="380999" cy="190500"/>
        </a:xfrm>
        <a:prstGeom prst="rect">
          <a:avLst/>
        </a:prstGeom>
        <a:solidFill>
          <a:schemeClr val="accent1">
            <a:lumMod val="20000"/>
            <a:lumOff val="80000"/>
            <a:alpha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380999</xdr:colOff>
      <xdr:row>18</xdr:row>
      <xdr:rowOff>9525</xdr:rowOff>
    </xdr:from>
    <xdr:to>
      <xdr:col>3</xdr:col>
      <xdr:colOff>0</xdr:colOff>
      <xdr:row>18</xdr:row>
      <xdr:rowOff>200025</xdr:rowOff>
    </xdr:to>
    <xdr:sp macro="[0]!ColC" textlink="">
      <xdr:nvSpPr>
        <xdr:cNvPr id="3" name="Rectangle 2"/>
        <xdr:cNvSpPr/>
      </xdr:nvSpPr>
      <xdr:spPr>
        <a:xfrm>
          <a:off x="2295524" y="3438525"/>
          <a:ext cx="381001" cy="190500"/>
        </a:xfrm>
        <a:prstGeom prst="rect">
          <a:avLst/>
        </a:prstGeom>
        <a:solidFill>
          <a:schemeClr val="accent1">
            <a:lumMod val="20000"/>
            <a:lumOff val="80000"/>
            <a:alpha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9525</xdr:rowOff>
    </xdr:from>
    <xdr:to>
      <xdr:col>1</xdr:col>
      <xdr:colOff>380999</xdr:colOff>
      <xdr:row>18</xdr:row>
      <xdr:rowOff>200025</xdr:rowOff>
    </xdr:to>
    <xdr:sp macro="[0]!ColB" textlink="">
      <xdr:nvSpPr>
        <xdr:cNvPr id="4" name="Rectangle 3"/>
        <xdr:cNvSpPr/>
      </xdr:nvSpPr>
      <xdr:spPr>
        <a:xfrm>
          <a:off x="1914525" y="3438525"/>
          <a:ext cx="380999" cy="190500"/>
        </a:xfrm>
        <a:prstGeom prst="rect">
          <a:avLst/>
        </a:prstGeom>
        <a:solidFill>
          <a:schemeClr val="accent1">
            <a:lumMod val="20000"/>
            <a:lumOff val="80000"/>
            <a:alpha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0</xdr:colOff>
      <xdr:row>18</xdr:row>
      <xdr:rowOff>9525</xdr:rowOff>
    </xdr:from>
    <xdr:to>
      <xdr:col>4</xdr:col>
      <xdr:colOff>0</xdr:colOff>
      <xdr:row>18</xdr:row>
      <xdr:rowOff>200025</xdr:rowOff>
    </xdr:to>
    <xdr:sp macro="[0]!ColD" textlink="">
      <xdr:nvSpPr>
        <xdr:cNvPr id="5" name="Rectangle 4"/>
        <xdr:cNvSpPr/>
      </xdr:nvSpPr>
      <xdr:spPr>
        <a:xfrm>
          <a:off x="2676525" y="3438525"/>
          <a:ext cx="381000" cy="190500"/>
        </a:xfrm>
        <a:prstGeom prst="rect">
          <a:avLst/>
        </a:prstGeom>
        <a:solidFill>
          <a:schemeClr val="accent1">
            <a:lumMod val="20000"/>
            <a:lumOff val="80000"/>
            <a:alpha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22</xdr:col>
      <xdr:colOff>142877</xdr:colOff>
      <xdr:row>0</xdr:row>
      <xdr:rowOff>38100</xdr:rowOff>
    </xdr:from>
    <xdr:to>
      <xdr:col>32</xdr:col>
      <xdr:colOff>723900</xdr:colOff>
      <xdr:row>7</xdr:row>
      <xdr:rowOff>180974</xdr:rowOff>
    </xdr:to>
    <xdr:pic>
      <xdr:nvPicPr>
        <xdr:cNvPr id="6" name="Picture 5" descr="Mining_Industries_CT_Stage.jpg"/>
        <xdr:cNvPicPr>
          <a:picLocks noChangeAspect="1"/>
        </xdr:cNvPicPr>
      </xdr:nvPicPr>
      <xdr:blipFill>
        <a:blip xmlns:r="http://schemas.openxmlformats.org/officeDocument/2006/relationships" r:embed="rId1" cstate="screen"/>
        <a:stretch>
          <a:fillRect/>
        </a:stretch>
      </xdr:blipFill>
      <xdr:spPr>
        <a:xfrm>
          <a:off x="14725652" y="38100"/>
          <a:ext cx="8905873" cy="1495424"/>
        </a:xfrm>
        <a:prstGeom prst="rect">
          <a:avLst/>
        </a:prstGeom>
      </xdr:spPr>
    </xdr:pic>
    <xdr:clientData/>
  </xdr:twoCellAnchor>
  <xdr:twoCellAnchor editAs="oneCell">
    <xdr:from>
      <xdr:col>22</xdr:col>
      <xdr:colOff>257176</xdr:colOff>
      <xdr:row>0</xdr:row>
      <xdr:rowOff>95250</xdr:rowOff>
    </xdr:from>
    <xdr:to>
      <xdr:col>27</xdr:col>
      <xdr:colOff>371476</xdr:colOff>
      <xdr:row>7</xdr:row>
      <xdr:rowOff>9525</xdr:rowOff>
    </xdr:to>
    <xdr:grpSp>
      <xdr:nvGrpSpPr>
        <xdr:cNvPr id="7" name="Group 6"/>
        <xdr:cNvGrpSpPr/>
      </xdr:nvGrpSpPr>
      <xdr:grpSpPr>
        <a:xfrm>
          <a:off x="14839951" y="95250"/>
          <a:ext cx="4876800" cy="1266825"/>
          <a:chOff x="12811125" y="123825"/>
          <a:chExt cx="4876800" cy="1266825"/>
        </a:xfrm>
      </xdr:grpSpPr>
      <xdr:sp macro="" textlink="">
        <xdr:nvSpPr>
          <xdr:cNvPr id="8" name="Rectangle 7"/>
          <xdr:cNvSpPr/>
        </xdr:nvSpPr>
        <xdr:spPr>
          <a:xfrm>
            <a:off x="12811125" y="228600"/>
            <a:ext cx="4876800" cy="1162050"/>
          </a:xfrm>
          <a:prstGeom prst="rect">
            <a:avLst/>
          </a:prstGeom>
          <a:solidFill>
            <a:schemeClr val="bg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" name="TextBox 8"/>
          <xdr:cNvSpPr txBox="1"/>
        </xdr:nvSpPr>
        <xdr:spPr>
          <a:xfrm>
            <a:off x="15230476" y="400050"/>
            <a:ext cx="2343149" cy="790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4800" b="1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chemeClr val="bg1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  <a:latin typeface="Trebuchet MS" pitchFamily="34" charset="0"/>
              </a:rPr>
              <a:t>MINING</a:t>
            </a:r>
            <a:endParaRPr lang="en-US" sz="3600" b="1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Trebuchet MS" pitchFamily="34" charset="0"/>
            </a:endParaRPr>
          </a:p>
        </xdr:txBody>
      </xdr:sp>
      <xdr:pic>
        <xdr:nvPicPr>
          <xdr:cNvPr id="10" name="Picture 9" descr="mining-2-03-512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13887450" y="123825"/>
            <a:ext cx="1238250" cy="1238250"/>
          </a:xfrm>
          <a:prstGeom prst="rect">
            <a:avLst/>
          </a:prstGeom>
        </xdr:spPr>
      </xdr:pic>
      <xdr:pic>
        <xdr:nvPicPr>
          <xdr:cNvPr id="11" name="Picture 10" descr="Excavator_Landfill_color-512.pn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tretch>
            <a:fillRect/>
          </a:stretch>
        </xdr:blipFill>
        <xdr:spPr>
          <a:xfrm>
            <a:off x="12853950" y="171450"/>
            <a:ext cx="1128750" cy="11287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2</xdr:row>
          <xdr:rowOff>57150</xdr:rowOff>
        </xdr:from>
        <xdr:to>
          <xdr:col>0</xdr:col>
          <xdr:colOff>1876425</xdr:colOff>
          <xdr:row>2</xdr:row>
          <xdr:rowOff>180975</xdr:rowOff>
        </xdr:to>
        <xdr:sp macro="" textlink="">
          <xdr:nvSpPr>
            <xdr:cNvPr id="1025" name="cbA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1743075</xdr:colOff>
          <xdr:row>3</xdr:row>
          <xdr:rowOff>47625</xdr:rowOff>
        </xdr:from>
        <xdr:to>
          <xdr:col>0</xdr:col>
          <xdr:colOff>1876425</xdr:colOff>
          <xdr:row>3</xdr:row>
          <xdr:rowOff>171450</xdr:rowOff>
        </xdr:to>
        <xdr:sp macro="" textlink="">
          <xdr:nvSpPr>
            <xdr:cNvPr id="1027" name="cbCommod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4</xdr:row>
          <xdr:rowOff>47625</xdr:rowOff>
        </xdr:from>
        <xdr:to>
          <xdr:col>0</xdr:col>
          <xdr:colOff>1866900</xdr:colOff>
          <xdr:row>4</xdr:row>
          <xdr:rowOff>171450</xdr:rowOff>
        </xdr:to>
        <xdr:sp macro="" textlink="">
          <xdr:nvSpPr>
            <xdr:cNvPr id="1028" name="cbStag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1733550</xdr:colOff>
          <xdr:row>5</xdr:row>
          <xdr:rowOff>47625</xdr:rowOff>
        </xdr:from>
        <xdr:to>
          <xdr:col>0</xdr:col>
          <xdr:colOff>1866900</xdr:colOff>
          <xdr:row>5</xdr:row>
          <xdr:rowOff>171450</xdr:rowOff>
        </xdr:to>
        <xdr:sp macro="" textlink="">
          <xdr:nvSpPr>
            <xdr:cNvPr id="1029" name="cbFB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17</xdr:row>
      <xdr:rowOff>76200</xdr:rowOff>
    </xdr:from>
    <xdr:to>
      <xdr:col>9</xdr:col>
      <xdr:colOff>219075</xdr:colOff>
      <xdr:row>19</xdr:row>
      <xdr:rowOff>123825</xdr:rowOff>
    </xdr:to>
    <xdr:sp macro="[0]!Refresh" textlink="">
      <xdr:nvSpPr>
        <xdr:cNvPr id="2" name="Rounded Rectangle 1"/>
        <xdr:cNvSpPr/>
      </xdr:nvSpPr>
      <xdr:spPr>
        <a:xfrm>
          <a:off x="5076825" y="3314700"/>
          <a:ext cx="1381125" cy="4286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2000" b="1"/>
            <a:t>Refresh</a:t>
          </a:r>
          <a:endParaRPr lang="en-US" sz="1100" b="1"/>
        </a:p>
      </xdr:txBody>
    </xdr:sp>
    <xdr:clientData/>
  </xdr:twoCellAnchor>
  <xdr:twoCellAnchor>
    <xdr:from>
      <xdr:col>6</xdr:col>
      <xdr:colOff>476250</xdr:colOff>
      <xdr:row>13</xdr:row>
      <xdr:rowOff>38100</xdr:rowOff>
    </xdr:from>
    <xdr:to>
      <xdr:col>9</xdr:col>
      <xdr:colOff>361950</xdr:colOff>
      <xdr:row>14</xdr:row>
      <xdr:rowOff>142875</xdr:rowOff>
    </xdr:to>
    <xdr:sp macro="[0]!UpdateCompanyLists" textlink="">
      <xdr:nvSpPr>
        <xdr:cNvPr id="3" name="Rounded Rectangle 2"/>
        <xdr:cNvSpPr/>
      </xdr:nvSpPr>
      <xdr:spPr>
        <a:xfrm>
          <a:off x="4914900" y="2514600"/>
          <a:ext cx="1685925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Update Company Lists</a:t>
          </a:r>
        </a:p>
      </xdr:txBody>
    </xdr:sp>
    <xdr:clientData/>
  </xdr:twoCellAnchor>
  <xdr:twoCellAnchor>
    <xdr:from>
      <xdr:col>6</xdr:col>
      <xdr:colOff>476250</xdr:colOff>
      <xdr:row>15</xdr:row>
      <xdr:rowOff>57150</xdr:rowOff>
    </xdr:from>
    <xdr:to>
      <xdr:col>9</xdr:col>
      <xdr:colOff>361950</xdr:colOff>
      <xdr:row>16</xdr:row>
      <xdr:rowOff>161925</xdr:rowOff>
    </xdr:to>
    <xdr:sp macro="[0]!RefreshCompanyLists" textlink="">
      <xdr:nvSpPr>
        <xdr:cNvPr id="4" name="Rounded Rectangle 3"/>
        <xdr:cNvSpPr/>
      </xdr:nvSpPr>
      <xdr:spPr>
        <a:xfrm>
          <a:off x="4914900" y="2914650"/>
          <a:ext cx="1685925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Refresh Company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Main_Data" displayName="Main_Data" ref="A19:AC24" totalsRowShown="0" headerRowDxfId="4" tableBorderDxfId="3">
  <sortState ref="A20:AC29042">
    <sortCondition ref="O20:O29042" customList="Coal India Ltd,Alpha Natural Resources,Inc.,Glencore Plc"/>
  </sortState>
  <tableColumns count="29">
    <tableColumn id="1" name="MineId"/>
    <tableColumn id="2" name="MineName"/>
    <tableColumn id="3" name="Region"/>
    <tableColumn id="4" name="Country"/>
    <tableColumn id="5" name="State/Province"/>
    <tableColumn id="6" name="MineCity"/>
    <tableColumn id="7" name="Latitude"/>
    <tableColumn id="8" name="Longitude"/>
    <tableColumn id="9" name="MineType"/>
    <tableColumn id="10" name="MineMethod"/>
    <tableColumn id="11" name="MineStage"/>
    <tableColumn id="12" name="MineSubStage"/>
    <tableColumn id="13" name="SubStageStatus"/>
    <tableColumn id="14" name="Commodity"/>
    <tableColumn id="15" name="EquityPartner"/>
    <tableColumn id="16" name="EquityPartner2"/>
    <tableColumn id="17" name="EquityPartner3"/>
    <tableColumn id="18" name="EquityPartner4"/>
    <tableColumn id="19" name="EquityPartner5"/>
    <tableColumn id="20" name="EquityPartner6"/>
    <tableColumn id="21" name="EquityPartner7"/>
    <tableColumn id="22" name="Core&amp;NonCore"/>
    <tableColumn id="23" name="LatestUpdate" dataDxfId="2"/>
    <tableColumn id="24" name="FinancialPublishedDate" dataDxfId="1"/>
    <tableColumn id="25" name="Priority"/>
    <tableColumn id="26" name="Stage"/>
    <tableColumn id="27" name="AllocatedTo" dataDxfId="0"/>
    <tableColumn id="28" name="AllocatedDate"/>
    <tableColumn id="29" name="UpdatedDat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9:AC24"/>
  <sheetViews>
    <sheetView tabSelected="1" workbookViewId="0">
      <pane ySplit="19" topLeftCell="A20" activePane="bottomLeft" state="frozen"/>
      <selection pane="bottomLeft" activeCell="A19" sqref="A19"/>
    </sheetView>
  </sheetViews>
  <sheetFormatPr defaultRowHeight="15" x14ac:dyDescent="0.25"/>
  <cols>
    <col min="1" max="1" width="6.42578125" bestFit="1" customWidth="1"/>
    <col min="2" max="2" width="9.140625" customWidth="1"/>
    <col min="4" max="22" width="9.140625" customWidth="1"/>
    <col min="23" max="24" width="9.140625" style="26" customWidth="1"/>
    <col min="27" max="29" width="9.140625" customWidth="1"/>
  </cols>
  <sheetData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29" hidden="1" x14ac:dyDescent="0.25"/>
    <row r="18" spans="1:29" hidden="1" x14ac:dyDescent="0.25"/>
    <row r="19" spans="1:29" x14ac:dyDescent="0.25">
      <c r="A19" s="29" t="s">
        <v>0</v>
      </c>
      <c r="B19" s="29" t="s">
        <v>1</v>
      </c>
      <c r="C19" s="29" t="s">
        <v>2</v>
      </c>
      <c r="D19" s="29" t="s">
        <v>3</v>
      </c>
      <c r="E19" s="29" t="s">
        <v>4</v>
      </c>
      <c r="F19" s="29" t="s">
        <v>5</v>
      </c>
      <c r="G19" s="29" t="s">
        <v>6</v>
      </c>
      <c r="H19" s="29" t="s">
        <v>7</v>
      </c>
      <c r="I19" s="29" t="s">
        <v>205</v>
      </c>
      <c r="J19" s="29" t="s">
        <v>206</v>
      </c>
      <c r="K19" s="29" t="s">
        <v>8</v>
      </c>
      <c r="L19" s="29" t="s">
        <v>9</v>
      </c>
      <c r="M19" s="29" t="s">
        <v>207</v>
      </c>
      <c r="N19" s="29" t="s">
        <v>10</v>
      </c>
      <c r="O19" s="29" t="s">
        <v>11</v>
      </c>
      <c r="P19" s="29" t="s">
        <v>12</v>
      </c>
      <c r="Q19" s="29" t="s">
        <v>13</v>
      </c>
      <c r="R19" s="29" t="s">
        <v>14</v>
      </c>
      <c r="S19" s="29" t="s">
        <v>15</v>
      </c>
      <c r="T19" s="29" t="s">
        <v>16</v>
      </c>
      <c r="U19" s="29" t="s">
        <v>17</v>
      </c>
      <c r="V19" s="29" t="s">
        <v>208</v>
      </c>
      <c r="W19" s="30" t="s">
        <v>209</v>
      </c>
      <c r="X19" s="30" t="s">
        <v>210</v>
      </c>
      <c r="Y19" s="29" t="s">
        <v>18</v>
      </c>
      <c r="Z19" s="29" t="s">
        <v>19</v>
      </c>
      <c r="AA19" s="29" t="s">
        <v>211</v>
      </c>
      <c r="AB19" s="29" t="s">
        <v>212</v>
      </c>
      <c r="AC19" s="29" t="s">
        <v>213</v>
      </c>
    </row>
    <row r="20" spans="1:29" x14ac:dyDescent="0.25">
      <c r="A20">
        <v>3840</v>
      </c>
      <c r="B20" t="s">
        <v>107</v>
      </c>
      <c r="C20" t="s">
        <v>32</v>
      </c>
      <c r="D20" t="s">
        <v>33</v>
      </c>
      <c r="E20" t="s">
        <v>66</v>
      </c>
      <c r="F20" t="s">
        <v>87</v>
      </c>
      <c r="G20">
        <v>23.748954999999999</v>
      </c>
      <c r="H20">
        <v>86.422270999999995</v>
      </c>
      <c r="I20" t="s">
        <v>34</v>
      </c>
      <c r="J20" t="s">
        <v>20</v>
      </c>
      <c r="K20" t="s">
        <v>26</v>
      </c>
      <c r="L20" t="s">
        <v>27</v>
      </c>
      <c r="M20" t="s">
        <v>22</v>
      </c>
      <c r="N20" t="s">
        <v>30</v>
      </c>
      <c r="O20" t="s">
        <v>35</v>
      </c>
      <c r="V20" t="s">
        <v>23</v>
      </c>
      <c r="W20" s="26">
        <v>42430</v>
      </c>
      <c r="X20" s="26">
        <v>42608</v>
      </c>
      <c r="Z20" t="s">
        <v>27</v>
      </c>
    </row>
    <row r="21" spans="1:29" x14ac:dyDescent="0.25">
      <c r="A21">
        <v>3841</v>
      </c>
      <c r="B21" t="s">
        <v>145</v>
      </c>
      <c r="C21" t="s">
        <v>32</v>
      </c>
      <c r="D21" t="s">
        <v>33</v>
      </c>
      <c r="E21" t="s">
        <v>66</v>
      </c>
      <c r="F21" t="s">
        <v>116</v>
      </c>
      <c r="G21">
        <v>23.718823</v>
      </c>
      <c r="H21">
        <v>86.438046999999997</v>
      </c>
      <c r="I21" t="s">
        <v>50</v>
      </c>
      <c r="J21" t="s">
        <v>40</v>
      </c>
      <c r="K21" t="s">
        <v>26</v>
      </c>
      <c r="L21" t="s">
        <v>27</v>
      </c>
      <c r="M21" t="s">
        <v>22</v>
      </c>
      <c r="N21" t="s">
        <v>30</v>
      </c>
      <c r="O21" t="s">
        <v>35</v>
      </c>
      <c r="V21" t="s">
        <v>23</v>
      </c>
      <c r="W21" s="26">
        <v>42580</v>
      </c>
      <c r="X21" s="26">
        <v>42425</v>
      </c>
      <c r="Z21" t="s">
        <v>27</v>
      </c>
    </row>
    <row r="22" spans="1:29" x14ac:dyDescent="0.25">
      <c r="A22">
        <v>3845</v>
      </c>
      <c r="B22" t="s">
        <v>136</v>
      </c>
      <c r="C22" t="s">
        <v>32</v>
      </c>
      <c r="D22" t="s">
        <v>33</v>
      </c>
      <c r="E22" t="s">
        <v>89</v>
      </c>
      <c r="F22" t="s">
        <v>117</v>
      </c>
      <c r="G22">
        <v>23.440605999999999</v>
      </c>
      <c r="H22">
        <v>87.578592</v>
      </c>
      <c r="I22" t="s">
        <v>34</v>
      </c>
      <c r="J22" t="s">
        <v>51</v>
      </c>
      <c r="K22" t="s">
        <v>26</v>
      </c>
      <c r="L22" t="s">
        <v>27</v>
      </c>
      <c r="M22" t="s">
        <v>22</v>
      </c>
      <c r="N22" t="s">
        <v>30</v>
      </c>
      <c r="O22" t="s">
        <v>35</v>
      </c>
      <c r="V22" t="s">
        <v>23</v>
      </c>
      <c r="W22" s="26">
        <v>42791</v>
      </c>
      <c r="X22" s="26">
        <v>43019</v>
      </c>
      <c r="Z22" t="s">
        <v>27</v>
      </c>
    </row>
    <row r="23" spans="1:29" x14ac:dyDescent="0.25">
      <c r="A23">
        <v>2717</v>
      </c>
      <c r="B23" t="s">
        <v>142</v>
      </c>
      <c r="C23" t="s">
        <v>38</v>
      </c>
      <c r="D23" t="s">
        <v>39</v>
      </c>
      <c r="E23" t="s">
        <v>83</v>
      </c>
      <c r="F23" t="s">
        <v>143</v>
      </c>
      <c r="G23">
        <v>-14.966898</v>
      </c>
      <c r="H23">
        <v>-71.256652000000003</v>
      </c>
      <c r="I23" t="s">
        <v>50</v>
      </c>
      <c r="J23" t="s">
        <v>46</v>
      </c>
      <c r="K23" t="s">
        <v>55</v>
      </c>
      <c r="L23" t="s">
        <v>55</v>
      </c>
      <c r="M23" t="s">
        <v>22</v>
      </c>
      <c r="N23" t="s">
        <v>71</v>
      </c>
      <c r="O23" t="s">
        <v>84</v>
      </c>
      <c r="V23" t="s">
        <v>23</v>
      </c>
      <c r="W23" s="26">
        <v>42887</v>
      </c>
      <c r="X23" s="26">
        <v>42566</v>
      </c>
      <c r="Y23" t="s">
        <v>24</v>
      </c>
      <c r="Z23" t="s">
        <v>42</v>
      </c>
    </row>
    <row r="24" spans="1:29" x14ac:dyDescent="0.25">
      <c r="A24">
        <v>2842</v>
      </c>
      <c r="B24" t="s">
        <v>137</v>
      </c>
      <c r="C24" t="s">
        <v>53</v>
      </c>
      <c r="D24" t="s">
        <v>54</v>
      </c>
      <c r="E24" t="s">
        <v>217</v>
      </c>
      <c r="F24" t="s">
        <v>105</v>
      </c>
      <c r="G24">
        <v>-26.094840999999999</v>
      </c>
      <c r="H24">
        <v>29.059463999999998</v>
      </c>
      <c r="I24" t="s">
        <v>25</v>
      </c>
      <c r="J24" t="s">
        <v>46</v>
      </c>
      <c r="K24" t="s">
        <v>26</v>
      </c>
      <c r="L24" t="s">
        <v>27</v>
      </c>
      <c r="M24" t="s">
        <v>22</v>
      </c>
      <c r="N24" t="s">
        <v>30</v>
      </c>
      <c r="O24" t="s">
        <v>84</v>
      </c>
      <c r="P24" t="s">
        <v>118</v>
      </c>
      <c r="V24" t="s">
        <v>23</v>
      </c>
      <c r="W24" s="26">
        <v>42919</v>
      </c>
      <c r="X24" s="26">
        <v>42479</v>
      </c>
      <c r="Z24" t="s">
        <v>27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19"/>
  <sheetViews>
    <sheetView zoomScaleNormal="100" workbookViewId="0">
      <pane ySplit="19" topLeftCell="A20" activePane="bottomLeft" state="frozen"/>
      <selection pane="bottomLeft" activeCell="A20" sqref="A20"/>
    </sheetView>
  </sheetViews>
  <sheetFormatPr defaultRowHeight="15" x14ac:dyDescent="0.25"/>
  <cols>
    <col min="1" max="1" width="28.7109375" customWidth="1"/>
    <col min="2" max="5" width="5.7109375" customWidth="1"/>
    <col min="6" max="6" width="0" hidden="1" customWidth="1"/>
    <col min="7" max="7" width="2.85546875" customWidth="1"/>
    <col min="8" max="8" width="10.5703125" customWidth="1"/>
    <col min="9" max="11" width="12" customWidth="1"/>
    <col min="12" max="12" width="9.7109375" customWidth="1"/>
    <col min="13" max="13" width="8.140625" customWidth="1"/>
    <col min="14" max="14" width="10.5703125" customWidth="1"/>
    <col min="15" max="15" width="10.42578125" customWidth="1"/>
    <col min="16" max="16" width="9.7109375" customWidth="1"/>
    <col min="17" max="17" width="11.140625" customWidth="1"/>
    <col min="18" max="18" width="12.85546875" bestFit="1" customWidth="1"/>
    <col min="20" max="21" width="9" customWidth="1"/>
    <col min="22" max="22" width="18" customWidth="1"/>
    <col min="23" max="28" width="14.28515625" customWidth="1"/>
    <col min="30" max="31" width="11.42578125" customWidth="1"/>
    <col min="32" max="32" width="7.140625" bestFit="1" customWidth="1"/>
    <col min="33" max="33" width="11.140625" bestFit="1" customWidth="1"/>
  </cols>
  <sheetData>
    <row r="1" spans="1:33" x14ac:dyDescent="0.25">
      <c r="A1" s="20"/>
      <c r="B1" s="20"/>
      <c r="C1" s="20"/>
      <c r="D1" s="20"/>
      <c r="E1" s="20"/>
      <c r="F1" s="20"/>
      <c r="G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</row>
    <row r="2" spans="1:33" ht="15.75" x14ac:dyDescent="0.25">
      <c r="A2" s="20"/>
      <c r="B2" s="20"/>
      <c r="C2" s="20"/>
      <c r="D2" s="41" t="s">
        <v>151</v>
      </c>
      <c r="E2" s="41"/>
      <c r="F2" s="41"/>
      <c r="G2" s="41"/>
      <c r="H2" s="41"/>
      <c r="I2" s="42" t="s">
        <v>35</v>
      </c>
      <c r="J2" s="42"/>
      <c r="K2" s="42"/>
      <c r="L2" s="42"/>
      <c r="M2" s="42"/>
      <c r="N2" s="42"/>
      <c r="O2" s="42"/>
      <c r="P2" s="42"/>
      <c r="Q2" s="42"/>
      <c r="R2" s="20"/>
      <c r="S2" s="35" t="s">
        <v>154</v>
      </c>
      <c r="T2" s="2" t="s">
        <v>155</v>
      </c>
      <c r="U2" s="2" t="s">
        <v>156</v>
      </c>
      <c r="V2" s="2" t="s">
        <v>19</v>
      </c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5.75" x14ac:dyDescent="0.25">
      <c r="A3" s="22" t="s">
        <v>203</v>
      </c>
      <c r="B3" s="20"/>
      <c r="C3" s="20"/>
      <c r="D3" s="38" t="s">
        <v>23</v>
      </c>
      <c r="E3" s="38"/>
      <c r="F3" s="38"/>
      <c r="G3" s="38"/>
      <c r="H3" s="32" t="s">
        <v>41</v>
      </c>
      <c r="I3" s="32" t="s">
        <v>55</v>
      </c>
      <c r="J3" s="32" t="s">
        <v>21</v>
      </c>
      <c r="K3" s="32" t="s">
        <v>56</v>
      </c>
      <c r="L3" s="32" t="s">
        <v>26</v>
      </c>
      <c r="M3" s="32" t="s">
        <v>31</v>
      </c>
      <c r="N3" s="32" t="s">
        <v>49</v>
      </c>
      <c r="O3" s="2" t="s">
        <v>18</v>
      </c>
      <c r="P3" s="2" t="s">
        <v>152</v>
      </c>
      <c r="Q3" s="2" t="s">
        <v>153</v>
      </c>
      <c r="R3" s="20"/>
      <c r="S3" s="35"/>
      <c r="T3" s="11">
        <v>30</v>
      </c>
      <c r="U3" s="11">
        <v>50</v>
      </c>
      <c r="V3" s="10" t="s">
        <v>42</v>
      </c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x14ac:dyDescent="0.25">
      <c r="A4" s="23" t="s">
        <v>10</v>
      </c>
      <c r="B4" s="20"/>
      <c r="C4" s="20"/>
      <c r="D4" s="39">
        <f>COUNTIF($AC:$AC,"Core")</f>
        <v>3</v>
      </c>
      <c r="E4" s="39"/>
      <c r="F4" s="39"/>
      <c r="G4" s="39"/>
      <c r="H4" s="3">
        <f>COUNTIFS($R:$R,H$3,$AC:$AC,"Core")</f>
        <v>0</v>
      </c>
      <c r="I4" s="3">
        <f t="shared" ref="I4:N4" si="0">COUNTIFS($R:$R,I$3,$AC:$AC,"Core")</f>
        <v>0</v>
      </c>
      <c r="J4" s="3">
        <f t="shared" si="0"/>
        <v>0</v>
      </c>
      <c r="K4" s="3">
        <f t="shared" si="0"/>
        <v>0</v>
      </c>
      <c r="L4" s="3">
        <f t="shared" si="0"/>
        <v>3</v>
      </c>
      <c r="M4" s="3">
        <f t="shared" si="0"/>
        <v>0</v>
      </c>
      <c r="N4" s="3">
        <f t="shared" si="0"/>
        <v>0</v>
      </c>
      <c r="O4" s="4" t="s">
        <v>24</v>
      </c>
      <c r="P4" s="7">
        <f>COUNTIF($AF:$AF,$O$4)</f>
        <v>0</v>
      </c>
      <c r="Q4" s="7">
        <f>COUNTIF('Main Data'!$Y:$Y,Summary!$O4)</f>
        <v>1</v>
      </c>
      <c r="R4" s="20"/>
      <c r="S4" s="35"/>
      <c r="T4" s="11">
        <v>30</v>
      </c>
      <c r="U4" s="11">
        <v>10</v>
      </c>
      <c r="V4" s="10" t="s">
        <v>27</v>
      </c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x14ac:dyDescent="0.25">
      <c r="A5" s="24" t="s">
        <v>19</v>
      </c>
      <c r="B5" s="20"/>
      <c r="C5" s="20"/>
      <c r="D5" s="38" t="s">
        <v>29</v>
      </c>
      <c r="E5" s="38"/>
      <c r="F5" s="38"/>
      <c r="G5" s="38"/>
      <c r="H5" s="32" t="s">
        <v>41</v>
      </c>
      <c r="I5" s="32" t="s">
        <v>55</v>
      </c>
      <c r="J5" s="32" t="s">
        <v>21</v>
      </c>
      <c r="K5" s="32" t="s">
        <v>56</v>
      </c>
      <c r="L5" s="32" t="s">
        <v>26</v>
      </c>
      <c r="M5" s="32" t="s">
        <v>31</v>
      </c>
      <c r="N5" s="32" t="s">
        <v>49</v>
      </c>
      <c r="O5" s="5" t="s">
        <v>52</v>
      </c>
      <c r="P5" s="8">
        <f>COUNTIF($AF:$AF,$O$5)</f>
        <v>0</v>
      </c>
      <c r="Q5" s="8">
        <f>COUNTIF('Main Data'!$Y:$Y,Summary!$O5)</f>
        <v>0</v>
      </c>
      <c r="R5" s="20"/>
      <c r="S5" s="35"/>
      <c r="T5" s="11">
        <v>10</v>
      </c>
      <c r="U5" s="11">
        <v>60</v>
      </c>
      <c r="V5" s="10" t="s">
        <v>21</v>
      </c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x14ac:dyDescent="0.25">
      <c r="A6" s="25" t="s">
        <v>158</v>
      </c>
      <c r="B6" s="20"/>
      <c r="C6" s="20"/>
      <c r="D6" s="39">
        <f>COUNTIF($AC:$AC,"Non-Core")</f>
        <v>0</v>
      </c>
      <c r="E6" s="39"/>
      <c r="F6" s="39"/>
      <c r="G6" s="39"/>
      <c r="H6" s="3">
        <f>COUNTIFS($R:$R,H$3,$AC:$AC,"Non-Core")</f>
        <v>0</v>
      </c>
      <c r="I6" s="3">
        <f t="shared" ref="I6:N6" si="1">COUNTIFS($R:$R,I$3,$AC:$AC,"Non-Core")</f>
        <v>0</v>
      </c>
      <c r="J6" s="3">
        <f t="shared" si="1"/>
        <v>0</v>
      </c>
      <c r="K6" s="3">
        <f t="shared" si="1"/>
        <v>0</v>
      </c>
      <c r="L6" s="3">
        <f t="shared" si="1"/>
        <v>0</v>
      </c>
      <c r="M6" s="3">
        <f t="shared" si="1"/>
        <v>0</v>
      </c>
      <c r="N6" s="3">
        <f t="shared" si="1"/>
        <v>0</v>
      </c>
      <c r="O6" s="6" t="s">
        <v>57</v>
      </c>
      <c r="P6" s="9">
        <f>COUNTIF($AF:$AF,$O$6)</f>
        <v>0</v>
      </c>
      <c r="Q6" s="9">
        <f>COUNTIF('Main Data'!$Y:$Y,Summary!$O6)</f>
        <v>0</v>
      </c>
      <c r="R6" s="20"/>
      <c r="S6" s="35"/>
      <c r="T6" s="37">
        <f>T3*Ref.!$N$5+T4*Ref.!$N$6+T5*Ref.!$N$7+U3*Ref.!$O$5+U4*Ref.!$O$6+U5*Ref.!$O$7</f>
        <v>7800</v>
      </c>
      <c r="U6" s="37"/>
      <c r="V6" s="33" t="s">
        <v>204</v>
      </c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x14ac:dyDescent="0.25">
      <c r="A7" s="20"/>
      <c r="B7" s="20"/>
      <c r="C7" s="20"/>
      <c r="D7" s="40"/>
      <c r="E7" s="40"/>
      <c r="F7" s="40"/>
      <c r="G7" s="40"/>
      <c r="I7" s="20"/>
      <c r="J7" s="20"/>
      <c r="K7" s="20"/>
      <c r="L7" s="20"/>
      <c r="M7" s="20"/>
      <c r="N7" s="20"/>
      <c r="O7" s="20"/>
      <c r="P7" s="20"/>
      <c r="Q7" s="20"/>
      <c r="R7" s="20"/>
      <c r="S7" s="35"/>
      <c r="T7" s="36">
        <f>T6/480</f>
        <v>16.25</v>
      </c>
      <c r="U7" s="36"/>
      <c r="V7" s="34" t="s">
        <v>157</v>
      </c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idden="1" x14ac:dyDescent="0.25"/>
    <row r="10" spans="1:33" hidden="1" x14ac:dyDescent="0.25"/>
    <row r="11" spans="1:33" hidden="1" x14ac:dyDescent="0.25"/>
    <row r="12" spans="1:33" hidden="1" x14ac:dyDescent="0.25"/>
    <row r="13" spans="1:33" hidden="1" x14ac:dyDescent="0.25"/>
    <row r="14" spans="1:33" hidden="1" x14ac:dyDescent="0.25"/>
    <row r="15" spans="1:33" hidden="1" x14ac:dyDescent="0.25"/>
    <row r="16" spans="1:33" hidden="1" x14ac:dyDescent="0.25"/>
    <row r="17" spans="1:33" hidden="1" x14ac:dyDescent="0.25"/>
    <row r="18" spans="1:33" hidden="1" x14ac:dyDescent="0.25">
      <c r="B18">
        <f>SUM(COUNTIFS(Main_Data[EquityPartner],$A18,Main_Data[MineStage],{"Feasibility","Prefeasibility"}))</f>
        <v>0</v>
      </c>
      <c r="C18">
        <f>COUNTIFS(Main_Data[EquityPartner],$A18,Main_Data[MineStage],$C$19)</f>
        <v>0</v>
      </c>
      <c r="D18">
        <f>COUNTIFS(Main_Data[EquityPartner],$A18,Main_Data[MineStage],$D$19)</f>
        <v>0</v>
      </c>
      <c r="E18">
        <f>SUM(COUNTIFS(Main_Data[EquityPartner],$A18,Main_Data[MineStage],{"Operation","Closure","Suspended"}))</f>
        <v>0</v>
      </c>
    </row>
    <row r="19" spans="1:33" ht="26.25" customHeight="1" x14ac:dyDescent="0.25">
      <c r="A19" s="1" t="s">
        <v>149</v>
      </c>
      <c r="B19" s="1" t="s">
        <v>150</v>
      </c>
      <c r="C19" s="1" t="s">
        <v>21</v>
      </c>
      <c r="D19" s="1" t="s">
        <v>56</v>
      </c>
      <c r="E19" s="1" t="s">
        <v>218</v>
      </c>
      <c r="H19" s="1" t="s">
        <v>0</v>
      </c>
      <c r="I19" s="1" t="s">
        <v>1</v>
      </c>
      <c r="J19" s="1" t="s">
        <v>2</v>
      </c>
      <c r="K19" s="1" t="s">
        <v>3</v>
      </c>
      <c r="L19" s="1" t="s">
        <v>4</v>
      </c>
      <c r="M19" s="1" t="s">
        <v>5</v>
      </c>
      <c r="N19" s="1" t="s">
        <v>6</v>
      </c>
      <c r="O19" s="1" t="s">
        <v>7</v>
      </c>
      <c r="P19" s="1" t="s">
        <v>205</v>
      </c>
      <c r="Q19" s="1" t="s">
        <v>206</v>
      </c>
      <c r="R19" s="1" t="s">
        <v>8</v>
      </c>
      <c r="S19" s="1" t="s">
        <v>9</v>
      </c>
      <c r="T19" s="1" t="s">
        <v>207</v>
      </c>
      <c r="U19" s="1" t="s">
        <v>10</v>
      </c>
      <c r="V19" s="1" t="s">
        <v>11</v>
      </c>
      <c r="W19" s="1" t="s">
        <v>12</v>
      </c>
      <c r="X19" s="1" t="s">
        <v>13</v>
      </c>
      <c r="Y19" s="1" t="s">
        <v>14</v>
      </c>
      <c r="Z19" s="1" t="s">
        <v>15</v>
      </c>
      <c r="AA19" s="1" t="s">
        <v>16</v>
      </c>
      <c r="AB19" s="1" t="s">
        <v>17</v>
      </c>
      <c r="AC19" s="1" t="s">
        <v>208</v>
      </c>
      <c r="AD19" s="27" t="s">
        <v>209</v>
      </c>
      <c r="AE19" s="27" t="s">
        <v>210</v>
      </c>
      <c r="AF19" s="1" t="s">
        <v>18</v>
      </c>
      <c r="AG19" s="1" t="s">
        <v>19</v>
      </c>
    </row>
    <row r="20" spans="1:33" x14ac:dyDescent="0.25">
      <c r="A20" s="28" t="s">
        <v>35</v>
      </c>
      <c r="B20" s="28">
        <v>64</v>
      </c>
      <c r="C20" s="28">
        <v>45</v>
      </c>
      <c r="D20" s="28">
        <v>4</v>
      </c>
      <c r="E20" s="28">
        <v>558</v>
      </c>
      <c r="H20" s="29" t="s">
        <v>0</v>
      </c>
      <c r="I20" s="29" t="s">
        <v>1</v>
      </c>
      <c r="J20" s="29" t="s">
        <v>2</v>
      </c>
      <c r="K20" s="29" t="s">
        <v>3</v>
      </c>
      <c r="L20" s="29" t="s">
        <v>4</v>
      </c>
      <c r="M20" s="29" t="s">
        <v>5</v>
      </c>
      <c r="N20" s="29" t="s">
        <v>6</v>
      </c>
      <c r="O20" s="29" t="s">
        <v>7</v>
      </c>
      <c r="P20" s="29" t="s">
        <v>205</v>
      </c>
      <c r="Q20" s="29" t="s">
        <v>206</v>
      </c>
      <c r="R20" s="29" t="s">
        <v>8</v>
      </c>
      <c r="S20" s="29" t="s">
        <v>9</v>
      </c>
      <c r="T20" s="29" t="s">
        <v>207</v>
      </c>
      <c r="U20" s="29" t="s">
        <v>10</v>
      </c>
      <c r="V20" s="29" t="s">
        <v>11</v>
      </c>
      <c r="W20" s="29" t="s">
        <v>12</v>
      </c>
      <c r="X20" s="29" t="s">
        <v>13</v>
      </c>
      <c r="Y20" s="29" t="s">
        <v>14</v>
      </c>
      <c r="Z20" s="29" t="s">
        <v>15</v>
      </c>
      <c r="AA20" s="29" t="s">
        <v>16</v>
      </c>
      <c r="AB20" s="29" t="s">
        <v>17</v>
      </c>
      <c r="AC20" s="29" t="s">
        <v>208</v>
      </c>
      <c r="AD20" s="30" t="s">
        <v>209</v>
      </c>
      <c r="AE20" s="30" t="s">
        <v>210</v>
      </c>
      <c r="AF20" s="29" t="s">
        <v>18</v>
      </c>
      <c r="AG20" s="29" t="s">
        <v>19</v>
      </c>
    </row>
    <row r="21" spans="1:33" x14ac:dyDescent="0.25">
      <c r="A21" s="21" t="s">
        <v>72</v>
      </c>
      <c r="B21" s="21">
        <v>0</v>
      </c>
      <c r="C21" s="21">
        <v>22</v>
      </c>
      <c r="D21" s="21">
        <v>0</v>
      </c>
      <c r="E21" s="21">
        <v>238</v>
      </c>
      <c r="H21">
        <v>3840</v>
      </c>
      <c r="I21" t="s">
        <v>107</v>
      </c>
      <c r="J21" t="s">
        <v>32</v>
      </c>
      <c r="K21" t="s">
        <v>33</v>
      </c>
      <c r="L21" t="s">
        <v>66</v>
      </c>
      <c r="M21" t="s">
        <v>87</v>
      </c>
      <c r="N21">
        <v>23.748954999999999</v>
      </c>
      <c r="O21">
        <v>86.422270999999995</v>
      </c>
      <c r="P21" t="s">
        <v>34</v>
      </c>
      <c r="Q21" t="s">
        <v>20</v>
      </c>
      <c r="R21" t="s">
        <v>26</v>
      </c>
      <c r="S21" t="s">
        <v>27</v>
      </c>
      <c r="T21" t="s">
        <v>22</v>
      </c>
      <c r="U21" t="s">
        <v>30</v>
      </c>
      <c r="V21" t="s">
        <v>35</v>
      </c>
      <c r="AC21" t="s">
        <v>23</v>
      </c>
      <c r="AD21" s="26">
        <v>42430</v>
      </c>
      <c r="AE21" s="26">
        <v>42608</v>
      </c>
      <c r="AG21" t="s">
        <v>27</v>
      </c>
    </row>
    <row r="22" spans="1:33" x14ac:dyDescent="0.25">
      <c r="A22" s="21" t="s">
        <v>84</v>
      </c>
      <c r="B22" s="21">
        <v>23</v>
      </c>
      <c r="C22" s="21">
        <v>52</v>
      </c>
      <c r="D22" s="21">
        <v>5</v>
      </c>
      <c r="E22" s="21">
        <v>108</v>
      </c>
      <c r="H22">
        <v>3841</v>
      </c>
      <c r="I22" t="s">
        <v>145</v>
      </c>
      <c r="J22" t="s">
        <v>32</v>
      </c>
      <c r="K22" t="s">
        <v>33</v>
      </c>
      <c r="L22" t="s">
        <v>66</v>
      </c>
      <c r="M22" t="s">
        <v>116</v>
      </c>
      <c r="N22">
        <v>23.718823</v>
      </c>
      <c r="O22">
        <v>86.438046999999997</v>
      </c>
      <c r="P22" t="s">
        <v>50</v>
      </c>
      <c r="Q22" t="s">
        <v>40</v>
      </c>
      <c r="R22" t="s">
        <v>26</v>
      </c>
      <c r="S22" t="s">
        <v>27</v>
      </c>
      <c r="T22" t="s">
        <v>22</v>
      </c>
      <c r="U22" t="s">
        <v>30</v>
      </c>
      <c r="V22" t="s">
        <v>35</v>
      </c>
      <c r="AC22" t="s">
        <v>23</v>
      </c>
      <c r="AD22" s="26">
        <v>42580</v>
      </c>
      <c r="AE22" s="26">
        <v>42425</v>
      </c>
      <c r="AG22" t="s">
        <v>27</v>
      </c>
    </row>
    <row r="23" spans="1:33" x14ac:dyDescent="0.25">
      <c r="A23" s="21"/>
      <c r="B23" s="21"/>
      <c r="C23" s="21"/>
      <c r="D23" s="21"/>
      <c r="E23" s="21"/>
      <c r="H23">
        <v>3845</v>
      </c>
      <c r="I23" t="s">
        <v>136</v>
      </c>
      <c r="J23" t="s">
        <v>32</v>
      </c>
      <c r="K23" t="s">
        <v>33</v>
      </c>
      <c r="L23" t="s">
        <v>89</v>
      </c>
      <c r="M23" t="s">
        <v>117</v>
      </c>
      <c r="N23">
        <v>23.440605999999999</v>
      </c>
      <c r="O23">
        <v>87.578592</v>
      </c>
      <c r="P23" t="s">
        <v>34</v>
      </c>
      <c r="Q23" t="s">
        <v>51</v>
      </c>
      <c r="R23" t="s">
        <v>26</v>
      </c>
      <c r="S23" t="s">
        <v>27</v>
      </c>
      <c r="T23" t="s">
        <v>22</v>
      </c>
      <c r="U23" t="s">
        <v>30</v>
      </c>
      <c r="V23" t="s">
        <v>35</v>
      </c>
      <c r="AC23" t="s">
        <v>23</v>
      </c>
      <c r="AD23" s="26">
        <v>42791</v>
      </c>
      <c r="AE23" s="26">
        <v>43019</v>
      </c>
      <c r="AG23" t="s">
        <v>27</v>
      </c>
    </row>
    <row r="24" spans="1:33" x14ac:dyDescent="0.25">
      <c r="A24" s="21"/>
      <c r="B24" s="21"/>
      <c r="C24" s="21"/>
      <c r="D24" s="21"/>
      <c r="E24" s="21"/>
    </row>
    <row r="25" spans="1:33" x14ac:dyDescent="0.25">
      <c r="A25" s="21"/>
      <c r="B25" s="21"/>
      <c r="C25" s="21"/>
      <c r="D25" s="21"/>
      <c r="E25" s="21"/>
    </row>
    <row r="26" spans="1:33" x14ac:dyDescent="0.25">
      <c r="A26" s="21"/>
      <c r="B26" s="21"/>
      <c r="C26" s="21"/>
      <c r="D26" s="21"/>
      <c r="E26" s="21"/>
    </row>
    <row r="27" spans="1:33" x14ac:dyDescent="0.25">
      <c r="A27" s="21"/>
      <c r="B27" s="21"/>
      <c r="C27" s="21"/>
      <c r="D27" s="21"/>
      <c r="E27" s="21"/>
    </row>
    <row r="28" spans="1:33" x14ac:dyDescent="0.25">
      <c r="A28" s="21"/>
      <c r="B28" s="21"/>
      <c r="C28" s="21"/>
      <c r="D28" s="21"/>
      <c r="E28" s="21"/>
    </row>
    <row r="29" spans="1:33" x14ac:dyDescent="0.25">
      <c r="A29" s="21"/>
      <c r="B29" s="21"/>
      <c r="C29" s="21"/>
      <c r="D29" s="21"/>
      <c r="E29" s="21"/>
    </row>
    <row r="30" spans="1:33" x14ac:dyDescent="0.25">
      <c r="A30" s="21"/>
      <c r="B30" s="21"/>
      <c r="C30" s="21"/>
      <c r="D30" s="21"/>
      <c r="E30" s="21"/>
    </row>
    <row r="31" spans="1:33" x14ac:dyDescent="0.25">
      <c r="A31" s="21"/>
      <c r="B31" s="21"/>
      <c r="C31" s="21"/>
      <c r="D31" s="21"/>
      <c r="E31" s="21"/>
    </row>
    <row r="32" spans="1:33" x14ac:dyDescent="0.25">
      <c r="A32" s="21"/>
      <c r="B32" s="21"/>
      <c r="C32" s="21"/>
      <c r="D32" s="21"/>
      <c r="E32" s="21"/>
    </row>
    <row r="33" spans="1:5" x14ac:dyDescent="0.25">
      <c r="A33" s="21"/>
      <c r="B33" s="21"/>
      <c r="C33" s="21"/>
      <c r="D33" s="21"/>
      <c r="E33" s="21"/>
    </row>
    <row r="34" spans="1:5" x14ac:dyDescent="0.25">
      <c r="A34" s="21"/>
      <c r="B34" s="21"/>
      <c r="C34" s="21"/>
      <c r="D34" s="21"/>
      <c r="E34" s="21"/>
    </row>
    <row r="35" spans="1:5" x14ac:dyDescent="0.25">
      <c r="A35" s="21"/>
      <c r="B35" s="21"/>
      <c r="C35" s="21"/>
      <c r="D35" s="21"/>
      <c r="E35" s="21"/>
    </row>
    <row r="36" spans="1:5" x14ac:dyDescent="0.25">
      <c r="A36" s="21"/>
      <c r="B36" s="21"/>
      <c r="C36" s="21"/>
      <c r="D36" s="21"/>
      <c r="E36" s="21"/>
    </row>
    <row r="37" spans="1:5" x14ac:dyDescent="0.25">
      <c r="A37" s="21"/>
      <c r="B37" s="21"/>
      <c r="C37" s="21"/>
      <c r="D37" s="21"/>
      <c r="E37" s="21"/>
    </row>
    <row r="38" spans="1:5" x14ac:dyDescent="0.25">
      <c r="A38" s="21"/>
      <c r="B38" s="21"/>
      <c r="C38" s="21"/>
      <c r="D38" s="21"/>
      <c r="E38" s="21"/>
    </row>
    <row r="39" spans="1:5" x14ac:dyDescent="0.25">
      <c r="A39" s="21"/>
      <c r="B39" s="21"/>
      <c r="C39" s="21"/>
      <c r="D39" s="21"/>
      <c r="E39" s="21"/>
    </row>
    <row r="40" spans="1:5" x14ac:dyDescent="0.25">
      <c r="A40" s="21"/>
      <c r="B40" s="21"/>
      <c r="C40" s="21"/>
      <c r="D40" s="21"/>
      <c r="E40" s="21"/>
    </row>
    <row r="41" spans="1:5" x14ac:dyDescent="0.25">
      <c r="A41" s="21"/>
      <c r="B41" s="21"/>
      <c r="C41" s="21"/>
      <c r="D41" s="21"/>
      <c r="E41" s="21"/>
    </row>
    <row r="42" spans="1:5" x14ac:dyDescent="0.25">
      <c r="A42" s="21"/>
      <c r="B42" s="21"/>
      <c r="C42" s="21"/>
      <c r="D42" s="21"/>
      <c r="E42" s="21"/>
    </row>
    <row r="43" spans="1:5" x14ac:dyDescent="0.25">
      <c r="A43" s="21"/>
      <c r="B43" s="21"/>
      <c r="C43" s="21"/>
      <c r="D43" s="21"/>
      <c r="E43" s="21"/>
    </row>
    <row r="44" spans="1:5" x14ac:dyDescent="0.25">
      <c r="A44" s="21"/>
      <c r="B44" s="21"/>
      <c r="C44" s="21"/>
      <c r="D44" s="21"/>
      <c r="E44" s="21"/>
    </row>
    <row r="45" spans="1:5" x14ac:dyDescent="0.25">
      <c r="A45" s="21"/>
      <c r="B45" s="21"/>
      <c r="C45" s="21"/>
      <c r="D45" s="21"/>
      <c r="E45" s="21"/>
    </row>
    <row r="46" spans="1:5" x14ac:dyDescent="0.25">
      <c r="A46" s="21"/>
      <c r="B46" s="21"/>
      <c r="C46" s="21"/>
      <c r="D46" s="21"/>
      <c r="E46" s="21"/>
    </row>
    <row r="47" spans="1:5" x14ac:dyDescent="0.25">
      <c r="A47" s="21"/>
      <c r="B47" s="21"/>
      <c r="C47" s="21"/>
      <c r="D47" s="21"/>
      <c r="E47" s="21"/>
    </row>
    <row r="48" spans="1:5" x14ac:dyDescent="0.25">
      <c r="A48" s="21"/>
      <c r="B48" s="21"/>
      <c r="C48" s="21"/>
      <c r="D48" s="21"/>
      <c r="E48" s="21"/>
    </row>
    <row r="49" spans="1:5" x14ac:dyDescent="0.25">
      <c r="A49" s="21"/>
      <c r="B49" s="21"/>
      <c r="C49" s="21"/>
      <c r="D49" s="21"/>
      <c r="E49" s="21"/>
    </row>
    <row r="50" spans="1:5" x14ac:dyDescent="0.25">
      <c r="A50" s="21"/>
      <c r="B50" s="21"/>
      <c r="C50" s="21"/>
      <c r="D50" s="21"/>
      <c r="E50" s="21"/>
    </row>
    <row r="51" spans="1:5" x14ac:dyDescent="0.25">
      <c r="A51" s="21"/>
      <c r="B51" s="21"/>
      <c r="C51" s="21"/>
      <c r="D51" s="21"/>
      <c r="E51" s="21"/>
    </row>
    <row r="52" spans="1:5" x14ac:dyDescent="0.25">
      <c r="A52" s="21"/>
      <c r="B52" s="21"/>
      <c r="C52" s="21"/>
      <c r="D52" s="21"/>
      <c r="E52" s="21"/>
    </row>
    <row r="53" spans="1:5" x14ac:dyDescent="0.25">
      <c r="A53" s="21"/>
      <c r="B53" s="21"/>
      <c r="C53" s="21"/>
      <c r="D53" s="21"/>
      <c r="E53" s="21"/>
    </row>
    <row r="54" spans="1:5" x14ac:dyDescent="0.25">
      <c r="A54" s="21"/>
      <c r="B54" s="21"/>
      <c r="C54" s="21"/>
      <c r="D54" s="21"/>
      <c r="E54" s="21"/>
    </row>
    <row r="55" spans="1:5" x14ac:dyDescent="0.25">
      <c r="A55" s="21"/>
      <c r="B55" s="21"/>
      <c r="C55" s="21"/>
      <c r="D55" s="21"/>
      <c r="E55" s="21"/>
    </row>
    <row r="56" spans="1:5" x14ac:dyDescent="0.25">
      <c r="A56" s="21"/>
      <c r="B56" s="21"/>
      <c r="C56" s="21"/>
      <c r="D56" s="21"/>
      <c r="E56" s="21"/>
    </row>
    <row r="57" spans="1:5" x14ac:dyDescent="0.25">
      <c r="A57" s="21"/>
      <c r="B57" s="21"/>
      <c r="C57" s="21"/>
      <c r="D57" s="21"/>
      <c r="E57" s="21"/>
    </row>
    <row r="58" spans="1:5" x14ac:dyDescent="0.25">
      <c r="A58" s="21"/>
      <c r="B58" s="21"/>
      <c r="C58" s="21"/>
      <c r="D58" s="21"/>
      <c r="E58" s="21"/>
    </row>
    <row r="59" spans="1:5" x14ac:dyDescent="0.25">
      <c r="A59" s="21"/>
      <c r="B59" s="21"/>
      <c r="C59" s="21"/>
      <c r="D59" s="21"/>
      <c r="E59" s="21"/>
    </row>
    <row r="60" spans="1:5" x14ac:dyDescent="0.25">
      <c r="A60" s="21"/>
      <c r="B60" s="21"/>
      <c r="C60" s="21"/>
      <c r="D60" s="21"/>
      <c r="E60" s="21"/>
    </row>
    <row r="61" spans="1:5" x14ac:dyDescent="0.25">
      <c r="A61" s="21"/>
      <c r="B61" s="21"/>
      <c r="C61" s="21"/>
      <c r="D61" s="21"/>
      <c r="E61" s="21"/>
    </row>
    <row r="62" spans="1:5" x14ac:dyDescent="0.25">
      <c r="A62" s="21"/>
      <c r="B62" s="21"/>
      <c r="C62" s="21"/>
      <c r="D62" s="21"/>
      <c r="E62" s="21"/>
    </row>
    <row r="63" spans="1:5" x14ac:dyDescent="0.25">
      <c r="A63" s="21"/>
      <c r="B63" s="21"/>
      <c r="C63" s="21"/>
      <c r="D63" s="21"/>
      <c r="E63" s="21"/>
    </row>
    <row r="64" spans="1:5" x14ac:dyDescent="0.25">
      <c r="A64" s="21"/>
      <c r="B64" s="21"/>
      <c r="C64" s="21"/>
      <c r="D64" s="21"/>
      <c r="E64" s="21"/>
    </row>
    <row r="65" spans="1:5" x14ac:dyDescent="0.25">
      <c r="A65" s="21"/>
      <c r="B65" s="21"/>
      <c r="C65" s="21"/>
      <c r="D65" s="21"/>
      <c r="E65" s="21"/>
    </row>
    <row r="66" spans="1:5" x14ac:dyDescent="0.25">
      <c r="A66" s="21"/>
      <c r="B66" s="21"/>
      <c r="C66" s="21"/>
      <c r="D66" s="21"/>
      <c r="E66" s="21"/>
    </row>
    <row r="67" spans="1:5" x14ac:dyDescent="0.25">
      <c r="A67" s="21"/>
      <c r="B67" s="21"/>
      <c r="C67" s="21"/>
      <c r="D67" s="21"/>
      <c r="E67" s="21"/>
    </row>
    <row r="68" spans="1:5" x14ac:dyDescent="0.25">
      <c r="A68" s="21"/>
      <c r="B68" s="21"/>
      <c r="C68" s="21"/>
      <c r="D68" s="21"/>
      <c r="E68" s="21"/>
    </row>
    <row r="69" spans="1:5" x14ac:dyDescent="0.25">
      <c r="A69" s="21"/>
      <c r="B69" s="21"/>
      <c r="C69" s="21"/>
      <c r="D69" s="21"/>
      <c r="E69" s="21"/>
    </row>
    <row r="70" spans="1:5" x14ac:dyDescent="0.25">
      <c r="A70" s="21"/>
      <c r="B70" s="21"/>
      <c r="C70" s="21"/>
      <c r="D70" s="21"/>
      <c r="E70" s="21"/>
    </row>
    <row r="71" spans="1:5" x14ac:dyDescent="0.25">
      <c r="A71" s="21"/>
      <c r="B71" s="21"/>
      <c r="C71" s="21"/>
      <c r="D71" s="21"/>
      <c r="E71" s="21"/>
    </row>
    <row r="72" spans="1:5" x14ac:dyDescent="0.25">
      <c r="A72" s="21"/>
      <c r="B72" s="21"/>
      <c r="C72" s="21"/>
      <c r="D72" s="21"/>
      <c r="E72" s="21"/>
    </row>
    <row r="73" spans="1:5" x14ac:dyDescent="0.25">
      <c r="A73" s="21"/>
      <c r="B73" s="21"/>
      <c r="C73" s="21"/>
      <c r="D73" s="21"/>
      <c r="E73" s="21"/>
    </row>
    <row r="74" spans="1:5" x14ac:dyDescent="0.25">
      <c r="A74" s="21"/>
      <c r="B74" s="21"/>
      <c r="C74" s="21"/>
      <c r="D74" s="21"/>
      <c r="E74" s="21"/>
    </row>
    <row r="75" spans="1:5" x14ac:dyDescent="0.25">
      <c r="A75" s="21"/>
      <c r="B75" s="21"/>
      <c r="C75" s="21"/>
      <c r="D75" s="21"/>
      <c r="E75" s="21"/>
    </row>
    <row r="76" spans="1:5" x14ac:dyDescent="0.25">
      <c r="A76" s="21"/>
      <c r="B76" s="21"/>
      <c r="C76" s="21"/>
      <c r="D76" s="21"/>
      <c r="E76" s="21"/>
    </row>
    <row r="77" spans="1:5" x14ac:dyDescent="0.25">
      <c r="A77" s="21"/>
      <c r="B77" s="21"/>
      <c r="C77" s="21"/>
      <c r="D77" s="21"/>
      <c r="E77" s="21"/>
    </row>
    <row r="78" spans="1:5" x14ac:dyDescent="0.25">
      <c r="A78" s="21"/>
      <c r="B78" s="21"/>
      <c r="C78" s="21"/>
      <c r="D78" s="21"/>
      <c r="E78" s="21"/>
    </row>
    <row r="79" spans="1:5" x14ac:dyDescent="0.25">
      <c r="A79" s="21"/>
      <c r="B79" s="21"/>
      <c r="C79" s="21"/>
      <c r="D79" s="21"/>
      <c r="E79" s="21"/>
    </row>
    <row r="80" spans="1:5" x14ac:dyDescent="0.25">
      <c r="A80" s="21"/>
      <c r="B80" s="21"/>
      <c r="C80" s="21"/>
      <c r="D80" s="21"/>
      <c r="E80" s="21"/>
    </row>
    <row r="81" spans="1:5" x14ac:dyDescent="0.25">
      <c r="A81" s="21"/>
      <c r="B81" s="21"/>
      <c r="C81" s="21"/>
      <c r="D81" s="21"/>
      <c r="E81" s="21"/>
    </row>
    <row r="82" spans="1:5" x14ac:dyDescent="0.25">
      <c r="A82" s="21"/>
      <c r="B82" s="21"/>
      <c r="C82" s="21"/>
      <c r="D82" s="21"/>
      <c r="E82" s="21"/>
    </row>
    <row r="83" spans="1:5" x14ac:dyDescent="0.25">
      <c r="A83" s="21"/>
      <c r="B83" s="21"/>
      <c r="C83" s="21"/>
      <c r="D83" s="21"/>
      <c r="E83" s="21"/>
    </row>
    <row r="84" spans="1:5" x14ac:dyDescent="0.25">
      <c r="A84" s="21"/>
      <c r="B84" s="21"/>
      <c r="C84" s="21"/>
      <c r="D84" s="21"/>
      <c r="E84" s="21"/>
    </row>
    <row r="85" spans="1:5" x14ac:dyDescent="0.25">
      <c r="A85" s="21"/>
      <c r="B85" s="21"/>
      <c r="C85" s="21"/>
      <c r="D85" s="21"/>
      <c r="E85" s="21"/>
    </row>
    <row r="86" spans="1:5" x14ac:dyDescent="0.25">
      <c r="A86" s="21"/>
      <c r="B86" s="21"/>
      <c r="C86" s="21"/>
      <c r="D86" s="21"/>
      <c r="E86" s="21"/>
    </row>
    <row r="87" spans="1:5" x14ac:dyDescent="0.25">
      <c r="A87" s="21"/>
      <c r="B87" s="21"/>
      <c r="C87" s="21"/>
      <c r="D87" s="21"/>
      <c r="E87" s="21"/>
    </row>
    <row r="88" spans="1:5" x14ac:dyDescent="0.25">
      <c r="A88" s="21"/>
      <c r="B88" s="21"/>
      <c r="C88" s="21"/>
      <c r="D88" s="21"/>
      <c r="E88" s="21"/>
    </row>
    <row r="89" spans="1:5" x14ac:dyDescent="0.25">
      <c r="A89" s="21"/>
      <c r="B89" s="21"/>
      <c r="C89" s="21"/>
      <c r="D89" s="21"/>
      <c r="E89" s="21"/>
    </row>
    <row r="90" spans="1:5" x14ac:dyDescent="0.25">
      <c r="A90" s="21"/>
      <c r="B90" s="21"/>
      <c r="C90" s="21"/>
      <c r="D90" s="21"/>
      <c r="E90" s="21"/>
    </row>
    <row r="91" spans="1:5" x14ac:dyDescent="0.25">
      <c r="A91" s="21"/>
      <c r="B91" s="21"/>
      <c r="C91" s="21"/>
      <c r="D91" s="21"/>
      <c r="E91" s="21"/>
    </row>
    <row r="92" spans="1:5" x14ac:dyDescent="0.25">
      <c r="A92" s="21"/>
      <c r="B92" s="21"/>
      <c r="C92" s="21"/>
      <c r="D92" s="21"/>
      <c r="E92" s="21"/>
    </row>
    <row r="93" spans="1:5" x14ac:dyDescent="0.25">
      <c r="A93" s="21"/>
      <c r="B93" s="21"/>
      <c r="C93" s="21"/>
      <c r="D93" s="21"/>
      <c r="E93" s="21"/>
    </row>
    <row r="94" spans="1:5" x14ac:dyDescent="0.25">
      <c r="A94" s="21"/>
      <c r="B94" s="21"/>
      <c r="C94" s="21"/>
      <c r="D94" s="21"/>
      <c r="E94" s="21"/>
    </row>
    <row r="95" spans="1:5" x14ac:dyDescent="0.25">
      <c r="A95" s="21"/>
      <c r="B95" s="21"/>
      <c r="C95" s="21"/>
      <c r="D95" s="21"/>
      <c r="E95" s="21"/>
    </row>
    <row r="96" spans="1:5" x14ac:dyDescent="0.25">
      <c r="A96" s="21"/>
      <c r="B96" s="21"/>
      <c r="C96" s="21"/>
      <c r="D96" s="21"/>
      <c r="E96" s="21"/>
    </row>
    <row r="97" spans="1:5" x14ac:dyDescent="0.25">
      <c r="A97" s="21"/>
      <c r="B97" s="21"/>
      <c r="C97" s="21"/>
      <c r="D97" s="21"/>
      <c r="E97" s="21"/>
    </row>
    <row r="98" spans="1:5" x14ac:dyDescent="0.25">
      <c r="A98" s="21"/>
      <c r="B98" s="21"/>
      <c r="C98" s="21"/>
      <c r="D98" s="21"/>
      <c r="E98" s="21"/>
    </row>
    <row r="99" spans="1:5" x14ac:dyDescent="0.25">
      <c r="A99" s="21"/>
      <c r="B99" s="21"/>
      <c r="C99" s="21"/>
      <c r="D99" s="21"/>
      <c r="E99" s="21"/>
    </row>
    <row r="100" spans="1:5" x14ac:dyDescent="0.25">
      <c r="A100" s="21"/>
      <c r="B100" s="21"/>
      <c r="C100" s="21"/>
      <c r="D100" s="21"/>
      <c r="E100" s="21"/>
    </row>
    <row r="101" spans="1:5" x14ac:dyDescent="0.25">
      <c r="A101" s="21"/>
      <c r="B101" s="21"/>
      <c r="C101" s="21"/>
      <c r="D101" s="21"/>
      <c r="E101" s="21"/>
    </row>
    <row r="102" spans="1:5" x14ac:dyDescent="0.25">
      <c r="A102" s="21"/>
      <c r="B102" s="21"/>
      <c r="C102" s="21"/>
      <c r="D102" s="21"/>
      <c r="E102" s="21"/>
    </row>
    <row r="103" spans="1:5" x14ac:dyDescent="0.25">
      <c r="A103" s="21"/>
      <c r="B103" s="21"/>
      <c r="C103" s="21"/>
      <c r="D103" s="21"/>
      <c r="E103" s="21"/>
    </row>
    <row r="104" spans="1:5" x14ac:dyDescent="0.25">
      <c r="A104" s="21"/>
      <c r="B104" s="21"/>
      <c r="C104" s="21"/>
      <c r="D104" s="21"/>
      <c r="E104" s="21"/>
    </row>
    <row r="105" spans="1:5" x14ac:dyDescent="0.25">
      <c r="A105" s="21"/>
      <c r="B105" s="21"/>
      <c r="C105" s="21"/>
      <c r="D105" s="21"/>
      <c r="E105" s="21"/>
    </row>
    <row r="106" spans="1:5" x14ac:dyDescent="0.25">
      <c r="A106" s="21"/>
      <c r="B106" s="21"/>
      <c r="C106" s="21"/>
      <c r="D106" s="21"/>
      <c r="E106" s="21"/>
    </row>
    <row r="107" spans="1:5" x14ac:dyDescent="0.25">
      <c r="A107" s="21"/>
      <c r="B107" s="21"/>
      <c r="C107" s="21"/>
      <c r="D107" s="21"/>
      <c r="E107" s="21"/>
    </row>
    <row r="108" spans="1:5" x14ac:dyDescent="0.25">
      <c r="A108" s="21"/>
      <c r="B108" s="21"/>
      <c r="C108" s="21"/>
      <c r="D108" s="21"/>
      <c r="E108" s="21"/>
    </row>
    <row r="109" spans="1:5" x14ac:dyDescent="0.25">
      <c r="A109" s="21"/>
      <c r="B109" s="21"/>
      <c r="C109" s="21"/>
      <c r="D109" s="21"/>
      <c r="E109" s="21"/>
    </row>
    <row r="110" spans="1:5" x14ac:dyDescent="0.25">
      <c r="A110" s="21"/>
      <c r="B110" s="21"/>
      <c r="C110" s="21"/>
      <c r="D110" s="21"/>
      <c r="E110" s="21"/>
    </row>
    <row r="111" spans="1:5" x14ac:dyDescent="0.25">
      <c r="A111" s="21"/>
      <c r="B111" s="21"/>
      <c r="C111" s="21"/>
      <c r="D111" s="21"/>
      <c r="E111" s="21"/>
    </row>
    <row r="112" spans="1:5" x14ac:dyDescent="0.25">
      <c r="A112" s="21"/>
      <c r="B112" s="21"/>
      <c r="C112" s="21"/>
      <c r="D112" s="21"/>
      <c r="E112" s="21"/>
    </row>
    <row r="113" spans="1:5" x14ac:dyDescent="0.25">
      <c r="A113" s="21"/>
      <c r="B113" s="21"/>
      <c r="C113" s="21"/>
      <c r="D113" s="21"/>
      <c r="E113" s="21"/>
    </row>
    <row r="114" spans="1:5" x14ac:dyDescent="0.25">
      <c r="A114" s="21"/>
      <c r="B114" s="21"/>
      <c r="C114" s="21"/>
      <c r="D114" s="21"/>
      <c r="E114" s="21"/>
    </row>
    <row r="115" spans="1:5" x14ac:dyDescent="0.25">
      <c r="A115" s="21"/>
      <c r="B115" s="21"/>
      <c r="C115" s="21"/>
      <c r="D115" s="21"/>
      <c r="E115" s="21"/>
    </row>
    <row r="116" spans="1:5" x14ac:dyDescent="0.25">
      <c r="A116" s="21"/>
      <c r="B116" s="21"/>
      <c r="C116" s="21"/>
      <c r="D116" s="21"/>
      <c r="E116" s="21"/>
    </row>
    <row r="117" spans="1:5" x14ac:dyDescent="0.25">
      <c r="A117" s="21"/>
      <c r="B117" s="21"/>
      <c r="C117" s="21"/>
      <c r="D117" s="21"/>
      <c r="E117" s="21"/>
    </row>
    <row r="118" spans="1:5" x14ac:dyDescent="0.25">
      <c r="A118" s="21"/>
      <c r="B118" s="21"/>
      <c r="C118" s="21"/>
      <c r="D118" s="21"/>
      <c r="E118" s="21"/>
    </row>
    <row r="119" spans="1:5" x14ac:dyDescent="0.25">
      <c r="A119" s="21"/>
      <c r="B119" s="21"/>
      <c r="C119" s="21"/>
      <c r="D119" s="21"/>
      <c r="E119" s="21"/>
    </row>
    <row r="120" spans="1:5" x14ac:dyDescent="0.25">
      <c r="A120" s="21"/>
      <c r="B120" s="21"/>
      <c r="C120" s="21"/>
      <c r="D120" s="21"/>
      <c r="E120" s="21"/>
    </row>
    <row r="121" spans="1:5" x14ac:dyDescent="0.25">
      <c r="A121" s="21"/>
      <c r="B121" s="21"/>
      <c r="C121" s="21"/>
      <c r="D121" s="21"/>
      <c r="E121" s="21"/>
    </row>
    <row r="122" spans="1:5" x14ac:dyDescent="0.25">
      <c r="A122" s="21"/>
      <c r="B122" s="21"/>
      <c r="C122" s="21"/>
      <c r="D122" s="21"/>
      <c r="E122" s="21"/>
    </row>
    <row r="123" spans="1:5" x14ac:dyDescent="0.25">
      <c r="A123" s="21"/>
      <c r="B123" s="21"/>
      <c r="C123" s="21"/>
      <c r="D123" s="21"/>
      <c r="E123" s="21"/>
    </row>
    <row r="124" spans="1:5" x14ac:dyDescent="0.25">
      <c r="A124" s="21"/>
      <c r="B124" s="21"/>
      <c r="C124" s="21"/>
      <c r="D124" s="21"/>
      <c r="E124" s="21"/>
    </row>
    <row r="125" spans="1:5" x14ac:dyDescent="0.25">
      <c r="A125" s="21"/>
      <c r="B125" s="21"/>
      <c r="C125" s="21"/>
      <c r="D125" s="21"/>
      <c r="E125" s="21"/>
    </row>
    <row r="126" spans="1:5" x14ac:dyDescent="0.25">
      <c r="A126" s="21"/>
      <c r="B126" s="21"/>
      <c r="C126" s="21"/>
      <c r="D126" s="21"/>
      <c r="E126" s="21"/>
    </row>
    <row r="127" spans="1:5" x14ac:dyDescent="0.25">
      <c r="A127" s="21"/>
      <c r="B127" s="21"/>
      <c r="C127" s="21"/>
      <c r="D127" s="21"/>
      <c r="E127" s="21"/>
    </row>
    <row r="128" spans="1:5" x14ac:dyDescent="0.25">
      <c r="A128" s="21"/>
      <c r="B128" s="21"/>
      <c r="C128" s="21"/>
      <c r="D128" s="21"/>
      <c r="E128" s="21"/>
    </row>
    <row r="129" spans="1:5" x14ac:dyDescent="0.25">
      <c r="A129" s="21"/>
      <c r="B129" s="21"/>
      <c r="C129" s="21"/>
      <c r="D129" s="21"/>
      <c r="E129" s="21"/>
    </row>
    <row r="130" spans="1:5" x14ac:dyDescent="0.25">
      <c r="A130" s="21"/>
      <c r="B130" s="21"/>
      <c r="C130" s="21"/>
      <c r="D130" s="21"/>
      <c r="E130" s="21"/>
    </row>
    <row r="131" spans="1:5" x14ac:dyDescent="0.25">
      <c r="A131" s="21"/>
      <c r="B131" s="21"/>
      <c r="C131" s="21"/>
      <c r="D131" s="21"/>
      <c r="E131" s="21"/>
    </row>
    <row r="132" spans="1:5" x14ac:dyDescent="0.25">
      <c r="A132" s="21"/>
      <c r="B132" s="21"/>
      <c r="C132" s="21"/>
      <c r="D132" s="21"/>
      <c r="E132" s="21"/>
    </row>
    <row r="133" spans="1:5" x14ac:dyDescent="0.25">
      <c r="A133" s="21"/>
      <c r="B133" s="21"/>
      <c r="C133" s="21"/>
      <c r="D133" s="21"/>
      <c r="E133" s="21"/>
    </row>
    <row r="134" spans="1:5" x14ac:dyDescent="0.25">
      <c r="A134" s="21"/>
      <c r="B134" s="21"/>
      <c r="C134" s="21"/>
      <c r="D134" s="21"/>
      <c r="E134" s="21"/>
    </row>
    <row r="135" spans="1:5" x14ac:dyDescent="0.25">
      <c r="A135" s="21"/>
      <c r="B135" s="21"/>
      <c r="C135" s="21"/>
      <c r="D135" s="21"/>
      <c r="E135" s="21"/>
    </row>
    <row r="136" spans="1:5" x14ac:dyDescent="0.25">
      <c r="A136" s="21"/>
      <c r="B136" s="21"/>
      <c r="C136" s="21"/>
      <c r="D136" s="21"/>
      <c r="E136" s="21"/>
    </row>
    <row r="137" spans="1:5" x14ac:dyDescent="0.25">
      <c r="A137" s="21"/>
      <c r="B137" s="21"/>
      <c r="C137" s="21"/>
      <c r="D137" s="21"/>
      <c r="E137" s="21"/>
    </row>
    <row r="138" spans="1:5" x14ac:dyDescent="0.25">
      <c r="A138" s="21"/>
      <c r="B138" s="21"/>
      <c r="C138" s="21"/>
      <c r="D138" s="21"/>
      <c r="E138" s="21"/>
    </row>
    <row r="139" spans="1:5" x14ac:dyDescent="0.25">
      <c r="A139" s="21"/>
      <c r="B139" s="21"/>
      <c r="C139" s="21"/>
      <c r="D139" s="21"/>
      <c r="E139" s="21"/>
    </row>
    <row r="140" spans="1:5" x14ac:dyDescent="0.25">
      <c r="A140" s="21"/>
      <c r="B140" s="21"/>
      <c r="C140" s="21"/>
      <c r="D140" s="21"/>
      <c r="E140" s="21"/>
    </row>
    <row r="141" spans="1:5" x14ac:dyDescent="0.25">
      <c r="A141" s="21"/>
      <c r="B141" s="21"/>
      <c r="C141" s="21"/>
      <c r="D141" s="21"/>
      <c r="E141" s="21"/>
    </row>
    <row r="142" spans="1:5" x14ac:dyDescent="0.25">
      <c r="A142" s="21"/>
      <c r="B142" s="21"/>
      <c r="C142" s="21"/>
      <c r="D142" s="21"/>
      <c r="E142" s="21"/>
    </row>
    <row r="143" spans="1:5" x14ac:dyDescent="0.25">
      <c r="A143" s="21"/>
      <c r="B143" s="21"/>
      <c r="C143" s="21"/>
      <c r="D143" s="21"/>
      <c r="E143" s="21"/>
    </row>
    <row r="144" spans="1:5" x14ac:dyDescent="0.25">
      <c r="A144" s="21"/>
      <c r="B144" s="21"/>
      <c r="C144" s="21"/>
      <c r="D144" s="21"/>
      <c r="E144" s="21"/>
    </row>
    <row r="145" spans="1:5" x14ac:dyDescent="0.25">
      <c r="A145" s="21"/>
      <c r="B145" s="21"/>
      <c r="C145" s="21"/>
      <c r="D145" s="21"/>
      <c r="E145" s="21"/>
    </row>
    <row r="146" spans="1:5" x14ac:dyDescent="0.25">
      <c r="A146" s="21"/>
      <c r="B146" s="21"/>
      <c r="C146" s="21"/>
      <c r="D146" s="21"/>
      <c r="E146" s="21"/>
    </row>
    <row r="147" spans="1:5" x14ac:dyDescent="0.25">
      <c r="A147" s="21"/>
      <c r="B147" s="21"/>
      <c r="C147" s="21"/>
      <c r="D147" s="21"/>
      <c r="E147" s="21"/>
    </row>
    <row r="148" spans="1:5" x14ac:dyDescent="0.25">
      <c r="A148" s="21"/>
      <c r="B148" s="21"/>
      <c r="C148" s="21"/>
      <c r="D148" s="21"/>
      <c r="E148" s="21"/>
    </row>
    <row r="149" spans="1:5" x14ac:dyDescent="0.25">
      <c r="A149" s="21"/>
      <c r="B149" s="21"/>
      <c r="C149" s="21"/>
      <c r="D149" s="21"/>
      <c r="E149" s="21"/>
    </row>
    <row r="150" spans="1:5" x14ac:dyDescent="0.25">
      <c r="A150" s="21"/>
      <c r="B150" s="21"/>
      <c r="C150" s="21"/>
      <c r="D150" s="21"/>
      <c r="E150" s="21"/>
    </row>
    <row r="151" spans="1:5" x14ac:dyDescent="0.25">
      <c r="A151" s="21"/>
      <c r="B151" s="21"/>
      <c r="C151" s="21"/>
      <c r="D151" s="21"/>
      <c r="E151" s="21"/>
    </row>
    <row r="152" spans="1:5" x14ac:dyDescent="0.25">
      <c r="A152" s="21"/>
      <c r="B152" s="21"/>
      <c r="C152" s="21"/>
      <c r="D152" s="21"/>
      <c r="E152" s="21"/>
    </row>
    <row r="153" spans="1:5" x14ac:dyDescent="0.25">
      <c r="A153" s="21"/>
      <c r="B153" s="21"/>
      <c r="C153" s="21"/>
      <c r="D153" s="21"/>
      <c r="E153" s="21"/>
    </row>
    <row r="154" spans="1:5" x14ac:dyDescent="0.25">
      <c r="A154" s="21"/>
      <c r="B154" s="21"/>
      <c r="C154" s="21"/>
      <c r="D154" s="21"/>
      <c r="E154" s="21"/>
    </row>
    <row r="155" spans="1:5" x14ac:dyDescent="0.25">
      <c r="A155" s="21"/>
      <c r="B155" s="21"/>
      <c r="C155" s="21"/>
      <c r="D155" s="21"/>
      <c r="E155" s="21"/>
    </row>
    <row r="156" spans="1:5" x14ac:dyDescent="0.25">
      <c r="A156" s="21"/>
      <c r="B156" s="21"/>
      <c r="C156" s="21"/>
      <c r="D156" s="21"/>
      <c r="E156" s="21"/>
    </row>
    <row r="157" spans="1:5" x14ac:dyDescent="0.25">
      <c r="A157" s="21"/>
      <c r="B157" s="21"/>
      <c r="C157" s="21"/>
      <c r="D157" s="21"/>
      <c r="E157" s="21"/>
    </row>
    <row r="158" spans="1:5" x14ac:dyDescent="0.25">
      <c r="A158" s="21"/>
      <c r="B158" s="21"/>
      <c r="C158" s="21"/>
      <c r="D158" s="21"/>
      <c r="E158" s="21"/>
    </row>
    <row r="159" spans="1:5" x14ac:dyDescent="0.25">
      <c r="A159" s="21"/>
      <c r="B159" s="21"/>
      <c r="C159" s="21"/>
      <c r="D159" s="21"/>
      <c r="E159" s="21"/>
    </row>
    <row r="160" spans="1:5" x14ac:dyDescent="0.25">
      <c r="A160" s="21"/>
      <c r="B160" s="21"/>
      <c r="C160" s="21"/>
      <c r="D160" s="21"/>
      <c r="E160" s="21"/>
    </row>
    <row r="161" spans="1:5" x14ac:dyDescent="0.25">
      <c r="A161" s="21"/>
      <c r="B161" s="21"/>
      <c r="C161" s="21"/>
      <c r="D161" s="21"/>
      <c r="E161" s="21"/>
    </row>
    <row r="162" spans="1:5" x14ac:dyDescent="0.25">
      <c r="A162" s="21"/>
      <c r="B162" s="21"/>
      <c r="C162" s="21"/>
      <c r="D162" s="21"/>
      <c r="E162" s="21"/>
    </row>
    <row r="163" spans="1:5" x14ac:dyDescent="0.25">
      <c r="A163" s="21"/>
      <c r="B163" s="21"/>
      <c r="C163" s="21"/>
      <c r="D163" s="21"/>
      <c r="E163" s="21"/>
    </row>
    <row r="164" spans="1:5" x14ac:dyDescent="0.25">
      <c r="A164" s="21"/>
      <c r="B164" s="21"/>
      <c r="C164" s="21"/>
      <c r="D164" s="21"/>
      <c r="E164" s="21"/>
    </row>
    <row r="165" spans="1:5" x14ac:dyDescent="0.25">
      <c r="A165" s="21"/>
      <c r="B165" s="21"/>
      <c r="C165" s="21"/>
      <c r="D165" s="21"/>
      <c r="E165" s="21"/>
    </row>
    <row r="166" spans="1:5" x14ac:dyDescent="0.25">
      <c r="A166" s="21"/>
      <c r="B166" s="21"/>
      <c r="C166" s="21"/>
      <c r="D166" s="21"/>
      <c r="E166" s="21"/>
    </row>
    <row r="167" spans="1:5" x14ac:dyDescent="0.25">
      <c r="A167" s="21"/>
      <c r="B167" s="21"/>
      <c r="C167" s="21"/>
      <c r="D167" s="21"/>
      <c r="E167" s="21"/>
    </row>
    <row r="168" spans="1:5" x14ac:dyDescent="0.25">
      <c r="A168" s="21"/>
      <c r="B168" s="21"/>
      <c r="C168" s="21"/>
      <c r="D168" s="21"/>
      <c r="E168" s="21"/>
    </row>
    <row r="169" spans="1:5" x14ac:dyDescent="0.25">
      <c r="A169" s="21"/>
      <c r="B169" s="21"/>
      <c r="C169" s="21"/>
      <c r="D169" s="21"/>
      <c r="E169" s="21"/>
    </row>
    <row r="170" spans="1:5" x14ac:dyDescent="0.25">
      <c r="A170" s="21"/>
      <c r="B170" s="21"/>
      <c r="C170" s="21"/>
      <c r="D170" s="21"/>
      <c r="E170" s="21"/>
    </row>
    <row r="171" spans="1:5" x14ac:dyDescent="0.25">
      <c r="A171" s="21"/>
      <c r="B171" s="21"/>
      <c r="C171" s="21"/>
      <c r="D171" s="21"/>
      <c r="E171" s="21"/>
    </row>
    <row r="172" spans="1:5" x14ac:dyDescent="0.25">
      <c r="A172" s="21"/>
      <c r="B172" s="21"/>
      <c r="C172" s="21"/>
      <c r="D172" s="21"/>
      <c r="E172" s="21"/>
    </row>
    <row r="173" spans="1:5" x14ac:dyDescent="0.25">
      <c r="A173" s="21"/>
      <c r="B173" s="21"/>
      <c r="C173" s="21"/>
      <c r="D173" s="21"/>
      <c r="E173" s="21"/>
    </row>
    <row r="174" spans="1:5" x14ac:dyDescent="0.25">
      <c r="A174" s="21"/>
      <c r="B174" s="21"/>
      <c r="C174" s="21"/>
      <c r="D174" s="21"/>
      <c r="E174" s="21"/>
    </row>
    <row r="175" spans="1:5" x14ac:dyDescent="0.25">
      <c r="A175" s="21"/>
      <c r="B175" s="21"/>
      <c r="C175" s="21"/>
      <c r="D175" s="21"/>
      <c r="E175" s="21"/>
    </row>
    <row r="176" spans="1:5" x14ac:dyDescent="0.25">
      <c r="A176" s="21"/>
      <c r="B176" s="21"/>
      <c r="C176" s="21"/>
      <c r="D176" s="21"/>
      <c r="E176" s="21"/>
    </row>
    <row r="177" spans="1:5" x14ac:dyDescent="0.25">
      <c r="A177" s="21"/>
      <c r="B177" s="21"/>
      <c r="C177" s="21"/>
      <c r="D177" s="21"/>
      <c r="E177" s="21"/>
    </row>
    <row r="178" spans="1:5" x14ac:dyDescent="0.25">
      <c r="A178" s="21"/>
      <c r="B178" s="21"/>
      <c r="C178" s="21"/>
      <c r="D178" s="21"/>
      <c r="E178" s="21"/>
    </row>
    <row r="179" spans="1:5" x14ac:dyDescent="0.25">
      <c r="A179" s="21"/>
      <c r="B179" s="21"/>
      <c r="C179" s="21"/>
      <c r="D179" s="21"/>
      <c r="E179" s="21"/>
    </row>
    <row r="180" spans="1:5" x14ac:dyDescent="0.25">
      <c r="A180" s="21"/>
      <c r="B180" s="21"/>
      <c r="C180" s="21"/>
      <c r="D180" s="21"/>
      <c r="E180" s="21"/>
    </row>
    <row r="181" spans="1:5" x14ac:dyDescent="0.25">
      <c r="A181" s="21"/>
      <c r="B181" s="21"/>
      <c r="C181" s="21"/>
      <c r="D181" s="21"/>
      <c r="E181" s="21"/>
    </row>
    <row r="182" spans="1:5" x14ac:dyDescent="0.25">
      <c r="A182" s="21"/>
      <c r="B182" s="21"/>
      <c r="C182" s="21"/>
      <c r="D182" s="21"/>
      <c r="E182" s="21"/>
    </row>
    <row r="183" spans="1:5" x14ac:dyDescent="0.25">
      <c r="A183" s="21"/>
      <c r="B183" s="21"/>
      <c r="C183" s="21"/>
      <c r="D183" s="21"/>
      <c r="E183" s="21"/>
    </row>
    <row r="184" spans="1:5" x14ac:dyDescent="0.25">
      <c r="A184" s="21"/>
      <c r="B184" s="21"/>
      <c r="C184" s="21"/>
      <c r="D184" s="21"/>
      <c r="E184" s="21"/>
    </row>
    <row r="185" spans="1:5" x14ac:dyDescent="0.25">
      <c r="A185" s="21"/>
      <c r="B185" s="21"/>
      <c r="C185" s="21"/>
      <c r="D185" s="21"/>
      <c r="E185" s="21"/>
    </row>
    <row r="186" spans="1:5" x14ac:dyDescent="0.25">
      <c r="A186" s="21"/>
      <c r="B186" s="21"/>
      <c r="C186" s="21"/>
      <c r="D186" s="21"/>
      <c r="E186" s="21"/>
    </row>
    <row r="187" spans="1:5" x14ac:dyDescent="0.25">
      <c r="A187" s="21"/>
      <c r="B187" s="21"/>
      <c r="C187" s="21"/>
      <c r="D187" s="21"/>
      <c r="E187" s="21"/>
    </row>
    <row r="188" spans="1:5" x14ac:dyDescent="0.25">
      <c r="A188" s="21"/>
      <c r="B188" s="21"/>
      <c r="C188" s="21"/>
      <c r="D188" s="21"/>
      <c r="E188" s="21"/>
    </row>
    <row r="189" spans="1:5" x14ac:dyDescent="0.25">
      <c r="A189" s="21"/>
      <c r="B189" s="21"/>
      <c r="C189" s="21"/>
      <c r="D189" s="21"/>
      <c r="E189" s="21"/>
    </row>
    <row r="190" spans="1:5" x14ac:dyDescent="0.25">
      <c r="A190" s="21"/>
      <c r="B190" s="21"/>
      <c r="C190" s="21"/>
      <c r="D190" s="21"/>
      <c r="E190" s="21"/>
    </row>
    <row r="191" spans="1:5" x14ac:dyDescent="0.25">
      <c r="A191" s="21"/>
      <c r="B191" s="21"/>
      <c r="C191" s="21"/>
      <c r="D191" s="21"/>
      <c r="E191" s="21"/>
    </row>
    <row r="192" spans="1:5" x14ac:dyDescent="0.25">
      <c r="A192" s="21"/>
      <c r="B192" s="21"/>
      <c r="C192" s="21"/>
      <c r="D192" s="21"/>
      <c r="E192" s="21"/>
    </row>
    <row r="193" spans="1:5" x14ac:dyDescent="0.25">
      <c r="A193" s="21"/>
      <c r="B193" s="21"/>
      <c r="C193" s="21"/>
      <c r="D193" s="21"/>
      <c r="E193" s="21"/>
    </row>
    <row r="194" spans="1:5" x14ac:dyDescent="0.25">
      <c r="A194" s="21"/>
      <c r="B194" s="21"/>
      <c r="C194" s="21"/>
      <c r="D194" s="21"/>
      <c r="E194" s="21"/>
    </row>
    <row r="195" spans="1:5" x14ac:dyDescent="0.25">
      <c r="A195" s="21"/>
      <c r="B195" s="21"/>
      <c r="C195" s="21"/>
      <c r="D195" s="21"/>
      <c r="E195" s="21"/>
    </row>
    <row r="196" spans="1:5" x14ac:dyDescent="0.25">
      <c r="A196" s="21"/>
      <c r="B196" s="21"/>
      <c r="C196" s="21"/>
      <c r="D196" s="21"/>
      <c r="E196" s="21"/>
    </row>
    <row r="197" spans="1:5" x14ac:dyDescent="0.25">
      <c r="A197" s="21"/>
      <c r="B197" s="21"/>
      <c r="C197" s="21"/>
      <c r="D197" s="21"/>
      <c r="E197" s="21"/>
    </row>
    <row r="198" spans="1:5" x14ac:dyDescent="0.25">
      <c r="A198" s="21"/>
      <c r="B198" s="21"/>
      <c r="C198" s="21"/>
      <c r="D198" s="21"/>
      <c r="E198" s="21"/>
    </row>
    <row r="199" spans="1:5" x14ac:dyDescent="0.25">
      <c r="A199" s="21"/>
      <c r="B199" s="21"/>
      <c r="C199" s="21"/>
      <c r="D199" s="21"/>
      <c r="E199" s="21"/>
    </row>
    <row r="200" spans="1:5" x14ac:dyDescent="0.25">
      <c r="A200" s="21"/>
      <c r="B200" s="21"/>
      <c r="C200" s="21"/>
      <c r="D200" s="21"/>
      <c r="E200" s="21"/>
    </row>
    <row r="201" spans="1:5" x14ac:dyDescent="0.25">
      <c r="A201" s="21"/>
      <c r="B201" s="21"/>
      <c r="C201" s="21"/>
      <c r="D201" s="21"/>
      <c r="E201" s="21"/>
    </row>
    <row r="202" spans="1:5" x14ac:dyDescent="0.25">
      <c r="A202" s="21"/>
      <c r="B202" s="21"/>
      <c r="C202" s="21"/>
      <c r="D202" s="21"/>
      <c r="E202" s="21"/>
    </row>
    <row r="203" spans="1:5" x14ac:dyDescent="0.25">
      <c r="A203" s="21"/>
      <c r="B203" s="21"/>
      <c r="C203" s="21"/>
      <c r="D203" s="21"/>
      <c r="E203" s="21"/>
    </row>
    <row r="204" spans="1:5" x14ac:dyDescent="0.25">
      <c r="A204" s="21"/>
      <c r="B204" s="21"/>
      <c r="C204" s="21"/>
      <c r="D204" s="21"/>
      <c r="E204" s="21"/>
    </row>
    <row r="205" spans="1:5" x14ac:dyDescent="0.25">
      <c r="A205" s="21"/>
      <c r="B205" s="21"/>
      <c r="C205" s="21"/>
      <c r="D205" s="21"/>
      <c r="E205" s="21"/>
    </row>
    <row r="206" spans="1:5" x14ac:dyDescent="0.25">
      <c r="A206" s="21"/>
      <c r="B206" s="21"/>
      <c r="C206" s="21"/>
      <c r="D206" s="21"/>
      <c r="E206" s="21"/>
    </row>
    <row r="207" spans="1:5" x14ac:dyDescent="0.25">
      <c r="A207" s="21"/>
      <c r="B207" s="21"/>
      <c r="C207" s="21"/>
      <c r="D207" s="21"/>
      <c r="E207" s="21"/>
    </row>
    <row r="208" spans="1:5" x14ac:dyDescent="0.25">
      <c r="A208" s="21"/>
      <c r="B208" s="21"/>
      <c r="C208" s="21"/>
      <c r="D208" s="21"/>
      <c r="E208" s="21"/>
    </row>
    <row r="209" spans="1:5" x14ac:dyDescent="0.25">
      <c r="A209" s="21"/>
      <c r="B209" s="21"/>
      <c r="C209" s="21"/>
      <c r="D209" s="21"/>
      <c r="E209" s="21"/>
    </row>
    <row r="210" spans="1:5" x14ac:dyDescent="0.25">
      <c r="A210" s="21"/>
      <c r="B210" s="21"/>
      <c r="C210" s="21"/>
      <c r="D210" s="21"/>
      <c r="E210" s="21"/>
    </row>
    <row r="211" spans="1:5" x14ac:dyDescent="0.25">
      <c r="A211" s="21"/>
      <c r="B211" s="21"/>
      <c r="C211" s="21"/>
      <c r="D211" s="21"/>
      <c r="E211" s="21"/>
    </row>
    <row r="212" spans="1:5" x14ac:dyDescent="0.25">
      <c r="A212" s="21"/>
      <c r="B212" s="21"/>
      <c r="C212" s="21"/>
      <c r="D212" s="21"/>
      <c r="E212" s="21"/>
    </row>
    <row r="213" spans="1:5" x14ac:dyDescent="0.25">
      <c r="A213" s="21"/>
      <c r="B213" s="21"/>
      <c r="C213" s="21"/>
      <c r="D213" s="21"/>
      <c r="E213" s="21"/>
    </row>
    <row r="214" spans="1:5" x14ac:dyDescent="0.25">
      <c r="A214" s="21"/>
      <c r="B214" s="21"/>
      <c r="C214" s="21"/>
      <c r="D214" s="21"/>
      <c r="E214" s="21"/>
    </row>
    <row r="215" spans="1:5" x14ac:dyDescent="0.25">
      <c r="A215" s="21"/>
      <c r="B215" s="21"/>
      <c r="C215" s="21"/>
      <c r="D215" s="21"/>
      <c r="E215" s="21"/>
    </row>
    <row r="216" spans="1:5" x14ac:dyDescent="0.25">
      <c r="A216" s="21"/>
      <c r="B216" s="21"/>
      <c r="C216" s="21"/>
      <c r="D216" s="21"/>
      <c r="E216" s="21"/>
    </row>
    <row r="217" spans="1:5" x14ac:dyDescent="0.25">
      <c r="A217" s="21"/>
      <c r="B217" s="21"/>
      <c r="C217" s="21"/>
      <c r="D217" s="21"/>
      <c r="E217" s="21"/>
    </row>
    <row r="218" spans="1:5" x14ac:dyDescent="0.25">
      <c r="A218" s="21"/>
      <c r="B218" s="21"/>
      <c r="C218" s="21"/>
      <c r="D218" s="21"/>
      <c r="E218" s="21"/>
    </row>
    <row r="219" spans="1:5" x14ac:dyDescent="0.25">
      <c r="A219" s="21"/>
      <c r="B219" s="21"/>
      <c r="C219" s="21"/>
      <c r="D219" s="21"/>
      <c r="E219" s="21"/>
    </row>
  </sheetData>
  <sortState ref="H21:AG23">
    <sortCondition ref="AF20"/>
  </sortState>
  <mergeCells count="10">
    <mergeCell ref="S2:S7"/>
    <mergeCell ref="T7:U7"/>
    <mergeCell ref="T6:U6"/>
    <mergeCell ref="D3:G3"/>
    <mergeCell ref="D4:G4"/>
    <mergeCell ref="D5:G5"/>
    <mergeCell ref="D6:G6"/>
    <mergeCell ref="D7:G7"/>
    <mergeCell ref="D2:H2"/>
    <mergeCell ref="I2:Q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bFBDate">
          <controlPr defaultSize="0" autoLine="0" r:id="rId5">
            <anchor moveWithCells="1">
              <from>
                <xdr:col>0</xdr:col>
                <xdr:colOff>1733550</xdr:colOff>
                <xdr:row>5</xdr:row>
                <xdr:rowOff>47625</xdr:rowOff>
              </from>
              <to>
                <xdr:col>0</xdr:col>
                <xdr:colOff>1866900</xdr:colOff>
                <xdr:row>5</xdr:row>
                <xdr:rowOff>171450</xdr:rowOff>
              </to>
            </anchor>
          </controlPr>
        </control>
      </mc:Choice>
      <mc:Fallback>
        <control shapeId="1029" r:id="rId4" name="cbFBDate"/>
      </mc:Fallback>
    </mc:AlternateContent>
    <mc:AlternateContent xmlns:mc="http://schemas.openxmlformats.org/markup-compatibility/2006">
      <mc:Choice Requires="x14">
        <control shapeId="1028" r:id="rId6" name="cbStage">
          <controlPr defaultSize="0" autoLine="0" r:id="rId5">
            <anchor moveWithCells="1">
              <from>
                <xdr:col>0</xdr:col>
                <xdr:colOff>1733550</xdr:colOff>
                <xdr:row>4</xdr:row>
                <xdr:rowOff>47625</xdr:rowOff>
              </from>
              <to>
                <xdr:col>0</xdr:col>
                <xdr:colOff>1866900</xdr:colOff>
                <xdr:row>4</xdr:row>
                <xdr:rowOff>171450</xdr:rowOff>
              </to>
            </anchor>
          </controlPr>
        </control>
      </mc:Choice>
      <mc:Fallback>
        <control shapeId="1028" r:id="rId6" name="cbStage"/>
      </mc:Fallback>
    </mc:AlternateContent>
    <mc:AlternateContent xmlns:mc="http://schemas.openxmlformats.org/markup-compatibility/2006">
      <mc:Choice Requires="x14">
        <control shapeId="1027" r:id="rId7" name="cbCommodity">
          <controlPr defaultSize="0" autoLine="0" r:id="rId5">
            <anchor moveWithCells="1">
              <from>
                <xdr:col>0</xdr:col>
                <xdr:colOff>1743075</xdr:colOff>
                <xdr:row>3</xdr:row>
                <xdr:rowOff>47625</xdr:rowOff>
              </from>
              <to>
                <xdr:col>0</xdr:col>
                <xdr:colOff>1876425</xdr:colOff>
                <xdr:row>3</xdr:row>
                <xdr:rowOff>171450</xdr:rowOff>
              </to>
            </anchor>
          </controlPr>
        </control>
      </mc:Choice>
      <mc:Fallback>
        <control shapeId="1027" r:id="rId7" name="cbCommodity"/>
      </mc:Fallback>
    </mc:AlternateContent>
    <mc:AlternateContent xmlns:mc="http://schemas.openxmlformats.org/markup-compatibility/2006">
      <mc:Choice Requires="x14">
        <control shapeId="1025" r:id="rId8" name="cbAll">
          <controlPr defaultSize="0" autoLine="0" r:id="rId9">
            <anchor moveWithCells="1">
              <from>
                <xdr:col>0</xdr:col>
                <xdr:colOff>1733550</xdr:colOff>
                <xdr:row>2</xdr:row>
                <xdr:rowOff>57150</xdr:rowOff>
              </from>
              <to>
                <xdr:col>0</xdr:col>
                <xdr:colOff>1876425</xdr:colOff>
                <xdr:row>2</xdr:row>
                <xdr:rowOff>180975</xdr:rowOff>
              </to>
            </anchor>
          </controlPr>
        </control>
      </mc:Choice>
      <mc:Fallback>
        <control shapeId="1025" r:id="rId8" name="cbAl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99"/>
  <sheetViews>
    <sheetView showGridLines="0" showRowColHeaders="0" zoomScaleNormal="100" workbookViewId="0">
      <selection activeCell="E6" sqref="E6"/>
    </sheetView>
  </sheetViews>
  <sheetFormatPr defaultRowHeight="15" x14ac:dyDescent="0.25"/>
  <cols>
    <col min="2" max="2" width="12.85546875" bestFit="1" customWidth="1"/>
    <col min="3" max="3" width="14.42578125" bestFit="1" customWidth="1"/>
    <col min="5" max="5" width="11.85546875" bestFit="1" customWidth="1"/>
    <col min="7" max="7" width="12.85546875" bestFit="1" customWidth="1"/>
    <col min="8" max="8" width="8.42578125" bestFit="1" customWidth="1"/>
    <col min="9" max="9" width="5.7109375" customWidth="1"/>
    <col min="10" max="10" width="6" customWidth="1"/>
    <col min="11" max="11" width="5.85546875" bestFit="1" customWidth="1"/>
    <col min="17" max="17" width="17.28515625" customWidth="1"/>
  </cols>
  <sheetData>
    <row r="2" spans="2:19" x14ac:dyDescent="0.25">
      <c r="B2" t="s">
        <v>159</v>
      </c>
      <c r="C2" t="s">
        <v>191</v>
      </c>
      <c r="R2">
        <f>COUNTIF(Main_Data[EquityPartner],$Q2)</f>
        <v>0</v>
      </c>
      <c r="S2">
        <f>RANK($R2,$R:$R,0)</f>
        <v>4</v>
      </c>
    </row>
    <row r="3" spans="2:19" x14ac:dyDescent="0.25">
      <c r="B3" s="43" t="s">
        <v>10</v>
      </c>
      <c r="C3" s="43"/>
      <c r="E3" s="13" t="s">
        <v>11</v>
      </c>
      <c r="G3" s="1" t="s">
        <v>8</v>
      </c>
      <c r="H3" s="4" t="s">
        <v>24</v>
      </c>
      <c r="I3" s="44" t="s">
        <v>52</v>
      </c>
      <c r="J3" s="45"/>
      <c r="K3" s="14" t="s">
        <v>57</v>
      </c>
      <c r="M3" s="46" t="s">
        <v>202</v>
      </c>
      <c r="N3" s="46"/>
      <c r="O3" s="46"/>
      <c r="Q3" s="47" t="s">
        <v>149</v>
      </c>
      <c r="R3" s="48"/>
      <c r="S3" s="11" t="s">
        <v>216</v>
      </c>
    </row>
    <row r="4" spans="2:19" x14ac:dyDescent="0.25">
      <c r="B4" s="12" t="s">
        <v>23</v>
      </c>
      <c r="C4" s="12" t="s">
        <v>29</v>
      </c>
      <c r="E4" t="s">
        <v>35</v>
      </c>
      <c r="G4" s="15" t="s">
        <v>41</v>
      </c>
      <c r="H4" s="11" t="s">
        <v>192</v>
      </c>
      <c r="I4" s="16" t="s">
        <v>193</v>
      </c>
      <c r="J4" s="17" t="s">
        <v>194</v>
      </c>
      <c r="K4" s="11" t="s">
        <v>195</v>
      </c>
      <c r="M4" s="18"/>
      <c r="N4" s="19" t="s">
        <v>155</v>
      </c>
      <c r="O4" s="19" t="s">
        <v>156</v>
      </c>
      <c r="Q4" s="19" t="s">
        <v>11</v>
      </c>
      <c r="R4" s="19" t="s">
        <v>214</v>
      </c>
      <c r="S4" s="19" t="s">
        <v>215</v>
      </c>
    </row>
    <row r="5" spans="2:19" x14ac:dyDescent="0.25">
      <c r="B5" t="s">
        <v>30</v>
      </c>
      <c r="C5" t="s">
        <v>74</v>
      </c>
      <c r="G5" s="15" t="s">
        <v>55</v>
      </c>
      <c r="H5" s="11" t="s">
        <v>192</v>
      </c>
      <c r="I5" s="16" t="s">
        <v>193</v>
      </c>
      <c r="J5" s="17" t="s">
        <v>194</v>
      </c>
      <c r="K5" s="11" t="s">
        <v>195</v>
      </c>
      <c r="M5" s="18" t="s">
        <v>42</v>
      </c>
      <c r="N5" s="11">
        <v>60</v>
      </c>
      <c r="O5" s="11">
        <v>40</v>
      </c>
      <c r="Q5" t="s">
        <v>35</v>
      </c>
      <c r="R5">
        <v>671</v>
      </c>
      <c r="S5">
        <v>1</v>
      </c>
    </row>
    <row r="6" spans="2:19" x14ac:dyDescent="0.25">
      <c r="B6" t="s">
        <v>44</v>
      </c>
      <c r="C6" t="s">
        <v>129</v>
      </c>
      <c r="E6" s="13" t="s">
        <v>18</v>
      </c>
      <c r="G6" s="15" t="s">
        <v>21</v>
      </c>
      <c r="H6" s="11" t="s">
        <v>196</v>
      </c>
      <c r="I6" s="16" t="s">
        <v>192</v>
      </c>
      <c r="J6" s="17" t="s">
        <v>197</v>
      </c>
      <c r="K6" s="11" t="s">
        <v>194</v>
      </c>
      <c r="M6" s="18" t="s">
        <v>27</v>
      </c>
      <c r="N6" s="11">
        <v>45</v>
      </c>
      <c r="O6" s="11">
        <v>40</v>
      </c>
      <c r="Q6" t="s">
        <v>72</v>
      </c>
      <c r="R6">
        <v>260</v>
      </c>
      <c r="S6">
        <v>2</v>
      </c>
    </row>
    <row r="7" spans="2:19" x14ac:dyDescent="0.25">
      <c r="B7" t="s">
        <v>90</v>
      </c>
      <c r="C7" t="s">
        <v>58</v>
      </c>
      <c r="E7" t="s">
        <v>24</v>
      </c>
      <c r="G7" s="15" t="s">
        <v>56</v>
      </c>
      <c r="H7" s="11" t="s">
        <v>198</v>
      </c>
      <c r="I7" s="16" t="s">
        <v>199</v>
      </c>
      <c r="J7" s="17" t="s">
        <v>200</v>
      </c>
      <c r="K7" s="11" t="s">
        <v>201</v>
      </c>
      <c r="M7" s="18" t="s">
        <v>21</v>
      </c>
      <c r="N7" s="11">
        <v>45</v>
      </c>
      <c r="O7" s="11">
        <v>30</v>
      </c>
      <c r="Q7" t="s">
        <v>84</v>
      </c>
      <c r="R7">
        <v>188</v>
      </c>
      <c r="S7">
        <v>3</v>
      </c>
    </row>
    <row r="8" spans="2:19" x14ac:dyDescent="0.25">
      <c r="B8" t="s">
        <v>61</v>
      </c>
      <c r="C8" t="s">
        <v>97</v>
      </c>
      <c r="G8" s="15" t="s">
        <v>26</v>
      </c>
      <c r="H8" s="11"/>
      <c r="I8" s="16"/>
      <c r="J8" s="17"/>
      <c r="K8" s="11"/>
    </row>
    <row r="9" spans="2:19" x14ac:dyDescent="0.25">
      <c r="B9" t="s">
        <v>110</v>
      </c>
      <c r="C9" t="s">
        <v>63</v>
      </c>
    </row>
    <row r="10" spans="2:19" x14ac:dyDescent="0.25">
      <c r="B10" t="s">
        <v>47</v>
      </c>
      <c r="C10" t="s">
        <v>43</v>
      </c>
    </row>
    <row r="11" spans="2:19" x14ac:dyDescent="0.25">
      <c r="B11" t="s">
        <v>80</v>
      </c>
      <c r="C11" t="s">
        <v>28</v>
      </c>
    </row>
    <row r="12" spans="2:19" x14ac:dyDescent="0.25">
      <c r="B12" t="s">
        <v>36</v>
      </c>
      <c r="C12" t="s">
        <v>86</v>
      </c>
    </row>
    <row r="13" spans="2:19" x14ac:dyDescent="0.25">
      <c r="B13" t="s">
        <v>85</v>
      </c>
      <c r="C13" t="s">
        <v>99</v>
      </c>
    </row>
    <row r="14" spans="2:19" x14ac:dyDescent="0.25">
      <c r="B14" t="s">
        <v>64</v>
      </c>
      <c r="C14" t="s">
        <v>123</v>
      </c>
    </row>
    <row r="15" spans="2:19" x14ac:dyDescent="0.25">
      <c r="B15" t="s">
        <v>67</v>
      </c>
      <c r="C15" t="s">
        <v>75</v>
      </c>
    </row>
    <row r="16" spans="2:19" x14ac:dyDescent="0.25">
      <c r="B16" t="s">
        <v>59</v>
      </c>
      <c r="C16" t="s">
        <v>96</v>
      </c>
    </row>
    <row r="17" spans="2:3" x14ac:dyDescent="0.25">
      <c r="B17" t="s">
        <v>48</v>
      </c>
      <c r="C17" t="s">
        <v>92</v>
      </c>
    </row>
    <row r="18" spans="2:3" x14ac:dyDescent="0.25">
      <c r="B18" t="s">
        <v>60</v>
      </c>
      <c r="C18" t="s">
        <v>101</v>
      </c>
    </row>
    <row r="19" spans="2:3" x14ac:dyDescent="0.25">
      <c r="B19" t="s">
        <v>79</v>
      </c>
      <c r="C19" t="s">
        <v>140</v>
      </c>
    </row>
    <row r="20" spans="2:3" x14ac:dyDescent="0.25">
      <c r="B20" t="s">
        <v>111</v>
      </c>
      <c r="C20" t="s">
        <v>106</v>
      </c>
    </row>
    <row r="21" spans="2:3" x14ac:dyDescent="0.25">
      <c r="B21" t="s">
        <v>93</v>
      </c>
      <c r="C21" t="s">
        <v>82</v>
      </c>
    </row>
    <row r="22" spans="2:3" x14ac:dyDescent="0.25">
      <c r="B22" t="s">
        <v>68</v>
      </c>
      <c r="C22" t="s">
        <v>139</v>
      </c>
    </row>
    <row r="23" spans="2:3" x14ac:dyDescent="0.25">
      <c r="B23" t="s">
        <v>144</v>
      </c>
      <c r="C23" t="s">
        <v>77</v>
      </c>
    </row>
    <row r="24" spans="2:3" x14ac:dyDescent="0.25">
      <c r="C24" t="s">
        <v>94</v>
      </c>
    </row>
    <row r="25" spans="2:3" x14ac:dyDescent="0.25">
      <c r="C25" t="s">
        <v>160</v>
      </c>
    </row>
    <row r="26" spans="2:3" x14ac:dyDescent="0.25">
      <c r="C26" t="s">
        <v>37</v>
      </c>
    </row>
    <row r="27" spans="2:3" x14ac:dyDescent="0.25">
      <c r="C27" t="s">
        <v>78</v>
      </c>
    </row>
    <row r="28" spans="2:3" x14ac:dyDescent="0.25">
      <c r="C28" t="s">
        <v>70</v>
      </c>
    </row>
    <row r="29" spans="2:3" x14ac:dyDescent="0.25">
      <c r="C29" t="s">
        <v>65</v>
      </c>
    </row>
    <row r="30" spans="2:3" x14ac:dyDescent="0.25">
      <c r="C30" t="s">
        <v>98</v>
      </c>
    </row>
    <row r="31" spans="2:3" x14ac:dyDescent="0.25">
      <c r="C31" t="s">
        <v>161</v>
      </c>
    </row>
    <row r="32" spans="2:3" x14ac:dyDescent="0.25">
      <c r="C32" t="s">
        <v>73</v>
      </c>
    </row>
    <row r="33" spans="3:3" x14ac:dyDescent="0.25">
      <c r="C33" t="s">
        <v>103</v>
      </c>
    </row>
    <row r="34" spans="3:3" x14ac:dyDescent="0.25">
      <c r="C34" t="s">
        <v>102</v>
      </c>
    </row>
    <row r="35" spans="3:3" x14ac:dyDescent="0.25">
      <c r="C35" t="s">
        <v>88</v>
      </c>
    </row>
    <row r="36" spans="3:3" x14ac:dyDescent="0.25">
      <c r="C36" t="s">
        <v>162</v>
      </c>
    </row>
    <row r="37" spans="3:3" x14ac:dyDescent="0.25">
      <c r="C37" t="s">
        <v>91</v>
      </c>
    </row>
    <row r="38" spans="3:3" x14ac:dyDescent="0.25">
      <c r="C38" t="s">
        <v>120</v>
      </c>
    </row>
    <row r="39" spans="3:3" x14ac:dyDescent="0.25">
      <c r="C39" t="s">
        <v>135</v>
      </c>
    </row>
    <row r="40" spans="3:3" x14ac:dyDescent="0.25">
      <c r="C40" t="s">
        <v>104</v>
      </c>
    </row>
    <row r="41" spans="3:3" x14ac:dyDescent="0.25">
      <c r="C41" t="s">
        <v>45</v>
      </c>
    </row>
    <row r="42" spans="3:3" x14ac:dyDescent="0.25">
      <c r="C42" t="s">
        <v>81</v>
      </c>
    </row>
    <row r="43" spans="3:3" x14ac:dyDescent="0.25">
      <c r="C43" t="s">
        <v>76</v>
      </c>
    </row>
    <row r="44" spans="3:3" x14ac:dyDescent="0.25">
      <c r="C44" t="s">
        <v>163</v>
      </c>
    </row>
    <row r="45" spans="3:3" x14ac:dyDescent="0.25">
      <c r="C45" t="s">
        <v>124</v>
      </c>
    </row>
    <row r="46" spans="3:3" x14ac:dyDescent="0.25">
      <c r="C46" t="s">
        <v>125</v>
      </c>
    </row>
    <row r="47" spans="3:3" x14ac:dyDescent="0.25">
      <c r="C47" t="s">
        <v>131</v>
      </c>
    </row>
    <row r="48" spans="3:3" x14ac:dyDescent="0.25">
      <c r="C48" t="s">
        <v>126</v>
      </c>
    </row>
    <row r="49" spans="3:3" x14ac:dyDescent="0.25">
      <c r="C49" t="s">
        <v>128</v>
      </c>
    </row>
    <row r="50" spans="3:3" x14ac:dyDescent="0.25">
      <c r="C50" t="s">
        <v>115</v>
      </c>
    </row>
    <row r="51" spans="3:3" x14ac:dyDescent="0.25">
      <c r="C51" t="s">
        <v>164</v>
      </c>
    </row>
    <row r="52" spans="3:3" x14ac:dyDescent="0.25">
      <c r="C52" t="s">
        <v>165</v>
      </c>
    </row>
    <row r="53" spans="3:3" x14ac:dyDescent="0.25">
      <c r="C53" t="s">
        <v>148</v>
      </c>
    </row>
    <row r="54" spans="3:3" x14ac:dyDescent="0.25">
      <c r="C54" t="s">
        <v>166</v>
      </c>
    </row>
    <row r="55" spans="3:3" x14ac:dyDescent="0.25">
      <c r="C55" t="s">
        <v>62</v>
      </c>
    </row>
    <row r="56" spans="3:3" x14ac:dyDescent="0.25">
      <c r="C56" t="s">
        <v>167</v>
      </c>
    </row>
    <row r="57" spans="3:3" x14ac:dyDescent="0.25">
      <c r="C57" t="s">
        <v>168</v>
      </c>
    </row>
    <row r="58" spans="3:3" x14ac:dyDescent="0.25">
      <c r="C58" t="s">
        <v>121</v>
      </c>
    </row>
    <row r="59" spans="3:3" x14ac:dyDescent="0.25">
      <c r="C59" t="s">
        <v>147</v>
      </c>
    </row>
    <row r="60" spans="3:3" x14ac:dyDescent="0.25">
      <c r="C60" t="s">
        <v>69</v>
      </c>
    </row>
    <row r="61" spans="3:3" x14ac:dyDescent="0.25">
      <c r="C61" t="s">
        <v>112</v>
      </c>
    </row>
    <row r="62" spans="3:3" x14ac:dyDescent="0.25">
      <c r="C62" t="s">
        <v>119</v>
      </c>
    </row>
    <row r="63" spans="3:3" x14ac:dyDescent="0.25">
      <c r="C63" t="s">
        <v>130</v>
      </c>
    </row>
    <row r="64" spans="3:3" x14ac:dyDescent="0.25">
      <c r="C64" t="s">
        <v>169</v>
      </c>
    </row>
    <row r="65" spans="3:3" x14ac:dyDescent="0.25">
      <c r="C65" t="s">
        <v>127</v>
      </c>
    </row>
    <row r="66" spans="3:3" x14ac:dyDescent="0.25">
      <c r="C66" t="s">
        <v>133</v>
      </c>
    </row>
    <row r="67" spans="3:3" x14ac:dyDescent="0.25">
      <c r="C67" t="s">
        <v>170</v>
      </c>
    </row>
    <row r="68" spans="3:3" x14ac:dyDescent="0.25">
      <c r="C68" t="s">
        <v>171</v>
      </c>
    </row>
    <row r="69" spans="3:3" x14ac:dyDescent="0.25">
      <c r="C69" t="s">
        <v>172</v>
      </c>
    </row>
    <row r="70" spans="3:3" x14ac:dyDescent="0.25">
      <c r="C70" t="s">
        <v>138</v>
      </c>
    </row>
    <row r="71" spans="3:3" x14ac:dyDescent="0.25">
      <c r="C71" t="s">
        <v>173</v>
      </c>
    </row>
    <row r="72" spans="3:3" x14ac:dyDescent="0.25">
      <c r="C72" t="s">
        <v>174</v>
      </c>
    </row>
    <row r="73" spans="3:3" x14ac:dyDescent="0.25">
      <c r="C73" t="s">
        <v>175</v>
      </c>
    </row>
    <row r="74" spans="3:3" x14ac:dyDescent="0.25">
      <c r="C74" t="s">
        <v>176</v>
      </c>
    </row>
    <row r="75" spans="3:3" x14ac:dyDescent="0.25">
      <c r="C75" t="s">
        <v>100</v>
      </c>
    </row>
    <row r="76" spans="3:3" x14ac:dyDescent="0.25">
      <c r="C76" t="s">
        <v>132</v>
      </c>
    </row>
    <row r="77" spans="3:3" x14ac:dyDescent="0.25">
      <c r="C77" t="s">
        <v>177</v>
      </c>
    </row>
    <row r="78" spans="3:3" x14ac:dyDescent="0.25">
      <c r="C78" t="s">
        <v>146</v>
      </c>
    </row>
    <row r="79" spans="3:3" x14ac:dyDescent="0.25">
      <c r="C79" t="s">
        <v>109</v>
      </c>
    </row>
    <row r="80" spans="3:3" x14ac:dyDescent="0.25">
      <c r="C80" t="s">
        <v>95</v>
      </c>
    </row>
    <row r="81" spans="3:3" x14ac:dyDescent="0.25">
      <c r="C81" t="s">
        <v>108</v>
      </c>
    </row>
    <row r="82" spans="3:3" x14ac:dyDescent="0.25">
      <c r="C82" t="s">
        <v>134</v>
      </c>
    </row>
    <row r="83" spans="3:3" x14ac:dyDescent="0.25">
      <c r="C83" t="s">
        <v>141</v>
      </c>
    </row>
    <row r="84" spans="3:3" x14ac:dyDescent="0.25">
      <c r="C84" t="s">
        <v>122</v>
      </c>
    </row>
    <row r="85" spans="3:3" x14ac:dyDescent="0.25">
      <c r="C85" t="s">
        <v>114</v>
      </c>
    </row>
    <row r="86" spans="3:3" x14ac:dyDescent="0.25">
      <c r="C86" t="s">
        <v>178</v>
      </c>
    </row>
    <row r="87" spans="3:3" x14ac:dyDescent="0.25">
      <c r="C87" t="s">
        <v>113</v>
      </c>
    </row>
    <row r="88" spans="3:3" x14ac:dyDescent="0.25">
      <c r="C88" t="s">
        <v>179</v>
      </c>
    </row>
    <row r="89" spans="3:3" x14ac:dyDescent="0.25">
      <c r="C89" t="s">
        <v>180</v>
      </c>
    </row>
    <row r="90" spans="3:3" x14ac:dyDescent="0.25">
      <c r="C90" t="s">
        <v>181</v>
      </c>
    </row>
    <row r="91" spans="3:3" x14ac:dyDescent="0.25">
      <c r="C91" t="s">
        <v>182</v>
      </c>
    </row>
    <row r="92" spans="3:3" x14ac:dyDescent="0.25">
      <c r="C92" t="s">
        <v>183</v>
      </c>
    </row>
    <row r="93" spans="3:3" x14ac:dyDescent="0.25">
      <c r="C93" t="s">
        <v>184</v>
      </c>
    </row>
    <row r="94" spans="3:3" x14ac:dyDescent="0.25">
      <c r="C94" t="s">
        <v>185</v>
      </c>
    </row>
    <row r="95" spans="3:3" x14ac:dyDescent="0.25">
      <c r="C95" t="s">
        <v>186</v>
      </c>
    </row>
    <row r="96" spans="3:3" x14ac:dyDescent="0.25">
      <c r="C96" t="s">
        <v>187</v>
      </c>
    </row>
    <row r="97" spans="3:3" x14ac:dyDescent="0.25">
      <c r="C97" t="s">
        <v>188</v>
      </c>
    </row>
    <row r="98" spans="3:3" x14ac:dyDescent="0.25">
      <c r="C98" t="s">
        <v>189</v>
      </c>
    </row>
    <row r="99" spans="3:3" x14ac:dyDescent="0.25">
      <c r="C99" t="s">
        <v>190</v>
      </c>
    </row>
  </sheetData>
  <sortState ref="Q5:S7395">
    <sortCondition ref="S4"/>
  </sortState>
  <mergeCells count="4">
    <mergeCell ref="B3:C3"/>
    <mergeCell ref="I3:J3"/>
    <mergeCell ref="M3:O3"/>
    <mergeCell ref="Q3:R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W1"/>
  <sheetViews>
    <sheetView zoomScaleNormal="100" workbookViewId="0">
      <selection activeCell="A3" sqref="A3"/>
    </sheetView>
  </sheetViews>
  <sheetFormatPr defaultRowHeight="15" x14ac:dyDescent="0.25"/>
  <cols>
    <col min="23" max="23" width="9.140625" style="3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Data</vt:lpstr>
      <vt:lpstr>Summary</vt:lpstr>
      <vt:lpstr>Ref.</vt:lpstr>
      <vt:lpstr>Temp.</vt:lpstr>
      <vt:lpstr>Summary!Extract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2018-05-11T06:36:22Z</dcterms:created>
  <dcterms:modified xsi:type="dcterms:W3CDTF">2018-11-20T12:52:37Z</dcterms:modified>
</cp:coreProperties>
</file>